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07.MINE EXPLOSIVES REPORTS\05.EXPLOSIVES CONTRACTORS MONITORING\BILLING 2026\2026\MAY 2026\"/>
    </mc:Choice>
  </mc:AlternateContent>
  <bookViews>
    <workbookView xWindow="0" yWindow="0" windowWidth="28800" windowHeight="12435" activeTab="1"/>
  </bookViews>
  <sheets>
    <sheet name="Sheet" sheetId="5" r:id="rId1"/>
    <sheet name="Sheet 1" sheetId="4" r:id="rId2"/>
  </sheets>
  <externalReferences>
    <externalReference r:id="rId3"/>
  </externalReferences>
  <definedNames>
    <definedName name="Animals" localSheetId="0">[1]Database!#REF!</definedName>
    <definedName name="Animals" localSheetId="1">[1]Database!#REF!</definedName>
    <definedName name="Animals">[1]Database!#REF!</definedName>
    <definedName name="Locator">[1]Database!$A:$A</definedName>
    <definedName name="Sortedstopes" localSheetId="0">#REF!</definedName>
    <definedName name="Sortedstopes" localSheetId="1">#REF!</definedName>
    <definedName name="Sortedstopes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15" i="4" l="1"/>
  <c r="AJ215" i="4"/>
  <c r="AK215" i="4"/>
  <c r="AL215" i="4"/>
  <c r="AQ215" i="4"/>
  <c r="AR215" i="4"/>
  <c r="AS215" i="4"/>
  <c r="AT215" i="4"/>
  <c r="AU215" i="4"/>
  <c r="AV215" i="4"/>
  <c r="AW215" i="4"/>
  <c r="AX215" i="4"/>
  <c r="BA215" i="4"/>
  <c r="BB215" i="4"/>
  <c r="BC215" i="4"/>
  <c r="BD215" i="4"/>
  <c r="AF215" i="4"/>
  <c r="AG215" i="4"/>
  <c r="AH215" i="4"/>
  <c r="AM215" i="4"/>
  <c r="AN215" i="4"/>
  <c r="AO215" i="4"/>
  <c r="AP215" i="4"/>
  <c r="AY215" i="4"/>
  <c r="AZ215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AH101" i="4" l="1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C46" i="4" l="1"/>
  <c r="BC48" i="4" s="1"/>
  <c r="BD46" i="4"/>
  <c r="AW15" i="4"/>
  <c r="AX15" i="4"/>
  <c r="AY15" i="4"/>
  <c r="AZ15" i="4"/>
  <c r="BA15" i="4"/>
  <c r="BB15" i="4"/>
  <c r="BC15" i="4"/>
  <c r="BD15" i="4"/>
  <c r="AV15" i="4"/>
  <c r="BD366" i="5" l="1"/>
  <c r="BD361" i="5"/>
  <c r="BC361" i="5"/>
  <c r="BA361" i="5"/>
  <c r="AZ361" i="5"/>
  <c r="AX361" i="5"/>
  <c r="AW361" i="5"/>
  <c r="AU361" i="5"/>
  <c r="AT361" i="5"/>
  <c r="AR361" i="5"/>
  <c r="AQ361" i="5"/>
  <c r="AO361" i="5"/>
  <c r="AL361" i="5"/>
  <c r="AK361" i="5"/>
  <c r="AI361" i="5"/>
  <c r="BE359" i="5"/>
  <c r="BE361" i="5" s="1"/>
  <c r="BD359" i="5"/>
  <c r="BC359" i="5"/>
  <c r="BB359" i="5"/>
  <c r="BB361" i="5" s="1"/>
  <c r="BA359" i="5"/>
  <c r="AZ359" i="5"/>
  <c r="AY359" i="5"/>
  <c r="AY361" i="5" s="1"/>
  <c r="AX359" i="5"/>
  <c r="AW359" i="5"/>
  <c r="AV359" i="5"/>
  <c r="AV361" i="5" s="1"/>
  <c r="AU359" i="5"/>
  <c r="AT359" i="5"/>
  <c r="AS359" i="5"/>
  <c r="AS361" i="5" s="1"/>
  <c r="AR359" i="5"/>
  <c r="AQ359" i="5"/>
  <c r="AP359" i="5"/>
  <c r="AP361" i="5" s="1"/>
  <c r="AO359" i="5"/>
  <c r="AN359" i="5"/>
  <c r="AN361" i="5" s="1"/>
  <c r="AM359" i="5"/>
  <c r="AM361" i="5" s="1"/>
  <c r="AL359" i="5"/>
  <c r="AK359" i="5"/>
  <c r="AJ359" i="5"/>
  <c r="AJ361" i="5" s="1"/>
  <c r="AI359" i="5"/>
  <c r="AH359" i="5"/>
  <c r="AH361" i="5" s="1"/>
  <c r="AG359" i="5"/>
  <c r="AG361" i="5" s="1"/>
  <c r="BE334" i="5"/>
  <c r="BC334" i="5"/>
  <c r="AZ334" i="5"/>
  <c r="AY334" i="5"/>
  <c r="AW334" i="5"/>
  <c r="AT334" i="5"/>
  <c r="AS334" i="5"/>
  <c r="AQ334" i="5"/>
  <c r="AN334" i="5"/>
  <c r="AM334" i="5"/>
  <c r="AK334" i="5"/>
  <c r="AH334" i="5"/>
  <c r="AG334" i="5"/>
  <c r="BE332" i="5"/>
  <c r="BE362" i="5" s="1"/>
  <c r="BE366" i="5" s="1"/>
  <c r="BD332" i="5"/>
  <c r="BD334" i="5" s="1"/>
  <c r="BC332" i="5"/>
  <c r="BB332" i="5"/>
  <c r="BB334" i="5" s="1"/>
  <c r="BA332" i="5"/>
  <c r="BA362" i="5" s="1"/>
  <c r="BA366" i="5" s="1"/>
  <c r="AZ332" i="5"/>
  <c r="AY332" i="5"/>
  <c r="AY362" i="5" s="1"/>
  <c r="AY366" i="5" s="1"/>
  <c r="AX332" i="5"/>
  <c r="AX334" i="5" s="1"/>
  <c r="AW332" i="5"/>
  <c r="AV332" i="5"/>
  <c r="AV334" i="5" s="1"/>
  <c r="AU332" i="5"/>
  <c r="AU362" i="5" s="1"/>
  <c r="AU366" i="5" s="1"/>
  <c r="AT332" i="5"/>
  <c r="AS332" i="5"/>
  <c r="AS362" i="5" s="1"/>
  <c r="AS366" i="5" s="1"/>
  <c r="AR332" i="5"/>
  <c r="AR334" i="5" s="1"/>
  <c r="AQ332" i="5"/>
  <c r="AP332" i="5"/>
  <c r="AP334" i="5" s="1"/>
  <c r="AO332" i="5"/>
  <c r="AO362" i="5" s="1"/>
  <c r="AO366" i="5" s="1"/>
  <c r="AN332" i="5"/>
  <c r="AM332" i="5"/>
  <c r="AM362" i="5" s="1"/>
  <c r="AM366" i="5" s="1"/>
  <c r="AL332" i="5"/>
  <c r="AL334" i="5" s="1"/>
  <c r="AK332" i="5"/>
  <c r="AJ332" i="5"/>
  <c r="AJ334" i="5" s="1"/>
  <c r="AI332" i="5"/>
  <c r="AI362" i="5" s="1"/>
  <c r="AI366" i="5" s="1"/>
  <c r="AH332" i="5"/>
  <c r="AG332" i="5"/>
  <c r="AG362" i="5" s="1"/>
  <c r="BE299" i="5"/>
  <c r="BB299" i="5"/>
  <c r="BA299" i="5"/>
  <c r="AY299" i="5"/>
  <c r="AV299" i="5"/>
  <c r="AU299" i="5"/>
  <c r="AS299" i="5"/>
  <c r="AP299" i="5"/>
  <c r="AO299" i="5"/>
  <c r="AM299" i="5"/>
  <c r="AJ299" i="5"/>
  <c r="AI299" i="5"/>
  <c r="AG299" i="5"/>
  <c r="BE297" i="5"/>
  <c r="BD297" i="5"/>
  <c r="BD299" i="5" s="1"/>
  <c r="BC297" i="5"/>
  <c r="BC299" i="5" s="1"/>
  <c r="BB297" i="5"/>
  <c r="BB362" i="5" s="1"/>
  <c r="BB366" i="5" s="1"/>
  <c r="BA297" i="5"/>
  <c r="AZ297" i="5"/>
  <c r="AZ299" i="5" s="1"/>
  <c r="AY297" i="5"/>
  <c r="AX297" i="5"/>
  <c r="AX299" i="5" s="1"/>
  <c r="AW297" i="5"/>
  <c r="AW362" i="5" s="1"/>
  <c r="AW366" i="5" s="1"/>
  <c r="AV297" i="5"/>
  <c r="AV362" i="5" s="1"/>
  <c r="AV366" i="5" s="1"/>
  <c r="AU297" i="5"/>
  <c r="AT297" i="5"/>
  <c r="AT299" i="5" s="1"/>
  <c r="AS297" i="5"/>
  <c r="AR297" i="5"/>
  <c r="AR299" i="5" s="1"/>
  <c r="AQ297" i="5"/>
  <c r="AQ299" i="5" s="1"/>
  <c r="AP297" i="5"/>
  <c r="AP362" i="5" s="1"/>
  <c r="AP366" i="5" s="1"/>
  <c r="AO297" i="5"/>
  <c r="AN297" i="5"/>
  <c r="AN299" i="5" s="1"/>
  <c r="AM297" i="5"/>
  <c r="AL297" i="5"/>
  <c r="AL299" i="5" s="1"/>
  <c r="AK297" i="5"/>
  <c r="AK362" i="5" s="1"/>
  <c r="AK366" i="5" s="1"/>
  <c r="AJ297" i="5"/>
  <c r="AJ362" i="5" s="1"/>
  <c r="AJ366" i="5" s="1"/>
  <c r="AI297" i="5"/>
  <c r="AH297" i="5"/>
  <c r="AH299" i="5" s="1"/>
  <c r="AG297" i="5"/>
  <c r="BD255" i="5"/>
  <c r="BC255" i="5"/>
  <c r="BA255" i="5"/>
  <c r="AX255" i="5"/>
  <c r="AW255" i="5"/>
  <c r="AU255" i="5"/>
  <c r="AR255" i="5"/>
  <c r="AQ255" i="5"/>
  <c r="AO255" i="5"/>
  <c r="AL255" i="5"/>
  <c r="AK255" i="5"/>
  <c r="AI255" i="5"/>
  <c r="BE253" i="5"/>
  <c r="BE255" i="5" s="1"/>
  <c r="BD253" i="5"/>
  <c r="BC253" i="5"/>
  <c r="BB253" i="5"/>
  <c r="BB255" i="5" s="1"/>
  <c r="BA253" i="5"/>
  <c r="AZ253" i="5"/>
  <c r="AZ255" i="5" s="1"/>
  <c r="AY253" i="5"/>
  <c r="AY255" i="5" s="1"/>
  <c r="AX253" i="5"/>
  <c r="AW253" i="5"/>
  <c r="AV253" i="5"/>
  <c r="AV255" i="5" s="1"/>
  <c r="AU253" i="5"/>
  <c r="AT253" i="5"/>
  <c r="AT255" i="5" s="1"/>
  <c r="AS253" i="5"/>
  <c r="AS255" i="5" s="1"/>
  <c r="AR253" i="5"/>
  <c r="AQ253" i="5"/>
  <c r="AP253" i="5"/>
  <c r="AP255" i="5" s="1"/>
  <c r="AO253" i="5"/>
  <c r="AN253" i="5"/>
  <c r="AN255" i="5" s="1"/>
  <c r="AM253" i="5"/>
  <c r="AM255" i="5" s="1"/>
  <c r="AL253" i="5"/>
  <c r="AK253" i="5"/>
  <c r="AJ253" i="5"/>
  <c r="AJ255" i="5" s="1"/>
  <c r="AI253" i="5"/>
  <c r="AH253" i="5"/>
  <c r="AH255" i="5" s="1"/>
  <c r="AG253" i="5"/>
  <c r="AG255" i="5" s="1"/>
  <c r="BE215" i="5"/>
  <c r="BC215" i="5"/>
  <c r="AZ215" i="5"/>
  <c r="AY215" i="5"/>
  <c r="AW215" i="5"/>
  <c r="AT215" i="5"/>
  <c r="AS215" i="5"/>
  <c r="AQ215" i="5"/>
  <c r="AN215" i="5"/>
  <c r="AM215" i="5"/>
  <c r="AK215" i="5"/>
  <c r="AH215" i="5"/>
  <c r="AG215" i="5"/>
  <c r="BE213" i="5"/>
  <c r="BD213" i="5"/>
  <c r="BD215" i="5" s="1"/>
  <c r="BC213" i="5"/>
  <c r="BB213" i="5"/>
  <c r="BB215" i="5" s="1"/>
  <c r="BA213" i="5"/>
  <c r="BA215" i="5" s="1"/>
  <c r="AZ213" i="5"/>
  <c r="AY213" i="5"/>
  <c r="AX213" i="5"/>
  <c r="AX215" i="5" s="1"/>
  <c r="AW213" i="5"/>
  <c r="AV213" i="5"/>
  <c r="AV215" i="5" s="1"/>
  <c r="AU213" i="5"/>
  <c r="AU215" i="5" s="1"/>
  <c r="AT213" i="5"/>
  <c r="AS213" i="5"/>
  <c r="AR213" i="5"/>
  <c r="AR215" i="5" s="1"/>
  <c r="AQ213" i="5"/>
  <c r="AP213" i="5"/>
  <c r="AP215" i="5" s="1"/>
  <c r="AO213" i="5"/>
  <c r="AO215" i="5" s="1"/>
  <c r="AN213" i="5"/>
  <c r="AM213" i="5"/>
  <c r="AL213" i="5"/>
  <c r="AL215" i="5" s="1"/>
  <c r="AK213" i="5"/>
  <c r="AJ213" i="5"/>
  <c r="AJ215" i="5" s="1"/>
  <c r="AI213" i="5"/>
  <c r="AI215" i="5" s="1"/>
  <c r="AH213" i="5"/>
  <c r="AG213" i="5"/>
  <c r="BE175" i="5"/>
  <c r="BB175" i="5"/>
  <c r="BA175" i="5"/>
  <c r="AY175" i="5"/>
  <c r="AV175" i="5"/>
  <c r="AU175" i="5"/>
  <c r="AS175" i="5"/>
  <c r="AP175" i="5"/>
  <c r="AO175" i="5"/>
  <c r="AM175" i="5"/>
  <c r="AJ175" i="5"/>
  <c r="AI175" i="5"/>
  <c r="AG175" i="5"/>
  <c r="BE173" i="5"/>
  <c r="BD173" i="5"/>
  <c r="BD175" i="5" s="1"/>
  <c r="BC173" i="5"/>
  <c r="BC175" i="5" s="1"/>
  <c r="BB173" i="5"/>
  <c r="BA173" i="5"/>
  <c r="AZ173" i="5"/>
  <c r="AZ175" i="5" s="1"/>
  <c r="AY173" i="5"/>
  <c r="AX173" i="5"/>
  <c r="AX175" i="5" s="1"/>
  <c r="AW173" i="5"/>
  <c r="AW175" i="5" s="1"/>
  <c r="AV173" i="5"/>
  <c r="AU173" i="5"/>
  <c r="AT173" i="5"/>
  <c r="AT175" i="5" s="1"/>
  <c r="AS173" i="5"/>
  <c r="AR173" i="5"/>
  <c r="AR175" i="5" s="1"/>
  <c r="AQ173" i="5"/>
  <c r="AQ175" i="5" s="1"/>
  <c r="AP173" i="5"/>
  <c r="AO173" i="5"/>
  <c r="AN173" i="5"/>
  <c r="AN175" i="5" s="1"/>
  <c r="AM173" i="5"/>
  <c r="AL173" i="5"/>
  <c r="AL175" i="5" s="1"/>
  <c r="AK173" i="5"/>
  <c r="AK175" i="5" s="1"/>
  <c r="AJ173" i="5"/>
  <c r="AI173" i="5"/>
  <c r="AH173" i="5"/>
  <c r="AH175" i="5" s="1"/>
  <c r="AG173" i="5"/>
  <c r="AZ134" i="5"/>
  <c r="AN134" i="5"/>
  <c r="BE132" i="5"/>
  <c r="BE134" i="5" s="1"/>
  <c r="BC132" i="5"/>
  <c r="BC134" i="5" s="1"/>
  <c r="BB132" i="5"/>
  <c r="BB134" i="5" s="1"/>
  <c r="BA132" i="5"/>
  <c r="BA134" i="5" s="1"/>
  <c r="AZ132" i="5"/>
  <c r="AY132" i="5"/>
  <c r="AY134" i="5" s="1"/>
  <c r="AX132" i="5"/>
  <c r="AX134" i="5" s="1"/>
  <c r="AW132" i="5"/>
  <c r="AW134" i="5" s="1"/>
  <c r="AV132" i="5"/>
  <c r="AV134" i="5" s="1"/>
  <c r="AU132" i="5"/>
  <c r="AU134" i="5" s="1"/>
  <c r="AT132" i="5"/>
  <c r="AT134" i="5" s="1"/>
  <c r="AS132" i="5"/>
  <c r="AS134" i="5" s="1"/>
  <c r="AR132" i="5"/>
  <c r="AR134" i="5" s="1"/>
  <c r="AQ132" i="5"/>
  <c r="AQ134" i="5" s="1"/>
  <c r="AP132" i="5"/>
  <c r="AP134" i="5" s="1"/>
  <c r="AO132" i="5"/>
  <c r="AO134" i="5" s="1"/>
  <c r="AN132" i="5"/>
  <c r="AM132" i="5"/>
  <c r="AM134" i="5" s="1"/>
  <c r="AL132" i="5"/>
  <c r="AL134" i="5" s="1"/>
  <c r="AK132" i="5"/>
  <c r="AK134" i="5" s="1"/>
  <c r="AJ132" i="5"/>
  <c r="AJ134" i="5" s="1"/>
  <c r="AI132" i="5"/>
  <c r="AI134" i="5" s="1"/>
  <c r="AH132" i="5"/>
  <c r="AH134" i="5" s="1"/>
  <c r="AG132" i="5"/>
  <c r="AG134" i="5" s="1"/>
  <c r="BE111" i="5"/>
  <c r="BE113" i="5" s="1"/>
  <c r="BC111" i="5"/>
  <c r="BC113" i="5" s="1"/>
  <c r="BB111" i="5"/>
  <c r="BB113" i="5" s="1"/>
  <c r="BA111" i="5"/>
  <c r="BA113" i="5" s="1"/>
  <c r="AZ111" i="5"/>
  <c r="AZ113" i="5" s="1"/>
  <c r="AY111" i="5"/>
  <c r="AY113" i="5" s="1"/>
  <c r="AX111" i="5"/>
  <c r="AX113" i="5" s="1"/>
  <c r="AW111" i="5"/>
  <c r="AW113" i="5" s="1"/>
  <c r="AV111" i="5"/>
  <c r="AV113" i="5" s="1"/>
  <c r="AU111" i="5"/>
  <c r="AU113" i="5" s="1"/>
  <c r="AT111" i="5"/>
  <c r="AT113" i="5" s="1"/>
  <c r="AS111" i="5"/>
  <c r="AS113" i="5" s="1"/>
  <c r="AR111" i="5"/>
  <c r="AR113" i="5" s="1"/>
  <c r="AQ111" i="5"/>
  <c r="AQ113" i="5" s="1"/>
  <c r="AP111" i="5"/>
  <c r="AP113" i="5" s="1"/>
  <c r="AO111" i="5"/>
  <c r="AO113" i="5" s="1"/>
  <c r="AN111" i="5"/>
  <c r="AN113" i="5" s="1"/>
  <c r="AM111" i="5"/>
  <c r="AM113" i="5" s="1"/>
  <c r="AL111" i="5"/>
  <c r="AL113" i="5" s="1"/>
  <c r="AK111" i="5"/>
  <c r="AK113" i="5" s="1"/>
  <c r="AJ111" i="5"/>
  <c r="AJ113" i="5" s="1"/>
  <c r="AI111" i="5"/>
  <c r="AI113" i="5" s="1"/>
  <c r="AH111" i="5"/>
  <c r="AH113" i="5" s="1"/>
  <c r="AG111" i="5"/>
  <c r="AG113" i="5" s="1"/>
  <c r="BE83" i="5"/>
  <c r="BE85" i="5" s="1"/>
  <c r="BC83" i="5"/>
  <c r="BC85" i="5" s="1"/>
  <c r="BB83" i="5"/>
  <c r="BB85" i="5" s="1"/>
  <c r="BA83" i="5"/>
  <c r="BA85" i="5" s="1"/>
  <c r="AZ83" i="5"/>
  <c r="AZ85" i="5" s="1"/>
  <c r="AY83" i="5"/>
  <c r="AY85" i="5" s="1"/>
  <c r="AX83" i="5"/>
  <c r="AX85" i="5" s="1"/>
  <c r="AW83" i="5"/>
  <c r="AW85" i="5" s="1"/>
  <c r="AV83" i="5"/>
  <c r="AV85" i="5" s="1"/>
  <c r="AU83" i="5"/>
  <c r="AU85" i="5" s="1"/>
  <c r="AT83" i="5"/>
  <c r="AT85" i="5" s="1"/>
  <c r="AS83" i="5"/>
  <c r="AS85" i="5" s="1"/>
  <c r="AR83" i="5"/>
  <c r="AR85" i="5" s="1"/>
  <c r="AQ83" i="5"/>
  <c r="AQ85" i="5" s="1"/>
  <c r="AP83" i="5"/>
  <c r="AP85" i="5" s="1"/>
  <c r="AO83" i="5"/>
  <c r="AO85" i="5" s="1"/>
  <c r="AN83" i="5"/>
  <c r="AN85" i="5" s="1"/>
  <c r="AM83" i="5"/>
  <c r="AM85" i="5" s="1"/>
  <c r="AL83" i="5"/>
  <c r="AL85" i="5" s="1"/>
  <c r="AK83" i="5"/>
  <c r="AK85" i="5" s="1"/>
  <c r="AJ83" i="5"/>
  <c r="AJ85" i="5" s="1"/>
  <c r="AI83" i="5"/>
  <c r="AI85" i="5" s="1"/>
  <c r="AH83" i="5"/>
  <c r="AH85" i="5" s="1"/>
  <c r="AG83" i="5"/>
  <c r="AG85" i="5" s="1"/>
  <c r="BE60" i="5"/>
  <c r="BE62" i="5" s="1"/>
  <c r="BC60" i="5"/>
  <c r="BC62" i="5" s="1"/>
  <c r="BB60" i="5"/>
  <c r="BB62" i="5" s="1"/>
  <c r="BA60" i="5"/>
  <c r="BA62" i="5" s="1"/>
  <c r="AZ60" i="5"/>
  <c r="AZ62" i="5" s="1"/>
  <c r="AY60" i="5"/>
  <c r="AY62" i="5" s="1"/>
  <c r="AX60" i="5"/>
  <c r="AX62" i="5" s="1"/>
  <c r="AW60" i="5"/>
  <c r="AW62" i="5" s="1"/>
  <c r="AV60" i="5"/>
  <c r="AV62" i="5" s="1"/>
  <c r="AU60" i="5"/>
  <c r="AU62" i="5" s="1"/>
  <c r="AT60" i="5"/>
  <c r="AT62" i="5" s="1"/>
  <c r="AS60" i="5"/>
  <c r="AS62" i="5" s="1"/>
  <c r="AR60" i="5"/>
  <c r="AR62" i="5" s="1"/>
  <c r="AQ60" i="5"/>
  <c r="AQ62" i="5" s="1"/>
  <c r="AP60" i="5"/>
  <c r="AP62" i="5" s="1"/>
  <c r="AO60" i="5"/>
  <c r="AO62" i="5" s="1"/>
  <c r="AN60" i="5"/>
  <c r="AN62" i="5" s="1"/>
  <c r="AM60" i="5"/>
  <c r="AM62" i="5" s="1"/>
  <c r="AL60" i="5"/>
  <c r="AL62" i="5" s="1"/>
  <c r="AK60" i="5"/>
  <c r="AK62" i="5" s="1"/>
  <c r="AJ60" i="5"/>
  <c r="AJ62" i="5" s="1"/>
  <c r="AI60" i="5"/>
  <c r="AI62" i="5" s="1"/>
  <c r="AH60" i="5"/>
  <c r="AH62" i="5" s="1"/>
  <c r="AG60" i="5"/>
  <c r="AG62" i="5" s="1"/>
  <c r="BD29" i="5"/>
  <c r="BC29" i="5"/>
  <c r="BA29" i="5"/>
  <c r="AX29" i="5"/>
  <c r="AW29" i="5"/>
  <c r="AU29" i="5"/>
  <c r="AR29" i="5"/>
  <c r="AQ29" i="5"/>
  <c r="AO29" i="5"/>
  <c r="AL29" i="5"/>
  <c r="AK29" i="5"/>
  <c r="AI29" i="5"/>
  <c r="BE27" i="5"/>
  <c r="BE29" i="5" s="1"/>
  <c r="BD27" i="5"/>
  <c r="BC27" i="5"/>
  <c r="BB27" i="5"/>
  <c r="BB29" i="5" s="1"/>
  <c r="BA27" i="5"/>
  <c r="AZ27" i="5"/>
  <c r="AZ29" i="5" s="1"/>
  <c r="AY27" i="5"/>
  <c r="AY29" i="5" s="1"/>
  <c r="AX27" i="5"/>
  <c r="AW27" i="5"/>
  <c r="AV27" i="5"/>
  <c r="AV29" i="5" s="1"/>
  <c r="AU27" i="5"/>
  <c r="AT27" i="5"/>
  <c r="AT29" i="5" s="1"/>
  <c r="AS27" i="5"/>
  <c r="AS29" i="5" s="1"/>
  <c r="AR27" i="5"/>
  <c r="AQ27" i="5"/>
  <c r="AP27" i="5"/>
  <c r="AP29" i="5" s="1"/>
  <c r="AO27" i="5"/>
  <c r="AN27" i="5"/>
  <c r="AN29" i="5" s="1"/>
  <c r="AM27" i="5"/>
  <c r="AM29" i="5" s="1"/>
  <c r="AL27" i="5"/>
  <c r="AK27" i="5"/>
  <c r="AJ27" i="5"/>
  <c r="AJ29" i="5" s="1"/>
  <c r="AI27" i="5"/>
  <c r="AH27" i="5"/>
  <c r="AH29" i="5" s="1"/>
  <c r="AG27" i="5"/>
  <c r="AG29" i="5" s="1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O8" i="5"/>
  <c r="N8" i="5"/>
  <c r="M8" i="5"/>
  <c r="AG366" i="5" l="1"/>
  <c r="AQ362" i="5"/>
  <c r="AQ366" i="5" s="1"/>
  <c r="BC362" i="5"/>
  <c r="BC366" i="5" s="1"/>
  <c r="AK299" i="5"/>
  <c r="AW299" i="5"/>
  <c r="AI334" i="5"/>
  <c r="AO334" i="5"/>
  <c r="AU334" i="5"/>
  <c r="BA334" i="5"/>
  <c r="AL362" i="5"/>
  <c r="AL366" i="5" s="1"/>
  <c r="AR362" i="5"/>
  <c r="AR366" i="5" s="1"/>
  <c r="AX362" i="5"/>
  <c r="AX366" i="5" s="1"/>
  <c r="AH362" i="5"/>
  <c r="AH366" i="5" s="1"/>
  <c r="AN362" i="5"/>
  <c r="AN366" i="5" s="1"/>
  <c r="AT362" i="5"/>
  <c r="AT366" i="5" s="1"/>
  <c r="AZ362" i="5"/>
  <c r="AZ366" i="5" s="1"/>
  <c r="BC12" i="4"/>
  <c r="BC125" i="4"/>
  <c r="BC137" i="4"/>
  <c r="BC145" i="4"/>
  <c r="BC163" i="4"/>
  <c r="BC181" i="4"/>
  <c r="BC223" i="4" l="1"/>
  <c r="BC227" i="4" s="1"/>
  <c r="BF362" i="5"/>
  <c r="AG368" i="5"/>
  <c r="BD181" i="4"/>
  <c r="BB181" i="4"/>
  <c r="BA181" i="4"/>
  <c r="AZ181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BD163" i="4"/>
  <c r="BB163" i="4"/>
  <c r="BA163" i="4"/>
  <c r="AZ163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BD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BD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BD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G101" i="4"/>
  <c r="AF101" i="4"/>
  <c r="BD97" i="4"/>
  <c r="BD99" i="4" s="1"/>
  <c r="BB97" i="4"/>
  <c r="BB99" i="4" s="1"/>
  <c r="BA97" i="4"/>
  <c r="BA99" i="4" s="1"/>
  <c r="AZ97" i="4"/>
  <c r="AZ99" i="4" s="1"/>
  <c r="AY97" i="4"/>
  <c r="AY99" i="4" s="1"/>
  <c r="AX97" i="4"/>
  <c r="AX99" i="4" s="1"/>
  <c r="AW97" i="4"/>
  <c r="AW99" i="4" s="1"/>
  <c r="AV97" i="4"/>
  <c r="AV99" i="4" s="1"/>
  <c r="AU97" i="4"/>
  <c r="AU99" i="4" s="1"/>
  <c r="AT97" i="4"/>
  <c r="AT99" i="4" s="1"/>
  <c r="AS97" i="4"/>
  <c r="AS99" i="4" s="1"/>
  <c r="AR97" i="4"/>
  <c r="AR99" i="4" s="1"/>
  <c r="AQ97" i="4"/>
  <c r="AQ99" i="4" s="1"/>
  <c r="AP97" i="4"/>
  <c r="AP99" i="4" s="1"/>
  <c r="AO97" i="4"/>
  <c r="AO99" i="4" s="1"/>
  <c r="AN97" i="4"/>
  <c r="AN99" i="4" s="1"/>
  <c r="AM97" i="4"/>
  <c r="AM99" i="4" s="1"/>
  <c r="AL97" i="4"/>
  <c r="AL99" i="4" s="1"/>
  <c r="AK97" i="4"/>
  <c r="AK99" i="4" s="1"/>
  <c r="AJ97" i="4"/>
  <c r="AJ99" i="4" s="1"/>
  <c r="AI97" i="4"/>
  <c r="AI99" i="4" s="1"/>
  <c r="AH97" i="4"/>
  <c r="AH99" i="4" s="1"/>
  <c r="AG97" i="4"/>
  <c r="AG99" i="4" s="1"/>
  <c r="AF97" i="4"/>
  <c r="AF99" i="4" s="1"/>
  <c r="BD69" i="4"/>
  <c r="BD71" i="4" s="1"/>
  <c r="BB69" i="4"/>
  <c r="BB71" i="4" s="1"/>
  <c r="BA69" i="4"/>
  <c r="BA71" i="4" s="1"/>
  <c r="AZ69" i="4"/>
  <c r="AZ71" i="4" s="1"/>
  <c r="AY69" i="4"/>
  <c r="AY71" i="4" s="1"/>
  <c r="AX69" i="4"/>
  <c r="AX71" i="4" s="1"/>
  <c r="AW69" i="4"/>
  <c r="AW71" i="4" s="1"/>
  <c r="AV69" i="4"/>
  <c r="AV71" i="4" s="1"/>
  <c r="AU69" i="4"/>
  <c r="AU71" i="4" s="1"/>
  <c r="AT69" i="4"/>
  <c r="AT71" i="4" s="1"/>
  <c r="AS69" i="4"/>
  <c r="AS71" i="4" s="1"/>
  <c r="AR69" i="4"/>
  <c r="AR71" i="4" s="1"/>
  <c r="AQ69" i="4"/>
  <c r="AQ71" i="4" s="1"/>
  <c r="AP69" i="4"/>
  <c r="AP71" i="4" s="1"/>
  <c r="AO69" i="4"/>
  <c r="AO71" i="4" s="1"/>
  <c r="AN69" i="4"/>
  <c r="AN71" i="4" s="1"/>
  <c r="AM69" i="4"/>
  <c r="AM71" i="4" s="1"/>
  <c r="AL69" i="4"/>
  <c r="AL71" i="4" s="1"/>
  <c r="AK69" i="4"/>
  <c r="AK71" i="4" s="1"/>
  <c r="AJ69" i="4"/>
  <c r="AJ71" i="4" s="1"/>
  <c r="AI69" i="4"/>
  <c r="AI71" i="4" s="1"/>
  <c r="AH69" i="4"/>
  <c r="AH71" i="4" s="1"/>
  <c r="AG69" i="4"/>
  <c r="AG71" i="4" s="1"/>
  <c r="AF69" i="4"/>
  <c r="AF71" i="4" s="1"/>
  <c r="BD48" i="4"/>
  <c r="BB46" i="4"/>
  <c r="BA46" i="4"/>
  <c r="AZ46" i="4"/>
  <c r="AY46" i="4"/>
  <c r="AX46" i="4"/>
  <c r="AW46" i="4"/>
  <c r="AV46" i="4"/>
  <c r="AU46" i="4"/>
  <c r="AU48" i="4" s="1"/>
  <c r="AT46" i="4"/>
  <c r="AT48" i="4" s="1"/>
  <c r="AS46" i="4"/>
  <c r="AS48" i="4" s="1"/>
  <c r="AR46" i="4"/>
  <c r="AR48" i="4" s="1"/>
  <c r="AQ46" i="4"/>
  <c r="AQ48" i="4" s="1"/>
  <c r="AP46" i="4"/>
  <c r="AP48" i="4" s="1"/>
  <c r="AO46" i="4"/>
  <c r="AO48" i="4" s="1"/>
  <c r="AN46" i="4"/>
  <c r="AN48" i="4" s="1"/>
  <c r="AM46" i="4"/>
  <c r="AM48" i="4" s="1"/>
  <c r="AL46" i="4"/>
  <c r="AL48" i="4" s="1"/>
  <c r="AK46" i="4"/>
  <c r="AK48" i="4" s="1"/>
  <c r="AJ46" i="4"/>
  <c r="AJ48" i="4" s="1"/>
  <c r="AI46" i="4"/>
  <c r="AI48" i="4" s="1"/>
  <c r="AH46" i="4"/>
  <c r="AH48" i="4" s="1"/>
  <c r="AG46" i="4"/>
  <c r="AG48" i="4" s="1"/>
  <c r="AF46" i="4"/>
  <c r="AF48" i="4" s="1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BD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O8" i="4"/>
  <c r="N8" i="4"/>
  <c r="M8" i="4"/>
  <c r="BD223" i="4" l="1"/>
  <c r="BD227" i="4" s="1"/>
  <c r="AL223" i="4"/>
  <c r="AL227" i="4" s="1"/>
  <c r="AG223" i="4"/>
  <c r="AG227" i="4" s="1"/>
  <c r="AM223" i="4"/>
  <c r="AM227" i="4" s="1"/>
  <c r="AS223" i="4"/>
  <c r="AS227" i="4" s="1"/>
  <c r="AY223" i="4"/>
  <c r="AY227" i="4" s="1"/>
  <c r="AW223" i="4"/>
  <c r="AW227" i="4" s="1"/>
  <c r="AF223" i="4"/>
  <c r="AF227" i="4" s="1"/>
  <c r="AH223" i="4"/>
  <c r="AH227" i="4" s="1"/>
  <c r="AN223" i="4"/>
  <c r="AN227" i="4" s="1"/>
  <c r="AT223" i="4"/>
  <c r="AT227" i="4" s="1"/>
  <c r="AZ223" i="4"/>
  <c r="AZ227" i="4" s="1"/>
  <c r="AK223" i="4"/>
  <c r="AK227" i="4" s="1"/>
  <c r="AR223" i="4"/>
  <c r="AR227" i="4" s="1"/>
  <c r="AI223" i="4"/>
  <c r="AI227" i="4" s="1"/>
  <c r="AO223" i="4"/>
  <c r="AO227" i="4" s="1"/>
  <c r="AU223" i="4"/>
  <c r="AU227" i="4" s="1"/>
  <c r="BA223" i="4"/>
  <c r="BA227" i="4" s="1"/>
  <c r="AQ223" i="4"/>
  <c r="AQ227" i="4" s="1"/>
  <c r="AX223" i="4"/>
  <c r="AX227" i="4" s="1"/>
  <c r="AJ223" i="4"/>
  <c r="AJ227" i="4" s="1"/>
  <c r="AP223" i="4"/>
  <c r="AP227" i="4" s="1"/>
  <c r="AV223" i="4"/>
  <c r="AV227" i="4" s="1"/>
  <c r="BB223" i="4"/>
  <c r="BB227" i="4" s="1"/>
  <c r="BB48" i="4"/>
  <c r="AY48" i="4"/>
  <c r="AW48" i="4"/>
  <c r="AZ48" i="4"/>
  <c r="AV48" i="4"/>
  <c r="AX48" i="4"/>
  <c r="BA48" i="4"/>
  <c r="AF229" i="4" l="1"/>
  <c r="BE223" i="4"/>
</calcChain>
</file>

<file path=xl/comments1.xml><?xml version="1.0" encoding="utf-8"?>
<comments xmlns="http://schemas.openxmlformats.org/spreadsheetml/2006/main">
  <authors>
    <author>Rob Gregory</author>
    <author>Airene B. Tabotabo</author>
  </authors>
  <commentList>
    <comment ref="BE6" authorId="0" shapeId="0">
      <text>
        <r>
          <rPr>
            <b/>
            <sz val="9"/>
            <color indexed="81"/>
            <rFont val="Tahoma"/>
            <family val="2"/>
          </rPr>
          <t>Rob Gregory:</t>
        </r>
        <r>
          <rPr>
            <sz val="9"/>
            <color indexed="81"/>
            <rFont val="Tahoma"/>
            <family val="2"/>
          </rPr>
          <t xml:space="preserve">
insert new columns before here.  This cell is used to track how many as VBA falls over if you hide cols</t>
        </r>
      </text>
    </comment>
    <comment ref="AI364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M364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N364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O364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P364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</commentList>
</comments>
</file>

<file path=xl/comments2.xml><?xml version="1.0" encoding="utf-8"?>
<comments xmlns="http://schemas.openxmlformats.org/spreadsheetml/2006/main">
  <authors>
    <author>Rob Gregory</author>
    <author>Airene B. Tabotabo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Rob Gregory:</t>
        </r>
        <r>
          <rPr>
            <sz val="9"/>
            <color indexed="81"/>
            <rFont val="Tahoma"/>
            <family val="2"/>
          </rPr>
          <t xml:space="preserve">
insert new columns before here.  This cell is used to track how many as VBA falls over if you hide cols</t>
        </r>
      </text>
    </comment>
    <comment ref="AH225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L225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M225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N225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O225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</commentList>
</comments>
</file>

<file path=xl/sharedStrings.xml><?xml version="1.0" encoding="utf-8"?>
<sst xmlns="http://schemas.openxmlformats.org/spreadsheetml/2006/main" count="1417" uniqueCount="271">
  <si>
    <t>PHILSAGA MINING CORPORATION</t>
  </si>
  <si>
    <t>CONTRACTOR'S MONITORING</t>
  </si>
  <si>
    <t>N  A  M E</t>
  </si>
  <si>
    <t>LEVEL</t>
  </si>
  <si>
    <t>WORKPLACE</t>
  </si>
  <si>
    <t>EXPLOSIVES AND ACCESSORIES</t>
  </si>
  <si>
    <t>NO. OF</t>
  </si>
  <si>
    <t>NO OF</t>
  </si>
  <si>
    <t>WORKPLACE ACTIVITY</t>
  </si>
  <si>
    <t>NO. OF HEADS</t>
  </si>
  <si>
    <t>NO. OF DAYS</t>
  </si>
  <si>
    <t>STOPE PREP</t>
  </si>
  <si>
    <t>STOPE PREP-SLOT</t>
  </si>
  <si>
    <t>STOPE PREP-SHRINK</t>
  </si>
  <si>
    <t>TOTAL STOPE</t>
  </si>
  <si>
    <t>TOTAL devt</t>
  </si>
  <si>
    <t>SENATEL
215
PCS</t>
  </si>
  <si>
    <t>ANFO</t>
  </si>
  <si>
    <t>SAFETY FUSE</t>
  </si>
  <si>
    <t>OBC</t>
  </si>
  <si>
    <t>NONEL</t>
  </si>
  <si>
    <t>EXEL
3.6</t>
  </si>
  <si>
    <t>SUPREME 2.4</t>
  </si>
  <si>
    <t>SUPREME 3.6</t>
  </si>
  <si>
    <t>EXEL 2.4</t>
  </si>
  <si>
    <t>SHOCKSTAR</t>
  </si>
  <si>
    <t>MS 18</t>
  </si>
  <si>
    <t>CORDTEX 5</t>
  </si>
  <si>
    <t>CORDTEX
10M</t>
  </si>
  <si>
    <t>CORDTEX
40M</t>
  </si>
  <si>
    <t>FUSE LIGHTER</t>
  </si>
  <si>
    <t>BILL WIRE</t>
  </si>
  <si>
    <t>SENATEL PUSAR 38</t>
  </si>
  <si>
    <t>EXEL 4.9</t>
  </si>
  <si>
    <t>SENATEL PUSAR 135</t>
  </si>
  <si>
    <t xml:space="preserve">SUPER POWER    208                        PCS </t>
  </si>
  <si>
    <t>SUPER POWER150</t>
  </si>
  <si>
    <t>EBC
PCS</t>
  </si>
  <si>
    <t>ACTIVITIES</t>
  </si>
  <si>
    <t>HEADS</t>
  </si>
  <si>
    <t>DAYS</t>
  </si>
  <si>
    <t>RAISE</t>
  </si>
  <si>
    <t>OLD STOPE</t>
  </si>
  <si>
    <t>NEW STOPE</t>
  </si>
  <si>
    <t>m3</t>
  </si>
  <si>
    <t>AMOUNT</t>
  </si>
  <si>
    <t>DRILLING AND BLASTING</t>
  </si>
  <si>
    <t>TOTAL 4</t>
  </si>
  <si>
    <t>LEVEL 5</t>
  </si>
  <si>
    <t>TOTAL 5</t>
  </si>
  <si>
    <t>LEVEL 6</t>
  </si>
  <si>
    <t>TOTAL 6</t>
  </si>
  <si>
    <t>LEVEL 7</t>
  </si>
  <si>
    <t>TOTAL 7</t>
  </si>
  <si>
    <t>LEVEL 8</t>
  </si>
  <si>
    <t>TOTAL 8</t>
  </si>
  <si>
    <t>LEVEL 9</t>
  </si>
  <si>
    <t>LEVEL9</t>
  </si>
  <si>
    <t>LEVEL 10</t>
  </si>
  <si>
    <t>TOTAL 10</t>
  </si>
  <si>
    <t>LEVEL 11</t>
  </si>
  <si>
    <t>TOTAL 11</t>
  </si>
  <si>
    <t>LEVEL 12</t>
  </si>
  <si>
    <t>TOTAL 12</t>
  </si>
  <si>
    <t>GRAND TOTAL CONSUMPTION</t>
  </si>
  <si>
    <t>UNIT PRICE</t>
  </si>
  <si>
    <t>TOTAL COST</t>
  </si>
  <si>
    <t>GRAND TOTAL COST</t>
  </si>
  <si>
    <t xml:space="preserve">   </t>
  </si>
  <si>
    <t>LEVEL 4</t>
  </si>
  <si>
    <t>TOTAL 3</t>
  </si>
  <si>
    <t>LEVEL 3</t>
  </si>
  <si>
    <t>EM AUSTIN 200  PCS</t>
  </si>
  <si>
    <t>SINUG-ANG</t>
  </si>
  <si>
    <t>SINUG-ANG SPECIAL PROJECT</t>
  </si>
  <si>
    <t>DCORD I5</t>
  </si>
  <si>
    <t>LEVEL 425</t>
  </si>
  <si>
    <t>TOTAL 425</t>
  </si>
  <si>
    <t>TOTAL Sinug-ang Project</t>
  </si>
  <si>
    <t xml:space="preserve">DATE: </t>
  </si>
  <si>
    <t>NEOGEL                    200
PCS</t>
  </si>
  <si>
    <t>TOTAL 460</t>
  </si>
  <si>
    <t>LEVEL 460</t>
  </si>
  <si>
    <t>L03_GHV_052E_ROBBING</t>
  </si>
  <si>
    <t>L03_GHV_053W_ROBBING</t>
  </si>
  <si>
    <t>L07_NONE_035E_XCS</t>
  </si>
  <si>
    <t>L08_NONE_008W_RAISE</t>
  </si>
  <si>
    <t>L08_JV_026E_DW_ISL</t>
  </si>
  <si>
    <t>L08_JV_020E_DE_ISL</t>
  </si>
  <si>
    <t>L08_JV_019E_DW_RAISE_ISL</t>
  </si>
  <si>
    <t>L08_GHV_017W_ROBBING</t>
  </si>
  <si>
    <t>L08_GHV_012W_ROBBING</t>
  </si>
  <si>
    <t>L08_GHV_068E_ROBBING</t>
  </si>
  <si>
    <t>L08_DPVE_034E_STOPE</t>
  </si>
  <si>
    <t>L08_DPVE_035E_STOPE</t>
  </si>
  <si>
    <t>L08_JV_021E_STOPE PREP</t>
  </si>
  <si>
    <t>L08_GHVHW_016E_WINZE</t>
  </si>
  <si>
    <t>L08_DPVE_014W_WINZE</t>
  </si>
  <si>
    <t>L08_JV_023E_ROBBING</t>
  </si>
  <si>
    <t>L08_NONE_038E_ALIMAK_RAISE</t>
  </si>
  <si>
    <t>L09_GHV_026E_RAISE</t>
  </si>
  <si>
    <t>L09_DPVE_086E_DW_ISL_B</t>
  </si>
  <si>
    <t>L09_NONE_008E_XCS</t>
  </si>
  <si>
    <t>L09_JV_051E_ROBBING</t>
  </si>
  <si>
    <t>L09_DPVE_073E_ROBBING</t>
  </si>
  <si>
    <t>L09_DPVE_029E_WINZE STOPE</t>
  </si>
  <si>
    <t>L09_DPVE_036E_WINZE STOPE PREP</t>
  </si>
  <si>
    <t>L09_JV_037E_STOPE</t>
  </si>
  <si>
    <t>L10_NONE_012W_XCN</t>
  </si>
  <si>
    <t>L10_NONE_016E_XCS</t>
  </si>
  <si>
    <t>L10_DPVE_049E_DE</t>
  </si>
  <si>
    <t>L10_JVSPLIT_066E_ROBBING</t>
  </si>
  <si>
    <t>L10_DPVE_015W_STOPE</t>
  </si>
  <si>
    <t>L10_JV_026W_STOPE</t>
  </si>
  <si>
    <t>L11_DPVE_009W_RAISE</t>
  </si>
  <si>
    <t>L11_DPVE_038E_RAISE</t>
  </si>
  <si>
    <t>L11_DPVE_003W_DE</t>
  </si>
  <si>
    <t>L11_NONE_007W_XCN</t>
  </si>
  <si>
    <t>L11_NONE_011E_XCS</t>
  </si>
  <si>
    <t>L11_DPVE_095E_WINZE</t>
  </si>
  <si>
    <t>L11_DPVE_110E_WINZE</t>
  </si>
  <si>
    <t>L11_JV_042E_WINZE</t>
  </si>
  <si>
    <t>L11_DPVE_103E_STOPE</t>
  </si>
  <si>
    <t>L11_DPVE_080E_STOPE</t>
  </si>
  <si>
    <t>L11_DPVE_104E_STOPE</t>
  </si>
  <si>
    <t>L11_DPVE_098E_STOPE PREP</t>
  </si>
  <si>
    <t>L12_DPVE_023E_RAISE</t>
  </si>
  <si>
    <t>L12_DPVE_005E_RAISE</t>
  </si>
  <si>
    <t>L12_GHVSPLIT_044E_DW</t>
  </si>
  <si>
    <t>L12_DPVE_071E_DW</t>
  </si>
  <si>
    <t>L12_DPVE_075E_DE</t>
  </si>
  <si>
    <t>L12_DPVE_051E_DE</t>
  </si>
  <si>
    <t>L12_NONE_002E_XCN</t>
  </si>
  <si>
    <t>L12_DPVE_022E_STOPE</t>
  </si>
  <si>
    <t>L12_JVFW_035E_STOPE</t>
  </si>
  <si>
    <t>L12_GHVSPLIT_066E_STOPE</t>
  </si>
  <si>
    <t>L12_JV_078E_STOPE</t>
  </si>
  <si>
    <t>l12_GHVSPLIT_045E_STOPE</t>
  </si>
  <si>
    <t>L12_GHVSPLIT_046E_STOPE</t>
  </si>
  <si>
    <t>L12_NONE_040E_MECHANICAL CHAMBER</t>
  </si>
  <si>
    <t>L12_JVHW_048E_STOPE PREP</t>
  </si>
  <si>
    <t>L425_JVFW_064E_RAISE</t>
  </si>
  <si>
    <t>L425_GHV_083E_RAISE</t>
  </si>
  <si>
    <t>L425_DPVE_050E_RAISE</t>
  </si>
  <si>
    <t>L425_JVSPLIT_061E_RAISE</t>
  </si>
  <si>
    <t>L425_JV_033E_RAISE</t>
  </si>
  <si>
    <t>L425_GHVHW_055E_RAISE</t>
  </si>
  <si>
    <t>L425_JVSPLIT_057E_RAISE</t>
  </si>
  <si>
    <t>L425_DPVE_046E_RAISE</t>
  </si>
  <si>
    <t>L425_GHVSPLIT_068E_DE</t>
  </si>
  <si>
    <t>L425_NONE_070E_XCN</t>
  </si>
  <si>
    <t>L425_JV_036E_DW</t>
  </si>
  <si>
    <t>L425_JVHW_034E_DW</t>
  </si>
  <si>
    <t>L425_NONE_075E_XCN</t>
  </si>
  <si>
    <t>L425_GHVSPLIT_047E_STOPE</t>
  </si>
  <si>
    <t>L425_GHVHW_062E_STOPE</t>
  </si>
  <si>
    <t>L425_GHVHW_056E_STOPE</t>
  </si>
  <si>
    <t>L425_GHVHW_065E_STOPE</t>
  </si>
  <si>
    <t>L425_GHV_059E_STOPE</t>
  </si>
  <si>
    <t>L425_JVFW_041E_STOPE</t>
  </si>
  <si>
    <t>L425_JVFW_042E_STOPE</t>
  </si>
  <si>
    <t>L425_DPVE_044E_STOPE PREP</t>
  </si>
  <si>
    <t>L425_GHV_067E_STOPE</t>
  </si>
  <si>
    <t>L425_GHV_078E_STOPE</t>
  </si>
  <si>
    <t>L425_GHVHW_071E_STOPE</t>
  </si>
  <si>
    <t>L425_GHVHW_066E_WINZE</t>
  </si>
  <si>
    <t>L425_GHV_052E_WINZE</t>
  </si>
  <si>
    <t>L460_GHV_052E_DE</t>
  </si>
  <si>
    <t>L460_GHV_060E_DE</t>
  </si>
  <si>
    <t>L460_GHV_048E_DW</t>
  </si>
  <si>
    <t>L460_GHVSPLIT_056E_DE</t>
  </si>
  <si>
    <t>L460_GHVSPLIT_054E_DW</t>
  </si>
  <si>
    <t>L460_NONE_050E_XCN</t>
  </si>
  <si>
    <t>L08_JV_010W_RAISE</t>
  </si>
  <si>
    <t>L08_JV_019E_STOPE PREP</t>
  </si>
  <si>
    <t>L08_DPVE_039E_WINZE_STOPE PREP</t>
  </si>
  <si>
    <t>L08_JV_049E_WINZE_STOPE PREP</t>
  </si>
  <si>
    <t>L08_JV_027E_RAISE</t>
  </si>
  <si>
    <t>L08_DPVE_034E_DW_ISL_A</t>
  </si>
  <si>
    <t>L08_JV_021E_STOPE</t>
  </si>
  <si>
    <t>L08_GHV_007E_RAISE</t>
  </si>
  <si>
    <t>27E STOPE PREP</t>
  </si>
  <si>
    <t>CANTAGO 1</t>
  </si>
  <si>
    <t>FERNANDEZ 7</t>
  </si>
  <si>
    <t>CANTAGO 4</t>
  </si>
  <si>
    <t>CANTAGO 3</t>
  </si>
  <si>
    <t>NITRO CM</t>
  </si>
  <si>
    <t>FERNANDEZ</t>
  </si>
  <si>
    <t>CAPUYAN</t>
  </si>
  <si>
    <t>CARIKITAN</t>
  </si>
  <si>
    <t xml:space="preserve">L09_GHV_046E_RAISE </t>
  </si>
  <si>
    <t>L09_GHV_026E_DE_ISL</t>
  </si>
  <si>
    <t>L09_DPVE_036E_WINZE STOPE  </t>
  </si>
  <si>
    <t>QUIJANO</t>
  </si>
  <si>
    <t>NITRO CJ</t>
  </si>
  <si>
    <t>L10_JV_028W_STOPE PREP</t>
  </si>
  <si>
    <t>LARGO 2</t>
  </si>
  <si>
    <t>L11_DPVE_002W_DE</t>
  </si>
  <si>
    <t>L11_DPVE_096E_RAISE</t>
  </si>
  <si>
    <t>L11_DPVE_004W_RAISE</t>
  </si>
  <si>
    <t xml:space="preserve">L11_DPVE_007W_DE </t>
  </si>
  <si>
    <t>L11_DPVE_040E_WINZE STOPE PREP</t>
  </si>
  <si>
    <t>NITRO BB</t>
  </si>
  <si>
    <t>BAÑEZ</t>
  </si>
  <si>
    <t>NITRO BB3</t>
  </si>
  <si>
    <t>COMAINGKING</t>
  </si>
  <si>
    <t>L12_GHVSPLIT_044E_RAISE</t>
  </si>
  <si>
    <t>L12_DPVE_025E_STOPE PREP</t>
  </si>
  <si>
    <t>DUHIG, P</t>
  </si>
  <si>
    <t>DURANGO</t>
  </si>
  <si>
    <t>L425_JVHW_076E_DE</t>
  </si>
  <si>
    <t>L425_JVHW_032E_DE</t>
  </si>
  <si>
    <t>L425_GHV_060E_RAISE</t>
  </si>
  <si>
    <t>L425_GHV_052E_DE_ISL_B</t>
  </si>
  <si>
    <t>L425_JV_031E_STOPE PREP    </t>
  </si>
  <si>
    <t>L425_GHVSPLIT_079E_DE</t>
  </si>
  <si>
    <t>DELOS REYES</t>
  </si>
  <si>
    <t>LERIO</t>
  </si>
  <si>
    <t>REBOTE</t>
  </si>
  <si>
    <t>NITRO CP</t>
  </si>
  <si>
    <t>OLIVEROS</t>
  </si>
  <si>
    <t>BAÑEZ 4</t>
  </si>
  <si>
    <t>FERNANDEZ 6</t>
  </si>
  <si>
    <t>NITRO CQ</t>
  </si>
  <si>
    <t>FERNANDEZ 5</t>
  </si>
  <si>
    <t>FERNANDEZ 4</t>
  </si>
  <si>
    <t>CANTAGO</t>
  </si>
  <si>
    <t>NITRO CN</t>
  </si>
  <si>
    <t>PMC MINERS</t>
  </si>
  <si>
    <t>QUIJANO 2</t>
  </si>
  <si>
    <t>DELOS REYES 3</t>
  </si>
  <si>
    <t>DELOS REYES 2</t>
  </si>
  <si>
    <t>NITRO BD</t>
  </si>
  <si>
    <t>LARGO 1</t>
  </si>
  <si>
    <t>LARGO 3</t>
  </si>
  <si>
    <t>NITRO BB1</t>
  </si>
  <si>
    <t>MAPAYO</t>
  </si>
  <si>
    <t>NITRO BB 3</t>
  </si>
  <si>
    <t>GOC-ONG</t>
  </si>
  <si>
    <t>MAPAYO 2</t>
  </si>
  <si>
    <t>HANGDAAN</t>
  </si>
  <si>
    <t>NITRO CR</t>
  </si>
  <si>
    <t>BELICAN</t>
  </si>
  <si>
    <t>NITRO BM</t>
  </si>
  <si>
    <t>CAYMAN</t>
  </si>
  <si>
    <t>LANTACA</t>
  </si>
  <si>
    <t>HAGANAS</t>
  </si>
  <si>
    <t>NITRO CK</t>
  </si>
  <si>
    <t>DURANGO, R</t>
  </si>
  <si>
    <t>NITRO CG</t>
  </si>
  <si>
    <t>DELOS REYES 5</t>
  </si>
  <si>
    <t>BABOR</t>
  </si>
  <si>
    <t>NITRO CO</t>
  </si>
  <si>
    <t>BABOR 2</t>
  </si>
  <si>
    <t>BAÑEZ 1</t>
  </si>
  <si>
    <t>ESPINOSA</t>
  </si>
  <si>
    <t>BABOR 3</t>
  </si>
  <si>
    <t>BABOR 5</t>
  </si>
  <si>
    <t>BABOR 4</t>
  </si>
  <si>
    <t>ESPINOSA 3</t>
  </si>
  <si>
    <t>BAÑEZ </t>
  </si>
  <si>
    <t>BANEZ</t>
  </si>
  <si>
    <t>DUHIG R.</t>
  </si>
  <si>
    <t>ESPINOSA 4</t>
  </si>
  <si>
    <t>DUHIG P1</t>
  </si>
  <si>
    <t>NITRO CL</t>
  </si>
  <si>
    <t>DUHIG, P.</t>
  </si>
  <si>
    <t>DUHIG P3</t>
  </si>
  <si>
    <t>DUHIG, P3</t>
  </si>
  <si>
    <t>DUHIG P</t>
  </si>
  <si>
    <t>DATE: MAY 1-15,2026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</si>
</sst>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0" xfId="1" applyFont="1" applyFill="1" applyBorder="1"/>
    <xf numFmtId="43" fontId="2" fillId="0" borderId="0" xfId="1" applyFont="1" applyFill="1"/>
    <xf numFmtId="164" fontId="2" fillId="0" borderId="0" xfId="3" applyFont="1" applyFill="1" applyBorder="1"/>
    <xf numFmtId="0" fontId="2" fillId="0" borderId="1" xfId="0" applyFont="1" applyBorder="1"/>
    <xf numFmtId="43" fontId="2" fillId="0" borderId="0" xfId="0" applyNumberFormat="1" applyFont="1" applyAlignment="1">
      <alignment horizontal="center" vertical="center"/>
    </xf>
    <xf numFmtId="0" fontId="2" fillId="0" borderId="3" xfId="0" applyFont="1" applyBorder="1"/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/>
    <xf numFmtId="164" fontId="2" fillId="5" borderId="4" xfId="3" applyFont="1" applyFill="1" applyBorder="1"/>
    <xf numFmtId="43" fontId="2" fillId="5" borderId="4" xfId="1" applyFont="1" applyFill="1" applyBorder="1"/>
    <xf numFmtId="43" fontId="2" fillId="5" borderId="5" xfId="1" applyFont="1" applyFill="1" applyBorder="1"/>
    <xf numFmtId="43" fontId="2" fillId="5" borderId="6" xfId="1" applyFont="1" applyFill="1" applyBorder="1"/>
    <xf numFmtId="43" fontId="2" fillId="5" borderId="7" xfId="1" applyFont="1" applyFill="1" applyBorder="1"/>
    <xf numFmtId="0" fontId="2" fillId="6" borderId="0" xfId="0" applyFont="1" applyFill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43" fontId="2" fillId="0" borderId="1" xfId="1" applyFont="1" applyFill="1" applyBorder="1"/>
    <xf numFmtId="43" fontId="2" fillId="0" borderId="8" xfId="1" applyFont="1" applyFill="1" applyBorder="1" applyAlignment="1">
      <alignment horizontal="center"/>
    </xf>
    <xf numFmtId="43" fontId="2" fillId="0" borderId="10" xfId="1" applyFont="1" applyFill="1" applyBorder="1"/>
    <xf numFmtId="0" fontId="3" fillId="6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3" fontId="2" fillId="0" borderId="12" xfId="1" applyFont="1" applyFill="1" applyBorder="1"/>
    <xf numFmtId="43" fontId="2" fillId="0" borderId="11" xfId="1" applyFont="1" applyFill="1" applyBorder="1" applyAlignment="1">
      <alignment horizontal="center"/>
    </xf>
    <xf numFmtId="43" fontId="2" fillId="0" borderId="13" xfId="1" applyFont="1" applyFill="1" applyBorder="1"/>
    <xf numFmtId="9" fontId="2" fillId="0" borderId="0" xfId="2" applyFont="1" applyFill="1" applyBorder="1"/>
    <xf numFmtId="43" fontId="2" fillId="6" borderId="0" xfId="1" applyFont="1" applyFill="1"/>
    <xf numFmtId="0" fontId="2" fillId="0" borderId="9" xfId="0" applyFont="1" applyBorder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0" fontId="2" fillId="0" borderId="9" xfId="0" applyFont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43" fontId="2" fillId="0" borderId="0" xfId="1" applyFont="1" applyFill="1" applyAlignment="1">
      <alignment vertical="center"/>
    </xf>
    <xf numFmtId="43" fontId="5" fillId="7" borderId="9" xfId="1" applyFont="1" applyFill="1" applyBorder="1" applyAlignment="1">
      <alignment vertical="center"/>
    </xf>
    <xf numFmtId="43" fontId="5" fillId="7" borderId="9" xfId="1" applyFont="1" applyFill="1" applyBorder="1" applyAlignment="1">
      <alignment horizontal="center" vertical="center"/>
    </xf>
    <xf numFmtId="43" fontId="5" fillId="0" borderId="0" xfId="1" applyFont="1" applyFill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7" borderId="9" xfId="0" applyFont="1" applyFill="1" applyBorder="1" applyAlignment="1">
      <alignment vertical="center"/>
    </xf>
    <xf numFmtId="0" fontId="5" fillId="7" borderId="9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7" borderId="9" xfId="0" applyNumberFormat="1" applyFont="1" applyFill="1" applyBorder="1" applyAlignment="1">
      <alignment vertical="center"/>
    </xf>
    <xf numFmtId="0" fontId="5" fillId="9" borderId="9" xfId="0" applyFont="1" applyFill="1" applyBorder="1" applyAlignment="1">
      <alignment vertical="center"/>
    </xf>
    <xf numFmtId="0" fontId="5" fillId="9" borderId="9" xfId="0" applyFont="1" applyFill="1" applyBorder="1" applyAlignment="1">
      <alignment horizontal="center" vertical="center"/>
    </xf>
    <xf numFmtId="43" fontId="5" fillId="9" borderId="9" xfId="1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43" fontId="5" fillId="0" borderId="0" xfId="1" applyFont="1" applyFill="1"/>
    <xf numFmtId="0" fontId="5" fillId="0" borderId="0" xfId="0" applyFont="1" applyAlignment="1">
      <alignment horizontal="left"/>
    </xf>
    <xf numFmtId="0" fontId="5" fillId="10" borderId="0" xfId="0" applyFont="1" applyFill="1" applyAlignment="1">
      <alignment horizontal="left"/>
    </xf>
    <xf numFmtId="0" fontId="5" fillId="10" borderId="0" xfId="0" applyFont="1" applyFill="1" applyAlignment="1">
      <alignment horizontal="left" vertical="center"/>
    </xf>
    <xf numFmtId="43" fontId="5" fillId="11" borderId="0" xfId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2" fontId="5" fillId="11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1" applyFont="1" applyFill="1" applyAlignment="1">
      <alignment horizontal="left"/>
    </xf>
    <xf numFmtId="0" fontId="5" fillId="12" borderId="0" xfId="0" applyFont="1" applyFill="1" applyAlignment="1">
      <alignment horizontal="left"/>
    </xf>
    <xf numFmtId="0" fontId="5" fillId="12" borderId="0" xfId="0" applyFont="1" applyFill="1" applyAlignment="1">
      <alignment horizontal="left" vertical="center"/>
    </xf>
    <xf numFmtId="43" fontId="5" fillId="12" borderId="0" xfId="1" applyFont="1" applyFill="1" applyAlignment="1">
      <alignment horizontal="left"/>
    </xf>
    <xf numFmtId="0" fontId="5" fillId="13" borderId="0" xfId="0" applyFont="1" applyFill="1" applyAlignment="1">
      <alignment vertical="center"/>
    </xf>
    <xf numFmtId="0" fontId="5" fillId="13" borderId="0" xfId="0" applyFont="1" applyFill="1" applyAlignment="1">
      <alignment horizontal="center" vertical="center"/>
    </xf>
    <xf numFmtId="43" fontId="5" fillId="13" borderId="0" xfId="1" applyFont="1" applyFill="1" applyAlignment="1">
      <alignment vertical="center"/>
    </xf>
    <xf numFmtId="43" fontId="5" fillId="0" borderId="0" xfId="0" applyNumberFormat="1" applyFont="1"/>
    <xf numFmtId="43" fontId="4" fillId="0" borderId="9" xfId="0" applyNumberFormat="1" applyFont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43" fontId="2" fillId="6" borderId="0" xfId="1" applyFont="1" applyFill="1" applyBorder="1" applyAlignment="1">
      <alignment horizontal="center"/>
    </xf>
    <xf numFmtId="43" fontId="2" fillId="0" borderId="0" xfId="1" applyFont="1" applyFill="1" applyAlignment="1">
      <alignment horizontal="center"/>
    </xf>
    <xf numFmtId="43" fontId="2" fillId="6" borderId="0" xfId="1" applyFont="1" applyFill="1" applyBorder="1" applyAlignment="1">
      <alignment horizontal="center"/>
    </xf>
    <xf numFmtId="43" fontId="2" fillId="0" borderId="0" xfId="1" applyFont="1" applyFill="1" applyAlignment="1">
      <alignment horizontal="center"/>
    </xf>
    <xf numFmtId="43" fontId="2" fillId="0" borderId="0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3" fontId="2" fillId="6" borderId="1" xfId="1" applyFont="1" applyFill="1" applyBorder="1" applyAlignment="1">
      <alignment horizontal="center"/>
    </xf>
    <xf numFmtId="43" fontId="2" fillId="6" borderId="0" xfId="1" applyFont="1" applyFill="1" applyBorder="1" applyAlignment="1">
      <alignment horizontal="center"/>
    </xf>
    <xf numFmtId="43" fontId="2" fillId="0" borderId="0" xfId="1" applyFont="1" applyFill="1" applyAlignment="1">
      <alignment horizontal="center"/>
    </xf>
    <xf numFmtId="43" fontId="2" fillId="0" borderId="0" xfId="1" applyFont="1" applyFill="1" applyBorder="1" applyAlignment="1">
      <alignment horizontal="center"/>
    </xf>
  </cellXfs>
  <cellStyles count="4">
    <cellStyle name="Comma" xfId="1" builtinId="3"/>
    <cellStyle name="Comma 3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4.%20DAILY%20EXPLOSIVES%20CONSUMPTION/2019/Explosives%20Monitoring_2019_FEBRUAR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Database"/>
      <sheetName val="Current Workplaces"/>
      <sheetName val="Input Form"/>
      <sheetName val="DROPDOWN"/>
      <sheetName val="Mirror"/>
      <sheetName val="Control"/>
      <sheetName val="UNCATEGORIZED"/>
      <sheetName val="Sheet2"/>
      <sheetName val="Sheet3"/>
      <sheetName val="DAILY"/>
      <sheetName val="Sheet1"/>
      <sheetName val="By Contractor"/>
      <sheetName val="By Workplace"/>
      <sheetName val="NOTE"/>
    </sheetNames>
    <sheetDataSet>
      <sheetData sheetId="0"/>
      <sheetData sheetId="1">
        <row r="1">
          <cell r="A1" t="str">
            <v>Locator</v>
          </cell>
        </row>
        <row r="2">
          <cell r="A2" t="str">
            <v>434971stL02_JV_034W_RAISECARIKITAN 30</v>
          </cell>
        </row>
        <row r="3">
          <cell r="A3" t="str">
            <v>434971stL02_RYV_020W_ROBBINGMONTEBON 50</v>
          </cell>
        </row>
        <row r="4">
          <cell r="A4" t="str">
            <v>434971stL02_RYV_023W_ROBBINGCARIKITAN 10</v>
          </cell>
        </row>
        <row r="5">
          <cell r="A5" t="str">
            <v>434971stL02_CV_005E_STOPE PREPALMASA 20</v>
          </cell>
        </row>
        <row r="6">
          <cell r="A6" t="str">
            <v>434972ndL02_JV_034W_RAISECARIKITAN 30</v>
          </cell>
        </row>
        <row r="7">
          <cell r="A7" t="str">
            <v>434972ndL02_JV_030W_ROBBINGLERIO, RAUL0</v>
          </cell>
        </row>
        <row r="8">
          <cell r="A8" t="str">
            <v>434972ndL02_RYV_020W_ROBBINGMONTEBON 50</v>
          </cell>
        </row>
        <row r="9">
          <cell r="A9" t="str">
            <v>434972ndL02_CV_005E_STOPE PREPALMASA 20</v>
          </cell>
        </row>
        <row r="10">
          <cell r="A10" t="str">
            <v>434972ndL02_CTV_027W_WINZE STOPE PREPRIPARIP 40</v>
          </cell>
        </row>
        <row r="11">
          <cell r="A11" t="str">
            <v>434973rdL02_JV_034W_RAISECARIKITAN 30</v>
          </cell>
        </row>
        <row r="12">
          <cell r="A12" t="str">
            <v>434973rdL02_GHV_009W_ROBBINGMONTEBON 40</v>
          </cell>
        </row>
        <row r="13">
          <cell r="A13" t="str">
            <v>434973rdL02_GHV_033W_ROBBINGRIPARIP 30</v>
          </cell>
        </row>
        <row r="14">
          <cell r="A14" t="str">
            <v>434973rdL02_RYV_023W_ROBBINGCARIKITAN 10</v>
          </cell>
        </row>
        <row r="15">
          <cell r="A15" t="str">
            <v>434972nd2 UNCATEGORIZED 100</v>
          </cell>
        </row>
        <row r="16">
          <cell r="A16" t="str">
            <v>434961stL02_JV_040W_DWNOCOS, A. 10</v>
          </cell>
        </row>
        <row r="17">
          <cell r="A17" t="str">
            <v>434971stL04_GHVFW_006E_DEOY-YOY 20</v>
          </cell>
        </row>
        <row r="18">
          <cell r="A18" t="str">
            <v>434971stL04_GHVFW_015E_DEPARAGUYA 30</v>
          </cell>
        </row>
        <row r="19">
          <cell r="A19" t="str">
            <v>434971stL04_GHVFW_017E_RAISEPARAGUYA 10</v>
          </cell>
        </row>
        <row r="20">
          <cell r="A20" t="str">
            <v>434971stL04_JV_002E_STOPECABONITA 10</v>
          </cell>
        </row>
        <row r="21">
          <cell r="A21" t="str">
            <v>434971stL04_JV_042W_STOPEDUHIG 30</v>
          </cell>
        </row>
        <row r="22">
          <cell r="A22" t="str">
            <v>434971stL04_JV_047W_STOPEDUHIG 10</v>
          </cell>
        </row>
        <row r="23">
          <cell r="A23" t="str">
            <v>434971stL04_JVSPLIT_010W_STOPEPARAGUYA 10</v>
          </cell>
        </row>
        <row r="24">
          <cell r="A24" t="str">
            <v>434971stL04_JV_023W_WINZEOY-YOY 20</v>
          </cell>
        </row>
        <row r="25">
          <cell r="A25" t="str">
            <v>434972ndL04_CTV5_017E_DECABCAD 10</v>
          </cell>
        </row>
        <row r="26">
          <cell r="A26" t="str">
            <v>434972ndL04_GHVFW_015E_DEPARAGUYA 30</v>
          </cell>
        </row>
        <row r="27">
          <cell r="A27" t="str">
            <v>434972ndL04_GHVFW_017E_RAISEPARAGUYA 10</v>
          </cell>
        </row>
        <row r="28">
          <cell r="A28" t="str">
            <v>434972ndL04_JV_049W_RAISEDUHIG 30</v>
          </cell>
        </row>
        <row r="29">
          <cell r="A29" t="str">
            <v>434972ndL04_RYV_010E_RAISEMARTINEZ DN 10</v>
          </cell>
        </row>
        <row r="30">
          <cell r="A30" t="str">
            <v>434972ndL04_CV_012W_ROBBINGMARTINEZ RON. 10</v>
          </cell>
        </row>
        <row r="31">
          <cell r="A31" t="str">
            <v>434972ndL04_GHV_010W_ROBBINGCABONITA 30</v>
          </cell>
        </row>
        <row r="32">
          <cell r="A32" t="str">
            <v>434972ndL04_GHVFW_040W_ROBBINGNACARIO 10</v>
          </cell>
        </row>
        <row r="33">
          <cell r="A33" t="str">
            <v>434972ndL04_GHVSPLIT_043W_ROBBINGCABONITA 20</v>
          </cell>
        </row>
        <row r="34">
          <cell r="A34" t="str">
            <v>434972ndL04_JV_042W_STOPEDUHIG 30</v>
          </cell>
        </row>
        <row r="35">
          <cell r="A35" t="str">
            <v>434973rdL04_CV_001E_RAISEBAKAKON 10</v>
          </cell>
        </row>
        <row r="36">
          <cell r="A36" t="str">
            <v>434973rdL04_RYV_010E_RAISEMARTINEZ DN 10</v>
          </cell>
        </row>
        <row r="37">
          <cell r="A37" t="str">
            <v>434973rdL04_CTV_017W_ROBBINGNOCOS, ARIEL0</v>
          </cell>
        </row>
        <row r="38">
          <cell r="A38" t="str">
            <v>434973rdL04_GHV_010W_ROBBINGCABONITA 30</v>
          </cell>
        </row>
        <row r="39">
          <cell r="A39" t="str">
            <v>434973rdL04_GHVSPLIT_043W_ROBBINGCABONITA 20</v>
          </cell>
        </row>
        <row r="40">
          <cell r="A40" t="str">
            <v>434973rdL04_JV_042W_STOPEDUHIG 30</v>
          </cell>
        </row>
        <row r="41">
          <cell r="A41" t="str">
            <v>434973rdL04_JVSPLIT_010W_STOPEPARAGUYA 10</v>
          </cell>
        </row>
        <row r="42">
          <cell r="A42" t="str">
            <v>434972nd4 UNCATEGORIZED 100</v>
          </cell>
        </row>
        <row r="43">
          <cell r="A43" t="str">
            <v>434972nd4 UNCATEGORIZED 200</v>
          </cell>
        </row>
        <row r="44">
          <cell r="A44" t="str">
            <v>434971stL05_CV_011W_ROBBINGPANCIT 90</v>
          </cell>
        </row>
        <row r="45">
          <cell r="A45" t="str">
            <v>434971stL05_GHV_010W_ROBBINGFERNANDEZ RX 40</v>
          </cell>
        </row>
        <row r="46">
          <cell r="A46" t="str">
            <v>434971stL05_GHV_022W_ROBBINGBADBADON L.30</v>
          </cell>
        </row>
        <row r="47">
          <cell r="A47" t="str">
            <v>434971stL05_CV_004W_WINZEOY-YOY 153</v>
          </cell>
        </row>
        <row r="48">
          <cell r="A48" t="str">
            <v>434972ndL05_NV_005W_RAISESHEPHERD P0</v>
          </cell>
        </row>
        <row r="49">
          <cell r="A49" t="str">
            <v>434972ndL05_CV_011W_ROBBINGPANCIT 90</v>
          </cell>
        </row>
        <row r="50">
          <cell r="A50" t="str">
            <v>434972ndL05_GHV_010W_ROBBINGFERNANDEZ RX 40</v>
          </cell>
        </row>
        <row r="51">
          <cell r="A51" t="str">
            <v>434972ndL05_GHV_039W_ROBBINGCOMAINGKING 20</v>
          </cell>
        </row>
        <row r="52">
          <cell r="A52" t="str">
            <v>434972ndL05_GHVSPLIT_030E_ROBBINGCAYABAS 10</v>
          </cell>
        </row>
        <row r="53">
          <cell r="A53" t="str">
            <v>434972ndL05_JV_014W_ROBBINGFERNANDEZ RX 50</v>
          </cell>
        </row>
        <row r="54">
          <cell r="A54" t="str">
            <v>434972ndL05_CTV_008W_STOPESHEPHERD P0</v>
          </cell>
        </row>
        <row r="55">
          <cell r="A55" t="str">
            <v>434972ndL05_CV_009E_STOPEPANCIT 754</v>
          </cell>
        </row>
        <row r="56">
          <cell r="A56" t="str">
            <v>434972ndL05_GHV_023W_WINZEBADBADON L. 20</v>
          </cell>
        </row>
        <row r="57">
          <cell r="A57" t="str">
            <v>434972ndL05_GHV_030W_WINZE STOPEAMAC 20</v>
          </cell>
        </row>
        <row r="58">
          <cell r="A58" t="str">
            <v>434972ndL05_NONE_027W_XCNBADBADON L. 10</v>
          </cell>
        </row>
        <row r="59">
          <cell r="A59" t="str">
            <v>434973rdL05_NV_005W_RAISESHEPHERD P0</v>
          </cell>
        </row>
        <row r="60">
          <cell r="A60" t="str">
            <v>434973rdL05_CTV_009E_ROBBINGFERNANDEZ RX 40</v>
          </cell>
        </row>
        <row r="61">
          <cell r="A61" t="str">
            <v>434973rdL05_GHV_022W_ROBBINGBADBADON L.30</v>
          </cell>
        </row>
        <row r="62">
          <cell r="A62" t="str">
            <v>434973rdL05_GHV_039W_ROBBINGCOMAINGKING 20</v>
          </cell>
        </row>
        <row r="63">
          <cell r="A63" t="str">
            <v>434973rdL05_CV_010E_WINZESHEPHERD L56</v>
          </cell>
        </row>
        <row r="64">
          <cell r="A64" t="str">
            <v>434973rdL05_GHV_040W_WINZE STOPE PREPCOMAINGKING 10</v>
          </cell>
        </row>
        <row r="65">
          <cell r="A65" t="str">
            <v>434971stL06_CTV_026E_DWQUIJANO 40</v>
          </cell>
        </row>
        <row r="66">
          <cell r="A66" t="str">
            <v>434971stL06_JV_001W_RAISEREBOTE 20</v>
          </cell>
        </row>
        <row r="67">
          <cell r="A67" t="str">
            <v>434971stL06_JV_027E_RAISEQUIJANO 40</v>
          </cell>
        </row>
        <row r="68">
          <cell r="A68" t="str">
            <v>434971stL06_DPVE_022E_STOPEBAÑEZ 60</v>
          </cell>
        </row>
        <row r="69">
          <cell r="A69" t="str">
            <v>434971stL06_GHVFW_003E_STOPE PREPBAÑEZ 40</v>
          </cell>
        </row>
        <row r="70">
          <cell r="A70" t="str">
            <v>434972ndL06_CV_004E_DWMANZANO 10</v>
          </cell>
        </row>
        <row r="71">
          <cell r="A71" t="str">
            <v>434972ndL06_JV_001W_RAISEREBOTE 20</v>
          </cell>
        </row>
        <row r="72">
          <cell r="A72" t="str">
            <v>434972ndL06_JV_021E_RAISEMANZANO 20</v>
          </cell>
        </row>
        <row r="73">
          <cell r="A73" t="str">
            <v>434972ndL06_JV_027E_RAISEQUIJANO 40</v>
          </cell>
        </row>
        <row r="74">
          <cell r="A74" t="str">
            <v>434972ndL06_GHVFW_003E_STOPE PREPBAÑEZ 40</v>
          </cell>
        </row>
        <row r="75">
          <cell r="A75" t="str">
            <v>434973rdL06_JV_016E_RAISEBAÑEZ 30</v>
          </cell>
        </row>
        <row r="76">
          <cell r="A76" t="str">
            <v>434973rdL06_JV_021E_RAISEMANZANO 20</v>
          </cell>
        </row>
        <row r="77">
          <cell r="A77" t="str">
            <v>434973rdL06_JV_027E_RAISEQUIJANO 40</v>
          </cell>
        </row>
        <row r="78">
          <cell r="A78" t="str">
            <v>434973rdL06_JV_056E_ROBBINGUDLOS 10</v>
          </cell>
        </row>
        <row r="79">
          <cell r="A79" t="str">
            <v>434973rdL06_DPVE_022E_STOPEBAÑEZ 60</v>
          </cell>
        </row>
        <row r="80">
          <cell r="A80" t="str">
            <v>434973rdL06_GHVFW_007W_STOPE PREPBAÑEZ 70</v>
          </cell>
        </row>
        <row r="81">
          <cell r="A81" t="str">
            <v>434971stL07_DPVE_063E_DWALEÑAR 20</v>
          </cell>
        </row>
        <row r="82">
          <cell r="A82" t="str">
            <v>434971stL07_DPVE_038E_RAISEVILLARANTE 20</v>
          </cell>
        </row>
        <row r="83">
          <cell r="A83" t="str">
            <v>434971stL07_DPVE_029E_STOPESHEPHERD Q0</v>
          </cell>
        </row>
        <row r="84">
          <cell r="A84" t="str">
            <v>434971stL07_JVHW_072E_STOPEBABOR 567</v>
          </cell>
        </row>
        <row r="85">
          <cell r="A85" t="str">
            <v>434972ndL07_JVHW_070E_DWBALANGHIG 30</v>
          </cell>
        </row>
        <row r="86">
          <cell r="A86" t="str">
            <v>434972ndL07_DPVE_038E_RAISEVILLARANTE 20</v>
          </cell>
        </row>
        <row r="87">
          <cell r="A87" t="str">
            <v>434972ndL07_DPVE_029E_STOPESHEPHERD Q0</v>
          </cell>
        </row>
        <row r="88">
          <cell r="A88" t="str">
            <v>434972ndL07_JVHW_072E_STOPEBABOR 567</v>
          </cell>
        </row>
        <row r="89">
          <cell r="A89" t="str">
            <v>434972ndL07_DPVE_026E_STOPE PREPSHEPHERD H57</v>
          </cell>
        </row>
        <row r="90">
          <cell r="A90" t="str">
            <v>434972ndL07_JV_057E_STOPE PREPLEON 166</v>
          </cell>
        </row>
        <row r="91">
          <cell r="A91" t="str">
            <v>434972ndL07_GHVHW_056E_WINZE STOPE PREPBABOR 30</v>
          </cell>
        </row>
        <row r="92">
          <cell r="A92" t="str">
            <v>434973rdL07_CTV_061E_STOPE PREPVILLARANTE 369</v>
          </cell>
        </row>
        <row r="93">
          <cell r="A93" t="str">
            <v>434973rdL07_DPVE_026E_STOPE PREPSHEPHERD H57</v>
          </cell>
        </row>
        <row r="94">
          <cell r="A94" t="str">
            <v>434973rdL07_JV_057E_STOPE PREPLEON 166</v>
          </cell>
        </row>
        <row r="95">
          <cell r="A95" t="str">
            <v>434971stL08_DPVE_048E_DWSILVOZA 30</v>
          </cell>
        </row>
        <row r="96">
          <cell r="A96" t="str">
            <v>434971stL08_GHVFW_038E_DWTORMIS 10</v>
          </cell>
        </row>
        <row r="97">
          <cell r="A97" t="str">
            <v>434971stL08_GHVHW_011E_DWDEMALATA 10</v>
          </cell>
        </row>
        <row r="98">
          <cell r="A98" t="str">
            <v>434971stL08_GHVSPLIT_003E_RAISEBELICAN 40</v>
          </cell>
        </row>
        <row r="99">
          <cell r="A99" t="str">
            <v>434971stL08_GHVFW_001E_STOPEAGLOLO 10</v>
          </cell>
        </row>
        <row r="100">
          <cell r="A100" t="str">
            <v>434971stL08_GHVHW_034E_STOPECAPOY 20</v>
          </cell>
        </row>
        <row r="101">
          <cell r="A101" t="str">
            <v>434971stL08_NONE_037E_XCSPMC MINERS 182</v>
          </cell>
        </row>
        <row r="102">
          <cell r="A102" t="str">
            <v>434971stL08_NONE_059E_XCSVERSOZA 40</v>
          </cell>
        </row>
        <row r="103">
          <cell r="A103" t="str">
            <v>434972ndL08_JVSPLIT_017E_DEAGLOLO 20</v>
          </cell>
        </row>
        <row r="104">
          <cell r="A104" t="str">
            <v>434972ndL08_GHVHW_011E_DWDEMALATA 10</v>
          </cell>
        </row>
        <row r="105">
          <cell r="A105" t="str">
            <v>434972ndL08_DPVE_060E_RAISE00</v>
          </cell>
        </row>
        <row r="106">
          <cell r="A106" t="str">
            <v>434972ndL08_DPVE_065E_RAISELERIO 40</v>
          </cell>
        </row>
        <row r="107">
          <cell r="A107" t="str">
            <v>434972ndL08_GHVSPLIT_003E_RAISEBELICAN 40</v>
          </cell>
        </row>
        <row r="108">
          <cell r="A108" t="str">
            <v>434972ndL08_DPVE_061E_STOPEAGLOLO 40</v>
          </cell>
        </row>
        <row r="109">
          <cell r="A109" t="str">
            <v>434972ndL08_GHVFW_001E_STOPEAGLOLO 10</v>
          </cell>
        </row>
        <row r="110">
          <cell r="A110" t="str">
            <v>434972ndL08_GHVHW_031E_STOPEGEMENTIZA 10</v>
          </cell>
        </row>
        <row r="111">
          <cell r="A111" t="str">
            <v>434972ndL08_GHVHW_034E_STOPECAPOY 20</v>
          </cell>
        </row>
        <row r="112">
          <cell r="A112" t="str">
            <v>434972ndL08_JV_029E_STOPEBORERO 40</v>
          </cell>
        </row>
        <row r="113">
          <cell r="A113" t="str">
            <v>434972ndL08_GHVFW_008E_STOPE PREPBELICAN 480</v>
          </cell>
        </row>
        <row r="114">
          <cell r="A114" t="str">
            <v>434972ndL08_NONE_037E_XCSPMC MINERS 182</v>
          </cell>
        </row>
        <row r="115">
          <cell r="A115" t="str">
            <v>434973rdL08_JV_055E_DEBENONGUIL 10</v>
          </cell>
        </row>
        <row r="116">
          <cell r="A116" t="str">
            <v>434973rdL08_DPVE_061E_STOPEAGLOLO 40</v>
          </cell>
        </row>
        <row r="117">
          <cell r="A117" t="str">
            <v>434973rdL08_GHV_036E_STOPEBORERO 30</v>
          </cell>
        </row>
        <row r="118">
          <cell r="A118" t="str">
            <v>434973rdL08_GHVHW_031E_STOPEGEMENTIZA 10</v>
          </cell>
        </row>
        <row r="119">
          <cell r="A119" t="str">
            <v>434973rdL08_GHVFW_008E_STOPE PREPBELICAN 480</v>
          </cell>
        </row>
        <row r="120">
          <cell r="A120" t="str">
            <v>434973rd8 UNCATEGORIZED 100</v>
          </cell>
        </row>
        <row r="121">
          <cell r="A121" t="str">
            <v>434973rd8 UNCATEGORIZED 300</v>
          </cell>
        </row>
        <row r="122">
          <cell r="A122" t="str">
            <v>434972nd8 UNCATEGORIZED 100</v>
          </cell>
        </row>
        <row r="123">
          <cell r="A123" t="str">
            <v>434972nd8 UNCATEGORIZED 200</v>
          </cell>
        </row>
        <row r="124">
          <cell r="A124" t="str">
            <v>434971st8 UNCATEGORIZED 100</v>
          </cell>
        </row>
        <row r="125">
          <cell r="A125" t="str">
            <v>434971stL09_GHV_067E_DEPANSIT 40</v>
          </cell>
        </row>
        <row r="126">
          <cell r="A126" t="str">
            <v>434971stL09_GHVHW_049E_DEBABOR 10</v>
          </cell>
        </row>
        <row r="127">
          <cell r="A127" t="str">
            <v>434971stL09_GHVHW_027E_DWHUMIDING 10</v>
          </cell>
        </row>
        <row r="128">
          <cell r="A128" t="str">
            <v>434971stL09_GHV_031E_STOPEPANCIT, NOEL 80</v>
          </cell>
        </row>
        <row r="129">
          <cell r="A129" t="str">
            <v>434971stL09_GHVFW_028E_STOPE PREPPANCIT, NOEL 40</v>
          </cell>
        </row>
        <row r="130">
          <cell r="A130" t="str">
            <v>434971stL09_GHVFW_034E_STOPE PREPCANOY 20</v>
          </cell>
        </row>
        <row r="131">
          <cell r="A131" t="str">
            <v>434972ndL09_DPVE_051E_DEBALANGHIG 10</v>
          </cell>
        </row>
        <row r="132">
          <cell r="A132" t="str">
            <v>434972ndL09_GHVFW_040E_DEPANSIT 40</v>
          </cell>
        </row>
        <row r="133">
          <cell r="A133" t="str">
            <v>434972ndL09_JVFW_062E_DESHEPHERD S0</v>
          </cell>
        </row>
        <row r="134">
          <cell r="A134" t="str">
            <v>434972ndL09_JV_046E_DWDELOS REYES V. 20</v>
          </cell>
        </row>
        <row r="135">
          <cell r="A135" t="str">
            <v>434972ndL09_JVFW_055E_RAISECANOY 30</v>
          </cell>
        </row>
        <row r="136">
          <cell r="A136" t="str">
            <v>434972ndL09_GHV_015W_STOPESHEPHERD R0</v>
          </cell>
        </row>
        <row r="137">
          <cell r="A137" t="str">
            <v>434972ndL09_JVFW_057E_STOPEDELOS REYES V. 60</v>
          </cell>
        </row>
        <row r="138">
          <cell r="A138" t="str">
            <v>434972ndL09_GHVFW_028E_STOPE PREPPANCIT, NOEL 40</v>
          </cell>
        </row>
        <row r="139">
          <cell r="A139" t="str">
            <v>434972ndL09_GHVFW_034E_STOPE PREPCANOY 20</v>
          </cell>
        </row>
        <row r="140">
          <cell r="A140" t="str">
            <v>434972ndL09_GHV_063E_WINZE0</v>
          </cell>
        </row>
        <row r="141">
          <cell r="A141" t="str">
            <v>434972ndL09_NONE_070E_XCNDELOS REYES V. 20</v>
          </cell>
        </row>
        <row r="142">
          <cell r="A142" t="str">
            <v>434973rdL09_GHV_067E_DEPANSIT 40</v>
          </cell>
        </row>
        <row r="143">
          <cell r="A143" t="str">
            <v>434973rdL09_JV_050E_DEDAVOCOL, ROSELIO 30</v>
          </cell>
        </row>
        <row r="144">
          <cell r="A144" t="str">
            <v>434973rdL09_JV_046E_DWDELOS REYES V. 20</v>
          </cell>
        </row>
        <row r="145">
          <cell r="A145" t="str">
            <v>434973rdL09_DPVE_051E_RAISEDAVOCOL, ROSELIO 40</v>
          </cell>
        </row>
        <row r="146">
          <cell r="A146" t="str">
            <v>434973rdL09_JVFW_032E_RAISEPANCIT, NOEL 30</v>
          </cell>
        </row>
        <row r="147">
          <cell r="A147" t="str">
            <v>434973rdL09_GHV_060E_STOPEPANSIT 60</v>
          </cell>
        </row>
        <row r="148">
          <cell r="A148" t="str">
            <v>434973rdL09_JVFW_057E_STOPEDELOS REYES V. 60</v>
          </cell>
        </row>
        <row r="149">
          <cell r="A149" t="str">
            <v>434973rdL09_GHVFW_034E_STOPE PREPCANOY 20</v>
          </cell>
        </row>
        <row r="150">
          <cell r="A150" t="str">
            <v>434973rdL10_GHV_033E_DETAÑEZA 40</v>
          </cell>
        </row>
        <row r="151">
          <cell r="A151" t="str">
            <v>434972ndL10_JV_059E_DETAÑEZA 70</v>
          </cell>
        </row>
        <row r="152">
          <cell r="A152" t="str">
            <v>434972ndL10_JVFW_055E_DETAÑEZA 1199</v>
          </cell>
        </row>
        <row r="153">
          <cell r="A153" t="str">
            <v>434972ndL10_NONE_053E_SUMPTAÑEZA 110</v>
          </cell>
        </row>
        <row r="154">
          <cell r="A154" t="str">
            <v>434971stL10_GHV_033E_DETAÑEZA 40</v>
          </cell>
        </row>
        <row r="155">
          <cell r="A155" t="str">
            <v>434971stL10_GHVFW_021E_DETAÑEZA 30</v>
          </cell>
        </row>
        <row r="156">
          <cell r="A156" t="str">
            <v>434971stL10_JVFW_055E_DETAÑEZA 1199</v>
          </cell>
        </row>
        <row r="157">
          <cell r="A157" t="str">
            <v>434971stL10_GHVFW_028E_RAISETAÑEZA 60</v>
          </cell>
        </row>
        <row r="158">
          <cell r="A158" t="str">
            <v>434971st9 UNCATEGORIZED 100</v>
          </cell>
        </row>
        <row r="159">
          <cell r="A159" t="str">
            <v>434971st9 UNCATEGORIZED 200</v>
          </cell>
        </row>
        <row r="160">
          <cell r="A160" t="str">
            <v>434972ndL10_GHV_020E_DETAÑEZA 90</v>
          </cell>
        </row>
        <row r="161">
          <cell r="A161" t="str">
            <v>434972nd9 UNCATEGORIZED 200</v>
          </cell>
        </row>
        <row r="162">
          <cell r="A162" t="str">
            <v>434972nd9 UNCATEGORIZED 300</v>
          </cell>
        </row>
        <row r="163">
          <cell r="A163" t="str">
            <v>434973rd10 UNCATEGORIZED 200</v>
          </cell>
        </row>
        <row r="164">
          <cell r="A164" t="str">
            <v>434972nd10 UNCATEGORIZED 100</v>
          </cell>
        </row>
        <row r="165">
          <cell r="A165" t="str">
            <v>434981stL02_JV_034W_RAISECARIKITAN 30</v>
          </cell>
        </row>
        <row r="166">
          <cell r="A166" t="str">
            <v>434981stL02_RYV_020W_ROBBINGMONTEBON 50</v>
          </cell>
        </row>
        <row r="167">
          <cell r="A167" t="str">
            <v>434981stL02_CV_005E_STOPE PREPALMASA 20</v>
          </cell>
        </row>
        <row r="168">
          <cell r="A168" t="str">
            <v>434982ndL02_JV_042W_ROBBINGDAGAMAC0</v>
          </cell>
        </row>
        <row r="169">
          <cell r="A169" t="str">
            <v>434982ndL02_RYV_020W_ROBBINGMONTEBON 50</v>
          </cell>
        </row>
        <row r="170">
          <cell r="A170" t="str">
            <v>434982ndL02_RYV_023W_ROBBINGCARIKITAN 10</v>
          </cell>
        </row>
        <row r="171">
          <cell r="A171" t="str">
            <v>434982ndL02_CV_005E_STOPE PREPALMASA 20</v>
          </cell>
        </row>
        <row r="172">
          <cell r="A172" t="str">
            <v>434983rdL02_JV_040W_DWNOCOS, A. 10</v>
          </cell>
        </row>
        <row r="173">
          <cell r="A173" t="str">
            <v>434983rdL02_JV_034W_RAISECARIKITAN 30</v>
          </cell>
        </row>
        <row r="174">
          <cell r="A174" t="str">
            <v>434983rdL02_CTV_061W_ROBBINGNOCOS 20</v>
          </cell>
        </row>
        <row r="175">
          <cell r="A175" t="str">
            <v>434983rdL02_GHV_009W_ROBBINGMONTEBON 40</v>
          </cell>
        </row>
        <row r="176">
          <cell r="A176" t="str">
            <v>434983rdL02_CV_005E_STOPE PREPALMASA 20</v>
          </cell>
        </row>
        <row r="177">
          <cell r="A177" t="str">
            <v>434983rd2 UNCATEGORIZED 100</v>
          </cell>
        </row>
        <row r="178">
          <cell r="A178" t="str">
            <v>434982nd2 UNCATEGORIZED 200</v>
          </cell>
        </row>
        <row r="179">
          <cell r="A179" t="str">
            <v>434982nd2 UNCATEGORIZED 300</v>
          </cell>
        </row>
        <row r="180">
          <cell r="A180" t="str">
            <v>434981stL04_CV_012W_ROBBINGMARTINEZ RON. 10</v>
          </cell>
        </row>
        <row r="181">
          <cell r="A181" t="str">
            <v>434981stL04_GHV_010W_ROBBINGCABONITA 30</v>
          </cell>
        </row>
        <row r="182">
          <cell r="A182" t="str">
            <v>434981stL04_JV_042W_STOPEDUHIG 30</v>
          </cell>
        </row>
        <row r="183">
          <cell r="A183" t="str">
            <v>434981stL04_JVSPLIT_010W_STOPEPARAGUYA 10</v>
          </cell>
        </row>
        <row r="184">
          <cell r="A184" t="str">
            <v>434981stL04_NONE_016W_XCNBAKAKON 10</v>
          </cell>
        </row>
        <row r="185">
          <cell r="A185" t="str">
            <v>434982ndL04_RYV_010E_RAISEMARTINEZ DN 10</v>
          </cell>
        </row>
        <row r="186">
          <cell r="A186" t="str">
            <v>434982ndL04_CV_012W_ROBBINGMARTINEZ RON. 10</v>
          </cell>
        </row>
        <row r="187">
          <cell r="A187" t="str">
            <v>434982ndL04_GHV_010W_ROBBINGCABONITA 30</v>
          </cell>
        </row>
        <row r="188">
          <cell r="A188" t="str">
            <v>434982ndL04_GHVFW_040W_ROBBINGNACARIO 10</v>
          </cell>
        </row>
        <row r="189">
          <cell r="A189" t="str">
            <v>434982ndL04_GHVSPLIT_043W_ROBBINGCABONITA 20</v>
          </cell>
        </row>
        <row r="190">
          <cell r="A190" t="str">
            <v>434982ndL04_JV_042W_STOPEDUHIG 30</v>
          </cell>
        </row>
        <row r="191">
          <cell r="A191" t="str">
            <v>434982ndL04_NV_011W_STOPEMARTINEZ RON. 10</v>
          </cell>
        </row>
        <row r="192">
          <cell r="A192" t="str">
            <v>434982ndL04_JV_023W_WINZEOY-YOY 20</v>
          </cell>
        </row>
        <row r="193">
          <cell r="A193" t="str">
            <v>434983rdL04_GHVFW_040W_ROBBINGNACARIO 10</v>
          </cell>
        </row>
        <row r="194">
          <cell r="A194" t="str">
            <v>434981stL05_NV_011E_DWALMEDORA 10</v>
          </cell>
        </row>
        <row r="195">
          <cell r="A195" t="str">
            <v>434981stL05_CV_003W_RAISEALMEDORA 20</v>
          </cell>
        </row>
        <row r="196">
          <cell r="A196" t="str">
            <v>434981stL05_GHV_010W_ROBBINGFERNANDEZ RX 40</v>
          </cell>
        </row>
        <row r="197">
          <cell r="A197" t="str">
            <v>434981stL05_GHVSPLIT_030E_ROBBINGCAYABAS 10</v>
          </cell>
        </row>
        <row r="198">
          <cell r="A198" t="str">
            <v>434981stL05_CTV_008W_STOPESHEPHERD P0</v>
          </cell>
        </row>
        <row r="199">
          <cell r="A199" t="str">
            <v>434981stL05_CV_009E_STOPEPANCIT 754</v>
          </cell>
        </row>
        <row r="200">
          <cell r="A200" t="str">
            <v>434981stL05_CV_010E_WINZESHEPHERD L56</v>
          </cell>
        </row>
        <row r="201">
          <cell r="A201" t="str">
            <v>434982ndL05_CTV_009E_ROBBINGFERNANDEZ RX 40</v>
          </cell>
        </row>
        <row r="202">
          <cell r="A202" t="str">
            <v>434982ndL05_GHVSPLIT_030E_ROBBINGCAYABAS 10</v>
          </cell>
        </row>
        <row r="203">
          <cell r="A203" t="str">
            <v>434982ndL05_NONE_027W_XCNBADBADON L. 10</v>
          </cell>
        </row>
        <row r="204">
          <cell r="A204" t="str">
            <v>434983rdL05_CTV_009E_ROBBINGFERNANDEZ RX 40</v>
          </cell>
        </row>
        <row r="205">
          <cell r="A205" t="str">
            <v>434983rdL05_GHV_022W_ROBBINGBADBADON L.30</v>
          </cell>
        </row>
        <row r="206">
          <cell r="A206" t="str">
            <v>434983rdL05_GHV_023W_WINZEBADBADON L. 20</v>
          </cell>
        </row>
        <row r="207">
          <cell r="A207" t="str">
            <v>434983rdL05_GHV_040W_WINZE STOPE PREPCOMAINGKING 10</v>
          </cell>
        </row>
        <row r="208">
          <cell r="A208" t="str">
            <v>434983rd5 UNCATEGORIZED 200</v>
          </cell>
        </row>
        <row r="209">
          <cell r="A209" t="str">
            <v>434982nd5 UNCATEGORIZED 200</v>
          </cell>
        </row>
        <row r="210">
          <cell r="A210" t="str">
            <v>434981st5 UNCATEGORIZED 100</v>
          </cell>
        </row>
        <row r="211">
          <cell r="A211" t="str">
            <v>434981st5 UNCATEGORIZED 200</v>
          </cell>
        </row>
        <row r="212">
          <cell r="A212" t="str">
            <v>434981stL06_CV_005E_DEREBOTE 10</v>
          </cell>
        </row>
        <row r="213">
          <cell r="A213" t="str">
            <v>434981stL06_JV_001W_RAISEREBOTE 20</v>
          </cell>
        </row>
        <row r="214">
          <cell r="A214" t="str">
            <v>434981stL06_JV_016E_RAISEBAÑEZ 30</v>
          </cell>
        </row>
        <row r="215">
          <cell r="A215" t="str">
            <v>434981stL06_JV_027E_RAISEQUIJANO 40</v>
          </cell>
        </row>
        <row r="216">
          <cell r="A216" t="str">
            <v>434981stL06_DPVE_022E_STOPEBAÑEZ 60</v>
          </cell>
        </row>
        <row r="217">
          <cell r="A217" t="str">
            <v>434981stL06_GHVFW_007W_STOPE PREPBAÑEZ 70</v>
          </cell>
        </row>
        <row r="218">
          <cell r="A218" t="str">
            <v>434982ndL06_GHVFW_028W_DEBUGAWAN 20</v>
          </cell>
        </row>
        <row r="219">
          <cell r="A219" t="str">
            <v>434982ndL06_CTV_017E_DWBAÑEZ 90</v>
          </cell>
        </row>
        <row r="220">
          <cell r="A220" t="str">
            <v>434982ndL06_JV_016E_RAISEBAÑEZ 30</v>
          </cell>
        </row>
        <row r="221">
          <cell r="A221" t="str">
            <v>434982ndL06_JV_021E_RAISEMANZANO 20</v>
          </cell>
        </row>
        <row r="222">
          <cell r="A222" t="str">
            <v>434982ndL06_JV_027E_RAISEQUIJANO 40</v>
          </cell>
        </row>
        <row r="223">
          <cell r="A223" t="str">
            <v>434982ndL06_JV_056E_ROBBINGUDLOS 10</v>
          </cell>
        </row>
        <row r="224">
          <cell r="A224" t="str">
            <v>434982ndL06_DPVE_022E_STOPEBAÑEZ 60</v>
          </cell>
        </row>
        <row r="225">
          <cell r="A225" t="str">
            <v>434982ndL06_GHVFW_007W_STOPE PREPBAÑEZ 70</v>
          </cell>
        </row>
        <row r="226">
          <cell r="A226" t="str">
            <v>434982ndL06_NONE_021E_XCNGUNAY 10</v>
          </cell>
        </row>
        <row r="227">
          <cell r="A227" t="str">
            <v>434983rdL06_DPVE_035E_DEBAÑEZ 90</v>
          </cell>
        </row>
        <row r="228">
          <cell r="A228" t="str">
            <v>434983rdL06_CV_004E_DWMANZANO 10</v>
          </cell>
        </row>
        <row r="229">
          <cell r="A229" t="str">
            <v>434983rdL06_JV_021E_RAISEMANZANO 20</v>
          </cell>
        </row>
        <row r="230">
          <cell r="A230" t="str">
            <v>434983rdL06_JV_027E_RAISEQUIJANO 40</v>
          </cell>
        </row>
        <row r="231">
          <cell r="A231" t="str">
            <v>434983rdL06_JV_056E_ROBBINGUDLOS 10</v>
          </cell>
        </row>
        <row r="232">
          <cell r="A232" t="str">
            <v>434983rdL06_GHVFW_031W_STOPEBAÑEZ 10</v>
          </cell>
        </row>
        <row r="233">
          <cell r="A233" t="str">
            <v>434983rdL06_GHVFW_007W_STOPE PREPBAÑEZ 70</v>
          </cell>
        </row>
        <row r="234">
          <cell r="A234" t="str">
            <v>434982nd6 UNCATEGORIZED 100</v>
          </cell>
        </row>
        <row r="235">
          <cell r="A235" t="str">
            <v>434981st6 UNCATEGORIZED 100</v>
          </cell>
        </row>
        <row r="236">
          <cell r="A236" t="str">
            <v>434981st6 UNCATEGORIZED 200</v>
          </cell>
        </row>
        <row r="237">
          <cell r="A237" t="str">
            <v>434981stL07_GHV_019E_DEBORERO 10</v>
          </cell>
        </row>
        <row r="238">
          <cell r="A238" t="str">
            <v>434981stL07_DPVE_063E_DWALEÑAR 20</v>
          </cell>
        </row>
        <row r="239">
          <cell r="A239" t="str">
            <v>434981stL07_DPVE_038E_RAISEVILLARANTE 20</v>
          </cell>
        </row>
        <row r="240">
          <cell r="A240" t="str">
            <v>434981stL07_DPVE_065E_RAISEBABOR 10</v>
          </cell>
        </row>
        <row r="241">
          <cell r="A241" t="str">
            <v>434981stL07_CTV_061E_STOPE PREPVILLARANTE 369</v>
          </cell>
        </row>
        <row r="242">
          <cell r="A242" t="str">
            <v>434981stL07_DPVE_026E_STOPE PREPSHEPHERD H57</v>
          </cell>
        </row>
        <row r="243">
          <cell r="A243" t="str">
            <v>434982ndL07_DPVE_038E_RAISEVILLARANTE 20</v>
          </cell>
        </row>
        <row r="244">
          <cell r="A244" t="str">
            <v>434982ndL07_DPVE_028E_STOPEDOLARIZA 20</v>
          </cell>
        </row>
        <row r="245">
          <cell r="A245" t="str">
            <v>434982ndL07_CTV_061E_STOPE PREPVILLARANTE 369</v>
          </cell>
        </row>
        <row r="246">
          <cell r="A246" t="str">
            <v>434982ndL07_DPVE_026E_STOPE PREPSHEPHERD H57</v>
          </cell>
        </row>
        <row r="247">
          <cell r="A247" t="str">
            <v>434983rdL07_DPVE_063E_DWALEÑAR 20</v>
          </cell>
        </row>
        <row r="248">
          <cell r="A248" t="str">
            <v>434983rdL07_DPVE_026E_STOPE PREPSHEPHERD H57</v>
          </cell>
        </row>
        <row r="249">
          <cell r="A249" t="str">
            <v>434983rdL07_JV_057E_STOPE PREPLEON 166</v>
          </cell>
        </row>
        <row r="250">
          <cell r="A250" t="str">
            <v>434981stL08_DPVE_068E_DELERIO 30</v>
          </cell>
        </row>
        <row r="251">
          <cell r="A251" t="str">
            <v>434981stL08_NONE_037E_XCSPMC MINERS 182</v>
          </cell>
        </row>
        <row r="252">
          <cell r="A252" t="str">
            <v>434981stL08_NONE_059E_XCSVERSOZA 40</v>
          </cell>
        </row>
        <row r="253">
          <cell r="A253" t="str">
            <v>434982ndL08_DPVE_048E_DWSILVOZA 30</v>
          </cell>
        </row>
        <row r="254">
          <cell r="A254" t="str">
            <v>434982ndL08_GHVFW_038E_DWTORMIS 10</v>
          </cell>
        </row>
        <row r="255">
          <cell r="A255" t="str">
            <v>434982ndL08_GHVHW_011E_DWDEMALATA 10</v>
          </cell>
        </row>
        <row r="256">
          <cell r="A256" t="str">
            <v>434982ndL08_JV_020E_RAISEAGLOLO 10</v>
          </cell>
        </row>
        <row r="257">
          <cell r="A257" t="str">
            <v>434982ndL08_GHVHW_034E_STOPECAPOY 20</v>
          </cell>
        </row>
        <row r="258">
          <cell r="A258" t="str">
            <v>434982ndL08_JV_029E_STOPEBORERO 40</v>
          </cell>
        </row>
        <row r="259">
          <cell r="A259" t="str">
            <v>434983rdL08_DPVE_061E_STOPEAGLOLO 40</v>
          </cell>
        </row>
        <row r="260">
          <cell r="A260" t="str">
            <v>434983rdL08_GHVHW_031E_STOPEGEMENTIZA 10</v>
          </cell>
        </row>
        <row r="261">
          <cell r="A261" t="str">
            <v>434983rdL08_JV_029E_STOPEBORERO 40</v>
          </cell>
        </row>
        <row r="262">
          <cell r="A262" t="str">
            <v>434981st8 UNCATEGORIZED 100</v>
          </cell>
        </row>
        <row r="263">
          <cell r="A263" t="str">
            <v>434981stL09_DPVE_051E_DEBALANGHIG 10</v>
          </cell>
        </row>
        <row r="264">
          <cell r="A264" t="str">
            <v>434981stL09_GHV_067E_DEPANSIT 40</v>
          </cell>
        </row>
        <row r="265">
          <cell r="A265" t="str">
            <v>434981stL09_GHVHW_049E_DEBABOR 10</v>
          </cell>
        </row>
        <row r="266">
          <cell r="A266" t="str">
            <v>434981stL09_JVFW_062E_DESHEPHERD S0</v>
          </cell>
        </row>
        <row r="267">
          <cell r="A267" t="str">
            <v>434981stL09_GHVHW_027E_DWHUMIDING 10</v>
          </cell>
        </row>
        <row r="268">
          <cell r="A268" t="str">
            <v>434981stL09_GHV_015W_STOPESHEPHERD R0</v>
          </cell>
        </row>
        <row r="269">
          <cell r="A269" t="str">
            <v>434981stL09_JVFW_057E_STOPEDELOS REYES V. 60</v>
          </cell>
        </row>
        <row r="270">
          <cell r="A270" t="str">
            <v>434981stL09_GHVFW_028E_STOPE PREPPANCIT, NOEL 40</v>
          </cell>
        </row>
        <row r="271">
          <cell r="A271" t="str">
            <v>434982ndL09_GHVFW_040E_DEPANSIT 40</v>
          </cell>
        </row>
        <row r="272">
          <cell r="A272" t="str">
            <v>434982ndL09_JVFW_055E_RAISECANOY 30</v>
          </cell>
        </row>
        <row r="273">
          <cell r="A273" t="str">
            <v>434982ndL09_GHV_015W_STOPESHEPHERD R0</v>
          </cell>
        </row>
        <row r="274">
          <cell r="A274" t="str">
            <v>434982ndL09_GHV_031E_STOPEPANCIT, NOEL 80</v>
          </cell>
        </row>
        <row r="275">
          <cell r="A275" t="str">
            <v>434982ndL09_GHV_060E_STOPEPANSIT 60</v>
          </cell>
        </row>
        <row r="276">
          <cell r="A276" t="str">
            <v>434982ndL09_GHVFW_028E_STOPE PREPPANCIT, NOEL 40</v>
          </cell>
        </row>
        <row r="277">
          <cell r="A277" t="str">
            <v>434982ndL09_NONE_070E_XCNDELOS REYES V. 20</v>
          </cell>
        </row>
        <row r="278">
          <cell r="A278" t="str">
            <v>434983rdL09_GHV_067E_DEPANSIT 40</v>
          </cell>
        </row>
        <row r="279">
          <cell r="A279" t="str">
            <v>434983rdL09_JVFW_062E_DESHEPHERD S0</v>
          </cell>
        </row>
        <row r="280">
          <cell r="A280" t="str">
            <v>434983rdL09_JV_046E_DWDELOS REYES V. 20</v>
          </cell>
        </row>
        <row r="281">
          <cell r="A281" t="str">
            <v>434983rdL09_JVFW_055E_RAISECANOY 30</v>
          </cell>
        </row>
        <row r="282">
          <cell r="A282" t="str">
            <v>434983rdL09_GHV_031E_STOPEPANCIT, NOEL 80</v>
          </cell>
        </row>
        <row r="283">
          <cell r="A283" t="str">
            <v>434983rdL09_GHVFW_028E_STOPE PREPPANCIT, NOEL 40</v>
          </cell>
        </row>
        <row r="284">
          <cell r="A284" t="str">
            <v>434983rdL09_GHVFW_034E_STOPE PREPCANOY 20</v>
          </cell>
        </row>
        <row r="285">
          <cell r="A285" t="str">
            <v>434983rd9 UNCATEGORIZED 300</v>
          </cell>
        </row>
        <row r="286">
          <cell r="A286" t="str">
            <v>434982nd9 UNCATEGORIZED 400</v>
          </cell>
        </row>
        <row r="287">
          <cell r="A287" t="str">
            <v>434981stL10_JVFW_055E_DETAÑEZA 1199</v>
          </cell>
        </row>
        <row r="288">
          <cell r="A288" t="str">
            <v>434981st9 UNCATEGORIZED 200</v>
          </cell>
        </row>
        <row r="289">
          <cell r="A289" t="str">
            <v>434982ndL08_NONE_035E_SHAFTHUMIDING 20</v>
          </cell>
        </row>
        <row r="290">
          <cell r="A290" t="str">
            <v>434982ndL10_JVSPLIT_057E_DETAÑEZA 8100</v>
          </cell>
        </row>
        <row r="291">
          <cell r="A291" t="str">
            <v>434982ndL10_GHVFW_028E_RAISETAÑEZA 60</v>
          </cell>
        </row>
        <row r="292">
          <cell r="A292" t="str">
            <v>434982nd10 UNCATEGORIZED 100</v>
          </cell>
        </row>
        <row r="293">
          <cell r="A293" t="str">
            <v>434982nd10 UNCATEGORIZED 200</v>
          </cell>
        </row>
        <row r="294">
          <cell r="A294" t="str">
            <v>434991stL02_JV_034W_RAISECARIKITAN 30</v>
          </cell>
        </row>
        <row r="295">
          <cell r="A295" t="str">
            <v>434991stL02_GHV_009W_ROBBINGMONTEBON 40</v>
          </cell>
        </row>
        <row r="296">
          <cell r="A296" t="str">
            <v>434991stL05_GHV_022W_ROBBINGBADBADON L.30</v>
          </cell>
        </row>
        <row r="297">
          <cell r="A297" t="str">
            <v>434991stL05_CV_004W_WINZEOY-YOY 153</v>
          </cell>
        </row>
        <row r="298">
          <cell r="A298" t="str">
            <v>434991stL06_JV_001W_RAISEREBOTE 20</v>
          </cell>
        </row>
        <row r="299">
          <cell r="A299" t="str">
            <v>434991stL06_JV_021E_RAISEMANZANO 20</v>
          </cell>
        </row>
        <row r="300">
          <cell r="A300" t="str">
            <v>434991stL06_JV_027E_RAISEQUIJANO 40</v>
          </cell>
        </row>
        <row r="301">
          <cell r="A301" t="str">
            <v>434991stL06_GHVFW_007W_STOPE PREPBAÑEZ 70</v>
          </cell>
        </row>
        <row r="302">
          <cell r="A302" t="str">
            <v>434973rd2 UNCATEGORIZED 100</v>
          </cell>
        </row>
        <row r="303">
          <cell r="A303" t="str">
            <v>434992ndL06_JVFW_006E_STOPEBADBADON R. 50</v>
          </cell>
        </row>
        <row r="304">
          <cell r="A304" t="str">
            <v>434993rdL06_JV_021E_RAISEMANZANO 20</v>
          </cell>
        </row>
        <row r="305">
          <cell r="A305" t="str">
            <v>434991stL07_DPVE_065E_RAISEBABOR 10</v>
          </cell>
        </row>
        <row r="306">
          <cell r="A306" t="str">
            <v>434991stL07_JVHW_072E_STOPEBABOR 567</v>
          </cell>
        </row>
        <row r="307">
          <cell r="A307" t="str">
            <v>434991stL07_JV_057E_STOPE PREPLEON 166</v>
          </cell>
        </row>
        <row r="308">
          <cell r="A308" t="str">
            <v>434991st5 UNCATEGORIZED 300</v>
          </cell>
        </row>
        <row r="309">
          <cell r="A309" t="str">
            <v>435001stL02_JV_034W_RAISECARIKITAN 30</v>
          </cell>
        </row>
        <row r="310">
          <cell r="A310" t="str">
            <v>435001stL02_GHV_009W_ROBBINGMONTEBON 40</v>
          </cell>
        </row>
        <row r="311">
          <cell r="A311" t="str">
            <v>435001stL02_RYV_020W_ROBBINGMONTEBON 50</v>
          </cell>
        </row>
        <row r="312">
          <cell r="A312" t="str">
            <v>435001stL02_CV_005E_STOPE PREPALMASA 20</v>
          </cell>
        </row>
        <row r="313">
          <cell r="A313" t="str">
            <v>435002ndL02_JV_040W_DWNOCOS, A. 10</v>
          </cell>
        </row>
        <row r="314">
          <cell r="A314" t="str">
            <v>435002ndL02_GHV_009W_ROBBINGMONTEBON 40</v>
          </cell>
        </row>
        <row r="315">
          <cell r="A315" t="str">
            <v>435002ndL02_JV_030W_ROBBINGLERIO, RAUL0</v>
          </cell>
        </row>
        <row r="316">
          <cell r="A316" t="str">
            <v>435002ndL02_JVHW_051W_ROBBINGLERIO, RAUL0</v>
          </cell>
        </row>
        <row r="317">
          <cell r="A317" t="str">
            <v>435002nd2 UNCATEGORIZED 200</v>
          </cell>
        </row>
        <row r="318">
          <cell r="A318" t="str">
            <v>435002nd2 UNCATEGORIZED 400</v>
          </cell>
        </row>
        <row r="319">
          <cell r="A319" t="str">
            <v>435002nd2 UNCATEGORIZED 500</v>
          </cell>
        </row>
        <row r="320">
          <cell r="A320" t="str">
            <v>435003rdL02_JV_034W_RAISECARIKITAN 30</v>
          </cell>
        </row>
        <row r="321">
          <cell r="A321" t="str">
            <v>435003rdL02_CTV_061W_ROBBINGNOCOS 20</v>
          </cell>
        </row>
        <row r="322">
          <cell r="A322" t="str">
            <v>435003rdL02_GHV_009W_ROBBINGMONTEBON 40</v>
          </cell>
        </row>
        <row r="323">
          <cell r="A323" t="str">
            <v>435003rdL02_JV_030W_ROBBINGLERIO, RAUL0</v>
          </cell>
        </row>
        <row r="324">
          <cell r="A324" t="str">
            <v>435003rdL02_RYV_020W_ROBBINGMONTEBON 50</v>
          </cell>
        </row>
        <row r="325">
          <cell r="A325" t="str">
            <v>435003rdL02_RYV_023W_ROBBINGCARIKITAN 10</v>
          </cell>
        </row>
        <row r="326">
          <cell r="A326" t="str">
            <v>435003rdL02_CV_005E_STOPE PREPALMASA 20</v>
          </cell>
        </row>
        <row r="327">
          <cell r="A327" t="str">
            <v>435003rdL02_CV_007E_WINZEALMASA 30</v>
          </cell>
        </row>
        <row r="328">
          <cell r="A328" t="str">
            <v>435001stL04_GHV_010W_ROBBINGCABONITA 30</v>
          </cell>
        </row>
        <row r="329">
          <cell r="A329" t="str">
            <v>435001stL04_GHVSPLIT_043W_ROBBINGCABONITA 20</v>
          </cell>
        </row>
        <row r="330">
          <cell r="A330" t="str">
            <v>435001stL04_JV_042W_STOPEDUHIG 30</v>
          </cell>
        </row>
        <row r="331">
          <cell r="A331" t="str">
            <v>435001stL04_JV_047W_STOPEDUHIG 10</v>
          </cell>
        </row>
        <row r="332">
          <cell r="A332" t="str">
            <v>435002ndL04_JV_049W_RAISEDUHIG 30</v>
          </cell>
        </row>
        <row r="333">
          <cell r="A333" t="str">
            <v>435002ndL04_RYV_010E_RAISEMARTINEZ DN 10</v>
          </cell>
        </row>
        <row r="334">
          <cell r="A334" t="str">
            <v>435002ndL04_CTV_017W_ROBBINGNOCOS, ARIEL0</v>
          </cell>
        </row>
        <row r="335">
          <cell r="A335" t="str">
            <v>435002ndL04_CV_012W_ROBBINGMARTINEZ RON. 10</v>
          </cell>
        </row>
        <row r="336">
          <cell r="A336" t="str">
            <v>435002ndL04_JV_047W_STOPEDUHIG 10</v>
          </cell>
        </row>
        <row r="337">
          <cell r="A337" t="str">
            <v>435002ndL04_GHVFW_014E_STOPE PREPPARAGUYA 40</v>
          </cell>
        </row>
        <row r="338">
          <cell r="A338" t="str">
            <v>435002nd4 UNCATEGORIZED 300</v>
          </cell>
        </row>
        <row r="339">
          <cell r="A339" t="str">
            <v>435002nd4 UNCATEGORIZED 400</v>
          </cell>
        </row>
        <row r="340">
          <cell r="A340" t="str">
            <v>435002nd4 UNCATEGORIZED 500</v>
          </cell>
        </row>
        <row r="341">
          <cell r="A341" t="str">
            <v>435003rdL04_JV_049W_RAISEDUHIG 30</v>
          </cell>
        </row>
        <row r="342">
          <cell r="A342" t="str">
            <v>435003rdL04_CTV_017W_ROBBINGNOCOS, ARIEL0</v>
          </cell>
        </row>
        <row r="343">
          <cell r="A343" t="str">
            <v>435003rdL04_CTV5_016E_STOPECABCAD 10</v>
          </cell>
        </row>
        <row r="344">
          <cell r="A344" t="str">
            <v>435003rdL04_GHVFW_014E_STOPE PREPPARAGUYA 40</v>
          </cell>
        </row>
        <row r="345">
          <cell r="A345" t="str">
            <v>435003rdL04_NONE_016W_XCNBAKAKON 10</v>
          </cell>
        </row>
        <row r="346">
          <cell r="A346" t="str">
            <v>435003rd4 UNCATEGORIZED 600</v>
          </cell>
        </row>
        <row r="347">
          <cell r="A347" t="str">
            <v>435001stL05_NV_005W_RAISESHEPHERD P0</v>
          </cell>
        </row>
        <row r="348">
          <cell r="A348" t="str">
            <v>435001stL05_CTV_009E_ROBBINGFERNANDEZ RX 40</v>
          </cell>
        </row>
        <row r="349">
          <cell r="A349" t="str">
            <v>435001stL05_GHV_022W_ROBBINGBADBADON L.30</v>
          </cell>
        </row>
        <row r="350">
          <cell r="A350" t="str">
            <v>435001stL05_CTV_008W_STOPESHEPHERD P0</v>
          </cell>
        </row>
        <row r="351">
          <cell r="A351" t="str">
            <v>435001stL05_JV_018E_STOPEBALDO 252</v>
          </cell>
        </row>
        <row r="352">
          <cell r="A352" t="str">
            <v>435001st5 UNCATEGORIZED 300</v>
          </cell>
        </row>
        <row r="353">
          <cell r="A353" t="str">
            <v>435002ndL05_CV_003W_RAISEALMEDORA 20</v>
          </cell>
        </row>
        <row r="354">
          <cell r="A354" t="str">
            <v>435002ndL05_NV_005W_RAISESHEPHERD P0</v>
          </cell>
        </row>
        <row r="355">
          <cell r="A355" t="str">
            <v>435002ndL05_CV_011W_ROBBINGPANCIT 90</v>
          </cell>
        </row>
        <row r="356">
          <cell r="A356" t="str">
            <v>435002ndL05_GHV_010W_ROBBINGFERNANDEZ RX 40</v>
          </cell>
        </row>
        <row r="357">
          <cell r="A357" t="str">
            <v>435002ndL05_GHV_039W_ROBBINGCOMAINGKING 20</v>
          </cell>
        </row>
        <row r="358">
          <cell r="A358" t="str">
            <v>435002ndL05_GHVSPLIT_030E_ROBBINGCAYABAS 10</v>
          </cell>
        </row>
        <row r="359">
          <cell r="A359" t="str">
            <v>435002nd5 UNCATEGORIZED 300</v>
          </cell>
        </row>
        <row r="360">
          <cell r="A360" t="str">
            <v>435003rdL05_NV_005W_RAISESHEPHERD P0</v>
          </cell>
        </row>
        <row r="361">
          <cell r="A361" t="str">
            <v>435003rdL05_CTV_009E_ROBBINGFERNANDEZ RX 40</v>
          </cell>
        </row>
        <row r="362">
          <cell r="A362" t="str">
            <v>435003rdL05_GHV_010W_ROBBINGFERNANDEZ RX 40</v>
          </cell>
        </row>
        <row r="363">
          <cell r="A363" t="str">
            <v>435003rdL05_GHV_022W_ROBBINGBADBADON L.30</v>
          </cell>
        </row>
        <row r="364">
          <cell r="A364" t="str">
            <v>435003rdL05_GHV_039W_ROBBINGCOMAINGKING 20</v>
          </cell>
        </row>
        <row r="365">
          <cell r="A365" t="str">
            <v>435003rdL05_CTV_008W_STOPESHEPHERD P0</v>
          </cell>
        </row>
        <row r="366">
          <cell r="A366" t="str">
            <v>435003rdL05_CV_023W_STOPEPANCIT 655</v>
          </cell>
        </row>
        <row r="367">
          <cell r="A367" t="str">
            <v>435003rdL05_GHV_023W_WINZEBADBADON L. 20</v>
          </cell>
        </row>
        <row r="368">
          <cell r="A368" t="str">
            <v>435003rd5 UNCATEGORIZED 200</v>
          </cell>
        </row>
        <row r="369">
          <cell r="A369" t="str">
            <v>435001stL06_CV_005E_DEREBOTE 10</v>
          </cell>
        </row>
        <row r="370">
          <cell r="A370" t="str">
            <v>435001stL06_DPVE_035E_DEBAÑEZ 90</v>
          </cell>
        </row>
        <row r="371">
          <cell r="A371" t="str">
            <v>435001stL06_JV_021E_RAISEMANZANO 20</v>
          </cell>
        </row>
        <row r="372">
          <cell r="A372" t="str">
            <v>435001stL06_JVFW_006E_STOPEBADBADON R. 50</v>
          </cell>
        </row>
        <row r="373">
          <cell r="A373" t="str">
            <v>435001stL06_GHVFW_007W_STOPE PREPBAÑEZ 70</v>
          </cell>
        </row>
        <row r="374">
          <cell r="A374" t="str">
            <v>435002ndL06_GHVFW_028W_DEBUGAWAN 20</v>
          </cell>
        </row>
        <row r="375">
          <cell r="A375" t="str">
            <v>435002ndL06_CTV_026E_DWQUIJANO 40</v>
          </cell>
        </row>
        <row r="376">
          <cell r="A376" t="str">
            <v>435002ndL06_JV_001W_RAISEREBOTE 20</v>
          </cell>
        </row>
        <row r="377">
          <cell r="A377" t="str">
            <v>435002ndL06_JV_021E_RAISEMANZANO 20</v>
          </cell>
        </row>
        <row r="378">
          <cell r="A378" t="str">
            <v>435002ndL06_JV_027E_RAISEQUIJANO 40</v>
          </cell>
        </row>
        <row r="379">
          <cell r="A379" t="str">
            <v>435002ndL06_JV_056E_ROBBINGUDLOS 10</v>
          </cell>
        </row>
        <row r="380">
          <cell r="A380" t="str">
            <v>435002ndL06_DPVE_022E_STOPEBAÑEZ 60</v>
          </cell>
        </row>
        <row r="381">
          <cell r="A381" t="str">
            <v>435002ndL06_JVFW_006E_STOPEBADBADON R. 50</v>
          </cell>
        </row>
        <row r="382">
          <cell r="A382" t="str">
            <v>435002ndL06_GHVFW_007W_STOPE PREPBAÑEZ 70</v>
          </cell>
        </row>
        <row r="383">
          <cell r="A383" t="str">
            <v>435002nd6 UNCATEGORIZED 400</v>
          </cell>
        </row>
        <row r="384">
          <cell r="A384" t="str">
            <v>435003rdL06_DPVE_035E_DEBAÑEZ 90</v>
          </cell>
        </row>
        <row r="385">
          <cell r="A385" t="str">
            <v>435003rdL06_CTV_017E_DWBAÑEZ 90</v>
          </cell>
        </row>
        <row r="386">
          <cell r="A386" t="str">
            <v>435003rdL06_JV_021E_RAISEMANZANO 20</v>
          </cell>
        </row>
        <row r="387">
          <cell r="A387" t="str">
            <v>435003rdL06_JV_027E_RAISEQUIJANO 40</v>
          </cell>
        </row>
        <row r="388">
          <cell r="A388" t="str">
            <v>435003rdL06_DPVE_022E_STOPEBAÑEZ 60</v>
          </cell>
        </row>
        <row r="389">
          <cell r="A389" t="str">
            <v>435003rdL06_GHVFW_031W_STOPEBAÑEZ 10</v>
          </cell>
        </row>
        <row r="390">
          <cell r="A390" t="str">
            <v>435003rdL06_GHVFW_007W_STOPE PREPBAÑEZ 70</v>
          </cell>
        </row>
        <row r="391">
          <cell r="A391" t="str">
            <v>435003rdL06_NONE_021E_XCNGUNAY 10</v>
          </cell>
        </row>
        <row r="392">
          <cell r="A392" t="str">
            <v>435001stL08_DPVE_065E_RAISELERIO 40</v>
          </cell>
        </row>
        <row r="393">
          <cell r="A393" t="str">
            <v>435001stL08_JV_020E_RAISEAGLOLO 10</v>
          </cell>
        </row>
        <row r="394">
          <cell r="A394" t="str">
            <v>435001stL08_GHVFW_001E_STOPEAGLOLO 10</v>
          </cell>
        </row>
        <row r="395">
          <cell r="A395" t="str">
            <v>435001stL08_JV_029E_STOPEBORERO 40</v>
          </cell>
        </row>
        <row r="396">
          <cell r="A396" t="str">
            <v>435002ndL08_DPVE_068E_DELERIO 30</v>
          </cell>
        </row>
        <row r="397">
          <cell r="A397" t="str">
            <v>435002ndL08_JV_055E_DEBENONGUIL 10</v>
          </cell>
        </row>
        <row r="398">
          <cell r="A398" t="str">
            <v>435002ndL08_JVSPLIT_017E_DEAGLOLO 20</v>
          </cell>
        </row>
        <row r="399">
          <cell r="A399" t="str">
            <v>435002ndL08_GHVHW_011E_DWDEMALATA 10</v>
          </cell>
        </row>
        <row r="400">
          <cell r="A400" t="str">
            <v>435002ndL08_DPVE_060E_RAISE00</v>
          </cell>
        </row>
        <row r="401">
          <cell r="A401" t="str">
            <v>435002ndL08_DPVE_065E_RAISELERIO 40</v>
          </cell>
        </row>
        <row r="402">
          <cell r="A402" t="str">
            <v>435002ndL08_GHVSPLIT_003E_RAISEBELICAN 40</v>
          </cell>
        </row>
        <row r="403">
          <cell r="A403" t="str">
            <v>435002ndL08_DPVE_061E_STOPEAGLOLO 40</v>
          </cell>
        </row>
        <row r="404">
          <cell r="A404" t="str">
            <v>435002ndL08_GHVFW_028E_STOPEBENONGUIL 20</v>
          </cell>
        </row>
        <row r="405">
          <cell r="A405" t="str">
            <v>435002ndL08_GHVHW_031E_STOPEGEMENTIZA 10</v>
          </cell>
        </row>
        <row r="406">
          <cell r="A406" t="str">
            <v>435002ndL08_NONE_016W_XCNSILVOZA 181</v>
          </cell>
        </row>
        <row r="407">
          <cell r="A407" t="str">
            <v>435002ndL08_NONE_037E_XCSPMC MINERS 182</v>
          </cell>
        </row>
        <row r="408">
          <cell r="A408" t="str">
            <v>435002nd8 UNCATEGORIZED 100</v>
          </cell>
        </row>
        <row r="409">
          <cell r="A409" t="str">
            <v>435002nd8 UNCATEGORIZED 400</v>
          </cell>
        </row>
        <row r="410">
          <cell r="A410" t="str">
            <v>435003rdL08_JVSPLIT_017E_DEAGLOLO 20</v>
          </cell>
        </row>
        <row r="411">
          <cell r="A411" t="str">
            <v>435003rdL08_DPVE_048E_DWSILVOZA 30</v>
          </cell>
        </row>
        <row r="412">
          <cell r="A412" t="str">
            <v>435003rdL08_GHVFW_038E_DWTORMIS 10</v>
          </cell>
        </row>
        <row r="413">
          <cell r="A413" t="str">
            <v>435003rdL08_GHVSPLIT_003E_RAISEBELICAN 40</v>
          </cell>
        </row>
        <row r="414">
          <cell r="A414" t="str">
            <v>435003rdL08_JV_020E_RAISEAGLOLO 10</v>
          </cell>
        </row>
        <row r="415">
          <cell r="A415" t="str">
            <v>435003rdL08_GHV_036E_STOPEBORERO 30</v>
          </cell>
        </row>
        <row r="416">
          <cell r="A416" t="str">
            <v>435003rdL08_GHVHW_031E_STOPEGEMENTIZA 10</v>
          </cell>
        </row>
        <row r="417">
          <cell r="A417" t="str">
            <v>435003rdL08_GHVHW_034E_STOPECAPOY 20</v>
          </cell>
        </row>
        <row r="418">
          <cell r="A418" t="str">
            <v>435003rdL08_JV_029E_STOPEBORERO 40</v>
          </cell>
        </row>
        <row r="419">
          <cell r="A419" t="str">
            <v>435003rdL08_NONE_059E_XCSVERSOZA 40</v>
          </cell>
        </row>
        <row r="420">
          <cell r="A420" t="str">
            <v>435003rd8 UNCATEGORIZED 100</v>
          </cell>
        </row>
        <row r="421">
          <cell r="A421" t="str">
            <v>435003rd8 UNCATEGORIZED 300</v>
          </cell>
        </row>
        <row r="422">
          <cell r="A422" t="str">
            <v>435001stL09_JV_050E_DEDAVOCOL, ROSELIO 30</v>
          </cell>
        </row>
        <row r="423">
          <cell r="A423" t="str">
            <v>435001stL09_GHVHW_029E_RAISEHUMIDING 20</v>
          </cell>
        </row>
        <row r="424">
          <cell r="A424" t="str">
            <v>435001stL09_GHV_015W_STOPESHEPHERD R0</v>
          </cell>
        </row>
        <row r="425">
          <cell r="A425" t="str">
            <v>435001stL09_GHV_060E_STOPEPANSIT 60</v>
          </cell>
        </row>
        <row r="426">
          <cell r="A426" t="str">
            <v>435001stL09_JVFW_057E_STOPEDELOS REYES V. 60</v>
          </cell>
        </row>
        <row r="427">
          <cell r="A427" t="str">
            <v>435001stL09_GHVFW_028E_STOPE PREPPANCIT, NOEL 40</v>
          </cell>
        </row>
        <row r="428">
          <cell r="A428" t="str">
            <v>435001stL09_GHVFW_034E_STOPE PREPCANOY 20</v>
          </cell>
        </row>
        <row r="429">
          <cell r="A429" t="str">
            <v>435001stL09_NONE_070E_XCNDELOS REYES V. 20</v>
          </cell>
        </row>
        <row r="430">
          <cell r="A430" t="str">
            <v>435001st9 UNCATEGORIZED 100</v>
          </cell>
        </row>
        <row r="431">
          <cell r="A431" t="str">
            <v>435001st10 UNCATEGORIZED 100</v>
          </cell>
        </row>
        <row r="432">
          <cell r="A432" t="str">
            <v>435001stL10_JV_059E_DETAÑEZA 70</v>
          </cell>
        </row>
        <row r="433">
          <cell r="A433" t="str">
            <v>435001stL10_JVFW_055E_DETAÑEZA 1199</v>
          </cell>
        </row>
        <row r="434">
          <cell r="A434" t="str">
            <v>435001stL10_GHV_019E_RAISETAÑEZA 90</v>
          </cell>
        </row>
        <row r="435">
          <cell r="A435" t="str">
            <v>435001st10 UNCATEGORIZED 200</v>
          </cell>
        </row>
        <row r="436">
          <cell r="A436" t="str">
            <v>435002ndL08_NONE_035E_SHAFTHUMIDING 20</v>
          </cell>
        </row>
        <row r="437">
          <cell r="A437" t="str">
            <v>435002ndL09_DPVE_051E_DEBALANGHIG 10</v>
          </cell>
        </row>
        <row r="438">
          <cell r="A438" t="str">
            <v>435002ndL09_GHVHW_049E_DEBABOR 10</v>
          </cell>
        </row>
        <row r="439">
          <cell r="A439" t="str">
            <v>435002ndL09_GHV_031E_STOPEPANCIT, NOEL 80</v>
          </cell>
        </row>
        <row r="440">
          <cell r="A440" t="str">
            <v>435002ndL09_JV_058E_STOPECANOY 10</v>
          </cell>
        </row>
        <row r="441">
          <cell r="A441" t="str">
            <v>435002ndL09_JVFW_057E_STOPEDELOS REYES V. 60</v>
          </cell>
        </row>
        <row r="442">
          <cell r="A442" t="str">
            <v>435002ndL09_GHVFW_028E_STOPE PREPPANCIT, NOEL 40</v>
          </cell>
        </row>
        <row r="443">
          <cell r="A443" t="str">
            <v>435002ndL09_GHVFW_034E_STOPE PREPCANOY 20</v>
          </cell>
        </row>
        <row r="444">
          <cell r="A444" t="str">
            <v>435002ndL09_JVFW_062E_DESHEPHERD S0</v>
          </cell>
        </row>
        <row r="445">
          <cell r="A445" t="str">
            <v>435002nd9 UNCATEGORIZED 500</v>
          </cell>
        </row>
        <row r="446">
          <cell r="A446" t="str">
            <v>435002nd10 UNCATEGORIZED 100</v>
          </cell>
        </row>
        <row r="447">
          <cell r="A447" t="str">
            <v>435002ndL10_GHVFW_028E_RAISETAÑEZA 60</v>
          </cell>
        </row>
        <row r="448">
          <cell r="A448" t="str">
            <v>435002nd10 UNCATEGORIZED 300</v>
          </cell>
        </row>
        <row r="449">
          <cell r="A449" t="str">
            <v>435003rdL09_GHVFW_040E_DEPANSIT 40</v>
          </cell>
        </row>
        <row r="450">
          <cell r="A450" t="str">
            <v>435003rdL09_DPVE_051E_RAISEDAVOCOL, ROSELIO 40</v>
          </cell>
        </row>
        <row r="451">
          <cell r="A451" t="str">
            <v>435003rdL09_JVFW_032E_RAISEPANCIT, NOEL 30</v>
          </cell>
        </row>
        <row r="452">
          <cell r="A452" t="str">
            <v>435003rdL09_GHV_015W_STOPESHEPHERD R0</v>
          </cell>
        </row>
        <row r="453">
          <cell r="A453" t="str">
            <v>435003rdL09_GHV_031E_STOPEPANCIT, NOEL 80</v>
          </cell>
        </row>
        <row r="454">
          <cell r="A454" t="str">
            <v>435003rdL09_GHV_060E_STOPEPANSIT 60</v>
          </cell>
        </row>
        <row r="455">
          <cell r="A455" t="str">
            <v>435003rdL09_GHVFW_039E_STOPEPANCIT, NOEL 40</v>
          </cell>
        </row>
        <row r="456">
          <cell r="A456" t="str">
            <v>435003rdL09_JV_058E_STOPECANOY 10</v>
          </cell>
        </row>
        <row r="457">
          <cell r="A457" t="str">
            <v>435003rdL09_GHVFW_028E_STOPE PREPPANCIT, NOEL 40</v>
          </cell>
        </row>
        <row r="458">
          <cell r="A458" t="str">
            <v>435003rdL09_GHV_063E_WINZE0</v>
          </cell>
        </row>
        <row r="459">
          <cell r="A459" t="str">
            <v>435003rd9 UNCATEGORIZED 100</v>
          </cell>
        </row>
        <row r="460">
          <cell r="A460" t="str">
            <v>435003rd9 UNCATEGORIZED 200</v>
          </cell>
        </row>
        <row r="461">
          <cell r="A461" t="str">
            <v>435003rd9 UNCATEGORIZED 300</v>
          </cell>
        </row>
        <row r="462">
          <cell r="A462" t="str">
            <v>435003rd9 UNCATEGORIZED 500</v>
          </cell>
        </row>
        <row r="463">
          <cell r="A463" t="str">
            <v>435003rdL10_GHV_020E_DETAÑEZA 90</v>
          </cell>
        </row>
        <row r="464">
          <cell r="A464" t="str">
            <v>435003rdL10_GHV_019E_RAISETAÑEZA 90</v>
          </cell>
        </row>
        <row r="465">
          <cell r="A465" t="str">
            <v>435003rd10 UNCATEGORIZED 200</v>
          </cell>
        </row>
        <row r="466">
          <cell r="A466" t="str">
            <v>435001stL07_DPVE_060E_DEVILLARANTE 40</v>
          </cell>
        </row>
        <row r="467">
          <cell r="A467" t="str">
            <v>435001stL07_DPVE_029E_STOPESHEPHERD Q0</v>
          </cell>
        </row>
        <row r="468">
          <cell r="A468" t="str">
            <v>435002ndL07_DPVE_063E_DWALEÑAR 20</v>
          </cell>
        </row>
        <row r="469">
          <cell r="A469" t="str">
            <v>435002ndL07_DPVE_028E_STOPEDOLARIZA 20</v>
          </cell>
        </row>
        <row r="470">
          <cell r="A470" t="str">
            <v>435002ndL07_DPVE_029E_STOPESHEPHERD Q0</v>
          </cell>
        </row>
        <row r="471">
          <cell r="A471" t="str">
            <v>435003rdL07_JVHW_063E_RAISESHEPHERD O0</v>
          </cell>
        </row>
        <row r="472">
          <cell r="A472" t="str">
            <v>435003rdL07_GHV_013E_ROBBINGBAYOBAY 10</v>
          </cell>
        </row>
        <row r="473">
          <cell r="A473" t="str">
            <v>435003rdL07_DPVE_028E_STOPEDOLARIZA 20</v>
          </cell>
        </row>
        <row r="474">
          <cell r="A474" t="str">
            <v>435003rdL07_JVHW_072E_STOPEBABOR 567</v>
          </cell>
        </row>
        <row r="475">
          <cell r="A475" t="str">
            <v>435003rdL07_CTV_061E_STOPE PREPVILLARANTE 369</v>
          </cell>
        </row>
        <row r="476">
          <cell r="A476" t="str">
            <v>435003rdL07_DPVE_026E_STOPE PREPSHEPHERD H57</v>
          </cell>
        </row>
        <row r="477">
          <cell r="A477" t="str">
            <v>435003rdL07_JV_057E_STOPE PREPLEON 166</v>
          </cell>
        </row>
        <row r="478">
          <cell r="A478" t="str">
            <v>435003rd7 UNCATEGORIZED 100</v>
          </cell>
        </row>
        <row r="479">
          <cell r="A479" t="str">
            <v>435013rdL02_JV_034W_RAISECARIKITAN 30</v>
          </cell>
        </row>
        <row r="480">
          <cell r="A480" t="str">
            <v>435013rdL02_RYV_020W_ROBBINGMONTEBON 50</v>
          </cell>
        </row>
        <row r="481">
          <cell r="A481" t="str">
            <v>435012ndL02_JV_034W_RAISECARIKITAN 30</v>
          </cell>
        </row>
        <row r="482">
          <cell r="A482" t="str">
            <v>435012ndL02_GHV_009W_ROBBINGMONTEBON 40</v>
          </cell>
        </row>
        <row r="483">
          <cell r="A483" t="str">
            <v>435012ndL02_JVHW_051W_ROBBINGLERIO, RAUL0</v>
          </cell>
        </row>
        <row r="484">
          <cell r="A484" t="str">
            <v>435012ndL02_RYV_020W_ROBBINGMONTEBON 50</v>
          </cell>
        </row>
        <row r="485">
          <cell r="A485" t="str">
            <v>435012ndL02_RYV_023W_ROBBINGCARIKITAN 10</v>
          </cell>
        </row>
        <row r="486">
          <cell r="A486" t="str">
            <v>435012nd2 UNCATEGORIZED 200</v>
          </cell>
        </row>
        <row r="487">
          <cell r="A487" t="str">
            <v>435012nd2 UNCATEGORIZED 400</v>
          </cell>
        </row>
        <row r="488">
          <cell r="A488" t="str">
            <v>435012nd2 UNCATEGORIZED 500</v>
          </cell>
        </row>
        <row r="489">
          <cell r="A489" t="str">
            <v>435011stL02_JV_034W_RAISECARIKITAN 30</v>
          </cell>
        </row>
        <row r="490">
          <cell r="A490" t="str">
            <v>435011stL02_JV_030W_ROBBINGLERIO, RAUL0</v>
          </cell>
        </row>
        <row r="491">
          <cell r="A491" t="str">
            <v>435011stL02_RYV_023W_ROBBINGCARIKITAN 10</v>
          </cell>
        </row>
        <row r="492">
          <cell r="A492" t="str">
            <v>435011stL04_JV_049W_RAISEDUHIG 30</v>
          </cell>
        </row>
        <row r="493">
          <cell r="A493" t="str">
            <v>435011stL04_RYV_010E_RAISEMARTINEZ DN 10</v>
          </cell>
        </row>
        <row r="494">
          <cell r="A494" t="str">
            <v>435011stL04_GHV_010W_ROBBINGCABONITA 30</v>
          </cell>
        </row>
        <row r="495">
          <cell r="A495" t="str">
            <v>435011stL04_GHVSPLIT_043W_ROBBINGCABONITA 20</v>
          </cell>
        </row>
        <row r="496">
          <cell r="A496" t="str">
            <v>435011stL04_GHVFW_014E_STOPE PREPPARAGUYA 40</v>
          </cell>
        </row>
        <row r="497">
          <cell r="A497" t="str">
            <v>435012ndL04_JV_049W_RAISEDUHIG 30</v>
          </cell>
        </row>
        <row r="498">
          <cell r="A498" t="str">
            <v>435012ndL04_CTV_017W_ROBBINGNOCOS, ARIEL0</v>
          </cell>
        </row>
        <row r="499">
          <cell r="A499" t="str">
            <v>435012ndL04_CV_012W_ROBBINGMARTINEZ RON. 10</v>
          </cell>
        </row>
        <row r="500">
          <cell r="A500" t="str">
            <v>435012ndL04_GHV_010W_ROBBINGCABONITA 30</v>
          </cell>
        </row>
        <row r="501">
          <cell r="A501" t="str">
            <v>435012ndL04_GHVFW_014E_STOPE PREPPARAGUYA 40</v>
          </cell>
        </row>
        <row r="502">
          <cell r="A502" t="str">
            <v>435012ndL04_JV_023W_WINZEOY-YOY 20</v>
          </cell>
        </row>
        <row r="503">
          <cell r="A503" t="str">
            <v>435012nd4 UNCATEGORIZED 300</v>
          </cell>
        </row>
        <row r="504">
          <cell r="A504" t="str">
            <v>435012nd4 UNCATEGORIZED 400</v>
          </cell>
        </row>
        <row r="505">
          <cell r="A505" t="str">
            <v>435012nd4 UNCATEGORIZED 500</v>
          </cell>
        </row>
        <row r="506">
          <cell r="A506" t="str">
            <v>435012nd4 UNCATEGORIZED 700</v>
          </cell>
        </row>
        <row r="507">
          <cell r="A507" t="str">
            <v>435013rdL04_GHVFW_017E_RAISEPARAGUYA 10</v>
          </cell>
        </row>
        <row r="508">
          <cell r="A508" t="str">
            <v>435013rdL04_CTV_017W_ROBBINGNOCOS, ARIEL0</v>
          </cell>
        </row>
        <row r="509">
          <cell r="A509" t="str">
            <v>435013rdL04_CV_012W_ROBBINGMARTINEZ RON. 10</v>
          </cell>
        </row>
        <row r="510">
          <cell r="A510" t="str">
            <v>435013rdL04_GHV_010W_ROBBINGCABONITA 30</v>
          </cell>
        </row>
        <row r="511">
          <cell r="A511" t="str">
            <v>435013rdL04_CTV5_016E_STOPECABCAD 10</v>
          </cell>
        </row>
        <row r="512">
          <cell r="A512" t="str">
            <v>435013rdL04_JV_002E_STOPECABONITA 10</v>
          </cell>
        </row>
        <row r="513">
          <cell r="A513" t="str">
            <v>435013rdL04_JV_042W_STOPEDUHIG 30</v>
          </cell>
        </row>
        <row r="514">
          <cell r="A514" t="str">
            <v>435013rdL04_NV_011W_STOPEMARTINEZ RON. 10</v>
          </cell>
        </row>
        <row r="515">
          <cell r="A515" t="str">
            <v>435013rd4 UNCATEGORIZED 800</v>
          </cell>
        </row>
        <row r="516">
          <cell r="A516" t="str">
            <v>435013rdL05_JVFW_012W_RAISEFERNANDEZ RX 30</v>
          </cell>
        </row>
        <row r="517">
          <cell r="A517" t="str">
            <v>435013rdL05_NV_005W_RAISESHEPHERD P0</v>
          </cell>
        </row>
        <row r="518">
          <cell r="A518" t="str">
            <v>435013rdL05_CTV_009E_ROBBINGFERNANDEZ RX 40</v>
          </cell>
        </row>
        <row r="519">
          <cell r="A519" t="str">
            <v>435013rdL05_GHV_010W_ROBBINGFERNANDEZ RX 40</v>
          </cell>
        </row>
        <row r="520">
          <cell r="A520" t="str">
            <v>435013rdL05_GHV_039W_ROBBINGCOMAINGKING 20</v>
          </cell>
        </row>
        <row r="521">
          <cell r="A521" t="str">
            <v>435013rdL05_CTV_008W_STOPESHEPHERD P0</v>
          </cell>
        </row>
        <row r="522">
          <cell r="A522" t="str">
            <v>435013rdL05_CV_023W_STOPEPANCIT 655</v>
          </cell>
        </row>
        <row r="523">
          <cell r="A523" t="str">
            <v>435013rdL05_GHV_023W_WINZEBADBADON L. 20</v>
          </cell>
        </row>
        <row r="524">
          <cell r="A524" t="str">
            <v>435013rd5 UNCATEGORIZED 200</v>
          </cell>
        </row>
        <row r="525">
          <cell r="A525" t="str">
            <v>435013rd5 UNCATEGORIZED 400</v>
          </cell>
        </row>
        <row r="526">
          <cell r="A526" t="str">
            <v>435012ndL05_GHV_032W_RAISEESPADA 10</v>
          </cell>
        </row>
        <row r="527">
          <cell r="A527" t="str">
            <v>435012ndL05_NV_005W_RAISESHEPHERD P0</v>
          </cell>
        </row>
        <row r="528">
          <cell r="A528" t="str">
            <v>435012ndL05_GHV_022W_ROBBINGBADBADON L.30</v>
          </cell>
        </row>
        <row r="529">
          <cell r="A529" t="str">
            <v>435012ndL05_GHV_039W_ROBBINGCOMAINGKING 20</v>
          </cell>
        </row>
        <row r="530">
          <cell r="A530" t="str">
            <v>435012ndL05_CTV_008W_STOPESHEPHERD P0</v>
          </cell>
        </row>
        <row r="531">
          <cell r="A531" t="str">
            <v>435012ndL05_CV_004W_WINZEOY-YOY 153</v>
          </cell>
        </row>
        <row r="532">
          <cell r="A532" t="str">
            <v>435012ndL05_CV_010E_WINZESHEPHERD L56</v>
          </cell>
        </row>
        <row r="533">
          <cell r="A533" t="str">
            <v>435012ndL05_JVFW_005E_WINZE STOPE PREPDAVOCOL ROW 10</v>
          </cell>
        </row>
        <row r="534">
          <cell r="A534" t="str">
            <v>435012ndL05_NONE_027W_XCNBADBADON L. 10</v>
          </cell>
        </row>
        <row r="535">
          <cell r="A535" t="str">
            <v>435012nd5 UNCATEGORIZED 300</v>
          </cell>
        </row>
        <row r="536">
          <cell r="A536" t="str">
            <v>435012nd5 UNCATEGORIZED 400</v>
          </cell>
        </row>
        <row r="537">
          <cell r="A537" t="str">
            <v>435011stL05_NV_005W_RAISESHEPHERD P0</v>
          </cell>
        </row>
        <row r="538">
          <cell r="A538" t="str">
            <v>435011stL05_CTV_009E_ROBBINGFERNANDEZ RX 40</v>
          </cell>
        </row>
        <row r="539">
          <cell r="A539" t="str">
            <v>435011stL05_GHV_022W_ROBBINGBADBADON L.30</v>
          </cell>
        </row>
        <row r="540">
          <cell r="A540" t="str">
            <v>435011stL05_CV_023W_STOPEPANCIT 655</v>
          </cell>
        </row>
        <row r="541">
          <cell r="A541" t="str">
            <v>435012ndL06_CV_005E_DEREBOTE 10</v>
          </cell>
        </row>
        <row r="542">
          <cell r="A542" t="str">
            <v>435012ndL06_JV_021E_RAISEMANZANO 20</v>
          </cell>
        </row>
        <row r="543">
          <cell r="A543" t="str">
            <v>435012ndL06_JV_027E_RAISEQUIJANO 40</v>
          </cell>
        </row>
        <row r="544">
          <cell r="A544" t="str">
            <v>435012ndL06_DPVE_022E_STOPEBAÑEZ 60</v>
          </cell>
        </row>
        <row r="545">
          <cell r="A545" t="str">
            <v>435012ndL06_GHVFW_031W_STOPEBAÑEZ 10</v>
          </cell>
        </row>
        <row r="546">
          <cell r="A546" t="str">
            <v>435012ndL06_JVFW_006E_STOPEBADBADON R. 50</v>
          </cell>
        </row>
        <row r="547">
          <cell r="A547" t="str">
            <v>435012ndL06_GHVFW_007W_STOPE PREPBAÑEZ 70</v>
          </cell>
        </row>
        <row r="548">
          <cell r="A548" t="str">
            <v>435012ndL06_CV_018E_WINZEGONZALES 20</v>
          </cell>
        </row>
        <row r="549">
          <cell r="A549" t="str">
            <v>435012ndL06_NONE_002W_XCNBADBADON R.40</v>
          </cell>
        </row>
        <row r="550">
          <cell r="A550" t="str">
            <v>435012nd6 UNCATEGORIZED 400</v>
          </cell>
        </row>
        <row r="551">
          <cell r="A551" t="str">
            <v>435012nd6 UNCATEGORIZED 500</v>
          </cell>
        </row>
        <row r="552">
          <cell r="A552" t="str">
            <v>435011stL06_DPVE_035E_DEBAÑEZ 90</v>
          </cell>
        </row>
        <row r="553">
          <cell r="A553" t="str">
            <v>435011stL06_GHVFW_028W_DEBUGAWAN 20</v>
          </cell>
        </row>
        <row r="554">
          <cell r="A554" t="str">
            <v>435011stL06_JV_021E_RAISEMANZANO 20</v>
          </cell>
        </row>
        <row r="555">
          <cell r="A555" t="str">
            <v>435011stL06_JV_027E_RAISEQUIJANO 40</v>
          </cell>
        </row>
        <row r="556">
          <cell r="A556" t="str">
            <v>435011stL06_DPVE_022E_STOPEBAÑEZ 60</v>
          </cell>
        </row>
        <row r="557">
          <cell r="A557" t="str">
            <v>435013rdL06_DPVE_035E_DEBAÑEZ 90</v>
          </cell>
        </row>
        <row r="558">
          <cell r="A558" t="str">
            <v>435013rdL06_JV_001W_RAISEREBOTE 20</v>
          </cell>
        </row>
        <row r="559">
          <cell r="A559" t="str">
            <v>435013rdL06_JV_021E_RAISEMANZANO 20</v>
          </cell>
        </row>
        <row r="560">
          <cell r="A560" t="str">
            <v>435013rdL06_JV_027E_RAISEQUIJANO 40</v>
          </cell>
        </row>
        <row r="561">
          <cell r="A561" t="str">
            <v>435013rdL06_GHVFW_007W_STOPE PREPBAÑEZ 70</v>
          </cell>
        </row>
        <row r="562">
          <cell r="A562" t="str">
            <v>435013rdL07_DPVE_060E_DEVILLARANTE 40</v>
          </cell>
        </row>
        <row r="563">
          <cell r="A563" t="str">
            <v>435013rdL07_DPVE_029E_STOPESHEPHERD Q0</v>
          </cell>
        </row>
        <row r="564">
          <cell r="A564" t="str">
            <v>435013rdL07_JVHW_072E_STOPEBABOR 567</v>
          </cell>
        </row>
        <row r="565">
          <cell r="A565" t="str">
            <v>435013rdL07_CTV_061E_STOPE PREPVILLARANTE 369</v>
          </cell>
        </row>
        <row r="566">
          <cell r="A566" t="str">
            <v>435013rdL07_JV_057E_STOPE PREPLEON 166</v>
          </cell>
        </row>
        <row r="567">
          <cell r="A567" t="str">
            <v>435013rd7 UNCATEGORIZED 100</v>
          </cell>
        </row>
        <row r="568">
          <cell r="A568" t="str">
            <v>435013rd7 UNCATEGORIZED 200</v>
          </cell>
        </row>
        <row r="569">
          <cell r="A569" t="str">
            <v>435012ndL07_DPVE_065E_RAISEBABOR 10</v>
          </cell>
        </row>
        <row r="570">
          <cell r="A570" t="str">
            <v>435012ndL07_GHV_013E_ROBBINGBAYOBAY 10</v>
          </cell>
        </row>
        <row r="571">
          <cell r="A571" t="str">
            <v>435012ndL07_JVHW_072E_STOPEBABOR 567</v>
          </cell>
        </row>
        <row r="572">
          <cell r="A572" t="str">
            <v>435012ndL07_CTV_061E_STOPE PREPVILLARANTE 369</v>
          </cell>
        </row>
        <row r="573">
          <cell r="A573" t="str">
            <v>435012ndL07_DPVE_026E_STOPE PREPSHEPHERD H57</v>
          </cell>
        </row>
        <row r="574">
          <cell r="A574" t="str">
            <v>435012nd7 UNCATEGORIZED 100</v>
          </cell>
        </row>
        <row r="575">
          <cell r="A575" t="str">
            <v>435012nd7 UNCATEGORIZED 300</v>
          </cell>
        </row>
        <row r="576">
          <cell r="A576" t="str">
            <v>435013rd7 UNCATEGORIZED 300</v>
          </cell>
        </row>
        <row r="577">
          <cell r="A577" t="str">
            <v>435011stL07_DPVE_060E_DEVILLARANTE 40</v>
          </cell>
        </row>
        <row r="578">
          <cell r="A578" t="str">
            <v>435011stL07_DPVE_063E_DWALEÑAR 20</v>
          </cell>
        </row>
        <row r="579">
          <cell r="A579" t="str">
            <v>435011stL07_DPVE_065E_RAISEBABOR 10</v>
          </cell>
        </row>
        <row r="580">
          <cell r="A580" t="str">
            <v>435011stL07_JVHW_063E_RAISESHEPHERD O0</v>
          </cell>
        </row>
        <row r="581">
          <cell r="A581" t="str">
            <v>435011stL07_DPVE_028E_STOPEDOLARIZA 20</v>
          </cell>
        </row>
        <row r="582">
          <cell r="A582" t="str">
            <v>435011stL07_DPVE_026E_STOPE PREPSHEPHERD H57</v>
          </cell>
        </row>
        <row r="583">
          <cell r="A583" t="str">
            <v>435011stL07_NONE_020W_XCSSHEPHERD H0</v>
          </cell>
        </row>
        <row r="584">
          <cell r="A584" t="str">
            <v>435013rdL08_DPVE_060E_RAISE00</v>
          </cell>
        </row>
        <row r="585">
          <cell r="A585" t="str">
            <v>435013rdL08_DPVE_068E_DELERIO 30</v>
          </cell>
        </row>
        <row r="586">
          <cell r="A586" t="str">
            <v>435013rdL08_DPVE_048E_DWSILVOZA 30</v>
          </cell>
        </row>
        <row r="587">
          <cell r="A587" t="str">
            <v>435013rdL08_GHVHW_011E_DWDEMALATA 10</v>
          </cell>
        </row>
        <row r="588">
          <cell r="A588" t="str">
            <v>435013rdL08_GHVFW_001E_STOPEAGLOLO 10</v>
          </cell>
        </row>
        <row r="589">
          <cell r="A589" t="str">
            <v>435013rdL08_GHVHW_031E_STOPEGEMENTIZA 10</v>
          </cell>
        </row>
        <row r="590">
          <cell r="A590" t="str">
            <v>435013rdL08_JV_029E_STOPEBORERO 40</v>
          </cell>
        </row>
        <row r="591">
          <cell r="A591" t="str">
            <v>435013rdL08_NONE_059E_XCSVERSOZA 40</v>
          </cell>
        </row>
        <row r="592">
          <cell r="A592" t="str">
            <v>435013rdL09_GHV_004W_RAISEMAPAYO 10</v>
          </cell>
        </row>
        <row r="593">
          <cell r="A593" t="str">
            <v>435013rd8 UNCATEGORIZED 100</v>
          </cell>
        </row>
        <row r="594">
          <cell r="A594" t="str">
            <v>435013rd8 UNCATEGORIZED 200</v>
          </cell>
        </row>
        <row r="595">
          <cell r="A595" t="str">
            <v>435013rd8 UNCATEGORIZED 400</v>
          </cell>
        </row>
        <row r="596">
          <cell r="A596" t="str">
            <v>435013rd8 UNCATEGORIZED 500</v>
          </cell>
        </row>
        <row r="597">
          <cell r="A597" t="str">
            <v>435012ndL08_JV_055E_DEBENONGUIL 10</v>
          </cell>
        </row>
        <row r="598">
          <cell r="A598" t="str">
            <v>435012ndL08_GHVFW_038E_DWTORMIS 10</v>
          </cell>
        </row>
        <row r="599">
          <cell r="A599" t="str">
            <v>435012ndL08_GHVHW_011E_DWDEMALATA 10</v>
          </cell>
        </row>
        <row r="600">
          <cell r="A600" t="str">
            <v>435012ndL08_GHVSPLIT_003E_RAISEBELICAN 40</v>
          </cell>
        </row>
        <row r="601">
          <cell r="A601" t="str">
            <v>435012ndL08_GHVFW_001E_STOPEAGLOLO 10</v>
          </cell>
        </row>
        <row r="602">
          <cell r="A602" t="str">
            <v>435012ndL08_GHVHW_031E_STOPEGEMENTIZA 10</v>
          </cell>
        </row>
        <row r="603">
          <cell r="A603" t="str">
            <v>435012ndL08_JV_029E_STOPEBORERO 40</v>
          </cell>
        </row>
        <row r="604">
          <cell r="A604" t="str">
            <v>435012ndL08_GHVFW_008E_STOPE PREPBELICAN 480</v>
          </cell>
        </row>
        <row r="605">
          <cell r="A605" t="str">
            <v>435012ndL08_NONE_016W_XCNSILVOZA 181</v>
          </cell>
        </row>
        <row r="606">
          <cell r="A606" t="str">
            <v>435012nd8 UNCATEGORIZED 500</v>
          </cell>
        </row>
        <row r="607">
          <cell r="A607" t="str">
            <v>435013rdL08_GHVFW_008E_STOPE PREPBELICAN 480</v>
          </cell>
        </row>
        <row r="608">
          <cell r="A608" t="str">
            <v>435011stL08_DPVE_068E_DELERIO 30</v>
          </cell>
        </row>
        <row r="609">
          <cell r="A609" t="str">
            <v>435011stL08_GHVFW_001E_STOPEAGLOLO 10</v>
          </cell>
        </row>
        <row r="610">
          <cell r="A610" t="str">
            <v>435011stL08_GHVFW_008E_STOPE PREPBELICAN 480</v>
          </cell>
        </row>
        <row r="611">
          <cell r="A611" t="str">
            <v>435013rd8 UNCATEGORIZED 600</v>
          </cell>
        </row>
        <row r="612">
          <cell r="A612" t="str">
            <v>435012ndL09_JV_050E_DEDAVOCOL, ROSELIO 30</v>
          </cell>
        </row>
        <row r="613">
          <cell r="A613" t="str">
            <v>435012ndL09_DPVE_015E_RAISEDELOS REYES V. 80</v>
          </cell>
        </row>
        <row r="614">
          <cell r="A614" t="str">
            <v>435012ndL09_GHVHW_029E_RAISEHUMIDING 20</v>
          </cell>
        </row>
        <row r="615">
          <cell r="A615" t="str">
            <v>435012ndL09_JVFW_055E_RAISECANOY 30</v>
          </cell>
        </row>
        <row r="616">
          <cell r="A616" t="str">
            <v>435012ndL09_GHV_015W_STOPESHEPHERD R0</v>
          </cell>
        </row>
        <row r="617">
          <cell r="A617" t="str">
            <v>435012ndL09_GHV_031E_STOPEPANCIT, NOEL 80</v>
          </cell>
        </row>
        <row r="618">
          <cell r="A618" t="str">
            <v>435012ndL09_GHV_060E_STOPEPANSIT 60</v>
          </cell>
        </row>
        <row r="619">
          <cell r="A619" t="str">
            <v>435012ndL09_GHVFW_039E_STOPEPANCIT, NOEL 40</v>
          </cell>
        </row>
        <row r="620">
          <cell r="A620" t="str">
            <v>435012ndL09_JV_058E_STOPECANOY 10</v>
          </cell>
        </row>
        <row r="621">
          <cell r="A621" t="str">
            <v>435012ndL09_JVFW_057E_STOPEDELOS REYES V. 60</v>
          </cell>
        </row>
        <row r="622">
          <cell r="A622" t="str">
            <v>435012ndL09_GHVFW_028E_STOPE PREPPANCIT, NOEL 40</v>
          </cell>
        </row>
        <row r="623">
          <cell r="A623" t="str">
            <v>435012ndL09_GHVFW_034E_STOPE PREPCANOY 20</v>
          </cell>
        </row>
        <row r="624">
          <cell r="A624" t="str">
            <v>435012ndL10_GHV_020E_DETAÑEZA 90</v>
          </cell>
        </row>
        <row r="625">
          <cell r="A625" t="str">
            <v>435012ndL10_GHV_033E_DETAÑEZA 40</v>
          </cell>
        </row>
        <row r="626">
          <cell r="A626" t="str">
            <v>435012ndL10_GHV_019E_RAISETAÑEZA 90</v>
          </cell>
        </row>
        <row r="627">
          <cell r="A627" t="str">
            <v>435012ndL10_GHVFW_028E_RAISETAÑEZA 60</v>
          </cell>
        </row>
        <row r="628">
          <cell r="A628" t="str">
            <v>435012nd9 UNCATEGORIZED 200</v>
          </cell>
        </row>
        <row r="629">
          <cell r="A629" t="str">
            <v>435012nd9 UNCATEGORIZED 300</v>
          </cell>
        </row>
        <row r="630">
          <cell r="A630" t="str">
            <v>435012nd10 UNCATEGORIZED 200</v>
          </cell>
        </row>
        <row r="631">
          <cell r="A631" t="str">
            <v>435012nd10 UNCATEGORIZED 300</v>
          </cell>
        </row>
        <row r="632">
          <cell r="A632" t="str">
            <v>435011stL09_DPVE_051E_DEBALANGHIG 10</v>
          </cell>
        </row>
        <row r="633">
          <cell r="A633" t="str">
            <v>435011stL09_GHV_067E_DEPANSIT 40</v>
          </cell>
        </row>
        <row r="634">
          <cell r="A634" t="str">
            <v>435011stL09_GHVHW_049E_DEBABOR 10</v>
          </cell>
        </row>
        <row r="635">
          <cell r="A635" t="str">
            <v>435011stL09_JVFW_062E_DESHEPHERD S0</v>
          </cell>
        </row>
        <row r="636">
          <cell r="A636" t="str">
            <v>435011stL09_GHVHW_027E_DWHUMIDING 10</v>
          </cell>
        </row>
        <row r="637">
          <cell r="A637" t="str">
            <v>435011stL09_JVFW_032E_RAISEPANCIT, NOEL 30</v>
          </cell>
        </row>
        <row r="638">
          <cell r="A638" t="str">
            <v>435011stL09_GHV_060E_STOPEPANSIT 60</v>
          </cell>
        </row>
        <row r="639">
          <cell r="A639" t="str">
            <v>435011stL09_GHVFW_028E_STOPE PREPPANCIT, NOEL 40</v>
          </cell>
        </row>
        <row r="640">
          <cell r="A640" t="str">
            <v>435011stL09_NONE_070E_XCNDELOS REYES V. 20</v>
          </cell>
        </row>
        <row r="641">
          <cell r="A641" t="str">
            <v>435011stL10_JVSPLIT_057E_DETAÑEZA 8100</v>
          </cell>
        </row>
        <row r="642">
          <cell r="A642" t="str">
            <v>435011stL10_GHVFW_028E_RAISETAÑEZA 60</v>
          </cell>
        </row>
        <row r="643">
          <cell r="A643" t="str">
            <v>435011stL10_NONE_053E_SUMPTAÑEZA 110</v>
          </cell>
        </row>
        <row r="644">
          <cell r="A644" t="str">
            <v>435011st9 UNCATEGORIZED 100</v>
          </cell>
        </row>
        <row r="645">
          <cell r="A645" t="str">
            <v>435011st10 UNCATEGORIZED 100</v>
          </cell>
        </row>
        <row r="646">
          <cell r="A646" t="str">
            <v>435013rdL09_GHVFW_040E_DEPANSIT 40</v>
          </cell>
        </row>
        <row r="647">
          <cell r="A647" t="str">
            <v>435013rdL09_GHVHW_049E_DEBABOR 10</v>
          </cell>
        </row>
        <row r="648">
          <cell r="A648" t="str">
            <v>435013rdL09_JVFW_062E_DESHEPHERD S0</v>
          </cell>
        </row>
        <row r="649">
          <cell r="A649" t="str">
            <v>435013rdL09_DPVE_051E_RAISEDAVOCOL, ROSELIO 40</v>
          </cell>
        </row>
        <row r="650">
          <cell r="A650" t="str">
            <v>435013rdL09_GHV_060E_STOPEPANSIT 60</v>
          </cell>
        </row>
        <row r="651">
          <cell r="A651" t="str">
            <v>435013rdL09_GHVFW_039E_STOPEPANCIT, NOEL 40</v>
          </cell>
        </row>
        <row r="652">
          <cell r="A652" t="str">
            <v>435013rdL09_GHVFW_034E_STOPE PREPCANOY 20</v>
          </cell>
        </row>
        <row r="653">
          <cell r="A653" t="str">
            <v>435013rdL09_GHV_063E_WINZE0</v>
          </cell>
        </row>
        <row r="654">
          <cell r="A654" t="str">
            <v>435013rdL09_NONE_070E_XCNDELOS REYES V. 20</v>
          </cell>
        </row>
        <row r="655">
          <cell r="A655" t="str">
            <v>435013rdL10_GHVFW_021E_DETAÑEZA 30</v>
          </cell>
        </row>
        <row r="656">
          <cell r="A656" t="str">
            <v>435013rdL10_GHVFW_028E_RAISETAÑEZA 60</v>
          </cell>
        </row>
        <row r="657">
          <cell r="A657" t="str">
            <v>435013rd9 UNCATEGORIZED 500</v>
          </cell>
        </row>
        <row r="658">
          <cell r="A658" t="str">
            <v>435021stL02_JV_034W_RAISECARIKITAN 30</v>
          </cell>
        </row>
        <row r="659">
          <cell r="A659" t="str">
            <v>435021stL02_GHV_009W_ROBBINGMONTEBON 40</v>
          </cell>
        </row>
        <row r="660">
          <cell r="A660" t="str">
            <v>435021stL02_RYV_020W_ROBBINGMONTEBON 50</v>
          </cell>
        </row>
        <row r="661">
          <cell r="A661" t="str">
            <v>435021stL04_CV_012W_ROBBINGMARTINEZ RON. 10</v>
          </cell>
        </row>
        <row r="662">
          <cell r="A662" t="str">
            <v>435021stL04_GHV_010W_ROBBINGCABONITA 30</v>
          </cell>
        </row>
        <row r="663">
          <cell r="A663" t="str">
            <v>435021stL04_JV_042W_STOPEDUHIG 30</v>
          </cell>
        </row>
        <row r="664">
          <cell r="A664" t="str">
            <v>435021st4 UNCATEGORIZED 900</v>
          </cell>
        </row>
        <row r="665">
          <cell r="A665" t="str">
            <v>435021stL05_CTV_009E_ROBBINGFERNANDEZ RX 40</v>
          </cell>
        </row>
        <row r="666">
          <cell r="A666" t="str">
            <v>435021stL05_JV_018E_STOPEBALDO 252</v>
          </cell>
        </row>
        <row r="667">
          <cell r="A667" t="str">
            <v>435021st5 UNCATEGORIZED 300</v>
          </cell>
        </row>
        <row r="668">
          <cell r="A668" t="str">
            <v>435021st5 UNCATEGORIZED 400</v>
          </cell>
        </row>
        <row r="669">
          <cell r="A669" t="str">
            <v>435021stL06_GHVFW_028W_DEBUGAWAN 20</v>
          </cell>
        </row>
        <row r="670">
          <cell r="A670" t="str">
            <v>435021stL06_CV_004E_DWMANZANO 10</v>
          </cell>
        </row>
        <row r="671">
          <cell r="A671" t="str">
            <v>435021stL06_JV_021E_RAISEMANZANO 20</v>
          </cell>
        </row>
        <row r="672">
          <cell r="A672" t="str">
            <v>435021stL06_JV_027E_RAISEQUIJANO 40</v>
          </cell>
        </row>
        <row r="673">
          <cell r="A673" t="str">
            <v>435021stL06_DPVE_022E_STOPEBAÑEZ 60</v>
          </cell>
        </row>
        <row r="674">
          <cell r="A674" t="str">
            <v>435021stL06_JVFW_006E_STOPEBADBADON R. 50</v>
          </cell>
        </row>
        <row r="675">
          <cell r="A675" t="str">
            <v>435021stL06_NONE_021E_XCNGUNAY 10</v>
          </cell>
        </row>
        <row r="676">
          <cell r="A676" t="str">
            <v>435021st6 UNCATEGORIZED 100</v>
          </cell>
        </row>
        <row r="677">
          <cell r="A677" t="str">
            <v>435022ndL02_JV_034W_RAISECARIKITAN 30</v>
          </cell>
        </row>
        <row r="678">
          <cell r="A678" t="str">
            <v>435022ndL02_CTV_061W_ROBBINGNOCOS 20</v>
          </cell>
        </row>
        <row r="679">
          <cell r="A679" t="str">
            <v>435022ndL02_JV_030W_ROBBINGLERIO, RAUL0</v>
          </cell>
        </row>
        <row r="680">
          <cell r="A680" t="str">
            <v>435022ndL02_JVHW_051W_ROBBINGLERIO, RAUL0</v>
          </cell>
        </row>
        <row r="681">
          <cell r="A681" t="str">
            <v>435022ndL02_RYV_020W_ROBBINGMONTEBON 50</v>
          </cell>
        </row>
        <row r="682">
          <cell r="A682" t="str">
            <v>435022ndL02_RYV_023W_ROBBINGCARIKITAN 10</v>
          </cell>
        </row>
        <row r="683">
          <cell r="A683" t="str">
            <v>435022ndL02_CV_007E_WINZEALMASA 30</v>
          </cell>
        </row>
        <row r="684">
          <cell r="A684" t="str">
            <v>435022nd2 UNCATEGORIZED 300</v>
          </cell>
        </row>
        <row r="685">
          <cell r="A685" t="str">
            <v>435023rdL02_JV_034W_RAISECARIKITAN 30</v>
          </cell>
        </row>
        <row r="686">
          <cell r="A686" t="str">
            <v>435023rdL02_GHV_009W_ROBBINGMONTEBON 40</v>
          </cell>
        </row>
        <row r="687">
          <cell r="A687" t="str">
            <v>435023rdL02_RYV_020W_ROBBINGMONTEBON 50</v>
          </cell>
        </row>
        <row r="688">
          <cell r="A688" t="str">
            <v>435023rdL04_JV_049W_RAISEDUHIG 30</v>
          </cell>
        </row>
        <row r="689">
          <cell r="A689" t="str">
            <v>435023rdL04_CV_012W_ROBBINGMARTINEZ RON. 10</v>
          </cell>
        </row>
        <row r="690">
          <cell r="A690" t="str">
            <v>435023rdL04_GHV_010W_ROBBINGCABONITA 30</v>
          </cell>
        </row>
        <row r="691">
          <cell r="A691" t="str">
            <v>435023rdL04_GHVFW_040W_ROBBINGNACARIO 10</v>
          </cell>
        </row>
        <row r="692">
          <cell r="A692" t="str">
            <v>435023rdL04_JV_042W_STOPEDUHIG 30</v>
          </cell>
        </row>
        <row r="693">
          <cell r="A693" t="str">
            <v>435023rdL04_JV_023W_WINZEOY-YOY 20</v>
          </cell>
        </row>
        <row r="694">
          <cell r="A694" t="str">
            <v>435023rd4 UNCATEGORIZED 1000</v>
          </cell>
        </row>
        <row r="695">
          <cell r="A695" t="str">
            <v>435022ndL04_CTV_017W_ROBBINGNOCOS, ARIEL0</v>
          </cell>
        </row>
        <row r="696">
          <cell r="A696" t="str">
            <v>435022ndL04_CV_012W_ROBBINGMARTINEZ RON. 10</v>
          </cell>
        </row>
        <row r="697">
          <cell r="A697" t="str">
            <v>435022ndL04_CTV5_016E_STOPECABCAD 10</v>
          </cell>
        </row>
        <row r="698">
          <cell r="A698" t="str">
            <v>435022ndL04_JV_042W_STOPEDUHIG 30</v>
          </cell>
        </row>
        <row r="699">
          <cell r="A699" t="str">
            <v>435022ndL04_GHVFW_014E_STOPE PREPPARAGUYA 40</v>
          </cell>
        </row>
        <row r="700">
          <cell r="A700" t="str">
            <v>435022ndL04_JV_024W_STOPE PREPDUHIG 20</v>
          </cell>
        </row>
        <row r="701">
          <cell r="A701" t="str">
            <v>435022nd4 UNCATEGORIZED 300</v>
          </cell>
        </row>
        <row r="702">
          <cell r="A702" t="str">
            <v>435022nd4 UNCATEGORIZED 500</v>
          </cell>
        </row>
        <row r="703">
          <cell r="A703" t="str">
            <v>435022nd4 UNCATEGORIZED 900</v>
          </cell>
        </row>
        <row r="704">
          <cell r="A704" t="str">
            <v>435023rdL04_JV_002E_STOPECABONITA 10</v>
          </cell>
        </row>
        <row r="705">
          <cell r="A705" t="str">
            <v>435022ndL05_NV_005W_RAISESHEPHERD P0</v>
          </cell>
        </row>
        <row r="706">
          <cell r="A706" t="str">
            <v>435022ndL05_GHV_010W_ROBBINGFERNANDEZ RX 40</v>
          </cell>
        </row>
        <row r="707">
          <cell r="A707" t="str">
            <v>435022ndL05_GHV_022W_ROBBINGBADBADON L.30</v>
          </cell>
        </row>
        <row r="708">
          <cell r="A708" t="str">
            <v>435022ndL05_CTV_008W_STOPESHEPHERD P0</v>
          </cell>
        </row>
        <row r="709">
          <cell r="A709" t="str">
            <v>435022ndL05_CV_004W_WINZEOY-YOY 153</v>
          </cell>
        </row>
        <row r="710">
          <cell r="A710" t="str">
            <v>435022ndL05_GHV_040W_WINZE STOPE PREPCOMAINGKING 10</v>
          </cell>
        </row>
        <row r="711">
          <cell r="A711" t="str">
            <v>435022nd5 UNCATEGORIZED 400</v>
          </cell>
        </row>
        <row r="712">
          <cell r="A712" t="str">
            <v>435022nd5 UNCATEGORIZED 500</v>
          </cell>
        </row>
        <row r="713">
          <cell r="A713" t="str">
            <v>435022nd5 UNCATEGORIZED 600</v>
          </cell>
        </row>
        <row r="714">
          <cell r="A714" t="str">
            <v>435023rdL05_JVFW_012W_RAISEFERNANDEZ RX 30</v>
          </cell>
        </row>
        <row r="715">
          <cell r="A715" t="str">
            <v>435023rdL05_NV_005W_RAISESHEPHERD P0</v>
          </cell>
        </row>
        <row r="716">
          <cell r="A716" t="str">
            <v>435023rdL05_CTV_009E_ROBBINGFERNANDEZ RX 40</v>
          </cell>
        </row>
        <row r="717">
          <cell r="A717" t="str">
            <v>435023rdL05_GHV_010W_ROBBINGFERNANDEZ RX 40</v>
          </cell>
        </row>
        <row r="718">
          <cell r="A718" t="str">
            <v>435023rdL05_CTV_008W_STOPESHEPHERD P0</v>
          </cell>
        </row>
        <row r="719">
          <cell r="A719" t="str">
            <v>435023rdL05_GHV_023W_WINZEBADBADON L. 20</v>
          </cell>
        </row>
        <row r="720">
          <cell r="A720" t="str">
            <v>435023rd5 UNCATEGORIZED 200</v>
          </cell>
        </row>
        <row r="721">
          <cell r="A721" t="str">
            <v>435022ndL06_DPVE_035E_DEBAÑEZ 90</v>
          </cell>
        </row>
        <row r="722">
          <cell r="A722" t="str">
            <v>435022ndL06_JV_001W_RAISEREBOTE 20</v>
          </cell>
        </row>
        <row r="723">
          <cell r="A723" t="str">
            <v>435022ndL06_JV_021E_RAISEMANZANO 20</v>
          </cell>
        </row>
        <row r="724">
          <cell r="A724" t="str">
            <v>435022ndL06_JV_027E_RAISEQUIJANO 40</v>
          </cell>
        </row>
        <row r="725">
          <cell r="A725" t="str">
            <v>435022ndL06_DPVE_022E_STOPEBAÑEZ 60</v>
          </cell>
        </row>
        <row r="726">
          <cell r="A726" t="str">
            <v>435022ndL06_GHVFW_031W_STOPEBAÑEZ 10</v>
          </cell>
        </row>
        <row r="727">
          <cell r="A727" t="str">
            <v>435022ndL06_GHVFW_003E_STOPE PREPBAÑEZ 40</v>
          </cell>
        </row>
        <row r="728">
          <cell r="A728" t="str">
            <v>435022ndL06_NONE_021E_XCNGUNAY 10</v>
          </cell>
        </row>
        <row r="729">
          <cell r="A729" t="str">
            <v>435022nd6 UNCATEGORIZED 600</v>
          </cell>
        </row>
        <row r="730">
          <cell r="A730" t="str">
            <v>435023rdL06_CV_005E_DEREBOTE 10</v>
          </cell>
        </row>
        <row r="731">
          <cell r="A731" t="str">
            <v>435023rdL06_DPVE_035E_DEBAÑEZ 90</v>
          </cell>
        </row>
        <row r="732">
          <cell r="A732" t="str">
            <v>435023rdL06_CTV_026E_DWQUIJANO 40</v>
          </cell>
        </row>
        <row r="733">
          <cell r="A733" t="str">
            <v>435023rdL06_JV_021E_RAISEMANZANO 20</v>
          </cell>
        </row>
        <row r="734">
          <cell r="A734" t="str">
            <v>435023rdL06_JV_027E_RAISEQUIJANO 40</v>
          </cell>
        </row>
        <row r="735">
          <cell r="A735" t="str">
            <v>435023rdL06_DPVE_022E_STOPEBAÑEZ 60</v>
          </cell>
        </row>
        <row r="736">
          <cell r="A736" t="str">
            <v>435023rdL06_GHVFW_031W_STOPEBAÑEZ 10</v>
          </cell>
        </row>
        <row r="737">
          <cell r="A737" t="str">
            <v>435023rd6 UNCATEGORIZED 700</v>
          </cell>
        </row>
        <row r="738">
          <cell r="A738" t="str">
            <v>435023rdL07_DPVE_063E_DWALEÑAR 20</v>
          </cell>
        </row>
        <row r="739">
          <cell r="A739" t="str">
            <v>435023rdL07_JVHW_063E_RAISESHEPHERD O0</v>
          </cell>
        </row>
        <row r="740">
          <cell r="A740" t="str">
            <v>435023rdL07_DPVE_029E_STOPESHEPHERD Q0</v>
          </cell>
        </row>
        <row r="741">
          <cell r="A741" t="str">
            <v>435023rdL07_JVHW_072E_STOPEBABOR 567</v>
          </cell>
        </row>
        <row r="742">
          <cell r="A742" t="str">
            <v>435023rdL07_CTV_061E_STOPE PREPVILLARANTE 369</v>
          </cell>
        </row>
        <row r="743">
          <cell r="A743" t="str">
            <v>435023rdL07_GHVHW_056E_WINZE STOPE PREPBABOR 30</v>
          </cell>
        </row>
        <row r="744">
          <cell r="A744" t="str">
            <v>435023rd7 UNCATEGORIZED 300</v>
          </cell>
        </row>
        <row r="745">
          <cell r="A745" t="str">
            <v>435023rd7 UNCATEGORIZED 400</v>
          </cell>
        </row>
        <row r="746">
          <cell r="A746" t="str">
            <v>435023rd7 UNCATEGORIZED 500</v>
          </cell>
        </row>
        <row r="747">
          <cell r="A747" t="str">
            <v>435023rd7 UNCATEGORIZED 600</v>
          </cell>
        </row>
        <row r="748">
          <cell r="A748" t="str">
            <v>435022ndL07_DPVE_065E_RAISEBABOR 10</v>
          </cell>
        </row>
        <row r="749">
          <cell r="A749" t="str">
            <v>435022ndL07_DPVE_028E_STOPEDOLARIZA 20</v>
          </cell>
        </row>
        <row r="750">
          <cell r="A750" t="str">
            <v>435022ndL07_JVHW_072E_STOPEBABOR 567</v>
          </cell>
        </row>
        <row r="751">
          <cell r="A751" t="str">
            <v>435022nd7 UNCATEGORIZED 100</v>
          </cell>
        </row>
        <row r="752">
          <cell r="A752" t="str">
            <v>435022nd7 UNCATEGORIZED 300</v>
          </cell>
        </row>
        <row r="753">
          <cell r="A753" t="str">
            <v>435022nd7 UNCATEGORIZED 400</v>
          </cell>
        </row>
        <row r="754">
          <cell r="A754" t="str">
            <v>435022nd7 UNCATEGORIZED 500</v>
          </cell>
        </row>
        <row r="755">
          <cell r="A755" t="str">
            <v>435021stL07_DPVE_060E_DEVILLARANTE 40</v>
          </cell>
        </row>
        <row r="756">
          <cell r="A756" t="str">
            <v>435021stL07_DPVE_063E_DWALEÑAR 20</v>
          </cell>
        </row>
        <row r="757">
          <cell r="A757" t="str">
            <v>435021stL07_DPVE_028E_STOPEDOLARIZA 20</v>
          </cell>
        </row>
        <row r="758">
          <cell r="A758" t="str">
            <v>435021stL07_CTV_061E_STOPE PREPVILLARANTE 369</v>
          </cell>
        </row>
        <row r="759">
          <cell r="A759" t="str">
            <v>435021st7 UNCATEGORIZED 300</v>
          </cell>
        </row>
        <row r="760">
          <cell r="A760" t="str">
            <v>435021st7 UNCATEGORIZED 500</v>
          </cell>
        </row>
        <row r="761">
          <cell r="A761" t="str">
            <v>435022ndL08_GHVHW_011E_DWDEMALATA 10</v>
          </cell>
        </row>
        <row r="762">
          <cell r="A762" t="str">
            <v>435022ndL08_DPVE_065E_RAISELERIO 40</v>
          </cell>
        </row>
        <row r="763">
          <cell r="A763" t="str">
            <v>435022ndL08_GHVFW_033E_RAISEVERSOZA 40</v>
          </cell>
        </row>
        <row r="764">
          <cell r="A764" t="str">
            <v>435022ndL08_DPVE_061E_STOPEAGLOLO 40</v>
          </cell>
        </row>
        <row r="765">
          <cell r="A765" t="str">
            <v>435022ndL08_GHVHW_031E_STOPEGEMENTIZA 10</v>
          </cell>
        </row>
        <row r="766">
          <cell r="A766" t="str">
            <v>435022ndL08_GHVFW_008E_STOPE PREPBELICAN 480</v>
          </cell>
        </row>
        <row r="767">
          <cell r="A767" t="str">
            <v>435022ndL08_NONE_016W_XCNSILVOZA 181</v>
          </cell>
        </row>
        <row r="768">
          <cell r="A768" t="str">
            <v>435022nd8 UNCATEGORIZED 300</v>
          </cell>
        </row>
        <row r="769">
          <cell r="A769" t="str">
            <v>435022nd8 UNCATEGORIZED 500</v>
          </cell>
        </row>
        <row r="770">
          <cell r="A770" t="str">
            <v>435022nd8 UNCATEGORIZED 600</v>
          </cell>
        </row>
        <row r="771">
          <cell r="A771" t="str">
            <v>435021stL08_GHVHW_011E_DWDEMALATA 10</v>
          </cell>
        </row>
        <row r="772">
          <cell r="A772" t="str">
            <v>435021stL08_DPVE_061E_STOPEAGLOLO 40</v>
          </cell>
        </row>
        <row r="773">
          <cell r="A773" t="str">
            <v>435021stL08_GHVFW_001E_STOPEAGLOLO 10</v>
          </cell>
        </row>
        <row r="774">
          <cell r="A774" t="str">
            <v>435021stL08_GHVHW_031E_STOPEGEMENTIZA 10</v>
          </cell>
        </row>
        <row r="775">
          <cell r="A775" t="str">
            <v>435021stL08_JV_029E_STOPEBORERO 40</v>
          </cell>
        </row>
        <row r="776">
          <cell r="A776" t="str">
            <v>435021st8 UNCATEGORIZED 100</v>
          </cell>
        </row>
        <row r="777">
          <cell r="A777" t="str">
            <v>435021st8 UNCATEGORIZED 600</v>
          </cell>
        </row>
        <row r="778">
          <cell r="A778" t="str">
            <v>435021st8 UNCATEGORIZED 700</v>
          </cell>
        </row>
        <row r="779">
          <cell r="A779" t="str">
            <v>435023rdL08_JV_055E_DEBENONGUIL 10</v>
          </cell>
        </row>
        <row r="780">
          <cell r="A780" t="str">
            <v>435023rdL08_DPVE_048E_DWSILVOZA 30</v>
          </cell>
        </row>
        <row r="781">
          <cell r="A781" t="str">
            <v>435023rdL08_GHVFW_038E_DWTORMIS 10</v>
          </cell>
        </row>
        <row r="782">
          <cell r="A782" t="str">
            <v>435023rdL08_GHVHW_011E_DWDEMALATA 10</v>
          </cell>
        </row>
        <row r="783">
          <cell r="A783" t="str">
            <v>435023rdL08_DPVE_065E_RAISELERIO 40</v>
          </cell>
        </row>
        <row r="784">
          <cell r="A784" t="str">
            <v>435023rdL08_GHVSPLIT_003E_RAISEBELICAN 40</v>
          </cell>
        </row>
        <row r="785">
          <cell r="A785" t="str">
            <v>435023rdL08_DPVE_061E_STOPEAGLOLO 40</v>
          </cell>
        </row>
        <row r="786">
          <cell r="A786" t="str">
            <v>435023rdL08_GHV_036E_STOPEBORERO 30</v>
          </cell>
        </row>
        <row r="787">
          <cell r="A787" t="str">
            <v>435023rdL08_GHVFW_001E_STOPEAGLOLO 10</v>
          </cell>
        </row>
        <row r="788">
          <cell r="A788" t="str">
            <v>435023rdL08_GHVHW_031E_STOPEGEMENTIZA 10</v>
          </cell>
        </row>
        <row r="789">
          <cell r="A789" t="str">
            <v>435023rdL08_GHVHW_034E_STOPECAPOY 20</v>
          </cell>
        </row>
        <row r="790">
          <cell r="A790" t="str">
            <v>435023rd8 UNCATEGORIZED 100</v>
          </cell>
        </row>
        <row r="791">
          <cell r="A791" t="str">
            <v>435023rd8 UNCATEGORIZED 500</v>
          </cell>
        </row>
        <row r="792">
          <cell r="A792" t="str">
            <v>435023rd8 UNCATEGORIZED 600</v>
          </cell>
        </row>
        <row r="793">
          <cell r="A793" t="str">
            <v>435023rdL09_DPVE_051E_DEBALANGHIG 10</v>
          </cell>
        </row>
        <row r="794">
          <cell r="A794" t="str">
            <v>435023rdL09_GHVHW_049E_DEBABOR 10</v>
          </cell>
        </row>
        <row r="795">
          <cell r="A795" t="str">
            <v>435023rdL09_JV_050E_DEDAVOCOL, ROSELIO 30</v>
          </cell>
        </row>
        <row r="796">
          <cell r="A796" t="str">
            <v>435023rdL09_DPVE_051E_RAISEDAVOCOL, ROSELIO 40</v>
          </cell>
        </row>
        <row r="797">
          <cell r="A797" t="str">
            <v>435023rdL09_GHV_060E_STOPEPANSIT 60</v>
          </cell>
        </row>
        <row r="798">
          <cell r="A798" t="str">
            <v>435023rdL09_JV_058E_STOPECANOY 10</v>
          </cell>
        </row>
        <row r="799">
          <cell r="A799" t="str">
            <v>435023rdL09_JVFW_057E_STOPEDELOS REYES V. 60</v>
          </cell>
        </row>
        <row r="800">
          <cell r="A800" t="str">
            <v>435023rdL09_GHVFW_028E_STOPE PREPPANCIT, NOEL 40</v>
          </cell>
        </row>
        <row r="801">
          <cell r="A801" t="str">
            <v>435023rdL09_GHVFW_034E_STOPE PREPCANOY 20</v>
          </cell>
        </row>
        <row r="802">
          <cell r="A802" t="str">
            <v>435023rd9 UNCATEGORIZED 100</v>
          </cell>
        </row>
        <row r="803">
          <cell r="A803" t="str">
            <v>435023rd10 UNCATEGORIZED 300</v>
          </cell>
        </row>
        <row r="804">
          <cell r="A804" t="str">
            <v>435022ndL08_NONE_035E_SHAFTHUMIDING 20</v>
          </cell>
        </row>
        <row r="805">
          <cell r="A805" t="str">
            <v>435022ndL09_GHVFW_040E_DEPANSIT 40</v>
          </cell>
        </row>
        <row r="806">
          <cell r="A806" t="str">
            <v>435022ndL09_JVFW_062E_DESHEPHERD S0</v>
          </cell>
        </row>
        <row r="807">
          <cell r="A807" t="str">
            <v>435022ndL09_GHV_015W_STOPESHEPHERD R0</v>
          </cell>
        </row>
        <row r="808">
          <cell r="A808" t="str">
            <v>435022ndL09_GHV_060E_STOPEPANSIT 60</v>
          </cell>
        </row>
        <row r="809">
          <cell r="A809" t="str">
            <v>435022ndL09_JV_058E_STOPECANOY 10</v>
          </cell>
        </row>
        <row r="810">
          <cell r="A810" t="str">
            <v>435022ndL09_JVFW_057E_STOPEDELOS REYES V. 60</v>
          </cell>
        </row>
        <row r="811">
          <cell r="A811" t="str">
            <v>435022ndL09_GHV_017W_STOPE PREPCAPPUYO 20</v>
          </cell>
        </row>
        <row r="812">
          <cell r="A812" t="str">
            <v>435022ndL09_GHVFW_028E_STOPE PREPPANCIT, NOEL 40</v>
          </cell>
        </row>
        <row r="813">
          <cell r="A813" t="str">
            <v>435022ndL09_NONE_070E_XCNDELOS REYES V. 20</v>
          </cell>
        </row>
        <row r="814">
          <cell r="A814" t="str">
            <v>435022ndL10_GHVFW_021E_DETAÑEZA 30</v>
          </cell>
        </row>
        <row r="815">
          <cell r="A815" t="str">
            <v>435022ndL10_JVFW_055E_DETAÑEZA 1199</v>
          </cell>
        </row>
        <row r="816">
          <cell r="A816" t="str">
            <v>435022nd9 UNCATEGORIZED 300</v>
          </cell>
        </row>
        <row r="817">
          <cell r="A817" t="str">
            <v>435022nd9 UNCATEGORIZED 400</v>
          </cell>
        </row>
        <row r="818">
          <cell r="A818" t="str">
            <v>435022nd10 UNCATEGORIZED 200</v>
          </cell>
        </row>
        <row r="819">
          <cell r="A819" t="str">
            <v>435022nd10 UNCATEGORIZED 400</v>
          </cell>
        </row>
        <row r="820">
          <cell r="A820" t="str">
            <v>435021stL09_DPVE_051E_DEBALANGHIG 10</v>
          </cell>
        </row>
        <row r="821">
          <cell r="A821" t="str">
            <v>435021stL09_GHV_067E_DEPANSIT 40</v>
          </cell>
        </row>
        <row r="822">
          <cell r="A822" t="str">
            <v>435021stL09_JV_050E_DEDAVOCOL, ROSELIO 30</v>
          </cell>
        </row>
        <row r="823">
          <cell r="A823" t="str">
            <v>435021stL09_JV_046E_DWDELOS REYES V. 20</v>
          </cell>
        </row>
        <row r="824">
          <cell r="A824" t="str">
            <v>435021stL09_GHVHW_029E_RAISEHUMIDING 20</v>
          </cell>
        </row>
        <row r="825">
          <cell r="A825" t="str">
            <v>435021stL09_GHV_015W_STOPESHEPHERD R0</v>
          </cell>
        </row>
        <row r="826">
          <cell r="A826" t="str">
            <v>435021stL09_GHV_060E_STOPEPANSIT 60</v>
          </cell>
        </row>
        <row r="827">
          <cell r="A827" t="str">
            <v>435021stL09_JV_058E_STOPECANOY 10</v>
          </cell>
        </row>
        <row r="828">
          <cell r="A828" t="str">
            <v>435021stL09_GHVFW_028E_STOPE PREPPANCIT, NOEL 40</v>
          </cell>
        </row>
        <row r="829">
          <cell r="A829" t="str">
            <v>435021stL09_GHVFW_034E_STOPE PREPCANOY 20</v>
          </cell>
        </row>
        <row r="830">
          <cell r="A830" t="str">
            <v>435021stL10_GHV_033E_DETAÑEZA 40</v>
          </cell>
        </row>
        <row r="831">
          <cell r="A831" t="str">
            <v>435021stL10_JV_059E_DETAÑEZA 70</v>
          </cell>
        </row>
        <row r="832">
          <cell r="A832" t="str">
            <v>435021stL10_JVSPLIT_057E_DETAÑEZA 8100</v>
          </cell>
        </row>
        <row r="833">
          <cell r="A833" t="str">
            <v>435021stL10_GHV_019E_RAISETAÑEZA 90</v>
          </cell>
        </row>
        <row r="834">
          <cell r="A834" t="str">
            <v>435021stL10_NONE_053E_SUMPTAÑEZA 110</v>
          </cell>
        </row>
        <row r="835">
          <cell r="A835" t="str">
            <v>435021st9 UNCATEGORIZED 100</v>
          </cell>
        </row>
        <row r="836">
          <cell r="A836" t="str">
            <v>435021st9 UNCATEGORIZED 400</v>
          </cell>
        </row>
        <row r="837">
          <cell r="A837" t="str">
            <v>435021st10 UNCATEGORIZED 100</v>
          </cell>
        </row>
        <row r="838">
          <cell r="A838" t="str">
            <v>435031stL02_JV_034W_RAISECARIKITAN 30</v>
          </cell>
        </row>
        <row r="839">
          <cell r="A839" t="str">
            <v>435031stL02_GHV_009W_ROBBINGMONTEBON 40</v>
          </cell>
        </row>
        <row r="840">
          <cell r="A840" t="str">
            <v>435031stL02_JV_030W_ROBBINGLERIO, RAUL0</v>
          </cell>
        </row>
        <row r="841">
          <cell r="A841" t="str">
            <v>435031stL02_RYV_020W_ROBBINGMONTEBON 50</v>
          </cell>
        </row>
        <row r="842">
          <cell r="A842" t="str">
            <v>435031stL02_RYV_023W_ROBBINGCARIKITAN 10</v>
          </cell>
        </row>
        <row r="843">
          <cell r="A843" t="str">
            <v>435031st2 UNCATEGORIZED 400</v>
          </cell>
        </row>
        <row r="844">
          <cell r="A844" t="str">
            <v>435031stL04_JV_049W_RAISEDUHIG 30</v>
          </cell>
        </row>
        <row r="845">
          <cell r="A845" t="str">
            <v>435031stL04_RYV_010E_RAISEMARTINEZ DN 10</v>
          </cell>
        </row>
        <row r="846">
          <cell r="A846" t="str">
            <v>435031stL04_GHV_010W_ROBBINGCABONITA 30</v>
          </cell>
        </row>
        <row r="847">
          <cell r="A847" t="str">
            <v>435031stL04_GHVFW_014E_STOPE PREPPARAGUYA 40</v>
          </cell>
        </row>
        <row r="848">
          <cell r="A848" t="str">
            <v>435031st4 UNCATEGORIZED 900</v>
          </cell>
        </row>
        <row r="849">
          <cell r="A849" t="str">
            <v>435031stL05_NV_005W_RAISESHEPHERD P0</v>
          </cell>
        </row>
        <row r="850">
          <cell r="A850" t="str">
            <v>435031stL05_CTV_009E_ROBBINGFERNANDEZ RX 40</v>
          </cell>
        </row>
        <row r="851">
          <cell r="A851" t="str">
            <v>435031stL05_CTV_008W_STOPESHEPHERD P0</v>
          </cell>
        </row>
        <row r="852">
          <cell r="A852" t="str">
            <v>435031stL05_JV_018E_STOPEBALDO 252</v>
          </cell>
        </row>
        <row r="853">
          <cell r="A853" t="str">
            <v>435031stL05_CV_010E_WINZESHEPHERD L56</v>
          </cell>
        </row>
        <row r="854">
          <cell r="A854" t="str">
            <v>435031st5 UNCATEGORIZED 300</v>
          </cell>
        </row>
        <row r="855">
          <cell r="A855" t="str">
            <v>435031st5 UNCATEGORIZED 400</v>
          </cell>
        </row>
        <row r="856">
          <cell r="A856" t="str">
            <v>435031stL06_DPVE_035E_DEBAÑEZ 90</v>
          </cell>
        </row>
        <row r="857">
          <cell r="A857" t="str">
            <v>435031stL06_JV_027E_RAISEQUIJANO 40</v>
          </cell>
        </row>
        <row r="858">
          <cell r="A858" t="str">
            <v>435031stL06_GHVFW_003E_STOPE PREPBAÑEZ 40</v>
          </cell>
        </row>
        <row r="859">
          <cell r="A859" t="str">
            <v>435031stL06_CV_018E_WINZEGONZALES 20</v>
          </cell>
        </row>
        <row r="860">
          <cell r="A860" t="str">
            <v>435031stL06_NONE_002W_XCNBADBADON R.40</v>
          </cell>
        </row>
        <row r="861">
          <cell r="A861" t="str">
            <v>435031stL06_NONE_021E_XCNGUNAY 10</v>
          </cell>
        </row>
        <row r="862">
          <cell r="A862" t="str">
            <v>435031st6 UNCATEGORIZED 600</v>
          </cell>
        </row>
        <row r="863">
          <cell r="A863" t="str">
            <v>435031stL07_DPVE_060E_DEVILLARANTE 40</v>
          </cell>
        </row>
        <row r="864">
          <cell r="A864" t="str">
            <v>435031stL07_JVHW_072E_STOPEBABOR 567</v>
          </cell>
        </row>
        <row r="865">
          <cell r="A865" t="str">
            <v>435031stL07_CTV_061E_STOPE PREPVILLARANTE 369</v>
          </cell>
        </row>
        <row r="866">
          <cell r="A866" t="str">
            <v>435031st7 UNCATEGORIZED 300</v>
          </cell>
        </row>
        <row r="867">
          <cell r="A867" t="str">
            <v>435031st7 UNCATEGORIZED 500</v>
          </cell>
        </row>
        <row r="868">
          <cell r="A868" t="str">
            <v>435031st7 UNCATEGORIZED 600</v>
          </cell>
        </row>
        <row r="869">
          <cell r="A869" t="str">
            <v>435031stL08_GHV_036E_STOPEBORERO 30</v>
          </cell>
        </row>
        <row r="870">
          <cell r="A870" t="str">
            <v>435031stL08_GHVFW_001E_STOPEAGLOLO 10</v>
          </cell>
        </row>
        <row r="871">
          <cell r="A871" t="str">
            <v>435031st8 UNCATEGORIZED 400</v>
          </cell>
        </row>
        <row r="872">
          <cell r="A872" t="str">
            <v>435031st8 UNCATEGORIZED 600</v>
          </cell>
        </row>
        <row r="873">
          <cell r="A873" t="str">
            <v>435031stL09_GHV_060E_STOPEPANSIT 60</v>
          </cell>
        </row>
        <row r="874">
          <cell r="A874" t="str">
            <v>435031stL09_GHVFW_034E_STOPE PREPCANOY 20</v>
          </cell>
        </row>
        <row r="875">
          <cell r="A875" t="str">
            <v>435031stL09_NONE_070E_XCNDELOS REYES V. 20</v>
          </cell>
        </row>
        <row r="876">
          <cell r="A876" t="str">
            <v>435031stL10_GHV_020E_DETAÑEZA 90</v>
          </cell>
        </row>
        <row r="877">
          <cell r="A877" t="str">
            <v>435031stL10_GHV_033E_DETAÑEZA 40</v>
          </cell>
        </row>
        <row r="878">
          <cell r="A878" t="str">
            <v>435031stL10_GHVFW_021E_DETAÑEZA 30</v>
          </cell>
        </row>
        <row r="879">
          <cell r="A879" t="str">
            <v>435031st9 UNCATEGORIZED 300</v>
          </cell>
        </row>
        <row r="880">
          <cell r="A880" t="str">
            <v>435031st9 UNCATEGORIZED 500</v>
          </cell>
        </row>
        <row r="881">
          <cell r="A881" t="str">
            <v>435032ndL02_JV_040W_DWNOCOS, A. 10</v>
          </cell>
        </row>
        <row r="882">
          <cell r="A882" t="str">
            <v>435032ndL02_JV_034W_RAISECARIKITAN 30</v>
          </cell>
        </row>
        <row r="883">
          <cell r="A883" t="str">
            <v>435032ndL02_RYV_020W_ROBBINGMONTEBON 50</v>
          </cell>
        </row>
        <row r="884">
          <cell r="A884" t="str">
            <v>435032ndL02_CV_007E_WINZEALMASA 30</v>
          </cell>
        </row>
        <row r="885">
          <cell r="A885" t="str">
            <v>435032nd2 UNCATEGORIZED 100</v>
          </cell>
        </row>
        <row r="886">
          <cell r="A886" t="str">
            <v>435032nd2 UNCATEGORIZED 500</v>
          </cell>
        </row>
        <row r="887">
          <cell r="A887" t="str">
            <v>435033rdL02_JV_034W_RAISECARIKITAN 30</v>
          </cell>
        </row>
        <row r="888">
          <cell r="A888" t="str">
            <v>435033rdL02_CTV_061W_ROBBINGNOCOS 20</v>
          </cell>
        </row>
        <row r="889">
          <cell r="A889" t="str">
            <v>435033rdL02_GHV_009W_ROBBINGMONTEBON 40</v>
          </cell>
        </row>
        <row r="890">
          <cell r="A890" t="str">
            <v>435033rdL02_JV_030W_ROBBINGLERIO, RAUL0</v>
          </cell>
        </row>
        <row r="891">
          <cell r="A891" t="str">
            <v>435033rdL02_RYV_012W_ROBBINGLASANAS0</v>
          </cell>
        </row>
        <row r="892">
          <cell r="A892" t="str">
            <v>435033rdL02_RYV_020W_ROBBINGMONTEBON 50</v>
          </cell>
        </row>
        <row r="893">
          <cell r="A893" t="str">
            <v>435033rdL02_CV_005E_STOPE PREPALMASA 20</v>
          </cell>
        </row>
        <row r="894">
          <cell r="A894" t="str">
            <v>435033rd2 UNCATEGORIZED 200</v>
          </cell>
        </row>
        <row r="895">
          <cell r="A895" t="str">
            <v>435032ndL04_JV_049W_RAISEDUHIG 30</v>
          </cell>
        </row>
        <row r="896">
          <cell r="A896" t="str">
            <v>435032ndL04_GHV_010W_ROBBINGCABONITA 30</v>
          </cell>
        </row>
        <row r="897">
          <cell r="A897" t="str">
            <v>435032ndL04_CTV5_016E_STOPECABCAD 10</v>
          </cell>
        </row>
        <row r="898">
          <cell r="A898" t="str">
            <v>435032ndL04_JV_047W_STOPEDUHIG 10</v>
          </cell>
        </row>
        <row r="899">
          <cell r="A899" t="str">
            <v>435032ndL04_JV_023W_WINZEOY-YOY 20</v>
          </cell>
        </row>
        <row r="900">
          <cell r="A900" t="str">
            <v>435032nd4 UNCATEGORIZED 300</v>
          </cell>
        </row>
        <row r="901">
          <cell r="A901" t="str">
            <v>435032nd4 UNCATEGORIZED 700</v>
          </cell>
        </row>
        <row r="902">
          <cell r="A902" t="str">
            <v>435032nd4 UNCATEGORIZED 900</v>
          </cell>
        </row>
        <row r="903">
          <cell r="A903" t="str">
            <v>435032nd4 UNCATEGORIZED 1100</v>
          </cell>
        </row>
        <row r="904">
          <cell r="A904" t="str">
            <v>435032ndL04_CTV_017W_ROBBINGNOCOS, ARIEL0</v>
          </cell>
        </row>
        <row r="905">
          <cell r="A905" t="str">
            <v>435032ndL04_CV_012W_ROBBINGMARTINEZ RON. 10</v>
          </cell>
        </row>
        <row r="906">
          <cell r="A906" t="str">
            <v>435032ndL04_GHVFW_014E_STOPE PREPPARAGUYA 40</v>
          </cell>
        </row>
        <row r="907">
          <cell r="A907" t="str">
            <v>435033rdL04_JV_049W_RAISEDUHIG 30</v>
          </cell>
        </row>
        <row r="908">
          <cell r="A908" t="str">
            <v>435033rdL04_CTV_017W_ROBBINGNOCOS, ARIEL0</v>
          </cell>
        </row>
        <row r="909">
          <cell r="A909" t="str">
            <v>435033rdL04_CV_012W_ROBBINGMARTINEZ RON. 10</v>
          </cell>
        </row>
        <row r="910">
          <cell r="A910" t="str">
            <v>435033rdL04_GHVFW_014E_STOPE PREPPARAGUYA 40</v>
          </cell>
        </row>
        <row r="911">
          <cell r="A911" t="str">
            <v>435032ndL05_CTV_009E_ROBBINGFERNANDEZ RX 40</v>
          </cell>
        </row>
        <row r="912">
          <cell r="A912" t="str">
            <v>435032ndL05_CV_011W_ROBBINGPANCIT 90</v>
          </cell>
        </row>
        <row r="913">
          <cell r="A913" t="str">
            <v>435032ndL05_GHV_010W_ROBBINGFERNANDEZ RX 40</v>
          </cell>
        </row>
        <row r="914">
          <cell r="A914" t="str">
            <v>435033rdL05_CV_011W_ROBBINGPANCIT 90</v>
          </cell>
        </row>
        <row r="915">
          <cell r="A915" t="str">
            <v>435033rdL05_GHV_010W_ROBBINGFERNANDEZ RX 40</v>
          </cell>
        </row>
        <row r="916">
          <cell r="A916" t="str">
            <v>435033rdL05_CTV_008W_STOPESHEPHERD P0</v>
          </cell>
        </row>
        <row r="917">
          <cell r="A917" t="str">
            <v>435033rdL05_CV_023W_STOPEPANCIT 655</v>
          </cell>
        </row>
        <row r="918">
          <cell r="A918" t="str">
            <v>435033rd5 UNCATEGORIZED 200</v>
          </cell>
        </row>
        <row r="919">
          <cell r="A919" t="str">
            <v>435033rd5 UNCATEGORIZED 300</v>
          </cell>
        </row>
        <row r="920">
          <cell r="A920" t="str">
            <v>435033rd5 UNCATEGORIZED 600</v>
          </cell>
        </row>
        <row r="921">
          <cell r="A921" t="str">
            <v>435033rdL06_CTV_026E_DWQUIJANO 40</v>
          </cell>
        </row>
        <row r="922">
          <cell r="A922" t="str">
            <v>435033rdL06_JV_001W_RAISEREBOTE 20</v>
          </cell>
        </row>
        <row r="923">
          <cell r="A923" t="str">
            <v>435033rdL06_JV_021E_RAISEMANZANO 20</v>
          </cell>
        </row>
        <row r="924">
          <cell r="A924" t="str">
            <v>435033rdL06_JV_027E_RAISEQUIJANO 40</v>
          </cell>
        </row>
        <row r="925">
          <cell r="A925" t="str">
            <v>435033rdL06_DPVE_022E_STOPEBAÑEZ 60</v>
          </cell>
        </row>
        <row r="926">
          <cell r="A926" t="str">
            <v>435033rd6 UNCATEGORIZED 800</v>
          </cell>
        </row>
        <row r="927">
          <cell r="A927" t="str">
            <v>435032ndL06_DPVE_035E_DEBAÑEZ 90</v>
          </cell>
        </row>
        <row r="928">
          <cell r="A928" t="str">
            <v>435032ndL06_GHVFW_028W_DEBUGAWAN 20</v>
          </cell>
        </row>
        <row r="929">
          <cell r="A929" t="str">
            <v>435032ndL06_JV_021E_RAISEMANZANO 20</v>
          </cell>
        </row>
        <row r="930">
          <cell r="A930" t="str">
            <v>435032ndL06_JV_027E_RAISEQUIJANO 40</v>
          </cell>
        </row>
        <row r="931">
          <cell r="A931" t="str">
            <v>435032ndL06_JV_056E_ROBBINGUDLOS 10</v>
          </cell>
        </row>
        <row r="932">
          <cell r="A932" t="str">
            <v>435032ndL06_DPVE_022E_STOPEBAÑEZ 60</v>
          </cell>
        </row>
        <row r="933">
          <cell r="A933" t="str">
            <v>435032ndL06_JVFW_006E_STOPEBADBADON R. 50</v>
          </cell>
        </row>
        <row r="934">
          <cell r="A934" t="str">
            <v>435032nd6 UNCATEGORIZED 800</v>
          </cell>
        </row>
        <row r="935">
          <cell r="A935" t="str">
            <v>435032nd6 UNCATEGORIZED 900</v>
          </cell>
        </row>
        <row r="936">
          <cell r="A936" t="str">
            <v>435033rdL07_DPVE_060E_DEVILLARANTE 40</v>
          </cell>
        </row>
        <row r="937">
          <cell r="A937" t="str">
            <v>435033rdL07_GHV_019E_DEBORERO 10</v>
          </cell>
        </row>
        <row r="938">
          <cell r="A938" t="str">
            <v>435033rdL07_DPVE_065E_RAISEBABOR 10</v>
          </cell>
        </row>
        <row r="939">
          <cell r="A939" t="str">
            <v>435033rdL07_JVHW_063E_RAISESHEPHERD O0</v>
          </cell>
        </row>
        <row r="940">
          <cell r="A940" t="str">
            <v>435033rdL07_CTV_061E_STOPE PREPVILLARANTE 369</v>
          </cell>
        </row>
        <row r="941">
          <cell r="A941" t="str">
            <v>435033rdL07_GHVHW_056E_WINZE STOPE PREPBABOR 30</v>
          </cell>
        </row>
        <row r="942">
          <cell r="A942" t="str">
            <v>435033rdL07_NONE_020W_XCSSHEPHERD H0</v>
          </cell>
        </row>
        <row r="943">
          <cell r="A943" t="str">
            <v>435033rd7 UNCATEGORIZED 300</v>
          </cell>
        </row>
        <row r="944">
          <cell r="A944" t="str">
            <v>435033rd7 UNCATEGORIZED 400</v>
          </cell>
        </row>
        <row r="945">
          <cell r="A945" t="str">
            <v>435032ndL07_DPVE_063E_DWALEÑAR 20</v>
          </cell>
        </row>
        <row r="946">
          <cell r="A946" t="str">
            <v>435032ndL07_GHV_013E_ROBBINGBAYOBAY 10</v>
          </cell>
        </row>
        <row r="947">
          <cell r="A947" t="str">
            <v>435032ndL07_JVHW_072E_STOPEBABOR 567</v>
          </cell>
        </row>
        <row r="948">
          <cell r="A948" t="str">
            <v>435032ndL07_GHVHW_056E_WINZE STOPE PREPBABOR 30</v>
          </cell>
        </row>
        <row r="949">
          <cell r="A949" t="str">
            <v>435032nd7 UNCATEGORIZED 300</v>
          </cell>
        </row>
        <row r="950">
          <cell r="A950" t="str">
            <v>435032nd7 UNCATEGORIZED 600</v>
          </cell>
        </row>
        <row r="951">
          <cell r="A951" t="str">
            <v>435032ndL07_JVHW_063E_RAISESHEPHERD O0</v>
          </cell>
        </row>
        <row r="952">
          <cell r="A952" t="str">
            <v>435032ndL08_DPVE_068E_DELERIO 30</v>
          </cell>
        </row>
        <row r="953">
          <cell r="A953" t="str">
            <v>435032ndL08_DPVE_048E_DWSILVOZA 30</v>
          </cell>
        </row>
        <row r="954">
          <cell r="A954" t="str">
            <v>435032ndL08_GHVFW_027E_DWBENONGUIL 20</v>
          </cell>
        </row>
        <row r="955">
          <cell r="A955" t="str">
            <v>435032ndL08_GHVHW_011E_DWDEMALATA 10</v>
          </cell>
        </row>
        <row r="956">
          <cell r="A956" t="str">
            <v>435032ndL08_GHVSPLIT_003E_RAISEBELICAN 40</v>
          </cell>
        </row>
        <row r="957">
          <cell r="A957" t="str">
            <v>435032ndL08_JV_020E_RAISEAGLOLO 10</v>
          </cell>
        </row>
        <row r="958">
          <cell r="A958" t="str">
            <v>435032ndL08_DPVE_061E_STOPEAGLOLO 40</v>
          </cell>
        </row>
        <row r="959">
          <cell r="A959" t="str">
            <v>435032ndL08_GHV_036E_STOPEBORERO 30</v>
          </cell>
        </row>
        <row r="960">
          <cell r="A960" t="str">
            <v>435032ndL08_NONE_037E_XCSPMC MINERS 182</v>
          </cell>
        </row>
        <row r="961">
          <cell r="A961" t="str">
            <v>435032nd8 UNCATEGORIZED 100</v>
          </cell>
        </row>
        <row r="962">
          <cell r="A962" t="str">
            <v>435032nd8 UNCATEGORIZED 600</v>
          </cell>
        </row>
        <row r="963">
          <cell r="A963" t="str">
            <v>435033rdL08_DPVE_068E_DELERIO 30</v>
          </cell>
        </row>
        <row r="964">
          <cell r="A964" t="str">
            <v>435033rdL08_JV_055E_DEBENONGUIL 10</v>
          </cell>
        </row>
        <row r="965">
          <cell r="A965" t="str">
            <v>435033rdL08_GHVFW_038E_DWTORMIS 10</v>
          </cell>
        </row>
        <row r="966">
          <cell r="A966" t="str">
            <v>435033rdL08_GHVHW_011E_DWDEMALATA 10</v>
          </cell>
        </row>
        <row r="967">
          <cell r="A967" t="str">
            <v>435033rdL08_DPVE_061E_STOPEAGLOLO 40</v>
          </cell>
        </row>
        <row r="968">
          <cell r="A968" t="str">
            <v>435033rdL08_GHV_036E_STOPEBORERO 30</v>
          </cell>
        </row>
        <row r="969">
          <cell r="A969" t="str">
            <v>435033rdL08_GHVHW_031E_STOPEGEMENTIZA 10</v>
          </cell>
        </row>
        <row r="970">
          <cell r="A970" t="str">
            <v>435033rd8 UNCATEGORIZED 500</v>
          </cell>
        </row>
        <row r="971">
          <cell r="A971" t="str">
            <v>435033rd8 UNCATEGORIZED 600</v>
          </cell>
        </row>
        <row r="972">
          <cell r="A972" t="str">
            <v>435033rd8 UNCATEGORIZED 700</v>
          </cell>
        </row>
        <row r="973">
          <cell r="A973" t="str">
            <v>435033rdL09_GHVHW_049E_DEBABOR 10</v>
          </cell>
        </row>
        <row r="974">
          <cell r="A974" t="str">
            <v>435033rdL09_JV_050E_DEDAVOCOL, ROSELIO 30</v>
          </cell>
        </row>
        <row r="975">
          <cell r="A975" t="str">
            <v>435033rdL09_JVFW_062E_DESHEPHERD S0</v>
          </cell>
        </row>
        <row r="976">
          <cell r="A976" t="str">
            <v>435033rdL09_DPVE_051E_RAISEDAVOCOL, ROSELIO 40</v>
          </cell>
        </row>
        <row r="977">
          <cell r="A977" t="str">
            <v>435033rdL09_GHV_060E_STOPEPANSIT 60</v>
          </cell>
        </row>
        <row r="978">
          <cell r="A978" t="str">
            <v>435033rdL10_GHVFW_021E_DETAÑEZA 30</v>
          </cell>
        </row>
        <row r="979">
          <cell r="A979" t="str">
            <v>435033rdL10_JVFW_055E_DETAÑEZA 1199</v>
          </cell>
        </row>
        <row r="980">
          <cell r="A980" t="str">
            <v>435033rdL10_JVSPLIT_057E_DETAÑEZA 8100</v>
          </cell>
        </row>
        <row r="981">
          <cell r="A981" t="str">
            <v>435033rdL10_GHV_019E_RAISETAÑEZA 90</v>
          </cell>
        </row>
        <row r="982">
          <cell r="A982" t="str">
            <v>435033rdL10_GHVFW_028E_RAISETAÑEZA 60</v>
          </cell>
        </row>
        <row r="983">
          <cell r="A983" t="str">
            <v>435033rd9 UNCATEGORIZED 200</v>
          </cell>
        </row>
        <row r="984">
          <cell r="A984" t="str">
            <v>435033rd9 UNCATEGORIZED 300</v>
          </cell>
        </row>
        <row r="985">
          <cell r="A985" t="str">
            <v>435033rd9 UNCATEGORIZED 400</v>
          </cell>
        </row>
        <row r="986">
          <cell r="A986" t="str">
            <v>435033rd10 UNCATEGORIZED 300</v>
          </cell>
        </row>
        <row r="987">
          <cell r="A987" t="str">
            <v>435032ndL09_DPVE_051E_DEBALANGHIG 10</v>
          </cell>
        </row>
        <row r="988">
          <cell r="A988" t="str">
            <v>435032ndL09_GHV_067E_DEPANSIT 40</v>
          </cell>
        </row>
        <row r="989">
          <cell r="A989" t="str">
            <v>435032ndL09_GHVFW_040E_DEPANSIT 40</v>
          </cell>
        </row>
        <row r="990">
          <cell r="A990" t="str">
            <v>435032ndL09_GHVHW_027E_DWHUMIDING 10</v>
          </cell>
        </row>
        <row r="991">
          <cell r="A991" t="str">
            <v>435032ndL09_JV_046E_DWDELOS REYES V. 20</v>
          </cell>
        </row>
        <row r="992">
          <cell r="A992" t="str">
            <v>435032ndL09_JVFW_032E_RAISEPANCIT, NOEL 30</v>
          </cell>
        </row>
        <row r="993">
          <cell r="A993" t="str">
            <v>435032ndL09_GHV_060E_STOPEPANSIT 60</v>
          </cell>
        </row>
        <row r="994">
          <cell r="A994" t="str">
            <v>435032ndL09_JVFW_057E_STOPEDELOS REYES V. 60</v>
          </cell>
        </row>
        <row r="995">
          <cell r="A995" t="str">
            <v>435032ndL09_GHV_017W_STOPE PREPCAPPUYO 20</v>
          </cell>
        </row>
        <row r="996">
          <cell r="A996" t="str">
            <v>435032ndL09_GHVFW_034E_STOPE PREPCANOY 20</v>
          </cell>
        </row>
        <row r="997">
          <cell r="A997" t="str">
            <v>435032ndL09_GHV_063E_WINZE0</v>
          </cell>
        </row>
        <row r="998">
          <cell r="A998" t="str">
            <v>435032ndL09_NONE_070E_XCNDELOS REYES V. 20</v>
          </cell>
        </row>
        <row r="999">
          <cell r="A999" t="str">
            <v>435032ndL10_GHV_020E_DETAÑEZA 90</v>
          </cell>
        </row>
        <row r="1000">
          <cell r="A1000" t="str">
            <v>435032ndL10_JVFW_055E_DETAÑEZA 1199</v>
          </cell>
        </row>
        <row r="1001">
          <cell r="A1001" t="str">
            <v>435032ndL10_GHV_019E_RAISETAÑEZA 90</v>
          </cell>
        </row>
        <row r="1002">
          <cell r="A1002" t="str">
            <v>435032nd9 UNCATEGORIZED 100</v>
          </cell>
        </row>
        <row r="1003">
          <cell r="A1003" t="str">
            <v>435032nd9 UNCATEGORIZED 500</v>
          </cell>
        </row>
        <row r="1004">
          <cell r="A1004" t="str">
            <v>435032nd10 UNCATEGORIZED 100</v>
          </cell>
        </row>
        <row r="1005">
          <cell r="A1005" t="str">
            <v>435032nd10 UNCATEGORIZED 200</v>
          </cell>
        </row>
        <row r="1006">
          <cell r="A1006" t="str">
            <v>435032nd10 UNCATEGORIZED 400</v>
          </cell>
        </row>
        <row r="1007">
          <cell r="A1007" t="str">
            <v>435032nd10 UNCATEGORIZED 500</v>
          </cell>
        </row>
        <row r="1008">
          <cell r="A1008" t="str">
            <v>435041stL02_JV_040W_DWNOCOS, A. 10</v>
          </cell>
        </row>
        <row r="1009">
          <cell r="A1009" t="str">
            <v>435041stL02_JV_034W_RAISECARIKITAN 30</v>
          </cell>
        </row>
        <row r="1010">
          <cell r="A1010" t="str">
            <v>435041stL02_GHV_009W_ROBBINGMONTEBON 40</v>
          </cell>
        </row>
        <row r="1011">
          <cell r="A1011" t="str">
            <v>435041stL02_RYV_020W_ROBBINGMONTEBON 50</v>
          </cell>
        </row>
        <row r="1012">
          <cell r="A1012" t="str">
            <v>435041st2 UNCATEGORIZED 100</v>
          </cell>
        </row>
        <row r="1013">
          <cell r="A1013" t="str">
            <v>435041st2 UNCATEGORIZED 600</v>
          </cell>
        </row>
        <row r="1014">
          <cell r="A1014" t="str">
            <v>435041stL04_RYV_010E_RAISEMARTINEZ DN 10</v>
          </cell>
        </row>
        <row r="1015">
          <cell r="A1015" t="str">
            <v>435041stL04_GHV_010W_ROBBINGCABONITA 30</v>
          </cell>
        </row>
        <row r="1016">
          <cell r="A1016" t="str">
            <v>435041stL04_JV_002E_STOPECABONITA 10</v>
          </cell>
        </row>
        <row r="1017">
          <cell r="A1017" t="str">
            <v>435041st4 UNCATEGORIZED 900</v>
          </cell>
        </row>
        <row r="1018">
          <cell r="A1018" t="str">
            <v>435041stL05_JVFW_012W_RAISEFERNANDEZ RX 30</v>
          </cell>
        </row>
        <row r="1019">
          <cell r="A1019" t="str">
            <v>435041stL05_NV_005W_RAISESHEPHERD P0</v>
          </cell>
        </row>
        <row r="1020">
          <cell r="A1020" t="str">
            <v>435041stL05_JV_014W_ROBBINGFERNANDEZ RX 50</v>
          </cell>
        </row>
        <row r="1021">
          <cell r="A1021" t="str">
            <v>435041stL05_CTV_008W_STOPESHEPHERD P0</v>
          </cell>
        </row>
        <row r="1022">
          <cell r="A1022" t="str">
            <v>435041stL05_CV_010E_WINZESHEPHERD L56</v>
          </cell>
        </row>
        <row r="1023">
          <cell r="A1023" t="str">
            <v>435041st5 UNCATEGORIZED 200</v>
          </cell>
        </row>
        <row r="1024">
          <cell r="A1024" t="str">
            <v>435041stL06_CV_005E_DEREBOTE 10</v>
          </cell>
        </row>
        <row r="1025">
          <cell r="A1025" t="str">
            <v>435041stL06_JV_001W_RAISEREBOTE 20</v>
          </cell>
        </row>
        <row r="1026">
          <cell r="A1026" t="str">
            <v>435041stL06_JV_027E_RAISEQUIJANO 40</v>
          </cell>
        </row>
        <row r="1027">
          <cell r="A1027" t="str">
            <v>435041stL06_DPVE_022E_STOPEBAÑEZ 60</v>
          </cell>
        </row>
        <row r="1028">
          <cell r="A1028" t="str">
            <v>435041stL06_NONE_002W_XCNBADBADON R.40</v>
          </cell>
        </row>
        <row r="1029">
          <cell r="A1029" t="str">
            <v>435041stL06_NONE_021E_XCNGUNAY 10</v>
          </cell>
        </row>
        <row r="1030">
          <cell r="A1030" t="str">
            <v>435041st6 UNCATEGORIZED 700</v>
          </cell>
        </row>
        <row r="1031">
          <cell r="A1031" t="str">
            <v>435041stL07_DPVE_060E_DEVILLARANTE 40</v>
          </cell>
        </row>
        <row r="1032">
          <cell r="A1032" t="str">
            <v>435041stL07_DPVE_063E_DWALEÑAR 20</v>
          </cell>
        </row>
        <row r="1033">
          <cell r="A1033" t="str">
            <v>435041stL07_JVHW_072E_STOPEBABOR 567</v>
          </cell>
        </row>
        <row r="1034">
          <cell r="A1034" t="str">
            <v>435041stL07_CTV_061E_STOPE PREPVILLARANTE 369</v>
          </cell>
        </row>
        <row r="1035">
          <cell r="A1035" t="str">
            <v>435041st7 UNCATEGORIZED 200</v>
          </cell>
        </row>
        <row r="1036">
          <cell r="A1036" t="str">
            <v>435041st7 UNCATEGORIZED 400</v>
          </cell>
        </row>
        <row r="1037">
          <cell r="A1037" t="str">
            <v>435041stL08_GHVFW_038E_DWTORMIS 10</v>
          </cell>
        </row>
        <row r="1038">
          <cell r="A1038" t="str">
            <v>435041stL08_DPVE_060E_RAISE00</v>
          </cell>
        </row>
        <row r="1039">
          <cell r="A1039" t="str">
            <v>435041stL08_DPVE_065E_RAISELERIO 40</v>
          </cell>
        </row>
        <row r="1040">
          <cell r="A1040" t="str">
            <v>435041stL08_GHVHW_031E_STOPEGEMENTIZA 10</v>
          </cell>
        </row>
        <row r="1041">
          <cell r="A1041" t="str">
            <v>435041stL08_NONE_016W_XCNSILVOZA 181</v>
          </cell>
        </row>
        <row r="1042">
          <cell r="A1042" t="str">
            <v>435041st8 UNCATEGORIZED 100</v>
          </cell>
        </row>
        <row r="1043">
          <cell r="A1043" t="str">
            <v>435041st8 UNCATEGORIZED 400</v>
          </cell>
        </row>
        <row r="1044">
          <cell r="A1044" t="str">
            <v>435041st8 UNCATEGORIZED 600</v>
          </cell>
        </row>
        <row r="1045">
          <cell r="A1045" t="str">
            <v>435041stL09_GHV_067E_DEPANSIT 40</v>
          </cell>
        </row>
        <row r="1046">
          <cell r="A1046" t="str">
            <v>435041stL09_JV_046E_DWDELOS REYES V. 20</v>
          </cell>
        </row>
        <row r="1047">
          <cell r="A1047" t="str">
            <v>435041stL09_GHVHW_029E_RAISEHUMIDING 20</v>
          </cell>
        </row>
        <row r="1048">
          <cell r="A1048" t="str">
            <v>435041stL09_JVFW_055E_RAISECANOY 30</v>
          </cell>
        </row>
        <row r="1049">
          <cell r="A1049" t="str">
            <v>435041stL09_GHV_060E_STOPEPANSIT 60</v>
          </cell>
        </row>
        <row r="1050">
          <cell r="A1050" t="str">
            <v>435041stL09_JV_058E_STOPECANOY 10</v>
          </cell>
        </row>
        <row r="1051">
          <cell r="A1051" t="str">
            <v>435041stL09_JVFW_057E_STOPEDELOS REYES V. 60</v>
          </cell>
        </row>
        <row r="1052">
          <cell r="A1052" t="str">
            <v>435041stL09_NONE_070E_XCNDELOS REYES V. 20</v>
          </cell>
        </row>
        <row r="1053">
          <cell r="A1053" t="str">
            <v>435041st9 UNCATEGORIZED 100</v>
          </cell>
        </row>
        <row r="1054">
          <cell r="A1054" t="str">
            <v>435042ndL02_JV_034W_RAISECARIKITAN 30</v>
          </cell>
        </row>
        <row r="1055">
          <cell r="A1055" t="str">
            <v>435042ndL02_CTV_061W_ROBBINGNOCOS 20</v>
          </cell>
        </row>
        <row r="1056">
          <cell r="A1056" t="str">
            <v>435042ndL02_GHV_009W_ROBBINGMONTEBON 40</v>
          </cell>
        </row>
        <row r="1057">
          <cell r="A1057" t="str">
            <v>435042ndL02_JV_030W_ROBBINGLERIO, RAUL0</v>
          </cell>
        </row>
        <row r="1058">
          <cell r="A1058" t="str">
            <v>435042ndL02_JV_042W_ROBBINGDAGAMAC0</v>
          </cell>
        </row>
        <row r="1059">
          <cell r="A1059" t="str">
            <v>435042ndL02_JVHW_051W_ROBBINGLERIO, RAUL0</v>
          </cell>
        </row>
        <row r="1060">
          <cell r="A1060" t="str">
            <v>435042ndL02_RYV_020W_ROBBINGMONTEBON 50</v>
          </cell>
        </row>
        <row r="1061">
          <cell r="A1061" t="str">
            <v>435042ndL02_RYV_023W_ROBBINGCARIKITAN 10</v>
          </cell>
        </row>
        <row r="1062">
          <cell r="A1062" t="str">
            <v>435042nd2 UNCATEGORIZED 100</v>
          </cell>
        </row>
        <row r="1063">
          <cell r="A1063" t="str">
            <v>435042nd2 UNCATEGORIZED 200</v>
          </cell>
        </row>
        <row r="1064">
          <cell r="A1064" t="str">
            <v>435043rdL02_JV_034W_RAISECARIKITAN 30</v>
          </cell>
        </row>
        <row r="1065">
          <cell r="A1065" t="str">
            <v>435043rdL02_GHV_009W_ROBBINGMONTEBON 40</v>
          </cell>
        </row>
        <row r="1066">
          <cell r="A1066" t="str">
            <v>435043rdL02_RYV_020W_ROBBINGMONTEBON 50</v>
          </cell>
        </row>
        <row r="1067">
          <cell r="A1067" t="str">
            <v>435043rdL02_CV_007E_WINZEALMASA 30</v>
          </cell>
        </row>
        <row r="1068">
          <cell r="A1068" t="str">
            <v>435043rd2 UNCATEGORIZED 200</v>
          </cell>
        </row>
        <row r="1069">
          <cell r="A1069" t="str">
            <v>435043rd2 UNCATEGORIZED 400</v>
          </cell>
        </row>
        <row r="1070">
          <cell r="A1070" t="str">
            <v>435043rdL04_RYV_010E_RAISEMARTINEZ DN 10</v>
          </cell>
        </row>
        <row r="1071">
          <cell r="A1071" t="str">
            <v>435043rdL04_CTV_017W_ROBBINGNOCOS, ARIEL0</v>
          </cell>
        </row>
        <row r="1072">
          <cell r="A1072" t="str">
            <v>435043rdL04_CV_012W_ROBBINGMARTINEZ RON. 10</v>
          </cell>
        </row>
        <row r="1073">
          <cell r="A1073" t="str">
            <v>435043rdL04_GHVSPLIT_043W_ROBBINGCABONITA 20</v>
          </cell>
        </row>
        <row r="1074">
          <cell r="A1074" t="str">
            <v>435043rdL04_CTV5_016E_STOPECABCAD 10</v>
          </cell>
        </row>
        <row r="1075">
          <cell r="A1075" t="str">
            <v>435043rdL04_NV_011W_STOPEMARTINEZ RON. 10</v>
          </cell>
        </row>
        <row r="1076">
          <cell r="A1076" t="str">
            <v>435043rdL04_GHVFW_014E_STOPE PREPPARAGUYA 40</v>
          </cell>
        </row>
        <row r="1077">
          <cell r="A1077" t="str">
            <v>435043rd4 UNCATEGORIZED 300</v>
          </cell>
        </row>
        <row r="1078">
          <cell r="A1078" t="str">
            <v>435042ndL04_JV_049W_RAISEDUHIG 30</v>
          </cell>
        </row>
        <row r="1079">
          <cell r="A1079" t="str">
            <v>435042ndL04_CTV_017W_ROBBINGNOCOS, ARIEL0</v>
          </cell>
        </row>
        <row r="1080">
          <cell r="A1080" t="str">
            <v>435042ndL04_CV_012W_ROBBINGMARTINEZ RON. 10</v>
          </cell>
        </row>
        <row r="1081">
          <cell r="A1081" t="str">
            <v>435042ndL04_GHV_010W_ROBBINGCABONITA 30</v>
          </cell>
        </row>
        <row r="1082">
          <cell r="A1082" t="str">
            <v>435042ndL04_JV_023W_WINZEOY-YOY 20</v>
          </cell>
        </row>
        <row r="1083">
          <cell r="A1083" t="str">
            <v>435043rdL05_NV_005W_RAISESHEPHERD P0</v>
          </cell>
        </row>
        <row r="1084">
          <cell r="A1084" t="str">
            <v>435043rdL05_JV_014W_ROBBINGFERNANDEZ RX 50</v>
          </cell>
        </row>
        <row r="1085">
          <cell r="A1085" t="str">
            <v>435043rdL05_GHV_023W_WINZEBADBADON L. 20</v>
          </cell>
        </row>
        <row r="1086">
          <cell r="A1086" t="str">
            <v>435043rdL05_JVFW_005E_WINZE STOPE PREPDAVOCOL ROW 10</v>
          </cell>
        </row>
        <row r="1087">
          <cell r="A1087" t="str">
            <v>435042ndL05_CV_003W_RAISEALMEDORA 20</v>
          </cell>
        </row>
        <row r="1088">
          <cell r="A1088" t="str">
            <v>435042ndL05_CTV_009E_ROBBINGFERNANDEZ RX 40</v>
          </cell>
        </row>
        <row r="1089">
          <cell r="A1089" t="str">
            <v>435042ndL05_GHV_010W_ROBBINGFERNANDEZ RX 40</v>
          </cell>
        </row>
        <row r="1090">
          <cell r="A1090" t="str">
            <v>435042ndL05_CV_004W_WINZEOY-YOY 153</v>
          </cell>
        </row>
        <row r="1091">
          <cell r="A1091" t="str">
            <v>435042nd5 UNCATEGORIZED 300</v>
          </cell>
        </row>
        <row r="1092">
          <cell r="A1092" t="str">
            <v>435042nd5 UNCATEGORIZED 500</v>
          </cell>
        </row>
        <row r="1093">
          <cell r="A1093" t="str">
            <v>435042nd5 UNCATEGORIZED 600</v>
          </cell>
        </row>
        <row r="1094">
          <cell r="A1094" t="str">
            <v>435042ndL06_JV_021E_RAISEMANZANO 20</v>
          </cell>
        </row>
        <row r="1095">
          <cell r="A1095" t="str">
            <v>435042ndL06_JV_056E_ROBBINGUDLOS 10</v>
          </cell>
        </row>
        <row r="1096">
          <cell r="A1096" t="str">
            <v>435042ndL06_DPVE_022E_STOPEBAÑEZ 60</v>
          </cell>
        </row>
        <row r="1097">
          <cell r="A1097" t="str">
            <v>435042ndL06_GHVFW_003E_STOPE PREPBAÑEZ 40</v>
          </cell>
        </row>
        <row r="1098">
          <cell r="A1098" t="str">
            <v>435042nd6 UNCATEGORIZED 800</v>
          </cell>
        </row>
        <row r="1099">
          <cell r="A1099" t="str">
            <v>435042nd6 UNCATEGORIZED 1000</v>
          </cell>
        </row>
        <row r="1100">
          <cell r="A1100" t="str">
            <v>435042nd6 UNCATEGORIZED 1100</v>
          </cell>
        </row>
        <row r="1101">
          <cell r="A1101" t="str">
            <v>435043rdL06_CV_005E_DEREBOTE 10</v>
          </cell>
        </row>
        <row r="1102">
          <cell r="A1102" t="str">
            <v>435043rdL06_JV_021E_RAISEMANZANO 20</v>
          </cell>
        </row>
        <row r="1103">
          <cell r="A1103" t="str">
            <v>435043rdL06_JV_027E_RAISEQUIJANO 40</v>
          </cell>
        </row>
        <row r="1104">
          <cell r="A1104" t="str">
            <v>435043rdL06_JV_056E_ROBBINGUDLOS 10</v>
          </cell>
        </row>
        <row r="1105">
          <cell r="A1105" t="str">
            <v>435043rdL06_DPVE_022E_STOPEBAÑEZ 60</v>
          </cell>
        </row>
        <row r="1106">
          <cell r="A1106" t="str">
            <v>435043rdL06_JVFW_006E_STOPEBADBADON R. 50</v>
          </cell>
        </row>
        <row r="1107">
          <cell r="A1107" t="str">
            <v>435043rdL06_GHVFW_007W_STOPE PREPBAÑEZ 70</v>
          </cell>
        </row>
        <row r="1108">
          <cell r="A1108" t="str">
            <v>435043rdL06_NONE_021E_XCNGUNAY 10</v>
          </cell>
        </row>
        <row r="1109">
          <cell r="A1109" t="str">
            <v>435043rd6 UNCATEGORIZED 700</v>
          </cell>
        </row>
        <row r="1110">
          <cell r="A1110" t="str">
            <v>435042ndL07_DPVE_065E_RAISEBABOR 10</v>
          </cell>
        </row>
        <row r="1111">
          <cell r="A1111" t="str">
            <v>435042ndL07_GHV_013E_ROBBINGBAYOBAY 10</v>
          </cell>
        </row>
        <row r="1112">
          <cell r="A1112" t="str">
            <v>435042ndL07_DPVE_028E_STOPEDOLARIZA 20</v>
          </cell>
        </row>
        <row r="1113">
          <cell r="A1113" t="str">
            <v>435042ndL07_DPVE_029E_STOPESHEPHERD Q0</v>
          </cell>
        </row>
        <row r="1114">
          <cell r="A1114" t="str">
            <v>435042ndL07_GHVHW_056E_WINZE STOPE PREPBABOR 30</v>
          </cell>
        </row>
        <row r="1115">
          <cell r="A1115" t="str">
            <v>435042nd7 UNCATEGORIZED 100</v>
          </cell>
        </row>
        <row r="1116">
          <cell r="A1116" t="str">
            <v>435042nd7 UNCATEGORIZED 400</v>
          </cell>
        </row>
        <row r="1117">
          <cell r="A1117" t="str">
            <v>435043rdL07_JVHW_063E_RAISESHEPHERD O0</v>
          </cell>
        </row>
        <row r="1118">
          <cell r="A1118" t="str">
            <v>435043rdL07_DPVE_028E_STOPEDOLARIZA 20</v>
          </cell>
        </row>
        <row r="1119">
          <cell r="A1119" t="str">
            <v>435043rdL07_DPVE_029E_STOPESHEPHERD Q0</v>
          </cell>
        </row>
        <row r="1120">
          <cell r="A1120" t="str">
            <v>435043rdL07_JVHW_072E_STOPEBABOR 567</v>
          </cell>
        </row>
        <row r="1121">
          <cell r="A1121" t="str">
            <v>435043rdL07_CTV_061E_STOPE PREPVILLARANTE 369</v>
          </cell>
        </row>
        <row r="1122">
          <cell r="A1122" t="str">
            <v>435043rdL07_GHVHW_056E_WINZE STOPE PREPBABOR 30</v>
          </cell>
        </row>
        <row r="1123">
          <cell r="A1123" t="str">
            <v>435043rd7 UNCATEGORIZED 200</v>
          </cell>
        </row>
        <row r="1124">
          <cell r="A1124" t="str">
            <v>435043rd7 UNCATEGORIZED 300</v>
          </cell>
        </row>
        <row r="1125">
          <cell r="A1125" t="str">
            <v>435043rd7 UNCATEGORIZED 500</v>
          </cell>
        </row>
        <row r="1126">
          <cell r="A1126" t="str">
            <v>435043rdL08_GHVFW_038E_DWTORMIS 10</v>
          </cell>
        </row>
        <row r="1127">
          <cell r="A1127" t="str">
            <v>435043rdL08_GHVSPLIT_003E_RAISEBELICAN 40</v>
          </cell>
        </row>
        <row r="1128">
          <cell r="A1128" t="str">
            <v>435043rdL08_DPVE_061E_STOPEAGLOLO 40</v>
          </cell>
        </row>
        <row r="1129">
          <cell r="A1129" t="str">
            <v>435043rdL08_GHV_036E_STOPEBORERO 30</v>
          </cell>
        </row>
        <row r="1130">
          <cell r="A1130" t="str">
            <v>435043rdL08_GHVHW_031E_STOPEGEMENTIZA 10</v>
          </cell>
        </row>
        <row r="1131">
          <cell r="A1131" t="str">
            <v>435043rdL08_JV_029E_STOPEBORERO 40</v>
          </cell>
        </row>
        <row r="1132">
          <cell r="A1132" t="str">
            <v>435043rdL08_NONE_016W_XCNSILVOZA 181</v>
          </cell>
        </row>
        <row r="1133">
          <cell r="A1133" t="str">
            <v>435043rd8 UNCATEGORIZED 600</v>
          </cell>
        </row>
        <row r="1134">
          <cell r="A1134" t="str">
            <v>435042ndL08_DPVE_068E_DELERIO 30</v>
          </cell>
        </row>
        <row r="1135">
          <cell r="A1135" t="str">
            <v>435042ndL08_JV_055E_DEBENONGUIL 10</v>
          </cell>
        </row>
        <row r="1136">
          <cell r="A1136" t="str">
            <v>435042ndL08_JVSPLIT_017E_DEAGLOLO 20</v>
          </cell>
        </row>
        <row r="1137">
          <cell r="A1137" t="str">
            <v>435042ndL08_GHVHW_011E_DWDEMALATA 10</v>
          </cell>
        </row>
        <row r="1138">
          <cell r="A1138" t="str">
            <v>435042ndL08_DPVE_061E_STOPEAGLOLO 40</v>
          </cell>
        </row>
        <row r="1139">
          <cell r="A1139" t="str">
            <v>435042ndL08_GHVHW_031E_STOPEGEMENTIZA 10</v>
          </cell>
        </row>
        <row r="1140">
          <cell r="A1140" t="str">
            <v>435042ndL08_GHVHW_034E_STOPECAPOY 20</v>
          </cell>
        </row>
        <row r="1141">
          <cell r="A1141" t="str">
            <v>435042nd8 UNCATEGORIZED 100</v>
          </cell>
        </row>
        <row r="1142">
          <cell r="A1142" t="str">
            <v>435042nd8 UNCATEGORIZED 800</v>
          </cell>
        </row>
        <row r="1143">
          <cell r="A1143" t="str">
            <v>435042ndL08_DPVE_048E_DWSILVOZA 30</v>
          </cell>
        </row>
        <row r="1144">
          <cell r="A1144" t="str">
            <v>435042ndL08_NONE_035E_SHAFTHUMIDING 20</v>
          </cell>
        </row>
        <row r="1145">
          <cell r="A1145" t="str">
            <v>435042ndL09_DPVE_051E_DEBALANGHIG 10</v>
          </cell>
        </row>
        <row r="1146">
          <cell r="A1146" t="str">
            <v>435042ndL09_GHV_067E_DEPANSIT 40</v>
          </cell>
        </row>
        <row r="1147">
          <cell r="A1147" t="str">
            <v>435042ndL09_GHVFW_040E_DEPANSIT 40</v>
          </cell>
        </row>
        <row r="1148">
          <cell r="A1148" t="str">
            <v>435042ndL09_JV_050E_DEDAVOCOL, ROSELIO 30</v>
          </cell>
        </row>
        <row r="1149">
          <cell r="A1149" t="str">
            <v>435042ndL09_JVFW_062E_DESHEPHERD S0</v>
          </cell>
        </row>
        <row r="1150">
          <cell r="A1150" t="str">
            <v>435042ndL09_DPVE_015E_RAISEDELOS REYES V. 80</v>
          </cell>
        </row>
        <row r="1151">
          <cell r="A1151" t="str">
            <v>435042ndL09_DPVE_051E_RAISEDAVOCOL, ROSELIO 40</v>
          </cell>
        </row>
        <row r="1152">
          <cell r="A1152" t="str">
            <v>435042ndL09_JVHW_065E_RAISEAGLOLO 40</v>
          </cell>
        </row>
        <row r="1153">
          <cell r="A1153" t="str">
            <v>435042ndL09_GHV_015W_STOPESHEPHERD R0</v>
          </cell>
        </row>
        <row r="1154">
          <cell r="A1154" t="str">
            <v>435042ndL09_GHV_060E_STOPEPANSIT 60</v>
          </cell>
        </row>
        <row r="1155">
          <cell r="A1155" t="str">
            <v>435042ndL09_GHVFW_039E_STOPEPANCIT, NOEL 40</v>
          </cell>
        </row>
        <row r="1156">
          <cell r="A1156" t="str">
            <v>435042ndL09_JV_058E_STOPECANOY 10</v>
          </cell>
        </row>
        <row r="1157">
          <cell r="A1157" t="str">
            <v>435042ndL09_JVFW_057E_STOPEDELOS REYES V. 60</v>
          </cell>
        </row>
        <row r="1158">
          <cell r="A1158" t="str">
            <v>435042ndL09_GHVFW_028E_STOPE PREPPANCIT, NOEL 40</v>
          </cell>
        </row>
        <row r="1159">
          <cell r="A1159" t="str">
            <v>435042ndL09_GHV_063E_WINZE0</v>
          </cell>
        </row>
        <row r="1160">
          <cell r="A1160" t="str">
            <v>435042ndL10_GHV_020E_DETAÑEZA 90</v>
          </cell>
        </row>
        <row r="1161">
          <cell r="A1161" t="str">
            <v>435042ndL10_JVFW_055E_DETAÑEZA 1199</v>
          </cell>
        </row>
        <row r="1162">
          <cell r="A1162" t="str">
            <v>435042ndL10_JVSPLIT_057E_DETAÑEZA 8100</v>
          </cell>
        </row>
        <row r="1163">
          <cell r="A1163" t="str">
            <v>435042nd9 UNCATEGORIZED 200</v>
          </cell>
        </row>
        <row r="1164">
          <cell r="A1164" t="str">
            <v>435042nd9 UNCATEGORIZED 400</v>
          </cell>
        </row>
        <row r="1165">
          <cell r="A1165" t="str">
            <v>435042nd10 UNCATEGORIZED 200</v>
          </cell>
        </row>
        <row r="1166">
          <cell r="A1166" t="str">
            <v>435042nd10 UNCATEGORIZED 300</v>
          </cell>
        </row>
        <row r="1167">
          <cell r="A1167" t="str">
            <v>435043rdL09_GHVHW_029E_RAISEHUMIDING 20</v>
          </cell>
        </row>
        <row r="1168">
          <cell r="A1168" t="str">
            <v>435043rdL09_JVFW_055E_RAISECANOY 30</v>
          </cell>
        </row>
        <row r="1169">
          <cell r="A1169" t="str">
            <v>435043rdL09_GHV_031E_STOPEPANCIT, NOEL 80</v>
          </cell>
        </row>
        <row r="1170">
          <cell r="A1170" t="str">
            <v>435043rdL09_GHV_060E_STOPEPANSIT 60</v>
          </cell>
        </row>
        <row r="1171">
          <cell r="A1171" t="str">
            <v>435043rdL09_JVFW_057E_STOPEDELOS REYES V. 60</v>
          </cell>
        </row>
        <row r="1172">
          <cell r="A1172" t="str">
            <v>435043rdL09_GHVFW_034E_STOPE PREPCANOY 20</v>
          </cell>
        </row>
        <row r="1173">
          <cell r="A1173" t="str">
            <v>435043rdL10_JVSPLIT_057E_DETAÑEZA 8100</v>
          </cell>
        </row>
        <row r="1174">
          <cell r="A1174" t="str">
            <v>435043rdL10_GHV_019E_RAISETAÑEZA 90</v>
          </cell>
        </row>
        <row r="1175">
          <cell r="A1175" t="str">
            <v>435043rd9 UNCATEGORIZED 300</v>
          </cell>
        </row>
        <row r="1176">
          <cell r="A1176" t="str">
            <v>435043rd9 UNCATEGORIZED 600</v>
          </cell>
        </row>
        <row r="1177">
          <cell r="A1177" t="str">
            <v>435043rd10 UNCATEGORIZED 100</v>
          </cell>
        </row>
        <row r="1178">
          <cell r="A1178" t="str">
            <v>435043rdL09_GHVFW_039E_STOPEPANCIT, NOEL 40</v>
          </cell>
        </row>
        <row r="1179">
          <cell r="A1179" t="str">
            <v>435042ndL05_JV_018E_STOPEBALDO 252</v>
          </cell>
        </row>
        <row r="1180">
          <cell r="A1180" t="str">
            <v>435042nd5 UNCATEGORIZED 200</v>
          </cell>
        </row>
        <row r="1181">
          <cell r="A1181" t="str">
            <v>435042nd5 UNCATEGORIZED 700</v>
          </cell>
        </row>
        <row r="1182">
          <cell r="A1182" t="str">
            <v>435051stL02_JV_040W_DWNOCOS, A. 10</v>
          </cell>
        </row>
        <row r="1183">
          <cell r="A1183" t="str">
            <v>435051stL02_JV_034W_RAISECARIKITAN 30</v>
          </cell>
        </row>
        <row r="1184">
          <cell r="A1184" t="str">
            <v>435051stL02_GHV_009W_ROBBINGMONTEBON 40</v>
          </cell>
        </row>
        <row r="1185">
          <cell r="A1185" t="str">
            <v>435051stL02_RYV_020W_ROBBINGMONTEBON 50</v>
          </cell>
        </row>
        <row r="1186">
          <cell r="A1186" t="str">
            <v>435051stL02_CV_005E_STOPE PREPALMASA 20</v>
          </cell>
        </row>
        <row r="1187">
          <cell r="A1187" t="str">
            <v>435052ndL02_JV_034W_RAISECARIKITAN 30</v>
          </cell>
        </row>
        <row r="1188">
          <cell r="A1188" t="str">
            <v>435052ndL02_CTV_061W_ROBBINGNOCOS 20</v>
          </cell>
        </row>
        <row r="1189">
          <cell r="A1189" t="str">
            <v>435052ndL02_GHV_009W_ROBBINGMONTEBON 40</v>
          </cell>
        </row>
        <row r="1190">
          <cell r="A1190" t="str">
            <v>435052ndL02_RYV_020W_ROBBINGMONTEBON 50</v>
          </cell>
        </row>
        <row r="1191">
          <cell r="A1191" t="str">
            <v>435052nd2 UNCATEGORIZED 200</v>
          </cell>
        </row>
        <row r="1192">
          <cell r="A1192" t="str">
            <v>435052nd2 UNCATEGORIZED 400</v>
          </cell>
        </row>
        <row r="1193">
          <cell r="A1193" t="str">
            <v>435053rdL02_JV_034W_RAISECARIKITAN 30</v>
          </cell>
        </row>
        <row r="1194">
          <cell r="A1194" t="str">
            <v>435053rdL02_GHV_009W_ROBBINGMONTEBON 40</v>
          </cell>
        </row>
        <row r="1195">
          <cell r="A1195" t="str">
            <v>435053rdL02_JV_030W_ROBBINGLERIO, RAUL0</v>
          </cell>
        </row>
        <row r="1196">
          <cell r="A1196" t="str">
            <v>435053rdL02_RYV_020W_ROBBINGMONTEBON 50</v>
          </cell>
        </row>
        <row r="1197">
          <cell r="A1197" t="str">
            <v>435053rdL02_CV_005E_STOPE PREPALMASA 20</v>
          </cell>
        </row>
        <row r="1198">
          <cell r="A1198" t="str">
            <v>435051stL04_JV_049W_RAISEDUHIG 30</v>
          </cell>
        </row>
        <row r="1199">
          <cell r="A1199" t="str">
            <v>435051stL04_GHV_010W_ROBBINGCABONITA 30</v>
          </cell>
        </row>
        <row r="1200">
          <cell r="A1200" t="str">
            <v>435051stL04_JV_042W_STOPEDUHIG 30</v>
          </cell>
        </row>
        <row r="1201">
          <cell r="A1201" t="str">
            <v>435051stL04_GHVFW_014E_STOPE PREPPARAGUYA 40</v>
          </cell>
        </row>
        <row r="1202">
          <cell r="A1202" t="str">
            <v>435051stL04_JV_024W_STOPE PREPDUHIG 20</v>
          </cell>
        </row>
        <row r="1203">
          <cell r="A1203" t="str">
            <v>435051st4 UNCATEGORIZED 300</v>
          </cell>
        </row>
        <row r="1204">
          <cell r="A1204" t="str">
            <v>435052ndL04_GHV_010W_ROBBINGCABONITA 30</v>
          </cell>
        </row>
        <row r="1205">
          <cell r="A1205" t="str">
            <v>435052ndL04_NV_011W_STOPEMARTINEZ RON. 10</v>
          </cell>
        </row>
        <row r="1206">
          <cell r="A1206" t="str">
            <v>435052ndL04_GHVFW_014E_STOPE PREPPARAGUYA 40</v>
          </cell>
        </row>
        <row r="1207">
          <cell r="A1207" t="str">
            <v>435052nd4 UNCATEGORIZED 1200</v>
          </cell>
        </row>
        <row r="1208">
          <cell r="A1208" t="str">
            <v>435053rdL04_CTV_017W_ROBBINGNOCOS, ARIEL0</v>
          </cell>
        </row>
        <row r="1209">
          <cell r="A1209" t="str">
            <v>435053rdL04_GHV_010W_ROBBINGCABONITA 30</v>
          </cell>
        </row>
        <row r="1210">
          <cell r="A1210" t="str">
            <v>435051stL05_NV_005W_RAISESHEPHERD P0</v>
          </cell>
        </row>
        <row r="1211">
          <cell r="A1211" t="str">
            <v>435051stL05_CTV_009E_ROBBINGFERNANDEZ RX 40</v>
          </cell>
        </row>
        <row r="1212">
          <cell r="A1212" t="str">
            <v>435051stL05_GHV_010W_ROBBINGFERNANDEZ RX 40</v>
          </cell>
        </row>
        <row r="1213">
          <cell r="A1213" t="str">
            <v>435051stL05_GHV_022W_ROBBINGBADBADON L.30</v>
          </cell>
        </row>
        <row r="1214">
          <cell r="A1214" t="str">
            <v>435051stL05_CTV_008W_STOPESHEPHERD P0</v>
          </cell>
        </row>
        <row r="1215">
          <cell r="A1215" t="str">
            <v>435051stL05_CV_004W_WINZEOY-YOY 153</v>
          </cell>
        </row>
        <row r="1216">
          <cell r="A1216" t="str">
            <v>435051stL05_CV_010E_WINZESHEPHERD L56</v>
          </cell>
        </row>
        <row r="1217">
          <cell r="A1217" t="str">
            <v>435051st5 UNCATEGORIZED 200</v>
          </cell>
        </row>
        <row r="1218">
          <cell r="A1218" t="str">
            <v>435051st5 UNCATEGORIZED 600</v>
          </cell>
        </row>
        <row r="1219">
          <cell r="A1219" t="str">
            <v>435052ndL05_JVFW_012W_RAISEFERNANDEZ RX 30</v>
          </cell>
        </row>
        <row r="1220">
          <cell r="A1220" t="str">
            <v>435052ndL05_GHV_010W_ROBBINGFERNANDEZ RX 40</v>
          </cell>
        </row>
        <row r="1221">
          <cell r="A1221" t="str">
            <v>435052ndL05_JV_014W_ROBBINGFERNANDEZ RX 50</v>
          </cell>
        </row>
        <row r="1222">
          <cell r="A1222" t="str">
            <v>435052ndL05_JV_018E_STOPEBALDO 252</v>
          </cell>
        </row>
        <row r="1223">
          <cell r="A1223" t="str">
            <v>435052nd5 UNCATEGORIZED 200</v>
          </cell>
        </row>
        <row r="1224">
          <cell r="A1224" t="str">
            <v>435052nd5 UNCATEGORIZED 300</v>
          </cell>
        </row>
        <row r="1225">
          <cell r="A1225" t="str">
            <v>435053rdL05_CV_003W_RAISEALMEDORA 20</v>
          </cell>
        </row>
        <row r="1226">
          <cell r="A1226" t="str">
            <v>435053rdL05_JVFW_012W_RAISEFERNANDEZ RX 30</v>
          </cell>
        </row>
        <row r="1227">
          <cell r="A1227" t="str">
            <v>435053rdL05_CTV_008W_STOPESHEPHERD P0</v>
          </cell>
        </row>
        <row r="1228">
          <cell r="A1228" t="str">
            <v>435053rdL05_GHV_023W_WINZEBADBADON L. 20</v>
          </cell>
        </row>
        <row r="1229">
          <cell r="A1229" t="str">
            <v>435053rdL05_NONE_027W_XCNBADBADON L. 10</v>
          </cell>
        </row>
        <row r="1230">
          <cell r="A1230" t="str">
            <v>435051stL06_GHVFW_028W_DEBUGAWAN 20</v>
          </cell>
        </row>
        <row r="1231">
          <cell r="A1231" t="str">
            <v>435051stL06_JV_001W_RAISEREBOTE 20</v>
          </cell>
        </row>
        <row r="1232">
          <cell r="A1232" t="str">
            <v>435051stL06_JV_021E_RAISEMANZANO 20</v>
          </cell>
        </row>
        <row r="1233">
          <cell r="A1233" t="str">
            <v>435051stL06_JV_056E_ROBBINGUDLOS 10</v>
          </cell>
        </row>
        <row r="1234">
          <cell r="A1234" t="str">
            <v>435051stL06_JVFW_006E_STOPEBADBADON R. 50</v>
          </cell>
        </row>
        <row r="1235">
          <cell r="A1235" t="str">
            <v>435051stL06_GHVFW_007W_STOPE PREPBAÑEZ 70</v>
          </cell>
        </row>
        <row r="1236">
          <cell r="A1236" t="str">
            <v>435051st6 UNCATEGORIZED 800</v>
          </cell>
        </row>
        <row r="1237">
          <cell r="A1237" t="str">
            <v>435051st6 UNCATEGORIZED 1100</v>
          </cell>
        </row>
        <row r="1238">
          <cell r="A1238" t="str">
            <v>435052ndL06_JV_021E_RAISEMANZANO 20</v>
          </cell>
        </row>
        <row r="1239">
          <cell r="A1239" t="str">
            <v>435052ndL06_JV_027E_RAISEQUIJANO 40</v>
          </cell>
        </row>
        <row r="1240">
          <cell r="A1240" t="str">
            <v>435052ndL06_JV_056E_ROBBINGUDLOS 10</v>
          </cell>
        </row>
        <row r="1241">
          <cell r="A1241" t="str">
            <v>435052ndL06_JVFW_006E_STOPEBADBADON R. 50</v>
          </cell>
        </row>
        <row r="1242">
          <cell r="A1242" t="str">
            <v>435052ndL06_GHVFW_003E_STOPE PREPBAÑEZ 40</v>
          </cell>
        </row>
        <row r="1243">
          <cell r="A1243" t="str">
            <v>435052ndL06_NONE_021E_XCNGUNAY 10</v>
          </cell>
        </row>
        <row r="1244">
          <cell r="A1244" t="str">
            <v>435052nd6 UNCATEGORIZED 900</v>
          </cell>
        </row>
        <row r="1245">
          <cell r="A1245" t="str">
            <v>435053rdL06_CV_005E_DEREBOTE 10</v>
          </cell>
        </row>
        <row r="1246">
          <cell r="A1246" t="str">
            <v>435053rdL06_GHVFW_028W_DEBUGAWAN 20</v>
          </cell>
        </row>
        <row r="1247">
          <cell r="A1247" t="str">
            <v>435053rdL06_CTV_026E_DWQUIJANO 40</v>
          </cell>
        </row>
        <row r="1248">
          <cell r="A1248" t="str">
            <v>435053rdL06_JV_001W_RAISEREBOTE 20</v>
          </cell>
        </row>
        <row r="1249">
          <cell r="A1249" t="str">
            <v>435053rdL06_JV_056E_ROBBINGUDLOS 10</v>
          </cell>
        </row>
        <row r="1250">
          <cell r="A1250" t="str">
            <v>435053rdL06_DPVE_022E_STOPEBAÑEZ 60</v>
          </cell>
        </row>
        <row r="1251">
          <cell r="A1251" t="str">
            <v>435053rd6 UNCATEGORIZED 500</v>
          </cell>
        </row>
        <row r="1252">
          <cell r="A1252" t="str">
            <v>435053rd6 UNCATEGORIZED 1200</v>
          </cell>
        </row>
        <row r="1253">
          <cell r="A1253" t="str">
            <v>435051stL07_DPVE_060E_DEVILLARANTE 40</v>
          </cell>
        </row>
        <row r="1254">
          <cell r="A1254" t="str">
            <v>435051stL07_DPVE_029E_STOPESHEPHERD Q0</v>
          </cell>
        </row>
        <row r="1255">
          <cell r="A1255" t="str">
            <v>435051stL07_JVHW_072E_STOPEBABOR 567</v>
          </cell>
        </row>
        <row r="1256">
          <cell r="A1256" t="str">
            <v>435051stL07_CTV_061E_STOPE PREPVILLARANTE 369</v>
          </cell>
        </row>
        <row r="1257">
          <cell r="A1257" t="str">
            <v>435051stL07_JV_057E_STOPE PREPLEON 166</v>
          </cell>
        </row>
        <row r="1258">
          <cell r="A1258" t="str">
            <v>435051st7 UNCATEGORIZED 100</v>
          </cell>
        </row>
        <row r="1259">
          <cell r="A1259" t="str">
            <v>435051st7 UNCATEGORIZED 200</v>
          </cell>
        </row>
        <row r="1260">
          <cell r="A1260" t="str">
            <v>435051st7 UNCATEGORIZED 700</v>
          </cell>
        </row>
        <row r="1261">
          <cell r="A1261" t="str">
            <v>435052ndL07_DPVE_063E_DWALEÑAR 20</v>
          </cell>
        </row>
        <row r="1262">
          <cell r="A1262" t="str">
            <v>435052ndL07_DPVE_065E_RAISEBABOR 10</v>
          </cell>
        </row>
        <row r="1263">
          <cell r="A1263" t="str">
            <v>435052ndL07_GHV_013E_ROBBINGBAYOBAY 10</v>
          </cell>
        </row>
        <row r="1264">
          <cell r="A1264" t="str">
            <v>435052ndL07_DPVE_028E_STOPEDOLARIZA 20</v>
          </cell>
        </row>
        <row r="1265">
          <cell r="A1265" t="str">
            <v>435052ndL07_JVHW_072E_STOPEBABOR 567</v>
          </cell>
        </row>
        <row r="1266">
          <cell r="A1266" t="str">
            <v>435052ndL07_DPVE_026E_STOPE PREPSHEPHERD H57</v>
          </cell>
        </row>
        <row r="1267">
          <cell r="A1267" t="str">
            <v>435052ndL07_JV_057E_STOPE PREPLEON 166</v>
          </cell>
        </row>
        <row r="1268">
          <cell r="A1268" t="str">
            <v>435053rdL07_DPVE_060E_DEVILLARANTE 40</v>
          </cell>
        </row>
        <row r="1269">
          <cell r="A1269" t="str">
            <v>435053rdL07_DPVE_029E_STOPESHEPHERD Q0</v>
          </cell>
        </row>
        <row r="1270">
          <cell r="A1270" t="str">
            <v>435053rdL07_JVHW_072E_STOPEBABOR 567</v>
          </cell>
        </row>
        <row r="1271">
          <cell r="A1271" t="str">
            <v>435053rdL07_CTV_061E_STOPE PREPVILLARANTE 369</v>
          </cell>
        </row>
        <row r="1272">
          <cell r="A1272" t="str">
            <v>435053rdL07_JV_057E_STOPE PREPLEON 166</v>
          </cell>
        </row>
        <row r="1273">
          <cell r="A1273" t="str">
            <v>435053rdL07_GHVHW_056E_WINZE STOPE PREPBABOR 30</v>
          </cell>
        </row>
        <row r="1274">
          <cell r="A1274" t="str">
            <v>435053rd7 UNCATEGORIZED 100</v>
          </cell>
        </row>
        <row r="1275">
          <cell r="A1275" t="str">
            <v>435053rd7 UNCATEGORIZED 200</v>
          </cell>
        </row>
        <row r="1276">
          <cell r="A1276" t="str">
            <v>435053rd7 UNCATEGORIZED 700</v>
          </cell>
        </row>
        <row r="1277">
          <cell r="A1277" t="str">
            <v>435053rd7 UNCATEGORIZED 800</v>
          </cell>
        </row>
        <row r="1278">
          <cell r="A1278" t="str">
            <v>435053rd7 UNCATEGORIZED 900</v>
          </cell>
        </row>
        <row r="1279">
          <cell r="A1279" t="str">
            <v>435051stL08_DPVE_048E_DWSILVOZA 30</v>
          </cell>
        </row>
        <row r="1280">
          <cell r="A1280" t="str">
            <v>435051stL08_DPVE_061E_STOPEAGLOLO 40</v>
          </cell>
        </row>
        <row r="1281">
          <cell r="A1281" t="str">
            <v>435051stL08_GHVHW_031E_STOPEGEMENTIZA 10</v>
          </cell>
        </row>
        <row r="1282">
          <cell r="A1282" t="str">
            <v>435051stL08_GHVHW_034E_STOPECAPOY 20</v>
          </cell>
        </row>
        <row r="1283">
          <cell r="A1283" t="str">
            <v>435051st8 UNCATEGORIZED 600</v>
          </cell>
        </row>
        <row r="1284">
          <cell r="A1284" t="str">
            <v>435052ndL08_DPVE_068E_DELERIO 30</v>
          </cell>
        </row>
        <row r="1285">
          <cell r="A1285" t="str">
            <v>435052ndL08_JV_055E_DEBENONGUIL 10</v>
          </cell>
        </row>
        <row r="1286">
          <cell r="A1286" t="str">
            <v>435052ndL08_JVSPLIT_017E_DEAGLOLO 20</v>
          </cell>
        </row>
        <row r="1287">
          <cell r="A1287" t="str">
            <v>435052ndL08_DPVE_065E_RAISELERIO 40</v>
          </cell>
        </row>
        <row r="1288">
          <cell r="A1288" t="str">
            <v>435052ndL08_JV_020E_RAISEAGLOLO 10</v>
          </cell>
        </row>
        <row r="1289">
          <cell r="A1289" t="str">
            <v>435052ndL08_GHV_036E_STOPEBORERO 30</v>
          </cell>
        </row>
        <row r="1290">
          <cell r="A1290" t="str">
            <v>435052nd8 UNCATEGORIZED 100</v>
          </cell>
        </row>
        <row r="1291">
          <cell r="A1291" t="str">
            <v>435052nd8 UNCATEGORIZED 500</v>
          </cell>
        </row>
        <row r="1292">
          <cell r="A1292" t="str">
            <v>435053rdL08_GHVHW_011E_DWDEMALATA 10</v>
          </cell>
        </row>
        <row r="1293">
          <cell r="A1293" t="str">
            <v>435053rdL08_JV_020E_RAISEAGLOLO 10</v>
          </cell>
        </row>
        <row r="1294">
          <cell r="A1294" t="str">
            <v>435053rdL08_DPVE_061E_STOPEAGLOLO 40</v>
          </cell>
        </row>
        <row r="1295">
          <cell r="A1295" t="str">
            <v>435053rdL08_GHVFW_008E_STOPE PREPBELICAN 480</v>
          </cell>
        </row>
        <row r="1296">
          <cell r="A1296" t="str">
            <v>435053rd8 UNCATEGORIZED 100</v>
          </cell>
        </row>
        <row r="1297">
          <cell r="A1297" t="str">
            <v>435051stL09_GHV_067E_DEPANSIT 40</v>
          </cell>
        </row>
        <row r="1298">
          <cell r="A1298" t="str">
            <v>435051stL09_GHVHW_049E_DEBABOR 10</v>
          </cell>
        </row>
        <row r="1299">
          <cell r="A1299" t="str">
            <v>435051stL09_JV_046E_DWDELOS REYES V. 20</v>
          </cell>
        </row>
        <row r="1300">
          <cell r="A1300" t="str">
            <v>435051stL09_GHV_015W_STOPESHEPHERD R0</v>
          </cell>
        </row>
        <row r="1301">
          <cell r="A1301" t="str">
            <v>435051stL09_GHV_031E_STOPEPANCIT, NOEL 80</v>
          </cell>
        </row>
        <row r="1302">
          <cell r="A1302" t="str">
            <v>435051stL09_GHV_060E_STOPEPANSIT 60</v>
          </cell>
        </row>
        <row r="1303">
          <cell r="A1303" t="str">
            <v>435051stL09_GHVFW_039E_STOPEPANCIT, NOEL 40</v>
          </cell>
        </row>
        <row r="1304">
          <cell r="A1304" t="str">
            <v>435051stL09_GHVFW_028E_STOPE PREPPANCIT, NOEL 40</v>
          </cell>
        </row>
        <row r="1305">
          <cell r="A1305" t="str">
            <v>435051stL09_GHV_063E_WINZE0</v>
          </cell>
        </row>
        <row r="1306">
          <cell r="A1306" t="str">
            <v>435051stL10_GHVFW_021E_DETAÑEZA 30</v>
          </cell>
        </row>
        <row r="1307">
          <cell r="A1307" t="str">
            <v>435051stL10_JVSPLIT_057E_DETAÑEZA 8100</v>
          </cell>
        </row>
        <row r="1308">
          <cell r="A1308" t="str">
            <v>435051stL10_GHV_019E_RAISETAÑEZA 90</v>
          </cell>
        </row>
        <row r="1309">
          <cell r="A1309" t="str">
            <v>435051st10 UNCATEGORIZED 200</v>
          </cell>
        </row>
        <row r="1310">
          <cell r="A1310" t="str">
            <v>435051st9 UNCATEGORIZED 300</v>
          </cell>
        </row>
        <row r="1311">
          <cell r="A1311" t="str">
            <v>435052ndL09_DPVE_051E_DEBALANGHIG 10</v>
          </cell>
        </row>
        <row r="1312">
          <cell r="A1312" t="str">
            <v>435052ndL09_GHVFW_040E_DEPANSIT 40</v>
          </cell>
        </row>
        <row r="1313">
          <cell r="A1313" t="str">
            <v>435052ndL09_GHV_060E_STOPEPANSIT 60</v>
          </cell>
        </row>
        <row r="1314">
          <cell r="A1314" t="str">
            <v>435052ndL09_JV_058E_STOPECANOY 10</v>
          </cell>
        </row>
        <row r="1315">
          <cell r="A1315" t="str">
            <v>435052ndL09_NONE_070E_XCNDELOS REYES V. 20</v>
          </cell>
        </row>
        <row r="1316">
          <cell r="A1316" t="str">
            <v>435052nd9 UNCATEGORIZED 700</v>
          </cell>
        </row>
        <row r="1317">
          <cell r="A1317" t="str">
            <v>435052nd10 UNCATEGORIZED 100</v>
          </cell>
        </row>
        <row r="1318">
          <cell r="A1318" t="str">
            <v>435052ndL10_GHV_033E_DETAÑEZA 40</v>
          </cell>
        </row>
        <row r="1319">
          <cell r="A1319" t="str">
            <v>435052nd10 UNCATEGORIZED 300</v>
          </cell>
        </row>
        <row r="1320">
          <cell r="A1320" t="str">
            <v>435053rdL09_JV_050E_DEDAVOCOL, ROSELIO 30</v>
          </cell>
        </row>
        <row r="1321">
          <cell r="A1321" t="str">
            <v>435053rdL09_JV_046E_DWDELOS REYES V. 20</v>
          </cell>
        </row>
        <row r="1322">
          <cell r="A1322" t="str">
            <v>435053rdL09_GHVHW_029E_RAISEHUMIDING 20</v>
          </cell>
        </row>
        <row r="1323">
          <cell r="A1323" t="str">
            <v>435053rdL09_GHV_031E_STOPEPANCIT, NOEL 80</v>
          </cell>
        </row>
        <row r="1324">
          <cell r="A1324" t="str">
            <v>435053rdL09_GHVFW_028E_STOPE PREPPANCIT, NOEL 40</v>
          </cell>
        </row>
        <row r="1325">
          <cell r="A1325" t="str">
            <v>435053rd9 UNCATEGORIZED 400</v>
          </cell>
        </row>
        <row r="1326">
          <cell r="A1326" t="str">
            <v>435053rd9 UNCATEGORIZED 500</v>
          </cell>
        </row>
        <row r="1327">
          <cell r="A1327" t="str">
            <v>435053rd9 UNCATEGORIZED 800</v>
          </cell>
        </row>
        <row r="1328">
          <cell r="A1328" t="str">
            <v>435053rdL10_JV_059E_DETAÑEZA 70</v>
          </cell>
        </row>
        <row r="1329">
          <cell r="A1329" t="str">
            <v>435053rdL10_JVSPLIT_057E_DETAÑEZA 8100</v>
          </cell>
        </row>
        <row r="1330">
          <cell r="A1330" t="str">
            <v>435053rd10 UNCATEGORIZED 300</v>
          </cell>
        </row>
        <row r="1331">
          <cell r="A1331" t="str">
            <v>435061stL02_JV_040W_DWNOCOS, A. 10</v>
          </cell>
        </row>
        <row r="1332">
          <cell r="A1332" t="str">
            <v>435061stL02_JV_034W_RAISECARIKITAN 30</v>
          </cell>
        </row>
        <row r="1333">
          <cell r="A1333" t="str">
            <v>435061stL05_NV_005W_RAISESHEPHERD P0</v>
          </cell>
        </row>
        <row r="1334">
          <cell r="A1334" t="str">
            <v>435061stL05_CTV_009E_ROBBINGFERNANDEZ RX 40</v>
          </cell>
        </row>
        <row r="1335">
          <cell r="A1335" t="str">
            <v>435061stL05_CTV_008W_STOPESHEPHERD P0</v>
          </cell>
        </row>
        <row r="1336">
          <cell r="A1336" t="str">
            <v>435061st5 UNCATEGORIZED 600</v>
          </cell>
        </row>
        <row r="1337">
          <cell r="A1337" t="str">
            <v>435061st4 UNCATEGORIZED 700</v>
          </cell>
        </row>
        <row r="1338">
          <cell r="A1338" t="str">
            <v>435061stL06_JV_027E_RAISEQUIJANO 40</v>
          </cell>
        </row>
        <row r="1339">
          <cell r="A1339" t="str">
            <v>435061stL06_NONE_002W_XCNBADBADON R.40</v>
          </cell>
        </row>
        <row r="1340">
          <cell r="A1340" t="str">
            <v>435061stL07_DPVE_029E_STOPESHEPHERD Q0</v>
          </cell>
        </row>
        <row r="1341">
          <cell r="A1341" t="str">
            <v>435061st7 UNCATEGORIZED 300</v>
          </cell>
        </row>
        <row r="1342">
          <cell r="A1342" t="str">
            <v>435062ndL02_JV_042W_ROBBINGDAGAMAC0</v>
          </cell>
        </row>
        <row r="1343">
          <cell r="A1343" t="str">
            <v>435062ndL06_DPVE_022E_STOPEBAÑEZ 60</v>
          </cell>
        </row>
        <row r="1344">
          <cell r="A1344" t="str">
            <v>435062nd6 UNCATEGORIZED 1300</v>
          </cell>
        </row>
        <row r="1345">
          <cell r="A1345" t="str">
            <v>435071stL02_JV_034W_RAISECARIKITAN 30</v>
          </cell>
        </row>
        <row r="1346">
          <cell r="A1346" t="str">
            <v>435071stL02_GHV_009W_ROBBINGMONTEBON 40</v>
          </cell>
        </row>
        <row r="1347">
          <cell r="A1347" t="str">
            <v>435071stL02_RYV_020W_ROBBINGMONTEBON 50</v>
          </cell>
        </row>
        <row r="1348">
          <cell r="A1348" t="str">
            <v>435071st2 UNCATEGORIZED 200</v>
          </cell>
        </row>
        <row r="1349">
          <cell r="A1349" t="str">
            <v>435071stL04_RYV_010E_RAISEMARTINEZ DN 10</v>
          </cell>
        </row>
        <row r="1350">
          <cell r="A1350" t="str">
            <v>435071stL04_GHV_010W_ROBBINGCABONITA 30</v>
          </cell>
        </row>
        <row r="1351">
          <cell r="A1351" t="str">
            <v>435071stL04_JV_023W_WINZEOY-YOY 20</v>
          </cell>
        </row>
        <row r="1352">
          <cell r="A1352" t="str">
            <v>435071st4 UNCATEGORIZED 1100</v>
          </cell>
        </row>
        <row r="1353">
          <cell r="A1353" t="str">
            <v>435071st4 UNCATEGORIZED 1300</v>
          </cell>
        </row>
        <row r="1354">
          <cell r="A1354" t="str">
            <v>435071stL05_NV_011E_DWALMEDORA 10</v>
          </cell>
        </row>
        <row r="1355">
          <cell r="A1355" t="str">
            <v>435071stL05_GHV_022W_ROBBINGBADBADON L.30</v>
          </cell>
        </row>
        <row r="1356">
          <cell r="A1356" t="str">
            <v>435071stL05_CTV_008W_STOPESHEPHERD P0</v>
          </cell>
        </row>
        <row r="1357">
          <cell r="A1357" t="str">
            <v>435071stL06_JVFW_006E_STOPEBADBADON R. 50</v>
          </cell>
        </row>
        <row r="1358">
          <cell r="A1358" t="str">
            <v>435071stL06_GHVFW_003E_STOPE PREPBAÑEZ 40</v>
          </cell>
        </row>
        <row r="1359">
          <cell r="A1359" t="str">
            <v>435071stL06_NONE_021E_XCNGUNAY 10</v>
          </cell>
        </row>
        <row r="1360">
          <cell r="A1360" t="str">
            <v>435071st6 UNCATEGORIZED 600</v>
          </cell>
        </row>
        <row r="1361">
          <cell r="A1361" t="str">
            <v>435071st6 UNCATEGORIZED 1000</v>
          </cell>
        </row>
        <row r="1362">
          <cell r="A1362" t="str">
            <v>435071st6 UNCATEGORIZED 1200</v>
          </cell>
        </row>
        <row r="1363">
          <cell r="A1363" t="str">
            <v>435071stL07_GHV_013E_ROBBINGBAYOBAY 10</v>
          </cell>
        </row>
        <row r="1364">
          <cell r="A1364" t="str">
            <v>435071stL09_JVFW_057E_STOPEDELOS REYES V. 60</v>
          </cell>
        </row>
        <row r="1365">
          <cell r="A1365" t="str">
            <v>435071stL07_JV_057E_STOPE PREPLEON 166</v>
          </cell>
        </row>
        <row r="1366">
          <cell r="A1366" t="str">
            <v>435071stL09_GHVHW_049E_DEBABOR 10</v>
          </cell>
        </row>
        <row r="1367">
          <cell r="A1367" t="str">
            <v>435071stL09_JVFW_062E_DESHEPHERD S0</v>
          </cell>
        </row>
        <row r="1368">
          <cell r="A1368" t="str">
            <v>435071stL09_JVFW_055E_RAISECANOY 30</v>
          </cell>
        </row>
        <row r="1369">
          <cell r="A1369" t="str">
            <v>435071stL09_GHV_060E_STOPEPANSIT 60</v>
          </cell>
        </row>
        <row r="1370">
          <cell r="A1370" t="str">
            <v>435071stL09_JV_058E_STOPECANOY 10</v>
          </cell>
        </row>
        <row r="1371">
          <cell r="A1371" t="str">
            <v>435071stL09_GHVFW_028E_STOPE PREPPANCIT, NOEL 40</v>
          </cell>
        </row>
        <row r="1372">
          <cell r="A1372" t="str">
            <v>435071stL09_GHVFW_034E_STOPE PREPCANOY 20</v>
          </cell>
        </row>
        <row r="1373">
          <cell r="A1373" t="str">
            <v>435071stL09_NONE_070E_XCNDELOS REYES V. 20</v>
          </cell>
        </row>
        <row r="1374">
          <cell r="A1374" t="str">
            <v>435071stL10_GHV_020E_DETAÑEZA 90</v>
          </cell>
        </row>
        <row r="1375">
          <cell r="A1375" t="str">
            <v>435071st9 UNCATEGORIZED 500</v>
          </cell>
        </row>
        <row r="1376">
          <cell r="A1376" t="str">
            <v>435071st9 UNCATEGORIZED 700</v>
          </cell>
        </row>
        <row r="1377">
          <cell r="A1377" t="str">
            <v>435071st10 UNCATEGORIZED 300</v>
          </cell>
        </row>
        <row r="1378">
          <cell r="A1378" t="str">
            <v>435072ndL02_JV_034W_RAISECARIKITAN 30</v>
          </cell>
        </row>
        <row r="1379">
          <cell r="A1379" t="str">
            <v>435072ndL02_GHV_009W_ROBBINGMONTEBON 40</v>
          </cell>
        </row>
        <row r="1380">
          <cell r="A1380" t="str">
            <v>435072ndL02_JV_030W_ROBBINGLERIO, RAUL0</v>
          </cell>
        </row>
        <row r="1381">
          <cell r="A1381" t="str">
            <v>435072ndL02_JV_042W_ROBBINGDAGAMAC0</v>
          </cell>
        </row>
        <row r="1382">
          <cell r="A1382" t="str">
            <v>435072ndL02_JVHW_051W_ROBBINGLERIO, RAUL0</v>
          </cell>
        </row>
        <row r="1383">
          <cell r="A1383" t="str">
            <v>435072ndL02_RYV_020W_ROBBINGMONTEBON 50</v>
          </cell>
        </row>
        <row r="1384">
          <cell r="A1384" t="str">
            <v>435072ndL02_RYV_023W_ROBBINGCARIKITAN 10</v>
          </cell>
        </row>
        <row r="1385">
          <cell r="A1385" t="str">
            <v>435072nd2 UNCATEGORIZED 200</v>
          </cell>
        </row>
        <row r="1386">
          <cell r="A1386" t="str">
            <v>435072nd2 UNCATEGORIZED 400</v>
          </cell>
        </row>
        <row r="1387">
          <cell r="A1387" t="str">
            <v>435072nd2 UNCATEGORIZED 700</v>
          </cell>
        </row>
        <row r="1388">
          <cell r="A1388" t="str">
            <v>435073rdL02_JVFW_032W_ROBBINGRIPARIP 60</v>
          </cell>
        </row>
        <row r="1389">
          <cell r="A1389" t="str">
            <v>435073rdL02_RYV_023W_ROBBINGCARIKITAN 10</v>
          </cell>
        </row>
        <row r="1390">
          <cell r="A1390" t="str">
            <v>435073rdL02_CV_005E_STOPE PREPALMASA 20</v>
          </cell>
        </row>
        <row r="1391">
          <cell r="A1391" t="str">
            <v>435073rdL08_GHVHW_034E_STOPECAPOY 20</v>
          </cell>
        </row>
        <row r="1392">
          <cell r="A1392" t="str">
            <v>435073rd2 UNCATEGORIZED 800</v>
          </cell>
        </row>
        <row r="1393">
          <cell r="A1393" t="str">
            <v>435073rdL04_GHVFW_017E_RAISEPARAGUYA 10</v>
          </cell>
        </row>
        <row r="1394">
          <cell r="A1394" t="str">
            <v>435073rdL04_JV_049W_RAISEDUHIG 30</v>
          </cell>
        </row>
        <row r="1395">
          <cell r="A1395" t="str">
            <v>435073rdL04_CV_012W_ROBBINGMARTINEZ RON. 10</v>
          </cell>
        </row>
        <row r="1396">
          <cell r="A1396" t="str">
            <v>435073rdL04_GHV_010W_ROBBINGCABONITA 30</v>
          </cell>
        </row>
        <row r="1397">
          <cell r="A1397" t="str">
            <v>435073rdL04_JV_042W_STOPEDUHIG 30</v>
          </cell>
        </row>
        <row r="1398">
          <cell r="A1398" t="str">
            <v>435073rdL04_GHVFW_014E_STOPE PREPPARAGUYA 40</v>
          </cell>
        </row>
        <row r="1399">
          <cell r="A1399" t="str">
            <v>435073rdL04_NONE_016W_XCNBAKAKON 10</v>
          </cell>
        </row>
        <row r="1400">
          <cell r="A1400" t="str">
            <v>435073rd4 UNCATEGORIZED 300</v>
          </cell>
        </row>
        <row r="1401">
          <cell r="A1401" t="str">
            <v>435073rd4 UNCATEGORIZED 700</v>
          </cell>
        </row>
        <row r="1402">
          <cell r="A1402" t="str">
            <v>435073rd4 UNCATEGORIZED 1300</v>
          </cell>
        </row>
        <row r="1403">
          <cell r="A1403" t="str">
            <v>435072ndL04_CTV_017W_ROBBINGNOCOS, ARIEL0</v>
          </cell>
        </row>
        <row r="1404">
          <cell r="A1404" t="str">
            <v>435072ndL04_CV_012W_ROBBINGMARTINEZ RON. 10</v>
          </cell>
        </row>
        <row r="1405">
          <cell r="A1405" t="str">
            <v>435072ndL04_GHV_010W_ROBBINGCABONITA 30</v>
          </cell>
        </row>
        <row r="1406">
          <cell r="A1406" t="str">
            <v>435072ndL04_GHVSPLIT_043W_ROBBINGCABONITA 20</v>
          </cell>
        </row>
        <row r="1407">
          <cell r="A1407" t="str">
            <v>435072ndL04_CTV5_016E_STOPECABCAD 10</v>
          </cell>
        </row>
        <row r="1408">
          <cell r="A1408" t="str">
            <v>435072ndL04_JV_002E_STOPECABONITA 10</v>
          </cell>
        </row>
        <row r="1409">
          <cell r="A1409" t="str">
            <v>435072ndL04_GHVFW_014E_STOPE PREPPARAGUYA 40</v>
          </cell>
        </row>
        <row r="1410">
          <cell r="A1410" t="str">
            <v>435072nd4 UNCATEGORIZED 900</v>
          </cell>
        </row>
        <row r="1411">
          <cell r="A1411" t="str">
            <v>435072nd4 UNCATEGORIZED 1100</v>
          </cell>
        </row>
        <row r="1412">
          <cell r="A1412" t="str">
            <v>435072nd4 UNCATEGORIZED 1300</v>
          </cell>
        </row>
        <row r="1413">
          <cell r="A1413" t="str">
            <v>435072ndL05_NV_005W_RAISESHEPHERD P0</v>
          </cell>
        </row>
        <row r="1414">
          <cell r="A1414" t="str">
            <v>435072ndL05_GHV_022W_ROBBINGBADBADON L.30</v>
          </cell>
        </row>
        <row r="1415">
          <cell r="A1415" t="str">
            <v>435072ndL05_GHVSPLIT_030E_ROBBINGCAYABAS 10</v>
          </cell>
        </row>
        <row r="1416">
          <cell r="A1416" t="str">
            <v>435072ndL05_JV_018E_STOPEBALDO 252</v>
          </cell>
        </row>
        <row r="1417">
          <cell r="A1417" t="str">
            <v>435072nd5 UNCATEGORIZED 200</v>
          </cell>
        </row>
        <row r="1418">
          <cell r="A1418" t="str">
            <v>435073rdL05_CV_003W_RAISEALMEDORA 20</v>
          </cell>
        </row>
        <row r="1419">
          <cell r="A1419" t="str">
            <v>435073rdL05_JVSPLIT_006E_RAISEBALDO 10</v>
          </cell>
        </row>
        <row r="1420">
          <cell r="A1420" t="str">
            <v>435073rdL05_CTV_009E_ROBBINGFERNANDEZ RX 40</v>
          </cell>
        </row>
        <row r="1421">
          <cell r="A1421" t="str">
            <v>435073rdL05_GHV_010W_ROBBINGFERNANDEZ RX 40</v>
          </cell>
        </row>
        <row r="1422">
          <cell r="A1422" t="str">
            <v>435073rdL05_CTV_008W_STOPESHEPHERD P0</v>
          </cell>
        </row>
        <row r="1423">
          <cell r="A1423" t="str">
            <v>435073rdL05_GHV_030W_WINZE STOPEAMAC 20</v>
          </cell>
        </row>
        <row r="1424">
          <cell r="A1424" t="str">
            <v>435073rdL05_JVFW_005E_WINZE STOPE PREPDAVOCOL ROW 10</v>
          </cell>
        </row>
        <row r="1425">
          <cell r="A1425" t="str">
            <v>435073rd5 UNCATEGORIZED 300</v>
          </cell>
        </row>
        <row r="1426">
          <cell r="A1426" t="str">
            <v>435073rd5 UNCATEGORIZED 600</v>
          </cell>
        </row>
        <row r="1427">
          <cell r="A1427" t="str">
            <v>435073rdL06_JV_021E_RAISEMANZANO 20</v>
          </cell>
        </row>
        <row r="1428">
          <cell r="A1428" t="str">
            <v>435073rdL06_JV_027E_RAISEQUIJANO 40</v>
          </cell>
        </row>
        <row r="1429">
          <cell r="A1429" t="str">
            <v>435073rdL06_DPVE_022E_STOPEBAÑEZ 60</v>
          </cell>
        </row>
        <row r="1430">
          <cell r="A1430" t="str">
            <v>435073rdL06_NONE_002W_XCNBADBADON R.40</v>
          </cell>
        </row>
        <row r="1431">
          <cell r="A1431" t="str">
            <v>435073rd6 UNCATEGORIZED 1000</v>
          </cell>
        </row>
        <row r="1432">
          <cell r="A1432" t="str">
            <v>435073rd6 UNCATEGORIZED 1300</v>
          </cell>
        </row>
        <row r="1433">
          <cell r="A1433" t="str">
            <v>435072ndL06_CTV_026E_DWQUIJANO 40</v>
          </cell>
        </row>
        <row r="1434">
          <cell r="A1434" t="str">
            <v>435072ndL06_JV_001W_RAISEREBOTE 20</v>
          </cell>
        </row>
        <row r="1435">
          <cell r="A1435" t="str">
            <v>435072ndL06_JV_027E_RAISEQUIJANO 40</v>
          </cell>
        </row>
        <row r="1436">
          <cell r="A1436" t="str">
            <v>435072ndL06_DPVE_022E_STOPEBAÑEZ 60</v>
          </cell>
        </row>
        <row r="1437">
          <cell r="A1437" t="str">
            <v>435072ndL06_JVFW_006E_STOPEBADBADON R. 50</v>
          </cell>
        </row>
        <row r="1438">
          <cell r="A1438" t="str">
            <v>435072ndL06_GHVFW_003E_STOPE PREPBAÑEZ 40</v>
          </cell>
        </row>
        <row r="1439">
          <cell r="A1439" t="str">
            <v>435072ndL06_NONE_021E_XCNGUNAY 10</v>
          </cell>
        </row>
        <row r="1440">
          <cell r="A1440" t="str">
            <v>435072nd6 UNCATEGORIZED 700</v>
          </cell>
        </row>
        <row r="1441">
          <cell r="A1441" t="str">
            <v>435072nd6 UNCATEGORIZED 900</v>
          </cell>
        </row>
        <row r="1442">
          <cell r="A1442" t="str">
            <v>435072nd6 UNCATEGORIZED 1100</v>
          </cell>
        </row>
        <row r="1443">
          <cell r="A1443" t="str">
            <v>435072nd6 UNCATEGORIZED 1300</v>
          </cell>
        </row>
        <row r="1444">
          <cell r="A1444" t="str">
            <v>435072nd6 UNCATEGORIZED 1400</v>
          </cell>
        </row>
        <row r="1445">
          <cell r="A1445" t="str">
            <v>435072ndL07_DPVE_060E_DEVILLARANTE 40</v>
          </cell>
        </row>
        <row r="1446">
          <cell r="A1446" t="str">
            <v>435072ndL07_JVHW_063E_RAISESHEPHERD O0</v>
          </cell>
        </row>
        <row r="1447">
          <cell r="A1447" t="str">
            <v>435072ndL07_DPVE_029E_STOPESHEPHERD Q0</v>
          </cell>
        </row>
        <row r="1448">
          <cell r="A1448" t="str">
            <v>435072ndL07_CTV_061E_STOPE PREPVILLARANTE 369</v>
          </cell>
        </row>
        <row r="1449">
          <cell r="A1449" t="str">
            <v>435072nd7 UNCATEGORIZED 200</v>
          </cell>
        </row>
        <row r="1450">
          <cell r="A1450" t="str">
            <v>435072nd7 UNCATEGORIZED 300</v>
          </cell>
        </row>
        <row r="1451">
          <cell r="A1451" t="str">
            <v>435073rdL07_DPVE_063E_DWALEÑAR 20</v>
          </cell>
        </row>
        <row r="1452">
          <cell r="A1452" t="str">
            <v>435073rdL07_DPVE_065E_RAISEBABOR 10</v>
          </cell>
        </row>
        <row r="1453">
          <cell r="A1453" t="str">
            <v>435073rdL07_JVHW_063E_RAISESHEPHERD O0</v>
          </cell>
        </row>
        <row r="1454">
          <cell r="A1454" t="str">
            <v>435073rdL07_DPVE_028E_STOPEDOLARIZA 20</v>
          </cell>
        </row>
        <row r="1455">
          <cell r="A1455" t="str">
            <v>435073rdL07_JVHW_072E_STOPEBABOR 567</v>
          </cell>
        </row>
        <row r="1456">
          <cell r="A1456" t="str">
            <v>435073rdL07_CTV_061E_STOPE PREPVILLARANTE 369</v>
          </cell>
        </row>
        <row r="1457">
          <cell r="A1457" t="str">
            <v>435073rdL07_JVHW_064E_STOPE PREPBABOR 568</v>
          </cell>
        </row>
        <row r="1458">
          <cell r="A1458" t="str">
            <v>435073rd7 UNCATEGORIZED 100</v>
          </cell>
        </row>
        <row r="1459">
          <cell r="A1459" t="str">
            <v>435073rd7 UNCATEGORIZED 400</v>
          </cell>
        </row>
        <row r="1460">
          <cell r="A1460" t="str">
            <v>435073rd7 UNCATEGORIZED 900</v>
          </cell>
        </row>
        <row r="1461">
          <cell r="A1461" t="str">
            <v>435073rdL08_DPVE_048E_DWSILVOZA 30</v>
          </cell>
        </row>
        <row r="1462">
          <cell r="A1462" t="str">
            <v>435073rdL08_GHVHW_011E_DWDEMALATA 10</v>
          </cell>
        </row>
        <row r="1463">
          <cell r="A1463" t="str">
            <v>435073rdL08_DPVE_060E_RAISE00</v>
          </cell>
        </row>
        <row r="1464">
          <cell r="A1464" t="str">
            <v>435073rdL08_GHVSPLIT_003E_RAISEBELICAN 40</v>
          </cell>
        </row>
        <row r="1465">
          <cell r="A1465" t="str">
            <v>435073rdL08_DPVE_061E_STOPEAGLOLO 40</v>
          </cell>
        </row>
        <row r="1466">
          <cell r="A1466" t="str">
            <v>435073rdL08_GHVHW_031E_STOPEGEMENTIZA 10</v>
          </cell>
        </row>
        <row r="1467">
          <cell r="A1467" t="str">
            <v>435072ndL08_DPVE_061E_STOPEAGLOLO 40</v>
          </cell>
        </row>
        <row r="1468">
          <cell r="A1468" t="str">
            <v>435072ndL08_GHVHW_031E_STOPEGEMENTIZA 10</v>
          </cell>
        </row>
        <row r="1469">
          <cell r="A1469" t="str">
            <v>435072ndL08_DPVE_054E_STOPE PREPSILVOZA 10</v>
          </cell>
        </row>
        <row r="1470">
          <cell r="A1470" t="str">
            <v>435072nd8 UNCATEGORIZED 900</v>
          </cell>
        </row>
        <row r="1471">
          <cell r="A1471" t="str">
            <v>435071stL08_JV_020E_RAISEAGLOLO 10</v>
          </cell>
        </row>
        <row r="1472">
          <cell r="A1472" t="str">
            <v>435071stL08_DPVE_061E_STOPEAGLOLO 40</v>
          </cell>
        </row>
        <row r="1473">
          <cell r="A1473" t="str">
            <v>435071stL08_GHVHW_031E_STOPEGEMENTIZA 10</v>
          </cell>
        </row>
        <row r="1474">
          <cell r="A1474" t="str">
            <v>435071st8 UNCATEGORIZED 100</v>
          </cell>
        </row>
        <row r="1475">
          <cell r="A1475" t="str">
            <v>435071stL08_DPVE_048E_DWSILVOZA 30</v>
          </cell>
        </row>
        <row r="1476">
          <cell r="A1476" t="str">
            <v>435072ndL09_GHVFW_040E_DEPANSIT 40</v>
          </cell>
        </row>
        <row r="1477">
          <cell r="A1477" t="str">
            <v>435072ndL09_JV_050E_DEDAVOCOL, ROSELIO 30</v>
          </cell>
        </row>
        <row r="1478">
          <cell r="A1478" t="str">
            <v>435072ndL09_GHV_015W_STOPESHEPHERD R0</v>
          </cell>
        </row>
        <row r="1479">
          <cell r="A1479" t="str">
            <v>435072ndL09_GHV_031E_STOPEPANCIT, NOEL 80</v>
          </cell>
        </row>
        <row r="1480">
          <cell r="A1480" t="str">
            <v>435072ndL09_JVFW_057E_STOPEDELOS REYES V. 60</v>
          </cell>
        </row>
        <row r="1481">
          <cell r="A1481" t="str">
            <v>435072ndL09_GHVFW_034E_STOPE PREPCANOY 20</v>
          </cell>
        </row>
        <row r="1482">
          <cell r="A1482" t="str">
            <v>435072ndL09_NONE_054E_XCSDAVOCOL, ROWELL0</v>
          </cell>
        </row>
        <row r="1483">
          <cell r="A1483" t="str">
            <v>435072ndL10_GHV_033E_DETAÑEZA 40</v>
          </cell>
        </row>
        <row r="1484">
          <cell r="A1484" t="str">
            <v>435072ndL10_GHVFW_021E_DETAÑEZA 30</v>
          </cell>
        </row>
        <row r="1485">
          <cell r="A1485" t="str">
            <v>435072ndL10_JVSPLIT_057E_DETAÑEZA 8100</v>
          </cell>
        </row>
        <row r="1486">
          <cell r="A1486" t="str">
            <v>435072ndL10_GHV_009E_DWTAÑEZA 50</v>
          </cell>
        </row>
        <row r="1487">
          <cell r="A1487" t="str">
            <v>435072nd9 UNCATEGORIZED 200</v>
          </cell>
        </row>
        <row r="1488">
          <cell r="A1488" t="str">
            <v>435072nd9 UNCATEGORIZED 600</v>
          </cell>
        </row>
        <row r="1489">
          <cell r="A1489" t="str">
            <v>435072nd9 UNCATEGORIZED 700</v>
          </cell>
        </row>
        <row r="1490">
          <cell r="A1490" t="str">
            <v>435072nd9 UNCATEGORIZED 900</v>
          </cell>
        </row>
        <row r="1491">
          <cell r="A1491" t="str">
            <v>435072nd10 UNCATEGORIZED 200</v>
          </cell>
        </row>
        <row r="1492">
          <cell r="A1492" t="str">
            <v>435073rdL09_DPVE_051E_DEBALANGHIG 10</v>
          </cell>
        </row>
        <row r="1493">
          <cell r="A1493" t="str">
            <v>435073rdL09_GHVHW_049E_DEBABOR 10</v>
          </cell>
        </row>
        <row r="1494">
          <cell r="A1494" t="str">
            <v>435073rdL09_JV_046E_DWDELOS REYES V. 20</v>
          </cell>
        </row>
        <row r="1495">
          <cell r="A1495" t="str">
            <v>435073rdL09_GHVHW_029E_RAISEHUMIDING 20</v>
          </cell>
        </row>
        <row r="1496">
          <cell r="A1496" t="str">
            <v>435073rdL09_JVFW_055E_RAISECANOY 30</v>
          </cell>
        </row>
        <row r="1497">
          <cell r="A1497" t="str">
            <v>435073rdL09_GHV_015W_STOPESHEPHERD R0</v>
          </cell>
        </row>
        <row r="1498">
          <cell r="A1498" t="str">
            <v>435073rdL09_GHV_031E_STOPEPANCIT, NOEL 80</v>
          </cell>
        </row>
        <row r="1499">
          <cell r="A1499" t="str">
            <v>435073rdL09_GHV_060E_STOPEPANSIT 60</v>
          </cell>
        </row>
        <row r="1500">
          <cell r="A1500" t="str">
            <v>435073rdL09_GHVFW_039E_STOPEPANCIT, NOEL 40</v>
          </cell>
        </row>
        <row r="1501">
          <cell r="A1501" t="str">
            <v>435073rdL09_JV_058E_STOPECANOY 10</v>
          </cell>
        </row>
        <row r="1502">
          <cell r="A1502" t="str">
            <v>435073rdL09_JVFW_057E_STOPEDELOS REYES V. 60</v>
          </cell>
        </row>
        <row r="1503">
          <cell r="A1503" t="str">
            <v>435073rdL09_NONE_070E_XCNDELOS REYES V. 20</v>
          </cell>
        </row>
        <row r="1504">
          <cell r="A1504" t="str">
            <v>435073rdL10_GHV_020E_DETAÑEZA 90</v>
          </cell>
        </row>
        <row r="1505">
          <cell r="A1505" t="str">
            <v>435073rdL10_JV_059E_DETAÑEZA 70</v>
          </cell>
        </row>
        <row r="1506">
          <cell r="A1506" t="str">
            <v>435073rdL10_GHV_009E_DWTAÑEZA 50</v>
          </cell>
        </row>
        <row r="1507">
          <cell r="A1507" t="str">
            <v>435073rd9 UNCATEGORIZED 700</v>
          </cell>
        </row>
        <row r="1508">
          <cell r="A1508" t="str">
            <v>435073rd9 UNCATEGORIZED 900</v>
          </cell>
        </row>
        <row r="1509">
          <cell r="A1509" t="str">
            <v>435073rd10 UNCATEGORIZED 100</v>
          </cell>
        </row>
        <row r="1510">
          <cell r="A1510" t="str">
            <v>435072ndL09_JV_046E_DWDELOS REYES V. 20</v>
          </cell>
        </row>
        <row r="1511">
          <cell r="A1511" t="str">
            <v>435081st2 UNCATEGORIZED 200</v>
          </cell>
        </row>
        <row r="1512">
          <cell r="A1512" t="str">
            <v>435081st2 UNCATEGORIZED 800</v>
          </cell>
        </row>
        <row r="1513">
          <cell r="A1513" t="str">
            <v>435081stL02_RYV_020W_ROBBINGMONTEBON 50</v>
          </cell>
        </row>
        <row r="1514">
          <cell r="A1514" t="str">
            <v>435081st4 UNCATEGORIZED 1400</v>
          </cell>
        </row>
        <row r="1515">
          <cell r="A1515" t="str">
            <v>435081stL05_GHV_010W_ROBBINGFERNANDEZ RX 40</v>
          </cell>
        </row>
        <row r="1516">
          <cell r="A1516" t="str">
            <v>435081stL05_GHV_022W_ROBBINGBADBADON L.30</v>
          </cell>
        </row>
        <row r="1517">
          <cell r="A1517" t="str">
            <v>435081stL05_CTV_008W_STOPESHEPHERD P0</v>
          </cell>
        </row>
        <row r="1518">
          <cell r="A1518" t="str">
            <v>435081stL05_CV_010E_WINZESHEPHERD L56</v>
          </cell>
        </row>
        <row r="1519">
          <cell r="A1519" t="str">
            <v>435081stL05_GHV_023W_WINZEBADBADON L. 20</v>
          </cell>
        </row>
        <row r="1520">
          <cell r="A1520" t="str">
            <v>435081st5 UNCATEGORIZED 200</v>
          </cell>
        </row>
        <row r="1521">
          <cell r="A1521" t="str">
            <v>435081st5 UNCATEGORIZED 400</v>
          </cell>
        </row>
        <row r="1522">
          <cell r="A1522" t="str">
            <v>435081stL06_CV_005E_DEREBOTE 10</v>
          </cell>
        </row>
        <row r="1523">
          <cell r="A1523" t="str">
            <v>435081stL06_DPVE_035E_DEBAÑEZ 90</v>
          </cell>
        </row>
        <row r="1524">
          <cell r="A1524" t="str">
            <v>435081stL06_GHVFW_028W_DEBUGAWAN 20</v>
          </cell>
        </row>
        <row r="1525">
          <cell r="A1525" t="str">
            <v>435081stL06_JV_001W_RAISEREBOTE 20</v>
          </cell>
        </row>
        <row r="1526">
          <cell r="A1526" t="str">
            <v>435081stL06_JV_021E_RAISEMANZANO 20</v>
          </cell>
        </row>
        <row r="1527">
          <cell r="A1527" t="str">
            <v>435081stL06_DPVE_022E_STOPEBAÑEZ 60</v>
          </cell>
        </row>
        <row r="1528">
          <cell r="A1528" t="str">
            <v>435081stL06_JVFW_006E_STOPEBADBADON R. 50</v>
          </cell>
        </row>
        <row r="1529">
          <cell r="A1529" t="str">
            <v>435081st6 UNCATEGORIZED 600</v>
          </cell>
        </row>
        <row r="1530">
          <cell r="A1530" t="str">
            <v>435081st6 UNCATEGORIZED 1200</v>
          </cell>
        </row>
        <row r="1531">
          <cell r="A1531" t="str">
            <v>435081stL08_DPVE_068E_DELERIO 30</v>
          </cell>
        </row>
        <row r="1532">
          <cell r="A1532" t="str">
            <v>435081stL08_JVSPLIT_017E_DEAGLOLO 20</v>
          </cell>
        </row>
        <row r="1533">
          <cell r="A1533" t="str">
            <v>435081stL08_GHVFW_038E_DWTORMIS 10</v>
          </cell>
        </row>
        <row r="1534">
          <cell r="A1534" t="str">
            <v>435081stL08_JV_020E_RAISEAGLOLO 10</v>
          </cell>
        </row>
        <row r="1535">
          <cell r="A1535" t="str">
            <v>435081st8 UNCATEGORIZED 500</v>
          </cell>
        </row>
        <row r="1536">
          <cell r="A1536" t="str">
            <v>435081st8 UNCATEGORIZED 1000</v>
          </cell>
        </row>
        <row r="1537">
          <cell r="A1537" t="str">
            <v>435082ndL02_CTV_061W_ROBBINGNOCOS 20</v>
          </cell>
        </row>
        <row r="1538">
          <cell r="A1538" t="str">
            <v>435082ndL02_GHV_009W_ROBBINGMONTEBON 40</v>
          </cell>
        </row>
        <row r="1539">
          <cell r="A1539" t="str">
            <v>435082ndL02_JV_030W_ROBBINGLERIO, RAUL0</v>
          </cell>
        </row>
        <row r="1540">
          <cell r="A1540" t="str">
            <v>435082ndL02_JV_042W_ROBBINGDAGAMAC0</v>
          </cell>
        </row>
        <row r="1541">
          <cell r="A1541" t="str">
            <v>435082ndL02_JVHW_051W_ROBBINGLERIO, RAUL0</v>
          </cell>
        </row>
        <row r="1542">
          <cell r="A1542" t="str">
            <v>435082ndL02_RYV_020W_ROBBINGMONTEBON 50</v>
          </cell>
        </row>
        <row r="1543">
          <cell r="A1543" t="str">
            <v>435082nd2 UNCATEGORIZED 200</v>
          </cell>
        </row>
        <row r="1544">
          <cell r="A1544" t="str">
            <v>435082nd2 UNCATEGORIZED 400</v>
          </cell>
        </row>
        <row r="1545">
          <cell r="A1545" t="str">
            <v>435082nd2 UNCATEGORIZED 700</v>
          </cell>
        </row>
        <row r="1546">
          <cell r="A1546" t="str">
            <v>435082nd2 UNCATEGORIZED 800</v>
          </cell>
        </row>
        <row r="1547">
          <cell r="A1547" t="str">
            <v>435083rd2 UNCATEGORIZED 800</v>
          </cell>
        </row>
        <row r="1548">
          <cell r="A1548" t="str">
            <v>435083rdL02_JVHW_051W_ROBBINGLERIO, RAUL0</v>
          </cell>
        </row>
        <row r="1549">
          <cell r="A1549" t="str">
            <v>435083rdL02_RYV_020W_ROBBINGMONTEBON 50</v>
          </cell>
        </row>
        <row r="1550">
          <cell r="A1550" t="str">
            <v>435083rdL02_RYV_023W_ROBBINGCARIKITAN 10</v>
          </cell>
        </row>
        <row r="1551">
          <cell r="A1551" t="str">
            <v>435083rdL02_CV_005E_STOPE PREPALMASA 20</v>
          </cell>
        </row>
        <row r="1552">
          <cell r="A1552" t="str">
            <v>435082ndL04_JV_049W_RAISEDUHIG 30</v>
          </cell>
        </row>
        <row r="1553">
          <cell r="A1553" t="str">
            <v>435082ndL04_CV_012W_ROBBINGMARTINEZ RON. 10</v>
          </cell>
        </row>
        <row r="1554">
          <cell r="A1554" t="str">
            <v>435082ndL04_GHVFW_040W_ROBBINGNACARIO 10</v>
          </cell>
        </row>
        <row r="1555">
          <cell r="A1555" t="str">
            <v>435082ndL04_JV_042W_STOPEDUHIG 30</v>
          </cell>
        </row>
        <row r="1556">
          <cell r="A1556" t="str">
            <v>435082ndL04_GHVFW_014E_STOPE PREPPARAGUYA 40</v>
          </cell>
        </row>
        <row r="1557">
          <cell r="A1557" t="str">
            <v>435083rdL04_JV_049W_RAISEDUHIG 30</v>
          </cell>
        </row>
        <row r="1558">
          <cell r="A1558" t="str">
            <v>435083rdL04_CTV_017W_ROBBINGNOCOS, ARIEL0</v>
          </cell>
        </row>
        <row r="1559">
          <cell r="A1559" t="str">
            <v>435083rdL04_CV_012W_ROBBINGMARTINEZ RON. 10</v>
          </cell>
        </row>
        <row r="1560">
          <cell r="A1560" t="str">
            <v>435083rdL04_GHVSPLIT_043W_ROBBINGCABONITA 20</v>
          </cell>
        </row>
        <row r="1561">
          <cell r="A1561" t="str">
            <v>435083rdL04_GHVFW_014E_STOPE PREPPARAGUYA 40</v>
          </cell>
        </row>
        <row r="1562">
          <cell r="A1562" t="str">
            <v>435083rd4 UNCATEGORIZED 1300</v>
          </cell>
        </row>
        <row r="1563">
          <cell r="A1563" t="str">
            <v>435083rdL05_JVSPLIT_006E_RAISEBALDO 10</v>
          </cell>
        </row>
        <row r="1564">
          <cell r="A1564" t="str">
            <v>435083rdL05_GHV_010W_ROBBINGFERNANDEZ RX 40</v>
          </cell>
        </row>
        <row r="1565">
          <cell r="A1565" t="str">
            <v>435083rdL05_GHV_030W_WINZE STOPEAMAC 20</v>
          </cell>
        </row>
        <row r="1566">
          <cell r="A1566" t="str">
            <v>435082ndL05_CV_003W_RAISEALMEDORA 20</v>
          </cell>
        </row>
        <row r="1567">
          <cell r="A1567" t="str">
            <v>435082ndL05_JVSPLIT_006E_RAISEBALDO 10</v>
          </cell>
        </row>
        <row r="1568">
          <cell r="A1568" t="str">
            <v>435082ndL05_NV_005W_RAISESHEPHERD P0</v>
          </cell>
        </row>
        <row r="1569">
          <cell r="A1569" t="str">
            <v>435082ndL05_GHV_010W_ROBBINGFERNANDEZ RX 40</v>
          </cell>
        </row>
        <row r="1570">
          <cell r="A1570" t="str">
            <v>435082ndL05_GHV_039W_ROBBINGCOMAINGKING 20</v>
          </cell>
        </row>
        <row r="1571">
          <cell r="A1571" t="str">
            <v>435082ndL05_GHVSPLIT_030E_ROBBINGCAYABAS 10</v>
          </cell>
        </row>
        <row r="1572">
          <cell r="A1572" t="str">
            <v>435082ndL05_JV_014W_ROBBINGFERNANDEZ RX 50</v>
          </cell>
        </row>
        <row r="1573">
          <cell r="A1573" t="str">
            <v>435082ndL05_CV_004W_WINZEOY-YOY 153</v>
          </cell>
        </row>
        <row r="1574">
          <cell r="A1574" t="str">
            <v>435082nd5 UNCATEGORIZED 200</v>
          </cell>
        </row>
        <row r="1575">
          <cell r="A1575" t="str">
            <v>435082nd5 UNCATEGORIZED 300</v>
          </cell>
        </row>
        <row r="1576">
          <cell r="A1576" t="str">
            <v>435083rdL05_NONE_027W_XCNBADBADON L. 10</v>
          </cell>
        </row>
        <row r="1577">
          <cell r="A1577" t="str">
            <v>435083rdL06_GHVFW_028W_DEBUGAWAN 20</v>
          </cell>
        </row>
        <row r="1578">
          <cell r="A1578" t="str">
            <v>435083rdL06_JV_021E_RAISEMANZANO 20</v>
          </cell>
        </row>
        <row r="1579">
          <cell r="A1579" t="str">
            <v>435083rdL06_JV_027E_RAISEQUIJANO 40</v>
          </cell>
        </row>
        <row r="1580">
          <cell r="A1580" t="str">
            <v>435083rdL06_DPVE_022E_STOPEBAÑEZ 60</v>
          </cell>
        </row>
        <row r="1581">
          <cell r="A1581" t="str">
            <v>435083rdL06_GHVFW_007W_STOPE PREPBAÑEZ 70</v>
          </cell>
        </row>
        <row r="1582">
          <cell r="A1582" t="str">
            <v>435083rdL06_NONE_002W_XCNBADBADON R.40</v>
          </cell>
        </row>
        <row r="1583">
          <cell r="A1583" t="str">
            <v>435083rd6 UNCATEGORIZED 900</v>
          </cell>
        </row>
        <row r="1584">
          <cell r="A1584" t="str">
            <v>435083rd6 UNCATEGORIZED 1000</v>
          </cell>
        </row>
        <row r="1585">
          <cell r="A1585" t="str">
            <v>435083rd6 UNCATEGORIZED 600</v>
          </cell>
        </row>
        <row r="1586">
          <cell r="A1586" t="str">
            <v>435082ndL06_CTV_026E_DWQUIJANO 40</v>
          </cell>
        </row>
        <row r="1587">
          <cell r="A1587" t="str">
            <v>435082ndL06_JV_021E_RAISEMANZANO 20</v>
          </cell>
        </row>
        <row r="1588">
          <cell r="A1588" t="str">
            <v>435082ndL06_JV_027E_RAISEQUIJANO 40</v>
          </cell>
        </row>
        <row r="1589">
          <cell r="A1589" t="str">
            <v>435082ndL06_JV_056E_ROBBINGUDLOS 10</v>
          </cell>
        </row>
        <row r="1590">
          <cell r="A1590" t="str">
            <v>435082ndL06_GHVFW_003E_STOPE PREPBAÑEZ 40</v>
          </cell>
        </row>
        <row r="1591">
          <cell r="A1591" t="str">
            <v>435082ndL06_NONE_021E_XCNGUNAY 10</v>
          </cell>
        </row>
        <row r="1592">
          <cell r="A1592" t="str">
            <v>435083rdL07_DPVE_060E_DEVILLARANTE 40</v>
          </cell>
        </row>
        <row r="1593">
          <cell r="A1593" t="str">
            <v>435083rdL07_DPVE_063E_DWALEÑAR 20</v>
          </cell>
        </row>
        <row r="1594">
          <cell r="A1594" t="str">
            <v>435083rdL07_DPVE_029E_STOPESHEPHERD Q0</v>
          </cell>
        </row>
        <row r="1595">
          <cell r="A1595" t="str">
            <v>435083rdL07_JVHW_072E_STOPEBABOR 567</v>
          </cell>
        </row>
        <row r="1596">
          <cell r="A1596" t="str">
            <v>435083rdL07_CTV_061E_STOPE PREPVILLARANTE 369</v>
          </cell>
        </row>
        <row r="1597">
          <cell r="A1597" t="str">
            <v>435083rdL07_DPVE_026E_STOPE PREPSHEPHERD H57</v>
          </cell>
        </row>
        <row r="1598">
          <cell r="A1598" t="str">
            <v>435083rdL07_GHVHW_056E_WINZE STOPE PREPBABOR 30</v>
          </cell>
        </row>
        <row r="1599">
          <cell r="A1599" t="str">
            <v>435083rd7 UNCATEGORIZED 200</v>
          </cell>
        </row>
        <row r="1600">
          <cell r="A1600" t="str">
            <v>435083rd7 UNCATEGORIZED 300</v>
          </cell>
        </row>
        <row r="1601">
          <cell r="A1601" t="str">
            <v>435083rd7 UNCATEGORIZED 700</v>
          </cell>
        </row>
        <row r="1602">
          <cell r="A1602" t="str">
            <v>435082ndL07_DPVE_060E_DEVILLARANTE 40</v>
          </cell>
        </row>
        <row r="1603">
          <cell r="A1603" t="str">
            <v>435082ndL07_DPVE_065E_RAISEBABOR 10</v>
          </cell>
        </row>
        <row r="1604">
          <cell r="A1604" t="str">
            <v>435082ndL07_JVHW_063E_RAISESHEPHERD O0</v>
          </cell>
        </row>
        <row r="1605">
          <cell r="A1605" t="str">
            <v>435082ndL07_DPVE_029E_STOPESHEPHERD Q0</v>
          </cell>
        </row>
        <row r="1606">
          <cell r="A1606" t="str">
            <v>435082ndL07_DPVE_026E_STOPE PREPSHEPHERD H57</v>
          </cell>
        </row>
        <row r="1607">
          <cell r="A1607" t="str">
            <v>435082ndL07_GHVHW_056E_WINZE STOPE PREPBABOR 30</v>
          </cell>
        </row>
        <row r="1608">
          <cell r="A1608" t="str">
            <v>435082nd7 UNCATEGORIZED 300</v>
          </cell>
        </row>
        <row r="1609">
          <cell r="A1609" t="str">
            <v>435081stL07_DPVE_065E_RAISEBABOR 10</v>
          </cell>
        </row>
        <row r="1610">
          <cell r="A1610" t="str">
            <v>435081stL07_CTV_061E_STOPE PREPVILLARANTE 369</v>
          </cell>
        </row>
        <row r="1611">
          <cell r="A1611" t="str">
            <v>435081stL07_DPVE_026E_STOPE PREPSHEPHERD H57</v>
          </cell>
        </row>
        <row r="1612">
          <cell r="A1612" t="str">
            <v>435083rdL08_DPVE_068E_DELERIO 30</v>
          </cell>
        </row>
        <row r="1613">
          <cell r="A1613" t="str">
            <v>435083rdL08_DPVE_048E_DWSILVOZA 30</v>
          </cell>
        </row>
        <row r="1614">
          <cell r="A1614" t="str">
            <v>435083rdL08_DPVE_065E_RAISELERIO 40</v>
          </cell>
        </row>
        <row r="1615">
          <cell r="A1615" t="str">
            <v>435083rdL08_JV_020E_RAISEAGLOLO 10</v>
          </cell>
        </row>
        <row r="1616">
          <cell r="A1616" t="str">
            <v>435083rdL08_GHV_036E_STOPEBORERO 30</v>
          </cell>
        </row>
        <row r="1617">
          <cell r="A1617" t="str">
            <v>435083rdL08_GHVHW_031E_STOPEGEMENTIZA 10</v>
          </cell>
        </row>
        <row r="1618">
          <cell r="A1618" t="str">
            <v>435083rdL08_GHVHW_034E_STOPECAPOY 20</v>
          </cell>
        </row>
        <row r="1619">
          <cell r="A1619" t="str">
            <v>435083rd8 UNCATEGORIZED 100</v>
          </cell>
        </row>
        <row r="1620">
          <cell r="A1620" t="str">
            <v>435083rd8 UNCATEGORIZED 600</v>
          </cell>
        </row>
        <row r="1621">
          <cell r="A1621" t="str">
            <v>435083rd8 UNCATEGORIZED 700</v>
          </cell>
        </row>
        <row r="1622">
          <cell r="A1622" t="str">
            <v>435083rd8 UNCATEGORIZED 1100</v>
          </cell>
        </row>
        <row r="1623">
          <cell r="A1623" t="str">
            <v>435082ndL08_JV_055E_DEBENONGUIL 10</v>
          </cell>
        </row>
        <row r="1624">
          <cell r="A1624" t="str">
            <v>435082ndL08_GHVHW_011E_DWDEMALATA 10</v>
          </cell>
        </row>
        <row r="1625">
          <cell r="A1625" t="str">
            <v>435082ndL08_JV_020E_RAISEAGLOLO 10</v>
          </cell>
        </row>
        <row r="1626">
          <cell r="A1626" t="str">
            <v>435082ndL08_DPVE_061E_STOPEAGLOLO 40</v>
          </cell>
        </row>
        <row r="1627">
          <cell r="A1627" t="str">
            <v>435082ndL08_GHV_036E_STOPEBORERO 30</v>
          </cell>
        </row>
        <row r="1628">
          <cell r="A1628" t="str">
            <v>435082ndL08_GHVFW_001E_STOPEAGLOLO 10</v>
          </cell>
        </row>
        <row r="1629">
          <cell r="A1629" t="str">
            <v>435082ndL08_GHVHW_031E_STOPEGEMENTIZA 10</v>
          </cell>
        </row>
        <row r="1630">
          <cell r="A1630" t="str">
            <v>435082ndL08_GHVHW_034E_STOPECAPOY 20</v>
          </cell>
        </row>
        <row r="1631">
          <cell r="A1631" t="str">
            <v>435082ndL08_NONE_016W_XCNSILVOZA 181</v>
          </cell>
        </row>
        <row r="1632">
          <cell r="A1632" t="str">
            <v>435082nd8 UNCATEGORIZED 100</v>
          </cell>
        </row>
        <row r="1633">
          <cell r="A1633" t="str">
            <v>435082nd8 UNCATEGORIZED 700</v>
          </cell>
        </row>
        <row r="1634">
          <cell r="A1634" t="str">
            <v>435082nd8 UNCATEGORIZED 800</v>
          </cell>
        </row>
        <row r="1635">
          <cell r="A1635" t="str">
            <v>435082nd8 UNCATEGORIZED 900</v>
          </cell>
        </row>
        <row r="1636">
          <cell r="A1636" t="str">
            <v>435082ndL07_JVHW_064E_STOPE PREPBABOR 568</v>
          </cell>
        </row>
        <row r="1637">
          <cell r="A1637" t="str">
            <v>435082ndL08_NONE_035E_SHAFTHUMIDING 20</v>
          </cell>
        </row>
        <row r="1638">
          <cell r="A1638" t="str">
            <v>435082ndL09_GHVHW_049E_DEBABOR 10</v>
          </cell>
        </row>
        <row r="1639">
          <cell r="A1639" t="str">
            <v>435082ndL09_JVFW_062E_DESHEPHERD S0</v>
          </cell>
        </row>
        <row r="1640">
          <cell r="A1640" t="str">
            <v>435082ndL09_GHVHW_027E_DWHUMIDING 10</v>
          </cell>
        </row>
        <row r="1641">
          <cell r="A1641" t="str">
            <v>435082ndL09_GHV_015W_STOPESHEPHERD R0</v>
          </cell>
        </row>
        <row r="1642">
          <cell r="A1642" t="str">
            <v>435082ndL09_GHV_031E_STOPEPANCIT, NOEL 80</v>
          </cell>
        </row>
        <row r="1643">
          <cell r="A1643" t="str">
            <v>435082ndL09_GHV_060E_STOPEPANSIT 60</v>
          </cell>
        </row>
        <row r="1644">
          <cell r="A1644" t="str">
            <v>435082ndL09_JV_058E_STOPECANOY 10</v>
          </cell>
        </row>
        <row r="1645">
          <cell r="A1645" t="str">
            <v>435082ndL09_JVFW_057E_STOPEDELOS REYES V. 60</v>
          </cell>
        </row>
        <row r="1646">
          <cell r="A1646" t="str">
            <v>435082ndL10_GHV_020E_DETAÑEZA 90</v>
          </cell>
        </row>
        <row r="1647">
          <cell r="A1647" t="str">
            <v>435082ndL10_GHVFW_021E_DETAÑEZA 30</v>
          </cell>
        </row>
        <row r="1648">
          <cell r="A1648" t="str">
            <v>435082ndL10_GHVFW_028E_RAISETAÑEZA 60</v>
          </cell>
        </row>
        <row r="1649">
          <cell r="A1649" t="str">
            <v>435082nd9 UNCATEGORIZED 200</v>
          </cell>
        </row>
        <row r="1650">
          <cell r="A1650" t="str">
            <v>435082nd9 UNCATEGORIZED 1000</v>
          </cell>
        </row>
        <row r="1651">
          <cell r="A1651" t="str">
            <v>435082nd10 UNCATEGORIZED 600</v>
          </cell>
        </row>
        <row r="1652">
          <cell r="A1652" t="str">
            <v>435082ndL10_JV_059E_DETAÑEZA 70</v>
          </cell>
        </row>
        <row r="1653">
          <cell r="A1653" t="str">
            <v>435082nd9 UNCATEGORIZED 700</v>
          </cell>
        </row>
        <row r="1654">
          <cell r="A1654" t="str">
            <v>435081stL08_DPVE_048E_DWSILVOZA 30</v>
          </cell>
        </row>
        <row r="1655">
          <cell r="A1655" t="str">
            <v>435081stL09_GHVFW_040E_DEPANSIT 40</v>
          </cell>
        </row>
        <row r="1656">
          <cell r="A1656" t="str">
            <v>435081stL09_JV_050E_DEDAVOCOL, ROSELIO 30</v>
          </cell>
        </row>
        <row r="1657">
          <cell r="A1657" t="str">
            <v>435081stL09_JVFW_062E_DESHEPHERD S0</v>
          </cell>
        </row>
        <row r="1658">
          <cell r="A1658" t="str">
            <v>435081stL09_JVHW_065E_RAISEAGLOLO 40</v>
          </cell>
        </row>
        <row r="1659">
          <cell r="A1659" t="str">
            <v>435081stL09_GHV_031E_STOPEPANCIT, NOEL 80</v>
          </cell>
        </row>
        <row r="1660">
          <cell r="A1660" t="str">
            <v>435081stL09_GHV_060E_STOPEPANSIT 60</v>
          </cell>
        </row>
        <row r="1661">
          <cell r="A1661" t="str">
            <v>435081stL09_JVFW_057E_STOPEDELOS REYES V. 60</v>
          </cell>
        </row>
        <row r="1662">
          <cell r="A1662" t="str">
            <v>435081stL09_GHVFW_034E_STOPE PREPCANOY 20</v>
          </cell>
        </row>
        <row r="1663">
          <cell r="A1663" t="str">
            <v>435081stL10_DPVE_049E_DEHANGDAAN 10</v>
          </cell>
        </row>
        <row r="1664">
          <cell r="A1664" t="str">
            <v>435081stL10_GHV_033E_DETAÑEZA 40</v>
          </cell>
        </row>
        <row r="1665">
          <cell r="A1665" t="str">
            <v>435081st9 UNCATEGORIZED 300</v>
          </cell>
        </row>
        <row r="1666">
          <cell r="A1666" t="str">
            <v>435081st9 UNCATEGORIZED 700</v>
          </cell>
        </row>
        <row r="1667">
          <cell r="A1667" t="str">
            <v>435081st10 UNCATEGORIZED 100</v>
          </cell>
        </row>
        <row r="1668">
          <cell r="A1668" t="str">
            <v>435081st10 UNCATEGORIZED 200</v>
          </cell>
        </row>
        <row r="1669">
          <cell r="A1669" t="str">
            <v>435081st9 UNCATEGORIZED 400</v>
          </cell>
        </row>
        <row r="1670">
          <cell r="A1670" t="str">
            <v>435083rdL09_DPVE_051E_DEBALANGHIG 10</v>
          </cell>
        </row>
        <row r="1671">
          <cell r="A1671" t="str">
            <v>435083rdL09_GHVFW_040E_DEPANSIT 40</v>
          </cell>
        </row>
        <row r="1672">
          <cell r="A1672" t="str">
            <v>435083rdL09_GHV_052E_DWPMC MINERS 20</v>
          </cell>
        </row>
        <row r="1673">
          <cell r="A1673" t="str">
            <v>435083rdL09_JV_046E_DWDELOS REYES V. 20</v>
          </cell>
        </row>
        <row r="1674">
          <cell r="A1674" t="str">
            <v>435083rdL09_JVFW_055E_RAISECANOY 30</v>
          </cell>
        </row>
        <row r="1675">
          <cell r="A1675" t="str">
            <v>435083rdL09_JV_058E_STOPECANOY 10</v>
          </cell>
        </row>
        <row r="1676">
          <cell r="A1676" t="str">
            <v>435083rdL09_GHVFW_034E_STOPE PREPCANOY 20</v>
          </cell>
        </row>
        <row r="1677">
          <cell r="A1677" t="str">
            <v>435083rdL09_GHV_063E_WINZE0</v>
          </cell>
        </row>
        <row r="1678">
          <cell r="A1678" t="str">
            <v>435083rdL09_NONE_070E_XCNDELOS REYES V. 20</v>
          </cell>
        </row>
        <row r="1679">
          <cell r="A1679" t="str">
            <v>435083rdL10_GHV_033E_DETAÑEZA 40</v>
          </cell>
        </row>
        <row r="1680">
          <cell r="A1680" t="str">
            <v>435083rdL10_JVSPLIT_057E_DETAÑEZA 8100</v>
          </cell>
        </row>
        <row r="1681">
          <cell r="A1681" t="str">
            <v>435083rdL10_DPVE_054E_DWHANGDAAN 2101</v>
          </cell>
        </row>
        <row r="1682">
          <cell r="A1682" t="str">
            <v>435083rd10 UNCATEGORIZED 600</v>
          </cell>
        </row>
        <row r="1683">
          <cell r="A1683" t="str">
            <v>435091stL02_RYV_005W_ROBBINGLASANAS 20</v>
          </cell>
        </row>
        <row r="1684">
          <cell r="A1684" t="str">
            <v>435091stL02_RYV_020W_ROBBINGMONTEBON 50</v>
          </cell>
        </row>
        <row r="1685">
          <cell r="A1685" t="str">
            <v>435091st2 UNCATEGORIZED 200</v>
          </cell>
        </row>
        <row r="1686">
          <cell r="A1686" t="str">
            <v>435091st2 UNCATEGORIZED 800</v>
          </cell>
        </row>
        <row r="1687">
          <cell r="A1687" t="str">
            <v>435092ndL02_GHV_009W_ROBBINGMONTEBON 40</v>
          </cell>
        </row>
        <row r="1688">
          <cell r="A1688" t="str">
            <v>435092ndL02_RYV_012W_ROBBINGLASANAS0</v>
          </cell>
        </row>
        <row r="1689">
          <cell r="A1689" t="str">
            <v>435092ndL02_RYV_020W_ROBBINGMONTEBON 50</v>
          </cell>
        </row>
        <row r="1690">
          <cell r="A1690" t="str">
            <v>435092ndL02_CV_007E_WINZEALMASA 30</v>
          </cell>
        </row>
        <row r="1691">
          <cell r="A1691" t="str">
            <v>435092nd2 UNCATEGORIZED 100</v>
          </cell>
        </row>
        <row r="1692">
          <cell r="A1692" t="str">
            <v>435092nd2 UNCATEGORIZED 200</v>
          </cell>
        </row>
        <row r="1693">
          <cell r="A1693" t="str">
            <v>435092nd2 UNCATEGORIZED 300</v>
          </cell>
        </row>
        <row r="1694">
          <cell r="A1694" t="str">
            <v>435092nd2 UNCATEGORIZED 700</v>
          </cell>
        </row>
        <row r="1695">
          <cell r="A1695" t="str">
            <v>435093rdL02_GHV_009W_ROBBINGMONTEBON 40</v>
          </cell>
        </row>
        <row r="1696">
          <cell r="A1696" t="str">
            <v>435093rdL02_JVHW_051W_ROBBINGLERIO, RAUL0</v>
          </cell>
        </row>
        <row r="1697">
          <cell r="A1697" t="str">
            <v>435093rdL02_RYV_020W_ROBBINGMONTEBON 50</v>
          </cell>
        </row>
        <row r="1698">
          <cell r="A1698" t="str">
            <v>435093rdL02_RYV_023W_ROBBINGCARIKITAN 10</v>
          </cell>
        </row>
        <row r="1699">
          <cell r="A1699" t="str">
            <v>435093rdL02_CV_005E_STOPE PREPALMASA 20</v>
          </cell>
        </row>
        <row r="1700">
          <cell r="A1700" t="str">
            <v>435091stL04_GHV_010W_ROBBINGCABONITA 30</v>
          </cell>
        </row>
        <row r="1701">
          <cell r="A1701" t="str">
            <v>435091stL04_GHVSPLIT_043W_ROBBINGCABONITA 20</v>
          </cell>
        </row>
        <row r="1702">
          <cell r="A1702" t="str">
            <v>435091stL04_CTV5_016E_STOPECABCAD 10</v>
          </cell>
        </row>
        <row r="1703">
          <cell r="A1703" t="str">
            <v>435091st4 UNCATEGORIZED 900</v>
          </cell>
        </row>
        <row r="1704">
          <cell r="A1704" t="str">
            <v>435091st4 UNCATEGORIZED 1100</v>
          </cell>
        </row>
        <row r="1705">
          <cell r="A1705" t="str">
            <v>435091st4 UNCATEGORIZED 1400</v>
          </cell>
        </row>
        <row r="1706">
          <cell r="A1706" t="str">
            <v>435092ndL04_GHVFW_015E_DEPARAGUYA 30</v>
          </cell>
        </row>
        <row r="1707">
          <cell r="A1707" t="str">
            <v>435092ndL04_JV_049W_RAISEDUHIG 30</v>
          </cell>
        </row>
        <row r="1708">
          <cell r="A1708" t="str">
            <v>435092ndL04_RYV_010E_RAISEMARTINEZ DN 10</v>
          </cell>
        </row>
        <row r="1709">
          <cell r="A1709" t="str">
            <v>435092ndL04_CV_012W_ROBBINGMARTINEZ RON. 10</v>
          </cell>
        </row>
        <row r="1710">
          <cell r="A1710" t="str">
            <v>435092ndL04_GHVFW_040W_ROBBINGNACARIO 10</v>
          </cell>
        </row>
        <row r="1711">
          <cell r="A1711" t="str">
            <v>435092ndL04_GHVFW_014E_STOPE PREPPARAGUYA 40</v>
          </cell>
        </row>
        <row r="1712">
          <cell r="A1712" t="str">
            <v>435093rdL04_JV_049W_RAISEDUHIG 30</v>
          </cell>
        </row>
        <row r="1713">
          <cell r="A1713" t="str">
            <v>435093rdL04_CTV_017W_ROBBINGNOCOS, ARIEL0</v>
          </cell>
        </row>
        <row r="1714">
          <cell r="A1714" t="str">
            <v>435093rdL04_GHV_010W_ROBBINGCABONITA 30</v>
          </cell>
        </row>
        <row r="1715">
          <cell r="A1715" t="str">
            <v>435093rd4 UNCATEGORIZED 1100</v>
          </cell>
        </row>
        <row r="1716">
          <cell r="A1716" t="str">
            <v>435093rdL04_CTV5_016E_STOPECABCAD 10</v>
          </cell>
        </row>
        <row r="1717">
          <cell r="A1717" t="str">
            <v>435091stL05_JVFW_012W_RAISEFERNANDEZ RX 30</v>
          </cell>
        </row>
        <row r="1718">
          <cell r="A1718" t="str">
            <v>435091stL05_JVSPLIT_006E_RAISEBALDO 10</v>
          </cell>
        </row>
        <row r="1719">
          <cell r="A1719" t="str">
            <v>435091stL05_CTV_009E_ROBBINGFERNANDEZ RX 40</v>
          </cell>
        </row>
        <row r="1720">
          <cell r="A1720" t="str">
            <v>435091stL05_GHV_010W_ROBBINGFERNANDEZ RX 40</v>
          </cell>
        </row>
        <row r="1721">
          <cell r="A1721" t="str">
            <v>435091stL05_CTV_008W_STOPESHEPHERD P0</v>
          </cell>
        </row>
        <row r="1722">
          <cell r="A1722" t="str">
            <v>435091stL05_GHV_023W_WINZEBADBADON L. 20</v>
          </cell>
        </row>
        <row r="1723">
          <cell r="A1723" t="str">
            <v>435091st5 UNCATEGORIZED 200</v>
          </cell>
        </row>
        <row r="1724">
          <cell r="A1724" t="str">
            <v>435092ndL05_JVSPLIT_006E_RAISEBALDO 10</v>
          </cell>
        </row>
        <row r="1725">
          <cell r="A1725" t="str">
            <v>435092ndL05_NV_005W_RAISESHEPHERD P0</v>
          </cell>
        </row>
        <row r="1726">
          <cell r="A1726" t="str">
            <v>435092ndL05_CTV_009E_ROBBINGFERNANDEZ RX 40</v>
          </cell>
        </row>
        <row r="1727">
          <cell r="A1727" t="str">
            <v>435092ndL05_CV_011W_ROBBINGPANCIT 90</v>
          </cell>
        </row>
        <row r="1728">
          <cell r="A1728" t="str">
            <v>435092ndL05_JV_014W_ROBBINGFERNANDEZ RX 50</v>
          </cell>
        </row>
        <row r="1729">
          <cell r="A1729" t="str">
            <v>435092ndL05_JV_018E_STOPEBALDO 252</v>
          </cell>
        </row>
        <row r="1730">
          <cell r="A1730" t="str">
            <v>435092ndL05_CV_004W_WINZEOY-YOY 153</v>
          </cell>
        </row>
        <row r="1731">
          <cell r="A1731" t="str">
            <v>435092ndL05_CV_010E_WINZESHEPHERD L56</v>
          </cell>
        </row>
        <row r="1732">
          <cell r="A1732" t="str">
            <v>435092nd5 UNCATEGORIZED 300</v>
          </cell>
        </row>
        <row r="1733">
          <cell r="A1733" t="str">
            <v>435092nd5 UNCATEGORIZED 600</v>
          </cell>
        </row>
        <row r="1734">
          <cell r="A1734" t="str">
            <v>435093rdL05_CV_003W_RAISEALMEDORA 20</v>
          </cell>
        </row>
        <row r="1735">
          <cell r="A1735" t="str">
            <v>435093rdL05_JVFW_012W_RAISEFERNANDEZ RX 30</v>
          </cell>
        </row>
        <row r="1736">
          <cell r="A1736" t="str">
            <v>435093rdL05_CTV_009E_ROBBINGFERNANDEZ RX 40</v>
          </cell>
        </row>
        <row r="1737">
          <cell r="A1737" t="str">
            <v>435093rdL05_CV_011W_ROBBINGPANCIT 90</v>
          </cell>
        </row>
        <row r="1738">
          <cell r="A1738" t="str">
            <v>435093rdL05_JV_018E_STOPEBALDO 252</v>
          </cell>
        </row>
        <row r="1739">
          <cell r="A1739" t="str">
            <v>435091stL06_JV_001W_RAISEREBOTE 20</v>
          </cell>
        </row>
        <row r="1740">
          <cell r="A1740" t="str">
            <v>435091stL06_JV_027E_RAISEQUIJANO 40</v>
          </cell>
        </row>
        <row r="1741">
          <cell r="A1741" t="str">
            <v>435091stL06_DPVE_022E_STOPEBAÑEZ 60</v>
          </cell>
        </row>
        <row r="1742">
          <cell r="A1742" t="str">
            <v>435091stL06_GHVFW_031W_STOPEBAÑEZ 10</v>
          </cell>
        </row>
        <row r="1743">
          <cell r="A1743" t="str">
            <v>435091stL06_GHVFW_007W_STOPE PREPBAÑEZ 70</v>
          </cell>
        </row>
        <row r="1744">
          <cell r="A1744" t="str">
            <v>435091stL06_NONE_021E_XCNGUNAY 10</v>
          </cell>
        </row>
        <row r="1745">
          <cell r="A1745" t="str">
            <v>435092ndL06_CV_005E_DEREBOTE 10</v>
          </cell>
        </row>
        <row r="1746">
          <cell r="A1746" t="str">
            <v>435092ndL06_DPVE_035E_DEBAÑEZ 90</v>
          </cell>
        </row>
        <row r="1747">
          <cell r="A1747" t="str">
            <v>435092ndL06_CTV_026E_DWQUIJANO 40</v>
          </cell>
        </row>
        <row r="1748">
          <cell r="A1748" t="str">
            <v>435092ndL06_JV_021E_RAISEMANZANO 20</v>
          </cell>
        </row>
        <row r="1749">
          <cell r="A1749" t="str">
            <v>435092ndL06_JV_027E_RAISEQUIJANO 40</v>
          </cell>
        </row>
        <row r="1750">
          <cell r="A1750" t="str">
            <v>435092ndL06_JV_056E_ROBBINGUDLOS 10</v>
          </cell>
        </row>
        <row r="1751">
          <cell r="A1751" t="str">
            <v>435092ndL06_DPVE_022E_STOPEBAÑEZ 60</v>
          </cell>
        </row>
        <row r="1752">
          <cell r="A1752" t="str">
            <v>435092ndL06_JVFW_006E_STOPEBADBADON R. 50</v>
          </cell>
        </row>
        <row r="1753">
          <cell r="A1753" t="str">
            <v>435092nd6 UNCATEGORIZED 400</v>
          </cell>
        </row>
        <row r="1754">
          <cell r="A1754" t="str">
            <v>435092nd6 UNCATEGORIZED 700</v>
          </cell>
        </row>
        <row r="1755">
          <cell r="A1755" t="str">
            <v>435092nd6 UNCATEGORIZED 1100</v>
          </cell>
        </row>
        <row r="1756">
          <cell r="A1756" t="str">
            <v>435093rdL06_GHVFW_028W_DEBUGAWAN 20</v>
          </cell>
        </row>
        <row r="1757">
          <cell r="A1757" t="str">
            <v>435093rdL06_JV_001W_RAISEREBOTE 20</v>
          </cell>
        </row>
        <row r="1758">
          <cell r="A1758" t="str">
            <v>435093rdL06_JV_021E_RAISEMANZANO 20</v>
          </cell>
        </row>
        <row r="1759">
          <cell r="A1759" t="str">
            <v>435093rdL06_DPVE_022E_STOPEBAÑEZ 60</v>
          </cell>
        </row>
        <row r="1760">
          <cell r="A1760" t="str">
            <v>435093rdL06_GHVFW_007W_STOPE PREPBAÑEZ 70</v>
          </cell>
        </row>
        <row r="1761">
          <cell r="A1761" t="str">
            <v>435093rdL06_NONE_002W_XCNBADBADON R.40</v>
          </cell>
        </row>
        <row r="1762">
          <cell r="A1762" t="str">
            <v>435093rd6 UNCATEGORIZED 900</v>
          </cell>
        </row>
        <row r="1763">
          <cell r="A1763" t="str">
            <v>435091stL07_DPVE_060E_DEVILLARANTE 40</v>
          </cell>
        </row>
        <row r="1764">
          <cell r="A1764" t="str">
            <v>435091stL07_DPVE_063E_DWALEÑAR 20</v>
          </cell>
        </row>
        <row r="1765">
          <cell r="A1765" t="str">
            <v>435091stL07_JVHW_072E_STOPEBABOR 567</v>
          </cell>
        </row>
        <row r="1766">
          <cell r="A1766" t="str">
            <v>435091stL07_CTV_061E_STOPE PREPVILLARANTE 369</v>
          </cell>
        </row>
        <row r="1767">
          <cell r="A1767" t="str">
            <v>435091stL07_DPVE_026E_STOPE PREPSHEPHERD H57</v>
          </cell>
        </row>
        <row r="1768">
          <cell r="A1768" t="str">
            <v>435091stL07_JV_057E_STOPE PREPLEON 166</v>
          </cell>
        </row>
        <row r="1769">
          <cell r="A1769" t="str">
            <v>435091st7 UNCATEGORIZED 200</v>
          </cell>
        </row>
        <row r="1770">
          <cell r="A1770" t="str">
            <v>435092ndL07_DPVE_060E_DEVILLARANTE 40</v>
          </cell>
        </row>
        <row r="1771">
          <cell r="A1771" t="str">
            <v>435092ndL07_GHV_019E_DEBORERO 10</v>
          </cell>
        </row>
        <row r="1772">
          <cell r="A1772" t="str">
            <v>435092ndL07_DPVE_065E_RAISEBABOR 10</v>
          </cell>
        </row>
        <row r="1773">
          <cell r="A1773" t="str">
            <v>435092ndL07_JVHW_063E_RAISESHEPHERD O0</v>
          </cell>
        </row>
        <row r="1774">
          <cell r="A1774" t="str">
            <v>435092ndL07_DPVE_028E_STOPEDOLARIZA 20</v>
          </cell>
        </row>
        <row r="1775">
          <cell r="A1775" t="str">
            <v>435092ndL07_DPVE_029E_STOPESHEPHERD Q0</v>
          </cell>
        </row>
        <row r="1776">
          <cell r="A1776" t="str">
            <v>435092ndL07_JVHW_072E_STOPEBABOR 567</v>
          </cell>
        </row>
        <row r="1777">
          <cell r="A1777" t="str">
            <v>435092ndL07_CTV_061E_STOPE PREPVILLARANTE 369</v>
          </cell>
        </row>
        <row r="1778">
          <cell r="A1778" t="str">
            <v>435092ndL07_DPVE_026E_STOPE PREPSHEPHERD H57</v>
          </cell>
        </row>
        <row r="1779">
          <cell r="A1779" t="str">
            <v>435092ndL07_JV_057E_STOPE PREPLEON 166</v>
          </cell>
        </row>
        <row r="1780">
          <cell r="A1780" t="str">
            <v>435092nd7 UNCATEGORIZED 500</v>
          </cell>
        </row>
        <row r="1781">
          <cell r="A1781" t="str">
            <v>435093rdL07_DPVE_063E_DWALEÑAR 20</v>
          </cell>
        </row>
        <row r="1782">
          <cell r="A1782" t="str">
            <v>435093rdL07_JVHW_063E_RAISESHEPHERD O0</v>
          </cell>
        </row>
        <row r="1783">
          <cell r="A1783" t="str">
            <v>435093rdL07_CTV_061E_STOPE PREPVILLARANTE 369</v>
          </cell>
        </row>
        <row r="1784">
          <cell r="A1784" t="str">
            <v>435093rdL07_JV_057E_STOPE PREPLEON 166</v>
          </cell>
        </row>
        <row r="1785">
          <cell r="A1785" t="str">
            <v>435093rdL07_GHVHW_056E_WINZE STOPE PREPBABOR 30</v>
          </cell>
        </row>
        <row r="1786">
          <cell r="A1786" t="str">
            <v>435093rd7 UNCATEGORIZED 200</v>
          </cell>
        </row>
        <row r="1787">
          <cell r="A1787" t="str">
            <v>435093rd7 UNCATEGORIZED 400</v>
          </cell>
        </row>
        <row r="1788">
          <cell r="A1788" t="str">
            <v>435093rd7 UNCATEGORIZED 900</v>
          </cell>
        </row>
        <row r="1789">
          <cell r="A1789" t="str">
            <v>435091stL08_JV_055E_DEBENONGUIL 10</v>
          </cell>
        </row>
        <row r="1790">
          <cell r="A1790" t="str">
            <v>435091stL08_JVSPLIT_017E_DEAGLOLO 20</v>
          </cell>
        </row>
        <row r="1791">
          <cell r="A1791" t="str">
            <v>435091stL08_JV_020E_RAISEAGLOLO 10</v>
          </cell>
        </row>
        <row r="1792">
          <cell r="A1792" t="str">
            <v>435091stL08_GHV_036E_STOPEBORERO 30</v>
          </cell>
        </row>
        <row r="1793">
          <cell r="A1793" t="str">
            <v>435091stL08_GHVHW_031E_STOPEGEMENTIZA 10</v>
          </cell>
        </row>
        <row r="1794">
          <cell r="A1794" t="str">
            <v>435091stL08_GHVHW_034E_STOPECAPOY 20</v>
          </cell>
        </row>
        <row r="1795">
          <cell r="A1795" t="str">
            <v>435091stL08_JV_029E_STOPEBORERO 40</v>
          </cell>
        </row>
        <row r="1796">
          <cell r="A1796" t="str">
            <v>435091stL08_NONE_016W_XCNSILVOZA 181</v>
          </cell>
        </row>
        <row r="1797">
          <cell r="A1797" t="str">
            <v>435091stL08_NONE_059E_XCSVERSOZA 40</v>
          </cell>
        </row>
        <row r="1798">
          <cell r="A1798" t="str">
            <v>435092ndL08_DPVE_068E_DELERIO 30</v>
          </cell>
        </row>
        <row r="1799">
          <cell r="A1799" t="str">
            <v>435092ndL08_GHVFW_038E_DWTORMIS 10</v>
          </cell>
        </row>
        <row r="1800">
          <cell r="A1800" t="str">
            <v>435092ndL08_DPVE_060E_RAISE00</v>
          </cell>
        </row>
        <row r="1801">
          <cell r="A1801" t="str">
            <v>435092ndL08_DPVE_061E_STOPEAGLOLO 40</v>
          </cell>
        </row>
        <row r="1802">
          <cell r="A1802" t="str">
            <v>435092ndL08_GHV_036E_STOPEBORERO 30</v>
          </cell>
        </row>
        <row r="1803">
          <cell r="A1803" t="str">
            <v>435092ndL08_GHVHW_031E_STOPEGEMENTIZA 10</v>
          </cell>
        </row>
        <row r="1804">
          <cell r="A1804" t="str">
            <v>435092ndL08_GHVHW_034E_STOPECAPOY 20</v>
          </cell>
        </row>
        <row r="1805">
          <cell r="A1805" t="str">
            <v>435092ndL08_GHVFW_008E_STOPE PREPBELICAN 480</v>
          </cell>
        </row>
        <row r="1806">
          <cell r="A1806" t="str">
            <v>435092nd8 UNCATEGORIZED 600</v>
          </cell>
        </row>
        <row r="1807">
          <cell r="A1807" t="str">
            <v>435092nd8 UNCATEGORIZED 1200</v>
          </cell>
        </row>
        <row r="1808">
          <cell r="A1808" t="str">
            <v>435092nd8 UNCATEGORIZED 1300</v>
          </cell>
        </row>
        <row r="1809">
          <cell r="A1809" t="str">
            <v>435092nd8 UNCATEGORIZED 1400</v>
          </cell>
        </row>
        <row r="1810">
          <cell r="A1810" t="str">
            <v>435093rdL08_DPVE_068E_DELERIO 30</v>
          </cell>
        </row>
        <row r="1811">
          <cell r="A1811" t="str">
            <v>435093rdL08_JV_055E_DEBENONGUIL 10</v>
          </cell>
        </row>
        <row r="1812">
          <cell r="A1812" t="str">
            <v>435093rdL08_DPVE_048E_DWSILVOZA 30</v>
          </cell>
        </row>
        <row r="1813">
          <cell r="A1813" t="str">
            <v>435093rdL08_DPVE_060E_RAISE00</v>
          </cell>
        </row>
        <row r="1814">
          <cell r="A1814" t="str">
            <v>435093rdL08_DPVE_065E_RAISELERIO 40</v>
          </cell>
        </row>
        <row r="1815">
          <cell r="A1815" t="str">
            <v>435093rdL08_JV_020E_RAISEAGLOLO 10</v>
          </cell>
        </row>
        <row r="1816">
          <cell r="A1816" t="str">
            <v>435093rdL08_GHV_036E_STOPEBORERO 30</v>
          </cell>
        </row>
        <row r="1817">
          <cell r="A1817" t="str">
            <v>435093rdL08_GHVHW_034E_STOPECAPOY 20</v>
          </cell>
        </row>
        <row r="1818">
          <cell r="A1818" t="str">
            <v>435093rdL08_JV_029E_STOPEBORERO 40</v>
          </cell>
        </row>
        <row r="1819">
          <cell r="A1819" t="str">
            <v>435093rdL08_GHVFW_008E_STOPE PREPBELICAN 480</v>
          </cell>
        </row>
        <row r="1820">
          <cell r="A1820" t="str">
            <v>435093rdL08_NONE_016W_XCNSILVOZA 181</v>
          </cell>
        </row>
        <row r="1821">
          <cell r="A1821" t="str">
            <v>435093rd8 UNCATEGORIZED 1100</v>
          </cell>
        </row>
        <row r="1822">
          <cell r="A1822" t="str">
            <v>435093rd8 UNCATEGORIZED 1500</v>
          </cell>
        </row>
        <row r="1823">
          <cell r="A1823" t="str">
            <v>435093rd8 UNCATEGORIZED 1600</v>
          </cell>
        </row>
        <row r="1824">
          <cell r="A1824" t="str">
            <v>435091stL09_JVFW_055E_RAISECANOY 30</v>
          </cell>
        </row>
        <row r="1825">
          <cell r="A1825" t="str">
            <v>435091stL09_GHV_015W_STOPESHEPHERD R0</v>
          </cell>
        </row>
        <row r="1826">
          <cell r="A1826" t="str">
            <v>435091stL09_GHV_060E_STOPEPANSIT 60</v>
          </cell>
        </row>
        <row r="1827">
          <cell r="A1827" t="str">
            <v>435091stL09_GHVFW_034E_STOPE PREPCANOY 20</v>
          </cell>
        </row>
        <row r="1828">
          <cell r="A1828" t="str">
            <v>435091st9 UNCATEGORIZED 400</v>
          </cell>
        </row>
        <row r="1829">
          <cell r="A1829" t="str">
            <v>435091st9 UNCATEGORIZED 600</v>
          </cell>
        </row>
        <row r="1830">
          <cell r="A1830" t="str">
            <v>435091st9 UNCATEGORIZED 700</v>
          </cell>
        </row>
        <row r="1831">
          <cell r="A1831" t="str">
            <v>435091stL10_GHV_020E_DETAÑEZA 90</v>
          </cell>
        </row>
        <row r="1832">
          <cell r="A1832" t="str">
            <v>435091stL10_JVFW_055E_DETAÑEZA 1199</v>
          </cell>
        </row>
        <row r="1833">
          <cell r="A1833" t="str">
            <v>435091stL10_GHV_019E_RAISETAÑEZA 90</v>
          </cell>
        </row>
        <row r="1834">
          <cell r="A1834" t="str">
            <v>435091st10 UNCATEGORIZED 200</v>
          </cell>
        </row>
        <row r="1835">
          <cell r="A1835" t="str">
            <v>435091st10 UNCATEGORIZED 500</v>
          </cell>
        </row>
        <row r="1836">
          <cell r="A1836" t="str">
            <v>435092ndL09_DPVE_051E_DEBALANGHIG 10</v>
          </cell>
        </row>
        <row r="1837">
          <cell r="A1837" t="str">
            <v>435092ndL09_GHVHW_049E_DEBABOR 10</v>
          </cell>
        </row>
        <row r="1838">
          <cell r="A1838" t="str">
            <v>435092ndL09_JV_050E_DEDAVOCOL, ROSELIO 30</v>
          </cell>
        </row>
        <row r="1839">
          <cell r="A1839" t="str">
            <v>435092ndL09_GHVHW_027E_DWHUMIDING 10</v>
          </cell>
        </row>
        <row r="1840">
          <cell r="A1840" t="str">
            <v>435092ndL09_GHV_015W_STOPESHEPHERD R0</v>
          </cell>
        </row>
        <row r="1841">
          <cell r="A1841" t="str">
            <v>435092ndL09_GHV_031E_STOPEPANCIT, NOEL 80</v>
          </cell>
        </row>
        <row r="1842">
          <cell r="A1842" t="str">
            <v>435092ndL09_JVFW_057E_STOPEDELOS REYES V. 60</v>
          </cell>
        </row>
        <row r="1843">
          <cell r="A1843" t="str">
            <v>435092nd9 UNCATEGORIZED 300</v>
          </cell>
        </row>
        <row r="1844">
          <cell r="A1844" t="str">
            <v>435092nd9 UNCATEGORIZED 500</v>
          </cell>
        </row>
        <row r="1845">
          <cell r="A1845" t="str">
            <v>435092nd9 UNCATEGORIZED 700</v>
          </cell>
        </row>
        <row r="1846">
          <cell r="A1846" t="str">
            <v>435092nd9 UNCATEGORIZED 900</v>
          </cell>
        </row>
        <row r="1847">
          <cell r="A1847" t="str">
            <v>435092ndL10_GHV_033E_DETAÑEZA 40</v>
          </cell>
        </row>
        <row r="1848">
          <cell r="A1848" t="str">
            <v>435092ndL10_GHVFW_021E_DETAÑEZA 30</v>
          </cell>
        </row>
        <row r="1849">
          <cell r="A1849" t="str">
            <v>435092ndL10_JV_059E_DETAÑEZA 70</v>
          </cell>
        </row>
        <row r="1850">
          <cell r="A1850" t="str">
            <v>435092ndL10_JVSPLIT_057E_DETAÑEZA 8100</v>
          </cell>
        </row>
        <row r="1851">
          <cell r="A1851" t="str">
            <v>435093rdL09_JV_046E_DWDELOS REYES V. 20</v>
          </cell>
        </row>
        <row r="1852">
          <cell r="A1852" t="str">
            <v>435093rdL09_JVFW_055E_RAISECANOY 30</v>
          </cell>
        </row>
        <row r="1853">
          <cell r="A1853" t="str">
            <v>435093rdL09_GHV_060E_STOPEPANSIT 60</v>
          </cell>
        </row>
        <row r="1854">
          <cell r="A1854" t="str">
            <v>435093rdL09_JV_058E_STOPECANOY 10</v>
          </cell>
        </row>
        <row r="1855">
          <cell r="A1855" t="str">
            <v>435093rdL09_GHVFW_034E_STOPE PREPCANOY 20</v>
          </cell>
        </row>
        <row r="1856">
          <cell r="A1856" t="str">
            <v>435093rdL09_GHV_063E_WINZE0</v>
          </cell>
        </row>
        <row r="1857">
          <cell r="A1857" t="str">
            <v>435093rdL09_NONE_070E_XCNDELOS REYES V. 20</v>
          </cell>
        </row>
        <row r="1858">
          <cell r="A1858" t="str">
            <v>435093rd9 UNCATEGORIZED 200</v>
          </cell>
        </row>
        <row r="1859">
          <cell r="A1859" t="str">
            <v>435093rd9 UNCATEGORIZED 700</v>
          </cell>
        </row>
        <row r="1860">
          <cell r="A1860" t="str">
            <v>435093rd9 UNCATEGORIZED 1000</v>
          </cell>
        </row>
        <row r="1861">
          <cell r="A1861" t="str">
            <v>435093rd9 UNCATEGORIZED 1100</v>
          </cell>
        </row>
        <row r="1862">
          <cell r="A1862" t="str">
            <v>435093rdL10_GHVFW_028E_RAISETAÑEZA 60</v>
          </cell>
        </row>
        <row r="1863">
          <cell r="A1863" t="str">
            <v>435093rd10 UNCATEGORIZED 200</v>
          </cell>
        </row>
        <row r="1864">
          <cell r="A1864" t="str">
            <v>435093rd10 UNCATEGORIZED 300</v>
          </cell>
        </row>
        <row r="1865">
          <cell r="A1865" t="str">
            <v>435093rd10 UNCATEGORIZED 600</v>
          </cell>
        </row>
        <row r="1866">
          <cell r="A1866" t="str">
            <v>435092ndL09_GHVFW_040E_DEPANSIT 40</v>
          </cell>
        </row>
        <row r="1867">
          <cell r="A1867" t="str">
            <v>435101stL02_JV_030W_ROBBINGLERIO, RAUL0</v>
          </cell>
        </row>
        <row r="1868">
          <cell r="A1868" t="str">
            <v>435101stL02_RYV_020W_ROBBINGMONTEBON 50</v>
          </cell>
        </row>
        <row r="1869">
          <cell r="A1869" t="str">
            <v>435101st1 UNCATEGORIZED 200</v>
          </cell>
        </row>
        <row r="1870">
          <cell r="A1870" t="str">
            <v>435101stL04_RYV_010E_RAISEMARTINEZ DN 10</v>
          </cell>
        </row>
        <row r="1871">
          <cell r="A1871" t="str">
            <v>435101stL04_CV_012W_ROBBINGMARTINEZ RON. 10</v>
          </cell>
        </row>
        <row r="1872">
          <cell r="A1872" t="str">
            <v>435101stL04_JV_042W_STOPEDUHIG 30</v>
          </cell>
        </row>
        <row r="1873">
          <cell r="A1873" t="str">
            <v>435101st4 UNCATEGORIZED 300</v>
          </cell>
        </row>
        <row r="1874">
          <cell r="A1874" t="str">
            <v>435101st4 UNCATEGORIZED 900</v>
          </cell>
        </row>
        <row r="1875">
          <cell r="A1875" t="str">
            <v>435101st4 UNCATEGORIZED 1400</v>
          </cell>
        </row>
        <row r="1876">
          <cell r="A1876" t="str">
            <v>435101stL05_JVFW_012W_RAISEFERNANDEZ RX 30</v>
          </cell>
        </row>
        <row r="1877">
          <cell r="A1877" t="str">
            <v>435101stL05_NV_005W_RAISESHEPHERD P0</v>
          </cell>
        </row>
        <row r="1878">
          <cell r="A1878" t="str">
            <v>435101stL05_CTV_009E_ROBBINGFERNANDEZ RX 40</v>
          </cell>
        </row>
        <row r="1879">
          <cell r="A1879" t="str">
            <v>435101stL05_GHV_022W_ROBBINGBADBADON L.30</v>
          </cell>
        </row>
        <row r="1880">
          <cell r="A1880" t="str">
            <v>435101stL05_GHVSPLIT_030E_ROBBINGCAYABAS 10</v>
          </cell>
        </row>
        <row r="1881">
          <cell r="A1881" t="str">
            <v>435101stL05_CTV_008W_STOPESHEPHERD P0</v>
          </cell>
        </row>
        <row r="1882">
          <cell r="A1882" t="str">
            <v>435101stL05_CV_010E_WINZESHEPHERD L56</v>
          </cell>
        </row>
        <row r="1883">
          <cell r="A1883" t="str">
            <v>435101stL05_NONE_027W_XCNBADBADON L. 10</v>
          </cell>
        </row>
        <row r="1884">
          <cell r="A1884" t="str">
            <v>435101st5 UNCATEGORIZED 200</v>
          </cell>
        </row>
        <row r="1885">
          <cell r="A1885" t="str">
            <v>435101st5 UNCATEGORIZED 300</v>
          </cell>
        </row>
        <row r="1886">
          <cell r="A1886" t="str">
            <v>435101st5 UNCATEGORIZED 600</v>
          </cell>
        </row>
        <row r="1887">
          <cell r="A1887" t="str">
            <v>435101stL06_GHVFW_028W_DEBUGAWAN 20</v>
          </cell>
        </row>
        <row r="1888">
          <cell r="A1888" t="str">
            <v>435101stL06_JV_001W_RAISEREBOTE 20</v>
          </cell>
        </row>
        <row r="1889">
          <cell r="A1889" t="str">
            <v>435101stL06_DPVE_022E_STOPEBAÑEZ 60</v>
          </cell>
        </row>
        <row r="1890">
          <cell r="A1890" t="str">
            <v>435101stL06_GHVFW_003E_STOPE PREPBAÑEZ 40</v>
          </cell>
        </row>
        <row r="1891">
          <cell r="A1891" t="str">
            <v>435101st6 UNCATEGORIZED 600</v>
          </cell>
        </row>
        <row r="1892">
          <cell r="A1892" t="str">
            <v>435101st6 UNCATEGORIZED 1000</v>
          </cell>
        </row>
        <row r="1893">
          <cell r="A1893" t="str">
            <v>435101st6 UNCATEGORIZED 1300</v>
          </cell>
        </row>
        <row r="1894">
          <cell r="A1894" t="str">
            <v>435101stL07_DPVE_060E_DEVILLARANTE 40</v>
          </cell>
        </row>
        <row r="1895">
          <cell r="A1895" t="str">
            <v>435101stL07_DPVE_028E_STOPEDOLARIZA 20</v>
          </cell>
        </row>
        <row r="1896">
          <cell r="A1896" t="str">
            <v>435101stL07_CTV_061E_STOPE PREPVILLARANTE 369</v>
          </cell>
        </row>
        <row r="1897">
          <cell r="A1897" t="str">
            <v>435101st7 UNCATEGORIZED 100</v>
          </cell>
        </row>
        <row r="1898">
          <cell r="A1898" t="str">
            <v>435101st7 UNCATEGORIZED 200</v>
          </cell>
        </row>
        <row r="1899">
          <cell r="A1899" t="str">
            <v>435101st7 UNCATEGORIZED 300</v>
          </cell>
        </row>
        <row r="1900">
          <cell r="A1900" t="str">
            <v>435101st7 UNCATEGORIZED 400</v>
          </cell>
        </row>
        <row r="1901">
          <cell r="A1901" t="str">
            <v>435101st7 UNCATEGORIZED 900</v>
          </cell>
        </row>
        <row r="1902">
          <cell r="A1902" t="str">
            <v>435101st7 UNCATEGORIZED 1000</v>
          </cell>
        </row>
        <row r="1903">
          <cell r="A1903" t="str">
            <v>435101stL07_JVHW_072E_STOPEBABOR 567</v>
          </cell>
        </row>
        <row r="1904">
          <cell r="A1904" t="str">
            <v>435101stL08_DPVE_068E_DELERIO 30</v>
          </cell>
        </row>
        <row r="1905">
          <cell r="A1905" t="str">
            <v>435101stL08_JVSPLIT_017E_DEAGLOLO 20</v>
          </cell>
        </row>
        <row r="1906">
          <cell r="A1906" t="str">
            <v>435101stL08_GHVHW_011E_DWDEMALATA 10</v>
          </cell>
        </row>
        <row r="1907">
          <cell r="A1907" t="str">
            <v>435101stL08_DPVE_065E_RAISELERIO 40</v>
          </cell>
        </row>
        <row r="1908">
          <cell r="A1908" t="str">
            <v>435101stL08_JV_020E_RAISEAGLOLO 10</v>
          </cell>
        </row>
        <row r="1909">
          <cell r="A1909" t="str">
            <v>435101stL08_DPVE_061E_STOPEAGLOLO 40</v>
          </cell>
        </row>
        <row r="1910">
          <cell r="A1910" t="str">
            <v>435101stL08_GHVHW_034E_STOPECAPOY 20</v>
          </cell>
        </row>
        <row r="1911">
          <cell r="A1911" t="str">
            <v>435101st8 UNCATEGORIZED 700</v>
          </cell>
        </row>
        <row r="1912">
          <cell r="A1912" t="str">
            <v>435102ndL02_JV_030W_ROBBINGLERIO, RAUL0</v>
          </cell>
        </row>
        <row r="1913">
          <cell r="A1913" t="str">
            <v>435102ndL02_JV_042W_ROBBINGDAGAMAC0</v>
          </cell>
        </row>
        <row r="1914">
          <cell r="A1914" t="str">
            <v>435102ndL02_RYV_023W_ROBBINGCARIKITAN 10</v>
          </cell>
        </row>
        <row r="1915">
          <cell r="A1915" t="str">
            <v>435102ndL02_CV_005E_STOPE PREPALMASA 20</v>
          </cell>
        </row>
        <row r="1916">
          <cell r="A1916" t="str">
            <v>435102ndL02_CV_007E_WINZEALMASA 30</v>
          </cell>
        </row>
        <row r="1917">
          <cell r="A1917" t="str">
            <v>435102nd2 UNCATEGORIZED 100</v>
          </cell>
        </row>
        <row r="1918">
          <cell r="A1918" t="str">
            <v>435102nd2 UNCATEGORIZED 400</v>
          </cell>
        </row>
        <row r="1919">
          <cell r="A1919" t="str">
            <v>435102nd2 UNCATEGORIZED 500</v>
          </cell>
        </row>
        <row r="1920">
          <cell r="A1920" t="str">
            <v>435103rdL02_GHV_009W_ROBBINGMONTEBON 40</v>
          </cell>
        </row>
        <row r="1921">
          <cell r="A1921" t="str">
            <v>435103rdL02_JVHW_051W_ROBBINGLERIO, RAUL0</v>
          </cell>
        </row>
        <row r="1922">
          <cell r="A1922" t="str">
            <v>435103rdL02_RYV_020W_ROBBINGMONTEBON 50</v>
          </cell>
        </row>
        <row r="1923">
          <cell r="A1923" t="str">
            <v>435103rdL02_RYV_023W_ROBBINGCARIKITAN 10</v>
          </cell>
        </row>
        <row r="1924">
          <cell r="A1924" t="str">
            <v>435103rdL02_CV_005E_STOPE PREPALMASA 20</v>
          </cell>
        </row>
        <row r="1925">
          <cell r="A1925" t="str">
            <v>435101st2 UNCATEGORIZED 200</v>
          </cell>
        </row>
        <row r="1926">
          <cell r="A1926" t="str">
            <v>435102ndL04_GHVFW_015E_DEPARAGUYA 30</v>
          </cell>
        </row>
        <row r="1927">
          <cell r="A1927" t="str">
            <v>435102ndL04_CV_012W_ROBBINGMARTINEZ RON. 10</v>
          </cell>
        </row>
        <row r="1928">
          <cell r="A1928" t="str">
            <v>435102ndL04_GHVFW_040W_ROBBINGNACARIO 10</v>
          </cell>
        </row>
        <row r="1929">
          <cell r="A1929" t="str">
            <v>435102ndL04_NV_011W_STOPEMARTINEZ RON. 10</v>
          </cell>
        </row>
        <row r="1930">
          <cell r="A1930" t="str">
            <v>435102nd4 UNCATEGORIZED 1500</v>
          </cell>
        </row>
        <row r="1931">
          <cell r="A1931" t="str">
            <v>435103rdL04_CTV_017W_ROBBINGNOCOS, ARIEL0</v>
          </cell>
        </row>
        <row r="1932">
          <cell r="A1932" t="str">
            <v>435103rdL04_GHV_010W_ROBBINGCABONITA 30</v>
          </cell>
        </row>
        <row r="1933">
          <cell r="A1933" t="str">
            <v>435103rdL04_GHVFW_040W_ROBBINGNACARIO 10</v>
          </cell>
        </row>
        <row r="1934">
          <cell r="A1934" t="str">
            <v>435103rd4 UNCATEGORIZED 300</v>
          </cell>
        </row>
        <row r="1935">
          <cell r="A1935" t="str">
            <v>435103rdL05_CV_003W_RAISEALMEDORA 20</v>
          </cell>
        </row>
        <row r="1936">
          <cell r="A1936" t="str">
            <v>435103rdL05_CTV_009E_ROBBINGFERNANDEZ RX 40</v>
          </cell>
        </row>
        <row r="1937">
          <cell r="A1937" t="str">
            <v>435103rdL05_GHV_010W_ROBBINGFERNANDEZ RX 40</v>
          </cell>
        </row>
        <row r="1938">
          <cell r="A1938" t="str">
            <v>435103rdL05_CTV_008W_STOPESHEPHERD P0</v>
          </cell>
        </row>
        <row r="1939">
          <cell r="A1939" t="str">
            <v>435103rd5 UNCATEGORIZED 300</v>
          </cell>
        </row>
        <row r="1940">
          <cell r="A1940" t="str">
            <v>435102ndL05_JVSPLIT_006E_RAISEBALDO 10</v>
          </cell>
        </row>
        <row r="1941">
          <cell r="A1941" t="str">
            <v>435102ndL05_CTV_009E_ROBBINGFERNANDEZ RX 40</v>
          </cell>
        </row>
        <row r="1942">
          <cell r="A1942" t="str">
            <v>435102ndL05_GHV_010W_ROBBINGFERNANDEZ RX 40</v>
          </cell>
        </row>
        <row r="1943">
          <cell r="A1943" t="str">
            <v>435102ndL05_JV_018E_STOPEBALDO 252</v>
          </cell>
        </row>
        <row r="1944">
          <cell r="A1944" t="str">
            <v>435102ndL05_CV_004W_WINZEOY-YOY 153</v>
          </cell>
        </row>
        <row r="1945">
          <cell r="A1945" t="str">
            <v>435102ndL05_GHV_023W_WINZEBADBADON L. 20</v>
          </cell>
        </row>
        <row r="1946">
          <cell r="A1946" t="str">
            <v>435102ndL05_JVFW_005E_WINZE STOPE PREPDAVOCOL ROW 10</v>
          </cell>
        </row>
        <row r="1947">
          <cell r="A1947" t="str">
            <v>435102ndL06_DPVE_035E_DEBAÑEZ 90</v>
          </cell>
        </row>
        <row r="1948">
          <cell r="A1948" t="str">
            <v>435102ndL06_CTV_026E_DWQUIJANO 40</v>
          </cell>
        </row>
        <row r="1949">
          <cell r="A1949" t="str">
            <v>435102ndL06_JV_021E_RAISEMANZANO 20</v>
          </cell>
        </row>
        <row r="1950">
          <cell r="A1950" t="str">
            <v>435102ndL06_JV_027E_RAISEQUIJANO 40</v>
          </cell>
        </row>
        <row r="1951">
          <cell r="A1951" t="str">
            <v>435102ndL06_DPVE_022E_STOPEBAÑEZ 60</v>
          </cell>
        </row>
        <row r="1952">
          <cell r="A1952" t="str">
            <v>435102nd6 UNCATEGORIZED 400</v>
          </cell>
        </row>
        <row r="1953">
          <cell r="A1953" t="str">
            <v>435102nd6 UNCATEGORIZED 700</v>
          </cell>
        </row>
        <row r="1954">
          <cell r="A1954" t="str">
            <v>435102nd6 UNCATEGORIZED 1000</v>
          </cell>
        </row>
        <row r="1955">
          <cell r="A1955" t="str">
            <v>435103rd6 UNCATEGORIZED 400</v>
          </cell>
        </row>
        <row r="1956">
          <cell r="A1956" t="str">
            <v>435102ndL07_DPVE_063E_DWALEÑAR 20</v>
          </cell>
        </row>
        <row r="1957">
          <cell r="A1957" t="str">
            <v>435102ndL07_DPVE_029E_STOPESHEPHERD Q0</v>
          </cell>
        </row>
        <row r="1958">
          <cell r="A1958" t="str">
            <v>435102ndL07_JVHW_072E_STOPEBABOR 567</v>
          </cell>
        </row>
        <row r="1959">
          <cell r="A1959" t="str">
            <v>435102ndL07_CTV_061E_STOPE PREPVILLARANTE 369</v>
          </cell>
        </row>
        <row r="1960">
          <cell r="A1960" t="str">
            <v>435102ndL07_DPVE_026E_STOPE PREPSHEPHERD H57</v>
          </cell>
        </row>
        <row r="1961">
          <cell r="A1961" t="str">
            <v>435102ndL07_JV_057E_STOPE PREPLEON 166</v>
          </cell>
        </row>
        <row r="1962">
          <cell r="A1962" t="str">
            <v>435102ndL07_GHVHW_056E_WINZE STOPE PREPBABOR 30</v>
          </cell>
        </row>
        <row r="1963">
          <cell r="A1963" t="str">
            <v>435102nd7 UNCATEGORIZED 500</v>
          </cell>
        </row>
        <row r="1964">
          <cell r="A1964" t="str">
            <v>435103rdL07_DPVE_060E_DEVILLARANTE 40</v>
          </cell>
        </row>
        <row r="1965">
          <cell r="A1965" t="str">
            <v>435103rdL07_DPVE_029E_STOPESHEPHERD Q0</v>
          </cell>
        </row>
        <row r="1966">
          <cell r="A1966" t="str">
            <v>435103rdL07_JVHW_072E_STOPEBABOR 567</v>
          </cell>
        </row>
        <row r="1967">
          <cell r="A1967" t="str">
            <v>435103rdL07_DPVE_026E_STOPE PREPSHEPHERD H57</v>
          </cell>
        </row>
        <row r="1968">
          <cell r="A1968" t="str">
            <v>435103rdL07_JVHW_064E_STOPE PREPBABOR 568</v>
          </cell>
        </row>
        <row r="1969">
          <cell r="A1969" t="str">
            <v>435103rd7 UNCATEGORIZED 100</v>
          </cell>
        </row>
        <row r="1970">
          <cell r="A1970" t="str">
            <v>435103rd7 UNCATEGORIZED 200</v>
          </cell>
        </row>
        <row r="1971">
          <cell r="A1971" t="str">
            <v>435102ndL08_DPVE_048E_DWSILVOZA 30</v>
          </cell>
        </row>
        <row r="1972">
          <cell r="A1972" t="str">
            <v>435102ndL08_GHVHW_031E_STOPEGEMENTIZA 10</v>
          </cell>
        </row>
        <row r="1973">
          <cell r="A1973" t="str">
            <v>435102ndL08_GHVFW_008E_STOPE PREPBELICAN 480</v>
          </cell>
        </row>
        <row r="1974">
          <cell r="A1974" t="str">
            <v>435102ndL08_NONE_016W_XCNSILVOZA 181</v>
          </cell>
        </row>
        <row r="1975">
          <cell r="A1975" t="str">
            <v>435102ndL08_NONE_059E_XCSVERSOZA 40</v>
          </cell>
        </row>
        <row r="1976">
          <cell r="A1976" t="str">
            <v>435102nd8 UNCATEGORIZED 600</v>
          </cell>
        </row>
        <row r="1977">
          <cell r="A1977" t="str">
            <v>435103rdL08_DPVE_068E_DELERIO 30</v>
          </cell>
        </row>
        <row r="1978">
          <cell r="A1978" t="str">
            <v>435103rdL08_JV_020E_RAISEAGLOLO 10</v>
          </cell>
        </row>
        <row r="1979">
          <cell r="A1979" t="str">
            <v>435103rdL08_DPVE_061E_STOPEAGLOLO 40</v>
          </cell>
        </row>
        <row r="1980">
          <cell r="A1980" t="str">
            <v>435103rdL08_GHV_036E_STOPEBORERO 30</v>
          </cell>
        </row>
        <row r="1981">
          <cell r="A1981" t="str">
            <v>435103rdL08_JV_029E_STOPEBORERO 40</v>
          </cell>
        </row>
        <row r="1982">
          <cell r="A1982" t="str">
            <v>435103rdL08_GHVFW_008E_STOPE PREPBELICAN 480</v>
          </cell>
        </row>
        <row r="1983">
          <cell r="A1983" t="str">
            <v>435103rdL09_GHVFW_040E_DEPANSIT 40</v>
          </cell>
        </row>
        <row r="1984">
          <cell r="A1984" t="str">
            <v>435103rdL09_JVFW_055E_RAISECANOY 30</v>
          </cell>
        </row>
        <row r="1985">
          <cell r="A1985" t="str">
            <v>435103rdL09_GHV_015W_STOPESHEPHERD R0</v>
          </cell>
        </row>
        <row r="1986">
          <cell r="A1986" t="str">
            <v>435103rdL09_GHV_060E_STOPEPANSIT 60</v>
          </cell>
        </row>
        <row r="1987">
          <cell r="A1987" t="str">
            <v>435103rdL09_JVFW_057E_STOPEDELOS REYES V. 60</v>
          </cell>
        </row>
        <row r="1988">
          <cell r="A1988" t="str">
            <v>435103rdL09_GHV_063E_WINZE0</v>
          </cell>
        </row>
        <row r="1989">
          <cell r="A1989" t="str">
            <v>435103rdL10_GHV_020E_DETAÑEZA 90</v>
          </cell>
        </row>
        <row r="1990">
          <cell r="A1990" t="str">
            <v>435103rdL10_GHVFW_021E_DETAÑEZA 30</v>
          </cell>
        </row>
        <row r="1991">
          <cell r="A1991" t="str">
            <v>435103rdL08_DPVE_048E_DWSILVOZA 30</v>
          </cell>
        </row>
        <row r="1992">
          <cell r="A1992" t="str">
            <v>435103rdL09_GHVHW_049E_DEBABOR 10</v>
          </cell>
        </row>
        <row r="1993">
          <cell r="A1993" t="str">
            <v>435103rdL09_GHVFW_039E_STOPEPANCIT, NOEL 40</v>
          </cell>
        </row>
        <row r="1994">
          <cell r="A1994" t="str">
            <v>435103rdL09_GHVFW_028E_STOPE PREPPANCIT, NOEL 40</v>
          </cell>
        </row>
        <row r="1995">
          <cell r="A1995" t="str">
            <v>435103rdL09_NONE_070E_XCNDELOS REYES V. 20</v>
          </cell>
        </row>
        <row r="1996">
          <cell r="A1996" t="str">
            <v>435103rdL10_JVSPLIT_057E_DETAÑEZA 8100</v>
          </cell>
        </row>
        <row r="1997">
          <cell r="A1997" t="str">
            <v>435103rd9 UNCATEGORIZED 200</v>
          </cell>
        </row>
        <row r="1998">
          <cell r="A1998" t="str">
            <v>435103rd9 UNCATEGORIZED 600</v>
          </cell>
        </row>
        <row r="1999">
          <cell r="A1999" t="str">
            <v>435103rd9 UNCATEGORIZED 1000</v>
          </cell>
        </row>
        <row r="2000">
          <cell r="A2000" t="str">
            <v>435103rd9 UNCATEGORIZED 1100</v>
          </cell>
        </row>
        <row r="2001">
          <cell r="A2001" t="str">
            <v>435103rd10 UNCATEGORIZED 300</v>
          </cell>
        </row>
        <row r="2002">
          <cell r="A2002" t="str">
            <v>435103rd10 UNCATEGORIZED 600</v>
          </cell>
        </row>
        <row r="2003">
          <cell r="A2003" t="str">
            <v>435103rd9 UNCATEGORIZED 400</v>
          </cell>
        </row>
        <row r="2004">
          <cell r="A2004" t="str">
            <v>435102ndL08_DPVE_065E_RAISELERIO 40</v>
          </cell>
        </row>
        <row r="2005">
          <cell r="A2005" t="str">
            <v>435102ndL08_NONE_035E_SHAFTHUMIDING 20</v>
          </cell>
        </row>
        <row r="2006">
          <cell r="A2006" t="str">
            <v>435102ndL09_JV_046E_DWDELOS REYES V. 20</v>
          </cell>
        </row>
        <row r="2007">
          <cell r="A2007" t="str">
            <v>435102ndL09_GHV_031E_STOPEPANCIT, NOEL 80</v>
          </cell>
        </row>
        <row r="2008">
          <cell r="A2008" t="str">
            <v>435102ndL09_GHVFW_039E_STOPEPANCIT, NOEL 40</v>
          </cell>
        </row>
        <row r="2009">
          <cell r="A2009" t="str">
            <v>435102ndL10_GHV_033E_DETAÑEZA 40</v>
          </cell>
        </row>
        <row r="2010">
          <cell r="A2010" t="str">
            <v>435102nd9 UNCATEGORIZED 200</v>
          </cell>
        </row>
        <row r="2011">
          <cell r="A2011" t="str">
            <v>435102nd9 UNCATEGORIZED 600</v>
          </cell>
        </row>
        <row r="2012">
          <cell r="A2012" t="str">
            <v>435102nd9 UNCATEGORIZED 700</v>
          </cell>
        </row>
        <row r="2013">
          <cell r="A2013" t="str">
            <v>435102nd9 UNCATEGORIZED 900</v>
          </cell>
        </row>
        <row r="2014">
          <cell r="A2014" t="str">
            <v>435102nd9 UNCATEGORIZED 1000</v>
          </cell>
        </row>
        <row r="2015">
          <cell r="A2015" t="str">
            <v>435102nd9 UNCATEGORIZED 1100</v>
          </cell>
        </row>
        <row r="2016">
          <cell r="A2016" t="str">
            <v>435102ndL09_JVHW_065E_RAISEAGLOLO 40</v>
          </cell>
        </row>
        <row r="2017">
          <cell r="A2017" t="str">
            <v>435102nd10 UNCATEGORIZED 600</v>
          </cell>
        </row>
        <row r="2018">
          <cell r="A2018" t="str">
            <v>435102ndL09_GHV_060E_STOPEPANSIT 60</v>
          </cell>
        </row>
        <row r="2019">
          <cell r="A2019" t="str">
            <v>435101stL08_DPVE_048E_DWSILVOZA 30</v>
          </cell>
        </row>
        <row r="2020">
          <cell r="A2020" t="str">
            <v>435101stL09_DPVE_051E_DEBALANGHIG 10</v>
          </cell>
        </row>
        <row r="2021">
          <cell r="A2021" t="str">
            <v>435101stL09_GHVFW_040E_DEPANSIT 40</v>
          </cell>
        </row>
        <row r="2022">
          <cell r="A2022" t="str">
            <v>435101stL09_GHVHW_049E_DEBABOR 10</v>
          </cell>
        </row>
        <row r="2023">
          <cell r="A2023" t="str">
            <v>435101stL09_JV_050E_DEDAVOCOL, ROSELIO 30</v>
          </cell>
        </row>
        <row r="2024">
          <cell r="A2024" t="str">
            <v>435101stL09_JVFW_062E_DESHEPHERD S0</v>
          </cell>
        </row>
        <row r="2025">
          <cell r="A2025" t="str">
            <v>435101stL09_GHVHW_027E_DWHUMIDING 10</v>
          </cell>
        </row>
        <row r="2026">
          <cell r="A2026" t="str">
            <v>435101stL09_JVFW_055E_RAISECANOY 30</v>
          </cell>
        </row>
        <row r="2027">
          <cell r="A2027" t="str">
            <v>435101stL09_GHV_031E_STOPEPANCIT, NOEL 80</v>
          </cell>
        </row>
        <row r="2028">
          <cell r="A2028" t="str">
            <v>435101stL09_GHV_060E_STOPEPANSIT 60</v>
          </cell>
        </row>
        <row r="2029">
          <cell r="A2029" t="str">
            <v>435101stL09_JV_058E_STOPECANOY 10</v>
          </cell>
        </row>
        <row r="2030">
          <cell r="A2030" t="str">
            <v>435101stL09_JVFW_057E_STOPEDELOS REYES V. 60</v>
          </cell>
        </row>
        <row r="2031">
          <cell r="A2031" t="str">
            <v>435101stL10_GHV_020E_DETAÑEZA 90</v>
          </cell>
        </row>
        <row r="2032">
          <cell r="A2032" t="str">
            <v>435101stL10_GHV_033E_DETAÑEZA 40</v>
          </cell>
        </row>
        <row r="2033">
          <cell r="A2033" t="str">
            <v>435101stL10_GHVFW_021E_DETAÑEZA 30</v>
          </cell>
        </row>
        <row r="2034">
          <cell r="A2034" t="str">
            <v>435101stL10_JV_059E_DETAÑEZA 70</v>
          </cell>
        </row>
        <row r="2035">
          <cell r="A2035" t="str">
            <v>435101st9 UNCATEGORIZED 300</v>
          </cell>
        </row>
        <row r="2036">
          <cell r="A2036" t="str">
            <v>435101st9 UNCATEGORIZED 600</v>
          </cell>
        </row>
        <row r="2037">
          <cell r="A2037" t="str">
            <v>435101st9 UNCATEGORIZED 700</v>
          </cell>
        </row>
        <row r="2038">
          <cell r="A2038" t="str">
            <v>435101st9 UNCATEGORIZED 900</v>
          </cell>
        </row>
        <row r="2039">
          <cell r="A2039" t="str">
            <v>435101st9 UNCATEGORIZED 1100</v>
          </cell>
        </row>
        <row r="2040">
          <cell r="A2040" t="str">
            <v>435101st10 UNCATEGORIZED 200</v>
          </cell>
        </row>
        <row r="2041">
          <cell r="A2041" t="str">
            <v>435101st10 UNCATEGORIZED 500</v>
          </cell>
        </row>
        <row r="2042">
          <cell r="A2042" t="str">
            <v>435101stL10_JVSPLIT_057E_DETAÑEZA 8100</v>
          </cell>
        </row>
        <row r="2043">
          <cell r="A2043" t="str">
            <v>435101st9 UNCATEGORIZED 400</v>
          </cell>
        </row>
        <row r="2044">
          <cell r="A2044" t="str">
            <v>435103rd9 UNCATEGORIZED 900</v>
          </cell>
        </row>
        <row r="2045">
          <cell r="A2045" t="str">
            <v>435111st2 UNCATEGORIZED 700</v>
          </cell>
        </row>
        <row r="2046">
          <cell r="A2046" t="str">
            <v>435112ndL02_GHV_009W_ROBBINGMONTEBON 40</v>
          </cell>
        </row>
        <row r="2047">
          <cell r="A2047" t="str">
            <v>435112ndL02_JV_030W_ROBBINGLERIO, RAUL0</v>
          </cell>
        </row>
        <row r="2048">
          <cell r="A2048" t="str">
            <v>435112ndL02_RYV_020W_ROBBINGMONTEBON 50</v>
          </cell>
        </row>
        <row r="2049">
          <cell r="A2049" t="str">
            <v>435112nd2 UNCATEGORIZED 400</v>
          </cell>
        </row>
        <row r="2050">
          <cell r="A2050" t="str">
            <v>435113rdL02_JV_042W_ROBBINGDAGAMAC0</v>
          </cell>
        </row>
        <row r="2051">
          <cell r="A2051" t="str">
            <v>435113rdL02_RYV_012W_ROBBINGLASANAS0</v>
          </cell>
        </row>
        <row r="2052">
          <cell r="A2052" t="str">
            <v>435113rdL02_RYV_020W_ROBBINGMONTEBON 50</v>
          </cell>
        </row>
        <row r="2053">
          <cell r="A2053" t="str">
            <v>435113rdL02_RYV_023W_ROBBINGCARIKITAN 10</v>
          </cell>
        </row>
        <row r="2054">
          <cell r="A2054" t="str">
            <v>435113rd2 UNCATEGORIZED 300</v>
          </cell>
        </row>
        <row r="2055">
          <cell r="A2055" t="str">
            <v>435111st4 UNCATEGORIZED 1100</v>
          </cell>
        </row>
        <row r="2056">
          <cell r="A2056" t="str">
            <v>435111st4 UNCATEGORIZED 1300</v>
          </cell>
        </row>
        <row r="2057">
          <cell r="A2057" t="str">
            <v>435111st4 UNCATEGORIZED 1400</v>
          </cell>
        </row>
        <row r="2058">
          <cell r="A2058" t="str">
            <v>435112ndL04_CV_012W_ROBBINGMARTINEZ RON. 10</v>
          </cell>
        </row>
        <row r="2059">
          <cell r="A2059" t="str">
            <v>435112ndL04_GHV_010W_ROBBINGCABONITA 30</v>
          </cell>
        </row>
        <row r="2060">
          <cell r="A2060" t="str">
            <v>435112ndL04_GHVFW_040W_ROBBINGNACARIO 10</v>
          </cell>
        </row>
        <row r="2061">
          <cell r="A2061" t="str">
            <v>435112ndL04_CTV5_016E_STOPECABCAD 10</v>
          </cell>
        </row>
        <row r="2062">
          <cell r="A2062" t="str">
            <v>435112ndL04_JV_042W_STOPEDUHIG 30</v>
          </cell>
        </row>
        <row r="2063">
          <cell r="A2063" t="str">
            <v>435112nd4 UNCATEGORIZED 300</v>
          </cell>
        </row>
        <row r="2064">
          <cell r="A2064" t="str">
            <v>435112nd4 UNCATEGORIZED 500</v>
          </cell>
        </row>
        <row r="2065">
          <cell r="A2065" t="str">
            <v>435113rdL04_JV_049W_RAISEDUHIG 30</v>
          </cell>
        </row>
        <row r="2066">
          <cell r="A2066" t="str">
            <v>435113rdL04_RYV_010E_RAISEMARTINEZ DN 10</v>
          </cell>
        </row>
        <row r="2067">
          <cell r="A2067" t="str">
            <v>435113rdL04_CTV_017W_ROBBINGNOCOS, ARIEL0</v>
          </cell>
        </row>
        <row r="2068">
          <cell r="A2068" t="str">
            <v>435113rdL04_GHV_010W_ROBBINGCABONITA 30</v>
          </cell>
        </row>
        <row r="2069">
          <cell r="A2069" t="str">
            <v>435113rdL04_GHVFW_040W_ROBBINGNACARIO 10</v>
          </cell>
        </row>
        <row r="2070">
          <cell r="A2070" t="str">
            <v>435113rdL04_GHVFW_014E_STOPE PREPPARAGUYA 40</v>
          </cell>
        </row>
        <row r="2071">
          <cell r="A2071" t="str">
            <v>435113rd4 UNCATEGORIZED 1500</v>
          </cell>
        </row>
        <row r="2072">
          <cell r="A2072" t="str">
            <v>435111stL05_NV_005W_RAISESHEPHERD P0</v>
          </cell>
        </row>
        <row r="2073">
          <cell r="A2073" t="str">
            <v>435111stL05_CTV_009E_ROBBINGFERNANDEZ RX 40</v>
          </cell>
        </row>
        <row r="2074">
          <cell r="A2074" t="str">
            <v>435111stL05_GHV_010W_ROBBINGFERNANDEZ RX 40</v>
          </cell>
        </row>
        <row r="2075">
          <cell r="A2075" t="str">
            <v>435111stL05_GHV_022W_ROBBINGBADBADON L.30</v>
          </cell>
        </row>
        <row r="2076">
          <cell r="A2076" t="str">
            <v>435111stL05_JV_018E_STOPEBALDO 252</v>
          </cell>
        </row>
        <row r="2077">
          <cell r="A2077" t="str">
            <v>435111stL05_CV_004W_WINZEOY-YOY 153</v>
          </cell>
        </row>
        <row r="2078">
          <cell r="A2078" t="str">
            <v>435112ndL05_JVSPLIT_006E_RAISEBALDO 10</v>
          </cell>
        </row>
        <row r="2079">
          <cell r="A2079" t="str">
            <v>435112ndL05_NV_005W_RAISESHEPHERD P0</v>
          </cell>
        </row>
        <row r="2080">
          <cell r="A2080" t="str">
            <v>435112ndL05_CTV_009E_ROBBINGFERNANDEZ RX 40</v>
          </cell>
        </row>
        <row r="2081">
          <cell r="A2081" t="str">
            <v>435112ndL05_CV_011W_ROBBINGPANCIT 90</v>
          </cell>
        </row>
        <row r="2082">
          <cell r="A2082" t="str">
            <v>435112ndL05_GHV_010W_ROBBINGFERNANDEZ RX 40</v>
          </cell>
        </row>
        <row r="2083">
          <cell r="A2083" t="str">
            <v>435112ndL05_GHV_022W_ROBBINGBADBADON L.30</v>
          </cell>
        </row>
        <row r="2084">
          <cell r="A2084" t="str">
            <v>435112ndL05_CTV_008W_STOPESHEPHERD P0</v>
          </cell>
        </row>
        <row r="2085">
          <cell r="A2085" t="str">
            <v>435112ndL05_GHV_023W_WINZEBADBADON L. 20</v>
          </cell>
        </row>
        <row r="2086">
          <cell r="A2086" t="str">
            <v>435112ndL05_JVFW_005E_WINZE STOPE PREPDAVOCOL ROW 10</v>
          </cell>
        </row>
        <row r="2087">
          <cell r="A2087" t="str">
            <v>435112nd5 UNCATEGORIZED 200</v>
          </cell>
        </row>
        <row r="2088">
          <cell r="A2088" t="str">
            <v>435112nd5 UNCATEGORIZED 600</v>
          </cell>
        </row>
        <row r="2089">
          <cell r="A2089" t="str">
            <v>435113rdL05_CTV_009E_ROBBINGFERNANDEZ RX 40</v>
          </cell>
        </row>
        <row r="2090">
          <cell r="A2090" t="str">
            <v>435113rdL05_GHV_010W_ROBBINGFERNANDEZ RX 40</v>
          </cell>
        </row>
        <row r="2091">
          <cell r="A2091" t="str">
            <v>435113rdL05_GHVSPLIT_030E_ROBBINGCAYABAS 10</v>
          </cell>
        </row>
        <row r="2092">
          <cell r="A2092" t="str">
            <v>435113rdL05_JV_018E_STOPEBALDO 252</v>
          </cell>
        </row>
        <row r="2093">
          <cell r="A2093" t="str">
            <v>435113rdL05_NONE_027W_XCNBADBADON L. 10</v>
          </cell>
        </row>
        <row r="2094">
          <cell r="A2094" t="str">
            <v>435113rd5 UNCATEGORIZED 300</v>
          </cell>
        </row>
        <row r="2095">
          <cell r="A2095" t="str">
            <v>435111stL06_DPVE_035E_DEBAÑEZ 90</v>
          </cell>
        </row>
        <row r="2096">
          <cell r="A2096" t="str">
            <v>435111stL06_JV_027E_RAISEQUIJANO 40</v>
          </cell>
        </row>
        <row r="2097">
          <cell r="A2097" t="str">
            <v>435111stL06_DPVE_022E_STOPEBAÑEZ 60</v>
          </cell>
        </row>
        <row r="2098">
          <cell r="A2098" t="str">
            <v>435111stL06_JVFW_006E_STOPEBADBADON R. 50</v>
          </cell>
        </row>
        <row r="2099">
          <cell r="A2099" t="str">
            <v>435111stL06_NONE_002W_XCNBADBADON R.40</v>
          </cell>
        </row>
        <row r="2100">
          <cell r="A2100" t="str">
            <v>435111stL06_NONE_021E_XCNGUNAY 10</v>
          </cell>
        </row>
        <row r="2101">
          <cell r="A2101" t="str">
            <v>435112ndL06_CV_005E_DEREBOTE 10</v>
          </cell>
        </row>
        <row r="2102">
          <cell r="A2102" t="str">
            <v>435112ndL06_GHVFW_028W_DEBUGAWAN 20</v>
          </cell>
        </row>
        <row r="2103">
          <cell r="A2103" t="str">
            <v>435112ndL06_JV_027E_RAISEQUIJANO 40</v>
          </cell>
        </row>
        <row r="2104">
          <cell r="A2104" t="str">
            <v>435112ndL06_GHVFW_003E_STOPE PREPBAÑEZ 40</v>
          </cell>
        </row>
        <row r="2105">
          <cell r="A2105" t="str">
            <v>435112nd6 UNCATEGORIZED 900</v>
          </cell>
        </row>
        <row r="2106">
          <cell r="A2106" t="str">
            <v>435112nd6 UNCATEGORIZED 1100</v>
          </cell>
        </row>
        <row r="2107">
          <cell r="A2107" t="str">
            <v>435113rdL06_JV_001W_RAISEREBOTE 20</v>
          </cell>
        </row>
        <row r="2108">
          <cell r="A2108" t="str">
            <v>435113rdL06_JV_027E_RAISEQUIJANO 40</v>
          </cell>
        </row>
        <row r="2109">
          <cell r="A2109" t="str">
            <v>435113rdL06_JVFW_006E_STOPEBADBADON R. 50</v>
          </cell>
        </row>
        <row r="2110">
          <cell r="A2110" t="str">
            <v>435113rdL06_GHVFW_007W_STOPE PREPBAÑEZ 70</v>
          </cell>
        </row>
        <row r="2111">
          <cell r="A2111" t="str">
            <v>435113rd6 UNCATEGORIZED 700</v>
          </cell>
        </row>
        <row r="2112">
          <cell r="A2112" t="str">
            <v>435113rd6 UNCATEGORIZED 900</v>
          </cell>
        </row>
        <row r="2113">
          <cell r="A2113" t="str">
            <v>435113rd6 UNCATEGORIZED 1400</v>
          </cell>
        </row>
        <row r="2114">
          <cell r="A2114" t="str">
            <v>435111stL07_DPVE_063E_DWALEÑAR 20</v>
          </cell>
        </row>
        <row r="2115">
          <cell r="A2115" t="str">
            <v>435111stL07_DPVE_028E_STOPEDOLARIZA 20</v>
          </cell>
        </row>
        <row r="2116">
          <cell r="A2116" t="str">
            <v>435111stL07_CTV_061E_STOPE PREPVILLARANTE 369</v>
          </cell>
        </row>
        <row r="2117">
          <cell r="A2117" t="str">
            <v>435111stL07_DPVE_026E_STOPE PREPSHEPHERD H57</v>
          </cell>
        </row>
        <row r="2118">
          <cell r="A2118" t="str">
            <v>435112ndL07_DPVE_060E_DEVILLARANTE 40</v>
          </cell>
        </row>
        <row r="2119">
          <cell r="A2119" t="str">
            <v>435112ndL07_JVHW_063E_RAISESHEPHERD O0</v>
          </cell>
        </row>
        <row r="2120">
          <cell r="A2120" t="str">
            <v>435112ndL07_JVHW_072E_STOPEBABOR 567</v>
          </cell>
        </row>
        <row r="2121">
          <cell r="A2121" t="str">
            <v>435112ndL07_CTV_061E_STOPE PREPVILLARANTE 369</v>
          </cell>
        </row>
        <row r="2122">
          <cell r="A2122" t="str">
            <v>435112ndL07_DPVE_026E_STOPE PREPSHEPHERD H57</v>
          </cell>
        </row>
        <row r="2123">
          <cell r="A2123" t="str">
            <v>435112ndL07_JV_057E_STOPE PREPLEON 166</v>
          </cell>
        </row>
        <row r="2124">
          <cell r="A2124" t="str">
            <v>435112ndL07_GHVHW_056E_WINZE STOPE PREPBABOR 30</v>
          </cell>
        </row>
        <row r="2125">
          <cell r="A2125" t="str">
            <v>435112nd7 UNCATEGORIZED 100</v>
          </cell>
        </row>
        <row r="2126">
          <cell r="A2126" t="str">
            <v>435112nd7 UNCATEGORIZED 200</v>
          </cell>
        </row>
        <row r="2127">
          <cell r="A2127" t="str">
            <v>435112nd7 UNCATEGORIZED 900</v>
          </cell>
        </row>
        <row r="2128">
          <cell r="A2128" t="str">
            <v>435113rdL07_JVHW_063E_RAISESHEPHERD O0</v>
          </cell>
        </row>
        <row r="2129">
          <cell r="A2129" t="str">
            <v>435113rdL07_JVHW_072E_STOPEBABOR 567</v>
          </cell>
        </row>
        <row r="2130">
          <cell r="A2130" t="str">
            <v>435113rdL07_CTV_061E_STOPE PREPVILLARANTE 369</v>
          </cell>
        </row>
        <row r="2131">
          <cell r="A2131" t="str">
            <v>435113rdL07_JV_057E_STOPE PREPLEON 166</v>
          </cell>
        </row>
        <row r="2132">
          <cell r="A2132" t="str">
            <v>435113rdL07_JVHW_064E_STOPE PREPBABOR 568</v>
          </cell>
        </row>
        <row r="2133">
          <cell r="A2133" t="str">
            <v>435113rd7 UNCATEGORIZED 100</v>
          </cell>
        </row>
        <row r="2134">
          <cell r="A2134" t="str">
            <v>435111stL08_JV_055E_DEBENONGUIL 10</v>
          </cell>
        </row>
        <row r="2135">
          <cell r="A2135" t="str">
            <v>435111stL08_JVSPLIT_017E_DEAGLOLO 20</v>
          </cell>
        </row>
        <row r="2136">
          <cell r="A2136" t="str">
            <v>435111stL08_DPVE_065E_RAISELERIO 40</v>
          </cell>
        </row>
        <row r="2137">
          <cell r="A2137" t="str">
            <v>435111stL08_DPVE_061E_STOPEAGLOLO 40</v>
          </cell>
        </row>
        <row r="2138">
          <cell r="A2138" t="str">
            <v>435111stL08_GHV_036E_STOPEBORERO 30</v>
          </cell>
        </row>
        <row r="2139">
          <cell r="A2139" t="str">
            <v>435111stL08_GHVHW_034E_STOPECAPOY 20</v>
          </cell>
        </row>
        <row r="2140">
          <cell r="A2140" t="str">
            <v>435112ndL08_DPVE_068E_DELERIO 30</v>
          </cell>
        </row>
        <row r="2141">
          <cell r="A2141" t="str">
            <v>435112ndL08_GHVFW_038E_DWTORMIS 10</v>
          </cell>
        </row>
        <row r="2142">
          <cell r="A2142" t="str">
            <v>435112ndL08_GHVFW_033E_RAISEVERSOZA 40</v>
          </cell>
        </row>
        <row r="2143">
          <cell r="A2143" t="str">
            <v>435112ndL08_JV_020E_RAISEAGLOLO 10</v>
          </cell>
        </row>
        <row r="2144">
          <cell r="A2144" t="str">
            <v>435112ndL08_DPVE_061E_STOPEAGLOLO 40</v>
          </cell>
        </row>
        <row r="2145">
          <cell r="A2145" t="str">
            <v>435112ndL08_GHV_036E_STOPEBORERO 30</v>
          </cell>
        </row>
        <row r="2146">
          <cell r="A2146" t="str">
            <v>435112ndL08_GHVHW_031E_STOPEGEMENTIZA 10</v>
          </cell>
        </row>
        <row r="2147">
          <cell r="A2147" t="str">
            <v>435112nd8 UNCATEGORIZED 600</v>
          </cell>
        </row>
        <row r="2148">
          <cell r="A2148" t="str">
            <v>435112nd8 UNCATEGORIZED 700</v>
          </cell>
        </row>
        <row r="2149">
          <cell r="A2149" t="str">
            <v>435112nd8 UNCATEGORIZED 1400</v>
          </cell>
        </row>
        <row r="2150">
          <cell r="A2150" t="str">
            <v>435112nd8 UNCATEGORIZED 1700</v>
          </cell>
        </row>
        <row r="2151">
          <cell r="A2151" t="str">
            <v>435113rdL08_JVSPLIT_017E_DEAGLOLO 20</v>
          </cell>
        </row>
        <row r="2152">
          <cell r="A2152" t="str">
            <v>435113rdL08_GHVHW_011E_DWDEMALATA 10</v>
          </cell>
        </row>
        <row r="2153">
          <cell r="A2153" t="str">
            <v>435113rdL08_JV_020E_RAISEAGLOLO 10</v>
          </cell>
        </row>
        <row r="2154">
          <cell r="A2154" t="str">
            <v>435113rdL08_DPVE_061E_STOPEAGLOLO 40</v>
          </cell>
        </row>
        <row r="2155">
          <cell r="A2155" t="str">
            <v>435113rdL08_GHVFW_008E_STOPE PREPBELICAN 480</v>
          </cell>
        </row>
        <row r="2156">
          <cell r="A2156" t="str">
            <v>435113rdL08_NONE_016W_XCNSILVOZA 181</v>
          </cell>
        </row>
        <row r="2157">
          <cell r="A2157" t="str">
            <v>435113rd8 UNCATEGORIZED 1100</v>
          </cell>
        </row>
        <row r="2158">
          <cell r="A2158" t="str">
            <v>435113rd8 UNCATEGORIZED 1500</v>
          </cell>
        </row>
        <row r="2159">
          <cell r="A2159" t="str">
            <v>435111stL09_GHVHW_027E_DWHUMIDING 10</v>
          </cell>
        </row>
        <row r="2160">
          <cell r="A2160" t="str">
            <v>435111stL09_JV_046E_DWDELOS REYES V. 20</v>
          </cell>
        </row>
        <row r="2161">
          <cell r="A2161" t="str">
            <v>435111stL09_GHV_031E_STOPEPANCIT, NOEL 80</v>
          </cell>
        </row>
        <row r="2162">
          <cell r="A2162" t="str">
            <v>435111stL09_GHV_060E_STOPEPANSIT 60</v>
          </cell>
        </row>
        <row r="2163">
          <cell r="A2163" t="str">
            <v>435111stL09_JVFW_057E_STOPEDELOS REYES V. 60</v>
          </cell>
        </row>
        <row r="2164">
          <cell r="A2164" t="str">
            <v>435111stL09_GHVFW_034E_STOPE PREPCANOY 20</v>
          </cell>
        </row>
        <row r="2165">
          <cell r="A2165" t="str">
            <v>435111st9 UNCATEGORIZED 1000</v>
          </cell>
        </row>
        <row r="2166">
          <cell r="A2166" t="str">
            <v>435111stL10_GHV_020E_DETAÑEZA 90</v>
          </cell>
        </row>
        <row r="2167">
          <cell r="A2167" t="str">
            <v>435111stL10_JV_059E_DETAÑEZA 70</v>
          </cell>
        </row>
        <row r="2168">
          <cell r="A2168" t="str">
            <v>435111stL10_JVSPLIT_057E_DETAÑEZA 8100</v>
          </cell>
        </row>
        <row r="2169">
          <cell r="A2169" t="str">
            <v>435111st10 UNCATEGORIZED 200</v>
          </cell>
        </row>
        <row r="2170">
          <cell r="A2170" t="str">
            <v>435111st10 UNCATEGORIZED 500</v>
          </cell>
        </row>
        <row r="2171">
          <cell r="A2171" t="str">
            <v>435111st10 UNCATEGORIZED 600</v>
          </cell>
        </row>
        <row r="2172">
          <cell r="A2172" t="str">
            <v>435112ndL09_GHVFW_040E_DEPANSIT 40</v>
          </cell>
        </row>
        <row r="2173">
          <cell r="A2173" t="str">
            <v>435112ndL09_GHVHW_049E_DEBABOR 10</v>
          </cell>
        </row>
        <row r="2174">
          <cell r="A2174" t="str">
            <v>435112ndL09_JVFW_062E_DESHEPHERD S0</v>
          </cell>
        </row>
        <row r="2175">
          <cell r="A2175" t="str">
            <v>435112ndL09_JV_046E_DWDELOS REYES V. 20</v>
          </cell>
        </row>
        <row r="2176">
          <cell r="A2176" t="str">
            <v>435112ndL09_JVFW_055E_RAISECANOY 30</v>
          </cell>
        </row>
        <row r="2177">
          <cell r="A2177" t="str">
            <v>435112ndL09_GHV_015W_STOPESHEPHERD R0</v>
          </cell>
        </row>
        <row r="2178">
          <cell r="A2178" t="str">
            <v>435112ndL09_GHV_031E_STOPEPANCIT, NOEL 80</v>
          </cell>
        </row>
        <row r="2179">
          <cell r="A2179" t="str">
            <v>435112ndL09_GHV_060E_STOPEPANSIT 60</v>
          </cell>
        </row>
        <row r="2180">
          <cell r="A2180" t="str">
            <v>435112ndL09_JVFW_057E_STOPEDELOS REYES V. 60</v>
          </cell>
        </row>
        <row r="2181">
          <cell r="A2181" t="str">
            <v>435112ndL09_GHVFW_028E_STOPE PREPPANCIT, NOEL 40</v>
          </cell>
        </row>
        <row r="2182">
          <cell r="A2182" t="str">
            <v>435112ndL09_GHVFW_034E_STOPE PREPCANOY 20</v>
          </cell>
        </row>
        <row r="2183">
          <cell r="A2183" t="str">
            <v>435112ndL09_NONE_070E_XCNDELOS REYES V. 20</v>
          </cell>
        </row>
        <row r="2184">
          <cell r="A2184" t="str">
            <v>435112nd9 UNCATEGORIZED 400</v>
          </cell>
        </row>
        <row r="2185">
          <cell r="A2185" t="str">
            <v>435112nd9 UNCATEGORIZED 600</v>
          </cell>
        </row>
        <row r="2186">
          <cell r="A2186" t="str">
            <v>435112nd9 UNCATEGORIZED 1000</v>
          </cell>
        </row>
        <row r="2187">
          <cell r="A2187" t="str">
            <v>435112nd9 UNCATEGORIZED 1100</v>
          </cell>
        </row>
        <row r="2188">
          <cell r="A2188" t="str">
            <v>435113rdL09_DPVE_051E_DEBALANGHIG 10</v>
          </cell>
        </row>
        <row r="2189">
          <cell r="A2189" t="str">
            <v>435113rdL09_GHV_015W_STOPESHEPHERD R0</v>
          </cell>
        </row>
        <row r="2190">
          <cell r="A2190" t="str">
            <v>435113rdL09_GHV_060E_STOPEPANSIT 60</v>
          </cell>
        </row>
        <row r="2191">
          <cell r="A2191" t="str">
            <v>435113rdL09_JVFW_057E_STOPEDELOS REYES V. 60</v>
          </cell>
        </row>
        <row r="2192">
          <cell r="A2192" t="str">
            <v>435113rdL09_GHVFW_028E_STOPE PREPPANCIT, NOEL 40</v>
          </cell>
        </row>
        <row r="2193">
          <cell r="A2193" t="str">
            <v>435113rdL09_NONE_070E_XCNDELOS REYES V. 20</v>
          </cell>
        </row>
        <row r="2194">
          <cell r="A2194" t="str">
            <v>435113rdL08_NONE_035E_SHAFTHUMIDING 20</v>
          </cell>
        </row>
        <row r="2195">
          <cell r="A2195" t="str">
            <v>435113rdL09_GHV_031E_STOPEPANCIT, NOEL 80</v>
          </cell>
        </row>
        <row r="2196">
          <cell r="A2196" t="str">
            <v>435113rd9 UNCATEGORIZED 200</v>
          </cell>
        </row>
        <row r="2197">
          <cell r="A2197" t="str">
            <v>435113rd9 UNCATEGORIZED 300</v>
          </cell>
        </row>
        <row r="2198">
          <cell r="A2198" t="str">
            <v>435113rd9 UNCATEGORIZED 1000</v>
          </cell>
        </row>
        <row r="2199">
          <cell r="A2199" t="str">
            <v>435113rd9 UNCATEGORIZED 1100</v>
          </cell>
        </row>
        <row r="2200">
          <cell r="A2200" t="str">
            <v>435113rd10 UNCATEGORIZED 200</v>
          </cell>
        </row>
        <row r="2201">
          <cell r="A2201" t="str">
            <v>435113rd10 UNCATEGORIZED 600</v>
          </cell>
        </row>
        <row r="2202">
          <cell r="A2202" t="str">
            <v>435113rdL10_JV_059E_DETAÑEZA 70</v>
          </cell>
        </row>
        <row r="2203">
          <cell r="A2203" t="str">
            <v>435113rdL10_JVSPLIT_057E_DETAÑEZA 8100</v>
          </cell>
        </row>
        <row r="2204">
          <cell r="A2204" t="str">
            <v>435113rd10 UNCATEGORIZED 300</v>
          </cell>
        </row>
        <row r="2205">
          <cell r="A2205" t="str">
            <v>435112ndL10_GHV_033E_DETAÑEZA 40</v>
          </cell>
        </row>
        <row r="2206">
          <cell r="A2206" t="str">
            <v>435112ndL10_GHVFW_021E_DETAÑEZA 30</v>
          </cell>
        </row>
        <row r="2207">
          <cell r="A2207" t="str">
            <v>435112ndL10_GHVFW_028E_RAISETAÑEZA 60</v>
          </cell>
        </row>
        <row r="2208">
          <cell r="A2208" t="str">
            <v>435121st2 UNCATEGORIZED 800</v>
          </cell>
        </row>
        <row r="2209">
          <cell r="A2209" t="str">
            <v>435121st4 UNCATEGORIZED 1100</v>
          </cell>
        </row>
        <row r="2210">
          <cell r="A2210" t="str">
            <v>435121st4 UNCATEGORIZED 1300</v>
          </cell>
        </row>
        <row r="2211">
          <cell r="A2211" t="str">
            <v>435121stL05_NV_005W_RAISESHEPHERD P0</v>
          </cell>
        </row>
        <row r="2212">
          <cell r="A2212" t="str">
            <v>435121stL05_GHV_010W_ROBBINGFERNANDEZ RX 40</v>
          </cell>
        </row>
        <row r="2213">
          <cell r="A2213" t="str">
            <v>435121stL05_GHV_022W_ROBBINGBADBADON L.30</v>
          </cell>
        </row>
        <row r="2214">
          <cell r="A2214" t="str">
            <v>435121stL05_GHV_030W_WINZE STOPEAMAC 20</v>
          </cell>
        </row>
        <row r="2215">
          <cell r="A2215" t="str">
            <v>435121st5 UNCATEGORIZED 600</v>
          </cell>
        </row>
        <row r="2216">
          <cell r="A2216" t="str">
            <v>435121stL06_JVFW_006E_STOPEBADBADON R. 50</v>
          </cell>
        </row>
        <row r="2217">
          <cell r="A2217" t="str">
            <v>435121stL06_NONE_021E_XCNGUNAY 10</v>
          </cell>
        </row>
        <row r="2218">
          <cell r="A2218" t="str">
            <v>435121stL07_DPVE_060E_DEVILLARANTE 40</v>
          </cell>
        </row>
        <row r="2219">
          <cell r="A2219" t="str">
            <v>435121stL07_DPVE_063E_DWALEÑAR 20</v>
          </cell>
        </row>
        <row r="2220">
          <cell r="A2220" t="str">
            <v>435121stL07_JVHW_072E_STOPEBABOR 567</v>
          </cell>
        </row>
        <row r="2221">
          <cell r="A2221" t="str">
            <v>435121stL07_CTV_061E_STOPE PREPVILLARANTE 369</v>
          </cell>
        </row>
        <row r="2222">
          <cell r="A2222" t="str">
            <v>435121stL07_JV_057E_STOPE PREPLEON 166</v>
          </cell>
        </row>
        <row r="2223">
          <cell r="A2223" t="str">
            <v>435121stL07_JVHW_064E_STOPE PREPBABOR 568</v>
          </cell>
        </row>
        <row r="2224">
          <cell r="A2224" t="str">
            <v>435121st7 UNCATEGORIZED 200</v>
          </cell>
        </row>
        <row r="2225">
          <cell r="A2225" t="str">
            <v>435121st7 UNCATEGORIZED 900</v>
          </cell>
        </row>
        <row r="2226">
          <cell r="A2226" t="str">
            <v>435122ndL02_RYV_020W_ROBBINGMONTEBON 50</v>
          </cell>
        </row>
        <row r="2227">
          <cell r="A2227" t="str">
            <v>435122nd2 UNCATEGORIZED 100</v>
          </cell>
        </row>
        <row r="2228">
          <cell r="A2228" t="str">
            <v>435122nd2 UNCATEGORIZED 400</v>
          </cell>
        </row>
        <row r="2229">
          <cell r="A2229" t="str">
            <v>435122nd2 UNCATEGORIZED 500</v>
          </cell>
        </row>
        <row r="2230">
          <cell r="A2230" t="str">
            <v>435122nd2 UNCATEGORIZED 800</v>
          </cell>
        </row>
        <row r="2231">
          <cell r="A2231" t="str">
            <v>435122nd2 UNCATEGORIZED 900</v>
          </cell>
        </row>
        <row r="2232">
          <cell r="A2232" t="str">
            <v>435123rd2 UNCATEGORIZED 800</v>
          </cell>
        </row>
        <row r="2233">
          <cell r="A2233" t="str">
            <v>435122ndL04_JV_049W_RAISEDUHIG 30</v>
          </cell>
        </row>
        <row r="2234">
          <cell r="A2234" t="str">
            <v>435122nd4 UNCATEGORIZED 300</v>
          </cell>
        </row>
        <row r="2235">
          <cell r="A2235" t="str">
            <v>435122nd4 UNCATEGORIZED 1600</v>
          </cell>
        </row>
        <row r="2236">
          <cell r="A2236" t="str">
            <v>435123rdL04_CTV_017W_ROBBINGNOCOS, ARIEL0</v>
          </cell>
        </row>
        <row r="2237">
          <cell r="A2237" t="str">
            <v>435123rdL04_GHV_010W_ROBBINGCABONITA 30</v>
          </cell>
        </row>
        <row r="2238">
          <cell r="A2238" t="str">
            <v>435123rdL04_GHVFW_040W_ROBBINGNACARIO 10</v>
          </cell>
        </row>
        <row r="2239">
          <cell r="A2239" t="str">
            <v>435123rd4 UNCATEGORIZED 900</v>
          </cell>
        </row>
        <row r="2240">
          <cell r="A2240" t="str">
            <v>435123rd4 UNCATEGORIZED 1100</v>
          </cell>
        </row>
        <row r="2241">
          <cell r="A2241" t="str">
            <v>435123rd4 UNCATEGORIZED 1400</v>
          </cell>
        </row>
        <row r="2242">
          <cell r="A2242" t="str">
            <v>435123rd4 UNCATEGORIZED 1700</v>
          </cell>
        </row>
        <row r="2243">
          <cell r="A2243" t="str">
            <v>435122ndL05_CV_003W_RAISEALMEDORA 20</v>
          </cell>
        </row>
        <row r="2244">
          <cell r="A2244" t="str">
            <v>435122ndL05_CTV_009E_ROBBINGFERNANDEZ RX 40</v>
          </cell>
        </row>
        <row r="2245">
          <cell r="A2245" t="str">
            <v>435122ndL05_GHVSPLIT_030E_ROBBINGCAYABAS 10</v>
          </cell>
        </row>
        <row r="2246">
          <cell r="A2246" t="str">
            <v>435122ndL05_CTV_008W_STOPESHEPHERD P0</v>
          </cell>
        </row>
        <row r="2247">
          <cell r="A2247" t="str">
            <v>435123rdL05_CTV_009E_ROBBINGFERNANDEZ RX 40</v>
          </cell>
        </row>
        <row r="2248">
          <cell r="A2248" t="str">
            <v>435123rdL05_GHV_022W_ROBBINGBADBADON L.30</v>
          </cell>
        </row>
        <row r="2249">
          <cell r="A2249" t="str">
            <v>435123rdL05_GHVSPLIT_030E_ROBBINGCAYABAS 10</v>
          </cell>
        </row>
        <row r="2250">
          <cell r="A2250" t="str">
            <v>435123rdL05_NONE_027W_XCNBADBADON L. 10</v>
          </cell>
        </row>
        <row r="2251">
          <cell r="A2251" t="str">
            <v>435122ndL06_CTV_026E_DWQUIJANO 40</v>
          </cell>
        </row>
        <row r="2252">
          <cell r="A2252" t="str">
            <v>435122ndL06_JV_001W_RAISEREBOTE 20</v>
          </cell>
        </row>
        <row r="2253">
          <cell r="A2253" t="str">
            <v>435122ndL06_JV_027E_RAISEQUIJANO 40</v>
          </cell>
        </row>
        <row r="2254">
          <cell r="A2254" t="str">
            <v>435122ndL06_DPVE_022E_STOPEBAÑEZ 60</v>
          </cell>
        </row>
        <row r="2255">
          <cell r="A2255" t="str">
            <v>435123rdL06_JV_027E_RAISEQUIJANO 40</v>
          </cell>
        </row>
        <row r="2256">
          <cell r="A2256" t="str">
            <v>435123rdL06_JVFW_006E_STOPEBADBADON R. 50</v>
          </cell>
        </row>
        <row r="2257">
          <cell r="A2257" t="str">
            <v>435123rdL06_NONE_002W_XCNBADBADON R.40</v>
          </cell>
        </row>
        <row r="2258">
          <cell r="A2258" t="str">
            <v>435123rd6 UNCATEGORIZED 700</v>
          </cell>
        </row>
        <row r="2259">
          <cell r="A2259" t="str">
            <v>435123rd6 UNCATEGORIZED 1400</v>
          </cell>
        </row>
        <row r="2260">
          <cell r="A2260" t="str">
            <v>435122ndL07_DPVE_060E_DEVILLARANTE 40</v>
          </cell>
        </row>
        <row r="2261">
          <cell r="A2261" t="str">
            <v>435122ndL07_JVHW_063E_RAISESHEPHERD O0</v>
          </cell>
        </row>
        <row r="2262">
          <cell r="A2262" t="str">
            <v>435122ndL07_DPVE_028E_STOPEDOLARIZA 20</v>
          </cell>
        </row>
        <row r="2263">
          <cell r="A2263" t="str">
            <v>435122ndL07_JVHW_072E_STOPEBABOR 567</v>
          </cell>
        </row>
        <row r="2264">
          <cell r="A2264" t="str">
            <v>435122ndL07_CTV_061E_STOPE PREPVILLARANTE 369</v>
          </cell>
        </row>
        <row r="2265">
          <cell r="A2265" t="str">
            <v>435122ndL07_DPVE_026E_STOPE PREPSHEPHERD H57</v>
          </cell>
        </row>
        <row r="2266">
          <cell r="A2266" t="str">
            <v>435122ndL07_JVHW_064E_STOPE PREPBABOR 568</v>
          </cell>
        </row>
        <row r="2267">
          <cell r="A2267" t="str">
            <v>435122nd7 UNCATEGORIZED 200</v>
          </cell>
        </row>
        <row r="2268">
          <cell r="A2268" t="str">
            <v>435122nd7 UNCATEGORIZED 500</v>
          </cell>
        </row>
        <row r="2269">
          <cell r="A2269" t="str">
            <v>435122nd7 UNCATEGORIZED 1100</v>
          </cell>
        </row>
        <row r="2270">
          <cell r="A2270" t="str">
            <v>435123rdL07_JVHW_072E_STOPEBABOR 567</v>
          </cell>
        </row>
        <row r="2271">
          <cell r="A2271" t="str">
            <v>435123rdL07_CTV_061E_STOPE PREPVILLARANTE 369</v>
          </cell>
        </row>
        <row r="2272">
          <cell r="A2272" t="str">
            <v>435123rd7 UNCATEGORIZED 900</v>
          </cell>
        </row>
        <row r="2273">
          <cell r="A2273" t="str">
            <v>435121stL08_GHVHW_031E_STOPEGEMENTIZA 10</v>
          </cell>
        </row>
        <row r="2274">
          <cell r="A2274" t="str">
            <v>435121st8 UNCATEGORIZED 1700</v>
          </cell>
        </row>
        <row r="2275">
          <cell r="A2275" t="str">
            <v>435122ndL08_DPVE_068E_DELERIO 30</v>
          </cell>
        </row>
        <row r="2276">
          <cell r="A2276" t="str">
            <v>435122ndL08_JVSPLIT_017E_DEAGLOLO 20</v>
          </cell>
        </row>
        <row r="2277">
          <cell r="A2277" t="str">
            <v>435122ndL08_GHVFW_038E_DWTORMIS 10</v>
          </cell>
        </row>
        <row r="2278">
          <cell r="A2278" t="str">
            <v>435122ndL08_JV_020E_RAISEAGLOLO 10</v>
          </cell>
        </row>
        <row r="2279">
          <cell r="A2279" t="str">
            <v>435122ndL08_DPVE_061E_STOPEAGLOLO 40</v>
          </cell>
        </row>
        <row r="2280">
          <cell r="A2280" t="str">
            <v>435122ndL08_GHVHW_031E_STOPEGEMENTIZA 10</v>
          </cell>
        </row>
        <row r="2281">
          <cell r="A2281" t="str">
            <v>435122ndL08_GHVFW_008E_STOPE PREPBELICAN 480</v>
          </cell>
        </row>
        <row r="2282">
          <cell r="A2282" t="str">
            <v>435122nd8 UNCATEGORIZED 400</v>
          </cell>
        </row>
        <row r="2283">
          <cell r="A2283" t="str">
            <v>435122nd8 UNCATEGORIZED 1400</v>
          </cell>
        </row>
        <row r="2284">
          <cell r="A2284" t="str">
            <v>435122nd8 UNCATEGORIZED 1700</v>
          </cell>
        </row>
        <row r="2285">
          <cell r="A2285" t="str">
            <v>435123rdL08_GHVHW_031E_STOPEGEMENTIZA 10</v>
          </cell>
        </row>
        <row r="2286">
          <cell r="A2286" t="str">
            <v>435121stL09_JVFW_062E_DESHEPHERD S0</v>
          </cell>
        </row>
        <row r="2287">
          <cell r="A2287" t="str">
            <v>435121stL09_GHVHW_027E_DWHUMIDING 10</v>
          </cell>
        </row>
        <row r="2288">
          <cell r="A2288" t="str">
            <v>435121stL09_JVFW_055E_RAISECANOY 30</v>
          </cell>
        </row>
        <row r="2289">
          <cell r="A2289" t="str">
            <v>435121stL09_GHV_015W_STOPESHEPHERD R0</v>
          </cell>
        </row>
        <row r="2290">
          <cell r="A2290" t="str">
            <v>435121stL09_JV_058E_STOPECANOY 10</v>
          </cell>
        </row>
        <row r="2291">
          <cell r="A2291" t="str">
            <v>435121stL10_GHV_020E_DETAÑEZA 90</v>
          </cell>
        </row>
        <row r="2292">
          <cell r="A2292" t="str">
            <v>435121stL10_GHV_033E_DETAÑEZA 40</v>
          </cell>
        </row>
        <row r="2293">
          <cell r="A2293" t="str">
            <v>435121stL10_GHVFW_021E_DETAÑEZA 30</v>
          </cell>
        </row>
        <row r="2294">
          <cell r="A2294" t="str">
            <v>435121st10 UNCATEGORIZED 500</v>
          </cell>
        </row>
        <row r="2295">
          <cell r="A2295" t="str">
            <v>435122ndL09_JVFW_062E_DESHEPHERD S0</v>
          </cell>
        </row>
        <row r="2296">
          <cell r="A2296" t="str">
            <v>435122ndL09_GHV_015W_STOPESHEPHERD R0</v>
          </cell>
        </row>
        <row r="2297">
          <cell r="A2297" t="str">
            <v>435122ndL09_GHVFW_039E_STOPEPANCIT, NOEL 40</v>
          </cell>
        </row>
        <row r="2298">
          <cell r="A2298" t="str">
            <v>435122ndL09_JVFW_057E_STOPEDELOS REYES V. 60</v>
          </cell>
        </row>
        <row r="2299">
          <cell r="A2299" t="str">
            <v>435122ndL09_NONE_054E_XCSDAVOCOL, ROWELL0</v>
          </cell>
        </row>
        <row r="2300">
          <cell r="A2300" t="str">
            <v>435122nd9 UNCATEGORIZED 1000</v>
          </cell>
        </row>
        <row r="2301">
          <cell r="A2301" t="str">
            <v>435122nd9 UNCATEGORIZED 1100</v>
          </cell>
        </row>
        <row r="2302">
          <cell r="A2302" t="str">
            <v>435123rdL09_DPVE_051E_DEBALANGHIG 10</v>
          </cell>
        </row>
        <row r="2303">
          <cell r="A2303" t="str">
            <v>435121st9 UNCATEGORIZED 400</v>
          </cell>
        </row>
        <row r="2304">
          <cell r="A2304" t="str">
            <v>435123rd10 UNCATEGORIZED 200</v>
          </cell>
        </row>
        <row r="2305">
          <cell r="A2305" t="str">
            <v>435133rdL05_NONE_027W_XCNBADBADON L. 10</v>
          </cell>
        </row>
        <row r="2306">
          <cell r="A2306" t="str">
            <v>435133rdL06_JV_027E_RAISEQUIJANO 40</v>
          </cell>
        </row>
        <row r="2307">
          <cell r="A2307" t="str">
            <v>435133rdL06_JVFW_006E_STOPEBADBADON R. 50</v>
          </cell>
        </row>
        <row r="2308">
          <cell r="A2308" t="str">
            <v>435131stL04_GHVFW_015E_DEPARAGUYA 30</v>
          </cell>
        </row>
        <row r="2309">
          <cell r="A2309" t="str">
            <v>435131stL04_GHV_010W_ROBBINGCABONITA 30</v>
          </cell>
        </row>
        <row r="2310">
          <cell r="A2310" t="str">
            <v>435131stL05_CTV_009E_ROBBINGFERNANDEZ RX 40</v>
          </cell>
        </row>
        <row r="2311">
          <cell r="A2311" t="str">
            <v>435131stL05_GHV_022W_ROBBINGBADBADON L.30</v>
          </cell>
        </row>
        <row r="2312">
          <cell r="A2312" t="str">
            <v>435131stL05_GHV_023W_WINZEBADBADON L. 20</v>
          </cell>
        </row>
        <row r="2313">
          <cell r="A2313" t="str">
            <v>435131stL06_GHVFW_028W_DEBUGAWAN 20</v>
          </cell>
        </row>
        <row r="2314">
          <cell r="A2314" t="str">
            <v>435131stL06_CTV_026E_DWQUIJANO 40</v>
          </cell>
        </row>
        <row r="2315">
          <cell r="A2315" t="str">
            <v>435131stL06_DPVE_022E_STOPEBAÑEZ 60</v>
          </cell>
        </row>
        <row r="2316">
          <cell r="A2316" t="str">
            <v>435131stL07_JVHW_063E_RAISESHEPHERD O0</v>
          </cell>
        </row>
        <row r="2317">
          <cell r="A2317" t="str">
            <v>435131st2 UNCATEGORIZED 600</v>
          </cell>
        </row>
        <row r="2318">
          <cell r="A2318" t="str">
            <v>435131st5 UNCATEGORIZED 300</v>
          </cell>
        </row>
        <row r="2319">
          <cell r="A2319" t="str">
            <v>435131st6 UNCATEGORIZED 1500</v>
          </cell>
        </row>
        <row r="2320">
          <cell r="A2320" t="str">
            <v>435143rdL02_GHV_009W_ROBBINGMONTEBON 40</v>
          </cell>
        </row>
        <row r="2321">
          <cell r="A2321" t="str">
            <v>435143rdL02_JV_042W_ROBBINGDAGAMAC0</v>
          </cell>
        </row>
        <row r="2322">
          <cell r="A2322" t="str">
            <v>435143rdL02_CV_005E_STOPE PREPALMASA 20</v>
          </cell>
        </row>
        <row r="2323">
          <cell r="A2323" t="str">
            <v>435143rd2 UNCATEGORIZED 100</v>
          </cell>
        </row>
        <row r="2324">
          <cell r="A2324" t="str">
            <v>435143rd2 UNCATEGORIZED 600</v>
          </cell>
        </row>
        <row r="2325">
          <cell r="A2325" t="str">
            <v>435142ndL02_CTV_061W_ROBBINGNOCOS 20</v>
          </cell>
        </row>
        <row r="2326">
          <cell r="A2326" t="str">
            <v>435142ndL02_GHV_009W_ROBBINGMONTEBON 40</v>
          </cell>
        </row>
        <row r="2327">
          <cell r="A2327" t="str">
            <v>435142ndL02_JVHW_051W_ROBBINGLERIO, RAUL0</v>
          </cell>
        </row>
        <row r="2328">
          <cell r="A2328" t="str">
            <v>435142ndL02_RYV_020W_ROBBINGMONTEBON 50</v>
          </cell>
        </row>
        <row r="2329">
          <cell r="A2329" t="str">
            <v>435142nd2 UNCATEGORIZED 100</v>
          </cell>
        </row>
        <row r="2330">
          <cell r="A2330" t="str">
            <v>435142nd2 UNCATEGORIZED 300</v>
          </cell>
        </row>
        <row r="2331">
          <cell r="A2331" t="str">
            <v>435142nd2 UNCATEGORIZED 400</v>
          </cell>
        </row>
        <row r="2332">
          <cell r="A2332" t="str">
            <v>435142nd2 UNCATEGORIZED 800</v>
          </cell>
        </row>
        <row r="2333">
          <cell r="A2333" t="str">
            <v>435141stL02_JV_030W_ROBBINGLERIO, RAUL0</v>
          </cell>
        </row>
        <row r="2334">
          <cell r="A2334" t="str">
            <v>435141stL02_JV_042W_ROBBINGDAGAMAC0</v>
          </cell>
        </row>
        <row r="2335">
          <cell r="A2335" t="str">
            <v>435141stL02_RYV_020W_ROBBINGMONTEBON 50</v>
          </cell>
        </row>
        <row r="2336">
          <cell r="A2336" t="str">
            <v>435141st2 UNCATEGORIZED 600</v>
          </cell>
        </row>
        <row r="2337">
          <cell r="A2337" t="str">
            <v>435141stL04_GHV_010W_ROBBINGCABONITA 30</v>
          </cell>
        </row>
        <row r="2338">
          <cell r="A2338" t="str">
            <v>435141st4 UNCATEGORIZED 700</v>
          </cell>
        </row>
        <row r="2339">
          <cell r="A2339" t="str">
            <v>435141st4 UNCATEGORIZED 1800</v>
          </cell>
        </row>
        <row r="2340">
          <cell r="A2340" t="str">
            <v>435142ndL04_GHVFW_006E_DEOY-YOY 20</v>
          </cell>
        </row>
        <row r="2341">
          <cell r="A2341" t="str">
            <v>435142ndL04_JV_049W_RAISEDUHIG 30</v>
          </cell>
        </row>
        <row r="2342">
          <cell r="A2342" t="str">
            <v>435142ndL04_CTV_017W_ROBBINGNOCOS, ARIEL0</v>
          </cell>
        </row>
        <row r="2343">
          <cell r="A2343" t="str">
            <v>435142ndL04_CTV5_016E_STOPECABCAD 10</v>
          </cell>
        </row>
        <row r="2344">
          <cell r="A2344" t="str">
            <v>435142nd4 UNCATEGORIZED 700</v>
          </cell>
        </row>
        <row r="2345">
          <cell r="A2345" t="str">
            <v>435142nd4 UNCATEGORIZED 1100</v>
          </cell>
        </row>
        <row r="2346">
          <cell r="A2346" t="str">
            <v>435142nd4 UNCATEGORIZED 1300</v>
          </cell>
        </row>
        <row r="2347">
          <cell r="A2347" t="str">
            <v>435143rdL04_CTV_017W_ROBBINGNOCOS, ARIEL0</v>
          </cell>
        </row>
        <row r="2348">
          <cell r="A2348" t="str">
            <v>435143rdL04_CV_012W_ROBBINGMARTINEZ RON. 10</v>
          </cell>
        </row>
        <row r="2349">
          <cell r="A2349" t="str">
            <v>435143rd4 UNCATEGORIZED 900</v>
          </cell>
        </row>
        <row r="2350">
          <cell r="A2350" t="str">
            <v>435143rd4 UNCATEGORIZED 1400</v>
          </cell>
        </row>
        <row r="2351">
          <cell r="A2351" t="str">
            <v>435143rd4 UNCATEGORIZED 1500</v>
          </cell>
        </row>
        <row r="2352">
          <cell r="A2352" t="str">
            <v>435143rd4 UNCATEGORIZED 1900</v>
          </cell>
        </row>
        <row r="2353">
          <cell r="A2353" t="str">
            <v>435142ndL05_CV_003W_RAISEALMEDORA 20</v>
          </cell>
        </row>
        <row r="2354">
          <cell r="A2354" t="str">
            <v>435142ndL05_CTV_009E_ROBBINGFERNANDEZ RX 40</v>
          </cell>
        </row>
        <row r="2355">
          <cell r="A2355" t="str">
            <v>435142ndL05_GHV_010W_ROBBINGFERNANDEZ RX 40</v>
          </cell>
        </row>
        <row r="2356">
          <cell r="A2356" t="str">
            <v>435142ndL05_GHVSPLIT_030E_ROBBINGCAYABAS 10</v>
          </cell>
        </row>
        <row r="2357">
          <cell r="A2357" t="str">
            <v>435142ndL05_CTV_008W_STOPESHEPHERD P0</v>
          </cell>
        </row>
        <row r="2358">
          <cell r="A2358" t="str">
            <v>435142ndL05_JV_018E_STOPEBALDO 252</v>
          </cell>
        </row>
        <row r="2359">
          <cell r="A2359" t="str">
            <v>435142nd5 UNCATEGORIZED 200</v>
          </cell>
        </row>
        <row r="2360">
          <cell r="A2360" t="str">
            <v>435142nd5 UNCATEGORIZED 600</v>
          </cell>
        </row>
        <row r="2361">
          <cell r="A2361" t="str">
            <v>435141stL05_JVFW_012W_RAISEFERNANDEZ RX 30</v>
          </cell>
        </row>
        <row r="2362">
          <cell r="A2362" t="str">
            <v>435141stL05_CTV_009E_ROBBINGFERNANDEZ RX 40</v>
          </cell>
        </row>
        <row r="2363">
          <cell r="A2363" t="str">
            <v>435141stL05_GHV_010W_ROBBINGFERNANDEZ RX 40</v>
          </cell>
        </row>
        <row r="2364">
          <cell r="A2364" t="str">
            <v>435141stL05_GHV_022W_ROBBINGBADBADON L.30</v>
          </cell>
        </row>
        <row r="2365">
          <cell r="A2365" t="str">
            <v>435141stL05_GHVSPLIT_030E_ROBBINGCAYABAS 10</v>
          </cell>
        </row>
        <row r="2366">
          <cell r="A2366" t="str">
            <v>435141stL05_CV_004W_WINZEOY-YOY 153</v>
          </cell>
        </row>
        <row r="2367">
          <cell r="A2367" t="str">
            <v>435141stL05_GHV_030W_WINZE STOPEAMAC 20</v>
          </cell>
        </row>
        <row r="2368">
          <cell r="A2368" t="str">
            <v>435141stL05_NONE_027W_XCNBADBADON L. 10</v>
          </cell>
        </row>
        <row r="2369">
          <cell r="A2369" t="str">
            <v>435141st5 UNCATEGORIZED 300</v>
          </cell>
        </row>
        <row r="2370">
          <cell r="A2370" t="str">
            <v>435143rdL05_JVSPLIT_006E_RAISEBALDO 10</v>
          </cell>
        </row>
        <row r="2371">
          <cell r="A2371" t="str">
            <v>435143rdL05_NV_005W_RAISESHEPHERD P0</v>
          </cell>
        </row>
        <row r="2372">
          <cell r="A2372" t="str">
            <v>435143rdL05_CTV_009E_ROBBINGFERNANDEZ RX 40</v>
          </cell>
        </row>
        <row r="2373">
          <cell r="A2373" t="str">
            <v>435143rdL05_GHV_010W_ROBBINGFERNANDEZ RX 40</v>
          </cell>
        </row>
        <row r="2374">
          <cell r="A2374" t="str">
            <v>435143rdL05_GHVSPLIT_030E_ROBBINGCAYABAS 10</v>
          </cell>
        </row>
        <row r="2375">
          <cell r="A2375" t="str">
            <v>435143rdL05_CV_010E_WINZESHEPHERD L56</v>
          </cell>
        </row>
        <row r="2376">
          <cell r="A2376" t="str">
            <v>435143rd5 UNCATEGORIZED 200</v>
          </cell>
        </row>
        <row r="2377">
          <cell r="A2377" t="str">
            <v>435143rd5 UNCATEGORIZED 600</v>
          </cell>
        </row>
        <row r="2378">
          <cell r="A2378" t="str">
            <v>435143rdL06_CV_005E_DEREBOTE 10</v>
          </cell>
        </row>
        <row r="2379">
          <cell r="A2379" t="str">
            <v>435143rdL06_DPVE_022E_STOPEBAÑEZ 60</v>
          </cell>
        </row>
        <row r="2380">
          <cell r="A2380" t="str">
            <v>435143rdL06_JVFW_006E_STOPEBADBADON R. 50</v>
          </cell>
        </row>
        <row r="2381">
          <cell r="A2381" t="str">
            <v>435143rdL06_NONE_002W_XCNBADBADON R.40</v>
          </cell>
        </row>
        <row r="2382">
          <cell r="A2382" t="str">
            <v>435143rd6 UNCATEGORIZED 400</v>
          </cell>
        </row>
        <row r="2383">
          <cell r="A2383" t="str">
            <v>435143rd6 UNCATEGORIZED 700</v>
          </cell>
        </row>
        <row r="2384">
          <cell r="A2384" t="str">
            <v>435143rd6 UNCATEGORIZED 1400</v>
          </cell>
        </row>
        <row r="2385">
          <cell r="A2385" t="str">
            <v>435143rd6 UNCATEGORIZED 1500</v>
          </cell>
        </row>
        <row r="2386">
          <cell r="A2386" t="str">
            <v>435143rd6 UNCATEGORIZED 600</v>
          </cell>
        </row>
        <row r="2387">
          <cell r="A2387" t="str">
            <v>435142ndL06_DPVE_035E_DEBAÑEZ 90</v>
          </cell>
        </row>
        <row r="2388">
          <cell r="A2388" t="str">
            <v>435142ndL06_JV_027E_RAISEQUIJANO 40</v>
          </cell>
        </row>
        <row r="2389">
          <cell r="A2389" t="str">
            <v>435142ndL06_DPVE_022E_STOPEBAÑEZ 60</v>
          </cell>
        </row>
        <row r="2390">
          <cell r="A2390" t="str">
            <v>435142ndL06_JVFW_006E_STOPEBADBADON R. 50</v>
          </cell>
        </row>
        <row r="2391">
          <cell r="A2391" t="str">
            <v>435142nd6 UNCATEGORIZED 400</v>
          </cell>
        </row>
        <row r="2392">
          <cell r="A2392" t="str">
            <v>435142nd6 UNCATEGORIZED 900</v>
          </cell>
        </row>
        <row r="2393">
          <cell r="A2393" t="str">
            <v>435142nd6 UNCATEGORIZED 1000</v>
          </cell>
        </row>
        <row r="2394">
          <cell r="A2394" t="str">
            <v>435142nd6 UNCATEGORIZED 1400</v>
          </cell>
        </row>
        <row r="2395">
          <cell r="A2395" t="str">
            <v>435141stL06_JV_001W_RAISEREBOTE 20</v>
          </cell>
        </row>
        <row r="2396">
          <cell r="A2396" t="str">
            <v>435141stL06_NONE_021E_XCNGUNAY 10</v>
          </cell>
        </row>
        <row r="2397">
          <cell r="A2397" t="str">
            <v>435141st6 UNCATEGORIZED 100</v>
          </cell>
        </row>
        <row r="2398">
          <cell r="A2398" t="str">
            <v>435141st6 UNCATEGORIZED 400</v>
          </cell>
        </row>
        <row r="2399">
          <cell r="A2399" t="str">
            <v>435141st6 UNCATEGORIZED 700</v>
          </cell>
        </row>
        <row r="2400">
          <cell r="A2400" t="str">
            <v>435141st6 UNCATEGORIZED 1100</v>
          </cell>
        </row>
        <row r="2401">
          <cell r="A2401" t="str">
            <v>435143rdL07_JVHW_072E_STOPEBABOR 567</v>
          </cell>
        </row>
        <row r="2402">
          <cell r="A2402" t="str">
            <v>435143rdL07_GHVHW_056E_WINZE STOPE PREPBABOR 30</v>
          </cell>
        </row>
        <row r="2403">
          <cell r="A2403" t="str">
            <v>435143rd7 UNCATEGORIZED 300</v>
          </cell>
        </row>
        <row r="2404">
          <cell r="A2404" t="str">
            <v>435143rd7 UNCATEGORIZED 700</v>
          </cell>
        </row>
        <row r="2405">
          <cell r="A2405" t="str">
            <v>435143rd7 UNCATEGORIZED 1200</v>
          </cell>
        </row>
        <row r="2406">
          <cell r="A2406" t="str">
            <v>435143rd7 UNCATEGORIZED 1300</v>
          </cell>
        </row>
        <row r="2407">
          <cell r="A2407" t="str">
            <v>435143rd7 UNCATEGORIZED 1400</v>
          </cell>
        </row>
        <row r="2408">
          <cell r="A2408" t="str">
            <v>435142ndL07_DPVE_060E_DEVILLARANTE 40</v>
          </cell>
        </row>
        <row r="2409">
          <cell r="A2409" t="str">
            <v>435142ndL07_GHV_019E_DEBORERO 10</v>
          </cell>
        </row>
        <row r="2410">
          <cell r="A2410" t="str">
            <v>435142ndL07_JVHW_072E_STOPEBABOR 567</v>
          </cell>
        </row>
        <row r="2411">
          <cell r="A2411" t="str">
            <v>435142ndL07_CTV_061E_STOPE PREPVILLARANTE 369</v>
          </cell>
        </row>
        <row r="2412">
          <cell r="A2412" t="str">
            <v>435142ndL07_JVHW_064E_STOPE PREPBABOR 568</v>
          </cell>
        </row>
        <row r="2413">
          <cell r="A2413" t="str">
            <v>435142nd7 UNCATEGORIZED 300</v>
          </cell>
        </row>
        <row r="2414">
          <cell r="A2414" t="str">
            <v>435142nd7 UNCATEGORIZED 900</v>
          </cell>
        </row>
        <row r="2415">
          <cell r="A2415" t="str">
            <v>435142nd7 UNCATEGORIZED 1500</v>
          </cell>
        </row>
        <row r="2416">
          <cell r="A2416" t="str">
            <v>435141stL07_DPVE_060E_DEVILLARANTE 40</v>
          </cell>
        </row>
        <row r="2417">
          <cell r="A2417" t="str">
            <v>435141stL07_DPVE_026E_STOPE PREPSHEPHERD H57</v>
          </cell>
        </row>
        <row r="2418">
          <cell r="A2418" t="str">
            <v>435141stL07_JVHW_064E_STOPE PREPBABOR 568</v>
          </cell>
        </row>
        <row r="2419">
          <cell r="A2419" t="str">
            <v>435141stL07_GHVHW_056E_WINZE STOPE PREPBABOR 30</v>
          </cell>
        </row>
        <row r="2420">
          <cell r="A2420" t="str">
            <v>435141st7 UNCATEGORIZED 200</v>
          </cell>
        </row>
        <row r="2421">
          <cell r="A2421" t="str">
            <v>435141st7 UNCATEGORIZED 300</v>
          </cell>
        </row>
        <row r="2422">
          <cell r="A2422" t="str">
            <v>435141st7 UNCATEGORIZED 500</v>
          </cell>
        </row>
        <row r="2423">
          <cell r="A2423" t="str">
            <v>435141st7 UNCATEGORIZED 1600</v>
          </cell>
        </row>
        <row r="2424">
          <cell r="A2424" t="str">
            <v>435141st7 UNCATEGORIZED 1700</v>
          </cell>
        </row>
        <row r="2425">
          <cell r="A2425" t="str">
            <v>435141st7 UNCATEGORIZED 1800</v>
          </cell>
        </row>
        <row r="2426">
          <cell r="A2426" t="str">
            <v>435142nd7 UNCATEGORIZED 200</v>
          </cell>
        </row>
        <row r="2427">
          <cell r="A2427" t="str">
            <v>435142ndL08_DPVE_068E_DELERIO 30</v>
          </cell>
        </row>
        <row r="2428">
          <cell r="A2428" t="str">
            <v>435142ndL08_JV_055E_DEBENONGUIL 10</v>
          </cell>
        </row>
        <row r="2429">
          <cell r="A2429" t="str">
            <v>435142ndL08_JVSPLIT_017E_DEAGLOLO 20</v>
          </cell>
        </row>
        <row r="2430">
          <cell r="A2430" t="str">
            <v>435142ndL08_JV_020E_RAISEAGLOLO 10</v>
          </cell>
        </row>
        <row r="2431">
          <cell r="A2431" t="str">
            <v>435142ndL08_DPVE_061E_STOPEAGLOLO 40</v>
          </cell>
        </row>
        <row r="2432">
          <cell r="A2432" t="str">
            <v>435142ndL08_GHVHW_031E_STOPEGEMENTIZA 10</v>
          </cell>
        </row>
        <row r="2433">
          <cell r="A2433" t="str">
            <v>435141stL08_DPVE_061E_STOPEAGLOLO 40</v>
          </cell>
        </row>
        <row r="2434">
          <cell r="A2434" t="str">
            <v>435141stL08_GHVHW_031E_STOPEGEMENTIZA 10</v>
          </cell>
        </row>
        <row r="2435">
          <cell r="A2435" t="str">
            <v>435141stL08_NONE_016W_XCNSILVOZA 181</v>
          </cell>
        </row>
        <row r="2436">
          <cell r="A2436" t="str">
            <v>435141st8 UNCATEGORIZED 600</v>
          </cell>
        </row>
        <row r="2437">
          <cell r="A2437" t="str">
            <v>435141st8 UNCATEGORIZED 700</v>
          </cell>
        </row>
        <row r="2438">
          <cell r="A2438" t="str">
            <v>435141st8 UNCATEGORIZED 1500</v>
          </cell>
        </row>
        <row r="2439">
          <cell r="A2439" t="str">
            <v>435143rdL08_GHVHW_011E_DWDEMALATA 10</v>
          </cell>
        </row>
        <row r="2440">
          <cell r="A2440" t="str">
            <v>435143rdL08_JV_020E_RAISEAGLOLO 10</v>
          </cell>
        </row>
        <row r="2441">
          <cell r="A2441" t="str">
            <v>435143rdL08_DPVE_061E_STOPEAGLOLO 40</v>
          </cell>
        </row>
        <row r="2442">
          <cell r="A2442" t="str">
            <v>435143rdL08_GHVHW_031E_STOPEGEMENTIZA 10</v>
          </cell>
        </row>
        <row r="2443">
          <cell r="A2443" t="str">
            <v>435143rdL08_JV_029E_STOPEBORERO 40</v>
          </cell>
        </row>
        <row r="2444">
          <cell r="A2444" t="str">
            <v>435143rdL09_JVHW_065E_RAISEAGLOLO 40</v>
          </cell>
        </row>
        <row r="2445">
          <cell r="A2445" t="str">
            <v>435143rd8 UNCATEGORIZED 500</v>
          </cell>
        </row>
        <row r="2446">
          <cell r="A2446" t="str">
            <v>435143rdL08_DPVE_065E_RAISELERIO 40</v>
          </cell>
        </row>
        <row r="2447">
          <cell r="A2447" t="str">
            <v>435143rdL09_DPVE_051E_DEBALANGHIG 10</v>
          </cell>
        </row>
        <row r="2448">
          <cell r="A2448" t="str">
            <v>435143rdL09_GHVHW_027E_DWHUMIDING 10</v>
          </cell>
        </row>
        <row r="2449">
          <cell r="A2449" t="str">
            <v>435143rdL09_JVFW_055E_RAISECANOY 30</v>
          </cell>
        </row>
        <row r="2450">
          <cell r="A2450" t="str">
            <v>435143rdL09_GHV_031E_STOPEPANCIT, NOEL 80</v>
          </cell>
        </row>
        <row r="2451">
          <cell r="A2451" t="str">
            <v>435143rdL09_GHV_060E_STOPEPANSIT 60</v>
          </cell>
        </row>
        <row r="2452">
          <cell r="A2452" t="str">
            <v>435143rdL09_JV_058E_STOPECANOY 10</v>
          </cell>
        </row>
        <row r="2453">
          <cell r="A2453" t="str">
            <v>435143rdL09_JVFW_057E_STOPEDELOS REYES V. 60</v>
          </cell>
        </row>
        <row r="2454">
          <cell r="A2454" t="str">
            <v>435143rdL09_GHVFW_034E_STOPE PREPCANOY 20</v>
          </cell>
        </row>
        <row r="2455">
          <cell r="A2455" t="str">
            <v>435143rdL10_GHV_020E_DETAÑEZA 90</v>
          </cell>
        </row>
        <row r="2456">
          <cell r="A2456" t="str">
            <v>435143rd9 UNCATEGORIZED 400</v>
          </cell>
        </row>
        <row r="2457">
          <cell r="A2457" t="str">
            <v>435143rd9 UNCATEGORIZED 900</v>
          </cell>
        </row>
        <row r="2458">
          <cell r="A2458" t="str">
            <v>435143rd9 UNCATEGORIZED 1200</v>
          </cell>
        </row>
        <row r="2459">
          <cell r="A2459" t="str">
            <v>435143rd10 UNCATEGORIZED 300</v>
          </cell>
        </row>
        <row r="2460">
          <cell r="A2460" t="str">
            <v>435143rd10 UNCATEGORIZED 400</v>
          </cell>
        </row>
        <row r="2461">
          <cell r="A2461" t="str">
            <v>435142ndL09_DPVE_051E_DEBALANGHIG 10</v>
          </cell>
        </row>
        <row r="2462">
          <cell r="A2462" t="str">
            <v>435142ndL09_GHVHW_049E_DEBABOR 10</v>
          </cell>
        </row>
        <row r="2463">
          <cell r="A2463" t="str">
            <v>435142ndL09_GHV_015W_STOPESHEPHERD R0</v>
          </cell>
        </row>
        <row r="2464">
          <cell r="A2464" t="str">
            <v>435142ndL09_GHV_060E_STOPEPANSIT 60</v>
          </cell>
        </row>
        <row r="2465">
          <cell r="A2465" t="str">
            <v>435142ndL09_JV_058E_STOPECANOY 10</v>
          </cell>
        </row>
        <row r="2466">
          <cell r="A2466" t="str">
            <v>435142ndL09_JVFW_057E_STOPEDELOS REYES V. 60</v>
          </cell>
        </row>
        <row r="2467">
          <cell r="A2467" t="str">
            <v>435142ndL09_GHV_063E_WINZE0</v>
          </cell>
        </row>
        <row r="2468">
          <cell r="A2468" t="str">
            <v>435142ndL10_GHVFW_021E_DETAÑEZA 30</v>
          </cell>
        </row>
        <row r="2469">
          <cell r="A2469" t="str">
            <v>435142ndL10_JVFW_055E_DETAÑEZA 1199</v>
          </cell>
        </row>
        <row r="2470">
          <cell r="A2470" t="str">
            <v>435142ndL09_GHVFW_034E_STOPE PREPCANOY 20</v>
          </cell>
        </row>
        <row r="2471">
          <cell r="A2471" t="str">
            <v>435142ndL10_GHV_033E_DETAÑEZA 40</v>
          </cell>
        </row>
        <row r="2472">
          <cell r="A2472" t="str">
            <v>435142ndL10_GHVFW_028E_RAISETAÑEZA 60</v>
          </cell>
        </row>
        <row r="2473">
          <cell r="A2473" t="str">
            <v>435142nd9 UNCATEGORIZED 300</v>
          </cell>
        </row>
        <row r="2474">
          <cell r="A2474" t="str">
            <v>435142nd9 UNCATEGORIZED 700</v>
          </cell>
        </row>
        <row r="2475">
          <cell r="A2475" t="str">
            <v>435142nd9 UNCATEGORIZED 900</v>
          </cell>
        </row>
        <row r="2476">
          <cell r="A2476" t="str">
            <v>435142nd9 UNCATEGORIZED 1000</v>
          </cell>
        </row>
        <row r="2477">
          <cell r="A2477" t="str">
            <v>435142nd9 UNCATEGORIZED 1100</v>
          </cell>
        </row>
        <row r="2478">
          <cell r="A2478" t="str">
            <v>435142nd9 UNCATEGORIZED 1300</v>
          </cell>
        </row>
        <row r="2479">
          <cell r="A2479" t="str">
            <v>435142nd9 UNCATEGORIZED 1400</v>
          </cell>
        </row>
        <row r="2480">
          <cell r="A2480" t="str">
            <v>435142ndL09_GHV_031E_STOPEPANCIT, NOEL 80</v>
          </cell>
        </row>
        <row r="2481">
          <cell r="A2481" t="str">
            <v>435141stL09_JV_050E_DEDAVOCOL, ROSELIO 30</v>
          </cell>
        </row>
        <row r="2482">
          <cell r="A2482" t="str">
            <v>435141stL09_JV_046E_DWDELOS REYES V. 20</v>
          </cell>
        </row>
        <row r="2483">
          <cell r="A2483" t="str">
            <v>435141stL09_GHV_060E_STOPEPANSIT 60</v>
          </cell>
        </row>
        <row r="2484">
          <cell r="A2484" t="str">
            <v>435141stL09_JV_058E_STOPECANOY 10</v>
          </cell>
        </row>
        <row r="2485">
          <cell r="A2485" t="str">
            <v>435141stL10_DPVE_049E_DEHANGDAAN 10</v>
          </cell>
        </row>
        <row r="2486">
          <cell r="A2486" t="str">
            <v>435141stL10_GHV_020E_DETAÑEZA 90</v>
          </cell>
        </row>
        <row r="2487">
          <cell r="A2487" t="str">
            <v>435141stL10_JV_059E_DETAÑEZA 70</v>
          </cell>
        </row>
        <row r="2488">
          <cell r="A2488" t="str">
            <v>435141stL10_JVSPLIT_057E_DETAÑEZA 8100</v>
          </cell>
        </row>
        <row r="2489">
          <cell r="A2489" t="str">
            <v>435141st9 UNCATEGORIZED 400</v>
          </cell>
        </row>
        <row r="2490">
          <cell r="A2490" t="str">
            <v>435141st9 UNCATEGORIZED 1000</v>
          </cell>
        </row>
        <row r="2491">
          <cell r="A2491" t="str">
            <v>435141st9 UNCATEGORIZED 1500</v>
          </cell>
        </row>
        <row r="2492">
          <cell r="A2492" t="str">
            <v>435151stL02_JV_042W_ROBBINGDAGAMAC0</v>
          </cell>
        </row>
        <row r="2493">
          <cell r="A2493" t="str">
            <v>435151stL02_RYV_012W_ROBBINGLASANAS0</v>
          </cell>
        </row>
        <row r="2494">
          <cell r="A2494" t="str">
            <v>435151stL02_CV_007E_WINZEALMASA 30</v>
          </cell>
        </row>
        <row r="2495">
          <cell r="A2495" t="str">
            <v>435151st2 UNCATEGORIZED 800</v>
          </cell>
        </row>
        <row r="2496">
          <cell r="A2496" t="str">
            <v>435151stL04_GHVFW_006E_DEOY-YOY 20</v>
          </cell>
        </row>
        <row r="2497">
          <cell r="A2497" t="str">
            <v>435151stL04_JV_049W_RAISEDUHIG 30</v>
          </cell>
        </row>
        <row r="2498">
          <cell r="A2498" t="str">
            <v>435151stL04_GHV_010W_ROBBINGCABONITA 30</v>
          </cell>
        </row>
        <row r="2499">
          <cell r="A2499" t="str">
            <v>435151st4 UNCATEGORIZED 300</v>
          </cell>
        </row>
        <row r="2500">
          <cell r="A2500" t="str">
            <v>435151st4 UNCATEGORIZED 1400</v>
          </cell>
        </row>
        <row r="2501">
          <cell r="A2501" t="str">
            <v>435151st4 UNCATEGORIZED 1800</v>
          </cell>
        </row>
        <row r="2502">
          <cell r="A2502" t="str">
            <v>435151stL05_JVSPLIT_006E_RAISEBALDO 10</v>
          </cell>
        </row>
        <row r="2503">
          <cell r="A2503" t="str">
            <v>435151stL05_NV_005W_RAISESHEPHERD P0</v>
          </cell>
        </row>
        <row r="2504">
          <cell r="A2504" t="str">
            <v>435151stL05_GHV_022W_ROBBINGBADBADON L.30</v>
          </cell>
        </row>
        <row r="2505">
          <cell r="A2505" t="str">
            <v>435151stL05_GHVSPLIT_030E_ROBBINGCAYABAS 10</v>
          </cell>
        </row>
        <row r="2506">
          <cell r="A2506" t="str">
            <v>435151stL05_JV_018E_STOPEBALDO 252</v>
          </cell>
        </row>
        <row r="2507">
          <cell r="A2507" t="str">
            <v>435151st5 UNCATEGORIZED 400</v>
          </cell>
        </row>
        <row r="2508">
          <cell r="A2508" t="str">
            <v>435151stL06_JV_001W_RAISEREBOTE 20</v>
          </cell>
        </row>
        <row r="2509">
          <cell r="A2509" t="str">
            <v>435151stL06_JV_056E_ROBBINGUDLOS 10</v>
          </cell>
        </row>
        <row r="2510">
          <cell r="A2510" t="str">
            <v>435151stL06_DPVE_022E_STOPEBAÑEZ 60</v>
          </cell>
        </row>
        <row r="2511">
          <cell r="A2511" t="str">
            <v>435151stL06_NONE_021E_XCNGUNAY 10</v>
          </cell>
        </row>
        <row r="2512">
          <cell r="A2512" t="str">
            <v>435151st6 UNCATEGORIZED 100</v>
          </cell>
        </row>
        <row r="2513">
          <cell r="A2513" t="str">
            <v>435151st6 UNCATEGORIZED 400</v>
          </cell>
        </row>
        <row r="2514">
          <cell r="A2514" t="str">
            <v>435151st6 UNCATEGORIZED 1400</v>
          </cell>
        </row>
        <row r="2515">
          <cell r="A2515" t="str">
            <v>435151st6 UNCATEGORIZED 1500</v>
          </cell>
        </row>
        <row r="2516">
          <cell r="A2516" t="str">
            <v>435151stL07_DPVE_060E_DEVILLARANTE 40</v>
          </cell>
        </row>
        <row r="2517">
          <cell r="A2517" t="str">
            <v>435151stL07_JVHW_072E_STOPEBABOR 567</v>
          </cell>
        </row>
        <row r="2518">
          <cell r="A2518" t="str">
            <v>435151st7 UNCATEGORIZED 200</v>
          </cell>
        </row>
        <row r="2519">
          <cell r="A2519" t="str">
            <v>435151st7 UNCATEGORIZED 300</v>
          </cell>
        </row>
        <row r="2520">
          <cell r="A2520" t="str">
            <v>435151st7 UNCATEGORIZED 400</v>
          </cell>
        </row>
        <row r="2521">
          <cell r="A2521" t="str">
            <v>435151st7 UNCATEGORIZED 900</v>
          </cell>
        </row>
        <row r="2522">
          <cell r="A2522" t="str">
            <v>435151st7 UNCATEGORIZED 1200</v>
          </cell>
        </row>
        <row r="2523">
          <cell r="A2523" t="str">
            <v>435151st7 UNCATEGORIZED 1400</v>
          </cell>
        </row>
        <row r="2524">
          <cell r="A2524" t="str">
            <v>435151st7 UNCATEGORIZED 1500</v>
          </cell>
        </row>
        <row r="2525">
          <cell r="A2525" t="str">
            <v>435151st7 UNCATEGORIZED 1700</v>
          </cell>
        </row>
        <row r="2526">
          <cell r="A2526" t="str">
            <v>435151st7 UNCATEGORIZED 1800</v>
          </cell>
        </row>
        <row r="2527">
          <cell r="A2527" t="str">
            <v>435151stL08_DPVE_068E_DELERIO 30</v>
          </cell>
        </row>
        <row r="2528">
          <cell r="A2528" t="str">
            <v>435151stL08_JV_055E_DEBENONGUIL 10</v>
          </cell>
        </row>
        <row r="2529">
          <cell r="A2529" t="str">
            <v>435151stL08_GHVFW_038E_DWTORMIS 10</v>
          </cell>
        </row>
        <row r="2530">
          <cell r="A2530" t="str">
            <v>435151stL08_DPVE_065E_RAISELERIO 40</v>
          </cell>
        </row>
        <row r="2531">
          <cell r="A2531" t="str">
            <v>435151stL08_JV_020E_RAISEAGLOLO 10</v>
          </cell>
        </row>
        <row r="2532">
          <cell r="A2532" t="str">
            <v>435151stL08_DPVE_061E_STOPEAGLOLO 40</v>
          </cell>
        </row>
        <row r="2533">
          <cell r="A2533" t="str">
            <v>435151stL08_GHVHW_031E_STOPEGEMENTIZA 10</v>
          </cell>
        </row>
        <row r="2534">
          <cell r="A2534" t="str">
            <v>435151st8 UNCATEGORIZED 500</v>
          </cell>
        </row>
        <row r="2535">
          <cell r="A2535" t="str">
            <v>435151st8 UNCATEGORIZED 600</v>
          </cell>
        </row>
        <row r="2536">
          <cell r="A2536" t="str">
            <v>435151st8 UNCATEGORIZED 1100</v>
          </cell>
        </row>
        <row r="2537">
          <cell r="A2537" t="str">
            <v>435151st8 UNCATEGORIZED 1500</v>
          </cell>
        </row>
        <row r="2538">
          <cell r="A2538" t="str">
            <v>435151stL09_GHVFW_040E_DEPANSIT 40</v>
          </cell>
        </row>
        <row r="2539">
          <cell r="A2539" t="str">
            <v>435151stL09_GHVHW_049E_DEBABOR 10</v>
          </cell>
        </row>
        <row r="2540">
          <cell r="A2540" t="str">
            <v>435151stL09_GHV_060E_STOPEPANSIT 60</v>
          </cell>
        </row>
        <row r="2541">
          <cell r="A2541" t="str">
            <v>435151stL09_JVFW_057E_STOPEDELOS REYES V. 60</v>
          </cell>
        </row>
        <row r="2542">
          <cell r="A2542" t="str">
            <v>435151stL10_GHV_033E_DETAÑEZA 40</v>
          </cell>
        </row>
        <row r="2543">
          <cell r="A2543" t="str">
            <v>435151stL10_GHVFW_021E_DETAÑEZA 30</v>
          </cell>
        </row>
        <row r="2544">
          <cell r="A2544" t="str">
            <v>435151stL10_JV_059E_DETAÑEZA 70</v>
          </cell>
        </row>
        <row r="2545">
          <cell r="A2545" t="str">
            <v>435151stL10_GHV_019E_RAISETAÑEZA 90</v>
          </cell>
        </row>
        <row r="2546">
          <cell r="A2546" t="str">
            <v>435151stL10_GHVFW_028E_RAISETAÑEZA 60</v>
          </cell>
        </row>
        <row r="2547">
          <cell r="A2547" t="str">
            <v>435151st9 UNCATEGORIZED 900</v>
          </cell>
        </row>
        <row r="2548">
          <cell r="A2548" t="str">
            <v>435151st9 UNCATEGORIZED 1200</v>
          </cell>
        </row>
        <row r="2549">
          <cell r="A2549" t="str">
            <v>435151st9 UNCATEGORIZED 1400</v>
          </cell>
        </row>
        <row r="2550">
          <cell r="A2550" t="str">
            <v>435151st10 UNCATEGORIZED 500</v>
          </cell>
        </row>
        <row r="2551">
          <cell r="A2551" t="str">
            <v>435151stL09_JV_046E_DWDELOS REYES V. 20</v>
          </cell>
        </row>
        <row r="2552">
          <cell r="A2552" t="str">
            <v>435152ndL02_RYV_023W_ROBBINGCARIKITAN 10</v>
          </cell>
        </row>
        <row r="2553">
          <cell r="A2553" t="str">
            <v>435152nd2 UNCATEGORIZED 100</v>
          </cell>
        </row>
        <row r="2554">
          <cell r="A2554" t="str">
            <v>435152nd2 UNCATEGORIZED 500</v>
          </cell>
        </row>
        <row r="2555">
          <cell r="A2555" t="str">
            <v>435152nd2 UNCATEGORIZED 600</v>
          </cell>
        </row>
        <row r="2556">
          <cell r="A2556" t="str">
            <v>435152nd2 UNCATEGORIZED 800</v>
          </cell>
        </row>
        <row r="2557">
          <cell r="A2557" t="str">
            <v>435153rdL02_GHV_009W_ROBBINGMONTEBON 40</v>
          </cell>
        </row>
        <row r="2558">
          <cell r="A2558" t="str">
            <v>435153rdL02_RYV_012W_ROBBINGLASANAS0</v>
          </cell>
        </row>
        <row r="2559">
          <cell r="A2559" t="str">
            <v>435153rd2 UNCATEGORIZED 100</v>
          </cell>
        </row>
        <row r="2560">
          <cell r="A2560" t="str">
            <v>435153rd2 UNCATEGORIZED 300</v>
          </cell>
        </row>
        <row r="2561">
          <cell r="A2561" t="str">
            <v>435153rd2 UNCATEGORIZED 400</v>
          </cell>
        </row>
        <row r="2562">
          <cell r="A2562" t="str">
            <v>435153rd2 UNCATEGORIZED 700</v>
          </cell>
        </row>
        <row r="2563">
          <cell r="A2563" t="str">
            <v>435153rd2 UNCATEGORIZED 800</v>
          </cell>
        </row>
        <row r="2564">
          <cell r="A2564" t="str">
            <v>435153rdL04_GHVFW_006E_DEOY-YOY 20</v>
          </cell>
        </row>
        <row r="2565">
          <cell r="A2565" t="str">
            <v>435153rdL04_JV_049W_RAISEDUHIG 30</v>
          </cell>
        </row>
        <row r="2566">
          <cell r="A2566" t="str">
            <v>435153rdL04_RYV_010E_RAISEMARTINEZ DN 10</v>
          </cell>
        </row>
        <row r="2567">
          <cell r="A2567" t="str">
            <v>435153rdL04_CV_012W_ROBBINGMARTINEZ RON. 10</v>
          </cell>
        </row>
        <row r="2568">
          <cell r="A2568" t="str">
            <v>435153rdL04_NONE_016W_XCNBAKAKON 10</v>
          </cell>
        </row>
        <row r="2569">
          <cell r="A2569" t="str">
            <v>435153rd4 UNCATEGORIZED 1100</v>
          </cell>
        </row>
        <row r="2570">
          <cell r="A2570" t="str">
            <v>435153rd4 UNCATEGORIZED 1300</v>
          </cell>
        </row>
        <row r="2571">
          <cell r="A2571" t="str">
            <v>435152ndL04_GHVFW_015E_DEPARAGUYA 30</v>
          </cell>
        </row>
        <row r="2572">
          <cell r="A2572" t="str">
            <v>435152ndL04_RYV_010E_RAISEMARTINEZ DN 10</v>
          </cell>
        </row>
        <row r="2573">
          <cell r="A2573" t="str">
            <v>435152ndL04_CV_012W_ROBBINGMARTINEZ RON. 10</v>
          </cell>
        </row>
        <row r="2574">
          <cell r="A2574" t="str">
            <v>435152ndL04_GHV_010W_ROBBINGCABONITA 30</v>
          </cell>
        </row>
        <row r="2575">
          <cell r="A2575" t="str">
            <v>435152ndL04_GHVSPLIT_043W_ROBBINGCABONITA 20</v>
          </cell>
        </row>
        <row r="2576">
          <cell r="A2576" t="str">
            <v>435152nd4 UNCATEGORIZED 700</v>
          </cell>
        </row>
        <row r="2577">
          <cell r="A2577" t="str">
            <v>435152nd4 UNCATEGORIZED 900</v>
          </cell>
        </row>
        <row r="2578">
          <cell r="A2578" t="str">
            <v>435152nd4 UNCATEGORIZED 1900</v>
          </cell>
        </row>
        <row r="2579">
          <cell r="A2579" t="str">
            <v>435152ndL04_JV_024W_STOPE PREPDUHIG 20</v>
          </cell>
        </row>
        <row r="2580">
          <cell r="A2580" t="str">
            <v>435153rd4 UNCATEGORIZED 1900</v>
          </cell>
        </row>
        <row r="2581">
          <cell r="A2581" t="str">
            <v>435153rdL05_CV_003W_RAISEALMEDORA 20</v>
          </cell>
        </row>
        <row r="2582">
          <cell r="A2582" t="str">
            <v>435153rdL05_JVSPLIT_006E_RAISEBALDO 10</v>
          </cell>
        </row>
        <row r="2583">
          <cell r="A2583" t="str">
            <v>435153rdL05_NV_005W_RAISESHEPHERD P0</v>
          </cell>
        </row>
        <row r="2584">
          <cell r="A2584" t="str">
            <v>435153rdL05_CTV_009E_ROBBINGFERNANDEZ RX 40</v>
          </cell>
        </row>
        <row r="2585">
          <cell r="A2585" t="str">
            <v>435153rdL05_GHV_010W_ROBBINGFERNANDEZ RX 40</v>
          </cell>
        </row>
        <row r="2586">
          <cell r="A2586" t="str">
            <v>435153rdL05_JV_018E_STOPEBALDO 252</v>
          </cell>
        </row>
        <row r="2587">
          <cell r="A2587" t="str">
            <v>435153rdL05_GHV_023W_WINZEBADBADON L. 20</v>
          </cell>
        </row>
        <row r="2588">
          <cell r="A2588" t="str">
            <v>435152ndL05_CV_003W_RAISEALMEDORA 20</v>
          </cell>
        </row>
        <row r="2589">
          <cell r="A2589" t="str">
            <v>435152ndL05_CTV_009E_ROBBINGFERNANDEZ RX 40</v>
          </cell>
        </row>
        <row r="2590">
          <cell r="A2590" t="str">
            <v>435152ndL05_GHV_010W_ROBBINGFERNANDEZ RX 40</v>
          </cell>
        </row>
        <row r="2591">
          <cell r="A2591" t="str">
            <v>435152ndL05_GHVSPLIT_030E_ROBBINGCAYABAS 10</v>
          </cell>
        </row>
        <row r="2592">
          <cell r="A2592" t="str">
            <v>435152ndL05_CTV_008W_STOPESHEPHERD P0</v>
          </cell>
        </row>
        <row r="2593">
          <cell r="A2593" t="str">
            <v>435152ndL05_CV_004W_WINZEOY-YOY 153</v>
          </cell>
        </row>
        <row r="2594">
          <cell r="A2594" t="str">
            <v>435152nd5 UNCATEGORIZED 200</v>
          </cell>
        </row>
        <row r="2595">
          <cell r="A2595" t="str">
            <v>435152nd5 UNCATEGORIZED 300</v>
          </cell>
        </row>
        <row r="2596">
          <cell r="A2596" t="str">
            <v>435152nd5 UNCATEGORIZED 400</v>
          </cell>
        </row>
        <row r="2597">
          <cell r="A2597" t="str">
            <v>435152nd5 UNCATEGORIZED 600</v>
          </cell>
        </row>
        <row r="2598">
          <cell r="A2598" t="str">
            <v>435152nd5 UNCATEGORIZED 800</v>
          </cell>
        </row>
        <row r="2599">
          <cell r="A2599" t="str">
            <v>435153rdL06_CTV_026E_DWQUIJANO 40</v>
          </cell>
        </row>
        <row r="2600">
          <cell r="A2600" t="str">
            <v>435153rdL06_JV_056E_ROBBINGUDLOS 10</v>
          </cell>
        </row>
        <row r="2601">
          <cell r="A2601" t="str">
            <v>435153rd6 UNCATEGORIZED 100</v>
          </cell>
        </row>
        <row r="2602">
          <cell r="A2602" t="str">
            <v>435153rd6 UNCATEGORIZED 400</v>
          </cell>
        </row>
        <row r="2603">
          <cell r="A2603" t="str">
            <v>435153rd6 UNCATEGORIZED 1500</v>
          </cell>
        </row>
        <row r="2604">
          <cell r="A2604" t="str">
            <v>435152ndL06_DPVE_035E_DEBAÑEZ 90</v>
          </cell>
        </row>
        <row r="2605">
          <cell r="A2605" t="str">
            <v>435152ndL06_JV_056E_ROBBINGUDLOS 10</v>
          </cell>
        </row>
        <row r="2606">
          <cell r="A2606" t="str">
            <v>435152ndL06_DPVE_022E_STOPEBAÑEZ 60</v>
          </cell>
        </row>
        <row r="2607">
          <cell r="A2607" t="str">
            <v>435152nd6 UNCATEGORIZED 100</v>
          </cell>
        </row>
        <row r="2608">
          <cell r="A2608" t="str">
            <v>435152nd6 UNCATEGORIZED 400</v>
          </cell>
        </row>
        <row r="2609">
          <cell r="A2609" t="str">
            <v>435152nd6 UNCATEGORIZED 900</v>
          </cell>
        </row>
        <row r="2610">
          <cell r="A2610" t="str">
            <v>435152nd6 UNCATEGORIZED 1000</v>
          </cell>
        </row>
        <row r="2611">
          <cell r="A2611" t="str">
            <v>435152nd6 UNCATEGORIZED 1100</v>
          </cell>
        </row>
        <row r="2612">
          <cell r="A2612" t="str">
            <v>435152nd6 UNCATEGORIZED 1400</v>
          </cell>
        </row>
        <row r="2613">
          <cell r="A2613" t="str">
            <v>435152nd6 UNCATEGORIZED 1500</v>
          </cell>
        </row>
        <row r="2614">
          <cell r="A2614" t="str">
            <v>435152nd6 UNCATEGORIZED 700</v>
          </cell>
        </row>
        <row r="2615">
          <cell r="A2615" t="str">
            <v>435153rdL07_DPVE_060E_DEVILLARANTE 40</v>
          </cell>
        </row>
        <row r="2616">
          <cell r="A2616" t="str">
            <v>435153rd7 UNCATEGORIZED 200</v>
          </cell>
        </row>
        <row r="2617">
          <cell r="A2617" t="str">
            <v>435153rd7 UNCATEGORIZED 300</v>
          </cell>
        </row>
        <row r="2618">
          <cell r="A2618" t="str">
            <v>435153rd7 UNCATEGORIZED 500</v>
          </cell>
        </row>
        <row r="2619">
          <cell r="A2619" t="str">
            <v>435153rd7 UNCATEGORIZED 1500</v>
          </cell>
        </row>
        <row r="2620">
          <cell r="A2620" t="str">
            <v>435153rd7 UNCATEGORIZED 1800</v>
          </cell>
        </row>
        <row r="2621">
          <cell r="A2621" t="str">
            <v>435153rd7 UNCATEGORIZED 1900</v>
          </cell>
        </row>
        <row r="2622">
          <cell r="A2622" t="str">
            <v>435152ndL07_JVHW_072E_STOPEBABOR 567</v>
          </cell>
        </row>
        <row r="2623">
          <cell r="A2623" t="str">
            <v>435152ndL07_JVHW_064E_STOPE PREPBABOR 568</v>
          </cell>
        </row>
        <row r="2624">
          <cell r="A2624" t="str">
            <v>435152ndL07_GHVHW_056E_WINZE STOPE PREPBABOR 30</v>
          </cell>
        </row>
        <row r="2625">
          <cell r="A2625" t="str">
            <v>435152nd7 UNCATEGORIZED 300</v>
          </cell>
        </row>
        <row r="2626">
          <cell r="A2626" t="str">
            <v>435152nd7 UNCATEGORIZED 400</v>
          </cell>
        </row>
        <row r="2627">
          <cell r="A2627" t="str">
            <v>435152nd7 UNCATEGORIZED 500</v>
          </cell>
        </row>
        <row r="2628">
          <cell r="A2628" t="str">
            <v>435152nd7 UNCATEGORIZED 1200</v>
          </cell>
        </row>
        <row r="2629">
          <cell r="A2629" t="str">
            <v>435152nd7 UNCATEGORIZED 1400</v>
          </cell>
        </row>
        <row r="2630">
          <cell r="A2630" t="str">
            <v>435152nd7 UNCATEGORIZED 1800</v>
          </cell>
        </row>
        <row r="2631">
          <cell r="A2631" t="str">
            <v>435153rd7 UNCATEGORIZED 900</v>
          </cell>
        </row>
        <row r="2632">
          <cell r="A2632" t="str">
            <v>435153rdL08_DPVE_068E_DELERIO 30</v>
          </cell>
        </row>
        <row r="2633">
          <cell r="A2633" t="str">
            <v>435153rdL08_GHVHW_011E_DWDEMALATA 10</v>
          </cell>
        </row>
        <row r="2634">
          <cell r="A2634" t="str">
            <v>435153rdL08_DPVE_061E_STOPEAGLOLO 40</v>
          </cell>
        </row>
        <row r="2635">
          <cell r="A2635" t="str">
            <v>435153rdL08_GHV_036E_STOPEBORERO 30</v>
          </cell>
        </row>
        <row r="2636">
          <cell r="A2636" t="str">
            <v>435153rdL08_GHVHW_031E_STOPEGEMENTIZA 10</v>
          </cell>
        </row>
        <row r="2637">
          <cell r="A2637" t="str">
            <v>435153rdL08_GHVHW_034E_STOPECAPOY 20</v>
          </cell>
        </row>
        <row r="2638">
          <cell r="A2638" t="str">
            <v>435153rd8 UNCATEGORIZED 500</v>
          </cell>
        </row>
        <row r="2639">
          <cell r="A2639" t="str">
            <v>435153rd8 UNCATEGORIZED 1800</v>
          </cell>
        </row>
        <row r="2640">
          <cell r="A2640" t="str">
            <v>435152ndL08_DPVE_048E_DWSILVOZA 30</v>
          </cell>
        </row>
        <row r="2641">
          <cell r="A2641" t="str">
            <v>435152ndL08_GHVHW_011E_DWDEMALATA 10</v>
          </cell>
        </row>
        <row r="2642">
          <cell r="A2642" t="str">
            <v>435152ndL08_DPVE_061E_STOPEAGLOLO 40</v>
          </cell>
        </row>
        <row r="2643">
          <cell r="A2643" t="str">
            <v>435152ndL08_GHVFW_028E_STOPEBENONGUIL 20</v>
          </cell>
        </row>
        <row r="2644">
          <cell r="A2644" t="str">
            <v>435152ndL08_GHVHW_034E_STOPECAPOY 20</v>
          </cell>
        </row>
        <row r="2645">
          <cell r="A2645" t="str">
            <v>435152ndL08_JV_029E_STOPEBORERO 40</v>
          </cell>
        </row>
        <row r="2646">
          <cell r="A2646" t="str">
            <v>435152ndL08_NONE_016W_XCNSILVOZA 181</v>
          </cell>
        </row>
        <row r="2647">
          <cell r="A2647" t="str">
            <v>435152nd8 UNCATEGORIZED 500</v>
          </cell>
        </row>
        <row r="2648">
          <cell r="A2648" t="str">
            <v>435152nd8 UNCATEGORIZED 1800</v>
          </cell>
        </row>
        <row r="2649">
          <cell r="A2649" t="str">
            <v>435152nd8 UNCATEGORIZED 1900</v>
          </cell>
        </row>
        <row r="2650">
          <cell r="A2650" t="str">
            <v>435152ndL02_JVHW_051W_ROBBINGLERIO, RAUL0</v>
          </cell>
        </row>
        <row r="2651">
          <cell r="A2651" t="str">
            <v>435152ndL08_NONE_035E_SHAFTHUMIDING 20</v>
          </cell>
        </row>
        <row r="2652">
          <cell r="A2652" t="str">
            <v>435152ndL09_GHVHW_049E_DEBABOR 10</v>
          </cell>
        </row>
        <row r="2653">
          <cell r="A2653" t="str">
            <v>435152ndL09_GHVHW_027E_DWHUMIDING 10</v>
          </cell>
        </row>
        <row r="2654">
          <cell r="A2654" t="str">
            <v>435152ndL09_JVFW_055E_RAISECANOY 30</v>
          </cell>
        </row>
        <row r="2655">
          <cell r="A2655" t="str">
            <v>435152ndL09_GHV_015W_STOPESHEPHERD R0</v>
          </cell>
        </row>
        <row r="2656">
          <cell r="A2656" t="str">
            <v>435152ndL09_GHV_031E_STOPEPANCIT, NOEL 80</v>
          </cell>
        </row>
        <row r="2657">
          <cell r="A2657" t="str">
            <v>435152ndL09_GHV_060E_STOPEPANSIT 60</v>
          </cell>
        </row>
        <row r="2658">
          <cell r="A2658" t="str">
            <v>435152ndL09_GHV_063E_WINZE0</v>
          </cell>
        </row>
        <row r="2659">
          <cell r="A2659" t="str">
            <v>435152ndL10_GHV_020E_DETAÑEZA 90</v>
          </cell>
        </row>
        <row r="2660">
          <cell r="A2660" t="str">
            <v>435152ndL10_GHV_019E_RAISETAÑEZA 90</v>
          </cell>
        </row>
        <row r="2661">
          <cell r="A2661" t="str">
            <v>435152nd9 UNCATEGORIZED 200</v>
          </cell>
        </row>
        <row r="2662">
          <cell r="A2662" t="str">
            <v>435152nd9 UNCATEGORIZED 900</v>
          </cell>
        </row>
        <row r="2663">
          <cell r="A2663" t="str">
            <v>435152nd9 UNCATEGORIZED 1200</v>
          </cell>
        </row>
        <row r="2664">
          <cell r="A2664" t="str">
            <v>435152nd9 UNCATEGORIZED 1300</v>
          </cell>
        </row>
        <row r="2665">
          <cell r="A2665" t="str">
            <v>435152ndL09_DPVE_051E_DEBALANGHIG 10</v>
          </cell>
        </row>
        <row r="2666">
          <cell r="A2666" t="str">
            <v>435153rdL09_GHVFW_040E_DEPANSIT 40</v>
          </cell>
        </row>
        <row r="2667">
          <cell r="A2667" t="str">
            <v>435153rdL09_GHVHW_049E_DEBABOR 10</v>
          </cell>
        </row>
        <row r="2668">
          <cell r="A2668" t="str">
            <v>435153rdL09_GHV_052E_DWPMC MINERS 20</v>
          </cell>
        </row>
        <row r="2669">
          <cell r="A2669" t="str">
            <v>435153rdL09_JV_046E_DWDELOS REYES V. 20</v>
          </cell>
        </row>
        <row r="2670">
          <cell r="A2670" t="str">
            <v>435153rdL09_JVFW_055E_RAISECANOY 30</v>
          </cell>
        </row>
        <row r="2671">
          <cell r="A2671" t="str">
            <v>435153rdL09_GHV_060E_STOPEPANSIT 60</v>
          </cell>
        </row>
        <row r="2672">
          <cell r="A2672" t="str">
            <v>435153rdL09_GHVFW_039E_STOPEPANCIT, NOEL 40</v>
          </cell>
        </row>
        <row r="2673">
          <cell r="A2673" t="str">
            <v>435153rdL09_JV_058E_STOPECANOY 10</v>
          </cell>
        </row>
        <row r="2674">
          <cell r="A2674" t="str">
            <v>435153rdL09_JVFW_057E_STOPEDELOS REYES V. 60</v>
          </cell>
        </row>
        <row r="2675">
          <cell r="A2675" t="str">
            <v>435153rdL09_GHVFW_034E_STOPE PREPCANOY 20</v>
          </cell>
        </row>
        <row r="2676">
          <cell r="A2676" t="str">
            <v>435153rdL10_GHV_033E_DETAÑEZA 40</v>
          </cell>
        </row>
        <row r="2677">
          <cell r="A2677" t="str">
            <v>435153rd9 UNCATEGORIZED 900</v>
          </cell>
        </row>
        <row r="2678">
          <cell r="A2678" t="str">
            <v>435153rd9 UNCATEGORIZED 1100</v>
          </cell>
        </row>
        <row r="2679">
          <cell r="A2679" t="str">
            <v>435153rd9 UNCATEGORIZED 1200</v>
          </cell>
        </row>
        <row r="2680">
          <cell r="A2680" t="str">
            <v>435153rd9 UNCATEGORIZED 1300</v>
          </cell>
        </row>
        <row r="2681">
          <cell r="A2681" t="str">
            <v>435153rd9 UNCATEGORIZED 1600</v>
          </cell>
        </row>
        <row r="2682">
          <cell r="A2682" t="str">
            <v>435153rd9 UNCATEGORIZED 1700</v>
          </cell>
        </row>
        <row r="2683">
          <cell r="A2683" t="str">
            <v>435153rd9 UNCATEGORIZED 1800</v>
          </cell>
        </row>
        <row r="2684">
          <cell r="A2684" t="str">
            <v>435161stL02_GHV_009W_ROBBINGMONTEBON 40</v>
          </cell>
        </row>
        <row r="2685">
          <cell r="A2685" t="str">
            <v>435161stL02_JV_030W_ROBBINGLERIO, RAUL0</v>
          </cell>
        </row>
        <row r="2686">
          <cell r="A2686" t="str">
            <v>435161st2 UNCATEGORIZED 600</v>
          </cell>
        </row>
        <row r="2687">
          <cell r="A2687" t="str">
            <v>435161stL04_CV_012W_ROBBINGMARTINEZ RON. 10</v>
          </cell>
        </row>
        <row r="2688">
          <cell r="A2688" t="str">
            <v>435161stL04_GHV_010W_ROBBINGCABONITA 30</v>
          </cell>
        </row>
        <row r="2689">
          <cell r="A2689" t="str">
            <v>435161st4 UNCATEGORIZED 300</v>
          </cell>
        </row>
        <row r="2690">
          <cell r="A2690" t="str">
            <v>435161st4 UNCATEGORIZED 700</v>
          </cell>
        </row>
        <row r="2691">
          <cell r="A2691" t="str">
            <v>435161st4 UNCATEGORIZED 1100</v>
          </cell>
        </row>
        <row r="2692">
          <cell r="A2692" t="str">
            <v>435161st4 UNCATEGORIZED 1300</v>
          </cell>
        </row>
        <row r="2693">
          <cell r="A2693" t="str">
            <v>435161st4 UNCATEGORIZED 1800</v>
          </cell>
        </row>
        <row r="2694">
          <cell r="A2694" t="str">
            <v>435161st4 UNCATEGORIZED 1900</v>
          </cell>
        </row>
        <row r="2695">
          <cell r="A2695" t="str">
            <v>435161stL05_JVFW_012W_RAISEFERNANDEZ RX 30</v>
          </cell>
        </row>
        <row r="2696">
          <cell r="A2696" t="str">
            <v>435161stL05_JVSPLIT_006E_RAISEBALDO 10</v>
          </cell>
        </row>
        <row r="2697">
          <cell r="A2697" t="str">
            <v>435161stL05_CTV_009E_ROBBINGFERNANDEZ RX 40</v>
          </cell>
        </row>
        <row r="2698">
          <cell r="A2698" t="str">
            <v>435161stL05_GHV_010W_ROBBINGFERNANDEZ RX 40</v>
          </cell>
        </row>
        <row r="2699">
          <cell r="A2699" t="str">
            <v>435161stL05_CTV_008W_STOPESHEPHERD P0</v>
          </cell>
        </row>
        <row r="2700">
          <cell r="A2700" t="str">
            <v>435161stL05_CV_010E_WINZESHEPHERD L56</v>
          </cell>
        </row>
        <row r="2701">
          <cell r="A2701" t="str">
            <v>435161stL05_NONE_027W_XCNBADBADON L. 10</v>
          </cell>
        </row>
        <row r="2702">
          <cell r="A2702" t="str">
            <v>435161st5 UNCATEGORIZED 200</v>
          </cell>
        </row>
        <row r="2703">
          <cell r="A2703" t="str">
            <v>435161st5 UNCATEGORIZED 300</v>
          </cell>
        </row>
        <row r="2704">
          <cell r="A2704" t="str">
            <v>435161st5 UNCATEGORIZED 400</v>
          </cell>
        </row>
        <row r="2705">
          <cell r="A2705" t="str">
            <v>435161st5 UNCATEGORIZED 600</v>
          </cell>
        </row>
        <row r="2706">
          <cell r="A2706" t="str">
            <v>435161st5 UNCATEGORIZED 900</v>
          </cell>
        </row>
        <row r="2707">
          <cell r="A2707" t="str">
            <v>435161st5 UNCATEGORIZED 1000</v>
          </cell>
        </row>
        <row r="2708">
          <cell r="A2708" t="str">
            <v>435161stL06_DPVE_035E_DEBAÑEZ 90</v>
          </cell>
        </row>
        <row r="2709">
          <cell r="A2709" t="str">
            <v>435161stL06_JVFW_006E_STOPEBADBADON R. 50</v>
          </cell>
        </row>
        <row r="2710">
          <cell r="A2710" t="str">
            <v>435161stL06_NONE_021E_XCNGUNAY 10</v>
          </cell>
        </row>
        <row r="2711">
          <cell r="A2711" t="str">
            <v>435161st6 UNCATEGORIZED 100</v>
          </cell>
        </row>
        <row r="2712">
          <cell r="A2712" t="str">
            <v>435161st6 UNCATEGORIZED 400</v>
          </cell>
        </row>
        <row r="2713">
          <cell r="A2713" t="str">
            <v>435161st6 UNCATEGORIZED 700</v>
          </cell>
        </row>
        <row r="2714">
          <cell r="A2714" t="str">
            <v>435161st6 UNCATEGORIZED 1000</v>
          </cell>
        </row>
        <row r="2715">
          <cell r="A2715" t="str">
            <v>435161st6 UNCATEGORIZED 1400</v>
          </cell>
        </row>
        <row r="2716">
          <cell r="A2716" t="str">
            <v>435161st6 UNCATEGORIZED 1600</v>
          </cell>
        </row>
        <row r="2717">
          <cell r="A2717" t="str">
            <v>435161stL07_DPVE_060E_DEVILLARANTE 40</v>
          </cell>
        </row>
        <row r="2718">
          <cell r="A2718" t="str">
            <v>435161stL07_DPVE_028E_STOPEDOLARIZA 20</v>
          </cell>
        </row>
        <row r="2719">
          <cell r="A2719" t="str">
            <v>435161stL07_JVHW_072E_STOPEBABOR 567</v>
          </cell>
        </row>
        <row r="2720">
          <cell r="A2720" t="str">
            <v>435161stL07_JVHW_064E_STOPE PREPBABOR 568</v>
          </cell>
        </row>
        <row r="2721">
          <cell r="A2721" t="str">
            <v>435161stL09_DPVE_051E_RAISEDAVOCOL, ROSELIO 40</v>
          </cell>
        </row>
        <row r="2722">
          <cell r="A2722" t="str">
            <v>435161st7 UNCATEGORIZED 300</v>
          </cell>
        </row>
        <row r="2723">
          <cell r="A2723" t="str">
            <v>435161st7 UNCATEGORIZED 1400</v>
          </cell>
        </row>
        <row r="2724">
          <cell r="A2724" t="str">
            <v>435161st7 UNCATEGORIZED 1900</v>
          </cell>
        </row>
        <row r="2725">
          <cell r="A2725" t="str">
            <v>435161stL08_JV_020E_RAISEAGLOLO 10</v>
          </cell>
        </row>
        <row r="2726">
          <cell r="A2726" t="str">
            <v>435161stL08_GHVHW_031E_STOPEGEMENTIZA 10</v>
          </cell>
        </row>
        <row r="2727">
          <cell r="A2727" t="str">
            <v>435161stL08_GHVHW_034E_STOPECAPOY 20</v>
          </cell>
        </row>
        <row r="2728">
          <cell r="A2728" t="str">
            <v>435161stL08_NONE_016W_XCNSILVOZA 181</v>
          </cell>
        </row>
        <row r="2729">
          <cell r="A2729" t="str">
            <v>435161st8 UNCATEGORIZED 500</v>
          </cell>
        </row>
        <row r="2730">
          <cell r="A2730" t="str">
            <v>435161st8 UNCATEGORIZED 1100</v>
          </cell>
        </row>
        <row r="2731">
          <cell r="A2731" t="str">
            <v>435161st8 UNCATEGORIZED 1200</v>
          </cell>
        </row>
        <row r="2732">
          <cell r="A2732" t="str">
            <v>435161st8 UNCATEGORIZED 1800</v>
          </cell>
        </row>
        <row r="2733">
          <cell r="A2733" t="str">
            <v>435161stL09_DPVE_051E_DEBALANGHIG 10</v>
          </cell>
        </row>
        <row r="2734">
          <cell r="A2734" t="str">
            <v>435161stL09_GHV_052E_DWPMC MINERS 20</v>
          </cell>
        </row>
        <row r="2735">
          <cell r="A2735" t="str">
            <v>435161stL09_GHVHW_027E_DWHUMIDING 10</v>
          </cell>
        </row>
        <row r="2736">
          <cell r="A2736" t="str">
            <v>435161stL09_GHV_015W_STOPESHEPHERD R0</v>
          </cell>
        </row>
        <row r="2737">
          <cell r="A2737" t="str">
            <v>435161stL09_GHV_031E_STOPEPANCIT, NOEL 80</v>
          </cell>
        </row>
        <row r="2738">
          <cell r="A2738" t="str">
            <v>435161stL09_GHV_060E_STOPEPANSIT 60</v>
          </cell>
        </row>
        <row r="2739">
          <cell r="A2739" t="str">
            <v>435161stL09_GHVFW_039E_STOPEPANCIT, NOEL 40</v>
          </cell>
        </row>
        <row r="2740">
          <cell r="A2740" t="str">
            <v>435161stL09_GHVFW_034E_STOPE PREPCANOY 20</v>
          </cell>
        </row>
        <row r="2741">
          <cell r="A2741" t="str">
            <v>435161stL10_GHV_020E_DETAÑEZA 90</v>
          </cell>
        </row>
        <row r="2742">
          <cell r="A2742" t="str">
            <v>435161stL10_GHV_019E_RAISETAÑEZA 90</v>
          </cell>
        </row>
        <row r="2743">
          <cell r="A2743" t="str">
            <v>435161st9 UNCATEGORIZED 200</v>
          </cell>
        </row>
        <row r="2744">
          <cell r="A2744" t="str">
            <v>435161st9 UNCATEGORIZED 1000</v>
          </cell>
        </row>
        <row r="2745">
          <cell r="A2745" t="str">
            <v>435161st9 UNCATEGORIZED 1100</v>
          </cell>
        </row>
        <row r="2746">
          <cell r="A2746" t="str">
            <v>435161st9 UNCATEGORIZED 1200</v>
          </cell>
        </row>
        <row r="2747">
          <cell r="A2747" t="str">
            <v>435161st9 UNCATEGORIZED 1300</v>
          </cell>
        </row>
        <row r="2748">
          <cell r="A2748" t="str">
            <v>435161st10 UNCATEGORIZED 300</v>
          </cell>
        </row>
        <row r="2749">
          <cell r="A2749" t="str">
            <v>435163rdL02_GHV_009W_ROBBINGMONTEBON 40</v>
          </cell>
        </row>
        <row r="2750">
          <cell r="A2750" t="str">
            <v>435163rdL02_JV_030W_ROBBINGLERIO, RAUL0</v>
          </cell>
        </row>
        <row r="2751">
          <cell r="A2751" t="str">
            <v>435163rdL02_JV_042W_ROBBINGDAGAMAC0</v>
          </cell>
        </row>
        <row r="2752">
          <cell r="A2752" t="str">
            <v>435163rdL02_JVHW_051W_ROBBINGLERIO, RAUL0</v>
          </cell>
        </row>
        <row r="2753">
          <cell r="A2753" t="str">
            <v>435163rdL02_RYV_012W_ROBBINGLASANAS0</v>
          </cell>
        </row>
        <row r="2754">
          <cell r="A2754" t="str">
            <v>435163rdL02_RYV_023W_ROBBINGCARIKITAN 10</v>
          </cell>
        </row>
        <row r="2755">
          <cell r="A2755" t="str">
            <v>435162ndL02_CTV_061W_ROBBINGNOCOS 20</v>
          </cell>
        </row>
        <row r="2756">
          <cell r="A2756" t="str">
            <v>435162ndL02_GHV_009W_ROBBINGMONTEBON 40</v>
          </cell>
        </row>
        <row r="2757">
          <cell r="A2757" t="str">
            <v>435162ndL02_JV_042W_ROBBINGDAGAMAC0</v>
          </cell>
        </row>
        <row r="2758">
          <cell r="A2758" t="str">
            <v>435162ndL02_JVHW_051W_ROBBINGLERIO, RAUL0</v>
          </cell>
        </row>
        <row r="2759">
          <cell r="A2759" t="str">
            <v>435162nd2 UNCATEGORIZED 100</v>
          </cell>
        </row>
        <row r="2760">
          <cell r="A2760" t="str">
            <v>435162nd2 UNCATEGORIZED 400</v>
          </cell>
        </row>
        <row r="2761">
          <cell r="A2761" t="str">
            <v>435163rd2 UNCATEGORIZED 800</v>
          </cell>
        </row>
        <row r="2762">
          <cell r="A2762" t="str">
            <v>435163rdL04_CTV_017W_ROBBINGNOCOS, ARIEL0</v>
          </cell>
        </row>
        <row r="2763">
          <cell r="A2763" t="str">
            <v>435163rdL04_CV_012W_ROBBINGMARTINEZ RON. 10</v>
          </cell>
        </row>
        <row r="2764">
          <cell r="A2764" t="str">
            <v>435163rd4 UNCATEGORIZED 500</v>
          </cell>
        </row>
        <row r="2765">
          <cell r="A2765" t="str">
            <v>435163rd4 UNCATEGORIZED 900</v>
          </cell>
        </row>
        <row r="2766">
          <cell r="A2766" t="str">
            <v>435163rd4 UNCATEGORIZED 1100</v>
          </cell>
        </row>
        <row r="2767">
          <cell r="A2767" t="str">
            <v>435163rd4 UNCATEGORIZED 1400</v>
          </cell>
        </row>
        <row r="2768">
          <cell r="A2768" t="str">
            <v>435163rd4 UNCATEGORIZED 1500</v>
          </cell>
        </row>
        <row r="2769">
          <cell r="A2769" t="str">
            <v>435163rd4 UNCATEGORIZED 1900</v>
          </cell>
        </row>
        <row r="2770">
          <cell r="A2770" t="str">
            <v>435162nd4 UNCATEGORIZED 500</v>
          </cell>
        </row>
        <row r="2771">
          <cell r="A2771" t="str">
            <v>435162nd4 UNCATEGORIZED 1900</v>
          </cell>
        </row>
        <row r="2772">
          <cell r="A2772" t="str">
            <v>435162ndL04_JV_049W_RAISEDUHIG 30</v>
          </cell>
        </row>
        <row r="2773">
          <cell r="A2773" t="str">
            <v>435162ndL04_GHV_010W_ROBBINGCABONITA 30</v>
          </cell>
        </row>
        <row r="2774">
          <cell r="A2774" t="str">
            <v>435162ndL04_CTV5_016E_STOPECABCAD 10</v>
          </cell>
        </row>
        <row r="2775">
          <cell r="A2775" t="str">
            <v>435162nd4 UNCATEGORIZED 1300</v>
          </cell>
        </row>
        <row r="2776">
          <cell r="A2776" t="str">
            <v>435162nd4 UNCATEGORIZED 1800</v>
          </cell>
        </row>
        <row r="2777">
          <cell r="A2777" t="str">
            <v>435162ndL05_CV_003W_RAISEALMEDORA 20</v>
          </cell>
        </row>
        <row r="2778">
          <cell r="A2778" t="str">
            <v>435162ndL05_JVSPLIT_006E_RAISEBALDO 10</v>
          </cell>
        </row>
        <row r="2779">
          <cell r="A2779" t="str">
            <v>435162ndL05_CTV_009E_ROBBINGFERNANDEZ RX 40</v>
          </cell>
        </row>
        <row r="2780">
          <cell r="A2780" t="str">
            <v>435162ndL05_GHV_010W_ROBBINGFERNANDEZ RX 40</v>
          </cell>
        </row>
        <row r="2781">
          <cell r="A2781" t="str">
            <v>435162ndL05_GHV_022W_ROBBINGBADBADON L.30</v>
          </cell>
        </row>
        <row r="2782">
          <cell r="A2782" t="str">
            <v>435162ndL05_GHVSPLIT_030E_ROBBINGCAYABAS 10</v>
          </cell>
        </row>
        <row r="2783">
          <cell r="A2783" t="str">
            <v>435162ndL05_CTV_008W_STOPESHEPHERD P0</v>
          </cell>
        </row>
        <row r="2784">
          <cell r="A2784" t="str">
            <v>435163rdL05_CV_003W_RAISEALMEDORA 20</v>
          </cell>
        </row>
        <row r="2785">
          <cell r="A2785" t="str">
            <v>435163rdL05_CTV_009E_ROBBINGFERNANDEZ RX 40</v>
          </cell>
        </row>
        <row r="2786">
          <cell r="A2786" t="str">
            <v>435163rdL05_GHV_010W_ROBBINGFERNANDEZ RX 40</v>
          </cell>
        </row>
        <row r="2787">
          <cell r="A2787" t="str">
            <v>435163rdL05_GHVSPLIT_030E_ROBBINGCAYABAS 10</v>
          </cell>
        </row>
        <row r="2788">
          <cell r="A2788" t="str">
            <v>435163rdL05_GHV_023W_WINZEBADBADON L. 20</v>
          </cell>
        </row>
        <row r="2789">
          <cell r="A2789" t="str">
            <v>435163rdL05_JVFW_005E_WINZE STOPE PREPDAVOCOL ROW 10</v>
          </cell>
        </row>
        <row r="2790">
          <cell r="A2790" t="str">
            <v>435163rd5 UNCATEGORIZED 200</v>
          </cell>
        </row>
        <row r="2791">
          <cell r="A2791" t="str">
            <v>435163rd5 UNCATEGORIZED 300</v>
          </cell>
        </row>
        <row r="2792">
          <cell r="A2792" t="str">
            <v>435163rd5 UNCATEGORIZED 400</v>
          </cell>
        </row>
        <row r="2793">
          <cell r="A2793" t="str">
            <v>435163rdL06_CV_005E_DEREBOTE 10</v>
          </cell>
        </row>
        <row r="2794">
          <cell r="A2794" t="str">
            <v>435163rdL06_JV_056E_ROBBINGUDLOS 10</v>
          </cell>
        </row>
        <row r="2795">
          <cell r="A2795" t="str">
            <v>435163rdL06_JVFW_006E_STOPEBADBADON R. 50</v>
          </cell>
        </row>
        <row r="2796">
          <cell r="A2796" t="str">
            <v>435163rd6 UNCATEGORIZED 400</v>
          </cell>
        </row>
        <row r="2797">
          <cell r="A2797" t="str">
            <v>435163rd6 UNCATEGORIZED 900</v>
          </cell>
        </row>
        <row r="2798">
          <cell r="A2798" t="str">
            <v>435163rd6 UNCATEGORIZED 1000</v>
          </cell>
        </row>
        <row r="2799">
          <cell r="A2799" t="str">
            <v>435163rd6 UNCATEGORIZED 1100</v>
          </cell>
        </row>
        <row r="2800">
          <cell r="A2800" t="str">
            <v>435163rd6 UNCATEGORIZED 1400</v>
          </cell>
        </row>
        <row r="2801">
          <cell r="A2801" t="str">
            <v>435163rd6 UNCATEGORIZED 1500</v>
          </cell>
        </row>
        <row r="2802">
          <cell r="A2802" t="str">
            <v>435162ndL06_DPVE_035E_DEBAÑEZ 90</v>
          </cell>
        </row>
        <row r="2803">
          <cell r="A2803" t="str">
            <v>435162ndL06_JV_056E_ROBBINGUDLOS 10</v>
          </cell>
        </row>
        <row r="2804">
          <cell r="A2804" t="str">
            <v>435162ndL06_DPVE_022E_STOPEBAÑEZ 60</v>
          </cell>
        </row>
        <row r="2805">
          <cell r="A2805" t="str">
            <v>435162nd6 UNCATEGORIZED 100</v>
          </cell>
        </row>
        <row r="2806">
          <cell r="A2806" t="str">
            <v>435162nd6 UNCATEGORIZED 600</v>
          </cell>
        </row>
        <row r="2807">
          <cell r="A2807" t="str">
            <v>435162nd6 UNCATEGORIZED 700</v>
          </cell>
        </row>
        <row r="2808">
          <cell r="A2808" t="str">
            <v>435162nd6 UNCATEGORIZED 1000</v>
          </cell>
        </row>
        <row r="2809">
          <cell r="A2809" t="str">
            <v>435162nd6 UNCATEGORIZED 1400</v>
          </cell>
        </row>
        <row r="2810">
          <cell r="A2810" t="str">
            <v>435162ndL07_JVHW_072E_STOPEBABOR 567</v>
          </cell>
        </row>
        <row r="2811">
          <cell r="A2811" t="str">
            <v>435162ndL07_JVHW_064E_STOPE PREPBABOR 568</v>
          </cell>
        </row>
        <row r="2812">
          <cell r="A2812" t="str">
            <v>435162ndL07_GHVHW_056E_WINZE STOPE PREPBABOR 30</v>
          </cell>
        </row>
        <row r="2813">
          <cell r="A2813" t="str">
            <v>435162nd7 UNCATEGORIZED 200</v>
          </cell>
        </row>
        <row r="2814">
          <cell r="A2814" t="str">
            <v>435162nd7 UNCATEGORIZED 400</v>
          </cell>
        </row>
        <row r="2815">
          <cell r="A2815" t="str">
            <v>435162nd7 UNCATEGORIZED 900</v>
          </cell>
        </row>
        <row r="2816">
          <cell r="A2816" t="str">
            <v>435162nd7 UNCATEGORIZED 1400</v>
          </cell>
        </row>
        <row r="2817">
          <cell r="A2817" t="str">
            <v>435162nd7 UNCATEGORIZED 1500</v>
          </cell>
        </row>
        <row r="2818">
          <cell r="A2818" t="str">
            <v>435162nd7 UNCATEGORIZED 1900</v>
          </cell>
        </row>
        <row r="2819">
          <cell r="A2819" t="str">
            <v>435163rd7 UNCATEGORIZED 400</v>
          </cell>
        </row>
        <row r="2820">
          <cell r="A2820" t="str">
            <v>435163rd7 UNCATEGORIZED 1500</v>
          </cell>
        </row>
        <row r="2821">
          <cell r="A2821" t="str">
            <v>435163rdL07_DPVE_060E_DEVILLARANTE 40</v>
          </cell>
        </row>
        <row r="2822">
          <cell r="A2822" t="str">
            <v>435163rdL07_JVHW_072E_STOPEBABOR 567</v>
          </cell>
        </row>
        <row r="2823">
          <cell r="A2823" t="str">
            <v>435163rd7 UNCATEGORIZED 200</v>
          </cell>
        </row>
        <row r="2824">
          <cell r="A2824" t="str">
            <v>435163rd7 UNCATEGORIZED 300</v>
          </cell>
        </row>
        <row r="2825">
          <cell r="A2825" t="str">
            <v>435163rd7 UNCATEGORIZED 500</v>
          </cell>
        </row>
        <row r="2826">
          <cell r="A2826" t="str">
            <v>435163rd7 UNCATEGORIZED 900</v>
          </cell>
        </row>
        <row r="2827">
          <cell r="A2827" t="str">
            <v>435163rd7 UNCATEGORIZED 1400</v>
          </cell>
        </row>
        <row r="2828">
          <cell r="A2828" t="str">
            <v>435163rd7 UNCATEGORIZED 1800</v>
          </cell>
        </row>
        <row r="2829">
          <cell r="A2829" t="str">
            <v>435163rdL08_DPVE_065E_RAISELERIO 40</v>
          </cell>
        </row>
        <row r="2830">
          <cell r="A2830" t="str">
            <v>435163rdL08_JV_020E_RAISEAGLOLO 10</v>
          </cell>
        </row>
        <row r="2831">
          <cell r="A2831" t="str">
            <v>435163rdL08_DPVE_061E_STOPEAGLOLO 40</v>
          </cell>
        </row>
        <row r="2832">
          <cell r="A2832" t="str">
            <v>435163rdL08_GHVHW_034E_STOPECAPOY 20</v>
          </cell>
        </row>
        <row r="2833">
          <cell r="A2833" t="str">
            <v>435163rdL08_NONE_016W_XCNSILVOZA 181</v>
          </cell>
        </row>
        <row r="2834">
          <cell r="A2834" t="str">
            <v>435163rd8 UNCATEGORIZED 500</v>
          </cell>
        </row>
        <row r="2835">
          <cell r="A2835" t="str">
            <v>435163rd8 UNCATEGORIZED 700</v>
          </cell>
        </row>
        <row r="2836">
          <cell r="A2836" t="str">
            <v>435163rd8 UNCATEGORIZED 1500</v>
          </cell>
        </row>
        <row r="2837">
          <cell r="A2837" t="str">
            <v>435163rd8 UNCATEGORIZED 1800</v>
          </cell>
        </row>
        <row r="2838">
          <cell r="A2838" t="str">
            <v>435163rd8 UNCATEGORIZED 2000</v>
          </cell>
        </row>
        <row r="2839">
          <cell r="A2839" t="str">
            <v>435162ndL08_DPVE_068E_DELERIO 30</v>
          </cell>
        </row>
        <row r="2840">
          <cell r="A2840" t="str">
            <v>435162ndL08_JV_055E_DEBENONGUIL 10</v>
          </cell>
        </row>
        <row r="2841">
          <cell r="A2841" t="str">
            <v>435162ndL08_DPVE_048E_DWSILVOZA 30</v>
          </cell>
        </row>
        <row r="2842">
          <cell r="A2842" t="str">
            <v>435162ndL08_GHVFW_038E_DWTORMIS 10</v>
          </cell>
        </row>
        <row r="2843">
          <cell r="A2843" t="str">
            <v>435162ndL08_DPVE_061E_STOPEAGLOLO 40</v>
          </cell>
        </row>
        <row r="2844">
          <cell r="A2844" t="str">
            <v>435162ndL08_GHVFW_028E_STOPEBENONGUIL 20</v>
          </cell>
        </row>
        <row r="2845">
          <cell r="A2845" t="str">
            <v>435162ndL08_JV_029E_STOPEBORERO 40</v>
          </cell>
        </row>
        <row r="2846">
          <cell r="A2846" t="str">
            <v>435162ndL08_NONE_059E_XCSVERSOZA 40</v>
          </cell>
        </row>
        <row r="2847">
          <cell r="A2847" t="str">
            <v>435162nd8 UNCATEGORIZED 1500</v>
          </cell>
        </row>
        <row r="2848">
          <cell r="A2848" t="str">
            <v>435162nd8 UNCATEGORIZED 1800</v>
          </cell>
        </row>
        <row r="2849">
          <cell r="A2849" t="str">
            <v>435162nd8 UNCATEGORIZED 1900</v>
          </cell>
        </row>
        <row r="2850">
          <cell r="A2850" t="str">
            <v>435162nd8 UNCATEGORIZED 2100</v>
          </cell>
        </row>
        <row r="2851">
          <cell r="A2851" t="str">
            <v>435162nd8 UNCATEGORIZED 2200</v>
          </cell>
        </row>
        <row r="2852">
          <cell r="A2852" t="str">
            <v>435162nd8 UNCATEGORIZED 2300</v>
          </cell>
        </row>
        <row r="2853">
          <cell r="A2853" t="str">
            <v>435163rdL08_NONE_035E_SHAFTHUMIDING 20</v>
          </cell>
        </row>
        <row r="2854">
          <cell r="A2854" t="str">
            <v>435163rdL09_DPVE_051E_DEBALANGHIG 10</v>
          </cell>
        </row>
        <row r="2855">
          <cell r="A2855" t="str">
            <v>435163rdL09_GHVHW_049E_DEBABOR 10</v>
          </cell>
        </row>
        <row r="2856">
          <cell r="A2856" t="str">
            <v>435163rdL09_GHVHW_027E_DWHUMIDING 10</v>
          </cell>
        </row>
        <row r="2857">
          <cell r="A2857" t="str">
            <v>435163rdL09_JV_046E_DWDELOS REYES V. 20</v>
          </cell>
        </row>
        <row r="2858">
          <cell r="A2858" t="str">
            <v>435163rdL09_JVFW_055E_RAISECANOY 30</v>
          </cell>
        </row>
        <row r="2859">
          <cell r="A2859" t="str">
            <v>435163rdL09_GHV_015W_STOPESHEPHERD R0</v>
          </cell>
        </row>
        <row r="2860">
          <cell r="A2860" t="str">
            <v>435163rdL09_GHV_060E_STOPEPANSIT 60</v>
          </cell>
        </row>
        <row r="2861">
          <cell r="A2861" t="str">
            <v>435163rdL09_GHVFW_039E_STOPEPANCIT, NOEL 40</v>
          </cell>
        </row>
        <row r="2862">
          <cell r="A2862" t="str">
            <v>435163rdL09_JV_058E_STOPECANOY 10</v>
          </cell>
        </row>
        <row r="2863">
          <cell r="A2863" t="str">
            <v>435163rdL09_JVFW_057E_STOPEDELOS REYES V. 60</v>
          </cell>
        </row>
        <row r="2864">
          <cell r="A2864" t="str">
            <v>435163rdL09_GHVFW_034E_STOPE PREPCANOY 20</v>
          </cell>
        </row>
        <row r="2865">
          <cell r="A2865" t="str">
            <v>435163rdL10_GHVFW_021E_DETAÑEZA 30</v>
          </cell>
        </row>
        <row r="2866">
          <cell r="A2866" t="str">
            <v>435163rd9 UNCATEGORIZED 200</v>
          </cell>
        </row>
        <row r="2867">
          <cell r="A2867" t="str">
            <v>435163rd9 UNCATEGORIZED 1000</v>
          </cell>
        </row>
        <row r="2868">
          <cell r="A2868" t="str">
            <v>435163rd9 UNCATEGORIZED 1100</v>
          </cell>
        </row>
        <row r="2869">
          <cell r="A2869" t="str">
            <v>435163rd9 UNCATEGORIZED 1200</v>
          </cell>
        </row>
        <row r="2870">
          <cell r="A2870" t="str">
            <v>435163rd10 UNCATEGORIZED 500</v>
          </cell>
        </row>
        <row r="2871">
          <cell r="A2871" t="str">
            <v>435162ndL09_GHVFW_040E_DEPANSIT 40</v>
          </cell>
        </row>
        <row r="2872">
          <cell r="A2872" t="str">
            <v>435162ndL09_GHVHW_049E_DEBABOR 10</v>
          </cell>
        </row>
        <row r="2873">
          <cell r="A2873" t="str">
            <v>435162ndL09_JVFW_055E_RAISECANOY 30</v>
          </cell>
        </row>
        <row r="2874">
          <cell r="A2874" t="str">
            <v>435162ndL09_GHV_015W_STOPESHEPHERD R0</v>
          </cell>
        </row>
        <row r="2875">
          <cell r="A2875" t="str">
            <v>435162ndL09_GHV_060E_STOPEPANSIT 60</v>
          </cell>
        </row>
        <row r="2876">
          <cell r="A2876" t="str">
            <v>435162ndL09_JV_058E_STOPECANOY 10</v>
          </cell>
        </row>
        <row r="2877">
          <cell r="A2877" t="str">
            <v>435162ndL09_JVFW_057E_STOPEDELOS REYES V. 60</v>
          </cell>
        </row>
        <row r="2878">
          <cell r="A2878" t="str">
            <v>435162ndL09_GHVFW_034E_STOPE PREPCANOY 20</v>
          </cell>
        </row>
        <row r="2879">
          <cell r="A2879" t="str">
            <v>435162ndL09_GHV_063E_WINZE0</v>
          </cell>
        </row>
        <row r="2880">
          <cell r="A2880" t="str">
            <v>435162ndL09_NONE_070E_XCNDELOS REYES V. 20</v>
          </cell>
        </row>
        <row r="2881">
          <cell r="A2881" t="str">
            <v>435162ndL10_GHV_033E_DETAÑEZA 40</v>
          </cell>
        </row>
        <row r="2882">
          <cell r="A2882" t="str">
            <v>435162ndL10_JVFW_055E_DETAÑEZA 1199</v>
          </cell>
        </row>
        <row r="2883">
          <cell r="A2883" t="str">
            <v>435162ndL10_GHV_019E_RAISETAÑEZA 90</v>
          </cell>
        </row>
        <row r="2884">
          <cell r="A2884" t="str">
            <v>435162nd9 UNCATEGORIZED 600</v>
          </cell>
        </row>
        <row r="2885">
          <cell r="A2885" t="str">
            <v>435162nd9 UNCATEGORIZED 900</v>
          </cell>
        </row>
        <row r="2886">
          <cell r="A2886" t="str">
            <v>435162nd9 UNCATEGORIZED 1200</v>
          </cell>
        </row>
        <row r="2887">
          <cell r="A2887" t="str">
            <v>435162nd9 UNCATEGORIZED 1400</v>
          </cell>
        </row>
        <row r="2888">
          <cell r="A2888" t="str">
            <v>435162nd9 UNCATEGORIZED 1700</v>
          </cell>
        </row>
        <row r="2889">
          <cell r="A2889" t="str">
            <v>435162nd9 UNCATEGORIZED 1800</v>
          </cell>
        </row>
        <row r="2890">
          <cell r="A2890" t="str">
            <v>435171st2 UNCATEGORIZED 700</v>
          </cell>
        </row>
        <row r="2891">
          <cell r="A2891" t="str">
            <v>435171st2 UNCATEGORIZED 800</v>
          </cell>
        </row>
        <row r="2892">
          <cell r="A2892" t="str">
            <v>435171stL04_RYV_010E_RAISEMARTINEZ DN 10</v>
          </cell>
        </row>
        <row r="2893">
          <cell r="A2893" t="str">
            <v>435171stL04_GHV_010W_ROBBINGCABONITA 30</v>
          </cell>
        </row>
        <row r="2894">
          <cell r="A2894" t="str">
            <v>435171stL04_GHVFW_040W_ROBBINGNACARIO 10</v>
          </cell>
        </row>
        <row r="2895">
          <cell r="A2895" t="str">
            <v>435171stL04_CTV5_016E_STOPECABCAD 10</v>
          </cell>
        </row>
        <row r="2896">
          <cell r="A2896" t="str">
            <v>435171stL04_JV_042W_STOPEDUHIG 30</v>
          </cell>
        </row>
        <row r="2897">
          <cell r="A2897" t="str">
            <v>435171st4 UNCATEGORIZED 700</v>
          </cell>
        </row>
        <row r="2898">
          <cell r="A2898" t="str">
            <v>435171st4 UNCATEGORIZED 1300</v>
          </cell>
        </row>
        <row r="2899">
          <cell r="A2899" t="str">
            <v>435171st4 UNCATEGORIZED 1900</v>
          </cell>
        </row>
        <row r="2900">
          <cell r="A2900" t="str">
            <v>435171st4 UNCATEGORIZED 300</v>
          </cell>
        </row>
        <row r="2901">
          <cell r="A2901" t="str">
            <v>435171stL05_CV_003W_RAISEALMEDORA 20</v>
          </cell>
        </row>
        <row r="2902">
          <cell r="A2902" t="str">
            <v>435171stL05_NV_005W_RAISESHEPHERD P0</v>
          </cell>
        </row>
        <row r="2903">
          <cell r="A2903" t="str">
            <v>435171stL05_GHV_010W_ROBBINGFERNANDEZ RX 40</v>
          </cell>
        </row>
        <row r="2904">
          <cell r="A2904" t="str">
            <v>435171stL05_GHV_022W_ROBBINGBADBADON L.30</v>
          </cell>
        </row>
        <row r="2905">
          <cell r="A2905" t="str">
            <v>435171stL05_CTV_008W_STOPESHEPHERD P0</v>
          </cell>
        </row>
        <row r="2906">
          <cell r="A2906" t="str">
            <v>435171stL05_CV_010E_WINZESHEPHERD L56</v>
          </cell>
        </row>
        <row r="2907">
          <cell r="A2907" t="str">
            <v>435171st5 UNCATEGORIZED 400</v>
          </cell>
        </row>
        <row r="2908">
          <cell r="A2908" t="str">
            <v>435171st5 UNCATEGORIZED 600</v>
          </cell>
        </row>
        <row r="2909">
          <cell r="A2909" t="str">
            <v>435171st5 UNCATEGORIZED 800</v>
          </cell>
        </row>
        <row r="2910">
          <cell r="A2910" t="str">
            <v>435171stL06_CV_005E_DEREBOTE 10</v>
          </cell>
        </row>
        <row r="2911">
          <cell r="A2911" t="str">
            <v>435171stL06_DPVE_035E_DEBAÑEZ 90</v>
          </cell>
        </row>
        <row r="2912">
          <cell r="A2912" t="str">
            <v>435171stL06_CTV_026E_DWQUIJANO 40</v>
          </cell>
        </row>
        <row r="2913">
          <cell r="A2913" t="str">
            <v>435171stL06_JV_001W_RAISEREBOTE 20</v>
          </cell>
        </row>
        <row r="2914">
          <cell r="A2914" t="str">
            <v>435171stL06_DPVE_022E_STOPEBAÑEZ 60</v>
          </cell>
        </row>
        <row r="2915">
          <cell r="A2915" t="str">
            <v>435171stL06_JVFW_006E_STOPEBADBADON R. 50</v>
          </cell>
        </row>
        <row r="2916">
          <cell r="A2916" t="str">
            <v>435171st6 UNCATEGORIZED 1500</v>
          </cell>
        </row>
        <row r="2917">
          <cell r="A2917" t="str">
            <v>435171st6 UNCATEGORIZED 1600</v>
          </cell>
        </row>
        <row r="2918">
          <cell r="A2918" t="str">
            <v>435171stL07_DPVE_060E_DEVILLARANTE 40</v>
          </cell>
        </row>
        <row r="2919">
          <cell r="A2919" t="str">
            <v>435171stL07_DPVE_028E_STOPEDOLARIZA 20</v>
          </cell>
        </row>
        <row r="2920">
          <cell r="A2920" t="str">
            <v>435171stL07_JVHW_072E_STOPEBABOR 567</v>
          </cell>
        </row>
        <row r="2921">
          <cell r="A2921" t="str">
            <v>435171st7 UNCATEGORIZED 200</v>
          </cell>
        </row>
        <row r="2922">
          <cell r="A2922" t="str">
            <v>435171st7 UNCATEGORIZED 1400</v>
          </cell>
        </row>
        <row r="2923">
          <cell r="A2923" t="str">
            <v>435171st7 UNCATEGORIZED 1900</v>
          </cell>
        </row>
        <row r="2924">
          <cell r="A2924" t="str">
            <v>435171st7 UNCATEGORIZED 400</v>
          </cell>
        </row>
        <row r="2925">
          <cell r="A2925" t="str">
            <v>435171stL08_DPVE_068E_DELERIO 30</v>
          </cell>
        </row>
        <row r="2926">
          <cell r="A2926" t="str">
            <v>435171stL08_DPVE_048E_DWSILVOZA 30</v>
          </cell>
        </row>
        <row r="2927">
          <cell r="A2927" t="str">
            <v>435171stL08_DPVE_061E_STOPEAGLOLO 40</v>
          </cell>
        </row>
        <row r="2928">
          <cell r="A2928" t="str">
            <v>435171stL08_GHVHW_034E_STOPECAPOY 20</v>
          </cell>
        </row>
        <row r="2929">
          <cell r="A2929" t="str">
            <v>435171st8 UNCATEGORIZED 500</v>
          </cell>
        </row>
        <row r="2930">
          <cell r="A2930" t="str">
            <v>435171st8 UNCATEGORIZED 600</v>
          </cell>
        </row>
        <row r="2931">
          <cell r="A2931" t="str">
            <v>435171st8 UNCATEGORIZED 1100</v>
          </cell>
        </row>
        <row r="2932">
          <cell r="A2932" t="str">
            <v>435171st8 UNCATEGORIZED 1200</v>
          </cell>
        </row>
        <row r="2933">
          <cell r="A2933" t="str">
            <v>435171st8 UNCATEGORIZED 1900</v>
          </cell>
        </row>
        <row r="2934">
          <cell r="A2934" t="str">
            <v>435171st8 UNCATEGORIZED 2000</v>
          </cell>
        </row>
        <row r="2935">
          <cell r="A2935" t="str">
            <v>435171st8 UNCATEGORIZED 2200</v>
          </cell>
        </row>
        <row r="2936">
          <cell r="A2936" t="str">
            <v>435171st8 UNCATEGORIZED 2400</v>
          </cell>
        </row>
        <row r="2937">
          <cell r="A2937" t="str">
            <v>435171stL09_GHVFW_040E_DEPANSIT 40</v>
          </cell>
        </row>
        <row r="2938">
          <cell r="A2938" t="str">
            <v>435171stL09_GHVHW_049E_DEBABOR 10</v>
          </cell>
        </row>
        <row r="2939">
          <cell r="A2939" t="str">
            <v>435171stL09_GHV_015W_STOPESHEPHERD R0</v>
          </cell>
        </row>
        <row r="2940">
          <cell r="A2940" t="str">
            <v>435171stL09_GHV_031E_STOPEPANCIT, NOEL 80</v>
          </cell>
        </row>
        <row r="2941">
          <cell r="A2941" t="str">
            <v>435171stL09_GHVFW_034E_STOPE PREPCANOY 20</v>
          </cell>
        </row>
        <row r="2942">
          <cell r="A2942" t="str">
            <v>435171stL09_NONE_070E_XCNDELOS REYES V. 20</v>
          </cell>
        </row>
        <row r="2943">
          <cell r="A2943" t="str">
            <v>435171stL10_GHV_020E_DETAÑEZA 90</v>
          </cell>
        </row>
        <row r="2944">
          <cell r="A2944" t="str">
            <v>435171stL10_JVSPLIT_057E_DETAÑEZA 8100</v>
          </cell>
        </row>
        <row r="2945">
          <cell r="A2945" t="str">
            <v>435171stL10_GHV_019E_RAISETAÑEZA 90</v>
          </cell>
        </row>
        <row r="2946">
          <cell r="A2946" t="str">
            <v>435171st9 UNCATEGORIZED 200</v>
          </cell>
        </row>
        <row r="2947">
          <cell r="A2947" t="str">
            <v>435171st9 UNCATEGORIZED 900</v>
          </cell>
        </row>
        <row r="2948">
          <cell r="A2948" t="str">
            <v>435171st9 UNCATEGORIZED 1100</v>
          </cell>
        </row>
        <row r="2949">
          <cell r="A2949" t="str">
            <v>435171st9 UNCATEGORIZED 1700</v>
          </cell>
        </row>
        <row r="2950">
          <cell r="A2950" t="str">
            <v>435172ndL02_CTV_061W_ROBBINGNOCOS 20</v>
          </cell>
        </row>
        <row r="2951">
          <cell r="A2951" t="str">
            <v>435172ndL02_GHV_009W_ROBBINGMONTEBON 40</v>
          </cell>
        </row>
        <row r="2952">
          <cell r="A2952" t="str">
            <v>435172ndL02_JV_030W_ROBBINGLERIO, RAUL0</v>
          </cell>
        </row>
        <row r="2953">
          <cell r="A2953" t="str">
            <v>435172ndL02_RYV_012W_ROBBINGLASANAS0</v>
          </cell>
        </row>
        <row r="2954">
          <cell r="A2954" t="str">
            <v>435172nd2 UNCATEGORIZED 100</v>
          </cell>
        </row>
        <row r="2955">
          <cell r="A2955" t="str">
            <v>435172nd2 UNCATEGORIZED 300</v>
          </cell>
        </row>
        <row r="2956">
          <cell r="A2956" t="str">
            <v>435172nd2 UNCATEGORIZED 800</v>
          </cell>
        </row>
        <row r="2957">
          <cell r="A2957" t="str">
            <v>435173rdL02_GHV_009W_ROBBINGMONTEBON 40</v>
          </cell>
        </row>
        <row r="2958">
          <cell r="A2958" t="str">
            <v>435173rdL02_JV_042W_ROBBINGDAGAMAC0</v>
          </cell>
        </row>
        <row r="2959">
          <cell r="A2959" t="str">
            <v>435173rdL02_JVHW_051W_ROBBINGLERIO, RAUL0</v>
          </cell>
        </row>
        <row r="2960">
          <cell r="A2960" t="str">
            <v>435173rdL02_RYV_012W_ROBBINGLASANAS0</v>
          </cell>
        </row>
        <row r="2961">
          <cell r="A2961" t="str">
            <v>435173rdL02_RYV_023W_ROBBINGCARIKITAN 10</v>
          </cell>
        </row>
        <row r="2962">
          <cell r="A2962" t="str">
            <v>435173rd2 UNCATEGORIZED 400</v>
          </cell>
        </row>
        <row r="2963">
          <cell r="A2963" t="str">
            <v>435173rd2 UNCATEGORIZED 600</v>
          </cell>
        </row>
        <row r="2964">
          <cell r="A2964" t="str">
            <v>435173rd2 UNCATEGORIZED 800</v>
          </cell>
        </row>
        <row r="2965">
          <cell r="A2965" t="str">
            <v>435173rdL04_CTV5_017E_DECABCAD 10</v>
          </cell>
        </row>
        <row r="2966">
          <cell r="A2966" t="str">
            <v>435173rdL04_JV_003E_DECABONITA 20</v>
          </cell>
        </row>
        <row r="2967">
          <cell r="A2967" t="str">
            <v>435173rdL04_JV_049W_RAISEDUHIG 30</v>
          </cell>
        </row>
        <row r="2968">
          <cell r="A2968" t="str">
            <v>435173rdL04_CTV_017W_ROBBINGNOCOS, ARIEL0</v>
          </cell>
        </row>
        <row r="2969">
          <cell r="A2969" t="str">
            <v>435173rdL04_CV_012W_ROBBINGMARTINEZ RON. 10</v>
          </cell>
        </row>
        <row r="2970">
          <cell r="A2970" t="str">
            <v>435173rdL04_GHV_010W_ROBBINGCABONITA 30</v>
          </cell>
        </row>
        <row r="2971">
          <cell r="A2971" t="str">
            <v>435173rd4 UNCATEGORIZED 300</v>
          </cell>
        </row>
        <row r="2972">
          <cell r="A2972" t="str">
            <v>435173rd4 UNCATEGORIZED 700</v>
          </cell>
        </row>
        <row r="2973">
          <cell r="A2973" t="str">
            <v>435173rd4 UNCATEGORIZED 900</v>
          </cell>
        </row>
        <row r="2974">
          <cell r="A2974" t="str">
            <v>435173rd4 UNCATEGORIZED 1100</v>
          </cell>
        </row>
        <row r="2975">
          <cell r="A2975" t="str">
            <v>435173rd4 UNCATEGORIZED 1600</v>
          </cell>
        </row>
        <row r="2976">
          <cell r="A2976" t="str">
            <v>435173rd4 UNCATEGORIZED 1800</v>
          </cell>
        </row>
        <row r="2977">
          <cell r="A2977" t="str">
            <v>435173rd4 UNCATEGORIZED 1900</v>
          </cell>
        </row>
        <row r="2978">
          <cell r="A2978" t="str">
            <v>435172nd4 UNCATEGORIZED 300</v>
          </cell>
        </row>
        <row r="2979">
          <cell r="A2979" t="str">
            <v>435172nd4 UNCATEGORIZED 700</v>
          </cell>
        </row>
        <row r="2980">
          <cell r="A2980" t="str">
            <v>435172nd4 UNCATEGORIZED 1800</v>
          </cell>
        </row>
        <row r="2981">
          <cell r="A2981" t="str">
            <v>435172nd4 UNCATEGORIZED 1900</v>
          </cell>
        </row>
        <row r="2982">
          <cell r="A2982" t="str">
            <v>435172ndL04_GHVFW_006E_DEOY-YOY 20</v>
          </cell>
        </row>
        <row r="2983">
          <cell r="A2983" t="str">
            <v>435172ndL04_GHVFW_015E_DEPARAGUYA 30</v>
          </cell>
        </row>
        <row r="2984">
          <cell r="A2984" t="str">
            <v>435172ndL04_JV_049W_RAISEDUHIG 30</v>
          </cell>
        </row>
        <row r="2985">
          <cell r="A2985" t="str">
            <v>435172ndL04_CV_012W_ROBBINGMARTINEZ RON. 10</v>
          </cell>
        </row>
        <row r="2986">
          <cell r="A2986" t="str">
            <v>435172ndL04_GHV_010W_ROBBINGCABONITA 30</v>
          </cell>
        </row>
        <row r="2987">
          <cell r="A2987" t="str">
            <v>435172ndL04_GHVSPLIT_043W_ROBBINGCABONITA 20</v>
          </cell>
        </row>
        <row r="2988">
          <cell r="A2988" t="str">
            <v>435172nd4 UNCATEGORIZED 1600</v>
          </cell>
        </row>
        <row r="2989">
          <cell r="A2989" t="str">
            <v>435172ndL05_NV_011E_DWALMEDORA 10</v>
          </cell>
        </row>
        <row r="2990">
          <cell r="A2990" t="str">
            <v>435172ndL05_CV_003W_RAISEALMEDORA 20</v>
          </cell>
        </row>
        <row r="2991">
          <cell r="A2991" t="str">
            <v>435172ndL05_NV_005W_RAISESHEPHERD P0</v>
          </cell>
        </row>
        <row r="2992">
          <cell r="A2992" t="str">
            <v>435172ndL05_GHV_010W_ROBBINGFERNANDEZ RX 40</v>
          </cell>
        </row>
        <row r="2993">
          <cell r="A2993" t="str">
            <v>435172ndL05_GHV_039W_ROBBINGCOMAINGKING 20</v>
          </cell>
        </row>
        <row r="2994">
          <cell r="A2994" t="str">
            <v>435172ndL05_GHVSPLIT_030E_ROBBINGCAYABAS 10</v>
          </cell>
        </row>
        <row r="2995">
          <cell r="A2995" t="str">
            <v>435172ndL05_CV_009E_STOPEPANCIT 754</v>
          </cell>
        </row>
        <row r="2996">
          <cell r="A2996" t="str">
            <v>435172ndL05_JV_018E_STOPEBALDO 252</v>
          </cell>
        </row>
        <row r="2997">
          <cell r="A2997" t="str">
            <v>435172nd5 UNCATEGORIZED 100</v>
          </cell>
        </row>
        <row r="2998">
          <cell r="A2998" t="str">
            <v>435173rdL05_JVFW_012W_RAISEFERNANDEZ RX 30</v>
          </cell>
        </row>
        <row r="2999">
          <cell r="A2999" t="str">
            <v>435173rdL05_JVSPLIT_006E_RAISEBALDO 10</v>
          </cell>
        </row>
        <row r="3000">
          <cell r="A3000" t="str">
            <v>435173rdL05_GHV_010W_ROBBINGFERNANDEZ RX 40</v>
          </cell>
        </row>
        <row r="3001">
          <cell r="A3001" t="str">
            <v>435173rdL05_GHV_022W_ROBBINGBADBADON L.30</v>
          </cell>
        </row>
        <row r="3002">
          <cell r="A3002" t="str">
            <v>435173rdL05_CTV_008W_STOPESHEPHERD P0</v>
          </cell>
        </row>
        <row r="3003">
          <cell r="A3003" t="str">
            <v>435173rdL05_JVFW_005E_WINZE STOPE PREPDAVOCOL ROW 10</v>
          </cell>
        </row>
        <row r="3004">
          <cell r="A3004" t="str">
            <v>435173rd5 UNCATEGORIZED 600</v>
          </cell>
        </row>
        <row r="3005">
          <cell r="A3005" t="str">
            <v>435173rdL06_DPVE_035E_DEBAÑEZ 90</v>
          </cell>
        </row>
        <row r="3006">
          <cell r="A3006" t="str">
            <v>435173rdL06_JV_056E_ROBBINGUDLOS 10</v>
          </cell>
        </row>
        <row r="3007">
          <cell r="A3007" t="str">
            <v>435173rdL06_DPVE_022E_STOPEBAÑEZ 60</v>
          </cell>
        </row>
        <row r="3008">
          <cell r="A3008" t="str">
            <v>435173rdL06_NONE_021E_XCNGUNAY 10</v>
          </cell>
        </row>
        <row r="3009">
          <cell r="A3009" t="str">
            <v>435173rd6 UNCATEGORIZED 400</v>
          </cell>
        </row>
        <row r="3010">
          <cell r="A3010" t="str">
            <v>435173rd6 UNCATEGORIZED 1400</v>
          </cell>
        </row>
        <row r="3011">
          <cell r="A3011" t="str">
            <v>435173rd6 UNCATEGORIZED 1500</v>
          </cell>
        </row>
        <row r="3012">
          <cell r="A3012" t="str">
            <v>435173rd6 UNCATEGORIZED 1700</v>
          </cell>
        </row>
        <row r="3013">
          <cell r="A3013" t="str">
            <v>435172ndL06_DPVE_035E_DEBAÑEZ 90</v>
          </cell>
        </row>
        <row r="3014">
          <cell r="A3014" t="str">
            <v>435172ndL06_JV_056E_ROBBINGUDLOS 10</v>
          </cell>
        </row>
        <row r="3015">
          <cell r="A3015" t="str">
            <v>435172ndL06_JVFW_006E_STOPEBADBADON R. 50</v>
          </cell>
        </row>
        <row r="3016">
          <cell r="A3016" t="str">
            <v>435172ndL06_GHVFW_007W_STOPE PREPBAÑEZ 70</v>
          </cell>
        </row>
        <row r="3017">
          <cell r="A3017" t="str">
            <v>435172nd6 UNCATEGORIZED 400</v>
          </cell>
        </row>
        <row r="3018">
          <cell r="A3018" t="str">
            <v>435172nd6 UNCATEGORIZED 700</v>
          </cell>
        </row>
        <row r="3019">
          <cell r="A3019" t="str">
            <v>435172nd6 UNCATEGORIZED 900</v>
          </cell>
        </row>
        <row r="3020">
          <cell r="A3020" t="str">
            <v>435172nd6 UNCATEGORIZED 1000</v>
          </cell>
        </row>
        <row r="3021">
          <cell r="A3021" t="str">
            <v>435172nd6 UNCATEGORIZED 1400</v>
          </cell>
        </row>
        <row r="3022">
          <cell r="A3022" t="str">
            <v>435172nd6 UNCATEGORIZED 1700</v>
          </cell>
        </row>
        <row r="3023">
          <cell r="A3023" t="str">
            <v>435172nd6 UNCATEGORIZED 1800</v>
          </cell>
        </row>
        <row r="3024">
          <cell r="A3024" t="str">
            <v>435172ndL07_JVHW_072E_STOPEBABOR 567</v>
          </cell>
        </row>
        <row r="3025">
          <cell r="A3025" t="str">
            <v>435172ndL07_JVHW_064E_STOPE PREPBABOR 568</v>
          </cell>
        </row>
        <row r="3026">
          <cell r="A3026" t="str">
            <v>435172nd7 UNCATEGORIZED 200</v>
          </cell>
        </row>
        <row r="3027">
          <cell r="A3027" t="str">
            <v>435172nd7 UNCATEGORIZED 400</v>
          </cell>
        </row>
        <row r="3028">
          <cell r="A3028" t="str">
            <v>435172nd7 UNCATEGORIZED 500</v>
          </cell>
        </row>
        <row r="3029">
          <cell r="A3029" t="str">
            <v>435172nd7 UNCATEGORIZED 700</v>
          </cell>
        </row>
        <row r="3030">
          <cell r="A3030" t="str">
            <v>435172nd7 UNCATEGORIZED 900</v>
          </cell>
        </row>
        <row r="3031">
          <cell r="A3031" t="str">
            <v>435172nd7 UNCATEGORIZED 1200</v>
          </cell>
        </row>
        <row r="3032">
          <cell r="A3032" t="str">
            <v>435172nd7 UNCATEGORIZED 1400</v>
          </cell>
        </row>
        <row r="3033">
          <cell r="A3033" t="str">
            <v>435172nd7 UNCATEGORIZED 1500</v>
          </cell>
        </row>
        <row r="3034">
          <cell r="A3034" t="str">
            <v>435172nd7 UNCATEGORIZED 1700</v>
          </cell>
        </row>
        <row r="3035">
          <cell r="A3035" t="str">
            <v>435173rd7 UNCATEGORIZED 200</v>
          </cell>
        </row>
        <row r="3036">
          <cell r="A3036" t="str">
            <v>435173rd7 UNCATEGORIZED 900</v>
          </cell>
        </row>
        <row r="3037">
          <cell r="A3037" t="str">
            <v>435173rd7 UNCATEGORIZED 1400</v>
          </cell>
        </row>
        <row r="3038">
          <cell r="A3038" t="str">
            <v>435173rdL07_DPVE_060E_DEVILLARANTE 40</v>
          </cell>
        </row>
        <row r="3039">
          <cell r="A3039" t="str">
            <v>435173rdL07_DPVE_028E_STOPEDOLARIZA 20</v>
          </cell>
        </row>
        <row r="3040">
          <cell r="A3040" t="str">
            <v>435173rdL07_GHVHW_056E_WINZE STOPE PREPBABOR 30</v>
          </cell>
        </row>
        <row r="3041">
          <cell r="A3041" t="str">
            <v>435173rd7 UNCATEGORIZED 400</v>
          </cell>
        </row>
        <row r="3042">
          <cell r="A3042" t="str">
            <v>435173rd7 UNCATEGORIZED 1800</v>
          </cell>
        </row>
        <row r="3043">
          <cell r="A3043" t="str">
            <v>435172ndL08_JVSPLIT_017E_DEAGLOLO 20</v>
          </cell>
        </row>
        <row r="3044">
          <cell r="A3044" t="str">
            <v>435172ndL08_DPVE_065E_RAISELERIO 40</v>
          </cell>
        </row>
        <row r="3045">
          <cell r="A3045" t="str">
            <v>435172ndL08_GHVHW_034E_STOPECAPOY 20</v>
          </cell>
        </row>
        <row r="3046">
          <cell r="A3046" t="str">
            <v>435172ndL09_GHV_060E_STOPEPANSIT 60</v>
          </cell>
        </row>
        <row r="3047">
          <cell r="A3047" t="str">
            <v>435172nd8 UNCATEGORIZED 1500</v>
          </cell>
        </row>
        <row r="3048">
          <cell r="A3048" t="str">
            <v>435172nd8 UNCATEGORIZED 1800</v>
          </cell>
        </row>
        <row r="3049">
          <cell r="A3049" t="str">
            <v>435172nd8 UNCATEGORIZED 2000</v>
          </cell>
        </row>
        <row r="3050">
          <cell r="A3050" t="str">
            <v>435172nd8 UNCATEGORIZED 2200</v>
          </cell>
        </row>
        <row r="3051">
          <cell r="A3051" t="str">
            <v>435172nd8 UNCATEGORIZED 2500</v>
          </cell>
        </row>
        <row r="3052">
          <cell r="A3052" t="str">
            <v>435173rdL08_DPVE_068E_DELERIO 30</v>
          </cell>
        </row>
        <row r="3053">
          <cell r="A3053" t="str">
            <v>435173rdL08_GHVHW_034E_STOPECAPOY 20</v>
          </cell>
        </row>
        <row r="3054">
          <cell r="A3054" t="str">
            <v>435173rdL08_JV_029E_STOPEBORERO 40</v>
          </cell>
        </row>
        <row r="3055">
          <cell r="A3055" t="str">
            <v>435173rd8 UNCATEGORIZED 500</v>
          </cell>
        </row>
        <row r="3056">
          <cell r="A3056" t="str">
            <v>435173rd8 UNCATEGORIZED 600</v>
          </cell>
        </row>
        <row r="3057">
          <cell r="A3057" t="str">
            <v>435173rd8 UNCATEGORIZED 1900</v>
          </cell>
        </row>
        <row r="3058">
          <cell r="A3058" t="str">
            <v>435173rd8 UNCATEGORIZED 1200</v>
          </cell>
        </row>
        <row r="3059">
          <cell r="A3059" t="str">
            <v>435173rdL08_DPVE_048E_DWSILVOZA 30</v>
          </cell>
        </row>
        <row r="3060">
          <cell r="A3060" t="str">
            <v>435172ndL08_DPVE_060E_RAISE00</v>
          </cell>
        </row>
        <row r="3061">
          <cell r="A3061" t="str">
            <v>435172nd8 UNCATEGORIZED 1900</v>
          </cell>
        </row>
        <row r="3062">
          <cell r="A3062" t="str">
            <v>435172ndL09_DPVE_051E_DEBALANGHIG 10</v>
          </cell>
        </row>
        <row r="3063">
          <cell r="A3063" t="str">
            <v>435172ndL09_GHVHW_049E_DEBABOR 10</v>
          </cell>
        </row>
        <row r="3064">
          <cell r="A3064" t="str">
            <v>435172ndL09_JV_046E_DWDELOS REYES V. 20</v>
          </cell>
        </row>
        <row r="3065">
          <cell r="A3065" t="str">
            <v>435172ndL09_JVFW_055E_RAISECANOY 30</v>
          </cell>
        </row>
        <row r="3066">
          <cell r="A3066" t="str">
            <v>435172ndL09_GHV_015W_STOPESHEPHERD R0</v>
          </cell>
        </row>
        <row r="3067">
          <cell r="A3067" t="str">
            <v>435172ndL09_GHVFW_039E_STOPEPANCIT, NOEL 40</v>
          </cell>
        </row>
        <row r="3068">
          <cell r="A3068" t="str">
            <v>435172ndL09_JV_058E_STOPECANOY 10</v>
          </cell>
        </row>
        <row r="3069">
          <cell r="A3069" t="str">
            <v>435172ndL09_GHV_063E_WINZE0</v>
          </cell>
        </row>
        <row r="3070">
          <cell r="A3070" t="str">
            <v>435172ndL10_GHV_033E_DETAÑEZA 40</v>
          </cell>
        </row>
        <row r="3071">
          <cell r="A3071" t="str">
            <v>435172ndL10_GHVFW_021E_DETAÑEZA 30</v>
          </cell>
        </row>
        <row r="3072">
          <cell r="A3072" t="str">
            <v>435172ndL10_JV_059E_DETAÑEZA 70</v>
          </cell>
        </row>
        <row r="3073">
          <cell r="A3073" t="str">
            <v>435172ndL10_JVFW_055E_DETAÑEZA 1199</v>
          </cell>
        </row>
        <row r="3074">
          <cell r="A3074" t="str">
            <v>435172ndL10_GHV_019E_RAISETAÑEZA 90</v>
          </cell>
        </row>
        <row r="3075">
          <cell r="A3075" t="str">
            <v>435172nd9 UNCATEGORIZED 200</v>
          </cell>
        </row>
        <row r="3076">
          <cell r="A3076" t="str">
            <v>435172nd9 UNCATEGORIZED 1000</v>
          </cell>
        </row>
        <row r="3077">
          <cell r="A3077" t="str">
            <v>435172nd9 UNCATEGORIZED 1100</v>
          </cell>
        </row>
        <row r="3078">
          <cell r="A3078" t="str">
            <v>435172nd9 UNCATEGORIZED 1200</v>
          </cell>
        </row>
        <row r="3079">
          <cell r="A3079" t="str">
            <v>435172nd10 UNCATEGORIZED 300</v>
          </cell>
        </row>
        <row r="3080">
          <cell r="A3080" t="str">
            <v>435172nd10 UNCATEGORIZED 600</v>
          </cell>
        </row>
        <row r="3081">
          <cell r="A3081" t="str">
            <v>435173rdL09_GHVHW_049E_DEBABOR 10</v>
          </cell>
        </row>
        <row r="3082">
          <cell r="A3082" t="str">
            <v>435173rdL09_GHV_015W_STOPESHEPHERD R0</v>
          </cell>
        </row>
        <row r="3083">
          <cell r="A3083" t="str">
            <v>435173rdL09_GHV_031E_STOPEPANCIT, NOEL 80</v>
          </cell>
        </row>
        <row r="3084">
          <cell r="A3084" t="str">
            <v>435173rdL09_GHV_060E_STOPEPANSIT 60</v>
          </cell>
        </row>
        <row r="3085">
          <cell r="A3085" t="str">
            <v>435173rdL09_JV_058E_STOPECANOY 10</v>
          </cell>
        </row>
        <row r="3086">
          <cell r="A3086" t="str">
            <v>435173rdL09_JVFW_057E_STOPEDELOS REYES V. 60</v>
          </cell>
        </row>
        <row r="3087">
          <cell r="A3087" t="str">
            <v>435173rdL09_GHVFW_034E_STOPE PREPCANOY 20</v>
          </cell>
        </row>
        <row r="3088">
          <cell r="A3088" t="str">
            <v>435173rd9 UNCATEGORIZED 700</v>
          </cell>
        </row>
        <row r="3089">
          <cell r="A3089" t="str">
            <v>435173rd9 UNCATEGORIZED 900</v>
          </cell>
        </row>
        <row r="3090">
          <cell r="A3090" t="str">
            <v>435173rd9 UNCATEGORIZED 1100</v>
          </cell>
        </row>
        <row r="3091">
          <cell r="A3091" t="str">
            <v>435173rd9 UNCATEGORIZED 1800</v>
          </cell>
        </row>
        <row r="3092">
          <cell r="A3092" t="str">
            <v>435173rd10 UNCATEGORIZED 500</v>
          </cell>
        </row>
        <row r="3093">
          <cell r="A3093" t="str">
            <v>435181stL02_CV_007E_WINZEALMASA 30</v>
          </cell>
        </row>
        <row r="3094">
          <cell r="A3094" t="str">
            <v>435182ndL02_CTV_061W_ROBBINGNOCOS 20</v>
          </cell>
        </row>
        <row r="3095">
          <cell r="A3095" t="str">
            <v>435182ndL02_JV_030W_ROBBINGLERIO, RAUL0</v>
          </cell>
        </row>
        <row r="3096">
          <cell r="A3096" t="str">
            <v>435182ndL02_JVHW_051W_ROBBINGLERIO, RAUL0</v>
          </cell>
        </row>
        <row r="3097">
          <cell r="A3097" t="str">
            <v>435182ndL02_RYV_012W_ROBBINGLASANAS0</v>
          </cell>
        </row>
        <row r="3098">
          <cell r="A3098" t="str">
            <v>435182ndL02_RYV_020W_ROBBINGMONTEBON 50</v>
          </cell>
        </row>
        <row r="3099">
          <cell r="A3099" t="str">
            <v>435182nd2 UNCATEGORIZED 100</v>
          </cell>
        </row>
        <row r="3100">
          <cell r="A3100" t="str">
            <v>435182nd2 UNCATEGORIZED 300</v>
          </cell>
        </row>
        <row r="3101">
          <cell r="A3101" t="str">
            <v>435182nd2 UNCATEGORIZED 400</v>
          </cell>
        </row>
        <row r="3102">
          <cell r="A3102" t="str">
            <v>435182nd2 UNCATEGORIZED 500</v>
          </cell>
        </row>
        <row r="3103">
          <cell r="A3103" t="str">
            <v>435183rd2 UNCATEGORIZED 100</v>
          </cell>
        </row>
        <row r="3104">
          <cell r="A3104" t="str">
            <v>435183rd2 UNCATEGORIZED 300</v>
          </cell>
        </row>
        <row r="3105">
          <cell r="A3105" t="str">
            <v>435183rdL02_GHV_009W_ROBBINGMONTEBON 40</v>
          </cell>
        </row>
        <row r="3106">
          <cell r="A3106" t="str">
            <v>435183rdL02_JV_030W_ROBBINGLERIO, RAUL0</v>
          </cell>
        </row>
        <row r="3107">
          <cell r="A3107" t="str">
            <v>435183rdL02_JV_042W_ROBBINGDAGAMAC0</v>
          </cell>
        </row>
        <row r="3108">
          <cell r="A3108" t="str">
            <v>435183rdL02_CTV_061W_WINZE STOPENOCOS, A. 10</v>
          </cell>
        </row>
        <row r="3109">
          <cell r="A3109" t="str">
            <v>435183rd2 UNCATEGORIZED 600</v>
          </cell>
        </row>
        <row r="3110">
          <cell r="A3110" t="str">
            <v>435181st2 UNCATEGORIZED 800</v>
          </cell>
        </row>
        <row r="3111">
          <cell r="A3111" t="str">
            <v>435182ndL04_JV_049W_RAISEDUHIG 30</v>
          </cell>
        </row>
        <row r="3112">
          <cell r="A3112" t="str">
            <v>435182ndL04_CTV_017W_ROBBINGNOCOS, ARIEL0</v>
          </cell>
        </row>
        <row r="3113">
          <cell r="A3113" t="str">
            <v>435182ndL04_CV_012W_ROBBINGMARTINEZ RON. 10</v>
          </cell>
        </row>
        <row r="3114">
          <cell r="A3114" t="str">
            <v>435182ndL04_GHV_010W_ROBBINGCABONITA 30</v>
          </cell>
        </row>
        <row r="3115">
          <cell r="A3115" t="str">
            <v>435182ndL04_GHVSPLIT_043W_ROBBINGCABONITA 20</v>
          </cell>
        </row>
        <row r="3116">
          <cell r="A3116" t="str">
            <v>435182ndL06_CV_018E_WINZEGONZALES 20</v>
          </cell>
        </row>
        <row r="3117">
          <cell r="A3117" t="str">
            <v>435182ndL10_GHV_019E_RAISETAÑEZA 90</v>
          </cell>
        </row>
        <row r="3118">
          <cell r="A3118" t="str">
            <v>435182nd4 UNCATEGORIZED 700</v>
          </cell>
        </row>
        <row r="3119">
          <cell r="A3119" t="str">
            <v>435182nd4 UNCATEGORIZED 1900</v>
          </cell>
        </row>
        <row r="3120">
          <cell r="A3120" t="str">
            <v>435183rd4 UNCATEGORIZED 700</v>
          </cell>
        </row>
        <row r="3121">
          <cell r="A3121" t="str">
            <v>435183rd4 UNCATEGORIZED 1900</v>
          </cell>
        </row>
        <row r="3122">
          <cell r="A3122" t="str">
            <v>435183rdL04_CTV_017W_ROBBINGNOCOS, ARIEL0</v>
          </cell>
        </row>
        <row r="3123">
          <cell r="A3123" t="str">
            <v>435183rdL04_CV_012W_ROBBINGMARTINEZ RON. 10</v>
          </cell>
        </row>
        <row r="3124">
          <cell r="A3124" t="str">
            <v>435183rd4 UNCATEGORIZED 500</v>
          </cell>
        </row>
        <row r="3125">
          <cell r="A3125" t="str">
            <v>435183rd4 UNCATEGORIZED 1000</v>
          </cell>
        </row>
        <row r="3126">
          <cell r="A3126" t="str">
            <v>435183rd4 UNCATEGORIZED 1100</v>
          </cell>
        </row>
        <row r="3127">
          <cell r="A3127" t="str">
            <v>435181st4 UNCATEGORIZED 500</v>
          </cell>
        </row>
        <row r="3128">
          <cell r="A3128" t="str">
            <v>435181st4 UNCATEGORIZED 700</v>
          </cell>
        </row>
        <row r="3129">
          <cell r="A3129" t="str">
            <v>435181st4 UNCATEGORIZED 1900</v>
          </cell>
        </row>
        <row r="3130">
          <cell r="A3130" t="str">
            <v>435181stL04_CV_012W_ROBBINGMARTINEZ RON. 10</v>
          </cell>
        </row>
        <row r="3131">
          <cell r="A3131" t="str">
            <v>435181stL04_GHV_010W_ROBBINGCABONITA 30</v>
          </cell>
        </row>
        <row r="3132">
          <cell r="A3132" t="str">
            <v>435182nd4 UNCATEGORIZED 300</v>
          </cell>
        </row>
        <row r="3133">
          <cell r="A3133" t="str">
            <v>435182ndL04_GHVFW_015E_DEPARAGUYA 30</v>
          </cell>
        </row>
        <row r="3134">
          <cell r="A3134" t="str">
            <v>435182nd4 UNCATEGORIZED 1400</v>
          </cell>
        </row>
        <row r="3135">
          <cell r="A3135" t="str">
            <v>435183rd4 UNCATEGORIZED 1300</v>
          </cell>
        </row>
        <row r="3136">
          <cell r="A3136" t="str">
            <v>435183rdL05_CV_003W_RAISEALMEDORA 20</v>
          </cell>
        </row>
        <row r="3137">
          <cell r="A3137" t="str">
            <v>435183rdL05_NV_005W_RAISESHEPHERD P0</v>
          </cell>
        </row>
        <row r="3138">
          <cell r="A3138" t="str">
            <v>435183rdL05_CTV_008W_STOPESHEPHERD P0</v>
          </cell>
        </row>
        <row r="3139">
          <cell r="A3139" t="str">
            <v>435183rd5 UNCATEGORIZED 400</v>
          </cell>
        </row>
        <row r="3140">
          <cell r="A3140" t="str">
            <v>435183rd5 UNCATEGORIZED 600</v>
          </cell>
        </row>
        <row r="3141">
          <cell r="A3141" t="str">
            <v>435183rd5 UNCATEGORIZED 1100</v>
          </cell>
        </row>
        <row r="3142">
          <cell r="A3142" t="str">
            <v>435182ndL05_CV_003W_RAISEALMEDORA 20</v>
          </cell>
        </row>
        <row r="3143">
          <cell r="A3143" t="str">
            <v>435182ndL05_JVFW_012W_RAISEFERNANDEZ RX 30</v>
          </cell>
        </row>
        <row r="3144">
          <cell r="A3144" t="str">
            <v>435182ndL05_JVSPLIT_006E_RAISEBALDO 10</v>
          </cell>
        </row>
        <row r="3145">
          <cell r="A3145" t="str">
            <v>435182ndL05_GHVSPLIT_030E_ROBBINGCAYABAS 10</v>
          </cell>
        </row>
        <row r="3146">
          <cell r="A3146" t="str">
            <v>435182ndL05_CTV_008W_STOPESHEPHERD P0</v>
          </cell>
        </row>
        <row r="3147">
          <cell r="A3147" t="str">
            <v>435182ndL05_JV_018E_STOPEBALDO 252</v>
          </cell>
        </row>
        <row r="3148">
          <cell r="A3148" t="str">
            <v>435182ndL05_JVFW_005E_WINZE STOPE PREPDAVOCOL ROW 10</v>
          </cell>
        </row>
        <row r="3149">
          <cell r="A3149" t="str">
            <v>435182nd5 UNCATEGORIZED 200</v>
          </cell>
        </row>
        <row r="3150">
          <cell r="A3150" t="str">
            <v>435182nd5 UNCATEGORIZED 600</v>
          </cell>
        </row>
        <row r="3151">
          <cell r="A3151" t="str">
            <v>435182nd5 UNCATEGORIZED 800</v>
          </cell>
        </row>
        <row r="3152">
          <cell r="A3152" t="str">
            <v>435182nd5 UNCATEGORIZED 900</v>
          </cell>
        </row>
        <row r="3153">
          <cell r="A3153" t="str">
            <v>435181stL04_JV_023W_WINZEOY-YOY 20</v>
          </cell>
        </row>
        <row r="3154">
          <cell r="A3154" t="str">
            <v>435181stL05_NV_005W_RAISESHEPHERD P0</v>
          </cell>
        </row>
        <row r="3155">
          <cell r="A3155" t="str">
            <v>435181stL05_GHV_010W_ROBBINGFERNANDEZ RX 40</v>
          </cell>
        </row>
        <row r="3156">
          <cell r="A3156" t="str">
            <v>435181stL05_GHVSPLIT_030E_ROBBINGCAYABAS 10</v>
          </cell>
        </row>
        <row r="3157">
          <cell r="A3157" t="str">
            <v>435181stL05_JV_018E_STOPEBALDO 252</v>
          </cell>
        </row>
        <row r="3158">
          <cell r="A3158" t="str">
            <v>435181stL05_CV_010E_WINZESHEPHERD L56</v>
          </cell>
        </row>
        <row r="3159">
          <cell r="A3159" t="str">
            <v>435181stL05_JVFW_005E_WINZE STOPE PREPDAVOCOL ROW 10</v>
          </cell>
        </row>
        <row r="3160">
          <cell r="A3160" t="str">
            <v>435181st5 UNCATEGORIZED 400</v>
          </cell>
        </row>
        <row r="3161">
          <cell r="A3161" t="str">
            <v>435181st5 UNCATEGORIZED 1100</v>
          </cell>
        </row>
        <row r="3162">
          <cell r="A3162" t="str">
            <v>435181stL05_GHV_023W_WINZEBADBADON L. 20</v>
          </cell>
        </row>
        <row r="3163">
          <cell r="A3163" t="str">
            <v>435182ndL06_CV_005E_DEREBOTE 10</v>
          </cell>
        </row>
        <row r="3164">
          <cell r="A3164" t="str">
            <v>435182ndL06_JV_001W_RAISEREBOTE 20</v>
          </cell>
        </row>
        <row r="3165">
          <cell r="A3165" t="str">
            <v>435182ndL06_JV_056E_ROBBINGUDLOS 10</v>
          </cell>
        </row>
        <row r="3166">
          <cell r="A3166" t="str">
            <v>435182ndL06_DPVE_022E_STOPEBAÑEZ 60</v>
          </cell>
        </row>
        <row r="3167">
          <cell r="A3167" t="str">
            <v>435182ndL06_JVFW_006E_STOPEBADBADON R. 50</v>
          </cell>
        </row>
        <row r="3168">
          <cell r="A3168" t="str">
            <v>435182ndL06_GHVFW_003E_STOPE PREPBAÑEZ 40</v>
          </cell>
        </row>
        <row r="3169">
          <cell r="A3169" t="str">
            <v>435182nd6 UNCATEGORIZED 400</v>
          </cell>
        </row>
        <row r="3170">
          <cell r="A3170" t="str">
            <v>435182nd6 UNCATEGORIZED 600</v>
          </cell>
        </row>
        <row r="3171">
          <cell r="A3171" t="str">
            <v>435182nd6 UNCATEGORIZED 900</v>
          </cell>
        </row>
        <row r="3172">
          <cell r="A3172" t="str">
            <v>435182nd6 UNCATEGORIZED 1000</v>
          </cell>
        </row>
        <row r="3173">
          <cell r="A3173" t="str">
            <v>435182nd6 UNCATEGORIZED 1400</v>
          </cell>
        </row>
        <row r="3174">
          <cell r="A3174" t="str">
            <v>435182nd6 UNCATEGORIZED 1500</v>
          </cell>
        </row>
        <row r="3175">
          <cell r="A3175" t="str">
            <v>435182nd6 UNCATEGORIZED 1600</v>
          </cell>
        </row>
        <row r="3176">
          <cell r="A3176" t="str">
            <v>435182nd6 UNCATEGORIZED 1700</v>
          </cell>
        </row>
        <row r="3177">
          <cell r="A3177" t="str">
            <v>435182nd6 UNCATEGORIZED 1900</v>
          </cell>
        </row>
        <row r="3178">
          <cell r="A3178" t="str">
            <v>435183rdL06_GHVFW_003E_STOPE PREPBAÑEZ 40</v>
          </cell>
        </row>
        <row r="3179">
          <cell r="A3179" t="str">
            <v>435183rdL06_NONE_021E_XCNGUNAY 10</v>
          </cell>
        </row>
        <row r="3180">
          <cell r="A3180" t="str">
            <v>435183rd6 UNCATEGORIZED 100</v>
          </cell>
        </row>
        <row r="3181">
          <cell r="A3181" t="str">
            <v>435183rd6 UNCATEGORIZED 400</v>
          </cell>
        </row>
        <row r="3182">
          <cell r="A3182" t="str">
            <v>435183rd6 UNCATEGORIZED 1400</v>
          </cell>
        </row>
        <row r="3183">
          <cell r="A3183" t="str">
            <v>435183rd6 UNCATEGORIZED 1700</v>
          </cell>
        </row>
        <row r="3184">
          <cell r="A3184" t="str">
            <v>435183rd6 UNCATEGORIZED 2000</v>
          </cell>
        </row>
        <row r="3185">
          <cell r="A3185" t="str">
            <v>435183rd6 UNCATEGORIZED 2100</v>
          </cell>
        </row>
        <row r="3186">
          <cell r="A3186" t="str">
            <v>435183rd6 UNCATEGORIZED 600</v>
          </cell>
        </row>
        <row r="3187">
          <cell r="A3187" t="str">
            <v>435183rd6 UNCATEGORIZED 700</v>
          </cell>
        </row>
        <row r="3188">
          <cell r="A3188" t="str">
            <v>435181stL06_JV_001W_RAISEREBOTE 20</v>
          </cell>
        </row>
        <row r="3189">
          <cell r="A3189" t="str">
            <v>435181st6 UNCATEGORIZED 100</v>
          </cell>
        </row>
        <row r="3190">
          <cell r="A3190" t="str">
            <v>435181st6 UNCATEGORIZED 700</v>
          </cell>
        </row>
        <row r="3191">
          <cell r="A3191" t="str">
            <v>435181st6 UNCATEGORIZED 1100</v>
          </cell>
        </row>
        <row r="3192">
          <cell r="A3192" t="str">
            <v>435181st6 UNCATEGORIZED 1400</v>
          </cell>
        </row>
        <row r="3193">
          <cell r="A3193" t="str">
            <v>435181st6 UNCATEGORIZED 1700</v>
          </cell>
        </row>
        <row r="3194">
          <cell r="A3194" t="str">
            <v>435181stL07_DPVE_028E_STOPEDOLARIZA 20</v>
          </cell>
        </row>
        <row r="3195">
          <cell r="A3195" t="str">
            <v>435181stL07_JVHW_072E_STOPEBABOR 567</v>
          </cell>
        </row>
        <row r="3196">
          <cell r="A3196" t="str">
            <v>435181stL07_JVHW_064E_STOPE PREPBABOR 568</v>
          </cell>
        </row>
        <row r="3197">
          <cell r="A3197" t="str">
            <v>435181st7 UNCATEGORIZED 300</v>
          </cell>
        </row>
        <row r="3198">
          <cell r="A3198" t="str">
            <v>435181st7 UNCATEGORIZED 400</v>
          </cell>
        </row>
        <row r="3199">
          <cell r="A3199" t="str">
            <v>435181st7 UNCATEGORIZED 500</v>
          </cell>
        </row>
        <row r="3200">
          <cell r="A3200" t="str">
            <v>435181st7 UNCATEGORIZED 900</v>
          </cell>
        </row>
        <row r="3201">
          <cell r="A3201" t="str">
            <v>435181st7 UNCATEGORIZED 1400</v>
          </cell>
        </row>
        <row r="3202">
          <cell r="A3202" t="str">
            <v>435181st7 UNCATEGORIZED 1500</v>
          </cell>
        </row>
        <row r="3203">
          <cell r="A3203" t="str">
            <v>435181st7 UNCATEGORIZED 1800</v>
          </cell>
        </row>
        <row r="3204">
          <cell r="A3204" t="str">
            <v>435182ndL07_JVHW_064E_STOPE PREPBABOR 568</v>
          </cell>
        </row>
        <row r="3205">
          <cell r="A3205" t="str">
            <v>435182ndL07_GHVHW_056E_WINZE STOPE PREPBABOR 30</v>
          </cell>
        </row>
        <row r="3206">
          <cell r="A3206" t="str">
            <v>435182nd7 UNCATEGORIZED 300</v>
          </cell>
        </row>
        <row r="3207">
          <cell r="A3207" t="str">
            <v>435182nd7 UNCATEGORIZED 400</v>
          </cell>
        </row>
        <row r="3208">
          <cell r="A3208" t="str">
            <v>435182nd7 UNCATEGORIZED 700</v>
          </cell>
        </row>
        <row r="3209">
          <cell r="A3209" t="str">
            <v>435182nd7 UNCATEGORIZED 1400</v>
          </cell>
        </row>
        <row r="3210">
          <cell r="A3210" t="str">
            <v>435182nd7 UNCATEGORIZED 1800</v>
          </cell>
        </row>
        <row r="3211">
          <cell r="A3211" t="str">
            <v>435183rdL07_JVHW_072E_STOPEBABOR 567</v>
          </cell>
        </row>
        <row r="3212">
          <cell r="A3212" t="str">
            <v>435183rdL07_JVHW_064E_STOPE PREPBABOR 568</v>
          </cell>
        </row>
        <row r="3213">
          <cell r="A3213" t="str">
            <v>435183rdL07_GHVHW_056E_WINZE STOPE PREPBABOR 30</v>
          </cell>
        </row>
        <row r="3214">
          <cell r="A3214" t="str">
            <v>435183rd7 UNCATEGORIZED 400</v>
          </cell>
        </row>
        <row r="3215">
          <cell r="A3215" t="str">
            <v>435183rd7 UNCATEGORIZED 900</v>
          </cell>
        </row>
        <row r="3216">
          <cell r="A3216" t="str">
            <v>435183rd7 UNCATEGORIZED 1500</v>
          </cell>
        </row>
        <row r="3217">
          <cell r="A3217" t="str">
            <v>435183rd7 UNCATEGORIZED 1800</v>
          </cell>
        </row>
        <row r="3218">
          <cell r="A3218" t="str">
            <v>435182ndL08_DPVE_068E_DELERIO 30</v>
          </cell>
        </row>
        <row r="3219">
          <cell r="A3219" t="str">
            <v>435182ndL08_JV_020E_RAISEAGLOLO 10</v>
          </cell>
        </row>
        <row r="3220">
          <cell r="A3220" t="str">
            <v>435182ndL08_DPVE_061E_STOPEAGLOLO 40</v>
          </cell>
        </row>
        <row r="3221">
          <cell r="A3221" t="str">
            <v>435182ndL08_GHVHW_034E_STOPECAPOY 20</v>
          </cell>
        </row>
        <row r="3222">
          <cell r="A3222" t="str">
            <v>435182nd8 UNCATEGORIZED 500</v>
          </cell>
        </row>
        <row r="3223">
          <cell r="A3223" t="str">
            <v>435182nd8 UNCATEGORIZED 600</v>
          </cell>
        </row>
        <row r="3224">
          <cell r="A3224" t="str">
            <v>435182nd8 UNCATEGORIZED 1900</v>
          </cell>
        </row>
        <row r="3225">
          <cell r="A3225" t="str">
            <v>435182nd8 UNCATEGORIZED 2200</v>
          </cell>
        </row>
        <row r="3226">
          <cell r="A3226" t="str">
            <v>435181stL08_DPVE_048E_DWSILVOZA 30</v>
          </cell>
        </row>
        <row r="3227">
          <cell r="A3227" t="str">
            <v>435181stL08_DPVE_065E_RAISELERIO 40</v>
          </cell>
        </row>
        <row r="3228">
          <cell r="A3228" t="str">
            <v>435181stL08_DPVE_061E_STOPEAGLOLO 40</v>
          </cell>
        </row>
        <row r="3229">
          <cell r="A3229" t="str">
            <v>435181stL08_GHVHW_031E_STOPEGEMENTIZA 10</v>
          </cell>
        </row>
        <row r="3230">
          <cell r="A3230" t="str">
            <v>435181stL08_GHVHW_034E_STOPECAPOY 20</v>
          </cell>
        </row>
        <row r="3231">
          <cell r="A3231" t="str">
            <v>435181stL08_JV_029E_STOPEBORERO 40</v>
          </cell>
        </row>
        <row r="3232">
          <cell r="A3232" t="str">
            <v>435181stL08_NONE_016W_XCNSILVOZA 181</v>
          </cell>
        </row>
        <row r="3233">
          <cell r="A3233" t="str">
            <v>435181stL08_NONE_059E_XCSVERSOZA 40</v>
          </cell>
        </row>
        <row r="3234">
          <cell r="A3234" t="str">
            <v>435181st8 UNCATEGORIZED 1900</v>
          </cell>
        </row>
        <row r="3235">
          <cell r="A3235" t="str">
            <v>435181st8 UNCATEGORIZED 1800</v>
          </cell>
        </row>
        <row r="3236">
          <cell r="A3236" t="str">
            <v>435181st8 UNCATEGORIZED 2400</v>
          </cell>
        </row>
        <row r="3237">
          <cell r="A3237" t="str">
            <v>435183rd8 UNCATEGORIZED 1100</v>
          </cell>
        </row>
        <row r="3238">
          <cell r="A3238" t="str">
            <v>435183rd8 UNCATEGORIZED 1200</v>
          </cell>
        </row>
        <row r="3239">
          <cell r="A3239" t="str">
            <v>435183rd8 UNCATEGORIZED 1900</v>
          </cell>
        </row>
        <row r="3240">
          <cell r="A3240" t="str">
            <v>435183rd8 UNCATEGORIZED 2200</v>
          </cell>
        </row>
        <row r="3241">
          <cell r="A3241" t="str">
            <v>435181stL09_DPVE_051E_DEBALANGHIG 10</v>
          </cell>
        </row>
        <row r="3242">
          <cell r="A3242" t="str">
            <v>435181stL09_GHVHW_049E_DEBABOR 10</v>
          </cell>
        </row>
        <row r="3243">
          <cell r="A3243" t="str">
            <v>435181stL09_GHV_015W_STOPESHEPHERD R0</v>
          </cell>
        </row>
        <row r="3244">
          <cell r="A3244" t="str">
            <v>435181stL09_JV_058E_STOPECANOY 10</v>
          </cell>
        </row>
        <row r="3245">
          <cell r="A3245" t="str">
            <v>435181stL09_JVFW_057E_STOPEDELOS REYES V. 60</v>
          </cell>
        </row>
        <row r="3246">
          <cell r="A3246" t="str">
            <v>435181stL09_GHVFW_034E_STOPE PREPCANOY 20</v>
          </cell>
        </row>
        <row r="3247">
          <cell r="A3247" t="str">
            <v>435181stL10_GHV_033E_DETAÑEZA 40</v>
          </cell>
        </row>
        <row r="3248">
          <cell r="A3248" t="str">
            <v>435181stL10_GHV_019E_RAISETAÑEZA 90</v>
          </cell>
        </row>
        <row r="3249">
          <cell r="A3249" t="str">
            <v>435181st9 UNCATEGORIZED 200</v>
          </cell>
        </row>
        <row r="3250">
          <cell r="A3250" t="str">
            <v>435181st9 UNCATEGORIZED 1100</v>
          </cell>
        </row>
        <row r="3251">
          <cell r="A3251" t="str">
            <v>435181st9 UNCATEGORIZED 1700</v>
          </cell>
        </row>
        <row r="3252">
          <cell r="A3252" t="str">
            <v>435181st9 UNCATEGORIZED 1900</v>
          </cell>
        </row>
        <row r="3253">
          <cell r="A3253" t="str">
            <v>435181st10 UNCATEGORIZED 300</v>
          </cell>
        </row>
        <row r="3254">
          <cell r="A3254" t="str">
            <v>435182ndL08_NONE_035E_SHAFTHUMIDING 20</v>
          </cell>
        </row>
        <row r="3255">
          <cell r="A3255" t="str">
            <v>435182ndL09_GHVFW_040E_DEPANSIT 40</v>
          </cell>
        </row>
        <row r="3256">
          <cell r="A3256" t="str">
            <v>435182ndL09_GHVHW_027E_DWHUMIDING 10</v>
          </cell>
        </row>
        <row r="3257">
          <cell r="A3257" t="str">
            <v>435182ndL09_JV_046E_DWDELOS REYES V. 20</v>
          </cell>
        </row>
        <row r="3258">
          <cell r="A3258" t="str">
            <v>435182ndL09_GHV_015W_STOPESHEPHERD R0</v>
          </cell>
        </row>
        <row r="3259">
          <cell r="A3259" t="str">
            <v>435182ndL09_GHV_060E_STOPEPANSIT 60</v>
          </cell>
        </row>
        <row r="3260">
          <cell r="A3260" t="str">
            <v>435182ndL09_GHVFW_039E_STOPEPANCIT, NOEL 40</v>
          </cell>
        </row>
        <row r="3261">
          <cell r="A3261" t="str">
            <v>435182ndL09_GHVFW_034E_STOPE PREPCANOY 20</v>
          </cell>
        </row>
        <row r="3262">
          <cell r="A3262" t="str">
            <v>435182ndL10_GHV_020E_DETAÑEZA 90</v>
          </cell>
        </row>
        <row r="3263">
          <cell r="A3263" t="str">
            <v>435182ndL10_GHVFW_021E_DETAÑEZA 30</v>
          </cell>
        </row>
        <row r="3264">
          <cell r="A3264" t="str">
            <v>435182ndL10_JV_059E_DETAÑEZA 70</v>
          </cell>
        </row>
        <row r="3265">
          <cell r="A3265" t="str">
            <v>435182ndL10_JVFW_055E_DETAÑEZA 1199</v>
          </cell>
        </row>
        <row r="3266">
          <cell r="A3266" t="str">
            <v>435182nd9 UNCATEGORIZED 200</v>
          </cell>
        </row>
        <row r="3267">
          <cell r="A3267" t="str">
            <v>435182nd9 UNCATEGORIZED 700</v>
          </cell>
        </row>
        <row r="3268">
          <cell r="A3268" t="str">
            <v>435182nd9 UNCATEGORIZED 1000</v>
          </cell>
        </row>
        <row r="3269">
          <cell r="A3269" t="str">
            <v>435182nd9 UNCATEGORIZED 1100</v>
          </cell>
        </row>
        <row r="3270">
          <cell r="A3270" t="str">
            <v>435182nd9 UNCATEGORIZED 1200</v>
          </cell>
        </row>
        <row r="3271">
          <cell r="A3271" t="str">
            <v>435182nd9 UNCATEGORIZED 1500</v>
          </cell>
        </row>
        <row r="3272">
          <cell r="A3272" t="str">
            <v>435182nd9 UNCATEGORIZED 1800</v>
          </cell>
        </row>
        <row r="3273">
          <cell r="A3273" t="str">
            <v>435182nd10 UNCATEGORIZED 600</v>
          </cell>
        </row>
        <row r="3274">
          <cell r="A3274" t="str">
            <v>435182ndL09_GHV_063E_WINZE0</v>
          </cell>
        </row>
        <row r="3275">
          <cell r="A3275" t="str">
            <v>435183rdL09_DPVE_051E_DEBALANGHIG 10</v>
          </cell>
        </row>
        <row r="3276">
          <cell r="A3276" t="str">
            <v>435183rdL09_GHVHW_049E_DEBABOR 10</v>
          </cell>
        </row>
        <row r="3277">
          <cell r="A3277" t="str">
            <v>435183rdL09_GHV_015W_STOPESHEPHERD R0</v>
          </cell>
        </row>
        <row r="3278">
          <cell r="A3278" t="str">
            <v>435183rdL09_GHV_060E_STOPEPANSIT 60</v>
          </cell>
        </row>
        <row r="3279">
          <cell r="A3279" t="str">
            <v>435183rdL09_JV_058E_STOPECANOY 10</v>
          </cell>
        </row>
        <row r="3280">
          <cell r="A3280" t="str">
            <v>435183rdL09_GHVFW_034E_STOPE PREPCANOY 20</v>
          </cell>
        </row>
        <row r="3281">
          <cell r="A3281" t="str">
            <v>435183rdL10_GHV_033E_DETAÑEZA 40</v>
          </cell>
        </row>
        <row r="3282">
          <cell r="A3282" t="str">
            <v>435183rdL10_JVSPLIT_057E_DETAÑEZA 8100</v>
          </cell>
        </row>
        <row r="3283">
          <cell r="A3283" t="str">
            <v>435183rd9 UNCATEGORIZED 900</v>
          </cell>
        </row>
        <row r="3284">
          <cell r="A3284" t="str">
            <v>435183rd9 UNCATEGORIZED 1200</v>
          </cell>
        </row>
        <row r="3285">
          <cell r="A3285" t="str">
            <v>435183rd9 UNCATEGORIZED 1400</v>
          </cell>
        </row>
        <row r="3286">
          <cell r="A3286" t="str">
            <v>435183rd9 UNCATEGORIZED 1700</v>
          </cell>
        </row>
        <row r="3287">
          <cell r="A3287" t="str">
            <v>435183rd10 UNCATEGORIZED 300</v>
          </cell>
        </row>
        <row r="3288">
          <cell r="A3288" t="str">
            <v>435183rd10 UNCATEGORIZED 400</v>
          </cell>
        </row>
        <row r="3289">
          <cell r="A3289" t="str">
            <v>435183rd10 UNCATEGORIZED 600</v>
          </cell>
        </row>
        <row r="3290">
          <cell r="A3290" t="str">
            <v>435183rdL10_GHV_019E_RAISETAÑEZA 90</v>
          </cell>
        </row>
        <row r="3291">
          <cell r="A3291" t="str">
            <v>435191stL02_JV_042W_ROBBINGDAGAMAC0</v>
          </cell>
        </row>
        <row r="3292">
          <cell r="A3292" t="str">
            <v>435191stL02_RYV_020W_ROBBINGMONTEBON 50</v>
          </cell>
        </row>
        <row r="3293">
          <cell r="A3293" t="str">
            <v>435191st2 UNCATEGORIZED 800</v>
          </cell>
        </row>
        <row r="3294">
          <cell r="A3294" t="str">
            <v>435192ndL02_CTV_061W_ROBBINGNOCOS 20</v>
          </cell>
        </row>
        <row r="3295">
          <cell r="A3295" t="str">
            <v>435192ndL02_JV_030W_ROBBINGLERIO, RAUL0</v>
          </cell>
        </row>
        <row r="3296">
          <cell r="A3296" t="str">
            <v>435192ndL02_JV_042W_ROBBINGDAGAMAC0</v>
          </cell>
        </row>
        <row r="3297">
          <cell r="A3297" t="str">
            <v>435192ndL02_RYV_012W_ROBBINGLASANAS0</v>
          </cell>
        </row>
        <row r="3298">
          <cell r="A3298" t="str">
            <v>435192ndL02_CV_005E_STOPE PREPALMASA 20</v>
          </cell>
        </row>
        <row r="3299">
          <cell r="A3299" t="str">
            <v>435192nd2 UNCATEGORIZED 100</v>
          </cell>
        </row>
        <row r="3300">
          <cell r="A3300" t="str">
            <v>435192nd2 UNCATEGORIZED 200</v>
          </cell>
        </row>
        <row r="3301">
          <cell r="A3301" t="str">
            <v>435192nd2 UNCATEGORIZED 300</v>
          </cell>
        </row>
        <row r="3302">
          <cell r="A3302" t="str">
            <v>435192nd2 UNCATEGORIZED 400</v>
          </cell>
        </row>
        <row r="3303">
          <cell r="A3303" t="str">
            <v>435192nd2 UNCATEGORIZED 1000</v>
          </cell>
        </row>
        <row r="3304">
          <cell r="A3304" t="str">
            <v>435192nd2 UNCATEGORIZED 1100</v>
          </cell>
        </row>
        <row r="3305">
          <cell r="A3305" t="str">
            <v>435193rdL02_RYV_012W_ROBBINGLASANAS0</v>
          </cell>
        </row>
        <row r="3306">
          <cell r="A3306" t="str">
            <v>435193rd2 UNCATEGORIZED 100</v>
          </cell>
        </row>
        <row r="3307">
          <cell r="A3307" t="str">
            <v>435193rd2 UNCATEGORIZED 800</v>
          </cell>
        </row>
        <row r="3308">
          <cell r="A3308" t="str">
            <v>435193rd2 UNCATEGORIZED 1000</v>
          </cell>
        </row>
        <row r="3309">
          <cell r="A3309" t="str">
            <v>435191stL04_GHVFW_006E_DEOY-YOY 20</v>
          </cell>
        </row>
        <row r="3310">
          <cell r="A3310" t="str">
            <v>435191stL04_JV_003E_DECABONITA 20</v>
          </cell>
        </row>
        <row r="3311">
          <cell r="A3311" t="str">
            <v>435191stL04_CV_012W_ROBBINGMARTINEZ RON. 10</v>
          </cell>
        </row>
        <row r="3312">
          <cell r="A3312" t="str">
            <v>435191stL04_GHV_010W_ROBBINGCABONITA 30</v>
          </cell>
        </row>
        <row r="3313">
          <cell r="A3313" t="str">
            <v>435191stL04_GHVFW_040W_ROBBINGNACARIO 10</v>
          </cell>
        </row>
        <row r="3314">
          <cell r="A3314" t="str">
            <v>435191st4 UNCATEGORIZED 300</v>
          </cell>
        </row>
        <row r="3315">
          <cell r="A3315" t="str">
            <v>435191st4 UNCATEGORIZED 400</v>
          </cell>
        </row>
        <row r="3316">
          <cell r="A3316" t="str">
            <v>435191st4 UNCATEGORIZED 1100</v>
          </cell>
        </row>
        <row r="3317">
          <cell r="A3317" t="str">
            <v>435191st4 UNCATEGORIZED 1600</v>
          </cell>
        </row>
        <row r="3318">
          <cell r="A3318" t="str">
            <v>435192ndL04_GHV_010W_ROBBINGCABONITA 30</v>
          </cell>
        </row>
        <row r="3319">
          <cell r="A3319" t="str">
            <v>435192nd4 UNCATEGORIZED 300</v>
          </cell>
        </row>
        <row r="3320">
          <cell r="A3320" t="str">
            <v>435192nd4 UNCATEGORIZED 500</v>
          </cell>
        </row>
        <row r="3321">
          <cell r="A3321" t="str">
            <v>435193rdL04_GHVFW_015E_DEPARAGUYA 30</v>
          </cell>
        </row>
        <row r="3322">
          <cell r="A3322" t="str">
            <v>435193rdL04_CTV_017W_ROBBINGNOCOS, ARIEL0</v>
          </cell>
        </row>
        <row r="3323">
          <cell r="A3323" t="str">
            <v>435193rdL04_GHV_010W_ROBBINGCABONITA 30</v>
          </cell>
        </row>
        <row r="3324">
          <cell r="A3324" t="str">
            <v>435193rdL04_JV_042W_STOPEDUHIG 30</v>
          </cell>
        </row>
        <row r="3325">
          <cell r="A3325" t="str">
            <v>435193rd4 UNCATEGORIZED 700</v>
          </cell>
        </row>
        <row r="3326">
          <cell r="A3326" t="str">
            <v>435193rd4 UNCATEGORIZED 900</v>
          </cell>
        </row>
        <row r="3327">
          <cell r="A3327" t="str">
            <v>435193rd4 UNCATEGORIZED 1100</v>
          </cell>
        </row>
        <row r="3328">
          <cell r="A3328" t="str">
            <v>435193rd4 UNCATEGORIZED 1300</v>
          </cell>
        </row>
        <row r="3329">
          <cell r="A3329" t="str">
            <v>435193rd4 UNCATEGORIZED 1600</v>
          </cell>
        </row>
        <row r="3330">
          <cell r="A3330" t="str">
            <v>435191stL05_CV_003W_RAISEALMEDORA 20</v>
          </cell>
        </row>
        <row r="3331">
          <cell r="A3331" t="str">
            <v>435191stL05_CTV_008W_STOPESHEPHERD P0</v>
          </cell>
        </row>
        <row r="3332">
          <cell r="A3332" t="str">
            <v>435191stL05_JVFW_005E_WINZE STOPE PREPDAVOCOL ROW 10</v>
          </cell>
        </row>
        <row r="3333">
          <cell r="A3333" t="str">
            <v>435191st5 UNCATEGORIZED 200</v>
          </cell>
        </row>
        <row r="3334">
          <cell r="A3334" t="str">
            <v>435191st5 UNCATEGORIZED 900</v>
          </cell>
        </row>
        <row r="3335">
          <cell r="A3335" t="str">
            <v>435192ndL05_CV_003W_RAISEALMEDORA 20</v>
          </cell>
        </row>
        <row r="3336">
          <cell r="A3336" t="str">
            <v>435192ndL05_JVFW_012W_RAISEFERNANDEZ RX 30</v>
          </cell>
        </row>
        <row r="3337">
          <cell r="A3337" t="str">
            <v>435192ndL05_CTV_008W_STOPESHEPHERD P0</v>
          </cell>
        </row>
        <row r="3338">
          <cell r="A3338" t="str">
            <v>435192ndL05_GHV_023W_WINZEBADBADON L. 20</v>
          </cell>
        </row>
        <row r="3339">
          <cell r="A3339" t="str">
            <v>435192nd5 UNCATEGORIZED 900</v>
          </cell>
        </row>
        <row r="3340">
          <cell r="A3340" t="str">
            <v>435192nd5 UNCATEGORIZED 1100</v>
          </cell>
        </row>
        <row r="3341">
          <cell r="A3341" t="str">
            <v>435192nd5 UNCATEGORIZED 1200</v>
          </cell>
        </row>
        <row r="3342">
          <cell r="A3342" t="str">
            <v>435193rdL05_CV_003W_RAISEALMEDORA 20</v>
          </cell>
        </row>
        <row r="3343">
          <cell r="A3343" t="str">
            <v>435193rdL05_JVFW_012W_RAISEFERNANDEZ RX 30</v>
          </cell>
        </row>
        <row r="3344">
          <cell r="A3344" t="str">
            <v>435193rdL05_NV_005W_RAISESHEPHERD P0</v>
          </cell>
        </row>
        <row r="3345">
          <cell r="A3345" t="str">
            <v>435191stL06_JV_001W_RAISEREBOTE 20</v>
          </cell>
        </row>
        <row r="3346">
          <cell r="A3346" t="str">
            <v>435191stL06_DPVE_022E_STOPEBAÑEZ 60</v>
          </cell>
        </row>
        <row r="3347">
          <cell r="A3347" t="str">
            <v>435191stL06_JVFW_006E_STOPEBADBADON R. 50</v>
          </cell>
        </row>
        <row r="3348">
          <cell r="A3348" t="str">
            <v>435191stL06_GHVFW_003E_STOPE PREPBAÑEZ 40</v>
          </cell>
        </row>
        <row r="3349">
          <cell r="A3349" t="str">
            <v>435191st6 UNCATEGORIZED 200</v>
          </cell>
        </row>
        <row r="3350">
          <cell r="A3350" t="str">
            <v>435191st6 UNCATEGORIZED 400</v>
          </cell>
        </row>
        <row r="3351">
          <cell r="A3351" t="str">
            <v>435191st6 UNCATEGORIZED 1000</v>
          </cell>
        </row>
        <row r="3352">
          <cell r="A3352" t="str">
            <v>435191st6 UNCATEGORIZED 1400</v>
          </cell>
        </row>
        <row r="3353">
          <cell r="A3353" t="str">
            <v>435191st6 UNCATEGORIZED 2100</v>
          </cell>
        </row>
        <row r="3354">
          <cell r="A3354" t="str">
            <v>435192ndL06_CV_005E_DEREBOTE 10</v>
          </cell>
        </row>
        <row r="3355">
          <cell r="A3355" t="str">
            <v>435192ndL06_JVFW_006E_STOPEBADBADON R. 50</v>
          </cell>
        </row>
        <row r="3356">
          <cell r="A3356" t="str">
            <v>435192ndL06_GHVFW_003E_STOPE PREPBAÑEZ 40</v>
          </cell>
        </row>
        <row r="3357">
          <cell r="A3357" t="str">
            <v>435192ndL06_NONE_021E_XCNGUNAY 10</v>
          </cell>
        </row>
        <row r="3358">
          <cell r="A3358" t="str">
            <v>435192nd6 UNCATEGORIZED 400</v>
          </cell>
        </row>
        <row r="3359">
          <cell r="A3359" t="str">
            <v>435192nd6 UNCATEGORIZED 600</v>
          </cell>
        </row>
        <row r="3360">
          <cell r="A3360" t="str">
            <v>435192nd6 UNCATEGORIZED 1100</v>
          </cell>
        </row>
        <row r="3361">
          <cell r="A3361" t="str">
            <v>435192nd6 UNCATEGORIZED 1400</v>
          </cell>
        </row>
        <row r="3362">
          <cell r="A3362" t="str">
            <v>435192nd6 UNCATEGORIZED 1500</v>
          </cell>
        </row>
        <row r="3363">
          <cell r="A3363" t="str">
            <v>435192nd6 UNCATEGORIZED 2100</v>
          </cell>
        </row>
        <row r="3364">
          <cell r="A3364" t="str">
            <v>435193rdL06_JV_001W_RAISEREBOTE 20</v>
          </cell>
        </row>
        <row r="3365">
          <cell r="A3365" t="str">
            <v>435193rdL06_JV_056E_ROBBINGUDLOS 10</v>
          </cell>
        </row>
        <row r="3366">
          <cell r="A3366" t="str">
            <v>435193rdL06_DPVE_022E_STOPEBAÑEZ 60</v>
          </cell>
        </row>
        <row r="3367">
          <cell r="A3367" t="str">
            <v>435193rdL06_JVFW_006E_STOPEBADBADON R. 50</v>
          </cell>
        </row>
        <row r="3368">
          <cell r="A3368" t="str">
            <v>435193rd6 UNCATEGORIZED 400</v>
          </cell>
        </row>
        <row r="3369">
          <cell r="A3369" t="str">
            <v>435193rd6 UNCATEGORIZED 1000</v>
          </cell>
        </row>
        <row r="3370">
          <cell r="A3370" t="str">
            <v>435193rd6 UNCATEGORIZED 1400</v>
          </cell>
        </row>
        <row r="3371">
          <cell r="A3371" t="str">
            <v>435193rd6 UNCATEGORIZED 1600</v>
          </cell>
        </row>
        <row r="3372">
          <cell r="A3372" t="str">
            <v>435193rd6 UNCATEGORIZED 1900</v>
          </cell>
        </row>
        <row r="3373">
          <cell r="A3373" t="str">
            <v>435193rd6 UNCATEGORIZED 2000</v>
          </cell>
        </row>
        <row r="3374">
          <cell r="A3374" t="str">
            <v>435191stL07_DPVE_060E_DEVILLARANTE 40</v>
          </cell>
        </row>
        <row r="3375">
          <cell r="A3375" t="str">
            <v>435191stL07_DPVE_028E_STOPEDOLARIZA 20</v>
          </cell>
        </row>
        <row r="3376">
          <cell r="A3376" t="str">
            <v>435191stL07_DPVE_026E_STOPE PREPSHEPHERD H57</v>
          </cell>
        </row>
        <row r="3377">
          <cell r="A3377" t="str">
            <v>435191st7 UNCATEGORIZED 1400</v>
          </cell>
        </row>
        <row r="3378">
          <cell r="A3378" t="str">
            <v>435191st7 UNCATEGORIZED 1800</v>
          </cell>
        </row>
        <row r="3379">
          <cell r="A3379" t="str">
            <v>435191st7 UNCATEGORIZED 2000</v>
          </cell>
        </row>
        <row r="3380">
          <cell r="A3380" t="str">
            <v>435192ndL07_DPVE_060E_DEVILLARANTE 40</v>
          </cell>
        </row>
        <row r="3381">
          <cell r="A3381" t="str">
            <v>435192ndL07_JVHW_072E_STOPEBABOR 567</v>
          </cell>
        </row>
        <row r="3382">
          <cell r="A3382" t="str">
            <v>435192ndL07_GHVHW_056E_WINZE STOPE PREPBABOR 30</v>
          </cell>
        </row>
        <row r="3383">
          <cell r="A3383" t="str">
            <v>435192nd7 UNCATEGORIZED 500</v>
          </cell>
        </row>
        <row r="3384">
          <cell r="A3384" t="str">
            <v>435192nd7 UNCATEGORIZED 900</v>
          </cell>
        </row>
        <row r="3385">
          <cell r="A3385" t="str">
            <v>435192nd7 UNCATEGORIZED 1400</v>
          </cell>
        </row>
        <row r="3386">
          <cell r="A3386" t="str">
            <v>435192nd7 UNCATEGORIZED 1700</v>
          </cell>
        </row>
        <row r="3387">
          <cell r="A3387" t="str">
            <v>435192nd7 UNCATEGORIZED 2100</v>
          </cell>
        </row>
        <row r="3388">
          <cell r="A3388" t="str">
            <v>435193rdL07_DPVE_060E_DEVILLARANTE 40</v>
          </cell>
        </row>
        <row r="3389">
          <cell r="A3389" t="str">
            <v>435193rdL07_JVHW_072E_STOPEBABOR 567</v>
          </cell>
        </row>
        <row r="3390">
          <cell r="A3390" t="str">
            <v>435193rdL07_DPVE_026E_STOPE PREPSHEPHERD H57</v>
          </cell>
        </row>
        <row r="3391">
          <cell r="A3391" t="str">
            <v>435193rdL07_JVHW_064E_STOPE PREPBABOR 568</v>
          </cell>
        </row>
        <row r="3392">
          <cell r="A3392" t="str">
            <v>435193rd7 UNCATEGORIZED 1400</v>
          </cell>
        </row>
        <row r="3393">
          <cell r="A3393" t="str">
            <v>435193rd7 UNCATEGORIZED 1500</v>
          </cell>
        </row>
        <row r="3394">
          <cell r="A3394" t="str">
            <v>435193rd7 UNCATEGORIZED 1700</v>
          </cell>
        </row>
        <row r="3395">
          <cell r="A3395" t="str">
            <v>435193rd7 UNCATEGORIZED 1800</v>
          </cell>
        </row>
        <row r="3396">
          <cell r="A3396" t="str">
            <v>435191stL08_JVSPLIT_017E_DEAGLOLO 20</v>
          </cell>
        </row>
        <row r="3397">
          <cell r="A3397" t="str">
            <v>435191stL08_DPVE_065E_RAISELERIO 40</v>
          </cell>
        </row>
        <row r="3398">
          <cell r="A3398" t="str">
            <v>435191stL08_DPVE_061E_STOPEAGLOLO 40</v>
          </cell>
        </row>
        <row r="3399">
          <cell r="A3399" t="str">
            <v>435191stL08_GHVHW_034E_STOPECAPOY 20</v>
          </cell>
        </row>
        <row r="3400">
          <cell r="A3400" t="str">
            <v>435191stL08_JV_029E_STOPEBORERO 40</v>
          </cell>
        </row>
        <row r="3401">
          <cell r="A3401" t="str">
            <v>435191stL08_NONE_059E_XCSVERSOZA 40</v>
          </cell>
        </row>
        <row r="3402">
          <cell r="A3402" t="str">
            <v>435191st8 UNCATEGORIZED 500</v>
          </cell>
        </row>
        <row r="3403">
          <cell r="A3403" t="str">
            <v>435191st8 UNCATEGORIZED 600</v>
          </cell>
        </row>
        <row r="3404">
          <cell r="A3404" t="str">
            <v>435192ndL08_DPVE_068E_DELERIO 30</v>
          </cell>
        </row>
        <row r="3405">
          <cell r="A3405" t="str">
            <v>435192ndL08_DPVE_048E_DWSILVOZA 30</v>
          </cell>
        </row>
        <row r="3406">
          <cell r="A3406" t="str">
            <v>435192ndL08_DPVE_061E_STOPEAGLOLO 40</v>
          </cell>
        </row>
        <row r="3407">
          <cell r="A3407" t="str">
            <v>435192ndL08_GHVHW_031E_STOPEGEMENTIZA 10</v>
          </cell>
        </row>
        <row r="3408">
          <cell r="A3408" t="str">
            <v>435192ndL08_GHVHW_034E_STOPECAPOY 20</v>
          </cell>
        </row>
        <row r="3409">
          <cell r="A3409" t="str">
            <v>435192ndL08_JV_029E_STOPEBORERO 40</v>
          </cell>
        </row>
        <row r="3410">
          <cell r="A3410" t="str">
            <v>435192ndL08_NONE_016W_XCNSILVOZA 181</v>
          </cell>
        </row>
        <row r="3411">
          <cell r="A3411" t="str">
            <v>435192ndL08_NONE_059E_XCSVERSOZA 40</v>
          </cell>
        </row>
        <row r="3412">
          <cell r="A3412" t="str">
            <v>435192nd8 UNCATEGORIZED 1500</v>
          </cell>
        </row>
        <row r="3413">
          <cell r="A3413" t="str">
            <v>435192nd8 UNCATEGORIZED 1800</v>
          </cell>
        </row>
        <row r="3414">
          <cell r="A3414" t="str">
            <v>435192nd8 UNCATEGORIZED 2400</v>
          </cell>
        </row>
        <row r="3415">
          <cell r="A3415" t="str">
            <v>435193rd8 UNCATEGORIZED 600</v>
          </cell>
        </row>
        <row r="3416">
          <cell r="A3416" t="str">
            <v>435191stL09_DPVE_051E_DEBALANGHIG 10</v>
          </cell>
        </row>
        <row r="3417">
          <cell r="A3417" t="str">
            <v>435191stL09_GHVFW_040E_DEPANSIT 40</v>
          </cell>
        </row>
        <row r="3418">
          <cell r="A3418" t="str">
            <v>435191stL09_JVFW_062E_DESHEPHERD S0</v>
          </cell>
        </row>
        <row r="3419">
          <cell r="A3419" t="str">
            <v>435191stL09_JVFW_055E_RAISECANOY 30</v>
          </cell>
        </row>
        <row r="3420">
          <cell r="A3420" t="str">
            <v>435191stL09_GHV_015W_STOPESHEPHERD R0</v>
          </cell>
        </row>
        <row r="3421">
          <cell r="A3421" t="str">
            <v>435191stL09_GHVFW_034E_STOPE PREPCANOY 20</v>
          </cell>
        </row>
        <row r="3422">
          <cell r="A3422" t="str">
            <v>435191st9 UNCATEGORIZED 200</v>
          </cell>
        </row>
        <row r="3423">
          <cell r="A3423" t="str">
            <v>435191st9 UNCATEGORIZED 1100</v>
          </cell>
        </row>
        <row r="3424">
          <cell r="A3424" t="str">
            <v>435191st9 UNCATEGORIZED 1400</v>
          </cell>
        </row>
        <row r="3425">
          <cell r="A3425" t="str">
            <v>435191st10 UNCATEGORIZED 600</v>
          </cell>
        </row>
        <row r="3426">
          <cell r="A3426" t="str">
            <v>435192ndL09_GHVHW_049E_DEBABOR 10</v>
          </cell>
        </row>
        <row r="3427">
          <cell r="A3427" t="str">
            <v>435192ndL09_JV_050E_DEDAVOCOL, ROSELIO 30</v>
          </cell>
        </row>
        <row r="3428">
          <cell r="A3428" t="str">
            <v>435192ndL09_JV_046E_DWDELOS REYES V. 20</v>
          </cell>
        </row>
        <row r="3429">
          <cell r="A3429" t="str">
            <v>435192ndL09_JVFW_055E_RAISECANOY 30</v>
          </cell>
        </row>
        <row r="3430">
          <cell r="A3430" t="str">
            <v>435192ndL09_GHV_015W_STOPESHEPHERD R0</v>
          </cell>
        </row>
        <row r="3431">
          <cell r="A3431" t="str">
            <v>435192ndL09_GHV_031E_STOPEPANCIT, NOEL 80</v>
          </cell>
        </row>
        <row r="3432">
          <cell r="A3432" t="str">
            <v>435192ndL09_GHVFW_039E_STOPEPANCIT, NOEL 40</v>
          </cell>
        </row>
        <row r="3433">
          <cell r="A3433" t="str">
            <v>435192ndL09_JV_058E_STOPECANOY 10</v>
          </cell>
        </row>
        <row r="3434">
          <cell r="A3434" t="str">
            <v>435192ndL09_GHVFW_034E_STOPE PREPCANOY 20</v>
          </cell>
        </row>
        <row r="3435">
          <cell r="A3435" t="str">
            <v>435192ndL09_GHV_063E_WINZE0</v>
          </cell>
        </row>
        <row r="3436">
          <cell r="A3436" t="str">
            <v>435192ndL10_GHV_033E_DETAÑEZA 40</v>
          </cell>
        </row>
        <row r="3437">
          <cell r="A3437" t="str">
            <v>435192ndL10_GHVFW_021E_DETAÑEZA 30</v>
          </cell>
        </row>
        <row r="3438">
          <cell r="A3438" t="str">
            <v>435192ndL10_JVFW_055E_DETAÑEZA 1199</v>
          </cell>
        </row>
        <row r="3439">
          <cell r="A3439" t="str">
            <v>435192ndL10_GHV_019E_RAISETAÑEZA 90</v>
          </cell>
        </row>
        <row r="3440">
          <cell r="A3440" t="str">
            <v>435192nd10 UNCATEGORIZED 300</v>
          </cell>
        </row>
        <row r="3441">
          <cell r="A3441" t="str">
            <v>435192nd10 UNCATEGORIZED 500</v>
          </cell>
        </row>
        <row r="3442">
          <cell r="A3442" t="str">
            <v>435192nd10 UNCATEGORIZED 600</v>
          </cell>
        </row>
        <row r="3443">
          <cell r="A3443" t="str">
            <v>435192nd9 UNCATEGORIZED 200</v>
          </cell>
        </row>
        <row r="3444">
          <cell r="A3444" t="str">
            <v>435192nd9 UNCATEGORIZED 1100</v>
          </cell>
        </row>
        <row r="3445">
          <cell r="A3445" t="str">
            <v>435192nd9 UNCATEGORIZED 1500</v>
          </cell>
        </row>
        <row r="3446">
          <cell r="A3446" t="str">
            <v>435192nd9 UNCATEGORIZED 1700</v>
          </cell>
        </row>
        <row r="3447">
          <cell r="A3447" t="str">
            <v>435192nd9 UNCATEGORIZED 1900</v>
          </cell>
        </row>
        <row r="3448">
          <cell r="A3448" t="str">
            <v>435191stL10_GHV_020E_DETAÑEZA 90</v>
          </cell>
        </row>
        <row r="3449">
          <cell r="A3449" t="str">
            <v>435191stL10_JV_059E_DETAÑEZA 70</v>
          </cell>
        </row>
        <row r="3450">
          <cell r="A3450" t="str">
            <v>435193rdL09_GHVHW_027E_DWHUMIDING 10</v>
          </cell>
        </row>
        <row r="3451">
          <cell r="A3451" t="str">
            <v>435193rdL09_GHVFW_028E_STOPE PREPPANCIT, NOEL 40</v>
          </cell>
        </row>
        <row r="3452">
          <cell r="A3452" t="str">
            <v>435193rdL09_GHV_063E_WINZE0</v>
          </cell>
        </row>
        <row r="3453">
          <cell r="A3453" t="str">
            <v>435193rd9 UNCATEGORIZED 200</v>
          </cell>
        </row>
        <row r="3454">
          <cell r="A3454" t="str">
            <v>435193rd9 UNCATEGORIZED 1100</v>
          </cell>
        </row>
        <row r="3455">
          <cell r="A3455" t="str">
            <v>435193rd9 UNCATEGORIZED 1800</v>
          </cell>
        </row>
        <row r="3456">
          <cell r="A3456" t="str">
            <v>435193rd9 UNCATEGORIZED 2000</v>
          </cell>
        </row>
        <row r="3457">
          <cell r="A3457" t="str">
            <v>435193rdL10_JVSPLIT_057E_DETAÑEZA 8100</v>
          </cell>
        </row>
        <row r="3458">
          <cell r="A3458" t="str">
            <v>435201stL02_GHV_009W_ROBBINGMONTEBON 40</v>
          </cell>
        </row>
        <row r="3459">
          <cell r="A3459" t="str">
            <v>435201st4 UNCATEGORIZED 500</v>
          </cell>
        </row>
        <row r="3460">
          <cell r="A3460" t="str">
            <v>435201st4 UNCATEGORIZED 1400</v>
          </cell>
        </row>
        <row r="3461">
          <cell r="A3461" t="str">
            <v>435201stL05_CV_010E_WINZESHEPHERD L56</v>
          </cell>
        </row>
        <row r="3462">
          <cell r="A3462" t="str">
            <v>435201st5 UNCATEGORIZED 600</v>
          </cell>
        </row>
        <row r="3463">
          <cell r="A3463" t="str">
            <v>435201st5 UNCATEGORIZED 1000</v>
          </cell>
        </row>
        <row r="3464">
          <cell r="A3464" t="str">
            <v>435201stL06_NONE_021E_XCNGUNAY 10</v>
          </cell>
        </row>
        <row r="3465">
          <cell r="A3465" t="str">
            <v>435201st6 UNCATEGORIZED 700</v>
          </cell>
        </row>
        <row r="3466">
          <cell r="A3466" t="str">
            <v>435201st6 UNCATEGORIZED 1400</v>
          </cell>
        </row>
        <row r="3467">
          <cell r="A3467" t="str">
            <v>435201st6 UNCATEGORIZED 1700</v>
          </cell>
        </row>
        <row r="3468">
          <cell r="A3468" t="str">
            <v>435201st6 UNCATEGORIZED 2100</v>
          </cell>
        </row>
        <row r="3469">
          <cell r="A3469" t="str">
            <v>435201stL07_JVHW_072E_STOPEBABOR 567</v>
          </cell>
        </row>
        <row r="3470">
          <cell r="A3470" t="str">
            <v>435201st7 UNCATEGORIZED 900</v>
          </cell>
        </row>
        <row r="3471">
          <cell r="A3471" t="str">
            <v>435201st7 UNCATEGORIZED 1700</v>
          </cell>
        </row>
        <row r="3472">
          <cell r="A3472" t="str">
            <v>435202nd4 UNCATEGORIZED 1900</v>
          </cell>
        </row>
        <row r="3473">
          <cell r="A3473" t="str">
            <v>435202nd6 UNCATEGORIZED 1400</v>
          </cell>
        </row>
        <row r="3474">
          <cell r="A3474" t="str">
            <v>435202nd6 UNCATEGORIZED 1700</v>
          </cell>
        </row>
        <row r="3475">
          <cell r="A3475" t="str">
            <v>435202nd6 UNCATEGORIZED 2200</v>
          </cell>
        </row>
        <row r="3476">
          <cell r="A3476" t="str">
            <v>435202nd6 UNCATEGORIZED 400</v>
          </cell>
        </row>
        <row r="3477">
          <cell r="A3477" t="str">
            <v>435211stL02_JV_042W_ROBBINGDAGAMAC0</v>
          </cell>
        </row>
        <row r="3478">
          <cell r="A3478" t="str">
            <v>435211st2 UNCATEGORIZED 800</v>
          </cell>
        </row>
        <row r="3479">
          <cell r="A3479" t="str">
            <v>435212ndL02_JV_030W_ROBBINGLERIO, RAUL0</v>
          </cell>
        </row>
        <row r="3480">
          <cell r="A3480" t="str">
            <v>435212ndL02_RYV_012W_ROBBINGLASANAS0</v>
          </cell>
        </row>
        <row r="3481">
          <cell r="A3481" t="str">
            <v>435212ndL02_RYV_023W_ROBBINGCARIKITAN 10</v>
          </cell>
        </row>
        <row r="3482">
          <cell r="A3482" t="str">
            <v>435212ndL02_CV_007E_WINZEALMASA 30</v>
          </cell>
        </row>
        <row r="3483">
          <cell r="A3483" t="str">
            <v>435212nd2 UNCATEGORIZED 200</v>
          </cell>
        </row>
        <row r="3484">
          <cell r="A3484" t="str">
            <v>435212nd2 UNCATEGORIZED 400</v>
          </cell>
        </row>
        <row r="3485">
          <cell r="A3485" t="str">
            <v>435212nd2 UNCATEGORIZED 600</v>
          </cell>
        </row>
        <row r="3486">
          <cell r="A3486" t="str">
            <v>435213rdL02_GHV_009W_ROBBINGMONTEBON 40</v>
          </cell>
        </row>
        <row r="3487">
          <cell r="A3487" t="str">
            <v>435213rdL02_JV_030W_ROBBINGLERIO, RAUL0</v>
          </cell>
        </row>
        <row r="3488">
          <cell r="A3488" t="str">
            <v>435213rdL02_JV_042W_ROBBINGDAGAMAC0</v>
          </cell>
        </row>
        <row r="3489">
          <cell r="A3489" t="str">
            <v>435213rdL02_RYV_012W_ROBBINGLASANAS0</v>
          </cell>
        </row>
        <row r="3490">
          <cell r="A3490" t="str">
            <v>435213rd2 UNCATEGORIZED 300</v>
          </cell>
        </row>
        <row r="3491">
          <cell r="A3491" t="str">
            <v>435213rd2 UNCATEGORIZED 1300</v>
          </cell>
        </row>
        <row r="3492">
          <cell r="A3492" t="str">
            <v>435213rdL04_CTV_017W_ROBBINGNOCOS, ARIEL0</v>
          </cell>
        </row>
        <row r="3493">
          <cell r="A3493" t="str">
            <v>435213rdL04_CV_012W_ROBBINGMARTINEZ RON. 10</v>
          </cell>
        </row>
        <row r="3494">
          <cell r="A3494" t="str">
            <v>435213rd4 UNCATEGORIZED 1600</v>
          </cell>
        </row>
        <row r="3495">
          <cell r="A3495" t="str">
            <v>435213rd4 UNCATEGORIZED 1800</v>
          </cell>
        </row>
        <row r="3496">
          <cell r="A3496" t="str">
            <v>435213rd4 UNCATEGORIZED 1900</v>
          </cell>
        </row>
        <row r="3497">
          <cell r="A3497" t="str">
            <v>435212nd4 UNCATEGORIZED 1800</v>
          </cell>
        </row>
        <row r="3498">
          <cell r="A3498" t="str">
            <v>435212nd4 UNCATEGORIZED 1900</v>
          </cell>
        </row>
        <row r="3499">
          <cell r="A3499" t="str">
            <v>435212ndL04_JV_049W_RAISEDUHIG 30</v>
          </cell>
        </row>
        <row r="3500">
          <cell r="A3500" t="str">
            <v>435212ndL04_CTV_017W_ROBBINGNOCOS, ARIEL0</v>
          </cell>
        </row>
        <row r="3501">
          <cell r="A3501" t="str">
            <v>435212ndL04_GHV_010W_ROBBINGCABONITA 30</v>
          </cell>
        </row>
        <row r="3502">
          <cell r="A3502" t="str">
            <v>435212ndL04_GHVFW_040W_ROBBINGNACARIO 10</v>
          </cell>
        </row>
        <row r="3503">
          <cell r="A3503" t="str">
            <v>435212ndL04_CTV5_016E_STOPECABCAD 10</v>
          </cell>
        </row>
        <row r="3504">
          <cell r="A3504" t="str">
            <v>435212ndL04_JV_042W_STOPEDUHIG 30</v>
          </cell>
        </row>
        <row r="3505">
          <cell r="A3505" t="str">
            <v>435212nd4 UNCATEGORIZED 500</v>
          </cell>
        </row>
        <row r="3506">
          <cell r="A3506" t="str">
            <v>435212nd4 UNCATEGORIZED 700</v>
          </cell>
        </row>
        <row r="3507">
          <cell r="A3507" t="str">
            <v>435212nd4 UNCATEGORIZED 1100</v>
          </cell>
        </row>
        <row r="3508">
          <cell r="A3508" t="str">
            <v>435212nd4 UNCATEGORIZED 1300</v>
          </cell>
        </row>
        <row r="3509">
          <cell r="A3509" t="str">
            <v>435211stL04_CV_012W_ROBBINGMARTINEZ RON. 10</v>
          </cell>
        </row>
        <row r="3510">
          <cell r="A3510" t="str">
            <v>435211st4 UNCATEGORIZED 1100</v>
          </cell>
        </row>
        <row r="3511">
          <cell r="A3511" t="str">
            <v>435213rdL05_CV_003W_RAISEALMEDORA 20</v>
          </cell>
        </row>
        <row r="3512">
          <cell r="A3512" t="str">
            <v>435213rdL05_JVFW_012W_RAISEFERNANDEZ RX 30</v>
          </cell>
        </row>
        <row r="3513">
          <cell r="A3513" t="str">
            <v>435213rdL05_JVSPLIT_006E_RAISEBALDO 10</v>
          </cell>
        </row>
        <row r="3514">
          <cell r="A3514" t="str">
            <v>435213rdL05_GHV_010W_ROBBINGFERNANDEZ RX 40</v>
          </cell>
        </row>
        <row r="3515">
          <cell r="A3515" t="str">
            <v>435213rdL05_JV_018E_STOPEBALDO 252</v>
          </cell>
        </row>
        <row r="3516">
          <cell r="A3516" t="str">
            <v>435213rd5 UNCATEGORIZED 200</v>
          </cell>
        </row>
        <row r="3517">
          <cell r="A3517" t="str">
            <v>435213rd5 UNCATEGORIZED 800</v>
          </cell>
        </row>
        <row r="3518">
          <cell r="A3518" t="str">
            <v>435213rd5 UNCATEGORIZED 1300</v>
          </cell>
        </row>
        <row r="3519">
          <cell r="A3519" t="str">
            <v>435213rd5 UNCATEGORIZED 1400</v>
          </cell>
        </row>
        <row r="3520">
          <cell r="A3520" t="str">
            <v>435212ndL05_CV_003W_RAISEALMEDORA 20</v>
          </cell>
        </row>
        <row r="3521">
          <cell r="A3521" t="str">
            <v>435212ndL05_GHVSPLIT_030E_ROBBINGCAYABAS 10</v>
          </cell>
        </row>
        <row r="3522">
          <cell r="A3522" t="str">
            <v>435212ndL05_GHV_023W_WINZEBADBADON L. 20</v>
          </cell>
        </row>
        <row r="3523">
          <cell r="A3523" t="str">
            <v>435212nd5 UNCATEGORIZED 200</v>
          </cell>
        </row>
        <row r="3524">
          <cell r="A3524" t="str">
            <v>435212nd5 UNCATEGORIZED 1100</v>
          </cell>
        </row>
        <row r="3525">
          <cell r="A3525" t="str">
            <v>435212nd5 UNCATEGORIZED 1400</v>
          </cell>
        </row>
        <row r="3526">
          <cell r="A3526" t="str">
            <v>435212nd5 UNCATEGORIZED 1500</v>
          </cell>
        </row>
        <row r="3527">
          <cell r="A3527" t="str">
            <v>435211stL05_CV_003W_RAISEALMEDORA 20</v>
          </cell>
        </row>
        <row r="3528">
          <cell r="A3528" t="str">
            <v>435211st5 UNCATEGORIZED 200</v>
          </cell>
        </row>
        <row r="3529">
          <cell r="A3529" t="str">
            <v>435211st5 UNCATEGORIZED 1500</v>
          </cell>
        </row>
        <row r="3530">
          <cell r="A3530" t="str">
            <v>435211stL06_DPVE_022E_STOPEBAÑEZ 60</v>
          </cell>
        </row>
        <row r="3531">
          <cell r="A3531" t="str">
            <v>435211stL06_GHVFW_003E_STOPE PREPBAÑEZ 40</v>
          </cell>
        </row>
        <row r="3532">
          <cell r="A3532" t="str">
            <v>435211st6 UNCATEGORIZED 100</v>
          </cell>
        </row>
        <row r="3533">
          <cell r="A3533" t="str">
            <v>435211st6 UNCATEGORIZED 400</v>
          </cell>
        </row>
        <row r="3534">
          <cell r="A3534" t="str">
            <v>435211st6 UNCATEGORIZED 900</v>
          </cell>
        </row>
        <row r="3535">
          <cell r="A3535" t="str">
            <v>435211st6 UNCATEGORIZED 1500</v>
          </cell>
        </row>
        <row r="3536">
          <cell r="A3536" t="str">
            <v>435211st6 UNCATEGORIZED 1600</v>
          </cell>
        </row>
        <row r="3537">
          <cell r="A3537" t="str">
            <v>435212nd6 UNCATEGORIZED 400</v>
          </cell>
        </row>
        <row r="3538">
          <cell r="A3538" t="str">
            <v>435212nd6 UNCATEGORIZED 900</v>
          </cell>
        </row>
        <row r="3539">
          <cell r="A3539" t="str">
            <v>435212nd6 UNCATEGORIZED 1500</v>
          </cell>
        </row>
        <row r="3540">
          <cell r="A3540" t="str">
            <v>435212ndL06_GHVFW_003E_STOPE PREPBAÑEZ 40</v>
          </cell>
        </row>
        <row r="3541">
          <cell r="A3541" t="str">
            <v>435212ndL06_NONE_021E_XCNGUNAY 10</v>
          </cell>
        </row>
        <row r="3542">
          <cell r="A3542" t="str">
            <v>435212nd6 UNCATEGORIZED 600</v>
          </cell>
        </row>
        <row r="3543">
          <cell r="A3543" t="str">
            <v>435212nd6 UNCATEGORIZED 1700</v>
          </cell>
        </row>
        <row r="3544">
          <cell r="A3544" t="str">
            <v>435212nd6 UNCATEGORIZED 1900</v>
          </cell>
        </row>
        <row r="3545">
          <cell r="A3545" t="str">
            <v>435212nd6 UNCATEGORIZED 2200</v>
          </cell>
        </row>
        <row r="3546">
          <cell r="A3546" t="str">
            <v>435213rdL06_JV_001W_RAISEREBOTE 20</v>
          </cell>
        </row>
        <row r="3547">
          <cell r="A3547" t="str">
            <v>435213rdL06_DPVE_022E_STOPEBAÑEZ 60</v>
          </cell>
        </row>
        <row r="3548">
          <cell r="A3548" t="str">
            <v>435213rdL06_GHVFW_003E_STOPE PREPBAÑEZ 40</v>
          </cell>
        </row>
        <row r="3549">
          <cell r="A3549" t="str">
            <v>435213rd6 UNCATEGORIZED 400</v>
          </cell>
        </row>
        <row r="3550">
          <cell r="A3550" t="str">
            <v>435213rd6 UNCATEGORIZED 1900</v>
          </cell>
        </row>
        <row r="3551">
          <cell r="A3551" t="str">
            <v>435213rd6 UNCATEGORIZED 700</v>
          </cell>
        </row>
        <row r="3552">
          <cell r="A3552" t="str">
            <v>435213rd6 UNCATEGORIZED 1100</v>
          </cell>
        </row>
        <row r="3553">
          <cell r="A3553" t="str">
            <v>435213rd6 UNCATEGORIZED 1400</v>
          </cell>
        </row>
        <row r="3554">
          <cell r="A3554" t="str">
            <v>435211stL07_DPVE_028E_STOPEDOLARIZA 20</v>
          </cell>
        </row>
        <row r="3555">
          <cell r="A3555" t="str">
            <v>435211st7 UNCATEGORIZED 1500</v>
          </cell>
        </row>
        <row r="3556">
          <cell r="A3556" t="str">
            <v>435212ndL07_DPVE_060E_DEVILLARANTE 40</v>
          </cell>
        </row>
        <row r="3557">
          <cell r="A3557" t="str">
            <v>435212ndL07_JVHW_072E_STOPEBABOR 567</v>
          </cell>
        </row>
        <row r="3558">
          <cell r="A3558" t="str">
            <v>435212ndL07_GHVHW_056E_WINZE STOPE PREPBABOR 30</v>
          </cell>
        </row>
        <row r="3559">
          <cell r="A3559" t="str">
            <v>435212nd7 UNCATEGORIZED 400</v>
          </cell>
        </row>
        <row r="3560">
          <cell r="A3560" t="str">
            <v>435212nd7 UNCATEGORIZED 900</v>
          </cell>
        </row>
        <row r="3561">
          <cell r="A3561" t="str">
            <v>435212nd7 UNCATEGORIZED 1200</v>
          </cell>
        </row>
        <row r="3562">
          <cell r="A3562" t="str">
            <v>435212nd7 UNCATEGORIZED 1400</v>
          </cell>
        </row>
        <row r="3563">
          <cell r="A3563" t="str">
            <v>435212nd7 UNCATEGORIZED 1500</v>
          </cell>
        </row>
        <row r="3564">
          <cell r="A3564" t="str">
            <v>435212nd7 UNCATEGORIZED 1700</v>
          </cell>
        </row>
        <row r="3565">
          <cell r="A3565" t="str">
            <v>435212nd7 UNCATEGORIZED 1800</v>
          </cell>
        </row>
        <row r="3566">
          <cell r="A3566" t="str">
            <v>435213rd7 UNCATEGORIZED 1500</v>
          </cell>
        </row>
        <row r="3567">
          <cell r="A3567" t="str">
            <v>435213rdL07_JVHW_072E_STOPEBABOR 567</v>
          </cell>
        </row>
        <row r="3568">
          <cell r="A3568" t="str">
            <v>435213rdL07_JVHW_064E_STOPE PREPBABOR 568</v>
          </cell>
        </row>
        <row r="3569">
          <cell r="A3569" t="str">
            <v>435213rdL07_GHVHW_056E_WINZE STOPE PREPBABOR 30</v>
          </cell>
        </row>
        <row r="3570">
          <cell r="A3570" t="str">
            <v>435213rd7 UNCATEGORIZED 300</v>
          </cell>
        </row>
        <row r="3571">
          <cell r="A3571" t="str">
            <v>435213rd7 UNCATEGORIZED 500</v>
          </cell>
        </row>
        <row r="3572">
          <cell r="A3572" t="str">
            <v>435213rd7 UNCATEGORIZED 2200</v>
          </cell>
        </row>
        <row r="3573">
          <cell r="A3573" t="str">
            <v>435213rd7 UNCATEGORIZED 2300</v>
          </cell>
        </row>
        <row r="3574">
          <cell r="A3574" t="str">
            <v>435213rdL08_DPVE_065E_RAISELERIO 40</v>
          </cell>
        </row>
        <row r="3575">
          <cell r="A3575" t="str">
            <v>435213rdL08_DPVE_061E_STOPEAGLOLO 40</v>
          </cell>
        </row>
        <row r="3576">
          <cell r="A3576" t="str">
            <v>435213rdL08_GHVHW_034E_STOPECAPOY 20</v>
          </cell>
        </row>
        <row r="3577">
          <cell r="A3577" t="str">
            <v>435213rdL08_NONE_016W_XCNSILVOZA 181</v>
          </cell>
        </row>
        <row r="3578">
          <cell r="A3578" t="str">
            <v>435213rd8 UNCATEGORIZED 600</v>
          </cell>
        </row>
        <row r="3579">
          <cell r="A3579" t="str">
            <v>435213rd8 UNCATEGORIZED 1200</v>
          </cell>
        </row>
        <row r="3580">
          <cell r="A3580" t="str">
            <v>435213rd8 UNCATEGORIZED 1800</v>
          </cell>
        </row>
        <row r="3581">
          <cell r="A3581" t="str">
            <v>435213rd8 UNCATEGORIZED 1900</v>
          </cell>
        </row>
        <row r="3582">
          <cell r="A3582" t="str">
            <v>435213rd8 UNCATEGORIZED 2400</v>
          </cell>
        </row>
        <row r="3583">
          <cell r="A3583" t="str">
            <v>435213rd8 UNCATEGORIZED 2600</v>
          </cell>
        </row>
        <row r="3584">
          <cell r="A3584" t="str">
            <v>435212nd8 UNCATEGORIZED 1200</v>
          </cell>
        </row>
        <row r="3585">
          <cell r="A3585" t="str">
            <v>435212nd8 UNCATEGORIZED 1900</v>
          </cell>
        </row>
        <row r="3586">
          <cell r="A3586" t="str">
            <v>435212nd8 UNCATEGORIZED 2600</v>
          </cell>
        </row>
        <row r="3587">
          <cell r="A3587" t="str">
            <v>435212ndL08_DPVE_065E_RAISELERIO 40</v>
          </cell>
        </row>
        <row r="3588">
          <cell r="A3588" t="str">
            <v>435212nd8 UNCATEGORIZED 1100</v>
          </cell>
        </row>
        <row r="3589">
          <cell r="A3589" t="str">
            <v>435212nd8 UNCATEGORIZED 1500</v>
          </cell>
        </row>
        <row r="3590">
          <cell r="A3590" t="str">
            <v>435211stL08_JVSPLIT_017E_DEAGLOLO 20</v>
          </cell>
        </row>
        <row r="3591">
          <cell r="A3591" t="str">
            <v>435211st8 UNCATEGORIZED 1900</v>
          </cell>
        </row>
        <row r="3592">
          <cell r="A3592" t="str">
            <v>435211stL08_NONE_035E_SHAFTHUMIDING 20</v>
          </cell>
        </row>
        <row r="3593">
          <cell r="A3593" t="str">
            <v>435211stL09_DPVE_051E_DEBALANGHIG 10</v>
          </cell>
        </row>
        <row r="3594">
          <cell r="A3594" t="str">
            <v>435211stL09_JV_050E_DEDAVOCOL, ROSELIO 30</v>
          </cell>
        </row>
        <row r="3595">
          <cell r="A3595" t="str">
            <v>435211stL09_GHV_031E_STOPEPANCIT, NOEL 80</v>
          </cell>
        </row>
        <row r="3596">
          <cell r="A3596" t="str">
            <v>435211stL09_GHV_060E_STOPEPANSIT 60</v>
          </cell>
        </row>
        <row r="3597">
          <cell r="A3597" t="str">
            <v>435211stL09_GHV_063E_WINZE0</v>
          </cell>
        </row>
        <row r="3598">
          <cell r="A3598" t="str">
            <v>435211st10 UNCATEGORIZED 700</v>
          </cell>
        </row>
        <row r="3599">
          <cell r="A3599" t="str">
            <v>435212ndL09_GHVFW_040E_DEPANSIT 40</v>
          </cell>
        </row>
        <row r="3600">
          <cell r="A3600" t="str">
            <v>435212ndL09_GHVHW_049E_DEBABOR 10</v>
          </cell>
        </row>
        <row r="3601">
          <cell r="A3601" t="str">
            <v>435212ndL09_GHVHW_027E_DWHUMIDING 10</v>
          </cell>
        </row>
        <row r="3602">
          <cell r="A3602" t="str">
            <v>435212ndL09_JVFW_055E_RAISECANOY 30</v>
          </cell>
        </row>
        <row r="3603">
          <cell r="A3603" t="str">
            <v>435212ndL09_GHV_015W_STOPESHEPHERD R0</v>
          </cell>
        </row>
        <row r="3604">
          <cell r="A3604" t="str">
            <v>435212ndL09_GHV_060E_STOPEPANSIT 60</v>
          </cell>
        </row>
        <row r="3605">
          <cell r="A3605" t="str">
            <v>435212ndL09_JVFW_057E_STOPEDELOS REYES V. 60</v>
          </cell>
        </row>
        <row r="3606">
          <cell r="A3606" t="str">
            <v>435212ndL10_GHV_020E_DETAÑEZA 90</v>
          </cell>
        </row>
        <row r="3607">
          <cell r="A3607" t="str">
            <v>435212ndL10_JV_059E_DETAÑEZA 70</v>
          </cell>
        </row>
        <row r="3608">
          <cell r="A3608" t="str">
            <v>435212ndL10_JVFW_055E_DETAÑEZA 1199</v>
          </cell>
        </row>
        <row r="3609">
          <cell r="A3609" t="str">
            <v>435212ndL10_GHV_019E_RAISETAÑEZA 90</v>
          </cell>
        </row>
        <row r="3610">
          <cell r="A3610" t="str">
            <v>435212nd9 UNCATEGORIZED 200</v>
          </cell>
        </row>
        <row r="3611">
          <cell r="A3611" t="str">
            <v>435212nd9 UNCATEGORIZED 700</v>
          </cell>
        </row>
        <row r="3612">
          <cell r="A3612" t="str">
            <v>435212nd9 UNCATEGORIZED 900</v>
          </cell>
        </row>
        <row r="3613">
          <cell r="A3613" t="str">
            <v>435212nd9 UNCATEGORIZED 1300</v>
          </cell>
        </row>
        <row r="3614">
          <cell r="A3614" t="str">
            <v>435212nd9 UNCATEGORIZED 1500</v>
          </cell>
        </row>
        <row r="3615">
          <cell r="A3615" t="str">
            <v>435212nd9 UNCATEGORIZED 1800</v>
          </cell>
        </row>
        <row r="3616">
          <cell r="A3616" t="str">
            <v>435212nd9 UNCATEGORIZED 1900</v>
          </cell>
        </row>
        <row r="3617">
          <cell r="A3617" t="str">
            <v>435212nd9 UNCATEGORIZED 2100</v>
          </cell>
        </row>
        <row r="3618">
          <cell r="A3618" t="str">
            <v>435212nd10 UNCATEGORIZED 300</v>
          </cell>
        </row>
        <row r="3619">
          <cell r="A3619" t="str">
            <v>435212nd10 UNCATEGORIZED 700</v>
          </cell>
        </row>
        <row r="3620">
          <cell r="A3620" t="str">
            <v>435213rdL09_DPVE_051E_DEBALANGHIG 10</v>
          </cell>
        </row>
        <row r="3621">
          <cell r="A3621" t="str">
            <v>435213rdL09_GHVHW_049E_DEBABOR 10</v>
          </cell>
        </row>
        <row r="3622">
          <cell r="A3622" t="str">
            <v>435213rdL09_JVFW_062E_DESHEPHERD S0</v>
          </cell>
        </row>
        <row r="3623">
          <cell r="A3623" t="str">
            <v>435213rdL09_JV_046E_DWDELOS REYES V. 20</v>
          </cell>
        </row>
        <row r="3624">
          <cell r="A3624" t="str">
            <v>435213rdL09_GHV_015W_STOPESHEPHERD R0</v>
          </cell>
        </row>
        <row r="3625">
          <cell r="A3625" t="str">
            <v>435213rdL09_GHV_031E_STOPEPANCIT, NOEL 80</v>
          </cell>
        </row>
        <row r="3626">
          <cell r="A3626" t="str">
            <v>435213rdL09_GHV_060E_STOPEPANSIT 60</v>
          </cell>
        </row>
        <row r="3627">
          <cell r="A3627" t="str">
            <v>435213rdL09_GHVFW_039E_STOPEPANCIT, NOEL 40</v>
          </cell>
        </row>
        <row r="3628">
          <cell r="A3628" t="str">
            <v>435213rdL10_GHV_033E_DETAÑEZA 40</v>
          </cell>
        </row>
        <row r="3629">
          <cell r="A3629" t="str">
            <v>435213rdL10_JVSPLIT_057E_DETAÑEZA 8100</v>
          </cell>
        </row>
        <row r="3630">
          <cell r="A3630" t="str">
            <v>435213rdL10_GHV_019E_RAISETAÑEZA 90</v>
          </cell>
        </row>
        <row r="3631">
          <cell r="A3631" t="str">
            <v>435213rd9 UNCATEGORIZED 200</v>
          </cell>
        </row>
        <row r="3632">
          <cell r="A3632" t="str">
            <v>435213rd9 UNCATEGORIZED 900</v>
          </cell>
        </row>
        <row r="3633">
          <cell r="A3633" t="str">
            <v>435213rd9 UNCATEGORIZED 1100</v>
          </cell>
        </row>
        <row r="3634">
          <cell r="A3634" t="str">
            <v>435213rd9 UNCATEGORIZED 1700</v>
          </cell>
        </row>
        <row r="3635">
          <cell r="A3635" t="str">
            <v>435212ndL06_DPVE_022E_STOPEBAÑEZ 60</v>
          </cell>
        </row>
        <row r="3636">
          <cell r="A3636" t="str">
            <v>435221st2 UNCATEGORIZED 700</v>
          </cell>
        </row>
        <row r="3637">
          <cell r="A3637" t="str">
            <v>435221st2 UNCATEGORIZED 800</v>
          </cell>
        </row>
        <row r="3638">
          <cell r="A3638" t="str">
            <v>435221stL04_JV_003E_DECABONITA 20</v>
          </cell>
        </row>
        <row r="3639">
          <cell r="A3639" t="str">
            <v>435221st2 UNCATEGORIZED 300</v>
          </cell>
        </row>
        <row r="3640">
          <cell r="A3640" t="str">
            <v>435221st2 UNCATEGORIZED 1000</v>
          </cell>
        </row>
        <row r="3641">
          <cell r="A3641" t="str">
            <v>435221st2 UNCATEGORIZED 1800</v>
          </cell>
        </row>
        <row r="3642">
          <cell r="A3642" t="str">
            <v>435221st2 UNCATEGORIZED 1900</v>
          </cell>
        </row>
        <row r="3643">
          <cell r="A3643" t="str">
            <v>435221st4 UNCATEGORIZED 300</v>
          </cell>
        </row>
        <row r="3644">
          <cell r="A3644" t="str">
            <v>435221st4 UNCATEGORIZED 1000</v>
          </cell>
        </row>
        <row r="3645">
          <cell r="A3645" t="str">
            <v>435221st4 UNCATEGORIZED 1800</v>
          </cell>
        </row>
        <row r="3646">
          <cell r="A3646" t="str">
            <v>435221st4 UNCATEGORIZED 1900</v>
          </cell>
        </row>
        <row r="3647">
          <cell r="A3647" t="str">
            <v>435221stL05_CV_003W_RAISEALMEDORA 20</v>
          </cell>
        </row>
        <row r="3648">
          <cell r="A3648" t="str">
            <v>435221stL05_GHV_010W_ROBBINGFERNANDEZ RX 40</v>
          </cell>
        </row>
        <row r="3649">
          <cell r="A3649" t="str">
            <v>435221stL05_GHVSPLIT_030E_ROBBINGCAYABAS 10</v>
          </cell>
        </row>
        <row r="3650">
          <cell r="A3650" t="str">
            <v>435221stL05_CTV_008W_STOPESHEPHERD P0</v>
          </cell>
        </row>
        <row r="3651">
          <cell r="A3651" t="str">
            <v>435221stL05_CV_010E_WINZESHEPHERD L56</v>
          </cell>
        </row>
        <row r="3652">
          <cell r="A3652" t="str">
            <v>435221st5 UNCATEGORIZED 1100</v>
          </cell>
        </row>
        <row r="3653">
          <cell r="A3653" t="str">
            <v>435221st5 UNCATEGORIZED 1500</v>
          </cell>
        </row>
        <row r="3654">
          <cell r="A3654" t="str">
            <v>435221stL06_DPVE_022E_STOPEBAÑEZ 60</v>
          </cell>
        </row>
        <row r="3655">
          <cell r="A3655" t="str">
            <v>435221stL06_NONE_021E_XCNGUNAY 10</v>
          </cell>
        </row>
        <row r="3656">
          <cell r="A3656" t="str">
            <v>435221st6 UNCATEGORIZED 400</v>
          </cell>
        </row>
        <row r="3657">
          <cell r="A3657" t="str">
            <v>435221st6 UNCATEGORIZED 1000</v>
          </cell>
        </row>
        <row r="3658">
          <cell r="A3658" t="str">
            <v>435221st6 UNCATEGORIZED 1400</v>
          </cell>
        </row>
        <row r="3659">
          <cell r="A3659" t="str">
            <v>435221st6 UNCATEGORIZED 1500</v>
          </cell>
        </row>
        <row r="3660">
          <cell r="A3660" t="str">
            <v>435221st6 UNCATEGORIZED 1700</v>
          </cell>
        </row>
        <row r="3661">
          <cell r="A3661" t="str">
            <v>435221st6 UNCATEGORIZED 2000</v>
          </cell>
        </row>
        <row r="3662">
          <cell r="A3662" t="str">
            <v>435221stL07_DPVE_060E_DEVILLARANTE 40</v>
          </cell>
        </row>
        <row r="3663">
          <cell r="A3663" t="str">
            <v>435221stL07_DPVE_028E_STOPEDOLARIZA 20</v>
          </cell>
        </row>
        <row r="3664">
          <cell r="A3664" t="str">
            <v>435221stL07_JVHW_072E_STOPEBABOR 567</v>
          </cell>
        </row>
        <row r="3665">
          <cell r="A3665" t="str">
            <v>435221st7 UNCATEGORIZED 400</v>
          </cell>
        </row>
        <row r="3666">
          <cell r="A3666" t="str">
            <v>435221st7 UNCATEGORIZED 900</v>
          </cell>
        </row>
        <row r="3667">
          <cell r="A3667" t="str">
            <v>435221st7 UNCATEGORIZED 1400</v>
          </cell>
        </row>
        <row r="3668">
          <cell r="A3668" t="str">
            <v>435221st7 UNCATEGORIZED 1700</v>
          </cell>
        </row>
        <row r="3669">
          <cell r="A3669" t="str">
            <v>435221st7 UNCATEGORIZED 1800</v>
          </cell>
        </row>
        <row r="3670">
          <cell r="A3670" t="str">
            <v>435221st7 UNCATEGORIZED 2200</v>
          </cell>
        </row>
        <row r="3671">
          <cell r="A3671" t="str">
            <v>435221stL08_DPVE_068E_DELERIO 30</v>
          </cell>
        </row>
        <row r="3672">
          <cell r="A3672" t="str">
            <v>435221stL08_JVSPLIT_017E_DEAGLOLO 20</v>
          </cell>
        </row>
        <row r="3673">
          <cell r="A3673" t="str">
            <v>435221stL08_DPVE_061E_STOPEAGLOLO 40</v>
          </cell>
        </row>
        <row r="3674">
          <cell r="A3674" t="str">
            <v>435221stL08_GHVHW_034E_STOPECAPOY 20</v>
          </cell>
        </row>
        <row r="3675">
          <cell r="A3675" t="str">
            <v>435221stL08_NONE_059E_XCSVERSOZA 40</v>
          </cell>
        </row>
        <row r="3676">
          <cell r="A3676" t="str">
            <v>435221st8 UNCATEGORIZED 1800</v>
          </cell>
        </row>
        <row r="3677">
          <cell r="A3677" t="str">
            <v>435221st8 UNCATEGORIZED 1900</v>
          </cell>
        </row>
        <row r="3678">
          <cell r="A3678" t="str">
            <v>435221st8 UNCATEGORIZED 2200</v>
          </cell>
        </row>
        <row r="3679">
          <cell r="A3679" t="str">
            <v>435221stL09_JVFW_055E_RAISECANOY 30</v>
          </cell>
        </row>
        <row r="3680">
          <cell r="A3680" t="str">
            <v>435221stL09_GHV_060E_STOPEPANSIT 60</v>
          </cell>
        </row>
        <row r="3681">
          <cell r="A3681" t="str">
            <v>435221stL09_JV_058E_STOPECANOY 10</v>
          </cell>
        </row>
        <row r="3682">
          <cell r="A3682" t="str">
            <v>435221stL09_GHVFW_034E_STOPE PREPCANOY 20</v>
          </cell>
        </row>
        <row r="3683">
          <cell r="A3683" t="str">
            <v>435221stL10_GHVFW_021E_DETAÑEZA 30</v>
          </cell>
        </row>
        <row r="3684">
          <cell r="A3684" t="str">
            <v>435221st9 UNCATEGORIZED 1100</v>
          </cell>
        </row>
        <row r="3685">
          <cell r="A3685" t="str">
            <v>435221st9 UNCATEGORIZED 2100</v>
          </cell>
        </row>
        <row r="3686">
          <cell r="A3686" t="str">
            <v>435221st10 UNCATEGORIZED 400</v>
          </cell>
        </row>
        <row r="3687">
          <cell r="A3687" t="str">
            <v>435221st10 UNCATEGORIZED 500</v>
          </cell>
        </row>
        <row r="3688">
          <cell r="A3688" t="str">
            <v>435222ndL02_CTV_061W_ROBBINGNOCOS 20</v>
          </cell>
        </row>
        <row r="3689">
          <cell r="A3689" t="str">
            <v>435222ndL02_JV_030W_ROBBINGLERIO, RAUL0</v>
          </cell>
        </row>
        <row r="3690">
          <cell r="A3690" t="str">
            <v>435222ndL02_JV_042W_ROBBINGDAGAMAC0</v>
          </cell>
        </row>
        <row r="3691">
          <cell r="A3691" t="str">
            <v>435222ndL02_CV_007E_WINZEALMASA 30</v>
          </cell>
        </row>
        <row r="3692">
          <cell r="A3692" t="str">
            <v>435222nd2 UNCATEGORIZED 100</v>
          </cell>
        </row>
        <row r="3693">
          <cell r="A3693" t="str">
            <v>435222nd2 UNCATEGORIZED 400</v>
          </cell>
        </row>
        <row r="3694">
          <cell r="A3694" t="str">
            <v>435222nd2 UNCATEGORIZED 500</v>
          </cell>
        </row>
        <row r="3695">
          <cell r="A3695" t="str">
            <v>435222nd2 UNCATEGORIZED 600</v>
          </cell>
        </row>
        <row r="3696">
          <cell r="A3696" t="str">
            <v>435222nd2 UNCATEGORIZED 700</v>
          </cell>
        </row>
        <row r="3697">
          <cell r="A3697" t="str">
            <v>435222nd2 UNCATEGORIZED 800</v>
          </cell>
        </row>
        <row r="3698">
          <cell r="A3698" t="str">
            <v>435222nd2 UNCATEGORIZED 1000</v>
          </cell>
        </row>
        <row r="3699">
          <cell r="A3699" t="str">
            <v>435222nd2 UNCATEGORIZED 1200</v>
          </cell>
        </row>
        <row r="3700">
          <cell r="A3700" t="str">
            <v>435222nd2 UNCATEGORIZED 1300</v>
          </cell>
        </row>
        <row r="3701">
          <cell r="A3701" t="str">
            <v>435222ndL04_GHVFW_015E_DEPARAGUYA 30</v>
          </cell>
        </row>
        <row r="3702">
          <cell r="A3702" t="str">
            <v>435222ndL04_JV_049W_RAISEDUHIG 30</v>
          </cell>
        </row>
        <row r="3703">
          <cell r="A3703" t="str">
            <v>435222ndL04_CV_012W_ROBBINGMARTINEZ RON. 10</v>
          </cell>
        </row>
        <row r="3704">
          <cell r="A3704" t="str">
            <v>435222ndL04_JV_042W_STOPEDUHIG 30</v>
          </cell>
        </row>
        <row r="3705">
          <cell r="A3705" t="str">
            <v>435222nd4 UNCATEGORIZED 500</v>
          </cell>
        </row>
        <row r="3706">
          <cell r="A3706" t="str">
            <v>435222nd4 UNCATEGORIZED 700</v>
          </cell>
        </row>
        <row r="3707">
          <cell r="A3707" t="str">
            <v>435222nd4 UNCATEGORIZED 900</v>
          </cell>
        </row>
        <row r="3708">
          <cell r="A3708" t="str">
            <v>435222nd4 UNCATEGORIZED 1100</v>
          </cell>
        </row>
        <row r="3709">
          <cell r="A3709" t="str">
            <v>435222nd4 UNCATEGORIZED 1900</v>
          </cell>
        </row>
        <row r="3710">
          <cell r="A3710" t="str">
            <v>435222ndL05_CV_003W_RAISEALMEDORA 20</v>
          </cell>
        </row>
        <row r="3711">
          <cell r="A3711" t="str">
            <v>435222ndL05_JVFW_012W_RAISEFERNANDEZ RX 30</v>
          </cell>
        </row>
        <row r="3712">
          <cell r="A3712" t="str">
            <v>435222ndL05_JVSPLIT_006E_RAISEBALDO 10</v>
          </cell>
        </row>
        <row r="3713">
          <cell r="A3713" t="str">
            <v>435222ndL05_GHVSPLIT_030E_ROBBINGCAYABAS 10</v>
          </cell>
        </row>
        <row r="3714">
          <cell r="A3714" t="str">
            <v>435222ndL05_CTV_008W_STOPESHEPHERD P0</v>
          </cell>
        </row>
        <row r="3715">
          <cell r="A3715" t="str">
            <v>435222ndL05_GHV_040W_WINZE STOPE PREPCOMAINGKING 10</v>
          </cell>
        </row>
        <row r="3716">
          <cell r="A3716" t="str">
            <v>435222nd5 UNCATEGORIZED 200</v>
          </cell>
        </row>
        <row r="3717">
          <cell r="A3717" t="str">
            <v>435222nd5 UNCATEGORIZED 800</v>
          </cell>
        </row>
        <row r="3718">
          <cell r="A3718" t="str">
            <v>435222nd5 UNCATEGORIZED 1000</v>
          </cell>
        </row>
        <row r="3719">
          <cell r="A3719" t="str">
            <v>435222nd5 UNCATEGORIZED 1400</v>
          </cell>
        </row>
        <row r="3720">
          <cell r="A3720" t="str">
            <v>435222nd5 UNCATEGORIZED 1600</v>
          </cell>
        </row>
        <row r="3721">
          <cell r="A3721" t="str">
            <v>435222ndL06_JV_001W_RAISEREBOTE 20</v>
          </cell>
        </row>
        <row r="3722">
          <cell r="A3722" t="str">
            <v>435222ndL06_DPVE_022E_STOPEBAÑEZ 60</v>
          </cell>
        </row>
        <row r="3723">
          <cell r="A3723" t="str">
            <v>435222ndL06_GHVFW_003E_STOPE PREPBAÑEZ 40</v>
          </cell>
        </row>
        <row r="3724">
          <cell r="A3724" t="str">
            <v>435222nd6 UNCATEGORIZED 400</v>
          </cell>
        </row>
        <row r="3725">
          <cell r="A3725" t="str">
            <v>435222nd6 UNCATEGORIZED 600</v>
          </cell>
        </row>
        <row r="3726">
          <cell r="A3726" t="str">
            <v>435222nd6 UNCATEGORIZED 700</v>
          </cell>
        </row>
        <row r="3727">
          <cell r="A3727" t="str">
            <v>435222nd6 UNCATEGORIZED 900</v>
          </cell>
        </row>
        <row r="3728">
          <cell r="A3728" t="str">
            <v>435222nd6 UNCATEGORIZED 1500</v>
          </cell>
        </row>
        <row r="3729">
          <cell r="A3729" t="str">
            <v>435222nd6 UNCATEGORIZED 1600</v>
          </cell>
        </row>
        <row r="3730">
          <cell r="A3730" t="str">
            <v>435222nd6 UNCATEGORIZED 1700</v>
          </cell>
        </row>
        <row r="3731">
          <cell r="A3731" t="str">
            <v>435222nd6 UNCATEGORIZED 1900</v>
          </cell>
        </row>
        <row r="3732">
          <cell r="A3732" t="str">
            <v>435222nd6 UNCATEGORIZED 2200</v>
          </cell>
        </row>
        <row r="3733">
          <cell r="A3733" t="str">
            <v>435222nd6 UNCATEGORIZED 2300</v>
          </cell>
        </row>
        <row r="3734">
          <cell r="A3734" t="str">
            <v>435222nd6 UNCATEGORIZED 1400</v>
          </cell>
        </row>
        <row r="3735">
          <cell r="A3735" t="str">
            <v>435223rdL02_JVFW_032W_ROBBINGRIPARIP 60</v>
          </cell>
        </row>
        <row r="3736">
          <cell r="A3736" t="str">
            <v>435223rd2 UNCATEGORIZED 1000</v>
          </cell>
        </row>
        <row r="3737">
          <cell r="A3737" t="str">
            <v>435223rd2 UNCATEGORIZED 1200</v>
          </cell>
        </row>
        <row r="3738">
          <cell r="A3738" t="str">
            <v>435223rd2 UNCATEGORIZED 1300</v>
          </cell>
        </row>
        <row r="3739">
          <cell r="A3739" t="str">
            <v>435223rdL04_JV_049W_RAISEDUHIG 30</v>
          </cell>
        </row>
        <row r="3740">
          <cell r="A3740" t="str">
            <v>435223rdL04_CTV_017W_ROBBINGNOCOS, ARIEL0</v>
          </cell>
        </row>
        <row r="3741">
          <cell r="A3741" t="str">
            <v>435223rdL04_GHV_010W_ROBBINGCABONITA 30</v>
          </cell>
        </row>
        <row r="3742">
          <cell r="A3742" t="str">
            <v>435223rdL04_CTV5_016E_STOPECABCAD 10</v>
          </cell>
        </row>
        <row r="3743">
          <cell r="A3743" t="str">
            <v>435223rd4 UNCATEGORIZED 300</v>
          </cell>
        </row>
        <row r="3744">
          <cell r="A3744" t="str">
            <v>435223rd4 UNCATEGORIZED 700</v>
          </cell>
        </row>
        <row r="3745">
          <cell r="A3745" t="str">
            <v>435223rd4 UNCATEGORIZED 1100</v>
          </cell>
        </row>
        <row r="3746">
          <cell r="A3746" t="str">
            <v>435223rd4 UNCATEGORIZED 1900</v>
          </cell>
        </row>
        <row r="3747">
          <cell r="A3747" t="str">
            <v>435223rdL05_CV_003W_RAISEALMEDORA 20</v>
          </cell>
        </row>
        <row r="3748">
          <cell r="A3748" t="str">
            <v>435223rdL05_JVFW_012W_RAISEFERNANDEZ RX 30</v>
          </cell>
        </row>
        <row r="3749">
          <cell r="A3749" t="str">
            <v>435223rdL05_JV_018E_STOPEBALDO 252</v>
          </cell>
        </row>
        <row r="3750">
          <cell r="A3750" t="str">
            <v>435223rdL05_GHV_030W_WINZE STOPEAMAC 20</v>
          </cell>
        </row>
        <row r="3751">
          <cell r="A3751" t="str">
            <v>435223rd5 UNCATEGORIZED 600</v>
          </cell>
        </row>
        <row r="3752">
          <cell r="A3752" t="str">
            <v>435223rd5 UNCATEGORIZED 1300</v>
          </cell>
        </row>
        <row r="3753">
          <cell r="A3753" t="str">
            <v>435223rd5 UNCATEGORIZED 1600</v>
          </cell>
        </row>
        <row r="3754">
          <cell r="A3754" t="str">
            <v>435223rdL06_NONE_021E_XCNGUNAY 10</v>
          </cell>
        </row>
        <row r="3755">
          <cell r="A3755" t="str">
            <v>435223rd6 UNCATEGORIZED 1400</v>
          </cell>
        </row>
        <row r="3756">
          <cell r="A3756" t="str">
            <v>435223rd6 UNCATEGORIZED 1700</v>
          </cell>
        </row>
        <row r="3757">
          <cell r="A3757" t="str">
            <v>435223rd6 UNCATEGORIZED 2300</v>
          </cell>
        </row>
        <row r="3758">
          <cell r="A3758" t="str">
            <v>435223rd6 UNCATEGORIZED 2400</v>
          </cell>
        </row>
        <row r="3759">
          <cell r="A3759" t="str">
            <v>435223rdL07_JVHW_072E_STOPEBABOR 567</v>
          </cell>
        </row>
        <row r="3760">
          <cell r="A3760" t="str">
            <v>435223rdL07_JVHW_064E_STOPE PREPBABOR 568</v>
          </cell>
        </row>
        <row r="3761">
          <cell r="A3761" t="str">
            <v>435223rd7 UNCATEGORIZED 400</v>
          </cell>
        </row>
        <row r="3762">
          <cell r="A3762" t="str">
            <v>435223rd7 UNCATEGORIZED 1400</v>
          </cell>
        </row>
        <row r="3763">
          <cell r="A3763" t="str">
            <v>435223rd7 UNCATEGORIZED 1700</v>
          </cell>
        </row>
        <row r="3764">
          <cell r="A3764" t="str">
            <v>435222ndL07_JVHW_072E_STOPEBABOR 567</v>
          </cell>
        </row>
        <row r="3765">
          <cell r="A3765" t="str">
            <v>435222ndL07_JVHW_064E_STOPE PREPBABOR 568</v>
          </cell>
        </row>
        <row r="3766">
          <cell r="A3766" t="str">
            <v>435222nd7 UNCATEGORIZED 300</v>
          </cell>
        </row>
        <row r="3767">
          <cell r="A3767" t="str">
            <v>435222nd7 UNCATEGORIZED 400</v>
          </cell>
        </row>
        <row r="3768">
          <cell r="A3768" t="str">
            <v>435222nd7 UNCATEGORIZED 500</v>
          </cell>
        </row>
        <row r="3769">
          <cell r="A3769" t="str">
            <v>435222nd7 UNCATEGORIZED 1200</v>
          </cell>
        </row>
        <row r="3770">
          <cell r="A3770" t="str">
            <v>435222nd7 UNCATEGORIZED 1500</v>
          </cell>
        </row>
        <row r="3771">
          <cell r="A3771" t="str">
            <v>435222nd7 UNCATEGORIZED 1800</v>
          </cell>
        </row>
        <row r="3772">
          <cell r="A3772" t="str">
            <v>435222nd7 UNCATEGORIZED 2200</v>
          </cell>
        </row>
        <row r="3773">
          <cell r="A3773" t="str">
            <v>435222nd7 UNCATEGORIZED 2300</v>
          </cell>
        </row>
        <row r="3774">
          <cell r="A3774" t="str">
            <v>435222ndL08_DPVE_048E_DWSILVOZA 30</v>
          </cell>
        </row>
        <row r="3775">
          <cell r="A3775" t="str">
            <v>435222ndL08_DPVE_061E_STOPEAGLOLO 40</v>
          </cell>
        </row>
        <row r="3776">
          <cell r="A3776" t="str">
            <v>435222ndL08_GHVHW_031E_STOPEGEMENTIZA 10</v>
          </cell>
        </row>
        <row r="3777">
          <cell r="A3777" t="str">
            <v>435222ndL08_NONE_016W_XCNSILVOZA 181</v>
          </cell>
        </row>
        <row r="3778">
          <cell r="A3778" t="str">
            <v>435222nd8 UNCATEGORIZED 500</v>
          </cell>
        </row>
        <row r="3779">
          <cell r="A3779" t="str">
            <v>435222nd8 UNCATEGORIZED 600</v>
          </cell>
        </row>
        <row r="3780">
          <cell r="A3780" t="str">
            <v>435222nd8 UNCATEGORIZED 1200</v>
          </cell>
        </row>
        <row r="3781">
          <cell r="A3781" t="str">
            <v>435222nd8 UNCATEGORIZED 1700</v>
          </cell>
        </row>
        <row r="3782">
          <cell r="A3782" t="str">
            <v>435222nd8 UNCATEGORIZED 2400</v>
          </cell>
        </row>
        <row r="3783">
          <cell r="A3783" t="str">
            <v>435222nd8 UNCATEGORIZED 2700</v>
          </cell>
        </row>
        <row r="3784">
          <cell r="A3784" t="str">
            <v>435223rdL08_DPVE_068E_DELERIO 30</v>
          </cell>
        </row>
        <row r="3785">
          <cell r="A3785" t="str">
            <v>435223rdL08_JVSPLIT_017E_DEAGLOLO 20</v>
          </cell>
        </row>
        <row r="3786">
          <cell r="A3786" t="str">
            <v>435223rdL08_GHVHW_031E_STOPEGEMENTIZA 10</v>
          </cell>
        </row>
        <row r="3787">
          <cell r="A3787" t="str">
            <v>435223rdL08_NONE_059E_XCSVERSOZA 40</v>
          </cell>
        </row>
        <row r="3788">
          <cell r="A3788" t="str">
            <v>435223rd8 UNCATEGORIZED 500</v>
          </cell>
        </row>
        <row r="3789">
          <cell r="A3789" t="str">
            <v>435223rd8 UNCATEGORIZED 1800</v>
          </cell>
        </row>
        <row r="3790">
          <cell r="A3790" t="str">
            <v>435223rd8 UNCATEGORIZED 1900</v>
          </cell>
        </row>
        <row r="3791">
          <cell r="A3791" t="str">
            <v>435223rdL09_JVFW_062E_DESHEPHERD S0</v>
          </cell>
        </row>
        <row r="3792">
          <cell r="A3792" t="str">
            <v>435223rdL09_GHVHW_027E_DWHUMIDING 10</v>
          </cell>
        </row>
        <row r="3793">
          <cell r="A3793" t="str">
            <v>435223rdL09_JV_046E_DWDELOS REYES V. 20</v>
          </cell>
        </row>
        <row r="3794">
          <cell r="A3794" t="str">
            <v>435223rdL09_GHV_015W_STOPESHEPHERD R0</v>
          </cell>
        </row>
        <row r="3795">
          <cell r="A3795" t="str">
            <v>435223rdL09_GHV_060E_STOPEPANSIT 60</v>
          </cell>
        </row>
        <row r="3796">
          <cell r="A3796" t="str">
            <v>435223rdL10_JV_059E_DETAÑEZA 70</v>
          </cell>
        </row>
        <row r="3797">
          <cell r="A3797" t="str">
            <v>435223rdL10_JVFW_055E_DETAÑEZA 1199</v>
          </cell>
        </row>
        <row r="3798">
          <cell r="A3798" t="str">
            <v>435223rdL10_GHVFW_028E_RAISETAÑEZA 60</v>
          </cell>
        </row>
        <row r="3799">
          <cell r="A3799" t="str">
            <v>435223rd9 UNCATEGORIZED 200</v>
          </cell>
        </row>
        <row r="3800">
          <cell r="A3800" t="str">
            <v>435223rd9 UNCATEGORIZED 900</v>
          </cell>
        </row>
        <row r="3801">
          <cell r="A3801" t="str">
            <v>435223rd9 UNCATEGORIZED 1500</v>
          </cell>
        </row>
        <row r="3802">
          <cell r="A3802" t="str">
            <v>435223rd9 UNCATEGORIZED 2200</v>
          </cell>
        </row>
        <row r="3803">
          <cell r="A3803" t="str">
            <v>435222ndL09_DPVE_051E_DEBALANGHIG 10</v>
          </cell>
        </row>
        <row r="3804">
          <cell r="A3804" t="str">
            <v>435222ndL09_GHVFW_040E_DEPANSIT 40</v>
          </cell>
        </row>
        <row r="3805">
          <cell r="A3805" t="str">
            <v>435222ndL09_GHVHW_049E_DEBABOR 10</v>
          </cell>
        </row>
        <row r="3806">
          <cell r="A3806" t="str">
            <v>435222ndL09_JV_050E_DEDAVOCOL, ROSELIO 30</v>
          </cell>
        </row>
        <row r="3807">
          <cell r="A3807" t="str">
            <v>435222ndL09_JVFW_055E_RAISECANOY 30</v>
          </cell>
        </row>
        <row r="3808">
          <cell r="A3808" t="str">
            <v>435222ndL09_GHV_015W_STOPESHEPHERD R0</v>
          </cell>
        </row>
        <row r="3809">
          <cell r="A3809" t="str">
            <v>435222ndL09_GHV_031E_STOPEPANCIT, NOEL 80</v>
          </cell>
        </row>
        <row r="3810">
          <cell r="A3810" t="str">
            <v>435222ndL09_JV_058E_STOPECANOY 10</v>
          </cell>
        </row>
        <row r="3811">
          <cell r="A3811" t="str">
            <v>435222ndL09_GHV_063E_WINZE0</v>
          </cell>
        </row>
        <row r="3812">
          <cell r="A3812" t="str">
            <v>435222ndL10_GHV_020E_DETAÑEZA 90</v>
          </cell>
        </row>
        <row r="3813">
          <cell r="A3813" t="str">
            <v>435222ndL10_GHV_033E_DETAÑEZA 40</v>
          </cell>
        </row>
        <row r="3814">
          <cell r="A3814" t="str">
            <v>435222ndL10_GHV_019E_RAISETAÑEZA 90</v>
          </cell>
        </row>
        <row r="3815">
          <cell r="A3815" t="str">
            <v>435222nd9 UNCATEGORIZED 200</v>
          </cell>
        </row>
        <row r="3816">
          <cell r="A3816" t="str">
            <v>435222nd9 UNCATEGORIZED 900</v>
          </cell>
        </row>
        <row r="3817">
          <cell r="A3817" t="str">
            <v>435222nd9 UNCATEGORIZED 1100</v>
          </cell>
        </row>
        <row r="3818">
          <cell r="A3818" t="str">
            <v>435222nd9 UNCATEGORIZED 1300</v>
          </cell>
        </row>
        <row r="3819">
          <cell r="A3819" t="str">
            <v>435222nd9 UNCATEGORIZED 1400</v>
          </cell>
        </row>
        <row r="3820">
          <cell r="A3820" t="str">
            <v>435222nd9 UNCATEGORIZED 1700</v>
          </cell>
        </row>
        <row r="3821">
          <cell r="A3821" t="str">
            <v>435222nd9 UNCATEGORIZED 1800</v>
          </cell>
        </row>
        <row r="3822">
          <cell r="A3822" t="str">
            <v>435222nd9 UNCATEGORIZED 1900</v>
          </cell>
        </row>
        <row r="3823">
          <cell r="A3823" t="str">
            <v>435222nd9 UNCATEGORIZED 2100</v>
          </cell>
        </row>
        <row r="3824">
          <cell r="A3824" t="str">
            <v>435222nd9 UNCATEGORIZED 2300</v>
          </cell>
        </row>
        <row r="3825">
          <cell r="A3825" t="str">
            <v>435222nd10 UNCATEGORIZED 300</v>
          </cell>
        </row>
        <row r="3826">
          <cell r="A3826" t="str">
            <v>435222nd10 UNCATEGORIZED 400</v>
          </cell>
        </row>
        <row r="3827">
          <cell r="A3827" t="str">
            <v>435231stL02_GHV_009W_ROBBINGMONTEBON 40</v>
          </cell>
        </row>
        <row r="3828">
          <cell r="A3828" t="str">
            <v>435231st2 UNCATEGORIZED 600</v>
          </cell>
        </row>
        <row r="3829">
          <cell r="A3829" t="str">
            <v>435231stL04_JV_049W_RAISEDUHIG 30</v>
          </cell>
        </row>
        <row r="3830">
          <cell r="A3830" t="str">
            <v>435231stL04_GHVFW_040W_ROBBINGNACARIO 10</v>
          </cell>
        </row>
        <row r="3831">
          <cell r="A3831" t="str">
            <v>435231stL04_CTV5_016E_STOPECABCAD 10</v>
          </cell>
        </row>
        <row r="3832">
          <cell r="A3832" t="str">
            <v>435231stL04_JV_042W_STOPEDUHIG 30</v>
          </cell>
        </row>
        <row r="3833">
          <cell r="A3833" t="str">
            <v>435231st4 UNCATEGORIZED 500</v>
          </cell>
        </row>
        <row r="3834">
          <cell r="A3834" t="str">
            <v>435231st4 UNCATEGORIZED 700</v>
          </cell>
        </row>
        <row r="3835">
          <cell r="A3835" t="str">
            <v>435231st4 UNCATEGORIZED 900</v>
          </cell>
        </row>
        <row r="3836">
          <cell r="A3836" t="str">
            <v>435231st4 UNCATEGORIZED 1100</v>
          </cell>
        </row>
        <row r="3837">
          <cell r="A3837" t="str">
            <v>435231st4 UNCATEGORIZED 1800</v>
          </cell>
        </row>
        <row r="3838">
          <cell r="A3838" t="str">
            <v>435231st4 UNCATEGORIZED 1900</v>
          </cell>
        </row>
        <row r="3839">
          <cell r="A3839" t="str">
            <v>435231stL06_JV_001W_RAISEREBOTE 20</v>
          </cell>
        </row>
        <row r="3840">
          <cell r="A3840" t="str">
            <v>435231st6 UNCATEGORIZED 400</v>
          </cell>
        </row>
        <row r="3841">
          <cell r="A3841" t="str">
            <v>435231st6 UNCATEGORIZED 700</v>
          </cell>
        </row>
        <row r="3842">
          <cell r="A3842" t="str">
            <v>435231st6 UNCATEGORIZED 1000</v>
          </cell>
        </row>
        <row r="3843">
          <cell r="A3843" t="str">
            <v>435231st6 UNCATEGORIZED 1100</v>
          </cell>
        </row>
        <row r="3844">
          <cell r="A3844" t="str">
            <v>435231st6 UNCATEGORIZED 1500</v>
          </cell>
        </row>
        <row r="3845">
          <cell r="A3845" t="str">
            <v>435231st6 UNCATEGORIZED 1700</v>
          </cell>
        </row>
        <row r="3846">
          <cell r="A3846" t="str">
            <v>435231st6 UNCATEGORIZED 1900</v>
          </cell>
        </row>
        <row r="3847">
          <cell r="A3847" t="str">
            <v>435231st6 UNCATEGORIZED 2000</v>
          </cell>
        </row>
        <row r="3848">
          <cell r="A3848" t="str">
            <v>435231st6 UNCATEGORIZED 2200</v>
          </cell>
        </row>
        <row r="3849">
          <cell r="A3849" t="str">
            <v>435231st6 UNCATEGORIZED 2400</v>
          </cell>
        </row>
        <row r="3850">
          <cell r="A3850" t="str">
            <v>435231st6 UNCATEGORIZED 1600</v>
          </cell>
        </row>
        <row r="3851">
          <cell r="A3851" t="str">
            <v>435231stL07_DPVE_060E_DEVILLARANTE 40</v>
          </cell>
        </row>
        <row r="3852">
          <cell r="A3852" t="str">
            <v>435231stL07_DPVE_028E_STOPEDOLARIZA 20</v>
          </cell>
        </row>
        <row r="3853">
          <cell r="A3853" t="str">
            <v>435231stL07_JVHW_064E_STOPE PREPBABOR 568</v>
          </cell>
        </row>
        <row r="3854">
          <cell r="A3854" t="str">
            <v>435231st7 UNCATEGORIZED 400</v>
          </cell>
        </row>
        <row r="3855">
          <cell r="A3855" t="str">
            <v>435231st7 UNCATEGORIZED 1500</v>
          </cell>
        </row>
        <row r="3856">
          <cell r="A3856" t="str">
            <v>435231st7 UNCATEGORIZED 2200</v>
          </cell>
        </row>
        <row r="3857">
          <cell r="A3857" t="str">
            <v>435231st7 UNCATEGORIZED 2300</v>
          </cell>
        </row>
        <row r="3858">
          <cell r="A3858" t="str">
            <v>435231stL08_DPVE_068E_DELERIO 30</v>
          </cell>
        </row>
        <row r="3859">
          <cell r="A3859" t="str">
            <v>435231stL08_GHVHW_031E_STOPEGEMENTIZA 10</v>
          </cell>
        </row>
        <row r="3860">
          <cell r="A3860" t="str">
            <v>435231stL08_NONE_059E_XCSVERSOZA 40</v>
          </cell>
        </row>
        <row r="3861">
          <cell r="A3861" t="str">
            <v>435231st8 UNCATEGORIZED 1100</v>
          </cell>
        </row>
        <row r="3862">
          <cell r="A3862" t="str">
            <v>435231st8 UNCATEGORIZED 1500</v>
          </cell>
        </row>
        <row r="3863">
          <cell r="A3863" t="str">
            <v>435231st8 UNCATEGORIZED 1900</v>
          </cell>
        </row>
        <row r="3864">
          <cell r="A3864" t="str">
            <v>435231st8 UNCATEGORIZED 2800</v>
          </cell>
        </row>
        <row r="3865">
          <cell r="A3865" t="str">
            <v>435231st8 UNCATEGORIZED 2900</v>
          </cell>
        </row>
        <row r="3866">
          <cell r="A3866" t="str">
            <v>435231stL09_DPVE_051E_DEBALANGHIG 10</v>
          </cell>
        </row>
        <row r="3867">
          <cell r="A3867" t="str">
            <v>435231stL09_GHVFW_040E_DEPANSIT 40</v>
          </cell>
        </row>
        <row r="3868">
          <cell r="A3868" t="str">
            <v>435231stL09_GHVHW_049E_DEBABOR 10</v>
          </cell>
        </row>
        <row r="3869">
          <cell r="A3869" t="str">
            <v>435231stL09_GHV_015W_STOPESHEPHERD R0</v>
          </cell>
        </row>
        <row r="3870">
          <cell r="A3870" t="str">
            <v>435231stL09_GHV_060E_STOPEPANSIT 60</v>
          </cell>
        </row>
        <row r="3871">
          <cell r="A3871" t="str">
            <v>435231stL09_JV_058E_STOPECANOY 10</v>
          </cell>
        </row>
        <row r="3872">
          <cell r="A3872" t="str">
            <v>435231stL10_GHVFW_021E_DETAÑEZA 30</v>
          </cell>
        </row>
        <row r="3873">
          <cell r="A3873" t="str">
            <v>435231stL10_JVSPLIT_057E_DETAÑEZA 8100</v>
          </cell>
        </row>
        <row r="3874">
          <cell r="A3874" t="str">
            <v>435231st9 UNCATEGORIZED 200</v>
          </cell>
        </row>
        <row r="3875">
          <cell r="A3875" t="str">
            <v>435231st9 UNCATEGORIZED 500</v>
          </cell>
        </row>
        <row r="3876">
          <cell r="A3876" t="str">
            <v>435231st9 UNCATEGORIZED 900</v>
          </cell>
        </row>
        <row r="3877">
          <cell r="A3877" t="str">
            <v>435231st9 UNCATEGORIZED 1300</v>
          </cell>
        </row>
        <row r="3878">
          <cell r="A3878" t="str">
            <v>435231st9 UNCATEGORIZED 1700</v>
          </cell>
        </row>
        <row r="3879">
          <cell r="A3879" t="str">
            <v>435231st9 UNCATEGORIZED 1800</v>
          </cell>
        </row>
        <row r="3880">
          <cell r="A3880" t="str">
            <v>435231st9 UNCATEGORIZED 1900</v>
          </cell>
        </row>
        <row r="3881">
          <cell r="A3881" t="str">
            <v>435231st9 UNCATEGORIZED 2100</v>
          </cell>
        </row>
        <row r="3882">
          <cell r="A3882" t="str">
            <v>435231st10 UNCATEGORIZED 700</v>
          </cell>
        </row>
        <row r="3883">
          <cell r="A3883" t="str">
            <v>435232ndL02_RYV_023W_ROBBINGCARIKITAN 10</v>
          </cell>
        </row>
        <row r="3884">
          <cell r="A3884" t="str">
            <v>435232nd2 UNCATEGORIZED 200</v>
          </cell>
        </row>
        <row r="3885">
          <cell r="A3885" t="str">
            <v>435232nd2 UNCATEGORIZED 400</v>
          </cell>
        </row>
        <row r="3886">
          <cell r="A3886" t="str">
            <v>435232nd2 UNCATEGORIZED 700</v>
          </cell>
        </row>
        <row r="3887">
          <cell r="A3887" t="str">
            <v>435232nd2 UNCATEGORIZED 800</v>
          </cell>
        </row>
        <row r="3888">
          <cell r="A3888" t="str">
            <v>435232nd2 UNCATEGORIZED 1200</v>
          </cell>
        </row>
        <row r="3889">
          <cell r="A3889" t="str">
            <v>435232nd2 UNCATEGORIZED 1300</v>
          </cell>
        </row>
        <row r="3890">
          <cell r="A3890" t="str">
            <v>435233rdL02_GHV_009W_ROBBINGMONTEBON 40</v>
          </cell>
        </row>
        <row r="3891">
          <cell r="A3891" t="str">
            <v>435233rdL02_JVFW_032W_ROBBINGRIPARIP 60</v>
          </cell>
        </row>
        <row r="3892">
          <cell r="A3892" t="str">
            <v>435233rd2 UNCATEGORIZED 600</v>
          </cell>
        </row>
        <row r="3893">
          <cell r="A3893" t="str">
            <v>435233rd2 UNCATEGORIZED 1200</v>
          </cell>
        </row>
        <row r="3894">
          <cell r="A3894" t="str">
            <v>435233rd2 UNCATEGORIZED 1800</v>
          </cell>
        </row>
        <row r="3895">
          <cell r="A3895" t="str">
            <v>435232ndL04_CTV_017W_ROBBINGNOCOS, ARIEL0</v>
          </cell>
        </row>
        <row r="3896">
          <cell r="A3896" t="str">
            <v>435232ndL04_CV_012W_ROBBINGMARTINEZ RON. 10</v>
          </cell>
        </row>
        <row r="3897">
          <cell r="A3897" t="str">
            <v>435232ndL04_JV_042W_STOPEDUHIG 30</v>
          </cell>
        </row>
        <row r="3898">
          <cell r="A3898" t="str">
            <v>435232nd4 UNCATEGORIZED 700</v>
          </cell>
        </row>
        <row r="3899">
          <cell r="A3899" t="str">
            <v>435232nd4 UNCATEGORIZED 1000</v>
          </cell>
        </row>
        <row r="3900">
          <cell r="A3900" t="str">
            <v>435233rdL04_GHVFW_006E_DEOY-YOY 20</v>
          </cell>
        </row>
        <row r="3901">
          <cell r="A3901" t="str">
            <v>435233rdL04_CTV_017W_ROBBINGNOCOS, ARIEL0</v>
          </cell>
        </row>
        <row r="3902">
          <cell r="A3902" t="str">
            <v>435233rdL04_CV_012W_ROBBINGMARTINEZ RON. 10</v>
          </cell>
        </row>
        <row r="3903">
          <cell r="A3903" t="str">
            <v>435233rdL04_GHVSPLIT_043W_ROBBINGCABONITA 20</v>
          </cell>
        </row>
        <row r="3904">
          <cell r="A3904" t="str">
            <v>435233rd4 UNCATEGORIZED 1300</v>
          </cell>
        </row>
        <row r="3905">
          <cell r="A3905" t="str">
            <v>435233rd4 UNCATEGORIZED 1600</v>
          </cell>
        </row>
        <row r="3906">
          <cell r="A3906" t="str">
            <v>435233rdL05_GHV_010W_ROBBINGFERNANDEZ RX 40</v>
          </cell>
        </row>
        <row r="3907">
          <cell r="A3907" t="str">
            <v>435233rdL05_CTV_008W_STOPESHEPHERD P0</v>
          </cell>
        </row>
        <row r="3908">
          <cell r="A3908" t="str">
            <v>435233rdL05_JV_018E_STOPEBALDO 252</v>
          </cell>
        </row>
        <row r="3909">
          <cell r="A3909" t="str">
            <v>435233rdL05_GHV_023W_WINZEBADBADON L. 20</v>
          </cell>
        </row>
        <row r="3910">
          <cell r="A3910" t="str">
            <v>435233rdL05_GHV_040W_WINZE STOPE PREPCOMAINGKING 10</v>
          </cell>
        </row>
        <row r="3911">
          <cell r="A3911" t="str">
            <v>435233rd5 UNCATEGORIZED 900</v>
          </cell>
        </row>
        <row r="3912">
          <cell r="A3912" t="str">
            <v>435233rd5 UNCATEGORIZED 1700</v>
          </cell>
        </row>
        <row r="3913">
          <cell r="A3913" t="str">
            <v>435231stL05_CV_003W_RAISEALMEDORA 20</v>
          </cell>
        </row>
        <row r="3914">
          <cell r="A3914" t="str">
            <v>435231stL05_JV_018E_STOPEBALDO 252</v>
          </cell>
        </row>
        <row r="3915">
          <cell r="A3915" t="str">
            <v>435231st5 UNCATEGORIZED 1100</v>
          </cell>
        </row>
        <row r="3916">
          <cell r="A3916" t="str">
            <v>435232ndL04_GHV_010W_ROBBINGCABONITA 30</v>
          </cell>
        </row>
        <row r="3917">
          <cell r="A3917" t="str">
            <v>435232ndL05_CV_003W_RAISEALMEDORA 20</v>
          </cell>
        </row>
        <row r="3918">
          <cell r="A3918" t="str">
            <v>435232ndL05_JVFW_012W_RAISEFERNANDEZ RX 30</v>
          </cell>
        </row>
        <row r="3919">
          <cell r="A3919" t="str">
            <v>435232ndL05_CV_010E_WINZESHEPHERD L56</v>
          </cell>
        </row>
        <row r="3920">
          <cell r="A3920" t="str">
            <v>435232ndL05_GHV_040W_WINZE STOPE PREPCOMAINGKING 10</v>
          </cell>
        </row>
        <row r="3921">
          <cell r="A3921" t="str">
            <v>435232nd5 UNCATEGORIZED 1500</v>
          </cell>
        </row>
        <row r="3922">
          <cell r="A3922" t="str">
            <v>435232nd5 UNCATEGORIZED 1700</v>
          </cell>
        </row>
        <row r="3923">
          <cell r="A3923" t="str">
            <v>435232ndL05_GHV_010W_ROBBINGFERNANDEZ RX 40</v>
          </cell>
        </row>
        <row r="3924">
          <cell r="A3924" t="str">
            <v>435233rdL06_JV_001W_RAISEREBOTE 20</v>
          </cell>
        </row>
        <row r="3925">
          <cell r="A3925" t="str">
            <v>435233rdL06_JV_056E_ROBBINGUDLOS 10</v>
          </cell>
        </row>
        <row r="3926">
          <cell r="A3926" t="str">
            <v>435233rdL06_DPVE_022E_STOPEBAÑEZ 60</v>
          </cell>
        </row>
        <row r="3927">
          <cell r="A3927" t="str">
            <v>435233rd6 UNCATEGORIZED 700</v>
          </cell>
        </row>
        <row r="3928">
          <cell r="A3928" t="str">
            <v>435233rd6 UNCATEGORIZED 1400</v>
          </cell>
        </row>
        <row r="3929">
          <cell r="A3929" t="str">
            <v>435233rd6 UNCATEGORIZED 1500</v>
          </cell>
        </row>
        <row r="3930">
          <cell r="A3930" t="str">
            <v>435233rd6 UNCATEGORIZED 1600</v>
          </cell>
        </row>
        <row r="3931">
          <cell r="A3931" t="str">
            <v>435233rd6 UNCATEGORIZED 1700</v>
          </cell>
        </row>
        <row r="3932">
          <cell r="A3932" t="str">
            <v>435233rd6 UNCATEGORIZED 2400</v>
          </cell>
        </row>
        <row r="3933">
          <cell r="A3933" t="str">
            <v>435232ndL06_GHVFW_003E_STOPE PREPBAÑEZ 40</v>
          </cell>
        </row>
        <row r="3934">
          <cell r="A3934" t="str">
            <v>435232nd6 UNCATEGORIZED 300</v>
          </cell>
        </row>
        <row r="3935">
          <cell r="A3935" t="str">
            <v>435232nd6 UNCATEGORIZED 400</v>
          </cell>
        </row>
        <row r="3936">
          <cell r="A3936" t="str">
            <v>435232nd6 UNCATEGORIZED 600</v>
          </cell>
        </row>
        <row r="3937">
          <cell r="A3937" t="str">
            <v>435232nd6 UNCATEGORIZED 1400</v>
          </cell>
        </row>
        <row r="3938">
          <cell r="A3938" t="str">
            <v>435232nd6 UNCATEGORIZED 2200</v>
          </cell>
        </row>
        <row r="3939">
          <cell r="A3939" t="str">
            <v>435232nd6 UNCATEGORIZED 2300</v>
          </cell>
        </row>
        <row r="3940">
          <cell r="A3940" t="str">
            <v>435232nd6 UNCATEGORIZED 900</v>
          </cell>
        </row>
        <row r="3941">
          <cell r="A3941" t="str">
            <v>435232nd7 UNCATEGORIZED 300</v>
          </cell>
        </row>
        <row r="3942">
          <cell r="A3942" t="str">
            <v>435232nd7 UNCATEGORIZED 400</v>
          </cell>
        </row>
        <row r="3943">
          <cell r="A3943" t="str">
            <v>435232nd7 UNCATEGORIZED 900</v>
          </cell>
        </row>
        <row r="3944">
          <cell r="A3944" t="str">
            <v>435232nd7 UNCATEGORIZED 1400</v>
          </cell>
        </row>
        <row r="3945">
          <cell r="A3945" t="str">
            <v>435232nd7 UNCATEGORIZED 1800</v>
          </cell>
        </row>
        <row r="3946">
          <cell r="A3946" t="str">
            <v>435232nd7 UNCATEGORIZED 2200</v>
          </cell>
        </row>
        <row r="3947">
          <cell r="A3947" t="str">
            <v>435233rdL07_GHVHW_056E_WINZE STOPE PREPBABOR 30</v>
          </cell>
        </row>
        <row r="3948">
          <cell r="A3948" t="str">
            <v>435233rd7 UNCATEGORIZED 400</v>
          </cell>
        </row>
        <row r="3949">
          <cell r="A3949" t="str">
            <v>435233rd7 UNCATEGORIZED 1200</v>
          </cell>
        </row>
        <row r="3950">
          <cell r="A3950" t="str">
            <v>435233rd7 UNCATEGORIZED 1700</v>
          </cell>
        </row>
        <row r="3951">
          <cell r="A3951" t="str">
            <v>435233rd7 UNCATEGORIZED 1800</v>
          </cell>
        </row>
        <row r="3952">
          <cell r="A3952" t="str">
            <v>435233rdL08_DPVE_068E_DELERIO 30</v>
          </cell>
        </row>
        <row r="3953">
          <cell r="A3953" t="str">
            <v>435233rdL08_JVSPLIT_017E_DEAGLOLO 20</v>
          </cell>
        </row>
        <row r="3954">
          <cell r="A3954" t="str">
            <v>435233rdL08_DPVE_048E_DWSILVOZA 30</v>
          </cell>
        </row>
        <row r="3955">
          <cell r="A3955" t="str">
            <v>435233rdL08_GHVHW_031E_STOPEGEMENTIZA 10</v>
          </cell>
        </row>
        <row r="3956">
          <cell r="A3956" t="str">
            <v>435233rd8 UNCATEGORIZED 1200</v>
          </cell>
        </row>
        <row r="3957">
          <cell r="A3957" t="str">
            <v>435233rd8 UNCATEGORIZED 1700</v>
          </cell>
        </row>
        <row r="3958">
          <cell r="A3958" t="str">
            <v>435233rd8 UNCATEGORIZED 1800</v>
          </cell>
        </row>
        <row r="3959">
          <cell r="A3959" t="str">
            <v>435233rd8 UNCATEGORIZED 1900</v>
          </cell>
        </row>
        <row r="3960">
          <cell r="A3960" t="str">
            <v>435233rd8 UNCATEGORIZED 2000</v>
          </cell>
        </row>
        <row r="3961">
          <cell r="A3961" t="str">
            <v>435232nd8 UNCATEGORIZED 1700</v>
          </cell>
        </row>
        <row r="3962">
          <cell r="A3962" t="str">
            <v>435232nd8 UNCATEGORIZED 2200</v>
          </cell>
        </row>
        <row r="3963">
          <cell r="A3963" t="str">
            <v>435232nd8 UNCATEGORIZED 2600</v>
          </cell>
        </row>
        <row r="3964">
          <cell r="A3964" t="str">
            <v>435232nd8 UNCATEGORIZED 3000</v>
          </cell>
        </row>
        <row r="3965">
          <cell r="A3965" t="str">
            <v>435232nd8 UNCATEGORIZED 3100</v>
          </cell>
        </row>
        <row r="3966">
          <cell r="A3966" t="str">
            <v>435232ndL08_DPVE_061E_STOPEAGLOLO 40</v>
          </cell>
        </row>
        <row r="3967">
          <cell r="A3967" t="str">
            <v>435232ndL08_GHVHW_031E_STOPEGEMENTIZA 10</v>
          </cell>
        </row>
        <row r="3968">
          <cell r="A3968" t="str">
            <v>435232ndL08_GHVHW_034E_STOPECAPOY 20</v>
          </cell>
        </row>
        <row r="3969">
          <cell r="A3969" t="str">
            <v>435232ndL08_JV_055E_DEBENONGUIL 10</v>
          </cell>
        </row>
        <row r="3970">
          <cell r="A3970" t="str">
            <v>435232ndL08_NONE_059E_XCSVERSOZA 40</v>
          </cell>
        </row>
        <row r="3971">
          <cell r="A3971" t="str">
            <v>435233rdL08_NONE_035E_SHAFTHUMIDING 20</v>
          </cell>
        </row>
        <row r="3972">
          <cell r="A3972" t="str">
            <v>435233rdL09_DPVE_051E_DEBALANGHIG 10</v>
          </cell>
        </row>
        <row r="3973">
          <cell r="A3973" t="str">
            <v>435233rdL09_GHVHW_049E_DEBABOR 10</v>
          </cell>
        </row>
        <row r="3974">
          <cell r="A3974" t="str">
            <v>435233rdL09_GHVHW_027E_DWHUMIDING 10</v>
          </cell>
        </row>
        <row r="3975">
          <cell r="A3975" t="str">
            <v>435233rdL09_JV_046E_DWDELOS REYES V. 20</v>
          </cell>
        </row>
        <row r="3976">
          <cell r="A3976" t="str">
            <v>435233rdL09_GHV_015W_STOPESHEPHERD R0</v>
          </cell>
        </row>
        <row r="3977">
          <cell r="A3977" t="str">
            <v>435233rdL09_GHV_031E_STOPEPANCIT, NOEL 80</v>
          </cell>
        </row>
        <row r="3978">
          <cell r="A3978" t="str">
            <v>435233rdL09_GHV_060E_STOPEPANSIT 60</v>
          </cell>
        </row>
        <row r="3979">
          <cell r="A3979" t="str">
            <v>435233rdL09_GHVFW_039E_STOPEPANCIT, NOEL 40</v>
          </cell>
        </row>
        <row r="3980">
          <cell r="A3980" t="str">
            <v>435233rdL10_GHVFW_021E_DETAÑEZA 30</v>
          </cell>
        </row>
        <row r="3981">
          <cell r="A3981" t="str">
            <v>435233rdL10_JVSPLIT_057E_DETAÑEZA 8100</v>
          </cell>
        </row>
        <row r="3982">
          <cell r="A3982" t="str">
            <v>435233rdL10_GHV_019E_RAISETAÑEZA 90</v>
          </cell>
        </row>
        <row r="3983">
          <cell r="A3983" t="str">
            <v>435233rd9 UNCATEGORIZED 200</v>
          </cell>
        </row>
        <row r="3984">
          <cell r="A3984" t="str">
            <v>435233rd9 UNCATEGORIZED 700</v>
          </cell>
        </row>
        <row r="3985">
          <cell r="A3985" t="str">
            <v>435233rd9 UNCATEGORIZED 900</v>
          </cell>
        </row>
        <row r="3986">
          <cell r="A3986" t="str">
            <v>435233rd9 UNCATEGORIZED 1000</v>
          </cell>
        </row>
        <row r="3987">
          <cell r="A3987" t="str">
            <v>435233rd9 UNCATEGORIZED 1100</v>
          </cell>
        </row>
        <row r="3988">
          <cell r="A3988" t="str">
            <v>435233rd9 UNCATEGORIZED 2200</v>
          </cell>
        </row>
        <row r="3989">
          <cell r="A3989" t="str">
            <v>435233rd10 UNCATEGORIZED 500</v>
          </cell>
        </row>
        <row r="3990">
          <cell r="A3990" t="str">
            <v>435233rd10 UNCATEGORIZED 600</v>
          </cell>
        </row>
        <row r="3991">
          <cell r="A3991" t="str">
            <v>435232ndL09_DPVE_051E_DEBALANGHIG 10</v>
          </cell>
        </row>
        <row r="3992">
          <cell r="A3992" t="str">
            <v>435232ndL09_JV_050E_DEDAVOCOL, ROSELIO 30</v>
          </cell>
        </row>
        <row r="3993">
          <cell r="A3993" t="str">
            <v>435232ndL09_JVFW_062E_DESHEPHERD S0</v>
          </cell>
        </row>
        <row r="3994">
          <cell r="A3994" t="str">
            <v>435232ndL09_JV_046E_DWDELOS REYES V. 20</v>
          </cell>
        </row>
        <row r="3995">
          <cell r="A3995" t="str">
            <v>435232ndL09_JVFW_055E_RAISECANOY 30</v>
          </cell>
        </row>
        <row r="3996">
          <cell r="A3996" t="str">
            <v>435232ndL09_GHV_015W_STOPESHEPHERD R0</v>
          </cell>
        </row>
        <row r="3997">
          <cell r="A3997" t="str">
            <v>435232ndL09_GHV_031E_STOPEPANCIT, NOEL 80</v>
          </cell>
        </row>
        <row r="3998">
          <cell r="A3998" t="str">
            <v>435232ndL09_GHVFW_039E_STOPEPANCIT, NOEL 40</v>
          </cell>
        </row>
        <row r="3999">
          <cell r="A3999" t="str">
            <v>435232ndL09_GHV_063E_WINZE0</v>
          </cell>
        </row>
        <row r="4000">
          <cell r="A4000" t="str">
            <v>435232ndL10_GHV_020E_DETAÑEZA 90</v>
          </cell>
        </row>
        <row r="4001">
          <cell r="A4001" t="str">
            <v>435232ndL10_GHV_033E_DETAÑEZA 40</v>
          </cell>
        </row>
        <row r="4002">
          <cell r="A4002" t="str">
            <v>435232ndL10_JVFW_055E_DETAÑEZA 1199</v>
          </cell>
        </row>
        <row r="4003">
          <cell r="A4003" t="str">
            <v>435232ndL10_GHVFW_028E_RAISETAÑEZA 60</v>
          </cell>
        </row>
        <row r="4004">
          <cell r="A4004" t="str">
            <v>435232nd9 UNCATEGORIZED 200</v>
          </cell>
        </row>
        <row r="4005">
          <cell r="A4005" t="str">
            <v>435232nd9 UNCATEGORIZED 900</v>
          </cell>
        </row>
        <row r="4006">
          <cell r="A4006" t="str">
            <v>435232nd9 UNCATEGORIZED 1200</v>
          </cell>
        </row>
        <row r="4007">
          <cell r="A4007" t="str">
            <v>435232nd9 UNCATEGORIZED 1300</v>
          </cell>
        </row>
        <row r="4008">
          <cell r="A4008" t="str">
            <v>435232nd9 UNCATEGORIZED 2100</v>
          </cell>
        </row>
        <row r="4009">
          <cell r="A4009" t="str">
            <v>435232nd10 UNCATEGORIZED 300</v>
          </cell>
        </row>
        <row r="4010">
          <cell r="A4010" t="str">
            <v>435233rd2 UNCATEGORIZED 800</v>
          </cell>
        </row>
        <row r="4011">
          <cell r="A4011" t="str">
            <v>435172nd5 UNCATEGORIZED 1000</v>
          </cell>
        </row>
        <row r="4012">
          <cell r="A4012" t="str">
            <v>435241stL02_GHV_009W_ROBBINGMONTEBON 40</v>
          </cell>
        </row>
        <row r="4013">
          <cell r="A4013" t="str">
            <v>435241st2 UNCATEGORIZED 100</v>
          </cell>
        </row>
        <row r="4014">
          <cell r="A4014" t="str">
            <v>435241st2 UNCATEGORIZED 800</v>
          </cell>
        </row>
        <row r="4015">
          <cell r="A4015" t="str">
            <v>435242ndL02_GHV_009W_ROBBINGMONTEBON 40</v>
          </cell>
        </row>
        <row r="4016">
          <cell r="A4016" t="str">
            <v>435242ndL02_JV_030W_ROBBINGLERIO, RAUL0</v>
          </cell>
        </row>
        <row r="4017">
          <cell r="A4017" t="str">
            <v>435242ndL02_JV_042W_ROBBINGDAGAMAC0</v>
          </cell>
        </row>
        <row r="4018">
          <cell r="A4018" t="str">
            <v>435242nd2 UNCATEGORIZED 700</v>
          </cell>
        </row>
        <row r="4019">
          <cell r="A4019" t="str">
            <v>435242nd2 UNCATEGORIZED 800</v>
          </cell>
        </row>
        <row r="4020">
          <cell r="A4020" t="str">
            <v>435242nd2 UNCATEGORIZED 1300</v>
          </cell>
        </row>
        <row r="4021">
          <cell r="A4021" t="str">
            <v>435243rdL02_JV_042W_ROBBINGDAGAMAC0</v>
          </cell>
        </row>
        <row r="4022">
          <cell r="A4022" t="str">
            <v>435243rdL02_CV_007E_WINZEALMASA 30</v>
          </cell>
        </row>
        <row r="4023">
          <cell r="A4023" t="str">
            <v>435243rd2 UNCATEGORIZED 100</v>
          </cell>
        </row>
        <row r="4024">
          <cell r="A4024" t="str">
            <v>435243rd2 UNCATEGORIZED 200</v>
          </cell>
        </row>
        <row r="4025">
          <cell r="A4025" t="str">
            <v>435243rd2 UNCATEGORIZED 300</v>
          </cell>
        </row>
        <row r="4026">
          <cell r="A4026" t="str">
            <v>435243rd2 UNCATEGORIZED 800</v>
          </cell>
        </row>
        <row r="4027">
          <cell r="A4027" t="str">
            <v>435241stL04_JV_049W_RAISEDUHIG 30</v>
          </cell>
        </row>
        <row r="4028">
          <cell r="A4028" t="str">
            <v>435241stL04_GHV_010W_ROBBINGCABONITA 30</v>
          </cell>
        </row>
        <row r="4029">
          <cell r="A4029" t="str">
            <v>435241stL04_GHVFW_014E_STOPE PREPPARAGUYA 40</v>
          </cell>
        </row>
        <row r="4030">
          <cell r="A4030" t="str">
            <v>435241st4 UNCATEGORIZED 300</v>
          </cell>
        </row>
        <row r="4031">
          <cell r="A4031" t="str">
            <v>435241st4 UNCATEGORIZED 500</v>
          </cell>
        </row>
        <row r="4032">
          <cell r="A4032" t="str">
            <v>435241st4 UNCATEGORIZED 700</v>
          </cell>
        </row>
        <row r="4033">
          <cell r="A4033" t="str">
            <v>435241st4 UNCATEGORIZED 1400</v>
          </cell>
        </row>
        <row r="4034">
          <cell r="A4034" t="str">
            <v>435241st4 UNCATEGORIZED 1900</v>
          </cell>
        </row>
        <row r="4035">
          <cell r="A4035" t="str">
            <v>435242ndL04_RYV_010E_RAISEMARTINEZ DN 10</v>
          </cell>
        </row>
        <row r="4036">
          <cell r="A4036" t="str">
            <v>435242ndL04_CTV_017W_ROBBINGNOCOS, ARIEL0</v>
          </cell>
        </row>
        <row r="4037">
          <cell r="A4037" t="str">
            <v>435242ndL04_CV_012W_ROBBINGMARTINEZ RON. 10</v>
          </cell>
        </row>
        <row r="4038">
          <cell r="A4038" t="str">
            <v>435242ndL04_GHV_010W_ROBBINGCABONITA 30</v>
          </cell>
        </row>
        <row r="4039">
          <cell r="A4039" t="str">
            <v>435242ndL04_GHVSPLIT_043W_ROBBINGCABONITA 20</v>
          </cell>
        </row>
        <row r="4040">
          <cell r="A4040" t="str">
            <v>435242ndL04_CTV5_016E_STOPECABCAD 10</v>
          </cell>
        </row>
        <row r="4041">
          <cell r="A4041" t="str">
            <v>435242ndL04_GHVFW_014E_STOPE PREPPARAGUYA 40</v>
          </cell>
        </row>
        <row r="4042">
          <cell r="A4042" t="str">
            <v>435242nd4 UNCATEGORIZED 700</v>
          </cell>
        </row>
        <row r="4043">
          <cell r="A4043" t="str">
            <v>435242nd4 UNCATEGORIZED 1400</v>
          </cell>
        </row>
        <row r="4044">
          <cell r="A4044" t="str">
            <v>435243rdL04_GHVFW_015E_DEPARAGUYA 30</v>
          </cell>
        </row>
        <row r="4045">
          <cell r="A4045" t="str">
            <v>435243rdL04_JV_049W_RAISEDUHIG 30</v>
          </cell>
        </row>
        <row r="4046">
          <cell r="A4046" t="str">
            <v>435243rdL04_RYV_010E_RAISEMARTINEZ DN 10</v>
          </cell>
        </row>
        <row r="4047">
          <cell r="A4047" t="str">
            <v>435243rdL04_CTV_017W_ROBBINGNOCOS, ARIEL0</v>
          </cell>
        </row>
        <row r="4048">
          <cell r="A4048" t="str">
            <v>435243rdL04_CV_012W_ROBBINGMARTINEZ RON. 10</v>
          </cell>
        </row>
        <row r="4049">
          <cell r="A4049" t="str">
            <v>435243rd4 UNCATEGORIZED 300</v>
          </cell>
        </row>
        <row r="4050">
          <cell r="A4050" t="str">
            <v>435243rd4 UNCATEGORIZED 400</v>
          </cell>
        </row>
        <row r="4051">
          <cell r="A4051" t="str">
            <v>435243rd4 UNCATEGORIZED 500</v>
          </cell>
        </row>
        <row r="4052">
          <cell r="A4052" t="str">
            <v>435243rd4 UNCATEGORIZED 700</v>
          </cell>
        </row>
        <row r="4053">
          <cell r="A4053" t="str">
            <v>435243rd4 UNCATEGORIZED 1300</v>
          </cell>
        </row>
        <row r="4054">
          <cell r="A4054" t="str">
            <v>435243rd4 UNCATEGORIZED 1900</v>
          </cell>
        </row>
        <row r="4055">
          <cell r="A4055" t="str">
            <v>435241stL05_JVSPLIT_006E_RAISEBALDO 10</v>
          </cell>
        </row>
        <row r="4056">
          <cell r="A4056" t="str">
            <v>435241stL05_GHV_010W_ROBBINGFERNANDEZ RX 40</v>
          </cell>
        </row>
        <row r="4057">
          <cell r="A4057" t="str">
            <v>435241st5 UNCATEGORIZED 1100</v>
          </cell>
        </row>
        <row r="4058">
          <cell r="A4058" t="str">
            <v>435241st5 UNCATEGORIZED 1500</v>
          </cell>
        </row>
        <row r="4059">
          <cell r="A4059" t="str">
            <v>435242ndL05_CV_003W_RAISEALMEDORA 20</v>
          </cell>
        </row>
        <row r="4060">
          <cell r="A4060" t="str">
            <v>435242ndL05_JVFW_012W_RAISEFERNANDEZ RX 30</v>
          </cell>
        </row>
        <row r="4061">
          <cell r="A4061" t="str">
            <v>435242ndL05_CTV_008W_STOPESHEPHERD P0</v>
          </cell>
        </row>
        <row r="4062">
          <cell r="A4062" t="str">
            <v>435242ndL05_CV_010E_WINZESHEPHERD L56</v>
          </cell>
        </row>
        <row r="4063">
          <cell r="A4063" t="str">
            <v>435242ndL05_GHV_040W_WINZE STOPE PREPCOMAINGKING 10</v>
          </cell>
        </row>
        <row r="4064">
          <cell r="A4064" t="str">
            <v>435242nd5 UNCATEGORIZED 1000</v>
          </cell>
        </row>
        <row r="4065">
          <cell r="A4065" t="str">
            <v>435242nd5 UNCATEGORIZED 1100</v>
          </cell>
        </row>
        <row r="4066">
          <cell r="A4066" t="str">
            <v>435242nd5 UNCATEGORIZED 1800</v>
          </cell>
        </row>
        <row r="4067">
          <cell r="A4067" t="str">
            <v>435243rdL05_CV_003W_RAISEALMEDORA 20</v>
          </cell>
        </row>
        <row r="4068">
          <cell r="A4068" t="str">
            <v>435243rdL05_JVFW_012W_RAISEFERNANDEZ RX 30</v>
          </cell>
        </row>
        <row r="4069">
          <cell r="A4069" t="str">
            <v>435243rdL05_CV_011W_ROBBINGPANCIT 90</v>
          </cell>
        </row>
        <row r="4070">
          <cell r="A4070" t="str">
            <v>435243rdL05_GHV_040W_WINZE STOPE PREPCOMAINGKING 10</v>
          </cell>
        </row>
        <row r="4071">
          <cell r="A4071" t="str">
            <v>435243rd5 UNCATEGORIZED 200</v>
          </cell>
        </row>
        <row r="4072">
          <cell r="A4072" t="str">
            <v>435243rd5 UNCATEGORIZED 1100</v>
          </cell>
        </row>
        <row r="4073">
          <cell r="A4073" t="str">
            <v>435243rd5 UNCATEGORIZED 1300</v>
          </cell>
        </row>
        <row r="4074">
          <cell r="A4074" t="str">
            <v>435243rd5 UNCATEGORIZED 1600</v>
          </cell>
        </row>
        <row r="4075">
          <cell r="A4075" t="str">
            <v>435243rd5 UNCATEGORIZED 1700</v>
          </cell>
        </row>
        <row r="4076">
          <cell r="A4076" t="str">
            <v>435243rd5 UNCATEGORIZED 1800</v>
          </cell>
        </row>
        <row r="4077">
          <cell r="A4077" t="str">
            <v>435241stL06_JV_056E_ROBBINGUDLOS 10</v>
          </cell>
        </row>
        <row r="4078">
          <cell r="A4078" t="str">
            <v>435241stL06_DPVE_022E_STOPEBAÑEZ 60</v>
          </cell>
        </row>
        <row r="4079">
          <cell r="A4079" t="str">
            <v>435241stL06_GHVFW_003E_STOPE PREPBAÑEZ 40</v>
          </cell>
        </row>
        <row r="4080">
          <cell r="A4080" t="str">
            <v>435241st6 UNCATEGORIZED 400</v>
          </cell>
        </row>
        <row r="4081">
          <cell r="A4081" t="str">
            <v>435241st6 UNCATEGORIZED 1000</v>
          </cell>
        </row>
        <row r="4082">
          <cell r="A4082" t="str">
            <v>435241st6 UNCATEGORIZED 1400</v>
          </cell>
        </row>
        <row r="4083">
          <cell r="A4083" t="str">
            <v>435241st6 UNCATEGORIZED 1500</v>
          </cell>
        </row>
        <row r="4084">
          <cell r="A4084" t="str">
            <v>435241st6 UNCATEGORIZED 2000</v>
          </cell>
        </row>
        <row r="4085">
          <cell r="A4085" t="str">
            <v>435241st6 UNCATEGORIZED 2300</v>
          </cell>
        </row>
        <row r="4086">
          <cell r="A4086" t="str">
            <v>435241st6 UNCATEGORIZED 2400</v>
          </cell>
        </row>
        <row r="4087">
          <cell r="A4087" t="str">
            <v>435242ndL06_JV_056E_ROBBINGUDLOS 10</v>
          </cell>
        </row>
        <row r="4088">
          <cell r="A4088" t="str">
            <v>435242ndL06_DPVE_022E_STOPEBAÑEZ 60</v>
          </cell>
        </row>
        <row r="4089">
          <cell r="A4089" t="str">
            <v>435242ndL06_GHVFW_003E_STOPE PREPBAÑEZ 40</v>
          </cell>
        </row>
        <row r="4090">
          <cell r="A4090" t="str">
            <v>435242nd6 UNCATEGORIZED 400</v>
          </cell>
        </row>
        <row r="4091">
          <cell r="A4091" t="str">
            <v>435242nd6 UNCATEGORIZED 1400</v>
          </cell>
        </row>
        <row r="4092">
          <cell r="A4092" t="str">
            <v>435242nd6 UNCATEGORIZED 1700</v>
          </cell>
        </row>
        <row r="4093">
          <cell r="A4093" t="str">
            <v>435242nd6 UNCATEGORIZED 1900</v>
          </cell>
        </row>
        <row r="4094">
          <cell r="A4094" t="str">
            <v>435242nd6 UNCATEGORIZED 2200</v>
          </cell>
        </row>
        <row r="4095">
          <cell r="A4095" t="str">
            <v>435242ndL06_JV_001W_RAISEREBOTE 20</v>
          </cell>
        </row>
        <row r="4096">
          <cell r="A4096" t="str">
            <v>435243rdL06_DPVE_022E_STOPEBAÑEZ 60</v>
          </cell>
        </row>
        <row r="4097">
          <cell r="A4097" t="str">
            <v>435243rd6 UNCATEGORIZED 200</v>
          </cell>
        </row>
        <row r="4098">
          <cell r="A4098" t="str">
            <v>435243rd6 UNCATEGORIZED 400</v>
          </cell>
        </row>
        <row r="4099">
          <cell r="A4099" t="str">
            <v>435243rd6 UNCATEGORIZED 700</v>
          </cell>
        </row>
        <row r="4100">
          <cell r="A4100" t="str">
            <v>435243rd6 UNCATEGORIZED 900</v>
          </cell>
        </row>
        <row r="4101">
          <cell r="A4101" t="str">
            <v>435243rd6 UNCATEGORIZED 1000</v>
          </cell>
        </row>
        <row r="4102">
          <cell r="A4102" t="str">
            <v>435243rd6 UNCATEGORIZED 1400</v>
          </cell>
        </row>
        <row r="4103">
          <cell r="A4103" t="str">
            <v>435243rd6 UNCATEGORIZED 1600</v>
          </cell>
        </row>
        <row r="4104">
          <cell r="A4104" t="str">
            <v>435243rd6 UNCATEGORIZED 1900</v>
          </cell>
        </row>
        <row r="4105">
          <cell r="A4105" t="str">
            <v>435243rd6 UNCATEGORIZED 2200</v>
          </cell>
        </row>
        <row r="4106">
          <cell r="A4106" t="str">
            <v>435243rd6 UNCATEGORIZED 2300</v>
          </cell>
        </row>
        <row r="4107">
          <cell r="A4107" t="str">
            <v>435243rd6 UNCATEGORIZED 2400</v>
          </cell>
        </row>
        <row r="4108">
          <cell r="A4108" t="str">
            <v>435243rdL06_JV_056E_ROBBINGUDLOS 10</v>
          </cell>
        </row>
        <row r="4109">
          <cell r="A4109" t="str">
            <v>435243rdL06_JV_001W_RAISEREBOTE 20</v>
          </cell>
        </row>
        <row r="4110">
          <cell r="A4110" t="str">
            <v>435243rdL06_GHVFW_003E_STOPE PREPBAÑEZ 40</v>
          </cell>
        </row>
        <row r="4111">
          <cell r="A4111" t="str">
            <v>435242nd6 UNCATEGORIZED 1500</v>
          </cell>
        </row>
        <row r="4112">
          <cell r="A4112" t="str">
            <v>435241stL07_DPVE_060E_DEVILLARANTE 40</v>
          </cell>
        </row>
        <row r="4113">
          <cell r="A4113" t="str">
            <v>435241stL07_JVHW_072E_STOPEBABOR 567</v>
          </cell>
        </row>
        <row r="4114">
          <cell r="A4114" t="str">
            <v>435241stL07_DPVE_026E_STOPE PREPSHEPHERD H57</v>
          </cell>
        </row>
        <row r="4115">
          <cell r="A4115" t="str">
            <v>435241stL07_JVHW_064E_STOPE PREPBABOR 568</v>
          </cell>
        </row>
        <row r="4116">
          <cell r="A4116" t="str">
            <v>435241st7 UNCATEGORIZED 900</v>
          </cell>
        </row>
        <row r="4117">
          <cell r="A4117" t="str">
            <v>435241st7 UNCATEGORIZED 1500</v>
          </cell>
        </row>
        <row r="4118">
          <cell r="A4118" t="str">
            <v>435241st7 UNCATEGORIZED 1800</v>
          </cell>
        </row>
        <row r="4119">
          <cell r="A4119" t="str">
            <v>435241st7 UNCATEGORIZED 2300</v>
          </cell>
        </row>
        <row r="4120">
          <cell r="A4120" t="str">
            <v>435242ndL07_JV_057E_STOPE PREPLEON 166</v>
          </cell>
        </row>
        <row r="4121">
          <cell r="A4121" t="str">
            <v>435242nd7 UNCATEGORIZED 500</v>
          </cell>
        </row>
        <row r="4122">
          <cell r="A4122" t="str">
            <v>435242nd7 UNCATEGORIZED 1200</v>
          </cell>
        </row>
        <row r="4123">
          <cell r="A4123" t="str">
            <v>435242nd7 UNCATEGORIZED 1500</v>
          </cell>
        </row>
        <row r="4124">
          <cell r="A4124" t="str">
            <v>435242nd7 UNCATEGORIZED 1700</v>
          </cell>
        </row>
        <row r="4125">
          <cell r="A4125" t="str">
            <v>435242nd7 UNCATEGORIZED 1800</v>
          </cell>
        </row>
        <row r="4126">
          <cell r="A4126" t="str">
            <v>435243rdL07_DPVE_060E_DEVILLARANTE 40</v>
          </cell>
        </row>
        <row r="4127">
          <cell r="A4127" t="str">
            <v>435243rdL07_JVHW_072E_STOPEBABOR 567</v>
          </cell>
        </row>
        <row r="4128">
          <cell r="A4128" t="str">
            <v>435243rdL07_DPVE_026E_STOPE PREPSHEPHERD H57</v>
          </cell>
        </row>
        <row r="4129">
          <cell r="A4129" t="str">
            <v>435243rdL07_JV_057E_STOPE PREPLEON 166</v>
          </cell>
        </row>
        <row r="4130">
          <cell r="A4130" t="str">
            <v>435243rdL07_JVHW_064E_STOPE PREPBABOR 568</v>
          </cell>
        </row>
        <row r="4131">
          <cell r="A4131" t="str">
            <v>435243rd7 UNCATEGORIZED 1200</v>
          </cell>
        </row>
        <row r="4132">
          <cell r="A4132" t="str">
            <v>435243rd7 UNCATEGORIZED 2300</v>
          </cell>
        </row>
        <row r="4133">
          <cell r="A4133" t="str">
            <v>435243rd7 UNCATEGORIZED 2400</v>
          </cell>
        </row>
        <row r="4134">
          <cell r="A4134" t="str">
            <v>435241stL08_JV_055E_DEBENONGUIL 10</v>
          </cell>
        </row>
        <row r="4135">
          <cell r="A4135" t="str">
            <v>435241stL08_JV_029E_STOPEBORERO 40</v>
          </cell>
        </row>
        <row r="4136">
          <cell r="A4136" t="str">
            <v>435241st8 UNCATEGORIZED 1700</v>
          </cell>
        </row>
        <row r="4137">
          <cell r="A4137" t="str">
            <v>435241st8 UNCATEGORIZED 1800</v>
          </cell>
        </row>
        <row r="4138">
          <cell r="A4138" t="str">
            <v>435241st8 UNCATEGORIZED 1900</v>
          </cell>
        </row>
        <row r="4139">
          <cell r="A4139" t="str">
            <v>435241st8 UNCATEGORIZED 2000</v>
          </cell>
        </row>
        <row r="4140">
          <cell r="A4140" t="str">
            <v>435241st8 UNCATEGORIZED 2600</v>
          </cell>
        </row>
        <row r="4141">
          <cell r="A4141" t="str">
            <v>435242ndL08_DPVE_068E_DELERIO 30</v>
          </cell>
        </row>
        <row r="4142">
          <cell r="A4142" t="str">
            <v>435242ndL08_DPVE_061E_STOPEAGLOLO 40</v>
          </cell>
        </row>
        <row r="4143">
          <cell r="A4143" t="str">
            <v>435242ndL08_GHVHW_031E_STOPEGEMENTIZA 10</v>
          </cell>
        </row>
        <row r="4144">
          <cell r="A4144" t="str">
            <v>435242ndL08_JV_029E_STOPEBORERO 40</v>
          </cell>
        </row>
        <row r="4145">
          <cell r="A4145" t="str">
            <v>435242ndL08_DPVE_065E_RAISELERIO 40</v>
          </cell>
        </row>
        <row r="4146">
          <cell r="A4146" t="str">
            <v>435242nd8 UNCATEGORIZED 600</v>
          </cell>
        </row>
        <row r="4147">
          <cell r="A4147" t="str">
            <v>435242nd8 UNCATEGORIZED 1500</v>
          </cell>
        </row>
        <row r="4148">
          <cell r="A4148" t="str">
            <v>435242nd8 UNCATEGORIZED 1900</v>
          </cell>
        </row>
        <row r="4149">
          <cell r="A4149" t="str">
            <v>435242nd8 UNCATEGORIZED 2200</v>
          </cell>
        </row>
        <row r="4150">
          <cell r="A4150" t="str">
            <v>435242nd8 UNCATEGORIZED 2600</v>
          </cell>
        </row>
        <row r="4151">
          <cell r="A4151" t="str">
            <v>435243rdL08_JVSPLIT_017E_DEAGLOLO 20</v>
          </cell>
        </row>
        <row r="4152">
          <cell r="A4152" t="str">
            <v>435243rdL08_DPVE_048E_DWSILVOZA 30</v>
          </cell>
        </row>
        <row r="4153">
          <cell r="A4153" t="str">
            <v>435243rdL08_DPVE_065E_RAISELERIO 40</v>
          </cell>
        </row>
        <row r="4154">
          <cell r="A4154" t="str">
            <v>435243rdL08_GHVHW_031E_STOPEGEMENTIZA 10</v>
          </cell>
        </row>
        <row r="4155">
          <cell r="A4155" t="str">
            <v>435243rdL08_GHVHW_034E_STOPECAPOY 20</v>
          </cell>
        </row>
        <row r="4156">
          <cell r="A4156" t="str">
            <v>435243rdL08_GHVFW_008E_STOPE PREPBELICAN 480</v>
          </cell>
        </row>
        <row r="4157">
          <cell r="A4157" t="str">
            <v>435243rdL08_NONE_016W_XCNSILVOZA 181</v>
          </cell>
        </row>
        <row r="4158">
          <cell r="A4158" t="str">
            <v>435243rdL08_NONE_037E_XCSPMC MINERS 182</v>
          </cell>
        </row>
        <row r="4159">
          <cell r="A4159" t="str">
            <v>435243rd8 UNCATEGORIZED 600</v>
          </cell>
        </row>
        <row r="4160">
          <cell r="A4160" t="str">
            <v>435243rd8 UNCATEGORIZED 2000</v>
          </cell>
        </row>
        <row r="4161">
          <cell r="A4161" t="str">
            <v>435243rd8 UNCATEGORIZED 2500</v>
          </cell>
        </row>
        <row r="4162">
          <cell r="A4162" t="str">
            <v>435241stL09_GHVFW_040E_DEPANSIT 40</v>
          </cell>
        </row>
        <row r="4163">
          <cell r="A4163" t="str">
            <v>435241stL09_GHVHW_049E_DEBABOR 10</v>
          </cell>
        </row>
        <row r="4164">
          <cell r="A4164" t="str">
            <v>435241stL09_JV_050E_DEDAVOCOL, ROSELIO 30</v>
          </cell>
        </row>
        <row r="4165">
          <cell r="A4165" t="str">
            <v>435241stL09_JVFW_055E_RAISECANOY 30</v>
          </cell>
        </row>
        <row r="4166">
          <cell r="A4166" t="str">
            <v>435241stL09_GHV_015W_STOPESHEPHERD R0</v>
          </cell>
        </row>
        <row r="4167">
          <cell r="A4167" t="str">
            <v>435241stL09_GHV_031E_STOPEPANCIT, NOEL 80</v>
          </cell>
        </row>
        <row r="4168">
          <cell r="A4168" t="str">
            <v>435241stL09_GHV_060E_STOPEPANSIT 60</v>
          </cell>
        </row>
        <row r="4169">
          <cell r="A4169" t="str">
            <v>435241stL09_GHVFW_039E_STOPEPANCIT, NOEL 40</v>
          </cell>
        </row>
        <row r="4170">
          <cell r="A4170" t="str">
            <v>435241stL09_JV_058E_STOPECANOY 10</v>
          </cell>
        </row>
        <row r="4171">
          <cell r="A4171" t="str">
            <v>435241stL09_JVFW_057E_STOPEDELOS REYES V. 60</v>
          </cell>
        </row>
        <row r="4172">
          <cell r="A4172" t="str">
            <v>435241st9 UNCATEGORIZED 600</v>
          </cell>
        </row>
        <row r="4173">
          <cell r="A4173" t="str">
            <v>435241st9 UNCATEGORIZED 1000</v>
          </cell>
        </row>
        <row r="4174">
          <cell r="A4174" t="str">
            <v>435241st9 UNCATEGORIZED 1700</v>
          </cell>
        </row>
        <row r="4175">
          <cell r="A4175" t="str">
            <v>435241st9 UNCATEGORIZED 1800</v>
          </cell>
        </row>
        <row r="4176">
          <cell r="A4176" t="str">
            <v>435241st9 UNCATEGORIZED 1900</v>
          </cell>
        </row>
        <row r="4177">
          <cell r="A4177" t="str">
            <v>435241st10 UNCATEGORIZED 600</v>
          </cell>
        </row>
        <row r="4178">
          <cell r="A4178" t="str">
            <v>435241stL10_GHV_020E_DETAÑEZA 90</v>
          </cell>
        </row>
        <row r="4179">
          <cell r="A4179" t="str">
            <v>435241stL10_GHVFW_028E_RAISETAÑEZA 60</v>
          </cell>
        </row>
        <row r="4180">
          <cell r="A4180" t="str">
            <v>435241st10 UNCATEGORIZED 400</v>
          </cell>
        </row>
        <row r="4181">
          <cell r="A4181" t="str">
            <v>435242ndL09_DPVE_051E_DEBALANGHIG 10</v>
          </cell>
        </row>
        <row r="4182">
          <cell r="A4182" t="str">
            <v>435242ndL09_JV_050E_DEDAVOCOL, ROSELIO 30</v>
          </cell>
        </row>
        <row r="4183">
          <cell r="A4183" t="str">
            <v>435242ndL09_GHVHW_027E_DWHUMIDING 10</v>
          </cell>
        </row>
        <row r="4184">
          <cell r="A4184" t="str">
            <v>435242ndL09_JVFW_055E_RAISECANOY 30</v>
          </cell>
        </row>
        <row r="4185">
          <cell r="A4185" t="str">
            <v>435242ndL09_GHV_060E_STOPEPANSIT 60</v>
          </cell>
        </row>
        <row r="4186">
          <cell r="A4186" t="str">
            <v>435242ndL09_GHVFW_028E_STOPE PREPPANCIT, NOEL 40</v>
          </cell>
        </row>
        <row r="4187">
          <cell r="A4187" t="str">
            <v>435242ndL09_GHV_063E_WINZE0</v>
          </cell>
        </row>
        <row r="4188">
          <cell r="A4188" t="str">
            <v>435242nd9 UNCATEGORIZED 200</v>
          </cell>
        </row>
        <row r="4189">
          <cell r="A4189" t="str">
            <v>435242nd9 UNCATEGORIZED 1100</v>
          </cell>
        </row>
        <row r="4190">
          <cell r="A4190" t="str">
            <v>435242nd9 UNCATEGORIZED 1200</v>
          </cell>
        </row>
        <row r="4191">
          <cell r="A4191" t="str">
            <v>435242nd9 UNCATEGORIZED 1300</v>
          </cell>
        </row>
        <row r="4192">
          <cell r="A4192" t="str">
            <v>435242nd9 UNCATEGORIZED 2200</v>
          </cell>
        </row>
        <row r="4193">
          <cell r="A4193" t="str">
            <v>435242nd9 UNCATEGORIZED 2400</v>
          </cell>
        </row>
        <row r="4194">
          <cell r="A4194" t="str">
            <v>435242ndL10_GHV_033E_DETAÑEZA 40</v>
          </cell>
        </row>
        <row r="4195">
          <cell r="A4195" t="str">
            <v>435242ndL10_GHVFW_021E_DETAÑEZA 30</v>
          </cell>
        </row>
        <row r="4196">
          <cell r="A4196" t="str">
            <v>435242ndL10_JV_059E_DETAÑEZA 70</v>
          </cell>
        </row>
        <row r="4197">
          <cell r="A4197" t="str">
            <v>435242nd10 UNCATEGORIZED 300</v>
          </cell>
        </row>
        <row r="4198">
          <cell r="A4198" t="str">
            <v>435243rdL09_GHVHW_049E_DEBABOR 10</v>
          </cell>
        </row>
        <row r="4199">
          <cell r="A4199" t="str">
            <v>435243rdL09_JV_050E_DEDAVOCOL, ROSELIO 30</v>
          </cell>
        </row>
        <row r="4200">
          <cell r="A4200" t="str">
            <v>435243rdL09_JVFW_062E_DESHEPHERD S0</v>
          </cell>
        </row>
        <row r="4201">
          <cell r="A4201" t="str">
            <v>435243rdL09_GHV_015W_STOPESHEPHERD R0</v>
          </cell>
        </row>
        <row r="4202">
          <cell r="A4202" t="str">
            <v>435243rdL09_GHVFW_039E_STOPEPANCIT, NOEL 40</v>
          </cell>
        </row>
        <row r="4203">
          <cell r="A4203" t="str">
            <v>435243rdL09_JV_058E_STOPECANOY 10</v>
          </cell>
        </row>
        <row r="4204">
          <cell r="A4204" t="str">
            <v>435243rdL09_GHV_017W_STOPE PREPCAPPUYO 20</v>
          </cell>
        </row>
        <row r="4205">
          <cell r="A4205" t="str">
            <v>435243rdL09_GHVFW_034E_STOPE PREPCANOY 20</v>
          </cell>
        </row>
        <row r="4206">
          <cell r="A4206" t="str">
            <v>435243rd9 UNCATEGORIZED 700</v>
          </cell>
        </row>
        <row r="4207">
          <cell r="A4207" t="str">
            <v>435243rd9 UNCATEGORIZED 1700</v>
          </cell>
        </row>
        <row r="4208">
          <cell r="A4208" t="str">
            <v>435243rd9 UNCATEGORIZED 2200</v>
          </cell>
        </row>
        <row r="4209">
          <cell r="A4209" t="str">
            <v>435243rd9 UNCATEGORIZED 2400</v>
          </cell>
        </row>
        <row r="4210">
          <cell r="A4210" t="str">
            <v>435243rdL10_JVFW_055E_DETAÑEZA 1199</v>
          </cell>
        </row>
        <row r="6625">
          <cell r="A6625">
            <v>0</v>
          </cell>
        </row>
        <row r="7889">
          <cell r="A7889">
            <v>0</v>
          </cell>
        </row>
        <row r="9932">
          <cell r="A9932">
            <v>0</v>
          </cell>
        </row>
        <row r="10654">
          <cell r="A10654">
            <v>0</v>
          </cell>
        </row>
        <row r="10852">
          <cell r="A10852">
            <v>0</v>
          </cell>
        </row>
        <row r="10944">
          <cell r="A10944">
            <v>0</v>
          </cell>
        </row>
        <row r="11829">
          <cell r="A11829">
            <v>0</v>
          </cell>
        </row>
        <row r="12602">
          <cell r="A12602">
            <v>0</v>
          </cell>
        </row>
        <row r="13202">
          <cell r="A13202">
            <v>0</v>
          </cell>
        </row>
        <row r="13418">
          <cell r="A13418">
            <v>0</v>
          </cell>
        </row>
        <row r="13419">
          <cell r="A13419">
            <v>0</v>
          </cell>
        </row>
        <row r="13770">
          <cell r="A13770">
            <v>0</v>
          </cell>
        </row>
        <row r="14005">
          <cell r="A14005">
            <v>0</v>
          </cell>
        </row>
        <row r="15218">
          <cell r="A15218">
            <v>0</v>
          </cell>
        </row>
        <row r="15293">
          <cell r="A15293">
            <v>0</v>
          </cell>
        </row>
        <row r="15488">
          <cell r="A15488">
            <v>0</v>
          </cell>
        </row>
        <row r="15760">
          <cell r="A15760">
            <v>0</v>
          </cell>
        </row>
        <row r="15765">
          <cell r="A15765">
            <v>0</v>
          </cell>
        </row>
        <row r="16076">
          <cell r="A16076">
            <v>0</v>
          </cell>
        </row>
        <row r="16079">
          <cell r="A16079">
            <v>0</v>
          </cell>
        </row>
        <row r="16166">
          <cell r="A16166">
            <v>0</v>
          </cell>
        </row>
        <row r="16335">
          <cell r="A16335">
            <v>0</v>
          </cell>
        </row>
        <row r="16375">
          <cell r="A16375">
            <v>0</v>
          </cell>
        </row>
        <row r="16390">
          <cell r="A16390">
            <v>0</v>
          </cell>
        </row>
        <row r="16741">
          <cell r="A16741">
            <v>0</v>
          </cell>
        </row>
        <row r="16769">
          <cell r="A16769">
            <v>0</v>
          </cell>
        </row>
        <row r="16779">
          <cell r="A16779">
            <v>0</v>
          </cell>
        </row>
        <row r="16948">
          <cell r="A16948">
            <v>0</v>
          </cell>
        </row>
        <row r="17042">
          <cell r="A17042">
            <v>0</v>
          </cell>
        </row>
        <row r="17043">
          <cell r="A17043">
            <v>0</v>
          </cell>
        </row>
        <row r="17095">
          <cell r="A17095">
            <v>0</v>
          </cell>
        </row>
        <row r="17370">
          <cell r="A17370">
            <v>0</v>
          </cell>
        </row>
        <row r="17444">
          <cell r="A17444">
            <v>0</v>
          </cell>
        </row>
        <row r="17559">
          <cell r="A17559">
            <v>0</v>
          </cell>
        </row>
        <row r="17568">
          <cell r="A17568">
            <v>0</v>
          </cell>
        </row>
        <row r="17672">
          <cell r="A17672">
            <v>0</v>
          </cell>
        </row>
        <row r="17783">
          <cell r="A17783">
            <v>0</v>
          </cell>
        </row>
        <row r="17857">
          <cell r="A17857">
            <v>0</v>
          </cell>
        </row>
        <row r="17982">
          <cell r="A17982">
            <v>0</v>
          </cell>
        </row>
        <row r="18060">
          <cell r="A18060">
            <v>0</v>
          </cell>
        </row>
        <row r="18120">
          <cell r="A18120">
            <v>0</v>
          </cell>
        </row>
        <row r="18728">
          <cell r="A18728">
            <v>0</v>
          </cell>
        </row>
        <row r="18792">
          <cell r="A18792">
            <v>0</v>
          </cell>
        </row>
        <row r="18860">
          <cell r="A18860">
            <v>0</v>
          </cell>
        </row>
        <row r="19463">
          <cell r="A19463">
            <v>0</v>
          </cell>
        </row>
        <row r="21954">
          <cell r="A21954">
            <v>0</v>
          </cell>
        </row>
        <row r="22271">
          <cell r="A22271">
            <v>0</v>
          </cell>
        </row>
        <row r="26595">
          <cell r="A26595">
            <v>0</v>
          </cell>
        </row>
        <row r="26601">
          <cell r="A26601">
            <v>0</v>
          </cell>
        </row>
        <row r="26602">
          <cell r="A26602">
            <v>0</v>
          </cell>
        </row>
        <row r="26648">
          <cell r="A26648">
            <v>0</v>
          </cell>
        </row>
        <row r="26649">
          <cell r="A26649">
            <v>0</v>
          </cell>
        </row>
        <row r="26650">
          <cell r="A26650">
            <v>0</v>
          </cell>
        </row>
        <row r="26651">
          <cell r="A26651">
            <v>0</v>
          </cell>
        </row>
        <row r="26655">
          <cell r="A26655">
            <v>0</v>
          </cell>
        </row>
        <row r="26656">
          <cell r="A26656">
            <v>0</v>
          </cell>
        </row>
        <row r="26692">
          <cell r="A26692">
            <v>0</v>
          </cell>
        </row>
        <row r="26693">
          <cell r="A26693">
            <v>0</v>
          </cell>
        </row>
        <row r="26703">
          <cell r="A26703">
            <v>0</v>
          </cell>
        </row>
        <row r="26704">
          <cell r="A26704">
            <v>0</v>
          </cell>
        </row>
        <row r="26737">
          <cell r="A26737">
            <v>0</v>
          </cell>
        </row>
        <row r="26738">
          <cell r="A26738">
            <v>0</v>
          </cell>
        </row>
        <row r="26739">
          <cell r="A26739">
            <v>0</v>
          </cell>
        </row>
        <row r="26742">
          <cell r="A26742">
            <v>0</v>
          </cell>
        </row>
        <row r="26768">
          <cell r="A26768">
            <v>0</v>
          </cell>
        </row>
        <row r="26773">
          <cell r="A26773">
            <v>0</v>
          </cell>
        </row>
        <row r="26790">
          <cell r="A26790">
            <v>0</v>
          </cell>
        </row>
        <row r="26803">
          <cell r="A26803">
            <v>0</v>
          </cell>
        </row>
        <row r="26807">
          <cell r="A26807">
            <v>0</v>
          </cell>
        </row>
        <row r="26836">
          <cell r="A26836">
            <v>0</v>
          </cell>
        </row>
        <row r="26837">
          <cell r="A26837">
            <v>0</v>
          </cell>
        </row>
        <row r="26849">
          <cell r="A26849">
            <v>0</v>
          </cell>
        </row>
        <row r="26888">
          <cell r="A26888">
            <v>0</v>
          </cell>
        </row>
        <row r="26889">
          <cell r="A26889">
            <v>0</v>
          </cell>
        </row>
        <row r="26894">
          <cell r="A26894">
            <v>0</v>
          </cell>
        </row>
        <row r="26895">
          <cell r="A26895">
            <v>0</v>
          </cell>
        </row>
        <row r="26903">
          <cell r="A26903">
            <v>0</v>
          </cell>
        </row>
        <row r="26904">
          <cell r="A26904">
            <v>0</v>
          </cell>
        </row>
        <row r="26964">
          <cell r="A26964">
            <v>0</v>
          </cell>
        </row>
        <row r="26979">
          <cell r="A26979">
            <v>0</v>
          </cell>
        </row>
        <row r="28138">
          <cell r="A28138">
            <v>0</v>
          </cell>
        </row>
        <row r="28326">
          <cell r="A28326">
            <v>0</v>
          </cell>
        </row>
        <row r="29141">
          <cell r="A2914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376"/>
  <sheetViews>
    <sheetView zoomScale="80" zoomScaleNormal="80" zoomScalePageLayoutView="55" workbookViewId="0">
      <pane ySplit="9" topLeftCell="A354" activePane="bottomLeft" state="frozen"/>
      <selection pane="bottomLeft" activeCell="AG364" sqref="AG364:BE364"/>
    </sheetView>
  </sheetViews>
  <sheetFormatPr defaultColWidth="8.85546875" defaultRowHeight="14.25" x14ac:dyDescent="0.2"/>
  <cols>
    <col min="1" max="1" width="37.85546875" style="1" customWidth="1"/>
    <col min="2" max="2" width="4.85546875" style="1" hidden="1" customWidth="1"/>
    <col min="3" max="3" width="13.5703125" style="2" customWidth="1"/>
    <col min="4" max="4" width="48.5703125" style="1" bestFit="1" customWidth="1"/>
    <col min="5" max="5" width="12.42578125" style="1" hidden="1" customWidth="1"/>
    <col min="6" max="7" width="21.42578125" style="1" hidden="1" customWidth="1"/>
    <col min="8" max="8" width="29.85546875" style="3" customWidth="1"/>
    <col min="9" max="9" width="11.7109375" style="1" hidden="1" customWidth="1"/>
    <col min="10" max="10" width="10.28515625" style="1" hidden="1" customWidth="1"/>
    <col min="11" max="11" width="18.42578125" style="1" hidden="1" customWidth="1"/>
    <col min="12" max="12" width="17.7109375" style="1" hidden="1" customWidth="1"/>
    <col min="13" max="13" width="19.28515625" style="1" hidden="1" customWidth="1"/>
    <col min="14" max="14" width="19.42578125" style="1" hidden="1" customWidth="1"/>
    <col min="15" max="15" width="19.140625" style="1" hidden="1" customWidth="1"/>
    <col min="16" max="16" width="18.42578125" style="1" hidden="1" customWidth="1"/>
    <col min="17" max="25" width="20.7109375" style="5" hidden="1" customWidth="1"/>
    <col min="26" max="26" width="0.42578125" style="5" hidden="1" customWidth="1"/>
    <col min="27" max="28" width="20.7109375" style="5" hidden="1" customWidth="1"/>
    <col min="29" max="29" width="0.42578125" style="5" hidden="1" customWidth="1"/>
    <col min="30" max="31" width="20.7109375" style="5" hidden="1" customWidth="1"/>
    <col min="32" max="32" width="20.7109375" style="5" customWidth="1"/>
    <col min="33" max="33" width="23.42578125" style="5" bestFit="1" customWidth="1"/>
    <col min="34" max="34" width="21.7109375" style="5" customWidth="1"/>
    <col min="35" max="35" width="21.7109375" style="5" bestFit="1" customWidth="1"/>
    <col min="36" max="38" width="19" style="5" bestFit="1" customWidth="1"/>
    <col min="39" max="39" width="21.7109375" style="5" bestFit="1" customWidth="1"/>
    <col min="40" max="40" width="21.7109375" style="1" bestFit="1" customWidth="1"/>
    <col min="41" max="41" width="21.7109375" style="1" customWidth="1"/>
    <col min="42" max="42" width="21.7109375" style="1" bestFit="1" customWidth="1"/>
    <col min="43" max="44" width="21.7109375" style="1" hidden="1" customWidth="1"/>
    <col min="45" max="45" width="15.5703125" style="1" bestFit="1" customWidth="1"/>
    <col min="46" max="46" width="19" style="1" bestFit="1" customWidth="1"/>
    <col min="47" max="47" width="15.5703125" style="1" bestFit="1" customWidth="1"/>
    <col min="48" max="48" width="21.7109375" style="1" bestFit="1" customWidth="1"/>
    <col min="49" max="49" width="15.5703125" style="1" bestFit="1" customWidth="1"/>
    <col min="50" max="50" width="31.140625" style="1" bestFit="1" customWidth="1"/>
    <col min="51" max="51" width="17.28515625" style="1" bestFit="1" customWidth="1"/>
    <col min="52" max="52" width="19.42578125" style="1" bestFit="1" customWidth="1"/>
    <col min="53" max="53" width="16.42578125" style="1" bestFit="1" customWidth="1"/>
    <col min="54" max="54" width="21.42578125" style="1" bestFit="1" customWidth="1"/>
    <col min="55" max="55" width="20.7109375" style="1" bestFit="1" customWidth="1"/>
    <col min="56" max="56" width="20.7109375" style="1" customWidth="1"/>
    <col min="57" max="57" width="12.42578125" style="1" bestFit="1" customWidth="1"/>
    <col min="58" max="58" width="13.7109375" style="1" bestFit="1" customWidth="1"/>
    <col min="59" max="16384" width="8.85546875" style="1"/>
  </cols>
  <sheetData>
    <row r="1" spans="1:57" x14ac:dyDescent="0.2">
      <c r="A1" s="1" t="s">
        <v>0</v>
      </c>
      <c r="L1" s="4"/>
      <c r="M1" s="4"/>
      <c r="N1" s="5"/>
      <c r="O1" s="5"/>
      <c r="P1" s="5"/>
    </row>
    <row r="2" spans="1:57" x14ac:dyDescent="0.2">
      <c r="A2" s="1" t="s">
        <v>1</v>
      </c>
      <c r="K2" s="6"/>
      <c r="L2" s="4"/>
      <c r="M2" s="4"/>
      <c r="N2" s="5"/>
      <c r="O2" s="5"/>
      <c r="P2" s="4"/>
    </row>
    <row r="3" spans="1:57" x14ac:dyDescent="0.2">
      <c r="A3" s="7" t="s">
        <v>79</v>
      </c>
      <c r="C3" s="8"/>
      <c r="K3" s="6"/>
      <c r="L3" s="4"/>
      <c r="M3" s="4"/>
      <c r="N3" s="5"/>
      <c r="O3" s="5"/>
      <c r="P3" s="4"/>
      <c r="AN3" s="5"/>
    </row>
    <row r="4" spans="1:57" ht="15" thickBot="1" x14ac:dyDescent="0.25">
      <c r="K4" s="6"/>
      <c r="L4" s="4"/>
      <c r="M4" s="4"/>
      <c r="N4" s="5"/>
      <c r="O4" s="5"/>
      <c r="P4" s="4"/>
    </row>
    <row r="5" spans="1:57" ht="21.95" customHeight="1" thickBot="1" x14ac:dyDescent="0.25">
      <c r="A5" s="77" t="s">
        <v>2</v>
      </c>
      <c r="B5" s="9"/>
      <c r="C5" s="77" t="s">
        <v>3</v>
      </c>
      <c r="D5" s="77" t="s">
        <v>4</v>
      </c>
      <c r="E5" s="9"/>
      <c r="F5" s="9"/>
      <c r="G5" s="9"/>
      <c r="H5" s="10"/>
      <c r="I5" s="11"/>
      <c r="J5" s="11"/>
      <c r="K5" s="12"/>
      <c r="L5" s="13"/>
      <c r="M5" s="14"/>
      <c r="N5" s="15"/>
      <c r="O5" s="16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80" t="s">
        <v>5</v>
      </c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74"/>
      <c r="BB5" s="17"/>
      <c r="BC5" s="17"/>
      <c r="BD5" s="17"/>
      <c r="BE5" s="17"/>
    </row>
    <row r="6" spans="1:57" ht="42.75" x14ac:dyDescent="0.2">
      <c r="A6" s="78"/>
      <c r="B6" s="18"/>
      <c r="C6" s="78"/>
      <c r="D6" s="78"/>
      <c r="E6" s="18"/>
      <c r="F6" s="19" t="s">
        <v>6</v>
      </c>
      <c r="G6" s="19" t="s">
        <v>7</v>
      </c>
      <c r="H6" s="20" t="s">
        <v>8</v>
      </c>
      <c r="I6" s="21" t="s">
        <v>9</v>
      </c>
      <c r="J6" s="21" t="s">
        <v>10</v>
      </c>
      <c r="K6" s="6"/>
      <c r="L6" s="4"/>
      <c r="M6" s="22">
        <v>0.15</v>
      </c>
      <c r="N6" s="23">
        <v>0.05</v>
      </c>
      <c r="O6" s="24">
        <v>0.2</v>
      </c>
      <c r="P6" s="4"/>
      <c r="T6" s="82" t="s">
        <v>11</v>
      </c>
      <c r="U6" s="82"/>
      <c r="V6" s="82" t="s">
        <v>12</v>
      </c>
      <c r="W6" s="82"/>
      <c r="X6" s="82" t="s">
        <v>13</v>
      </c>
      <c r="Y6" s="82"/>
      <c r="Z6" s="4"/>
      <c r="AA6" s="83" t="s">
        <v>14</v>
      </c>
      <c r="AB6" s="83"/>
      <c r="AC6" s="4"/>
      <c r="AD6" s="83" t="s">
        <v>15</v>
      </c>
      <c r="AE6" s="83"/>
      <c r="AF6" s="76"/>
      <c r="AG6" s="25" t="s">
        <v>80</v>
      </c>
      <c r="AH6" s="25" t="s">
        <v>72</v>
      </c>
      <c r="AI6" s="25" t="s">
        <v>17</v>
      </c>
      <c r="AJ6" s="25" t="s">
        <v>18</v>
      </c>
      <c r="AK6" s="25" t="s">
        <v>19</v>
      </c>
      <c r="AL6" s="25" t="s">
        <v>20</v>
      </c>
      <c r="AM6" s="25" t="s">
        <v>21</v>
      </c>
      <c r="AN6" s="25" t="s">
        <v>22</v>
      </c>
      <c r="AO6" s="25" t="s">
        <v>23</v>
      </c>
      <c r="AP6" s="25" t="s">
        <v>24</v>
      </c>
      <c r="AQ6" s="25" t="s">
        <v>25</v>
      </c>
      <c r="AR6" s="25" t="s">
        <v>26</v>
      </c>
      <c r="AS6" s="25" t="s">
        <v>27</v>
      </c>
      <c r="AT6" s="25" t="s">
        <v>28</v>
      </c>
      <c r="AU6" s="25" t="s">
        <v>29</v>
      </c>
      <c r="AV6" s="25" t="s">
        <v>75</v>
      </c>
      <c r="AW6" s="25" t="s">
        <v>30</v>
      </c>
      <c r="AX6" s="25" t="s">
        <v>32</v>
      </c>
      <c r="AY6" s="25" t="s">
        <v>31</v>
      </c>
      <c r="AZ6" s="25" t="s">
        <v>33</v>
      </c>
      <c r="BA6" s="25" t="s">
        <v>34</v>
      </c>
      <c r="BB6" s="25" t="s">
        <v>35</v>
      </c>
      <c r="BC6" s="25" t="s">
        <v>36</v>
      </c>
      <c r="BD6" s="25" t="s">
        <v>16</v>
      </c>
      <c r="BE6" s="25" t="s">
        <v>37</v>
      </c>
    </row>
    <row r="7" spans="1:57" ht="15" thickBot="1" x14ac:dyDescent="0.25">
      <c r="A7" s="79"/>
      <c r="B7" s="19"/>
      <c r="C7" s="79" t="s">
        <v>3</v>
      </c>
      <c r="D7" s="79" t="s">
        <v>4</v>
      </c>
      <c r="E7" s="19" t="s">
        <v>38</v>
      </c>
      <c r="F7" s="19" t="s">
        <v>39</v>
      </c>
      <c r="G7" s="19" t="s">
        <v>40</v>
      </c>
      <c r="H7" s="26"/>
      <c r="I7" s="27"/>
      <c r="J7" s="27"/>
      <c r="K7" s="6"/>
      <c r="L7" s="4"/>
      <c r="M7" s="28"/>
      <c r="N7" s="29"/>
      <c r="O7" s="30"/>
      <c r="P7" s="4"/>
      <c r="Q7" s="75" t="s">
        <v>41</v>
      </c>
      <c r="R7" s="75" t="s">
        <v>42</v>
      </c>
      <c r="S7" s="75" t="s">
        <v>43</v>
      </c>
      <c r="T7" s="75" t="s">
        <v>44</v>
      </c>
      <c r="U7" s="75" t="s">
        <v>45</v>
      </c>
      <c r="V7" s="75" t="s">
        <v>44</v>
      </c>
      <c r="W7" s="75" t="s">
        <v>45</v>
      </c>
      <c r="X7" s="75" t="s">
        <v>44</v>
      </c>
      <c r="Y7" s="75" t="s">
        <v>45</v>
      </c>
      <c r="Z7" s="4"/>
      <c r="AA7" s="75" t="s">
        <v>44</v>
      </c>
      <c r="AB7" s="75" t="s">
        <v>45</v>
      </c>
      <c r="AC7" s="31"/>
      <c r="AD7" s="75" t="s">
        <v>44</v>
      </c>
      <c r="AE7" s="75" t="s">
        <v>45</v>
      </c>
      <c r="AF7" s="75"/>
      <c r="AG7" s="32"/>
      <c r="AH7" s="32"/>
      <c r="AI7" s="32"/>
      <c r="AJ7" s="32"/>
      <c r="AK7" s="32"/>
      <c r="AL7" s="32"/>
      <c r="AM7" s="32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</row>
    <row r="8" spans="1:57" x14ac:dyDescent="0.2">
      <c r="A8" s="18"/>
      <c r="B8" s="18"/>
      <c r="C8" s="33"/>
      <c r="D8" s="18"/>
      <c r="E8" s="18"/>
      <c r="F8" s="18"/>
      <c r="G8" s="18"/>
      <c r="H8" s="19"/>
      <c r="I8" s="18"/>
      <c r="J8" s="18"/>
      <c r="K8" s="6"/>
      <c r="L8" s="4"/>
      <c r="M8" s="4" t="e">
        <f>+#REF!</f>
        <v>#REF!</v>
      </c>
      <c r="N8" s="5" t="e">
        <f>+#REF!</f>
        <v>#REF!</v>
      </c>
      <c r="O8" s="5" t="e">
        <f>+#REF!</f>
        <v>#REF!</v>
      </c>
      <c r="P8" s="4"/>
    </row>
    <row r="9" spans="1:57" s="5" customFormat="1" ht="24.95" customHeight="1" x14ac:dyDescent="0.2">
      <c r="C9" s="34"/>
      <c r="H9" s="75"/>
    </row>
    <row r="10" spans="1:57" s="38" customFormat="1" ht="24.95" customHeight="1" x14ac:dyDescent="0.25">
      <c r="A10" s="35"/>
      <c r="B10" s="35"/>
      <c r="C10" s="33" t="s">
        <v>73</v>
      </c>
      <c r="D10" s="71" t="s">
        <v>74</v>
      </c>
      <c r="E10" s="35"/>
      <c r="F10" s="35"/>
      <c r="G10" s="35"/>
      <c r="H10" s="33" t="s">
        <v>46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6"/>
      <c r="AY10" s="37"/>
      <c r="AZ10" s="37"/>
      <c r="BA10" s="37"/>
      <c r="BB10" s="36"/>
      <c r="BC10" s="36"/>
      <c r="BD10" s="36"/>
      <c r="BE10" s="36"/>
    </row>
    <row r="11" spans="1:57" s="38" customFormat="1" ht="24.95" customHeight="1" x14ac:dyDescent="0.25">
      <c r="A11" s="35"/>
      <c r="B11" s="35"/>
      <c r="C11" s="33" t="s">
        <v>73</v>
      </c>
      <c r="D11" s="71" t="s">
        <v>74</v>
      </c>
      <c r="E11" s="35"/>
      <c r="F11" s="35"/>
      <c r="G11" s="35"/>
      <c r="H11" s="33" t="s">
        <v>46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6"/>
      <c r="AY11" s="37"/>
      <c r="AZ11" s="37"/>
      <c r="BA11" s="37"/>
      <c r="BB11" s="36"/>
      <c r="BC11" s="36"/>
      <c r="BD11" s="36"/>
      <c r="BE11" s="36"/>
    </row>
    <row r="12" spans="1:57" s="41" customFormat="1" ht="24.95" customHeight="1" x14ac:dyDescent="0.25">
      <c r="A12" s="44" t="s">
        <v>78</v>
      </c>
      <c r="B12" s="39"/>
      <c r="C12" s="40"/>
      <c r="D12" s="39"/>
      <c r="E12" s="39"/>
      <c r="F12" s="39"/>
      <c r="G12" s="39"/>
      <c r="H12" s="40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>
        <f>SUM(AG10:AG11)</f>
        <v>0</v>
      </c>
      <c r="AH12" s="39">
        <f t="shared" ref="AH12:BE12" si="0">SUM(AH10:AH11)</f>
        <v>0</v>
      </c>
      <c r="AI12" s="39">
        <f t="shared" si="0"/>
        <v>0</v>
      </c>
      <c r="AJ12" s="39">
        <f t="shared" si="0"/>
        <v>0</v>
      </c>
      <c r="AK12" s="39">
        <f t="shared" si="0"/>
        <v>0</v>
      </c>
      <c r="AL12" s="39">
        <f t="shared" si="0"/>
        <v>0</v>
      </c>
      <c r="AM12" s="39">
        <f t="shared" si="0"/>
        <v>0</v>
      </c>
      <c r="AN12" s="39">
        <f t="shared" si="0"/>
        <v>0</v>
      </c>
      <c r="AO12" s="39">
        <f t="shared" si="0"/>
        <v>0</v>
      </c>
      <c r="AP12" s="39">
        <f t="shared" si="0"/>
        <v>0</v>
      </c>
      <c r="AQ12" s="39">
        <f t="shared" si="0"/>
        <v>0</v>
      </c>
      <c r="AR12" s="39">
        <f t="shared" si="0"/>
        <v>0</v>
      </c>
      <c r="AS12" s="39">
        <f t="shared" si="0"/>
        <v>0</v>
      </c>
      <c r="AT12" s="39">
        <f t="shared" si="0"/>
        <v>0</v>
      </c>
      <c r="AU12" s="39">
        <f t="shared" si="0"/>
        <v>0</v>
      </c>
      <c r="AV12" s="39">
        <f t="shared" si="0"/>
        <v>0</v>
      </c>
      <c r="AW12" s="39">
        <f t="shared" si="0"/>
        <v>0</v>
      </c>
      <c r="AX12" s="39">
        <f t="shared" si="0"/>
        <v>0</v>
      </c>
      <c r="AY12" s="39">
        <f t="shared" si="0"/>
        <v>0</v>
      </c>
      <c r="AZ12" s="39">
        <f t="shared" si="0"/>
        <v>0</v>
      </c>
      <c r="BA12" s="39">
        <f t="shared" si="0"/>
        <v>0</v>
      </c>
      <c r="BB12" s="39">
        <f t="shared" si="0"/>
        <v>0</v>
      </c>
      <c r="BC12" s="39">
        <f t="shared" si="0"/>
        <v>0</v>
      </c>
      <c r="BD12" s="39">
        <f>SUM(BD10:BD11)</f>
        <v>0</v>
      </c>
      <c r="BE12" s="39">
        <f t="shared" si="0"/>
        <v>0</v>
      </c>
    </row>
    <row r="13" spans="1:57" s="43" customFormat="1" ht="24.95" customHeight="1" x14ac:dyDescent="0.25">
      <c r="A13" s="35"/>
      <c r="B13" s="42"/>
      <c r="C13" s="33" t="s">
        <v>71</v>
      </c>
      <c r="D13" s="36"/>
      <c r="E13" s="35"/>
      <c r="F13" s="35"/>
      <c r="G13" s="35"/>
      <c r="H13" s="33" t="s">
        <v>46</v>
      </c>
      <c r="I13" s="35"/>
      <c r="J13" s="35"/>
      <c r="K13" s="35"/>
      <c r="L13" s="35"/>
      <c r="M13" s="35"/>
      <c r="N13" s="35"/>
      <c r="O13" s="35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6"/>
      <c r="AV13" s="36"/>
      <c r="AW13" s="37"/>
      <c r="AX13" s="36"/>
      <c r="AY13" s="36"/>
      <c r="AZ13" s="36"/>
      <c r="BA13" s="36"/>
      <c r="BB13" s="36"/>
      <c r="BC13" s="36"/>
      <c r="BD13" s="36"/>
      <c r="BE13" s="36"/>
    </row>
    <row r="14" spans="1:57" s="43" customFormat="1" ht="24.95" customHeight="1" x14ac:dyDescent="0.25">
      <c r="A14" s="35"/>
      <c r="B14" s="42"/>
      <c r="C14" s="33" t="s">
        <v>71</v>
      </c>
      <c r="D14" s="36"/>
      <c r="E14" s="35"/>
      <c r="F14" s="35"/>
      <c r="G14" s="35"/>
      <c r="H14" s="33" t="s">
        <v>46</v>
      </c>
      <c r="I14" s="35"/>
      <c r="J14" s="35"/>
      <c r="K14" s="35"/>
      <c r="L14" s="35"/>
      <c r="M14" s="35"/>
      <c r="N14" s="35"/>
      <c r="O14" s="35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6"/>
      <c r="AV14" s="36"/>
      <c r="AW14" s="37"/>
      <c r="AX14" s="36"/>
      <c r="AY14" s="36"/>
      <c r="AZ14" s="36"/>
      <c r="BA14" s="36"/>
      <c r="BB14" s="36"/>
      <c r="BC14" s="36"/>
      <c r="BD14" s="36"/>
      <c r="BE14" s="36"/>
    </row>
    <row r="15" spans="1:57" s="43" customFormat="1" ht="24.95" customHeight="1" x14ac:dyDescent="0.25">
      <c r="A15" s="35"/>
      <c r="B15" s="42"/>
      <c r="C15" s="33" t="s">
        <v>71</v>
      </c>
      <c r="D15" s="36"/>
      <c r="E15" s="35"/>
      <c r="F15" s="35"/>
      <c r="G15" s="35"/>
      <c r="H15" s="33" t="s">
        <v>46</v>
      </c>
      <c r="I15" s="35"/>
      <c r="J15" s="35"/>
      <c r="K15" s="35"/>
      <c r="L15" s="35"/>
      <c r="M15" s="35"/>
      <c r="N15" s="35"/>
      <c r="O15" s="35"/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6"/>
      <c r="AV15" s="36"/>
      <c r="AW15" s="37"/>
      <c r="AX15" s="36"/>
      <c r="AY15" s="36"/>
      <c r="AZ15" s="36"/>
      <c r="BA15" s="36"/>
      <c r="BB15" s="36"/>
      <c r="BC15" s="36"/>
      <c r="BD15" s="36"/>
      <c r="BE15" s="36"/>
    </row>
    <row r="16" spans="1:57" s="43" customFormat="1" ht="24.95" customHeight="1" x14ac:dyDescent="0.25">
      <c r="A16" s="35"/>
      <c r="B16" s="42"/>
      <c r="C16" s="33" t="s">
        <v>71</v>
      </c>
      <c r="D16" s="36"/>
      <c r="E16" s="35"/>
      <c r="F16" s="35"/>
      <c r="G16" s="35"/>
      <c r="H16" s="33" t="s">
        <v>46</v>
      </c>
      <c r="I16" s="35"/>
      <c r="J16" s="35"/>
      <c r="K16" s="35"/>
      <c r="L16" s="35"/>
      <c r="M16" s="35"/>
      <c r="N16" s="35"/>
      <c r="O16" s="35"/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6"/>
      <c r="AV16" s="36"/>
      <c r="AW16" s="37"/>
      <c r="AX16" s="36"/>
      <c r="AY16" s="36"/>
      <c r="AZ16" s="36"/>
      <c r="BA16" s="36"/>
      <c r="BB16" s="36"/>
      <c r="BC16" s="36"/>
      <c r="BD16" s="36"/>
      <c r="BE16" s="36"/>
    </row>
    <row r="17" spans="1:58" s="43" customFormat="1" ht="24.95" customHeight="1" x14ac:dyDescent="0.25">
      <c r="A17" s="35"/>
      <c r="B17" s="42"/>
      <c r="C17" s="33" t="s">
        <v>71</v>
      </c>
      <c r="D17" s="36"/>
      <c r="E17" s="35"/>
      <c r="F17" s="35"/>
      <c r="G17" s="35"/>
      <c r="H17" s="33" t="s">
        <v>46</v>
      </c>
      <c r="I17" s="35"/>
      <c r="J17" s="35"/>
      <c r="K17" s="35"/>
      <c r="L17" s="35"/>
      <c r="M17" s="35"/>
      <c r="N17" s="35"/>
      <c r="O17" s="35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6"/>
      <c r="AV17" s="36"/>
      <c r="AW17" s="37"/>
      <c r="AX17" s="36"/>
      <c r="AY17" s="36"/>
      <c r="AZ17" s="36"/>
      <c r="BA17" s="36"/>
      <c r="BB17" s="36"/>
      <c r="BC17" s="36"/>
      <c r="BD17" s="36"/>
      <c r="BE17" s="36"/>
    </row>
    <row r="18" spans="1:58" s="43" customFormat="1" ht="24.95" customHeight="1" x14ac:dyDescent="0.25">
      <c r="A18" s="35"/>
      <c r="B18" s="42"/>
      <c r="C18" s="33" t="s">
        <v>71</v>
      </c>
      <c r="D18" s="36"/>
      <c r="E18" s="35"/>
      <c r="F18" s="35"/>
      <c r="G18" s="35"/>
      <c r="H18" s="33" t="s">
        <v>46</v>
      </c>
      <c r="I18" s="35"/>
      <c r="J18" s="35"/>
      <c r="K18" s="35"/>
      <c r="L18" s="35"/>
      <c r="M18" s="35"/>
      <c r="N18" s="35"/>
      <c r="O18" s="35"/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6"/>
      <c r="AV18" s="36"/>
      <c r="AW18" s="37"/>
      <c r="AX18" s="36"/>
      <c r="AY18" s="36"/>
      <c r="AZ18" s="36"/>
      <c r="BA18" s="36"/>
      <c r="BB18" s="36"/>
      <c r="BC18" s="36"/>
      <c r="BD18" s="36"/>
      <c r="BE18" s="36"/>
    </row>
    <row r="19" spans="1:58" s="43" customFormat="1" ht="24.95" customHeight="1" x14ac:dyDescent="0.25">
      <c r="A19" s="35"/>
      <c r="B19" s="42"/>
      <c r="C19" s="33" t="s">
        <v>71</v>
      </c>
      <c r="D19" s="36"/>
      <c r="E19" s="35"/>
      <c r="F19" s="35"/>
      <c r="G19" s="35"/>
      <c r="H19" s="33" t="s">
        <v>46</v>
      </c>
      <c r="I19" s="35"/>
      <c r="J19" s="35"/>
      <c r="K19" s="35"/>
      <c r="L19" s="35"/>
      <c r="M19" s="35"/>
      <c r="N19" s="35"/>
      <c r="O19" s="35"/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6"/>
      <c r="AV19" s="36"/>
      <c r="AW19" s="37"/>
      <c r="AX19" s="36"/>
      <c r="AY19" s="36"/>
      <c r="AZ19" s="36"/>
      <c r="BA19" s="36"/>
      <c r="BB19" s="36"/>
      <c r="BC19" s="36"/>
      <c r="BD19" s="36"/>
      <c r="BE19" s="36"/>
    </row>
    <row r="20" spans="1:58" s="43" customFormat="1" ht="24.95" customHeight="1" x14ac:dyDescent="0.25">
      <c r="A20" s="35"/>
      <c r="B20" s="42"/>
      <c r="C20" s="33" t="s">
        <v>71</v>
      </c>
      <c r="D20" s="36"/>
      <c r="E20" s="35"/>
      <c r="F20" s="35"/>
      <c r="G20" s="35"/>
      <c r="H20" s="33" t="s">
        <v>46</v>
      </c>
      <c r="I20" s="35"/>
      <c r="J20" s="35"/>
      <c r="K20" s="35"/>
      <c r="L20" s="35"/>
      <c r="M20" s="35"/>
      <c r="N20" s="35"/>
      <c r="O20" s="35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6"/>
      <c r="AV20" s="36"/>
      <c r="AW20" s="37"/>
      <c r="AX20" s="36"/>
      <c r="AY20" s="36"/>
      <c r="AZ20" s="36"/>
      <c r="BA20" s="36"/>
      <c r="BB20" s="36"/>
      <c r="BC20" s="36"/>
      <c r="BD20" s="36"/>
      <c r="BE20" s="36"/>
    </row>
    <row r="21" spans="1:58" s="43" customFormat="1" ht="24.95" customHeight="1" x14ac:dyDescent="0.25">
      <c r="A21" s="35"/>
      <c r="B21" s="42"/>
      <c r="C21" s="33" t="s">
        <v>71</v>
      </c>
      <c r="D21" s="36"/>
      <c r="E21" s="35"/>
      <c r="F21" s="35"/>
      <c r="G21" s="35"/>
      <c r="H21" s="33" t="s">
        <v>46</v>
      </c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6"/>
      <c r="AV21" s="36"/>
      <c r="AW21" s="37"/>
      <c r="AX21" s="36"/>
      <c r="AY21" s="36"/>
      <c r="AZ21" s="36"/>
      <c r="BA21" s="36"/>
      <c r="BB21" s="36"/>
      <c r="BC21" s="36"/>
      <c r="BD21" s="36"/>
      <c r="BE21" s="36"/>
    </row>
    <row r="22" spans="1:58" s="43" customFormat="1" ht="24.95" customHeight="1" x14ac:dyDescent="0.25">
      <c r="A22" s="35"/>
      <c r="B22" s="42"/>
      <c r="C22" s="33" t="s">
        <v>71</v>
      </c>
      <c r="D22" s="36"/>
      <c r="E22" s="35"/>
      <c r="F22" s="35"/>
      <c r="G22" s="35"/>
      <c r="H22" s="33" t="s">
        <v>46</v>
      </c>
      <c r="I22" s="35"/>
      <c r="J22" s="35"/>
      <c r="K22" s="35"/>
      <c r="L22" s="35"/>
      <c r="M22" s="35"/>
      <c r="N22" s="35"/>
      <c r="O22" s="35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6"/>
      <c r="AV22" s="36"/>
      <c r="AW22" s="37"/>
      <c r="AX22" s="36"/>
      <c r="AY22" s="36"/>
      <c r="AZ22" s="36"/>
      <c r="BA22" s="36"/>
      <c r="BB22" s="36"/>
      <c r="BC22" s="36"/>
      <c r="BD22" s="36"/>
      <c r="BE22" s="36"/>
    </row>
    <row r="23" spans="1:58" s="43" customFormat="1" ht="24.95" customHeight="1" x14ac:dyDescent="0.25">
      <c r="A23" s="35"/>
      <c r="B23" s="42"/>
      <c r="C23" s="33" t="s">
        <v>71</v>
      </c>
      <c r="D23" s="36"/>
      <c r="E23" s="35"/>
      <c r="F23" s="35"/>
      <c r="G23" s="35"/>
      <c r="H23" s="33" t="s">
        <v>46</v>
      </c>
      <c r="I23" s="35"/>
      <c r="J23" s="35"/>
      <c r="K23" s="35"/>
      <c r="L23" s="35"/>
      <c r="M23" s="35"/>
      <c r="N23" s="35"/>
      <c r="O23" s="35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6"/>
      <c r="AV23" s="36"/>
      <c r="AW23" s="37"/>
      <c r="AX23" s="36"/>
      <c r="AY23" s="36"/>
      <c r="AZ23" s="36"/>
      <c r="BA23" s="36"/>
      <c r="BB23" s="36"/>
      <c r="BC23" s="36"/>
      <c r="BD23" s="36"/>
      <c r="BE23" s="36"/>
    </row>
    <row r="24" spans="1:58" s="43" customFormat="1" ht="24.95" customHeight="1" x14ac:dyDescent="0.25">
      <c r="A24" s="35"/>
      <c r="B24" s="42"/>
      <c r="C24" s="33" t="s">
        <v>71</v>
      </c>
      <c r="D24" s="36"/>
      <c r="E24" s="35"/>
      <c r="F24" s="35"/>
      <c r="G24" s="35"/>
      <c r="H24" s="33" t="s">
        <v>46</v>
      </c>
      <c r="I24" s="35"/>
      <c r="J24" s="35"/>
      <c r="K24" s="35"/>
      <c r="L24" s="35"/>
      <c r="M24" s="35"/>
      <c r="N24" s="35"/>
      <c r="O24" s="35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6"/>
      <c r="AV24" s="36"/>
      <c r="AW24" s="37"/>
      <c r="AX24" s="36"/>
      <c r="AY24" s="36"/>
      <c r="AZ24" s="36"/>
      <c r="BA24" s="36"/>
      <c r="BB24" s="36"/>
      <c r="BC24" s="36"/>
      <c r="BD24" s="36"/>
      <c r="BE24" s="36"/>
    </row>
    <row r="25" spans="1:58" s="43" customFormat="1" ht="24.95" customHeight="1" x14ac:dyDescent="0.25">
      <c r="A25" s="35"/>
      <c r="B25" s="42"/>
      <c r="C25" s="33" t="s">
        <v>71</v>
      </c>
      <c r="D25" s="36"/>
      <c r="E25" s="35"/>
      <c r="F25" s="35"/>
      <c r="G25" s="35"/>
      <c r="H25" s="33" t="s">
        <v>46</v>
      </c>
      <c r="I25" s="35"/>
      <c r="J25" s="35"/>
      <c r="K25" s="35"/>
      <c r="L25" s="35"/>
      <c r="M25" s="35"/>
      <c r="N25" s="35"/>
      <c r="O25" s="35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6"/>
      <c r="AV25" s="36"/>
      <c r="AW25" s="37"/>
      <c r="AX25" s="36"/>
      <c r="AY25" s="36"/>
      <c r="AZ25" s="36"/>
      <c r="BA25" s="36"/>
      <c r="BB25" s="36"/>
      <c r="BC25" s="36"/>
      <c r="BD25" s="36"/>
      <c r="BE25" s="36"/>
    </row>
    <row r="26" spans="1:58" s="43" customFormat="1" ht="24.95" customHeight="1" x14ac:dyDescent="0.25">
      <c r="A26" s="35"/>
      <c r="B26" s="42"/>
      <c r="C26" s="33" t="s">
        <v>71</v>
      </c>
      <c r="D26" s="36"/>
      <c r="E26" s="35"/>
      <c r="F26" s="35"/>
      <c r="G26" s="35"/>
      <c r="H26" s="33" t="s">
        <v>46</v>
      </c>
      <c r="I26" s="35"/>
      <c r="J26" s="35"/>
      <c r="K26" s="35"/>
      <c r="L26" s="35"/>
      <c r="M26" s="35"/>
      <c r="N26" s="35"/>
      <c r="O26" s="35"/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6"/>
      <c r="AV26" s="36"/>
      <c r="AW26" s="37"/>
      <c r="AX26" s="36"/>
      <c r="AY26" s="36"/>
      <c r="AZ26" s="36"/>
      <c r="BA26" s="36"/>
      <c r="BB26" s="36"/>
      <c r="BC26" s="36"/>
      <c r="BD26" s="36"/>
      <c r="BE26" s="36"/>
    </row>
    <row r="27" spans="1:58" s="43" customFormat="1" ht="24.95" customHeight="1" x14ac:dyDescent="0.25">
      <c r="A27" s="44" t="s">
        <v>70</v>
      </c>
      <c r="B27" s="44"/>
      <c r="C27" s="45"/>
      <c r="D27" s="39"/>
      <c r="E27" s="44"/>
      <c r="F27" s="44"/>
      <c r="G27" s="44"/>
      <c r="H27" s="45"/>
      <c r="I27" s="44"/>
      <c r="J27" s="44"/>
      <c r="K27" s="44"/>
      <c r="L27" s="44"/>
      <c r="M27" s="44"/>
      <c r="N27" s="44"/>
      <c r="O27" s="44"/>
      <c r="P27" s="44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>
        <f t="shared" ref="AG27:BE27" si="1">SUM(AG13:AG26)</f>
        <v>0</v>
      </c>
      <c r="AH27" s="39">
        <f t="shared" si="1"/>
        <v>0</v>
      </c>
      <c r="AI27" s="39">
        <f t="shared" si="1"/>
        <v>0</v>
      </c>
      <c r="AJ27" s="39">
        <f t="shared" si="1"/>
        <v>0</v>
      </c>
      <c r="AK27" s="39">
        <f t="shared" si="1"/>
        <v>0</v>
      </c>
      <c r="AL27" s="39">
        <f t="shared" si="1"/>
        <v>0</v>
      </c>
      <c r="AM27" s="39">
        <f t="shared" si="1"/>
        <v>0</v>
      </c>
      <c r="AN27" s="39">
        <f t="shared" si="1"/>
        <v>0</v>
      </c>
      <c r="AO27" s="39">
        <f t="shared" si="1"/>
        <v>0</v>
      </c>
      <c r="AP27" s="39">
        <f t="shared" si="1"/>
        <v>0</v>
      </c>
      <c r="AQ27" s="39">
        <f t="shared" si="1"/>
        <v>0</v>
      </c>
      <c r="AR27" s="39">
        <f t="shared" si="1"/>
        <v>0</v>
      </c>
      <c r="AS27" s="39">
        <f t="shared" si="1"/>
        <v>0</v>
      </c>
      <c r="AT27" s="39">
        <f t="shared" si="1"/>
        <v>0</v>
      </c>
      <c r="AU27" s="39">
        <f t="shared" si="1"/>
        <v>0</v>
      </c>
      <c r="AV27" s="39">
        <f t="shared" si="1"/>
        <v>0</v>
      </c>
      <c r="AW27" s="39">
        <f t="shared" si="1"/>
        <v>0</v>
      </c>
      <c r="AX27" s="39">
        <f t="shared" si="1"/>
        <v>0</v>
      </c>
      <c r="AY27" s="39">
        <f t="shared" si="1"/>
        <v>0</v>
      </c>
      <c r="AZ27" s="39">
        <f t="shared" si="1"/>
        <v>0</v>
      </c>
      <c r="BA27" s="39">
        <f t="shared" si="1"/>
        <v>0</v>
      </c>
      <c r="BB27" s="39">
        <f t="shared" si="1"/>
        <v>0</v>
      </c>
      <c r="BC27" s="39">
        <f t="shared" si="1"/>
        <v>0</v>
      </c>
      <c r="BD27" s="39">
        <f t="shared" si="1"/>
        <v>0</v>
      </c>
      <c r="BE27" s="39">
        <f t="shared" si="1"/>
        <v>0</v>
      </c>
    </row>
    <row r="28" spans="1:58" s="46" customFormat="1" ht="24.95" customHeight="1" x14ac:dyDescent="0.25">
      <c r="A28" s="44"/>
      <c r="B28" s="44"/>
      <c r="C28" s="45"/>
      <c r="D28" s="39"/>
      <c r="E28" s="44"/>
      <c r="F28" s="44"/>
      <c r="G28" s="44"/>
      <c r="H28" s="45"/>
      <c r="I28" s="44"/>
      <c r="J28" s="44"/>
      <c r="K28" s="44"/>
      <c r="L28" s="44"/>
      <c r="M28" s="44"/>
      <c r="N28" s="44"/>
      <c r="O28" s="44"/>
      <c r="P28" s="44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>
        <v>0</v>
      </c>
      <c r="AH28" s="39">
        <v>0</v>
      </c>
      <c r="AI28" s="39">
        <v>30</v>
      </c>
      <c r="AJ28" s="39">
        <v>24</v>
      </c>
      <c r="AK28" s="39">
        <v>4.8600000000000003</v>
      </c>
      <c r="AL28" s="39">
        <v>2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30</v>
      </c>
      <c r="AS28" s="39">
        <v>0</v>
      </c>
      <c r="AT28" s="39">
        <v>0</v>
      </c>
      <c r="AU28" s="39">
        <v>10</v>
      </c>
      <c r="AV28" s="39">
        <v>0</v>
      </c>
      <c r="AW28" s="39">
        <v>0</v>
      </c>
      <c r="AX28" s="39">
        <v>0</v>
      </c>
      <c r="AY28" s="39">
        <v>0</v>
      </c>
      <c r="AZ28" s="39">
        <v>0</v>
      </c>
      <c r="BA28" s="39">
        <v>0</v>
      </c>
      <c r="BB28" s="39">
        <v>0</v>
      </c>
      <c r="BC28" s="39">
        <v>0</v>
      </c>
      <c r="BD28" s="39">
        <v>0</v>
      </c>
      <c r="BE28" s="39">
        <v>0</v>
      </c>
      <c r="BF28" s="46">
        <v>0</v>
      </c>
    </row>
    <row r="29" spans="1:58" s="46" customFormat="1" ht="24.95" customHeight="1" x14ac:dyDescent="0.25">
      <c r="A29" s="44"/>
      <c r="B29" s="44"/>
      <c r="C29" s="45"/>
      <c r="D29" s="39"/>
      <c r="E29" s="44"/>
      <c r="F29" s="44"/>
      <c r="G29" s="44"/>
      <c r="H29" s="45"/>
      <c r="I29" s="44"/>
      <c r="J29" s="44"/>
      <c r="K29" s="44"/>
      <c r="L29" s="44"/>
      <c r="M29" s="44"/>
      <c r="N29" s="44"/>
      <c r="O29" s="44"/>
      <c r="P29" s="44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44">
        <f>AG27-AG28</f>
        <v>0</v>
      </c>
      <c r="AH29" s="44">
        <f t="shared" ref="AH29:BE29" si="2">AH27-AH28</f>
        <v>0</v>
      </c>
      <c r="AI29" s="44">
        <f t="shared" si="2"/>
        <v>-30</v>
      </c>
      <c r="AJ29" s="44">
        <f t="shared" si="2"/>
        <v>-24</v>
      </c>
      <c r="AK29" s="44">
        <f t="shared" si="2"/>
        <v>-4.8600000000000003</v>
      </c>
      <c r="AL29" s="44">
        <f t="shared" si="2"/>
        <v>-2</v>
      </c>
      <c r="AM29" s="44">
        <f t="shared" si="2"/>
        <v>0</v>
      </c>
      <c r="AN29" s="44">
        <f t="shared" si="2"/>
        <v>0</v>
      </c>
      <c r="AO29" s="44">
        <f t="shared" si="2"/>
        <v>0</v>
      </c>
      <c r="AP29" s="44">
        <f t="shared" si="2"/>
        <v>0</v>
      </c>
      <c r="AQ29" s="44">
        <f t="shared" si="2"/>
        <v>0</v>
      </c>
      <c r="AR29" s="44">
        <f t="shared" si="2"/>
        <v>-30</v>
      </c>
      <c r="AS29" s="44">
        <f t="shared" si="2"/>
        <v>0</v>
      </c>
      <c r="AT29" s="44">
        <f t="shared" si="2"/>
        <v>0</v>
      </c>
      <c r="AU29" s="44">
        <f t="shared" si="2"/>
        <v>-10</v>
      </c>
      <c r="AV29" s="44">
        <f t="shared" si="2"/>
        <v>0</v>
      </c>
      <c r="AW29" s="44">
        <f t="shared" si="2"/>
        <v>0</v>
      </c>
      <c r="AX29" s="44">
        <f t="shared" si="2"/>
        <v>0</v>
      </c>
      <c r="AY29" s="44">
        <f t="shared" si="2"/>
        <v>0</v>
      </c>
      <c r="AZ29" s="44">
        <f t="shared" si="2"/>
        <v>0</v>
      </c>
      <c r="BA29" s="44">
        <f t="shared" si="2"/>
        <v>0</v>
      </c>
      <c r="BB29" s="44">
        <f t="shared" si="2"/>
        <v>0</v>
      </c>
      <c r="BC29" s="44">
        <f t="shared" si="2"/>
        <v>0</v>
      </c>
      <c r="BD29" s="44">
        <f t="shared" si="2"/>
        <v>0</v>
      </c>
      <c r="BE29" s="44">
        <f t="shared" si="2"/>
        <v>0</v>
      </c>
    </row>
    <row r="30" spans="1:58" s="43" customFormat="1" ht="24.95" hidden="1" customHeight="1" x14ac:dyDescent="0.25">
      <c r="A30" s="35"/>
      <c r="B30" s="42"/>
      <c r="C30" s="33" t="s">
        <v>69</v>
      </c>
      <c r="D30" s="36"/>
      <c r="E30" s="35"/>
      <c r="F30" s="35"/>
      <c r="G30" s="35"/>
      <c r="H30" s="33" t="s">
        <v>46</v>
      </c>
      <c r="I30" s="35"/>
      <c r="J30" s="35"/>
      <c r="K30" s="35"/>
      <c r="L30" s="35"/>
      <c r="M30" s="35"/>
      <c r="N30" s="35"/>
      <c r="O30" s="35"/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6"/>
      <c r="AV30" s="36"/>
      <c r="AW30" s="37"/>
      <c r="AX30" s="36"/>
      <c r="AY30" s="36"/>
      <c r="AZ30" s="36"/>
      <c r="BA30" s="36"/>
      <c r="BB30" s="36"/>
      <c r="BC30" s="36"/>
      <c r="BD30" s="36"/>
      <c r="BE30" s="36"/>
    </row>
    <row r="31" spans="1:58" s="43" customFormat="1" ht="24.95" hidden="1" customHeight="1" x14ac:dyDescent="0.25">
      <c r="A31" s="35"/>
      <c r="B31" s="42"/>
      <c r="C31" s="33" t="s">
        <v>69</v>
      </c>
      <c r="D31" s="36"/>
      <c r="E31" s="35"/>
      <c r="F31" s="35"/>
      <c r="G31" s="35"/>
      <c r="H31" s="33" t="s">
        <v>46</v>
      </c>
      <c r="I31" s="35"/>
      <c r="J31" s="35"/>
      <c r="K31" s="35"/>
      <c r="L31" s="35"/>
      <c r="M31" s="35"/>
      <c r="N31" s="35"/>
      <c r="O31" s="35"/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6"/>
      <c r="AV31" s="36"/>
      <c r="AW31" s="37"/>
      <c r="AX31" s="36"/>
      <c r="AY31" s="36"/>
      <c r="AZ31" s="36"/>
      <c r="BA31" s="36"/>
      <c r="BB31" s="36"/>
      <c r="BC31" s="36"/>
      <c r="BD31" s="36"/>
      <c r="BE31" s="36"/>
    </row>
    <row r="32" spans="1:58" s="43" customFormat="1" ht="24.95" hidden="1" customHeight="1" x14ac:dyDescent="0.25">
      <c r="A32" s="35"/>
      <c r="B32" s="42"/>
      <c r="C32" s="33" t="s">
        <v>69</v>
      </c>
      <c r="D32" s="36"/>
      <c r="E32" s="35"/>
      <c r="F32" s="35"/>
      <c r="G32" s="35"/>
      <c r="H32" s="33" t="s">
        <v>46</v>
      </c>
      <c r="I32" s="35"/>
      <c r="J32" s="35"/>
      <c r="K32" s="35"/>
      <c r="L32" s="35"/>
      <c r="M32" s="35"/>
      <c r="N32" s="35"/>
      <c r="O32" s="35"/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6"/>
      <c r="AV32" s="36"/>
      <c r="AW32" s="37"/>
      <c r="AX32" s="36"/>
      <c r="AY32" s="36"/>
      <c r="AZ32" s="36"/>
      <c r="BA32" s="36"/>
      <c r="BB32" s="36"/>
      <c r="BC32" s="36"/>
      <c r="BD32" s="36"/>
      <c r="BE32" s="36"/>
    </row>
    <row r="33" spans="1:57" s="43" customFormat="1" ht="24.95" hidden="1" customHeight="1" x14ac:dyDescent="0.25">
      <c r="A33" s="35"/>
      <c r="B33" s="42"/>
      <c r="C33" s="33" t="s">
        <v>69</v>
      </c>
      <c r="D33" s="36"/>
      <c r="E33" s="35"/>
      <c r="F33" s="35"/>
      <c r="G33" s="35"/>
      <c r="H33" s="33" t="s">
        <v>46</v>
      </c>
      <c r="I33" s="35"/>
      <c r="J33" s="35"/>
      <c r="K33" s="35"/>
      <c r="L33" s="35"/>
      <c r="M33" s="35"/>
      <c r="N33" s="35"/>
      <c r="O33" s="35"/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6"/>
      <c r="AV33" s="36"/>
      <c r="AW33" s="37"/>
      <c r="AX33" s="36"/>
      <c r="AY33" s="36"/>
      <c r="AZ33" s="36"/>
      <c r="BA33" s="36"/>
      <c r="BB33" s="36"/>
      <c r="BC33" s="36"/>
      <c r="BD33" s="36"/>
      <c r="BE33" s="36"/>
    </row>
    <row r="34" spans="1:57" s="43" customFormat="1" ht="24.95" hidden="1" customHeight="1" x14ac:dyDescent="0.25">
      <c r="A34" s="35"/>
      <c r="B34" s="42"/>
      <c r="C34" s="33" t="s">
        <v>69</v>
      </c>
      <c r="D34" s="36"/>
      <c r="E34" s="35"/>
      <c r="F34" s="35"/>
      <c r="G34" s="35"/>
      <c r="H34" s="33" t="s">
        <v>46</v>
      </c>
      <c r="I34" s="35"/>
      <c r="J34" s="35"/>
      <c r="K34" s="35"/>
      <c r="L34" s="35"/>
      <c r="M34" s="35"/>
      <c r="N34" s="35"/>
      <c r="O34" s="35"/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6"/>
      <c r="AV34" s="36"/>
      <c r="AW34" s="37"/>
      <c r="AX34" s="36"/>
      <c r="AY34" s="36"/>
      <c r="AZ34" s="36"/>
      <c r="BA34" s="36"/>
      <c r="BB34" s="36"/>
      <c r="BC34" s="36"/>
      <c r="BD34" s="36"/>
      <c r="BE34" s="36"/>
    </row>
    <row r="35" spans="1:57" s="43" customFormat="1" ht="24.95" hidden="1" customHeight="1" x14ac:dyDescent="0.25">
      <c r="A35" s="35"/>
      <c r="B35" s="42"/>
      <c r="C35" s="33" t="s">
        <v>69</v>
      </c>
      <c r="D35" s="36"/>
      <c r="E35" s="35"/>
      <c r="F35" s="35"/>
      <c r="G35" s="35"/>
      <c r="H35" s="33" t="s">
        <v>46</v>
      </c>
      <c r="I35" s="35"/>
      <c r="J35" s="35"/>
      <c r="K35" s="35"/>
      <c r="L35" s="35"/>
      <c r="M35" s="35"/>
      <c r="N35" s="35"/>
      <c r="O35" s="35"/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6"/>
      <c r="AV35" s="36"/>
      <c r="AW35" s="37"/>
      <c r="AX35" s="36"/>
      <c r="AY35" s="36"/>
      <c r="AZ35" s="36"/>
      <c r="BA35" s="36"/>
      <c r="BB35" s="36"/>
      <c r="BC35" s="36"/>
      <c r="BD35" s="36"/>
      <c r="BE35" s="36"/>
    </row>
    <row r="36" spans="1:57" s="43" customFormat="1" ht="24.95" hidden="1" customHeight="1" x14ac:dyDescent="0.25">
      <c r="A36" s="35"/>
      <c r="B36" s="42"/>
      <c r="C36" s="33" t="s">
        <v>69</v>
      </c>
      <c r="D36" s="36"/>
      <c r="E36" s="35"/>
      <c r="F36" s="35"/>
      <c r="G36" s="35"/>
      <c r="H36" s="33" t="s">
        <v>46</v>
      </c>
      <c r="I36" s="35"/>
      <c r="J36" s="35"/>
      <c r="K36" s="35"/>
      <c r="L36" s="35"/>
      <c r="M36" s="35"/>
      <c r="N36" s="35"/>
      <c r="O36" s="35"/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6"/>
      <c r="AV36" s="36"/>
      <c r="AW36" s="37"/>
      <c r="AX36" s="36"/>
      <c r="AY36" s="36"/>
      <c r="AZ36" s="36"/>
      <c r="BA36" s="36"/>
      <c r="BB36" s="36"/>
      <c r="BC36" s="36"/>
      <c r="BD36" s="36"/>
      <c r="BE36" s="36"/>
    </row>
    <row r="37" spans="1:57" s="43" customFormat="1" ht="24.95" hidden="1" customHeight="1" x14ac:dyDescent="0.25">
      <c r="A37" s="35"/>
      <c r="B37" s="42"/>
      <c r="C37" s="33" t="s">
        <v>69</v>
      </c>
      <c r="D37" s="36"/>
      <c r="E37" s="35"/>
      <c r="F37" s="35"/>
      <c r="G37" s="35"/>
      <c r="H37" s="33" t="s">
        <v>46</v>
      </c>
      <c r="I37" s="35"/>
      <c r="J37" s="35"/>
      <c r="K37" s="35"/>
      <c r="L37" s="35"/>
      <c r="M37" s="35"/>
      <c r="N37" s="35"/>
      <c r="O37" s="35"/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6"/>
      <c r="AV37" s="36"/>
      <c r="AW37" s="37"/>
      <c r="AX37" s="36"/>
      <c r="AY37" s="36"/>
      <c r="AZ37" s="36"/>
      <c r="BA37" s="36"/>
      <c r="BB37" s="36"/>
      <c r="BC37" s="36"/>
      <c r="BD37" s="36"/>
      <c r="BE37" s="36"/>
    </row>
    <row r="38" spans="1:57" s="43" customFormat="1" ht="24.95" hidden="1" customHeight="1" x14ac:dyDescent="0.25">
      <c r="A38" s="35"/>
      <c r="B38" s="42"/>
      <c r="C38" s="33" t="s">
        <v>69</v>
      </c>
      <c r="D38" s="36"/>
      <c r="E38" s="35"/>
      <c r="F38" s="35"/>
      <c r="G38" s="35"/>
      <c r="H38" s="33" t="s">
        <v>46</v>
      </c>
      <c r="I38" s="35"/>
      <c r="J38" s="35"/>
      <c r="K38" s="35"/>
      <c r="L38" s="35"/>
      <c r="M38" s="35"/>
      <c r="N38" s="35"/>
      <c r="O38" s="35"/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6"/>
      <c r="AV38" s="36"/>
      <c r="AW38" s="37"/>
      <c r="AX38" s="36"/>
      <c r="AY38" s="36"/>
      <c r="AZ38" s="36"/>
      <c r="BA38" s="36"/>
      <c r="BB38" s="36"/>
      <c r="BC38" s="36"/>
      <c r="BD38" s="36"/>
      <c r="BE38" s="36"/>
    </row>
    <row r="39" spans="1:57" s="43" customFormat="1" ht="24.95" hidden="1" customHeight="1" x14ac:dyDescent="0.25">
      <c r="A39" s="35"/>
      <c r="B39" s="42"/>
      <c r="C39" s="33" t="s">
        <v>69</v>
      </c>
      <c r="D39" s="36"/>
      <c r="E39" s="35"/>
      <c r="F39" s="35"/>
      <c r="G39" s="35"/>
      <c r="H39" s="33" t="s">
        <v>46</v>
      </c>
      <c r="I39" s="35"/>
      <c r="J39" s="35"/>
      <c r="K39" s="35"/>
      <c r="L39" s="35"/>
      <c r="M39" s="35"/>
      <c r="N39" s="35"/>
      <c r="O39" s="35"/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6"/>
      <c r="AV39" s="36"/>
      <c r="AW39" s="37"/>
      <c r="AX39" s="36"/>
      <c r="AY39" s="36"/>
      <c r="AZ39" s="36"/>
      <c r="BA39" s="36"/>
      <c r="BB39" s="36"/>
      <c r="BC39" s="36"/>
      <c r="BD39" s="36"/>
      <c r="BE39" s="36"/>
    </row>
    <row r="40" spans="1:57" s="43" customFormat="1" ht="24.95" hidden="1" customHeight="1" x14ac:dyDescent="0.25">
      <c r="A40" s="35"/>
      <c r="B40" s="42"/>
      <c r="C40" s="33" t="s">
        <v>69</v>
      </c>
      <c r="D40" s="36"/>
      <c r="E40" s="35"/>
      <c r="F40" s="35"/>
      <c r="G40" s="35"/>
      <c r="H40" s="33" t="s">
        <v>46</v>
      </c>
      <c r="I40" s="35"/>
      <c r="J40" s="35"/>
      <c r="K40" s="35"/>
      <c r="L40" s="35"/>
      <c r="M40" s="35"/>
      <c r="N40" s="35"/>
      <c r="O40" s="35"/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6"/>
      <c r="AV40" s="36"/>
      <c r="AW40" s="37"/>
      <c r="AX40" s="36"/>
      <c r="AY40" s="36"/>
      <c r="AZ40" s="36"/>
      <c r="BA40" s="36"/>
      <c r="BB40" s="36"/>
      <c r="BC40" s="36"/>
      <c r="BD40" s="36"/>
      <c r="BE40" s="36"/>
    </row>
    <row r="41" spans="1:57" s="43" customFormat="1" ht="24.95" hidden="1" customHeight="1" x14ac:dyDescent="0.25">
      <c r="A41" s="35"/>
      <c r="B41" s="42"/>
      <c r="C41" s="33" t="s">
        <v>69</v>
      </c>
      <c r="D41" s="36"/>
      <c r="E41" s="35"/>
      <c r="F41" s="35"/>
      <c r="G41" s="35"/>
      <c r="H41" s="33" t="s">
        <v>46</v>
      </c>
      <c r="I41" s="35"/>
      <c r="J41" s="35"/>
      <c r="K41" s="35"/>
      <c r="L41" s="35"/>
      <c r="M41" s="35"/>
      <c r="N41" s="35"/>
      <c r="O41" s="35"/>
      <c r="P41" s="35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6"/>
      <c r="AV41" s="36"/>
      <c r="AW41" s="37"/>
      <c r="AX41" s="36"/>
      <c r="AY41" s="36"/>
      <c r="AZ41" s="36"/>
      <c r="BA41" s="36"/>
      <c r="BB41" s="36"/>
      <c r="BC41" s="36"/>
      <c r="BD41" s="36"/>
      <c r="BE41" s="36"/>
    </row>
    <row r="42" spans="1:57" s="43" customFormat="1" ht="24.95" hidden="1" customHeight="1" x14ac:dyDescent="0.25">
      <c r="A42" s="35"/>
      <c r="B42" s="42"/>
      <c r="C42" s="33" t="s">
        <v>69</v>
      </c>
      <c r="D42" s="36"/>
      <c r="E42" s="35"/>
      <c r="F42" s="35"/>
      <c r="G42" s="35"/>
      <c r="H42" s="33" t="s">
        <v>46</v>
      </c>
      <c r="I42" s="35"/>
      <c r="J42" s="35"/>
      <c r="K42" s="35"/>
      <c r="L42" s="35"/>
      <c r="M42" s="35"/>
      <c r="N42" s="35"/>
      <c r="O42" s="35"/>
      <c r="P42" s="35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6"/>
      <c r="AV42" s="36"/>
      <c r="AW42" s="37"/>
      <c r="AX42" s="36"/>
      <c r="AY42" s="36"/>
      <c r="AZ42" s="36"/>
      <c r="BA42" s="36"/>
      <c r="BB42" s="36"/>
      <c r="BC42" s="36"/>
      <c r="BD42" s="36"/>
      <c r="BE42" s="36"/>
    </row>
    <row r="43" spans="1:57" s="43" customFormat="1" ht="24.95" hidden="1" customHeight="1" x14ac:dyDescent="0.25">
      <c r="A43" s="35"/>
      <c r="B43" s="42"/>
      <c r="C43" s="33" t="s">
        <v>69</v>
      </c>
      <c r="D43" s="36"/>
      <c r="E43" s="35"/>
      <c r="F43" s="35"/>
      <c r="G43" s="35"/>
      <c r="H43" s="33" t="s">
        <v>46</v>
      </c>
      <c r="I43" s="35"/>
      <c r="J43" s="35"/>
      <c r="K43" s="35"/>
      <c r="L43" s="35"/>
      <c r="M43" s="35"/>
      <c r="N43" s="35"/>
      <c r="O43" s="35"/>
      <c r="P43" s="35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6"/>
      <c r="AV43" s="36"/>
      <c r="AW43" s="37"/>
      <c r="AX43" s="36"/>
      <c r="AY43" s="36"/>
      <c r="AZ43" s="36"/>
      <c r="BA43" s="36"/>
      <c r="BB43" s="36"/>
      <c r="BC43" s="36"/>
      <c r="BD43" s="36"/>
      <c r="BE43" s="36"/>
    </row>
    <row r="44" spans="1:57" s="43" customFormat="1" ht="24.95" hidden="1" customHeight="1" x14ac:dyDescent="0.25">
      <c r="A44" s="35"/>
      <c r="B44" s="42"/>
      <c r="C44" s="33" t="s">
        <v>69</v>
      </c>
      <c r="D44" s="36"/>
      <c r="E44" s="35"/>
      <c r="F44" s="35"/>
      <c r="G44" s="35"/>
      <c r="H44" s="33" t="s">
        <v>46</v>
      </c>
      <c r="I44" s="35"/>
      <c r="J44" s="35"/>
      <c r="K44" s="35"/>
      <c r="L44" s="35"/>
      <c r="M44" s="35"/>
      <c r="N44" s="35"/>
      <c r="O44" s="35"/>
      <c r="P44" s="35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6"/>
      <c r="AV44" s="36"/>
      <c r="AW44" s="37"/>
      <c r="AX44" s="36"/>
      <c r="AY44" s="36"/>
      <c r="AZ44" s="36"/>
      <c r="BA44" s="36"/>
      <c r="BB44" s="36"/>
      <c r="BC44" s="36"/>
      <c r="BD44" s="36"/>
      <c r="BE44" s="36"/>
    </row>
    <row r="45" spans="1:57" s="43" customFormat="1" ht="24.95" hidden="1" customHeight="1" x14ac:dyDescent="0.25">
      <c r="A45" s="35"/>
      <c r="B45" s="42"/>
      <c r="C45" s="33" t="s">
        <v>69</v>
      </c>
      <c r="D45" s="36"/>
      <c r="E45" s="35"/>
      <c r="F45" s="35"/>
      <c r="G45" s="35"/>
      <c r="H45" s="33" t="s">
        <v>46</v>
      </c>
      <c r="I45" s="35"/>
      <c r="J45" s="35"/>
      <c r="K45" s="35"/>
      <c r="L45" s="35"/>
      <c r="M45" s="35"/>
      <c r="N45" s="35"/>
      <c r="O45" s="35"/>
      <c r="P45" s="35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6"/>
      <c r="AV45" s="36"/>
      <c r="AW45" s="37"/>
      <c r="AX45" s="36"/>
      <c r="AY45" s="36"/>
      <c r="AZ45" s="36"/>
      <c r="BA45" s="36"/>
      <c r="BB45" s="36"/>
      <c r="BC45" s="36"/>
      <c r="BD45" s="36"/>
      <c r="BE45" s="36"/>
    </row>
    <row r="46" spans="1:57" s="43" customFormat="1" ht="24.95" hidden="1" customHeight="1" x14ac:dyDescent="0.25">
      <c r="A46" s="35"/>
      <c r="B46" s="42"/>
      <c r="C46" s="33" t="s">
        <v>69</v>
      </c>
      <c r="D46" s="36"/>
      <c r="E46" s="35"/>
      <c r="F46" s="35"/>
      <c r="G46" s="35"/>
      <c r="H46" s="33" t="s">
        <v>46</v>
      </c>
      <c r="I46" s="35"/>
      <c r="J46" s="35"/>
      <c r="K46" s="35"/>
      <c r="L46" s="35"/>
      <c r="M46" s="35"/>
      <c r="N46" s="35"/>
      <c r="O46" s="35"/>
      <c r="P46" s="35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6"/>
      <c r="AV46" s="36"/>
      <c r="AW46" s="37"/>
      <c r="AX46" s="36"/>
      <c r="AY46" s="36"/>
      <c r="AZ46" s="36"/>
      <c r="BA46" s="36"/>
      <c r="BB46" s="36"/>
      <c r="BC46" s="36"/>
      <c r="BD46" s="36"/>
      <c r="BE46" s="36"/>
    </row>
    <row r="47" spans="1:57" s="43" customFormat="1" ht="24.95" hidden="1" customHeight="1" x14ac:dyDescent="0.25">
      <c r="A47" s="35"/>
      <c r="B47" s="42"/>
      <c r="C47" s="33" t="s">
        <v>69</v>
      </c>
      <c r="D47" s="36"/>
      <c r="E47" s="35"/>
      <c r="F47" s="35"/>
      <c r="G47" s="35"/>
      <c r="H47" s="33" t="s">
        <v>46</v>
      </c>
      <c r="I47" s="35"/>
      <c r="J47" s="35"/>
      <c r="K47" s="35"/>
      <c r="L47" s="35"/>
      <c r="M47" s="35"/>
      <c r="N47" s="35"/>
      <c r="O47" s="35"/>
      <c r="P47" s="35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6"/>
      <c r="AV47" s="36"/>
      <c r="AW47" s="37"/>
      <c r="AX47" s="36"/>
      <c r="AY47" s="36"/>
      <c r="AZ47" s="36"/>
      <c r="BA47" s="36"/>
      <c r="BB47" s="36"/>
      <c r="BC47" s="36"/>
      <c r="BD47" s="36"/>
      <c r="BE47" s="36"/>
    </row>
    <row r="48" spans="1:57" s="43" customFormat="1" ht="24.95" hidden="1" customHeight="1" x14ac:dyDescent="0.25">
      <c r="A48" s="35"/>
      <c r="B48" s="42"/>
      <c r="C48" s="33" t="s">
        <v>69</v>
      </c>
      <c r="D48" s="36"/>
      <c r="E48" s="35"/>
      <c r="F48" s="35"/>
      <c r="G48" s="35"/>
      <c r="H48" s="33" t="s">
        <v>46</v>
      </c>
      <c r="I48" s="35"/>
      <c r="J48" s="35"/>
      <c r="K48" s="35"/>
      <c r="L48" s="35"/>
      <c r="M48" s="35"/>
      <c r="N48" s="35"/>
      <c r="O48" s="35"/>
      <c r="P48" s="35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6"/>
      <c r="AV48" s="36"/>
      <c r="AW48" s="37"/>
      <c r="AX48" s="36"/>
      <c r="AY48" s="36"/>
      <c r="AZ48" s="36"/>
      <c r="BA48" s="36"/>
      <c r="BB48" s="36"/>
      <c r="BC48" s="36"/>
      <c r="BD48" s="36"/>
      <c r="BE48" s="36"/>
    </row>
    <row r="49" spans="1:57" s="43" customFormat="1" ht="24.95" hidden="1" customHeight="1" x14ac:dyDescent="0.25">
      <c r="A49" s="35"/>
      <c r="B49" s="42"/>
      <c r="C49" s="33" t="s">
        <v>69</v>
      </c>
      <c r="D49" s="36"/>
      <c r="E49" s="35"/>
      <c r="F49" s="35"/>
      <c r="G49" s="35"/>
      <c r="H49" s="33" t="s">
        <v>46</v>
      </c>
      <c r="I49" s="35"/>
      <c r="J49" s="35"/>
      <c r="K49" s="35"/>
      <c r="L49" s="35"/>
      <c r="M49" s="35"/>
      <c r="N49" s="35"/>
      <c r="O49" s="35"/>
      <c r="P49" s="35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6"/>
      <c r="AV49" s="36"/>
      <c r="AW49" s="37"/>
      <c r="AX49" s="36"/>
      <c r="AY49" s="36"/>
      <c r="AZ49" s="36"/>
      <c r="BA49" s="36"/>
      <c r="BB49" s="36"/>
      <c r="BC49" s="36"/>
      <c r="BD49" s="36"/>
      <c r="BE49" s="36"/>
    </row>
    <row r="50" spans="1:57" s="43" customFormat="1" ht="24.95" hidden="1" customHeight="1" x14ac:dyDescent="0.25">
      <c r="A50" s="35"/>
      <c r="B50" s="42"/>
      <c r="C50" s="33" t="s">
        <v>69</v>
      </c>
      <c r="D50" s="36"/>
      <c r="E50" s="35"/>
      <c r="F50" s="35"/>
      <c r="G50" s="35"/>
      <c r="H50" s="33" t="s">
        <v>46</v>
      </c>
      <c r="I50" s="35"/>
      <c r="J50" s="35"/>
      <c r="K50" s="35"/>
      <c r="L50" s="35"/>
      <c r="M50" s="35"/>
      <c r="N50" s="35"/>
      <c r="O50" s="35"/>
      <c r="P50" s="35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6"/>
      <c r="AV50" s="36"/>
      <c r="AW50" s="37"/>
      <c r="AX50" s="36"/>
      <c r="AY50" s="36"/>
      <c r="AZ50" s="36"/>
      <c r="BA50" s="36"/>
      <c r="BB50" s="36"/>
      <c r="BC50" s="36"/>
      <c r="BD50" s="36"/>
      <c r="BE50" s="36"/>
    </row>
    <row r="51" spans="1:57" s="43" customFormat="1" ht="24.95" hidden="1" customHeight="1" x14ac:dyDescent="0.25">
      <c r="A51" s="35"/>
      <c r="B51" s="42"/>
      <c r="C51" s="33" t="s">
        <v>69</v>
      </c>
      <c r="D51" s="36"/>
      <c r="E51" s="35"/>
      <c r="F51" s="35"/>
      <c r="G51" s="35"/>
      <c r="H51" s="33" t="s">
        <v>46</v>
      </c>
      <c r="I51" s="35"/>
      <c r="J51" s="35"/>
      <c r="K51" s="35"/>
      <c r="L51" s="35"/>
      <c r="M51" s="35"/>
      <c r="N51" s="35"/>
      <c r="O51" s="35"/>
      <c r="P51" s="35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6"/>
      <c r="AV51" s="36"/>
      <c r="AW51" s="37"/>
      <c r="AX51" s="36"/>
      <c r="AY51" s="36"/>
      <c r="AZ51" s="36"/>
      <c r="BA51" s="36"/>
      <c r="BB51" s="36"/>
      <c r="BC51" s="36"/>
      <c r="BD51" s="36"/>
      <c r="BE51" s="36"/>
    </row>
    <row r="52" spans="1:57" s="43" customFormat="1" ht="24.95" hidden="1" customHeight="1" x14ac:dyDescent="0.25">
      <c r="A52" s="35"/>
      <c r="B52" s="42"/>
      <c r="C52" s="33" t="s">
        <v>69</v>
      </c>
      <c r="D52" s="36"/>
      <c r="E52" s="35"/>
      <c r="F52" s="35"/>
      <c r="G52" s="35"/>
      <c r="H52" s="33" t="s">
        <v>46</v>
      </c>
      <c r="I52" s="35"/>
      <c r="J52" s="35"/>
      <c r="K52" s="35"/>
      <c r="L52" s="35"/>
      <c r="M52" s="35"/>
      <c r="N52" s="35"/>
      <c r="O52" s="35"/>
      <c r="P52" s="35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6"/>
      <c r="AV52" s="36"/>
      <c r="AW52" s="37"/>
      <c r="AX52" s="36"/>
      <c r="AY52" s="36"/>
      <c r="AZ52" s="36"/>
      <c r="BA52" s="36"/>
      <c r="BB52" s="36"/>
      <c r="BC52" s="36"/>
      <c r="BD52" s="36"/>
      <c r="BE52" s="36"/>
    </row>
    <row r="53" spans="1:57" s="43" customFormat="1" ht="24.95" hidden="1" customHeight="1" x14ac:dyDescent="0.25">
      <c r="A53" s="35"/>
      <c r="B53" s="42"/>
      <c r="C53" s="33" t="s">
        <v>69</v>
      </c>
      <c r="D53" s="36"/>
      <c r="E53" s="35"/>
      <c r="F53" s="35"/>
      <c r="G53" s="35"/>
      <c r="H53" s="33" t="s">
        <v>46</v>
      </c>
      <c r="I53" s="35"/>
      <c r="J53" s="35"/>
      <c r="K53" s="35"/>
      <c r="L53" s="35"/>
      <c r="M53" s="35"/>
      <c r="N53" s="35"/>
      <c r="O53" s="35"/>
      <c r="P53" s="35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6"/>
      <c r="AV53" s="36"/>
      <c r="AW53" s="37"/>
      <c r="AX53" s="36"/>
      <c r="AY53" s="36"/>
      <c r="AZ53" s="36"/>
      <c r="BA53" s="36"/>
      <c r="BB53" s="36"/>
      <c r="BC53" s="36"/>
      <c r="BD53" s="36"/>
      <c r="BE53" s="36"/>
    </row>
    <row r="54" spans="1:57" s="43" customFormat="1" ht="24.95" hidden="1" customHeight="1" x14ac:dyDescent="0.25">
      <c r="A54" s="35"/>
      <c r="B54" s="42"/>
      <c r="C54" s="33" t="s">
        <v>69</v>
      </c>
      <c r="D54" s="36"/>
      <c r="E54" s="35"/>
      <c r="F54" s="35"/>
      <c r="G54" s="35"/>
      <c r="H54" s="33" t="s">
        <v>46</v>
      </c>
      <c r="I54" s="35"/>
      <c r="J54" s="35"/>
      <c r="K54" s="35"/>
      <c r="L54" s="35"/>
      <c r="M54" s="35"/>
      <c r="N54" s="35"/>
      <c r="O54" s="35"/>
      <c r="P54" s="35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6"/>
      <c r="AV54" s="36"/>
      <c r="AW54" s="37"/>
      <c r="AX54" s="36"/>
      <c r="AY54" s="36"/>
      <c r="AZ54" s="36"/>
      <c r="BA54" s="36"/>
      <c r="BB54" s="36"/>
      <c r="BC54" s="36"/>
      <c r="BD54" s="36"/>
      <c r="BE54" s="36"/>
    </row>
    <row r="55" spans="1:57" s="43" customFormat="1" ht="24.95" hidden="1" customHeight="1" x14ac:dyDescent="0.25">
      <c r="A55" s="35"/>
      <c r="B55" s="42"/>
      <c r="C55" s="33" t="s">
        <v>69</v>
      </c>
      <c r="D55" s="36"/>
      <c r="E55" s="35"/>
      <c r="F55" s="35"/>
      <c r="G55" s="35"/>
      <c r="H55" s="33" t="s">
        <v>46</v>
      </c>
      <c r="I55" s="35"/>
      <c r="J55" s="35"/>
      <c r="K55" s="35"/>
      <c r="L55" s="35"/>
      <c r="M55" s="35"/>
      <c r="N55" s="35"/>
      <c r="O55" s="35"/>
      <c r="P55" s="35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6"/>
      <c r="AV55" s="36"/>
      <c r="AW55" s="37"/>
      <c r="AX55" s="36"/>
      <c r="AY55" s="36"/>
      <c r="AZ55" s="36"/>
      <c r="BA55" s="36"/>
      <c r="BB55" s="36"/>
      <c r="BC55" s="36"/>
      <c r="BD55" s="36"/>
      <c r="BE55" s="36"/>
    </row>
    <row r="56" spans="1:57" s="43" customFormat="1" ht="24.95" hidden="1" customHeight="1" x14ac:dyDescent="0.25">
      <c r="A56" s="35"/>
      <c r="B56" s="42"/>
      <c r="C56" s="33" t="s">
        <v>69</v>
      </c>
      <c r="D56" s="36"/>
      <c r="E56" s="35"/>
      <c r="F56" s="35"/>
      <c r="G56" s="35"/>
      <c r="H56" s="33" t="s">
        <v>46</v>
      </c>
      <c r="I56" s="35"/>
      <c r="J56" s="35"/>
      <c r="K56" s="35"/>
      <c r="L56" s="35"/>
      <c r="M56" s="35"/>
      <c r="N56" s="35"/>
      <c r="O56" s="35"/>
      <c r="P56" s="35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6"/>
      <c r="AV56" s="36"/>
      <c r="AW56" s="37"/>
      <c r="AX56" s="36"/>
      <c r="AY56" s="36"/>
      <c r="AZ56" s="36"/>
      <c r="BA56" s="36"/>
      <c r="BB56" s="36"/>
      <c r="BC56" s="36"/>
      <c r="BD56" s="36"/>
      <c r="BE56" s="36"/>
    </row>
    <row r="57" spans="1:57" s="43" customFormat="1" ht="24.95" hidden="1" customHeight="1" x14ac:dyDescent="0.25">
      <c r="A57" s="35"/>
      <c r="B57" s="42"/>
      <c r="C57" s="33" t="s">
        <v>69</v>
      </c>
      <c r="D57" s="36"/>
      <c r="E57" s="35"/>
      <c r="F57" s="35"/>
      <c r="G57" s="35"/>
      <c r="H57" s="33" t="s">
        <v>46</v>
      </c>
      <c r="I57" s="35"/>
      <c r="J57" s="35"/>
      <c r="K57" s="35"/>
      <c r="L57" s="35"/>
      <c r="M57" s="35"/>
      <c r="N57" s="35"/>
      <c r="O57" s="35"/>
      <c r="P57" s="35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6"/>
      <c r="AV57" s="36"/>
      <c r="AW57" s="37"/>
      <c r="AX57" s="36"/>
      <c r="AY57" s="36"/>
      <c r="AZ57" s="36"/>
      <c r="BA57" s="36"/>
      <c r="BB57" s="36"/>
      <c r="BC57" s="36"/>
      <c r="BD57" s="36"/>
      <c r="BE57" s="36"/>
    </row>
    <row r="58" spans="1:57" s="43" customFormat="1" ht="24.95" hidden="1" customHeight="1" x14ac:dyDescent="0.25">
      <c r="A58" s="35"/>
      <c r="B58" s="42"/>
      <c r="C58" s="33" t="s">
        <v>69</v>
      </c>
      <c r="D58" s="36"/>
      <c r="E58" s="35"/>
      <c r="F58" s="35"/>
      <c r="G58" s="35"/>
      <c r="H58" s="33" t="s">
        <v>46</v>
      </c>
      <c r="I58" s="35"/>
      <c r="J58" s="35"/>
      <c r="K58" s="35"/>
      <c r="L58" s="35"/>
      <c r="M58" s="35"/>
      <c r="N58" s="35"/>
      <c r="O58" s="35"/>
      <c r="P58" s="35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6"/>
      <c r="AV58" s="36"/>
      <c r="AW58" s="37"/>
      <c r="AX58" s="36"/>
      <c r="AY58" s="36"/>
      <c r="AZ58" s="36"/>
      <c r="BA58" s="36"/>
      <c r="BB58" s="36"/>
      <c r="BC58" s="36"/>
      <c r="BD58" s="36"/>
      <c r="BE58" s="36"/>
    </row>
    <row r="59" spans="1:57" s="43" customFormat="1" ht="24.95" hidden="1" customHeight="1" x14ac:dyDescent="0.25">
      <c r="A59" s="35"/>
      <c r="B59" s="42"/>
      <c r="C59" s="33" t="s">
        <v>69</v>
      </c>
      <c r="D59" s="36"/>
      <c r="E59" s="35"/>
      <c r="F59" s="35"/>
      <c r="G59" s="35"/>
      <c r="H59" s="33" t="s">
        <v>46</v>
      </c>
      <c r="I59" s="35"/>
      <c r="J59" s="35"/>
      <c r="K59" s="35"/>
      <c r="L59" s="35"/>
      <c r="M59" s="35"/>
      <c r="N59" s="35"/>
      <c r="O59" s="35"/>
      <c r="P59" s="35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70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6"/>
      <c r="AV59" s="36"/>
      <c r="AW59" s="37"/>
      <c r="AX59" s="36"/>
      <c r="AY59" s="36"/>
      <c r="AZ59" s="36"/>
      <c r="BA59" s="36"/>
      <c r="BB59" s="36"/>
      <c r="BC59" s="36"/>
      <c r="BD59" s="36"/>
      <c r="BE59" s="36"/>
    </row>
    <row r="60" spans="1:57" s="46" customFormat="1" ht="24.95" hidden="1" customHeight="1" x14ac:dyDescent="0.25">
      <c r="A60" s="44" t="s">
        <v>47</v>
      </c>
      <c r="B60" s="44"/>
      <c r="C60" s="45"/>
      <c r="D60" s="39"/>
      <c r="E60" s="44"/>
      <c r="F60" s="44"/>
      <c r="G60" s="44"/>
      <c r="H60" s="45"/>
      <c r="I60" s="44"/>
      <c r="J60" s="44"/>
      <c r="K60" s="44"/>
      <c r="L60" s="44"/>
      <c r="M60" s="44"/>
      <c r="N60" s="44"/>
      <c r="O60" s="44"/>
      <c r="P60" s="44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>
        <f t="shared" ref="AG60:BE60" si="3">SUM(AG30:AG59)</f>
        <v>0</v>
      </c>
      <c r="AH60" s="39">
        <f t="shared" si="3"/>
        <v>0</v>
      </c>
      <c r="AI60" s="39">
        <f t="shared" si="3"/>
        <v>0</v>
      </c>
      <c r="AJ60" s="39">
        <f t="shared" si="3"/>
        <v>0</v>
      </c>
      <c r="AK60" s="39">
        <f t="shared" si="3"/>
        <v>0</v>
      </c>
      <c r="AL60" s="39">
        <f t="shared" si="3"/>
        <v>0</v>
      </c>
      <c r="AM60" s="39">
        <f t="shared" si="3"/>
        <v>0</v>
      </c>
      <c r="AN60" s="39">
        <f t="shared" si="3"/>
        <v>0</v>
      </c>
      <c r="AO60" s="39">
        <f t="shared" si="3"/>
        <v>0</v>
      </c>
      <c r="AP60" s="39">
        <f t="shared" si="3"/>
        <v>0</v>
      </c>
      <c r="AQ60" s="39">
        <f t="shared" si="3"/>
        <v>0</v>
      </c>
      <c r="AR60" s="39">
        <f t="shared" si="3"/>
        <v>0</v>
      </c>
      <c r="AS60" s="39">
        <f t="shared" si="3"/>
        <v>0</v>
      </c>
      <c r="AT60" s="39">
        <f t="shared" si="3"/>
        <v>0</v>
      </c>
      <c r="AU60" s="39">
        <f t="shared" si="3"/>
        <v>0</v>
      </c>
      <c r="AV60" s="39">
        <f t="shared" si="3"/>
        <v>0</v>
      </c>
      <c r="AW60" s="39">
        <f t="shared" si="3"/>
        <v>0</v>
      </c>
      <c r="AX60" s="39">
        <f t="shared" si="3"/>
        <v>0</v>
      </c>
      <c r="AY60" s="39">
        <f t="shared" si="3"/>
        <v>0</v>
      </c>
      <c r="AZ60" s="39">
        <f t="shared" si="3"/>
        <v>0</v>
      </c>
      <c r="BA60" s="39">
        <f t="shared" si="3"/>
        <v>0</v>
      </c>
      <c r="BB60" s="39">
        <f t="shared" si="3"/>
        <v>0</v>
      </c>
      <c r="BC60" s="39">
        <f t="shared" si="3"/>
        <v>0</v>
      </c>
      <c r="BD60" s="39"/>
      <c r="BE60" s="39">
        <f t="shared" si="3"/>
        <v>0</v>
      </c>
    </row>
    <row r="61" spans="1:57" s="46" customFormat="1" ht="24.95" hidden="1" customHeight="1" x14ac:dyDescent="0.25">
      <c r="A61" s="44"/>
      <c r="B61" s="44"/>
      <c r="C61" s="45"/>
      <c r="D61" s="39"/>
      <c r="E61" s="44"/>
      <c r="F61" s="44"/>
      <c r="G61" s="44"/>
      <c r="H61" s="45"/>
      <c r="I61" s="44"/>
      <c r="J61" s="44"/>
      <c r="K61" s="44"/>
      <c r="L61" s="44"/>
      <c r="M61" s="44"/>
      <c r="N61" s="44"/>
      <c r="O61" s="44"/>
      <c r="P61" s="44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>
        <v>0</v>
      </c>
      <c r="AH61" s="39">
        <v>0</v>
      </c>
      <c r="AI61" s="39">
        <v>165</v>
      </c>
      <c r="AJ61" s="39">
        <v>87.48</v>
      </c>
      <c r="AK61" s="39">
        <v>36</v>
      </c>
      <c r="AL61" s="39">
        <v>0</v>
      </c>
      <c r="AM61" s="39">
        <v>0</v>
      </c>
      <c r="AN61" s="39">
        <v>238</v>
      </c>
      <c r="AO61" s="39">
        <v>0</v>
      </c>
      <c r="AP61" s="39">
        <v>32</v>
      </c>
      <c r="AQ61" s="39">
        <v>0</v>
      </c>
      <c r="AR61" s="39">
        <v>0</v>
      </c>
      <c r="AS61" s="39">
        <v>154</v>
      </c>
      <c r="AT61" s="39">
        <v>0</v>
      </c>
      <c r="AU61" s="39">
        <v>0</v>
      </c>
      <c r="AV61" s="39">
        <v>0</v>
      </c>
      <c r="AW61" s="39">
        <v>0</v>
      </c>
      <c r="AX61" s="39">
        <v>0</v>
      </c>
      <c r="AY61" s="39">
        <v>0</v>
      </c>
      <c r="AZ61" s="39">
        <v>0</v>
      </c>
      <c r="BA61" s="39">
        <v>0</v>
      </c>
      <c r="BB61" s="39">
        <v>0</v>
      </c>
      <c r="BC61" s="39">
        <v>0</v>
      </c>
      <c r="BD61" s="39"/>
      <c r="BE61" s="39">
        <v>0</v>
      </c>
    </row>
    <row r="62" spans="1:57" s="46" customFormat="1" ht="24.95" hidden="1" customHeight="1" x14ac:dyDescent="0.25">
      <c r="A62" s="44"/>
      <c r="B62" s="44"/>
      <c r="C62" s="45"/>
      <c r="D62" s="39"/>
      <c r="E62" s="44"/>
      <c r="F62" s="44"/>
      <c r="G62" s="44"/>
      <c r="H62" s="45"/>
      <c r="I62" s="44"/>
      <c r="J62" s="44"/>
      <c r="K62" s="44"/>
      <c r="L62" s="44"/>
      <c r="M62" s="44"/>
      <c r="N62" s="44"/>
      <c r="O62" s="44"/>
      <c r="P62" s="44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44">
        <f>AG60-AG61</f>
        <v>0</v>
      </c>
      <c r="AH62" s="44">
        <f t="shared" ref="AH62:BE62" si="4">AH60-AH61</f>
        <v>0</v>
      </c>
      <c r="AI62" s="44">
        <f t="shared" si="4"/>
        <v>-165</v>
      </c>
      <c r="AJ62" s="44">
        <f t="shared" si="4"/>
        <v>-87.48</v>
      </c>
      <c r="AK62" s="44">
        <f t="shared" si="4"/>
        <v>-36</v>
      </c>
      <c r="AL62" s="44">
        <f t="shared" si="4"/>
        <v>0</v>
      </c>
      <c r="AM62" s="44">
        <f t="shared" si="4"/>
        <v>0</v>
      </c>
      <c r="AN62" s="44">
        <f t="shared" si="4"/>
        <v>-238</v>
      </c>
      <c r="AO62" s="44">
        <f t="shared" si="4"/>
        <v>0</v>
      </c>
      <c r="AP62" s="44">
        <f t="shared" si="4"/>
        <v>-32</v>
      </c>
      <c r="AQ62" s="44">
        <f t="shared" si="4"/>
        <v>0</v>
      </c>
      <c r="AR62" s="44">
        <f t="shared" si="4"/>
        <v>0</v>
      </c>
      <c r="AS62" s="44">
        <f t="shared" si="4"/>
        <v>-154</v>
      </c>
      <c r="AT62" s="44">
        <f t="shared" si="4"/>
        <v>0</v>
      </c>
      <c r="AU62" s="44">
        <f t="shared" si="4"/>
        <v>0</v>
      </c>
      <c r="AV62" s="44">
        <f t="shared" si="4"/>
        <v>0</v>
      </c>
      <c r="AW62" s="44">
        <f t="shared" si="4"/>
        <v>0</v>
      </c>
      <c r="AX62" s="44">
        <f t="shared" si="4"/>
        <v>0</v>
      </c>
      <c r="AY62" s="44">
        <f t="shared" si="4"/>
        <v>0</v>
      </c>
      <c r="AZ62" s="44">
        <f t="shared" si="4"/>
        <v>0</v>
      </c>
      <c r="BA62" s="44">
        <f t="shared" si="4"/>
        <v>0</v>
      </c>
      <c r="BB62" s="44">
        <f t="shared" si="4"/>
        <v>0</v>
      </c>
      <c r="BC62" s="44">
        <f t="shared" si="4"/>
        <v>0</v>
      </c>
      <c r="BD62" s="44"/>
      <c r="BE62" s="44">
        <f t="shared" si="4"/>
        <v>0</v>
      </c>
    </row>
    <row r="63" spans="1:57" s="43" customFormat="1" ht="24.95" hidden="1" customHeight="1" x14ac:dyDescent="0.25">
      <c r="A63" s="35"/>
      <c r="B63" s="42"/>
      <c r="C63" s="33" t="s">
        <v>48</v>
      </c>
      <c r="D63" s="36"/>
      <c r="E63" s="35"/>
      <c r="F63" s="35"/>
      <c r="G63" s="35"/>
      <c r="H63" s="33" t="s">
        <v>46</v>
      </c>
      <c r="I63" s="35"/>
      <c r="J63" s="35"/>
      <c r="K63" s="35"/>
      <c r="L63" s="35"/>
      <c r="M63" s="35"/>
      <c r="N63" s="35"/>
      <c r="O63" s="35"/>
      <c r="P63" s="35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6"/>
      <c r="AV63" s="36"/>
      <c r="AW63" s="37"/>
      <c r="AX63" s="36"/>
      <c r="AY63" s="36"/>
      <c r="AZ63" s="36"/>
      <c r="BA63" s="36"/>
      <c r="BB63" s="36"/>
      <c r="BC63" s="36"/>
      <c r="BD63" s="36"/>
      <c r="BE63" s="36"/>
    </row>
    <row r="64" spans="1:57" s="43" customFormat="1" ht="24.95" hidden="1" customHeight="1" x14ac:dyDescent="0.25">
      <c r="A64" s="35"/>
      <c r="B64" s="42"/>
      <c r="C64" s="33" t="s">
        <v>48</v>
      </c>
      <c r="D64" s="36"/>
      <c r="E64" s="35"/>
      <c r="F64" s="35"/>
      <c r="G64" s="35"/>
      <c r="H64" s="33" t="s">
        <v>46</v>
      </c>
      <c r="I64" s="35"/>
      <c r="J64" s="35"/>
      <c r="K64" s="35"/>
      <c r="L64" s="35"/>
      <c r="M64" s="35"/>
      <c r="N64" s="35"/>
      <c r="O64" s="35"/>
      <c r="P64" s="35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6"/>
      <c r="AV64" s="36"/>
      <c r="AW64" s="37"/>
      <c r="AX64" s="36"/>
      <c r="AY64" s="36"/>
      <c r="AZ64" s="36"/>
      <c r="BA64" s="36"/>
      <c r="BB64" s="36"/>
      <c r="BC64" s="36"/>
      <c r="BD64" s="36"/>
      <c r="BE64" s="36"/>
    </row>
    <row r="65" spans="1:57" s="43" customFormat="1" ht="24.95" hidden="1" customHeight="1" x14ac:dyDescent="0.25">
      <c r="A65" s="35"/>
      <c r="B65" s="42"/>
      <c r="C65" s="33" t="s">
        <v>48</v>
      </c>
      <c r="D65" s="36"/>
      <c r="E65" s="35"/>
      <c r="F65" s="35"/>
      <c r="G65" s="35"/>
      <c r="H65" s="33" t="s">
        <v>46</v>
      </c>
      <c r="I65" s="35"/>
      <c r="J65" s="35"/>
      <c r="K65" s="35"/>
      <c r="L65" s="35"/>
      <c r="M65" s="35"/>
      <c r="N65" s="35"/>
      <c r="O65" s="35"/>
      <c r="P65" s="35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6"/>
      <c r="AV65" s="36"/>
      <c r="AW65" s="37"/>
      <c r="AX65" s="36"/>
      <c r="AY65" s="36"/>
      <c r="AZ65" s="36"/>
      <c r="BA65" s="36"/>
      <c r="BB65" s="36"/>
      <c r="BC65" s="36"/>
      <c r="BD65" s="36"/>
      <c r="BE65" s="36"/>
    </row>
    <row r="66" spans="1:57" s="43" customFormat="1" ht="24.95" hidden="1" customHeight="1" x14ac:dyDescent="0.25">
      <c r="A66" s="35"/>
      <c r="B66" s="42"/>
      <c r="C66" s="33" t="s">
        <v>48</v>
      </c>
      <c r="D66" s="36"/>
      <c r="E66" s="35"/>
      <c r="F66" s="35"/>
      <c r="G66" s="35"/>
      <c r="H66" s="33" t="s">
        <v>46</v>
      </c>
      <c r="I66" s="35"/>
      <c r="J66" s="35"/>
      <c r="K66" s="35"/>
      <c r="L66" s="35"/>
      <c r="M66" s="35"/>
      <c r="N66" s="35"/>
      <c r="O66" s="35"/>
      <c r="P66" s="35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6"/>
      <c r="AV66" s="36"/>
      <c r="AW66" s="37"/>
      <c r="AX66" s="36"/>
      <c r="AY66" s="36"/>
      <c r="AZ66" s="36"/>
      <c r="BA66" s="36"/>
      <c r="BB66" s="36"/>
      <c r="BC66" s="36"/>
      <c r="BD66" s="36"/>
      <c r="BE66" s="36"/>
    </row>
    <row r="67" spans="1:57" s="43" customFormat="1" ht="24.95" hidden="1" customHeight="1" x14ac:dyDescent="0.25">
      <c r="A67" s="35"/>
      <c r="B67" s="42"/>
      <c r="C67" s="33" t="s">
        <v>48</v>
      </c>
      <c r="D67" s="36"/>
      <c r="E67" s="35"/>
      <c r="F67" s="35"/>
      <c r="G67" s="35"/>
      <c r="H67" s="33" t="s">
        <v>46</v>
      </c>
      <c r="I67" s="35"/>
      <c r="J67" s="35"/>
      <c r="K67" s="35"/>
      <c r="L67" s="35"/>
      <c r="M67" s="35"/>
      <c r="N67" s="35"/>
      <c r="O67" s="35"/>
      <c r="P67" s="35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6"/>
      <c r="AV67" s="36"/>
      <c r="AW67" s="37"/>
      <c r="AX67" s="36"/>
      <c r="AY67" s="36"/>
      <c r="AZ67" s="36"/>
      <c r="BA67" s="36"/>
      <c r="BB67" s="36"/>
      <c r="BC67" s="36"/>
      <c r="BD67" s="36"/>
      <c r="BE67" s="36"/>
    </row>
    <row r="68" spans="1:57" s="43" customFormat="1" ht="24.95" hidden="1" customHeight="1" x14ac:dyDescent="0.25">
      <c r="A68" s="35"/>
      <c r="B68" s="42"/>
      <c r="C68" s="33" t="s">
        <v>48</v>
      </c>
      <c r="D68" s="36"/>
      <c r="E68" s="35"/>
      <c r="F68" s="35"/>
      <c r="G68" s="35"/>
      <c r="H68" s="33" t="s">
        <v>46</v>
      </c>
      <c r="I68" s="35"/>
      <c r="J68" s="35"/>
      <c r="K68" s="35"/>
      <c r="L68" s="35"/>
      <c r="M68" s="35"/>
      <c r="N68" s="35"/>
      <c r="O68" s="35"/>
      <c r="P68" s="35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6"/>
      <c r="AV68" s="36"/>
      <c r="AW68" s="37"/>
      <c r="AX68" s="36"/>
      <c r="AY68" s="36"/>
      <c r="AZ68" s="36"/>
      <c r="BA68" s="36"/>
      <c r="BB68" s="36"/>
      <c r="BC68" s="36"/>
      <c r="BD68" s="36"/>
      <c r="BE68" s="36"/>
    </row>
    <row r="69" spans="1:57" s="43" customFormat="1" ht="24.95" hidden="1" customHeight="1" x14ac:dyDescent="0.25">
      <c r="A69" s="35"/>
      <c r="B69" s="42"/>
      <c r="C69" s="33" t="s">
        <v>48</v>
      </c>
      <c r="D69" s="36"/>
      <c r="E69" s="35"/>
      <c r="F69" s="35"/>
      <c r="G69" s="35"/>
      <c r="H69" s="33" t="s">
        <v>46</v>
      </c>
      <c r="I69" s="35"/>
      <c r="J69" s="35"/>
      <c r="K69" s="35"/>
      <c r="L69" s="35"/>
      <c r="M69" s="35"/>
      <c r="N69" s="35"/>
      <c r="O69" s="35"/>
      <c r="P69" s="35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6"/>
      <c r="AV69" s="36"/>
      <c r="AW69" s="37"/>
      <c r="AX69" s="36"/>
      <c r="AY69" s="36"/>
      <c r="AZ69" s="36"/>
      <c r="BA69" s="36"/>
      <c r="BB69" s="36"/>
      <c r="BC69" s="36"/>
      <c r="BD69" s="36"/>
      <c r="BE69" s="36"/>
    </row>
    <row r="70" spans="1:57" s="43" customFormat="1" ht="24.95" hidden="1" customHeight="1" x14ac:dyDescent="0.25">
      <c r="A70" s="35"/>
      <c r="B70" s="42"/>
      <c r="C70" s="33" t="s">
        <v>48</v>
      </c>
      <c r="D70" s="36"/>
      <c r="E70" s="35"/>
      <c r="F70" s="35"/>
      <c r="G70" s="35"/>
      <c r="H70" s="33" t="s">
        <v>46</v>
      </c>
      <c r="I70" s="35"/>
      <c r="J70" s="35"/>
      <c r="K70" s="35"/>
      <c r="L70" s="35"/>
      <c r="M70" s="35"/>
      <c r="N70" s="35"/>
      <c r="O70" s="35"/>
      <c r="P70" s="35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6"/>
      <c r="AV70" s="36"/>
      <c r="AW70" s="37"/>
      <c r="AX70" s="36"/>
      <c r="AY70" s="36"/>
      <c r="AZ70" s="36"/>
      <c r="BA70" s="36"/>
      <c r="BB70" s="36"/>
      <c r="BC70" s="36"/>
      <c r="BD70" s="36"/>
      <c r="BE70" s="36"/>
    </row>
    <row r="71" spans="1:57" s="43" customFormat="1" ht="24.95" hidden="1" customHeight="1" x14ac:dyDescent="0.25">
      <c r="A71" s="35"/>
      <c r="B71" s="42"/>
      <c r="C71" s="33" t="s">
        <v>48</v>
      </c>
      <c r="D71" s="36"/>
      <c r="E71" s="35"/>
      <c r="F71" s="35"/>
      <c r="G71" s="35"/>
      <c r="H71" s="33" t="s">
        <v>46</v>
      </c>
      <c r="I71" s="35"/>
      <c r="J71" s="35"/>
      <c r="K71" s="35"/>
      <c r="L71" s="35"/>
      <c r="M71" s="35"/>
      <c r="N71" s="35"/>
      <c r="O71" s="35"/>
      <c r="P71" s="35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6"/>
      <c r="AV71" s="36"/>
      <c r="AW71" s="37"/>
      <c r="AX71" s="36"/>
      <c r="AY71" s="36"/>
      <c r="AZ71" s="36"/>
      <c r="BA71" s="36"/>
      <c r="BB71" s="36"/>
      <c r="BC71" s="36"/>
      <c r="BD71" s="36"/>
      <c r="BE71" s="36"/>
    </row>
    <row r="72" spans="1:57" s="43" customFormat="1" ht="24.95" hidden="1" customHeight="1" x14ac:dyDescent="0.25">
      <c r="A72" s="35"/>
      <c r="B72" s="42"/>
      <c r="C72" s="33" t="s">
        <v>48</v>
      </c>
      <c r="D72" s="36"/>
      <c r="E72" s="35"/>
      <c r="F72" s="35"/>
      <c r="G72" s="35"/>
      <c r="H72" s="33" t="s">
        <v>46</v>
      </c>
      <c r="I72" s="35"/>
      <c r="J72" s="35"/>
      <c r="K72" s="35"/>
      <c r="L72" s="35"/>
      <c r="M72" s="35"/>
      <c r="N72" s="35"/>
      <c r="O72" s="35"/>
      <c r="P72" s="35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6"/>
      <c r="AV72" s="36"/>
      <c r="AW72" s="37"/>
      <c r="AX72" s="36"/>
      <c r="AY72" s="36"/>
      <c r="AZ72" s="36"/>
      <c r="BA72" s="36"/>
      <c r="BB72" s="36"/>
      <c r="BC72" s="36"/>
      <c r="BD72" s="36"/>
      <c r="BE72" s="36"/>
    </row>
    <row r="73" spans="1:57" s="43" customFormat="1" ht="24.95" hidden="1" customHeight="1" x14ac:dyDescent="0.25">
      <c r="A73" s="35"/>
      <c r="B73" s="42"/>
      <c r="C73" s="33" t="s">
        <v>48</v>
      </c>
      <c r="D73" s="36"/>
      <c r="E73" s="35"/>
      <c r="F73" s="35"/>
      <c r="G73" s="35"/>
      <c r="H73" s="33" t="s">
        <v>46</v>
      </c>
      <c r="I73" s="35"/>
      <c r="J73" s="35"/>
      <c r="K73" s="35"/>
      <c r="L73" s="35"/>
      <c r="M73" s="35"/>
      <c r="N73" s="35"/>
      <c r="O73" s="35"/>
      <c r="P73" s="35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6"/>
      <c r="AV73" s="36"/>
      <c r="AW73" s="37"/>
      <c r="AX73" s="36"/>
      <c r="AY73" s="36"/>
      <c r="AZ73" s="36"/>
      <c r="BA73" s="36"/>
      <c r="BB73" s="36"/>
      <c r="BC73" s="36"/>
      <c r="BD73" s="36"/>
      <c r="BE73" s="36"/>
    </row>
    <row r="74" spans="1:57" s="43" customFormat="1" ht="24.95" hidden="1" customHeight="1" x14ac:dyDescent="0.25">
      <c r="A74" s="35"/>
      <c r="B74" s="42"/>
      <c r="C74" s="33" t="s">
        <v>48</v>
      </c>
      <c r="D74" s="36"/>
      <c r="E74" s="35"/>
      <c r="F74" s="35"/>
      <c r="G74" s="35"/>
      <c r="H74" s="33" t="s">
        <v>46</v>
      </c>
      <c r="I74" s="35"/>
      <c r="J74" s="35"/>
      <c r="K74" s="35"/>
      <c r="L74" s="35"/>
      <c r="M74" s="35"/>
      <c r="N74" s="35"/>
      <c r="O74" s="35"/>
      <c r="P74" s="35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6"/>
      <c r="AV74" s="36"/>
      <c r="AW74" s="37"/>
      <c r="AX74" s="36"/>
      <c r="AY74" s="36"/>
      <c r="AZ74" s="36"/>
      <c r="BA74" s="36"/>
      <c r="BB74" s="36"/>
      <c r="BC74" s="36"/>
      <c r="BD74" s="36"/>
      <c r="BE74" s="36"/>
    </row>
    <row r="75" spans="1:57" s="43" customFormat="1" ht="24.95" hidden="1" customHeight="1" x14ac:dyDescent="0.25">
      <c r="A75" s="35"/>
      <c r="B75" s="42"/>
      <c r="C75" s="33" t="s">
        <v>48</v>
      </c>
      <c r="D75" s="36"/>
      <c r="E75" s="35"/>
      <c r="F75" s="35"/>
      <c r="G75" s="35"/>
      <c r="H75" s="33" t="s">
        <v>46</v>
      </c>
      <c r="I75" s="35"/>
      <c r="J75" s="35"/>
      <c r="K75" s="35"/>
      <c r="L75" s="35"/>
      <c r="M75" s="35"/>
      <c r="N75" s="35"/>
      <c r="O75" s="35"/>
      <c r="P75" s="3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6"/>
      <c r="AV75" s="36"/>
      <c r="AW75" s="37"/>
      <c r="AX75" s="36"/>
      <c r="AY75" s="36"/>
      <c r="AZ75" s="36"/>
      <c r="BA75" s="36"/>
      <c r="BB75" s="36"/>
      <c r="BC75" s="36"/>
      <c r="BD75" s="36"/>
      <c r="BE75" s="36"/>
    </row>
    <row r="76" spans="1:57" s="43" customFormat="1" ht="24.95" hidden="1" customHeight="1" x14ac:dyDescent="0.25">
      <c r="A76" s="35"/>
      <c r="B76" s="42"/>
      <c r="C76" s="33" t="s">
        <v>48</v>
      </c>
      <c r="D76" s="36"/>
      <c r="E76" s="35"/>
      <c r="F76" s="35"/>
      <c r="G76" s="35"/>
      <c r="H76" s="33" t="s">
        <v>46</v>
      </c>
      <c r="I76" s="35"/>
      <c r="J76" s="35"/>
      <c r="K76" s="35"/>
      <c r="L76" s="35"/>
      <c r="M76" s="35"/>
      <c r="N76" s="35"/>
      <c r="O76" s="35"/>
      <c r="P76" s="35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6"/>
      <c r="AV76" s="36"/>
      <c r="AW76" s="37"/>
      <c r="AX76" s="36"/>
      <c r="AY76" s="36"/>
      <c r="AZ76" s="36"/>
      <c r="BA76" s="36"/>
      <c r="BB76" s="36"/>
      <c r="BC76" s="36"/>
      <c r="BD76" s="36"/>
      <c r="BE76" s="36"/>
    </row>
    <row r="77" spans="1:57" s="43" customFormat="1" ht="24.95" hidden="1" customHeight="1" x14ac:dyDescent="0.25">
      <c r="A77" s="35"/>
      <c r="B77" s="42"/>
      <c r="C77" s="33" t="s">
        <v>48</v>
      </c>
      <c r="D77" s="36"/>
      <c r="E77" s="35"/>
      <c r="F77" s="35"/>
      <c r="G77" s="35"/>
      <c r="H77" s="33" t="s">
        <v>46</v>
      </c>
      <c r="I77" s="35"/>
      <c r="J77" s="35"/>
      <c r="K77" s="35"/>
      <c r="L77" s="35"/>
      <c r="M77" s="35"/>
      <c r="N77" s="35"/>
      <c r="O77" s="35"/>
      <c r="P77" s="35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6"/>
      <c r="AV77" s="36"/>
      <c r="AW77" s="37"/>
      <c r="AX77" s="36"/>
      <c r="AY77" s="36"/>
      <c r="AZ77" s="36"/>
      <c r="BA77" s="36"/>
      <c r="BB77" s="36"/>
      <c r="BC77" s="36"/>
      <c r="BD77" s="36"/>
      <c r="BE77" s="36"/>
    </row>
    <row r="78" spans="1:57" s="43" customFormat="1" ht="24.95" hidden="1" customHeight="1" x14ac:dyDescent="0.25">
      <c r="A78" s="35"/>
      <c r="B78" s="42"/>
      <c r="C78" s="33" t="s">
        <v>48</v>
      </c>
      <c r="D78" s="36"/>
      <c r="E78" s="35"/>
      <c r="F78" s="35"/>
      <c r="G78" s="35"/>
      <c r="H78" s="33" t="s">
        <v>46</v>
      </c>
      <c r="I78" s="35"/>
      <c r="J78" s="35"/>
      <c r="K78" s="35"/>
      <c r="L78" s="35"/>
      <c r="M78" s="35"/>
      <c r="N78" s="35"/>
      <c r="O78" s="35"/>
      <c r="P78" s="35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6"/>
      <c r="AV78" s="36"/>
      <c r="AW78" s="37"/>
      <c r="AX78" s="36"/>
      <c r="AY78" s="36"/>
      <c r="AZ78" s="36"/>
      <c r="BA78" s="36"/>
      <c r="BB78" s="36"/>
      <c r="BC78" s="36"/>
      <c r="BD78" s="36"/>
      <c r="BE78" s="36"/>
    </row>
    <row r="79" spans="1:57" s="43" customFormat="1" ht="24.95" hidden="1" customHeight="1" x14ac:dyDescent="0.25">
      <c r="A79" s="35"/>
      <c r="B79" s="42"/>
      <c r="C79" s="33" t="s">
        <v>48</v>
      </c>
      <c r="D79" s="36"/>
      <c r="E79" s="35"/>
      <c r="F79" s="35"/>
      <c r="G79" s="35"/>
      <c r="H79" s="33" t="s">
        <v>46</v>
      </c>
      <c r="I79" s="35"/>
      <c r="J79" s="35"/>
      <c r="K79" s="35"/>
      <c r="L79" s="35"/>
      <c r="M79" s="35"/>
      <c r="N79" s="35"/>
      <c r="O79" s="35"/>
      <c r="P79" s="35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6"/>
      <c r="AV79" s="36"/>
      <c r="AW79" s="37"/>
      <c r="AX79" s="36"/>
      <c r="AY79" s="36"/>
      <c r="AZ79" s="36"/>
      <c r="BA79" s="36"/>
      <c r="BB79" s="36"/>
      <c r="BC79" s="36"/>
      <c r="BD79" s="36"/>
      <c r="BE79" s="36"/>
    </row>
    <row r="80" spans="1:57" s="43" customFormat="1" ht="24.95" hidden="1" customHeight="1" x14ac:dyDescent="0.25">
      <c r="A80" s="35"/>
      <c r="B80" s="42"/>
      <c r="C80" s="33" t="s">
        <v>48</v>
      </c>
      <c r="D80" s="36"/>
      <c r="E80" s="35"/>
      <c r="F80" s="35"/>
      <c r="G80" s="35"/>
      <c r="H80" s="33" t="s">
        <v>46</v>
      </c>
      <c r="I80" s="35"/>
      <c r="J80" s="35"/>
      <c r="K80" s="35"/>
      <c r="L80" s="35"/>
      <c r="M80" s="35"/>
      <c r="N80" s="35"/>
      <c r="O80" s="35"/>
      <c r="P80" s="35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6"/>
      <c r="AV80" s="36"/>
      <c r="AW80" s="37"/>
      <c r="AX80" s="36"/>
      <c r="AY80" s="36"/>
      <c r="AZ80" s="36"/>
      <c r="BA80" s="36"/>
      <c r="BB80" s="36"/>
      <c r="BC80" s="36"/>
      <c r="BD80" s="36"/>
      <c r="BE80" s="36"/>
    </row>
    <row r="81" spans="1:57" s="43" customFormat="1" ht="24.95" hidden="1" customHeight="1" x14ac:dyDescent="0.25">
      <c r="A81" s="35"/>
      <c r="B81" s="42"/>
      <c r="C81" s="33" t="s">
        <v>48</v>
      </c>
      <c r="D81" s="36"/>
      <c r="E81" s="35"/>
      <c r="F81" s="35"/>
      <c r="G81" s="35"/>
      <c r="H81" s="33" t="s">
        <v>46</v>
      </c>
      <c r="I81" s="35"/>
      <c r="J81" s="35"/>
      <c r="K81" s="35"/>
      <c r="L81" s="35"/>
      <c r="M81" s="35"/>
      <c r="N81" s="35"/>
      <c r="O81" s="35"/>
      <c r="P81" s="35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6"/>
      <c r="AV81" s="36"/>
      <c r="AW81" s="37"/>
      <c r="AX81" s="36"/>
      <c r="AY81" s="36"/>
      <c r="AZ81" s="36"/>
      <c r="BA81" s="36"/>
      <c r="BB81" s="36"/>
      <c r="BC81" s="36"/>
      <c r="BD81" s="36"/>
      <c r="BE81" s="36"/>
    </row>
    <row r="82" spans="1:57" s="43" customFormat="1" ht="24.95" hidden="1" customHeight="1" x14ac:dyDescent="0.25">
      <c r="A82" s="35"/>
      <c r="B82" s="42"/>
      <c r="C82" s="33" t="s">
        <v>48</v>
      </c>
      <c r="D82" s="36"/>
      <c r="E82" s="35"/>
      <c r="F82" s="35"/>
      <c r="G82" s="35"/>
      <c r="H82" s="33" t="s">
        <v>46</v>
      </c>
      <c r="I82" s="35"/>
      <c r="J82" s="35"/>
      <c r="K82" s="35"/>
      <c r="L82" s="35"/>
      <c r="M82" s="35"/>
      <c r="N82" s="35"/>
      <c r="O82" s="35"/>
      <c r="P82" s="35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6"/>
      <c r="AV82" s="36"/>
      <c r="AW82" s="37"/>
      <c r="AX82" s="36"/>
      <c r="AY82" s="36"/>
      <c r="AZ82" s="36"/>
      <c r="BA82" s="36"/>
      <c r="BB82" s="36"/>
      <c r="BC82" s="36"/>
      <c r="BD82" s="36"/>
      <c r="BE82" s="36"/>
    </row>
    <row r="83" spans="1:57" s="46" customFormat="1" ht="24.75" hidden="1" customHeight="1" x14ac:dyDescent="0.25">
      <c r="A83" s="44" t="s">
        <v>49</v>
      </c>
      <c r="B83" s="44"/>
      <c r="C83" s="45"/>
      <c r="D83" s="39"/>
      <c r="E83" s="44"/>
      <c r="F83" s="44"/>
      <c r="G83" s="44"/>
      <c r="H83" s="45"/>
      <c r="I83" s="44"/>
      <c r="J83" s="44"/>
      <c r="K83" s="44"/>
      <c r="L83" s="44"/>
      <c r="M83" s="44"/>
      <c r="N83" s="44"/>
      <c r="O83" s="44"/>
      <c r="P83" s="44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>
        <f t="shared" ref="AG83:BE83" si="5">SUM(AG63:AG82)</f>
        <v>0</v>
      </c>
      <c r="AH83" s="39">
        <f t="shared" si="5"/>
        <v>0</v>
      </c>
      <c r="AI83" s="39">
        <f t="shared" si="5"/>
        <v>0</v>
      </c>
      <c r="AJ83" s="39">
        <f t="shared" si="5"/>
        <v>0</v>
      </c>
      <c r="AK83" s="39">
        <f t="shared" si="5"/>
        <v>0</v>
      </c>
      <c r="AL83" s="39">
        <f t="shared" si="5"/>
        <v>0</v>
      </c>
      <c r="AM83" s="39">
        <f t="shared" si="5"/>
        <v>0</v>
      </c>
      <c r="AN83" s="39">
        <f t="shared" si="5"/>
        <v>0</v>
      </c>
      <c r="AO83" s="39">
        <f t="shared" si="5"/>
        <v>0</v>
      </c>
      <c r="AP83" s="39">
        <f t="shared" si="5"/>
        <v>0</v>
      </c>
      <c r="AQ83" s="39">
        <f t="shared" si="5"/>
        <v>0</v>
      </c>
      <c r="AR83" s="39">
        <f t="shared" si="5"/>
        <v>0</v>
      </c>
      <c r="AS83" s="39">
        <f t="shared" si="5"/>
        <v>0</v>
      </c>
      <c r="AT83" s="39">
        <f t="shared" si="5"/>
        <v>0</v>
      </c>
      <c r="AU83" s="39">
        <f t="shared" si="5"/>
        <v>0</v>
      </c>
      <c r="AV83" s="39">
        <f t="shared" si="5"/>
        <v>0</v>
      </c>
      <c r="AW83" s="39">
        <f t="shared" si="5"/>
        <v>0</v>
      </c>
      <c r="AX83" s="39">
        <f t="shared" si="5"/>
        <v>0</v>
      </c>
      <c r="AY83" s="39">
        <f t="shared" si="5"/>
        <v>0</v>
      </c>
      <c r="AZ83" s="39">
        <f t="shared" si="5"/>
        <v>0</v>
      </c>
      <c r="BA83" s="39">
        <f t="shared" si="5"/>
        <v>0</v>
      </c>
      <c r="BB83" s="39">
        <f t="shared" si="5"/>
        <v>0</v>
      </c>
      <c r="BC83" s="39">
        <f t="shared" si="5"/>
        <v>0</v>
      </c>
      <c r="BD83" s="39"/>
      <c r="BE83" s="39">
        <f t="shared" si="5"/>
        <v>0</v>
      </c>
    </row>
    <row r="84" spans="1:57" s="46" customFormat="1" ht="24.95" hidden="1" customHeight="1" x14ac:dyDescent="0.25">
      <c r="A84" s="44"/>
      <c r="B84" s="44"/>
      <c r="C84" s="45"/>
      <c r="D84" s="39"/>
      <c r="E84" s="44"/>
      <c r="F84" s="44"/>
      <c r="G84" s="44"/>
      <c r="H84" s="45"/>
      <c r="I84" s="44"/>
      <c r="J84" s="44"/>
      <c r="K84" s="44"/>
      <c r="L84" s="44"/>
      <c r="M84" s="44"/>
      <c r="N84" s="44"/>
      <c r="O84" s="44"/>
      <c r="P84" s="44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>
        <v>0</v>
      </c>
      <c r="AH84" s="39">
        <v>0</v>
      </c>
      <c r="AI84" s="39">
        <v>93</v>
      </c>
      <c r="AJ84" s="39">
        <v>60.750000000000014</v>
      </c>
      <c r="AK84" s="39">
        <v>25</v>
      </c>
      <c r="AL84" s="39">
        <v>0</v>
      </c>
      <c r="AM84" s="39">
        <v>0</v>
      </c>
      <c r="AN84" s="39">
        <v>246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88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/>
      <c r="BE84" s="39">
        <v>2</v>
      </c>
    </row>
    <row r="85" spans="1:57" s="46" customFormat="1" ht="24.95" hidden="1" customHeight="1" x14ac:dyDescent="0.25">
      <c r="A85" s="44"/>
      <c r="B85" s="44"/>
      <c r="C85" s="45"/>
      <c r="D85" s="39"/>
      <c r="E85" s="44"/>
      <c r="F85" s="44"/>
      <c r="G85" s="44"/>
      <c r="H85" s="45"/>
      <c r="I85" s="44"/>
      <c r="J85" s="44"/>
      <c r="K85" s="44"/>
      <c r="L85" s="44"/>
      <c r="M85" s="44"/>
      <c r="N85" s="44"/>
      <c r="O85" s="44"/>
      <c r="P85" s="44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44">
        <f>AG83-AG84</f>
        <v>0</v>
      </c>
      <c r="AH85" s="44">
        <f t="shared" ref="AH85:BE85" si="6">AH83-AH84</f>
        <v>0</v>
      </c>
      <c r="AI85" s="44">
        <f t="shared" si="6"/>
        <v>-93</v>
      </c>
      <c r="AJ85" s="44">
        <f t="shared" si="6"/>
        <v>-60.750000000000014</v>
      </c>
      <c r="AK85" s="44">
        <f t="shared" si="6"/>
        <v>-25</v>
      </c>
      <c r="AL85" s="44">
        <f t="shared" si="6"/>
        <v>0</v>
      </c>
      <c r="AM85" s="44">
        <f t="shared" si="6"/>
        <v>0</v>
      </c>
      <c r="AN85" s="44">
        <f t="shared" si="6"/>
        <v>-246</v>
      </c>
      <c r="AO85" s="44">
        <f t="shared" si="6"/>
        <v>0</v>
      </c>
      <c r="AP85" s="44">
        <f t="shared" si="6"/>
        <v>0</v>
      </c>
      <c r="AQ85" s="44">
        <f t="shared" si="6"/>
        <v>0</v>
      </c>
      <c r="AR85" s="44">
        <f t="shared" si="6"/>
        <v>0</v>
      </c>
      <c r="AS85" s="44">
        <f t="shared" si="6"/>
        <v>0</v>
      </c>
      <c r="AT85" s="44">
        <f t="shared" si="6"/>
        <v>-88</v>
      </c>
      <c r="AU85" s="44">
        <f t="shared" si="6"/>
        <v>0</v>
      </c>
      <c r="AV85" s="44">
        <f t="shared" si="6"/>
        <v>0</v>
      </c>
      <c r="AW85" s="44">
        <f t="shared" si="6"/>
        <v>0</v>
      </c>
      <c r="AX85" s="44">
        <f t="shared" si="6"/>
        <v>0</v>
      </c>
      <c r="AY85" s="44">
        <f t="shared" si="6"/>
        <v>0</v>
      </c>
      <c r="AZ85" s="44">
        <f t="shared" si="6"/>
        <v>0</v>
      </c>
      <c r="BA85" s="44">
        <f t="shared" si="6"/>
        <v>0</v>
      </c>
      <c r="BB85" s="44">
        <f t="shared" si="6"/>
        <v>0</v>
      </c>
      <c r="BC85" s="44">
        <f t="shared" si="6"/>
        <v>0</v>
      </c>
      <c r="BD85" s="44"/>
      <c r="BE85" s="44">
        <f t="shared" si="6"/>
        <v>-2</v>
      </c>
    </row>
    <row r="86" spans="1:57" s="43" customFormat="1" ht="24" hidden="1" customHeight="1" x14ac:dyDescent="0.25">
      <c r="A86" s="35"/>
      <c r="B86" s="35"/>
      <c r="C86" s="33" t="s">
        <v>50</v>
      </c>
      <c r="D86" s="36"/>
      <c r="E86" s="35"/>
      <c r="F86" s="35"/>
      <c r="G86" s="35"/>
      <c r="H86" s="33" t="s">
        <v>46</v>
      </c>
      <c r="I86" s="35"/>
      <c r="J86" s="35"/>
      <c r="K86" s="35"/>
      <c r="L86" s="35"/>
      <c r="M86" s="35"/>
      <c r="N86" s="35"/>
      <c r="O86" s="35"/>
      <c r="P86" s="3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6"/>
      <c r="AV86" s="36"/>
      <c r="AW86" s="37"/>
      <c r="AX86" s="36"/>
      <c r="AY86" s="36"/>
      <c r="AZ86" s="36"/>
      <c r="BA86" s="36"/>
      <c r="BB86" s="36"/>
      <c r="BC86" s="36"/>
      <c r="BD86" s="36"/>
      <c r="BE86" s="36"/>
    </row>
    <row r="87" spans="1:57" s="43" customFormat="1" ht="24" hidden="1" customHeight="1" x14ac:dyDescent="0.25">
      <c r="A87" s="35"/>
      <c r="B87" s="35"/>
      <c r="C87" s="33" t="s">
        <v>50</v>
      </c>
      <c r="D87" s="36"/>
      <c r="E87" s="35"/>
      <c r="F87" s="35"/>
      <c r="G87" s="35"/>
      <c r="H87" s="33" t="s">
        <v>46</v>
      </c>
      <c r="I87" s="35"/>
      <c r="J87" s="35"/>
      <c r="K87" s="35"/>
      <c r="L87" s="35"/>
      <c r="M87" s="35"/>
      <c r="N87" s="35"/>
      <c r="O87" s="35"/>
      <c r="P87" s="35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6"/>
      <c r="AV87" s="36"/>
      <c r="AW87" s="37"/>
      <c r="AX87" s="36"/>
      <c r="AY87" s="36"/>
      <c r="AZ87" s="36"/>
      <c r="BA87" s="36"/>
      <c r="BB87" s="36"/>
      <c r="BC87" s="36"/>
      <c r="BD87" s="36"/>
      <c r="BE87" s="36"/>
    </row>
    <row r="88" spans="1:57" s="43" customFormat="1" ht="24" hidden="1" customHeight="1" x14ac:dyDescent="0.25">
      <c r="A88" s="35"/>
      <c r="B88" s="35"/>
      <c r="C88" s="33" t="s">
        <v>50</v>
      </c>
      <c r="D88" s="36"/>
      <c r="E88" s="35"/>
      <c r="F88" s="35"/>
      <c r="G88" s="35"/>
      <c r="H88" s="33" t="s">
        <v>46</v>
      </c>
      <c r="I88" s="35"/>
      <c r="J88" s="35"/>
      <c r="K88" s="35"/>
      <c r="L88" s="35"/>
      <c r="M88" s="35"/>
      <c r="N88" s="35"/>
      <c r="O88" s="35"/>
      <c r="P88" s="35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6"/>
      <c r="AV88" s="36"/>
      <c r="AW88" s="37"/>
      <c r="AX88" s="36"/>
      <c r="AY88" s="36"/>
      <c r="AZ88" s="36"/>
      <c r="BA88" s="36"/>
      <c r="BB88" s="36"/>
      <c r="BC88" s="36"/>
      <c r="BD88" s="36"/>
      <c r="BE88" s="36"/>
    </row>
    <row r="89" spans="1:57" s="43" customFormat="1" ht="24" hidden="1" customHeight="1" x14ac:dyDescent="0.25">
      <c r="A89" s="35"/>
      <c r="B89" s="35"/>
      <c r="C89" s="33" t="s">
        <v>50</v>
      </c>
      <c r="D89" s="36"/>
      <c r="E89" s="35"/>
      <c r="F89" s="35"/>
      <c r="G89" s="35"/>
      <c r="H89" s="33" t="s">
        <v>46</v>
      </c>
      <c r="I89" s="35"/>
      <c r="J89" s="35"/>
      <c r="K89" s="35"/>
      <c r="L89" s="35"/>
      <c r="M89" s="35"/>
      <c r="N89" s="35"/>
      <c r="O89" s="35"/>
      <c r="P89" s="35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6"/>
      <c r="AV89" s="36"/>
      <c r="AW89" s="37"/>
      <c r="AX89" s="36"/>
      <c r="AY89" s="36"/>
      <c r="AZ89" s="36"/>
      <c r="BA89" s="36"/>
      <c r="BB89" s="36"/>
      <c r="BC89" s="36"/>
      <c r="BD89" s="36"/>
      <c r="BE89" s="36"/>
    </row>
    <row r="90" spans="1:57" s="43" customFormat="1" ht="24" hidden="1" customHeight="1" x14ac:dyDescent="0.25">
      <c r="A90" s="35"/>
      <c r="B90" s="35"/>
      <c r="C90" s="33" t="s">
        <v>50</v>
      </c>
      <c r="D90" s="36"/>
      <c r="E90" s="35"/>
      <c r="F90" s="35"/>
      <c r="G90" s="35"/>
      <c r="H90" s="33" t="s">
        <v>46</v>
      </c>
      <c r="I90" s="35"/>
      <c r="J90" s="35"/>
      <c r="K90" s="35"/>
      <c r="L90" s="35"/>
      <c r="M90" s="35"/>
      <c r="N90" s="35"/>
      <c r="O90" s="35"/>
      <c r="P90" s="35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6"/>
      <c r="AV90" s="36"/>
      <c r="AW90" s="37"/>
      <c r="AX90" s="36"/>
      <c r="AY90" s="36"/>
      <c r="AZ90" s="36"/>
      <c r="BA90" s="36"/>
      <c r="BB90" s="36"/>
      <c r="BC90" s="36"/>
      <c r="BD90" s="36"/>
      <c r="BE90" s="36"/>
    </row>
    <row r="91" spans="1:57" s="43" customFormat="1" ht="24" hidden="1" customHeight="1" x14ac:dyDescent="0.25">
      <c r="A91" s="35"/>
      <c r="B91" s="35"/>
      <c r="C91" s="33" t="s">
        <v>50</v>
      </c>
      <c r="D91" s="36"/>
      <c r="E91" s="35"/>
      <c r="F91" s="35"/>
      <c r="G91" s="35"/>
      <c r="H91" s="33" t="s">
        <v>46</v>
      </c>
      <c r="I91" s="35"/>
      <c r="J91" s="35"/>
      <c r="K91" s="35"/>
      <c r="L91" s="35"/>
      <c r="M91" s="35"/>
      <c r="N91" s="35"/>
      <c r="O91" s="35"/>
      <c r="P91" s="35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6"/>
      <c r="AV91" s="36"/>
      <c r="AW91" s="37"/>
      <c r="AX91" s="36"/>
      <c r="AY91" s="36"/>
      <c r="AZ91" s="36"/>
      <c r="BA91" s="36"/>
      <c r="BB91" s="36"/>
      <c r="BC91" s="36"/>
      <c r="BD91" s="36"/>
      <c r="BE91" s="36"/>
    </row>
    <row r="92" spans="1:57" s="43" customFormat="1" ht="24" hidden="1" customHeight="1" x14ac:dyDescent="0.25">
      <c r="A92" s="35"/>
      <c r="B92" s="35"/>
      <c r="C92" s="33" t="s">
        <v>50</v>
      </c>
      <c r="D92" s="36"/>
      <c r="E92" s="35"/>
      <c r="F92" s="35"/>
      <c r="G92" s="35"/>
      <c r="H92" s="33" t="s">
        <v>46</v>
      </c>
      <c r="I92" s="35"/>
      <c r="J92" s="35"/>
      <c r="K92" s="35"/>
      <c r="L92" s="35"/>
      <c r="M92" s="35"/>
      <c r="N92" s="35"/>
      <c r="O92" s="35"/>
      <c r="P92" s="35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6"/>
      <c r="AV92" s="36"/>
      <c r="AW92" s="37"/>
      <c r="AX92" s="36"/>
      <c r="AY92" s="36"/>
      <c r="AZ92" s="36"/>
      <c r="BA92" s="36"/>
      <c r="BB92" s="36"/>
      <c r="BC92" s="36"/>
      <c r="BD92" s="36"/>
      <c r="BE92" s="36"/>
    </row>
    <row r="93" spans="1:57" s="43" customFormat="1" ht="24" hidden="1" customHeight="1" x14ac:dyDescent="0.25">
      <c r="A93" s="35"/>
      <c r="B93" s="35"/>
      <c r="C93" s="33" t="s">
        <v>50</v>
      </c>
      <c r="D93" s="36"/>
      <c r="E93" s="35"/>
      <c r="F93" s="35"/>
      <c r="G93" s="35"/>
      <c r="H93" s="33" t="s">
        <v>46</v>
      </c>
      <c r="I93" s="35"/>
      <c r="J93" s="35"/>
      <c r="K93" s="35"/>
      <c r="L93" s="35"/>
      <c r="M93" s="35"/>
      <c r="N93" s="35"/>
      <c r="O93" s="35"/>
      <c r="P93" s="35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6"/>
      <c r="AV93" s="36"/>
      <c r="AW93" s="37"/>
      <c r="AX93" s="36"/>
      <c r="AY93" s="36"/>
      <c r="AZ93" s="36"/>
      <c r="BA93" s="36"/>
      <c r="BB93" s="36"/>
      <c r="BC93" s="36"/>
      <c r="BD93" s="36"/>
      <c r="BE93" s="36"/>
    </row>
    <row r="94" spans="1:57" s="43" customFormat="1" ht="24" hidden="1" customHeight="1" x14ac:dyDescent="0.25">
      <c r="A94" s="35"/>
      <c r="B94" s="35"/>
      <c r="C94" s="33" t="s">
        <v>50</v>
      </c>
      <c r="D94" s="36"/>
      <c r="E94" s="35"/>
      <c r="F94" s="35"/>
      <c r="G94" s="35"/>
      <c r="H94" s="33" t="s">
        <v>46</v>
      </c>
      <c r="I94" s="35"/>
      <c r="J94" s="35"/>
      <c r="K94" s="35"/>
      <c r="L94" s="35"/>
      <c r="M94" s="35"/>
      <c r="N94" s="35"/>
      <c r="O94" s="35"/>
      <c r="P94" s="3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6"/>
      <c r="AV94" s="36"/>
      <c r="AW94" s="37"/>
      <c r="AX94" s="36"/>
      <c r="AY94" s="36"/>
      <c r="AZ94" s="36"/>
      <c r="BA94" s="36"/>
      <c r="BB94" s="36"/>
      <c r="BC94" s="36"/>
      <c r="BD94" s="36"/>
      <c r="BE94" s="36"/>
    </row>
    <row r="95" spans="1:57" s="43" customFormat="1" ht="24" hidden="1" customHeight="1" x14ac:dyDescent="0.25">
      <c r="A95" s="35"/>
      <c r="B95" s="35"/>
      <c r="C95" s="33" t="s">
        <v>50</v>
      </c>
      <c r="D95" s="36"/>
      <c r="E95" s="35"/>
      <c r="F95" s="35"/>
      <c r="G95" s="35"/>
      <c r="H95" s="33" t="s">
        <v>46</v>
      </c>
      <c r="I95" s="35"/>
      <c r="J95" s="35"/>
      <c r="K95" s="35"/>
      <c r="L95" s="35"/>
      <c r="M95" s="35"/>
      <c r="N95" s="35"/>
      <c r="O95" s="35"/>
      <c r="P95" s="35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6"/>
      <c r="AV95" s="36"/>
      <c r="AW95" s="37"/>
      <c r="AX95" s="36"/>
      <c r="AY95" s="36"/>
      <c r="AZ95" s="36"/>
      <c r="BA95" s="36"/>
      <c r="BB95" s="36"/>
      <c r="BC95" s="36"/>
      <c r="BD95" s="36"/>
      <c r="BE95" s="36"/>
    </row>
    <row r="96" spans="1:57" s="43" customFormat="1" ht="24" hidden="1" customHeight="1" x14ac:dyDescent="0.25">
      <c r="A96" s="35"/>
      <c r="B96" s="35"/>
      <c r="C96" s="33" t="s">
        <v>50</v>
      </c>
      <c r="D96" s="36"/>
      <c r="E96" s="35"/>
      <c r="F96" s="35"/>
      <c r="G96" s="35"/>
      <c r="H96" s="33" t="s">
        <v>46</v>
      </c>
      <c r="I96" s="35"/>
      <c r="J96" s="35"/>
      <c r="K96" s="35"/>
      <c r="L96" s="35"/>
      <c r="M96" s="35"/>
      <c r="N96" s="35"/>
      <c r="O96" s="35"/>
      <c r="P96" s="35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6"/>
      <c r="AV96" s="36"/>
      <c r="AW96" s="37"/>
      <c r="AX96" s="36"/>
      <c r="AY96" s="36"/>
      <c r="AZ96" s="36"/>
      <c r="BA96" s="36"/>
      <c r="BB96" s="36"/>
      <c r="BC96" s="36"/>
      <c r="BD96" s="36"/>
      <c r="BE96" s="36"/>
    </row>
    <row r="97" spans="1:57" s="43" customFormat="1" ht="24" hidden="1" customHeight="1" x14ac:dyDescent="0.25">
      <c r="A97" s="35"/>
      <c r="B97" s="35"/>
      <c r="C97" s="33" t="s">
        <v>50</v>
      </c>
      <c r="D97" s="36"/>
      <c r="E97" s="35"/>
      <c r="F97" s="35"/>
      <c r="G97" s="35"/>
      <c r="H97" s="33" t="s">
        <v>46</v>
      </c>
      <c r="I97" s="35"/>
      <c r="J97" s="35"/>
      <c r="K97" s="35"/>
      <c r="L97" s="35"/>
      <c r="M97" s="35"/>
      <c r="N97" s="35"/>
      <c r="O97" s="35"/>
      <c r="P97" s="35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6"/>
      <c r="AV97" s="36"/>
      <c r="AW97" s="37"/>
      <c r="AX97" s="36"/>
      <c r="AY97" s="36"/>
      <c r="AZ97" s="36"/>
      <c r="BA97" s="36"/>
      <c r="BB97" s="36"/>
      <c r="BC97" s="36"/>
      <c r="BD97" s="36"/>
      <c r="BE97" s="36"/>
    </row>
    <row r="98" spans="1:57" s="43" customFormat="1" ht="24" hidden="1" customHeight="1" x14ac:dyDescent="0.25">
      <c r="A98" s="35"/>
      <c r="B98" s="35"/>
      <c r="C98" s="33" t="s">
        <v>50</v>
      </c>
      <c r="D98" s="36"/>
      <c r="E98" s="35"/>
      <c r="F98" s="35"/>
      <c r="G98" s="35"/>
      <c r="H98" s="33" t="s">
        <v>46</v>
      </c>
      <c r="I98" s="35"/>
      <c r="J98" s="35"/>
      <c r="K98" s="35"/>
      <c r="L98" s="35"/>
      <c r="M98" s="35"/>
      <c r="N98" s="35"/>
      <c r="O98" s="35"/>
      <c r="P98" s="35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6"/>
      <c r="AV98" s="36"/>
      <c r="AW98" s="37"/>
      <c r="AX98" s="36"/>
      <c r="AY98" s="36"/>
      <c r="AZ98" s="36"/>
      <c r="BA98" s="36"/>
      <c r="BB98" s="36"/>
      <c r="BC98" s="36"/>
      <c r="BD98" s="36"/>
      <c r="BE98" s="36"/>
    </row>
    <row r="99" spans="1:57" s="43" customFormat="1" ht="24" hidden="1" customHeight="1" x14ac:dyDescent="0.25">
      <c r="A99" s="35"/>
      <c r="B99" s="35"/>
      <c r="C99" s="33" t="s">
        <v>50</v>
      </c>
      <c r="D99" s="36"/>
      <c r="E99" s="35"/>
      <c r="F99" s="35"/>
      <c r="G99" s="35"/>
      <c r="H99" s="33" t="s">
        <v>46</v>
      </c>
      <c r="I99" s="35"/>
      <c r="J99" s="35"/>
      <c r="K99" s="35"/>
      <c r="L99" s="35"/>
      <c r="M99" s="35"/>
      <c r="N99" s="35"/>
      <c r="O99" s="35"/>
      <c r="P99" s="35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6"/>
      <c r="AV99" s="36"/>
      <c r="AW99" s="37"/>
      <c r="AX99" s="36"/>
      <c r="AY99" s="36"/>
      <c r="AZ99" s="36"/>
      <c r="BA99" s="36"/>
      <c r="BB99" s="36"/>
      <c r="BC99" s="36"/>
      <c r="BD99" s="36"/>
      <c r="BE99" s="36"/>
    </row>
    <row r="100" spans="1:57" s="43" customFormat="1" ht="24" hidden="1" customHeight="1" x14ac:dyDescent="0.25">
      <c r="A100" s="35"/>
      <c r="B100" s="35"/>
      <c r="C100" s="33" t="s">
        <v>50</v>
      </c>
      <c r="D100" s="36"/>
      <c r="E100" s="35"/>
      <c r="F100" s="35"/>
      <c r="G100" s="35"/>
      <c r="H100" s="33" t="s">
        <v>46</v>
      </c>
      <c r="I100" s="35"/>
      <c r="J100" s="35"/>
      <c r="K100" s="35"/>
      <c r="L100" s="35"/>
      <c r="M100" s="35"/>
      <c r="N100" s="35"/>
      <c r="O100" s="35"/>
      <c r="P100" s="35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6"/>
      <c r="AV100" s="36"/>
      <c r="AW100" s="37"/>
      <c r="AX100" s="36"/>
      <c r="AY100" s="36"/>
      <c r="AZ100" s="36"/>
      <c r="BA100" s="36"/>
      <c r="BB100" s="36"/>
      <c r="BC100" s="36"/>
      <c r="BD100" s="36"/>
      <c r="BE100" s="36"/>
    </row>
    <row r="101" spans="1:57" s="43" customFormat="1" ht="24" hidden="1" customHeight="1" x14ac:dyDescent="0.25">
      <c r="A101" s="35"/>
      <c r="B101" s="35"/>
      <c r="C101" s="33" t="s">
        <v>50</v>
      </c>
      <c r="D101" s="36"/>
      <c r="E101" s="35"/>
      <c r="F101" s="35"/>
      <c r="G101" s="35"/>
      <c r="H101" s="33" t="s">
        <v>46</v>
      </c>
      <c r="I101" s="35"/>
      <c r="J101" s="35"/>
      <c r="K101" s="35"/>
      <c r="L101" s="35"/>
      <c r="M101" s="35"/>
      <c r="N101" s="35"/>
      <c r="O101" s="35"/>
      <c r="P101" s="35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6"/>
      <c r="AV101" s="36"/>
      <c r="AW101" s="37"/>
      <c r="AX101" s="36"/>
      <c r="AY101" s="36"/>
      <c r="AZ101" s="36"/>
      <c r="BA101" s="36"/>
      <c r="BB101" s="36"/>
      <c r="BC101" s="36"/>
      <c r="BD101" s="36"/>
      <c r="BE101" s="36"/>
    </row>
    <row r="102" spans="1:57" s="43" customFormat="1" ht="24" hidden="1" customHeight="1" x14ac:dyDescent="0.25">
      <c r="A102" s="35"/>
      <c r="B102" s="35"/>
      <c r="C102" s="33" t="s">
        <v>50</v>
      </c>
      <c r="D102" s="36"/>
      <c r="E102" s="35"/>
      <c r="F102" s="35"/>
      <c r="G102" s="35"/>
      <c r="H102" s="33" t="s">
        <v>46</v>
      </c>
      <c r="I102" s="35"/>
      <c r="J102" s="35"/>
      <c r="K102" s="35"/>
      <c r="L102" s="35"/>
      <c r="M102" s="35"/>
      <c r="N102" s="35"/>
      <c r="O102" s="35"/>
      <c r="P102" s="35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6"/>
      <c r="AV102" s="36"/>
      <c r="AW102" s="37"/>
      <c r="AX102" s="36"/>
      <c r="AY102" s="36"/>
      <c r="AZ102" s="36"/>
      <c r="BA102" s="36"/>
      <c r="BB102" s="36"/>
      <c r="BC102" s="36"/>
      <c r="BD102" s="36"/>
      <c r="BE102" s="36"/>
    </row>
    <row r="103" spans="1:57" s="43" customFormat="1" ht="24" hidden="1" customHeight="1" x14ac:dyDescent="0.25">
      <c r="A103" s="35"/>
      <c r="B103" s="35"/>
      <c r="C103" s="33" t="s">
        <v>50</v>
      </c>
      <c r="D103" s="36"/>
      <c r="E103" s="35"/>
      <c r="F103" s="35"/>
      <c r="G103" s="35"/>
      <c r="H103" s="33" t="s">
        <v>46</v>
      </c>
      <c r="I103" s="35"/>
      <c r="J103" s="35"/>
      <c r="K103" s="35"/>
      <c r="L103" s="35"/>
      <c r="M103" s="35"/>
      <c r="N103" s="35"/>
      <c r="O103" s="35"/>
      <c r="P103" s="35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6"/>
      <c r="AV103" s="36"/>
      <c r="AW103" s="37"/>
      <c r="AX103" s="36"/>
      <c r="AY103" s="36"/>
      <c r="AZ103" s="36"/>
      <c r="BA103" s="36"/>
      <c r="BB103" s="36"/>
      <c r="BC103" s="36"/>
      <c r="BD103" s="36"/>
      <c r="BE103" s="36"/>
    </row>
    <row r="104" spans="1:57" s="43" customFormat="1" ht="24" hidden="1" customHeight="1" x14ac:dyDescent="0.25">
      <c r="A104" s="35"/>
      <c r="B104" s="35"/>
      <c r="C104" s="33" t="s">
        <v>50</v>
      </c>
      <c r="D104" s="36"/>
      <c r="E104" s="35"/>
      <c r="F104" s="35"/>
      <c r="G104" s="35"/>
      <c r="H104" s="33" t="s">
        <v>46</v>
      </c>
      <c r="I104" s="35"/>
      <c r="J104" s="35"/>
      <c r="K104" s="35"/>
      <c r="L104" s="35"/>
      <c r="M104" s="35"/>
      <c r="N104" s="35"/>
      <c r="O104" s="35"/>
      <c r="P104" s="35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6"/>
      <c r="AV104" s="36"/>
      <c r="AW104" s="37"/>
      <c r="AX104" s="36"/>
      <c r="AY104" s="36"/>
      <c r="AZ104" s="36"/>
      <c r="BA104" s="36"/>
      <c r="BB104" s="36"/>
      <c r="BC104" s="36"/>
      <c r="BD104" s="36"/>
      <c r="BE104" s="36"/>
    </row>
    <row r="105" spans="1:57" s="43" customFormat="1" ht="24" hidden="1" customHeight="1" x14ac:dyDescent="0.25">
      <c r="A105" s="35"/>
      <c r="B105" s="35"/>
      <c r="C105" s="33" t="s">
        <v>50</v>
      </c>
      <c r="D105" s="36"/>
      <c r="E105" s="35"/>
      <c r="F105" s="35"/>
      <c r="G105" s="35"/>
      <c r="H105" s="33" t="s">
        <v>46</v>
      </c>
      <c r="I105" s="35"/>
      <c r="J105" s="35"/>
      <c r="K105" s="35"/>
      <c r="L105" s="35"/>
      <c r="M105" s="35"/>
      <c r="N105" s="35"/>
      <c r="O105" s="35"/>
      <c r="P105" s="35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6"/>
      <c r="AV105" s="36"/>
      <c r="AW105" s="37"/>
      <c r="AX105" s="36"/>
      <c r="AY105" s="36"/>
      <c r="AZ105" s="36"/>
      <c r="BA105" s="36"/>
      <c r="BB105" s="36"/>
      <c r="BC105" s="36"/>
      <c r="BD105" s="36"/>
      <c r="BE105" s="36"/>
    </row>
    <row r="106" spans="1:57" s="43" customFormat="1" ht="24" hidden="1" customHeight="1" x14ac:dyDescent="0.25">
      <c r="A106" s="35"/>
      <c r="B106" s="35"/>
      <c r="C106" s="33" t="s">
        <v>50</v>
      </c>
      <c r="D106" s="36"/>
      <c r="E106" s="35"/>
      <c r="F106" s="35"/>
      <c r="G106" s="35"/>
      <c r="H106" s="33" t="s">
        <v>46</v>
      </c>
      <c r="I106" s="35"/>
      <c r="J106" s="35"/>
      <c r="K106" s="35"/>
      <c r="L106" s="35"/>
      <c r="M106" s="35"/>
      <c r="N106" s="35"/>
      <c r="O106" s="35"/>
      <c r="P106" s="35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6"/>
      <c r="AV106" s="36"/>
      <c r="AW106" s="37"/>
      <c r="AX106" s="36"/>
      <c r="AY106" s="36"/>
      <c r="AZ106" s="36"/>
      <c r="BA106" s="36"/>
      <c r="BB106" s="36"/>
      <c r="BC106" s="36"/>
      <c r="BD106" s="36"/>
      <c r="BE106" s="36"/>
    </row>
    <row r="107" spans="1:57" s="43" customFormat="1" ht="24" hidden="1" customHeight="1" x14ac:dyDescent="0.25">
      <c r="A107" s="35"/>
      <c r="B107" s="35"/>
      <c r="C107" s="33" t="s">
        <v>50</v>
      </c>
      <c r="D107" s="36"/>
      <c r="E107" s="35"/>
      <c r="F107" s="35"/>
      <c r="G107" s="35"/>
      <c r="H107" s="33" t="s">
        <v>46</v>
      </c>
      <c r="I107" s="35"/>
      <c r="J107" s="35"/>
      <c r="K107" s="35"/>
      <c r="L107" s="35"/>
      <c r="M107" s="35"/>
      <c r="N107" s="35"/>
      <c r="O107" s="35"/>
      <c r="P107" s="35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6"/>
      <c r="AV107" s="36"/>
      <c r="AW107" s="37"/>
      <c r="AX107" s="36"/>
      <c r="AY107" s="36"/>
      <c r="AZ107" s="36"/>
      <c r="BA107" s="36"/>
      <c r="BB107" s="36"/>
      <c r="BC107" s="36"/>
      <c r="BD107" s="36"/>
      <c r="BE107" s="36"/>
    </row>
    <row r="108" spans="1:57" s="43" customFormat="1" ht="24" hidden="1" customHeight="1" x14ac:dyDescent="0.25">
      <c r="A108" s="35"/>
      <c r="B108" s="35"/>
      <c r="C108" s="33" t="s">
        <v>50</v>
      </c>
      <c r="D108" s="36"/>
      <c r="E108" s="35"/>
      <c r="F108" s="35"/>
      <c r="G108" s="35"/>
      <c r="H108" s="33" t="s">
        <v>46</v>
      </c>
      <c r="I108" s="35"/>
      <c r="J108" s="35"/>
      <c r="K108" s="35"/>
      <c r="L108" s="35"/>
      <c r="M108" s="35"/>
      <c r="N108" s="35"/>
      <c r="O108" s="35"/>
      <c r="P108" s="35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6"/>
      <c r="AV108" s="36"/>
      <c r="AW108" s="37"/>
      <c r="AX108" s="36"/>
      <c r="AY108" s="36"/>
      <c r="AZ108" s="36"/>
      <c r="BA108" s="36"/>
      <c r="BB108" s="36"/>
      <c r="BC108" s="36"/>
      <c r="BD108" s="36"/>
      <c r="BE108" s="36"/>
    </row>
    <row r="109" spans="1:57" s="43" customFormat="1" ht="24" hidden="1" customHeight="1" x14ac:dyDescent="0.25">
      <c r="A109" s="35"/>
      <c r="B109" s="35"/>
      <c r="C109" s="33" t="s">
        <v>50</v>
      </c>
      <c r="D109" s="36"/>
      <c r="E109" s="35"/>
      <c r="F109" s="35"/>
      <c r="G109" s="35"/>
      <c r="H109" s="33" t="s">
        <v>46</v>
      </c>
      <c r="I109" s="35"/>
      <c r="J109" s="35"/>
      <c r="K109" s="35"/>
      <c r="L109" s="35"/>
      <c r="M109" s="35"/>
      <c r="N109" s="35"/>
      <c r="O109" s="35"/>
      <c r="P109" s="35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6"/>
      <c r="AV109" s="36"/>
      <c r="AW109" s="37"/>
      <c r="AX109" s="36"/>
      <c r="AY109" s="36"/>
      <c r="AZ109" s="36"/>
      <c r="BA109" s="36"/>
      <c r="BB109" s="36"/>
      <c r="BC109" s="36"/>
      <c r="BD109" s="36"/>
      <c r="BE109" s="36"/>
    </row>
    <row r="110" spans="1:57" s="43" customFormat="1" ht="24" hidden="1" customHeight="1" x14ac:dyDescent="0.25">
      <c r="A110" s="35"/>
      <c r="B110" s="35"/>
      <c r="C110" s="33" t="s">
        <v>50</v>
      </c>
      <c r="D110" s="36"/>
      <c r="E110" s="35"/>
      <c r="F110" s="35"/>
      <c r="G110" s="35"/>
      <c r="H110" s="33" t="s">
        <v>46</v>
      </c>
      <c r="I110" s="35"/>
      <c r="J110" s="35"/>
      <c r="K110" s="35"/>
      <c r="L110" s="35"/>
      <c r="M110" s="35"/>
      <c r="N110" s="35"/>
      <c r="O110" s="35"/>
      <c r="P110" s="35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6"/>
      <c r="AV110" s="36"/>
      <c r="AW110" s="37"/>
      <c r="AX110" s="36"/>
      <c r="AY110" s="36"/>
      <c r="AZ110" s="36"/>
      <c r="BA110" s="36"/>
      <c r="BB110" s="36"/>
      <c r="BC110" s="36"/>
      <c r="BD110" s="36"/>
      <c r="BE110" s="36"/>
    </row>
    <row r="111" spans="1:57" s="46" customFormat="1" ht="24.95" hidden="1" customHeight="1" x14ac:dyDescent="0.25">
      <c r="A111" s="44" t="s">
        <v>51</v>
      </c>
      <c r="B111" s="44"/>
      <c r="C111" s="45"/>
      <c r="D111" s="39"/>
      <c r="E111" s="44"/>
      <c r="F111" s="44"/>
      <c r="G111" s="44"/>
      <c r="H111" s="45"/>
      <c r="I111" s="44"/>
      <c r="J111" s="44"/>
      <c r="K111" s="44"/>
      <c r="L111" s="44"/>
      <c r="M111" s="44"/>
      <c r="N111" s="44"/>
      <c r="O111" s="44"/>
      <c r="P111" s="44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>
        <f t="shared" ref="AG111:BE111" si="7">SUM(AG86:AG110)</f>
        <v>0</v>
      </c>
      <c r="AH111" s="39">
        <f t="shared" si="7"/>
        <v>0</v>
      </c>
      <c r="AI111" s="39">
        <f t="shared" si="7"/>
        <v>0</v>
      </c>
      <c r="AJ111" s="39">
        <f t="shared" si="7"/>
        <v>0</v>
      </c>
      <c r="AK111" s="39">
        <f t="shared" si="7"/>
        <v>0</v>
      </c>
      <c r="AL111" s="39">
        <f t="shared" si="7"/>
        <v>0</v>
      </c>
      <c r="AM111" s="39">
        <f t="shared" si="7"/>
        <v>0</v>
      </c>
      <c r="AN111" s="39">
        <f t="shared" si="7"/>
        <v>0</v>
      </c>
      <c r="AO111" s="39">
        <f t="shared" si="7"/>
        <v>0</v>
      </c>
      <c r="AP111" s="39">
        <f t="shared" si="7"/>
        <v>0</v>
      </c>
      <c r="AQ111" s="39">
        <f t="shared" si="7"/>
        <v>0</v>
      </c>
      <c r="AR111" s="39">
        <f t="shared" si="7"/>
        <v>0</v>
      </c>
      <c r="AS111" s="39">
        <f t="shared" si="7"/>
        <v>0</v>
      </c>
      <c r="AT111" s="39">
        <f t="shared" si="7"/>
        <v>0</v>
      </c>
      <c r="AU111" s="39">
        <f t="shared" si="7"/>
        <v>0</v>
      </c>
      <c r="AV111" s="39">
        <f t="shared" si="7"/>
        <v>0</v>
      </c>
      <c r="AW111" s="39">
        <f t="shared" si="7"/>
        <v>0</v>
      </c>
      <c r="AX111" s="39">
        <f t="shared" si="7"/>
        <v>0</v>
      </c>
      <c r="AY111" s="39">
        <f t="shared" si="7"/>
        <v>0</v>
      </c>
      <c r="AZ111" s="39">
        <f t="shared" si="7"/>
        <v>0</v>
      </c>
      <c r="BA111" s="39">
        <f t="shared" si="7"/>
        <v>0</v>
      </c>
      <c r="BB111" s="39">
        <f t="shared" si="7"/>
        <v>0</v>
      </c>
      <c r="BC111" s="39">
        <f t="shared" si="7"/>
        <v>0</v>
      </c>
      <c r="BD111" s="39"/>
      <c r="BE111" s="39">
        <f t="shared" si="7"/>
        <v>0</v>
      </c>
    </row>
    <row r="112" spans="1:57" s="46" customFormat="1" ht="24.95" hidden="1" customHeight="1" x14ac:dyDescent="0.25">
      <c r="A112" s="44"/>
      <c r="B112" s="44"/>
      <c r="C112" s="45"/>
      <c r="D112" s="39"/>
      <c r="E112" s="44"/>
      <c r="F112" s="44"/>
      <c r="G112" s="44"/>
      <c r="H112" s="45"/>
      <c r="I112" s="44"/>
      <c r="J112" s="44"/>
      <c r="K112" s="44"/>
      <c r="L112" s="44"/>
      <c r="M112" s="44"/>
      <c r="N112" s="44"/>
      <c r="O112" s="44"/>
      <c r="P112" s="44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>
        <v>0</v>
      </c>
      <c r="AH112" s="39">
        <v>0</v>
      </c>
      <c r="AI112" s="39">
        <v>5</v>
      </c>
      <c r="AJ112" s="39">
        <v>9.7200000000000006</v>
      </c>
      <c r="AK112" s="39">
        <v>4</v>
      </c>
      <c r="AL112" s="39">
        <v>0</v>
      </c>
      <c r="AM112" s="39">
        <v>0</v>
      </c>
      <c r="AN112" s="39">
        <v>19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9">
        <v>18</v>
      </c>
      <c r="AU112" s="39">
        <v>0</v>
      </c>
      <c r="AV112" s="39">
        <v>0</v>
      </c>
      <c r="AW112" s="39">
        <v>0</v>
      </c>
      <c r="AX112" s="39">
        <v>0</v>
      </c>
      <c r="AY112" s="39">
        <v>0</v>
      </c>
      <c r="AZ112" s="39">
        <v>0</v>
      </c>
      <c r="BA112" s="39">
        <v>0</v>
      </c>
      <c r="BB112" s="39">
        <v>0</v>
      </c>
      <c r="BC112" s="39">
        <v>0</v>
      </c>
      <c r="BD112" s="39"/>
      <c r="BE112" s="39">
        <v>0</v>
      </c>
    </row>
    <row r="113" spans="1:57" s="46" customFormat="1" ht="24.95" hidden="1" customHeight="1" x14ac:dyDescent="0.25">
      <c r="A113" s="44"/>
      <c r="B113" s="44"/>
      <c r="C113" s="45"/>
      <c r="D113" s="39"/>
      <c r="E113" s="44"/>
      <c r="F113" s="44"/>
      <c r="G113" s="44"/>
      <c r="H113" s="45"/>
      <c r="I113" s="44"/>
      <c r="J113" s="44"/>
      <c r="K113" s="44"/>
      <c r="L113" s="44"/>
      <c r="M113" s="44"/>
      <c r="N113" s="44"/>
      <c r="O113" s="44"/>
      <c r="P113" s="44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44">
        <f>AG111-AG112</f>
        <v>0</v>
      </c>
      <c r="AH113" s="44">
        <f t="shared" ref="AH113:BE113" si="8">AH111-AH112</f>
        <v>0</v>
      </c>
      <c r="AI113" s="44">
        <f t="shared" si="8"/>
        <v>-5</v>
      </c>
      <c r="AJ113" s="44">
        <f t="shared" si="8"/>
        <v>-9.7200000000000006</v>
      </c>
      <c r="AK113" s="44">
        <f t="shared" si="8"/>
        <v>-4</v>
      </c>
      <c r="AL113" s="44">
        <f t="shared" si="8"/>
        <v>0</v>
      </c>
      <c r="AM113" s="44">
        <f t="shared" si="8"/>
        <v>0</v>
      </c>
      <c r="AN113" s="44">
        <f t="shared" si="8"/>
        <v>-19</v>
      </c>
      <c r="AO113" s="44">
        <f t="shared" si="8"/>
        <v>0</v>
      </c>
      <c r="AP113" s="44">
        <f t="shared" si="8"/>
        <v>0</v>
      </c>
      <c r="AQ113" s="44">
        <f t="shared" si="8"/>
        <v>0</v>
      </c>
      <c r="AR113" s="44">
        <f t="shared" si="8"/>
        <v>0</v>
      </c>
      <c r="AS113" s="44">
        <f t="shared" si="8"/>
        <v>0</v>
      </c>
      <c r="AT113" s="44">
        <f t="shared" si="8"/>
        <v>-18</v>
      </c>
      <c r="AU113" s="44">
        <f t="shared" si="8"/>
        <v>0</v>
      </c>
      <c r="AV113" s="44">
        <f t="shared" si="8"/>
        <v>0</v>
      </c>
      <c r="AW113" s="44">
        <f t="shared" si="8"/>
        <v>0</v>
      </c>
      <c r="AX113" s="44">
        <f t="shared" si="8"/>
        <v>0</v>
      </c>
      <c r="AY113" s="44">
        <f t="shared" si="8"/>
        <v>0</v>
      </c>
      <c r="AZ113" s="44">
        <f t="shared" si="8"/>
        <v>0</v>
      </c>
      <c r="BA113" s="44">
        <f t="shared" si="8"/>
        <v>0</v>
      </c>
      <c r="BB113" s="44">
        <f t="shared" si="8"/>
        <v>0</v>
      </c>
      <c r="BC113" s="44">
        <f t="shared" si="8"/>
        <v>0</v>
      </c>
      <c r="BD113" s="44"/>
      <c r="BE113" s="44">
        <f t="shared" si="8"/>
        <v>0</v>
      </c>
    </row>
    <row r="114" spans="1:57" s="43" customFormat="1" ht="24.75" hidden="1" customHeight="1" x14ac:dyDescent="0.25">
      <c r="A114" s="35"/>
      <c r="B114" s="35"/>
      <c r="C114" s="33" t="s">
        <v>52</v>
      </c>
      <c r="D114" s="36"/>
      <c r="E114" s="35"/>
      <c r="F114" s="35"/>
      <c r="G114" s="35"/>
      <c r="H114" s="33" t="s">
        <v>46</v>
      </c>
      <c r="I114" s="35"/>
      <c r="J114" s="35"/>
      <c r="K114" s="35"/>
      <c r="L114" s="35"/>
      <c r="M114" s="35"/>
      <c r="N114" s="35"/>
      <c r="O114" s="35"/>
      <c r="P114" s="35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6"/>
      <c r="AV114" s="36"/>
      <c r="AW114" s="37"/>
      <c r="AX114" s="36"/>
      <c r="AY114" s="36"/>
      <c r="AZ114" s="36"/>
      <c r="BA114" s="36"/>
      <c r="BB114" s="36"/>
      <c r="BC114" s="36"/>
      <c r="BD114" s="36"/>
      <c r="BE114" s="36"/>
    </row>
    <row r="115" spans="1:57" s="43" customFormat="1" ht="24.75" hidden="1" customHeight="1" x14ac:dyDescent="0.25">
      <c r="A115" s="35"/>
      <c r="B115" s="35"/>
      <c r="C115" s="33" t="s">
        <v>52</v>
      </c>
      <c r="D115" s="36"/>
      <c r="E115" s="35"/>
      <c r="F115" s="35"/>
      <c r="G115" s="35"/>
      <c r="H115" s="33" t="s">
        <v>46</v>
      </c>
      <c r="I115" s="35"/>
      <c r="J115" s="35"/>
      <c r="K115" s="35"/>
      <c r="L115" s="35"/>
      <c r="M115" s="35"/>
      <c r="N115" s="35"/>
      <c r="O115" s="35"/>
      <c r="P115" s="35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6"/>
      <c r="AV115" s="36"/>
      <c r="AW115" s="37"/>
      <c r="AX115" s="36"/>
      <c r="AY115" s="36"/>
      <c r="AZ115" s="36"/>
      <c r="BA115" s="36"/>
      <c r="BB115" s="36"/>
      <c r="BC115" s="36"/>
      <c r="BD115" s="36"/>
      <c r="BE115" s="36"/>
    </row>
    <row r="116" spans="1:57" s="43" customFormat="1" ht="24.75" hidden="1" customHeight="1" x14ac:dyDescent="0.25">
      <c r="A116" s="35"/>
      <c r="B116" s="35"/>
      <c r="C116" s="33" t="s">
        <v>52</v>
      </c>
      <c r="D116" s="36"/>
      <c r="E116" s="35"/>
      <c r="F116" s="35"/>
      <c r="G116" s="35"/>
      <c r="H116" s="33" t="s">
        <v>46</v>
      </c>
      <c r="I116" s="35"/>
      <c r="J116" s="35"/>
      <c r="K116" s="35"/>
      <c r="L116" s="35"/>
      <c r="M116" s="35"/>
      <c r="N116" s="35"/>
      <c r="O116" s="35"/>
      <c r="P116" s="35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6"/>
      <c r="AV116" s="36"/>
      <c r="AW116" s="37"/>
      <c r="AX116" s="36"/>
      <c r="AY116" s="36"/>
      <c r="AZ116" s="36"/>
      <c r="BA116" s="36"/>
      <c r="BB116" s="36"/>
      <c r="BC116" s="36"/>
      <c r="BD116" s="36"/>
      <c r="BE116" s="36"/>
    </row>
    <row r="117" spans="1:57" s="43" customFormat="1" ht="24.75" hidden="1" customHeight="1" x14ac:dyDescent="0.25">
      <c r="A117" s="35"/>
      <c r="B117" s="35"/>
      <c r="C117" s="33" t="s">
        <v>52</v>
      </c>
      <c r="D117" s="36"/>
      <c r="E117" s="35"/>
      <c r="F117" s="35"/>
      <c r="G117" s="35"/>
      <c r="H117" s="33" t="s">
        <v>46</v>
      </c>
      <c r="I117" s="35"/>
      <c r="J117" s="35"/>
      <c r="K117" s="35"/>
      <c r="L117" s="35"/>
      <c r="M117" s="35"/>
      <c r="N117" s="35"/>
      <c r="O117" s="35"/>
      <c r="P117" s="35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6"/>
      <c r="AV117" s="36"/>
      <c r="AW117" s="37"/>
      <c r="AX117" s="36"/>
      <c r="AY117" s="36"/>
      <c r="AZ117" s="36"/>
      <c r="BA117" s="36"/>
      <c r="BB117" s="36"/>
      <c r="BC117" s="36"/>
      <c r="BD117" s="36"/>
      <c r="BE117" s="36"/>
    </row>
    <row r="118" spans="1:57" s="43" customFormat="1" ht="24.75" hidden="1" customHeight="1" x14ac:dyDescent="0.25">
      <c r="A118" s="35"/>
      <c r="B118" s="35"/>
      <c r="C118" s="33" t="s">
        <v>52</v>
      </c>
      <c r="D118" s="36"/>
      <c r="E118" s="35"/>
      <c r="F118" s="35"/>
      <c r="G118" s="35"/>
      <c r="H118" s="33" t="s">
        <v>46</v>
      </c>
      <c r="I118" s="35"/>
      <c r="J118" s="35"/>
      <c r="K118" s="35"/>
      <c r="L118" s="35"/>
      <c r="M118" s="35"/>
      <c r="N118" s="35"/>
      <c r="O118" s="35"/>
      <c r="P118" s="35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6"/>
      <c r="AV118" s="36"/>
      <c r="AW118" s="37"/>
      <c r="AX118" s="36"/>
      <c r="AY118" s="36"/>
      <c r="AZ118" s="36"/>
      <c r="BA118" s="36"/>
      <c r="BB118" s="36"/>
      <c r="BC118" s="36"/>
      <c r="BD118" s="36"/>
      <c r="BE118" s="36"/>
    </row>
    <row r="119" spans="1:57" s="43" customFormat="1" ht="24.75" hidden="1" customHeight="1" x14ac:dyDescent="0.25">
      <c r="A119" s="35"/>
      <c r="B119" s="35"/>
      <c r="C119" s="33" t="s">
        <v>52</v>
      </c>
      <c r="D119" s="36"/>
      <c r="E119" s="35"/>
      <c r="F119" s="35"/>
      <c r="G119" s="35"/>
      <c r="H119" s="33" t="s">
        <v>46</v>
      </c>
      <c r="I119" s="35"/>
      <c r="J119" s="35"/>
      <c r="K119" s="35"/>
      <c r="L119" s="35"/>
      <c r="M119" s="35"/>
      <c r="N119" s="35"/>
      <c r="O119" s="35"/>
      <c r="P119" s="35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6"/>
      <c r="AV119" s="36"/>
      <c r="AW119" s="37"/>
      <c r="AX119" s="36"/>
      <c r="AY119" s="36"/>
      <c r="AZ119" s="36"/>
      <c r="BA119" s="36"/>
      <c r="BB119" s="36"/>
      <c r="BC119" s="36"/>
      <c r="BD119" s="36"/>
      <c r="BE119" s="36"/>
    </row>
    <row r="120" spans="1:57" s="43" customFormat="1" ht="24.75" hidden="1" customHeight="1" x14ac:dyDescent="0.25">
      <c r="A120" s="35"/>
      <c r="B120" s="35"/>
      <c r="C120" s="33" t="s">
        <v>52</v>
      </c>
      <c r="D120" s="36"/>
      <c r="E120" s="35"/>
      <c r="F120" s="35"/>
      <c r="G120" s="35"/>
      <c r="H120" s="33" t="s">
        <v>46</v>
      </c>
      <c r="I120" s="35"/>
      <c r="J120" s="35"/>
      <c r="K120" s="35"/>
      <c r="L120" s="35"/>
      <c r="M120" s="35"/>
      <c r="N120" s="35"/>
      <c r="O120" s="35"/>
      <c r="P120" s="35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6"/>
      <c r="AV120" s="36"/>
      <c r="AW120" s="37"/>
      <c r="AX120" s="36"/>
      <c r="AY120" s="36"/>
      <c r="AZ120" s="36"/>
      <c r="BA120" s="36"/>
      <c r="BB120" s="36"/>
      <c r="BC120" s="36"/>
      <c r="BD120" s="36"/>
      <c r="BE120" s="36"/>
    </row>
    <row r="121" spans="1:57" s="43" customFormat="1" ht="24.75" hidden="1" customHeight="1" x14ac:dyDescent="0.25">
      <c r="A121" s="35"/>
      <c r="B121" s="35"/>
      <c r="C121" s="33" t="s">
        <v>52</v>
      </c>
      <c r="D121" s="36"/>
      <c r="E121" s="35"/>
      <c r="F121" s="35"/>
      <c r="G121" s="35"/>
      <c r="H121" s="33" t="s">
        <v>46</v>
      </c>
      <c r="I121" s="35"/>
      <c r="J121" s="35"/>
      <c r="K121" s="35"/>
      <c r="L121" s="35"/>
      <c r="M121" s="35"/>
      <c r="N121" s="35"/>
      <c r="O121" s="35"/>
      <c r="P121" s="35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6"/>
      <c r="AV121" s="36"/>
      <c r="AW121" s="37"/>
      <c r="AX121" s="36"/>
      <c r="AY121" s="36"/>
      <c r="AZ121" s="36"/>
      <c r="BA121" s="36"/>
      <c r="BB121" s="36"/>
      <c r="BC121" s="36"/>
      <c r="BD121" s="36"/>
      <c r="BE121" s="36"/>
    </row>
    <row r="122" spans="1:57" s="43" customFormat="1" ht="24.75" hidden="1" customHeight="1" x14ac:dyDescent="0.25">
      <c r="A122" s="35"/>
      <c r="B122" s="35"/>
      <c r="C122" s="33" t="s">
        <v>52</v>
      </c>
      <c r="D122" s="36"/>
      <c r="E122" s="35"/>
      <c r="F122" s="35"/>
      <c r="G122" s="35"/>
      <c r="H122" s="33" t="s">
        <v>46</v>
      </c>
      <c r="I122" s="35"/>
      <c r="J122" s="35"/>
      <c r="K122" s="35"/>
      <c r="L122" s="35"/>
      <c r="M122" s="35"/>
      <c r="N122" s="35"/>
      <c r="O122" s="35"/>
      <c r="P122" s="35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6"/>
      <c r="AV122" s="36"/>
      <c r="AW122" s="37"/>
      <c r="AX122" s="36"/>
      <c r="AY122" s="36"/>
      <c r="AZ122" s="36"/>
      <c r="BA122" s="36"/>
      <c r="BB122" s="36"/>
      <c r="BC122" s="36"/>
      <c r="BD122" s="36"/>
      <c r="BE122" s="36"/>
    </row>
    <row r="123" spans="1:57" s="43" customFormat="1" ht="24.75" hidden="1" customHeight="1" x14ac:dyDescent="0.25">
      <c r="A123" s="35"/>
      <c r="B123" s="35"/>
      <c r="C123" s="33" t="s">
        <v>52</v>
      </c>
      <c r="D123" s="36"/>
      <c r="E123" s="35"/>
      <c r="F123" s="35"/>
      <c r="G123" s="35"/>
      <c r="H123" s="33" t="s">
        <v>46</v>
      </c>
      <c r="I123" s="35"/>
      <c r="J123" s="35"/>
      <c r="K123" s="35"/>
      <c r="L123" s="35"/>
      <c r="M123" s="35"/>
      <c r="N123" s="35"/>
      <c r="O123" s="35"/>
      <c r="P123" s="35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6"/>
      <c r="AV123" s="36"/>
      <c r="AW123" s="37"/>
      <c r="AX123" s="36"/>
      <c r="AY123" s="36"/>
      <c r="AZ123" s="36"/>
      <c r="BA123" s="36"/>
      <c r="BB123" s="36"/>
      <c r="BC123" s="36"/>
      <c r="BD123" s="36"/>
      <c r="BE123" s="36"/>
    </row>
    <row r="124" spans="1:57" s="43" customFormat="1" ht="24.75" hidden="1" customHeight="1" x14ac:dyDescent="0.25">
      <c r="A124" s="35"/>
      <c r="B124" s="35"/>
      <c r="C124" s="33" t="s">
        <v>52</v>
      </c>
      <c r="D124" s="36"/>
      <c r="E124" s="35"/>
      <c r="F124" s="35"/>
      <c r="G124" s="35"/>
      <c r="H124" s="33" t="s">
        <v>46</v>
      </c>
      <c r="I124" s="35"/>
      <c r="J124" s="35"/>
      <c r="K124" s="35"/>
      <c r="L124" s="35"/>
      <c r="M124" s="35"/>
      <c r="N124" s="35"/>
      <c r="O124" s="35"/>
      <c r="P124" s="35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6"/>
      <c r="AV124" s="36"/>
      <c r="AW124" s="37"/>
      <c r="AX124" s="36"/>
      <c r="AY124" s="36"/>
      <c r="AZ124" s="36"/>
      <c r="BA124" s="36"/>
      <c r="BB124" s="36"/>
      <c r="BC124" s="36"/>
      <c r="BD124" s="36"/>
      <c r="BE124" s="36"/>
    </row>
    <row r="125" spans="1:57" s="43" customFormat="1" ht="24.75" hidden="1" customHeight="1" x14ac:dyDescent="0.25">
      <c r="A125" s="35"/>
      <c r="B125" s="35"/>
      <c r="C125" s="33" t="s">
        <v>52</v>
      </c>
      <c r="D125" s="36"/>
      <c r="E125" s="35"/>
      <c r="F125" s="35"/>
      <c r="G125" s="35"/>
      <c r="H125" s="33" t="s">
        <v>46</v>
      </c>
      <c r="I125" s="35"/>
      <c r="J125" s="35"/>
      <c r="K125" s="35"/>
      <c r="L125" s="35"/>
      <c r="M125" s="35"/>
      <c r="N125" s="35"/>
      <c r="O125" s="35"/>
      <c r="P125" s="35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6"/>
      <c r="AV125" s="36"/>
      <c r="AW125" s="37"/>
      <c r="AX125" s="36"/>
      <c r="AY125" s="36"/>
      <c r="AZ125" s="36"/>
      <c r="BA125" s="36"/>
      <c r="BB125" s="36"/>
      <c r="BC125" s="36"/>
      <c r="BD125" s="36"/>
      <c r="BE125" s="36"/>
    </row>
    <row r="126" spans="1:57" s="43" customFormat="1" ht="24.75" hidden="1" customHeight="1" x14ac:dyDescent="0.25">
      <c r="A126" s="35"/>
      <c r="B126" s="35"/>
      <c r="C126" s="33" t="s">
        <v>52</v>
      </c>
      <c r="D126" s="36"/>
      <c r="E126" s="35"/>
      <c r="F126" s="35"/>
      <c r="G126" s="35"/>
      <c r="H126" s="33" t="s">
        <v>46</v>
      </c>
      <c r="I126" s="35"/>
      <c r="J126" s="35"/>
      <c r="K126" s="35"/>
      <c r="L126" s="35"/>
      <c r="M126" s="35"/>
      <c r="N126" s="35"/>
      <c r="O126" s="35"/>
      <c r="P126" s="35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6"/>
      <c r="AV126" s="36"/>
      <c r="AW126" s="37"/>
      <c r="AX126" s="36"/>
      <c r="AY126" s="36"/>
      <c r="AZ126" s="36"/>
      <c r="BA126" s="36"/>
      <c r="BB126" s="36"/>
      <c r="BC126" s="36"/>
      <c r="BD126" s="36"/>
      <c r="BE126" s="36"/>
    </row>
    <row r="127" spans="1:57" s="43" customFormat="1" ht="24.75" hidden="1" customHeight="1" x14ac:dyDescent="0.25">
      <c r="A127" s="35"/>
      <c r="B127" s="35"/>
      <c r="C127" s="33" t="s">
        <v>52</v>
      </c>
      <c r="D127" s="36"/>
      <c r="E127" s="35"/>
      <c r="F127" s="35"/>
      <c r="G127" s="35"/>
      <c r="H127" s="33" t="s">
        <v>46</v>
      </c>
      <c r="I127" s="35"/>
      <c r="J127" s="35"/>
      <c r="K127" s="35"/>
      <c r="L127" s="35"/>
      <c r="M127" s="35"/>
      <c r="N127" s="35"/>
      <c r="O127" s="35"/>
      <c r="P127" s="35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6"/>
      <c r="AV127" s="36"/>
      <c r="AW127" s="37"/>
      <c r="AX127" s="36"/>
      <c r="AY127" s="36"/>
      <c r="AZ127" s="36"/>
      <c r="BA127" s="36"/>
      <c r="BB127" s="36"/>
      <c r="BC127" s="36"/>
      <c r="BD127" s="36"/>
      <c r="BE127" s="36"/>
    </row>
    <row r="128" spans="1:57" s="43" customFormat="1" ht="24.75" hidden="1" customHeight="1" x14ac:dyDescent="0.25">
      <c r="A128" s="35"/>
      <c r="B128" s="35"/>
      <c r="C128" s="33" t="s">
        <v>52</v>
      </c>
      <c r="D128" s="36"/>
      <c r="E128" s="35"/>
      <c r="F128" s="35"/>
      <c r="G128" s="35"/>
      <c r="H128" s="33" t="s">
        <v>46</v>
      </c>
      <c r="I128" s="35"/>
      <c r="J128" s="35"/>
      <c r="K128" s="35"/>
      <c r="L128" s="35"/>
      <c r="M128" s="35"/>
      <c r="N128" s="35"/>
      <c r="O128" s="35"/>
      <c r="P128" s="35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6"/>
      <c r="AV128" s="36"/>
      <c r="AW128" s="37"/>
      <c r="AX128" s="36"/>
      <c r="AY128" s="36"/>
      <c r="AZ128" s="36"/>
      <c r="BA128" s="36"/>
      <c r="BB128" s="36"/>
      <c r="BC128" s="36"/>
      <c r="BD128" s="36"/>
      <c r="BE128" s="36"/>
    </row>
    <row r="129" spans="1:57" s="43" customFormat="1" ht="24.75" hidden="1" customHeight="1" x14ac:dyDescent="0.25">
      <c r="A129" s="35"/>
      <c r="B129" s="35"/>
      <c r="C129" s="33" t="s">
        <v>52</v>
      </c>
      <c r="D129" s="36"/>
      <c r="E129" s="35"/>
      <c r="F129" s="35"/>
      <c r="G129" s="35"/>
      <c r="H129" s="33" t="s">
        <v>46</v>
      </c>
      <c r="I129" s="35"/>
      <c r="J129" s="35"/>
      <c r="K129" s="35"/>
      <c r="L129" s="35"/>
      <c r="M129" s="35"/>
      <c r="N129" s="35"/>
      <c r="O129" s="35"/>
      <c r="P129" s="35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6"/>
      <c r="AV129" s="36"/>
      <c r="AW129" s="37"/>
      <c r="AX129" s="36"/>
      <c r="AY129" s="36"/>
      <c r="AZ129" s="36"/>
      <c r="BA129" s="36"/>
      <c r="BB129" s="36"/>
      <c r="BC129" s="36"/>
      <c r="BD129" s="36"/>
      <c r="BE129" s="36"/>
    </row>
    <row r="130" spans="1:57" s="43" customFormat="1" ht="24.75" hidden="1" customHeight="1" x14ac:dyDescent="0.25">
      <c r="A130" s="35"/>
      <c r="B130" s="35"/>
      <c r="C130" s="33" t="s">
        <v>52</v>
      </c>
      <c r="D130" s="36"/>
      <c r="E130" s="35"/>
      <c r="F130" s="35"/>
      <c r="G130" s="35"/>
      <c r="H130" s="33" t="s">
        <v>46</v>
      </c>
      <c r="I130" s="35"/>
      <c r="J130" s="35"/>
      <c r="K130" s="35"/>
      <c r="L130" s="35"/>
      <c r="M130" s="35"/>
      <c r="N130" s="35"/>
      <c r="O130" s="35"/>
      <c r="P130" s="35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6"/>
      <c r="AV130" s="36"/>
      <c r="AW130" s="37"/>
      <c r="AX130" s="36"/>
      <c r="AY130" s="36"/>
      <c r="AZ130" s="36"/>
      <c r="BA130" s="36"/>
      <c r="BB130" s="36"/>
      <c r="BC130" s="36"/>
      <c r="BD130" s="36"/>
      <c r="BE130" s="36"/>
    </row>
    <row r="131" spans="1:57" s="43" customFormat="1" ht="24.75" hidden="1" customHeight="1" x14ac:dyDescent="0.25">
      <c r="A131" s="35"/>
      <c r="B131" s="35"/>
      <c r="C131" s="33" t="s">
        <v>52</v>
      </c>
      <c r="D131" s="36"/>
      <c r="E131" s="35"/>
      <c r="F131" s="35"/>
      <c r="G131" s="35"/>
      <c r="H131" s="33" t="s">
        <v>46</v>
      </c>
      <c r="I131" s="35"/>
      <c r="J131" s="35"/>
      <c r="K131" s="35"/>
      <c r="L131" s="35"/>
      <c r="M131" s="35"/>
      <c r="N131" s="35"/>
      <c r="O131" s="35"/>
      <c r="P131" s="35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6"/>
      <c r="AV131" s="36"/>
      <c r="AW131" s="37"/>
      <c r="AX131" s="36"/>
      <c r="AY131" s="36"/>
      <c r="AZ131" s="36"/>
      <c r="BA131" s="36"/>
      <c r="BB131" s="36"/>
      <c r="BC131" s="36"/>
      <c r="BD131" s="36"/>
      <c r="BE131" s="36"/>
    </row>
    <row r="132" spans="1:57" s="46" customFormat="1" ht="24.95" hidden="1" customHeight="1" x14ac:dyDescent="0.25">
      <c r="A132" s="44" t="s">
        <v>53</v>
      </c>
      <c r="B132" s="44"/>
      <c r="C132" s="45"/>
      <c r="D132" s="39"/>
      <c r="E132" s="44"/>
      <c r="F132" s="44"/>
      <c r="G132" s="44"/>
      <c r="H132" s="45"/>
      <c r="I132" s="44"/>
      <c r="J132" s="44"/>
      <c r="K132" s="44"/>
      <c r="L132" s="44"/>
      <c r="M132" s="44"/>
      <c r="N132" s="44"/>
      <c r="O132" s="44"/>
      <c r="P132" s="44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>
        <f t="shared" ref="AG132:BE132" si="9">SUM(AG114:AG131)</f>
        <v>0</v>
      </c>
      <c r="AH132" s="39">
        <f t="shared" si="9"/>
        <v>0</v>
      </c>
      <c r="AI132" s="39">
        <f t="shared" si="9"/>
        <v>0</v>
      </c>
      <c r="AJ132" s="39">
        <f t="shared" si="9"/>
        <v>0</v>
      </c>
      <c r="AK132" s="39">
        <f t="shared" si="9"/>
        <v>0</v>
      </c>
      <c r="AL132" s="39">
        <f t="shared" si="9"/>
        <v>0</v>
      </c>
      <c r="AM132" s="39">
        <f t="shared" si="9"/>
        <v>0</v>
      </c>
      <c r="AN132" s="39">
        <f t="shared" si="9"/>
        <v>0</v>
      </c>
      <c r="AO132" s="39">
        <f t="shared" si="9"/>
        <v>0</v>
      </c>
      <c r="AP132" s="39">
        <f t="shared" si="9"/>
        <v>0</v>
      </c>
      <c r="AQ132" s="39">
        <f t="shared" si="9"/>
        <v>0</v>
      </c>
      <c r="AR132" s="39">
        <f t="shared" si="9"/>
        <v>0</v>
      </c>
      <c r="AS132" s="39">
        <f t="shared" si="9"/>
        <v>0</v>
      </c>
      <c r="AT132" s="39">
        <f t="shared" si="9"/>
        <v>0</v>
      </c>
      <c r="AU132" s="39">
        <f t="shared" si="9"/>
        <v>0</v>
      </c>
      <c r="AV132" s="39">
        <f t="shared" si="9"/>
        <v>0</v>
      </c>
      <c r="AW132" s="39">
        <f t="shared" si="9"/>
        <v>0</v>
      </c>
      <c r="AX132" s="39">
        <f t="shared" si="9"/>
        <v>0</v>
      </c>
      <c r="AY132" s="39">
        <f t="shared" si="9"/>
        <v>0</v>
      </c>
      <c r="AZ132" s="39">
        <f t="shared" si="9"/>
        <v>0</v>
      </c>
      <c r="BA132" s="39">
        <f t="shared" si="9"/>
        <v>0</v>
      </c>
      <c r="BB132" s="39">
        <f t="shared" si="9"/>
        <v>0</v>
      </c>
      <c r="BC132" s="39">
        <f t="shared" si="9"/>
        <v>0</v>
      </c>
      <c r="BD132" s="39"/>
      <c r="BE132" s="39">
        <f t="shared" si="9"/>
        <v>0</v>
      </c>
    </row>
    <row r="133" spans="1:57" s="46" customFormat="1" ht="24.95" hidden="1" customHeight="1" x14ac:dyDescent="0.25">
      <c r="A133" s="44"/>
      <c r="B133" s="44"/>
      <c r="C133" s="45"/>
      <c r="D133" s="39"/>
      <c r="E133" s="44"/>
      <c r="F133" s="44"/>
      <c r="G133" s="44"/>
      <c r="H133" s="45"/>
      <c r="I133" s="44"/>
      <c r="J133" s="44"/>
      <c r="K133" s="44"/>
      <c r="L133" s="44"/>
      <c r="M133" s="44"/>
      <c r="N133" s="44"/>
      <c r="O133" s="44"/>
      <c r="P133" s="44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>
        <v>0</v>
      </c>
      <c r="AH133" s="39">
        <v>0</v>
      </c>
      <c r="AI133" s="39">
        <v>52</v>
      </c>
      <c r="AJ133" s="39">
        <v>53.460000000000008</v>
      </c>
      <c r="AK133" s="39">
        <v>22</v>
      </c>
      <c r="AL133" s="39">
        <v>0</v>
      </c>
      <c r="AM133" s="39">
        <v>0</v>
      </c>
      <c r="AN133" s="39">
        <v>197</v>
      </c>
      <c r="AO133" s="39">
        <v>0</v>
      </c>
      <c r="AP133" s="39">
        <v>0</v>
      </c>
      <c r="AQ133" s="39">
        <v>0</v>
      </c>
      <c r="AR133" s="39">
        <v>0</v>
      </c>
      <c r="AS133" s="39">
        <v>77</v>
      </c>
      <c r="AT133" s="39">
        <v>0</v>
      </c>
      <c r="AU133" s="39">
        <v>0</v>
      </c>
      <c r="AV133" s="39">
        <v>0</v>
      </c>
      <c r="AW133" s="39">
        <v>0</v>
      </c>
      <c r="AX133" s="39">
        <v>0</v>
      </c>
      <c r="AY133" s="39">
        <v>0</v>
      </c>
      <c r="AZ133" s="39">
        <v>0</v>
      </c>
      <c r="BA133" s="39">
        <v>0</v>
      </c>
      <c r="BB133" s="39">
        <v>0</v>
      </c>
      <c r="BC133" s="39">
        <v>0</v>
      </c>
      <c r="BD133" s="39"/>
      <c r="BE133" s="39">
        <v>0</v>
      </c>
    </row>
    <row r="134" spans="1:57" s="46" customFormat="1" ht="24.95" hidden="1" customHeight="1" x14ac:dyDescent="0.25">
      <c r="A134" s="44"/>
      <c r="B134" s="44"/>
      <c r="C134" s="45"/>
      <c r="D134" s="39"/>
      <c r="E134" s="44"/>
      <c r="F134" s="44"/>
      <c r="G134" s="44"/>
      <c r="H134" s="45"/>
      <c r="I134" s="44"/>
      <c r="J134" s="44"/>
      <c r="K134" s="44"/>
      <c r="L134" s="44"/>
      <c r="M134" s="44"/>
      <c r="N134" s="44"/>
      <c r="O134" s="44"/>
      <c r="P134" s="44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44">
        <f>AG132-AG133</f>
        <v>0</v>
      </c>
      <c r="AH134" s="44">
        <f t="shared" ref="AH134:BE134" si="10">AH132-AH133</f>
        <v>0</v>
      </c>
      <c r="AI134" s="44">
        <f t="shared" si="10"/>
        <v>-52</v>
      </c>
      <c r="AJ134" s="44">
        <f t="shared" si="10"/>
        <v>-53.460000000000008</v>
      </c>
      <c r="AK134" s="44">
        <f t="shared" si="10"/>
        <v>-22</v>
      </c>
      <c r="AL134" s="44">
        <f t="shared" si="10"/>
        <v>0</v>
      </c>
      <c r="AM134" s="44">
        <f t="shared" si="10"/>
        <v>0</v>
      </c>
      <c r="AN134" s="44">
        <f t="shared" si="10"/>
        <v>-197</v>
      </c>
      <c r="AO134" s="44">
        <f t="shared" si="10"/>
        <v>0</v>
      </c>
      <c r="AP134" s="44">
        <f t="shared" si="10"/>
        <v>0</v>
      </c>
      <c r="AQ134" s="44">
        <f t="shared" si="10"/>
        <v>0</v>
      </c>
      <c r="AR134" s="44">
        <f t="shared" si="10"/>
        <v>0</v>
      </c>
      <c r="AS134" s="44">
        <f t="shared" si="10"/>
        <v>-77</v>
      </c>
      <c r="AT134" s="44">
        <f t="shared" si="10"/>
        <v>0</v>
      </c>
      <c r="AU134" s="44">
        <f t="shared" si="10"/>
        <v>0</v>
      </c>
      <c r="AV134" s="44">
        <f t="shared" si="10"/>
        <v>0</v>
      </c>
      <c r="AW134" s="44">
        <f t="shared" si="10"/>
        <v>0</v>
      </c>
      <c r="AX134" s="44">
        <f t="shared" si="10"/>
        <v>0</v>
      </c>
      <c r="AY134" s="44">
        <f t="shared" si="10"/>
        <v>0</v>
      </c>
      <c r="AZ134" s="44">
        <f t="shared" si="10"/>
        <v>0</v>
      </c>
      <c r="BA134" s="44">
        <f t="shared" si="10"/>
        <v>0</v>
      </c>
      <c r="BB134" s="44">
        <f t="shared" si="10"/>
        <v>0</v>
      </c>
      <c r="BC134" s="44">
        <f t="shared" si="10"/>
        <v>0</v>
      </c>
      <c r="BD134" s="44"/>
      <c r="BE134" s="44">
        <f t="shared" si="10"/>
        <v>0</v>
      </c>
    </row>
    <row r="135" spans="1:57" s="43" customFormat="1" ht="24.95" customHeight="1" x14ac:dyDescent="0.25">
      <c r="A135" s="35"/>
      <c r="B135" s="35"/>
      <c r="C135" s="33" t="s">
        <v>54</v>
      </c>
      <c r="D135" s="36"/>
      <c r="E135" s="35"/>
      <c r="F135" s="35"/>
      <c r="G135" s="35"/>
      <c r="H135" s="33" t="s">
        <v>46</v>
      </c>
      <c r="I135" s="35"/>
      <c r="J135" s="35"/>
      <c r="K135" s="35"/>
      <c r="L135" s="35"/>
      <c r="M135" s="35"/>
      <c r="N135" s="35"/>
      <c r="O135" s="35"/>
      <c r="P135" s="35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6"/>
      <c r="AV135" s="36"/>
      <c r="AW135" s="37"/>
      <c r="AX135" s="36"/>
      <c r="AY135" s="36"/>
      <c r="AZ135" s="36"/>
      <c r="BA135" s="36"/>
      <c r="BB135" s="36"/>
      <c r="BC135" s="36"/>
      <c r="BD135" s="36"/>
      <c r="BE135" s="36"/>
    </row>
    <row r="136" spans="1:57" s="43" customFormat="1" ht="24.95" customHeight="1" x14ac:dyDescent="0.25">
      <c r="A136" s="35"/>
      <c r="B136" s="35"/>
      <c r="C136" s="33" t="s">
        <v>54</v>
      </c>
      <c r="D136" s="36"/>
      <c r="E136" s="35"/>
      <c r="F136" s="35"/>
      <c r="G136" s="35"/>
      <c r="H136" s="33" t="s">
        <v>46</v>
      </c>
      <c r="I136" s="35"/>
      <c r="J136" s="35"/>
      <c r="K136" s="35"/>
      <c r="L136" s="35"/>
      <c r="M136" s="35"/>
      <c r="N136" s="35"/>
      <c r="O136" s="35"/>
      <c r="P136" s="35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6"/>
      <c r="AV136" s="36"/>
      <c r="AW136" s="37"/>
      <c r="AX136" s="36"/>
      <c r="AY136" s="36"/>
      <c r="AZ136" s="36"/>
      <c r="BA136" s="36"/>
      <c r="BB136" s="36"/>
      <c r="BC136" s="36"/>
      <c r="BD136" s="36"/>
      <c r="BE136" s="36"/>
    </row>
    <row r="137" spans="1:57" s="43" customFormat="1" ht="24.95" customHeight="1" x14ac:dyDescent="0.25">
      <c r="A137" s="35"/>
      <c r="B137" s="35"/>
      <c r="C137" s="33" t="s">
        <v>54</v>
      </c>
      <c r="D137" s="36"/>
      <c r="E137" s="35"/>
      <c r="F137" s="35"/>
      <c r="G137" s="35"/>
      <c r="H137" s="33" t="s">
        <v>46</v>
      </c>
      <c r="I137" s="35"/>
      <c r="J137" s="35"/>
      <c r="K137" s="35"/>
      <c r="L137" s="35"/>
      <c r="M137" s="35"/>
      <c r="N137" s="35"/>
      <c r="O137" s="35"/>
      <c r="P137" s="35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6"/>
      <c r="AV137" s="36"/>
      <c r="AW137" s="37"/>
      <c r="AX137" s="36"/>
      <c r="AY137" s="36"/>
      <c r="AZ137" s="36"/>
      <c r="BA137" s="36"/>
      <c r="BB137" s="36"/>
      <c r="BC137" s="36"/>
      <c r="BD137" s="36"/>
      <c r="BE137" s="36"/>
    </row>
    <row r="138" spans="1:57" s="43" customFormat="1" ht="24.95" customHeight="1" x14ac:dyDescent="0.25">
      <c r="A138" s="35"/>
      <c r="B138" s="35"/>
      <c r="C138" s="33" t="s">
        <v>54</v>
      </c>
      <c r="D138" s="36"/>
      <c r="E138" s="35"/>
      <c r="F138" s="35"/>
      <c r="G138" s="35"/>
      <c r="H138" s="33" t="s">
        <v>46</v>
      </c>
      <c r="I138" s="35"/>
      <c r="J138" s="35"/>
      <c r="K138" s="35"/>
      <c r="L138" s="35"/>
      <c r="M138" s="35"/>
      <c r="N138" s="35"/>
      <c r="O138" s="35"/>
      <c r="P138" s="35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6"/>
      <c r="AV138" s="36"/>
      <c r="AW138" s="37"/>
      <c r="AX138" s="36"/>
      <c r="AY138" s="36"/>
      <c r="AZ138" s="36"/>
      <c r="BA138" s="36"/>
      <c r="BB138" s="36"/>
      <c r="BC138" s="36"/>
      <c r="BD138" s="36"/>
      <c r="BE138" s="36"/>
    </row>
    <row r="139" spans="1:57" s="43" customFormat="1" ht="24.95" customHeight="1" x14ac:dyDescent="0.25">
      <c r="A139" s="35"/>
      <c r="B139" s="35"/>
      <c r="C139" s="33" t="s">
        <v>54</v>
      </c>
      <c r="D139" s="36"/>
      <c r="E139" s="35"/>
      <c r="F139" s="35"/>
      <c r="G139" s="35"/>
      <c r="H139" s="33" t="s">
        <v>46</v>
      </c>
      <c r="I139" s="35"/>
      <c r="J139" s="35"/>
      <c r="K139" s="35"/>
      <c r="L139" s="35"/>
      <c r="M139" s="35"/>
      <c r="N139" s="35"/>
      <c r="O139" s="35"/>
      <c r="P139" s="35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6"/>
      <c r="AV139" s="36"/>
      <c r="AW139" s="37"/>
      <c r="AX139" s="36"/>
      <c r="AY139" s="36"/>
      <c r="AZ139" s="36"/>
      <c r="BA139" s="36"/>
      <c r="BB139" s="36"/>
      <c r="BC139" s="36"/>
      <c r="BD139" s="36"/>
      <c r="BE139" s="36"/>
    </row>
    <row r="140" spans="1:57" s="43" customFormat="1" ht="24.95" customHeight="1" x14ac:dyDescent="0.25">
      <c r="A140" s="35"/>
      <c r="B140" s="35"/>
      <c r="C140" s="33" t="s">
        <v>54</v>
      </c>
      <c r="D140" s="36"/>
      <c r="E140" s="35"/>
      <c r="F140" s="35"/>
      <c r="G140" s="35"/>
      <c r="H140" s="33" t="s">
        <v>46</v>
      </c>
      <c r="I140" s="35"/>
      <c r="J140" s="35"/>
      <c r="K140" s="35"/>
      <c r="L140" s="35"/>
      <c r="M140" s="35"/>
      <c r="N140" s="35"/>
      <c r="O140" s="35"/>
      <c r="P140" s="35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6"/>
      <c r="AV140" s="36"/>
      <c r="AW140" s="37"/>
      <c r="AX140" s="36"/>
      <c r="AY140" s="36"/>
      <c r="AZ140" s="36"/>
      <c r="BA140" s="36"/>
      <c r="BB140" s="36"/>
      <c r="BC140" s="36"/>
      <c r="BD140" s="36"/>
      <c r="BE140" s="36"/>
    </row>
    <row r="141" spans="1:57" s="43" customFormat="1" ht="24.95" customHeight="1" x14ac:dyDescent="0.25">
      <c r="A141" s="35"/>
      <c r="B141" s="35"/>
      <c r="C141" s="33" t="s">
        <v>54</v>
      </c>
      <c r="D141" s="36"/>
      <c r="E141" s="35"/>
      <c r="F141" s="35"/>
      <c r="G141" s="35"/>
      <c r="H141" s="33" t="s">
        <v>46</v>
      </c>
      <c r="I141" s="35"/>
      <c r="J141" s="35"/>
      <c r="K141" s="35"/>
      <c r="L141" s="35"/>
      <c r="M141" s="35"/>
      <c r="N141" s="35"/>
      <c r="O141" s="35"/>
      <c r="P141" s="35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6"/>
      <c r="AV141" s="36"/>
      <c r="AW141" s="37"/>
      <c r="AX141" s="36"/>
      <c r="AY141" s="36"/>
      <c r="AZ141" s="36"/>
      <c r="BA141" s="36"/>
      <c r="BB141" s="36"/>
      <c r="BC141" s="36"/>
      <c r="BD141" s="36"/>
      <c r="BE141" s="36"/>
    </row>
    <row r="142" spans="1:57" s="43" customFormat="1" ht="24.95" customHeight="1" x14ac:dyDescent="0.25">
      <c r="A142" s="35"/>
      <c r="B142" s="35"/>
      <c r="C142" s="33" t="s">
        <v>54</v>
      </c>
      <c r="D142" s="36"/>
      <c r="E142" s="35"/>
      <c r="F142" s="35"/>
      <c r="G142" s="35"/>
      <c r="H142" s="33" t="s">
        <v>46</v>
      </c>
      <c r="I142" s="35"/>
      <c r="J142" s="35"/>
      <c r="K142" s="35"/>
      <c r="L142" s="35"/>
      <c r="M142" s="35"/>
      <c r="N142" s="35"/>
      <c r="O142" s="35"/>
      <c r="P142" s="35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6"/>
      <c r="AV142" s="36"/>
      <c r="AW142" s="37"/>
      <c r="AX142" s="36"/>
      <c r="AY142" s="36"/>
      <c r="AZ142" s="36"/>
      <c r="BA142" s="36"/>
      <c r="BB142" s="36"/>
      <c r="BC142" s="36"/>
      <c r="BD142" s="36"/>
      <c r="BE142" s="36"/>
    </row>
    <row r="143" spans="1:57" s="43" customFormat="1" ht="24.95" customHeight="1" x14ac:dyDescent="0.25">
      <c r="A143" s="35"/>
      <c r="B143" s="35"/>
      <c r="C143" s="33" t="s">
        <v>54</v>
      </c>
      <c r="D143" s="36"/>
      <c r="E143" s="35"/>
      <c r="F143" s="35"/>
      <c r="G143" s="35"/>
      <c r="H143" s="33" t="s">
        <v>46</v>
      </c>
      <c r="I143" s="35"/>
      <c r="J143" s="35"/>
      <c r="K143" s="35"/>
      <c r="L143" s="35"/>
      <c r="M143" s="35"/>
      <c r="N143" s="35"/>
      <c r="O143" s="35"/>
      <c r="P143" s="35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6"/>
      <c r="AV143" s="36"/>
      <c r="AW143" s="37"/>
      <c r="AX143" s="36"/>
      <c r="AY143" s="36"/>
      <c r="AZ143" s="36"/>
      <c r="BA143" s="36"/>
      <c r="BB143" s="36"/>
      <c r="BC143" s="36"/>
      <c r="BD143" s="36"/>
      <c r="BE143" s="36"/>
    </row>
    <row r="144" spans="1:57" s="43" customFormat="1" ht="24.95" customHeight="1" x14ac:dyDescent="0.25">
      <c r="A144" s="35"/>
      <c r="B144" s="35"/>
      <c r="C144" s="33" t="s">
        <v>54</v>
      </c>
      <c r="D144" s="36"/>
      <c r="E144" s="35"/>
      <c r="F144" s="35"/>
      <c r="G144" s="35"/>
      <c r="H144" s="33" t="s">
        <v>46</v>
      </c>
      <c r="I144" s="35"/>
      <c r="J144" s="35"/>
      <c r="K144" s="35"/>
      <c r="L144" s="35"/>
      <c r="M144" s="35"/>
      <c r="N144" s="35"/>
      <c r="O144" s="35"/>
      <c r="P144" s="35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6"/>
      <c r="AV144" s="36"/>
      <c r="AW144" s="37"/>
      <c r="AX144" s="36"/>
      <c r="AY144" s="36"/>
      <c r="AZ144" s="36"/>
      <c r="BA144" s="36"/>
      <c r="BB144" s="36"/>
      <c r="BC144" s="36"/>
      <c r="BD144" s="36"/>
      <c r="BE144" s="36"/>
    </row>
    <row r="145" spans="1:57" s="43" customFormat="1" ht="24.95" customHeight="1" x14ac:dyDescent="0.25">
      <c r="A145" s="35"/>
      <c r="B145" s="35"/>
      <c r="C145" s="33" t="s">
        <v>54</v>
      </c>
      <c r="D145" s="36"/>
      <c r="E145" s="35"/>
      <c r="F145" s="35"/>
      <c r="G145" s="35"/>
      <c r="H145" s="33" t="s">
        <v>46</v>
      </c>
      <c r="I145" s="35"/>
      <c r="J145" s="35"/>
      <c r="K145" s="35"/>
      <c r="L145" s="35"/>
      <c r="M145" s="35"/>
      <c r="N145" s="35"/>
      <c r="O145" s="35"/>
      <c r="P145" s="35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6"/>
      <c r="AV145" s="36"/>
      <c r="AW145" s="37"/>
      <c r="AX145" s="36"/>
      <c r="AY145" s="36"/>
      <c r="AZ145" s="36"/>
      <c r="BA145" s="36"/>
      <c r="BB145" s="36"/>
      <c r="BC145" s="36"/>
      <c r="BD145" s="36"/>
      <c r="BE145" s="36"/>
    </row>
    <row r="146" spans="1:57" s="43" customFormat="1" ht="24.95" customHeight="1" x14ac:dyDescent="0.25">
      <c r="A146" s="35"/>
      <c r="B146" s="35"/>
      <c r="C146" s="33" t="s">
        <v>54</v>
      </c>
      <c r="D146" s="36"/>
      <c r="E146" s="35"/>
      <c r="F146" s="35"/>
      <c r="G146" s="35"/>
      <c r="H146" s="33" t="s">
        <v>46</v>
      </c>
      <c r="I146" s="35"/>
      <c r="J146" s="35"/>
      <c r="K146" s="35"/>
      <c r="L146" s="35"/>
      <c r="M146" s="35"/>
      <c r="N146" s="35"/>
      <c r="O146" s="35"/>
      <c r="P146" s="35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6"/>
      <c r="AV146" s="36"/>
      <c r="AW146" s="37"/>
      <c r="AX146" s="36"/>
      <c r="AY146" s="36"/>
      <c r="AZ146" s="36"/>
      <c r="BA146" s="36"/>
      <c r="BB146" s="36"/>
      <c r="BC146" s="36"/>
      <c r="BD146" s="36"/>
      <c r="BE146" s="36"/>
    </row>
    <row r="147" spans="1:57" s="43" customFormat="1" ht="24.95" customHeight="1" x14ac:dyDescent="0.25">
      <c r="A147" s="35"/>
      <c r="B147" s="35"/>
      <c r="C147" s="33" t="s">
        <v>54</v>
      </c>
      <c r="D147" s="36"/>
      <c r="E147" s="35"/>
      <c r="F147" s="35"/>
      <c r="G147" s="35"/>
      <c r="H147" s="33" t="s">
        <v>46</v>
      </c>
      <c r="I147" s="35"/>
      <c r="J147" s="35"/>
      <c r="K147" s="35"/>
      <c r="L147" s="35"/>
      <c r="M147" s="35"/>
      <c r="N147" s="35"/>
      <c r="O147" s="35"/>
      <c r="P147" s="35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6"/>
      <c r="AV147" s="36"/>
      <c r="AW147" s="37"/>
      <c r="AX147" s="36"/>
      <c r="AY147" s="36"/>
      <c r="AZ147" s="36"/>
      <c r="BA147" s="36"/>
      <c r="BB147" s="36"/>
      <c r="BC147" s="36"/>
      <c r="BD147" s="36"/>
      <c r="BE147" s="36"/>
    </row>
    <row r="148" spans="1:57" s="43" customFormat="1" ht="24.95" customHeight="1" x14ac:dyDescent="0.25">
      <c r="A148" s="35"/>
      <c r="B148" s="35"/>
      <c r="C148" s="33" t="s">
        <v>54</v>
      </c>
      <c r="D148" s="36"/>
      <c r="E148" s="35"/>
      <c r="F148" s="35"/>
      <c r="G148" s="35"/>
      <c r="H148" s="33" t="s">
        <v>46</v>
      </c>
      <c r="I148" s="35"/>
      <c r="J148" s="35"/>
      <c r="K148" s="35"/>
      <c r="L148" s="35"/>
      <c r="M148" s="35"/>
      <c r="N148" s="35"/>
      <c r="O148" s="35"/>
      <c r="P148" s="35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6"/>
      <c r="AV148" s="36"/>
      <c r="AW148" s="37"/>
      <c r="AX148" s="36"/>
      <c r="AY148" s="36"/>
      <c r="AZ148" s="36"/>
      <c r="BA148" s="36"/>
      <c r="BB148" s="36"/>
      <c r="BC148" s="36"/>
      <c r="BD148" s="36"/>
      <c r="BE148" s="36"/>
    </row>
    <row r="149" spans="1:57" s="43" customFormat="1" ht="24.95" customHeight="1" x14ac:dyDescent="0.25">
      <c r="A149" s="35"/>
      <c r="B149" s="35"/>
      <c r="C149" s="33" t="s">
        <v>54</v>
      </c>
      <c r="D149" s="36"/>
      <c r="E149" s="35"/>
      <c r="F149" s="35"/>
      <c r="G149" s="35"/>
      <c r="H149" s="33" t="s">
        <v>46</v>
      </c>
      <c r="I149" s="35"/>
      <c r="J149" s="35"/>
      <c r="K149" s="35"/>
      <c r="L149" s="35"/>
      <c r="M149" s="35"/>
      <c r="N149" s="35"/>
      <c r="O149" s="35"/>
      <c r="P149" s="35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6"/>
      <c r="AV149" s="36"/>
      <c r="AW149" s="37"/>
      <c r="AX149" s="36"/>
      <c r="AY149" s="36"/>
      <c r="AZ149" s="36"/>
      <c r="BA149" s="36"/>
      <c r="BB149" s="36"/>
      <c r="BC149" s="36"/>
      <c r="BD149" s="36"/>
      <c r="BE149" s="36"/>
    </row>
    <row r="150" spans="1:57" s="43" customFormat="1" ht="24.95" customHeight="1" x14ac:dyDescent="0.25">
      <c r="A150" s="35"/>
      <c r="B150" s="35"/>
      <c r="C150" s="33" t="s">
        <v>54</v>
      </c>
      <c r="D150" s="36"/>
      <c r="E150" s="35"/>
      <c r="F150" s="35"/>
      <c r="G150" s="35"/>
      <c r="H150" s="33" t="s">
        <v>46</v>
      </c>
      <c r="I150" s="35"/>
      <c r="J150" s="35"/>
      <c r="K150" s="35"/>
      <c r="L150" s="35"/>
      <c r="M150" s="35"/>
      <c r="N150" s="35"/>
      <c r="O150" s="35"/>
      <c r="P150" s="35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6"/>
      <c r="AV150" s="36"/>
      <c r="AW150" s="37"/>
      <c r="AX150" s="36"/>
      <c r="AY150" s="36"/>
      <c r="AZ150" s="36"/>
      <c r="BA150" s="36"/>
      <c r="BB150" s="36"/>
      <c r="BC150" s="36"/>
      <c r="BD150" s="36"/>
      <c r="BE150" s="36"/>
    </row>
    <row r="151" spans="1:57" s="43" customFormat="1" ht="24.95" customHeight="1" x14ac:dyDescent="0.25">
      <c r="A151" s="35"/>
      <c r="B151" s="35"/>
      <c r="C151" s="33" t="s">
        <v>54</v>
      </c>
      <c r="D151" s="36"/>
      <c r="E151" s="35"/>
      <c r="F151" s="35"/>
      <c r="G151" s="35"/>
      <c r="H151" s="33" t="s">
        <v>46</v>
      </c>
      <c r="I151" s="35"/>
      <c r="J151" s="35"/>
      <c r="K151" s="35"/>
      <c r="L151" s="35"/>
      <c r="M151" s="35"/>
      <c r="N151" s="35"/>
      <c r="O151" s="35"/>
      <c r="P151" s="35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6"/>
      <c r="AV151" s="36"/>
      <c r="AW151" s="37"/>
      <c r="AX151" s="36"/>
      <c r="AY151" s="36"/>
      <c r="AZ151" s="36"/>
      <c r="BA151" s="36"/>
      <c r="BB151" s="36"/>
      <c r="BC151" s="36"/>
      <c r="BD151" s="36"/>
      <c r="BE151" s="36"/>
    </row>
    <row r="152" spans="1:57" s="43" customFormat="1" ht="24.95" customHeight="1" x14ac:dyDescent="0.25">
      <c r="A152" s="35"/>
      <c r="B152" s="35"/>
      <c r="C152" s="33" t="s">
        <v>54</v>
      </c>
      <c r="D152" s="36"/>
      <c r="E152" s="35"/>
      <c r="F152" s="35"/>
      <c r="G152" s="35"/>
      <c r="H152" s="33" t="s">
        <v>46</v>
      </c>
      <c r="I152" s="35"/>
      <c r="J152" s="35"/>
      <c r="K152" s="35"/>
      <c r="L152" s="35"/>
      <c r="M152" s="35"/>
      <c r="N152" s="35"/>
      <c r="O152" s="35"/>
      <c r="P152" s="35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6"/>
      <c r="AV152" s="36"/>
      <c r="AW152" s="37"/>
      <c r="AX152" s="36"/>
      <c r="AY152" s="36"/>
      <c r="AZ152" s="36"/>
      <c r="BA152" s="36"/>
      <c r="BB152" s="36"/>
      <c r="BC152" s="36"/>
      <c r="BD152" s="36"/>
      <c r="BE152" s="36"/>
    </row>
    <row r="153" spans="1:57" s="43" customFormat="1" ht="24.95" customHeight="1" x14ac:dyDescent="0.25">
      <c r="A153" s="35"/>
      <c r="B153" s="35"/>
      <c r="C153" s="33" t="s">
        <v>54</v>
      </c>
      <c r="D153" s="36"/>
      <c r="E153" s="35"/>
      <c r="F153" s="35"/>
      <c r="G153" s="35"/>
      <c r="H153" s="33" t="s">
        <v>46</v>
      </c>
      <c r="I153" s="35"/>
      <c r="J153" s="35"/>
      <c r="K153" s="35"/>
      <c r="L153" s="35"/>
      <c r="M153" s="35"/>
      <c r="N153" s="35"/>
      <c r="O153" s="35"/>
      <c r="P153" s="35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6"/>
      <c r="AV153" s="36"/>
      <c r="AW153" s="37"/>
      <c r="AX153" s="36"/>
      <c r="AY153" s="36"/>
      <c r="AZ153" s="36"/>
      <c r="BA153" s="36"/>
      <c r="BB153" s="36"/>
      <c r="BC153" s="36"/>
      <c r="BD153" s="36"/>
      <c r="BE153" s="36"/>
    </row>
    <row r="154" spans="1:57" s="43" customFormat="1" ht="24.95" customHeight="1" x14ac:dyDescent="0.25">
      <c r="A154" s="35"/>
      <c r="B154" s="35"/>
      <c r="C154" s="33" t="s">
        <v>54</v>
      </c>
      <c r="D154" s="36"/>
      <c r="E154" s="35"/>
      <c r="F154" s="35"/>
      <c r="G154" s="35"/>
      <c r="H154" s="33" t="s">
        <v>46</v>
      </c>
      <c r="I154" s="35"/>
      <c r="J154" s="35"/>
      <c r="K154" s="35"/>
      <c r="L154" s="35"/>
      <c r="M154" s="35"/>
      <c r="N154" s="35"/>
      <c r="O154" s="35"/>
      <c r="P154" s="35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6"/>
      <c r="AV154" s="36"/>
      <c r="AW154" s="37"/>
      <c r="AX154" s="36"/>
      <c r="AY154" s="36"/>
      <c r="AZ154" s="36"/>
      <c r="BA154" s="36"/>
      <c r="BB154" s="36"/>
      <c r="BC154" s="36"/>
      <c r="BD154" s="36"/>
      <c r="BE154" s="36"/>
    </row>
    <row r="155" spans="1:57" s="43" customFormat="1" ht="24.95" customHeight="1" x14ac:dyDescent="0.25">
      <c r="A155" s="35"/>
      <c r="B155" s="35"/>
      <c r="C155" s="33" t="s">
        <v>54</v>
      </c>
      <c r="D155" s="36"/>
      <c r="E155" s="35"/>
      <c r="F155" s="35"/>
      <c r="G155" s="35"/>
      <c r="H155" s="33" t="s">
        <v>46</v>
      </c>
      <c r="I155" s="35"/>
      <c r="J155" s="35"/>
      <c r="K155" s="35"/>
      <c r="L155" s="35"/>
      <c r="M155" s="35"/>
      <c r="N155" s="35"/>
      <c r="O155" s="35"/>
      <c r="P155" s="35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6"/>
      <c r="AV155" s="36"/>
      <c r="AW155" s="37"/>
      <c r="AX155" s="36"/>
      <c r="AY155" s="36"/>
      <c r="AZ155" s="36"/>
      <c r="BA155" s="36"/>
      <c r="BB155" s="36"/>
      <c r="BC155" s="36"/>
      <c r="BD155" s="36"/>
      <c r="BE155" s="36"/>
    </row>
    <row r="156" spans="1:57" s="43" customFormat="1" ht="24.95" customHeight="1" x14ac:dyDescent="0.25">
      <c r="A156" s="35"/>
      <c r="B156" s="35"/>
      <c r="C156" s="33" t="s">
        <v>54</v>
      </c>
      <c r="D156" s="36"/>
      <c r="E156" s="35"/>
      <c r="F156" s="35"/>
      <c r="G156" s="35"/>
      <c r="H156" s="33" t="s">
        <v>46</v>
      </c>
      <c r="I156" s="35"/>
      <c r="J156" s="35"/>
      <c r="K156" s="35"/>
      <c r="L156" s="35"/>
      <c r="M156" s="35"/>
      <c r="N156" s="35"/>
      <c r="O156" s="35"/>
      <c r="P156" s="35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6"/>
      <c r="AV156" s="36"/>
      <c r="AW156" s="37"/>
      <c r="AX156" s="36"/>
      <c r="AY156" s="36"/>
      <c r="AZ156" s="36"/>
      <c r="BA156" s="36"/>
      <c r="BB156" s="36"/>
      <c r="BC156" s="36"/>
      <c r="BD156" s="36"/>
      <c r="BE156" s="36"/>
    </row>
    <row r="157" spans="1:57" s="43" customFormat="1" ht="24.95" customHeight="1" x14ac:dyDescent="0.25">
      <c r="A157" s="35"/>
      <c r="B157" s="35"/>
      <c r="C157" s="33" t="s">
        <v>54</v>
      </c>
      <c r="D157" s="36"/>
      <c r="E157" s="35"/>
      <c r="F157" s="35"/>
      <c r="G157" s="35"/>
      <c r="H157" s="33" t="s">
        <v>46</v>
      </c>
      <c r="I157" s="35"/>
      <c r="J157" s="35"/>
      <c r="K157" s="35"/>
      <c r="L157" s="35"/>
      <c r="M157" s="35"/>
      <c r="N157" s="35"/>
      <c r="O157" s="35"/>
      <c r="P157" s="35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6"/>
      <c r="AV157" s="36"/>
      <c r="AW157" s="37"/>
      <c r="AX157" s="36"/>
      <c r="AY157" s="36"/>
      <c r="AZ157" s="36"/>
      <c r="BA157" s="36"/>
      <c r="BB157" s="36"/>
      <c r="BC157" s="36"/>
      <c r="BD157" s="36"/>
      <c r="BE157" s="36"/>
    </row>
    <row r="158" spans="1:57" s="43" customFormat="1" ht="24.95" customHeight="1" x14ac:dyDescent="0.25">
      <c r="A158" s="35"/>
      <c r="B158" s="35"/>
      <c r="C158" s="33" t="s">
        <v>54</v>
      </c>
      <c r="D158" s="36"/>
      <c r="E158" s="35"/>
      <c r="F158" s="35"/>
      <c r="G158" s="35"/>
      <c r="H158" s="33" t="s">
        <v>46</v>
      </c>
      <c r="I158" s="35"/>
      <c r="J158" s="35"/>
      <c r="K158" s="35"/>
      <c r="L158" s="35"/>
      <c r="M158" s="35"/>
      <c r="N158" s="35"/>
      <c r="O158" s="35"/>
      <c r="P158" s="35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6"/>
      <c r="AV158" s="36"/>
      <c r="AW158" s="37"/>
      <c r="AX158" s="36"/>
      <c r="AY158" s="36"/>
      <c r="AZ158" s="36"/>
      <c r="BA158" s="36"/>
      <c r="BB158" s="36"/>
      <c r="BC158" s="36"/>
      <c r="BD158" s="36"/>
      <c r="BE158" s="36"/>
    </row>
    <row r="159" spans="1:57" s="43" customFormat="1" ht="24.95" customHeight="1" x14ac:dyDescent="0.25">
      <c r="A159" s="35"/>
      <c r="B159" s="35"/>
      <c r="C159" s="33" t="s">
        <v>54</v>
      </c>
      <c r="D159" s="36"/>
      <c r="E159" s="35"/>
      <c r="F159" s="35"/>
      <c r="G159" s="35"/>
      <c r="H159" s="33" t="s">
        <v>46</v>
      </c>
      <c r="I159" s="35"/>
      <c r="J159" s="35"/>
      <c r="K159" s="35"/>
      <c r="L159" s="35"/>
      <c r="M159" s="35"/>
      <c r="N159" s="35"/>
      <c r="O159" s="35"/>
      <c r="P159" s="35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6"/>
      <c r="AV159" s="36"/>
      <c r="AW159" s="37"/>
      <c r="AX159" s="36"/>
      <c r="AY159" s="36"/>
      <c r="AZ159" s="36"/>
      <c r="BA159" s="36"/>
      <c r="BB159" s="36"/>
      <c r="BC159" s="36"/>
      <c r="BD159" s="36"/>
      <c r="BE159" s="36"/>
    </row>
    <row r="160" spans="1:57" s="43" customFormat="1" ht="24.95" customHeight="1" x14ac:dyDescent="0.25">
      <c r="A160" s="35"/>
      <c r="B160" s="35"/>
      <c r="C160" s="33" t="s">
        <v>54</v>
      </c>
      <c r="D160" s="36"/>
      <c r="E160" s="35"/>
      <c r="F160" s="35"/>
      <c r="G160" s="35"/>
      <c r="H160" s="33" t="s">
        <v>46</v>
      </c>
      <c r="I160" s="35"/>
      <c r="J160" s="35"/>
      <c r="K160" s="35"/>
      <c r="L160" s="35"/>
      <c r="M160" s="35"/>
      <c r="N160" s="35"/>
      <c r="O160" s="35"/>
      <c r="P160" s="35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6"/>
      <c r="AV160" s="36"/>
      <c r="AW160" s="37"/>
      <c r="AX160" s="36"/>
      <c r="AY160" s="36"/>
      <c r="AZ160" s="36"/>
      <c r="BA160" s="36"/>
      <c r="BB160" s="36"/>
      <c r="BC160" s="36"/>
      <c r="BD160" s="36"/>
      <c r="BE160" s="36"/>
    </row>
    <row r="161" spans="1:57" s="43" customFormat="1" ht="24.95" customHeight="1" x14ac:dyDescent="0.25">
      <c r="A161" s="35"/>
      <c r="B161" s="35"/>
      <c r="C161" s="33" t="s">
        <v>54</v>
      </c>
      <c r="D161" s="36"/>
      <c r="E161" s="35"/>
      <c r="F161" s="35"/>
      <c r="G161" s="35"/>
      <c r="H161" s="33" t="s">
        <v>46</v>
      </c>
      <c r="I161" s="35"/>
      <c r="J161" s="35"/>
      <c r="K161" s="35"/>
      <c r="L161" s="35"/>
      <c r="M161" s="35"/>
      <c r="N161" s="35"/>
      <c r="O161" s="35"/>
      <c r="P161" s="35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6"/>
      <c r="AV161" s="36"/>
      <c r="AW161" s="37"/>
      <c r="AX161" s="36"/>
      <c r="AY161" s="36"/>
      <c r="AZ161" s="36"/>
      <c r="BA161" s="36"/>
      <c r="BB161" s="36"/>
      <c r="BC161" s="36"/>
      <c r="BD161" s="36"/>
      <c r="BE161" s="36"/>
    </row>
    <row r="162" spans="1:57" s="43" customFormat="1" ht="24.95" customHeight="1" x14ac:dyDescent="0.25">
      <c r="A162" s="35"/>
      <c r="B162" s="35"/>
      <c r="C162" s="33" t="s">
        <v>54</v>
      </c>
      <c r="D162" s="36"/>
      <c r="E162" s="35"/>
      <c r="F162" s="35"/>
      <c r="G162" s="35"/>
      <c r="H162" s="33" t="s">
        <v>46</v>
      </c>
      <c r="I162" s="35"/>
      <c r="J162" s="35"/>
      <c r="K162" s="35"/>
      <c r="L162" s="35"/>
      <c r="M162" s="35"/>
      <c r="N162" s="35"/>
      <c r="O162" s="35"/>
      <c r="P162" s="35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6"/>
      <c r="AV162" s="36"/>
      <c r="AW162" s="37"/>
      <c r="AX162" s="36"/>
      <c r="AY162" s="36"/>
      <c r="AZ162" s="36"/>
      <c r="BA162" s="36"/>
      <c r="BB162" s="36"/>
      <c r="BC162" s="36"/>
      <c r="BD162" s="36"/>
      <c r="BE162" s="36"/>
    </row>
    <row r="163" spans="1:57" s="43" customFormat="1" ht="24.95" customHeight="1" x14ac:dyDescent="0.25">
      <c r="A163" s="35"/>
      <c r="B163" s="35"/>
      <c r="C163" s="33" t="s">
        <v>54</v>
      </c>
      <c r="D163" s="36"/>
      <c r="E163" s="35"/>
      <c r="F163" s="35"/>
      <c r="G163" s="35"/>
      <c r="H163" s="33" t="s">
        <v>46</v>
      </c>
      <c r="I163" s="35"/>
      <c r="J163" s="35"/>
      <c r="K163" s="35"/>
      <c r="L163" s="35"/>
      <c r="M163" s="35"/>
      <c r="N163" s="35"/>
      <c r="O163" s="35"/>
      <c r="P163" s="35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6"/>
      <c r="AV163" s="36"/>
      <c r="AW163" s="37"/>
      <c r="AX163" s="36"/>
      <c r="AY163" s="36"/>
      <c r="AZ163" s="36"/>
      <c r="BA163" s="36"/>
      <c r="BB163" s="36"/>
      <c r="BC163" s="36"/>
      <c r="BD163" s="36"/>
      <c r="BE163" s="36"/>
    </row>
    <row r="164" spans="1:57" s="43" customFormat="1" ht="24.95" customHeight="1" x14ac:dyDescent="0.25">
      <c r="A164" s="35"/>
      <c r="B164" s="35"/>
      <c r="C164" s="33" t="s">
        <v>54</v>
      </c>
      <c r="D164" s="36"/>
      <c r="E164" s="35"/>
      <c r="F164" s="35"/>
      <c r="G164" s="35"/>
      <c r="H164" s="33" t="s">
        <v>46</v>
      </c>
      <c r="I164" s="35"/>
      <c r="J164" s="35"/>
      <c r="K164" s="35"/>
      <c r="L164" s="35"/>
      <c r="M164" s="35"/>
      <c r="N164" s="35"/>
      <c r="O164" s="35"/>
      <c r="P164" s="35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6"/>
      <c r="AV164" s="36"/>
      <c r="AW164" s="37"/>
      <c r="AX164" s="36"/>
      <c r="AY164" s="36"/>
      <c r="AZ164" s="36"/>
      <c r="BA164" s="36"/>
      <c r="BB164" s="36"/>
      <c r="BC164" s="36"/>
      <c r="BD164" s="36"/>
      <c r="BE164" s="36"/>
    </row>
    <row r="165" spans="1:57" s="43" customFormat="1" ht="24.95" customHeight="1" x14ac:dyDescent="0.25">
      <c r="A165" s="35"/>
      <c r="B165" s="35"/>
      <c r="C165" s="33" t="s">
        <v>54</v>
      </c>
      <c r="D165" s="36"/>
      <c r="E165" s="35"/>
      <c r="F165" s="35"/>
      <c r="G165" s="35"/>
      <c r="H165" s="33" t="s">
        <v>46</v>
      </c>
      <c r="I165" s="35"/>
      <c r="J165" s="35"/>
      <c r="K165" s="35"/>
      <c r="L165" s="35"/>
      <c r="M165" s="35"/>
      <c r="N165" s="35"/>
      <c r="O165" s="35"/>
      <c r="P165" s="35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6"/>
      <c r="AV165" s="36"/>
      <c r="AW165" s="37"/>
      <c r="AX165" s="36"/>
      <c r="AY165" s="36"/>
      <c r="AZ165" s="36"/>
      <c r="BA165" s="36"/>
      <c r="BB165" s="36"/>
      <c r="BC165" s="36"/>
      <c r="BD165" s="36"/>
      <c r="BE165" s="36"/>
    </row>
    <row r="166" spans="1:57" s="43" customFormat="1" ht="24.95" customHeight="1" x14ac:dyDescent="0.25">
      <c r="A166" s="35"/>
      <c r="B166" s="35"/>
      <c r="C166" s="33" t="s">
        <v>54</v>
      </c>
      <c r="D166" s="36"/>
      <c r="E166" s="35"/>
      <c r="F166" s="35"/>
      <c r="G166" s="35"/>
      <c r="H166" s="33" t="s">
        <v>46</v>
      </c>
      <c r="I166" s="35"/>
      <c r="J166" s="35"/>
      <c r="K166" s="35"/>
      <c r="L166" s="35"/>
      <c r="M166" s="35"/>
      <c r="N166" s="35"/>
      <c r="O166" s="35"/>
      <c r="P166" s="35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6"/>
      <c r="AV166" s="36"/>
      <c r="AW166" s="37"/>
      <c r="AX166" s="36"/>
      <c r="AY166" s="36"/>
      <c r="AZ166" s="36"/>
      <c r="BA166" s="36"/>
      <c r="BB166" s="36"/>
      <c r="BC166" s="36"/>
      <c r="BD166" s="36"/>
      <c r="BE166" s="36"/>
    </row>
    <row r="167" spans="1:57" s="43" customFormat="1" ht="24.95" customHeight="1" x14ac:dyDescent="0.25">
      <c r="A167" s="35"/>
      <c r="B167" s="35"/>
      <c r="C167" s="33" t="s">
        <v>54</v>
      </c>
      <c r="D167" s="36"/>
      <c r="E167" s="35"/>
      <c r="F167" s="35"/>
      <c r="G167" s="35"/>
      <c r="H167" s="33" t="s">
        <v>46</v>
      </c>
      <c r="I167" s="35"/>
      <c r="J167" s="35"/>
      <c r="K167" s="35"/>
      <c r="L167" s="35"/>
      <c r="M167" s="35"/>
      <c r="N167" s="35"/>
      <c r="O167" s="35"/>
      <c r="P167" s="35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6"/>
      <c r="AV167" s="36"/>
      <c r="AW167" s="37"/>
      <c r="AX167" s="36"/>
      <c r="AY167" s="36"/>
      <c r="AZ167" s="36"/>
      <c r="BA167" s="36"/>
      <c r="BB167" s="36"/>
      <c r="BC167" s="36"/>
      <c r="BD167" s="36"/>
      <c r="BE167" s="36"/>
    </row>
    <row r="168" spans="1:57" s="43" customFormat="1" ht="24.95" customHeight="1" x14ac:dyDescent="0.25">
      <c r="A168" s="35"/>
      <c r="B168" s="35"/>
      <c r="C168" s="33" t="s">
        <v>54</v>
      </c>
      <c r="D168" s="36"/>
      <c r="E168" s="35"/>
      <c r="F168" s="35"/>
      <c r="G168" s="35"/>
      <c r="H168" s="33" t="s">
        <v>46</v>
      </c>
      <c r="I168" s="35"/>
      <c r="J168" s="35"/>
      <c r="K168" s="35"/>
      <c r="L168" s="35"/>
      <c r="M168" s="35"/>
      <c r="N168" s="35"/>
      <c r="O168" s="35"/>
      <c r="P168" s="35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6"/>
      <c r="AV168" s="36"/>
      <c r="AW168" s="37"/>
      <c r="AX168" s="36"/>
      <c r="AY168" s="36"/>
      <c r="AZ168" s="36"/>
      <c r="BA168" s="36"/>
      <c r="BB168" s="36"/>
      <c r="BC168" s="36"/>
      <c r="BD168" s="36"/>
      <c r="BE168" s="36"/>
    </row>
    <row r="169" spans="1:57" s="43" customFormat="1" ht="24.95" customHeight="1" x14ac:dyDescent="0.25">
      <c r="A169" s="35"/>
      <c r="B169" s="35"/>
      <c r="C169" s="33" t="s">
        <v>54</v>
      </c>
      <c r="D169" s="36"/>
      <c r="E169" s="35"/>
      <c r="F169" s="35"/>
      <c r="G169" s="35"/>
      <c r="H169" s="33" t="s">
        <v>46</v>
      </c>
      <c r="I169" s="35"/>
      <c r="J169" s="35"/>
      <c r="K169" s="35"/>
      <c r="L169" s="35"/>
      <c r="M169" s="35"/>
      <c r="N169" s="35"/>
      <c r="O169" s="35"/>
      <c r="P169" s="35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6"/>
      <c r="AV169" s="36"/>
      <c r="AW169" s="37"/>
      <c r="AX169" s="36"/>
      <c r="AY169" s="36"/>
      <c r="AZ169" s="36"/>
      <c r="BA169" s="36"/>
      <c r="BB169" s="36"/>
      <c r="BC169" s="36"/>
      <c r="BD169" s="36"/>
      <c r="BE169" s="36"/>
    </row>
    <row r="170" spans="1:57" s="43" customFormat="1" ht="24.95" customHeight="1" x14ac:dyDescent="0.25">
      <c r="A170" s="35"/>
      <c r="B170" s="35"/>
      <c r="C170" s="33" t="s">
        <v>54</v>
      </c>
      <c r="D170" s="36"/>
      <c r="E170" s="35"/>
      <c r="F170" s="35"/>
      <c r="G170" s="35"/>
      <c r="H170" s="33" t="s">
        <v>46</v>
      </c>
      <c r="I170" s="35"/>
      <c r="J170" s="35"/>
      <c r="K170" s="35"/>
      <c r="L170" s="35"/>
      <c r="M170" s="35"/>
      <c r="N170" s="35"/>
      <c r="O170" s="35"/>
      <c r="P170" s="35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6"/>
      <c r="AV170" s="36"/>
      <c r="AW170" s="37"/>
      <c r="AX170" s="36"/>
      <c r="AY170" s="36"/>
      <c r="AZ170" s="36"/>
      <c r="BA170" s="36"/>
      <c r="BB170" s="36"/>
      <c r="BC170" s="36"/>
      <c r="BD170" s="36"/>
      <c r="BE170" s="36"/>
    </row>
    <row r="171" spans="1:57" s="43" customFormat="1" ht="24.95" customHeight="1" x14ac:dyDescent="0.25">
      <c r="A171" s="35"/>
      <c r="B171" s="35"/>
      <c r="C171" s="33" t="s">
        <v>54</v>
      </c>
      <c r="D171" s="36"/>
      <c r="E171" s="35"/>
      <c r="F171" s="35"/>
      <c r="G171" s="35"/>
      <c r="H171" s="33" t="s">
        <v>46</v>
      </c>
      <c r="I171" s="35"/>
      <c r="J171" s="35"/>
      <c r="K171" s="35"/>
      <c r="L171" s="35"/>
      <c r="M171" s="35"/>
      <c r="N171" s="35"/>
      <c r="O171" s="35"/>
      <c r="P171" s="35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6"/>
      <c r="AV171" s="36"/>
      <c r="AW171" s="37"/>
      <c r="AX171" s="36"/>
      <c r="AY171" s="36"/>
      <c r="AZ171" s="36"/>
      <c r="BA171" s="36"/>
      <c r="BB171" s="36"/>
      <c r="BC171" s="36"/>
      <c r="BD171" s="36"/>
      <c r="BE171" s="36"/>
    </row>
    <row r="172" spans="1:57" s="43" customFormat="1" ht="24.95" customHeight="1" x14ac:dyDescent="0.25">
      <c r="A172" s="35"/>
      <c r="B172" s="35"/>
      <c r="C172" s="33" t="s">
        <v>54</v>
      </c>
      <c r="D172" s="36"/>
      <c r="E172" s="35"/>
      <c r="F172" s="35"/>
      <c r="G172" s="35"/>
      <c r="H172" s="33" t="s">
        <v>46</v>
      </c>
      <c r="I172" s="35"/>
      <c r="J172" s="35"/>
      <c r="K172" s="35"/>
      <c r="L172" s="35"/>
      <c r="M172" s="35"/>
      <c r="N172" s="35"/>
      <c r="O172" s="35"/>
      <c r="P172" s="35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6"/>
      <c r="AV172" s="36"/>
      <c r="AW172" s="37"/>
      <c r="AX172" s="36"/>
      <c r="AY172" s="36"/>
      <c r="AZ172" s="36"/>
      <c r="BA172" s="36"/>
      <c r="BB172" s="36"/>
      <c r="BC172" s="36"/>
      <c r="BD172" s="36"/>
      <c r="BE172" s="36"/>
    </row>
    <row r="173" spans="1:57" s="46" customFormat="1" ht="24.95" customHeight="1" x14ac:dyDescent="0.25">
      <c r="A173" s="44" t="s">
        <v>55</v>
      </c>
      <c r="B173" s="44"/>
      <c r="C173" s="45"/>
      <c r="D173" s="39"/>
      <c r="E173" s="44"/>
      <c r="F173" s="44"/>
      <c r="G173" s="44"/>
      <c r="H173" s="45"/>
      <c r="I173" s="44"/>
      <c r="J173" s="44"/>
      <c r="K173" s="44"/>
      <c r="L173" s="44"/>
      <c r="M173" s="44"/>
      <c r="N173" s="44"/>
      <c r="O173" s="44"/>
      <c r="P173" s="44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>
        <f t="shared" ref="AG173:BE173" si="11">SUM(AG135:AG172)</f>
        <v>0</v>
      </c>
      <c r="AH173" s="39">
        <f t="shared" si="11"/>
        <v>0</v>
      </c>
      <c r="AI173" s="39">
        <f t="shared" si="11"/>
        <v>0</v>
      </c>
      <c r="AJ173" s="39">
        <f t="shared" si="11"/>
        <v>0</v>
      </c>
      <c r="AK173" s="39">
        <f t="shared" si="11"/>
        <v>0</v>
      </c>
      <c r="AL173" s="39">
        <f t="shared" si="11"/>
        <v>0</v>
      </c>
      <c r="AM173" s="39">
        <f t="shared" si="11"/>
        <v>0</v>
      </c>
      <c r="AN173" s="39">
        <f t="shared" si="11"/>
        <v>0</v>
      </c>
      <c r="AO173" s="39">
        <f t="shared" si="11"/>
        <v>0</v>
      </c>
      <c r="AP173" s="39">
        <f t="shared" si="11"/>
        <v>0</v>
      </c>
      <c r="AQ173" s="39">
        <f t="shared" si="11"/>
        <v>0</v>
      </c>
      <c r="AR173" s="39">
        <f t="shared" si="11"/>
        <v>0</v>
      </c>
      <c r="AS173" s="39">
        <f t="shared" si="11"/>
        <v>0</v>
      </c>
      <c r="AT173" s="39">
        <f t="shared" si="11"/>
        <v>0</v>
      </c>
      <c r="AU173" s="39">
        <f t="shared" si="11"/>
        <v>0</v>
      </c>
      <c r="AV173" s="39">
        <f t="shared" si="11"/>
        <v>0</v>
      </c>
      <c r="AW173" s="39">
        <f t="shared" si="11"/>
        <v>0</v>
      </c>
      <c r="AX173" s="39">
        <f t="shared" si="11"/>
        <v>0</v>
      </c>
      <c r="AY173" s="39">
        <f t="shared" si="11"/>
        <v>0</v>
      </c>
      <c r="AZ173" s="39">
        <f t="shared" si="11"/>
        <v>0</v>
      </c>
      <c r="BA173" s="39">
        <f t="shared" si="11"/>
        <v>0</v>
      </c>
      <c r="BB173" s="39">
        <f t="shared" si="11"/>
        <v>0</v>
      </c>
      <c r="BC173" s="39">
        <f t="shared" si="11"/>
        <v>0</v>
      </c>
      <c r="BD173" s="39">
        <f t="shared" si="11"/>
        <v>0</v>
      </c>
      <c r="BE173" s="39">
        <f t="shared" si="11"/>
        <v>0</v>
      </c>
    </row>
    <row r="174" spans="1:57" s="46" customFormat="1" ht="24.95" customHeight="1" x14ac:dyDescent="0.25">
      <c r="A174" s="44"/>
      <c r="B174" s="44"/>
      <c r="C174" s="45"/>
      <c r="D174" s="39"/>
      <c r="E174" s="44"/>
      <c r="F174" s="44"/>
      <c r="G174" s="44"/>
      <c r="H174" s="45"/>
      <c r="I174" s="44"/>
      <c r="J174" s="44"/>
      <c r="K174" s="44"/>
      <c r="L174" s="44"/>
      <c r="M174" s="44"/>
      <c r="N174" s="44"/>
      <c r="O174" s="44"/>
      <c r="P174" s="44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>
        <v>0</v>
      </c>
      <c r="AH174" s="39">
        <v>0</v>
      </c>
      <c r="AI174" s="39">
        <v>120</v>
      </c>
      <c r="AJ174" s="39">
        <v>46.17</v>
      </c>
      <c r="AK174" s="39">
        <v>19</v>
      </c>
      <c r="AL174" s="39">
        <v>0</v>
      </c>
      <c r="AM174" s="39">
        <v>0</v>
      </c>
      <c r="AN174" s="39">
        <v>0</v>
      </c>
      <c r="AO174" s="39">
        <v>0</v>
      </c>
      <c r="AP174" s="39">
        <v>178</v>
      </c>
      <c r="AQ174" s="39">
        <v>0</v>
      </c>
      <c r="AR174" s="39">
        <v>0</v>
      </c>
      <c r="AS174" s="39">
        <v>0</v>
      </c>
      <c r="AT174" s="39">
        <v>64</v>
      </c>
      <c r="AU174" s="39">
        <v>0</v>
      </c>
      <c r="AV174" s="39">
        <v>0</v>
      </c>
      <c r="AW174" s="39">
        <v>0</v>
      </c>
      <c r="AX174" s="39">
        <v>0</v>
      </c>
      <c r="AY174" s="39">
        <v>0</v>
      </c>
      <c r="AZ174" s="39">
        <v>0</v>
      </c>
      <c r="BA174" s="39">
        <v>0</v>
      </c>
      <c r="BB174" s="39">
        <v>327</v>
      </c>
      <c r="BC174" s="39">
        <v>0</v>
      </c>
      <c r="BD174" s="39">
        <v>1</v>
      </c>
      <c r="BE174" s="39">
        <v>0</v>
      </c>
    </row>
    <row r="175" spans="1:57" s="46" customFormat="1" ht="24.95" customHeight="1" x14ac:dyDescent="0.25">
      <c r="A175" s="44"/>
      <c r="B175" s="44"/>
      <c r="C175" s="45"/>
      <c r="D175" s="39"/>
      <c r="E175" s="44"/>
      <c r="F175" s="44"/>
      <c r="G175" s="44"/>
      <c r="H175" s="45"/>
      <c r="I175" s="44"/>
      <c r="J175" s="44"/>
      <c r="K175" s="44"/>
      <c r="L175" s="44"/>
      <c r="M175" s="44"/>
      <c r="N175" s="44"/>
      <c r="O175" s="44"/>
      <c r="P175" s="44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44">
        <f>AG173-AG174</f>
        <v>0</v>
      </c>
      <c r="AH175" s="44">
        <f t="shared" ref="AH175:BE175" si="12">AH173-AH174</f>
        <v>0</v>
      </c>
      <c r="AI175" s="44">
        <f t="shared" si="12"/>
        <v>-120</v>
      </c>
      <c r="AJ175" s="44">
        <f t="shared" si="12"/>
        <v>-46.17</v>
      </c>
      <c r="AK175" s="44">
        <f t="shared" si="12"/>
        <v>-19</v>
      </c>
      <c r="AL175" s="44">
        <f t="shared" si="12"/>
        <v>0</v>
      </c>
      <c r="AM175" s="44">
        <f t="shared" si="12"/>
        <v>0</v>
      </c>
      <c r="AN175" s="44">
        <f t="shared" si="12"/>
        <v>0</v>
      </c>
      <c r="AO175" s="44">
        <f t="shared" si="12"/>
        <v>0</v>
      </c>
      <c r="AP175" s="44">
        <f t="shared" si="12"/>
        <v>-178</v>
      </c>
      <c r="AQ175" s="44">
        <f t="shared" si="12"/>
        <v>0</v>
      </c>
      <c r="AR175" s="44">
        <f t="shared" si="12"/>
        <v>0</v>
      </c>
      <c r="AS175" s="44">
        <f t="shared" si="12"/>
        <v>0</v>
      </c>
      <c r="AT175" s="44">
        <f t="shared" si="12"/>
        <v>-64</v>
      </c>
      <c r="AU175" s="44">
        <f t="shared" si="12"/>
        <v>0</v>
      </c>
      <c r="AV175" s="44">
        <f t="shared" si="12"/>
        <v>0</v>
      </c>
      <c r="AW175" s="44">
        <f t="shared" si="12"/>
        <v>0</v>
      </c>
      <c r="AX175" s="44">
        <f t="shared" si="12"/>
        <v>0</v>
      </c>
      <c r="AY175" s="44">
        <f t="shared" si="12"/>
        <v>0</v>
      </c>
      <c r="AZ175" s="44">
        <f t="shared" si="12"/>
        <v>0</v>
      </c>
      <c r="BA175" s="44">
        <f t="shared" si="12"/>
        <v>0</v>
      </c>
      <c r="BB175" s="44">
        <f t="shared" si="12"/>
        <v>-327</v>
      </c>
      <c r="BC175" s="44">
        <f t="shared" si="12"/>
        <v>0</v>
      </c>
      <c r="BD175" s="44">
        <f t="shared" si="12"/>
        <v>-1</v>
      </c>
      <c r="BE175" s="44">
        <f t="shared" si="12"/>
        <v>0</v>
      </c>
    </row>
    <row r="176" spans="1:57" s="43" customFormat="1" ht="24.95" customHeight="1" x14ac:dyDescent="0.25">
      <c r="A176" s="35"/>
      <c r="B176" s="35"/>
      <c r="C176" s="33" t="s">
        <v>56</v>
      </c>
      <c r="D176" s="36"/>
      <c r="E176" s="35"/>
      <c r="F176" s="35"/>
      <c r="G176" s="35"/>
      <c r="H176" s="33" t="s">
        <v>46</v>
      </c>
      <c r="I176" s="35"/>
      <c r="J176" s="35"/>
      <c r="K176" s="35"/>
      <c r="L176" s="35"/>
      <c r="M176" s="35"/>
      <c r="N176" s="35"/>
      <c r="O176" s="35"/>
      <c r="P176" s="35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6"/>
      <c r="AV176" s="36"/>
      <c r="AW176" s="37"/>
      <c r="AX176" s="36"/>
      <c r="AY176" s="36"/>
      <c r="AZ176" s="36"/>
      <c r="BA176" s="36"/>
      <c r="BB176" s="36"/>
      <c r="BC176" s="36"/>
      <c r="BD176" s="36"/>
      <c r="BE176" s="36"/>
    </row>
    <row r="177" spans="1:57" s="43" customFormat="1" ht="24.95" customHeight="1" x14ac:dyDescent="0.25">
      <c r="A177" s="35"/>
      <c r="B177" s="35"/>
      <c r="C177" s="33" t="s">
        <v>56</v>
      </c>
      <c r="D177" s="36"/>
      <c r="E177" s="35"/>
      <c r="F177" s="35"/>
      <c r="G177" s="35"/>
      <c r="H177" s="33" t="s">
        <v>46</v>
      </c>
      <c r="I177" s="35"/>
      <c r="J177" s="35"/>
      <c r="K177" s="35"/>
      <c r="L177" s="35"/>
      <c r="M177" s="35"/>
      <c r="N177" s="35"/>
      <c r="O177" s="35"/>
      <c r="P177" s="35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6"/>
      <c r="AV177" s="36"/>
      <c r="AW177" s="37"/>
      <c r="AX177" s="36"/>
      <c r="AY177" s="36"/>
      <c r="AZ177" s="36"/>
      <c r="BA177" s="36"/>
      <c r="BB177" s="36"/>
      <c r="BC177" s="36"/>
      <c r="BD177" s="36"/>
      <c r="BE177" s="36"/>
    </row>
    <row r="178" spans="1:57" s="43" customFormat="1" ht="24.95" customHeight="1" x14ac:dyDescent="0.25">
      <c r="A178" s="35"/>
      <c r="B178" s="35"/>
      <c r="C178" s="33" t="s">
        <v>56</v>
      </c>
      <c r="D178" s="36"/>
      <c r="E178" s="35"/>
      <c r="F178" s="35"/>
      <c r="G178" s="35"/>
      <c r="H178" s="33" t="s">
        <v>46</v>
      </c>
      <c r="I178" s="35"/>
      <c r="J178" s="35"/>
      <c r="K178" s="35"/>
      <c r="L178" s="35"/>
      <c r="M178" s="35"/>
      <c r="N178" s="35"/>
      <c r="O178" s="35"/>
      <c r="P178" s="35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6"/>
      <c r="AV178" s="36"/>
      <c r="AW178" s="37"/>
      <c r="AX178" s="36"/>
      <c r="AY178" s="36"/>
      <c r="AZ178" s="36"/>
      <c r="BA178" s="36"/>
      <c r="BB178" s="36"/>
      <c r="BC178" s="36"/>
      <c r="BD178" s="36"/>
      <c r="BE178" s="36"/>
    </row>
    <row r="179" spans="1:57" s="43" customFormat="1" ht="24.95" customHeight="1" x14ac:dyDescent="0.25">
      <c r="A179" s="35"/>
      <c r="B179" s="35"/>
      <c r="C179" s="33" t="s">
        <v>56</v>
      </c>
      <c r="D179" s="36"/>
      <c r="E179" s="35"/>
      <c r="F179" s="35"/>
      <c r="G179" s="35"/>
      <c r="H179" s="33" t="s">
        <v>46</v>
      </c>
      <c r="I179" s="35"/>
      <c r="J179" s="35"/>
      <c r="K179" s="35"/>
      <c r="L179" s="35"/>
      <c r="M179" s="35"/>
      <c r="N179" s="35"/>
      <c r="O179" s="35"/>
      <c r="P179" s="35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6"/>
      <c r="AV179" s="36"/>
      <c r="AW179" s="37"/>
      <c r="AX179" s="36"/>
      <c r="AY179" s="36"/>
      <c r="AZ179" s="36"/>
      <c r="BA179" s="36"/>
      <c r="BB179" s="36"/>
      <c r="BC179" s="36"/>
      <c r="BD179" s="36"/>
      <c r="BE179" s="36"/>
    </row>
    <row r="180" spans="1:57" s="43" customFormat="1" ht="24.95" customHeight="1" x14ac:dyDescent="0.25">
      <c r="A180" s="35"/>
      <c r="B180" s="35"/>
      <c r="C180" s="33" t="s">
        <v>56</v>
      </c>
      <c r="D180" s="36"/>
      <c r="E180" s="35"/>
      <c r="F180" s="35"/>
      <c r="G180" s="35"/>
      <c r="H180" s="33" t="s">
        <v>46</v>
      </c>
      <c r="I180" s="35"/>
      <c r="J180" s="35"/>
      <c r="K180" s="35"/>
      <c r="L180" s="35"/>
      <c r="M180" s="35"/>
      <c r="N180" s="35"/>
      <c r="O180" s="35"/>
      <c r="P180" s="35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6"/>
      <c r="AV180" s="36"/>
      <c r="AW180" s="37"/>
      <c r="AX180" s="36"/>
      <c r="AY180" s="36"/>
      <c r="AZ180" s="36"/>
      <c r="BA180" s="36"/>
      <c r="BB180" s="36"/>
      <c r="BC180" s="36"/>
      <c r="BD180" s="36"/>
      <c r="BE180" s="36"/>
    </row>
    <row r="181" spans="1:57" s="43" customFormat="1" ht="24.95" customHeight="1" x14ac:dyDescent="0.25">
      <c r="A181" s="35"/>
      <c r="B181" s="35"/>
      <c r="C181" s="33" t="s">
        <v>56</v>
      </c>
      <c r="D181" s="36"/>
      <c r="E181" s="35"/>
      <c r="F181" s="35"/>
      <c r="G181" s="35"/>
      <c r="H181" s="33" t="s">
        <v>46</v>
      </c>
      <c r="I181" s="35"/>
      <c r="J181" s="35"/>
      <c r="K181" s="35"/>
      <c r="L181" s="35"/>
      <c r="M181" s="35"/>
      <c r="N181" s="35"/>
      <c r="O181" s="35"/>
      <c r="P181" s="35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6"/>
      <c r="AV181" s="36"/>
      <c r="AW181" s="37"/>
      <c r="AX181" s="36"/>
      <c r="AY181" s="36"/>
      <c r="AZ181" s="36"/>
      <c r="BA181" s="36"/>
      <c r="BB181" s="36"/>
      <c r="BC181" s="36"/>
      <c r="BD181" s="36"/>
      <c r="BE181" s="36"/>
    </row>
    <row r="182" spans="1:57" s="43" customFormat="1" ht="24.95" customHeight="1" x14ac:dyDescent="0.25">
      <c r="A182" s="35"/>
      <c r="B182" s="35"/>
      <c r="C182" s="33" t="s">
        <v>56</v>
      </c>
      <c r="D182" s="36"/>
      <c r="E182" s="35"/>
      <c r="F182" s="35"/>
      <c r="G182" s="35"/>
      <c r="H182" s="33" t="s">
        <v>46</v>
      </c>
      <c r="I182" s="35"/>
      <c r="J182" s="35"/>
      <c r="K182" s="35"/>
      <c r="L182" s="35"/>
      <c r="M182" s="35"/>
      <c r="N182" s="35"/>
      <c r="O182" s="35"/>
      <c r="P182" s="35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6"/>
      <c r="AV182" s="36"/>
      <c r="AW182" s="37"/>
      <c r="AX182" s="36"/>
      <c r="AY182" s="36"/>
      <c r="AZ182" s="36"/>
      <c r="BA182" s="36"/>
      <c r="BB182" s="36"/>
      <c r="BC182" s="36"/>
      <c r="BD182" s="36"/>
      <c r="BE182" s="36"/>
    </row>
    <row r="183" spans="1:57" s="43" customFormat="1" ht="24.95" customHeight="1" x14ac:dyDescent="0.25">
      <c r="A183" s="35"/>
      <c r="B183" s="35"/>
      <c r="C183" s="33" t="s">
        <v>56</v>
      </c>
      <c r="D183" s="36"/>
      <c r="E183" s="35"/>
      <c r="F183" s="35"/>
      <c r="G183" s="35"/>
      <c r="H183" s="33" t="s">
        <v>46</v>
      </c>
      <c r="I183" s="35"/>
      <c r="J183" s="35"/>
      <c r="K183" s="35"/>
      <c r="L183" s="35"/>
      <c r="M183" s="35"/>
      <c r="N183" s="35"/>
      <c r="O183" s="35"/>
      <c r="P183" s="35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6"/>
      <c r="AV183" s="36"/>
      <c r="AW183" s="37"/>
      <c r="AX183" s="36"/>
      <c r="AY183" s="36"/>
      <c r="AZ183" s="36"/>
      <c r="BA183" s="36"/>
      <c r="BB183" s="36"/>
      <c r="BC183" s="36"/>
      <c r="BD183" s="36"/>
      <c r="BE183" s="36"/>
    </row>
    <row r="184" spans="1:57" s="43" customFormat="1" ht="24.95" customHeight="1" x14ac:dyDescent="0.25">
      <c r="A184" s="35"/>
      <c r="B184" s="35"/>
      <c r="C184" s="33" t="s">
        <v>56</v>
      </c>
      <c r="D184" s="36"/>
      <c r="E184" s="35"/>
      <c r="F184" s="35"/>
      <c r="G184" s="35"/>
      <c r="H184" s="33" t="s">
        <v>46</v>
      </c>
      <c r="I184" s="35"/>
      <c r="J184" s="35"/>
      <c r="K184" s="35"/>
      <c r="L184" s="35"/>
      <c r="M184" s="35"/>
      <c r="N184" s="35"/>
      <c r="O184" s="35"/>
      <c r="P184" s="35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6"/>
      <c r="AV184" s="36"/>
      <c r="AW184" s="37"/>
      <c r="AX184" s="36"/>
      <c r="AY184" s="36"/>
      <c r="AZ184" s="36"/>
      <c r="BA184" s="36"/>
      <c r="BB184" s="36"/>
      <c r="BC184" s="36"/>
      <c r="BD184" s="36"/>
      <c r="BE184" s="36"/>
    </row>
    <row r="185" spans="1:57" s="43" customFormat="1" ht="24.95" customHeight="1" x14ac:dyDescent="0.25">
      <c r="A185" s="35"/>
      <c r="B185" s="35"/>
      <c r="C185" s="33" t="s">
        <v>56</v>
      </c>
      <c r="D185" s="36"/>
      <c r="E185" s="35"/>
      <c r="F185" s="35"/>
      <c r="G185" s="35"/>
      <c r="H185" s="33" t="s">
        <v>46</v>
      </c>
      <c r="I185" s="35"/>
      <c r="J185" s="35"/>
      <c r="K185" s="35"/>
      <c r="L185" s="35"/>
      <c r="M185" s="35"/>
      <c r="N185" s="35"/>
      <c r="O185" s="35"/>
      <c r="P185" s="35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6"/>
      <c r="AV185" s="36"/>
      <c r="AW185" s="37"/>
      <c r="AX185" s="36"/>
      <c r="AY185" s="36"/>
      <c r="AZ185" s="36"/>
      <c r="BA185" s="36"/>
      <c r="BB185" s="36"/>
      <c r="BC185" s="36"/>
      <c r="BD185" s="36"/>
      <c r="BE185" s="36"/>
    </row>
    <row r="186" spans="1:57" s="43" customFormat="1" ht="24.95" customHeight="1" x14ac:dyDescent="0.25">
      <c r="A186" s="35"/>
      <c r="B186" s="35"/>
      <c r="C186" s="33" t="s">
        <v>56</v>
      </c>
      <c r="D186" s="36"/>
      <c r="E186" s="35"/>
      <c r="F186" s="35"/>
      <c r="G186" s="35"/>
      <c r="H186" s="33" t="s">
        <v>46</v>
      </c>
      <c r="I186" s="35"/>
      <c r="J186" s="35"/>
      <c r="K186" s="35"/>
      <c r="L186" s="35"/>
      <c r="M186" s="35"/>
      <c r="N186" s="35"/>
      <c r="O186" s="35"/>
      <c r="P186" s="35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6"/>
      <c r="AV186" s="36"/>
      <c r="AW186" s="37"/>
      <c r="AX186" s="36"/>
      <c r="AY186" s="36"/>
      <c r="AZ186" s="36"/>
      <c r="BA186" s="36"/>
      <c r="BB186" s="36"/>
      <c r="BC186" s="36"/>
      <c r="BD186" s="36"/>
      <c r="BE186" s="36"/>
    </row>
    <row r="187" spans="1:57" s="43" customFormat="1" ht="24.95" customHeight="1" x14ac:dyDescent="0.25">
      <c r="A187" s="35"/>
      <c r="B187" s="35"/>
      <c r="C187" s="33" t="s">
        <v>56</v>
      </c>
      <c r="D187" s="36"/>
      <c r="E187" s="35"/>
      <c r="F187" s="35"/>
      <c r="G187" s="35"/>
      <c r="H187" s="33" t="s">
        <v>46</v>
      </c>
      <c r="I187" s="35"/>
      <c r="J187" s="35"/>
      <c r="K187" s="35"/>
      <c r="L187" s="35"/>
      <c r="M187" s="35"/>
      <c r="N187" s="35"/>
      <c r="O187" s="35"/>
      <c r="P187" s="35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6"/>
      <c r="AV187" s="36"/>
      <c r="AW187" s="37"/>
      <c r="AX187" s="36"/>
      <c r="AY187" s="36"/>
      <c r="AZ187" s="36"/>
      <c r="BA187" s="36"/>
      <c r="BB187" s="36"/>
      <c r="BC187" s="36"/>
      <c r="BD187" s="36"/>
      <c r="BE187" s="36"/>
    </row>
    <row r="188" spans="1:57" s="43" customFormat="1" ht="24.95" customHeight="1" x14ac:dyDescent="0.25">
      <c r="A188" s="35"/>
      <c r="B188" s="35"/>
      <c r="C188" s="33" t="s">
        <v>56</v>
      </c>
      <c r="D188" s="36"/>
      <c r="E188" s="35"/>
      <c r="F188" s="35"/>
      <c r="G188" s="35"/>
      <c r="H188" s="33" t="s">
        <v>46</v>
      </c>
      <c r="I188" s="35"/>
      <c r="J188" s="35"/>
      <c r="K188" s="35"/>
      <c r="L188" s="35"/>
      <c r="M188" s="35"/>
      <c r="N188" s="35"/>
      <c r="O188" s="35"/>
      <c r="P188" s="35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6"/>
      <c r="AV188" s="36"/>
      <c r="AW188" s="37"/>
      <c r="AX188" s="36"/>
      <c r="AY188" s="36"/>
      <c r="AZ188" s="36"/>
      <c r="BA188" s="36"/>
      <c r="BB188" s="36"/>
      <c r="BC188" s="36"/>
      <c r="BD188" s="36"/>
      <c r="BE188" s="36"/>
    </row>
    <row r="189" spans="1:57" s="43" customFormat="1" ht="24.95" customHeight="1" x14ac:dyDescent="0.25">
      <c r="A189" s="35"/>
      <c r="B189" s="35"/>
      <c r="C189" s="33" t="s">
        <v>56</v>
      </c>
      <c r="D189" s="36"/>
      <c r="E189" s="35"/>
      <c r="F189" s="35"/>
      <c r="G189" s="35"/>
      <c r="H189" s="33" t="s">
        <v>46</v>
      </c>
      <c r="I189" s="35"/>
      <c r="J189" s="35"/>
      <c r="K189" s="35"/>
      <c r="L189" s="35"/>
      <c r="M189" s="35"/>
      <c r="N189" s="35"/>
      <c r="O189" s="35"/>
      <c r="P189" s="35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6"/>
      <c r="AV189" s="36"/>
      <c r="AW189" s="37"/>
      <c r="AX189" s="36"/>
      <c r="AY189" s="36"/>
      <c r="AZ189" s="36"/>
      <c r="BA189" s="36"/>
      <c r="BB189" s="36"/>
      <c r="BC189" s="36"/>
      <c r="BD189" s="36"/>
      <c r="BE189" s="36"/>
    </row>
    <row r="190" spans="1:57" s="43" customFormat="1" ht="24.95" customHeight="1" x14ac:dyDescent="0.25">
      <c r="A190" s="35"/>
      <c r="B190" s="35"/>
      <c r="C190" s="33" t="s">
        <v>56</v>
      </c>
      <c r="D190" s="36"/>
      <c r="E190" s="35"/>
      <c r="F190" s="35"/>
      <c r="G190" s="35"/>
      <c r="H190" s="33" t="s">
        <v>46</v>
      </c>
      <c r="I190" s="35"/>
      <c r="J190" s="35"/>
      <c r="K190" s="35"/>
      <c r="L190" s="35"/>
      <c r="M190" s="35"/>
      <c r="N190" s="35"/>
      <c r="O190" s="35"/>
      <c r="P190" s="35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6"/>
      <c r="AV190" s="36"/>
      <c r="AW190" s="37"/>
      <c r="AX190" s="36"/>
      <c r="AY190" s="36"/>
      <c r="AZ190" s="36"/>
      <c r="BA190" s="36"/>
      <c r="BB190" s="36"/>
      <c r="BC190" s="36"/>
      <c r="BD190" s="36"/>
      <c r="BE190" s="36"/>
    </row>
    <row r="191" spans="1:57" s="43" customFormat="1" ht="24.95" customHeight="1" x14ac:dyDescent="0.25">
      <c r="A191" s="35"/>
      <c r="B191" s="35"/>
      <c r="C191" s="33" t="s">
        <v>56</v>
      </c>
      <c r="D191" s="36"/>
      <c r="E191" s="35"/>
      <c r="F191" s="35"/>
      <c r="G191" s="35"/>
      <c r="H191" s="33" t="s">
        <v>46</v>
      </c>
      <c r="I191" s="35"/>
      <c r="J191" s="35"/>
      <c r="K191" s="35"/>
      <c r="L191" s="35"/>
      <c r="M191" s="35"/>
      <c r="N191" s="35"/>
      <c r="O191" s="35"/>
      <c r="P191" s="35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6"/>
      <c r="AV191" s="36"/>
      <c r="AW191" s="37"/>
      <c r="AX191" s="36"/>
      <c r="AY191" s="36"/>
      <c r="AZ191" s="36"/>
      <c r="BA191" s="36"/>
      <c r="BB191" s="36"/>
      <c r="BC191" s="36"/>
      <c r="BD191" s="36"/>
      <c r="BE191" s="36"/>
    </row>
    <row r="192" spans="1:57" s="43" customFormat="1" ht="24.95" customHeight="1" x14ac:dyDescent="0.25">
      <c r="A192" s="35"/>
      <c r="B192" s="35"/>
      <c r="C192" s="33" t="s">
        <v>56</v>
      </c>
      <c r="D192" s="36"/>
      <c r="E192" s="35"/>
      <c r="F192" s="35"/>
      <c r="G192" s="35"/>
      <c r="H192" s="33" t="s">
        <v>46</v>
      </c>
      <c r="I192" s="35"/>
      <c r="J192" s="35"/>
      <c r="K192" s="35"/>
      <c r="L192" s="35"/>
      <c r="M192" s="35"/>
      <c r="N192" s="35"/>
      <c r="O192" s="35"/>
      <c r="P192" s="35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6"/>
      <c r="AV192" s="36"/>
      <c r="AW192" s="37"/>
      <c r="AX192" s="36"/>
      <c r="AY192" s="36"/>
      <c r="AZ192" s="36"/>
      <c r="BA192" s="36"/>
      <c r="BB192" s="36"/>
      <c r="BC192" s="36"/>
      <c r="BD192" s="36"/>
      <c r="BE192" s="36"/>
    </row>
    <row r="193" spans="1:57" s="43" customFormat="1" ht="24.95" customHeight="1" x14ac:dyDescent="0.25">
      <c r="A193" s="35"/>
      <c r="B193" s="35"/>
      <c r="C193" s="33" t="s">
        <v>56</v>
      </c>
      <c r="D193" s="36"/>
      <c r="E193" s="35"/>
      <c r="F193" s="35"/>
      <c r="G193" s="35"/>
      <c r="H193" s="33" t="s">
        <v>46</v>
      </c>
      <c r="I193" s="35"/>
      <c r="J193" s="35"/>
      <c r="K193" s="35"/>
      <c r="L193" s="35"/>
      <c r="M193" s="35"/>
      <c r="N193" s="35"/>
      <c r="O193" s="35"/>
      <c r="P193" s="35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6"/>
      <c r="AV193" s="36"/>
      <c r="AW193" s="37"/>
      <c r="AX193" s="36"/>
      <c r="AY193" s="36"/>
      <c r="AZ193" s="36"/>
      <c r="BA193" s="36"/>
      <c r="BB193" s="36"/>
      <c r="BC193" s="36"/>
      <c r="BD193" s="36"/>
      <c r="BE193" s="36"/>
    </row>
    <row r="194" spans="1:57" s="43" customFormat="1" ht="24.95" customHeight="1" x14ac:dyDescent="0.25">
      <c r="A194" s="35"/>
      <c r="B194" s="35"/>
      <c r="C194" s="33" t="s">
        <v>56</v>
      </c>
      <c r="D194" s="36"/>
      <c r="E194" s="35"/>
      <c r="F194" s="35"/>
      <c r="G194" s="35"/>
      <c r="H194" s="33" t="s">
        <v>46</v>
      </c>
      <c r="I194" s="35"/>
      <c r="J194" s="35"/>
      <c r="K194" s="35"/>
      <c r="L194" s="35"/>
      <c r="M194" s="35"/>
      <c r="N194" s="35"/>
      <c r="O194" s="35"/>
      <c r="P194" s="35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6"/>
      <c r="AV194" s="36"/>
      <c r="AW194" s="37"/>
      <c r="AX194" s="36"/>
      <c r="AY194" s="36"/>
      <c r="AZ194" s="36"/>
      <c r="BA194" s="36"/>
      <c r="BB194" s="36"/>
      <c r="BC194" s="36"/>
      <c r="BD194" s="36"/>
      <c r="BE194" s="36"/>
    </row>
    <row r="195" spans="1:57" s="43" customFormat="1" ht="24.95" customHeight="1" x14ac:dyDescent="0.25">
      <c r="A195" s="35"/>
      <c r="B195" s="35"/>
      <c r="C195" s="33" t="s">
        <v>56</v>
      </c>
      <c r="D195" s="36"/>
      <c r="E195" s="35"/>
      <c r="F195" s="35"/>
      <c r="G195" s="35"/>
      <c r="H195" s="33" t="s">
        <v>46</v>
      </c>
      <c r="I195" s="35"/>
      <c r="J195" s="35"/>
      <c r="K195" s="35"/>
      <c r="L195" s="35"/>
      <c r="M195" s="35"/>
      <c r="N195" s="35"/>
      <c r="O195" s="35"/>
      <c r="P195" s="35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6"/>
      <c r="AV195" s="36"/>
      <c r="AW195" s="37"/>
      <c r="AX195" s="36"/>
      <c r="AY195" s="36"/>
      <c r="AZ195" s="36"/>
      <c r="BA195" s="36"/>
      <c r="BB195" s="36"/>
      <c r="BC195" s="36"/>
      <c r="BD195" s="36"/>
      <c r="BE195" s="36"/>
    </row>
    <row r="196" spans="1:57" s="43" customFormat="1" ht="24.95" customHeight="1" x14ac:dyDescent="0.25">
      <c r="A196" s="35"/>
      <c r="B196" s="35"/>
      <c r="C196" s="33" t="s">
        <v>56</v>
      </c>
      <c r="D196" s="36"/>
      <c r="E196" s="35"/>
      <c r="F196" s="35"/>
      <c r="G196" s="35"/>
      <c r="H196" s="33" t="s">
        <v>46</v>
      </c>
      <c r="I196" s="35"/>
      <c r="J196" s="35"/>
      <c r="K196" s="35"/>
      <c r="L196" s="35"/>
      <c r="M196" s="35"/>
      <c r="N196" s="35"/>
      <c r="O196" s="35"/>
      <c r="P196" s="35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6"/>
      <c r="AV196" s="36"/>
      <c r="AW196" s="37"/>
      <c r="AX196" s="36"/>
      <c r="AY196" s="36"/>
      <c r="AZ196" s="36"/>
      <c r="BA196" s="36"/>
      <c r="BB196" s="36"/>
      <c r="BC196" s="36"/>
      <c r="BD196" s="36"/>
      <c r="BE196" s="36"/>
    </row>
    <row r="197" spans="1:57" s="43" customFormat="1" ht="24.95" customHeight="1" x14ac:dyDescent="0.25">
      <c r="A197" s="35"/>
      <c r="B197" s="35"/>
      <c r="C197" s="33" t="s">
        <v>56</v>
      </c>
      <c r="D197" s="36"/>
      <c r="E197" s="35"/>
      <c r="F197" s="35"/>
      <c r="G197" s="35"/>
      <c r="H197" s="33" t="s">
        <v>46</v>
      </c>
      <c r="I197" s="35"/>
      <c r="J197" s="35"/>
      <c r="K197" s="35"/>
      <c r="L197" s="35"/>
      <c r="M197" s="35"/>
      <c r="N197" s="35"/>
      <c r="O197" s="35"/>
      <c r="P197" s="35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6"/>
      <c r="AV197" s="36"/>
      <c r="AW197" s="37"/>
      <c r="AX197" s="36"/>
      <c r="AY197" s="36"/>
      <c r="AZ197" s="36"/>
      <c r="BA197" s="36"/>
      <c r="BB197" s="36"/>
      <c r="BC197" s="36"/>
      <c r="BD197" s="36"/>
      <c r="BE197" s="36"/>
    </row>
    <row r="198" spans="1:57" s="43" customFormat="1" ht="24.95" customHeight="1" x14ac:dyDescent="0.25">
      <c r="A198" s="35"/>
      <c r="B198" s="35"/>
      <c r="C198" s="33" t="s">
        <v>56</v>
      </c>
      <c r="D198" s="36"/>
      <c r="E198" s="35"/>
      <c r="F198" s="35"/>
      <c r="G198" s="35"/>
      <c r="H198" s="33" t="s">
        <v>46</v>
      </c>
      <c r="I198" s="35"/>
      <c r="J198" s="35"/>
      <c r="K198" s="35"/>
      <c r="L198" s="35"/>
      <c r="M198" s="35"/>
      <c r="N198" s="35"/>
      <c r="O198" s="35"/>
      <c r="P198" s="35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6"/>
      <c r="AV198" s="36"/>
      <c r="AW198" s="37"/>
      <c r="AX198" s="36"/>
      <c r="AY198" s="36"/>
      <c r="AZ198" s="36"/>
      <c r="BA198" s="36"/>
      <c r="BB198" s="36"/>
      <c r="BC198" s="36"/>
      <c r="BD198" s="36"/>
      <c r="BE198" s="36"/>
    </row>
    <row r="199" spans="1:57" s="43" customFormat="1" ht="24.95" customHeight="1" x14ac:dyDescent="0.25">
      <c r="A199" s="35"/>
      <c r="B199" s="35"/>
      <c r="C199" s="33" t="s">
        <v>56</v>
      </c>
      <c r="D199" s="36"/>
      <c r="E199" s="35"/>
      <c r="F199" s="35"/>
      <c r="G199" s="35"/>
      <c r="H199" s="33" t="s">
        <v>46</v>
      </c>
      <c r="I199" s="35"/>
      <c r="J199" s="35"/>
      <c r="K199" s="35"/>
      <c r="L199" s="35"/>
      <c r="M199" s="35"/>
      <c r="N199" s="35"/>
      <c r="O199" s="35"/>
      <c r="P199" s="35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6"/>
      <c r="AV199" s="36"/>
      <c r="AW199" s="37"/>
      <c r="AX199" s="36"/>
      <c r="AY199" s="36"/>
      <c r="AZ199" s="36"/>
      <c r="BA199" s="36"/>
      <c r="BB199" s="36"/>
      <c r="BC199" s="36"/>
      <c r="BD199" s="36"/>
      <c r="BE199" s="36"/>
    </row>
    <row r="200" spans="1:57" s="43" customFormat="1" ht="24.95" customHeight="1" x14ac:dyDescent="0.25">
      <c r="A200" s="35"/>
      <c r="B200" s="35"/>
      <c r="C200" s="33" t="s">
        <v>56</v>
      </c>
      <c r="D200" s="36"/>
      <c r="E200" s="35"/>
      <c r="F200" s="35"/>
      <c r="G200" s="35"/>
      <c r="H200" s="33" t="s">
        <v>46</v>
      </c>
      <c r="I200" s="35"/>
      <c r="J200" s="35"/>
      <c r="K200" s="35"/>
      <c r="L200" s="35"/>
      <c r="M200" s="35"/>
      <c r="N200" s="35"/>
      <c r="O200" s="35"/>
      <c r="P200" s="35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6"/>
      <c r="AV200" s="36"/>
      <c r="AW200" s="37"/>
      <c r="AX200" s="36"/>
      <c r="AY200" s="36"/>
      <c r="AZ200" s="36"/>
      <c r="BA200" s="36"/>
      <c r="BB200" s="36"/>
      <c r="BC200" s="36"/>
      <c r="BD200" s="36"/>
      <c r="BE200" s="36"/>
    </row>
    <row r="201" spans="1:57" s="43" customFormat="1" ht="24.95" customHeight="1" x14ac:dyDescent="0.25">
      <c r="A201" s="35"/>
      <c r="B201" s="35"/>
      <c r="C201" s="33" t="s">
        <v>56</v>
      </c>
      <c r="D201" s="36"/>
      <c r="E201" s="35"/>
      <c r="F201" s="35"/>
      <c r="G201" s="35"/>
      <c r="H201" s="33" t="s">
        <v>46</v>
      </c>
      <c r="I201" s="35"/>
      <c r="J201" s="35"/>
      <c r="K201" s="35"/>
      <c r="L201" s="35"/>
      <c r="M201" s="35"/>
      <c r="N201" s="35"/>
      <c r="O201" s="35"/>
      <c r="P201" s="35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6"/>
      <c r="AV201" s="36"/>
      <c r="AW201" s="37"/>
      <c r="AX201" s="36"/>
      <c r="AY201" s="36"/>
      <c r="AZ201" s="36"/>
      <c r="BA201" s="36"/>
      <c r="BB201" s="36"/>
      <c r="BC201" s="36"/>
      <c r="BD201" s="36"/>
      <c r="BE201" s="36"/>
    </row>
    <row r="202" spans="1:57" s="43" customFormat="1" ht="24.95" customHeight="1" x14ac:dyDescent="0.25">
      <c r="A202" s="35"/>
      <c r="B202" s="35"/>
      <c r="C202" s="33" t="s">
        <v>56</v>
      </c>
      <c r="D202" s="36"/>
      <c r="E202" s="35"/>
      <c r="F202" s="35"/>
      <c r="G202" s="35"/>
      <c r="H202" s="33" t="s">
        <v>46</v>
      </c>
      <c r="I202" s="35"/>
      <c r="J202" s="35"/>
      <c r="K202" s="35"/>
      <c r="L202" s="35"/>
      <c r="M202" s="35"/>
      <c r="N202" s="35"/>
      <c r="O202" s="35"/>
      <c r="P202" s="35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6"/>
      <c r="AV202" s="36"/>
      <c r="AW202" s="37"/>
      <c r="AX202" s="36"/>
      <c r="AY202" s="36"/>
      <c r="AZ202" s="36"/>
      <c r="BA202" s="36"/>
      <c r="BB202" s="36"/>
      <c r="BC202" s="36"/>
      <c r="BD202" s="36"/>
      <c r="BE202" s="36"/>
    </row>
    <row r="203" spans="1:57" s="43" customFormat="1" ht="24.95" customHeight="1" x14ac:dyDescent="0.25">
      <c r="A203" s="35"/>
      <c r="B203" s="35"/>
      <c r="C203" s="33" t="s">
        <v>56</v>
      </c>
      <c r="D203" s="36"/>
      <c r="E203" s="35"/>
      <c r="F203" s="35"/>
      <c r="G203" s="35"/>
      <c r="H203" s="33" t="s">
        <v>46</v>
      </c>
      <c r="I203" s="35"/>
      <c r="J203" s="35"/>
      <c r="K203" s="35"/>
      <c r="L203" s="35"/>
      <c r="M203" s="35"/>
      <c r="N203" s="35"/>
      <c r="O203" s="35"/>
      <c r="P203" s="35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6"/>
      <c r="AV203" s="36"/>
      <c r="AW203" s="37"/>
      <c r="AX203" s="36"/>
      <c r="AY203" s="36"/>
      <c r="AZ203" s="36"/>
      <c r="BA203" s="36"/>
      <c r="BB203" s="36"/>
      <c r="BC203" s="36"/>
      <c r="BD203" s="36"/>
      <c r="BE203" s="36"/>
    </row>
    <row r="204" spans="1:57" s="43" customFormat="1" ht="24.95" customHeight="1" x14ac:dyDescent="0.25">
      <c r="A204" s="35"/>
      <c r="B204" s="35"/>
      <c r="C204" s="33" t="s">
        <v>56</v>
      </c>
      <c r="D204" s="36"/>
      <c r="E204" s="35"/>
      <c r="F204" s="35"/>
      <c r="G204" s="35"/>
      <c r="H204" s="33" t="s">
        <v>46</v>
      </c>
      <c r="I204" s="35"/>
      <c r="J204" s="35"/>
      <c r="K204" s="35"/>
      <c r="L204" s="35"/>
      <c r="M204" s="35"/>
      <c r="N204" s="35"/>
      <c r="O204" s="35"/>
      <c r="P204" s="35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6"/>
      <c r="AV204" s="36"/>
      <c r="AW204" s="37"/>
      <c r="AX204" s="36"/>
      <c r="AY204" s="36"/>
      <c r="AZ204" s="36"/>
      <c r="BA204" s="36"/>
      <c r="BB204" s="36"/>
      <c r="BC204" s="36"/>
      <c r="BD204" s="36"/>
      <c r="BE204" s="36"/>
    </row>
    <row r="205" spans="1:57" s="43" customFormat="1" ht="24.95" customHeight="1" x14ac:dyDescent="0.25">
      <c r="A205" s="35"/>
      <c r="B205" s="35"/>
      <c r="C205" s="33" t="s">
        <v>56</v>
      </c>
      <c r="D205" s="36"/>
      <c r="E205" s="35"/>
      <c r="F205" s="35"/>
      <c r="G205" s="35"/>
      <c r="H205" s="33" t="s">
        <v>46</v>
      </c>
      <c r="I205" s="35"/>
      <c r="J205" s="35"/>
      <c r="K205" s="35"/>
      <c r="L205" s="35"/>
      <c r="M205" s="35"/>
      <c r="N205" s="35"/>
      <c r="O205" s="35"/>
      <c r="P205" s="35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6"/>
      <c r="AV205" s="36"/>
      <c r="AW205" s="37"/>
      <c r="AX205" s="36"/>
      <c r="AY205" s="36"/>
      <c r="AZ205" s="36"/>
      <c r="BA205" s="36"/>
      <c r="BB205" s="36"/>
      <c r="BC205" s="36"/>
      <c r="BD205" s="36"/>
      <c r="BE205" s="36"/>
    </row>
    <row r="206" spans="1:57" s="43" customFormat="1" ht="24.95" customHeight="1" x14ac:dyDescent="0.25">
      <c r="A206" s="35"/>
      <c r="B206" s="35"/>
      <c r="C206" s="33" t="s">
        <v>56</v>
      </c>
      <c r="D206" s="36"/>
      <c r="E206" s="35"/>
      <c r="F206" s="35"/>
      <c r="G206" s="35"/>
      <c r="H206" s="33" t="s">
        <v>46</v>
      </c>
      <c r="I206" s="35"/>
      <c r="J206" s="35"/>
      <c r="K206" s="35"/>
      <c r="L206" s="35"/>
      <c r="M206" s="35"/>
      <c r="N206" s="35"/>
      <c r="O206" s="35"/>
      <c r="P206" s="35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6"/>
      <c r="AV206" s="36"/>
      <c r="AW206" s="37"/>
      <c r="AX206" s="36"/>
      <c r="AY206" s="36"/>
      <c r="AZ206" s="36"/>
      <c r="BA206" s="36"/>
      <c r="BB206" s="36"/>
      <c r="BC206" s="36"/>
      <c r="BD206" s="36"/>
      <c r="BE206" s="36"/>
    </row>
    <row r="207" spans="1:57" s="43" customFormat="1" ht="24.95" customHeight="1" x14ac:dyDescent="0.25">
      <c r="A207" s="35"/>
      <c r="B207" s="35"/>
      <c r="C207" s="33" t="s">
        <v>56</v>
      </c>
      <c r="D207" s="36"/>
      <c r="E207" s="35"/>
      <c r="F207" s="35"/>
      <c r="G207" s="35"/>
      <c r="H207" s="33" t="s">
        <v>46</v>
      </c>
      <c r="I207" s="35"/>
      <c r="J207" s="35"/>
      <c r="K207" s="35"/>
      <c r="L207" s="35"/>
      <c r="M207" s="35"/>
      <c r="N207" s="35"/>
      <c r="O207" s="35"/>
      <c r="P207" s="35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6"/>
      <c r="AV207" s="36"/>
      <c r="AW207" s="37"/>
      <c r="AX207" s="36"/>
      <c r="AY207" s="36"/>
      <c r="AZ207" s="36"/>
      <c r="BA207" s="36"/>
      <c r="BB207" s="36"/>
      <c r="BC207" s="36"/>
      <c r="BD207" s="36"/>
      <c r="BE207" s="36"/>
    </row>
    <row r="208" spans="1:57" s="43" customFormat="1" ht="24.95" customHeight="1" x14ac:dyDescent="0.25">
      <c r="A208" s="35"/>
      <c r="B208" s="35"/>
      <c r="C208" s="33" t="s">
        <v>56</v>
      </c>
      <c r="D208" s="36"/>
      <c r="E208" s="35"/>
      <c r="F208" s="35"/>
      <c r="G208" s="35"/>
      <c r="H208" s="33" t="s">
        <v>46</v>
      </c>
      <c r="I208" s="35"/>
      <c r="J208" s="35"/>
      <c r="K208" s="35"/>
      <c r="L208" s="35"/>
      <c r="M208" s="35"/>
      <c r="N208" s="35"/>
      <c r="O208" s="35"/>
      <c r="P208" s="35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6"/>
      <c r="AV208" s="36"/>
      <c r="AW208" s="37"/>
      <c r="AX208" s="36"/>
      <c r="AY208" s="36"/>
      <c r="AZ208" s="36"/>
      <c r="BA208" s="36"/>
      <c r="BB208" s="36"/>
      <c r="BC208" s="36"/>
      <c r="BD208" s="36"/>
      <c r="BE208" s="36"/>
    </row>
    <row r="209" spans="1:57" s="43" customFormat="1" ht="24.95" customHeight="1" x14ac:dyDescent="0.25">
      <c r="A209" s="35"/>
      <c r="B209" s="35"/>
      <c r="C209" s="33" t="s">
        <v>56</v>
      </c>
      <c r="D209" s="36"/>
      <c r="E209" s="35"/>
      <c r="F209" s="35"/>
      <c r="G209" s="35"/>
      <c r="H209" s="33" t="s">
        <v>46</v>
      </c>
      <c r="I209" s="35"/>
      <c r="J209" s="35"/>
      <c r="K209" s="35"/>
      <c r="L209" s="35"/>
      <c r="M209" s="35"/>
      <c r="N209" s="35"/>
      <c r="O209" s="35"/>
      <c r="P209" s="35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6"/>
      <c r="AV209" s="36"/>
      <c r="AW209" s="37"/>
      <c r="AX209" s="36"/>
      <c r="AY209" s="36"/>
      <c r="AZ209" s="36"/>
      <c r="BA209" s="36"/>
      <c r="BB209" s="36"/>
      <c r="BC209" s="36"/>
      <c r="BD209" s="36"/>
      <c r="BE209" s="36"/>
    </row>
    <row r="210" spans="1:57" s="43" customFormat="1" ht="24.95" customHeight="1" x14ac:dyDescent="0.25">
      <c r="A210" s="35"/>
      <c r="B210" s="35"/>
      <c r="C210" s="33" t="s">
        <v>56</v>
      </c>
      <c r="D210" s="36"/>
      <c r="E210" s="35"/>
      <c r="F210" s="35"/>
      <c r="G210" s="35"/>
      <c r="H210" s="33" t="s">
        <v>46</v>
      </c>
      <c r="I210" s="35"/>
      <c r="J210" s="35"/>
      <c r="K210" s="35"/>
      <c r="L210" s="35"/>
      <c r="M210" s="35"/>
      <c r="N210" s="35"/>
      <c r="O210" s="35"/>
      <c r="P210" s="35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6"/>
      <c r="AV210" s="36"/>
      <c r="AW210" s="37"/>
      <c r="AX210" s="36"/>
      <c r="AY210" s="36"/>
      <c r="AZ210" s="36"/>
      <c r="BA210" s="36"/>
      <c r="BB210" s="36"/>
      <c r="BC210" s="36"/>
      <c r="BD210" s="36"/>
      <c r="BE210" s="36"/>
    </row>
    <row r="211" spans="1:57" s="43" customFormat="1" ht="24.95" customHeight="1" x14ac:dyDescent="0.25">
      <c r="A211" s="35"/>
      <c r="B211" s="35"/>
      <c r="C211" s="33" t="s">
        <v>56</v>
      </c>
      <c r="D211" s="36"/>
      <c r="E211" s="35"/>
      <c r="F211" s="35"/>
      <c r="G211" s="35"/>
      <c r="H211" s="33" t="s">
        <v>46</v>
      </c>
      <c r="I211" s="35"/>
      <c r="J211" s="35"/>
      <c r="K211" s="35"/>
      <c r="L211" s="35"/>
      <c r="M211" s="35"/>
      <c r="N211" s="35"/>
      <c r="O211" s="35"/>
      <c r="P211" s="35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6"/>
      <c r="AV211" s="36"/>
      <c r="AW211" s="37"/>
      <c r="AX211" s="36"/>
      <c r="AY211" s="36"/>
      <c r="AZ211" s="36"/>
      <c r="BA211" s="36"/>
      <c r="BB211" s="36"/>
      <c r="BC211" s="36"/>
      <c r="BD211" s="36"/>
      <c r="BE211" s="36"/>
    </row>
    <row r="212" spans="1:57" s="43" customFormat="1" ht="24.95" customHeight="1" x14ac:dyDescent="0.25">
      <c r="A212" s="35"/>
      <c r="B212" s="35"/>
      <c r="C212" s="33" t="s">
        <v>56</v>
      </c>
      <c r="D212" s="36"/>
      <c r="E212" s="35"/>
      <c r="F212" s="35"/>
      <c r="G212" s="35"/>
      <c r="H212" s="33" t="s">
        <v>46</v>
      </c>
      <c r="I212" s="35"/>
      <c r="J212" s="35"/>
      <c r="K212" s="35"/>
      <c r="L212" s="35"/>
      <c r="M212" s="35"/>
      <c r="N212" s="35"/>
      <c r="O212" s="35"/>
      <c r="P212" s="35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6"/>
      <c r="AV212" s="36"/>
      <c r="AW212" s="37"/>
      <c r="AX212" s="36"/>
      <c r="AY212" s="36"/>
      <c r="AZ212" s="36"/>
      <c r="BA212" s="36"/>
      <c r="BB212" s="36"/>
      <c r="BC212" s="36"/>
      <c r="BD212" s="36"/>
      <c r="BE212" s="36"/>
    </row>
    <row r="213" spans="1:57" s="46" customFormat="1" ht="24.95" customHeight="1" x14ac:dyDescent="0.25">
      <c r="A213" s="44" t="s">
        <v>57</v>
      </c>
      <c r="B213" s="44"/>
      <c r="C213" s="45"/>
      <c r="D213" s="39"/>
      <c r="E213" s="44"/>
      <c r="F213" s="44"/>
      <c r="G213" s="44"/>
      <c r="H213" s="45"/>
      <c r="I213" s="44"/>
      <c r="J213" s="44"/>
      <c r="K213" s="44"/>
      <c r="L213" s="44"/>
      <c r="M213" s="44"/>
      <c r="N213" s="44"/>
      <c r="O213" s="44"/>
      <c r="P213" s="44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44">
        <f t="shared" ref="AG213:BE213" si="13">SUM(AG176:AG212)</f>
        <v>0</v>
      </c>
      <c r="AH213" s="44">
        <f t="shared" si="13"/>
        <v>0</v>
      </c>
      <c r="AI213" s="44">
        <f t="shared" si="13"/>
        <v>0</v>
      </c>
      <c r="AJ213" s="44">
        <f t="shared" si="13"/>
        <v>0</v>
      </c>
      <c r="AK213" s="44">
        <f t="shared" si="13"/>
        <v>0</v>
      </c>
      <c r="AL213" s="44">
        <f t="shared" si="13"/>
        <v>0</v>
      </c>
      <c r="AM213" s="44">
        <f t="shared" si="13"/>
        <v>0</v>
      </c>
      <c r="AN213" s="44">
        <f t="shared" si="13"/>
        <v>0</v>
      </c>
      <c r="AO213" s="44">
        <f t="shared" si="13"/>
        <v>0</v>
      </c>
      <c r="AP213" s="44">
        <f t="shared" si="13"/>
        <v>0</v>
      </c>
      <c r="AQ213" s="44">
        <f t="shared" si="13"/>
        <v>0</v>
      </c>
      <c r="AR213" s="44">
        <f t="shared" si="13"/>
        <v>0</v>
      </c>
      <c r="AS213" s="44">
        <f t="shared" si="13"/>
        <v>0</v>
      </c>
      <c r="AT213" s="44">
        <f t="shared" si="13"/>
        <v>0</v>
      </c>
      <c r="AU213" s="44">
        <f t="shared" si="13"/>
        <v>0</v>
      </c>
      <c r="AV213" s="44">
        <f t="shared" si="13"/>
        <v>0</v>
      </c>
      <c r="AW213" s="44">
        <f t="shared" si="13"/>
        <v>0</v>
      </c>
      <c r="AX213" s="44">
        <f t="shared" si="13"/>
        <v>0</v>
      </c>
      <c r="AY213" s="44">
        <f t="shared" si="13"/>
        <v>0</v>
      </c>
      <c r="AZ213" s="44">
        <f t="shared" si="13"/>
        <v>0</v>
      </c>
      <c r="BA213" s="44">
        <f t="shared" si="13"/>
        <v>0</v>
      </c>
      <c r="BB213" s="44">
        <f t="shared" si="13"/>
        <v>0</v>
      </c>
      <c r="BC213" s="44">
        <f t="shared" si="13"/>
        <v>0</v>
      </c>
      <c r="BD213" s="44">
        <f t="shared" si="13"/>
        <v>0</v>
      </c>
      <c r="BE213" s="44">
        <f t="shared" si="13"/>
        <v>0</v>
      </c>
    </row>
    <row r="214" spans="1:57" s="46" customFormat="1" ht="24.95" customHeight="1" x14ac:dyDescent="0.25">
      <c r="A214" s="44"/>
      <c r="B214" s="44"/>
      <c r="C214" s="45"/>
      <c r="D214" s="39"/>
      <c r="E214" s="44"/>
      <c r="F214" s="44"/>
      <c r="G214" s="44"/>
      <c r="H214" s="45"/>
      <c r="I214" s="44"/>
      <c r="J214" s="44"/>
      <c r="K214" s="44"/>
      <c r="L214" s="44"/>
      <c r="M214" s="44"/>
      <c r="N214" s="44"/>
      <c r="O214" s="44"/>
      <c r="P214" s="44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>
        <v>0</v>
      </c>
      <c r="AH214" s="39">
        <v>0</v>
      </c>
      <c r="AI214" s="39">
        <v>131.6</v>
      </c>
      <c r="AJ214" s="39">
        <v>80.19</v>
      </c>
      <c r="AK214" s="39">
        <v>33</v>
      </c>
      <c r="AL214" s="39">
        <v>0</v>
      </c>
      <c r="AM214" s="39">
        <v>0</v>
      </c>
      <c r="AN214" s="39">
        <v>0</v>
      </c>
      <c r="AO214" s="39">
        <v>0</v>
      </c>
      <c r="AP214" s="39">
        <v>179</v>
      </c>
      <c r="AQ214" s="39">
        <v>0</v>
      </c>
      <c r="AR214" s="39">
        <v>0</v>
      </c>
      <c r="AS214" s="39">
        <v>0</v>
      </c>
      <c r="AT214" s="39">
        <v>84</v>
      </c>
      <c r="AU214" s="39">
        <v>0</v>
      </c>
      <c r="AV214" s="39">
        <v>0</v>
      </c>
      <c r="AW214" s="39">
        <v>0</v>
      </c>
      <c r="AX214" s="39">
        <v>0</v>
      </c>
      <c r="AY214" s="39">
        <v>0</v>
      </c>
      <c r="AZ214" s="39">
        <v>0</v>
      </c>
      <c r="BA214" s="39">
        <v>0</v>
      </c>
      <c r="BB214" s="39">
        <v>0</v>
      </c>
      <c r="BC214" s="39">
        <v>0</v>
      </c>
      <c r="BD214" s="39">
        <v>1</v>
      </c>
      <c r="BE214" s="39">
        <v>0</v>
      </c>
    </row>
    <row r="215" spans="1:57" s="46" customFormat="1" ht="24.95" customHeight="1" x14ac:dyDescent="0.25">
      <c r="A215" s="44"/>
      <c r="B215" s="44"/>
      <c r="C215" s="45"/>
      <c r="D215" s="39"/>
      <c r="E215" s="44"/>
      <c r="F215" s="44"/>
      <c r="G215" s="44"/>
      <c r="H215" s="45"/>
      <c r="I215" s="44"/>
      <c r="J215" s="44"/>
      <c r="K215" s="44"/>
      <c r="L215" s="44"/>
      <c r="M215" s="44"/>
      <c r="N215" s="44"/>
      <c r="O215" s="44"/>
      <c r="P215" s="44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44">
        <f>AG213-AG214</f>
        <v>0</v>
      </c>
      <c r="AH215" s="44">
        <f t="shared" ref="AH215:BE215" si="14">AH213-AH214</f>
        <v>0</v>
      </c>
      <c r="AI215" s="44">
        <f t="shared" si="14"/>
        <v>-131.6</v>
      </c>
      <c r="AJ215" s="44">
        <f t="shared" si="14"/>
        <v>-80.19</v>
      </c>
      <c r="AK215" s="44">
        <f t="shared" si="14"/>
        <v>-33</v>
      </c>
      <c r="AL215" s="44">
        <f t="shared" si="14"/>
        <v>0</v>
      </c>
      <c r="AM215" s="44">
        <f t="shared" si="14"/>
        <v>0</v>
      </c>
      <c r="AN215" s="44">
        <f t="shared" si="14"/>
        <v>0</v>
      </c>
      <c r="AO215" s="44">
        <f t="shared" si="14"/>
        <v>0</v>
      </c>
      <c r="AP215" s="44">
        <f t="shared" si="14"/>
        <v>-179</v>
      </c>
      <c r="AQ215" s="44">
        <f t="shared" si="14"/>
        <v>0</v>
      </c>
      <c r="AR215" s="44">
        <f t="shared" si="14"/>
        <v>0</v>
      </c>
      <c r="AS215" s="44">
        <f t="shared" si="14"/>
        <v>0</v>
      </c>
      <c r="AT215" s="44">
        <f t="shared" si="14"/>
        <v>-84</v>
      </c>
      <c r="AU215" s="44">
        <f t="shared" si="14"/>
        <v>0</v>
      </c>
      <c r="AV215" s="44">
        <f t="shared" si="14"/>
        <v>0</v>
      </c>
      <c r="AW215" s="44">
        <f t="shared" si="14"/>
        <v>0</v>
      </c>
      <c r="AX215" s="44">
        <f t="shared" si="14"/>
        <v>0</v>
      </c>
      <c r="AY215" s="44">
        <f t="shared" si="14"/>
        <v>0</v>
      </c>
      <c r="AZ215" s="44">
        <f t="shared" si="14"/>
        <v>0</v>
      </c>
      <c r="BA215" s="44">
        <f t="shared" si="14"/>
        <v>0</v>
      </c>
      <c r="BB215" s="44">
        <f t="shared" si="14"/>
        <v>0</v>
      </c>
      <c r="BC215" s="44">
        <f t="shared" si="14"/>
        <v>0</v>
      </c>
      <c r="BD215" s="44">
        <f t="shared" si="14"/>
        <v>-1</v>
      </c>
      <c r="BE215" s="44">
        <f t="shared" si="14"/>
        <v>0</v>
      </c>
    </row>
    <row r="216" spans="1:57" s="43" customFormat="1" ht="24.95" customHeight="1" x14ac:dyDescent="0.25">
      <c r="A216" s="35"/>
      <c r="B216" s="35"/>
      <c r="C216" s="33" t="s">
        <v>58</v>
      </c>
      <c r="D216" s="36"/>
      <c r="E216" s="35"/>
      <c r="F216" s="35"/>
      <c r="G216" s="35"/>
      <c r="H216" s="33" t="s">
        <v>46</v>
      </c>
      <c r="I216" s="35"/>
      <c r="J216" s="35"/>
      <c r="K216" s="35"/>
      <c r="L216" s="35"/>
      <c r="M216" s="35"/>
      <c r="N216" s="35"/>
      <c r="O216" s="35"/>
      <c r="P216" s="35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6"/>
      <c r="AV216" s="36"/>
      <c r="AW216" s="37"/>
      <c r="AX216" s="36"/>
      <c r="AY216" s="36"/>
      <c r="AZ216" s="36"/>
      <c r="BA216" s="36"/>
      <c r="BB216" s="36"/>
      <c r="BC216" s="36"/>
      <c r="BD216" s="36"/>
      <c r="BE216" s="36"/>
    </row>
    <row r="217" spans="1:57" s="43" customFormat="1" ht="24.95" customHeight="1" x14ac:dyDescent="0.25">
      <c r="A217" s="35"/>
      <c r="B217" s="35"/>
      <c r="C217" s="33" t="s">
        <v>58</v>
      </c>
      <c r="D217" s="36"/>
      <c r="E217" s="35"/>
      <c r="F217" s="35"/>
      <c r="G217" s="35"/>
      <c r="H217" s="33" t="s">
        <v>46</v>
      </c>
      <c r="I217" s="35"/>
      <c r="J217" s="35"/>
      <c r="K217" s="35"/>
      <c r="L217" s="35"/>
      <c r="M217" s="35"/>
      <c r="N217" s="35"/>
      <c r="O217" s="35"/>
      <c r="P217" s="35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6"/>
      <c r="AV217" s="36"/>
      <c r="AW217" s="37"/>
      <c r="AX217" s="36"/>
      <c r="AY217" s="36"/>
      <c r="AZ217" s="36"/>
      <c r="BA217" s="36"/>
      <c r="BB217" s="36"/>
      <c r="BC217" s="36"/>
      <c r="BD217" s="36"/>
      <c r="BE217" s="36"/>
    </row>
    <row r="218" spans="1:57" s="43" customFormat="1" ht="24.95" customHeight="1" x14ac:dyDescent="0.25">
      <c r="A218" s="35"/>
      <c r="B218" s="35"/>
      <c r="C218" s="33" t="s">
        <v>58</v>
      </c>
      <c r="D218" s="36"/>
      <c r="E218" s="35"/>
      <c r="F218" s="35"/>
      <c r="G218" s="35"/>
      <c r="H218" s="33" t="s">
        <v>46</v>
      </c>
      <c r="I218" s="35"/>
      <c r="J218" s="35"/>
      <c r="K218" s="35"/>
      <c r="L218" s="35"/>
      <c r="M218" s="35"/>
      <c r="N218" s="35"/>
      <c r="O218" s="35"/>
      <c r="P218" s="35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6"/>
      <c r="AV218" s="36"/>
      <c r="AW218" s="37"/>
      <c r="AX218" s="36"/>
      <c r="AY218" s="36"/>
      <c r="AZ218" s="36"/>
      <c r="BA218" s="36"/>
      <c r="BB218" s="36"/>
      <c r="BC218" s="36"/>
      <c r="BD218" s="36"/>
      <c r="BE218" s="36"/>
    </row>
    <row r="219" spans="1:57" s="43" customFormat="1" ht="24.95" customHeight="1" x14ac:dyDescent="0.25">
      <c r="A219" s="35"/>
      <c r="B219" s="35"/>
      <c r="C219" s="33" t="s">
        <v>58</v>
      </c>
      <c r="D219" s="36"/>
      <c r="E219" s="35"/>
      <c r="F219" s="35"/>
      <c r="G219" s="35"/>
      <c r="H219" s="33" t="s">
        <v>46</v>
      </c>
      <c r="I219" s="35"/>
      <c r="J219" s="35"/>
      <c r="K219" s="35"/>
      <c r="L219" s="35"/>
      <c r="M219" s="35"/>
      <c r="N219" s="35"/>
      <c r="O219" s="35"/>
      <c r="P219" s="35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6"/>
      <c r="AV219" s="36"/>
      <c r="AW219" s="37"/>
      <c r="AX219" s="36"/>
      <c r="AY219" s="36"/>
      <c r="AZ219" s="36"/>
      <c r="BA219" s="36"/>
      <c r="BB219" s="36"/>
      <c r="BC219" s="36"/>
      <c r="BD219" s="36"/>
      <c r="BE219" s="36"/>
    </row>
    <row r="220" spans="1:57" s="43" customFormat="1" ht="24.95" customHeight="1" x14ac:dyDescent="0.25">
      <c r="A220" s="35"/>
      <c r="B220" s="35"/>
      <c r="C220" s="33" t="s">
        <v>58</v>
      </c>
      <c r="D220" s="36"/>
      <c r="E220" s="35"/>
      <c r="F220" s="35"/>
      <c r="G220" s="35"/>
      <c r="H220" s="33" t="s">
        <v>46</v>
      </c>
      <c r="I220" s="35"/>
      <c r="J220" s="35"/>
      <c r="K220" s="35"/>
      <c r="L220" s="35"/>
      <c r="M220" s="35"/>
      <c r="N220" s="35"/>
      <c r="O220" s="35"/>
      <c r="P220" s="35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6"/>
      <c r="AV220" s="36"/>
      <c r="AW220" s="37"/>
      <c r="AX220" s="36"/>
      <c r="AY220" s="36"/>
      <c r="AZ220" s="36"/>
      <c r="BA220" s="36"/>
      <c r="BB220" s="36"/>
      <c r="BC220" s="36"/>
      <c r="BD220" s="36"/>
      <c r="BE220" s="36"/>
    </row>
    <row r="221" spans="1:57" s="43" customFormat="1" ht="24.95" customHeight="1" x14ac:dyDescent="0.25">
      <c r="A221" s="35"/>
      <c r="B221" s="35"/>
      <c r="C221" s="33" t="s">
        <v>58</v>
      </c>
      <c r="D221" s="36"/>
      <c r="E221" s="35"/>
      <c r="F221" s="35"/>
      <c r="G221" s="35"/>
      <c r="H221" s="33" t="s">
        <v>46</v>
      </c>
      <c r="I221" s="35"/>
      <c r="J221" s="35"/>
      <c r="K221" s="35"/>
      <c r="L221" s="35"/>
      <c r="M221" s="35"/>
      <c r="N221" s="35"/>
      <c r="O221" s="35"/>
      <c r="P221" s="35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6"/>
      <c r="AV221" s="36"/>
      <c r="AW221" s="37"/>
      <c r="AX221" s="36"/>
      <c r="AY221" s="36"/>
      <c r="AZ221" s="36"/>
      <c r="BA221" s="36"/>
      <c r="BB221" s="36"/>
      <c r="BC221" s="36"/>
      <c r="BD221" s="36"/>
      <c r="BE221" s="36"/>
    </row>
    <row r="222" spans="1:57" s="43" customFormat="1" ht="24.95" customHeight="1" x14ac:dyDescent="0.25">
      <c r="A222" s="35"/>
      <c r="B222" s="35"/>
      <c r="C222" s="33" t="s">
        <v>58</v>
      </c>
      <c r="D222" s="36"/>
      <c r="E222" s="35"/>
      <c r="F222" s="35"/>
      <c r="G222" s="35"/>
      <c r="H222" s="33" t="s">
        <v>46</v>
      </c>
      <c r="I222" s="35"/>
      <c r="J222" s="35"/>
      <c r="K222" s="35"/>
      <c r="L222" s="35"/>
      <c r="M222" s="35"/>
      <c r="N222" s="35"/>
      <c r="O222" s="35"/>
      <c r="P222" s="35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6"/>
      <c r="AV222" s="36"/>
      <c r="AW222" s="37"/>
      <c r="AX222" s="36"/>
      <c r="AY222" s="36"/>
      <c r="AZ222" s="36"/>
      <c r="BA222" s="36"/>
      <c r="BB222" s="36"/>
      <c r="BC222" s="36"/>
      <c r="BD222" s="36"/>
      <c r="BE222" s="36"/>
    </row>
    <row r="223" spans="1:57" s="43" customFormat="1" ht="24.95" customHeight="1" x14ac:dyDescent="0.25">
      <c r="A223" s="35"/>
      <c r="B223" s="35"/>
      <c r="C223" s="33" t="s">
        <v>58</v>
      </c>
      <c r="D223" s="36"/>
      <c r="E223" s="35"/>
      <c r="F223" s="35"/>
      <c r="G223" s="35"/>
      <c r="H223" s="33" t="s">
        <v>46</v>
      </c>
      <c r="I223" s="35"/>
      <c r="J223" s="35"/>
      <c r="K223" s="35"/>
      <c r="L223" s="35"/>
      <c r="M223" s="35"/>
      <c r="N223" s="35"/>
      <c r="O223" s="35"/>
      <c r="P223" s="35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6"/>
      <c r="AV223" s="36"/>
      <c r="AW223" s="37"/>
      <c r="AX223" s="36"/>
      <c r="AY223" s="36"/>
      <c r="AZ223" s="36"/>
      <c r="BA223" s="36"/>
      <c r="BB223" s="36"/>
      <c r="BC223" s="36"/>
      <c r="BD223" s="36"/>
      <c r="BE223" s="36"/>
    </row>
    <row r="224" spans="1:57" s="43" customFormat="1" ht="24.95" customHeight="1" x14ac:dyDescent="0.25">
      <c r="A224" s="35"/>
      <c r="B224" s="35"/>
      <c r="C224" s="33" t="s">
        <v>58</v>
      </c>
      <c r="D224" s="36"/>
      <c r="E224" s="35"/>
      <c r="F224" s="35"/>
      <c r="G224" s="35"/>
      <c r="H224" s="33" t="s">
        <v>46</v>
      </c>
      <c r="I224" s="35"/>
      <c r="J224" s="35"/>
      <c r="K224" s="35"/>
      <c r="L224" s="35"/>
      <c r="M224" s="35"/>
      <c r="N224" s="35"/>
      <c r="O224" s="35"/>
      <c r="P224" s="35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6"/>
      <c r="AV224" s="36"/>
      <c r="AW224" s="37"/>
      <c r="AX224" s="36"/>
      <c r="AY224" s="36"/>
      <c r="AZ224" s="36"/>
      <c r="BA224" s="36"/>
      <c r="BB224" s="36"/>
      <c r="BC224" s="36"/>
      <c r="BD224" s="36"/>
      <c r="BE224" s="36"/>
    </row>
    <row r="225" spans="1:57" s="43" customFormat="1" ht="24.95" customHeight="1" x14ac:dyDescent="0.25">
      <c r="A225" s="35"/>
      <c r="B225" s="35"/>
      <c r="C225" s="33" t="s">
        <v>58</v>
      </c>
      <c r="D225" s="36"/>
      <c r="E225" s="35"/>
      <c r="F225" s="35"/>
      <c r="G225" s="35"/>
      <c r="H225" s="33" t="s">
        <v>46</v>
      </c>
      <c r="I225" s="35"/>
      <c r="J225" s="35"/>
      <c r="K225" s="35"/>
      <c r="L225" s="35"/>
      <c r="M225" s="35"/>
      <c r="N225" s="35"/>
      <c r="O225" s="35"/>
      <c r="P225" s="35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6"/>
      <c r="AV225" s="36"/>
      <c r="AW225" s="37"/>
      <c r="AX225" s="36"/>
      <c r="AY225" s="36"/>
      <c r="AZ225" s="36"/>
      <c r="BA225" s="36"/>
      <c r="BB225" s="36"/>
      <c r="BC225" s="36"/>
      <c r="BD225" s="36"/>
      <c r="BE225" s="36"/>
    </row>
    <row r="226" spans="1:57" s="43" customFormat="1" ht="24.95" customHeight="1" x14ac:dyDescent="0.25">
      <c r="A226" s="35"/>
      <c r="B226" s="35"/>
      <c r="C226" s="33" t="s">
        <v>58</v>
      </c>
      <c r="D226" s="36"/>
      <c r="E226" s="35"/>
      <c r="F226" s="35"/>
      <c r="G226" s="35"/>
      <c r="H226" s="33" t="s">
        <v>46</v>
      </c>
      <c r="I226" s="35"/>
      <c r="J226" s="35"/>
      <c r="K226" s="35"/>
      <c r="L226" s="35"/>
      <c r="M226" s="35"/>
      <c r="N226" s="35"/>
      <c r="O226" s="35"/>
      <c r="P226" s="35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6"/>
      <c r="AV226" s="36"/>
      <c r="AW226" s="37"/>
      <c r="AX226" s="36"/>
      <c r="AY226" s="36"/>
      <c r="AZ226" s="36"/>
      <c r="BA226" s="36"/>
      <c r="BB226" s="36"/>
      <c r="BC226" s="36"/>
      <c r="BD226" s="36"/>
      <c r="BE226" s="36"/>
    </row>
    <row r="227" spans="1:57" s="43" customFormat="1" ht="24.95" customHeight="1" x14ac:dyDescent="0.25">
      <c r="A227" s="35"/>
      <c r="B227" s="35"/>
      <c r="C227" s="33" t="s">
        <v>58</v>
      </c>
      <c r="D227" s="36"/>
      <c r="E227" s="35"/>
      <c r="F227" s="35"/>
      <c r="G227" s="35"/>
      <c r="H227" s="33" t="s">
        <v>46</v>
      </c>
      <c r="I227" s="35"/>
      <c r="J227" s="35"/>
      <c r="K227" s="35"/>
      <c r="L227" s="35"/>
      <c r="M227" s="35"/>
      <c r="N227" s="35"/>
      <c r="O227" s="35"/>
      <c r="P227" s="35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6"/>
      <c r="AV227" s="36"/>
      <c r="AW227" s="37"/>
      <c r="AX227" s="36"/>
      <c r="AY227" s="36"/>
      <c r="AZ227" s="36"/>
      <c r="BA227" s="36"/>
      <c r="BB227" s="36"/>
      <c r="BC227" s="36"/>
      <c r="BD227" s="36"/>
      <c r="BE227" s="36"/>
    </row>
    <row r="228" spans="1:57" s="43" customFormat="1" ht="24.95" customHeight="1" x14ac:dyDescent="0.25">
      <c r="A228" s="35"/>
      <c r="B228" s="35"/>
      <c r="C228" s="33" t="s">
        <v>58</v>
      </c>
      <c r="D228" s="36"/>
      <c r="E228" s="35"/>
      <c r="F228" s="35"/>
      <c r="G228" s="35"/>
      <c r="H228" s="33" t="s">
        <v>46</v>
      </c>
      <c r="I228" s="35"/>
      <c r="J228" s="35"/>
      <c r="K228" s="35"/>
      <c r="L228" s="35"/>
      <c r="M228" s="35"/>
      <c r="N228" s="35"/>
      <c r="O228" s="35"/>
      <c r="P228" s="35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6"/>
      <c r="AV228" s="36"/>
      <c r="AW228" s="37"/>
      <c r="AX228" s="36"/>
      <c r="AY228" s="36"/>
      <c r="AZ228" s="36"/>
      <c r="BA228" s="36"/>
      <c r="BB228" s="36"/>
      <c r="BC228" s="36"/>
      <c r="BD228" s="36"/>
      <c r="BE228" s="36"/>
    </row>
    <row r="229" spans="1:57" s="43" customFormat="1" ht="24.95" customHeight="1" x14ac:dyDescent="0.25">
      <c r="A229" s="35"/>
      <c r="B229" s="35"/>
      <c r="C229" s="33" t="s">
        <v>58</v>
      </c>
      <c r="D229" s="36"/>
      <c r="E229" s="35"/>
      <c r="F229" s="35"/>
      <c r="G229" s="35"/>
      <c r="H229" s="33" t="s">
        <v>46</v>
      </c>
      <c r="I229" s="35"/>
      <c r="J229" s="35"/>
      <c r="K229" s="35"/>
      <c r="L229" s="35"/>
      <c r="M229" s="35"/>
      <c r="N229" s="35"/>
      <c r="O229" s="35"/>
      <c r="P229" s="35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6"/>
      <c r="AV229" s="36"/>
      <c r="AW229" s="37"/>
      <c r="AX229" s="36"/>
      <c r="AY229" s="36"/>
      <c r="AZ229" s="36"/>
      <c r="BA229" s="36"/>
      <c r="BB229" s="36"/>
      <c r="BC229" s="36"/>
      <c r="BD229" s="36"/>
      <c r="BE229" s="36"/>
    </row>
    <row r="230" spans="1:57" s="43" customFormat="1" ht="24.95" customHeight="1" x14ac:dyDescent="0.25">
      <c r="A230" s="35"/>
      <c r="B230" s="35"/>
      <c r="C230" s="33" t="s">
        <v>58</v>
      </c>
      <c r="D230" s="36"/>
      <c r="E230" s="35"/>
      <c r="F230" s="35"/>
      <c r="G230" s="35"/>
      <c r="H230" s="33" t="s">
        <v>46</v>
      </c>
      <c r="I230" s="35"/>
      <c r="J230" s="35"/>
      <c r="K230" s="35"/>
      <c r="L230" s="35"/>
      <c r="M230" s="35"/>
      <c r="N230" s="35"/>
      <c r="O230" s="35"/>
      <c r="P230" s="35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6"/>
      <c r="AV230" s="36"/>
      <c r="AW230" s="37"/>
      <c r="AX230" s="36"/>
      <c r="AY230" s="36"/>
      <c r="AZ230" s="36"/>
      <c r="BA230" s="36"/>
      <c r="BB230" s="36"/>
      <c r="BC230" s="36"/>
      <c r="BD230" s="36"/>
      <c r="BE230" s="36"/>
    </row>
    <row r="231" spans="1:57" s="43" customFormat="1" ht="24.95" customHeight="1" x14ac:dyDescent="0.25">
      <c r="A231" s="35"/>
      <c r="B231" s="35"/>
      <c r="C231" s="33" t="s">
        <v>58</v>
      </c>
      <c r="D231" s="36"/>
      <c r="E231" s="35"/>
      <c r="F231" s="35"/>
      <c r="G231" s="35"/>
      <c r="H231" s="33" t="s">
        <v>46</v>
      </c>
      <c r="I231" s="35"/>
      <c r="J231" s="35"/>
      <c r="K231" s="35"/>
      <c r="L231" s="35"/>
      <c r="M231" s="35"/>
      <c r="N231" s="35"/>
      <c r="O231" s="35"/>
      <c r="P231" s="35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6"/>
      <c r="AV231" s="36"/>
      <c r="AW231" s="37"/>
      <c r="AX231" s="36"/>
      <c r="AY231" s="36"/>
      <c r="AZ231" s="36"/>
      <c r="BA231" s="36"/>
      <c r="BB231" s="36"/>
      <c r="BC231" s="36"/>
      <c r="BD231" s="36"/>
      <c r="BE231" s="36"/>
    </row>
    <row r="232" spans="1:57" s="43" customFormat="1" ht="24.95" customHeight="1" x14ac:dyDescent="0.25">
      <c r="A232" s="35"/>
      <c r="B232" s="35"/>
      <c r="C232" s="33" t="s">
        <v>58</v>
      </c>
      <c r="D232" s="36"/>
      <c r="E232" s="35"/>
      <c r="F232" s="35"/>
      <c r="G232" s="35"/>
      <c r="H232" s="33" t="s">
        <v>46</v>
      </c>
      <c r="I232" s="35"/>
      <c r="J232" s="35"/>
      <c r="K232" s="35"/>
      <c r="L232" s="35"/>
      <c r="M232" s="35"/>
      <c r="N232" s="35"/>
      <c r="O232" s="35"/>
      <c r="P232" s="35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6"/>
      <c r="AV232" s="36"/>
      <c r="AW232" s="37"/>
      <c r="AX232" s="36"/>
      <c r="AY232" s="36"/>
      <c r="AZ232" s="36"/>
      <c r="BA232" s="36"/>
      <c r="BB232" s="36"/>
      <c r="BC232" s="36"/>
      <c r="BD232" s="36"/>
      <c r="BE232" s="36"/>
    </row>
    <row r="233" spans="1:57" s="43" customFormat="1" ht="24.95" customHeight="1" x14ac:dyDescent="0.25">
      <c r="A233" s="35"/>
      <c r="B233" s="35"/>
      <c r="C233" s="33" t="s">
        <v>58</v>
      </c>
      <c r="D233" s="36"/>
      <c r="E233" s="35"/>
      <c r="F233" s="35"/>
      <c r="G233" s="35"/>
      <c r="H233" s="33" t="s">
        <v>46</v>
      </c>
      <c r="I233" s="35"/>
      <c r="J233" s="35"/>
      <c r="K233" s="35"/>
      <c r="L233" s="35"/>
      <c r="M233" s="35"/>
      <c r="N233" s="35"/>
      <c r="O233" s="35"/>
      <c r="P233" s="35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6"/>
      <c r="AV233" s="36"/>
      <c r="AW233" s="37"/>
      <c r="AX233" s="36"/>
      <c r="AY233" s="36"/>
      <c r="AZ233" s="36"/>
      <c r="BA233" s="36"/>
      <c r="BB233" s="36"/>
      <c r="BC233" s="36"/>
      <c r="BD233" s="36"/>
      <c r="BE233" s="36"/>
    </row>
    <row r="234" spans="1:57" s="43" customFormat="1" ht="24.95" customHeight="1" x14ac:dyDescent="0.25">
      <c r="A234" s="35"/>
      <c r="B234" s="35"/>
      <c r="C234" s="33" t="s">
        <v>58</v>
      </c>
      <c r="D234" s="36"/>
      <c r="E234" s="35"/>
      <c r="F234" s="35"/>
      <c r="G234" s="35"/>
      <c r="H234" s="33" t="s">
        <v>46</v>
      </c>
      <c r="I234" s="35"/>
      <c r="J234" s="35"/>
      <c r="K234" s="35"/>
      <c r="L234" s="35"/>
      <c r="M234" s="35"/>
      <c r="N234" s="35"/>
      <c r="O234" s="35"/>
      <c r="P234" s="35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6"/>
      <c r="AV234" s="36"/>
      <c r="AW234" s="37"/>
      <c r="AX234" s="36"/>
      <c r="AY234" s="36"/>
      <c r="AZ234" s="36"/>
      <c r="BA234" s="36"/>
      <c r="BB234" s="36"/>
      <c r="BC234" s="36"/>
      <c r="BD234" s="36"/>
      <c r="BE234" s="36"/>
    </row>
    <row r="235" spans="1:57" s="43" customFormat="1" ht="24.95" customHeight="1" x14ac:dyDescent="0.25">
      <c r="A235" s="35"/>
      <c r="B235" s="35"/>
      <c r="C235" s="33" t="s">
        <v>58</v>
      </c>
      <c r="D235" s="36"/>
      <c r="E235" s="35"/>
      <c r="F235" s="35"/>
      <c r="G235" s="35"/>
      <c r="H235" s="33" t="s">
        <v>46</v>
      </c>
      <c r="I235" s="35"/>
      <c r="J235" s="35"/>
      <c r="K235" s="35"/>
      <c r="L235" s="35"/>
      <c r="M235" s="35"/>
      <c r="N235" s="35"/>
      <c r="O235" s="35"/>
      <c r="P235" s="35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6"/>
      <c r="AV235" s="36"/>
      <c r="AW235" s="37"/>
      <c r="AX235" s="36"/>
      <c r="AY235" s="36"/>
      <c r="AZ235" s="36"/>
      <c r="BA235" s="36"/>
      <c r="BB235" s="36"/>
      <c r="BC235" s="36"/>
      <c r="BD235" s="36"/>
      <c r="BE235" s="36"/>
    </row>
    <row r="236" spans="1:57" s="43" customFormat="1" ht="24.95" customHeight="1" x14ac:dyDescent="0.25">
      <c r="A236" s="35"/>
      <c r="B236" s="35"/>
      <c r="C236" s="33" t="s">
        <v>58</v>
      </c>
      <c r="D236" s="36"/>
      <c r="E236" s="35"/>
      <c r="F236" s="35"/>
      <c r="G236" s="35"/>
      <c r="H236" s="33" t="s">
        <v>46</v>
      </c>
      <c r="I236" s="35"/>
      <c r="J236" s="35"/>
      <c r="K236" s="35"/>
      <c r="L236" s="35"/>
      <c r="M236" s="35"/>
      <c r="N236" s="35"/>
      <c r="O236" s="35"/>
      <c r="P236" s="35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6"/>
      <c r="AV236" s="36"/>
      <c r="AW236" s="37"/>
      <c r="AX236" s="36"/>
      <c r="AY236" s="36"/>
      <c r="AZ236" s="36"/>
      <c r="BA236" s="36"/>
      <c r="BB236" s="36"/>
      <c r="BC236" s="36"/>
      <c r="BD236" s="36"/>
      <c r="BE236" s="36"/>
    </row>
    <row r="237" spans="1:57" s="43" customFormat="1" ht="24.95" customHeight="1" x14ac:dyDescent="0.25">
      <c r="A237" s="35"/>
      <c r="B237" s="35"/>
      <c r="C237" s="33" t="s">
        <v>58</v>
      </c>
      <c r="D237" s="36"/>
      <c r="E237" s="35"/>
      <c r="F237" s="35"/>
      <c r="G237" s="35"/>
      <c r="H237" s="33" t="s">
        <v>46</v>
      </c>
      <c r="I237" s="35"/>
      <c r="J237" s="35"/>
      <c r="K237" s="35"/>
      <c r="L237" s="35"/>
      <c r="M237" s="35"/>
      <c r="N237" s="35"/>
      <c r="O237" s="35"/>
      <c r="P237" s="35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6"/>
      <c r="AV237" s="36"/>
      <c r="AW237" s="37"/>
      <c r="AX237" s="36"/>
      <c r="AY237" s="36"/>
      <c r="AZ237" s="36"/>
      <c r="BA237" s="36"/>
      <c r="BB237" s="36"/>
      <c r="BC237" s="36"/>
      <c r="BD237" s="36"/>
      <c r="BE237" s="36"/>
    </row>
    <row r="238" spans="1:57" s="43" customFormat="1" ht="24.95" customHeight="1" x14ac:dyDescent="0.25">
      <c r="A238" s="35"/>
      <c r="B238" s="35"/>
      <c r="C238" s="33" t="s">
        <v>58</v>
      </c>
      <c r="D238" s="36"/>
      <c r="E238" s="35"/>
      <c r="F238" s="35"/>
      <c r="G238" s="35"/>
      <c r="H238" s="33" t="s">
        <v>46</v>
      </c>
      <c r="I238" s="35"/>
      <c r="J238" s="35"/>
      <c r="K238" s="35"/>
      <c r="L238" s="35"/>
      <c r="M238" s="35"/>
      <c r="N238" s="35"/>
      <c r="O238" s="35"/>
      <c r="P238" s="35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6"/>
      <c r="AV238" s="36"/>
      <c r="AW238" s="37"/>
      <c r="AX238" s="36"/>
      <c r="AY238" s="36"/>
      <c r="AZ238" s="36"/>
      <c r="BA238" s="36"/>
      <c r="BB238" s="36"/>
      <c r="BC238" s="36"/>
      <c r="BD238" s="36"/>
      <c r="BE238" s="36"/>
    </row>
    <row r="239" spans="1:57" s="43" customFormat="1" ht="24.95" customHeight="1" x14ac:dyDescent="0.25">
      <c r="A239" s="35"/>
      <c r="B239" s="35"/>
      <c r="C239" s="33" t="s">
        <v>58</v>
      </c>
      <c r="D239" s="36"/>
      <c r="E239" s="35"/>
      <c r="F239" s="35"/>
      <c r="G239" s="35"/>
      <c r="H239" s="33" t="s">
        <v>46</v>
      </c>
      <c r="I239" s="35"/>
      <c r="J239" s="35"/>
      <c r="K239" s="35"/>
      <c r="L239" s="35"/>
      <c r="M239" s="35"/>
      <c r="N239" s="35"/>
      <c r="O239" s="35"/>
      <c r="P239" s="35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6"/>
      <c r="AV239" s="36"/>
      <c r="AW239" s="37"/>
      <c r="AX239" s="36"/>
      <c r="AY239" s="36"/>
      <c r="AZ239" s="36"/>
      <c r="BA239" s="36"/>
      <c r="BB239" s="36"/>
      <c r="BC239" s="36"/>
      <c r="BD239" s="36"/>
      <c r="BE239" s="36"/>
    </row>
    <row r="240" spans="1:57" s="43" customFormat="1" ht="24.95" customHeight="1" x14ac:dyDescent="0.25">
      <c r="A240" s="35"/>
      <c r="B240" s="35"/>
      <c r="C240" s="33" t="s">
        <v>58</v>
      </c>
      <c r="D240" s="36"/>
      <c r="E240" s="35"/>
      <c r="F240" s="35"/>
      <c r="G240" s="35"/>
      <c r="H240" s="33" t="s">
        <v>46</v>
      </c>
      <c r="I240" s="35"/>
      <c r="J240" s="35"/>
      <c r="K240" s="35"/>
      <c r="L240" s="35"/>
      <c r="M240" s="35"/>
      <c r="N240" s="35"/>
      <c r="O240" s="35"/>
      <c r="P240" s="35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6"/>
      <c r="AV240" s="36"/>
      <c r="AW240" s="37"/>
      <c r="AX240" s="36"/>
      <c r="AY240" s="36"/>
      <c r="AZ240" s="36"/>
      <c r="BA240" s="36"/>
      <c r="BB240" s="36"/>
      <c r="BC240" s="36"/>
      <c r="BD240" s="36"/>
      <c r="BE240" s="36"/>
    </row>
    <row r="241" spans="1:57" s="43" customFormat="1" ht="24.95" customHeight="1" x14ac:dyDescent="0.25">
      <c r="A241" s="35"/>
      <c r="B241" s="35"/>
      <c r="C241" s="33" t="s">
        <v>58</v>
      </c>
      <c r="D241" s="36"/>
      <c r="E241" s="35"/>
      <c r="F241" s="35"/>
      <c r="G241" s="35"/>
      <c r="H241" s="33" t="s">
        <v>46</v>
      </c>
      <c r="I241" s="35"/>
      <c r="J241" s="35"/>
      <c r="K241" s="35"/>
      <c r="L241" s="35"/>
      <c r="M241" s="35"/>
      <c r="N241" s="35"/>
      <c r="O241" s="35"/>
      <c r="P241" s="35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6"/>
      <c r="AV241" s="36"/>
      <c r="AW241" s="37"/>
      <c r="AX241" s="36"/>
      <c r="AY241" s="36"/>
      <c r="AZ241" s="36"/>
      <c r="BA241" s="36"/>
      <c r="BB241" s="36"/>
      <c r="BC241" s="36"/>
      <c r="BD241" s="36"/>
      <c r="BE241" s="36"/>
    </row>
    <row r="242" spans="1:57" s="43" customFormat="1" ht="24.95" customHeight="1" x14ac:dyDescent="0.25">
      <c r="A242" s="35"/>
      <c r="B242" s="35"/>
      <c r="C242" s="33" t="s">
        <v>58</v>
      </c>
      <c r="D242" s="36"/>
      <c r="E242" s="35"/>
      <c r="F242" s="35"/>
      <c r="G242" s="35"/>
      <c r="H242" s="33" t="s">
        <v>46</v>
      </c>
      <c r="I242" s="35"/>
      <c r="J242" s="35"/>
      <c r="K242" s="35"/>
      <c r="L242" s="35"/>
      <c r="M242" s="35"/>
      <c r="N242" s="35"/>
      <c r="O242" s="35"/>
      <c r="P242" s="35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6"/>
      <c r="AV242" s="36"/>
      <c r="AW242" s="37"/>
      <c r="AX242" s="36"/>
      <c r="AY242" s="36"/>
      <c r="AZ242" s="36"/>
      <c r="BA242" s="36"/>
      <c r="BB242" s="36"/>
      <c r="BC242" s="36"/>
      <c r="BD242" s="36"/>
      <c r="BE242" s="36"/>
    </row>
    <row r="243" spans="1:57" s="43" customFormat="1" ht="24.95" customHeight="1" x14ac:dyDescent="0.25">
      <c r="A243" s="35"/>
      <c r="B243" s="35"/>
      <c r="C243" s="33" t="s">
        <v>58</v>
      </c>
      <c r="D243" s="36"/>
      <c r="E243" s="35"/>
      <c r="F243" s="35"/>
      <c r="G243" s="35"/>
      <c r="H243" s="33" t="s">
        <v>46</v>
      </c>
      <c r="I243" s="35"/>
      <c r="J243" s="35"/>
      <c r="K243" s="35"/>
      <c r="L243" s="35"/>
      <c r="M243" s="35"/>
      <c r="N243" s="35"/>
      <c r="O243" s="35"/>
      <c r="P243" s="35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6"/>
      <c r="AV243" s="36"/>
      <c r="AW243" s="37"/>
      <c r="AX243" s="36"/>
      <c r="AY243" s="36"/>
      <c r="AZ243" s="36"/>
      <c r="BA243" s="36"/>
      <c r="BB243" s="36"/>
      <c r="BC243" s="36"/>
      <c r="BD243" s="36"/>
      <c r="BE243" s="36"/>
    </row>
    <row r="244" spans="1:57" s="43" customFormat="1" ht="24.95" customHeight="1" x14ac:dyDescent="0.25">
      <c r="A244" s="35"/>
      <c r="B244" s="35"/>
      <c r="C244" s="33" t="s">
        <v>58</v>
      </c>
      <c r="D244" s="36"/>
      <c r="E244" s="35"/>
      <c r="F244" s="35"/>
      <c r="G244" s="35"/>
      <c r="H244" s="33" t="s">
        <v>46</v>
      </c>
      <c r="I244" s="35"/>
      <c r="J244" s="35"/>
      <c r="K244" s="35"/>
      <c r="L244" s="35"/>
      <c r="M244" s="35"/>
      <c r="N244" s="35"/>
      <c r="O244" s="35"/>
      <c r="P244" s="35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6"/>
      <c r="AV244" s="36"/>
      <c r="AW244" s="37"/>
      <c r="AX244" s="36"/>
      <c r="AY244" s="36"/>
      <c r="AZ244" s="36"/>
      <c r="BA244" s="36"/>
      <c r="BB244" s="36"/>
      <c r="BC244" s="36"/>
      <c r="BD244" s="36"/>
      <c r="BE244" s="36"/>
    </row>
    <row r="245" spans="1:57" s="43" customFormat="1" ht="24" customHeight="1" x14ac:dyDescent="0.25">
      <c r="A245" s="35"/>
      <c r="B245" s="35"/>
      <c r="C245" s="33" t="s">
        <v>58</v>
      </c>
      <c r="D245" s="36"/>
      <c r="E245" s="35"/>
      <c r="F245" s="35"/>
      <c r="G245" s="35"/>
      <c r="H245" s="33" t="s">
        <v>46</v>
      </c>
      <c r="I245" s="35"/>
      <c r="J245" s="35"/>
      <c r="K245" s="35"/>
      <c r="L245" s="35"/>
      <c r="M245" s="35"/>
      <c r="N245" s="35"/>
      <c r="O245" s="35"/>
      <c r="P245" s="35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6"/>
      <c r="AV245" s="36"/>
      <c r="AW245" s="37"/>
      <c r="AX245" s="36"/>
      <c r="AY245" s="36"/>
      <c r="AZ245" s="36"/>
      <c r="BA245" s="36"/>
      <c r="BB245" s="36"/>
      <c r="BC245" s="36"/>
      <c r="BD245" s="36"/>
      <c r="BE245" s="36"/>
    </row>
    <row r="246" spans="1:57" s="43" customFormat="1" ht="24.95" customHeight="1" x14ac:dyDescent="0.25">
      <c r="A246" s="35"/>
      <c r="B246" s="35"/>
      <c r="C246" s="33" t="s">
        <v>58</v>
      </c>
      <c r="D246" s="36"/>
      <c r="E246" s="35"/>
      <c r="F246" s="35"/>
      <c r="G246" s="35"/>
      <c r="H246" s="33" t="s">
        <v>46</v>
      </c>
      <c r="I246" s="35"/>
      <c r="J246" s="35"/>
      <c r="K246" s="35"/>
      <c r="L246" s="35"/>
      <c r="M246" s="35"/>
      <c r="N246" s="35"/>
      <c r="O246" s="35"/>
      <c r="P246" s="35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6"/>
      <c r="AV246" s="36"/>
      <c r="AW246" s="37"/>
      <c r="AX246" s="36"/>
      <c r="AY246" s="36"/>
      <c r="AZ246" s="36"/>
      <c r="BA246" s="36"/>
      <c r="BB246" s="36"/>
      <c r="BC246" s="36"/>
      <c r="BD246" s="36"/>
      <c r="BE246" s="36"/>
    </row>
    <row r="247" spans="1:57" s="43" customFormat="1" ht="24.95" customHeight="1" x14ac:dyDescent="0.25">
      <c r="A247" s="35"/>
      <c r="B247" s="35"/>
      <c r="C247" s="33" t="s">
        <v>58</v>
      </c>
      <c r="D247" s="36"/>
      <c r="E247" s="35"/>
      <c r="F247" s="35"/>
      <c r="G247" s="35"/>
      <c r="H247" s="33" t="s">
        <v>46</v>
      </c>
      <c r="I247" s="35"/>
      <c r="J247" s="35"/>
      <c r="K247" s="35"/>
      <c r="L247" s="35"/>
      <c r="M247" s="35"/>
      <c r="N247" s="35"/>
      <c r="O247" s="35"/>
      <c r="P247" s="35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6"/>
      <c r="AV247" s="36"/>
      <c r="AW247" s="37"/>
      <c r="AX247" s="36"/>
      <c r="AY247" s="36"/>
      <c r="AZ247" s="36"/>
      <c r="BA247" s="36"/>
      <c r="BB247" s="36"/>
      <c r="BC247" s="36"/>
      <c r="BD247" s="36"/>
      <c r="BE247" s="36"/>
    </row>
    <row r="248" spans="1:57" s="43" customFormat="1" ht="24.95" customHeight="1" x14ac:dyDescent="0.25">
      <c r="A248" s="35"/>
      <c r="B248" s="35"/>
      <c r="C248" s="33" t="s">
        <v>58</v>
      </c>
      <c r="D248" s="36"/>
      <c r="E248" s="35"/>
      <c r="F248" s="35"/>
      <c r="G248" s="35"/>
      <c r="H248" s="33" t="s">
        <v>46</v>
      </c>
      <c r="I248" s="35"/>
      <c r="J248" s="35"/>
      <c r="K248" s="35"/>
      <c r="L248" s="35"/>
      <c r="M248" s="35"/>
      <c r="N248" s="35"/>
      <c r="O248" s="35"/>
      <c r="P248" s="35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6"/>
      <c r="AV248" s="36"/>
      <c r="AW248" s="37"/>
      <c r="AX248" s="36"/>
      <c r="AY248" s="36"/>
      <c r="AZ248" s="36"/>
      <c r="BA248" s="36"/>
      <c r="BB248" s="36"/>
      <c r="BC248" s="36"/>
      <c r="BD248" s="36"/>
      <c r="BE248" s="36"/>
    </row>
    <row r="249" spans="1:57" s="43" customFormat="1" ht="24.95" customHeight="1" x14ac:dyDescent="0.25">
      <c r="A249" s="35"/>
      <c r="B249" s="35"/>
      <c r="C249" s="33" t="s">
        <v>58</v>
      </c>
      <c r="D249" s="36"/>
      <c r="E249" s="35"/>
      <c r="F249" s="35"/>
      <c r="G249" s="35"/>
      <c r="H249" s="33" t="s">
        <v>46</v>
      </c>
      <c r="I249" s="35"/>
      <c r="J249" s="35"/>
      <c r="K249" s="35"/>
      <c r="L249" s="35"/>
      <c r="M249" s="35"/>
      <c r="N249" s="35"/>
      <c r="O249" s="35"/>
      <c r="P249" s="35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6"/>
      <c r="AV249" s="36"/>
      <c r="AW249" s="37"/>
      <c r="AX249" s="36"/>
      <c r="AY249" s="36"/>
      <c r="AZ249" s="36"/>
      <c r="BA249" s="36"/>
      <c r="BB249" s="36"/>
      <c r="BC249" s="36"/>
      <c r="BD249" s="36"/>
      <c r="BE249" s="36"/>
    </row>
    <row r="250" spans="1:57" s="43" customFormat="1" ht="24.95" customHeight="1" x14ac:dyDescent="0.25">
      <c r="A250" s="35"/>
      <c r="B250" s="35"/>
      <c r="C250" s="33" t="s">
        <v>58</v>
      </c>
      <c r="D250" s="36"/>
      <c r="E250" s="35"/>
      <c r="F250" s="35"/>
      <c r="G250" s="35"/>
      <c r="H250" s="33" t="s">
        <v>46</v>
      </c>
      <c r="I250" s="35"/>
      <c r="J250" s="35"/>
      <c r="K250" s="35"/>
      <c r="L250" s="35"/>
      <c r="M250" s="35"/>
      <c r="N250" s="35"/>
      <c r="O250" s="35"/>
      <c r="P250" s="35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6"/>
      <c r="AV250" s="36"/>
      <c r="AW250" s="37"/>
      <c r="AX250" s="36"/>
      <c r="AY250" s="36"/>
      <c r="AZ250" s="36"/>
      <c r="BA250" s="36"/>
      <c r="BB250" s="36"/>
      <c r="BC250" s="36"/>
      <c r="BD250" s="36"/>
      <c r="BE250" s="36"/>
    </row>
    <row r="251" spans="1:57" s="43" customFormat="1" ht="24.95" customHeight="1" x14ac:dyDescent="0.25">
      <c r="A251" s="35"/>
      <c r="B251" s="35"/>
      <c r="C251" s="33" t="s">
        <v>58</v>
      </c>
      <c r="D251" s="36"/>
      <c r="E251" s="35"/>
      <c r="F251" s="35"/>
      <c r="G251" s="35"/>
      <c r="H251" s="33" t="s">
        <v>46</v>
      </c>
      <c r="I251" s="35"/>
      <c r="J251" s="35"/>
      <c r="K251" s="35"/>
      <c r="L251" s="35"/>
      <c r="M251" s="35"/>
      <c r="N251" s="35"/>
      <c r="O251" s="35"/>
      <c r="P251" s="35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6"/>
      <c r="AV251" s="36"/>
      <c r="AW251" s="37"/>
      <c r="AX251" s="36"/>
      <c r="AY251" s="36"/>
      <c r="AZ251" s="36"/>
      <c r="BA251" s="36"/>
      <c r="BB251" s="36"/>
      <c r="BC251" s="36"/>
      <c r="BD251" s="36"/>
      <c r="BE251" s="36"/>
    </row>
    <row r="252" spans="1:57" s="43" customFormat="1" ht="24.95" customHeight="1" x14ac:dyDescent="0.25">
      <c r="A252" s="35"/>
      <c r="B252" s="35"/>
      <c r="C252" s="33" t="s">
        <v>58</v>
      </c>
      <c r="D252" s="36"/>
      <c r="E252" s="35"/>
      <c r="F252" s="35"/>
      <c r="G252" s="35"/>
      <c r="H252" s="33" t="s">
        <v>46</v>
      </c>
      <c r="I252" s="35"/>
      <c r="J252" s="35"/>
      <c r="K252" s="35"/>
      <c r="L252" s="35"/>
      <c r="M252" s="35"/>
      <c r="N252" s="35"/>
      <c r="O252" s="35"/>
      <c r="P252" s="35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6"/>
      <c r="AV252" s="36"/>
      <c r="AW252" s="37"/>
      <c r="AX252" s="36"/>
      <c r="AY252" s="36"/>
      <c r="AZ252" s="36"/>
      <c r="BA252" s="36"/>
      <c r="BB252" s="36"/>
      <c r="BC252" s="36"/>
      <c r="BD252" s="36"/>
      <c r="BE252" s="36"/>
    </row>
    <row r="253" spans="1:57" s="46" customFormat="1" ht="24.95" customHeight="1" x14ac:dyDescent="0.25">
      <c r="A253" s="44" t="s">
        <v>59</v>
      </c>
      <c r="B253" s="44"/>
      <c r="C253" s="45"/>
      <c r="D253" s="39"/>
      <c r="E253" s="44"/>
      <c r="F253" s="44"/>
      <c r="G253" s="44"/>
      <c r="H253" s="45"/>
      <c r="I253" s="44"/>
      <c r="J253" s="44"/>
      <c r="K253" s="44"/>
      <c r="L253" s="44"/>
      <c r="M253" s="44"/>
      <c r="N253" s="44"/>
      <c r="O253" s="44"/>
      <c r="P253" s="44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44">
        <f t="shared" ref="AG253:BE253" si="15">SUM(AG216:AG252)</f>
        <v>0</v>
      </c>
      <c r="AH253" s="44">
        <f t="shared" si="15"/>
        <v>0</v>
      </c>
      <c r="AI253" s="44">
        <f t="shared" si="15"/>
        <v>0</v>
      </c>
      <c r="AJ253" s="44">
        <f t="shared" si="15"/>
        <v>0</v>
      </c>
      <c r="AK253" s="44">
        <f t="shared" si="15"/>
        <v>0</v>
      </c>
      <c r="AL253" s="44">
        <f t="shared" si="15"/>
        <v>0</v>
      </c>
      <c r="AM253" s="44">
        <f t="shared" si="15"/>
        <v>0</v>
      </c>
      <c r="AN253" s="44">
        <f t="shared" si="15"/>
        <v>0</v>
      </c>
      <c r="AO253" s="44">
        <f t="shared" si="15"/>
        <v>0</v>
      </c>
      <c r="AP253" s="44">
        <f t="shared" si="15"/>
        <v>0</v>
      </c>
      <c r="AQ253" s="44">
        <f t="shared" si="15"/>
        <v>0</v>
      </c>
      <c r="AR253" s="44">
        <f t="shared" si="15"/>
        <v>0</v>
      </c>
      <c r="AS253" s="44">
        <f t="shared" si="15"/>
        <v>0</v>
      </c>
      <c r="AT253" s="44">
        <f t="shared" si="15"/>
        <v>0</v>
      </c>
      <c r="AU253" s="44">
        <f t="shared" si="15"/>
        <v>0</v>
      </c>
      <c r="AV253" s="44">
        <f t="shared" si="15"/>
        <v>0</v>
      </c>
      <c r="AW253" s="44">
        <f t="shared" si="15"/>
        <v>0</v>
      </c>
      <c r="AX253" s="44">
        <f t="shared" si="15"/>
        <v>0</v>
      </c>
      <c r="AY253" s="44">
        <f t="shared" si="15"/>
        <v>0</v>
      </c>
      <c r="AZ253" s="44">
        <f t="shared" si="15"/>
        <v>0</v>
      </c>
      <c r="BA253" s="47">
        <f t="shared" si="15"/>
        <v>0</v>
      </c>
      <c r="BB253" s="39">
        <f t="shared" si="15"/>
        <v>0</v>
      </c>
      <c r="BC253" s="39">
        <f t="shared" si="15"/>
        <v>0</v>
      </c>
      <c r="BD253" s="39">
        <f t="shared" si="15"/>
        <v>0</v>
      </c>
      <c r="BE253" s="44">
        <f t="shared" si="15"/>
        <v>0</v>
      </c>
    </row>
    <row r="254" spans="1:57" s="46" customFormat="1" ht="24.95" customHeight="1" x14ac:dyDescent="0.25">
      <c r="A254" s="44"/>
      <c r="B254" s="44"/>
      <c r="C254" s="45"/>
      <c r="D254" s="39"/>
      <c r="E254" s="44"/>
      <c r="F254" s="44"/>
      <c r="G254" s="44"/>
      <c r="H254" s="45"/>
      <c r="I254" s="44"/>
      <c r="J254" s="44"/>
      <c r="K254" s="44"/>
      <c r="L254" s="44"/>
      <c r="M254" s="44"/>
      <c r="N254" s="44"/>
      <c r="O254" s="44"/>
      <c r="P254" s="44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>
        <v>0</v>
      </c>
      <c r="AH254" s="39">
        <v>0</v>
      </c>
      <c r="AI254" s="39">
        <v>74</v>
      </c>
      <c r="AJ254" s="39">
        <v>38.880000000000003</v>
      </c>
      <c r="AK254" s="39">
        <v>16</v>
      </c>
      <c r="AL254" s="39">
        <v>0</v>
      </c>
      <c r="AM254" s="39">
        <v>0</v>
      </c>
      <c r="AN254" s="39">
        <v>0</v>
      </c>
      <c r="AO254" s="39">
        <v>0</v>
      </c>
      <c r="AP254" s="39">
        <v>146</v>
      </c>
      <c r="AQ254" s="39">
        <v>0</v>
      </c>
      <c r="AR254" s="39">
        <v>0</v>
      </c>
      <c r="AS254" s="39">
        <v>0</v>
      </c>
      <c r="AT254" s="39">
        <v>0</v>
      </c>
      <c r="AU254" s="39">
        <v>0</v>
      </c>
      <c r="AV254" s="39">
        <v>61</v>
      </c>
      <c r="AW254" s="39">
        <v>0</v>
      </c>
      <c r="AX254" s="39">
        <v>0</v>
      </c>
      <c r="AY254" s="39">
        <v>0</v>
      </c>
      <c r="AZ254" s="39">
        <v>0</v>
      </c>
      <c r="BA254" s="39">
        <v>0</v>
      </c>
      <c r="BB254" s="39">
        <v>69</v>
      </c>
      <c r="BC254" s="39">
        <v>0</v>
      </c>
      <c r="BD254" s="39">
        <v>1</v>
      </c>
      <c r="BE254" s="39">
        <v>0</v>
      </c>
    </row>
    <row r="255" spans="1:57" s="46" customFormat="1" ht="24.95" customHeight="1" x14ac:dyDescent="0.25">
      <c r="A255" s="44"/>
      <c r="B255" s="44"/>
      <c r="C255" s="45"/>
      <c r="D255" s="39"/>
      <c r="E255" s="44"/>
      <c r="F255" s="44"/>
      <c r="G255" s="44"/>
      <c r="H255" s="45"/>
      <c r="I255" s="44"/>
      <c r="J255" s="44"/>
      <c r="K255" s="44"/>
      <c r="L255" s="44"/>
      <c r="M255" s="44"/>
      <c r="N255" s="44"/>
      <c r="O255" s="44"/>
      <c r="P255" s="44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44">
        <f>AG253-AG254</f>
        <v>0</v>
      </c>
      <c r="AH255" s="44">
        <f t="shared" ref="AH255:BE255" si="16">AH253-AH254</f>
        <v>0</v>
      </c>
      <c r="AI255" s="44">
        <f t="shared" si="16"/>
        <v>-74</v>
      </c>
      <c r="AJ255" s="44">
        <f t="shared" si="16"/>
        <v>-38.880000000000003</v>
      </c>
      <c r="AK255" s="44">
        <f t="shared" si="16"/>
        <v>-16</v>
      </c>
      <c r="AL255" s="44">
        <f t="shared" si="16"/>
        <v>0</v>
      </c>
      <c r="AM255" s="44">
        <f t="shared" si="16"/>
        <v>0</v>
      </c>
      <c r="AN255" s="44">
        <f t="shared" si="16"/>
        <v>0</v>
      </c>
      <c r="AO255" s="44">
        <f t="shared" si="16"/>
        <v>0</v>
      </c>
      <c r="AP255" s="44">
        <f t="shared" si="16"/>
        <v>-146</v>
      </c>
      <c r="AQ255" s="44">
        <f t="shared" si="16"/>
        <v>0</v>
      </c>
      <c r="AR255" s="44">
        <f t="shared" si="16"/>
        <v>0</v>
      </c>
      <c r="AS255" s="44">
        <f t="shared" si="16"/>
        <v>0</v>
      </c>
      <c r="AT255" s="44">
        <f t="shared" si="16"/>
        <v>0</v>
      </c>
      <c r="AU255" s="44">
        <f t="shared" si="16"/>
        <v>0</v>
      </c>
      <c r="AV255" s="44">
        <f t="shared" si="16"/>
        <v>-61</v>
      </c>
      <c r="AW255" s="44">
        <f t="shared" si="16"/>
        <v>0</v>
      </c>
      <c r="AX255" s="44">
        <f t="shared" si="16"/>
        <v>0</v>
      </c>
      <c r="AY255" s="44">
        <f t="shared" si="16"/>
        <v>0</v>
      </c>
      <c r="AZ255" s="44">
        <f t="shared" si="16"/>
        <v>0</v>
      </c>
      <c r="BA255" s="44">
        <f t="shared" si="16"/>
        <v>0</v>
      </c>
      <c r="BB255" s="44">
        <f t="shared" si="16"/>
        <v>-69</v>
      </c>
      <c r="BC255" s="44">
        <f t="shared" si="16"/>
        <v>0</v>
      </c>
      <c r="BD255" s="44">
        <f t="shared" si="16"/>
        <v>-1</v>
      </c>
      <c r="BE255" s="44">
        <f t="shared" si="16"/>
        <v>0</v>
      </c>
    </row>
    <row r="256" spans="1:57" s="43" customFormat="1" ht="24.95" customHeight="1" x14ac:dyDescent="0.25">
      <c r="A256" s="35"/>
      <c r="B256" s="35"/>
      <c r="C256" s="33" t="s">
        <v>60</v>
      </c>
      <c r="D256" s="36"/>
      <c r="E256" s="35"/>
      <c r="F256" s="35"/>
      <c r="G256" s="35"/>
      <c r="H256" s="33" t="s">
        <v>46</v>
      </c>
      <c r="I256" s="35"/>
      <c r="J256" s="35"/>
      <c r="K256" s="35"/>
      <c r="L256" s="35"/>
      <c r="M256" s="35"/>
      <c r="N256" s="35"/>
      <c r="O256" s="35"/>
      <c r="P256" s="35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6"/>
      <c r="AV256" s="36"/>
      <c r="AW256" s="37"/>
      <c r="AX256" s="36"/>
      <c r="AY256" s="36"/>
      <c r="AZ256" s="36"/>
      <c r="BA256" s="36"/>
      <c r="BB256" s="36"/>
      <c r="BC256" s="36"/>
      <c r="BD256" s="36"/>
      <c r="BE256" s="36"/>
    </row>
    <row r="257" spans="1:57" s="43" customFormat="1" ht="24.95" customHeight="1" x14ac:dyDescent="0.25">
      <c r="A257" s="35"/>
      <c r="B257" s="35"/>
      <c r="C257" s="33" t="s">
        <v>60</v>
      </c>
      <c r="D257" s="36"/>
      <c r="E257" s="35"/>
      <c r="F257" s="35"/>
      <c r="G257" s="35"/>
      <c r="H257" s="33" t="s">
        <v>46</v>
      </c>
      <c r="I257" s="35"/>
      <c r="J257" s="35"/>
      <c r="K257" s="35"/>
      <c r="L257" s="35"/>
      <c r="M257" s="35"/>
      <c r="N257" s="35"/>
      <c r="O257" s="35"/>
      <c r="P257" s="35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6"/>
      <c r="AV257" s="36"/>
      <c r="AW257" s="37"/>
      <c r="AX257" s="36"/>
      <c r="AY257" s="36"/>
      <c r="AZ257" s="36"/>
      <c r="BA257" s="36"/>
      <c r="BB257" s="36"/>
      <c r="BC257" s="36"/>
      <c r="BD257" s="36"/>
      <c r="BE257" s="36"/>
    </row>
    <row r="258" spans="1:57" s="43" customFormat="1" ht="24.95" customHeight="1" x14ac:dyDescent="0.25">
      <c r="A258" s="35"/>
      <c r="B258" s="35"/>
      <c r="C258" s="33" t="s">
        <v>60</v>
      </c>
      <c r="D258" s="36"/>
      <c r="E258" s="35"/>
      <c r="F258" s="35"/>
      <c r="G258" s="35"/>
      <c r="H258" s="33" t="s">
        <v>46</v>
      </c>
      <c r="I258" s="35"/>
      <c r="J258" s="35"/>
      <c r="K258" s="35"/>
      <c r="L258" s="35"/>
      <c r="M258" s="35"/>
      <c r="N258" s="35"/>
      <c r="O258" s="35"/>
      <c r="P258" s="35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6"/>
      <c r="AV258" s="36"/>
      <c r="AW258" s="37"/>
      <c r="AX258" s="36"/>
      <c r="AY258" s="36"/>
      <c r="AZ258" s="36"/>
      <c r="BA258" s="36"/>
      <c r="BB258" s="36"/>
      <c r="BC258" s="36"/>
      <c r="BD258" s="36"/>
      <c r="BE258" s="36"/>
    </row>
    <row r="259" spans="1:57" s="43" customFormat="1" ht="24.95" customHeight="1" x14ac:dyDescent="0.25">
      <c r="A259" s="35"/>
      <c r="B259" s="35"/>
      <c r="C259" s="33" t="s">
        <v>60</v>
      </c>
      <c r="D259" s="36"/>
      <c r="E259" s="35"/>
      <c r="F259" s="35"/>
      <c r="G259" s="35"/>
      <c r="H259" s="33" t="s">
        <v>46</v>
      </c>
      <c r="I259" s="35"/>
      <c r="J259" s="35"/>
      <c r="K259" s="35"/>
      <c r="L259" s="35"/>
      <c r="M259" s="35"/>
      <c r="N259" s="35"/>
      <c r="O259" s="35"/>
      <c r="P259" s="35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6"/>
      <c r="AV259" s="36"/>
      <c r="AW259" s="37"/>
      <c r="AX259" s="36"/>
      <c r="AY259" s="36"/>
      <c r="AZ259" s="36"/>
      <c r="BA259" s="36"/>
      <c r="BB259" s="36"/>
      <c r="BC259" s="36"/>
      <c r="BD259" s="36"/>
      <c r="BE259" s="36"/>
    </row>
    <row r="260" spans="1:57" s="43" customFormat="1" ht="24.95" customHeight="1" x14ac:dyDescent="0.25">
      <c r="A260" s="35"/>
      <c r="B260" s="35"/>
      <c r="C260" s="33" t="s">
        <v>60</v>
      </c>
      <c r="D260" s="36"/>
      <c r="E260" s="35"/>
      <c r="F260" s="35"/>
      <c r="G260" s="35"/>
      <c r="H260" s="33" t="s">
        <v>46</v>
      </c>
      <c r="I260" s="35"/>
      <c r="J260" s="35"/>
      <c r="K260" s="35"/>
      <c r="L260" s="35"/>
      <c r="M260" s="35"/>
      <c r="N260" s="35"/>
      <c r="O260" s="35"/>
      <c r="P260" s="35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6"/>
      <c r="AV260" s="36"/>
      <c r="AW260" s="37"/>
      <c r="AX260" s="36"/>
      <c r="AY260" s="36"/>
      <c r="AZ260" s="36"/>
      <c r="BA260" s="36"/>
      <c r="BB260" s="36"/>
      <c r="BC260" s="36"/>
      <c r="BD260" s="36"/>
      <c r="BE260" s="36"/>
    </row>
    <row r="261" spans="1:57" s="43" customFormat="1" ht="24.95" customHeight="1" x14ac:dyDescent="0.25">
      <c r="A261" s="35"/>
      <c r="B261" s="35"/>
      <c r="C261" s="33" t="s">
        <v>60</v>
      </c>
      <c r="D261" s="36"/>
      <c r="E261" s="35"/>
      <c r="F261" s="35"/>
      <c r="G261" s="35"/>
      <c r="H261" s="33" t="s">
        <v>46</v>
      </c>
      <c r="I261" s="35"/>
      <c r="J261" s="35"/>
      <c r="K261" s="35"/>
      <c r="L261" s="35"/>
      <c r="M261" s="35"/>
      <c r="N261" s="35"/>
      <c r="O261" s="35"/>
      <c r="P261" s="35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6"/>
      <c r="AV261" s="36"/>
      <c r="AW261" s="37"/>
      <c r="AX261" s="36"/>
      <c r="AY261" s="36"/>
      <c r="AZ261" s="36"/>
      <c r="BA261" s="36"/>
      <c r="BB261" s="36"/>
      <c r="BC261" s="36"/>
      <c r="BD261" s="36"/>
      <c r="BE261" s="36"/>
    </row>
    <row r="262" spans="1:57" s="43" customFormat="1" ht="24.95" customHeight="1" x14ac:dyDescent="0.25">
      <c r="A262" s="35"/>
      <c r="B262" s="35"/>
      <c r="C262" s="33" t="s">
        <v>60</v>
      </c>
      <c r="D262" s="36"/>
      <c r="E262" s="35"/>
      <c r="F262" s="35"/>
      <c r="G262" s="35"/>
      <c r="H262" s="33" t="s">
        <v>46</v>
      </c>
      <c r="I262" s="35"/>
      <c r="J262" s="35"/>
      <c r="K262" s="35"/>
      <c r="L262" s="35"/>
      <c r="M262" s="35"/>
      <c r="N262" s="35"/>
      <c r="O262" s="35"/>
      <c r="P262" s="35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6"/>
      <c r="AV262" s="36"/>
      <c r="AW262" s="37"/>
      <c r="AX262" s="36"/>
      <c r="AY262" s="36"/>
      <c r="AZ262" s="36"/>
      <c r="BA262" s="36"/>
      <c r="BB262" s="36"/>
      <c r="BC262" s="36"/>
      <c r="BD262" s="36"/>
      <c r="BE262" s="36"/>
    </row>
    <row r="263" spans="1:57" s="43" customFormat="1" ht="24.95" customHeight="1" x14ac:dyDescent="0.25">
      <c r="A263" s="35"/>
      <c r="B263" s="35"/>
      <c r="C263" s="33" t="s">
        <v>60</v>
      </c>
      <c r="D263" s="36"/>
      <c r="E263" s="35"/>
      <c r="F263" s="35"/>
      <c r="G263" s="35"/>
      <c r="H263" s="33" t="s">
        <v>46</v>
      </c>
      <c r="I263" s="35"/>
      <c r="J263" s="35"/>
      <c r="K263" s="35"/>
      <c r="L263" s="35"/>
      <c r="M263" s="35"/>
      <c r="N263" s="35"/>
      <c r="O263" s="35"/>
      <c r="P263" s="35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6"/>
      <c r="AV263" s="36"/>
      <c r="AW263" s="37"/>
      <c r="AX263" s="36"/>
      <c r="AY263" s="36"/>
      <c r="AZ263" s="36"/>
      <c r="BA263" s="36"/>
      <c r="BB263" s="36"/>
      <c r="BC263" s="36"/>
      <c r="BD263" s="36"/>
      <c r="BE263" s="36"/>
    </row>
    <row r="264" spans="1:57" s="43" customFormat="1" ht="24.95" customHeight="1" x14ac:dyDescent="0.25">
      <c r="A264" s="35"/>
      <c r="B264" s="35"/>
      <c r="C264" s="33" t="s">
        <v>60</v>
      </c>
      <c r="D264" s="36"/>
      <c r="E264" s="35"/>
      <c r="F264" s="35"/>
      <c r="G264" s="35"/>
      <c r="H264" s="33" t="s">
        <v>46</v>
      </c>
      <c r="I264" s="35"/>
      <c r="J264" s="35"/>
      <c r="K264" s="35"/>
      <c r="L264" s="35"/>
      <c r="M264" s="35"/>
      <c r="N264" s="35"/>
      <c r="O264" s="35"/>
      <c r="P264" s="35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6"/>
      <c r="AV264" s="36"/>
      <c r="AW264" s="37"/>
      <c r="AX264" s="36"/>
      <c r="AY264" s="36"/>
      <c r="AZ264" s="36"/>
      <c r="BA264" s="36"/>
      <c r="BB264" s="36"/>
      <c r="BC264" s="36"/>
      <c r="BD264" s="36"/>
      <c r="BE264" s="36"/>
    </row>
    <row r="265" spans="1:57" s="43" customFormat="1" ht="24.95" customHeight="1" x14ac:dyDescent="0.25">
      <c r="A265" s="35"/>
      <c r="B265" s="35"/>
      <c r="C265" s="33" t="s">
        <v>60</v>
      </c>
      <c r="D265" s="36"/>
      <c r="E265" s="35"/>
      <c r="F265" s="35"/>
      <c r="G265" s="35"/>
      <c r="H265" s="33" t="s">
        <v>46</v>
      </c>
      <c r="I265" s="35"/>
      <c r="J265" s="35"/>
      <c r="K265" s="35"/>
      <c r="L265" s="35"/>
      <c r="M265" s="35"/>
      <c r="N265" s="35"/>
      <c r="O265" s="35"/>
      <c r="P265" s="35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6"/>
      <c r="AV265" s="36"/>
      <c r="AW265" s="37"/>
      <c r="AX265" s="36"/>
      <c r="AY265" s="36"/>
      <c r="AZ265" s="36"/>
      <c r="BA265" s="36"/>
      <c r="BB265" s="36"/>
      <c r="BC265" s="36"/>
      <c r="BD265" s="36"/>
      <c r="BE265" s="36"/>
    </row>
    <row r="266" spans="1:57" s="43" customFormat="1" ht="24.95" customHeight="1" x14ac:dyDescent="0.25">
      <c r="A266" s="35"/>
      <c r="B266" s="35"/>
      <c r="C266" s="33" t="s">
        <v>60</v>
      </c>
      <c r="D266" s="36"/>
      <c r="E266" s="35"/>
      <c r="F266" s="35"/>
      <c r="G266" s="35"/>
      <c r="H266" s="33" t="s">
        <v>46</v>
      </c>
      <c r="I266" s="35"/>
      <c r="J266" s="35"/>
      <c r="K266" s="35"/>
      <c r="L266" s="35"/>
      <c r="M266" s="35"/>
      <c r="N266" s="35"/>
      <c r="O266" s="35"/>
      <c r="P266" s="35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6"/>
      <c r="AV266" s="36"/>
      <c r="AW266" s="37"/>
      <c r="AX266" s="36"/>
      <c r="AY266" s="36"/>
      <c r="AZ266" s="36"/>
      <c r="BA266" s="36"/>
      <c r="BB266" s="36"/>
      <c r="BC266" s="36"/>
      <c r="BD266" s="36"/>
      <c r="BE266" s="36"/>
    </row>
    <row r="267" spans="1:57" s="43" customFormat="1" ht="24.95" customHeight="1" x14ac:dyDescent="0.25">
      <c r="A267" s="35"/>
      <c r="B267" s="35"/>
      <c r="C267" s="33" t="s">
        <v>60</v>
      </c>
      <c r="D267" s="36"/>
      <c r="E267" s="35"/>
      <c r="F267" s="35"/>
      <c r="G267" s="35"/>
      <c r="H267" s="33" t="s">
        <v>46</v>
      </c>
      <c r="I267" s="35"/>
      <c r="J267" s="35"/>
      <c r="K267" s="35"/>
      <c r="L267" s="35"/>
      <c r="M267" s="35"/>
      <c r="N267" s="35"/>
      <c r="O267" s="35"/>
      <c r="P267" s="35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6"/>
      <c r="AV267" s="36"/>
      <c r="AW267" s="37"/>
      <c r="AX267" s="36"/>
      <c r="AY267" s="36"/>
      <c r="AZ267" s="36"/>
      <c r="BA267" s="36"/>
      <c r="BB267" s="36"/>
      <c r="BC267" s="36"/>
      <c r="BD267" s="36"/>
      <c r="BE267" s="36"/>
    </row>
    <row r="268" spans="1:57" s="43" customFormat="1" ht="24.95" customHeight="1" x14ac:dyDescent="0.25">
      <c r="A268" s="35"/>
      <c r="B268" s="35"/>
      <c r="C268" s="33" t="s">
        <v>60</v>
      </c>
      <c r="D268" s="36"/>
      <c r="E268" s="35"/>
      <c r="F268" s="35"/>
      <c r="G268" s="35"/>
      <c r="H268" s="33" t="s">
        <v>46</v>
      </c>
      <c r="I268" s="35"/>
      <c r="J268" s="35"/>
      <c r="K268" s="35"/>
      <c r="L268" s="35"/>
      <c r="M268" s="35"/>
      <c r="N268" s="35"/>
      <c r="O268" s="35"/>
      <c r="P268" s="35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6"/>
      <c r="AV268" s="36"/>
      <c r="AW268" s="37"/>
      <c r="AX268" s="36"/>
      <c r="AY268" s="36"/>
      <c r="AZ268" s="36"/>
      <c r="BA268" s="36"/>
      <c r="BB268" s="36"/>
      <c r="BC268" s="36"/>
      <c r="BD268" s="36"/>
      <c r="BE268" s="36"/>
    </row>
    <row r="269" spans="1:57" s="43" customFormat="1" ht="24.95" customHeight="1" x14ac:dyDescent="0.25">
      <c r="A269" s="35"/>
      <c r="B269" s="35"/>
      <c r="C269" s="33" t="s">
        <v>60</v>
      </c>
      <c r="D269" s="36"/>
      <c r="E269" s="35"/>
      <c r="F269" s="35"/>
      <c r="G269" s="35"/>
      <c r="H269" s="33" t="s">
        <v>46</v>
      </c>
      <c r="I269" s="35"/>
      <c r="J269" s="35"/>
      <c r="K269" s="35"/>
      <c r="L269" s="35"/>
      <c r="M269" s="35"/>
      <c r="N269" s="35"/>
      <c r="O269" s="35"/>
      <c r="P269" s="35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6"/>
      <c r="AV269" s="36"/>
      <c r="AW269" s="37"/>
      <c r="AX269" s="36"/>
      <c r="AY269" s="36"/>
      <c r="AZ269" s="36"/>
      <c r="BA269" s="36"/>
      <c r="BB269" s="36"/>
      <c r="BC269" s="36"/>
      <c r="BD269" s="36"/>
      <c r="BE269" s="36"/>
    </row>
    <row r="270" spans="1:57" s="43" customFormat="1" ht="24.95" customHeight="1" x14ac:dyDescent="0.25">
      <c r="A270" s="35"/>
      <c r="B270" s="35"/>
      <c r="C270" s="33" t="s">
        <v>60</v>
      </c>
      <c r="D270" s="36"/>
      <c r="E270" s="35"/>
      <c r="F270" s="35"/>
      <c r="G270" s="35"/>
      <c r="H270" s="33" t="s">
        <v>46</v>
      </c>
      <c r="I270" s="35"/>
      <c r="J270" s="35"/>
      <c r="K270" s="35"/>
      <c r="L270" s="35"/>
      <c r="M270" s="35"/>
      <c r="N270" s="35"/>
      <c r="O270" s="35"/>
      <c r="P270" s="35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6"/>
      <c r="AV270" s="36"/>
      <c r="AW270" s="37"/>
      <c r="AX270" s="36"/>
      <c r="AY270" s="36"/>
      <c r="AZ270" s="36"/>
      <c r="BA270" s="36"/>
      <c r="BB270" s="36"/>
      <c r="BC270" s="36"/>
      <c r="BD270" s="36"/>
      <c r="BE270" s="36"/>
    </row>
    <row r="271" spans="1:57" s="43" customFormat="1" ht="24.95" customHeight="1" x14ac:dyDescent="0.25">
      <c r="A271" s="35"/>
      <c r="B271" s="35"/>
      <c r="C271" s="33" t="s">
        <v>60</v>
      </c>
      <c r="D271" s="36"/>
      <c r="E271" s="35"/>
      <c r="F271" s="35"/>
      <c r="G271" s="35"/>
      <c r="H271" s="33" t="s">
        <v>46</v>
      </c>
      <c r="I271" s="35"/>
      <c r="J271" s="35"/>
      <c r="K271" s="35"/>
      <c r="L271" s="35"/>
      <c r="M271" s="35"/>
      <c r="N271" s="35"/>
      <c r="O271" s="35"/>
      <c r="P271" s="35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6"/>
      <c r="AV271" s="36"/>
      <c r="AW271" s="37"/>
      <c r="AX271" s="36"/>
      <c r="AY271" s="36"/>
      <c r="AZ271" s="36"/>
      <c r="BA271" s="36"/>
      <c r="BB271" s="36"/>
      <c r="BC271" s="36"/>
      <c r="BD271" s="36"/>
      <c r="BE271" s="36"/>
    </row>
    <row r="272" spans="1:57" s="43" customFormat="1" ht="24.95" customHeight="1" x14ac:dyDescent="0.25">
      <c r="A272" s="35"/>
      <c r="B272" s="35"/>
      <c r="C272" s="33" t="s">
        <v>60</v>
      </c>
      <c r="D272" s="36"/>
      <c r="E272" s="35"/>
      <c r="F272" s="35"/>
      <c r="G272" s="35"/>
      <c r="H272" s="33" t="s">
        <v>46</v>
      </c>
      <c r="I272" s="35"/>
      <c r="J272" s="35"/>
      <c r="K272" s="35"/>
      <c r="L272" s="35"/>
      <c r="M272" s="35"/>
      <c r="N272" s="35"/>
      <c r="O272" s="35"/>
      <c r="P272" s="35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6"/>
      <c r="AV272" s="36"/>
      <c r="AW272" s="37"/>
      <c r="AX272" s="36"/>
      <c r="AY272" s="36"/>
      <c r="AZ272" s="36"/>
      <c r="BA272" s="36"/>
      <c r="BB272" s="36"/>
      <c r="BC272" s="36"/>
      <c r="BD272" s="36"/>
      <c r="BE272" s="36"/>
    </row>
    <row r="273" spans="1:57" s="43" customFormat="1" ht="24.95" customHeight="1" x14ac:dyDescent="0.25">
      <c r="A273" s="35"/>
      <c r="B273" s="35"/>
      <c r="C273" s="33" t="s">
        <v>60</v>
      </c>
      <c r="D273" s="36"/>
      <c r="E273" s="35"/>
      <c r="F273" s="35"/>
      <c r="G273" s="35"/>
      <c r="H273" s="33" t="s">
        <v>46</v>
      </c>
      <c r="I273" s="35"/>
      <c r="J273" s="35"/>
      <c r="K273" s="35"/>
      <c r="L273" s="35"/>
      <c r="M273" s="35"/>
      <c r="N273" s="35"/>
      <c r="O273" s="35"/>
      <c r="P273" s="35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6"/>
      <c r="AV273" s="36"/>
      <c r="AW273" s="37"/>
      <c r="AX273" s="36"/>
      <c r="AY273" s="36"/>
      <c r="AZ273" s="36"/>
      <c r="BA273" s="36"/>
      <c r="BB273" s="36"/>
      <c r="BC273" s="36"/>
      <c r="BD273" s="36"/>
      <c r="BE273" s="36"/>
    </row>
    <row r="274" spans="1:57" s="43" customFormat="1" ht="24.95" customHeight="1" x14ac:dyDescent="0.25">
      <c r="A274" s="35"/>
      <c r="B274" s="35"/>
      <c r="C274" s="33" t="s">
        <v>60</v>
      </c>
      <c r="D274" s="36"/>
      <c r="E274" s="35"/>
      <c r="F274" s="35"/>
      <c r="G274" s="35"/>
      <c r="H274" s="33" t="s">
        <v>46</v>
      </c>
      <c r="I274" s="35"/>
      <c r="J274" s="35"/>
      <c r="K274" s="35"/>
      <c r="L274" s="35"/>
      <c r="M274" s="35"/>
      <c r="N274" s="35"/>
      <c r="O274" s="35"/>
      <c r="P274" s="35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6"/>
      <c r="AV274" s="36"/>
      <c r="AW274" s="37"/>
      <c r="AX274" s="36"/>
      <c r="AY274" s="36"/>
      <c r="AZ274" s="36"/>
      <c r="BA274" s="36"/>
      <c r="BB274" s="36"/>
      <c r="BC274" s="36"/>
      <c r="BD274" s="36"/>
      <c r="BE274" s="36"/>
    </row>
    <row r="275" spans="1:57" s="43" customFormat="1" ht="24.95" customHeight="1" x14ac:dyDescent="0.25">
      <c r="A275" s="35"/>
      <c r="B275" s="35"/>
      <c r="C275" s="33" t="s">
        <v>60</v>
      </c>
      <c r="D275" s="36"/>
      <c r="E275" s="35"/>
      <c r="F275" s="35"/>
      <c r="G275" s="35"/>
      <c r="H275" s="33" t="s">
        <v>46</v>
      </c>
      <c r="I275" s="35"/>
      <c r="J275" s="35"/>
      <c r="K275" s="35"/>
      <c r="L275" s="35"/>
      <c r="M275" s="35"/>
      <c r="N275" s="35"/>
      <c r="O275" s="35"/>
      <c r="P275" s="35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6"/>
      <c r="AV275" s="36"/>
      <c r="AW275" s="37"/>
      <c r="AX275" s="36"/>
      <c r="AY275" s="36"/>
      <c r="AZ275" s="36"/>
      <c r="BA275" s="36"/>
      <c r="BB275" s="36"/>
      <c r="BC275" s="36"/>
      <c r="BD275" s="36"/>
      <c r="BE275" s="36"/>
    </row>
    <row r="276" spans="1:57" s="43" customFormat="1" ht="24.95" customHeight="1" x14ac:dyDescent="0.25">
      <c r="A276" s="35"/>
      <c r="B276" s="35"/>
      <c r="C276" s="33" t="s">
        <v>60</v>
      </c>
      <c r="D276" s="36"/>
      <c r="E276" s="35"/>
      <c r="F276" s="35"/>
      <c r="G276" s="35"/>
      <c r="H276" s="33" t="s">
        <v>46</v>
      </c>
      <c r="I276" s="35"/>
      <c r="J276" s="35"/>
      <c r="K276" s="35"/>
      <c r="L276" s="35"/>
      <c r="M276" s="35"/>
      <c r="N276" s="35"/>
      <c r="O276" s="35"/>
      <c r="P276" s="35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6"/>
      <c r="AV276" s="36"/>
      <c r="AW276" s="37"/>
      <c r="AX276" s="36"/>
      <c r="AY276" s="36"/>
      <c r="AZ276" s="36"/>
      <c r="BA276" s="36"/>
      <c r="BB276" s="36"/>
      <c r="BC276" s="36"/>
      <c r="BD276" s="36"/>
      <c r="BE276" s="36"/>
    </row>
    <row r="277" spans="1:57" s="43" customFormat="1" ht="24.95" customHeight="1" x14ac:dyDescent="0.25">
      <c r="A277" s="35"/>
      <c r="B277" s="35"/>
      <c r="C277" s="33" t="s">
        <v>60</v>
      </c>
      <c r="D277" s="36"/>
      <c r="E277" s="35"/>
      <c r="F277" s="35"/>
      <c r="G277" s="35"/>
      <c r="H277" s="33" t="s">
        <v>46</v>
      </c>
      <c r="I277" s="35"/>
      <c r="J277" s="35"/>
      <c r="K277" s="35"/>
      <c r="L277" s="35"/>
      <c r="M277" s="35"/>
      <c r="N277" s="35"/>
      <c r="O277" s="35"/>
      <c r="P277" s="35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6"/>
      <c r="AV277" s="36"/>
      <c r="AW277" s="37"/>
      <c r="AX277" s="36"/>
      <c r="AY277" s="36"/>
      <c r="AZ277" s="36"/>
      <c r="BA277" s="36"/>
      <c r="BB277" s="36"/>
      <c r="BC277" s="36"/>
      <c r="BD277" s="36"/>
      <c r="BE277" s="36"/>
    </row>
    <row r="278" spans="1:57" s="43" customFormat="1" ht="24.95" customHeight="1" x14ac:dyDescent="0.25">
      <c r="A278" s="35"/>
      <c r="B278" s="35"/>
      <c r="C278" s="33" t="s">
        <v>60</v>
      </c>
      <c r="D278" s="36"/>
      <c r="E278" s="35"/>
      <c r="F278" s="35"/>
      <c r="G278" s="35"/>
      <c r="H278" s="33" t="s">
        <v>46</v>
      </c>
      <c r="I278" s="35"/>
      <c r="J278" s="35"/>
      <c r="K278" s="35"/>
      <c r="L278" s="35"/>
      <c r="M278" s="35"/>
      <c r="N278" s="35"/>
      <c r="O278" s="35"/>
      <c r="P278" s="35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6"/>
      <c r="AV278" s="36"/>
      <c r="AW278" s="37"/>
      <c r="AX278" s="36"/>
      <c r="AY278" s="36"/>
      <c r="AZ278" s="36"/>
      <c r="BA278" s="36"/>
      <c r="BB278" s="36"/>
      <c r="BC278" s="36"/>
      <c r="BD278" s="36"/>
      <c r="BE278" s="36"/>
    </row>
    <row r="279" spans="1:57" s="43" customFormat="1" ht="24.95" customHeight="1" x14ac:dyDescent="0.25">
      <c r="A279" s="35"/>
      <c r="B279" s="35"/>
      <c r="C279" s="33" t="s">
        <v>60</v>
      </c>
      <c r="D279" s="36"/>
      <c r="E279" s="35"/>
      <c r="F279" s="35"/>
      <c r="G279" s="35"/>
      <c r="H279" s="33" t="s">
        <v>46</v>
      </c>
      <c r="I279" s="35"/>
      <c r="J279" s="35"/>
      <c r="K279" s="35"/>
      <c r="L279" s="35"/>
      <c r="M279" s="35"/>
      <c r="N279" s="35"/>
      <c r="O279" s="35"/>
      <c r="P279" s="35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6"/>
      <c r="AV279" s="36"/>
      <c r="AW279" s="37"/>
      <c r="AX279" s="36"/>
      <c r="AY279" s="36"/>
      <c r="AZ279" s="36"/>
      <c r="BA279" s="36"/>
      <c r="BB279" s="36"/>
      <c r="BC279" s="36"/>
      <c r="BD279" s="36"/>
      <c r="BE279" s="36"/>
    </row>
    <row r="280" spans="1:57" s="43" customFormat="1" ht="24.95" customHeight="1" x14ac:dyDescent="0.25">
      <c r="A280" s="35"/>
      <c r="B280" s="35"/>
      <c r="C280" s="33" t="s">
        <v>60</v>
      </c>
      <c r="D280" s="36"/>
      <c r="E280" s="35"/>
      <c r="F280" s="35"/>
      <c r="G280" s="35"/>
      <c r="H280" s="33" t="s">
        <v>46</v>
      </c>
      <c r="I280" s="35"/>
      <c r="J280" s="35"/>
      <c r="K280" s="35"/>
      <c r="L280" s="35"/>
      <c r="M280" s="35"/>
      <c r="N280" s="35"/>
      <c r="O280" s="35"/>
      <c r="P280" s="35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6"/>
      <c r="AV280" s="36"/>
      <c r="AW280" s="37"/>
      <c r="AX280" s="36"/>
      <c r="AY280" s="36"/>
      <c r="AZ280" s="36"/>
      <c r="BA280" s="36"/>
      <c r="BB280" s="36"/>
      <c r="BC280" s="36"/>
      <c r="BD280" s="36"/>
      <c r="BE280" s="36"/>
    </row>
    <row r="281" spans="1:57" s="43" customFormat="1" ht="24.95" customHeight="1" x14ac:dyDescent="0.25">
      <c r="A281" s="35"/>
      <c r="B281" s="35"/>
      <c r="C281" s="33" t="s">
        <v>60</v>
      </c>
      <c r="D281" s="36"/>
      <c r="E281" s="35"/>
      <c r="F281" s="35"/>
      <c r="G281" s="35"/>
      <c r="H281" s="33" t="s">
        <v>46</v>
      </c>
      <c r="I281" s="35"/>
      <c r="J281" s="35"/>
      <c r="K281" s="35"/>
      <c r="L281" s="35"/>
      <c r="M281" s="35"/>
      <c r="N281" s="35"/>
      <c r="O281" s="35"/>
      <c r="P281" s="35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6"/>
      <c r="AV281" s="36"/>
      <c r="AW281" s="37"/>
      <c r="AX281" s="36"/>
      <c r="AY281" s="36"/>
      <c r="AZ281" s="36"/>
      <c r="BA281" s="36"/>
      <c r="BB281" s="36"/>
      <c r="BC281" s="36"/>
      <c r="BD281" s="36"/>
      <c r="BE281" s="36"/>
    </row>
    <row r="282" spans="1:57" s="43" customFormat="1" ht="24.95" customHeight="1" x14ac:dyDescent="0.25">
      <c r="A282" s="35"/>
      <c r="B282" s="35"/>
      <c r="C282" s="33" t="s">
        <v>60</v>
      </c>
      <c r="D282" s="36"/>
      <c r="E282" s="35"/>
      <c r="F282" s="35"/>
      <c r="G282" s="35"/>
      <c r="H282" s="33" t="s">
        <v>46</v>
      </c>
      <c r="I282" s="35"/>
      <c r="J282" s="35"/>
      <c r="K282" s="35"/>
      <c r="L282" s="35"/>
      <c r="M282" s="35"/>
      <c r="N282" s="35"/>
      <c r="O282" s="35"/>
      <c r="P282" s="35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6"/>
      <c r="AV282" s="36"/>
      <c r="AW282" s="37"/>
      <c r="AX282" s="36"/>
      <c r="AY282" s="36"/>
      <c r="AZ282" s="36"/>
      <c r="BA282" s="36"/>
      <c r="BB282" s="36"/>
      <c r="BC282" s="36"/>
      <c r="BD282" s="36"/>
      <c r="BE282" s="36"/>
    </row>
    <row r="283" spans="1:57" s="43" customFormat="1" ht="24.95" customHeight="1" x14ac:dyDescent="0.25">
      <c r="A283" s="35"/>
      <c r="B283" s="35"/>
      <c r="C283" s="33" t="s">
        <v>60</v>
      </c>
      <c r="D283" s="36"/>
      <c r="E283" s="35"/>
      <c r="F283" s="35"/>
      <c r="G283" s="35"/>
      <c r="H283" s="33" t="s">
        <v>46</v>
      </c>
      <c r="I283" s="35"/>
      <c r="J283" s="35"/>
      <c r="K283" s="35"/>
      <c r="L283" s="35"/>
      <c r="M283" s="35"/>
      <c r="N283" s="35"/>
      <c r="O283" s="35"/>
      <c r="P283" s="35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6"/>
      <c r="AV283" s="36"/>
      <c r="AW283" s="37"/>
      <c r="AX283" s="36"/>
      <c r="AY283" s="36"/>
      <c r="AZ283" s="36"/>
      <c r="BA283" s="36"/>
      <c r="BB283" s="36"/>
      <c r="BC283" s="36"/>
      <c r="BD283" s="36"/>
      <c r="BE283" s="36"/>
    </row>
    <row r="284" spans="1:57" s="43" customFormat="1" ht="24.95" customHeight="1" x14ac:dyDescent="0.25">
      <c r="A284" s="35"/>
      <c r="B284" s="35"/>
      <c r="C284" s="33" t="s">
        <v>60</v>
      </c>
      <c r="D284" s="36"/>
      <c r="E284" s="35"/>
      <c r="F284" s="35"/>
      <c r="G284" s="35"/>
      <c r="H284" s="33" t="s">
        <v>46</v>
      </c>
      <c r="I284" s="35"/>
      <c r="J284" s="35"/>
      <c r="K284" s="35"/>
      <c r="L284" s="35"/>
      <c r="M284" s="35"/>
      <c r="N284" s="35"/>
      <c r="O284" s="35"/>
      <c r="P284" s="35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6"/>
      <c r="AV284" s="36"/>
      <c r="AW284" s="37"/>
      <c r="AX284" s="36"/>
      <c r="AY284" s="36"/>
      <c r="AZ284" s="36"/>
      <c r="BA284" s="36"/>
      <c r="BB284" s="36"/>
      <c r="BC284" s="36"/>
      <c r="BD284" s="36"/>
      <c r="BE284" s="36"/>
    </row>
    <row r="285" spans="1:57" s="43" customFormat="1" ht="24.95" customHeight="1" x14ac:dyDescent="0.25">
      <c r="A285" s="35"/>
      <c r="B285" s="35"/>
      <c r="C285" s="33" t="s">
        <v>60</v>
      </c>
      <c r="D285" s="36"/>
      <c r="E285" s="35"/>
      <c r="F285" s="35"/>
      <c r="G285" s="35"/>
      <c r="H285" s="33" t="s">
        <v>46</v>
      </c>
      <c r="I285" s="35"/>
      <c r="J285" s="35"/>
      <c r="K285" s="35"/>
      <c r="L285" s="35"/>
      <c r="M285" s="35"/>
      <c r="N285" s="35"/>
      <c r="O285" s="35"/>
      <c r="P285" s="35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6"/>
      <c r="AV285" s="36"/>
      <c r="AW285" s="37"/>
      <c r="AX285" s="36"/>
      <c r="AY285" s="36"/>
      <c r="AZ285" s="36"/>
      <c r="BA285" s="36"/>
      <c r="BB285" s="36"/>
      <c r="BC285" s="36"/>
      <c r="BD285" s="36"/>
      <c r="BE285" s="36"/>
    </row>
    <row r="286" spans="1:57" s="43" customFormat="1" ht="24.95" customHeight="1" x14ac:dyDescent="0.25">
      <c r="A286" s="35"/>
      <c r="B286" s="35"/>
      <c r="C286" s="33" t="s">
        <v>60</v>
      </c>
      <c r="D286" s="36"/>
      <c r="E286" s="35"/>
      <c r="F286" s="35"/>
      <c r="G286" s="35"/>
      <c r="H286" s="33" t="s">
        <v>46</v>
      </c>
      <c r="I286" s="35"/>
      <c r="J286" s="35"/>
      <c r="K286" s="35"/>
      <c r="L286" s="35"/>
      <c r="M286" s="35"/>
      <c r="N286" s="35"/>
      <c r="O286" s="35"/>
      <c r="P286" s="35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6"/>
      <c r="AV286" s="36"/>
      <c r="AW286" s="37"/>
      <c r="AX286" s="36"/>
      <c r="AY286" s="36"/>
      <c r="AZ286" s="36"/>
      <c r="BA286" s="36"/>
      <c r="BB286" s="36"/>
      <c r="BC286" s="36"/>
      <c r="BD286" s="36"/>
      <c r="BE286" s="36"/>
    </row>
    <row r="287" spans="1:57" s="43" customFormat="1" ht="24.95" customHeight="1" x14ac:dyDescent="0.25">
      <c r="A287" s="35"/>
      <c r="B287" s="35"/>
      <c r="C287" s="33" t="s">
        <v>60</v>
      </c>
      <c r="D287" s="36"/>
      <c r="E287" s="35"/>
      <c r="F287" s="35"/>
      <c r="G287" s="35"/>
      <c r="H287" s="33" t="s">
        <v>46</v>
      </c>
      <c r="I287" s="35"/>
      <c r="J287" s="35"/>
      <c r="K287" s="35"/>
      <c r="L287" s="35"/>
      <c r="M287" s="35"/>
      <c r="N287" s="35"/>
      <c r="O287" s="35"/>
      <c r="P287" s="35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6"/>
      <c r="AV287" s="36"/>
      <c r="AW287" s="37"/>
      <c r="AX287" s="36"/>
      <c r="AY287" s="36"/>
      <c r="AZ287" s="36"/>
      <c r="BA287" s="36"/>
      <c r="BB287" s="36"/>
      <c r="BC287" s="36"/>
      <c r="BD287" s="36"/>
      <c r="BE287" s="36"/>
    </row>
    <row r="288" spans="1:57" s="43" customFormat="1" ht="24.95" customHeight="1" x14ac:dyDescent="0.25">
      <c r="A288" s="35"/>
      <c r="B288" s="35"/>
      <c r="C288" s="33" t="s">
        <v>60</v>
      </c>
      <c r="D288" s="36"/>
      <c r="E288" s="35"/>
      <c r="F288" s="35"/>
      <c r="G288" s="35"/>
      <c r="H288" s="33" t="s">
        <v>46</v>
      </c>
      <c r="I288" s="35"/>
      <c r="J288" s="35"/>
      <c r="K288" s="35"/>
      <c r="L288" s="35"/>
      <c r="M288" s="35"/>
      <c r="N288" s="35"/>
      <c r="O288" s="35"/>
      <c r="P288" s="35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6"/>
      <c r="AV288" s="36"/>
      <c r="AW288" s="37"/>
      <c r="AX288" s="36"/>
      <c r="AY288" s="36"/>
      <c r="AZ288" s="36"/>
      <c r="BA288" s="36"/>
      <c r="BB288" s="36"/>
      <c r="BC288" s="36"/>
      <c r="BD288" s="36"/>
      <c r="BE288" s="36"/>
    </row>
    <row r="289" spans="1:57" s="43" customFormat="1" ht="24.95" customHeight="1" x14ac:dyDescent="0.25">
      <c r="A289" s="35"/>
      <c r="B289" s="35"/>
      <c r="C289" s="33" t="s">
        <v>60</v>
      </c>
      <c r="D289" s="36"/>
      <c r="E289" s="35"/>
      <c r="F289" s="35"/>
      <c r="G289" s="35"/>
      <c r="H289" s="33" t="s">
        <v>46</v>
      </c>
      <c r="I289" s="35"/>
      <c r="J289" s="35"/>
      <c r="K289" s="35"/>
      <c r="L289" s="35"/>
      <c r="M289" s="35"/>
      <c r="N289" s="35"/>
      <c r="O289" s="35"/>
      <c r="P289" s="35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6"/>
      <c r="AV289" s="36"/>
      <c r="AW289" s="37"/>
      <c r="AX289" s="36"/>
      <c r="AY289" s="36"/>
      <c r="AZ289" s="36"/>
      <c r="BA289" s="36"/>
      <c r="BB289" s="36"/>
      <c r="BC289" s="36"/>
      <c r="BD289" s="36"/>
      <c r="BE289" s="36"/>
    </row>
    <row r="290" spans="1:57" s="43" customFormat="1" ht="24.95" customHeight="1" x14ac:dyDescent="0.25">
      <c r="A290" s="35"/>
      <c r="B290" s="35"/>
      <c r="C290" s="33" t="s">
        <v>60</v>
      </c>
      <c r="D290" s="36"/>
      <c r="E290" s="35"/>
      <c r="F290" s="35"/>
      <c r="G290" s="35"/>
      <c r="H290" s="33" t="s">
        <v>46</v>
      </c>
      <c r="I290" s="35"/>
      <c r="J290" s="35"/>
      <c r="K290" s="35"/>
      <c r="L290" s="35"/>
      <c r="M290" s="35"/>
      <c r="N290" s="35"/>
      <c r="O290" s="35"/>
      <c r="P290" s="35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6"/>
      <c r="AV290" s="36"/>
      <c r="AW290" s="37"/>
      <c r="AX290" s="36"/>
      <c r="AY290" s="36"/>
      <c r="AZ290" s="36"/>
      <c r="BA290" s="36"/>
      <c r="BB290" s="36"/>
      <c r="BC290" s="36"/>
      <c r="BD290" s="36"/>
      <c r="BE290" s="36"/>
    </row>
    <row r="291" spans="1:57" s="43" customFormat="1" ht="24.95" customHeight="1" x14ac:dyDescent="0.25">
      <c r="A291" s="35"/>
      <c r="B291" s="35"/>
      <c r="C291" s="33" t="s">
        <v>60</v>
      </c>
      <c r="D291" s="36"/>
      <c r="E291" s="35"/>
      <c r="F291" s="35"/>
      <c r="G291" s="35"/>
      <c r="H291" s="33" t="s">
        <v>46</v>
      </c>
      <c r="I291" s="35"/>
      <c r="J291" s="35"/>
      <c r="K291" s="35"/>
      <c r="L291" s="35"/>
      <c r="M291" s="35"/>
      <c r="N291" s="35"/>
      <c r="O291" s="35"/>
      <c r="P291" s="35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6"/>
      <c r="AV291" s="36"/>
      <c r="AW291" s="37"/>
      <c r="AX291" s="36"/>
      <c r="AY291" s="36"/>
      <c r="AZ291" s="36"/>
      <c r="BA291" s="36"/>
      <c r="BB291" s="36"/>
      <c r="BC291" s="36"/>
      <c r="BD291" s="36"/>
      <c r="BE291" s="36"/>
    </row>
    <row r="292" spans="1:57" s="43" customFormat="1" ht="24.95" customHeight="1" x14ac:dyDescent="0.25">
      <c r="A292" s="35"/>
      <c r="B292" s="35"/>
      <c r="C292" s="33" t="s">
        <v>60</v>
      </c>
      <c r="D292" s="36"/>
      <c r="E292" s="35"/>
      <c r="F292" s="35"/>
      <c r="G292" s="35"/>
      <c r="H292" s="33" t="s">
        <v>46</v>
      </c>
      <c r="I292" s="35"/>
      <c r="J292" s="35"/>
      <c r="K292" s="35"/>
      <c r="L292" s="35"/>
      <c r="M292" s="35"/>
      <c r="N292" s="35"/>
      <c r="O292" s="35"/>
      <c r="P292" s="35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6"/>
      <c r="AV292" s="36"/>
      <c r="AW292" s="37"/>
      <c r="AX292" s="36"/>
      <c r="AY292" s="36"/>
      <c r="AZ292" s="36"/>
      <c r="BA292" s="36"/>
      <c r="BB292" s="36"/>
      <c r="BC292" s="36"/>
      <c r="BD292" s="36"/>
      <c r="BE292" s="36"/>
    </row>
    <row r="293" spans="1:57" s="43" customFormat="1" ht="24.95" customHeight="1" x14ac:dyDescent="0.25">
      <c r="A293" s="35"/>
      <c r="B293" s="35"/>
      <c r="C293" s="33" t="s">
        <v>60</v>
      </c>
      <c r="D293" s="36"/>
      <c r="E293" s="35"/>
      <c r="F293" s="35"/>
      <c r="G293" s="35"/>
      <c r="H293" s="33" t="s">
        <v>46</v>
      </c>
      <c r="I293" s="35"/>
      <c r="J293" s="35"/>
      <c r="K293" s="35"/>
      <c r="L293" s="35"/>
      <c r="M293" s="35"/>
      <c r="N293" s="35"/>
      <c r="O293" s="35"/>
      <c r="P293" s="35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6"/>
      <c r="AV293" s="36"/>
      <c r="AW293" s="37"/>
      <c r="AX293" s="36"/>
      <c r="AY293" s="36"/>
      <c r="AZ293" s="36"/>
      <c r="BA293" s="36"/>
      <c r="BB293" s="36"/>
      <c r="BC293" s="36"/>
      <c r="BD293" s="36"/>
      <c r="BE293" s="36"/>
    </row>
    <row r="294" spans="1:57" s="43" customFormat="1" ht="24.95" customHeight="1" x14ac:dyDescent="0.25">
      <c r="A294" s="35"/>
      <c r="B294" s="35"/>
      <c r="C294" s="33" t="s">
        <v>60</v>
      </c>
      <c r="D294" s="36"/>
      <c r="E294" s="35"/>
      <c r="F294" s="35"/>
      <c r="G294" s="35"/>
      <c r="H294" s="33" t="s">
        <v>46</v>
      </c>
      <c r="I294" s="35"/>
      <c r="J294" s="35"/>
      <c r="K294" s="35"/>
      <c r="L294" s="35"/>
      <c r="M294" s="35"/>
      <c r="N294" s="35"/>
      <c r="O294" s="35"/>
      <c r="P294" s="35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6"/>
      <c r="AV294" s="36"/>
      <c r="AW294" s="37"/>
      <c r="AX294" s="36"/>
      <c r="AY294" s="36"/>
      <c r="AZ294" s="36"/>
      <c r="BA294" s="36"/>
      <c r="BB294" s="36"/>
      <c r="BC294" s="36"/>
      <c r="BD294" s="36"/>
      <c r="BE294" s="36"/>
    </row>
    <row r="295" spans="1:57" s="43" customFormat="1" ht="24.95" customHeight="1" x14ac:dyDescent="0.25">
      <c r="A295" s="35"/>
      <c r="B295" s="35"/>
      <c r="C295" s="33" t="s">
        <v>60</v>
      </c>
      <c r="D295" s="36"/>
      <c r="E295" s="35"/>
      <c r="F295" s="35"/>
      <c r="G295" s="35"/>
      <c r="H295" s="33" t="s">
        <v>46</v>
      </c>
      <c r="I295" s="35"/>
      <c r="J295" s="35"/>
      <c r="K295" s="35"/>
      <c r="L295" s="35"/>
      <c r="M295" s="35"/>
      <c r="N295" s="35"/>
      <c r="O295" s="35"/>
      <c r="P295" s="35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6"/>
      <c r="AV295" s="36"/>
      <c r="AW295" s="37"/>
      <c r="AX295" s="36"/>
      <c r="AY295" s="36"/>
      <c r="AZ295" s="36"/>
      <c r="BA295" s="36"/>
      <c r="BB295" s="36"/>
      <c r="BC295" s="36"/>
      <c r="BD295" s="36"/>
      <c r="BE295" s="36"/>
    </row>
    <row r="296" spans="1:57" s="43" customFormat="1" ht="24.95" customHeight="1" x14ac:dyDescent="0.25">
      <c r="A296" s="35"/>
      <c r="B296" s="35"/>
      <c r="C296" s="33" t="s">
        <v>60</v>
      </c>
      <c r="D296" s="36"/>
      <c r="E296" s="35"/>
      <c r="F296" s="35"/>
      <c r="G296" s="35"/>
      <c r="H296" s="33" t="s">
        <v>46</v>
      </c>
      <c r="I296" s="35"/>
      <c r="J296" s="35"/>
      <c r="K296" s="35"/>
      <c r="L296" s="35"/>
      <c r="M296" s="35"/>
      <c r="N296" s="35"/>
      <c r="O296" s="35"/>
      <c r="P296" s="35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6"/>
      <c r="AV296" s="36"/>
      <c r="AW296" s="37"/>
      <c r="AX296" s="36"/>
      <c r="AY296" s="36"/>
      <c r="AZ296" s="36"/>
      <c r="BA296" s="36"/>
      <c r="BB296" s="36"/>
      <c r="BC296" s="36"/>
      <c r="BD296" s="36"/>
      <c r="BE296" s="36"/>
    </row>
    <row r="297" spans="1:57" s="46" customFormat="1" ht="24.95" customHeight="1" x14ac:dyDescent="0.25">
      <c r="A297" s="44" t="s">
        <v>61</v>
      </c>
      <c r="B297" s="44"/>
      <c r="C297" s="45"/>
      <c r="D297" s="39"/>
      <c r="E297" s="44"/>
      <c r="F297" s="44"/>
      <c r="G297" s="44"/>
      <c r="H297" s="45"/>
      <c r="I297" s="44"/>
      <c r="J297" s="44"/>
      <c r="K297" s="44"/>
      <c r="L297" s="44"/>
      <c r="M297" s="44"/>
      <c r="N297" s="44"/>
      <c r="O297" s="44"/>
      <c r="P297" s="44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44">
        <f t="shared" ref="AG297:BE297" si="17">SUM(AG256:AG296)</f>
        <v>0</v>
      </c>
      <c r="AH297" s="44">
        <f t="shared" si="17"/>
        <v>0</v>
      </c>
      <c r="AI297" s="44">
        <f t="shared" si="17"/>
        <v>0</v>
      </c>
      <c r="AJ297" s="44">
        <f t="shared" si="17"/>
        <v>0</v>
      </c>
      <c r="AK297" s="44">
        <f t="shared" si="17"/>
        <v>0</v>
      </c>
      <c r="AL297" s="44">
        <f t="shared" si="17"/>
        <v>0</v>
      </c>
      <c r="AM297" s="44">
        <f t="shared" si="17"/>
        <v>0</v>
      </c>
      <c r="AN297" s="44">
        <f t="shared" si="17"/>
        <v>0</v>
      </c>
      <c r="AO297" s="44">
        <f t="shared" si="17"/>
        <v>0</v>
      </c>
      <c r="AP297" s="44">
        <f t="shared" si="17"/>
        <v>0</v>
      </c>
      <c r="AQ297" s="44">
        <f t="shared" si="17"/>
        <v>0</v>
      </c>
      <c r="AR297" s="44">
        <f t="shared" si="17"/>
        <v>0</v>
      </c>
      <c r="AS297" s="44">
        <f t="shared" si="17"/>
        <v>0</v>
      </c>
      <c r="AT297" s="44">
        <f t="shared" si="17"/>
        <v>0</v>
      </c>
      <c r="AU297" s="44">
        <f t="shared" si="17"/>
        <v>0</v>
      </c>
      <c r="AV297" s="44">
        <f t="shared" si="17"/>
        <v>0</v>
      </c>
      <c r="AW297" s="44">
        <f t="shared" si="17"/>
        <v>0</v>
      </c>
      <c r="AX297" s="44">
        <f t="shared" si="17"/>
        <v>0</v>
      </c>
      <c r="AY297" s="44">
        <f t="shared" si="17"/>
        <v>0</v>
      </c>
      <c r="AZ297" s="44">
        <f t="shared" si="17"/>
        <v>0</v>
      </c>
      <c r="BA297" s="44">
        <f t="shared" si="17"/>
        <v>0</v>
      </c>
      <c r="BB297" s="44">
        <f t="shared" si="17"/>
        <v>0</v>
      </c>
      <c r="BC297" s="44">
        <f t="shared" si="17"/>
        <v>0</v>
      </c>
      <c r="BD297" s="44">
        <f t="shared" si="17"/>
        <v>0</v>
      </c>
      <c r="BE297" s="44">
        <f t="shared" si="17"/>
        <v>0</v>
      </c>
    </row>
    <row r="298" spans="1:57" s="46" customFormat="1" ht="24.95" customHeight="1" x14ac:dyDescent="0.25">
      <c r="A298" s="44"/>
      <c r="B298" s="44"/>
      <c r="C298" s="45"/>
      <c r="D298" s="39"/>
      <c r="E298" s="44"/>
      <c r="F298" s="44"/>
      <c r="G298" s="44"/>
      <c r="H298" s="45"/>
      <c r="I298" s="44"/>
      <c r="J298" s="44"/>
      <c r="K298" s="44"/>
      <c r="L298" s="44"/>
      <c r="M298" s="44"/>
      <c r="N298" s="44"/>
      <c r="O298" s="44"/>
      <c r="P298" s="44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>
        <v>0</v>
      </c>
      <c r="AH298" s="39">
        <v>0</v>
      </c>
      <c r="AI298" s="39">
        <v>226</v>
      </c>
      <c r="AJ298" s="39">
        <v>121.5</v>
      </c>
      <c r="AK298" s="39">
        <v>50</v>
      </c>
      <c r="AL298" s="39">
        <v>0</v>
      </c>
      <c r="AM298" s="39">
        <v>0</v>
      </c>
      <c r="AN298" s="39">
        <v>0</v>
      </c>
      <c r="AO298" s="39">
        <v>0</v>
      </c>
      <c r="AP298" s="39">
        <v>330</v>
      </c>
      <c r="AQ298" s="39">
        <v>0</v>
      </c>
      <c r="AR298" s="39">
        <v>0</v>
      </c>
      <c r="AS298" s="39">
        <v>141</v>
      </c>
      <c r="AT298" s="39">
        <v>0</v>
      </c>
      <c r="AU298" s="39">
        <v>0</v>
      </c>
      <c r="AV298" s="39">
        <v>0</v>
      </c>
      <c r="AW298" s="39">
        <v>0</v>
      </c>
      <c r="AX298" s="39">
        <v>0</v>
      </c>
      <c r="AY298" s="39">
        <v>0</v>
      </c>
      <c r="AZ298" s="39">
        <v>0</v>
      </c>
      <c r="BA298" s="39">
        <v>0</v>
      </c>
      <c r="BB298" s="39">
        <v>0</v>
      </c>
      <c r="BC298" s="39">
        <v>0</v>
      </c>
      <c r="BD298" s="39">
        <v>1</v>
      </c>
      <c r="BE298" s="39">
        <v>0</v>
      </c>
    </row>
    <row r="299" spans="1:57" s="46" customFormat="1" ht="24.95" customHeight="1" x14ac:dyDescent="0.25">
      <c r="A299" s="44"/>
      <c r="B299" s="44"/>
      <c r="C299" s="45"/>
      <c r="D299" s="39"/>
      <c r="E299" s="44"/>
      <c r="F299" s="44"/>
      <c r="G299" s="44"/>
      <c r="H299" s="45"/>
      <c r="I299" s="44"/>
      <c r="J299" s="44"/>
      <c r="K299" s="44"/>
      <c r="L299" s="44"/>
      <c r="M299" s="44"/>
      <c r="N299" s="44"/>
      <c r="O299" s="44"/>
      <c r="P299" s="44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44">
        <f>AG297-AG298</f>
        <v>0</v>
      </c>
      <c r="AH299" s="44">
        <f t="shared" ref="AH299:BE299" si="18">AH297-AH298</f>
        <v>0</v>
      </c>
      <c r="AI299" s="44">
        <f t="shared" si="18"/>
        <v>-226</v>
      </c>
      <c r="AJ299" s="44">
        <f t="shared" si="18"/>
        <v>-121.5</v>
      </c>
      <c r="AK299" s="44">
        <f t="shared" si="18"/>
        <v>-50</v>
      </c>
      <c r="AL299" s="44">
        <f t="shared" si="18"/>
        <v>0</v>
      </c>
      <c r="AM299" s="44">
        <f t="shared" si="18"/>
        <v>0</v>
      </c>
      <c r="AN299" s="44">
        <f t="shared" si="18"/>
        <v>0</v>
      </c>
      <c r="AO299" s="44">
        <f t="shared" si="18"/>
        <v>0</v>
      </c>
      <c r="AP299" s="44">
        <f t="shared" si="18"/>
        <v>-330</v>
      </c>
      <c r="AQ299" s="44">
        <f t="shared" si="18"/>
        <v>0</v>
      </c>
      <c r="AR299" s="44">
        <f t="shared" si="18"/>
        <v>0</v>
      </c>
      <c r="AS299" s="44">
        <f t="shared" si="18"/>
        <v>-141</v>
      </c>
      <c r="AT299" s="44">
        <f t="shared" si="18"/>
        <v>0</v>
      </c>
      <c r="AU299" s="44">
        <f t="shared" si="18"/>
        <v>0</v>
      </c>
      <c r="AV299" s="44">
        <f t="shared" si="18"/>
        <v>0</v>
      </c>
      <c r="AW299" s="44">
        <f t="shared" si="18"/>
        <v>0</v>
      </c>
      <c r="AX299" s="44">
        <f t="shared" si="18"/>
        <v>0</v>
      </c>
      <c r="AY299" s="44">
        <f t="shared" si="18"/>
        <v>0</v>
      </c>
      <c r="AZ299" s="44">
        <f t="shared" si="18"/>
        <v>0</v>
      </c>
      <c r="BA299" s="44">
        <f t="shared" si="18"/>
        <v>0</v>
      </c>
      <c r="BB299" s="44">
        <f t="shared" si="18"/>
        <v>0</v>
      </c>
      <c r="BC299" s="44">
        <f t="shared" si="18"/>
        <v>0</v>
      </c>
      <c r="BD299" s="44">
        <f t="shared" si="18"/>
        <v>-1</v>
      </c>
      <c r="BE299" s="44">
        <f t="shared" si="18"/>
        <v>0</v>
      </c>
    </row>
    <row r="300" spans="1:57" s="43" customFormat="1" ht="24.95" customHeight="1" x14ac:dyDescent="0.25">
      <c r="A300" s="35"/>
      <c r="B300" s="35"/>
      <c r="C300" s="33" t="s">
        <v>62</v>
      </c>
      <c r="D300" s="36"/>
      <c r="E300" s="35"/>
      <c r="F300" s="35"/>
      <c r="G300" s="35"/>
      <c r="H300" s="33" t="s">
        <v>46</v>
      </c>
      <c r="I300" s="35"/>
      <c r="J300" s="35"/>
      <c r="K300" s="35"/>
      <c r="L300" s="35"/>
      <c r="M300" s="35"/>
      <c r="N300" s="35"/>
      <c r="O300" s="35"/>
      <c r="P300" s="35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6"/>
      <c r="AV300" s="36"/>
      <c r="AW300" s="37"/>
      <c r="AX300" s="36"/>
      <c r="AY300" s="36"/>
      <c r="AZ300" s="36"/>
      <c r="BA300" s="36"/>
      <c r="BB300" s="36"/>
      <c r="BC300" s="36"/>
      <c r="BD300" s="36"/>
      <c r="BE300" s="36"/>
    </row>
    <row r="301" spans="1:57" s="43" customFormat="1" ht="24.95" customHeight="1" x14ac:dyDescent="0.25">
      <c r="A301" s="35"/>
      <c r="B301" s="35"/>
      <c r="C301" s="33" t="s">
        <v>62</v>
      </c>
      <c r="D301" s="36"/>
      <c r="E301" s="35"/>
      <c r="F301" s="35"/>
      <c r="G301" s="35"/>
      <c r="H301" s="33" t="s">
        <v>46</v>
      </c>
      <c r="I301" s="35"/>
      <c r="J301" s="35"/>
      <c r="K301" s="35"/>
      <c r="L301" s="35"/>
      <c r="M301" s="35"/>
      <c r="N301" s="35"/>
      <c r="O301" s="35"/>
      <c r="P301" s="35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6"/>
      <c r="AV301" s="36"/>
      <c r="AW301" s="37"/>
      <c r="AX301" s="36"/>
      <c r="AY301" s="36"/>
      <c r="AZ301" s="36"/>
      <c r="BA301" s="36"/>
      <c r="BB301" s="36"/>
      <c r="BC301" s="36"/>
      <c r="BD301" s="36"/>
      <c r="BE301" s="36"/>
    </row>
    <row r="302" spans="1:57" s="43" customFormat="1" ht="24.95" customHeight="1" x14ac:dyDescent="0.25">
      <c r="A302" s="35"/>
      <c r="B302" s="35"/>
      <c r="C302" s="33" t="s">
        <v>62</v>
      </c>
      <c r="D302" s="36"/>
      <c r="E302" s="35"/>
      <c r="F302" s="35"/>
      <c r="G302" s="35"/>
      <c r="H302" s="33" t="s">
        <v>46</v>
      </c>
      <c r="I302" s="35"/>
      <c r="J302" s="35"/>
      <c r="K302" s="35"/>
      <c r="L302" s="35"/>
      <c r="M302" s="35"/>
      <c r="N302" s="35"/>
      <c r="O302" s="35"/>
      <c r="P302" s="35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6"/>
      <c r="AV302" s="36"/>
      <c r="AW302" s="37"/>
      <c r="AX302" s="36"/>
      <c r="AY302" s="36"/>
      <c r="AZ302" s="36"/>
      <c r="BA302" s="36"/>
      <c r="BB302" s="36"/>
      <c r="BC302" s="36"/>
      <c r="BD302" s="36"/>
      <c r="BE302" s="36"/>
    </row>
    <row r="303" spans="1:57" s="43" customFormat="1" ht="24.95" customHeight="1" x14ac:dyDescent="0.25">
      <c r="A303" s="35"/>
      <c r="B303" s="35"/>
      <c r="C303" s="33" t="s">
        <v>62</v>
      </c>
      <c r="D303" s="36"/>
      <c r="E303" s="35"/>
      <c r="F303" s="35"/>
      <c r="G303" s="35"/>
      <c r="H303" s="33" t="s">
        <v>46</v>
      </c>
      <c r="I303" s="35"/>
      <c r="J303" s="35"/>
      <c r="K303" s="35"/>
      <c r="L303" s="35"/>
      <c r="M303" s="35"/>
      <c r="N303" s="35"/>
      <c r="O303" s="35"/>
      <c r="P303" s="35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6"/>
      <c r="AV303" s="36"/>
      <c r="AW303" s="37"/>
      <c r="AX303" s="36"/>
      <c r="AY303" s="36"/>
      <c r="AZ303" s="36"/>
      <c r="BA303" s="36"/>
      <c r="BB303" s="36"/>
      <c r="BC303" s="36"/>
      <c r="BD303" s="36"/>
      <c r="BE303" s="36"/>
    </row>
    <row r="304" spans="1:57" s="43" customFormat="1" ht="24.95" customHeight="1" x14ac:dyDescent="0.25">
      <c r="A304" s="35"/>
      <c r="B304" s="35"/>
      <c r="C304" s="33" t="s">
        <v>62</v>
      </c>
      <c r="D304" s="36"/>
      <c r="E304" s="35"/>
      <c r="F304" s="35"/>
      <c r="G304" s="35"/>
      <c r="H304" s="33" t="s">
        <v>46</v>
      </c>
      <c r="I304" s="35"/>
      <c r="J304" s="35"/>
      <c r="K304" s="35"/>
      <c r="L304" s="35"/>
      <c r="M304" s="35"/>
      <c r="N304" s="35"/>
      <c r="O304" s="35"/>
      <c r="P304" s="35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6"/>
      <c r="AV304" s="36"/>
      <c r="AW304" s="37"/>
      <c r="AX304" s="36"/>
      <c r="AY304" s="36"/>
      <c r="AZ304" s="36"/>
      <c r="BA304" s="36"/>
      <c r="BB304" s="36"/>
      <c r="BC304" s="36"/>
      <c r="BD304" s="36"/>
      <c r="BE304" s="36"/>
    </row>
    <row r="305" spans="1:57" s="43" customFormat="1" ht="24.95" customHeight="1" x14ac:dyDescent="0.25">
      <c r="A305" s="35"/>
      <c r="B305" s="35"/>
      <c r="C305" s="33" t="s">
        <v>62</v>
      </c>
      <c r="D305" s="36"/>
      <c r="E305" s="35"/>
      <c r="F305" s="35"/>
      <c r="G305" s="35"/>
      <c r="H305" s="33" t="s">
        <v>46</v>
      </c>
      <c r="I305" s="35"/>
      <c r="J305" s="35"/>
      <c r="K305" s="35"/>
      <c r="L305" s="35"/>
      <c r="M305" s="35"/>
      <c r="N305" s="35"/>
      <c r="O305" s="35"/>
      <c r="P305" s="35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6"/>
      <c r="AV305" s="36"/>
      <c r="AW305" s="37"/>
      <c r="AX305" s="36"/>
      <c r="AY305" s="36"/>
      <c r="AZ305" s="36"/>
      <c r="BA305" s="36"/>
      <c r="BB305" s="36"/>
      <c r="BC305" s="36"/>
      <c r="BD305" s="36"/>
      <c r="BE305" s="36"/>
    </row>
    <row r="306" spans="1:57" s="43" customFormat="1" ht="24.95" customHeight="1" x14ac:dyDescent="0.25">
      <c r="A306" s="35"/>
      <c r="B306" s="35"/>
      <c r="C306" s="33" t="s">
        <v>62</v>
      </c>
      <c r="D306" s="36"/>
      <c r="E306" s="35"/>
      <c r="F306" s="35"/>
      <c r="G306" s="35"/>
      <c r="H306" s="33" t="s">
        <v>46</v>
      </c>
      <c r="I306" s="35"/>
      <c r="J306" s="35"/>
      <c r="K306" s="35"/>
      <c r="L306" s="35"/>
      <c r="M306" s="35"/>
      <c r="N306" s="35"/>
      <c r="O306" s="35"/>
      <c r="P306" s="35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6"/>
      <c r="AV306" s="36"/>
      <c r="AW306" s="37"/>
      <c r="AX306" s="36"/>
      <c r="AY306" s="36"/>
      <c r="AZ306" s="36"/>
      <c r="BA306" s="36"/>
      <c r="BB306" s="36"/>
      <c r="BC306" s="36"/>
      <c r="BD306" s="36"/>
      <c r="BE306" s="36"/>
    </row>
    <row r="307" spans="1:57" s="43" customFormat="1" ht="24.95" customHeight="1" x14ac:dyDescent="0.25">
      <c r="A307" s="35"/>
      <c r="B307" s="35"/>
      <c r="C307" s="33" t="s">
        <v>62</v>
      </c>
      <c r="D307" s="36"/>
      <c r="E307" s="35"/>
      <c r="F307" s="35"/>
      <c r="G307" s="35"/>
      <c r="H307" s="33" t="s">
        <v>46</v>
      </c>
      <c r="I307" s="35"/>
      <c r="J307" s="35"/>
      <c r="K307" s="35"/>
      <c r="L307" s="35"/>
      <c r="M307" s="35"/>
      <c r="N307" s="35"/>
      <c r="O307" s="35"/>
      <c r="P307" s="35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6"/>
      <c r="AV307" s="36"/>
      <c r="AW307" s="37"/>
      <c r="AX307" s="36"/>
      <c r="AY307" s="36"/>
      <c r="AZ307" s="36"/>
      <c r="BA307" s="36"/>
      <c r="BB307" s="36"/>
      <c r="BC307" s="36"/>
      <c r="BD307" s="36"/>
      <c r="BE307" s="36"/>
    </row>
    <row r="308" spans="1:57" s="43" customFormat="1" ht="24.95" customHeight="1" x14ac:dyDescent="0.25">
      <c r="A308" s="35"/>
      <c r="B308" s="35"/>
      <c r="C308" s="33" t="s">
        <v>62</v>
      </c>
      <c r="D308" s="36"/>
      <c r="E308" s="35"/>
      <c r="F308" s="35"/>
      <c r="G308" s="35"/>
      <c r="H308" s="33" t="s">
        <v>46</v>
      </c>
      <c r="I308" s="35"/>
      <c r="J308" s="35"/>
      <c r="K308" s="35"/>
      <c r="L308" s="35"/>
      <c r="M308" s="35"/>
      <c r="N308" s="35"/>
      <c r="O308" s="35"/>
      <c r="P308" s="35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6"/>
      <c r="AV308" s="36"/>
      <c r="AW308" s="37"/>
      <c r="AX308" s="36"/>
      <c r="AY308" s="36"/>
      <c r="AZ308" s="36"/>
      <c r="BA308" s="36"/>
      <c r="BB308" s="36"/>
      <c r="BC308" s="36"/>
      <c r="BD308" s="36"/>
      <c r="BE308" s="36"/>
    </row>
    <row r="309" spans="1:57" s="43" customFormat="1" ht="24.95" customHeight="1" x14ac:dyDescent="0.25">
      <c r="A309" s="35"/>
      <c r="B309" s="35"/>
      <c r="C309" s="33" t="s">
        <v>62</v>
      </c>
      <c r="D309" s="36"/>
      <c r="E309" s="35"/>
      <c r="F309" s="35"/>
      <c r="G309" s="35"/>
      <c r="H309" s="33" t="s">
        <v>46</v>
      </c>
      <c r="I309" s="35"/>
      <c r="J309" s="35"/>
      <c r="K309" s="35"/>
      <c r="L309" s="35"/>
      <c r="M309" s="35"/>
      <c r="N309" s="35"/>
      <c r="O309" s="35"/>
      <c r="P309" s="35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6"/>
      <c r="AV309" s="36"/>
      <c r="AW309" s="37"/>
      <c r="AX309" s="36"/>
      <c r="AY309" s="36"/>
      <c r="AZ309" s="36"/>
      <c r="BA309" s="36"/>
      <c r="BB309" s="36"/>
      <c r="BC309" s="36"/>
      <c r="BD309" s="36"/>
      <c r="BE309" s="36"/>
    </row>
    <row r="310" spans="1:57" s="43" customFormat="1" ht="24.95" customHeight="1" x14ac:dyDescent="0.25">
      <c r="A310" s="35"/>
      <c r="B310" s="35"/>
      <c r="C310" s="33" t="s">
        <v>62</v>
      </c>
      <c r="D310" s="36"/>
      <c r="E310" s="35"/>
      <c r="F310" s="35"/>
      <c r="G310" s="35"/>
      <c r="H310" s="33" t="s">
        <v>46</v>
      </c>
      <c r="I310" s="35"/>
      <c r="J310" s="35"/>
      <c r="K310" s="35"/>
      <c r="L310" s="35"/>
      <c r="M310" s="35"/>
      <c r="N310" s="35"/>
      <c r="O310" s="35"/>
      <c r="P310" s="35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6"/>
      <c r="AV310" s="36"/>
      <c r="AW310" s="37"/>
      <c r="AX310" s="36"/>
      <c r="AY310" s="36"/>
      <c r="AZ310" s="36"/>
      <c r="BA310" s="36"/>
      <c r="BB310" s="36"/>
      <c r="BC310" s="36"/>
      <c r="BD310" s="36"/>
      <c r="BE310" s="36"/>
    </row>
    <row r="311" spans="1:57" s="43" customFormat="1" ht="24.95" customHeight="1" x14ac:dyDescent="0.25">
      <c r="A311" s="35"/>
      <c r="B311" s="35"/>
      <c r="C311" s="33" t="s">
        <v>62</v>
      </c>
      <c r="D311" s="36"/>
      <c r="E311" s="35"/>
      <c r="F311" s="35"/>
      <c r="G311" s="35"/>
      <c r="H311" s="33" t="s">
        <v>46</v>
      </c>
      <c r="I311" s="35"/>
      <c r="J311" s="35"/>
      <c r="K311" s="35"/>
      <c r="L311" s="35"/>
      <c r="M311" s="35"/>
      <c r="N311" s="35"/>
      <c r="O311" s="35"/>
      <c r="P311" s="35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6"/>
      <c r="AV311" s="36"/>
      <c r="AW311" s="37"/>
      <c r="AX311" s="36"/>
      <c r="AY311" s="36"/>
      <c r="AZ311" s="36"/>
      <c r="BA311" s="36"/>
      <c r="BB311" s="36"/>
      <c r="BC311" s="36"/>
      <c r="BD311" s="36"/>
      <c r="BE311" s="36"/>
    </row>
    <row r="312" spans="1:57" s="43" customFormat="1" ht="24.95" customHeight="1" x14ac:dyDescent="0.25">
      <c r="A312" s="35"/>
      <c r="B312" s="35"/>
      <c r="C312" s="33" t="s">
        <v>62</v>
      </c>
      <c r="D312" s="36"/>
      <c r="E312" s="35"/>
      <c r="F312" s="35"/>
      <c r="G312" s="35"/>
      <c r="H312" s="33" t="s">
        <v>46</v>
      </c>
      <c r="I312" s="35"/>
      <c r="J312" s="35"/>
      <c r="K312" s="35"/>
      <c r="L312" s="35"/>
      <c r="M312" s="35"/>
      <c r="N312" s="35"/>
      <c r="O312" s="35"/>
      <c r="P312" s="35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6"/>
      <c r="AV312" s="36"/>
      <c r="AW312" s="37"/>
      <c r="AX312" s="36"/>
      <c r="AY312" s="36"/>
      <c r="AZ312" s="36"/>
      <c r="BA312" s="36"/>
      <c r="BB312" s="36"/>
      <c r="BC312" s="36"/>
      <c r="BD312" s="36"/>
      <c r="BE312" s="36"/>
    </row>
    <row r="313" spans="1:57" s="43" customFormat="1" ht="24.95" customHeight="1" x14ac:dyDescent="0.25">
      <c r="A313" s="35"/>
      <c r="B313" s="35"/>
      <c r="C313" s="33" t="s">
        <v>62</v>
      </c>
      <c r="D313" s="36"/>
      <c r="E313" s="35"/>
      <c r="F313" s="35"/>
      <c r="G313" s="35"/>
      <c r="H313" s="33" t="s">
        <v>46</v>
      </c>
      <c r="I313" s="35"/>
      <c r="J313" s="35"/>
      <c r="K313" s="35"/>
      <c r="L313" s="35"/>
      <c r="M313" s="35"/>
      <c r="N313" s="35"/>
      <c r="O313" s="35"/>
      <c r="P313" s="35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6"/>
      <c r="AV313" s="36"/>
      <c r="AW313" s="37"/>
      <c r="AX313" s="36"/>
      <c r="AY313" s="36"/>
      <c r="AZ313" s="36"/>
      <c r="BA313" s="36"/>
      <c r="BB313" s="36"/>
      <c r="BC313" s="36"/>
      <c r="BD313" s="36"/>
      <c r="BE313" s="36"/>
    </row>
    <row r="314" spans="1:57" s="43" customFormat="1" ht="24.95" customHeight="1" x14ac:dyDescent="0.25">
      <c r="A314" s="35"/>
      <c r="B314" s="35"/>
      <c r="C314" s="33" t="s">
        <v>62</v>
      </c>
      <c r="D314" s="36"/>
      <c r="E314" s="35"/>
      <c r="F314" s="35"/>
      <c r="G314" s="35"/>
      <c r="H314" s="33" t="s">
        <v>46</v>
      </c>
      <c r="I314" s="35"/>
      <c r="J314" s="35"/>
      <c r="K314" s="35"/>
      <c r="L314" s="35"/>
      <c r="M314" s="35"/>
      <c r="N314" s="35"/>
      <c r="O314" s="35"/>
      <c r="P314" s="35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6"/>
      <c r="AV314" s="36"/>
      <c r="AW314" s="37"/>
      <c r="AX314" s="36"/>
      <c r="AY314" s="36"/>
      <c r="AZ314" s="36"/>
      <c r="BA314" s="36"/>
      <c r="BB314" s="36"/>
      <c r="BC314" s="36"/>
      <c r="BD314" s="36"/>
      <c r="BE314" s="36"/>
    </row>
    <row r="315" spans="1:57" s="43" customFormat="1" ht="24.95" customHeight="1" x14ac:dyDescent="0.25">
      <c r="A315" s="35"/>
      <c r="B315" s="35"/>
      <c r="C315" s="33" t="s">
        <v>62</v>
      </c>
      <c r="D315" s="36"/>
      <c r="E315" s="35"/>
      <c r="F315" s="35"/>
      <c r="G315" s="35"/>
      <c r="H315" s="33" t="s">
        <v>46</v>
      </c>
      <c r="I315" s="35"/>
      <c r="J315" s="35"/>
      <c r="K315" s="35"/>
      <c r="L315" s="35"/>
      <c r="M315" s="35"/>
      <c r="N315" s="35"/>
      <c r="O315" s="35"/>
      <c r="P315" s="35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6"/>
      <c r="AV315" s="36"/>
      <c r="AW315" s="37"/>
      <c r="AX315" s="36"/>
      <c r="AY315" s="36"/>
      <c r="AZ315" s="36"/>
      <c r="BA315" s="36"/>
      <c r="BB315" s="36"/>
      <c r="BC315" s="36"/>
      <c r="BD315" s="36"/>
      <c r="BE315" s="36"/>
    </row>
    <row r="316" spans="1:57" s="43" customFormat="1" ht="24.95" customHeight="1" x14ac:dyDescent="0.25">
      <c r="A316" s="35"/>
      <c r="B316" s="35"/>
      <c r="C316" s="33" t="s">
        <v>62</v>
      </c>
      <c r="D316" s="36"/>
      <c r="E316" s="35"/>
      <c r="F316" s="35"/>
      <c r="G316" s="35"/>
      <c r="H316" s="33" t="s">
        <v>46</v>
      </c>
      <c r="I316" s="35"/>
      <c r="J316" s="35"/>
      <c r="K316" s="35"/>
      <c r="L316" s="35"/>
      <c r="M316" s="35"/>
      <c r="N316" s="35"/>
      <c r="O316" s="35"/>
      <c r="P316" s="35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6"/>
      <c r="AV316" s="36"/>
      <c r="AW316" s="37"/>
      <c r="AX316" s="36"/>
      <c r="AY316" s="36"/>
      <c r="AZ316" s="36"/>
      <c r="BA316" s="36"/>
      <c r="BB316" s="36"/>
      <c r="BC316" s="36"/>
      <c r="BD316" s="36"/>
      <c r="BE316" s="36"/>
    </row>
    <row r="317" spans="1:57" s="43" customFormat="1" ht="24.95" customHeight="1" x14ac:dyDescent="0.25">
      <c r="A317" s="35"/>
      <c r="B317" s="35"/>
      <c r="C317" s="33" t="s">
        <v>62</v>
      </c>
      <c r="D317" s="36"/>
      <c r="E317" s="35"/>
      <c r="F317" s="35"/>
      <c r="G317" s="35"/>
      <c r="H317" s="33" t="s">
        <v>46</v>
      </c>
      <c r="I317" s="35"/>
      <c r="J317" s="35"/>
      <c r="K317" s="35"/>
      <c r="L317" s="35"/>
      <c r="M317" s="35"/>
      <c r="N317" s="35"/>
      <c r="O317" s="35"/>
      <c r="P317" s="35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6"/>
      <c r="AV317" s="36"/>
      <c r="AW317" s="37"/>
      <c r="AX317" s="36"/>
      <c r="AY317" s="36"/>
      <c r="AZ317" s="36"/>
      <c r="BA317" s="36"/>
      <c r="BB317" s="36"/>
      <c r="BC317" s="36"/>
      <c r="BD317" s="36"/>
      <c r="BE317" s="36"/>
    </row>
    <row r="318" spans="1:57" s="43" customFormat="1" ht="24.95" customHeight="1" x14ac:dyDescent="0.25">
      <c r="A318" s="35"/>
      <c r="B318" s="35"/>
      <c r="C318" s="33" t="s">
        <v>62</v>
      </c>
      <c r="D318" s="36"/>
      <c r="E318" s="35"/>
      <c r="F318" s="35"/>
      <c r="G318" s="35"/>
      <c r="H318" s="33" t="s">
        <v>46</v>
      </c>
      <c r="I318" s="35"/>
      <c r="J318" s="35"/>
      <c r="K318" s="35"/>
      <c r="L318" s="35"/>
      <c r="M318" s="35"/>
      <c r="N318" s="35"/>
      <c r="O318" s="35"/>
      <c r="P318" s="35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6"/>
      <c r="AV318" s="36"/>
      <c r="AW318" s="37"/>
      <c r="AX318" s="36"/>
      <c r="AY318" s="36"/>
      <c r="AZ318" s="36"/>
      <c r="BA318" s="36"/>
      <c r="BB318" s="36"/>
      <c r="BC318" s="36"/>
      <c r="BD318" s="36"/>
      <c r="BE318" s="36"/>
    </row>
    <row r="319" spans="1:57" s="43" customFormat="1" ht="24.95" customHeight="1" x14ac:dyDescent="0.25">
      <c r="A319" s="35"/>
      <c r="B319" s="35"/>
      <c r="C319" s="33" t="s">
        <v>62</v>
      </c>
      <c r="D319" s="36"/>
      <c r="E319" s="35"/>
      <c r="F319" s="35"/>
      <c r="G319" s="35"/>
      <c r="H319" s="33" t="s">
        <v>46</v>
      </c>
      <c r="I319" s="35"/>
      <c r="J319" s="35"/>
      <c r="K319" s="35"/>
      <c r="L319" s="35"/>
      <c r="M319" s="35"/>
      <c r="N319" s="35"/>
      <c r="O319" s="35"/>
      <c r="P319" s="35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6"/>
      <c r="AV319" s="36"/>
      <c r="AW319" s="37"/>
      <c r="AX319" s="36"/>
      <c r="AY319" s="36"/>
      <c r="AZ319" s="36"/>
      <c r="BA319" s="36"/>
      <c r="BB319" s="36"/>
      <c r="BC319" s="36"/>
      <c r="BD319" s="36"/>
      <c r="BE319" s="36"/>
    </row>
    <row r="320" spans="1:57" s="43" customFormat="1" ht="24.95" customHeight="1" x14ac:dyDescent="0.25">
      <c r="A320" s="35"/>
      <c r="B320" s="35"/>
      <c r="C320" s="33" t="s">
        <v>62</v>
      </c>
      <c r="D320" s="36"/>
      <c r="E320" s="35"/>
      <c r="F320" s="35"/>
      <c r="G320" s="35"/>
      <c r="H320" s="33" t="s">
        <v>46</v>
      </c>
      <c r="I320" s="35"/>
      <c r="J320" s="35"/>
      <c r="K320" s="35"/>
      <c r="L320" s="35"/>
      <c r="M320" s="35"/>
      <c r="N320" s="35"/>
      <c r="O320" s="35"/>
      <c r="P320" s="35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6"/>
      <c r="AV320" s="36"/>
      <c r="AW320" s="37"/>
      <c r="AX320" s="36"/>
      <c r="AY320" s="36"/>
      <c r="AZ320" s="36"/>
      <c r="BA320" s="36"/>
      <c r="BB320" s="36"/>
      <c r="BC320" s="36"/>
      <c r="BD320" s="36"/>
      <c r="BE320" s="36"/>
    </row>
    <row r="321" spans="1:57" s="43" customFormat="1" ht="24.95" customHeight="1" x14ac:dyDescent="0.25">
      <c r="A321" s="35"/>
      <c r="B321" s="35"/>
      <c r="C321" s="33" t="s">
        <v>62</v>
      </c>
      <c r="D321" s="36"/>
      <c r="E321" s="35"/>
      <c r="F321" s="35"/>
      <c r="G321" s="35"/>
      <c r="H321" s="33" t="s">
        <v>46</v>
      </c>
      <c r="I321" s="35"/>
      <c r="J321" s="35"/>
      <c r="K321" s="35"/>
      <c r="L321" s="35"/>
      <c r="M321" s="35"/>
      <c r="N321" s="35"/>
      <c r="O321" s="35"/>
      <c r="P321" s="35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6"/>
      <c r="AV321" s="36"/>
      <c r="AW321" s="37"/>
      <c r="AX321" s="36"/>
      <c r="AY321" s="36"/>
      <c r="AZ321" s="36"/>
      <c r="BA321" s="36"/>
      <c r="BB321" s="36"/>
      <c r="BC321" s="36"/>
      <c r="BD321" s="36"/>
      <c r="BE321" s="36"/>
    </row>
    <row r="322" spans="1:57" s="43" customFormat="1" ht="24.95" customHeight="1" x14ac:dyDescent="0.25">
      <c r="A322" s="35"/>
      <c r="B322" s="35"/>
      <c r="C322" s="33" t="s">
        <v>62</v>
      </c>
      <c r="D322" s="36"/>
      <c r="E322" s="35"/>
      <c r="F322" s="35"/>
      <c r="G322" s="35"/>
      <c r="H322" s="33" t="s">
        <v>46</v>
      </c>
      <c r="I322" s="35"/>
      <c r="J322" s="35"/>
      <c r="K322" s="35"/>
      <c r="L322" s="35"/>
      <c r="M322" s="35"/>
      <c r="N322" s="35"/>
      <c r="O322" s="35"/>
      <c r="P322" s="35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6"/>
      <c r="AV322" s="36"/>
      <c r="AW322" s="37"/>
      <c r="AX322" s="36"/>
      <c r="AY322" s="36"/>
      <c r="AZ322" s="36"/>
      <c r="BA322" s="36"/>
      <c r="BB322" s="36"/>
      <c r="BC322" s="36"/>
      <c r="BD322" s="36"/>
      <c r="BE322" s="36"/>
    </row>
    <row r="323" spans="1:57" s="43" customFormat="1" ht="24.95" customHeight="1" x14ac:dyDescent="0.25">
      <c r="A323" s="35"/>
      <c r="B323" s="35"/>
      <c r="C323" s="33" t="s">
        <v>62</v>
      </c>
      <c r="D323" s="36"/>
      <c r="E323" s="35"/>
      <c r="F323" s="35"/>
      <c r="G323" s="35"/>
      <c r="H323" s="33" t="s">
        <v>46</v>
      </c>
      <c r="I323" s="35"/>
      <c r="J323" s="35"/>
      <c r="K323" s="35"/>
      <c r="L323" s="35"/>
      <c r="M323" s="35"/>
      <c r="N323" s="35"/>
      <c r="O323" s="35"/>
      <c r="P323" s="35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6"/>
      <c r="AV323" s="36"/>
      <c r="AW323" s="37"/>
      <c r="AX323" s="36"/>
      <c r="AY323" s="36"/>
      <c r="AZ323" s="36"/>
      <c r="BA323" s="36"/>
      <c r="BB323" s="36"/>
      <c r="BC323" s="36"/>
      <c r="BD323" s="36"/>
      <c r="BE323" s="36"/>
    </row>
    <row r="324" spans="1:57" s="43" customFormat="1" ht="24.95" customHeight="1" x14ac:dyDescent="0.25">
      <c r="A324" s="35"/>
      <c r="B324" s="35"/>
      <c r="C324" s="33" t="s">
        <v>62</v>
      </c>
      <c r="D324" s="36"/>
      <c r="E324" s="35"/>
      <c r="F324" s="35"/>
      <c r="G324" s="35"/>
      <c r="H324" s="33" t="s">
        <v>46</v>
      </c>
      <c r="I324" s="35"/>
      <c r="J324" s="35"/>
      <c r="K324" s="35"/>
      <c r="L324" s="35"/>
      <c r="M324" s="35"/>
      <c r="N324" s="35"/>
      <c r="O324" s="35"/>
      <c r="P324" s="35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6"/>
      <c r="AV324" s="36"/>
      <c r="AW324" s="37"/>
      <c r="AX324" s="36"/>
      <c r="AY324" s="36"/>
      <c r="AZ324" s="36"/>
      <c r="BA324" s="36"/>
      <c r="BB324" s="36"/>
      <c r="BC324" s="36"/>
      <c r="BD324" s="36"/>
      <c r="BE324" s="36"/>
    </row>
    <row r="325" spans="1:57" s="43" customFormat="1" ht="24.95" customHeight="1" x14ac:dyDescent="0.25">
      <c r="A325" s="35"/>
      <c r="B325" s="35"/>
      <c r="C325" s="33" t="s">
        <v>62</v>
      </c>
      <c r="D325" s="36"/>
      <c r="E325" s="35"/>
      <c r="F325" s="35"/>
      <c r="G325" s="35"/>
      <c r="H325" s="33" t="s">
        <v>46</v>
      </c>
      <c r="I325" s="35"/>
      <c r="J325" s="35"/>
      <c r="K325" s="35"/>
      <c r="L325" s="35"/>
      <c r="M325" s="35"/>
      <c r="N325" s="35"/>
      <c r="O325" s="35"/>
      <c r="P325" s="35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6"/>
      <c r="AV325" s="36"/>
      <c r="AW325" s="37"/>
      <c r="AX325" s="36"/>
      <c r="AY325" s="36"/>
      <c r="AZ325" s="36"/>
      <c r="BA325" s="36"/>
      <c r="BB325" s="36"/>
      <c r="BC325" s="36"/>
      <c r="BD325" s="36"/>
      <c r="BE325" s="36"/>
    </row>
    <row r="326" spans="1:57" s="43" customFormat="1" ht="24.95" customHeight="1" x14ac:dyDescent="0.25">
      <c r="A326" s="35"/>
      <c r="B326" s="35"/>
      <c r="C326" s="33" t="s">
        <v>62</v>
      </c>
      <c r="D326" s="36"/>
      <c r="E326" s="35"/>
      <c r="F326" s="35"/>
      <c r="G326" s="35"/>
      <c r="H326" s="33" t="s">
        <v>46</v>
      </c>
      <c r="I326" s="35"/>
      <c r="J326" s="35"/>
      <c r="K326" s="35"/>
      <c r="L326" s="35"/>
      <c r="M326" s="35"/>
      <c r="N326" s="35"/>
      <c r="O326" s="35"/>
      <c r="P326" s="35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6"/>
      <c r="AV326" s="36"/>
      <c r="AW326" s="37"/>
      <c r="AX326" s="36"/>
      <c r="AY326" s="36"/>
      <c r="AZ326" s="36"/>
      <c r="BA326" s="36"/>
      <c r="BB326" s="36"/>
      <c r="BC326" s="36"/>
      <c r="BD326" s="36"/>
      <c r="BE326" s="36"/>
    </row>
    <row r="327" spans="1:57" s="43" customFormat="1" ht="24.95" customHeight="1" x14ac:dyDescent="0.25">
      <c r="A327" s="35"/>
      <c r="B327" s="35"/>
      <c r="C327" s="33" t="s">
        <v>62</v>
      </c>
      <c r="D327" s="36"/>
      <c r="E327" s="35"/>
      <c r="F327" s="35"/>
      <c r="G327" s="35"/>
      <c r="H327" s="33" t="s">
        <v>46</v>
      </c>
      <c r="I327" s="35"/>
      <c r="J327" s="35"/>
      <c r="K327" s="35"/>
      <c r="L327" s="35"/>
      <c r="M327" s="35"/>
      <c r="N327" s="35"/>
      <c r="O327" s="35"/>
      <c r="P327" s="35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6"/>
      <c r="AV327" s="36"/>
      <c r="AW327" s="37"/>
      <c r="AX327" s="36"/>
      <c r="AY327" s="36"/>
      <c r="AZ327" s="36"/>
      <c r="BA327" s="36"/>
      <c r="BB327" s="36"/>
      <c r="BC327" s="36"/>
      <c r="BD327" s="36"/>
      <c r="BE327" s="36"/>
    </row>
    <row r="328" spans="1:57" s="43" customFormat="1" ht="24.95" customHeight="1" x14ac:dyDescent="0.25">
      <c r="A328" s="35"/>
      <c r="B328" s="35"/>
      <c r="C328" s="33" t="s">
        <v>62</v>
      </c>
      <c r="D328" s="36"/>
      <c r="E328" s="35"/>
      <c r="F328" s="35"/>
      <c r="G328" s="35"/>
      <c r="H328" s="33" t="s">
        <v>46</v>
      </c>
      <c r="I328" s="35"/>
      <c r="J328" s="35"/>
      <c r="K328" s="35"/>
      <c r="L328" s="35"/>
      <c r="M328" s="35"/>
      <c r="N328" s="35"/>
      <c r="O328" s="35"/>
      <c r="P328" s="35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6"/>
      <c r="AV328" s="36"/>
      <c r="AW328" s="37"/>
      <c r="AX328" s="36"/>
      <c r="AY328" s="36"/>
      <c r="AZ328" s="36"/>
      <c r="BA328" s="36"/>
      <c r="BB328" s="36"/>
      <c r="BC328" s="36"/>
      <c r="BD328" s="36"/>
      <c r="BE328" s="36"/>
    </row>
    <row r="329" spans="1:57" s="43" customFormat="1" ht="24.95" customHeight="1" x14ac:dyDescent="0.25">
      <c r="A329" s="35"/>
      <c r="B329" s="35"/>
      <c r="C329" s="33" t="s">
        <v>62</v>
      </c>
      <c r="D329" s="36"/>
      <c r="E329" s="35"/>
      <c r="F329" s="35"/>
      <c r="G329" s="35"/>
      <c r="H329" s="33" t="s">
        <v>46</v>
      </c>
      <c r="I329" s="35"/>
      <c r="J329" s="35"/>
      <c r="K329" s="35"/>
      <c r="L329" s="35"/>
      <c r="M329" s="35"/>
      <c r="N329" s="35"/>
      <c r="O329" s="35"/>
      <c r="P329" s="35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6"/>
      <c r="AV329" s="36"/>
      <c r="AW329" s="37"/>
      <c r="AX329" s="36"/>
      <c r="AY329" s="36"/>
      <c r="AZ329" s="36"/>
      <c r="BA329" s="36"/>
      <c r="BB329" s="36"/>
      <c r="BC329" s="36"/>
      <c r="BD329" s="36"/>
      <c r="BE329" s="36"/>
    </row>
    <row r="330" spans="1:57" s="43" customFormat="1" ht="24.95" customHeight="1" x14ac:dyDescent="0.25">
      <c r="A330" s="35"/>
      <c r="B330" s="35"/>
      <c r="C330" s="33" t="s">
        <v>62</v>
      </c>
      <c r="D330" s="36"/>
      <c r="E330" s="35"/>
      <c r="F330" s="35"/>
      <c r="G330" s="35"/>
      <c r="H330" s="33" t="s">
        <v>46</v>
      </c>
      <c r="I330" s="35"/>
      <c r="J330" s="35"/>
      <c r="K330" s="35"/>
      <c r="L330" s="35"/>
      <c r="M330" s="35"/>
      <c r="N330" s="35"/>
      <c r="O330" s="35"/>
      <c r="P330" s="35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6"/>
      <c r="AV330" s="36"/>
      <c r="AW330" s="37"/>
      <c r="AX330" s="36"/>
      <c r="AY330" s="36"/>
      <c r="AZ330" s="36"/>
      <c r="BA330" s="36"/>
      <c r="BB330" s="36"/>
      <c r="BC330" s="36"/>
      <c r="BD330" s="36"/>
      <c r="BE330" s="36"/>
    </row>
    <row r="331" spans="1:57" s="43" customFormat="1" ht="24.95" customHeight="1" x14ac:dyDescent="0.25">
      <c r="A331" s="35"/>
      <c r="B331" s="35"/>
      <c r="C331" s="33" t="s">
        <v>62</v>
      </c>
      <c r="D331" s="36"/>
      <c r="E331" s="35"/>
      <c r="F331" s="35"/>
      <c r="G331" s="35"/>
      <c r="H331" s="33" t="s">
        <v>46</v>
      </c>
      <c r="I331" s="35"/>
      <c r="J331" s="35"/>
      <c r="K331" s="35"/>
      <c r="L331" s="35"/>
      <c r="M331" s="35"/>
      <c r="N331" s="35"/>
      <c r="O331" s="35"/>
      <c r="P331" s="35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6"/>
      <c r="AV331" s="36"/>
      <c r="AW331" s="37"/>
      <c r="AX331" s="36"/>
      <c r="AY331" s="36"/>
      <c r="AZ331" s="36"/>
      <c r="BA331" s="36"/>
      <c r="BB331" s="36"/>
      <c r="BC331" s="36"/>
      <c r="BD331" s="36"/>
      <c r="BE331" s="36"/>
    </row>
    <row r="332" spans="1:57" s="46" customFormat="1" ht="24.95" customHeight="1" x14ac:dyDescent="0.25">
      <c r="A332" s="44" t="s">
        <v>63</v>
      </c>
      <c r="B332" s="44"/>
      <c r="C332" s="45"/>
      <c r="D332" s="44"/>
      <c r="E332" s="44"/>
      <c r="F332" s="44"/>
      <c r="G332" s="44"/>
      <c r="H332" s="45"/>
      <c r="I332" s="44"/>
      <c r="J332" s="44"/>
      <c r="K332" s="44"/>
      <c r="L332" s="44"/>
      <c r="M332" s="44"/>
      <c r="N332" s="44"/>
      <c r="O332" s="44"/>
      <c r="P332" s="44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44">
        <f>SUM(AG300:AG331)</f>
        <v>0</v>
      </c>
      <c r="AH332" s="44">
        <f t="shared" ref="AH332:BE332" si="19">SUM(AH300:AH331)</f>
        <v>0</v>
      </c>
      <c r="AI332" s="44">
        <f t="shared" si="19"/>
        <v>0</v>
      </c>
      <c r="AJ332" s="44">
        <f t="shared" si="19"/>
        <v>0</v>
      </c>
      <c r="AK332" s="44">
        <f t="shared" si="19"/>
        <v>0</v>
      </c>
      <c r="AL332" s="44">
        <f t="shared" si="19"/>
        <v>0</v>
      </c>
      <c r="AM332" s="44">
        <f t="shared" si="19"/>
        <v>0</v>
      </c>
      <c r="AN332" s="44">
        <f t="shared" si="19"/>
        <v>0</v>
      </c>
      <c r="AO332" s="44">
        <f t="shared" si="19"/>
        <v>0</v>
      </c>
      <c r="AP332" s="44">
        <f t="shared" si="19"/>
        <v>0</v>
      </c>
      <c r="AQ332" s="44">
        <f t="shared" si="19"/>
        <v>0</v>
      </c>
      <c r="AR332" s="44">
        <f t="shared" si="19"/>
        <v>0</v>
      </c>
      <c r="AS332" s="44">
        <f t="shared" si="19"/>
        <v>0</v>
      </c>
      <c r="AT332" s="44">
        <f t="shared" si="19"/>
        <v>0</v>
      </c>
      <c r="AU332" s="44">
        <f t="shared" si="19"/>
        <v>0</v>
      </c>
      <c r="AV332" s="44">
        <f t="shared" si="19"/>
        <v>0</v>
      </c>
      <c r="AW332" s="44">
        <f t="shared" si="19"/>
        <v>0</v>
      </c>
      <c r="AX332" s="44">
        <f t="shared" si="19"/>
        <v>0</v>
      </c>
      <c r="AY332" s="44">
        <f t="shared" si="19"/>
        <v>0</v>
      </c>
      <c r="AZ332" s="44">
        <f t="shared" si="19"/>
        <v>0</v>
      </c>
      <c r="BA332" s="44">
        <f t="shared" si="19"/>
        <v>0</v>
      </c>
      <c r="BB332" s="44">
        <f t="shared" si="19"/>
        <v>0</v>
      </c>
      <c r="BC332" s="44">
        <f t="shared" si="19"/>
        <v>0</v>
      </c>
      <c r="BD332" s="44">
        <f t="shared" si="19"/>
        <v>0</v>
      </c>
      <c r="BE332" s="44">
        <f t="shared" si="19"/>
        <v>0</v>
      </c>
    </row>
    <row r="333" spans="1:57" s="46" customFormat="1" ht="24.95" customHeight="1" x14ac:dyDescent="0.25">
      <c r="A333" s="44"/>
      <c r="B333" s="44"/>
      <c r="C333" s="45"/>
      <c r="D333" s="39"/>
      <c r="E333" s="44"/>
      <c r="F333" s="44"/>
      <c r="G333" s="44"/>
      <c r="H333" s="45"/>
      <c r="I333" s="44"/>
      <c r="J333" s="44"/>
      <c r="K333" s="44"/>
      <c r="L333" s="44"/>
      <c r="M333" s="44"/>
      <c r="N333" s="44"/>
      <c r="O333" s="44"/>
      <c r="P333" s="44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>
        <v>0</v>
      </c>
      <c r="AH333" s="39">
        <v>0</v>
      </c>
      <c r="AI333" s="39">
        <v>232</v>
      </c>
      <c r="AJ333" s="39">
        <v>145.79999999999998</v>
      </c>
      <c r="AK333" s="39">
        <v>60</v>
      </c>
      <c r="AL333" s="39">
        <v>0</v>
      </c>
      <c r="AM333" s="39">
        <v>0</v>
      </c>
      <c r="AN333" s="39">
        <v>0</v>
      </c>
      <c r="AO333" s="39">
        <v>0</v>
      </c>
      <c r="AP333" s="39">
        <v>347</v>
      </c>
      <c r="AQ333" s="39">
        <v>0</v>
      </c>
      <c r="AR333" s="39">
        <v>0</v>
      </c>
      <c r="AS333" s="39">
        <v>0</v>
      </c>
      <c r="AT333" s="39">
        <v>139</v>
      </c>
      <c r="AU333" s="39">
        <v>0</v>
      </c>
      <c r="AV333" s="39">
        <v>0</v>
      </c>
      <c r="AW333" s="39">
        <v>0</v>
      </c>
      <c r="AX333" s="39">
        <v>0</v>
      </c>
      <c r="AY333" s="39">
        <v>0</v>
      </c>
      <c r="AZ333" s="39">
        <v>0</v>
      </c>
      <c r="BA333" s="39">
        <v>0</v>
      </c>
      <c r="BB333" s="39">
        <v>754</v>
      </c>
      <c r="BC333" s="39">
        <v>0</v>
      </c>
      <c r="BD333" s="39">
        <v>1</v>
      </c>
      <c r="BE333" s="39">
        <v>0</v>
      </c>
    </row>
    <row r="334" spans="1:57" s="46" customFormat="1" ht="24.95" customHeight="1" x14ac:dyDescent="0.25">
      <c r="A334" s="44"/>
      <c r="B334" s="44"/>
      <c r="C334" s="45"/>
      <c r="D334" s="39"/>
      <c r="E334" s="44"/>
      <c r="F334" s="44"/>
      <c r="G334" s="44"/>
      <c r="H334" s="45"/>
      <c r="I334" s="44"/>
      <c r="J334" s="44"/>
      <c r="K334" s="44"/>
      <c r="L334" s="44"/>
      <c r="M334" s="44"/>
      <c r="N334" s="44"/>
      <c r="O334" s="44"/>
      <c r="P334" s="44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44">
        <f>AG332-AG333</f>
        <v>0</v>
      </c>
      <c r="AH334" s="44">
        <f t="shared" ref="AH334:BE334" si="20">AH332-AH333</f>
        <v>0</v>
      </c>
      <c r="AI334" s="44">
        <f t="shared" si="20"/>
        <v>-232</v>
      </c>
      <c r="AJ334" s="44">
        <f t="shared" si="20"/>
        <v>-145.79999999999998</v>
      </c>
      <c r="AK334" s="44">
        <f t="shared" si="20"/>
        <v>-60</v>
      </c>
      <c r="AL334" s="44">
        <f t="shared" si="20"/>
        <v>0</v>
      </c>
      <c r="AM334" s="44">
        <f t="shared" si="20"/>
        <v>0</v>
      </c>
      <c r="AN334" s="44">
        <f t="shared" si="20"/>
        <v>0</v>
      </c>
      <c r="AO334" s="44">
        <f t="shared" si="20"/>
        <v>0</v>
      </c>
      <c r="AP334" s="44">
        <f t="shared" si="20"/>
        <v>-347</v>
      </c>
      <c r="AQ334" s="44">
        <f t="shared" si="20"/>
        <v>0</v>
      </c>
      <c r="AR334" s="44">
        <f t="shared" si="20"/>
        <v>0</v>
      </c>
      <c r="AS334" s="44">
        <f t="shared" si="20"/>
        <v>0</v>
      </c>
      <c r="AT334" s="44">
        <f t="shared" si="20"/>
        <v>-139</v>
      </c>
      <c r="AU334" s="44">
        <f t="shared" si="20"/>
        <v>0</v>
      </c>
      <c r="AV334" s="44">
        <f t="shared" si="20"/>
        <v>0</v>
      </c>
      <c r="AW334" s="44">
        <f t="shared" si="20"/>
        <v>0</v>
      </c>
      <c r="AX334" s="44">
        <f t="shared" si="20"/>
        <v>0</v>
      </c>
      <c r="AY334" s="44">
        <f t="shared" si="20"/>
        <v>0</v>
      </c>
      <c r="AZ334" s="44">
        <f t="shared" si="20"/>
        <v>0</v>
      </c>
      <c r="BA334" s="44">
        <f t="shared" si="20"/>
        <v>0</v>
      </c>
      <c r="BB334" s="44">
        <f t="shared" si="20"/>
        <v>-754</v>
      </c>
      <c r="BC334" s="44">
        <f t="shared" si="20"/>
        <v>0</v>
      </c>
      <c r="BD334" s="44">
        <f t="shared" si="20"/>
        <v>-1</v>
      </c>
      <c r="BE334" s="44">
        <f t="shared" si="20"/>
        <v>0</v>
      </c>
    </row>
    <row r="335" spans="1:57" s="43" customFormat="1" ht="24.95" customHeight="1" x14ac:dyDescent="0.25">
      <c r="A335" s="35"/>
      <c r="B335" s="35"/>
      <c r="C335" s="33" t="s">
        <v>76</v>
      </c>
      <c r="D335" s="36"/>
      <c r="E335" s="35"/>
      <c r="F335" s="35"/>
      <c r="G335" s="35"/>
      <c r="H335" s="33" t="s">
        <v>46</v>
      </c>
      <c r="I335" s="35"/>
      <c r="J335" s="35"/>
      <c r="K335" s="35"/>
      <c r="L335" s="35"/>
      <c r="M335" s="35"/>
      <c r="N335" s="35"/>
      <c r="O335" s="35"/>
      <c r="P335" s="35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70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6"/>
      <c r="AV335" s="36"/>
      <c r="AW335" s="37"/>
      <c r="AX335" s="36"/>
      <c r="AY335" s="36"/>
      <c r="AZ335" s="36"/>
      <c r="BA335" s="36"/>
      <c r="BB335" s="36"/>
      <c r="BC335" s="36"/>
      <c r="BD335" s="36"/>
      <c r="BE335" s="36"/>
    </row>
    <row r="336" spans="1:57" s="43" customFormat="1" ht="24.95" customHeight="1" x14ac:dyDescent="0.25">
      <c r="A336" s="35"/>
      <c r="B336" s="35"/>
      <c r="C336" s="33" t="s">
        <v>76</v>
      </c>
      <c r="D336" s="36"/>
      <c r="E336" s="35"/>
      <c r="F336" s="35"/>
      <c r="G336" s="35"/>
      <c r="H336" s="33" t="s">
        <v>46</v>
      </c>
      <c r="I336" s="35"/>
      <c r="J336" s="35"/>
      <c r="K336" s="35"/>
      <c r="L336" s="35"/>
      <c r="M336" s="35"/>
      <c r="N336" s="35"/>
      <c r="O336" s="35"/>
      <c r="P336" s="35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70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6"/>
      <c r="AV336" s="36"/>
      <c r="AW336" s="37"/>
      <c r="AX336" s="36"/>
      <c r="AY336" s="36"/>
      <c r="AZ336" s="36"/>
      <c r="BA336" s="36"/>
      <c r="BB336" s="36"/>
      <c r="BC336" s="36"/>
      <c r="BD336" s="36"/>
      <c r="BE336" s="36"/>
    </row>
    <row r="337" spans="1:57" s="43" customFormat="1" ht="24.95" customHeight="1" x14ac:dyDescent="0.25">
      <c r="A337" s="35"/>
      <c r="B337" s="35"/>
      <c r="C337" s="33" t="s">
        <v>76</v>
      </c>
      <c r="D337" s="36"/>
      <c r="E337" s="35"/>
      <c r="F337" s="35"/>
      <c r="G337" s="35"/>
      <c r="H337" s="33" t="s">
        <v>46</v>
      </c>
      <c r="I337" s="35"/>
      <c r="J337" s="35"/>
      <c r="K337" s="35"/>
      <c r="L337" s="35"/>
      <c r="M337" s="35"/>
      <c r="N337" s="35"/>
      <c r="O337" s="35"/>
      <c r="P337" s="35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70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6"/>
      <c r="AV337" s="36"/>
      <c r="AW337" s="37"/>
      <c r="AX337" s="36"/>
      <c r="AY337" s="36"/>
      <c r="AZ337" s="36"/>
      <c r="BA337" s="36"/>
      <c r="BB337" s="36"/>
      <c r="BC337" s="36"/>
      <c r="BD337" s="36"/>
      <c r="BE337" s="36"/>
    </row>
    <row r="338" spans="1:57" s="43" customFormat="1" ht="24.95" customHeight="1" x14ac:dyDescent="0.25">
      <c r="A338" s="35"/>
      <c r="B338" s="35"/>
      <c r="C338" s="33" t="s">
        <v>76</v>
      </c>
      <c r="D338" s="36"/>
      <c r="E338" s="35"/>
      <c r="F338" s="35"/>
      <c r="G338" s="35"/>
      <c r="H338" s="33" t="s">
        <v>46</v>
      </c>
      <c r="I338" s="35"/>
      <c r="J338" s="35"/>
      <c r="K338" s="35"/>
      <c r="L338" s="35"/>
      <c r="M338" s="35"/>
      <c r="N338" s="35"/>
      <c r="O338" s="35"/>
      <c r="P338" s="35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70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6"/>
      <c r="AV338" s="36"/>
      <c r="AW338" s="37"/>
      <c r="AX338" s="36"/>
      <c r="AY338" s="36"/>
      <c r="AZ338" s="36"/>
      <c r="BA338" s="36"/>
      <c r="BB338" s="36"/>
      <c r="BC338" s="36"/>
      <c r="BD338" s="36"/>
      <c r="BE338" s="36"/>
    </row>
    <row r="339" spans="1:57" s="43" customFormat="1" ht="24.95" customHeight="1" x14ac:dyDescent="0.25">
      <c r="A339" s="35"/>
      <c r="B339" s="35"/>
      <c r="C339" s="33" t="s">
        <v>76</v>
      </c>
      <c r="D339" s="36"/>
      <c r="E339" s="35"/>
      <c r="F339" s="35"/>
      <c r="G339" s="35"/>
      <c r="H339" s="33" t="s">
        <v>46</v>
      </c>
      <c r="I339" s="35"/>
      <c r="J339" s="35"/>
      <c r="K339" s="35"/>
      <c r="L339" s="35"/>
      <c r="M339" s="35"/>
      <c r="N339" s="35"/>
      <c r="O339" s="35"/>
      <c r="P339" s="35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70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6"/>
      <c r="AV339" s="36"/>
      <c r="AW339" s="37"/>
      <c r="AX339" s="36"/>
      <c r="AY339" s="36"/>
      <c r="AZ339" s="36"/>
      <c r="BA339" s="36"/>
      <c r="BB339" s="36"/>
      <c r="BC339" s="36"/>
      <c r="BD339" s="36"/>
      <c r="BE339" s="36"/>
    </row>
    <row r="340" spans="1:57" s="43" customFormat="1" ht="24.95" customHeight="1" x14ac:dyDescent="0.25">
      <c r="A340" s="35"/>
      <c r="B340" s="35"/>
      <c r="C340" s="33" t="s">
        <v>76</v>
      </c>
      <c r="D340" s="36"/>
      <c r="E340" s="35"/>
      <c r="F340" s="35"/>
      <c r="G340" s="35"/>
      <c r="H340" s="33" t="s">
        <v>46</v>
      </c>
      <c r="I340" s="35"/>
      <c r="J340" s="35"/>
      <c r="K340" s="35"/>
      <c r="L340" s="35"/>
      <c r="M340" s="35"/>
      <c r="N340" s="35"/>
      <c r="O340" s="35"/>
      <c r="P340" s="35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70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6"/>
      <c r="AV340" s="36"/>
      <c r="AW340" s="37"/>
      <c r="AX340" s="36"/>
      <c r="AY340" s="36"/>
      <c r="AZ340" s="36"/>
      <c r="BA340" s="36"/>
      <c r="BB340" s="36"/>
      <c r="BC340" s="36"/>
      <c r="BD340" s="36"/>
      <c r="BE340" s="36"/>
    </row>
    <row r="341" spans="1:57" s="43" customFormat="1" ht="24.95" customHeight="1" x14ac:dyDescent="0.25">
      <c r="A341" s="35"/>
      <c r="B341" s="35"/>
      <c r="C341" s="33" t="s">
        <v>76</v>
      </c>
      <c r="D341" s="36"/>
      <c r="E341" s="35"/>
      <c r="F341" s="35"/>
      <c r="G341" s="35"/>
      <c r="H341" s="33" t="s">
        <v>46</v>
      </c>
      <c r="I341" s="35"/>
      <c r="J341" s="35"/>
      <c r="K341" s="35"/>
      <c r="L341" s="35"/>
      <c r="M341" s="35"/>
      <c r="N341" s="35"/>
      <c r="O341" s="35"/>
      <c r="P341" s="35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70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6"/>
      <c r="AV341" s="36"/>
      <c r="AW341" s="37"/>
      <c r="AX341" s="36"/>
      <c r="AY341" s="36"/>
      <c r="AZ341" s="36"/>
      <c r="BA341" s="36"/>
      <c r="BB341" s="36"/>
      <c r="BC341" s="36"/>
      <c r="BD341" s="36"/>
      <c r="BE341" s="36"/>
    </row>
    <row r="342" spans="1:57" s="43" customFormat="1" ht="24.95" customHeight="1" x14ac:dyDescent="0.25">
      <c r="A342" s="35"/>
      <c r="B342" s="35"/>
      <c r="C342" s="33" t="s">
        <v>76</v>
      </c>
      <c r="D342" s="36"/>
      <c r="E342" s="35"/>
      <c r="F342" s="35"/>
      <c r="G342" s="35"/>
      <c r="H342" s="33" t="s">
        <v>46</v>
      </c>
      <c r="I342" s="35"/>
      <c r="J342" s="35"/>
      <c r="K342" s="35"/>
      <c r="L342" s="35"/>
      <c r="M342" s="35"/>
      <c r="N342" s="35"/>
      <c r="O342" s="35"/>
      <c r="P342" s="35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70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6"/>
      <c r="AV342" s="36"/>
      <c r="AW342" s="37"/>
      <c r="AX342" s="36"/>
      <c r="AY342" s="36"/>
      <c r="AZ342" s="36"/>
      <c r="BA342" s="36"/>
      <c r="BB342" s="36"/>
      <c r="BC342" s="36"/>
      <c r="BD342" s="36"/>
      <c r="BE342" s="36"/>
    </row>
    <row r="343" spans="1:57" s="43" customFormat="1" ht="24.95" customHeight="1" x14ac:dyDescent="0.25">
      <c r="A343" s="35"/>
      <c r="B343" s="35"/>
      <c r="C343" s="33" t="s">
        <v>76</v>
      </c>
      <c r="D343" s="36"/>
      <c r="E343" s="35"/>
      <c r="F343" s="35"/>
      <c r="G343" s="35"/>
      <c r="H343" s="33" t="s">
        <v>46</v>
      </c>
      <c r="I343" s="35"/>
      <c r="J343" s="35"/>
      <c r="K343" s="35"/>
      <c r="L343" s="35"/>
      <c r="M343" s="35"/>
      <c r="N343" s="35"/>
      <c r="O343" s="35"/>
      <c r="P343" s="35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70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6"/>
      <c r="AV343" s="36"/>
      <c r="AW343" s="37"/>
      <c r="AX343" s="36"/>
      <c r="AY343" s="36"/>
      <c r="AZ343" s="36"/>
      <c r="BA343" s="36"/>
      <c r="BB343" s="36"/>
      <c r="BC343" s="36"/>
      <c r="BD343" s="36"/>
      <c r="BE343" s="36"/>
    </row>
    <row r="344" spans="1:57" s="43" customFormat="1" ht="24.95" customHeight="1" x14ac:dyDescent="0.25">
      <c r="A344" s="35"/>
      <c r="B344" s="35"/>
      <c r="C344" s="33" t="s">
        <v>76</v>
      </c>
      <c r="D344" s="36"/>
      <c r="E344" s="35"/>
      <c r="F344" s="35"/>
      <c r="G344" s="35"/>
      <c r="H344" s="33" t="s">
        <v>46</v>
      </c>
      <c r="I344" s="35"/>
      <c r="J344" s="35"/>
      <c r="K344" s="35"/>
      <c r="L344" s="35"/>
      <c r="M344" s="35"/>
      <c r="N344" s="35"/>
      <c r="O344" s="35"/>
      <c r="P344" s="35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70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6"/>
      <c r="AV344" s="36"/>
      <c r="AW344" s="37"/>
      <c r="AX344" s="36"/>
      <c r="AY344" s="36"/>
      <c r="AZ344" s="36"/>
      <c r="BA344" s="36"/>
      <c r="BB344" s="36"/>
      <c r="BC344" s="36"/>
      <c r="BD344" s="36"/>
      <c r="BE344" s="36"/>
    </row>
    <row r="345" spans="1:57" s="43" customFormat="1" ht="24.95" customHeight="1" x14ac:dyDescent="0.25">
      <c r="A345" s="35"/>
      <c r="B345" s="35"/>
      <c r="C345" s="33" t="s">
        <v>76</v>
      </c>
      <c r="D345" s="36"/>
      <c r="E345" s="35"/>
      <c r="F345" s="35"/>
      <c r="G345" s="35"/>
      <c r="H345" s="33" t="s">
        <v>46</v>
      </c>
      <c r="I345" s="35"/>
      <c r="J345" s="35"/>
      <c r="K345" s="35"/>
      <c r="L345" s="35"/>
      <c r="M345" s="35"/>
      <c r="N345" s="35"/>
      <c r="O345" s="35"/>
      <c r="P345" s="35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70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6"/>
      <c r="AV345" s="36"/>
      <c r="AW345" s="37"/>
      <c r="AX345" s="36"/>
      <c r="AY345" s="36"/>
      <c r="AZ345" s="36"/>
      <c r="BA345" s="36"/>
      <c r="BB345" s="36"/>
      <c r="BC345" s="36"/>
      <c r="BD345" s="36"/>
      <c r="BE345" s="36"/>
    </row>
    <row r="346" spans="1:57" s="43" customFormat="1" ht="24.95" customHeight="1" x14ac:dyDescent="0.25">
      <c r="A346" s="35"/>
      <c r="B346" s="35"/>
      <c r="C346" s="33" t="s">
        <v>76</v>
      </c>
      <c r="D346" s="36"/>
      <c r="E346" s="35"/>
      <c r="F346" s="35"/>
      <c r="G346" s="35"/>
      <c r="H346" s="33" t="s">
        <v>46</v>
      </c>
      <c r="I346" s="35"/>
      <c r="J346" s="35"/>
      <c r="K346" s="35"/>
      <c r="L346" s="35"/>
      <c r="M346" s="35"/>
      <c r="N346" s="35"/>
      <c r="O346" s="35"/>
      <c r="P346" s="35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70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6"/>
      <c r="AV346" s="36"/>
      <c r="AW346" s="37"/>
      <c r="AX346" s="36"/>
      <c r="AY346" s="36"/>
      <c r="AZ346" s="36"/>
      <c r="BA346" s="36"/>
      <c r="BB346" s="36"/>
      <c r="BC346" s="36"/>
      <c r="BD346" s="36"/>
      <c r="BE346" s="36"/>
    </row>
    <row r="347" spans="1:57" s="43" customFormat="1" ht="24.95" customHeight="1" x14ac:dyDescent="0.25">
      <c r="A347" s="35"/>
      <c r="B347" s="35"/>
      <c r="C347" s="33" t="s">
        <v>76</v>
      </c>
      <c r="D347" s="36"/>
      <c r="E347" s="35"/>
      <c r="F347" s="35"/>
      <c r="G347" s="35"/>
      <c r="H347" s="33" t="s">
        <v>46</v>
      </c>
      <c r="I347" s="35"/>
      <c r="J347" s="35"/>
      <c r="K347" s="35"/>
      <c r="L347" s="35"/>
      <c r="M347" s="35"/>
      <c r="N347" s="35"/>
      <c r="O347" s="35"/>
      <c r="P347" s="35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70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6"/>
      <c r="AV347" s="36"/>
      <c r="AW347" s="37"/>
      <c r="AX347" s="36"/>
      <c r="AY347" s="36"/>
      <c r="AZ347" s="36"/>
      <c r="BA347" s="36"/>
      <c r="BB347" s="36"/>
      <c r="BC347" s="36"/>
      <c r="BD347" s="36"/>
      <c r="BE347" s="36"/>
    </row>
    <row r="348" spans="1:57" s="43" customFormat="1" ht="24.95" customHeight="1" x14ac:dyDescent="0.25">
      <c r="A348" s="35"/>
      <c r="B348" s="35"/>
      <c r="C348" s="33" t="s">
        <v>76</v>
      </c>
      <c r="D348" s="36"/>
      <c r="E348" s="35"/>
      <c r="F348" s="35"/>
      <c r="G348" s="35"/>
      <c r="H348" s="33" t="s">
        <v>46</v>
      </c>
      <c r="I348" s="35"/>
      <c r="J348" s="35"/>
      <c r="K348" s="35"/>
      <c r="L348" s="35"/>
      <c r="M348" s="35"/>
      <c r="N348" s="35"/>
      <c r="O348" s="35"/>
      <c r="P348" s="35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70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6"/>
      <c r="AV348" s="36"/>
      <c r="AW348" s="37"/>
      <c r="AX348" s="36"/>
      <c r="AY348" s="36"/>
      <c r="AZ348" s="36"/>
      <c r="BA348" s="36"/>
      <c r="BB348" s="36"/>
      <c r="BC348" s="36"/>
      <c r="BD348" s="36"/>
      <c r="BE348" s="36"/>
    </row>
    <row r="349" spans="1:57" s="43" customFormat="1" ht="24.95" customHeight="1" x14ac:dyDescent="0.25">
      <c r="A349" s="35"/>
      <c r="B349" s="35"/>
      <c r="C349" s="33" t="s">
        <v>76</v>
      </c>
      <c r="D349" s="36"/>
      <c r="E349" s="35"/>
      <c r="F349" s="35"/>
      <c r="G349" s="35"/>
      <c r="H349" s="33" t="s">
        <v>46</v>
      </c>
      <c r="I349" s="35"/>
      <c r="J349" s="35"/>
      <c r="K349" s="35"/>
      <c r="L349" s="35"/>
      <c r="M349" s="35"/>
      <c r="N349" s="35"/>
      <c r="O349" s="35"/>
      <c r="P349" s="35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70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6"/>
      <c r="AV349" s="36"/>
      <c r="AW349" s="37"/>
      <c r="AX349" s="36"/>
      <c r="AY349" s="36"/>
      <c r="AZ349" s="36"/>
      <c r="BA349" s="36"/>
      <c r="BB349" s="36"/>
      <c r="BC349" s="36"/>
      <c r="BD349" s="36"/>
      <c r="BE349" s="36"/>
    </row>
    <row r="350" spans="1:57" s="43" customFormat="1" ht="24.95" customHeight="1" x14ac:dyDescent="0.25">
      <c r="A350" s="35"/>
      <c r="B350" s="35"/>
      <c r="C350" s="33" t="s">
        <v>76</v>
      </c>
      <c r="D350" s="36"/>
      <c r="E350" s="35"/>
      <c r="F350" s="35"/>
      <c r="G350" s="35"/>
      <c r="H350" s="33" t="s">
        <v>46</v>
      </c>
      <c r="I350" s="35"/>
      <c r="J350" s="35"/>
      <c r="K350" s="35"/>
      <c r="L350" s="35"/>
      <c r="M350" s="35"/>
      <c r="N350" s="35"/>
      <c r="O350" s="35"/>
      <c r="P350" s="35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70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6"/>
      <c r="AV350" s="36"/>
      <c r="AW350" s="37"/>
      <c r="AX350" s="36"/>
      <c r="AY350" s="36"/>
      <c r="AZ350" s="36"/>
      <c r="BA350" s="36"/>
      <c r="BB350" s="36"/>
      <c r="BC350" s="36"/>
      <c r="BD350" s="36"/>
      <c r="BE350" s="36"/>
    </row>
    <row r="351" spans="1:57" s="43" customFormat="1" ht="24.95" customHeight="1" x14ac:dyDescent="0.25">
      <c r="A351" s="35"/>
      <c r="B351" s="35"/>
      <c r="C351" s="33" t="s">
        <v>76</v>
      </c>
      <c r="D351" s="36"/>
      <c r="E351" s="35"/>
      <c r="F351" s="35"/>
      <c r="G351" s="35"/>
      <c r="H351" s="33" t="s">
        <v>46</v>
      </c>
      <c r="I351" s="35"/>
      <c r="J351" s="35"/>
      <c r="K351" s="35"/>
      <c r="L351" s="35"/>
      <c r="M351" s="35"/>
      <c r="N351" s="35"/>
      <c r="O351" s="35"/>
      <c r="P351" s="35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70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6"/>
      <c r="AV351" s="36"/>
      <c r="AW351" s="37"/>
      <c r="AX351" s="36"/>
      <c r="AY351" s="36"/>
      <c r="AZ351" s="36"/>
      <c r="BA351" s="36"/>
      <c r="BB351" s="36"/>
      <c r="BC351" s="36"/>
      <c r="BD351" s="36"/>
      <c r="BE351" s="36"/>
    </row>
    <row r="352" spans="1:57" s="43" customFormat="1" ht="24.95" customHeight="1" x14ac:dyDescent="0.25">
      <c r="A352" s="35"/>
      <c r="B352" s="35"/>
      <c r="C352" s="33" t="s">
        <v>76</v>
      </c>
      <c r="D352" s="36"/>
      <c r="E352" s="35"/>
      <c r="F352" s="35"/>
      <c r="G352" s="35"/>
      <c r="H352" s="33" t="s">
        <v>46</v>
      </c>
      <c r="I352" s="35"/>
      <c r="J352" s="35"/>
      <c r="K352" s="35"/>
      <c r="L352" s="35"/>
      <c r="M352" s="35"/>
      <c r="N352" s="35"/>
      <c r="O352" s="35"/>
      <c r="P352" s="35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70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6"/>
      <c r="AV352" s="36"/>
      <c r="AW352" s="37"/>
      <c r="AX352" s="36"/>
      <c r="AY352" s="36"/>
      <c r="AZ352" s="36"/>
      <c r="BA352" s="36"/>
      <c r="BB352" s="36"/>
      <c r="BC352" s="36"/>
      <c r="BD352" s="36"/>
      <c r="BE352" s="36"/>
    </row>
    <row r="353" spans="1:60" s="43" customFormat="1" ht="24.95" customHeight="1" x14ac:dyDescent="0.25">
      <c r="A353" s="35"/>
      <c r="B353" s="35"/>
      <c r="C353" s="33" t="s">
        <v>76</v>
      </c>
      <c r="D353" s="36"/>
      <c r="E353" s="35"/>
      <c r="F353" s="35"/>
      <c r="G353" s="35"/>
      <c r="H353" s="33" t="s">
        <v>46</v>
      </c>
      <c r="I353" s="35"/>
      <c r="J353" s="35"/>
      <c r="K353" s="35"/>
      <c r="L353" s="35"/>
      <c r="M353" s="35"/>
      <c r="N353" s="35"/>
      <c r="O353" s="35"/>
      <c r="P353" s="35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70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6"/>
      <c r="AV353" s="36"/>
      <c r="AW353" s="37"/>
      <c r="AX353" s="36"/>
      <c r="AY353" s="36"/>
      <c r="AZ353" s="36"/>
      <c r="BA353" s="36"/>
      <c r="BB353" s="36"/>
      <c r="BC353" s="36"/>
      <c r="BD353" s="36"/>
      <c r="BE353" s="36"/>
    </row>
    <row r="354" spans="1:60" s="43" customFormat="1" ht="24.95" customHeight="1" x14ac:dyDescent="0.25">
      <c r="A354" s="35"/>
      <c r="B354" s="35"/>
      <c r="C354" s="33" t="s">
        <v>76</v>
      </c>
      <c r="D354" s="36"/>
      <c r="E354" s="35"/>
      <c r="F354" s="35"/>
      <c r="G354" s="35"/>
      <c r="H354" s="33" t="s">
        <v>46</v>
      </c>
      <c r="I354" s="35"/>
      <c r="J354" s="35"/>
      <c r="K354" s="35"/>
      <c r="L354" s="35"/>
      <c r="M354" s="35"/>
      <c r="N354" s="35"/>
      <c r="O354" s="35"/>
      <c r="P354" s="35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70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6"/>
      <c r="AV354" s="36"/>
      <c r="AW354" s="37"/>
      <c r="AX354" s="36"/>
      <c r="AY354" s="36"/>
      <c r="AZ354" s="36"/>
      <c r="BA354" s="36"/>
      <c r="BB354" s="36"/>
      <c r="BC354" s="36"/>
      <c r="BD354" s="36"/>
      <c r="BE354" s="36"/>
    </row>
    <row r="355" spans="1:60" s="43" customFormat="1" ht="24.95" customHeight="1" x14ac:dyDescent="0.25">
      <c r="A355" s="35"/>
      <c r="B355" s="35"/>
      <c r="C355" s="33" t="s">
        <v>76</v>
      </c>
      <c r="D355" s="36"/>
      <c r="E355" s="35"/>
      <c r="F355" s="35"/>
      <c r="G355" s="35"/>
      <c r="H355" s="33" t="s">
        <v>46</v>
      </c>
      <c r="I355" s="35"/>
      <c r="J355" s="35"/>
      <c r="K355" s="35"/>
      <c r="L355" s="35"/>
      <c r="M355" s="35"/>
      <c r="N355" s="35"/>
      <c r="O355" s="35"/>
      <c r="P355" s="35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70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6"/>
      <c r="AV355" s="36"/>
      <c r="AW355" s="37"/>
      <c r="AX355" s="36"/>
      <c r="AY355" s="36"/>
      <c r="AZ355" s="36"/>
      <c r="BA355" s="36"/>
      <c r="BB355" s="36"/>
      <c r="BC355" s="36"/>
      <c r="BD355" s="36"/>
      <c r="BE355" s="36"/>
    </row>
    <row r="356" spans="1:60" s="43" customFormat="1" ht="24.95" customHeight="1" x14ac:dyDescent="0.25">
      <c r="A356" s="35"/>
      <c r="B356" s="35"/>
      <c r="C356" s="33" t="s">
        <v>76</v>
      </c>
      <c r="D356" s="36"/>
      <c r="E356" s="35"/>
      <c r="F356" s="35"/>
      <c r="G356" s="35"/>
      <c r="H356" s="33" t="s">
        <v>46</v>
      </c>
      <c r="I356" s="35"/>
      <c r="J356" s="35"/>
      <c r="K356" s="35"/>
      <c r="L356" s="35"/>
      <c r="M356" s="35"/>
      <c r="N356" s="35"/>
      <c r="O356" s="35"/>
      <c r="P356" s="35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70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6"/>
      <c r="AV356" s="36"/>
      <c r="AW356" s="37"/>
      <c r="AX356" s="36"/>
      <c r="AY356" s="36"/>
      <c r="AZ356" s="36"/>
      <c r="BA356" s="36"/>
      <c r="BB356" s="36"/>
      <c r="BC356" s="36"/>
      <c r="BD356" s="36"/>
      <c r="BE356" s="36"/>
    </row>
    <row r="357" spans="1:60" s="43" customFormat="1" ht="24.95" customHeight="1" x14ac:dyDescent="0.25">
      <c r="A357" s="35"/>
      <c r="B357" s="35"/>
      <c r="C357" s="33" t="s">
        <v>76</v>
      </c>
      <c r="D357" s="36"/>
      <c r="E357" s="35"/>
      <c r="F357" s="35"/>
      <c r="G357" s="35"/>
      <c r="H357" s="33" t="s">
        <v>46</v>
      </c>
      <c r="I357" s="35"/>
      <c r="J357" s="35"/>
      <c r="K357" s="35"/>
      <c r="L357" s="35"/>
      <c r="M357" s="35"/>
      <c r="N357" s="35"/>
      <c r="O357" s="35"/>
      <c r="P357" s="35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70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6"/>
      <c r="AV357" s="36"/>
      <c r="AW357" s="37"/>
      <c r="AX357" s="36"/>
      <c r="AY357" s="36"/>
      <c r="AZ357" s="36"/>
      <c r="BA357" s="36"/>
      <c r="BB357" s="36"/>
      <c r="BC357" s="36"/>
      <c r="BD357" s="36"/>
      <c r="BE357" s="36"/>
    </row>
    <row r="358" spans="1:60" s="43" customFormat="1" ht="24.95" customHeight="1" x14ac:dyDescent="0.25">
      <c r="A358" s="35"/>
      <c r="B358" s="35"/>
      <c r="C358" s="33" t="s">
        <v>76</v>
      </c>
      <c r="D358" s="36"/>
      <c r="E358" s="35"/>
      <c r="F358" s="35"/>
      <c r="G358" s="35"/>
      <c r="H358" s="33" t="s">
        <v>46</v>
      </c>
      <c r="I358" s="35"/>
      <c r="J358" s="35"/>
      <c r="K358" s="35"/>
      <c r="L358" s="35"/>
      <c r="M358" s="35"/>
      <c r="N358" s="35"/>
      <c r="O358" s="35"/>
      <c r="P358" s="35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70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6"/>
      <c r="AV358" s="36"/>
      <c r="AW358" s="37"/>
      <c r="AX358" s="36"/>
      <c r="AY358" s="36"/>
      <c r="AZ358" s="36"/>
      <c r="BA358" s="36"/>
      <c r="BB358" s="36"/>
      <c r="BC358" s="36"/>
      <c r="BD358" s="36"/>
      <c r="BE358" s="36"/>
    </row>
    <row r="359" spans="1:60" s="46" customFormat="1" ht="24.95" customHeight="1" x14ac:dyDescent="0.25">
      <c r="A359" s="44" t="s">
        <v>77</v>
      </c>
      <c r="B359" s="44"/>
      <c r="C359" s="45"/>
      <c r="D359" s="44"/>
      <c r="E359" s="44"/>
      <c r="F359" s="44"/>
      <c r="G359" s="44"/>
      <c r="H359" s="45"/>
      <c r="I359" s="44"/>
      <c r="J359" s="44"/>
      <c r="K359" s="44"/>
      <c r="L359" s="44"/>
      <c r="M359" s="44"/>
      <c r="N359" s="44"/>
      <c r="O359" s="44"/>
      <c r="P359" s="44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47">
        <f>SUM(AG335:AG358)</f>
        <v>0</v>
      </c>
      <c r="AH359" s="47">
        <f t="shared" ref="AH359:BE359" si="21">SUM(AH335:AH358)</f>
        <v>0</v>
      </c>
      <c r="AI359" s="47">
        <f t="shared" si="21"/>
        <v>0</v>
      </c>
      <c r="AJ359" s="47">
        <f t="shared" si="21"/>
        <v>0</v>
      </c>
      <c r="AK359" s="47">
        <f t="shared" si="21"/>
        <v>0</v>
      </c>
      <c r="AL359" s="47">
        <f t="shared" si="21"/>
        <v>0</v>
      </c>
      <c r="AM359" s="47">
        <f t="shared" si="21"/>
        <v>0</v>
      </c>
      <c r="AN359" s="47">
        <f t="shared" si="21"/>
        <v>0</v>
      </c>
      <c r="AO359" s="47">
        <f t="shared" si="21"/>
        <v>0</v>
      </c>
      <c r="AP359" s="47">
        <f t="shared" si="21"/>
        <v>0</v>
      </c>
      <c r="AQ359" s="47">
        <f t="shared" si="21"/>
        <v>0</v>
      </c>
      <c r="AR359" s="47">
        <f t="shared" si="21"/>
        <v>0</v>
      </c>
      <c r="AS359" s="47">
        <f t="shared" si="21"/>
        <v>0</v>
      </c>
      <c r="AT359" s="47">
        <f t="shared" si="21"/>
        <v>0</v>
      </c>
      <c r="AU359" s="47">
        <f t="shared" si="21"/>
        <v>0</v>
      </c>
      <c r="AV359" s="47">
        <f t="shared" si="21"/>
        <v>0</v>
      </c>
      <c r="AW359" s="47">
        <f t="shared" si="21"/>
        <v>0</v>
      </c>
      <c r="AX359" s="47">
        <f t="shared" si="21"/>
        <v>0</v>
      </c>
      <c r="AY359" s="47">
        <f t="shared" si="21"/>
        <v>0</v>
      </c>
      <c r="AZ359" s="47">
        <f t="shared" si="21"/>
        <v>0</v>
      </c>
      <c r="BA359" s="47">
        <f t="shared" si="21"/>
        <v>0</v>
      </c>
      <c r="BB359" s="47">
        <f t="shared" si="21"/>
        <v>0</v>
      </c>
      <c r="BC359" s="47">
        <f t="shared" si="21"/>
        <v>0</v>
      </c>
      <c r="BD359" s="47">
        <f>SUM(BD335:BD358)</f>
        <v>0</v>
      </c>
      <c r="BE359" s="47">
        <f t="shared" si="21"/>
        <v>0</v>
      </c>
    </row>
    <row r="360" spans="1:60" s="46" customFormat="1" ht="24.95" customHeight="1" x14ac:dyDescent="0.25">
      <c r="A360" s="44"/>
      <c r="B360" s="44"/>
      <c r="C360" s="45"/>
      <c r="D360" s="39"/>
      <c r="E360" s="44"/>
      <c r="F360" s="44"/>
      <c r="G360" s="44"/>
      <c r="H360" s="45"/>
      <c r="I360" s="44"/>
      <c r="J360" s="44"/>
      <c r="K360" s="44"/>
      <c r="L360" s="44"/>
      <c r="M360" s="44"/>
      <c r="N360" s="44"/>
      <c r="O360" s="44"/>
      <c r="P360" s="44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>
        <v>0</v>
      </c>
      <c r="AH360" s="39">
        <v>0</v>
      </c>
      <c r="AI360" s="39">
        <v>113</v>
      </c>
      <c r="AJ360" s="39">
        <v>34.020000000000003</v>
      </c>
      <c r="AK360" s="39">
        <v>14</v>
      </c>
      <c r="AL360" s="39">
        <v>0</v>
      </c>
      <c r="AM360" s="39">
        <v>0</v>
      </c>
      <c r="AN360" s="39">
        <v>0</v>
      </c>
      <c r="AO360" s="39">
        <v>0</v>
      </c>
      <c r="AP360" s="39">
        <v>184</v>
      </c>
      <c r="AQ360" s="39">
        <v>0</v>
      </c>
      <c r="AR360" s="39">
        <v>0</v>
      </c>
      <c r="AS360" s="39">
        <v>0</v>
      </c>
      <c r="AT360" s="39">
        <v>67</v>
      </c>
      <c r="AU360" s="39">
        <v>0</v>
      </c>
      <c r="AV360" s="39">
        <v>0</v>
      </c>
      <c r="AW360" s="39">
        <v>0</v>
      </c>
      <c r="AX360" s="39">
        <v>0</v>
      </c>
      <c r="AY360" s="39">
        <v>0</v>
      </c>
      <c r="AZ360" s="39">
        <v>0</v>
      </c>
      <c r="BA360" s="39">
        <v>0</v>
      </c>
      <c r="BB360" s="39">
        <v>363</v>
      </c>
      <c r="BC360" s="39">
        <v>0</v>
      </c>
      <c r="BD360" s="39">
        <v>1</v>
      </c>
      <c r="BE360" s="39">
        <v>0</v>
      </c>
    </row>
    <row r="361" spans="1:60" s="46" customFormat="1" ht="24.95" customHeight="1" x14ac:dyDescent="0.25">
      <c r="A361" s="44"/>
      <c r="B361" s="44"/>
      <c r="C361" s="45"/>
      <c r="D361" s="39"/>
      <c r="E361" s="44"/>
      <c r="F361" s="44"/>
      <c r="G361" s="44"/>
      <c r="H361" s="45"/>
      <c r="I361" s="44"/>
      <c r="J361" s="44"/>
      <c r="K361" s="44"/>
      <c r="L361" s="44"/>
      <c r="M361" s="44"/>
      <c r="N361" s="44"/>
      <c r="O361" s="44"/>
      <c r="P361" s="44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44">
        <f>AG359-AG360</f>
        <v>0</v>
      </c>
      <c r="AH361" s="44">
        <f t="shared" ref="AH361:BE361" si="22">AH359-AH360</f>
        <v>0</v>
      </c>
      <c r="AI361" s="44">
        <f t="shared" si="22"/>
        <v>-113</v>
      </c>
      <c r="AJ361" s="44">
        <f t="shared" si="22"/>
        <v>-34.020000000000003</v>
      </c>
      <c r="AK361" s="44">
        <f t="shared" si="22"/>
        <v>-14</v>
      </c>
      <c r="AL361" s="44">
        <f t="shared" si="22"/>
        <v>0</v>
      </c>
      <c r="AM361" s="44">
        <f t="shared" si="22"/>
        <v>0</v>
      </c>
      <c r="AN361" s="44">
        <f t="shared" si="22"/>
        <v>0</v>
      </c>
      <c r="AO361" s="44">
        <f t="shared" si="22"/>
        <v>0</v>
      </c>
      <c r="AP361" s="44">
        <f t="shared" si="22"/>
        <v>-184</v>
      </c>
      <c r="AQ361" s="44">
        <f t="shared" si="22"/>
        <v>0</v>
      </c>
      <c r="AR361" s="44">
        <f t="shared" si="22"/>
        <v>0</v>
      </c>
      <c r="AS361" s="44">
        <f t="shared" si="22"/>
        <v>0</v>
      </c>
      <c r="AT361" s="44">
        <f t="shared" si="22"/>
        <v>-67</v>
      </c>
      <c r="AU361" s="44">
        <f t="shared" si="22"/>
        <v>0</v>
      </c>
      <c r="AV361" s="44">
        <f t="shared" si="22"/>
        <v>0</v>
      </c>
      <c r="AW361" s="44">
        <f t="shared" si="22"/>
        <v>0</v>
      </c>
      <c r="AX361" s="44">
        <f t="shared" si="22"/>
        <v>0</v>
      </c>
      <c r="AY361" s="44">
        <f t="shared" si="22"/>
        <v>0</v>
      </c>
      <c r="AZ361" s="44">
        <f t="shared" si="22"/>
        <v>0</v>
      </c>
      <c r="BA361" s="44">
        <f t="shared" si="22"/>
        <v>0</v>
      </c>
      <c r="BB361" s="44">
        <f t="shared" si="22"/>
        <v>-363</v>
      </c>
      <c r="BC361" s="44">
        <f t="shared" si="22"/>
        <v>0</v>
      </c>
      <c r="BD361" s="44">
        <f t="shared" si="22"/>
        <v>-1</v>
      </c>
      <c r="BE361" s="44">
        <f t="shared" si="22"/>
        <v>0</v>
      </c>
    </row>
    <row r="362" spans="1:60" s="46" customFormat="1" ht="24.95" customHeight="1" x14ac:dyDescent="0.25">
      <c r="A362" s="48" t="s">
        <v>64</v>
      </c>
      <c r="B362" s="48"/>
      <c r="C362" s="49"/>
      <c r="D362" s="48"/>
      <c r="E362" s="48"/>
      <c r="F362" s="48"/>
      <c r="G362" s="48"/>
      <c r="H362" s="49"/>
      <c r="I362" s="48"/>
      <c r="J362" s="48"/>
      <c r="K362" s="48"/>
      <c r="L362" s="48"/>
      <c r="M362" s="48"/>
      <c r="N362" s="48"/>
      <c r="O362" s="48"/>
      <c r="P362" s="48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>
        <f t="shared" ref="AG362:BE362" si="23">AG332+AG297+AG253+AG213+AG173+AG132+AG111+AG83+AG60+AG27+AG12+AG359</f>
        <v>0</v>
      </c>
      <c r="AH362" s="50">
        <f t="shared" si="23"/>
        <v>0</v>
      </c>
      <c r="AI362" s="50">
        <f t="shared" si="23"/>
        <v>0</v>
      </c>
      <c r="AJ362" s="50">
        <f t="shared" si="23"/>
        <v>0</v>
      </c>
      <c r="AK362" s="50">
        <f t="shared" si="23"/>
        <v>0</v>
      </c>
      <c r="AL362" s="50">
        <f t="shared" si="23"/>
        <v>0</v>
      </c>
      <c r="AM362" s="50">
        <f t="shared" si="23"/>
        <v>0</v>
      </c>
      <c r="AN362" s="50">
        <f t="shared" si="23"/>
        <v>0</v>
      </c>
      <c r="AO362" s="50">
        <f t="shared" si="23"/>
        <v>0</v>
      </c>
      <c r="AP362" s="50">
        <f t="shared" si="23"/>
        <v>0</v>
      </c>
      <c r="AQ362" s="50">
        <f t="shared" si="23"/>
        <v>0</v>
      </c>
      <c r="AR362" s="50">
        <f t="shared" si="23"/>
        <v>0</v>
      </c>
      <c r="AS362" s="50">
        <f t="shared" si="23"/>
        <v>0</v>
      </c>
      <c r="AT362" s="50">
        <f t="shared" si="23"/>
        <v>0</v>
      </c>
      <c r="AU362" s="50">
        <f t="shared" si="23"/>
        <v>0</v>
      </c>
      <c r="AV362" s="50">
        <f t="shared" si="23"/>
        <v>0</v>
      </c>
      <c r="AW362" s="50">
        <f t="shared" si="23"/>
        <v>0</v>
      </c>
      <c r="AX362" s="50">
        <f t="shared" si="23"/>
        <v>0</v>
      </c>
      <c r="AY362" s="50">
        <f t="shared" si="23"/>
        <v>0</v>
      </c>
      <c r="AZ362" s="50">
        <f t="shared" si="23"/>
        <v>0</v>
      </c>
      <c r="BA362" s="50">
        <f t="shared" si="23"/>
        <v>0</v>
      </c>
      <c r="BB362" s="50">
        <f t="shared" si="23"/>
        <v>0</v>
      </c>
      <c r="BC362" s="50">
        <f t="shared" si="23"/>
        <v>0</v>
      </c>
      <c r="BD362" s="50"/>
      <c r="BE362" s="50">
        <f t="shared" si="23"/>
        <v>0</v>
      </c>
      <c r="BF362" s="69">
        <f>SUM(AG362:BE362)</f>
        <v>0</v>
      </c>
      <c r="BG362" s="51"/>
      <c r="BH362" s="51"/>
    </row>
    <row r="363" spans="1:60" s="51" customFormat="1" ht="24.95" customHeight="1" x14ac:dyDescent="0.25">
      <c r="C363" s="52"/>
      <c r="H363" s="53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5"/>
      <c r="BG363" s="55"/>
      <c r="BH363" s="55"/>
    </row>
    <row r="364" spans="1:60" s="55" customFormat="1" ht="24.95" customHeight="1" x14ac:dyDescent="0.25">
      <c r="A364" s="56" t="s">
        <v>65</v>
      </c>
      <c r="B364" s="56"/>
      <c r="C364" s="57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8">
        <v>27.343800000000002</v>
      </c>
      <c r="AH364" s="58">
        <v>0</v>
      </c>
      <c r="AI364" s="58">
        <v>145.88</v>
      </c>
      <c r="AJ364" s="58">
        <v>27.66</v>
      </c>
      <c r="AK364" s="58">
        <v>26.25</v>
      </c>
      <c r="AL364" s="58">
        <v>171.74</v>
      </c>
      <c r="AM364" s="58">
        <v>195</v>
      </c>
      <c r="AN364" s="59">
        <v>180.36</v>
      </c>
      <c r="AO364" s="59">
        <v>185.71</v>
      </c>
      <c r="AP364" s="59">
        <v>189.38</v>
      </c>
      <c r="AQ364" s="59">
        <v>207</v>
      </c>
      <c r="AR364" s="59">
        <v>379.46</v>
      </c>
      <c r="AS364" s="59">
        <v>35.15</v>
      </c>
      <c r="AT364" s="60">
        <v>35.892857142857139</v>
      </c>
      <c r="AU364" s="59">
        <v>81.900000000000006</v>
      </c>
      <c r="AV364" s="60">
        <v>37.5</v>
      </c>
      <c r="AW364" s="59">
        <v>20.62</v>
      </c>
      <c r="AX364" s="59">
        <v>167.2697</v>
      </c>
      <c r="AY364" s="59">
        <v>7.5</v>
      </c>
      <c r="AZ364" s="59">
        <v>195</v>
      </c>
      <c r="BA364" s="59">
        <v>0</v>
      </c>
      <c r="BB364" s="59">
        <v>29.45</v>
      </c>
      <c r="BC364" s="59">
        <v>37.450000000000003</v>
      </c>
      <c r="BD364" s="59">
        <v>29.5639</v>
      </c>
      <c r="BE364" s="59">
        <v>267.18</v>
      </c>
    </row>
    <row r="365" spans="1:60" s="55" customFormat="1" ht="24.95" customHeight="1" x14ac:dyDescent="0.25">
      <c r="C365" s="61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</row>
    <row r="366" spans="1:60" s="55" customFormat="1" ht="24.95" customHeight="1" x14ac:dyDescent="0.25">
      <c r="A366" s="63" t="s">
        <v>66</v>
      </c>
      <c r="B366" s="63"/>
      <c r="C366" s="64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>
        <f>AG362*AG364</f>
        <v>0</v>
      </c>
      <c r="AH366" s="65">
        <f>AH362*AH364</f>
        <v>0</v>
      </c>
      <c r="AI366" s="65">
        <f t="shared" ref="AI366:BE366" si="24">AI362*AI364</f>
        <v>0</v>
      </c>
      <c r="AJ366" s="65">
        <f>AJ362*AJ364</f>
        <v>0</v>
      </c>
      <c r="AK366" s="65">
        <f t="shared" si="24"/>
        <v>0</v>
      </c>
      <c r="AL366" s="65">
        <f t="shared" si="24"/>
        <v>0</v>
      </c>
      <c r="AM366" s="65">
        <f t="shared" si="24"/>
        <v>0</v>
      </c>
      <c r="AN366" s="65">
        <f t="shared" si="24"/>
        <v>0</v>
      </c>
      <c r="AO366" s="65">
        <f t="shared" si="24"/>
        <v>0</v>
      </c>
      <c r="AP366" s="65">
        <f t="shared" si="24"/>
        <v>0</v>
      </c>
      <c r="AQ366" s="65">
        <f t="shared" si="24"/>
        <v>0</v>
      </c>
      <c r="AR366" s="65">
        <f t="shared" si="24"/>
        <v>0</v>
      </c>
      <c r="AS366" s="65">
        <f t="shared" si="24"/>
        <v>0</v>
      </c>
      <c r="AT366" s="65">
        <f t="shared" si="24"/>
        <v>0</v>
      </c>
      <c r="AU366" s="65">
        <f t="shared" si="24"/>
        <v>0</v>
      </c>
      <c r="AV366" s="65">
        <f t="shared" si="24"/>
        <v>0</v>
      </c>
      <c r="AW366" s="65">
        <f t="shared" si="24"/>
        <v>0</v>
      </c>
      <c r="AX366" s="65">
        <f t="shared" si="24"/>
        <v>0</v>
      </c>
      <c r="AY366" s="65">
        <f t="shared" si="24"/>
        <v>0</v>
      </c>
      <c r="AZ366" s="65">
        <f t="shared" si="24"/>
        <v>0</v>
      </c>
      <c r="BA366" s="65">
        <f>BA362*BA364</f>
        <v>0</v>
      </c>
      <c r="BB366" s="65">
        <f t="shared" si="24"/>
        <v>0</v>
      </c>
      <c r="BC366" s="65">
        <f>BC362*BC364</f>
        <v>0</v>
      </c>
      <c r="BD366" s="65">
        <f>BD362*BD364</f>
        <v>0</v>
      </c>
      <c r="BE366" s="65">
        <f t="shared" si="24"/>
        <v>0</v>
      </c>
      <c r="BF366" s="51"/>
      <c r="BG366" s="51"/>
      <c r="BH366" s="51"/>
    </row>
    <row r="367" spans="1:60" s="51" customFormat="1" ht="24.95" customHeight="1" x14ac:dyDescent="0.25">
      <c r="C367" s="52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46"/>
      <c r="BG367" s="46"/>
      <c r="BH367" s="46"/>
    </row>
    <row r="368" spans="1:60" s="46" customFormat="1" ht="24.95" customHeight="1" x14ac:dyDescent="0.25">
      <c r="A368" s="66" t="s">
        <v>67</v>
      </c>
      <c r="B368" s="66"/>
      <c r="C368" s="67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 t="e">
        <f>AG366+AH366+#REF!+AI366+AJ366+AK366+AL366+AM366+AN366+AO366+AP366+AQ366+AR366+AS366+AT366+AU366+AV366+AW366+AX366+AY366+AZ366+BA366+BB366+BC366+BE366+BD366</f>
        <v>#REF!</v>
      </c>
      <c r="AH368" s="41"/>
      <c r="AI368" s="41"/>
      <c r="AJ368" s="41" t="s">
        <v>68</v>
      </c>
      <c r="AK368" s="41"/>
      <c r="AL368" s="41"/>
      <c r="AM368" s="41"/>
      <c r="BF368" s="51"/>
      <c r="BG368" s="51"/>
      <c r="BH368" s="51"/>
    </row>
    <row r="369" spans="3:57" s="51" customFormat="1" ht="24.95" customHeight="1" x14ac:dyDescent="0.25">
      <c r="C369" s="52"/>
      <c r="H369" s="53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Y369" s="54"/>
      <c r="AZ369" s="54"/>
      <c r="BA369" s="54"/>
    </row>
    <row r="370" spans="3:57" x14ac:dyDescent="0.2"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</row>
    <row r="371" spans="3:57" x14ac:dyDescent="0.2"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</row>
    <row r="372" spans="3:57" x14ac:dyDescent="0.2">
      <c r="AM372" s="1"/>
    </row>
    <row r="376" spans="3:57" x14ac:dyDescent="0.2">
      <c r="I376" s="1">
        <v>493298</v>
      </c>
    </row>
  </sheetData>
  <mergeCells count="9">
    <mergeCell ref="A5:A7"/>
    <mergeCell ref="C5:C7"/>
    <mergeCell ref="D5:D7"/>
    <mergeCell ref="AG5:AZ5"/>
    <mergeCell ref="T6:U6"/>
    <mergeCell ref="V6:W6"/>
    <mergeCell ref="X6:Y6"/>
    <mergeCell ref="AA6:AB6"/>
    <mergeCell ref="AD6:AE6"/>
  </mergeCells>
  <pageMargins left="1.1023622047244095" right="0.70866141732283472" top="0.74803149606299213" bottom="0.74803149606299213" header="0.31496062992125984" footer="0.31496062992125984"/>
  <pageSetup paperSize="5" scale="3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237"/>
  <sheetViews>
    <sheetView tabSelected="1" zoomScale="95" zoomScaleNormal="95" zoomScalePageLayoutView="55" workbookViewId="0">
      <pane ySplit="9" topLeftCell="A10" activePane="bottomLeft" state="frozen"/>
      <selection pane="bottomLeft" activeCell="H101" sqref="H101"/>
    </sheetView>
  </sheetViews>
  <sheetFormatPr defaultColWidth="8.85546875" defaultRowHeight="14.25" x14ac:dyDescent="0.2"/>
  <cols>
    <col min="1" max="1" width="37.85546875" style="1" customWidth="1"/>
    <col min="2" max="2" width="4.85546875" style="1" hidden="1" customWidth="1"/>
    <col min="3" max="3" width="13.5703125" style="2" customWidth="1"/>
    <col min="4" max="4" width="48.5703125" style="1" bestFit="1" customWidth="1"/>
    <col min="5" max="5" width="12.42578125" style="1" hidden="1" customWidth="1"/>
    <col min="6" max="7" width="21.42578125" style="1" hidden="1" customWidth="1"/>
    <col min="8" max="8" width="29.85546875" style="3" customWidth="1"/>
    <col min="9" max="9" width="11.7109375" style="1" hidden="1" customWidth="1"/>
    <col min="10" max="10" width="10.28515625" style="1" hidden="1" customWidth="1"/>
    <col min="11" max="11" width="18.42578125" style="1" hidden="1" customWidth="1"/>
    <col min="12" max="12" width="17.7109375" style="1" hidden="1" customWidth="1"/>
    <col min="13" max="13" width="19.28515625" style="1" hidden="1" customWidth="1"/>
    <col min="14" max="14" width="19.42578125" style="1" hidden="1" customWidth="1"/>
    <col min="15" max="15" width="19.140625" style="1" hidden="1" customWidth="1"/>
    <col min="16" max="16" width="18.42578125" style="1" hidden="1" customWidth="1"/>
    <col min="17" max="25" width="20.7109375" style="5" hidden="1" customWidth="1"/>
    <col min="26" max="26" width="0.42578125" style="5" hidden="1" customWidth="1"/>
    <col min="27" max="28" width="20.7109375" style="5" hidden="1" customWidth="1"/>
    <col min="29" max="29" width="0.42578125" style="5" hidden="1" customWidth="1"/>
    <col min="30" max="31" width="20.7109375" style="5" hidden="1" customWidth="1"/>
    <col min="32" max="32" width="23.42578125" style="5" bestFit="1" customWidth="1"/>
    <col min="33" max="33" width="21.7109375" style="5" customWidth="1"/>
    <col min="34" max="34" width="21.7109375" style="5" bestFit="1" customWidth="1"/>
    <col min="35" max="37" width="19" style="5" bestFit="1" customWidth="1"/>
    <col min="38" max="38" width="21.7109375" style="5" bestFit="1" customWidth="1"/>
    <col min="39" max="39" width="21.7109375" style="1" bestFit="1" customWidth="1"/>
    <col min="40" max="40" width="21.7109375" style="1" customWidth="1"/>
    <col min="41" max="41" width="21.7109375" style="1" bestFit="1" customWidth="1"/>
    <col min="42" max="43" width="21.7109375" style="1" hidden="1" customWidth="1"/>
    <col min="44" max="44" width="15.5703125" style="1" bestFit="1" customWidth="1"/>
    <col min="45" max="45" width="19" style="1" bestFit="1" customWidth="1"/>
    <col min="46" max="46" width="15.5703125" style="1" bestFit="1" customWidth="1"/>
    <col min="47" max="47" width="21.7109375" style="1" bestFit="1" customWidth="1"/>
    <col min="48" max="48" width="15.5703125" style="1" bestFit="1" customWidth="1"/>
    <col min="49" max="49" width="31.140625" style="1" bestFit="1" customWidth="1"/>
    <col min="50" max="50" width="17.28515625" style="1" bestFit="1" customWidth="1"/>
    <col min="51" max="51" width="19.42578125" style="1" bestFit="1" customWidth="1"/>
    <col min="52" max="52" width="16.42578125" style="1" bestFit="1" customWidth="1"/>
    <col min="53" max="53" width="21.42578125" style="1" bestFit="1" customWidth="1"/>
    <col min="54" max="54" width="20.7109375" style="1" bestFit="1" customWidth="1"/>
    <col min="55" max="55" width="20.7109375" style="1" customWidth="1"/>
    <col min="56" max="56" width="12.42578125" style="1" bestFit="1" customWidth="1"/>
    <col min="57" max="57" width="13.7109375" style="1" bestFit="1" customWidth="1"/>
    <col min="58" max="16384" width="8.85546875" style="1"/>
  </cols>
  <sheetData>
    <row r="1" spans="1:56" x14ac:dyDescent="0.2">
      <c r="A1" s="1" t="s">
        <v>0</v>
      </c>
      <c r="L1" s="4"/>
      <c r="M1" s="4"/>
      <c r="N1" s="5"/>
      <c r="O1" s="5"/>
      <c r="P1" s="5"/>
    </row>
    <row r="2" spans="1:56" x14ac:dyDescent="0.2">
      <c r="A2" s="1" t="s">
        <v>1</v>
      </c>
      <c r="K2" s="6"/>
      <c r="L2" s="4"/>
      <c r="M2" s="4"/>
      <c r="N2" s="5"/>
      <c r="O2" s="5"/>
      <c r="P2" s="4"/>
    </row>
    <row r="3" spans="1:56" x14ac:dyDescent="0.2">
      <c r="A3" s="7" t="s">
        <v>270</v>
      </c>
      <c r="C3" s="8"/>
      <c r="K3" s="6"/>
      <c r="L3" s="4"/>
      <c r="M3" s="4"/>
      <c r="N3" s="5"/>
      <c r="O3" s="5"/>
      <c r="P3" s="4"/>
      <c r="AM3" s="5"/>
    </row>
    <row r="4" spans="1:56" ht="15" thickBot="1" x14ac:dyDescent="0.25">
      <c r="K4" s="6"/>
      <c r="L4" s="4"/>
      <c r="M4" s="4"/>
      <c r="N4" s="5"/>
      <c r="O4" s="5"/>
      <c r="P4" s="4"/>
    </row>
    <row r="5" spans="1:56" ht="21.95" customHeight="1" thickBot="1" x14ac:dyDescent="0.25">
      <c r="A5" s="77" t="s">
        <v>2</v>
      </c>
      <c r="B5" s="9"/>
      <c r="C5" s="77" t="s">
        <v>3</v>
      </c>
      <c r="D5" s="77" t="s">
        <v>4</v>
      </c>
      <c r="E5" s="9"/>
      <c r="F5" s="9"/>
      <c r="G5" s="9"/>
      <c r="H5" s="10"/>
      <c r="I5" s="11"/>
      <c r="J5" s="11"/>
      <c r="K5" s="12"/>
      <c r="L5" s="13"/>
      <c r="M5" s="14"/>
      <c r="N5" s="15"/>
      <c r="O5" s="16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80" t="s">
        <v>5</v>
      </c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72"/>
      <c r="BA5" s="17"/>
      <c r="BB5" s="17"/>
      <c r="BC5" s="17"/>
      <c r="BD5" s="17"/>
    </row>
    <row r="6" spans="1:56" ht="42.75" x14ac:dyDescent="0.2">
      <c r="A6" s="78"/>
      <c r="B6" s="18"/>
      <c r="C6" s="78"/>
      <c r="D6" s="78"/>
      <c r="E6" s="18"/>
      <c r="F6" s="19" t="s">
        <v>6</v>
      </c>
      <c r="G6" s="19" t="s">
        <v>7</v>
      </c>
      <c r="H6" s="20" t="s">
        <v>8</v>
      </c>
      <c r="I6" s="21" t="s">
        <v>9</v>
      </c>
      <c r="J6" s="21" t="s">
        <v>10</v>
      </c>
      <c r="K6" s="6"/>
      <c r="L6" s="4"/>
      <c r="M6" s="22">
        <v>0.15</v>
      </c>
      <c r="N6" s="23">
        <v>0.05</v>
      </c>
      <c r="O6" s="24">
        <v>0.2</v>
      </c>
      <c r="P6" s="4"/>
      <c r="T6" s="82" t="s">
        <v>11</v>
      </c>
      <c r="U6" s="82"/>
      <c r="V6" s="82" t="s">
        <v>12</v>
      </c>
      <c r="W6" s="82"/>
      <c r="X6" s="82" t="s">
        <v>13</v>
      </c>
      <c r="Y6" s="82"/>
      <c r="Z6" s="4"/>
      <c r="AA6" s="83" t="s">
        <v>14</v>
      </c>
      <c r="AB6" s="83"/>
      <c r="AC6" s="4"/>
      <c r="AD6" s="83" t="s">
        <v>15</v>
      </c>
      <c r="AE6" s="83"/>
      <c r="AF6" s="25" t="s">
        <v>80</v>
      </c>
      <c r="AG6" s="25" t="s">
        <v>72</v>
      </c>
      <c r="AH6" s="25" t="s">
        <v>17</v>
      </c>
      <c r="AI6" s="25" t="s">
        <v>18</v>
      </c>
      <c r="AJ6" s="25" t="s">
        <v>19</v>
      </c>
      <c r="AK6" s="25" t="s">
        <v>20</v>
      </c>
      <c r="AL6" s="25" t="s">
        <v>21</v>
      </c>
      <c r="AM6" s="25" t="s">
        <v>22</v>
      </c>
      <c r="AN6" s="25" t="s">
        <v>23</v>
      </c>
      <c r="AO6" s="25" t="s">
        <v>24</v>
      </c>
      <c r="AP6" s="25" t="s">
        <v>25</v>
      </c>
      <c r="AQ6" s="25" t="s">
        <v>26</v>
      </c>
      <c r="AR6" s="25" t="s">
        <v>27</v>
      </c>
      <c r="AS6" s="25" t="s">
        <v>28</v>
      </c>
      <c r="AT6" s="25" t="s">
        <v>29</v>
      </c>
      <c r="AU6" s="25" t="s">
        <v>75</v>
      </c>
      <c r="AV6" s="25" t="s">
        <v>30</v>
      </c>
      <c r="AW6" s="25" t="s">
        <v>32</v>
      </c>
      <c r="AX6" s="25" t="s">
        <v>31</v>
      </c>
      <c r="AY6" s="25" t="s">
        <v>33</v>
      </c>
      <c r="AZ6" s="25" t="s">
        <v>34</v>
      </c>
      <c r="BA6" s="25" t="s">
        <v>35</v>
      </c>
      <c r="BB6" s="25" t="s">
        <v>36</v>
      </c>
      <c r="BC6" s="25" t="s">
        <v>16</v>
      </c>
      <c r="BD6" s="25" t="s">
        <v>37</v>
      </c>
    </row>
    <row r="7" spans="1:56" ht="15" thickBot="1" x14ac:dyDescent="0.25">
      <c r="A7" s="79"/>
      <c r="B7" s="19"/>
      <c r="C7" s="79" t="s">
        <v>3</v>
      </c>
      <c r="D7" s="79" t="s">
        <v>4</v>
      </c>
      <c r="E7" s="19" t="s">
        <v>38</v>
      </c>
      <c r="F7" s="19" t="s">
        <v>39</v>
      </c>
      <c r="G7" s="19" t="s">
        <v>40</v>
      </c>
      <c r="H7" s="26"/>
      <c r="I7" s="27"/>
      <c r="J7" s="27"/>
      <c r="K7" s="6"/>
      <c r="L7" s="4"/>
      <c r="M7" s="28"/>
      <c r="N7" s="29"/>
      <c r="O7" s="30"/>
      <c r="P7" s="4"/>
      <c r="Q7" s="73" t="s">
        <v>41</v>
      </c>
      <c r="R7" s="73" t="s">
        <v>42</v>
      </c>
      <c r="S7" s="73" t="s">
        <v>43</v>
      </c>
      <c r="T7" s="73" t="s">
        <v>44</v>
      </c>
      <c r="U7" s="73" t="s">
        <v>45</v>
      </c>
      <c r="V7" s="73" t="s">
        <v>44</v>
      </c>
      <c r="W7" s="73" t="s">
        <v>45</v>
      </c>
      <c r="X7" s="73" t="s">
        <v>44</v>
      </c>
      <c r="Y7" s="73" t="s">
        <v>45</v>
      </c>
      <c r="Z7" s="4"/>
      <c r="AA7" s="73" t="s">
        <v>44</v>
      </c>
      <c r="AB7" s="73" t="s">
        <v>45</v>
      </c>
      <c r="AC7" s="31"/>
      <c r="AD7" s="73" t="s">
        <v>44</v>
      </c>
      <c r="AE7" s="73" t="s">
        <v>45</v>
      </c>
      <c r="AF7" s="32"/>
      <c r="AG7" s="32"/>
      <c r="AH7" s="32"/>
      <c r="AI7" s="32"/>
      <c r="AJ7" s="32"/>
      <c r="AK7" s="32"/>
      <c r="AL7" s="32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 spans="1:56" x14ac:dyDescent="0.2">
      <c r="A8" s="18"/>
      <c r="B8" s="18"/>
      <c r="C8" s="33"/>
      <c r="D8" s="18"/>
      <c r="E8" s="18"/>
      <c r="F8" s="18"/>
      <c r="G8" s="18"/>
      <c r="H8" s="19"/>
      <c r="I8" s="18"/>
      <c r="J8" s="18"/>
      <c r="K8" s="6"/>
      <c r="L8" s="4"/>
      <c r="M8" s="4" t="e">
        <f>+#REF!</f>
        <v>#REF!</v>
      </c>
      <c r="N8" s="5" t="e">
        <f>+#REF!</f>
        <v>#REF!</v>
      </c>
      <c r="O8" s="5" t="e">
        <f>+#REF!</f>
        <v>#REF!</v>
      </c>
      <c r="P8" s="4"/>
    </row>
    <row r="9" spans="1:56" s="5" customFormat="1" ht="24.95" customHeight="1" x14ac:dyDescent="0.2">
      <c r="C9" s="34"/>
      <c r="H9" s="73"/>
    </row>
    <row r="10" spans="1:56" s="38" customFormat="1" ht="24.95" hidden="1" customHeight="1" x14ac:dyDescent="0.25">
      <c r="A10" s="35"/>
      <c r="B10" s="35"/>
      <c r="C10" s="33" t="s">
        <v>73</v>
      </c>
      <c r="D10" s="71" t="s">
        <v>74</v>
      </c>
      <c r="E10" s="35"/>
      <c r="F10" s="35"/>
      <c r="G10" s="35"/>
      <c r="H10" s="33" t="s">
        <v>46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6"/>
      <c r="AX10" s="37"/>
      <c r="AY10" s="37"/>
      <c r="AZ10" s="37"/>
      <c r="BA10" s="36"/>
      <c r="BB10" s="36"/>
      <c r="BC10" s="36"/>
      <c r="BD10" s="36"/>
    </row>
    <row r="11" spans="1:56" s="38" customFormat="1" ht="24.95" hidden="1" customHeight="1" x14ac:dyDescent="0.25">
      <c r="A11" s="35"/>
      <c r="B11" s="35"/>
      <c r="C11" s="33" t="s">
        <v>73</v>
      </c>
      <c r="D11" s="71" t="s">
        <v>74</v>
      </c>
      <c r="E11" s="35"/>
      <c r="F11" s="35"/>
      <c r="G11" s="35"/>
      <c r="H11" s="33" t="s">
        <v>46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6"/>
      <c r="AX11" s="37"/>
      <c r="AY11" s="37"/>
      <c r="AZ11" s="37"/>
      <c r="BA11" s="36"/>
      <c r="BB11" s="36"/>
      <c r="BC11" s="36"/>
      <c r="BD11" s="36"/>
    </row>
    <row r="12" spans="1:56" s="41" customFormat="1" ht="24.95" hidden="1" customHeight="1" x14ac:dyDescent="0.25">
      <c r="A12" s="44" t="s">
        <v>78</v>
      </c>
      <c r="B12" s="39"/>
      <c r="C12" s="40"/>
      <c r="D12" s="39"/>
      <c r="E12" s="39"/>
      <c r="F12" s="39"/>
      <c r="G12" s="39"/>
      <c r="H12" s="40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>
        <f t="shared" ref="AF12:BD12" si="0">SUM(AF10:AF11)</f>
        <v>0</v>
      </c>
      <c r="AG12" s="39">
        <f t="shared" si="0"/>
        <v>0</v>
      </c>
      <c r="AH12" s="39">
        <f t="shared" si="0"/>
        <v>0</v>
      </c>
      <c r="AI12" s="39">
        <f t="shared" si="0"/>
        <v>0</v>
      </c>
      <c r="AJ12" s="39">
        <f t="shared" si="0"/>
        <v>0</v>
      </c>
      <c r="AK12" s="39">
        <f t="shared" si="0"/>
        <v>0</v>
      </c>
      <c r="AL12" s="39">
        <f t="shared" si="0"/>
        <v>0</v>
      </c>
      <c r="AM12" s="39">
        <f t="shared" si="0"/>
        <v>0</v>
      </c>
      <c r="AN12" s="39">
        <f t="shared" si="0"/>
        <v>0</v>
      </c>
      <c r="AO12" s="39">
        <f t="shared" si="0"/>
        <v>0</v>
      </c>
      <c r="AP12" s="39">
        <f t="shared" si="0"/>
        <v>0</v>
      </c>
      <c r="AQ12" s="39">
        <f t="shared" si="0"/>
        <v>0</v>
      </c>
      <c r="AR12" s="39">
        <f t="shared" si="0"/>
        <v>0</v>
      </c>
      <c r="AS12" s="39">
        <f t="shared" si="0"/>
        <v>0</v>
      </c>
      <c r="AT12" s="39">
        <f t="shared" si="0"/>
        <v>0</v>
      </c>
      <c r="AU12" s="39">
        <f t="shared" si="0"/>
        <v>0</v>
      </c>
      <c r="AV12" s="39">
        <f t="shared" si="0"/>
        <v>0</v>
      </c>
      <c r="AW12" s="39">
        <f t="shared" si="0"/>
        <v>0</v>
      </c>
      <c r="AX12" s="39">
        <f t="shared" si="0"/>
        <v>0</v>
      </c>
      <c r="AY12" s="39">
        <f t="shared" si="0"/>
        <v>0</v>
      </c>
      <c r="AZ12" s="39">
        <f t="shared" si="0"/>
        <v>0</v>
      </c>
      <c r="BA12" s="39">
        <f t="shared" si="0"/>
        <v>0</v>
      </c>
      <c r="BB12" s="39">
        <f t="shared" si="0"/>
        <v>0</v>
      </c>
      <c r="BC12" s="39">
        <f t="shared" si="0"/>
        <v>0</v>
      </c>
      <c r="BD12" s="39">
        <f t="shared" si="0"/>
        <v>0</v>
      </c>
    </row>
    <row r="13" spans="1:56" s="43" customFormat="1" ht="24.95" customHeight="1" x14ac:dyDescent="0.25">
      <c r="A13" s="35" t="s">
        <v>187</v>
      </c>
      <c r="B13" s="42"/>
      <c r="C13" s="33" t="s">
        <v>71</v>
      </c>
      <c r="D13" s="36" t="s">
        <v>83</v>
      </c>
      <c r="E13" s="35"/>
      <c r="F13" s="35"/>
      <c r="G13" s="35"/>
      <c r="H13" s="33" t="s">
        <v>46</v>
      </c>
      <c r="I13" s="35"/>
      <c r="J13" s="35"/>
      <c r="K13" s="35"/>
      <c r="L13" s="35"/>
      <c r="M13" s="35"/>
      <c r="N13" s="35"/>
      <c r="O13" s="35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7">
        <v>0</v>
      </c>
      <c r="AG13" s="37">
        <v>0</v>
      </c>
      <c r="AH13" s="37">
        <v>15</v>
      </c>
      <c r="AI13" s="37">
        <v>48.6</v>
      </c>
      <c r="AJ13" s="37">
        <v>20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22</v>
      </c>
      <c r="AS13" s="37">
        <v>0</v>
      </c>
      <c r="AT13" s="36">
        <v>0</v>
      </c>
      <c r="AU13" s="36">
        <v>0</v>
      </c>
      <c r="AV13" s="37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20</v>
      </c>
      <c r="BD13" s="36">
        <v>0</v>
      </c>
    </row>
    <row r="14" spans="1:56" s="43" customFormat="1" ht="24.95" customHeight="1" x14ac:dyDescent="0.25">
      <c r="A14" s="35" t="s">
        <v>222</v>
      </c>
      <c r="B14" s="42"/>
      <c r="C14" s="33" t="s">
        <v>71</v>
      </c>
      <c r="D14" s="36" t="s">
        <v>84</v>
      </c>
      <c r="E14" s="35"/>
      <c r="F14" s="35"/>
      <c r="G14" s="35"/>
      <c r="H14" s="33" t="s">
        <v>46</v>
      </c>
      <c r="I14" s="35"/>
      <c r="J14" s="35"/>
      <c r="K14" s="35"/>
      <c r="L14" s="35"/>
      <c r="M14" s="35"/>
      <c r="N14" s="35"/>
      <c r="O14" s="35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7">
        <v>0</v>
      </c>
      <c r="AG14" s="37">
        <v>0</v>
      </c>
      <c r="AH14" s="37">
        <v>0</v>
      </c>
      <c r="AI14" s="37">
        <v>48.6</v>
      </c>
      <c r="AJ14" s="37">
        <v>20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65</v>
      </c>
      <c r="AS14" s="37">
        <v>0</v>
      </c>
      <c r="AT14" s="36">
        <v>0</v>
      </c>
      <c r="AU14" s="36">
        <v>0</v>
      </c>
      <c r="AV14" s="37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90</v>
      </c>
      <c r="BD14" s="36">
        <v>0</v>
      </c>
    </row>
    <row r="15" spans="1:56" s="43" customFormat="1" ht="24.95" customHeight="1" x14ac:dyDescent="0.25">
      <c r="A15" s="44" t="s">
        <v>70</v>
      </c>
      <c r="B15" s="44"/>
      <c r="C15" s="45"/>
      <c r="D15" s="39"/>
      <c r="E15" s="44"/>
      <c r="F15" s="44"/>
      <c r="G15" s="44"/>
      <c r="H15" s="45"/>
      <c r="I15" s="44"/>
      <c r="J15" s="44"/>
      <c r="K15" s="44"/>
      <c r="L15" s="44"/>
      <c r="M15" s="44"/>
      <c r="N15" s="44"/>
      <c r="O15" s="44"/>
      <c r="P15" s="44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>
        <f>SUM(AF13:AF14)</f>
        <v>0</v>
      </c>
      <c r="AG15" s="39">
        <f>SUM(AG13:AG14)</f>
        <v>0</v>
      </c>
      <c r="AH15" s="39">
        <f>SUM(AH13:AH14)</f>
        <v>15</v>
      </c>
      <c r="AI15" s="39">
        <f>SUM(AI13:AI14)</f>
        <v>97.2</v>
      </c>
      <c r="AJ15" s="39">
        <f>SUM(AJ13:AJ14)</f>
        <v>40</v>
      </c>
      <c r="AK15" s="39">
        <f>SUM(AK13:AK14)</f>
        <v>0</v>
      </c>
      <c r="AL15" s="39">
        <f>SUM(AL13:AL14)</f>
        <v>0</v>
      </c>
      <c r="AM15" s="39">
        <f>SUM(AM13:AM14)</f>
        <v>0</v>
      </c>
      <c r="AN15" s="39">
        <f>SUM(AN13:AN14)</f>
        <v>0</v>
      </c>
      <c r="AO15" s="39">
        <f>SUM(AO13:AO14)</f>
        <v>0</v>
      </c>
      <c r="AP15" s="39">
        <f>SUM(AP13:AP14)</f>
        <v>0</v>
      </c>
      <c r="AQ15" s="39">
        <f>SUM(AQ13:AQ14)</f>
        <v>0</v>
      </c>
      <c r="AR15" s="39">
        <f>SUM(AR13:AR14)</f>
        <v>87</v>
      </c>
      <c r="AS15" s="39">
        <f>SUM(AS13:AS14)</f>
        <v>0</v>
      </c>
      <c r="AT15" s="39">
        <f>SUM(AT13:AT14)</f>
        <v>0</v>
      </c>
      <c r="AU15" s="39">
        <f>SUM(AU13:AU14)</f>
        <v>0</v>
      </c>
      <c r="AV15" s="39">
        <f>SUM(AV13:AV14)</f>
        <v>0</v>
      </c>
      <c r="AW15" s="39">
        <f>SUM(AW13:AW14)</f>
        <v>0</v>
      </c>
      <c r="AX15" s="39">
        <f>SUM(AX13:AX14)</f>
        <v>0</v>
      </c>
      <c r="AY15" s="39">
        <f>SUM(AY13:AY14)</f>
        <v>0</v>
      </c>
      <c r="AZ15" s="39">
        <f>SUM(AZ13:AZ14)</f>
        <v>0</v>
      </c>
      <c r="BA15" s="39">
        <f>SUM(BA13:BA14)</f>
        <v>0</v>
      </c>
      <c r="BB15" s="39">
        <f>SUM(BB13:BB14)</f>
        <v>0</v>
      </c>
      <c r="BC15" s="39">
        <f>SUM(BC13:BC14)</f>
        <v>110</v>
      </c>
      <c r="BD15" s="39">
        <f>SUM(BD13:BD14)</f>
        <v>0</v>
      </c>
    </row>
    <row r="16" spans="1:56" s="43" customFormat="1" ht="24.95" hidden="1" customHeight="1" x14ac:dyDescent="0.25">
      <c r="A16" s="35"/>
      <c r="B16" s="42"/>
      <c r="C16" s="33" t="s">
        <v>69</v>
      </c>
      <c r="D16" s="36"/>
      <c r="E16" s="35"/>
      <c r="F16" s="35"/>
      <c r="G16" s="35"/>
      <c r="H16" s="33" t="s">
        <v>46</v>
      </c>
      <c r="I16" s="35"/>
      <c r="J16" s="35"/>
      <c r="K16" s="35"/>
      <c r="L16" s="35"/>
      <c r="M16" s="35"/>
      <c r="N16" s="35"/>
      <c r="O16" s="35"/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6"/>
      <c r="AU16" s="36"/>
      <c r="AV16" s="37"/>
      <c r="AW16" s="36"/>
      <c r="AX16" s="36"/>
      <c r="AY16" s="36"/>
      <c r="AZ16" s="36"/>
      <c r="BA16" s="36"/>
      <c r="BB16" s="36"/>
      <c r="BC16" s="36"/>
      <c r="BD16" s="36"/>
    </row>
    <row r="17" spans="1:56" s="43" customFormat="1" ht="24.95" hidden="1" customHeight="1" x14ac:dyDescent="0.25">
      <c r="A17" s="35"/>
      <c r="B17" s="42"/>
      <c r="C17" s="33" t="s">
        <v>69</v>
      </c>
      <c r="D17" s="36"/>
      <c r="E17" s="35"/>
      <c r="F17" s="35"/>
      <c r="G17" s="35"/>
      <c r="H17" s="33" t="s">
        <v>46</v>
      </c>
      <c r="I17" s="35"/>
      <c r="J17" s="35"/>
      <c r="K17" s="35"/>
      <c r="L17" s="35"/>
      <c r="M17" s="35"/>
      <c r="N17" s="35"/>
      <c r="O17" s="35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6"/>
      <c r="AU17" s="36"/>
      <c r="AV17" s="37"/>
      <c r="AW17" s="36"/>
      <c r="AX17" s="36"/>
      <c r="AY17" s="36"/>
      <c r="AZ17" s="36"/>
      <c r="BA17" s="36"/>
      <c r="BB17" s="36"/>
      <c r="BC17" s="36"/>
      <c r="BD17" s="36"/>
    </row>
    <row r="18" spans="1:56" s="43" customFormat="1" ht="24.95" hidden="1" customHeight="1" x14ac:dyDescent="0.25">
      <c r="A18" s="35"/>
      <c r="B18" s="42"/>
      <c r="C18" s="33" t="s">
        <v>69</v>
      </c>
      <c r="D18" s="36"/>
      <c r="E18" s="35"/>
      <c r="F18" s="35"/>
      <c r="G18" s="35"/>
      <c r="H18" s="33" t="s">
        <v>46</v>
      </c>
      <c r="I18" s="35"/>
      <c r="J18" s="35"/>
      <c r="K18" s="35"/>
      <c r="L18" s="35"/>
      <c r="M18" s="35"/>
      <c r="N18" s="35"/>
      <c r="O18" s="35"/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6"/>
      <c r="AU18" s="36"/>
      <c r="AV18" s="37"/>
      <c r="AW18" s="36"/>
      <c r="AX18" s="36"/>
      <c r="AY18" s="36"/>
      <c r="AZ18" s="36"/>
      <c r="BA18" s="36"/>
      <c r="BB18" s="36"/>
      <c r="BC18" s="36"/>
      <c r="BD18" s="36"/>
    </row>
    <row r="19" spans="1:56" s="43" customFormat="1" ht="24.95" hidden="1" customHeight="1" x14ac:dyDescent="0.25">
      <c r="A19" s="35"/>
      <c r="B19" s="42"/>
      <c r="C19" s="33" t="s">
        <v>69</v>
      </c>
      <c r="D19" s="36"/>
      <c r="E19" s="35"/>
      <c r="F19" s="35"/>
      <c r="G19" s="35"/>
      <c r="H19" s="33" t="s">
        <v>46</v>
      </c>
      <c r="I19" s="35"/>
      <c r="J19" s="35"/>
      <c r="K19" s="35"/>
      <c r="L19" s="35"/>
      <c r="M19" s="35"/>
      <c r="N19" s="35"/>
      <c r="O19" s="35"/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6"/>
      <c r="AU19" s="36"/>
      <c r="AV19" s="37"/>
      <c r="AW19" s="36"/>
      <c r="AX19" s="36"/>
      <c r="AY19" s="36"/>
      <c r="AZ19" s="36"/>
      <c r="BA19" s="36"/>
      <c r="BB19" s="36"/>
      <c r="BC19" s="36"/>
      <c r="BD19" s="36"/>
    </row>
    <row r="20" spans="1:56" s="43" customFormat="1" ht="24.95" hidden="1" customHeight="1" x14ac:dyDescent="0.25">
      <c r="A20" s="35"/>
      <c r="B20" s="42"/>
      <c r="C20" s="33" t="s">
        <v>69</v>
      </c>
      <c r="D20" s="36"/>
      <c r="E20" s="35"/>
      <c r="F20" s="35"/>
      <c r="G20" s="35"/>
      <c r="H20" s="33" t="s">
        <v>46</v>
      </c>
      <c r="I20" s="35"/>
      <c r="J20" s="35"/>
      <c r="K20" s="35"/>
      <c r="L20" s="35"/>
      <c r="M20" s="35"/>
      <c r="N20" s="35"/>
      <c r="O20" s="35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6"/>
      <c r="AU20" s="36"/>
      <c r="AV20" s="37"/>
      <c r="AW20" s="36"/>
      <c r="AX20" s="36"/>
      <c r="AY20" s="36"/>
      <c r="AZ20" s="36"/>
      <c r="BA20" s="36"/>
      <c r="BB20" s="36"/>
      <c r="BC20" s="36"/>
      <c r="BD20" s="36"/>
    </row>
    <row r="21" spans="1:56" s="43" customFormat="1" ht="24.95" hidden="1" customHeight="1" x14ac:dyDescent="0.25">
      <c r="A21" s="35"/>
      <c r="B21" s="42"/>
      <c r="C21" s="33" t="s">
        <v>69</v>
      </c>
      <c r="D21" s="36"/>
      <c r="E21" s="35"/>
      <c r="F21" s="35"/>
      <c r="G21" s="35"/>
      <c r="H21" s="33" t="s">
        <v>46</v>
      </c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6"/>
      <c r="AU21" s="36"/>
      <c r="AV21" s="37"/>
      <c r="AW21" s="36"/>
      <c r="AX21" s="36"/>
      <c r="AY21" s="36"/>
      <c r="AZ21" s="36"/>
      <c r="BA21" s="36"/>
      <c r="BB21" s="36"/>
      <c r="BC21" s="36"/>
      <c r="BD21" s="36"/>
    </row>
    <row r="22" spans="1:56" s="43" customFormat="1" ht="24.95" hidden="1" customHeight="1" x14ac:dyDescent="0.25">
      <c r="A22" s="35"/>
      <c r="B22" s="42"/>
      <c r="C22" s="33" t="s">
        <v>69</v>
      </c>
      <c r="D22" s="36"/>
      <c r="E22" s="35"/>
      <c r="F22" s="35"/>
      <c r="G22" s="35"/>
      <c r="H22" s="33" t="s">
        <v>46</v>
      </c>
      <c r="I22" s="35"/>
      <c r="J22" s="35"/>
      <c r="K22" s="35"/>
      <c r="L22" s="35"/>
      <c r="M22" s="35"/>
      <c r="N22" s="35"/>
      <c r="O22" s="35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6"/>
      <c r="AU22" s="36"/>
      <c r="AV22" s="37"/>
      <c r="AW22" s="36"/>
      <c r="AX22" s="36"/>
      <c r="AY22" s="36"/>
      <c r="AZ22" s="36"/>
      <c r="BA22" s="36"/>
      <c r="BB22" s="36"/>
      <c r="BC22" s="36"/>
      <c r="BD22" s="36"/>
    </row>
    <row r="23" spans="1:56" s="43" customFormat="1" ht="24.95" hidden="1" customHeight="1" x14ac:dyDescent="0.25">
      <c r="A23" s="35"/>
      <c r="B23" s="42"/>
      <c r="C23" s="33" t="s">
        <v>69</v>
      </c>
      <c r="D23" s="36"/>
      <c r="E23" s="35"/>
      <c r="F23" s="35"/>
      <c r="G23" s="35"/>
      <c r="H23" s="33" t="s">
        <v>46</v>
      </c>
      <c r="I23" s="35"/>
      <c r="J23" s="35"/>
      <c r="K23" s="35"/>
      <c r="L23" s="35"/>
      <c r="M23" s="35"/>
      <c r="N23" s="35"/>
      <c r="O23" s="35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6"/>
      <c r="AU23" s="36"/>
      <c r="AV23" s="37"/>
      <c r="AW23" s="36"/>
      <c r="AX23" s="36"/>
      <c r="AY23" s="36"/>
      <c r="AZ23" s="36"/>
      <c r="BA23" s="36"/>
      <c r="BB23" s="36"/>
      <c r="BC23" s="36"/>
      <c r="BD23" s="36"/>
    </row>
    <row r="24" spans="1:56" s="43" customFormat="1" ht="24.95" hidden="1" customHeight="1" x14ac:dyDescent="0.25">
      <c r="A24" s="35"/>
      <c r="B24" s="42"/>
      <c r="C24" s="33" t="s">
        <v>69</v>
      </c>
      <c r="D24" s="36"/>
      <c r="E24" s="35"/>
      <c r="F24" s="35"/>
      <c r="G24" s="35"/>
      <c r="H24" s="33" t="s">
        <v>46</v>
      </c>
      <c r="I24" s="35"/>
      <c r="J24" s="35"/>
      <c r="K24" s="35"/>
      <c r="L24" s="35"/>
      <c r="M24" s="35"/>
      <c r="N24" s="35"/>
      <c r="O24" s="35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6"/>
      <c r="AU24" s="36"/>
      <c r="AV24" s="37"/>
      <c r="AW24" s="36"/>
      <c r="AX24" s="36"/>
      <c r="AY24" s="36"/>
      <c r="AZ24" s="36"/>
      <c r="BA24" s="36"/>
      <c r="BB24" s="36"/>
      <c r="BC24" s="36"/>
      <c r="BD24" s="36"/>
    </row>
    <row r="25" spans="1:56" s="43" customFormat="1" ht="24.95" hidden="1" customHeight="1" x14ac:dyDescent="0.25">
      <c r="A25" s="35"/>
      <c r="B25" s="42"/>
      <c r="C25" s="33" t="s">
        <v>69</v>
      </c>
      <c r="D25" s="36"/>
      <c r="E25" s="35"/>
      <c r="F25" s="35"/>
      <c r="G25" s="35"/>
      <c r="H25" s="33" t="s">
        <v>46</v>
      </c>
      <c r="I25" s="35"/>
      <c r="J25" s="35"/>
      <c r="K25" s="35"/>
      <c r="L25" s="35"/>
      <c r="M25" s="35"/>
      <c r="N25" s="35"/>
      <c r="O25" s="35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6"/>
      <c r="AU25" s="36"/>
      <c r="AV25" s="37"/>
      <c r="AW25" s="36"/>
      <c r="AX25" s="36"/>
      <c r="AY25" s="36"/>
      <c r="AZ25" s="36"/>
      <c r="BA25" s="36"/>
      <c r="BB25" s="36"/>
      <c r="BC25" s="36"/>
      <c r="BD25" s="36"/>
    </row>
    <row r="26" spans="1:56" s="43" customFormat="1" ht="24.95" hidden="1" customHeight="1" x14ac:dyDescent="0.25">
      <c r="A26" s="35"/>
      <c r="B26" s="42"/>
      <c r="C26" s="33" t="s">
        <v>69</v>
      </c>
      <c r="D26" s="36"/>
      <c r="E26" s="35"/>
      <c r="F26" s="35"/>
      <c r="G26" s="35"/>
      <c r="H26" s="33" t="s">
        <v>46</v>
      </c>
      <c r="I26" s="35"/>
      <c r="J26" s="35"/>
      <c r="K26" s="35"/>
      <c r="L26" s="35"/>
      <c r="M26" s="35"/>
      <c r="N26" s="35"/>
      <c r="O26" s="35"/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6"/>
      <c r="AU26" s="36"/>
      <c r="AV26" s="37"/>
      <c r="AW26" s="36"/>
      <c r="AX26" s="36"/>
      <c r="AY26" s="36"/>
      <c r="AZ26" s="36"/>
      <c r="BA26" s="36"/>
      <c r="BB26" s="36"/>
      <c r="BC26" s="36"/>
      <c r="BD26" s="36"/>
    </row>
    <row r="27" spans="1:56" s="43" customFormat="1" ht="24.95" hidden="1" customHeight="1" x14ac:dyDescent="0.25">
      <c r="A27" s="35"/>
      <c r="B27" s="42"/>
      <c r="C27" s="33" t="s">
        <v>69</v>
      </c>
      <c r="D27" s="36"/>
      <c r="E27" s="35"/>
      <c r="F27" s="35"/>
      <c r="G27" s="35"/>
      <c r="H27" s="33" t="s">
        <v>46</v>
      </c>
      <c r="I27" s="35"/>
      <c r="J27" s="35"/>
      <c r="K27" s="35"/>
      <c r="L27" s="35"/>
      <c r="M27" s="35"/>
      <c r="N27" s="35"/>
      <c r="O27" s="35"/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6"/>
      <c r="AU27" s="36"/>
      <c r="AV27" s="37"/>
      <c r="AW27" s="36"/>
      <c r="AX27" s="36"/>
      <c r="AY27" s="36"/>
      <c r="AZ27" s="36"/>
      <c r="BA27" s="36"/>
      <c r="BB27" s="36"/>
      <c r="BC27" s="36"/>
      <c r="BD27" s="36"/>
    </row>
    <row r="28" spans="1:56" s="43" customFormat="1" ht="24.95" hidden="1" customHeight="1" x14ac:dyDescent="0.25">
      <c r="A28" s="35"/>
      <c r="B28" s="42"/>
      <c r="C28" s="33" t="s">
        <v>69</v>
      </c>
      <c r="D28" s="36"/>
      <c r="E28" s="35"/>
      <c r="F28" s="35"/>
      <c r="G28" s="35"/>
      <c r="H28" s="33" t="s">
        <v>46</v>
      </c>
      <c r="I28" s="35"/>
      <c r="J28" s="35"/>
      <c r="K28" s="35"/>
      <c r="L28" s="35"/>
      <c r="M28" s="35"/>
      <c r="N28" s="35"/>
      <c r="O28" s="35"/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6"/>
      <c r="AU28" s="36"/>
      <c r="AV28" s="37"/>
      <c r="AW28" s="36"/>
      <c r="AX28" s="36"/>
      <c r="AY28" s="36"/>
      <c r="AZ28" s="36"/>
      <c r="BA28" s="36"/>
      <c r="BB28" s="36"/>
      <c r="BC28" s="36"/>
      <c r="BD28" s="36"/>
    </row>
    <row r="29" spans="1:56" s="43" customFormat="1" ht="24.95" hidden="1" customHeight="1" x14ac:dyDescent="0.25">
      <c r="A29" s="35"/>
      <c r="B29" s="42"/>
      <c r="C29" s="33" t="s">
        <v>69</v>
      </c>
      <c r="D29" s="36"/>
      <c r="E29" s="35"/>
      <c r="F29" s="35"/>
      <c r="G29" s="35"/>
      <c r="H29" s="33" t="s">
        <v>46</v>
      </c>
      <c r="I29" s="35"/>
      <c r="J29" s="35"/>
      <c r="K29" s="35"/>
      <c r="L29" s="35"/>
      <c r="M29" s="35"/>
      <c r="N29" s="35"/>
      <c r="O29" s="35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6"/>
      <c r="AU29" s="36"/>
      <c r="AV29" s="37"/>
      <c r="AW29" s="36"/>
      <c r="AX29" s="36"/>
      <c r="AY29" s="36"/>
      <c r="AZ29" s="36"/>
      <c r="BA29" s="36"/>
      <c r="BB29" s="36"/>
      <c r="BC29" s="36"/>
      <c r="BD29" s="36"/>
    </row>
    <row r="30" spans="1:56" s="43" customFormat="1" ht="24.95" hidden="1" customHeight="1" x14ac:dyDescent="0.25">
      <c r="A30" s="35"/>
      <c r="B30" s="42"/>
      <c r="C30" s="33" t="s">
        <v>69</v>
      </c>
      <c r="D30" s="36"/>
      <c r="E30" s="35"/>
      <c r="F30" s="35"/>
      <c r="G30" s="35"/>
      <c r="H30" s="33" t="s">
        <v>46</v>
      </c>
      <c r="I30" s="35"/>
      <c r="J30" s="35"/>
      <c r="K30" s="35"/>
      <c r="L30" s="35"/>
      <c r="M30" s="35"/>
      <c r="N30" s="35"/>
      <c r="O30" s="35"/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6"/>
      <c r="AU30" s="36"/>
      <c r="AV30" s="37"/>
      <c r="AW30" s="36"/>
      <c r="AX30" s="36"/>
      <c r="AY30" s="36"/>
      <c r="AZ30" s="36"/>
      <c r="BA30" s="36"/>
      <c r="BB30" s="36"/>
      <c r="BC30" s="36"/>
      <c r="BD30" s="36"/>
    </row>
    <row r="31" spans="1:56" s="43" customFormat="1" ht="24.95" hidden="1" customHeight="1" x14ac:dyDescent="0.25">
      <c r="A31" s="35"/>
      <c r="B31" s="42"/>
      <c r="C31" s="33" t="s">
        <v>69</v>
      </c>
      <c r="D31" s="36"/>
      <c r="E31" s="35"/>
      <c r="F31" s="35"/>
      <c r="G31" s="35"/>
      <c r="H31" s="33" t="s">
        <v>46</v>
      </c>
      <c r="I31" s="35"/>
      <c r="J31" s="35"/>
      <c r="K31" s="35"/>
      <c r="L31" s="35"/>
      <c r="M31" s="35"/>
      <c r="N31" s="35"/>
      <c r="O31" s="35"/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6"/>
      <c r="AU31" s="36"/>
      <c r="AV31" s="37"/>
      <c r="AW31" s="36"/>
      <c r="AX31" s="36"/>
      <c r="AY31" s="36"/>
      <c r="AZ31" s="36"/>
      <c r="BA31" s="36"/>
      <c r="BB31" s="36"/>
      <c r="BC31" s="36"/>
      <c r="BD31" s="36"/>
    </row>
    <row r="32" spans="1:56" s="43" customFormat="1" ht="24.95" hidden="1" customHeight="1" x14ac:dyDescent="0.25">
      <c r="A32" s="35"/>
      <c r="B32" s="42"/>
      <c r="C32" s="33" t="s">
        <v>69</v>
      </c>
      <c r="D32" s="36"/>
      <c r="E32" s="35"/>
      <c r="F32" s="35"/>
      <c r="G32" s="35"/>
      <c r="H32" s="33" t="s">
        <v>46</v>
      </c>
      <c r="I32" s="35"/>
      <c r="J32" s="35"/>
      <c r="K32" s="35"/>
      <c r="L32" s="35"/>
      <c r="M32" s="35"/>
      <c r="N32" s="35"/>
      <c r="O32" s="35"/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6"/>
      <c r="AU32" s="36"/>
      <c r="AV32" s="37"/>
      <c r="AW32" s="36"/>
      <c r="AX32" s="36"/>
      <c r="AY32" s="36"/>
      <c r="AZ32" s="36"/>
      <c r="BA32" s="36"/>
      <c r="BB32" s="36"/>
      <c r="BC32" s="36"/>
      <c r="BD32" s="36"/>
    </row>
    <row r="33" spans="1:56" s="43" customFormat="1" ht="24.95" hidden="1" customHeight="1" x14ac:dyDescent="0.25">
      <c r="A33" s="35"/>
      <c r="B33" s="42"/>
      <c r="C33" s="33" t="s">
        <v>69</v>
      </c>
      <c r="D33" s="36"/>
      <c r="E33" s="35"/>
      <c r="F33" s="35"/>
      <c r="G33" s="35"/>
      <c r="H33" s="33" t="s">
        <v>46</v>
      </c>
      <c r="I33" s="35"/>
      <c r="J33" s="35"/>
      <c r="K33" s="35"/>
      <c r="L33" s="35"/>
      <c r="M33" s="35"/>
      <c r="N33" s="35"/>
      <c r="O33" s="35"/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6"/>
      <c r="AU33" s="36"/>
      <c r="AV33" s="37"/>
      <c r="AW33" s="36"/>
      <c r="AX33" s="36"/>
      <c r="AY33" s="36"/>
      <c r="AZ33" s="36"/>
      <c r="BA33" s="36"/>
      <c r="BB33" s="36"/>
      <c r="BC33" s="36"/>
      <c r="BD33" s="36"/>
    </row>
    <row r="34" spans="1:56" s="43" customFormat="1" ht="24.95" hidden="1" customHeight="1" x14ac:dyDescent="0.25">
      <c r="A34" s="35"/>
      <c r="B34" s="42"/>
      <c r="C34" s="33" t="s">
        <v>69</v>
      </c>
      <c r="D34" s="36"/>
      <c r="E34" s="35"/>
      <c r="F34" s="35"/>
      <c r="G34" s="35"/>
      <c r="H34" s="33" t="s">
        <v>46</v>
      </c>
      <c r="I34" s="35"/>
      <c r="J34" s="35"/>
      <c r="K34" s="35"/>
      <c r="L34" s="35"/>
      <c r="M34" s="35"/>
      <c r="N34" s="35"/>
      <c r="O34" s="35"/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6"/>
      <c r="AU34" s="36"/>
      <c r="AV34" s="37"/>
      <c r="AW34" s="36"/>
      <c r="AX34" s="36"/>
      <c r="AY34" s="36"/>
      <c r="AZ34" s="36"/>
      <c r="BA34" s="36"/>
      <c r="BB34" s="36"/>
      <c r="BC34" s="36"/>
      <c r="BD34" s="36"/>
    </row>
    <row r="35" spans="1:56" s="43" customFormat="1" ht="24.95" hidden="1" customHeight="1" x14ac:dyDescent="0.25">
      <c r="A35" s="35"/>
      <c r="B35" s="42"/>
      <c r="C35" s="33" t="s">
        <v>69</v>
      </c>
      <c r="D35" s="36"/>
      <c r="E35" s="35"/>
      <c r="F35" s="35"/>
      <c r="G35" s="35"/>
      <c r="H35" s="33" t="s">
        <v>46</v>
      </c>
      <c r="I35" s="35"/>
      <c r="J35" s="35"/>
      <c r="K35" s="35"/>
      <c r="L35" s="35"/>
      <c r="M35" s="35"/>
      <c r="N35" s="35"/>
      <c r="O35" s="35"/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6"/>
      <c r="AU35" s="36"/>
      <c r="AV35" s="37"/>
      <c r="AW35" s="36"/>
      <c r="AX35" s="36"/>
      <c r="AY35" s="36"/>
      <c r="AZ35" s="36"/>
      <c r="BA35" s="36"/>
      <c r="BB35" s="36"/>
      <c r="BC35" s="36"/>
      <c r="BD35" s="36"/>
    </row>
    <row r="36" spans="1:56" s="43" customFormat="1" ht="24.95" hidden="1" customHeight="1" x14ac:dyDescent="0.25">
      <c r="A36" s="35"/>
      <c r="B36" s="42"/>
      <c r="C36" s="33" t="s">
        <v>69</v>
      </c>
      <c r="D36" s="36"/>
      <c r="E36" s="35"/>
      <c r="F36" s="35"/>
      <c r="G36" s="35"/>
      <c r="H36" s="33" t="s">
        <v>46</v>
      </c>
      <c r="I36" s="35"/>
      <c r="J36" s="35"/>
      <c r="K36" s="35"/>
      <c r="L36" s="35"/>
      <c r="M36" s="35"/>
      <c r="N36" s="35"/>
      <c r="O36" s="35"/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6"/>
      <c r="AU36" s="36"/>
      <c r="AV36" s="37"/>
      <c r="AW36" s="36"/>
      <c r="AX36" s="36"/>
      <c r="AY36" s="36"/>
      <c r="AZ36" s="36"/>
      <c r="BA36" s="36"/>
      <c r="BB36" s="36"/>
      <c r="BC36" s="36"/>
      <c r="BD36" s="36"/>
    </row>
    <row r="37" spans="1:56" s="43" customFormat="1" ht="24.95" hidden="1" customHeight="1" x14ac:dyDescent="0.25">
      <c r="A37" s="35"/>
      <c r="B37" s="42"/>
      <c r="C37" s="33" t="s">
        <v>69</v>
      </c>
      <c r="D37" s="36"/>
      <c r="E37" s="35"/>
      <c r="F37" s="35"/>
      <c r="G37" s="35"/>
      <c r="H37" s="33" t="s">
        <v>46</v>
      </c>
      <c r="I37" s="35"/>
      <c r="J37" s="35"/>
      <c r="K37" s="35"/>
      <c r="L37" s="35"/>
      <c r="M37" s="35"/>
      <c r="N37" s="35"/>
      <c r="O37" s="35"/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6"/>
      <c r="AU37" s="36"/>
      <c r="AV37" s="37"/>
      <c r="AW37" s="36"/>
      <c r="AX37" s="36"/>
      <c r="AY37" s="36"/>
      <c r="AZ37" s="36"/>
      <c r="BA37" s="36"/>
      <c r="BB37" s="36"/>
      <c r="BC37" s="36"/>
      <c r="BD37" s="36"/>
    </row>
    <row r="38" spans="1:56" s="43" customFormat="1" ht="24.95" hidden="1" customHeight="1" x14ac:dyDescent="0.25">
      <c r="A38" s="35"/>
      <c r="B38" s="42"/>
      <c r="C38" s="33" t="s">
        <v>69</v>
      </c>
      <c r="D38" s="36"/>
      <c r="E38" s="35"/>
      <c r="F38" s="35"/>
      <c r="G38" s="35"/>
      <c r="H38" s="33" t="s">
        <v>46</v>
      </c>
      <c r="I38" s="35"/>
      <c r="J38" s="35"/>
      <c r="K38" s="35"/>
      <c r="L38" s="35"/>
      <c r="M38" s="35"/>
      <c r="N38" s="35"/>
      <c r="O38" s="35"/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6"/>
      <c r="AU38" s="36"/>
      <c r="AV38" s="37"/>
      <c r="AW38" s="36"/>
      <c r="AX38" s="36"/>
      <c r="AY38" s="36"/>
      <c r="AZ38" s="36"/>
      <c r="BA38" s="36"/>
      <c r="BB38" s="36"/>
      <c r="BC38" s="36"/>
      <c r="BD38" s="36"/>
    </row>
    <row r="39" spans="1:56" s="43" customFormat="1" ht="24.95" hidden="1" customHeight="1" x14ac:dyDescent="0.25">
      <c r="A39" s="35"/>
      <c r="B39" s="42"/>
      <c r="C39" s="33" t="s">
        <v>69</v>
      </c>
      <c r="D39" s="36"/>
      <c r="E39" s="35"/>
      <c r="F39" s="35"/>
      <c r="G39" s="35"/>
      <c r="H39" s="33" t="s">
        <v>46</v>
      </c>
      <c r="I39" s="35"/>
      <c r="J39" s="35"/>
      <c r="K39" s="35"/>
      <c r="L39" s="35"/>
      <c r="M39" s="35"/>
      <c r="N39" s="35"/>
      <c r="O39" s="35"/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6"/>
      <c r="AU39" s="36"/>
      <c r="AV39" s="37"/>
      <c r="AW39" s="36"/>
      <c r="AX39" s="36"/>
      <c r="AY39" s="36"/>
      <c r="AZ39" s="36"/>
      <c r="BA39" s="36"/>
      <c r="BB39" s="36"/>
      <c r="BC39" s="36"/>
      <c r="BD39" s="36"/>
    </row>
    <row r="40" spans="1:56" s="43" customFormat="1" ht="24.95" hidden="1" customHeight="1" x14ac:dyDescent="0.25">
      <c r="A40" s="35"/>
      <c r="B40" s="42"/>
      <c r="C40" s="33" t="s">
        <v>69</v>
      </c>
      <c r="D40" s="36"/>
      <c r="E40" s="35"/>
      <c r="F40" s="35"/>
      <c r="G40" s="35"/>
      <c r="H40" s="33" t="s">
        <v>46</v>
      </c>
      <c r="I40" s="35"/>
      <c r="J40" s="35"/>
      <c r="K40" s="35"/>
      <c r="L40" s="35"/>
      <c r="M40" s="35"/>
      <c r="N40" s="35"/>
      <c r="O40" s="35"/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6"/>
      <c r="AU40" s="36"/>
      <c r="AV40" s="37"/>
      <c r="AW40" s="36"/>
      <c r="AX40" s="36"/>
      <c r="AY40" s="36"/>
      <c r="AZ40" s="36"/>
      <c r="BA40" s="36"/>
      <c r="BB40" s="36"/>
      <c r="BC40" s="36"/>
      <c r="BD40" s="36"/>
    </row>
    <row r="41" spans="1:56" s="43" customFormat="1" ht="24.95" hidden="1" customHeight="1" x14ac:dyDescent="0.25">
      <c r="A41" s="35"/>
      <c r="B41" s="42"/>
      <c r="C41" s="33" t="s">
        <v>69</v>
      </c>
      <c r="D41" s="36"/>
      <c r="E41" s="35"/>
      <c r="F41" s="35"/>
      <c r="G41" s="35"/>
      <c r="H41" s="33" t="s">
        <v>46</v>
      </c>
      <c r="I41" s="35"/>
      <c r="J41" s="35"/>
      <c r="K41" s="35"/>
      <c r="L41" s="35"/>
      <c r="M41" s="35"/>
      <c r="N41" s="35"/>
      <c r="O41" s="35"/>
      <c r="P41" s="35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6"/>
      <c r="AU41" s="36"/>
      <c r="AV41" s="37"/>
      <c r="AW41" s="36"/>
      <c r="AX41" s="36"/>
      <c r="AY41" s="36"/>
      <c r="AZ41" s="36"/>
      <c r="BA41" s="36"/>
      <c r="BB41" s="36"/>
      <c r="BC41" s="36"/>
      <c r="BD41" s="36"/>
    </row>
    <row r="42" spans="1:56" s="43" customFormat="1" ht="24.95" hidden="1" customHeight="1" x14ac:dyDescent="0.25">
      <c r="A42" s="35"/>
      <c r="B42" s="42"/>
      <c r="C42" s="33" t="s">
        <v>69</v>
      </c>
      <c r="D42" s="36"/>
      <c r="E42" s="35"/>
      <c r="F42" s="35"/>
      <c r="G42" s="35"/>
      <c r="H42" s="33" t="s">
        <v>46</v>
      </c>
      <c r="I42" s="35"/>
      <c r="J42" s="35"/>
      <c r="K42" s="35"/>
      <c r="L42" s="35"/>
      <c r="M42" s="35"/>
      <c r="N42" s="35"/>
      <c r="O42" s="35"/>
      <c r="P42" s="35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6"/>
      <c r="AU42" s="36"/>
      <c r="AV42" s="37"/>
      <c r="AW42" s="36"/>
      <c r="AX42" s="36"/>
      <c r="AY42" s="36"/>
      <c r="AZ42" s="36"/>
      <c r="BA42" s="36"/>
      <c r="BB42" s="36"/>
      <c r="BC42" s="36"/>
      <c r="BD42" s="36"/>
    </row>
    <row r="43" spans="1:56" s="43" customFormat="1" ht="24.95" hidden="1" customHeight="1" x14ac:dyDescent="0.25">
      <c r="A43" s="35"/>
      <c r="B43" s="42"/>
      <c r="C43" s="33" t="s">
        <v>69</v>
      </c>
      <c r="D43" s="36"/>
      <c r="E43" s="35"/>
      <c r="F43" s="35"/>
      <c r="G43" s="35"/>
      <c r="H43" s="33" t="s">
        <v>46</v>
      </c>
      <c r="I43" s="35"/>
      <c r="J43" s="35"/>
      <c r="K43" s="35"/>
      <c r="L43" s="35"/>
      <c r="M43" s="35"/>
      <c r="N43" s="35"/>
      <c r="O43" s="35"/>
      <c r="P43" s="35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6"/>
      <c r="AU43" s="36"/>
      <c r="AV43" s="37"/>
      <c r="AW43" s="36"/>
      <c r="AX43" s="36"/>
      <c r="AY43" s="36"/>
      <c r="AZ43" s="36"/>
      <c r="BA43" s="36"/>
      <c r="BB43" s="36"/>
      <c r="BC43" s="36"/>
      <c r="BD43" s="36"/>
    </row>
    <row r="44" spans="1:56" s="43" customFormat="1" ht="24.95" hidden="1" customHeight="1" x14ac:dyDescent="0.25">
      <c r="A44" s="35"/>
      <c r="B44" s="42"/>
      <c r="C44" s="33" t="s">
        <v>69</v>
      </c>
      <c r="D44" s="36"/>
      <c r="E44" s="35"/>
      <c r="F44" s="35"/>
      <c r="G44" s="35"/>
      <c r="H44" s="33" t="s">
        <v>46</v>
      </c>
      <c r="I44" s="35"/>
      <c r="J44" s="35"/>
      <c r="K44" s="35"/>
      <c r="L44" s="35"/>
      <c r="M44" s="35"/>
      <c r="N44" s="35"/>
      <c r="O44" s="35"/>
      <c r="P44" s="35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6"/>
      <c r="AU44" s="36"/>
      <c r="AV44" s="37"/>
      <c r="AW44" s="36"/>
      <c r="AX44" s="36"/>
      <c r="AY44" s="36"/>
      <c r="AZ44" s="36"/>
      <c r="BA44" s="36"/>
      <c r="BB44" s="36"/>
      <c r="BC44" s="36"/>
      <c r="BD44" s="36"/>
    </row>
    <row r="45" spans="1:56" s="43" customFormat="1" ht="24.95" hidden="1" customHeight="1" x14ac:dyDescent="0.25">
      <c r="A45" s="35"/>
      <c r="B45" s="42"/>
      <c r="C45" s="33" t="s">
        <v>69</v>
      </c>
      <c r="D45" s="36"/>
      <c r="E45" s="35"/>
      <c r="F45" s="35"/>
      <c r="G45" s="35"/>
      <c r="H45" s="33" t="s">
        <v>46</v>
      </c>
      <c r="I45" s="35"/>
      <c r="J45" s="35"/>
      <c r="K45" s="35"/>
      <c r="L45" s="35"/>
      <c r="M45" s="35"/>
      <c r="N45" s="35"/>
      <c r="O45" s="35"/>
      <c r="P45" s="35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70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6"/>
      <c r="AU45" s="36"/>
      <c r="AV45" s="37"/>
      <c r="AW45" s="36"/>
      <c r="AX45" s="36"/>
      <c r="AY45" s="36"/>
      <c r="AZ45" s="36"/>
      <c r="BA45" s="36"/>
      <c r="BB45" s="36"/>
      <c r="BC45" s="36"/>
      <c r="BD45" s="36"/>
    </row>
    <row r="46" spans="1:56" s="46" customFormat="1" ht="24.95" hidden="1" customHeight="1" x14ac:dyDescent="0.25">
      <c r="A46" s="44" t="s">
        <v>47</v>
      </c>
      <c r="B46" s="44"/>
      <c r="C46" s="45"/>
      <c r="D46" s="39"/>
      <c r="E46" s="44"/>
      <c r="F46" s="44"/>
      <c r="G46" s="44"/>
      <c r="H46" s="45"/>
      <c r="I46" s="44"/>
      <c r="J46" s="44"/>
      <c r="K46" s="44"/>
      <c r="L46" s="44"/>
      <c r="M46" s="44"/>
      <c r="N46" s="44"/>
      <c r="O46" s="44"/>
      <c r="P46" s="44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>
        <f t="shared" ref="AF46:BD46" si="1">SUM(AF16:AF45)</f>
        <v>0</v>
      </c>
      <c r="AG46" s="39">
        <f t="shared" si="1"/>
        <v>0</v>
      </c>
      <c r="AH46" s="39">
        <f t="shared" si="1"/>
        <v>0</v>
      </c>
      <c r="AI46" s="39">
        <f t="shared" si="1"/>
        <v>0</v>
      </c>
      <c r="AJ46" s="39">
        <f t="shared" si="1"/>
        <v>0</v>
      </c>
      <c r="AK46" s="39">
        <f t="shared" si="1"/>
        <v>0</v>
      </c>
      <c r="AL46" s="39">
        <f t="shared" si="1"/>
        <v>0</v>
      </c>
      <c r="AM46" s="39">
        <f t="shared" si="1"/>
        <v>0</v>
      </c>
      <c r="AN46" s="39">
        <f t="shared" si="1"/>
        <v>0</v>
      </c>
      <c r="AO46" s="39">
        <f t="shared" si="1"/>
        <v>0</v>
      </c>
      <c r="AP46" s="39">
        <f t="shared" si="1"/>
        <v>0</v>
      </c>
      <c r="AQ46" s="39">
        <f t="shared" si="1"/>
        <v>0</v>
      </c>
      <c r="AR46" s="39">
        <f t="shared" si="1"/>
        <v>0</v>
      </c>
      <c r="AS46" s="39">
        <f t="shared" si="1"/>
        <v>0</v>
      </c>
      <c r="AT46" s="39">
        <f t="shared" si="1"/>
        <v>0</v>
      </c>
      <c r="AU46" s="39">
        <f t="shared" si="1"/>
        <v>0</v>
      </c>
      <c r="AV46" s="39">
        <f t="shared" si="1"/>
        <v>0</v>
      </c>
      <c r="AW46" s="39">
        <f t="shared" si="1"/>
        <v>0</v>
      </c>
      <c r="AX46" s="39">
        <f t="shared" si="1"/>
        <v>0</v>
      </c>
      <c r="AY46" s="39">
        <f t="shared" si="1"/>
        <v>0</v>
      </c>
      <c r="AZ46" s="39">
        <f t="shared" si="1"/>
        <v>0</v>
      </c>
      <c r="BA46" s="39">
        <f t="shared" si="1"/>
        <v>0</v>
      </c>
      <c r="BB46" s="39">
        <f t="shared" si="1"/>
        <v>0</v>
      </c>
      <c r="BC46" s="39">
        <f t="shared" si="1"/>
        <v>0</v>
      </c>
      <c r="BD46" s="39">
        <f t="shared" si="1"/>
        <v>0</v>
      </c>
    </row>
    <row r="47" spans="1:56" s="46" customFormat="1" ht="24.95" hidden="1" customHeight="1" x14ac:dyDescent="0.25">
      <c r="A47" s="44"/>
      <c r="B47" s="44"/>
      <c r="C47" s="45"/>
      <c r="D47" s="39"/>
      <c r="E47" s="44"/>
      <c r="F47" s="44"/>
      <c r="G47" s="44"/>
      <c r="H47" s="45"/>
      <c r="I47" s="44"/>
      <c r="J47" s="44"/>
      <c r="K47" s="44"/>
      <c r="L47" s="44"/>
      <c r="M47" s="44"/>
      <c r="N47" s="44"/>
      <c r="O47" s="44"/>
      <c r="P47" s="44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>
        <v>0</v>
      </c>
      <c r="AG47" s="39">
        <v>0</v>
      </c>
      <c r="AH47" s="39">
        <v>2027.2</v>
      </c>
      <c r="AI47" s="39">
        <v>14.580000000000002</v>
      </c>
      <c r="AJ47" s="39">
        <v>6</v>
      </c>
      <c r="AK47" s="39">
        <v>0</v>
      </c>
      <c r="AL47" s="39">
        <v>0</v>
      </c>
      <c r="AM47" s="39">
        <v>0</v>
      </c>
      <c r="AN47" s="39">
        <v>0</v>
      </c>
      <c r="AO47" s="39">
        <v>34</v>
      </c>
      <c r="AP47" s="39">
        <v>0</v>
      </c>
      <c r="AQ47" s="39">
        <v>0</v>
      </c>
      <c r="AR47" s="39">
        <v>20</v>
      </c>
      <c r="AS47" s="39">
        <v>0</v>
      </c>
      <c r="AT47" s="39">
        <v>0</v>
      </c>
      <c r="AU47" s="39">
        <v>0</v>
      </c>
      <c r="AV47" s="39">
        <v>0</v>
      </c>
      <c r="AW47" s="39">
        <v>0</v>
      </c>
      <c r="AX47" s="39">
        <v>0</v>
      </c>
      <c r="AY47" s="39">
        <v>0</v>
      </c>
      <c r="AZ47" s="39">
        <v>0</v>
      </c>
      <c r="BA47" s="39">
        <v>0</v>
      </c>
      <c r="BB47" s="39">
        <v>0</v>
      </c>
      <c r="BC47" s="39">
        <v>34</v>
      </c>
      <c r="BD47" s="39">
        <v>0</v>
      </c>
    </row>
    <row r="48" spans="1:56" s="46" customFormat="1" ht="24.95" hidden="1" customHeight="1" x14ac:dyDescent="0.25">
      <c r="A48" s="44"/>
      <c r="B48" s="44"/>
      <c r="C48" s="45"/>
      <c r="D48" s="39"/>
      <c r="E48" s="44"/>
      <c r="F48" s="44"/>
      <c r="G48" s="44"/>
      <c r="H48" s="45"/>
      <c r="I48" s="44"/>
      <c r="J48" s="44"/>
      <c r="K48" s="44"/>
      <c r="L48" s="44"/>
      <c r="M48" s="44"/>
      <c r="N48" s="44"/>
      <c r="O48" s="44"/>
      <c r="P48" s="44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44">
        <f>AF46-AF47</f>
        <v>0</v>
      </c>
      <c r="AG48" s="44">
        <f t="shared" ref="AG48:BD48" si="2">AG46-AG47</f>
        <v>0</v>
      </c>
      <c r="AH48" s="44">
        <f t="shared" si="2"/>
        <v>-2027.2</v>
      </c>
      <c r="AI48" s="44">
        <f t="shared" si="2"/>
        <v>-14.580000000000002</v>
      </c>
      <c r="AJ48" s="44">
        <f t="shared" si="2"/>
        <v>-6</v>
      </c>
      <c r="AK48" s="44">
        <f t="shared" si="2"/>
        <v>0</v>
      </c>
      <c r="AL48" s="44">
        <f t="shared" si="2"/>
        <v>0</v>
      </c>
      <c r="AM48" s="44">
        <f t="shared" si="2"/>
        <v>0</v>
      </c>
      <c r="AN48" s="44">
        <f t="shared" si="2"/>
        <v>0</v>
      </c>
      <c r="AO48" s="44">
        <f t="shared" si="2"/>
        <v>-34</v>
      </c>
      <c r="AP48" s="44">
        <f t="shared" si="2"/>
        <v>0</v>
      </c>
      <c r="AQ48" s="44">
        <f t="shared" si="2"/>
        <v>0</v>
      </c>
      <c r="AR48" s="44">
        <f t="shared" si="2"/>
        <v>-20</v>
      </c>
      <c r="AS48" s="44">
        <f t="shared" si="2"/>
        <v>0</v>
      </c>
      <c r="AT48" s="44">
        <f t="shared" si="2"/>
        <v>0</v>
      </c>
      <c r="AU48" s="44">
        <f t="shared" si="2"/>
        <v>0</v>
      </c>
      <c r="AV48" s="44">
        <f t="shared" si="2"/>
        <v>0</v>
      </c>
      <c r="AW48" s="44">
        <f t="shared" si="2"/>
        <v>0</v>
      </c>
      <c r="AX48" s="44">
        <f t="shared" si="2"/>
        <v>0</v>
      </c>
      <c r="AY48" s="44">
        <f t="shared" si="2"/>
        <v>0</v>
      </c>
      <c r="AZ48" s="44">
        <f t="shared" si="2"/>
        <v>0</v>
      </c>
      <c r="BA48" s="44">
        <f t="shared" si="2"/>
        <v>0</v>
      </c>
      <c r="BB48" s="44">
        <f t="shared" si="2"/>
        <v>0</v>
      </c>
      <c r="BC48" s="44">
        <f t="shared" si="2"/>
        <v>-34</v>
      </c>
      <c r="BD48" s="44">
        <f t="shared" si="2"/>
        <v>0</v>
      </c>
    </row>
    <row r="49" spans="1:56" s="43" customFormat="1" ht="24.95" hidden="1" customHeight="1" x14ac:dyDescent="0.25">
      <c r="A49" s="35"/>
      <c r="B49" s="42"/>
      <c r="C49" s="33" t="s">
        <v>48</v>
      </c>
      <c r="D49" s="36"/>
      <c r="E49" s="35"/>
      <c r="F49" s="35"/>
      <c r="G49" s="35"/>
      <c r="H49" s="33" t="s">
        <v>46</v>
      </c>
      <c r="I49" s="35"/>
      <c r="J49" s="35"/>
      <c r="K49" s="35"/>
      <c r="L49" s="35"/>
      <c r="M49" s="35"/>
      <c r="N49" s="35"/>
      <c r="O49" s="35"/>
      <c r="P49" s="35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6"/>
      <c r="AU49" s="36"/>
      <c r="AV49" s="37"/>
      <c r="AW49" s="36"/>
      <c r="AX49" s="36"/>
      <c r="AY49" s="36"/>
      <c r="AZ49" s="36"/>
      <c r="BA49" s="36"/>
      <c r="BB49" s="36"/>
      <c r="BC49" s="36"/>
      <c r="BD49" s="36"/>
    </row>
    <row r="50" spans="1:56" s="43" customFormat="1" ht="24.95" hidden="1" customHeight="1" x14ac:dyDescent="0.25">
      <c r="A50" s="35"/>
      <c r="B50" s="42"/>
      <c r="C50" s="33" t="s">
        <v>48</v>
      </c>
      <c r="D50" s="36"/>
      <c r="E50" s="35"/>
      <c r="F50" s="35"/>
      <c r="G50" s="35"/>
      <c r="H50" s="33" t="s">
        <v>46</v>
      </c>
      <c r="I50" s="35"/>
      <c r="J50" s="35"/>
      <c r="K50" s="35"/>
      <c r="L50" s="35"/>
      <c r="M50" s="35"/>
      <c r="N50" s="35"/>
      <c r="O50" s="35"/>
      <c r="P50" s="35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6"/>
      <c r="AU50" s="36"/>
      <c r="AV50" s="37"/>
      <c r="AW50" s="36"/>
      <c r="AX50" s="36"/>
      <c r="AY50" s="36"/>
      <c r="AZ50" s="36"/>
      <c r="BA50" s="36"/>
      <c r="BB50" s="36"/>
      <c r="BC50" s="36"/>
      <c r="BD50" s="36"/>
    </row>
    <row r="51" spans="1:56" s="43" customFormat="1" ht="24.95" hidden="1" customHeight="1" x14ac:dyDescent="0.25">
      <c r="A51" s="35"/>
      <c r="B51" s="42"/>
      <c r="C51" s="33" t="s">
        <v>48</v>
      </c>
      <c r="D51" s="36"/>
      <c r="E51" s="35"/>
      <c r="F51" s="35"/>
      <c r="G51" s="35"/>
      <c r="H51" s="33" t="s">
        <v>46</v>
      </c>
      <c r="I51" s="35"/>
      <c r="J51" s="35"/>
      <c r="K51" s="35"/>
      <c r="L51" s="35"/>
      <c r="M51" s="35"/>
      <c r="N51" s="35"/>
      <c r="O51" s="35"/>
      <c r="P51" s="35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6"/>
      <c r="AU51" s="36"/>
      <c r="AV51" s="37"/>
      <c r="AW51" s="36"/>
      <c r="AX51" s="36"/>
      <c r="AY51" s="36"/>
      <c r="AZ51" s="36"/>
      <c r="BA51" s="36"/>
      <c r="BB51" s="36"/>
      <c r="BC51" s="36"/>
      <c r="BD51" s="36"/>
    </row>
    <row r="52" spans="1:56" s="43" customFormat="1" ht="24.95" hidden="1" customHeight="1" x14ac:dyDescent="0.25">
      <c r="A52" s="35"/>
      <c r="B52" s="42"/>
      <c r="C52" s="33" t="s">
        <v>48</v>
      </c>
      <c r="D52" s="36"/>
      <c r="E52" s="35"/>
      <c r="F52" s="35"/>
      <c r="G52" s="35"/>
      <c r="H52" s="33" t="s">
        <v>46</v>
      </c>
      <c r="I52" s="35"/>
      <c r="J52" s="35"/>
      <c r="K52" s="35"/>
      <c r="L52" s="35"/>
      <c r="M52" s="35"/>
      <c r="N52" s="35"/>
      <c r="O52" s="35"/>
      <c r="P52" s="35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6"/>
      <c r="AU52" s="36"/>
      <c r="AV52" s="37"/>
      <c r="AW52" s="36"/>
      <c r="AX52" s="36"/>
      <c r="AY52" s="36"/>
      <c r="AZ52" s="36"/>
      <c r="BA52" s="36"/>
      <c r="BB52" s="36"/>
      <c r="BC52" s="36"/>
      <c r="BD52" s="36"/>
    </row>
    <row r="53" spans="1:56" s="43" customFormat="1" ht="24.95" hidden="1" customHeight="1" x14ac:dyDescent="0.25">
      <c r="A53" s="35"/>
      <c r="B53" s="42"/>
      <c r="C53" s="33" t="s">
        <v>48</v>
      </c>
      <c r="D53" s="36"/>
      <c r="E53" s="35"/>
      <c r="F53" s="35"/>
      <c r="G53" s="35"/>
      <c r="H53" s="33" t="s">
        <v>46</v>
      </c>
      <c r="I53" s="35"/>
      <c r="J53" s="35"/>
      <c r="K53" s="35"/>
      <c r="L53" s="35"/>
      <c r="M53" s="35"/>
      <c r="N53" s="35"/>
      <c r="O53" s="35"/>
      <c r="P53" s="35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6"/>
      <c r="AU53" s="36"/>
      <c r="AV53" s="37"/>
      <c r="AW53" s="36"/>
      <c r="AX53" s="36"/>
      <c r="AY53" s="36"/>
      <c r="AZ53" s="36"/>
      <c r="BA53" s="36"/>
      <c r="BB53" s="36"/>
      <c r="BC53" s="36"/>
      <c r="BD53" s="36"/>
    </row>
    <row r="54" spans="1:56" s="43" customFormat="1" ht="24.95" hidden="1" customHeight="1" x14ac:dyDescent="0.25">
      <c r="A54" s="35"/>
      <c r="B54" s="42"/>
      <c r="C54" s="33" t="s">
        <v>48</v>
      </c>
      <c r="D54" s="36"/>
      <c r="E54" s="35"/>
      <c r="F54" s="35"/>
      <c r="G54" s="35"/>
      <c r="H54" s="33" t="s">
        <v>46</v>
      </c>
      <c r="I54" s="35"/>
      <c r="J54" s="35"/>
      <c r="K54" s="35"/>
      <c r="L54" s="35"/>
      <c r="M54" s="35"/>
      <c r="N54" s="35"/>
      <c r="O54" s="35"/>
      <c r="P54" s="35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6"/>
      <c r="AU54" s="36"/>
      <c r="AV54" s="37"/>
      <c r="AW54" s="36"/>
      <c r="AX54" s="36"/>
      <c r="AY54" s="36"/>
      <c r="AZ54" s="36"/>
      <c r="BA54" s="36"/>
      <c r="BB54" s="36"/>
      <c r="BC54" s="36"/>
      <c r="BD54" s="36"/>
    </row>
    <row r="55" spans="1:56" s="43" customFormat="1" ht="24.95" hidden="1" customHeight="1" x14ac:dyDescent="0.25">
      <c r="A55" s="35"/>
      <c r="B55" s="42"/>
      <c r="C55" s="33" t="s">
        <v>48</v>
      </c>
      <c r="D55" s="36"/>
      <c r="E55" s="35"/>
      <c r="F55" s="35"/>
      <c r="G55" s="35"/>
      <c r="H55" s="33" t="s">
        <v>46</v>
      </c>
      <c r="I55" s="35"/>
      <c r="J55" s="35"/>
      <c r="K55" s="35"/>
      <c r="L55" s="35"/>
      <c r="M55" s="35"/>
      <c r="N55" s="35"/>
      <c r="O55" s="35"/>
      <c r="P55" s="35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6"/>
      <c r="AU55" s="36"/>
      <c r="AV55" s="37"/>
      <c r="AW55" s="36"/>
      <c r="AX55" s="36"/>
      <c r="AY55" s="36"/>
      <c r="AZ55" s="36"/>
      <c r="BA55" s="36"/>
      <c r="BB55" s="36"/>
      <c r="BC55" s="36"/>
      <c r="BD55" s="36"/>
    </row>
    <row r="56" spans="1:56" s="43" customFormat="1" ht="24.95" hidden="1" customHeight="1" x14ac:dyDescent="0.25">
      <c r="A56" s="35"/>
      <c r="B56" s="42"/>
      <c r="C56" s="33" t="s">
        <v>48</v>
      </c>
      <c r="D56" s="36"/>
      <c r="E56" s="35"/>
      <c r="F56" s="35"/>
      <c r="G56" s="35"/>
      <c r="H56" s="33" t="s">
        <v>46</v>
      </c>
      <c r="I56" s="35"/>
      <c r="J56" s="35"/>
      <c r="K56" s="35"/>
      <c r="L56" s="35"/>
      <c r="M56" s="35"/>
      <c r="N56" s="35"/>
      <c r="O56" s="35"/>
      <c r="P56" s="35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6"/>
      <c r="AU56" s="36"/>
      <c r="AV56" s="37"/>
      <c r="AW56" s="36"/>
      <c r="AX56" s="36"/>
      <c r="AY56" s="36"/>
      <c r="AZ56" s="36"/>
      <c r="BA56" s="36"/>
      <c r="BB56" s="36"/>
      <c r="BC56" s="36"/>
      <c r="BD56" s="36"/>
    </row>
    <row r="57" spans="1:56" s="43" customFormat="1" ht="24.95" hidden="1" customHeight="1" x14ac:dyDescent="0.25">
      <c r="A57" s="35"/>
      <c r="B57" s="42"/>
      <c r="C57" s="33" t="s">
        <v>48</v>
      </c>
      <c r="D57" s="36"/>
      <c r="E57" s="35"/>
      <c r="F57" s="35"/>
      <c r="G57" s="35"/>
      <c r="H57" s="33" t="s">
        <v>46</v>
      </c>
      <c r="I57" s="35"/>
      <c r="J57" s="35"/>
      <c r="K57" s="35"/>
      <c r="L57" s="35"/>
      <c r="M57" s="35"/>
      <c r="N57" s="35"/>
      <c r="O57" s="35"/>
      <c r="P57" s="35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6"/>
      <c r="AU57" s="36"/>
      <c r="AV57" s="37"/>
      <c r="AW57" s="36"/>
      <c r="AX57" s="36"/>
      <c r="AY57" s="36"/>
      <c r="AZ57" s="36"/>
      <c r="BA57" s="36"/>
      <c r="BB57" s="36"/>
      <c r="BC57" s="36"/>
      <c r="BD57" s="36"/>
    </row>
    <row r="58" spans="1:56" s="43" customFormat="1" ht="24.95" hidden="1" customHeight="1" x14ac:dyDescent="0.25">
      <c r="A58" s="35"/>
      <c r="B58" s="42"/>
      <c r="C58" s="33" t="s">
        <v>48</v>
      </c>
      <c r="D58" s="36"/>
      <c r="E58" s="35"/>
      <c r="F58" s="35"/>
      <c r="G58" s="35"/>
      <c r="H58" s="33" t="s">
        <v>46</v>
      </c>
      <c r="I58" s="35"/>
      <c r="J58" s="35"/>
      <c r="K58" s="35"/>
      <c r="L58" s="35"/>
      <c r="M58" s="35"/>
      <c r="N58" s="35"/>
      <c r="O58" s="35"/>
      <c r="P58" s="35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6"/>
      <c r="AU58" s="36"/>
      <c r="AV58" s="37"/>
      <c r="AW58" s="36"/>
      <c r="AX58" s="36"/>
      <c r="AY58" s="36"/>
      <c r="AZ58" s="36"/>
      <c r="BA58" s="36"/>
      <c r="BB58" s="36"/>
      <c r="BC58" s="36"/>
      <c r="BD58" s="36"/>
    </row>
    <row r="59" spans="1:56" s="43" customFormat="1" ht="24.95" hidden="1" customHeight="1" x14ac:dyDescent="0.25">
      <c r="A59" s="35"/>
      <c r="B59" s="42"/>
      <c r="C59" s="33" t="s">
        <v>48</v>
      </c>
      <c r="D59" s="36"/>
      <c r="E59" s="35"/>
      <c r="F59" s="35"/>
      <c r="G59" s="35"/>
      <c r="H59" s="33" t="s">
        <v>46</v>
      </c>
      <c r="I59" s="35"/>
      <c r="J59" s="35"/>
      <c r="K59" s="35"/>
      <c r="L59" s="35"/>
      <c r="M59" s="35"/>
      <c r="N59" s="35"/>
      <c r="O59" s="35"/>
      <c r="P59" s="35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6"/>
      <c r="AU59" s="36"/>
      <c r="AV59" s="37"/>
      <c r="AW59" s="36"/>
      <c r="AX59" s="36"/>
      <c r="AY59" s="36"/>
      <c r="AZ59" s="36"/>
      <c r="BA59" s="36"/>
      <c r="BB59" s="36"/>
      <c r="BC59" s="36"/>
      <c r="BD59" s="36"/>
    </row>
    <row r="60" spans="1:56" s="43" customFormat="1" ht="24.95" hidden="1" customHeight="1" x14ac:dyDescent="0.25">
      <c r="A60" s="35"/>
      <c r="B60" s="42"/>
      <c r="C60" s="33" t="s">
        <v>48</v>
      </c>
      <c r="D60" s="36"/>
      <c r="E60" s="35"/>
      <c r="F60" s="35"/>
      <c r="G60" s="35"/>
      <c r="H60" s="33" t="s">
        <v>46</v>
      </c>
      <c r="I60" s="35"/>
      <c r="J60" s="35"/>
      <c r="K60" s="35"/>
      <c r="L60" s="35"/>
      <c r="M60" s="35"/>
      <c r="N60" s="35"/>
      <c r="O60" s="35"/>
      <c r="P60" s="35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6"/>
      <c r="AU60" s="36"/>
      <c r="AV60" s="37"/>
      <c r="AW60" s="36"/>
      <c r="AX60" s="36"/>
      <c r="AY60" s="36"/>
      <c r="AZ60" s="36"/>
      <c r="BA60" s="36"/>
      <c r="BB60" s="36"/>
      <c r="BC60" s="36"/>
      <c r="BD60" s="36"/>
    </row>
    <row r="61" spans="1:56" s="43" customFormat="1" ht="24.95" hidden="1" customHeight="1" x14ac:dyDescent="0.25">
      <c r="A61" s="35"/>
      <c r="B61" s="42"/>
      <c r="C61" s="33" t="s">
        <v>48</v>
      </c>
      <c r="D61" s="36"/>
      <c r="E61" s="35"/>
      <c r="F61" s="35"/>
      <c r="G61" s="35"/>
      <c r="H61" s="33" t="s">
        <v>46</v>
      </c>
      <c r="I61" s="35"/>
      <c r="J61" s="35"/>
      <c r="K61" s="35"/>
      <c r="L61" s="35"/>
      <c r="M61" s="35"/>
      <c r="N61" s="35"/>
      <c r="O61" s="35"/>
      <c r="P61" s="35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6"/>
      <c r="AU61" s="36"/>
      <c r="AV61" s="37"/>
      <c r="AW61" s="36"/>
      <c r="AX61" s="36"/>
      <c r="AY61" s="36"/>
      <c r="AZ61" s="36"/>
      <c r="BA61" s="36"/>
      <c r="BB61" s="36"/>
      <c r="BC61" s="36"/>
      <c r="BD61" s="36"/>
    </row>
    <row r="62" spans="1:56" s="43" customFormat="1" ht="24.95" hidden="1" customHeight="1" x14ac:dyDescent="0.25">
      <c r="A62" s="35"/>
      <c r="B62" s="42"/>
      <c r="C62" s="33" t="s">
        <v>48</v>
      </c>
      <c r="D62" s="36"/>
      <c r="E62" s="35"/>
      <c r="F62" s="35"/>
      <c r="G62" s="35"/>
      <c r="H62" s="33" t="s">
        <v>46</v>
      </c>
      <c r="I62" s="35"/>
      <c r="J62" s="35"/>
      <c r="K62" s="35"/>
      <c r="L62" s="35"/>
      <c r="M62" s="35"/>
      <c r="N62" s="35"/>
      <c r="O62" s="35"/>
      <c r="P62" s="35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6"/>
      <c r="AU62" s="36"/>
      <c r="AV62" s="37"/>
      <c r="AW62" s="36"/>
      <c r="AX62" s="36"/>
      <c r="AY62" s="36"/>
      <c r="AZ62" s="36"/>
      <c r="BA62" s="36"/>
      <c r="BB62" s="36"/>
      <c r="BC62" s="36"/>
      <c r="BD62" s="36"/>
    </row>
    <row r="63" spans="1:56" s="43" customFormat="1" ht="24.95" hidden="1" customHeight="1" x14ac:dyDescent="0.25">
      <c r="A63" s="35"/>
      <c r="B63" s="42"/>
      <c r="C63" s="33" t="s">
        <v>48</v>
      </c>
      <c r="D63" s="36"/>
      <c r="E63" s="35"/>
      <c r="F63" s="35"/>
      <c r="G63" s="35"/>
      <c r="H63" s="33" t="s">
        <v>46</v>
      </c>
      <c r="I63" s="35"/>
      <c r="J63" s="35"/>
      <c r="K63" s="35"/>
      <c r="L63" s="35"/>
      <c r="M63" s="35"/>
      <c r="N63" s="35"/>
      <c r="O63" s="35"/>
      <c r="P63" s="35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6"/>
      <c r="AU63" s="36"/>
      <c r="AV63" s="37"/>
      <c r="AW63" s="36"/>
      <c r="AX63" s="36"/>
      <c r="AY63" s="36"/>
      <c r="AZ63" s="36"/>
      <c r="BA63" s="36"/>
      <c r="BB63" s="36"/>
      <c r="BC63" s="36"/>
      <c r="BD63" s="36"/>
    </row>
    <row r="64" spans="1:56" s="43" customFormat="1" ht="24.95" hidden="1" customHeight="1" x14ac:dyDescent="0.25">
      <c r="A64" s="35"/>
      <c r="B64" s="42"/>
      <c r="C64" s="33" t="s">
        <v>48</v>
      </c>
      <c r="D64" s="36"/>
      <c r="E64" s="35"/>
      <c r="F64" s="35"/>
      <c r="G64" s="35"/>
      <c r="H64" s="33" t="s">
        <v>46</v>
      </c>
      <c r="I64" s="35"/>
      <c r="J64" s="35"/>
      <c r="K64" s="35"/>
      <c r="L64" s="35"/>
      <c r="M64" s="35"/>
      <c r="N64" s="35"/>
      <c r="O64" s="35"/>
      <c r="P64" s="35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6"/>
      <c r="AU64" s="36"/>
      <c r="AV64" s="37"/>
      <c r="AW64" s="36"/>
      <c r="AX64" s="36"/>
      <c r="AY64" s="36"/>
      <c r="AZ64" s="36"/>
      <c r="BA64" s="36"/>
      <c r="BB64" s="36"/>
      <c r="BC64" s="36"/>
      <c r="BD64" s="36"/>
    </row>
    <row r="65" spans="1:56" s="43" customFormat="1" ht="24.95" hidden="1" customHeight="1" x14ac:dyDescent="0.25">
      <c r="A65" s="35"/>
      <c r="B65" s="42"/>
      <c r="C65" s="33" t="s">
        <v>48</v>
      </c>
      <c r="D65" s="36"/>
      <c r="E65" s="35"/>
      <c r="F65" s="35"/>
      <c r="G65" s="35"/>
      <c r="H65" s="33" t="s">
        <v>46</v>
      </c>
      <c r="I65" s="35"/>
      <c r="J65" s="35"/>
      <c r="K65" s="35"/>
      <c r="L65" s="35"/>
      <c r="M65" s="35"/>
      <c r="N65" s="35"/>
      <c r="O65" s="35"/>
      <c r="P65" s="35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6"/>
      <c r="AU65" s="36"/>
      <c r="AV65" s="37"/>
      <c r="AW65" s="36"/>
      <c r="AX65" s="36"/>
      <c r="AY65" s="36"/>
      <c r="AZ65" s="36"/>
      <c r="BA65" s="36"/>
      <c r="BB65" s="36"/>
      <c r="BC65" s="36"/>
      <c r="BD65" s="36"/>
    </row>
    <row r="66" spans="1:56" s="43" customFormat="1" ht="24.95" hidden="1" customHeight="1" x14ac:dyDescent="0.25">
      <c r="A66" s="35"/>
      <c r="B66" s="42"/>
      <c r="C66" s="33" t="s">
        <v>48</v>
      </c>
      <c r="D66" s="36"/>
      <c r="E66" s="35"/>
      <c r="F66" s="35"/>
      <c r="G66" s="35"/>
      <c r="H66" s="33" t="s">
        <v>46</v>
      </c>
      <c r="I66" s="35"/>
      <c r="J66" s="35"/>
      <c r="K66" s="35"/>
      <c r="L66" s="35"/>
      <c r="M66" s="35"/>
      <c r="N66" s="35"/>
      <c r="O66" s="35"/>
      <c r="P66" s="35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6"/>
      <c r="AU66" s="36"/>
      <c r="AV66" s="37"/>
      <c r="AW66" s="36"/>
      <c r="AX66" s="36"/>
      <c r="AY66" s="36"/>
      <c r="AZ66" s="36"/>
      <c r="BA66" s="36"/>
      <c r="BB66" s="36"/>
      <c r="BC66" s="36"/>
      <c r="BD66" s="36"/>
    </row>
    <row r="67" spans="1:56" s="43" customFormat="1" ht="24.95" hidden="1" customHeight="1" x14ac:dyDescent="0.25">
      <c r="A67" s="35"/>
      <c r="B67" s="42"/>
      <c r="C67" s="33" t="s">
        <v>48</v>
      </c>
      <c r="D67" s="36"/>
      <c r="E67" s="35"/>
      <c r="F67" s="35"/>
      <c r="G67" s="35"/>
      <c r="H67" s="33" t="s">
        <v>46</v>
      </c>
      <c r="I67" s="35"/>
      <c r="J67" s="35"/>
      <c r="K67" s="35"/>
      <c r="L67" s="35"/>
      <c r="M67" s="35"/>
      <c r="N67" s="35"/>
      <c r="O67" s="35"/>
      <c r="P67" s="35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6"/>
      <c r="AU67" s="36"/>
      <c r="AV67" s="37"/>
      <c r="AW67" s="36"/>
      <c r="AX67" s="36"/>
      <c r="AY67" s="36"/>
      <c r="AZ67" s="36"/>
      <c r="BA67" s="36"/>
      <c r="BB67" s="36"/>
      <c r="BC67" s="36"/>
      <c r="BD67" s="36"/>
    </row>
    <row r="68" spans="1:56" s="43" customFormat="1" ht="24.95" hidden="1" customHeight="1" x14ac:dyDescent="0.25">
      <c r="A68" s="35"/>
      <c r="B68" s="42"/>
      <c r="C68" s="33" t="s">
        <v>48</v>
      </c>
      <c r="D68" s="36"/>
      <c r="E68" s="35"/>
      <c r="F68" s="35"/>
      <c r="G68" s="35"/>
      <c r="H68" s="33" t="s">
        <v>46</v>
      </c>
      <c r="I68" s="35"/>
      <c r="J68" s="35"/>
      <c r="K68" s="35"/>
      <c r="L68" s="35"/>
      <c r="M68" s="35"/>
      <c r="N68" s="35"/>
      <c r="O68" s="35"/>
      <c r="P68" s="35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6"/>
      <c r="AU68" s="36"/>
      <c r="AV68" s="37"/>
      <c r="AW68" s="36"/>
      <c r="AX68" s="36"/>
      <c r="AY68" s="36"/>
      <c r="AZ68" s="36"/>
      <c r="BA68" s="36"/>
      <c r="BB68" s="36"/>
      <c r="BC68" s="36"/>
      <c r="BD68" s="36"/>
    </row>
    <row r="69" spans="1:56" s="46" customFormat="1" ht="24.75" hidden="1" customHeight="1" x14ac:dyDescent="0.25">
      <c r="A69" s="44" t="s">
        <v>49</v>
      </c>
      <c r="B69" s="44"/>
      <c r="C69" s="45"/>
      <c r="D69" s="39"/>
      <c r="E69" s="44"/>
      <c r="F69" s="44"/>
      <c r="G69" s="44"/>
      <c r="H69" s="45"/>
      <c r="I69" s="44"/>
      <c r="J69" s="44"/>
      <c r="K69" s="44"/>
      <c r="L69" s="44"/>
      <c r="M69" s="44"/>
      <c r="N69" s="44"/>
      <c r="O69" s="44"/>
      <c r="P69" s="44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>
        <f t="shared" ref="AF69:BD69" si="3">SUM(AF49:AF68)</f>
        <v>0</v>
      </c>
      <c r="AG69" s="39">
        <f t="shared" si="3"/>
        <v>0</v>
      </c>
      <c r="AH69" s="39">
        <f t="shared" si="3"/>
        <v>0</v>
      </c>
      <c r="AI69" s="39">
        <f t="shared" si="3"/>
        <v>0</v>
      </c>
      <c r="AJ69" s="39">
        <f t="shared" si="3"/>
        <v>0</v>
      </c>
      <c r="AK69" s="39">
        <f t="shared" si="3"/>
        <v>0</v>
      </c>
      <c r="AL69" s="39">
        <f t="shared" si="3"/>
        <v>0</v>
      </c>
      <c r="AM69" s="39">
        <f t="shared" si="3"/>
        <v>0</v>
      </c>
      <c r="AN69" s="39">
        <f t="shared" si="3"/>
        <v>0</v>
      </c>
      <c r="AO69" s="39">
        <f t="shared" si="3"/>
        <v>0</v>
      </c>
      <c r="AP69" s="39">
        <f t="shared" si="3"/>
        <v>0</v>
      </c>
      <c r="AQ69" s="39">
        <f t="shared" si="3"/>
        <v>0</v>
      </c>
      <c r="AR69" s="39">
        <f t="shared" si="3"/>
        <v>0</v>
      </c>
      <c r="AS69" s="39">
        <f t="shared" si="3"/>
        <v>0</v>
      </c>
      <c r="AT69" s="39">
        <f t="shared" si="3"/>
        <v>0</v>
      </c>
      <c r="AU69" s="39">
        <f t="shared" si="3"/>
        <v>0</v>
      </c>
      <c r="AV69" s="39">
        <f t="shared" si="3"/>
        <v>0</v>
      </c>
      <c r="AW69" s="39">
        <f t="shared" si="3"/>
        <v>0</v>
      </c>
      <c r="AX69" s="39">
        <f t="shared" si="3"/>
        <v>0</v>
      </c>
      <c r="AY69" s="39">
        <f t="shared" si="3"/>
        <v>0</v>
      </c>
      <c r="AZ69" s="39">
        <f t="shared" si="3"/>
        <v>0</v>
      </c>
      <c r="BA69" s="39">
        <f t="shared" si="3"/>
        <v>0</v>
      </c>
      <c r="BB69" s="39">
        <f t="shared" si="3"/>
        <v>0</v>
      </c>
      <c r="BC69" s="39"/>
      <c r="BD69" s="39">
        <f t="shared" si="3"/>
        <v>0</v>
      </c>
    </row>
    <row r="70" spans="1:56" s="46" customFormat="1" ht="24.95" hidden="1" customHeight="1" x14ac:dyDescent="0.25">
      <c r="A70" s="44"/>
      <c r="B70" s="44"/>
      <c r="C70" s="45"/>
      <c r="D70" s="39"/>
      <c r="E70" s="44"/>
      <c r="F70" s="44"/>
      <c r="G70" s="44"/>
      <c r="H70" s="45"/>
      <c r="I70" s="44"/>
      <c r="J70" s="44"/>
      <c r="K70" s="44"/>
      <c r="L70" s="44"/>
      <c r="M70" s="44"/>
      <c r="N70" s="44"/>
      <c r="O70" s="44"/>
      <c r="P70" s="44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>
        <v>0</v>
      </c>
      <c r="AG70" s="39">
        <v>0</v>
      </c>
      <c r="AH70" s="39">
        <v>93</v>
      </c>
      <c r="AI70" s="39">
        <v>60.750000000000014</v>
      </c>
      <c r="AJ70" s="39">
        <v>25</v>
      </c>
      <c r="AK70" s="39">
        <v>0</v>
      </c>
      <c r="AL70" s="39">
        <v>0</v>
      </c>
      <c r="AM70" s="39">
        <v>246</v>
      </c>
      <c r="AN70" s="39">
        <v>0</v>
      </c>
      <c r="AO70" s="39">
        <v>0</v>
      </c>
      <c r="AP70" s="39">
        <v>0</v>
      </c>
      <c r="AQ70" s="39">
        <v>0</v>
      </c>
      <c r="AR70" s="39">
        <v>0</v>
      </c>
      <c r="AS70" s="39">
        <v>88</v>
      </c>
      <c r="AT70" s="39">
        <v>0</v>
      </c>
      <c r="AU70" s="39">
        <v>0</v>
      </c>
      <c r="AV70" s="39">
        <v>0</v>
      </c>
      <c r="AW70" s="39">
        <v>0</v>
      </c>
      <c r="AX70" s="39">
        <v>0</v>
      </c>
      <c r="AY70" s="39">
        <v>0</v>
      </c>
      <c r="AZ70" s="39">
        <v>0</v>
      </c>
      <c r="BA70" s="39">
        <v>0</v>
      </c>
      <c r="BB70" s="39">
        <v>0</v>
      </c>
      <c r="BC70" s="39"/>
      <c r="BD70" s="39">
        <v>2</v>
      </c>
    </row>
    <row r="71" spans="1:56" s="46" customFormat="1" ht="24.95" hidden="1" customHeight="1" x14ac:dyDescent="0.25">
      <c r="A71" s="44"/>
      <c r="B71" s="44"/>
      <c r="C71" s="45"/>
      <c r="D71" s="39"/>
      <c r="E71" s="44"/>
      <c r="F71" s="44"/>
      <c r="G71" s="44"/>
      <c r="H71" s="45"/>
      <c r="I71" s="44"/>
      <c r="J71" s="44"/>
      <c r="K71" s="44"/>
      <c r="L71" s="44"/>
      <c r="M71" s="44"/>
      <c r="N71" s="44"/>
      <c r="O71" s="44"/>
      <c r="P71" s="44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44">
        <f>AF69-AF70</f>
        <v>0</v>
      </c>
      <c r="AG71" s="44">
        <f t="shared" ref="AG71:BD71" si="4">AG69-AG70</f>
        <v>0</v>
      </c>
      <c r="AH71" s="44">
        <f t="shared" si="4"/>
        <v>-93</v>
      </c>
      <c r="AI71" s="44">
        <f t="shared" si="4"/>
        <v>-60.750000000000014</v>
      </c>
      <c r="AJ71" s="44">
        <f t="shared" si="4"/>
        <v>-25</v>
      </c>
      <c r="AK71" s="44">
        <f t="shared" si="4"/>
        <v>0</v>
      </c>
      <c r="AL71" s="44">
        <f t="shared" si="4"/>
        <v>0</v>
      </c>
      <c r="AM71" s="44">
        <f t="shared" si="4"/>
        <v>-246</v>
      </c>
      <c r="AN71" s="44">
        <f t="shared" si="4"/>
        <v>0</v>
      </c>
      <c r="AO71" s="44">
        <f t="shared" si="4"/>
        <v>0</v>
      </c>
      <c r="AP71" s="44">
        <f t="shared" si="4"/>
        <v>0</v>
      </c>
      <c r="AQ71" s="44">
        <f t="shared" si="4"/>
        <v>0</v>
      </c>
      <c r="AR71" s="44">
        <f t="shared" si="4"/>
        <v>0</v>
      </c>
      <c r="AS71" s="44">
        <f t="shared" si="4"/>
        <v>-88</v>
      </c>
      <c r="AT71" s="44">
        <f t="shared" si="4"/>
        <v>0</v>
      </c>
      <c r="AU71" s="44">
        <f t="shared" si="4"/>
        <v>0</v>
      </c>
      <c r="AV71" s="44">
        <f t="shared" si="4"/>
        <v>0</v>
      </c>
      <c r="AW71" s="44">
        <f t="shared" si="4"/>
        <v>0</v>
      </c>
      <c r="AX71" s="44">
        <f t="shared" si="4"/>
        <v>0</v>
      </c>
      <c r="AY71" s="44">
        <f t="shared" si="4"/>
        <v>0</v>
      </c>
      <c r="AZ71" s="44">
        <f t="shared" si="4"/>
        <v>0</v>
      </c>
      <c r="BA71" s="44">
        <f t="shared" si="4"/>
        <v>0</v>
      </c>
      <c r="BB71" s="44">
        <f t="shared" si="4"/>
        <v>0</v>
      </c>
      <c r="BC71" s="44"/>
      <c r="BD71" s="44">
        <f t="shared" si="4"/>
        <v>-2</v>
      </c>
    </row>
    <row r="72" spans="1:56" s="43" customFormat="1" ht="24" hidden="1" customHeight="1" x14ac:dyDescent="0.25">
      <c r="A72" s="35"/>
      <c r="B72" s="35"/>
      <c r="C72" s="33" t="s">
        <v>50</v>
      </c>
      <c r="D72" s="36"/>
      <c r="E72" s="35"/>
      <c r="F72" s="35"/>
      <c r="G72" s="35"/>
      <c r="H72" s="33" t="s">
        <v>46</v>
      </c>
      <c r="I72" s="35"/>
      <c r="J72" s="35"/>
      <c r="K72" s="35"/>
      <c r="L72" s="35"/>
      <c r="M72" s="35"/>
      <c r="N72" s="35"/>
      <c r="O72" s="35"/>
      <c r="P72" s="35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6"/>
      <c r="AU72" s="36"/>
      <c r="AV72" s="37"/>
      <c r="AW72" s="36"/>
      <c r="AX72" s="36"/>
      <c r="AY72" s="36"/>
      <c r="AZ72" s="36"/>
      <c r="BA72" s="36"/>
      <c r="BB72" s="36"/>
      <c r="BC72" s="36"/>
      <c r="BD72" s="36"/>
    </row>
    <row r="73" spans="1:56" s="43" customFormat="1" ht="24" hidden="1" customHeight="1" x14ac:dyDescent="0.25">
      <c r="A73" s="35"/>
      <c r="B73" s="35"/>
      <c r="C73" s="33" t="s">
        <v>50</v>
      </c>
      <c r="D73" s="36"/>
      <c r="E73" s="35"/>
      <c r="F73" s="35"/>
      <c r="G73" s="35"/>
      <c r="H73" s="33" t="s">
        <v>46</v>
      </c>
      <c r="I73" s="35"/>
      <c r="J73" s="35"/>
      <c r="K73" s="35"/>
      <c r="L73" s="35"/>
      <c r="M73" s="35"/>
      <c r="N73" s="35"/>
      <c r="O73" s="35"/>
      <c r="P73" s="35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6"/>
      <c r="AU73" s="36"/>
      <c r="AV73" s="37"/>
      <c r="AW73" s="36"/>
      <c r="AX73" s="36"/>
      <c r="AY73" s="36"/>
      <c r="AZ73" s="36"/>
      <c r="BA73" s="36"/>
      <c r="BB73" s="36"/>
      <c r="BC73" s="36"/>
      <c r="BD73" s="36"/>
    </row>
    <row r="74" spans="1:56" s="43" customFormat="1" ht="24" hidden="1" customHeight="1" x14ac:dyDescent="0.25">
      <c r="A74" s="35"/>
      <c r="B74" s="35"/>
      <c r="C74" s="33" t="s">
        <v>50</v>
      </c>
      <c r="D74" s="36"/>
      <c r="E74" s="35"/>
      <c r="F74" s="35"/>
      <c r="G74" s="35"/>
      <c r="H74" s="33" t="s">
        <v>46</v>
      </c>
      <c r="I74" s="35"/>
      <c r="J74" s="35"/>
      <c r="K74" s="35"/>
      <c r="L74" s="35"/>
      <c r="M74" s="35"/>
      <c r="N74" s="35"/>
      <c r="O74" s="35"/>
      <c r="P74" s="35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6"/>
      <c r="AU74" s="36"/>
      <c r="AV74" s="37"/>
      <c r="AW74" s="36"/>
      <c r="AX74" s="36"/>
      <c r="AY74" s="36"/>
      <c r="AZ74" s="36"/>
      <c r="BA74" s="36"/>
      <c r="BB74" s="36"/>
      <c r="BC74" s="36"/>
      <c r="BD74" s="36"/>
    </row>
    <row r="75" spans="1:56" s="43" customFormat="1" ht="24" hidden="1" customHeight="1" x14ac:dyDescent="0.25">
      <c r="A75" s="35"/>
      <c r="B75" s="35"/>
      <c r="C75" s="33" t="s">
        <v>50</v>
      </c>
      <c r="D75" s="36"/>
      <c r="E75" s="35"/>
      <c r="F75" s="35"/>
      <c r="G75" s="35"/>
      <c r="H75" s="33" t="s">
        <v>46</v>
      </c>
      <c r="I75" s="35"/>
      <c r="J75" s="35"/>
      <c r="K75" s="35"/>
      <c r="L75" s="35"/>
      <c r="M75" s="35"/>
      <c r="N75" s="35"/>
      <c r="O75" s="35"/>
      <c r="P75" s="3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6"/>
      <c r="AU75" s="36"/>
      <c r="AV75" s="37"/>
      <c r="AW75" s="36"/>
      <c r="AX75" s="36"/>
      <c r="AY75" s="36"/>
      <c r="AZ75" s="36"/>
      <c r="BA75" s="36"/>
      <c r="BB75" s="36"/>
      <c r="BC75" s="36"/>
      <c r="BD75" s="36"/>
    </row>
    <row r="76" spans="1:56" s="43" customFormat="1" ht="24" hidden="1" customHeight="1" x14ac:dyDescent="0.25">
      <c r="A76" s="35"/>
      <c r="B76" s="35"/>
      <c r="C76" s="33" t="s">
        <v>50</v>
      </c>
      <c r="D76" s="36"/>
      <c r="E76" s="35"/>
      <c r="F76" s="35"/>
      <c r="G76" s="35"/>
      <c r="H76" s="33" t="s">
        <v>46</v>
      </c>
      <c r="I76" s="35"/>
      <c r="J76" s="35"/>
      <c r="K76" s="35"/>
      <c r="L76" s="35"/>
      <c r="M76" s="35"/>
      <c r="N76" s="35"/>
      <c r="O76" s="35"/>
      <c r="P76" s="35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6"/>
      <c r="AU76" s="36"/>
      <c r="AV76" s="37"/>
      <c r="AW76" s="36"/>
      <c r="AX76" s="36"/>
      <c r="AY76" s="36"/>
      <c r="AZ76" s="36"/>
      <c r="BA76" s="36"/>
      <c r="BB76" s="36"/>
      <c r="BC76" s="36"/>
      <c r="BD76" s="36"/>
    </row>
    <row r="77" spans="1:56" s="43" customFormat="1" ht="24" hidden="1" customHeight="1" x14ac:dyDescent="0.25">
      <c r="A77" s="35"/>
      <c r="B77" s="35"/>
      <c r="C77" s="33" t="s">
        <v>50</v>
      </c>
      <c r="D77" s="36"/>
      <c r="E77" s="35"/>
      <c r="F77" s="35"/>
      <c r="G77" s="35"/>
      <c r="H77" s="33" t="s">
        <v>46</v>
      </c>
      <c r="I77" s="35"/>
      <c r="J77" s="35"/>
      <c r="K77" s="35"/>
      <c r="L77" s="35"/>
      <c r="M77" s="35"/>
      <c r="N77" s="35"/>
      <c r="O77" s="35"/>
      <c r="P77" s="35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6"/>
      <c r="AU77" s="36"/>
      <c r="AV77" s="37"/>
      <c r="AW77" s="36"/>
      <c r="AX77" s="36"/>
      <c r="AY77" s="36"/>
      <c r="AZ77" s="36"/>
      <c r="BA77" s="36"/>
      <c r="BB77" s="36"/>
      <c r="BC77" s="36"/>
      <c r="BD77" s="36"/>
    </row>
    <row r="78" spans="1:56" s="43" customFormat="1" ht="24" hidden="1" customHeight="1" x14ac:dyDescent="0.25">
      <c r="A78" s="35"/>
      <c r="B78" s="35"/>
      <c r="C78" s="33" t="s">
        <v>50</v>
      </c>
      <c r="D78" s="36"/>
      <c r="E78" s="35"/>
      <c r="F78" s="35"/>
      <c r="G78" s="35"/>
      <c r="H78" s="33" t="s">
        <v>46</v>
      </c>
      <c r="I78" s="35"/>
      <c r="J78" s="35"/>
      <c r="K78" s="35"/>
      <c r="L78" s="35"/>
      <c r="M78" s="35"/>
      <c r="N78" s="35"/>
      <c r="O78" s="35"/>
      <c r="P78" s="35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6"/>
      <c r="AU78" s="36"/>
      <c r="AV78" s="37"/>
      <c r="AW78" s="36"/>
      <c r="AX78" s="36"/>
      <c r="AY78" s="36"/>
      <c r="AZ78" s="36"/>
      <c r="BA78" s="36"/>
      <c r="BB78" s="36"/>
      <c r="BC78" s="36"/>
      <c r="BD78" s="36"/>
    </row>
    <row r="79" spans="1:56" s="43" customFormat="1" ht="24" hidden="1" customHeight="1" x14ac:dyDescent="0.25">
      <c r="A79" s="35"/>
      <c r="B79" s="35"/>
      <c r="C79" s="33" t="s">
        <v>50</v>
      </c>
      <c r="D79" s="36"/>
      <c r="E79" s="35"/>
      <c r="F79" s="35"/>
      <c r="G79" s="35"/>
      <c r="H79" s="33" t="s">
        <v>46</v>
      </c>
      <c r="I79" s="35"/>
      <c r="J79" s="35"/>
      <c r="K79" s="35"/>
      <c r="L79" s="35"/>
      <c r="M79" s="35"/>
      <c r="N79" s="35"/>
      <c r="O79" s="35"/>
      <c r="P79" s="35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6"/>
      <c r="AU79" s="36"/>
      <c r="AV79" s="37"/>
      <c r="AW79" s="36"/>
      <c r="AX79" s="36"/>
      <c r="AY79" s="36"/>
      <c r="AZ79" s="36"/>
      <c r="BA79" s="36"/>
      <c r="BB79" s="36"/>
      <c r="BC79" s="36"/>
      <c r="BD79" s="36"/>
    </row>
    <row r="80" spans="1:56" s="43" customFormat="1" ht="24" hidden="1" customHeight="1" x14ac:dyDescent="0.25">
      <c r="A80" s="35"/>
      <c r="B80" s="35"/>
      <c r="C80" s="33" t="s">
        <v>50</v>
      </c>
      <c r="D80" s="36"/>
      <c r="E80" s="35"/>
      <c r="F80" s="35"/>
      <c r="G80" s="35"/>
      <c r="H80" s="33" t="s">
        <v>46</v>
      </c>
      <c r="I80" s="35"/>
      <c r="J80" s="35"/>
      <c r="K80" s="35"/>
      <c r="L80" s="35"/>
      <c r="M80" s="35"/>
      <c r="N80" s="35"/>
      <c r="O80" s="35"/>
      <c r="P80" s="35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6"/>
      <c r="AU80" s="36"/>
      <c r="AV80" s="37"/>
      <c r="AW80" s="36"/>
      <c r="AX80" s="36"/>
      <c r="AY80" s="36"/>
      <c r="AZ80" s="36"/>
      <c r="BA80" s="36"/>
      <c r="BB80" s="36"/>
      <c r="BC80" s="36"/>
      <c r="BD80" s="36"/>
    </row>
    <row r="81" spans="1:56" s="43" customFormat="1" ht="24" hidden="1" customHeight="1" x14ac:dyDescent="0.25">
      <c r="A81" s="35"/>
      <c r="B81" s="35"/>
      <c r="C81" s="33" t="s">
        <v>50</v>
      </c>
      <c r="D81" s="36"/>
      <c r="E81" s="35"/>
      <c r="F81" s="35"/>
      <c r="G81" s="35"/>
      <c r="H81" s="33" t="s">
        <v>46</v>
      </c>
      <c r="I81" s="35"/>
      <c r="J81" s="35"/>
      <c r="K81" s="35"/>
      <c r="L81" s="35"/>
      <c r="M81" s="35"/>
      <c r="N81" s="35"/>
      <c r="O81" s="35"/>
      <c r="P81" s="35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6"/>
      <c r="AU81" s="36"/>
      <c r="AV81" s="37"/>
      <c r="AW81" s="36"/>
      <c r="AX81" s="36"/>
      <c r="AY81" s="36"/>
      <c r="AZ81" s="36"/>
      <c r="BA81" s="36"/>
      <c r="BB81" s="36"/>
      <c r="BC81" s="36"/>
      <c r="BD81" s="36"/>
    </row>
    <row r="82" spans="1:56" s="43" customFormat="1" ht="24" hidden="1" customHeight="1" x14ac:dyDescent="0.25">
      <c r="A82" s="35"/>
      <c r="B82" s="35"/>
      <c r="C82" s="33" t="s">
        <v>50</v>
      </c>
      <c r="D82" s="36"/>
      <c r="E82" s="35"/>
      <c r="F82" s="35"/>
      <c r="G82" s="35"/>
      <c r="H82" s="33" t="s">
        <v>46</v>
      </c>
      <c r="I82" s="35"/>
      <c r="J82" s="35"/>
      <c r="K82" s="35"/>
      <c r="L82" s="35"/>
      <c r="M82" s="35"/>
      <c r="N82" s="35"/>
      <c r="O82" s="35"/>
      <c r="P82" s="35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6"/>
      <c r="AU82" s="36"/>
      <c r="AV82" s="37"/>
      <c r="AW82" s="36"/>
      <c r="AX82" s="36"/>
      <c r="AY82" s="36"/>
      <c r="AZ82" s="36"/>
      <c r="BA82" s="36"/>
      <c r="BB82" s="36"/>
      <c r="BC82" s="36"/>
      <c r="BD82" s="36"/>
    </row>
    <row r="83" spans="1:56" s="43" customFormat="1" ht="24" hidden="1" customHeight="1" x14ac:dyDescent="0.25">
      <c r="A83" s="35"/>
      <c r="B83" s="35"/>
      <c r="C83" s="33" t="s">
        <v>50</v>
      </c>
      <c r="D83" s="36"/>
      <c r="E83" s="35"/>
      <c r="F83" s="35"/>
      <c r="G83" s="35"/>
      <c r="H83" s="33" t="s">
        <v>46</v>
      </c>
      <c r="I83" s="35"/>
      <c r="J83" s="35"/>
      <c r="K83" s="35"/>
      <c r="L83" s="35"/>
      <c r="M83" s="35"/>
      <c r="N83" s="35"/>
      <c r="O83" s="35"/>
      <c r="P83" s="35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6"/>
      <c r="AU83" s="36"/>
      <c r="AV83" s="37"/>
      <c r="AW83" s="36"/>
      <c r="AX83" s="36"/>
      <c r="AY83" s="36"/>
      <c r="AZ83" s="36"/>
      <c r="BA83" s="36"/>
      <c r="BB83" s="36"/>
      <c r="BC83" s="36"/>
      <c r="BD83" s="36"/>
    </row>
    <row r="84" spans="1:56" s="43" customFormat="1" ht="24" hidden="1" customHeight="1" x14ac:dyDescent="0.25">
      <c r="A84" s="35"/>
      <c r="B84" s="35"/>
      <c r="C84" s="33" t="s">
        <v>50</v>
      </c>
      <c r="D84" s="36"/>
      <c r="E84" s="35"/>
      <c r="F84" s="35"/>
      <c r="G84" s="35"/>
      <c r="H84" s="33" t="s">
        <v>46</v>
      </c>
      <c r="I84" s="35"/>
      <c r="J84" s="35"/>
      <c r="K84" s="35"/>
      <c r="L84" s="35"/>
      <c r="M84" s="35"/>
      <c r="N84" s="35"/>
      <c r="O84" s="35"/>
      <c r="P84" s="35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6"/>
      <c r="AU84" s="36"/>
      <c r="AV84" s="37"/>
      <c r="AW84" s="36"/>
      <c r="AX84" s="36"/>
      <c r="AY84" s="36"/>
      <c r="AZ84" s="36"/>
      <c r="BA84" s="36"/>
      <c r="BB84" s="36"/>
      <c r="BC84" s="36"/>
      <c r="BD84" s="36"/>
    </row>
    <row r="85" spans="1:56" s="43" customFormat="1" ht="24" hidden="1" customHeight="1" x14ac:dyDescent="0.25">
      <c r="A85" s="35"/>
      <c r="B85" s="35"/>
      <c r="C85" s="33" t="s">
        <v>50</v>
      </c>
      <c r="D85" s="36"/>
      <c r="E85" s="35"/>
      <c r="F85" s="35"/>
      <c r="G85" s="35"/>
      <c r="H85" s="33" t="s">
        <v>46</v>
      </c>
      <c r="I85" s="35"/>
      <c r="J85" s="35"/>
      <c r="K85" s="35"/>
      <c r="L85" s="35"/>
      <c r="M85" s="35"/>
      <c r="N85" s="35"/>
      <c r="O85" s="35"/>
      <c r="P85" s="35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6"/>
      <c r="AU85" s="36"/>
      <c r="AV85" s="37"/>
      <c r="AW85" s="36"/>
      <c r="AX85" s="36"/>
      <c r="AY85" s="36"/>
      <c r="AZ85" s="36"/>
      <c r="BA85" s="36"/>
      <c r="BB85" s="36"/>
      <c r="BC85" s="36"/>
      <c r="BD85" s="36"/>
    </row>
    <row r="86" spans="1:56" s="43" customFormat="1" ht="24" hidden="1" customHeight="1" x14ac:dyDescent="0.25">
      <c r="A86" s="35"/>
      <c r="B86" s="35"/>
      <c r="C86" s="33" t="s">
        <v>50</v>
      </c>
      <c r="D86" s="36"/>
      <c r="E86" s="35"/>
      <c r="F86" s="35"/>
      <c r="G86" s="35"/>
      <c r="H86" s="33" t="s">
        <v>46</v>
      </c>
      <c r="I86" s="35"/>
      <c r="J86" s="35"/>
      <c r="K86" s="35"/>
      <c r="L86" s="35"/>
      <c r="M86" s="35"/>
      <c r="N86" s="35"/>
      <c r="O86" s="35"/>
      <c r="P86" s="3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6"/>
      <c r="AU86" s="36"/>
      <c r="AV86" s="37"/>
      <c r="AW86" s="36"/>
      <c r="AX86" s="36"/>
      <c r="AY86" s="36"/>
      <c r="AZ86" s="36"/>
      <c r="BA86" s="36"/>
      <c r="BB86" s="36"/>
      <c r="BC86" s="36"/>
      <c r="BD86" s="36"/>
    </row>
    <row r="87" spans="1:56" s="43" customFormat="1" ht="24" hidden="1" customHeight="1" x14ac:dyDescent="0.25">
      <c r="A87" s="35"/>
      <c r="B87" s="35"/>
      <c r="C87" s="33" t="s">
        <v>50</v>
      </c>
      <c r="D87" s="36"/>
      <c r="E87" s="35"/>
      <c r="F87" s="35"/>
      <c r="G87" s="35"/>
      <c r="H87" s="33" t="s">
        <v>46</v>
      </c>
      <c r="I87" s="35"/>
      <c r="J87" s="35"/>
      <c r="K87" s="35"/>
      <c r="L87" s="35"/>
      <c r="M87" s="35"/>
      <c r="N87" s="35"/>
      <c r="O87" s="35"/>
      <c r="P87" s="35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6"/>
      <c r="AU87" s="36"/>
      <c r="AV87" s="37"/>
      <c r="AW87" s="36"/>
      <c r="AX87" s="36"/>
      <c r="AY87" s="36"/>
      <c r="AZ87" s="36"/>
      <c r="BA87" s="36"/>
      <c r="BB87" s="36"/>
      <c r="BC87" s="36"/>
      <c r="BD87" s="36"/>
    </row>
    <row r="88" spans="1:56" s="43" customFormat="1" ht="24" hidden="1" customHeight="1" x14ac:dyDescent="0.25">
      <c r="A88" s="35"/>
      <c r="B88" s="35"/>
      <c r="C88" s="33" t="s">
        <v>50</v>
      </c>
      <c r="D88" s="36"/>
      <c r="E88" s="35"/>
      <c r="F88" s="35"/>
      <c r="G88" s="35"/>
      <c r="H88" s="33" t="s">
        <v>46</v>
      </c>
      <c r="I88" s="35"/>
      <c r="J88" s="35"/>
      <c r="K88" s="35"/>
      <c r="L88" s="35"/>
      <c r="M88" s="35"/>
      <c r="N88" s="35"/>
      <c r="O88" s="35"/>
      <c r="P88" s="35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6"/>
      <c r="AU88" s="36"/>
      <c r="AV88" s="37"/>
      <c r="AW88" s="36"/>
      <c r="AX88" s="36"/>
      <c r="AY88" s="36"/>
      <c r="AZ88" s="36"/>
      <c r="BA88" s="36"/>
      <c r="BB88" s="36"/>
      <c r="BC88" s="36"/>
      <c r="BD88" s="36"/>
    </row>
    <row r="89" spans="1:56" s="43" customFormat="1" ht="24" hidden="1" customHeight="1" x14ac:dyDescent="0.25">
      <c r="A89" s="35"/>
      <c r="B89" s="35"/>
      <c r="C89" s="33" t="s">
        <v>50</v>
      </c>
      <c r="D89" s="36"/>
      <c r="E89" s="35"/>
      <c r="F89" s="35"/>
      <c r="G89" s="35"/>
      <c r="H89" s="33" t="s">
        <v>46</v>
      </c>
      <c r="I89" s="35"/>
      <c r="J89" s="35"/>
      <c r="K89" s="35"/>
      <c r="L89" s="35"/>
      <c r="M89" s="35"/>
      <c r="N89" s="35"/>
      <c r="O89" s="35"/>
      <c r="P89" s="35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6"/>
      <c r="AU89" s="36"/>
      <c r="AV89" s="37"/>
      <c r="AW89" s="36"/>
      <c r="AX89" s="36"/>
      <c r="AY89" s="36"/>
      <c r="AZ89" s="36"/>
      <c r="BA89" s="36"/>
      <c r="BB89" s="36"/>
      <c r="BC89" s="36"/>
      <c r="BD89" s="36"/>
    </row>
    <row r="90" spans="1:56" s="43" customFormat="1" ht="24" hidden="1" customHeight="1" x14ac:dyDescent="0.25">
      <c r="A90" s="35"/>
      <c r="B90" s="35"/>
      <c r="C90" s="33" t="s">
        <v>50</v>
      </c>
      <c r="D90" s="36"/>
      <c r="E90" s="35"/>
      <c r="F90" s="35"/>
      <c r="G90" s="35"/>
      <c r="H90" s="33" t="s">
        <v>46</v>
      </c>
      <c r="I90" s="35"/>
      <c r="J90" s="35"/>
      <c r="K90" s="35"/>
      <c r="L90" s="35"/>
      <c r="M90" s="35"/>
      <c r="N90" s="35"/>
      <c r="O90" s="35"/>
      <c r="P90" s="35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6"/>
      <c r="AU90" s="36"/>
      <c r="AV90" s="37"/>
      <c r="AW90" s="36"/>
      <c r="AX90" s="36"/>
      <c r="AY90" s="36"/>
      <c r="AZ90" s="36"/>
      <c r="BA90" s="36"/>
      <c r="BB90" s="36"/>
      <c r="BC90" s="36"/>
      <c r="BD90" s="36"/>
    </row>
    <row r="91" spans="1:56" s="43" customFormat="1" ht="24" hidden="1" customHeight="1" x14ac:dyDescent="0.25">
      <c r="A91" s="35"/>
      <c r="B91" s="35"/>
      <c r="C91" s="33" t="s">
        <v>50</v>
      </c>
      <c r="D91" s="36"/>
      <c r="E91" s="35"/>
      <c r="F91" s="35"/>
      <c r="G91" s="35"/>
      <c r="H91" s="33" t="s">
        <v>46</v>
      </c>
      <c r="I91" s="35"/>
      <c r="J91" s="35"/>
      <c r="K91" s="35"/>
      <c r="L91" s="35"/>
      <c r="M91" s="35"/>
      <c r="N91" s="35"/>
      <c r="O91" s="35"/>
      <c r="P91" s="35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6"/>
      <c r="AU91" s="36"/>
      <c r="AV91" s="37"/>
      <c r="AW91" s="36"/>
      <c r="AX91" s="36"/>
      <c r="AY91" s="36"/>
      <c r="AZ91" s="36"/>
      <c r="BA91" s="36"/>
      <c r="BB91" s="36"/>
      <c r="BC91" s="36"/>
      <c r="BD91" s="36"/>
    </row>
    <row r="92" spans="1:56" s="43" customFormat="1" ht="24" hidden="1" customHeight="1" x14ac:dyDescent="0.25">
      <c r="A92" s="35"/>
      <c r="B92" s="35"/>
      <c r="C92" s="33" t="s">
        <v>50</v>
      </c>
      <c r="D92" s="36"/>
      <c r="E92" s="35"/>
      <c r="F92" s="35"/>
      <c r="G92" s="35"/>
      <c r="H92" s="33" t="s">
        <v>46</v>
      </c>
      <c r="I92" s="35"/>
      <c r="J92" s="35"/>
      <c r="K92" s="35"/>
      <c r="L92" s="35"/>
      <c r="M92" s="35"/>
      <c r="N92" s="35"/>
      <c r="O92" s="35"/>
      <c r="P92" s="35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6"/>
      <c r="AU92" s="36"/>
      <c r="AV92" s="37"/>
      <c r="AW92" s="36"/>
      <c r="AX92" s="36"/>
      <c r="AY92" s="36"/>
      <c r="AZ92" s="36"/>
      <c r="BA92" s="36"/>
      <c r="BB92" s="36"/>
      <c r="BC92" s="36"/>
      <c r="BD92" s="36"/>
    </row>
    <row r="93" spans="1:56" s="43" customFormat="1" ht="24" hidden="1" customHeight="1" x14ac:dyDescent="0.25">
      <c r="A93" s="35"/>
      <c r="B93" s="35"/>
      <c r="C93" s="33" t="s">
        <v>50</v>
      </c>
      <c r="D93" s="36"/>
      <c r="E93" s="35"/>
      <c r="F93" s="35"/>
      <c r="G93" s="35"/>
      <c r="H93" s="33" t="s">
        <v>46</v>
      </c>
      <c r="I93" s="35"/>
      <c r="J93" s="35"/>
      <c r="K93" s="35"/>
      <c r="L93" s="35"/>
      <c r="M93" s="35"/>
      <c r="N93" s="35"/>
      <c r="O93" s="35"/>
      <c r="P93" s="35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6"/>
      <c r="AU93" s="36"/>
      <c r="AV93" s="37"/>
      <c r="AW93" s="36"/>
      <c r="AX93" s="36"/>
      <c r="AY93" s="36"/>
      <c r="AZ93" s="36"/>
      <c r="BA93" s="36"/>
      <c r="BB93" s="36"/>
      <c r="BC93" s="36"/>
      <c r="BD93" s="36"/>
    </row>
    <row r="94" spans="1:56" s="43" customFormat="1" ht="24" hidden="1" customHeight="1" x14ac:dyDescent="0.25">
      <c r="A94" s="35"/>
      <c r="B94" s="35"/>
      <c r="C94" s="33" t="s">
        <v>50</v>
      </c>
      <c r="D94" s="36"/>
      <c r="E94" s="35"/>
      <c r="F94" s="35"/>
      <c r="G94" s="35"/>
      <c r="H94" s="33" t="s">
        <v>46</v>
      </c>
      <c r="I94" s="35"/>
      <c r="J94" s="35"/>
      <c r="K94" s="35"/>
      <c r="L94" s="35"/>
      <c r="M94" s="35"/>
      <c r="N94" s="35"/>
      <c r="O94" s="35"/>
      <c r="P94" s="3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6"/>
      <c r="AU94" s="36"/>
      <c r="AV94" s="37"/>
      <c r="AW94" s="36"/>
      <c r="AX94" s="36"/>
      <c r="AY94" s="36"/>
      <c r="AZ94" s="36"/>
      <c r="BA94" s="36"/>
      <c r="BB94" s="36"/>
      <c r="BC94" s="36"/>
      <c r="BD94" s="36"/>
    </row>
    <row r="95" spans="1:56" s="43" customFormat="1" ht="24" hidden="1" customHeight="1" x14ac:dyDescent="0.25">
      <c r="A95" s="35"/>
      <c r="B95" s="35"/>
      <c r="C95" s="33" t="s">
        <v>50</v>
      </c>
      <c r="D95" s="36"/>
      <c r="E95" s="35"/>
      <c r="F95" s="35"/>
      <c r="G95" s="35"/>
      <c r="H95" s="33" t="s">
        <v>46</v>
      </c>
      <c r="I95" s="35"/>
      <c r="J95" s="35"/>
      <c r="K95" s="35"/>
      <c r="L95" s="35"/>
      <c r="M95" s="35"/>
      <c r="N95" s="35"/>
      <c r="O95" s="35"/>
      <c r="P95" s="35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6"/>
      <c r="AU95" s="36"/>
      <c r="AV95" s="37"/>
      <c r="AW95" s="36"/>
      <c r="AX95" s="36"/>
      <c r="AY95" s="36"/>
      <c r="AZ95" s="36"/>
      <c r="BA95" s="36"/>
      <c r="BB95" s="36"/>
      <c r="BC95" s="36"/>
      <c r="BD95" s="36"/>
    </row>
    <row r="96" spans="1:56" s="43" customFormat="1" ht="24" hidden="1" customHeight="1" x14ac:dyDescent="0.25">
      <c r="A96" s="35"/>
      <c r="B96" s="35"/>
      <c r="C96" s="33" t="s">
        <v>50</v>
      </c>
      <c r="D96" s="36"/>
      <c r="E96" s="35"/>
      <c r="F96" s="35"/>
      <c r="G96" s="35"/>
      <c r="H96" s="33" t="s">
        <v>46</v>
      </c>
      <c r="I96" s="35"/>
      <c r="J96" s="35"/>
      <c r="K96" s="35"/>
      <c r="L96" s="35"/>
      <c r="M96" s="35"/>
      <c r="N96" s="35"/>
      <c r="O96" s="35"/>
      <c r="P96" s="35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6"/>
      <c r="AU96" s="36"/>
      <c r="AV96" s="37"/>
      <c r="AW96" s="36"/>
      <c r="AX96" s="36"/>
      <c r="AY96" s="36"/>
      <c r="AZ96" s="36"/>
      <c r="BA96" s="36"/>
      <c r="BB96" s="36"/>
      <c r="BC96" s="36"/>
      <c r="BD96" s="36"/>
    </row>
    <row r="97" spans="1:56" s="46" customFormat="1" ht="24.95" hidden="1" customHeight="1" x14ac:dyDescent="0.25">
      <c r="A97" s="44" t="s">
        <v>51</v>
      </c>
      <c r="B97" s="44"/>
      <c r="C97" s="45"/>
      <c r="D97" s="39"/>
      <c r="E97" s="44"/>
      <c r="F97" s="44"/>
      <c r="G97" s="44"/>
      <c r="H97" s="45"/>
      <c r="I97" s="44"/>
      <c r="J97" s="44"/>
      <c r="K97" s="44"/>
      <c r="L97" s="44"/>
      <c r="M97" s="44"/>
      <c r="N97" s="44"/>
      <c r="O97" s="44"/>
      <c r="P97" s="44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>
        <f t="shared" ref="AF97:BD97" si="5">SUM(AF72:AF96)</f>
        <v>0</v>
      </c>
      <c r="AG97" s="39">
        <f t="shared" si="5"/>
        <v>0</v>
      </c>
      <c r="AH97" s="39">
        <f t="shared" si="5"/>
        <v>0</v>
      </c>
      <c r="AI97" s="39">
        <f t="shared" si="5"/>
        <v>0</v>
      </c>
      <c r="AJ97" s="39">
        <f t="shared" si="5"/>
        <v>0</v>
      </c>
      <c r="AK97" s="39">
        <f t="shared" si="5"/>
        <v>0</v>
      </c>
      <c r="AL97" s="39">
        <f t="shared" si="5"/>
        <v>0</v>
      </c>
      <c r="AM97" s="39">
        <f t="shared" si="5"/>
        <v>0</v>
      </c>
      <c r="AN97" s="39">
        <f t="shared" si="5"/>
        <v>0</v>
      </c>
      <c r="AO97" s="39">
        <f t="shared" si="5"/>
        <v>0</v>
      </c>
      <c r="AP97" s="39">
        <f t="shared" si="5"/>
        <v>0</v>
      </c>
      <c r="AQ97" s="39">
        <f t="shared" si="5"/>
        <v>0</v>
      </c>
      <c r="AR97" s="39">
        <f t="shared" si="5"/>
        <v>0</v>
      </c>
      <c r="AS97" s="39">
        <f t="shared" si="5"/>
        <v>0</v>
      </c>
      <c r="AT97" s="39">
        <f t="shared" si="5"/>
        <v>0</v>
      </c>
      <c r="AU97" s="39">
        <f t="shared" si="5"/>
        <v>0</v>
      </c>
      <c r="AV97" s="39">
        <f t="shared" si="5"/>
        <v>0</v>
      </c>
      <c r="AW97" s="39">
        <f t="shared" si="5"/>
        <v>0</v>
      </c>
      <c r="AX97" s="39">
        <f t="shared" si="5"/>
        <v>0</v>
      </c>
      <c r="AY97" s="39">
        <f t="shared" si="5"/>
        <v>0</v>
      </c>
      <c r="AZ97" s="39">
        <f t="shared" si="5"/>
        <v>0</v>
      </c>
      <c r="BA97" s="39">
        <f t="shared" si="5"/>
        <v>0</v>
      </c>
      <c r="BB97" s="39">
        <f t="shared" si="5"/>
        <v>0</v>
      </c>
      <c r="BC97" s="39"/>
      <c r="BD97" s="39">
        <f t="shared" si="5"/>
        <v>0</v>
      </c>
    </row>
    <row r="98" spans="1:56" s="46" customFormat="1" ht="24.95" hidden="1" customHeight="1" x14ac:dyDescent="0.25">
      <c r="A98" s="44"/>
      <c r="B98" s="44"/>
      <c r="C98" s="45"/>
      <c r="D98" s="39"/>
      <c r="E98" s="44"/>
      <c r="F98" s="44"/>
      <c r="G98" s="44"/>
      <c r="H98" s="45"/>
      <c r="I98" s="44"/>
      <c r="J98" s="44"/>
      <c r="K98" s="44"/>
      <c r="L98" s="44"/>
      <c r="M98" s="44"/>
      <c r="N98" s="44"/>
      <c r="O98" s="44"/>
      <c r="P98" s="44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>
        <v>0</v>
      </c>
      <c r="AG98" s="39">
        <v>0</v>
      </c>
      <c r="AH98" s="39">
        <v>5</v>
      </c>
      <c r="AI98" s="39">
        <v>9.7200000000000006</v>
      </c>
      <c r="AJ98" s="39">
        <v>4</v>
      </c>
      <c r="AK98" s="39">
        <v>0</v>
      </c>
      <c r="AL98" s="39">
        <v>0</v>
      </c>
      <c r="AM98" s="39">
        <v>19</v>
      </c>
      <c r="AN98" s="39">
        <v>0</v>
      </c>
      <c r="AO98" s="39">
        <v>0</v>
      </c>
      <c r="AP98" s="39">
        <v>0</v>
      </c>
      <c r="AQ98" s="39">
        <v>0</v>
      </c>
      <c r="AR98" s="39">
        <v>0</v>
      </c>
      <c r="AS98" s="39">
        <v>18</v>
      </c>
      <c r="AT98" s="39">
        <v>0</v>
      </c>
      <c r="AU98" s="39">
        <v>0</v>
      </c>
      <c r="AV98" s="39">
        <v>0</v>
      </c>
      <c r="AW98" s="39">
        <v>0</v>
      </c>
      <c r="AX98" s="39">
        <v>0</v>
      </c>
      <c r="AY98" s="39">
        <v>0</v>
      </c>
      <c r="AZ98" s="39">
        <v>0</v>
      </c>
      <c r="BA98" s="39">
        <v>0</v>
      </c>
      <c r="BB98" s="39">
        <v>0</v>
      </c>
      <c r="BC98" s="39"/>
      <c r="BD98" s="39">
        <v>0</v>
      </c>
    </row>
    <row r="99" spans="1:56" s="46" customFormat="1" ht="24.95" hidden="1" customHeight="1" x14ac:dyDescent="0.25">
      <c r="A99" s="44"/>
      <c r="B99" s="44"/>
      <c r="C99" s="45"/>
      <c r="D99" s="39"/>
      <c r="E99" s="44"/>
      <c r="F99" s="44"/>
      <c r="G99" s="44"/>
      <c r="H99" s="45"/>
      <c r="I99" s="44"/>
      <c r="J99" s="44"/>
      <c r="K99" s="44"/>
      <c r="L99" s="44"/>
      <c r="M99" s="44"/>
      <c r="N99" s="44"/>
      <c r="O99" s="44"/>
      <c r="P99" s="44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44">
        <f>AF97-AF98</f>
        <v>0</v>
      </c>
      <c r="AG99" s="44">
        <f t="shared" ref="AG99:BD99" si="6">AG97-AG98</f>
        <v>0</v>
      </c>
      <c r="AH99" s="44">
        <f t="shared" si="6"/>
        <v>-5</v>
      </c>
      <c r="AI99" s="44">
        <f t="shared" si="6"/>
        <v>-9.7200000000000006</v>
      </c>
      <c r="AJ99" s="44">
        <f t="shared" si="6"/>
        <v>-4</v>
      </c>
      <c r="AK99" s="44">
        <f t="shared" si="6"/>
        <v>0</v>
      </c>
      <c r="AL99" s="44">
        <f t="shared" si="6"/>
        <v>0</v>
      </c>
      <c r="AM99" s="44">
        <f t="shared" si="6"/>
        <v>-19</v>
      </c>
      <c r="AN99" s="44">
        <f t="shared" si="6"/>
        <v>0</v>
      </c>
      <c r="AO99" s="44">
        <f t="shared" si="6"/>
        <v>0</v>
      </c>
      <c r="AP99" s="44">
        <f t="shared" si="6"/>
        <v>0</v>
      </c>
      <c r="AQ99" s="44">
        <f t="shared" si="6"/>
        <v>0</v>
      </c>
      <c r="AR99" s="44">
        <f t="shared" si="6"/>
        <v>0</v>
      </c>
      <c r="AS99" s="44">
        <f t="shared" si="6"/>
        <v>-18</v>
      </c>
      <c r="AT99" s="44">
        <f t="shared" si="6"/>
        <v>0</v>
      </c>
      <c r="AU99" s="44">
        <f t="shared" si="6"/>
        <v>0</v>
      </c>
      <c r="AV99" s="44">
        <f t="shared" si="6"/>
        <v>0</v>
      </c>
      <c r="AW99" s="44">
        <f t="shared" si="6"/>
        <v>0</v>
      </c>
      <c r="AX99" s="44">
        <f t="shared" si="6"/>
        <v>0</v>
      </c>
      <c r="AY99" s="44">
        <f t="shared" si="6"/>
        <v>0</v>
      </c>
      <c r="AZ99" s="44">
        <f t="shared" si="6"/>
        <v>0</v>
      </c>
      <c r="BA99" s="44">
        <f t="shared" si="6"/>
        <v>0</v>
      </c>
      <c r="BB99" s="44">
        <f t="shared" si="6"/>
        <v>0</v>
      </c>
      <c r="BC99" s="44"/>
      <c r="BD99" s="44">
        <f t="shared" si="6"/>
        <v>0</v>
      </c>
    </row>
    <row r="100" spans="1:56" s="43" customFormat="1" ht="24.75" customHeight="1" x14ac:dyDescent="0.25">
      <c r="A100" s="35" t="s">
        <v>222</v>
      </c>
      <c r="B100" s="35"/>
      <c r="C100" s="33" t="s">
        <v>52</v>
      </c>
      <c r="D100" s="36" t="s">
        <v>85</v>
      </c>
      <c r="E100" s="35"/>
      <c r="F100" s="35"/>
      <c r="G100" s="35"/>
      <c r="H100" s="33" t="s">
        <v>46</v>
      </c>
      <c r="I100" s="35"/>
      <c r="J100" s="35"/>
      <c r="K100" s="35"/>
      <c r="L100" s="35"/>
      <c r="M100" s="35"/>
      <c r="N100" s="35"/>
      <c r="O100" s="35"/>
      <c r="P100" s="35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7">
        <v>0</v>
      </c>
      <c r="AG100" s="37">
        <v>0</v>
      </c>
      <c r="AH100" s="37">
        <v>93.6</v>
      </c>
      <c r="AI100" s="37">
        <v>24.3</v>
      </c>
      <c r="AJ100" s="37">
        <v>10</v>
      </c>
      <c r="AK100" s="37">
        <v>0</v>
      </c>
      <c r="AL100" s="37">
        <v>0</v>
      </c>
      <c r="AM100" s="37">
        <v>0</v>
      </c>
      <c r="AN100" s="37">
        <v>0</v>
      </c>
      <c r="AO100" s="37">
        <v>137</v>
      </c>
      <c r="AP100" s="37">
        <v>0</v>
      </c>
      <c r="AQ100" s="37">
        <v>0</v>
      </c>
      <c r="AR100" s="37">
        <v>48</v>
      </c>
      <c r="AS100" s="37">
        <v>0</v>
      </c>
      <c r="AT100" s="36">
        <v>0</v>
      </c>
      <c r="AU100" s="36">
        <v>0</v>
      </c>
      <c r="AV100" s="37">
        <v>0</v>
      </c>
      <c r="AW100" s="36">
        <v>0</v>
      </c>
      <c r="AX100" s="36">
        <v>0</v>
      </c>
      <c r="AY100" s="36">
        <v>0</v>
      </c>
      <c r="AZ100" s="36">
        <v>0</v>
      </c>
      <c r="BA100" s="36">
        <v>0</v>
      </c>
      <c r="BB100" s="36">
        <v>0</v>
      </c>
      <c r="BC100" s="36">
        <v>237</v>
      </c>
      <c r="BD100" s="36">
        <v>0</v>
      </c>
    </row>
    <row r="101" spans="1:56" s="46" customFormat="1" ht="24.95" customHeight="1" x14ac:dyDescent="0.25">
      <c r="A101" s="44" t="s">
        <v>53</v>
      </c>
      <c r="B101" s="44"/>
      <c r="C101" s="45"/>
      <c r="D101" s="39"/>
      <c r="E101" s="44"/>
      <c r="F101" s="44"/>
      <c r="G101" s="44"/>
      <c r="H101" s="45"/>
      <c r="I101" s="44"/>
      <c r="J101" s="44"/>
      <c r="K101" s="44"/>
      <c r="L101" s="44"/>
      <c r="M101" s="44"/>
      <c r="N101" s="44"/>
      <c r="O101" s="44"/>
      <c r="P101" s="44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>
        <f>SUM(AF100:AF100)</f>
        <v>0</v>
      </c>
      <c r="AG101" s="39">
        <f>SUM(AG100:AG100)</f>
        <v>0</v>
      </c>
      <c r="AH101" s="39">
        <f>SUM(AH100:AH100)</f>
        <v>93.6</v>
      </c>
      <c r="AI101" s="39">
        <f>SUM(AI100:AI100)</f>
        <v>24.3</v>
      </c>
      <c r="AJ101" s="39">
        <f>SUM(AJ100:AJ100)</f>
        <v>10</v>
      </c>
      <c r="AK101" s="39">
        <f>SUM(AK100:AK100)</f>
        <v>0</v>
      </c>
      <c r="AL101" s="39">
        <f>SUM(AL100:AL100)</f>
        <v>0</v>
      </c>
      <c r="AM101" s="39">
        <f>SUM(AM100:AM100)</f>
        <v>0</v>
      </c>
      <c r="AN101" s="39">
        <f>SUM(AN100:AN100)</f>
        <v>0</v>
      </c>
      <c r="AO101" s="39">
        <f>SUM(AO100:AO100)</f>
        <v>137</v>
      </c>
      <c r="AP101" s="39">
        <f>SUM(AP100:AP100)</f>
        <v>0</v>
      </c>
      <c r="AQ101" s="39">
        <f>SUM(AQ100:AQ100)</f>
        <v>0</v>
      </c>
      <c r="AR101" s="39">
        <f>SUM(AR100:AR100)</f>
        <v>48</v>
      </c>
      <c r="AS101" s="39">
        <f>SUM(AS100:AS100)</f>
        <v>0</v>
      </c>
      <c r="AT101" s="39">
        <f>SUM(AT100:AT100)</f>
        <v>0</v>
      </c>
      <c r="AU101" s="39">
        <f>SUM(AU100:AU100)</f>
        <v>0</v>
      </c>
      <c r="AV101" s="39">
        <f>SUM(AV100:AV100)</f>
        <v>0</v>
      </c>
      <c r="AW101" s="39">
        <f>SUM(AW100:AW100)</f>
        <v>0</v>
      </c>
      <c r="AX101" s="39">
        <f>SUM(AX100:AX100)</f>
        <v>0</v>
      </c>
      <c r="AY101" s="39">
        <f>SUM(AY100:AY100)</f>
        <v>0</v>
      </c>
      <c r="AZ101" s="39">
        <f>SUM(AZ100:AZ100)</f>
        <v>0</v>
      </c>
      <c r="BA101" s="39">
        <f>SUM(BA100:BA100)</f>
        <v>0</v>
      </c>
      <c r="BB101" s="39">
        <f>SUM(BB100:BB100)</f>
        <v>0</v>
      </c>
      <c r="BC101" s="39">
        <f>SUM(BC100:BC100)</f>
        <v>237</v>
      </c>
      <c r="BD101" s="39">
        <f>SUM(BD100:BD100)</f>
        <v>0</v>
      </c>
    </row>
    <row r="102" spans="1:56" s="43" customFormat="1" ht="24.95" customHeight="1" x14ac:dyDescent="0.25">
      <c r="A102" s="35" t="s">
        <v>226</v>
      </c>
      <c r="B102" s="35"/>
      <c r="C102" s="33" t="s">
        <v>54</v>
      </c>
      <c r="D102" s="36" t="s">
        <v>96</v>
      </c>
      <c r="E102" s="35"/>
      <c r="F102" s="35"/>
      <c r="G102" s="35"/>
      <c r="H102" s="33" t="s">
        <v>46</v>
      </c>
      <c r="I102" s="35"/>
      <c r="J102" s="35"/>
      <c r="K102" s="35"/>
      <c r="L102" s="35"/>
      <c r="M102" s="35"/>
      <c r="N102" s="35"/>
      <c r="O102" s="35"/>
      <c r="P102" s="35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7">
        <v>0</v>
      </c>
      <c r="AG102" s="37">
        <v>0</v>
      </c>
      <c r="AH102" s="37">
        <v>0</v>
      </c>
      <c r="AI102" s="37">
        <v>43.74</v>
      </c>
      <c r="AJ102" s="37">
        <v>18</v>
      </c>
      <c r="AK102" s="37">
        <v>0</v>
      </c>
      <c r="AL102" s="37">
        <v>0</v>
      </c>
      <c r="AM102" s="37">
        <v>0</v>
      </c>
      <c r="AN102" s="37">
        <v>0</v>
      </c>
      <c r="AO102" s="37">
        <v>207</v>
      </c>
      <c r="AP102" s="37">
        <v>0</v>
      </c>
      <c r="AQ102" s="37">
        <v>0</v>
      </c>
      <c r="AR102" s="37">
        <v>90</v>
      </c>
      <c r="AS102" s="37">
        <v>0</v>
      </c>
      <c r="AT102" s="36">
        <v>0</v>
      </c>
      <c r="AU102" s="36">
        <v>0</v>
      </c>
      <c r="AV102" s="37">
        <v>0</v>
      </c>
      <c r="AW102" s="36">
        <v>0</v>
      </c>
      <c r="AX102" s="36">
        <v>0</v>
      </c>
      <c r="AY102" s="36">
        <v>0</v>
      </c>
      <c r="AZ102" s="36">
        <v>0</v>
      </c>
      <c r="BA102" s="36">
        <v>0</v>
      </c>
      <c r="BB102" s="36">
        <v>0</v>
      </c>
      <c r="BC102" s="36">
        <v>828</v>
      </c>
      <c r="BD102" s="36">
        <v>0</v>
      </c>
    </row>
    <row r="103" spans="1:56" s="43" customFormat="1" ht="24.95" customHeight="1" x14ac:dyDescent="0.25">
      <c r="A103" s="35" t="s">
        <v>182</v>
      </c>
      <c r="B103" s="35"/>
      <c r="C103" s="33" t="s">
        <v>54</v>
      </c>
      <c r="D103" s="36" t="s">
        <v>173</v>
      </c>
      <c r="E103" s="35"/>
      <c r="F103" s="35"/>
      <c r="G103" s="35"/>
      <c r="H103" s="33" t="s">
        <v>46</v>
      </c>
      <c r="I103" s="35"/>
      <c r="J103" s="35"/>
      <c r="K103" s="35"/>
      <c r="L103" s="35"/>
      <c r="M103" s="35"/>
      <c r="N103" s="35"/>
      <c r="O103" s="35"/>
      <c r="P103" s="35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7">
        <v>0</v>
      </c>
      <c r="AG103" s="37">
        <v>0</v>
      </c>
      <c r="AH103" s="37">
        <v>156</v>
      </c>
      <c r="AI103" s="37">
        <v>46.17</v>
      </c>
      <c r="AJ103" s="37">
        <v>19</v>
      </c>
      <c r="AK103" s="37">
        <v>0</v>
      </c>
      <c r="AL103" s="37">
        <v>0</v>
      </c>
      <c r="AM103" s="37">
        <v>0</v>
      </c>
      <c r="AN103" s="37">
        <v>0</v>
      </c>
      <c r="AO103" s="37">
        <v>210</v>
      </c>
      <c r="AP103" s="37">
        <v>0</v>
      </c>
      <c r="AQ103" s="37">
        <v>0</v>
      </c>
      <c r="AR103" s="37">
        <v>80</v>
      </c>
      <c r="AS103" s="37">
        <v>0</v>
      </c>
      <c r="AT103" s="36">
        <v>0</v>
      </c>
      <c r="AU103" s="36">
        <v>0</v>
      </c>
      <c r="AV103" s="37">
        <v>0</v>
      </c>
      <c r="AW103" s="36">
        <v>0</v>
      </c>
      <c r="AX103" s="36">
        <v>0</v>
      </c>
      <c r="AY103" s="36">
        <v>0</v>
      </c>
      <c r="AZ103" s="36">
        <v>0</v>
      </c>
      <c r="BA103" s="36">
        <v>0</v>
      </c>
      <c r="BB103" s="36">
        <v>0</v>
      </c>
      <c r="BC103" s="36">
        <v>277</v>
      </c>
      <c r="BD103" s="36">
        <v>0</v>
      </c>
    </row>
    <row r="104" spans="1:56" s="43" customFormat="1" ht="24.95" customHeight="1" x14ac:dyDescent="0.25">
      <c r="A104" s="35" t="s">
        <v>185</v>
      </c>
      <c r="B104" s="35"/>
      <c r="C104" s="33" t="s">
        <v>54</v>
      </c>
      <c r="D104" s="36" t="s">
        <v>176</v>
      </c>
      <c r="E104" s="35"/>
      <c r="F104" s="35"/>
      <c r="G104" s="35"/>
      <c r="H104" s="33" t="s">
        <v>46</v>
      </c>
      <c r="I104" s="35"/>
      <c r="J104" s="35"/>
      <c r="K104" s="35"/>
      <c r="L104" s="35"/>
      <c r="M104" s="35"/>
      <c r="N104" s="35"/>
      <c r="O104" s="35"/>
      <c r="P104" s="35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7">
        <v>0</v>
      </c>
      <c r="AG104" s="37">
        <v>0</v>
      </c>
      <c r="AH104" s="37">
        <v>201.20000000000002</v>
      </c>
      <c r="AI104" s="37">
        <v>53.46</v>
      </c>
      <c r="AJ104" s="37">
        <v>22</v>
      </c>
      <c r="AK104" s="37">
        <v>0</v>
      </c>
      <c r="AL104" s="37">
        <v>0</v>
      </c>
      <c r="AM104" s="37">
        <v>0</v>
      </c>
      <c r="AN104" s="37">
        <v>0</v>
      </c>
      <c r="AO104" s="37">
        <v>277</v>
      </c>
      <c r="AP104" s="37">
        <v>0</v>
      </c>
      <c r="AQ104" s="37">
        <v>0</v>
      </c>
      <c r="AR104" s="37">
        <v>123</v>
      </c>
      <c r="AS104" s="37">
        <v>0</v>
      </c>
      <c r="AT104" s="36">
        <v>0</v>
      </c>
      <c r="AU104" s="36">
        <v>0</v>
      </c>
      <c r="AV104" s="37">
        <v>0</v>
      </c>
      <c r="AW104" s="36">
        <v>0</v>
      </c>
      <c r="AX104" s="36">
        <v>0</v>
      </c>
      <c r="AY104" s="36">
        <v>0</v>
      </c>
      <c r="AZ104" s="36">
        <v>0</v>
      </c>
      <c r="BA104" s="36">
        <v>0</v>
      </c>
      <c r="BB104" s="36">
        <v>0</v>
      </c>
      <c r="BC104" s="36">
        <v>301</v>
      </c>
      <c r="BD104" s="36">
        <v>0</v>
      </c>
    </row>
    <row r="105" spans="1:56" s="43" customFormat="1" ht="24.95" customHeight="1" x14ac:dyDescent="0.25">
      <c r="A105" s="35" t="s">
        <v>184</v>
      </c>
      <c r="B105" s="35"/>
      <c r="C105" s="33" t="s">
        <v>54</v>
      </c>
      <c r="D105" s="36" t="s">
        <v>175</v>
      </c>
      <c r="E105" s="35"/>
      <c r="F105" s="35"/>
      <c r="G105" s="35"/>
      <c r="H105" s="33" t="s">
        <v>46</v>
      </c>
      <c r="I105" s="35"/>
      <c r="J105" s="35"/>
      <c r="K105" s="35"/>
      <c r="L105" s="35"/>
      <c r="M105" s="35"/>
      <c r="N105" s="35"/>
      <c r="O105" s="35"/>
      <c r="P105" s="35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7">
        <v>0</v>
      </c>
      <c r="AG105" s="37">
        <v>0</v>
      </c>
      <c r="AH105" s="37">
        <v>201.2</v>
      </c>
      <c r="AI105" s="37">
        <v>63.18</v>
      </c>
      <c r="AJ105" s="37">
        <v>26</v>
      </c>
      <c r="AK105" s="37">
        <v>0</v>
      </c>
      <c r="AL105" s="37">
        <v>0</v>
      </c>
      <c r="AM105" s="37">
        <v>0</v>
      </c>
      <c r="AN105" s="37">
        <v>0</v>
      </c>
      <c r="AO105" s="37">
        <v>282</v>
      </c>
      <c r="AP105" s="37">
        <v>0</v>
      </c>
      <c r="AQ105" s="37">
        <v>0</v>
      </c>
      <c r="AR105" s="37">
        <v>134</v>
      </c>
      <c r="AS105" s="37">
        <v>0</v>
      </c>
      <c r="AT105" s="36">
        <v>0</v>
      </c>
      <c r="AU105" s="36">
        <v>0</v>
      </c>
      <c r="AV105" s="37">
        <v>0</v>
      </c>
      <c r="AW105" s="36">
        <v>0</v>
      </c>
      <c r="AX105" s="36">
        <v>0</v>
      </c>
      <c r="AY105" s="36">
        <v>0</v>
      </c>
      <c r="AZ105" s="36">
        <v>0</v>
      </c>
      <c r="BA105" s="36">
        <v>0</v>
      </c>
      <c r="BB105" s="36">
        <v>0</v>
      </c>
      <c r="BC105" s="36">
        <v>347</v>
      </c>
      <c r="BD105" s="36">
        <v>0</v>
      </c>
    </row>
    <row r="106" spans="1:56" s="43" customFormat="1" ht="24.95" customHeight="1" x14ac:dyDescent="0.25">
      <c r="A106" s="35" t="s">
        <v>188</v>
      </c>
      <c r="B106" s="35"/>
      <c r="C106" s="33" t="s">
        <v>54</v>
      </c>
      <c r="D106" s="36" t="s">
        <v>88</v>
      </c>
      <c r="E106" s="35"/>
      <c r="F106" s="35"/>
      <c r="G106" s="35"/>
      <c r="H106" s="33" t="s">
        <v>46</v>
      </c>
      <c r="I106" s="35"/>
      <c r="J106" s="35"/>
      <c r="K106" s="35"/>
      <c r="L106" s="35"/>
      <c r="M106" s="35"/>
      <c r="N106" s="35"/>
      <c r="O106" s="35"/>
      <c r="P106" s="35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7">
        <v>0</v>
      </c>
      <c r="AG106" s="37">
        <v>0</v>
      </c>
      <c r="AH106" s="37">
        <v>111.39999999999999</v>
      </c>
      <c r="AI106" s="37">
        <v>38.880000000000003</v>
      </c>
      <c r="AJ106" s="37">
        <v>16</v>
      </c>
      <c r="AK106" s="37">
        <v>0</v>
      </c>
      <c r="AL106" s="37">
        <v>0</v>
      </c>
      <c r="AM106" s="37">
        <v>0</v>
      </c>
      <c r="AN106" s="37">
        <v>0</v>
      </c>
      <c r="AO106" s="37">
        <v>175</v>
      </c>
      <c r="AP106" s="37">
        <v>0</v>
      </c>
      <c r="AQ106" s="37">
        <v>0</v>
      </c>
      <c r="AR106" s="37">
        <v>71</v>
      </c>
      <c r="AS106" s="37">
        <v>0</v>
      </c>
      <c r="AT106" s="36">
        <v>0</v>
      </c>
      <c r="AU106" s="36">
        <v>0</v>
      </c>
      <c r="AV106" s="37">
        <v>0</v>
      </c>
      <c r="AW106" s="36">
        <v>0</v>
      </c>
      <c r="AX106" s="36">
        <v>0</v>
      </c>
      <c r="AY106" s="36">
        <v>0</v>
      </c>
      <c r="AZ106" s="36">
        <v>0</v>
      </c>
      <c r="BA106" s="36">
        <v>0</v>
      </c>
      <c r="BB106" s="36">
        <v>0</v>
      </c>
      <c r="BC106" s="36">
        <v>325</v>
      </c>
      <c r="BD106" s="36">
        <v>0</v>
      </c>
    </row>
    <row r="107" spans="1:56" s="43" customFormat="1" ht="24.95" customHeight="1" x14ac:dyDescent="0.25">
      <c r="A107" s="35" t="s">
        <v>188</v>
      </c>
      <c r="B107" s="35"/>
      <c r="C107" s="33" t="s">
        <v>54</v>
      </c>
      <c r="D107" s="36" t="s">
        <v>95</v>
      </c>
      <c r="E107" s="35"/>
      <c r="F107" s="35"/>
      <c r="G107" s="35"/>
      <c r="H107" s="33" t="s">
        <v>46</v>
      </c>
      <c r="I107" s="35"/>
      <c r="J107" s="35"/>
      <c r="K107" s="35"/>
      <c r="L107" s="35"/>
      <c r="M107" s="35"/>
      <c r="N107" s="35"/>
      <c r="O107" s="35"/>
      <c r="P107" s="35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7">
        <v>0</v>
      </c>
      <c r="AG107" s="37">
        <v>0</v>
      </c>
      <c r="AH107" s="37">
        <v>102.2</v>
      </c>
      <c r="AI107" s="37">
        <v>46.17</v>
      </c>
      <c r="AJ107" s="37">
        <v>19</v>
      </c>
      <c r="AK107" s="37">
        <v>0</v>
      </c>
      <c r="AL107" s="37">
        <v>0</v>
      </c>
      <c r="AM107" s="37">
        <v>0</v>
      </c>
      <c r="AN107" s="37">
        <v>0</v>
      </c>
      <c r="AO107" s="37">
        <v>142</v>
      </c>
      <c r="AP107" s="37">
        <v>0</v>
      </c>
      <c r="AQ107" s="37">
        <v>0</v>
      </c>
      <c r="AR107" s="37">
        <v>72</v>
      </c>
      <c r="AS107" s="37">
        <v>0</v>
      </c>
      <c r="AT107" s="36">
        <v>0</v>
      </c>
      <c r="AU107" s="36">
        <v>0</v>
      </c>
      <c r="AV107" s="37">
        <v>0</v>
      </c>
      <c r="AW107" s="36">
        <v>0</v>
      </c>
      <c r="AX107" s="36">
        <v>0</v>
      </c>
      <c r="AY107" s="36">
        <v>0</v>
      </c>
      <c r="AZ107" s="36">
        <v>0</v>
      </c>
      <c r="BA107" s="36">
        <v>0</v>
      </c>
      <c r="BB107" s="36">
        <v>0</v>
      </c>
      <c r="BC107" s="36">
        <v>149</v>
      </c>
      <c r="BD107" s="36">
        <v>0</v>
      </c>
    </row>
    <row r="108" spans="1:56" s="43" customFormat="1" ht="24.95" customHeight="1" x14ac:dyDescent="0.25">
      <c r="A108" s="35" t="s">
        <v>188</v>
      </c>
      <c r="B108" s="35"/>
      <c r="C108" s="33" t="s">
        <v>54</v>
      </c>
      <c r="D108" s="36" t="s">
        <v>98</v>
      </c>
      <c r="E108" s="35"/>
      <c r="F108" s="35"/>
      <c r="G108" s="35"/>
      <c r="H108" s="33" t="s">
        <v>46</v>
      </c>
      <c r="I108" s="35"/>
      <c r="J108" s="35"/>
      <c r="K108" s="35"/>
      <c r="L108" s="35"/>
      <c r="M108" s="35"/>
      <c r="N108" s="35"/>
      <c r="O108" s="35"/>
      <c r="P108" s="35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7">
        <v>0</v>
      </c>
      <c r="AG108" s="37">
        <v>0</v>
      </c>
      <c r="AH108" s="37">
        <v>9</v>
      </c>
      <c r="AI108" s="37">
        <v>41.31</v>
      </c>
      <c r="AJ108" s="37">
        <v>17</v>
      </c>
      <c r="AK108" s="37">
        <v>0</v>
      </c>
      <c r="AL108" s="37">
        <v>0</v>
      </c>
      <c r="AM108" s="37">
        <v>0</v>
      </c>
      <c r="AN108" s="37">
        <v>0</v>
      </c>
      <c r="AO108" s="37">
        <v>1</v>
      </c>
      <c r="AP108" s="37">
        <v>0</v>
      </c>
      <c r="AQ108" s="37">
        <v>0</v>
      </c>
      <c r="AR108" s="37">
        <v>9</v>
      </c>
      <c r="AS108" s="37">
        <v>0</v>
      </c>
      <c r="AT108" s="36">
        <v>0</v>
      </c>
      <c r="AU108" s="36">
        <v>0</v>
      </c>
      <c r="AV108" s="37">
        <v>0</v>
      </c>
      <c r="AW108" s="36">
        <v>0</v>
      </c>
      <c r="AX108" s="36">
        <v>0</v>
      </c>
      <c r="AY108" s="36">
        <v>0</v>
      </c>
      <c r="AZ108" s="36">
        <v>0</v>
      </c>
      <c r="BA108" s="36">
        <v>0</v>
      </c>
      <c r="BB108" s="36">
        <v>0</v>
      </c>
      <c r="BC108" s="36">
        <v>17</v>
      </c>
      <c r="BD108" s="36">
        <v>0</v>
      </c>
    </row>
    <row r="109" spans="1:56" s="43" customFormat="1" ht="24.95" customHeight="1" x14ac:dyDescent="0.25">
      <c r="A109" s="35" t="s">
        <v>188</v>
      </c>
      <c r="B109" s="35"/>
      <c r="C109" s="33" t="s">
        <v>54</v>
      </c>
      <c r="D109" s="36" t="s">
        <v>179</v>
      </c>
      <c r="E109" s="35"/>
      <c r="F109" s="35"/>
      <c r="G109" s="35"/>
      <c r="H109" s="33" t="s">
        <v>46</v>
      </c>
      <c r="I109" s="35"/>
      <c r="J109" s="35"/>
      <c r="K109" s="35"/>
      <c r="L109" s="35"/>
      <c r="M109" s="35"/>
      <c r="N109" s="35"/>
      <c r="O109" s="35"/>
      <c r="P109" s="35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7">
        <v>0</v>
      </c>
      <c r="AG109" s="37">
        <v>0</v>
      </c>
      <c r="AH109" s="37">
        <v>41.6</v>
      </c>
      <c r="AI109" s="37">
        <v>19.440000000000001</v>
      </c>
      <c r="AJ109" s="37">
        <v>8</v>
      </c>
      <c r="AK109" s="37">
        <v>0</v>
      </c>
      <c r="AL109" s="37">
        <v>0</v>
      </c>
      <c r="AM109" s="37">
        <v>0</v>
      </c>
      <c r="AN109" s="37">
        <v>0</v>
      </c>
      <c r="AO109" s="37">
        <v>52</v>
      </c>
      <c r="AP109" s="37">
        <v>0</v>
      </c>
      <c r="AQ109" s="37">
        <v>0</v>
      </c>
      <c r="AR109" s="37">
        <v>34</v>
      </c>
      <c r="AS109" s="37">
        <v>0</v>
      </c>
      <c r="AT109" s="36">
        <v>0</v>
      </c>
      <c r="AU109" s="36">
        <v>0</v>
      </c>
      <c r="AV109" s="37">
        <v>0</v>
      </c>
      <c r="AW109" s="36">
        <v>0</v>
      </c>
      <c r="AX109" s="36">
        <v>0</v>
      </c>
      <c r="AY109" s="36">
        <v>0</v>
      </c>
      <c r="AZ109" s="36">
        <v>0</v>
      </c>
      <c r="BA109" s="36">
        <v>0</v>
      </c>
      <c r="BB109" s="36">
        <v>0</v>
      </c>
      <c r="BC109" s="36">
        <v>56</v>
      </c>
      <c r="BD109" s="36">
        <v>0</v>
      </c>
    </row>
    <row r="110" spans="1:56" s="43" customFormat="1" ht="24.95" customHeight="1" x14ac:dyDescent="0.25">
      <c r="A110" s="35" t="s">
        <v>189</v>
      </c>
      <c r="B110" s="35"/>
      <c r="C110" s="33" t="s">
        <v>54</v>
      </c>
      <c r="D110" s="36" t="s">
        <v>181</v>
      </c>
      <c r="E110" s="35"/>
      <c r="F110" s="35"/>
      <c r="G110" s="35"/>
      <c r="H110" s="33" t="s">
        <v>46</v>
      </c>
      <c r="I110" s="35"/>
      <c r="J110" s="35"/>
      <c r="K110" s="35"/>
      <c r="L110" s="35"/>
      <c r="M110" s="35"/>
      <c r="N110" s="35"/>
      <c r="O110" s="35"/>
      <c r="P110" s="35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7">
        <v>0</v>
      </c>
      <c r="AG110" s="37">
        <v>0</v>
      </c>
      <c r="AH110" s="37">
        <v>27</v>
      </c>
      <c r="AI110" s="37">
        <v>9.7200000000000006</v>
      </c>
      <c r="AJ110" s="37">
        <v>4</v>
      </c>
      <c r="AK110" s="37">
        <v>0</v>
      </c>
      <c r="AL110" s="37">
        <v>0</v>
      </c>
      <c r="AM110" s="37">
        <v>0</v>
      </c>
      <c r="AN110" s="37">
        <v>0</v>
      </c>
      <c r="AO110" s="37">
        <v>45</v>
      </c>
      <c r="AP110" s="37">
        <v>0</v>
      </c>
      <c r="AQ110" s="37">
        <v>0</v>
      </c>
      <c r="AR110" s="37">
        <v>16</v>
      </c>
      <c r="AS110" s="37">
        <v>0</v>
      </c>
      <c r="AT110" s="36">
        <v>0</v>
      </c>
      <c r="AU110" s="36">
        <v>0</v>
      </c>
      <c r="AV110" s="37">
        <v>0</v>
      </c>
      <c r="AW110" s="36">
        <v>0</v>
      </c>
      <c r="AX110" s="36">
        <v>0</v>
      </c>
      <c r="AY110" s="36">
        <v>0</v>
      </c>
      <c r="AZ110" s="36">
        <v>0</v>
      </c>
      <c r="BA110" s="36">
        <v>0</v>
      </c>
      <c r="BB110" s="36">
        <v>0</v>
      </c>
      <c r="BC110" s="36">
        <v>45</v>
      </c>
      <c r="BD110" s="36">
        <v>0</v>
      </c>
    </row>
    <row r="111" spans="1:56" s="43" customFormat="1" ht="24.95" customHeight="1" x14ac:dyDescent="0.25">
      <c r="A111" s="35" t="s">
        <v>187</v>
      </c>
      <c r="B111" s="35"/>
      <c r="C111" s="33" t="s">
        <v>54</v>
      </c>
      <c r="D111" s="36" t="s">
        <v>93</v>
      </c>
      <c r="E111" s="35"/>
      <c r="F111" s="35"/>
      <c r="G111" s="35"/>
      <c r="H111" s="33" t="s">
        <v>46</v>
      </c>
      <c r="I111" s="35"/>
      <c r="J111" s="35"/>
      <c r="K111" s="35"/>
      <c r="L111" s="35"/>
      <c r="M111" s="35"/>
      <c r="N111" s="35"/>
      <c r="O111" s="35"/>
      <c r="P111" s="35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7">
        <v>0</v>
      </c>
      <c r="AG111" s="37">
        <v>0</v>
      </c>
      <c r="AH111" s="37">
        <v>25.6</v>
      </c>
      <c r="AI111" s="37">
        <v>9.7200000000000006</v>
      </c>
      <c r="AJ111" s="37">
        <v>4</v>
      </c>
      <c r="AK111" s="37">
        <v>0</v>
      </c>
      <c r="AL111" s="37">
        <v>0</v>
      </c>
      <c r="AM111" s="37">
        <v>0</v>
      </c>
      <c r="AN111" s="37">
        <v>0</v>
      </c>
      <c r="AO111" s="37">
        <v>32</v>
      </c>
      <c r="AP111" s="37">
        <v>0</v>
      </c>
      <c r="AQ111" s="37">
        <v>0</v>
      </c>
      <c r="AR111" s="37">
        <v>31</v>
      </c>
      <c r="AS111" s="37">
        <v>0</v>
      </c>
      <c r="AT111" s="36">
        <v>0</v>
      </c>
      <c r="AU111" s="36">
        <v>0</v>
      </c>
      <c r="AV111" s="37">
        <v>0</v>
      </c>
      <c r="AW111" s="36">
        <v>0</v>
      </c>
      <c r="AX111" s="36">
        <v>0</v>
      </c>
      <c r="AY111" s="36">
        <v>0</v>
      </c>
      <c r="AZ111" s="36">
        <v>0</v>
      </c>
      <c r="BA111" s="36">
        <v>0</v>
      </c>
      <c r="BB111" s="36">
        <v>0</v>
      </c>
      <c r="BC111" s="36">
        <v>41</v>
      </c>
      <c r="BD111" s="36">
        <v>0</v>
      </c>
    </row>
    <row r="112" spans="1:56" s="43" customFormat="1" ht="24.95" customHeight="1" x14ac:dyDescent="0.25">
      <c r="A112" s="35" t="s">
        <v>187</v>
      </c>
      <c r="B112" s="35"/>
      <c r="C112" s="33" t="s">
        <v>54</v>
      </c>
      <c r="D112" s="36" t="s">
        <v>94</v>
      </c>
      <c r="E112" s="35"/>
      <c r="F112" s="35"/>
      <c r="G112" s="35"/>
      <c r="H112" s="33" t="s">
        <v>46</v>
      </c>
      <c r="I112" s="35"/>
      <c r="J112" s="35"/>
      <c r="K112" s="35"/>
      <c r="L112" s="35"/>
      <c r="M112" s="35"/>
      <c r="N112" s="35"/>
      <c r="O112" s="35"/>
      <c r="P112" s="35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7">
        <v>0</v>
      </c>
      <c r="AG112" s="37">
        <v>0</v>
      </c>
      <c r="AH112" s="37">
        <v>255.8</v>
      </c>
      <c r="AI112" s="37">
        <v>72.900000000000006</v>
      </c>
      <c r="AJ112" s="37">
        <v>30</v>
      </c>
      <c r="AK112" s="37">
        <v>0</v>
      </c>
      <c r="AL112" s="37">
        <v>0</v>
      </c>
      <c r="AM112" s="37">
        <v>0</v>
      </c>
      <c r="AN112" s="37">
        <v>0</v>
      </c>
      <c r="AO112" s="37">
        <v>338</v>
      </c>
      <c r="AP112" s="37">
        <v>0</v>
      </c>
      <c r="AQ112" s="37">
        <v>0</v>
      </c>
      <c r="AR112" s="37">
        <v>195</v>
      </c>
      <c r="AS112" s="37">
        <v>0</v>
      </c>
      <c r="AT112" s="36">
        <v>0</v>
      </c>
      <c r="AU112" s="36">
        <v>0</v>
      </c>
      <c r="AV112" s="37">
        <v>0</v>
      </c>
      <c r="AW112" s="36">
        <v>0</v>
      </c>
      <c r="AX112" s="36">
        <v>0</v>
      </c>
      <c r="AY112" s="36">
        <v>0</v>
      </c>
      <c r="AZ112" s="36">
        <v>0</v>
      </c>
      <c r="BA112" s="36">
        <v>0</v>
      </c>
      <c r="BB112" s="36">
        <v>0</v>
      </c>
      <c r="BC112" s="36">
        <v>417</v>
      </c>
      <c r="BD112" s="36">
        <v>0</v>
      </c>
    </row>
    <row r="113" spans="1:56" s="43" customFormat="1" ht="24.95" customHeight="1" x14ac:dyDescent="0.25">
      <c r="A113" s="35" t="s">
        <v>187</v>
      </c>
      <c r="B113" s="35"/>
      <c r="C113" s="33" t="s">
        <v>54</v>
      </c>
      <c r="D113" s="36" t="s">
        <v>178</v>
      </c>
      <c r="E113" s="35"/>
      <c r="F113" s="35"/>
      <c r="G113" s="35"/>
      <c r="H113" s="33" t="s">
        <v>46</v>
      </c>
      <c r="I113" s="35"/>
      <c r="J113" s="35"/>
      <c r="K113" s="35"/>
      <c r="L113" s="35"/>
      <c r="M113" s="35"/>
      <c r="N113" s="35"/>
      <c r="O113" s="35"/>
      <c r="P113" s="35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7">
        <v>0</v>
      </c>
      <c r="AG113" s="37">
        <v>0</v>
      </c>
      <c r="AH113" s="37">
        <v>100.80000000000001</v>
      </c>
      <c r="AI113" s="37">
        <v>48.6</v>
      </c>
      <c r="AJ113" s="37">
        <v>20</v>
      </c>
      <c r="AK113" s="37">
        <v>0</v>
      </c>
      <c r="AL113" s="37">
        <v>0</v>
      </c>
      <c r="AM113" s="37">
        <v>0</v>
      </c>
      <c r="AN113" s="37">
        <v>0</v>
      </c>
      <c r="AO113" s="37">
        <v>152</v>
      </c>
      <c r="AP113" s="37">
        <v>0</v>
      </c>
      <c r="AQ113" s="37">
        <v>0</v>
      </c>
      <c r="AR113" s="37">
        <v>78</v>
      </c>
      <c r="AS113" s="37">
        <v>0</v>
      </c>
      <c r="AT113" s="36">
        <v>0</v>
      </c>
      <c r="AU113" s="36">
        <v>0</v>
      </c>
      <c r="AV113" s="37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314</v>
      </c>
      <c r="BD113" s="36">
        <v>0</v>
      </c>
    </row>
    <row r="114" spans="1:56" s="43" customFormat="1" ht="24.95" customHeight="1" x14ac:dyDescent="0.25">
      <c r="A114" s="35" t="s">
        <v>187</v>
      </c>
      <c r="B114" s="35"/>
      <c r="C114" s="33" t="s">
        <v>54</v>
      </c>
      <c r="D114" s="36" t="s">
        <v>180</v>
      </c>
      <c r="E114" s="35"/>
      <c r="F114" s="35"/>
      <c r="G114" s="35"/>
      <c r="H114" s="33" t="s">
        <v>46</v>
      </c>
      <c r="I114" s="35"/>
      <c r="J114" s="35"/>
      <c r="K114" s="35"/>
      <c r="L114" s="35"/>
      <c r="M114" s="35"/>
      <c r="N114" s="35"/>
      <c r="O114" s="35"/>
      <c r="P114" s="35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7">
        <v>0</v>
      </c>
      <c r="AG114" s="37">
        <v>0</v>
      </c>
      <c r="AH114" s="37">
        <v>0</v>
      </c>
      <c r="AI114" s="37">
        <v>9.7200000000000006</v>
      </c>
      <c r="AJ114" s="37">
        <v>4</v>
      </c>
      <c r="AK114" s="37">
        <v>0</v>
      </c>
      <c r="AL114" s="37">
        <v>0</v>
      </c>
      <c r="AM114" s="37">
        <v>0</v>
      </c>
      <c r="AN114" s="37">
        <v>0</v>
      </c>
      <c r="AO114" s="37">
        <v>28</v>
      </c>
      <c r="AP114" s="37">
        <v>0</v>
      </c>
      <c r="AQ114" s="37">
        <v>0</v>
      </c>
      <c r="AR114" s="37">
        <v>20</v>
      </c>
      <c r="AS114" s="37">
        <v>0</v>
      </c>
      <c r="AT114" s="36">
        <v>0</v>
      </c>
      <c r="AU114" s="36">
        <v>0</v>
      </c>
      <c r="AV114" s="37">
        <v>0</v>
      </c>
      <c r="AW114" s="36">
        <v>0</v>
      </c>
      <c r="AX114" s="36">
        <v>0</v>
      </c>
      <c r="AY114" s="36">
        <v>0</v>
      </c>
      <c r="AZ114" s="36">
        <v>0</v>
      </c>
      <c r="BA114" s="36">
        <v>0</v>
      </c>
      <c r="BB114" s="36">
        <v>0</v>
      </c>
      <c r="BC114" s="36">
        <v>112</v>
      </c>
      <c r="BD114" s="36">
        <v>0</v>
      </c>
    </row>
    <row r="115" spans="1:56" s="43" customFormat="1" ht="24.95" customHeight="1" x14ac:dyDescent="0.25">
      <c r="A115" s="35" t="s">
        <v>225</v>
      </c>
      <c r="B115" s="35"/>
      <c r="C115" s="33" t="s">
        <v>54</v>
      </c>
      <c r="D115" s="36" t="s">
        <v>92</v>
      </c>
      <c r="E115" s="35"/>
      <c r="F115" s="35"/>
      <c r="G115" s="35"/>
      <c r="H115" s="33" t="s">
        <v>46</v>
      </c>
      <c r="I115" s="35"/>
      <c r="J115" s="35"/>
      <c r="K115" s="35"/>
      <c r="L115" s="35"/>
      <c r="M115" s="35"/>
      <c r="N115" s="35"/>
      <c r="O115" s="35"/>
      <c r="P115" s="35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7">
        <v>0</v>
      </c>
      <c r="AG115" s="37">
        <v>0</v>
      </c>
      <c r="AH115" s="37">
        <v>15</v>
      </c>
      <c r="AI115" s="37">
        <v>41.31</v>
      </c>
      <c r="AJ115" s="37">
        <v>17</v>
      </c>
      <c r="AK115" s="37">
        <v>0</v>
      </c>
      <c r="AL115" s="37">
        <v>0</v>
      </c>
      <c r="AM115" s="37">
        <v>0</v>
      </c>
      <c r="AN115" s="37">
        <v>0</v>
      </c>
      <c r="AO115" s="37">
        <v>10</v>
      </c>
      <c r="AP115" s="37">
        <v>0</v>
      </c>
      <c r="AQ115" s="37">
        <v>0</v>
      </c>
      <c r="AR115" s="37">
        <v>36</v>
      </c>
      <c r="AS115" s="37">
        <v>0</v>
      </c>
      <c r="AT115" s="36">
        <v>0</v>
      </c>
      <c r="AU115" s="36">
        <v>0</v>
      </c>
      <c r="AV115" s="37">
        <v>0</v>
      </c>
      <c r="AW115" s="36">
        <v>0</v>
      </c>
      <c r="AX115" s="36">
        <v>0</v>
      </c>
      <c r="AY115" s="36">
        <v>0</v>
      </c>
      <c r="AZ115" s="36">
        <v>0</v>
      </c>
      <c r="BA115" s="36">
        <v>0</v>
      </c>
      <c r="BB115" s="36">
        <v>0</v>
      </c>
      <c r="BC115" s="36">
        <v>98</v>
      </c>
      <c r="BD115" s="36">
        <v>0</v>
      </c>
    </row>
    <row r="116" spans="1:56" s="43" customFormat="1" ht="24.95" customHeight="1" x14ac:dyDescent="0.25">
      <c r="A116" s="35" t="s">
        <v>224</v>
      </c>
      <c r="B116" s="35"/>
      <c r="C116" s="33" t="s">
        <v>54</v>
      </c>
      <c r="D116" s="36" t="s">
        <v>91</v>
      </c>
      <c r="E116" s="35"/>
      <c r="F116" s="35"/>
      <c r="G116" s="35"/>
      <c r="H116" s="33" t="s">
        <v>46</v>
      </c>
      <c r="I116" s="35"/>
      <c r="J116" s="35"/>
      <c r="K116" s="35"/>
      <c r="L116" s="35"/>
      <c r="M116" s="35"/>
      <c r="N116" s="35"/>
      <c r="O116" s="35"/>
      <c r="P116" s="35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7">
        <v>0</v>
      </c>
      <c r="AG116" s="37">
        <v>0</v>
      </c>
      <c r="AH116" s="37">
        <v>10</v>
      </c>
      <c r="AI116" s="37">
        <v>41.31</v>
      </c>
      <c r="AJ116" s="37">
        <v>17</v>
      </c>
      <c r="AK116" s="37">
        <v>0</v>
      </c>
      <c r="AL116" s="37">
        <v>0</v>
      </c>
      <c r="AM116" s="37">
        <v>0</v>
      </c>
      <c r="AN116" s="37">
        <v>0</v>
      </c>
      <c r="AO116" s="37">
        <v>27</v>
      </c>
      <c r="AP116" s="37">
        <v>0</v>
      </c>
      <c r="AQ116" s="37">
        <v>0</v>
      </c>
      <c r="AR116" s="37">
        <v>46</v>
      </c>
      <c r="AS116" s="37">
        <v>0</v>
      </c>
      <c r="AT116" s="36">
        <v>0</v>
      </c>
      <c r="AU116" s="36">
        <v>0</v>
      </c>
      <c r="AV116" s="37">
        <v>0</v>
      </c>
      <c r="AW116" s="36">
        <v>0</v>
      </c>
      <c r="AX116" s="36">
        <v>0</v>
      </c>
      <c r="AY116" s="36">
        <v>0</v>
      </c>
      <c r="AZ116" s="36">
        <v>0</v>
      </c>
      <c r="BA116" s="36">
        <v>0</v>
      </c>
      <c r="BB116" s="36">
        <v>0</v>
      </c>
      <c r="BC116" s="36">
        <v>129</v>
      </c>
      <c r="BD116" s="36">
        <v>0</v>
      </c>
    </row>
    <row r="117" spans="1:56" s="43" customFormat="1" ht="24.95" customHeight="1" x14ac:dyDescent="0.25">
      <c r="A117" s="35" t="s">
        <v>183</v>
      </c>
      <c r="B117" s="35"/>
      <c r="C117" s="33" t="s">
        <v>54</v>
      </c>
      <c r="D117" s="36" t="s">
        <v>89</v>
      </c>
      <c r="E117" s="35"/>
      <c r="F117" s="35"/>
      <c r="G117" s="35"/>
      <c r="H117" s="33" t="s">
        <v>46</v>
      </c>
      <c r="I117" s="35"/>
      <c r="J117" s="35"/>
      <c r="K117" s="35"/>
      <c r="L117" s="35"/>
      <c r="M117" s="35"/>
      <c r="N117" s="35"/>
      <c r="O117" s="35"/>
      <c r="P117" s="35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7">
        <v>0</v>
      </c>
      <c r="AG117" s="37">
        <v>0</v>
      </c>
      <c r="AH117" s="37">
        <v>13.6</v>
      </c>
      <c r="AI117" s="37">
        <v>4.8600000000000003</v>
      </c>
      <c r="AJ117" s="37">
        <v>2</v>
      </c>
      <c r="AK117" s="37">
        <v>0</v>
      </c>
      <c r="AL117" s="37">
        <v>0</v>
      </c>
      <c r="AM117" s="37">
        <v>0</v>
      </c>
      <c r="AN117" s="37">
        <v>0</v>
      </c>
      <c r="AO117" s="37">
        <v>17</v>
      </c>
      <c r="AP117" s="37">
        <v>0</v>
      </c>
      <c r="AQ117" s="37">
        <v>0</v>
      </c>
      <c r="AR117" s="37">
        <v>10</v>
      </c>
      <c r="AS117" s="37">
        <v>0</v>
      </c>
      <c r="AT117" s="36">
        <v>0</v>
      </c>
      <c r="AU117" s="36">
        <v>0</v>
      </c>
      <c r="AV117" s="37">
        <v>0</v>
      </c>
      <c r="AW117" s="36">
        <v>0</v>
      </c>
      <c r="AX117" s="36">
        <v>0</v>
      </c>
      <c r="AY117" s="36">
        <v>0</v>
      </c>
      <c r="AZ117" s="36">
        <v>0</v>
      </c>
      <c r="BA117" s="36">
        <v>0</v>
      </c>
      <c r="BB117" s="36">
        <v>0</v>
      </c>
      <c r="BC117" s="36">
        <v>17</v>
      </c>
      <c r="BD117" s="36">
        <v>0</v>
      </c>
    </row>
    <row r="118" spans="1:56" s="43" customFormat="1" ht="24.95" customHeight="1" x14ac:dyDescent="0.25">
      <c r="A118" s="35" t="s">
        <v>183</v>
      </c>
      <c r="B118" s="35"/>
      <c r="C118" s="33" t="s">
        <v>54</v>
      </c>
      <c r="D118" s="36" t="s">
        <v>174</v>
      </c>
      <c r="E118" s="35"/>
      <c r="F118" s="35"/>
      <c r="G118" s="35"/>
      <c r="H118" s="33" t="s">
        <v>46</v>
      </c>
      <c r="I118" s="35"/>
      <c r="J118" s="35"/>
      <c r="K118" s="35"/>
      <c r="L118" s="35"/>
      <c r="M118" s="35"/>
      <c r="N118" s="35"/>
      <c r="O118" s="35"/>
      <c r="P118" s="35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7">
        <v>0</v>
      </c>
      <c r="AG118" s="37">
        <v>0</v>
      </c>
      <c r="AH118" s="37">
        <v>199.79999999999998</v>
      </c>
      <c r="AI118" s="37">
        <v>89.910000000000011</v>
      </c>
      <c r="AJ118" s="37">
        <v>37</v>
      </c>
      <c r="AK118" s="37">
        <v>0</v>
      </c>
      <c r="AL118" s="37">
        <v>0</v>
      </c>
      <c r="AM118" s="37">
        <v>0</v>
      </c>
      <c r="AN118" s="37">
        <v>0</v>
      </c>
      <c r="AO118" s="37">
        <v>286</v>
      </c>
      <c r="AP118" s="37">
        <v>0</v>
      </c>
      <c r="AQ118" s="37">
        <v>0</v>
      </c>
      <c r="AR118" s="37">
        <v>140</v>
      </c>
      <c r="AS118" s="37">
        <v>0</v>
      </c>
      <c r="AT118" s="36">
        <v>0</v>
      </c>
      <c r="AU118" s="36">
        <v>0</v>
      </c>
      <c r="AV118" s="37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367</v>
      </c>
      <c r="BD118" s="36">
        <v>0</v>
      </c>
    </row>
    <row r="119" spans="1:56" s="43" customFormat="1" ht="24.95" customHeight="1" x14ac:dyDescent="0.25">
      <c r="A119" s="35" t="s">
        <v>186</v>
      </c>
      <c r="B119" s="35"/>
      <c r="C119" s="33" t="s">
        <v>54</v>
      </c>
      <c r="D119" s="36" t="s">
        <v>87</v>
      </c>
      <c r="E119" s="35"/>
      <c r="F119" s="35"/>
      <c r="G119" s="35"/>
      <c r="H119" s="33" t="s">
        <v>46</v>
      </c>
      <c r="I119" s="35"/>
      <c r="J119" s="35"/>
      <c r="K119" s="35"/>
      <c r="L119" s="35"/>
      <c r="M119" s="35"/>
      <c r="N119" s="35"/>
      <c r="O119" s="35"/>
      <c r="P119" s="35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7">
        <v>0</v>
      </c>
      <c r="AG119" s="37">
        <v>0</v>
      </c>
      <c r="AH119" s="37">
        <v>141.4</v>
      </c>
      <c r="AI119" s="37">
        <v>43.74</v>
      </c>
      <c r="AJ119" s="37">
        <v>18</v>
      </c>
      <c r="AK119" s="37">
        <v>0</v>
      </c>
      <c r="AL119" s="37">
        <v>0</v>
      </c>
      <c r="AM119" s="37">
        <v>0</v>
      </c>
      <c r="AN119" s="37">
        <v>0</v>
      </c>
      <c r="AO119" s="37">
        <v>226</v>
      </c>
      <c r="AP119" s="37">
        <v>0</v>
      </c>
      <c r="AQ119" s="37">
        <v>0</v>
      </c>
      <c r="AR119" s="37">
        <v>82</v>
      </c>
      <c r="AS119" s="37">
        <v>0</v>
      </c>
      <c r="AT119" s="36">
        <v>0</v>
      </c>
      <c r="AU119" s="36">
        <v>0</v>
      </c>
      <c r="AV119" s="37">
        <v>0</v>
      </c>
      <c r="AW119" s="36">
        <v>0</v>
      </c>
      <c r="AX119" s="36">
        <v>0</v>
      </c>
      <c r="AY119" s="36">
        <v>0</v>
      </c>
      <c r="AZ119" s="36">
        <v>0</v>
      </c>
      <c r="BA119" s="36">
        <v>0</v>
      </c>
      <c r="BB119" s="36">
        <v>0</v>
      </c>
      <c r="BC119" s="36">
        <v>418</v>
      </c>
      <c r="BD119" s="36">
        <v>0</v>
      </c>
    </row>
    <row r="120" spans="1:56" s="43" customFormat="1" ht="24.95" customHeight="1" x14ac:dyDescent="0.25">
      <c r="A120" s="35" t="s">
        <v>186</v>
      </c>
      <c r="B120" s="35"/>
      <c r="C120" s="33" t="s">
        <v>54</v>
      </c>
      <c r="D120" s="36" t="s">
        <v>177</v>
      </c>
      <c r="E120" s="35"/>
      <c r="F120" s="35"/>
      <c r="G120" s="35"/>
      <c r="H120" s="33" t="s">
        <v>46</v>
      </c>
      <c r="I120" s="35"/>
      <c r="J120" s="35"/>
      <c r="K120" s="35"/>
      <c r="L120" s="35"/>
      <c r="M120" s="35"/>
      <c r="N120" s="35"/>
      <c r="O120" s="35"/>
      <c r="P120" s="35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7">
        <v>0</v>
      </c>
      <c r="AG120" s="37">
        <v>0</v>
      </c>
      <c r="AH120" s="37">
        <v>107.4</v>
      </c>
      <c r="AI120" s="37">
        <v>38.880000000000003</v>
      </c>
      <c r="AJ120" s="37">
        <v>16</v>
      </c>
      <c r="AK120" s="37">
        <v>0</v>
      </c>
      <c r="AL120" s="37">
        <v>0</v>
      </c>
      <c r="AM120" s="37">
        <v>0</v>
      </c>
      <c r="AN120" s="37">
        <v>0</v>
      </c>
      <c r="AO120" s="37">
        <v>146</v>
      </c>
      <c r="AP120" s="37">
        <v>0</v>
      </c>
      <c r="AQ120" s="37">
        <v>0</v>
      </c>
      <c r="AR120" s="37">
        <v>63</v>
      </c>
      <c r="AS120" s="37">
        <v>0</v>
      </c>
      <c r="AT120" s="36">
        <v>0</v>
      </c>
      <c r="AU120" s="36">
        <v>0</v>
      </c>
      <c r="AV120" s="37">
        <v>0</v>
      </c>
      <c r="AW120" s="36">
        <v>0</v>
      </c>
      <c r="AX120" s="36">
        <v>0</v>
      </c>
      <c r="AY120" s="36">
        <v>0</v>
      </c>
      <c r="AZ120" s="36">
        <v>0</v>
      </c>
      <c r="BA120" s="36">
        <v>0</v>
      </c>
      <c r="BB120" s="36">
        <v>0</v>
      </c>
      <c r="BC120" s="36">
        <v>158</v>
      </c>
      <c r="BD120" s="36">
        <v>0</v>
      </c>
    </row>
    <row r="121" spans="1:56" s="43" customFormat="1" ht="24.95" customHeight="1" x14ac:dyDescent="0.25">
      <c r="A121" s="35" t="s">
        <v>227</v>
      </c>
      <c r="B121" s="35"/>
      <c r="C121" s="33" t="s">
        <v>54</v>
      </c>
      <c r="D121" s="36" t="s">
        <v>97</v>
      </c>
      <c r="E121" s="35"/>
      <c r="F121" s="35"/>
      <c r="G121" s="35"/>
      <c r="H121" s="33" t="s">
        <v>46</v>
      </c>
      <c r="I121" s="35"/>
      <c r="J121" s="35"/>
      <c r="K121" s="35"/>
      <c r="L121" s="35"/>
      <c r="M121" s="35"/>
      <c r="N121" s="35"/>
      <c r="O121" s="35"/>
      <c r="P121" s="35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7">
        <v>0</v>
      </c>
      <c r="AG121" s="37">
        <v>0</v>
      </c>
      <c r="AH121" s="37">
        <v>0</v>
      </c>
      <c r="AI121" s="37">
        <v>58.32</v>
      </c>
      <c r="AJ121" s="37">
        <v>24</v>
      </c>
      <c r="AK121" s="37">
        <v>0</v>
      </c>
      <c r="AL121" s="37">
        <v>0</v>
      </c>
      <c r="AM121" s="37">
        <v>0</v>
      </c>
      <c r="AN121" s="37">
        <v>0</v>
      </c>
      <c r="AO121" s="37">
        <v>311</v>
      </c>
      <c r="AP121" s="37">
        <v>0</v>
      </c>
      <c r="AQ121" s="37">
        <v>0</v>
      </c>
      <c r="AR121" s="37">
        <v>137</v>
      </c>
      <c r="AS121" s="37">
        <v>0</v>
      </c>
      <c r="AT121" s="36">
        <v>0</v>
      </c>
      <c r="AU121" s="36">
        <v>0</v>
      </c>
      <c r="AV121" s="37">
        <v>0</v>
      </c>
      <c r="AW121" s="36">
        <v>0</v>
      </c>
      <c r="AX121" s="36">
        <v>0</v>
      </c>
      <c r="AY121" s="36">
        <v>0</v>
      </c>
      <c r="AZ121" s="36">
        <v>0</v>
      </c>
      <c r="BA121" s="36">
        <v>0</v>
      </c>
      <c r="BB121" s="36">
        <v>0</v>
      </c>
      <c r="BC121" s="36">
        <v>1244</v>
      </c>
      <c r="BD121" s="36">
        <v>0</v>
      </c>
    </row>
    <row r="122" spans="1:56" s="43" customFormat="1" ht="24.95" customHeight="1" x14ac:dyDescent="0.25">
      <c r="A122" s="35" t="s">
        <v>223</v>
      </c>
      <c r="B122" s="35"/>
      <c r="C122" s="33" t="s">
        <v>54</v>
      </c>
      <c r="D122" s="36" t="s">
        <v>86</v>
      </c>
      <c r="E122" s="35"/>
      <c r="F122" s="35"/>
      <c r="G122" s="35"/>
      <c r="H122" s="33" t="s">
        <v>46</v>
      </c>
      <c r="I122" s="35"/>
      <c r="J122" s="35"/>
      <c r="K122" s="35"/>
      <c r="L122" s="35"/>
      <c r="M122" s="35"/>
      <c r="N122" s="35"/>
      <c r="O122" s="35"/>
      <c r="P122" s="35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7">
        <v>0</v>
      </c>
      <c r="AG122" s="37">
        <v>0</v>
      </c>
      <c r="AH122" s="37">
        <v>76.400000000000006</v>
      </c>
      <c r="AI122" s="37">
        <v>34.020000000000003</v>
      </c>
      <c r="AJ122" s="37">
        <v>14</v>
      </c>
      <c r="AK122" s="37">
        <v>0</v>
      </c>
      <c r="AL122" s="37">
        <v>0</v>
      </c>
      <c r="AM122" s="37">
        <v>0</v>
      </c>
      <c r="AN122" s="37">
        <v>0</v>
      </c>
      <c r="AO122" s="37">
        <v>83</v>
      </c>
      <c r="AP122" s="37">
        <v>0</v>
      </c>
      <c r="AQ122" s="37">
        <v>0</v>
      </c>
      <c r="AR122" s="37">
        <v>115</v>
      </c>
      <c r="AS122" s="37">
        <v>0</v>
      </c>
      <c r="AT122" s="36">
        <v>0</v>
      </c>
      <c r="AU122" s="36">
        <v>0</v>
      </c>
      <c r="AV122" s="37">
        <v>0</v>
      </c>
      <c r="AW122" s="36">
        <v>0</v>
      </c>
      <c r="AX122" s="36">
        <v>0</v>
      </c>
      <c r="AY122" s="36">
        <v>0</v>
      </c>
      <c r="AZ122" s="36">
        <v>0</v>
      </c>
      <c r="BA122" s="36">
        <v>0</v>
      </c>
      <c r="BB122" s="36">
        <v>0</v>
      </c>
      <c r="BC122" s="36">
        <v>85</v>
      </c>
      <c r="BD122" s="36">
        <v>0</v>
      </c>
    </row>
    <row r="123" spans="1:56" s="43" customFormat="1" ht="24.95" customHeight="1" x14ac:dyDescent="0.25">
      <c r="A123" s="35" t="s">
        <v>223</v>
      </c>
      <c r="B123" s="35"/>
      <c r="C123" s="33" t="s">
        <v>54</v>
      </c>
      <c r="D123" s="36" t="s">
        <v>90</v>
      </c>
      <c r="E123" s="35"/>
      <c r="F123" s="35"/>
      <c r="G123" s="35"/>
      <c r="H123" s="33" t="s">
        <v>46</v>
      </c>
      <c r="I123" s="35"/>
      <c r="J123" s="35"/>
      <c r="K123" s="35"/>
      <c r="L123" s="35"/>
      <c r="M123" s="35"/>
      <c r="N123" s="35"/>
      <c r="O123" s="35"/>
      <c r="P123" s="35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7">
        <v>0</v>
      </c>
      <c r="AG123" s="37">
        <v>0</v>
      </c>
      <c r="AH123" s="37">
        <v>91.199999999999989</v>
      </c>
      <c r="AI123" s="37">
        <v>63.18</v>
      </c>
      <c r="AJ123" s="37">
        <v>26</v>
      </c>
      <c r="AK123" s="37">
        <v>0</v>
      </c>
      <c r="AL123" s="37">
        <v>0</v>
      </c>
      <c r="AM123" s="37">
        <v>0</v>
      </c>
      <c r="AN123" s="37">
        <v>0</v>
      </c>
      <c r="AO123" s="37">
        <v>101</v>
      </c>
      <c r="AP123" s="37">
        <v>0</v>
      </c>
      <c r="AQ123" s="37">
        <v>0</v>
      </c>
      <c r="AR123" s="37">
        <v>142</v>
      </c>
      <c r="AS123" s="37">
        <v>0</v>
      </c>
      <c r="AT123" s="36">
        <v>0</v>
      </c>
      <c r="AU123" s="36">
        <v>0</v>
      </c>
      <c r="AV123" s="37">
        <v>0</v>
      </c>
      <c r="AW123" s="36">
        <v>0</v>
      </c>
      <c r="AX123" s="36">
        <v>0</v>
      </c>
      <c r="AY123" s="36">
        <v>0</v>
      </c>
      <c r="AZ123" s="36">
        <v>0</v>
      </c>
      <c r="BA123" s="36">
        <v>0</v>
      </c>
      <c r="BB123" s="36">
        <v>0</v>
      </c>
      <c r="BC123" s="36">
        <v>131</v>
      </c>
      <c r="BD123" s="36">
        <v>0</v>
      </c>
    </row>
    <row r="124" spans="1:56" s="43" customFormat="1" ht="24.95" customHeight="1" x14ac:dyDescent="0.25">
      <c r="A124" s="35" t="s">
        <v>228</v>
      </c>
      <c r="B124" s="35"/>
      <c r="C124" s="33" t="s">
        <v>54</v>
      </c>
      <c r="D124" s="36" t="s">
        <v>99</v>
      </c>
      <c r="E124" s="35"/>
      <c r="F124" s="35"/>
      <c r="G124" s="35"/>
      <c r="H124" s="33" t="s">
        <v>46</v>
      </c>
      <c r="I124" s="35"/>
      <c r="J124" s="35"/>
      <c r="K124" s="35"/>
      <c r="L124" s="35"/>
      <c r="M124" s="35"/>
      <c r="N124" s="35"/>
      <c r="O124" s="35"/>
      <c r="P124" s="35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7">
        <v>0</v>
      </c>
      <c r="AG124" s="37">
        <v>0</v>
      </c>
      <c r="AH124" s="37">
        <v>0</v>
      </c>
      <c r="AI124" s="37">
        <v>0</v>
      </c>
      <c r="AJ124" s="37">
        <v>0</v>
      </c>
      <c r="AK124" s="37">
        <v>0</v>
      </c>
      <c r="AL124" s="37">
        <v>0</v>
      </c>
      <c r="AM124" s="37">
        <v>0</v>
      </c>
      <c r="AN124" s="37">
        <v>0</v>
      </c>
      <c r="AO124" s="37">
        <v>28</v>
      </c>
      <c r="AP124" s="37">
        <v>0</v>
      </c>
      <c r="AQ124" s="37">
        <v>0</v>
      </c>
      <c r="AR124" s="37">
        <v>15</v>
      </c>
      <c r="AS124" s="37">
        <v>0</v>
      </c>
      <c r="AT124" s="36">
        <v>0</v>
      </c>
      <c r="AU124" s="36">
        <v>0</v>
      </c>
      <c r="AV124" s="37">
        <v>0</v>
      </c>
      <c r="AW124" s="36">
        <v>0</v>
      </c>
      <c r="AX124" s="36">
        <v>0</v>
      </c>
      <c r="AY124" s="36">
        <v>0</v>
      </c>
      <c r="AZ124" s="36">
        <v>0</v>
      </c>
      <c r="BA124" s="36">
        <v>0</v>
      </c>
      <c r="BB124" s="36">
        <v>0</v>
      </c>
      <c r="BC124" s="36">
        <v>168</v>
      </c>
      <c r="BD124" s="36">
        <v>2</v>
      </c>
    </row>
    <row r="125" spans="1:56" s="46" customFormat="1" ht="24.95" customHeight="1" x14ac:dyDescent="0.25">
      <c r="A125" s="44" t="s">
        <v>55</v>
      </c>
      <c r="B125" s="44"/>
      <c r="C125" s="45"/>
      <c r="D125" s="39"/>
      <c r="E125" s="44"/>
      <c r="F125" s="44"/>
      <c r="G125" s="44"/>
      <c r="H125" s="45"/>
      <c r="I125" s="44"/>
      <c r="J125" s="44"/>
      <c r="K125" s="44"/>
      <c r="L125" s="44"/>
      <c r="M125" s="44"/>
      <c r="N125" s="44"/>
      <c r="O125" s="44"/>
      <c r="P125" s="44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>
        <f>SUM(AF102:AF124)</f>
        <v>0</v>
      </c>
      <c r="AG125" s="39">
        <f>SUM(AG102:AG124)</f>
        <v>0</v>
      </c>
      <c r="AH125" s="39">
        <f>SUM(AH102:AH124)</f>
        <v>1886.6000000000004</v>
      </c>
      <c r="AI125" s="39">
        <f>SUM(AI102:AI124)</f>
        <v>918.54000000000008</v>
      </c>
      <c r="AJ125" s="39">
        <f>SUM(AJ102:AJ124)</f>
        <v>378</v>
      </c>
      <c r="AK125" s="39">
        <f>SUM(AK102:AK124)</f>
        <v>0</v>
      </c>
      <c r="AL125" s="39">
        <f>SUM(AL102:AL124)</f>
        <v>0</v>
      </c>
      <c r="AM125" s="39">
        <f>SUM(AM102:AM124)</f>
        <v>0</v>
      </c>
      <c r="AN125" s="39">
        <f>SUM(AN102:AN124)</f>
        <v>0</v>
      </c>
      <c r="AO125" s="39">
        <f>SUM(AO102:AO124)</f>
        <v>3176</v>
      </c>
      <c r="AP125" s="39">
        <f>SUM(AP102:AP124)</f>
        <v>0</v>
      </c>
      <c r="AQ125" s="39">
        <f>SUM(AQ102:AQ124)</f>
        <v>0</v>
      </c>
      <c r="AR125" s="39">
        <f>SUM(AR102:AR124)</f>
        <v>1739</v>
      </c>
      <c r="AS125" s="39">
        <f>SUM(AS102:AS124)</f>
        <v>0</v>
      </c>
      <c r="AT125" s="39">
        <f>SUM(AT102:AT124)</f>
        <v>0</v>
      </c>
      <c r="AU125" s="39">
        <f>SUM(AU102:AU124)</f>
        <v>0</v>
      </c>
      <c r="AV125" s="39">
        <f>SUM(AV102:AV124)</f>
        <v>0</v>
      </c>
      <c r="AW125" s="39">
        <f>SUM(AW102:AW124)</f>
        <v>0</v>
      </c>
      <c r="AX125" s="39">
        <f>SUM(AX102:AX124)</f>
        <v>0</v>
      </c>
      <c r="AY125" s="39">
        <f>SUM(AY102:AY124)</f>
        <v>0</v>
      </c>
      <c r="AZ125" s="39">
        <f>SUM(AZ102:AZ124)</f>
        <v>0</v>
      </c>
      <c r="BA125" s="39">
        <f>SUM(BA102:BA124)</f>
        <v>0</v>
      </c>
      <c r="BB125" s="39">
        <f>SUM(BB102:BB124)</f>
        <v>0</v>
      </c>
      <c r="BC125" s="39">
        <f>SUM(BC102:BC124)</f>
        <v>6044</v>
      </c>
      <c r="BD125" s="39">
        <f>SUM(BD102:BD124)</f>
        <v>2</v>
      </c>
    </row>
    <row r="126" spans="1:56" s="43" customFormat="1" ht="24.95" customHeight="1" x14ac:dyDescent="0.25">
      <c r="A126" s="35" t="s">
        <v>231</v>
      </c>
      <c r="B126" s="35"/>
      <c r="C126" s="33" t="s">
        <v>56</v>
      </c>
      <c r="D126" s="36" t="s">
        <v>107</v>
      </c>
      <c r="E126" s="35"/>
      <c r="F126" s="35"/>
      <c r="G126" s="35"/>
      <c r="H126" s="33" t="s">
        <v>46</v>
      </c>
      <c r="I126" s="35"/>
      <c r="J126" s="35"/>
      <c r="K126" s="35"/>
      <c r="L126" s="35"/>
      <c r="M126" s="35"/>
      <c r="N126" s="35"/>
      <c r="O126" s="35"/>
      <c r="P126" s="35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7">
        <v>0</v>
      </c>
      <c r="AG126" s="37">
        <v>0</v>
      </c>
      <c r="AH126" s="37">
        <v>135.20000000000002</v>
      </c>
      <c r="AI126" s="37">
        <v>43.74</v>
      </c>
      <c r="AJ126" s="37">
        <v>18</v>
      </c>
      <c r="AK126" s="37">
        <v>0</v>
      </c>
      <c r="AL126" s="37">
        <v>11</v>
      </c>
      <c r="AM126" s="37">
        <v>0</v>
      </c>
      <c r="AN126" s="37">
        <v>0</v>
      </c>
      <c r="AO126" s="37">
        <v>158</v>
      </c>
      <c r="AP126" s="37">
        <v>0</v>
      </c>
      <c r="AQ126" s="37">
        <v>0</v>
      </c>
      <c r="AR126" s="37">
        <v>88</v>
      </c>
      <c r="AS126" s="37">
        <v>0</v>
      </c>
      <c r="AT126" s="36">
        <v>0</v>
      </c>
      <c r="AU126" s="36">
        <v>0</v>
      </c>
      <c r="AV126" s="37">
        <v>0</v>
      </c>
      <c r="AW126" s="36">
        <v>0</v>
      </c>
      <c r="AX126" s="36">
        <v>0</v>
      </c>
      <c r="AY126" s="36">
        <v>0</v>
      </c>
      <c r="AZ126" s="36">
        <v>0</v>
      </c>
      <c r="BA126" s="36">
        <v>0</v>
      </c>
      <c r="BB126" s="36">
        <v>0</v>
      </c>
      <c r="BC126" s="36">
        <v>183</v>
      </c>
      <c r="BD126" s="36">
        <v>0</v>
      </c>
    </row>
    <row r="127" spans="1:56" s="43" customFormat="1" ht="24.95" customHeight="1" x14ac:dyDescent="0.25">
      <c r="A127" s="35" t="s">
        <v>230</v>
      </c>
      <c r="B127" s="35"/>
      <c r="C127" s="33" t="s">
        <v>56</v>
      </c>
      <c r="D127" s="36" t="s">
        <v>104</v>
      </c>
      <c r="E127" s="35"/>
      <c r="F127" s="35"/>
      <c r="G127" s="35"/>
      <c r="H127" s="33" t="s">
        <v>46</v>
      </c>
      <c r="I127" s="35"/>
      <c r="J127" s="35"/>
      <c r="K127" s="35"/>
      <c r="L127" s="35"/>
      <c r="M127" s="35"/>
      <c r="N127" s="35"/>
      <c r="O127" s="35"/>
      <c r="P127" s="35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7">
        <v>0</v>
      </c>
      <c r="AG127" s="37">
        <v>0</v>
      </c>
      <c r="AH127" s="37">
        <v>179.2</v>
      </c>
      <c r="AI127" s="37">
        <v>63.18</v>
      </c>
      <c r="AJ127" s="37">
        <v>26</v>
      </c>
      <c r="AK127" s="37">
        <v>0</v>
      </c>
      <c r="AL127" s="37">
        <v>13</v>
      </c>
      <c r="AM127" s="37">
        <v>0</v>
      </c>
      <c r="AN127" s="37">
        <v>0</v>
      </c>
      <c r="AO127" s="37">
        <v>211</v>
      </c>
      <c r="AP127" s="37">
        <v>0</v>
      </c>
      <c r="AQ127" s="37">
        <v>0</v>
      </c>
      <c r="AR127" s="37">
        <v>110</v>
      </c>
      <c r="AS127" s="37">
        <v>0</v>
      </c>
      <c r="AT127" s="36">
        <v>0</v>
      </c>
      <c r="AU127" s="36">
        <v>0</v>
      </c>
      <c r="AV127" s="37">
        <v>0</v>
      </c>
      <c r="AW127" s="36">
        <v>0</v>
      </c>
      <c r="AX127" s="36">
        <v>0</v>
      </c>
      <c r="AY127" s="36">
        <v>0</v>
      </c>
      <c r="AZ127" s="36">
        <v>0</v>
      </c>
      <c r="BA127" s="36">
        <v>0</v>
      </c>
      <c r="BB127" s="36">
        <v>0</v>
      </c>
      <c r="BC127" s="36">
        <v>228</v>
      </c>
      <c r="BD127" s="36">
        <v>0</v>
      </c>
    </row>
    <row r="128" spans="1:56" s="43" customFormat="1" ht="24.95" customHeight="1" x14ac:dyDescent="0.25">
      <c r="A128" s="35" t="s">
        <v>187</v>
      </c>
      <c r="B128" s="35"/>
      <c r="C128" s="33" t="s">
        <v>56</v>
      </c>
      <c r="D128" s="36" t="s">
        <v>191</v>
      </c>
      <c r="E128" s="35"/>
      <c r="F128" s="35"/>
      <c r="G128" s="35"/>
      <c r="H128" s="33" t="s">
        <v>46</v>
      </c>
      <c r="I128" s="35"/>
      <c r="J128" s="35"/>
      <c r="K128" s="35"/>
      <c r="L128" s="35"/>
      <c r="M128" s="35"/>
      <c r="N128" s="35"/>
      <c r="O128" s="35"/>
      <c r="P128" s="35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7">
        <v>0</v>
      </c>
      <c r="AG128" s="37">
        <v>0</v>
      </c>
      <c r="AH128" s="37">
        <v>80.800000000000011</v>
      </c>
      <c r="AI128" s="37">
        <v>24.3</v>
      </c>
      <c r="AJ128" s="37">
        <v>10</v>
      </c>
      <c r="AK128" s="37">
        <v>0</v>
      </c>
      <c r="AL128" s="37">
        <v>10</v>
      </c>
      <c r="AM128" s="37">
        <v>0</v>
      </c>
      <c r="AN128" s="37">
        <v>0</v>
      </c>
      <c r="AO128" s="37">
        <v>103</v>
      </c>
      <c r="AP128" s="37">
        <v>0</v>
      </c>
      <c r="AQ128" s="37">
        <v>0</v>
      </c>
      <c r="AR128" s="37">
        <v>49</v>
      </c>
      <c r="AS128" s="37">
        <v>0</v>
      </c>
      <c r="AT128" s="36">
        <v>0</v>
      </c>
      <c r="AU128" s="36">
        <v>0</v>
      </c>
      <c r="AV128" s="37">
        <v>0</v>
      </c>
      <c r="AW128" s="36">
        <v>0</v>
      </c>
      <c r="AX128" s="36">
        <v>0</v>
      </c>
      <c r="AY128" s="36">
        <v>0</v>
      </c>
      <c r="AZ128" s="36">
        <v>0</v>
      </c>
      <c r="BA128" s="36">
        <v>0</v>
      </c>
      <c r="BB128" s="36">
        <v>0</v>
      </c>
      <c r="BC128" s="36">
        <v>173</v>
      </c>
      <c r="BD128" s="36">
        <v>0</v>
      </c>
    </row>
    <row r="129" spans="1:56" s="43" customFormat="1" ht="24.95" customHeight="1" x14ac:dyDescent="0.25">
      <c r="A129" s="35" t="s">
        <v>187</v>
      </c>
      <c r="B129" s="35"/>
      <c r="C129" s="33" t="s">
        <v>56</v>
      </c>
      <c r="D129" s="36" t="s">
        <v>102</v>
      </c>
      <c r="E129" s="35"/>
      <c r="F129" s="35"/>
      <c r="G129" s="35"/>
      <c r="H129" s="33" t="s">
        <v>46</v>
      </c>
      <c r="I129" s="35"/>
      <c r="J129" s="35"/>
      <c r="K129" s="35"/>
      <c r="L129" s="35"/>
      <c r="M129" s="35"/>
      <c r="N129" s="35"/>
      <c r="O129" s="35"/>
      <c r="P129" s="35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7">
        <v>0</v>
      </c>
      <c r="AG129" s="37">
        <v>0</v>
      </c>
      <c r="AH129" s="37">
        <v>99.199999999999989</v>
      </c>
      <c r="AI129" s="37">
        <v>58.32</v>
      </c>
      <c r="AJ129" s="37">
        <v>24</v>
      </c>
      <c r="AK129" s="37">
        <v>0</v>
      </c>
      <c r="AL129" s="37">
        <v>24</v>
      </c>
      <c r="AM129" s="37">
        <v>0</v>
      </c>
      <c r="AN129" s="37">
        <v>0</v>
      </c>
      <c r="AO129" s="37">
        <v>238</v>
      </c>
      <c r="AP129" s="37">
        <v>0</v>
      </c>
      <c r="AQ129" s="37">
        <v>0</v>
      </c>
      <c r="AR129" s="37">
        <v>94</v>
      </c>
      <c r="AS129" s="37">
        <v>0</v>
      </c>
      <c r="AT129" s="36">
        <v>0</v>
      </c>
      <c r="AU129" s="36">
        <v>0</v>
      </c>
      <c r="AV129" s="37">
        <v>0</v>
      </c>
      <c r="AW129" s="36">
        <v>0</v>
      </c>
      <c r="AX129" s="36">
        <v>0</v>
      </c>
      <c r="AY129" s="36">
        <v>0</v>
      </c>
      <c r="AZ129" s="36">
        <v>0</v>
      </c>
      <c r="BA129" s="36">
        <v>0</v>
      </c>
      <c r="BB129" s="36">
        <v>0</v>
      </c>
      <c r="BC129" s="36">
        <v>920</v>
      </c>
      <c r="BD129" s="36">
        <v>2</v>
      </c>
    </row>
    <row r="130" spans="1:56" s="43" customFormat="1" ht="24.95" customHeight="1" x14ac:dyDescent="0.25">
      <c r="A130" s="35" t="s">
        <v>194</v>
      </c>
      <c r="B130" s="35"/>
      <c r="C130" s="33" t="s">
        <v>56</v>
      </c>
      <c r="D130" s="36" t="s">
        <v>100</v>
      </c>
      <c r="E130" s="35"/>
      <c r="F130" s="35"/>
      <c r="G130" s="35"/>
      <c r="H130" s="33" t="s">
        <v>46</v>
      </c>
      <c r="I130" s="35"/>
      <c r="J130" s="35"/>
      <c r="K130" s="35"/>
      <c r="L130" s="35"/>
      <c r="M130" s="35"/>
      <c r="N130" s="35"/>
      <c r="O130" s="35"/>
      <c r="P130" s="35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7">
        <v>0</v>
      </c>
      <c r="AG130" s="37">
        <v>0</v>
      </c>
      <c r="AH130" s="37">
        <v>18.399999999999999</v>
      </c>
      <c r="AI130" s="37">
        <v>14.580000000000002</v>
      </c>
      <c r="AJ130" s="37">
        <v>6</v>
      </c>
      <c r="AK130" s="37">
        <v>0</v>
      </c>
      <c r="AL130" s="37">
        <v>2</v>
      </c>
      <c r="AM130" s="37">
        <v>0</v>
      </c>
      <c r="AN130" s="37">
        <v>0</v>
      </c>
      <c r="AO130" s="37">
        <v>21</v>
      </c>
      <c r="AP130" s="37">
        <v>0</v>
      </c>
      <c r="AQ130" s="37">
        <v>0</v>
      </c>
      <c r="AR130" s="37">
        <v>9</v>
      </c>
      <c r="AS130" s="37">
        <v>0</v>
      </c>
      <c r="AT130" s="36">
        <v>0</v>
      </c>
      <c r="AU130" s="36">
        <v>0</v>
      </c>
      <c r="AV130" s="37">
        <v>0</v>
      </c>
      <c r="AW130" s="36">
        <v>0</v>
      </c>
      <c r="AX130" s="36">
        <v>0</v>
      </c>
      <c r="AY130" s="36">
        <v>0</v>
      </c>
      <c r="AZ130" s="36">
        <v>0</v>
      </c>
      <c r="BA130" s="36">
        <v>0</v>
      </c>
      <c r="BB130" s="36">
        <v>0</v>
      </c>
      <c r="BC130" s="36">
        <v>33</v>
      </c>
      <c r="BD130" s="36">
        <v>0</v>
      </c>
    </row>
    <row r="131" spans="1:56" s="43" customFormat="1" ht="24.95" customHeight="1" x14ac:dyDescent="0.25">
      <c r="A131" s="35" t="s">
        <v>194</v>
      </c>
      <c r="B131" s="35"/>
      <c r="C131" s="33" t="s">
        <v>56</v>
      </c>
      <c r="D131" s="36" t="s">
        <v>192</v>
      </c>
      <c r="E131" s="35"/>
      <c r="F131" s="35"/>
      <c r="G131" s="35"/>
      <c r="H131" s="33" t="s">
        <v>46</v>
      </c>
      <c r="I131" s="35"/>
      <c r="J131" s="35"/>
      <c r="K131" s="35"/>
      <c r="L131" s="35"/>
      <c r="M131" s="35"/>
      <c r="N131" s="35"/>
      <c r="O131" s="35"/>
      <c r="P131" s="35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7">
        <v>0</v>
      </c>
      <c r="AG131" s="37">
        <v>0</v>
      </c>
      <c r="AH131" s="37">
        <v>82.399999999999991</v>
      </c>
      <c r="AI131" s="37">
        <v>0</v>
      </c>
      <c r="AJ131" s="37">
        <v>0</v>
      </c>
      <c r="AK131" s="37">
        <v>0</v>
      </c>
      <c r="AL131" s="37">
        <v>6</v>
      </c>
      <c r="AM131" s="37">
        <v>0</v>
      </c>
      <c r="AN131" s="37">
        <v>0</v>
      </c>
      <c r="AO131" s="37">
        <v>101</v>
      </c>
      <c r="AP131" s="37">
        <v>0</v>
      </c>
      <c r="AQ131" s="37">
        <v>0</v>
      </c>
      <c r="AR131" s="37">
        <v>41</v>
      </c>
      <c r="AS131" s="37">
        <v>0</v>
      </c>
      <c r="AT131" s="36">
        <v>0</v>
      </c>
      <c r="AU131" s="36">
        <v>0</v>
      </c>
      <c r="AV131" s="37">
        <v>0</v>
      </c>
      <c r="AW131" s="36">
        <v>0</v>
      </c>
      <c r="AX131" s="36">
        <v>0</v>
      </c>
      <c r="AY131" s="36">
        <v>0</v>
      </c>
      <c r="AZ131" s="36">
        <v>0</v>
      </c>
      <c r="BA131" s="36">
        <v>0</v>
      </c>
      <c r="BB131" s="36">
        <v>0</v>
      </c>
      <c r="BC131" s="36">
        <v>127</v>
      </c>
      <c r="BD131" s="36">
        <v>8</v>
      </c>
    </row>
    <row r="132" spans="1:56" s="43" customFormat="1" ht="24.95" customHeight="1" x14ac:dyDescent="0.25">
      <c r="A132" s="35" t="s">
        <v>194</v>
      </c>
      <c r="B132" s="35"/>
      <c r="C132" s="33" t="s">
        <v>56</v>
      </c>
      <c r="D132" s="36" t="s">
        <v>106</v>
      </c>
      <c r="E132" s="35"/>
      <c r="F132" s="35"/>
      <c r="G132" s="35"/>
      <c r="H132" s="33" t="s">
        <v>46</v>
      </c>
      <c r="I132" s="35"/>
      <c r="J132" s="35"/>
      <c r="K132" s="35"/>
      <c r="L132" s="35"/>
      <c r="M132" s="35"/>
      <c r="N132" s="35"/>
      <c r="O132" s="35"/>
      <c r="P132" s="35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7">
        <v>0</v>
      </c>
      <c r="AG132" s="37">
        <v>0</v>
      </c>
      <c r="AH132" s="37">
        <v>122.39999999999999</v>
      </c>
      <c r="AI132" s="37">
        <v>0</v>
      </c>
      <c r="AJ132" s="37">
        <v>0</v>
      </c>
      <c r="AK132" s="37">
        <v>0</v>
      </c>
      <c r="AL132" s="37">
        <v>10</v>
      </c>
      <c r="AM132" s="37">
        <v>0</v>
      </c>
      <c r="AN132" s="37">
        <v>0</v>
      </c>
      <c r="AO132" s="37">
        <v>162</v>
      </c>
      <c r="AP132" s="37">
        <v>0</v>
      </c>
      <c r="AQ132" s="37">
        <v>0</v>
      </c>
      <c r="AR132" s="37">
        <v>91</v>
      </c>
      <c r="AS132" s="37">
        <v>0</v>
      </c>
      <c r="AT132" s="36">
        <v>0</v>
      </c>
      <c r="AU132" s="36">
        <v>0</v>
      </c>
      <c r="AV132" s="37">
        <v>0</v>
      </c>
      <c r="AW132" s="36">
        <v>0</v>
      </c>
      <c r="AX132" s="36">
        <v>0</v>
      </c>
      <c r="AY132" s="36">
        <v>0</v>
      </c>
      <c r="AZ132" s="36">
        <v>0</v>
      </c>
      <c r="BA132" s="36">
        <v>0</v>
      </c>
      <c r="BB132" s="36">
        <v>0</v>
      </c>
      <c r="BC132" s="36">
        <v>237</v>
      </c>
      <c r="BD132" s="36">
        <v>20</v>
      </c>
    </row>
    <row r="133" spans="1:56" s="43" customFormat="1" ht="24.95" customHeight="1" x14ac:dyDescent="0.25">
      <c r="A133" s="35" t="s">
        <v>193</v>
      </c>
      <c r="B133" s="35"/>
      <c r="C133" s="33" t="s">
        <v>56</v>
      </c>
      <c r="D133" s="36" t="s">
        <v>190</v>
      </c>
      <c r="E133" s="35"/>
      <c r="F133" s="35"/>
      <c r="G133" s="35"/>
      <c r="H133" s="33" t="s">
        <v>46</v>
      </c>
      <c r="I133" s="35"/>
      <c r="J133" s="35"/>
      <c r="K133" s="35"/>
      <c r="L133" s="35"/>
      <c r="M133" s="35"/>
      <c r="N133" s="35"/>
      <c r="O133" s="35"/>
      <c r="P133" s="35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7">
        <v>0</v>
      </c>
      <c r="AG133" s="37">
        <v>0</v>
      </c>
      <c r="AH133" s="37">
        <v>114</v>
      </c>
      <c r="AI133" s="37">
        <v>38.880000000000003</v>
      </c>
      <c r="AJ133" s="37">
        <v>16</v>
      </c>
      <c r="AK133" s="37">
        <v>0</v>
      </c>
      <c r="AL133" s="37">
        <v>7</v>
      </c>
      <c r="AM133" s="37">
        <v>0</v>
      </c>
      <c r="AN133" s="37">
        <v>0</v>
      </c>
      <c r="AO133" s="37">
        <v>141</v>
      </c>
      <c r="AP133" s="37">
        <v>0</v>
      </c>
      <c r="AQ133" s="37">
        <v>0</v>
      </c>
      <c r="AR133" s="37">
        <v>58</v>
      </c>
      <c r="AS133" s="37">
        <v>0</v>
      </c>
      <c r="AT133" s="36">
        <v>0</v>
      </c>
      <c r="AU133" s="36">
        <v>0</v>
      </c>
      <c r="AV133" s="37">
        <v>0</v>
      </c>
      <c r="AW133" s="36">
        <v>0</v>
      </c>
      <c r="AX133" s="36">
        <v>0</v>
      </c>
      <c r="AY133" s="36">
        <v>0</v>
      </c>
      <c r="AZ133" s="36">
        <v>0</v>
      </c>
      <c r="BA133" s="36">
        <v>0</v>
      </c>
      <c r="BB133" s="36">
        <v>0</v>
      </c>
      <c r="BC133" s="36">
        <v>148</v>
      </c>
      <c r="BD133" s="36">
        <v>0</v>
      </c>
    </row>
    <row r="134" spans="1:56" s="43" customFormat="1" ht="24.95" customHeight="1" x14ac:dyDescent="0.25">
      <c r="A134" s="35" t="s">
        <v>193</v>
      </c>
      <c r="B134" s="35"/>
      <c r="C134" s="33" t="s">
        <v>56</v>
      </c>
      <c r="D134" s="36" t="s">
        <v>101</v>
      </c>
      <c r="E134" s="35"/>
      <c r="F134" s="35"/>
      <c r="G134" s="35"/>
      <c r="H134" s="33" t="s">
        <v>46</v>
      </c>
      <c r="I134" s="35"/>
      <c r="J134" s="35"/>
      <c r="K134" s="35"/>
      <c r="L134" s="35"/>
      <c r="M134" s="35"/>
      <c r="N134" s="35"/>
      <c r="O134" s="35"/>
      <c r="P134" s="35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7">
        <v>0</v>
      </c>
      <c r="AG134" s="37">
        <v>0</v>
      </c>
      <c r="AH134" s="37">
        <v>24.6</v>
      </c>
      <c r="AI134" s="37">
        <v>19.440000000000001</v>
      </c>
      <c r="AJ134" s="37">
        <v>8</v>
      </c>
      <c r="AK134" s="37">
        <v>0</v>
      </c>
      <c r="AL134" s="37">
        <v>4</v>
      </c>
      <c r="AM134" s="37">
        <v>0</v>
      </c>
      <c r="AN134" s="37">
        <v>0</v>
      </c>
      <c r="AO134" s="37">
        <v>58</v>
      </c>
      <c r="AP134" s="37">
        <v>0</v>
      </c>
      <c r="AQ134" s="37">
        <v>0</v>
      </c>
      <c r="AR134" s="37">
        <v>29</v>
      </c>
      <c r="AS134" s="37">
        <v>0</v>
      </c>
      <c r="AT134" s="36">
        <v>0</v>
      </c>
      <c r="AU134" s="36">
        <v>0</v>
      </c>
      <c r="AV134" s="37">
        <v>0</v>
      </c>
      <c r="AW134" s="36">
        <v>0</v>
      </c>
      <c r="AX134" s="36">
        <v>0</v>
      </c>
      <c r="AY134" s="36">
        <v>0</v>
      </c>
      <c r="AZ134" s="36">
        <v>0</v>
      </c>
      <c r="BA134" s="36">
        <v>0</v>
      </c>
      <c r="BB134" s="36">
        <v>0</v>
      </c>
      <c r="BC134" s="36">
        <v>217</v>
      </c>
      <c r="BD134" s="36">
        <v>4</v>
      </c>
    </row>
    <row r="135" spans="1:56" s="43" customFormat="1" ht="24.95" customHeight="1" x14ac:dyDescent="0.25">
      <c r="A135" s="35" t="s">
        <v>193</v>
      </c>
      <c r="B135" s="35"/>
      <c r="C135" s="33" t="s">
        <v>56</v>
      </c>
      <c r="D135" s="36" t="s">
        <v>105</v>
      </c>
      <c r="E135" s="35"/>
      <c r="F135" s="35"/>
      <c r="G135" s="35"/>
      <c r="H135" s="33" t="s">
        <v>46</v>
      </c>
      <c r="I135" s="35"/>
      <c r="J135" s="35"/>
      <c r="K135" s="35"/>
      <c r="L135" s="35"/>
      <c r="M135" s="35"/>
      <c r="N135" s="35"/>
      <c r="O135" s="35"/>
      <c r="P135" s="35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7">
        <v>0</v>
      </c>
      <c r="AG135" s="37">
        <v>0</v>
      </c>
      <c r="AH135" s="37">
        <v>280</v>
      </c>
      <c r="AI135" s="37">
        <v>7.2900000000000009</v>
      </c>
      <c r="AJ135" s="37">
        <v>3</v>
      </c>
      <c r="AK135" s="37">
        <v>0</v>
      </c>
      <c r="AL135" s="37">
        <v>20</v>
      </c>
      <c r="AM135" s="37">
        <v>0</v>
      </c>
      <c r="AN135" s="37">
        <v>0</v>
      </c>
      <c r="AO135" s="37">
        <v>332</v>
      </c>
      <c r="AP135" s="37">
        <v>0</v>
      </c>
      <c r="AQ135" s="37">
        <v>0</v>
      </c>
      <c r="AR135" s="37">
        <v>160</v>
      </c>
      <c r="AS135" s="37">
        <v>0</v>
      </c>
      <c r="AT135" s="36">
        <v>0</v>
      </c>
      <c r="AU135" s="36">
        <v>0</v>
      </c>
      <c r="AV135" s="37">
        <v>0</v>
      </c>
      <c r="AW135" s="36">
        <v>0</v>
      </c>
      <c r="AX135" s="36">
        <v>0</v>
      </c>
      <c r="AY135" s="36">
        <v>0</v>
      </c>
      <c r="AZ135" s="36">
        <v>0</v>
      </c>
      <c r="BA135" s="36">
        <v>0</v>
      </c>
      <c r="BB135" s="36">
        <v>0</v>
      </c>
      <c r="BC135" s="36">
        <v>359</v>
      </c>
      <c r="BD135" s="36">
        <v>26</v>
      </c>
    </row>
    <row r="136" spans="1:56" s="43" customFormat="1" ht="24.95" customHeight="1" x14ac:dyDescent="0.25">
      <c r="A136" s="35" t="s">
        <v>229</v>
      </c>
      <c r="B136" s="35"/>
      <c r="C136" s="33" t="s">
        <v>56</v>
      </c>
      <c r="D136" s="36" t="s">
        <v>103</v>
      </c>
      <c r="E136" s="35"/>
      <c r="F136" s="35"/>
      <c r="G136" s="35"/>
      <c r="H136" s="33" t="s">
        <v>46</v>
      </c>
      <c r="I136" s="35"/>
      <c r="J136" s="35"/>
      <c r="K136" s="35"/>
      <c r="L136" s="35"/>
      <c r="M136" s="35"/>
      <c r="N136" s="35"/>
      <c r="O136" s="35"/>
      <c r="P136" s="35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7">
        <v>0</v>
      </c>
      <c r="AG136" s="37">
        <v>0</v>
      </c>
      <c r="AH136" s="37">
        <v>16.8</v>
      </c>
      <c r="AI136" s="37">
        <v>26.73</v>
      </c>
      <c r="AJ136" s="37">
        <v>11</v>
      </c>
      <c r="AK136" s="37">
        <v>0</v>
      </c>
      <c r="AL136" s="37">
        <v>0</v>
      </c>
      <c r="AM136" s="37">
        <v>0</v>
      </c>
      <c r="AN136" s="37">
        <v>0</v>
      </c>
      <c r="AO136" s="37">
        <v>25</v>
      </c>
      <c r="AP136" s="37">
        <v>0</v>
      </c>
      <c r="AQ136" s="37">
        <v>0</v>
      </c>
      <c r="AR136" s="37">
        <v>21</v>
      </c>
      <c r="AS136" s="37">
        <v>0</v>
      </c>
      <c r="AT136" s="36">
        <v>0</v>
      </c>
      <c r="AU136" s="36">
        <v>0</v>
      </c>
      <c r="AV136" s="37">
        <v>0</v>
      </c>
      <c r="AW136" s="36">
        <v>0</v>
      </c>
      <c r="AX136" s="36">
        <v>0</v>
      </c>
      <c r="AY136" s="36">
        <v>0</v>
      </c>
      <c r="AZ136" s="36">
        <v>0</v>
      </c>
      <c r="BA136" s="36">
        <v>0</v>
      </c>
      <c r="BB136" s="36">
        <v>0</v>
      </c>
      <c r="BC136" s="36">
        <v>75</v>
      </c>
      <c r="BD136" s="36">
        <v>0</v>
      </c>
    </row>
    <row r="137" spans="1:56" s="46" customFormat="1" ht="24.95" customHeight="1" x14ac:dyDescent="0.25">
      <c r="A137" s="44" t="s">
        <v>57</v>
      </c>
      <c r="B137" s="44"/>
      <c r="C137" s="45"/>
      <c r="D137" s="39"/>
      <c r="E137" s="44"/>
      <c r="F137" s="44"/>
      <c r="G137" s="44"/>
      <c r="H137" s="45"/>
      <c r="I137" s="44"/>
      <c r="J137" s="44"/>
      <c r="K137" s="44"/>
      <c r="L137" s="44"/>
      <c r="M137" s="44"/>
      <c r="N137" s="44"/>
      <c r="O137" s="44"/>
      <c r="P137" s="44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44">
        <f>SUM(AF126:AF136)</f>
        <v>0</v>
      </c>
      <c r="AG137" s="44">
        <f>SUM(AG126:AG136)</f>
        <v>0</v>
      </c>
      <c r="AH137" s="44">
        <f>SUM(AH126:AH136)</f>
        <v>1152.9999999999998</v>
      </c>
      <c r="AI137" s="44">
        <f>SUM(AI126:AI136)</f>
        <v>296.46000000000004</v>
      </c>
      <c r="AJ137" s="44">
        <f>SUM(AJ126:AJ136)</f>
        <v>122</v>
      </c>
      <c r="AK137" s="44">
        <f>SUM(AK126:AK136)</f>
        <v>0</v>
      </c>
      <c r="AL137" s="44">
        <f>SUM(AL126:AL136)</f>
        <v>107</v>
      </c>
      <c r="AM137" s="44">
        <f>SUM(AM126:AM136)</f>
        <v>0</v>
      </c>
      <c r="AN137" s="44">
        <f>SUM(AN126:AN136)</f>
        <v>0</v>
      </c>
      <c r="AO137" s="44">
        <f>SUM(AO126:AO136)</f>
        <v>1550</v>
      </c>
      <c r="AP137" s="44">
        <f>SUM(AP126:AP136)</f>
        <v>0</v>
      </c>
      <c r="AQ137" s="44">
        <f>SUM(AQ126:AQ136)</f>
        <v>0</v>
      </c>
      <c r="AR137" s="44">
        <f>SUM(AR126:AR136)</f>
        <v>750</v>
      </c>
      <c r="AS137" s="44">
        <f>SUM(AS126:AS136)</f>
        <v>0</v>
      </c>
      <c r="AT137" s="44">
        <f>SUM(AT126:AT136)</f>
        <v>0</v>
      </c>
      <c r="AU137" s="44">
        <f>SUM(AU126:AU136)</f>
        <v>0</v>
      </c>
      <c r="AV137" s="44">
        <f>SUM(AV126:AV136)</f>
        <v>0</v>
      </c>
      <c r="AW137" s="44">
        <f>SUM(AW126:AW136)</f>
        <v>0</v>
      </c>
      <c r="AX137" s="44">
        <f>SUM(AX126:AX136)</f>
        <v>0</v>
      </c>
      <c r="AY137" s="44">
        <f>SUM(AY126:AY136)</f>
        <v>0</v>
      </c>
      <c r="AZ137" s="44">
        <f>SUM(AZ126:AZ136)</f>
        <v>0</v>
      </c>
      <c r="BA137" s="44">
        <f>SUM(BA126:BA136)</f>
        <v>0</v>
      </c>
      <c r="BB137" s="44">
        <f>SUM(BB126:BB136)</f>
        <v>0</v>
      </c>
      <c r="BC137" s="44">
        <f>SUM(BC126:BC136)</f>
        <v>2700</v>
      </c>
      <c r="BD137" s="44">
        <f>SUM(BD126:BD136)</f>
        <v>60</v>
      </c>
    </row>
    <row r="138" spans="1:56" s="43" customFormat="1" ht="24.95" customHeight="1" x14ac:dyDescent="0.25">
      <c r="A138" s="35" t="s">
        <v>216</v>
      </c>
      <c r="B138" s="35"/>
      <c r="C138" s="33" t="s">
        <v>58</v>
      </c>
      <c r="D138" s="36" t="s">
        <v>108</v>
      </c>
      <c r="E138" s="35"/>
      <c r="F138" s="35"/>
      <c r="G138" s="35"/>
      <c r="H138" s="33" t="s">
        <v>46</v>
      </c>
      <c r="I138" s="35"/>
      <c r="J138" s="35"/>
      <c r="K138" s="35"/>
      <c r="L138" s="35"/>
      <c r="M138" s="35"/>
      <c r="N138" s="35"/>
      <c r="O138" s="35"/>
      <c r="P138" s="35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7">
        <v>0</v>
      </c>
      <c r="AG138" s="37">
        <v>0</v>
      </c>
      <c r="AH138" s="37">
        <v>176</v>
      </c>
      <c r="AI138" s="37">
        <v>53.46</v>
      </c>
      <c r="AJ138" s="37">
        <v>22</v>
      </c>
      <c r="AK138" s="37">
        <v>0</v>
      </c>
      <c r="AL138" s="37">
        <v>22</v>
      </c>
      <c r="AM138" s="37">
        <v>0</v>
      </c>
      <c r="AN138" s="37">
        <v>0</v>
      </c>
      <c r="AO138" s="37">
        <v>242</v>
      </c>
      <c r="AP138" s="37">
        <v>0</v>
      </c>
      <c r="AQ138" s="37">
        <v>0</v>
      </c>
      <c r="AR138" s="37">
        <v>88</v>
      </c>
      <c r="AS138" s="37">
        <v>0</v>
      </c>
      <c r="AT138" s="36">
        <v>0</v>
      </c>
      <c r="AU138" s="36">
        <v>0</v>
      </c>
      <c r="AV138" s="37">
        <v>0</v>
      </c>
      <c r="AW138" s="36">
        <v>0</v>
      </c>
      <c r="AX138" s="36">
        <v>0</v>
      </c>
      <c r="AY138" s="36">
        <v>0</v>
      </c>
      <c r="AZ138" s="36">
        <v>0</v>
      </c>
      <c r="BA138" s="36">
        <v>0</v>
      </c>
      <c r="BB138" s="36">
        <v>0</v>
      </c>
      <c r="BC138" s="36">
        <v>484</v>
      </c>
      <c r="BD138" s="36">
        <v>0</v>
      </c>
    </row>
    <row r="139" spans="1:56" s="43" customFormat="1" ht="24.95" customHeight="1" x14ac:dyDescent="0.25">
      <c r="A139" s="35" t="s">
        <v>187</v>
      </c>
      <c r="B139" s="35"/>
      <c r="C139" s="33" t="s">
        <v>58</v>
      </c>
      <c r="D139" s="36" t="s">
        <v>111</v>
      </c>
      <c r="E139" s="35"/>
      <c r="F139" s="35"/>
      <c r="G139" s="35"/>
      <c r="H139" s="33" t="s">
        <v>46</v>
      </c>
      <c r="I139" s="35"/>
      <c r="J139" s="35"/>
      <c r="K139" s="35"/>
      <c r="L139" s="35"/>
      <c r="M139" s="35"/>
      <c r="N139" s="35"/>
      <c r="O139" s="35"/>
      <c r="P139" s="35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7">
        <v>0</v>
      </c>
      <c r="AG139" s="37">
        <v>0</v>
      </c>
      <c r="AH139" s="37">
        <v>23.4</v>
      </c>
      <c r="AI139" s="37">
        <v>65.610000000000014</v>
      </c>
      <c r="AJ139" s="37">
        <v>27</v>
      </c>
      <c r="AK139" s="37">
        <v>0</v>
      </c>
      <c r="AL139" s="37">
        <v>0</v>
      </c>
      <c r="AM139" s="37">
        <v>0</v>
      </c>
      <c r="AN139" s="37">
        <v>0</v>
      </c>
      <c r="AO139" s="37">
        <v>46</v>
      </c>
      <c r="AP139" s="37">
        <v>0</v>
      </c>
      <c r="AQ139" s="37">
        <v>0</v>
      </c>
      <c r="AR139" s="37">
        <v>63</v>
      </c>
      <c r="AS139" s="37">
        <v>0</v>
      </c>
      <c r="AT139" s="36">
        <v>0</v>
      </c>
      <c r="AU139" s="36">
        <v>0</v>
      </c>
      <c r="AV139" s="37">
        <v>0</v>
      </c>
      <c r="AW139" s="36">
        <v>0</v>
      </c>
      <c r="AX139" s="36">
        <v>0</v>
      </c>
      <c r="AY139" s="36">
        <v>0</v>
      </c>
      <c r="AZ139" s="36">
        <v>0</v>
      </c>
      <c r="BA139" s="36">
        <v>0</v>
      </c>
      <c r="BB139" s="36">
        <v>0</v>
      </c>
      <c r="BC139" s="36">
        <v>197</v>
      </c>
      <c r="BD139" s="36">
        <v>0</v>
      </c>
    </row>
    <row r="140" spans="1:56" s="43" customFormat="1" ht="24.95" customHeight="1" x14ac:dyDescent="0.25">
      <c r="A140" s="35" t="s">
        <v>233</v>
      </c>
      <c r="B140" s="35"/>
      <c r="C140" s="33" t="s">
        <v>58</v>
      </c>
      <c r="D140" s="36" t="s">
        <v>110</v>
      </c>
      <c r="E140" s="35"/>
      <c r="F140" s="35"/>
      <c r="G140" s="35"/>
      <c r="H140" s="33" t="s">
        <v>46</v>
      </c>
      <c r="I140" s="35"/>
      <c r="J140" s="35"/>
      <c r="K140" s="35"/>
      <c r="L140" s="35"/>
      <c r="M140" s="35"/>
      <c r="N140" s="35"/>
      <c r="O140" s="35"/>
      <c r="P140" s="35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7">
        <v>0</v>
      </c>
      <c r="AG140" s="37">
        <v>0</v>
      </c>
      <c r="AH140" s="37">
        <v>147.19999999999999</v>
      </c>
      <c r="AI140" s="37">
        <v>48.6</v>
      </c>
      <c r="AJ140" s="37">
        <v>20</v>
      </c>
      <c r="AK140" s="37">
        <v>0</v>
      </c>
      <c r="AL140" s="37">
        <v>8</v>
      </c>
      <c r="AM140" s="37">
        <v>0</v>
      </c>
      <c r="AN140" s="37">
        <v>0</v>
      </c>
      <c r="AO140" s="37">
        <v>214</v>
      </c>
      <c r="AP140" s="37">
        <v>0</v>
      </c>
      <c r="AQ140" s="37">
        <v>0</v>
      </c>
      <c r="AR140" s="37">
        <v>81</v>
      </c>
      <c r="AS140" s="37">
        <v>0</v>
      </c>
      <c r="AT140" s="36">
        <v>0</v>
      </c>
      <c r="AU140" s="36">
        <v>0</v>
      </c>
      <c r="AV140" s="37">
        <v>0</v>
      </c>
      <c r="AW140" s="36">
        <v>0</v>
      </c>
      <c r="AX140" s="36">
        <v>0</v>
      </c>
      <c r="AY140" s="36">
        <v>0</v>
      </c>
      <c r="AZ140" s="36">
        <v>0</v>
      </c>
      <c r="BA140" s="36">
        <v>0</v>
      </c>
      <c r="BB140" s="36">
        <v>0</v>
      </c>
      <c r="BC140" s="36">
        <v>409</v>
      </c>
      <c r="BD140" s="36">
        <v>0</v>
      </c>
    </row>
    <row r="141" spans="1:56" s="43" customFormat="1" ht="24.95" customHeight="1" x14ac:dyDescent="0.25">
      <c r="A141" s="35" t="s">
        <v>196</v>
      </c>
      <c r="B141" s="35"/>
      <c r="C141" s="33" t="s">
        <v>58</v>
      </c>
      <c r="D141" s="36" t="s">
        <v>113</v>
      </c>
      <c r="E141" s="35"/>
      <c r="F141" s="35"/>
      <c r="G141" s="35"/>
      <c r="H141" s="33" t="s">
        <v>46</v>
      </c>
      <c r="I141" s="35"/>
      <c r="J141" s="35"/>
      <c r="K141" s="35"/>
      <c r="L141" s="35"/>
      <c r="M141" s="35"/>
      <c r="N141" s="35"/>
      <c r="O141" s="35"/>
      <c r="P141" s="35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7">
        <v>0</v>
      </c>
      <c r="AG141" s="37">
        <v>0</v>
      </c>
      <c r="AH141" s="37">
        <v>119.19999999999999</v>
      </c>
      <c r="AI141" s="37">
        <v>29.16</v>
      </c>
      <c r="AJ141" s="37">
        <v>12</v>
      </c>
      <c r="AK141" s="37">
        <v>0</v>
      </c>
      <c r="AL141" s="37">
        <v>8</v>
      </c>
      <c r="AM141" s="37">
        <v>0</v>
      </c>
      <c r="AN141" s="37">
        <v>0</v>
      </c>
      <c r="AO141" s="37">
        <v>141</v>
      </c>
      <c r="AP141" s="37">
        <v>0</v>
      </c>
      <c r="AQ141" s="37">
        <v>0</v>
      </c>
      <c r="AR141" s="37">
        <v>68</v>
      </c>
      <c r="AS141" s="37">
        <v>0</v>
      </c>
      <c r="AT141" s="36">
        <v>0</v>
      </c>
      <c r="AU141" s="36">
        <v>0</v>
      </c>
      <c r="AV141" s="37">
        <v>0</v>
      </c>
      <c r="AW141" s="36">
        <v>0</v>
      </c>
      <c r="AX141" s="36">
        <v>0</v>
      </c>
      <c r="AY141" s="36">
        <v>0</v>
      </c>
      <c r="AZ141" s="36">
        <v>0</v>
      </c>
      <c r="BA141" s="36">
        <v>0</v>
      </c>
      <c r="BB141" s="36">
        <v>0</v>
      </c>
      <c r="BC141" s="36">
        <v>149</v>
      </c>
      <c r="BD141" s="36">
        <v>0</v>
      </c>
    </row>
    <row r="142" spans="1:56" s="43" customFormat="1" ht="24.95" customHeight="1" x14ac:dyDescent="0.25">
      <c r="A142" s="35" t="s">
        <v>196</v>
      </c>
      <c r="B142" s="35"/>
      <c r="C142" s="33" t="s">
        <v>58</v>
      </c>
      <c r="D142" s="36" t="s">
        <v>195</v>
      </c>
      <c r="E142" s="35"/>
      <c r="F142" s="35"/>
      <c r="G142" s="35"/>
      <c r="H142" s="33" t="s">
        <v>46</v>
      </c>
      <c r="I142" s="35"/>
      <c r="J142" s="35"/>
      <c r="K142" s="35"/>
      <c r="L142" s="35"/>
      <c r="M142" s="35"/>
      <c r="N142" s="35"/>
      <c r="O142" s="35"/>
      <c r="P142" s="35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7">
        <v>0</v>
      </c>
      <c r="AG142" s="37">
        <v>0</v>
      </c>
      <c r="AH142" s="37">
        <v>132.6</v>
      </c>
      <c r="AI142" s="37">
        <v>53.46</v>
      </c>
      <c r="AJ142" s="37">
        <v>22</v>
      </c>
      <c r="AK142" s="37">
        <v>0</v>
      </c>
      <c r="AL142" s="37">
        <v>10</v>
      </c>
      <c r="AM142" s="37">
        <v>0</v>
      </c>
      <c r="AN142" s="37">
        <v>0</v>
      </c>
      <c r="AO142" s="37">
        <v>201</v>
      </c>
      <c r="AP142" s="37">
        <v>0</v>
      </c>
      <c r="AQ142" s="37">
        <v>0</v>
      </c>
      <c r="AR142" s="37">
        <v>102</v>
      </c>
      <c r="AS142" s="37">
        <v>0</v>
      </c>
      <c r="AT142" s="36">
        <v>0</v>
      </c>
      <c r="AU142" s="36">
        <v>0</v>
      </c>
      <c r="AV142" s="37">
        <v>0</v>
      </c>
      <c r="AW142" s="36">
        <v>0</v>
      </c>
      <c r="AX142" s="36">
        <v>0</v>
      </c>
      <c r="AY142" s="36">
        <v>0</v>
      </c>
      <c r="AZ142" s="36">
        <v>0</v>
      </c>
      <c r="BA142" s="36">
        <v>0</v>
      </c>
      <c r="BB142" s="36">
        <v>0</v>
      </c>
      <c r="BC142" s="36">
        <v>346</v>
      </c>
      <c r="BD142" s="36">
        <v>0</v>
      </c>
    </row>
    <row r="143" spans="1:56" s="43" customFormat="1" ht="24.95" customHeight="1" x14ac:dyDescent="0.25">
      <c r="A143" s="35" t="s">
        <v>234</v>
      </c>
      <c r="B143" s="35"/>
      <c r="C143" s="33" t="s">
        <v>58</v>
      </c>
      <c r="D143" s="36" t="s">
        <v>112</v>
      </c>
      <c r="E143" s="35"/>
      <c r="F143" s="35"/>
      <c r="G143" s="35"/>
      <c r="H143" s="33" t="s">
        <v>46</v>
      </c>
      <c r="I143" s="35"/>
      <c r="J143" s="35"/>
      <c r="K143" s="35"/>
      <c r="L143" s="35"/>
      <c r="M143" s="35"/>
      <c r="N143" s="35"/>
      <c r="O143" s="35"/>
      <c r="P143" s="35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7">
        <v>0</v>
      </c>
      <c r="AG143" s="37">
        <v>0</v>
      </c>
      <c r="AH143" s="37">
        <v>182</v>
      </c>
      <c r="AI143" s="37">
        <v>77.760000000000005</v>
      </c>
      <c r="AJ143" s="37">
        <v>32</v>
      </c>
      <c r="AK143" s="37">
        <v>0</v>
      </c>
      <c r="AL143" s="37">
        <v>12</v>
      </c>
      <c r="AM143" s="37">
        <v>0</v>
      </c>
      <c r="AN143" s="37">
        <v>0</v>
      </c>
      <c r="AO143" s="37">
        <v>226</v>
      </c>
      <c r="AP143" s="37">
        <v>0</v>
      </c>
      <c r="AQ143" s="37">
        <v>0</v>
      </c>
      <c r="AR143" s="37">
        <v>127</v>
      </c>
      <c r="AS143" s="37">
        <v>0</v>
      </c>
      <c r="AT143" s="36">
        <v>0</v>
      </c>
      <c r="AU143" s="36">
        <v>0</v>
      </c>
      <c r="AV143" s="37">
        <v>0</v>
      </c>
      <c r="AW143" s="36">
        <v>0</v>
      </c>
      <c r="AX143" s="36">
        <v>0</v>
      </c>
      <c r="AY143" s="36">
        <v>0</v>
      </c>
      <c r="AZ143" s="36">
        <v>0</v>
      </c>
      <c r="BA143" s="36">
        <v>0</v>
      </c>
      <c r="BB143" s="36">
        <v>0</v>
      </c>
      <c r="BC143" s="36">
        <v>256</v>
      </c>
      <c r="BD143" s="36">
        <v>0</v>
      </c>
    </row>
    <row r="144" spans="1:56" s="43" customFormat="1" ht="24.95" customHeight="1" x14ac:dyDescent="0.25">
      <c r="A144" s="35" t="s">
        <v>232</v>
      </c>
      <c r="B144" s="35"/>
      <c r="C144" s="33" t="s">
        <v>58</v>
      </c>
      <c r="D144" s="36" t="s">
        <v>109</v>
      </c>
      <c r="E144" s="35"/>
      <c r="F144" s="35"/>
      <c r="G144" s="35"/>
      <c r="H144" s="33" t="s">
        <v>46</v>
      </c>
      <c r="I144" s="35"/>
      <c r="J144" s="35"/>
      <c r="K144" s="35"/>
      <c r="L144" s="35"/>
      <c r="M144" s="35"/>
      <c r="N144" s="35"/>
      <c r="O144" s="35"/>
      <c r="P144" s="35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7">
        <v>0</v>
      </c>
      <c r="AG144" s="37">
        <v>0</v>
      </c>
      <c r="AH144" s="37">
        <v>136.80000000000001</v>
      </c>
      <c r="AI144" s="37">
        <v>43.74</v>
      </c>
      <c r="AJ144" s="37">
        <v>18</v>
      </c>
      <c r="AK144" s="37">
        <v>0</v>
      </c>
      <c r="AL144" s="37">
        <v>16</v>
      </c>
      <c r="AM144" s="37">
        <v>0</v>
      </c>
      <c r="AN144" s="37">
        <v>0</v>
      </c>
      <c r="AO144" s="37">
        <v>190</v>
      </c>
      <c r="AP144" s="37">
        <v>0</v>
      </c>
      <c r="AQ144" s="37">
        <v>0</v>
      </c>
      <c r="AR144" s="37">
        <v>78</v>
      </c>
      <c r="AS144" s="37">
        <v>0</v>
      </c>
      <c r="AT144" s="36">
        <v>0</v>
      </c>
      <c r="AU144" s="36">
        <v>0</v>
      </c>
      <c r="AV144" s="37">
        <v>0</v>
      </c>
      <c r="AW144" s="36">
        <v>0</v>
      </c>
      <c r="AX144" s="36">
        <v>0</v>
      </c>
      <c r="AY144" s="36">
        <v>0</v>
      </c>
      <c r="AZ144" s="36">
        <v>0</v>
      </c>
      <c r="BA144" s="36">
        <v>0</v>
      </c>
      <c r="BB144" s="36">
        <v>0</v>
      </c>
      <c r="BC144" s="36">
        <v>381</v>
      </c>
      <c r="BD144" s="36">
        <v>0</v>
      </c>
    </row>
    <row r="145" spans="1:56" s="46" customFormat="1" ht="24.95" customHeight="1" x14ac:dyDescent="0.25">
      <c r="A145" s="44" t="s">
        <v>59</v>
      </c>
      <c r="B145" s="44"/>
      <c r="C145" s="45"/>
      <c r="D145" s="39"/>
      <c r="E145" s="44"/>
      <c r="F145" s="44"/>
      <c r="G145" s="44"/>
      <c r="H145" s="45"/>
      <c r="I145" s="44"/>
      <c r="J145" s="44"/>
      <c r="K145" s="44"/>
      <c r="L145" s="44"/>
      <c r="M145" s="44"/>
      <c r="N145" s="44"/>
      <c r="O145" s="44"/>
      <c r="P145" s="44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44">
        <f>SUM(AF138:AF144)</f>
        <v>0</v>
      </c>
      <c r="AG145" s="44">
        <f>SUM(AG138:AG144)</f>
        <v>0</v>
      </c>
      <c r="AH145" s="44">
        <f>SUM(AH138:AH144)</f>
        <v>917.2</v>
      </c>
      <c r="AI145" s="44">
        <f>SUM(AI138:AI144)</f>
        <v>371.79</v>
      </c>
      <c r="AJ145" s="44">
        <f>SUM(AJ138:AJ144)</f>
        <v>153</v>
      </c>
      <c r="AK145" s="44">
        <f>SUM(AK138:AK144)</f>
        <v>0</v>
      </c>
      <c r="AL145" s="44">
        <f>SUM(AL138:AL144)</f>
        <v>76</v>
      </c>
      <c r="AM145" s="44">
        <f>SUM(AM138:AM144)</f>
        <v>0</v>
      </c>
      <c r="AN145" s="44">
        <f>SUM(AN138:AN144)</f>
        <v>0</v>
      </c>
      <c r="AO145" s="44">
        <f>SUM(AO138:AO144)</f>
        <v>1260</v>
      </c>
      <c r="AP145" s="44">
        <f>SUM(AP138:AP144)</f>
        <v>0</v>
      </c>
      <c r="AQ145" s="44">
        <f>SUM(AQ138:AQ144)</f>
        <v>0</v>
      </c>
      <c r="AR145" s="44">
        <f>SUM(AR138:AR144)</f>
        <v>607</v>
      </c>
      <c r="AS145" s="44">
        <f>SUM(AS138:AS144)</f>
        <v>0</v>
      </c>
      <c r="AT145" s="44">
        <f>SUM(AT138:AT144)</f>
        <v>0</v>
      </c>
      <c r="AU145" s="44">
        <f>SUM(AU138:AU144)</f>
        <v>0</v>
      </c>
      <c r="AV145" s="44">
        <f>SUM(AV138:AV144)</f>
        <v>0</v>
      </c>
      <c r="AW145" s="44">
        <f>SUM(AW138:AW144)</f>
        <v>0</v>
      </c>
      <c r="AX145" s="44">
        <f>SUM(AX138:AX144)</f>
        <v>0</v>
      </c>
      <c r="AY145" s="44">
        <f>SUM(AY138:AY144)</f>
        <v>0</v>
      </c>
      <c r="AZ145" s="47">
        <f>SUM(AZ138:AZ144)</f>
        <v>0</v>
      </c>
      <c r="BA145" s="39">
        <f>SUM(BA138:BA144)</f>
        <v>0</v>
      </c>
      <c r="BB145" s="39">
        <f>SUM(BB138:BB144)</f>
        <v>0</v>
      </c>
      <c r="BC145" s="39">
        <f>SUM(BC138:BC144)</f>
        <v>2222</v>
      </c>
      <c r="BD145" s="44">
        <f>SUM(BD138:BD144)</f>
        <v>0</v>
      </c>
    </row>
    <row r="146" spans="1:56" s="43" customFormat="1" ht="24.95" customHeight="1" x14ac:dyDescent="0.25">
      <c r="A146" s="35" t="s">
        <v>203</v>
      </c>
      <c r="B146" s="35"/>
      <c r="C146" s="33" t="s">
        <v>60</v>
      </c>
      <c r="D146" s="36" t="s">
        <v>198</v>
      </c>
      <c r="E146" s="35"/>
      <c r="F146" s="35"/>
      <c r="G146" s="35"/>
      <c r="H146" s="33" t="s">
        <v>46</v>
      </c>
      <c r="I146" s="35"/>
      <c r="J146" s="35"/>
      <c r="K146" s="35"/>
      <c r="L146" s="35"/>
      <c r="M146" s="35"/>
      <c r="N146" s="35"/>
      <c r="O146" s="35"/>
      <c r="P146" s="35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7">
        <v>0</v>
      </c>
      <c r="AG146" s="37">
        <v>0</v>
      </c>
      <c r="AH146" s="37">
        <v>98</v>
      </c>
      <c r="AI146" s="37">
        <v>29.16</v>
      </c>
      <c r="AJ146" s="37">
        <v>12</v>
      </c>
      <c r="AK146" s="37">
        <v>0</v>
      </c>
      <c r="AL146" s="37">
        <v>11</v>
      </c>
      <c r="AM146" s="37">
        <v>0</v>
      </c>
      <c r="AN146" s="37">
        <v>0</v>
      </c>
      <c r="AO146" s="37">
        <v>119</v>
      </c>
      <c r="AP146" s="37">
        <v>0</v>
      </c>
      <c r="AQ146" s="37">
        <v>0</v>
      </c>
      <c r="AR146" s="37">
        <v>48</v>
      </c>
      <c r="AS146" s="37">
        <v>0</v>
      </c>
      <c r="AT146" s="36">
        <v>0</v>
      </c>
      <c r="AU146" s="36">
        <v>0</v>
      </c>
      <c r="AV146" s="37">
        <v>0</v>
      </c>
      <c r="AW146" s="36">
        <v>0</v>
      </c>
      <c r="AX146" s="36">
        <v>0</v>
      </c>
      <c r="AY146" s="36">
        <v>0</v>
      </c>
      <c r="AZ146" s="36">
        <v>0</v>
      </c>
      <c r="BA146" s="36">
        <v>0</v>
      </c>
      <c r="BB146" s="36">
        <v>0</v>
      </c>
      <c r="BC146" s="36">
        <v>136</v>
      </c>
      <c r="BD146" s="36">
        <v>0</v>
      </c>
    </row>
    <row r="147" spans="1:56" s="43" customFormat="1" ht="24.95" customHeight="1" x14ac:dyDescent="0.25">
      <c r="A147" s="35" t="s">
        <v>203</v>
      </c>
      <c r="B147" s="35"/>
      <c r="C147" s="33" t="s">
        <v>60</v>
      </c>
      <c r="D147" s="36" t="s">
        <v>124</v>
      </c>
      <c r="E147" s="35"/>
      <c r="F147" s="35"/>
      <c r="G147" s="35"/>
      <c r="H147" s="33" t="s">
        <v>46</v>
      </c>
      <c r="I147" s="35"/>
      <c r="J147" s="35"/>
      <c r="K147" s="35"/>
      <c r="L147" s="35"/>
      <c r="M147" s="35"/>
      <c r="N147" s="35"/>
      <c r="O147" s="35"/>
      <c r="P147" s="35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7">
        <v>0</v>
      </c>
      <c r="AG147" s="37">
        <v>0</v>
      </c>
      <c r="AH147" s="37">
        <v>221.59999999999997</v>
      </c>
      <c r="AI147" s="37">
        <v>48.6</v>
      </c>
      <c r="AJ147" s="37">
        <v>20</v>
      </c>
      <c r="AK147" s="37">
        <v>0</v>
      </c>
      <c r="AL147" s="37">
        <v>14</v>
      </c>
      <c r="AM147" s="37">
        <v>0</v>
      </c>
      <c r="AN147" s="37">
        <v>0</v>
      </c>
      <c r="AO147" s="37">
        <v>274</v>
      </c>
      <c r="AP147" s="37">
        <v>0</v>
      </c>
      <c r="AQ147" s="37">
        <v>0</v>
      </c>
      <c r="AR147" s="37">
        <v>99</v>
      </c>
      <c r="AS147" s="37">
        <v>0</v>
      </c>
      <c r="AT147" s="36">
        <v>0</v>
      </c>
      <c r="AU147" s="36">
        <v>0</v>
      </c>
      <c r="AV147" s="37">
        <v>0</v>
      </c>
      <c r="AW147" s="36">
        <v>0</v>
      </c>
      <c r="AX147" s="36">
        <v>0</v>
      </c>
      <c r="AY147" s="36">
        <v>0</v>
      </c>
      <c r="AZ147" s="36">
        <v>0</v>
      </c>
      <c r="BA147" s="36">
        <v>0</v>
      </c>
      <c r="BB147" s="36">
        <v>0</v>
      </c>
      <c r="BC147" s="36">
        <v>344</v>
      </c>
      <c r="BD147" s="36">
        <v>0</v>
      </c>
    </row>
    <row r="148" spans="1:56" s="43" customFormat="1" ht="24.95" customHeight="1" x14ac:dyDescent="0.25">
      <c r="A148" s="35" t="s">
        <v>242</v>
      </c>
      <c r="B148" s="35"/>
      <c r="C148" s="33" t="s">
        <v>60</v>
      </c>
      <c r="D148" s="36" t="s">
        <v>125</v>
      </c>
      <c r="E148" s="35"/>
      <c r="F148" s="35"/>
      <c r="G148" s="35"/>
      <c r="H148" s="33" t="s">
        <v>46</v>
      </c>
      <c r="I148" s="35"/>
      <c r="J148" s="35"/>
      <c r="K148" s="35"/>
      <c r="L148" s="35"/>
      <c r="M148" s="35"/>
      <c r="N148" s="35"/>
      <c r="O148" s="35"/>
      <c r="P148" s="35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7">
        <v>0</v>
      </c>
      <c r="AG148" s="37">
        <v>0</v>
      </c>
      <c r="AH148" s="37">
        <v>202.2</v>
      </c>
      <c r="AI148" s="37">
        <v>68.040000000000006</v>
      </c>
      <c r="AJ148" s="37">
        <v>28</v>
      </c>
      <c r="AK148" s="37">
        <v>0</v>
      </c>
      <c r="AL148" s="37">
        <v>22</v>
      </c>
      <c r="AM148" s="37">
        <v>0</v>
      </c>
      <c r="AN148" s="37">
        <v>0</v>
      </c>
      <c r="AO148" s="37">
        <v>237</v>
      </c>
      <c r="AP148" s="37">
        <v>0</v>
      </c>
      <c r="AQ148" s="37">
        <v>0</v>
      </c>
      <c r="AR148" s="37">
        <v>113</v>
      </c>
      <c r="AS148" s="37">
        <v>0</v>
      </c>
      <c r="AT148" s="36">
        <v>0</v>
      </c>
      <c r="AU148" s="36">
        <v>0</v>
      </c>
      <c r="AV148" s="37">
        <v>0</v>
      </c>
      <c r="AW148" s="36">
        <v>0</v>
      </c>
      <c r="AX148" s="36">
        <v>0</v>
      </c>
      <c r="AY148" s="36">
        <v>0</v>
      </c>
      <c r="AZ148" s="36">
        <v>0</v>
      </c>
      <c r="BA148" s="36">
        <v>0</v>
      </c>
      <c r="BB148" s="36">
        <v>0</v>
      </c>
      <c r="BC148" s="36">
        <v>261</v>
      </c>
      <c r="BD148" s="36">
        <v>0</v>
      </c>
    </row>
    <row r="149" spans="1:56" s="43" customFormat="1" ht="24.95" customHeight="1" x14ac:dyDescent="0.25">
      <c r="A149" s="35" t="s">
        <v>205</v>
      </c>
      <c r="B149" s="35"/>
      <c r="C149" s="33" t="s">
        <v>60</v>
      </c>
      <c r="D149" s="36" t="s">
        <v>201</v>
      </c>
      <c r="E149" s="35"/>
      <c r="F149" s="35"/>
      <c r="G149" s="35"/>
      <c r="H149" s="33" t="s">
        <v>46</v>
      </c>
      <c r="I149" s="35"/>
      <c r="J149" s="35"/>
      <c r="K149" s="35"/>
      <c r="L149" s="35"/>
      <c r="M149" s="35"/>
      <c r="N149" s="35"/>
      <c r="O149" s="35"/>
      <c r="P149" s="35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7">
        <v>0</v>
      </c>
      <c r="AG149" s="37">
        <v>0</v>
      </c>
      <c r="AH149" s="37">
        <v>142</v>
      </c>
      <c r="AI149" s="37">
        <v>51.03</v>
      </c>
      <c r="AJ149" s="37">
        <v>21</v>
      </c>
      <c r="AK149" s="37">
        <v>0</v>
      </c>
      <c r="AL149" s="37">
        <v>4</v>
      </c>
      <c r="AM149" s="37">
        <v>0</v>
      </c>
      <c r="AN149" s="37">
        <v>0</v>
      </c>
      <c r="AO149" s="37">
        <v>184</v>
      </c>
      <c r="AP149" s="37">
        <v>0</v>
      </c>
      <c r="AQ149" s="37">
        <v>0</v>
      </c>
      <c r="AR149" s="37">
        <v>70</v>
      </c>
      <c r="AS149" s="37">
        <v>0</v>
      </c>
      <c r="AT149" s="36">
        <v>0</v>
      </c>
      <c r="AU149" s="36">
        <v>0</v>
      </c>
      <c r="AV149" s="37">
        <v>0</v>
      </c>
      <c r="AW149" s="36">
        <v>0</v>
      </c>
      <c r="AX149" s="36">
        <v>0</v>
      </c>
      <c r="AY149" s="36">
        <v>0</v>
      </c>
      <c r="AZ149" s="36">
        <v>0</v>
      </c>
      <c r="BA149" s="36">
        <v>0</v>
      </c>
      <c r="BB149" s="36">
        <v>0</v>
      </c>
      <c r="BC149" s="36">
        <v>200</v>
      </c>
      <c r="BD149" s="36">
        <v>0</v>
      </c>
    </row>
    <row r="150" spans="1:56" s="43" customFormat="1" ht="24.95" customHeight="1" x14ac:dyDescent="0.25">
      <c r="A150" s="35" t="s">
        <v>205</v>
      </c>
      <c r="B150" s="35"/>
      <c r="C150" s="33" t="s">
        <v>60</v>
      </c>
      <c r="D150" s="36" t="s">
        <v>115</v>
      </c>
      <c r="E150" s="35"/>
      <c r="F150" s="35"/>
      <c r="G150" s="35"/>
      <c r="H150" s="33" t="s">
        <v>46</v>
      </c>
      <c r="I150" s="35"/>
      <c r="J150" s="35"/>
      <c r="K150" s="35"/>
      <c r="L150" s="35"/>
      <c r="M150" s="35"/>
      <c r="N150" s="35"/>
      <c r="O150" s="35"/>
      <c r="P150" s="35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7">
        <v>0</v>
      </c>
      <c r="AG150" s="37">
        <v>0</v>
      </c>
      <c r="AH150" s="37">
        <v>148.40000000000003</v>
      </c>
      <c r="AI150" s="37">
        <v>48.6</v>
      </c>
      <c r="AJ150" s="37">
        <v>20</v>
      </c>
      <c r="AK150" s="37">
        <v>0</v>
      </c>
      <c r="AL150" s="37">
        <v>8</v>
      </c>
      <c r="AM150" s="37">
        <v>0</v>
      </c>
      <c r="AN150" s="37">
        <v>0</v>
      </c>
      <c r="AO150" s="37">
        <v>190</v>
      </c>
      <c r="AP150" s="37">
        <v>0</v>
      </c>
      <c r="AQ150" s="37">
        <v>0</v>
      </c>
      <c r="AR150" s="37">
        <v>86</v>
      </c>
      <c r="AS150" s="37">
        <v>0</v>
      </c>
      <c r="AT150" s="36">
        <v>0</v>
      </c>
      <c r="AU150" s="36">
        <v>0</v>
      </c>
      <c r="AV150" s="37">
        <v>0</v>
      </c>
      <c r="AW150" s="36">
        <v>0</v>
      </c>
      <c r="AX150" s="36">
        <v>0</v>
      </c>
      <c r="AY150" s="36">
        <v>0</v>
      </c>
      <c r="AZ150" s="36">
        <v>0</v>
      </c>
      <c r="BA150" s="36">
        <v>0</v>
      </c>
      <c r="BB150" s="36">
        <v>0</v>
      </c>
      <c r="BC150" s="36">
        <v>227</v>
      </c>
      <c r="BD150" s="36">
        <v>0</v>
      </c>
    </row>
    <row r="151" spans="1:56" s="43" customFormat="1" ht="24.95" customHeight="1" x14ac:dyDescent="0.25">
      <c r="A151" s="35" t="s">
        <v>205</v>
      </c>
      <c r="B151" s="35"/>
      <c r="C151" s="33" t="s">
        <v>60</v>
      </c>
      <c r="D151" s="36" t="s">
        <v>122</v>
      </c>
      <c r="E151" s="35"/>
      <c r="F151" s="35"/>
      <c r="G151" s="35"/>
      <c r="H151" s="33" t="s">
        <v>46</v>
      </c>
      <c r="I151" s="35"/>
      <c r="J151" s="35"/>
      <c r="K151" s="35"/>
      <c r="L151" s="35"/>
      <c r="M151" s="35"/>
      <c r="N151" s="35"/>
      <c r="O151" s="35"/>
      <c r="P151" s="35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7">
        <v>0</v>
      </c>
      <c r="AG151" s="37">
        <v>0</v>
      </c>
      <c r="AH151" s="37">
        <v>293.2</v>
      </c>
      <c r="AI151" s="37">
        <v>92.34</v>
      </c>
      <c r="AJ151" s="37">
        <v>38</v>
      </c>
      <c r="AK151" s="37">
        <v>0</v>
      </c>
      <c r="AL151" s="37">
        <v>15</v>
      </c>
      <c r="AM151" s="37">
        <v>0</v>
      </c>
      <c r="AN151" s="37">
        <v>0</v>
      </c>
      <c r="AO151" s="37">
        <v>388</v>
      </c>
      <c r="AP151" s="37">
        <v>0</v>
      </c>
      <c r="AQ151" s="37">
        <v>0</v>
      </c>
      <c r="AR151" s="37">
        <v>147</v>
      </c>
      <c r="AS151" s="37">
        <v>0</v>
      </c>
      <c r="AT151" s="36">
        <v>0</v>
      </c>
      <c r="AU151" s="36">
        <v>0</v>
      </c>
      <c r="AV151" s="37">
        <v>0</v>
      </c>
      <c r="AW151" s="36">
        <v>0</v>
      </c>
      <c r="AX151" s="36">
        <v>0</v>
      </c>
      <c r="AY151" s="36">
        <v>0</v>
      </c>
      <c r="AZ151" s="36">
        <v>0</v>
      </c>
      <c r="BA151" s="36">
        <v>0</v>
      </c>
      <c r="BB151" s="36">
        <v>0</v>
      </c>
      <c r="BC151" s="36">
        <v>571</v>
      </c>
      <c r="BD151" s="36">
        <v>0</v>
      </c>
    </row>
    <row r="152" spans="1:56" s="43" customFormat="1" ht="24.95" customHeight="1" x14ac:dyDescent="0.25">
      <c r="A152" s="35" t="s">
        <v>238</v>
      </c>
      <c r="B152" s="35"/>
      <c r="C152" s="33" t="s">
        <v>60</v>
      </c>
      <c r="D152" s="36" t="s">
        <v>118</v>
      </c>
      <c r="E152" s="35"/>
      <c r="F152" s="35"/>
      <c r="G152" s="35"/>
      <c r="H152" s="33" t="s">
        <v>46</v>
      </c>
      <c r="I152" s="35"/>
      <c r="J152" s="35"/>
      <c r="K152" s="35"/>
      <c r="L152" s="35"/>
      <c r="M152" s="35"/>
      <c r="N152" s="35"/>
      <c r="O152" s="35"/>
      <c r="P152" s="35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7">
        <v>0</v>
      </c>
      <c r="AG152" s="37">
        <v>0</v>
      </c>
      <c r="AH152" s="37">
        <v>192.8</v>
      </c>
      <c r="AI152" s="37">
        <v>58.32</v>
      </c>
      <c r="AJ152" s="37">
        <v>24</v>
      </c>
      <c r="AK152" s="37">
        <v>0</v>
      </c>
      <c r="AL152" s="37">
        <v>22</v>
      </c>
      <c r="AM152" s="37">
        <v>0</v>
      </c>
      <c r="AN152" s="37">
        <v>0</v>
      </c>
      <c r="AO152" s="37">
        <v>266</v>
      </c>
      <c r="AP152" s="37">
        <v>0</v>
      </c>
      <c r="AQ152" s="37">
        <v>0</v>
      </c>
      <c r="AR152" s="37">
        <v>98</v>
      </c>
      <c r="AS152" s="37">
        <v>0</v>
      </c>
      <c r="AT152" s="36">
        <v>0</v>
      </c>
      <c r="AU152" s="36">
        <v>0</v>
      </c>
      <c r="AV152" s="37">
        <v>0</v>
      </c>
      <c r="AW152" s="36">
        <v>0</v>
      </c>
      <c r="AX152" s="36">
        <v>0</v>
      </c>
      <c r="AY152" s="36">
        <v>0</v>
      </c>
      <c r="AZ152" s="36">
        <v>0</v>
      </c>
      <c r="BA152" s="36">
        <v>0</v>
      </c>
      <c r="BB152" s="36">
        <v>0</v>
      </c>
      <c r="BC152" s="36">
        <v>523</v>
      </c>
      <c r="BD152" s="36">
        <v>0</v>
      </c>
    </row>
    <row r="153" spans="1:56" s="43" customFormat="1" ht="24.95" customHeight="1" x14ac:dyDescent="0.25">
      <c r="A153" s="35" t="s">
        <v>240</v>
      </c>
      <c r="B153" s="35"/>
      <c r="C153" s="33" t="s">
        <v>60</v>
      </c>
      <c r="D153" s="36" t="s">
        <v>120</v>
      </c>
      <c r="E153" s="35"/>
      <c r="F153" s="35"/>
      <c r="G153" s="35"/>
      <c r="H153" s="33" t="s">
        <v>46</v>
      </c>
      <c r="I153" s="35"/>
      <c r="J153" s="35"/>
      <c r="K153" s="35"/>
      <c r="L153" s="35"/>
      <c r="M153" s="35"/>
      <c r="N153" s="35"/>
      <c r="O153" s="35"/>
      <c r="P153" s="35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7">
        <v>0</v>
      </c>
      <c r="AG153" s="37">
        <v>0</v>
      </c>
      <c r="AH153" s="37">
        <v>0</v>
      </c>
      <c r="AI153" s="37">
        <v>14.580000000000002</v>
      </c>
      <c r="AJ153" s="37">
        <v>6</v>
      </c>
      <c r="AK153" s="37">
        <v>0</v>
      </c>
      <c r="AL153" s="37">
        <v>1</v>
      </c>
      <c r="AM153" s="37">
        <v>0</v>
      </c>
      <c r="AN153" s="37">
        <v>0</v>
      </c>
      <c r="AO153" s="37">
        <v>86</v>
      </c>
      <c r="AP153" s="37">
        <v>0</v>
      </c>
      <c r="AQ153" s="37">
        <v>0</v>
      </c>
      <c r="AR153" s="37">
        <v>34</v>
      </c>
      <c r="AS153" s="37">
        <v>0</v>
      </c>
      <c r="AT153" s="36">
        <v>0</v>
      </c>
      <c r="AU153" s="36">
        <v>0</v>
      </c>
      <c r="AV153" s="37">
        <v>0</v>
      </c>
      <c r="AW153" s="36">
        <v>0</v>
      </c>
      <c r="AX153" s="36">
        <v>0</v>
      </c>
      <c r="AY153" s="36">
        <v>0</v>
      </c>
      <c r="AZ153" s="36">
        <v>0</v>
      </c>
      <c r="BA153" s="36">
        <v>0</v>
      </c>
      <c r="BB153" s="36">
        <v>0</v>
      </c>
      <c r="BC153" s="36">
        <v>348</v>
      </c>
      <c r="BD153" s="36">
        <v>0</v>
      </c>
    </row>
    <row r="154" spans="1:56" s="43" customFormat="1" ht="24.95" customHeight="1" x14ac:dyDescent="0.25">
      <c r="A154" s="35" t="s">
        <v>236</v>
      </c>
      <c r="B154" s="35"/>
      <c r="C154" s="33" t="s">
        <v>60</v>
      </c>
      <c r="D154" s="36" t="s">
        <v>116</v>
      </c>
      <c r="E154" s="35"/>
      <c r="F154" s="35"/>
      <c r="G154" s="35"/>
      <c r="H154" s="33" t="s">
        <v>46</v>
      </c>
      <c r="I154" s="35"/>
      <c r="J154" s="35"/>
      <c r="K154" s="35"/>
      <c r="L154" s="35"/>
      <c r="M154" s="35"/>
      <c r="N154" s="35"/>
      <c r="O154" s="35"/>
      <c r="P154" s="35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7">
        <v>0</v>
      </c>
      <c r="AG154" s="37">
        <v>0</v>
      </c>
      <c r="AH154" s="37">
        <v>205.6</v>
      </c>
      <c r="AI154" s="37">
        <v>63.18</v>
      </c>
      <c r="AJ154" s="37">
        <v>26</v>
      </c>
      <c r="AK154" s="37">
        <v>0</v>
      </c>
      <c r="AL154" s="37">
        <v>20</v>
      </c>
      <c r="AM154" s="37">
        <v>0</v>
      </c>
      <c r="AN154" s="37">
        <v>0</v>
      </c>
      <c r="AO154" s="37">
        <v>289</v>
      </c>
      <c r="AP154" s="37">
        <v>0</v>
      </c>
      <c r="AQ154" s="37">
        <v>0</v>
      </c>
      <c r="AR154" s="37">
        <v>104</v>
      </c>
      <c r="AS154" s="37">
        <v>0</v>
      </c>
      <c r="AT154" s="36">
        <v>0</v>
      </c>
      <c r="AU154" s="36">
        <v>0</v>
      </c>
      <c r="AV154" s="37">
        <v>0</v>
      </c>
      <c r="AW154" s="36">
        <v>0</v>
      </c>
      <c r="AX154" s="36">
        <v>0</v>
      </c>
      <c r="AY154" s="36">
        <v>0</v>
      </c>
      <c r="AZ154" s="36">
        <v>0</v>
      </c>
      <c r="BA154" s="36">
        <v>0</v>
      </c>
      <c r="BB154" s="36">
        <v>0</v>
      </c>
      <c r="BC154" s="36">
        <v>569</v>
      </c>
      <c r="BD154" s="36">
        <v>0</v>
      </c>
    </row>
    <row r="155" spans="1:56" s="43" customFormat="1" ht="24.95" customHeight="1" x14ac:dyDescent="0.25">
      <c r="A155" s="35" t="s">
        <v>236</v>
      </c>
      <c r="B155" s="35"/>
      <c r="C155" s="33" t="s">
        <v>60</v>
      </c>
      <c r="D155" s="36" t="s">
        <v>121</v>
      </c>
      <c r="E155" s="35"/>
      <c r="F155" s="35"/>
      <c r="G155" s="35"/>
      <c r="H155" s="33" t="s">
        <v>46</v>
      </c>
      <c r="I155" s="35"/>
      <c r="J155" s="35"/>
      <c r="K155" s="35"/>
      <c r="L155" s="35"/>
      <c r="M155" s="35"/>
      <c r="N155" s="35"/>
      <c r="O155" s="35"/>
      <c r="P155" s="35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7">
        <v>0</v>
      </c>
      <c r="AG155" s="37">
        <v>0</v>
      </c>
      <c r="AH155" s="37">
        <v>0</v>
      </c>
      <c r="AI155" s="37">
        <v>24.3</v>
      </c>
      <c r="AJ155" s="37">
        <v>10</v>
      </c>
      <c r="AK155" s="37">
        <v>0</v>
      </c>
      <c r="AL155" s="37">
        <v>14</v>
      </c>
      <c r="AM155" s="37">
        <v>0</v>
      </c>
      <c r="AN155" s="37">
        <v>0</v>
      </c>
      <c r="AO155" s="37">
        <v>131</v>
      </c>
      <c r="AP155" s="37">
        <v>0</v>
      </c>
      <c r="AQ155" s="37">
        <v>0</v>
      </c>
      <c r="AR155" s="37">
        <v>51</v>
      </c>
      <c r="AS155" s="37">
        <v>0</v>
      </c>
      <c r="AT155" s="36">
        <v>0</v>
      </c>
      <c r="AU155" s="36">
        <v>0</v>
      </c>
      <c r="AV155" s="37">
        <v>0</v>
      </c>
      <c r="AW155" s="36">
        <v>0</v>
      </c>
      <c r="AX155" s="36">
        <v>0</v>
      </c>
      <c r="AY155" s="36">
        <v>0</v>
      </c>
      <c r="AZ155" s="36">
        <v>0</v>
      </c>
      <c r="BA155" s="36">
        <v>0</v>
      </c>
      <c r="BB155" s="36">
        <v>0</v>
      </c>
      <c r="BC155" s="36">
        <v>580</v>
      </c>
      <c r="BD155" s="36">
        <v>0</v>
      </c>
    </row>
    <row r="156" spans="1:56" s="43" customFormat="1" ht="24.95" customHeight="1" x14ac:dyDescent="0.25">
      <c r="A156" s="35" t="s">
        <v>239</v>
      </c>
      <c r="B156" s="35"/>
      <c r="C156" s="33" t="s">
        <v>60</v>
      </c>
      <c r="D156" s="36" t="s">
        <v>119</v>
      </c>
      <c r="E156" s="35"/>
      <c r="F156" s="35"/>
      <c r="G156" s="35"/>
      <c r="H156" s="33" t="s">
        <v>46</v>
      </c>
      <c r="I156" s="35"/>
      <c r="J156" s="35"/>
      <c r="K156" s="35"/>
      <c r="L156" s="35"/>
      <c r="M156" s="35"/>
      <c r="N156" s="35"/>
      <c r="O156" s="35"/>
      <c r="P156" s="35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7">
        <v>0</v>
      </c>
      <c r="AG156" s="37">
        <v>0</v>
      </c>
      <c r="AH156" s="37">
        <v>0</v>
      </c>
      <c r="AI156" s="37">
        <v>34.020000000000003</v>
      </c>
      <c r="AJ156" s="37">
        <v>14</v>
      </c>
      <c r="AK156" s="37">
        <v>0</v>
      </c>
      <c r="AL156" s="37">
        <v>11</v>
      </c>
      <c r="AM156" s="37">
        <v>0</v>
      </c>
      <c r="AN156" s="37">
        <v>0</v>
      </c>
      <c r="AO156" s="37">
        <v>144</v>
      </c>
      <c r="AP156" s="37">
        <v>0</v>
      </c>
      <c r="AQ156" s="37">
        <v>0</v>
      </c>
      <c r="AR156" s="37">
        <v>59</v>
      </c>
      <c r="AS156" s="37">
        <v>0</v>
      </c>
      <c r="AT156" s="36">
        <v>0</v>
      </c>
      <c r="AU156" s="36">
        <v>0</v>
      </c>
      <c r="AV156" s="37">
        <v>0</v>
      </c>
      <c r="AW156" s="36">
        <v>0</v>
      </c>
      <c r="AX156" s="36">
        <v>0</v>
      </c>
      <c r="AY156" s="36">
        <v>0</v>
      </c>
      <c r="AZ156" s="36">
        <v>0</v>
      </c>
      <c r="BA156" s="36">
        <v>0</v>
      </c>
      <c r="BB156" s="36">
        <v>0</v>
      </c>
      <c r="BC156" s="36">
        <v>620</v>
      </c>
      <c r="BD156" s="36">
        <v>0</v>
      </c>
    </row>
    <row r="157" spans="1:56" s="43" customFormat="1" ht="24.95" customHeight="1" x14ac:dyDescent="0.25">
      <c r="A157" s="35" t="s">
        <v>202</v>
      </c>
      <c r="B157" s="35"/>
      <c r="C157" s="33" t="s">
        <v>60</v>
      </c>
      <c r="D157" s="36" t="s">
        <v>197</v>
      </c>
      <c r="E157" s="35"/>
      <c r="F157" s="35"/>
      <c r="G157" s="35"/>
      <c r="H157" s="33" t="s">
        <v>46</v>
      </c>
      <c r="I157" s="35"/>
      <c r="J157" s="35"/>
      <c r="K157" s="35"/>
      <c r="L157" s="35"/>
      <c r="M157" s="35"/>
      <c r="N157" s="35"/>
      <c r="O157" s="35"/>
      <c r="P157" s="35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7">
        <v>0</v>
      </c>
      <c r="AG157" s="37">
        <v>0</v>
      </c>
      <c r="AH157" s="37">
        <v>64.8</v>
      </c>
      <c r="AI157" s="37">
        <v>19.440000000000001</v>
      </c>
      <c r="AJ157" s="37">
        <v>8</v>
      </c>
      <c r="AK157" s="37">
        <v>0</v>
      </c>
      <c r="AL157" s="37">
        <v>8</v>
      </c>
      <c r="AM157" s="37">
        <v>0</v>
      </c>
      <c r="AN157" s="37">
        <v>0</v>
      </c>
      <c r="AO157" s="37">
        <v>91</v>
      </c>
      <c r="AP157" s="37">
        <v>0</v>
      </c>
      <c r="AQ157" s="37">
        <v>0</v>
      </c>
      <c r="AR157" s="37">
        <v>33</v>
      </c>
      <c r="AS157" s="37">
        <v>0</v>
      </c>
      <c r="AT157" s="36">
        <v>0</v>
      </c>
      <c r="AU157" s="36">
        <v>0</v>
      </c>
      <c r="AV157" s="37">
        <v>0</v>
      </c>
      <c r="AW157" s="36">
        <v>0</v>
      </c>
      <c r="AX157" s="36">
        <v>0</v>
      </c>
      <c r="AY157" s="36">
        <v>0</v>
      </c>
      <c r="AZ157" s="36">
        <v>0</v>
      </c>
      <c r="BA157" s="36">
        <v>0</v>
      </c>
      <c r="BB157" s="36">
        <v>0</v>
      </c>
      <c r="BC157" s="36">
        <v>189</v>
      </c>
      <c r="BD157" s="36">
        <v>0</v>
      </c>
    </row>
    <row r="158" spans="1:56" s="43" customFormat="1" ht="24.95" customHeight="1" x14ac:dyDescent="0.25">
      <c r="A158" s="35" t="s">
        <v>202</v>
      </c>
      <c r="B158" s="35"/>
      <c r="C158" s="33" t="s">
        <v>60</v>
      </c>
      <c r="D158" s="36" t="s">
        <v>199</v>
      </c>
      <c r="E158" s="35"/>
      <c r="F158" s="35"/>
      <c r="G158" s="35"/>
      <c r="H158" s="33" t="s">
        <v>46</v>
      </c>
      <c r="I158" s="35"/>
      <c r="J158" s="35"/>
      <c r="K158" s="35"/>
      <c r="L158" s="35"/>
      <c r="M158" s="35"/>
      <c r="N158" s="35"/>
      <c r="O158" s="35"/>
      <c r="P158" s="35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7">
        <v>0</v>
      </c>
      <c r="AG158" s="37">
        <v>0</v>
      </c>
      <c r="AH158" s="37">
        <v>71.199999999999989</v>
      </c>
      <c r="AI158" s="37">
        <v>24.3</v>
      </c>
      <c r="AJ158" s="37">
        <v>10</v>
      </c>
      <c r="AK158" s="37">
        <v>0</v>
      </c>
      <c r="AL158" s="37">
        <v>4</v>
      </c>
      <c r="AM158" s="37">
        <v>0</v>
      </c>
      <c r="AN158" s="37">
        <v>0</v>
      </c>
      <c r="AO158" s="37">
        <v>85</v>
      </c>
      <c r="AP158" s="37">
        <v>0</v>
      </c>
      <c r="AQ158" s="37">
        <v>0</v>
      </c>
      <c r="AR158" s="37">
        <v>41</v>
      </c>
      <c r="AS158" s="37">
        <v>0</v>
      </c>
      <c r="AT158" s="36">
        <v>0</v>
      </c>
      <c r="AU158" s="36">
        <v>0</v>
      </c>
      <c r="AV158" s="37">
        <v>0</v>
      </c>
      <c r="AW158" s="36">
        <v>0</v>
      </c>
      <c r="AX158" s="36">
        <v>0</v>
      </c>
      <c r="AY158" s="36">
        <v>0</v>
      </c>
      <c r="AZ158" s="36">
        <v>0</v>
      </c>
      <c r="BA158" s="36">
        <v>0</v>
      </c>
      <c r="BB158" s="36">
        <v>0</v>
      </c>
      <c r="BC158" s="36">
        <v>89</v>
      </c>
      <c r="BD158" s="36">
        <v>0</v>
      </c>
    </row>
    <row r="159" spans="1:56" s="43" customFormat="1" ht="24.95" customHeight="1" x14ac:dyDescent="0.25">
      <c r="A159" s="35" t="s">
        <v>237</v>
      </c>
      <c r="B159" s="35"/>
      <c r="C159" s="33" t="s">
        <v>60</v>
      </c>
      <c r="D159" s="36" t="s">
        <v>117</v>
      </c>
      <c r="E159" s="35"/>
      <c r="F159" s="35"/>
      <c r="G159" s="35"/>
      <c r="H159" s="33" t="s">
        <v>46</v>
      </c>
      <c r="I159" s="35"/>
      <c r="J159" s="35"/>
      <c r="K159" s="35"/>
      <c r="L159" s="35"/>
      <c r="M159" s="35"/>
      <c r="N159" s="35"/>
      <c r="O159" s="35"/>
      <c r="P159" s="35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7">
        <v>0</v>
      </c>
      <c r="AG159" s="37">
        <v>0</v>
      </c>
      <c r="AH159" s="37">
        <v>139.20000000000002</v>
      </c>
      <c r="AI159" s="37">
        <v>34.020000000000003</v>
      </c>
      <c r="AJ159" s="37">
        <v>14</v>
      </c>
      <c r="AK159" s="37">
        <v>0</v>
      </c>
      <c r="AL159" s="37">
        <v>16</v>
      </c>
      <c r="AM159" s="37">
        <v>0</v>
      </c>
      <c r="AN159" s="37">
        <v>0</v>
      </c>
      <c r="AO159" s="37">
        <v>193</v>
      </c>
      <c r="AP159" s="37">
        <v>0</v>
      </c>
      <c r="AQ159" s="37">
        <v>0</v>
      </c>
      <c r="AR159" s="37">
        <v>80</v>
      </c>
      <c r="AS159" s="37">
        <v>0</v>
      </c>
      <c r="AT159" s="36">
        <v>0</v>
      </c>
      <c r="AU159" s="36">
        <v>0</v>
      </c>
      <c r="AV159" s="37">
        <v>0</v>
      </c>
      <c r="AW159" s="36">
        <v>0</v>
      </c>
      <c r="AX159" s="36">
        <v>0</v>
      </c>
      <c r="AY159" s="36">
        <v>0</v>
      </c>
      <c r="AZ159" s="36">
        <v>0</v>
      </c>
      <c r="BA159" s="36">
        <v>0</v>
      </c>
      <c r="BB159" s="36">
        <v>0</v>
      </c>
      <c r="BC159" s="36">
        <v>384</v>
      </c>
      <c r="BD159" s="36">
        <v>0</v>
      </c>
    </row>
    <row r="160" spans="1:56" s="43" customFormat="1" ht="24.95" customHeight="1" x14ac:dyDescent="0.25">
      <c r="A160" s="35" t="s">
        <v>235</v>
      </c>
      <c r="B160" s="35"/>
      <c r="C160" s="33" t="s">
        <v>60</v>
      </c>
      <c r="D160" s="36" t="s">
        <v>114</v>
      </c>
      <c r="E160" s="35"/>
      <c r="F160" s="35"/>
      <c r="G160" s="35"/>
      <c r="H160" s="33" t="s">
        <v>46</v>
      </c>
      <c r="I160" s="35"/>
      <c r="J160" s="35"/>
      <c r="K160" s="35"/>
      <c r="L160" s="35"/>
      <c r="M160" s="35"/>
      <c r="N160" s="35"/>
      <c r="O160" s="35"/>
      <c r="P160" s="35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7">
        <v>0</v>
      </c>
      <c r="AG160" s="37">
        <v>0</v>
      </c>
      <c r="AH160" s="37">
        <v>96.199999999999989</v>
      </c>
      <c r="AI160" s="37">
        <v>43.74</v>
      </c>
      <c r="AJ160" s="37">
        <v>18</v>
      </c>
      <c r="AK160" s="37">
        <v>0</v>
      </c>
      <c r="AL160" s="37">
        <v>5</v>
      </c>
      <c r="AM160" s="37">
        <v>0</v>
      </c>
      <c r="AN160" s="37">
        <v>0</v>
      </c>
      <c r="AO160" s="37">
        <v>119</v>
      </c>
      <c r="AP160" s="37">
        <v>0</v>
      </c>
      <c r="AQ160" s="37">
        <v>0</v>
      </c>
      <c r="AR160" s="37">
        <v>69</v>
      </c>
      <c r="AS160" s="37">
        <v>0</v>
      </c>
      <c r="AT160" s="36">
        <v>0</v>
      </c>
      <c r="AU160" s="36">
        <v>0</v>
      </c>
      <c r="AV160" s="37">
        <v>0</v>
      </c>
      <c r="AW160" s="36">
        <v>0</v>
      </c>
      <c r="AX160" s="36">
        <v>0</v>
      </c>
      <c r="AY160" s="36">
        <v>0</v>
      </c>
      <c r="AZ160" s="36">
        <v>0</v>
      </c>
      <c r="BA160" s="36">
        <v>0</v>
      </c>
      <c r="BB160" s="36">
        <v>0</v>
      </c>
      <c r="BC160" s="36">
        <v>126</v>
      </c>
      <c r="BD160" s="36">
        <v>0</v>
      </c>
    </row>
    <row r="161" spans="1:56" s="43" customFormat="1" ht="24.95" customHeight="1" x14ac:dyDescent="0.25">
      <c r="A161" s="35" t="s">
        <v>204</v>
      </c>
      <c r="B161" s="35"/>
      <c r="C161" s="33" t="s">
        <v>60</v>
      </c>
      <c r="D161" s="36" t="s">
        <v>200</v>
      </c>
      <c r="E161" s="35"/>
      <c r="F161" s="35"/>
      <c r="G161" s="35"/>
      <c r="H161" s="33" t="s">
        <v>46</v>
      </c>
      <c r="I161" s="35"/>
      <c r="J161" s="35"/>
      <c r="K161" s="35"/>
      <c r="L161" s="35"/>
      <c r="M161" s="35"/>
      <c r="N161" s="35"/>
      <c r="O161" s="35"/>
      <c r="P161" s="35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7">
        <v>0</v>
      </c>
      <c r="AG161" s="37">
        <v>0</v>
      </c>
      <c r="AH161" s="37">
        <v>97.6</v>
      </c>
      <c r="AI161" s="37">
        <v>29.16</v>
      </c>
      <c r="AJ161" s="37">
        <v>12</v>
      </c>
      <c r="AK161" s="37">
        <v>0</v>
      </c>
      <c r="AL161" s="37">
        <v>12</v>
      </c>
      <c r="AM161" s="37">
        <v>0</v>
      </c>
      <c r="AN161" s="37">
        <v>0</v>
      </c>
      <c r="AO161" s="37">
        <v>134</v>
      </c>
      <c r="AP161" s="37">
        <v>0</v>
      </c>
      <c r="AQ161" s="37">
        <v>0</v>
      </c>
      <c r="AR161" s="37">
        <v>49</v>
      </c>
      <c r="AS161" s="37">
        <v>0</v>
      </c>
      <c r="AT161" s="36">
        <v>0</v>
      </c>
      <c r="AU161" s="36">
        <v>0</v>
      </c>
      <c r="AV161" s="37">
        <v>0</v>
      </c>
      <c r="AW161" s="36">
        <v>0</v>
      </c>
      <c r="AX161" s="36">
        <v>0</v>
      </c>
      <c r="AY161" s="36">
        <v>0</v>
      </c>
      <c r="AZ161" s="36">
        <v>0</v>
      </c>
      <c r="BA161" s="36">
        <v>0</v>
      </c>
      <c r="BB161" s="36">
        <v>0</v>
      </c>
      <c r="BC161" s="36">
        <v>266</v>
      </c>
      <c r="BD161" s="36">
        <v>0</v>
      </c>
    </row>
    <row r="162" spans="1:56" s="43" customFormat="1" ht="24.95" customHeight="1" x14ac:dyDescent="0.25">
      <c r="A162" s="35" t="s">
        <v>241</v>
      </c>
      <c r="B162" s="35"/>
      <c r="C162" s="33" t="s">
        <v>60</v>
      </c>
      <c r="D162" s="36" t="s">
        <v>123</v>
      </c>
      <c r="E162" s="35"/>
      <c r="F162" s="35"/>
      <c r="G162" s="35"/>
      <c r="H162" s="33" t="s">
        <v>46</v>
      </c>
      <c r="I162" s="35"/>
      <c r="J162" s="35"/>
      <c r="K162" s="35"/>
      <c r="L162" s="35"/>
      <c r="M162" s="35"/>
      <c r="N162" s="35"/>
      <c r="O162" s="35"/>
      <c r="P162" s="35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7">
        <v>0</v>
      </c>
      <c r="AG162" s="37">
        <v>0</v>
      </c>
      <c r="AH162" s="37">
        <v>346.4</v>
      </c>
      <c r="AI162" s="37">
        <v>82.62</v>
      </c>
      <c r="AJ162" s="37">
        <v>34</v>
      </c>
      <c r="AK162" s="37">
        <v>0</v>
      </c>
      <c r="AL162" s="37">
        <v>22</v>
      </c>
      <c r="AM162" s="37">
        <v>0</v>
      </c>
      <c r="AN162" s="37">
        <v>0</v>
      </c>
      <c r="AO162" s="37">
        <v>411</v>
      </c>
      <c r="AP162" s="37">
        <v>0</v>
      </c>
      <c r="AQ162" s="37">
        <v>0</v>
      </c>
      <c r="AR162" s="37">
        <v>176</v>
      </c>
      <c r="AS162" s="37">
        <v>0</v>
      </c>
      <c r="AT162" s="36">
        <v>0</v>
      </c>
      <c r="AU162" s="36">
        <v>0</v>
      </c>
      <c r="AV162" s="37">
        <v>0</v>
      </c>
      <c r="AW162" s="36">
        <v>0</v>
      </c>
      <c r="AX162" s="36">
        <v>0</v>
      </c>
      <c r="AY162" s="36">
        <v>0</v>
      </c>
      <c r="AZ162" s="36">
        <v>0</v>
      </c>
      <c r="BA162" s="36">
        <v>0</v>
      </c>
      <c r="BB162" s="36">
        <v>0</v>
      </c>
      <c r="BC162" s="36">
        <v>433</v>
      </c>
      <c r="BD162" s="36">
        <v>0</v>
      </c>
    </row>
    <row r="163" spans="1:56" s="46" customFormat="1" ht="24.95" customHeight="1" x14ac:dyDescent="0.25">
      <c r="A163" s="44" t="s">
        <v>61</v>
      </c>
      <c r="B163" s="44"/>
      <c r="C163" s="45"/>
      <c r="D163" s="39"/>
      <c r="E163" s="44"/>
      <c r="F163" s="44"/>
      <c r="G163" s="44"/>
      <c r="H163" s="45"/>
      <c r="I163" s="44"/>
      <c r="J163" s="44"/>
      <c r="K163" s="44"/>
      <c r="L163" s="44"/>
      <c r="M163" s="44"/>
      <c r="N163" s="44"/>
      <c r="O163" s="44"/>
      <c r="P163" s="44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44">
        <f>SUM(AF146:AF162)</f>
        <v>0</v>
      </c>
      <c r="AG163" s="44">
        <f>SUM(AG146:AG162)</f>
        <v>0</v>
      </c>
      <c r="AH163" s="44">
        <f>SUM(AH146:AH162)</f>
        <v>2319.1999999999998</v>
      </c>
      <c r="AI163" s="44">
        <f>SUM(AI146:AI162)</f>
        <v>765.44999999999993</v>
      </c>
      <c r="AJ163" s="44">
        <f>SUM(AJ146:AJ162)</f>
        <v>315</v>
      </c>
      <c r="AK163" s="44">
        <f>SUM(AK146:AK162)</f>
        <v>0</v>
      </c>
      <c r="AL163" s="44">
        <f>SUM(AL146:AL162)</f>
        <v>209</v>
      </c>
      <c r="AM163" s="44">
        <f>SUM(AM146:AM162)</f>
        <v>0</v>
      </c>
      <c r="AN163" s="44">
        <f>SUM(AN146:AN162)</f>
        <v>0</v>
      </c>
      <c r="AO163" s="44">
        <f>SUM(AO146:AO162)</f>
        <v>3341</v>
      </c>
      <c r="AP163" s="44">
        <f>SUM(AP146:AP162)</f>
        <v>0</v>
      </c>
      <c r="AQ163" s="44">
        <f>SUM(AQ146:AQ162)</f>
        <v>0</v>
      </c>
      <c r="AR163" s="44">
        <f>SUM(AR146:AR162)</f>
        <v>1357</v>
      </c>
      <c r="AS163" s="44">
        <f>SUM(AS146:AS162)</f>
        <v>0</v>
      </c>
      <c r="AT163" s="44">
        <f>SUM(AT146:AT162)</f>
        <v>0</v>
      </c>
      <c r="AU163" s="44">
        <f>SUM(AU146:AU162)</f>
        <v>0</v>
      </c>
      <c r="AV163" s="44">
        <f>SUM(AV146:AV162)</f>
        <v>0</v>
      </c>
      <c r="AW163" s="44">
        <f>SUM(AW146:AW162)</f>
        <v>0</v>
      </c>
      <c r="AX163" s="44">
        <f>SUM(AX146:AX162)</f>
        <v>0</v>
      </c>
      <c r="AY163" s="44">
        <f>SUM(AY146:AY162)</f>
        <v>0</v>
      </c>
      <c r="AZ163" s="44">
        <f>SUM(AZ146:AZ162)</f>
        <v>0</v>
      </c>
      <c r="BA163" s="44">
        <f>SUM(BA146:BA162)</f>
        <v>0</v>
      </c>
      <c r="BB163" s="44">
        <f>SUM(BB146:BB162)</f>
        <v>0</v>
      </c>
      <c r="BC163" s="44">
        <f>SUM(BC146:BC162)</f>
        <v>5866</v>
      </c>
      <c r="BD163" s="44">
        <f>SUM(BD146:BD162)</f>
        <v>0</v>
      </c>
    </row>
    <row r="164" spans="1:56" s="43" customFormat="1" ht="24.95" customHeight="1" x14ac:dyDescent="0.25">
      <c r="A164" s="35" t="s">
        <v>244</v>
      </c>
      <c r="B164" s="35"/>
      <c r="C164" s="33" t="s">
        <v>62</v>
      </c>
      <c r="D164" s="36" t="s">
        <v>129</v>
      </c>
      <c r="E164" s="35"/>
      <c r="F164" s="35"/>
      <c r="G164" s="35"/>
      <c r="H164" s="33" t="s">
        <v>46</v>
      </c>
      <c r="I164" s="35"/>
      <c r="J164" s="35"/>
      <c r="K164" s="35"/>
      <c r="L164" s="35"/>
      <c r="M164" s="35"/>
      <c r="N164" s="35"/>
      <c r="O164" s="35"/>
      <c r="P164" s="35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7">
        <v>496</v>
      </c>
      <c r="AG164" s="37">
        <v>0</v>
      </c>
      <c r="AH164" s="37">
        <v>180.79999999999998</v>
      </c>
      <c r="AI164" s="37">
        <v>53.46</v>
      </c>
      <c r="AJ164" s="37">
        <v>22</v>
      </c>
      <c r="AK164" s="37">
        <v>0</v>
      </c>
      <c r="AL164" s="37">
        <v>10</v>
      </c>
      <c r="AM164" s="37">
        <v>0</v>
      </c>
      <c r="AN164" s="37">
        <v>0</v>
      </c>
      <c r="AO164" s="37">
        <v>261</v>
      </c>
      <c r="AP164" s="37">
        <v>0</v>
      </c>
      <c r="AQ164" s="37">
        <v>0</v>
      </c>
      <c r="AR164" s="37">
        <v>0</v>
      </c>
      <c r="AS164" s="37">
        <v>91</v>
      </c>
      <c r="AT164" s="36">
        <v>0</v>
      </c>
      <c r="AU164" s="36">
        <v>0</v>
      </c>
      <c r="AV164" s="37">
        <v>0</v>
      </c>
      <c r="AW164" s="36">
        <v>0</v>
      </c>
      <c r="AX164" s="36">
        <v>0</v>
      </c>
      <c r="AY164" s="36">
        <v>0</v>
      </c>
      <c r="AZ164" s="36">
        <v>0</v>
      </c>
      <c r="BA164" s="36">
        <v>0</v>
      </c>
      <c r="BB164" s="36">
        <v>0</v>
      </c>
      <c r="BC164" s="36">
        <v>0</v>
      </c>
      <c r="BD164" s="36">
        <v>0</v>
      </c>
    </row>
    <row r="165" spans="1:56" s="43" customFormat="1" ht="24.95" customHeight="1" x14ac:dyDescent="0.25">
      <c r="A165" s="35" t="s">
        <v>244</v>
      </c>
      <c r="B165" s="35"/>
      <c r="C165" s="33" t="s">
        <v>62</v>
      </c>
      <c r="D165" s="36" t="s">
        <v>130</v>
      </c>
      <c r="E165" s="35"/>
      <c r="F165" s="35"/>
      <c r="G165" s="35"/>
      <c r="H165" s="33" t="s">
        <v>46</v>
      </c>
      <c r="I165" s="35"/>
      <c r="J165" s="35"/>
      <c r="K165" s="35"/>
      <c r="L165" s="35"/>
      <c r="M165" s="35"/>
      <c r="N165" s="35"/>
      <c r="O165" s="35"/>
      <c r="P165" s="35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7">
        <v>573</v>
      </c>
      <c r="AG165" s="37">
        <v>0</v>
      </c>
      <c r="AH165" s="37">
        <v>208</v>
      </c>
      <c r="AI165" s="37">
        <v>63.18</v>
      </c>
      <c r="AJ165" s="37">
        <v>26</v>
      </c>
      <c r="AK165" s="37">
        <v>0</v>
      </c>
      <c r="AL165" s="37">
        <v>19</v>
      </c>
      <c r="AM165" s="37">
        <v>0</v>
      </c>
      <c r="AN165" s="37">
        <v>0</v>
      </c>
      <c r="AO165" s="37">
        <v>294</v>
      </c>
      <c r="AP165" s="37">
        <v>0</v>
      </c>
      <c r="AQ165" s="37">
        <v>0</v>
      </c>
      <c r="AR165" s="37">
        <v>0</v>
      </c>
      <c r="AS165" s="37">
        <v>107</v>
      </c>
      <c r="AT165" s="36">
        <v>0</v>
      </c>
      <c r="AU165" s="36">
        <v>0</v>
      </c>
      <c r="AV165" s="37">
        <v>0</v>
      </c>
      <c r="AW165" s="36">
        <v>0</v>
      </c>
      <c r="AX165" s="36">
        <v>0</v>
      </c>
      <c r="AY165" s="36">
        <v>0</v>
      </c>
      <c r="AZ165" s="36">
        <v>0</v>
      </c>
      <c r="BA165" s="36">
        <v>0</v>
      </c>
      <c r="BB165" s="36">
        <v>0</v>
      </c>
      <c r="BC165" s="36">
        <v>0</v>
      </c>
      <c r="BD165" s="36">
        <v>0</v>
      </c>
    </row>
    <row r="166" spans="1:56" s="43" customFormat="1" ht="24.95" customHeight="1" x14ac:dyDescent="0.25">
      <c r="A166" s="35" t="s">
        <v>244</v>
      </c>
      <c r="B166" s="35"/>
      <c r="C166" s="33" t="s">
        <v>62</v>
      </c>
      <c r="D166" s="36" t="s">
        <v>138</v>
      </c>
      <c r="E166" s="35"/>
      <c r="F166" s="35"/>
      <c r="G166" s="35"/>
      <c r="H166" s="33" t="s">
        <v>46</v>
      </c>
      <c r="I166" s="35"/>
      <c r="J166" s="35"/>
      <c r="K166" s="35"/>
      <c r="L166" s="35"/>
      <c r="M166" s="35"/>
      <c r="N166" s="35"/>
      <c r="O166" s="35"/>
      <c r="P166" s="35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7">
        <v>269</v>
      </c>
      <c r="AG166" s="37">
        <v>0</v>
      </c>
      <c r="AH166" s="37">
        <v>212.4</v>
      </c>
      <c r="AI166" s="37">
        <v>51.03</v>
      </c>
      <c r="AJ166" s="37">
        <v>21</v>
      </c>
      <c r="AK166" s="37">
        <v>0</v>
      </c>
      <c r="AL166" s="37">
        <v>22</v>
      </c>
      <c r="AM166" s="37">
        <v>0</v>
      </c>
      <c r="AN166" s="37">
        <v>0</v>
      </c>
      <c r="AO166" s="37">
        <v>236</v>
      </c>
      <c r="AP166" s="37">
        <v>0</v>
      </c>
      <c r="AQ166" s="37">
        <v>0</v>
      </c>
      <c r="AR166" s="37">
        <v>0</v>
      </c>
      <c r="AS166" s="37">
        <v>118</v>
      </c>
      <c r="AT166" s="36">
        <v>0</v>
      </c>
      <c r="AU166" s="36">
        <v>0</v>
      </c>
      <c r="AV166" s="37">
        <v>0</v>
      </c>
      <c r="AW166" s="36">
        <v>0</v>
      </c>
      <c r="AX166" s="36">
        <v>0</v>
      </c>
      <c r="AY166" s="36">
        <v>0</v>
      </c>
      <c r="AZ166" s="36">
        <v>0</v>
      </c>
      <c r="BA166" s="36">
        <v>0</v>
      </c>
      <c r="BB166" s="36">
        <v>0</v>
      </c>
      <c r="BC166" s="36">
        <v>0</v>
      </c>
      <c r="BD166" s="36">
        <v>0</v>
      </c>
    </row>
    <row r="167" spans="1:56" s="43" customFormat="1" ht="24.95" customHeight="1" x14ac:dyDescent="0.25">
      <c r="A167" s="35" t="s">
        <v>208</v>
      </c>
      <c r="B167" s="35"/>
      <c r="C167" s="33" t="s">
        <v>62</v>
      </c>
      <c r="D167" s="36" t="s">
        <v>131</v>
      </c>
      <c r="E167" s="35"/>
      <c r="F167" s="35"/>
      <c r="G167" s="35"/>
      <c r="H167" s="33" t="s">
        <v>46</v>
      </c>
      <c r="I167" s="35"/>
      <c r="J167" s="35"/>
      <c r="K167" s="35"/>
      <c r="L167" s="35"/>
      <c r="M167" s="35"/>
      <c r="N167" s="35"/>
      <c r="O167" s="35"/>
      <c r="P167" s="35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7">
        <v>523</v>
      </c>
      <c r="AG167" s="37">
        <v>0</v>
      </c>
      <c r="AH167" s="37">
        <v>164</v>
      </c>
      <c r="AI167" s="37">
        <v>55.89</v>
      </c>
      <c r="AJ167" s="37">
        <v>23</v>
      </c>
      <c r="AK167" s="37">
        <v>0</v>
      </c>
      <c r="AL167" s="37">
        <v>16</v>
      </c>
      <c r="AM167" s="37">
        <v>0</v>
      </c>
      <c r="AN167" s="37">
        <v>0</v>
      </c>
      <c r="AO167" s="37">
        <v>239</v>
      </c>
      <c r="AP167" s="37">
        <v>0</v>
      </c>
      <c r="AQ167" s="37">
        <v>0</v>
      </c>
      <c r="AR167" s="37">
        <v>0</v>
      </c>
      <c r="AS167" s="37">
        <v>84</v>
      </c>
      <c r="AT167" s="36">
        <v>0</v>
      </c>
      <c r="AU167" s="36">
        <v>0</v>
      </c>
      <c r="AV167" s="37">
        <v>0</v>
      </c>
      <c r="AW167" s="36">
        <v>0</v>
      </c>
      <c r="AX167" s="36">
        <v>0</v>
      </c>
      <c r="AY167" s="36">
        <v>0</v>
      </c>
      <c r="AZ167" s="36">
        <v>0</v>
      </c>
      <c r="BA167" s="36">
        <v>0</v>
      </c>
      <c r="BB167" s="36">
        <v>0</v>
      </c>
      <c r="BC167" s="36">
        <v>0</v>
      </c>
      <c r="BD167" s="36">
        <v>0</v>
      </c>
    </row>
    <row r="168" spans="1:56" s="43" customFormat="1" ht="24.95" customHeight="1" x14ac:dyDescent="0.25">
      <c r="A168" s="35" t="s">
        <v>209</v>
      </c>
      <c r="B168" s="35"/>
      <c r="C168" s="33" t="s">
        <v>62</v>
      </c>
      <c r="D168" s="36" t="s">
        <v>126</v>
      </c>
      <c r="E168" s="35"/>
      <c r="F168" s="35"/>
      <c r="G168" s="35"/>
      <c r="H168" s="33" t="s">
        <v>46</v>
      </c>
      <c r="I168" s="35"/>
      <c r="J168" s="35"/>
      <c r="K168" s="35"/>
      <c r="L168" s="35"/>
      <c r="M168" s="35"/>
      <c r="N168" s="35"/>
      <c r="O168" s="35"/>
      <c r="P168" s="35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7">
        <v>139</v>
      </c>
      <c r="AG168" s="37">
        <v>0</v>
      </c>
      <c r="AH168" s="37">
        <v>105.80000000000001</v>
      </c>
      <c r="AI168" s="37">
        <v>38.880000000000003</v>
      </c>
      <c r="AJ168" s="37">
        <v>16</v>
      </c>
      <c r="AK168" s="37">
        <v>0</v>
      </c>
      <c r="AL168" s="37">
        <v>4</v>
      </c>
      <c r="AM168" s="37">
        <v>0</v>
      </c>
      <c r="AN168" s="37">
        <v>0</v>
      </c>
      <c r="AO168" s="37">
        <v>133</v>
      </c>
      <c r="AP168" s="37">
        <v>0</v>
      </c>
      <c r="AQ168" s="37">
        <v>0</v>
      </c>
      <c r="AR168" s="37">
        <v>0</v>
      </c>
      <c r="AS168" s="37">
        <v>61</v>
      </c>
      <c r="AT168" s="36">
        <v>0</v>
      </c>
      <c r="AU168" s="36">
        <v>0</v>
      </c>
      <c r="AV168" s="37">
        <v>0</v>
      </c>
      <c r="AW168" s="36">
        <v>0</v>
      </c>
      <c r="AX168" s="36">
        <v>0</v>
      </c>
      <c r="AY168" s="36">
        <v>0</v>
      </c>
      <c r="AZ168" s="36">
        <v>0</v>
      </c>
      <c r="BA168" s="36">
        <v>0</v>
      </c>
      <c r="BB168" s="36">
        <v>0</v>
      </c>
      <c r="BC168" s="36">
        <v>0</v>
      </c>
      <c r="BD168" s="36">
        <v>0</v>
      </c>
    </row>
    <row r="169" spans="1:56" s="43" customFormat="1" ht="24.95" customHeight="1" x14ac:dyDescent="0.25">
      <c r="A169" s="35" t="s">
        <v>209</v>
      </c>
      <c r="B169" s="35"/>
      <c r="C169" s="33" t="s">
        <v>62</v>
      </c>
      <c r="D169" s="36" t="s">
        <v>128</v>
      </c>
      <c r="E169" s="35"/>
      <c r="F169" s="35"/>
      <c r="G169" s="35"/>
      <c r="H169" s="33" t="s">
        <v>46</v>
      </c>
      <c r="I169" s="35"/>
      <c r="J169" s="35"/>
      <c r="K169" s="35"/>
      <c r="L169" s="35"/>
      <c r="M169" s="35"/>
      <c r="N169" s="35"/>
      <c r="O169" s="35"/>
      <c r="P169" s="35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7">
        <v>113</v>
      </c>
      <c r="AG169" s="37">
        <v>0</v>
      </c>
      <c r="AH169" s="37">
        <v>34.4</v>
      </c>
      <c r="AI169" s="37">
        <v>19.440000000000001</v>
      </c>
      <c r="AJ169" s="37">
        <v>8</v>
      </c>
      <c r="AK169" s="37">
        <v>0</v>
      </c>
      <c r="AL169" s="37">
        <v>2</v>
      </c>
      <c r="AM169" s="37">
        <v>0</v>
      </c>
      <c r="AN169" s="37">
        <v>0</v>
      </c>
      <c r="AO169" s="37">
        <v>56</v>
      </c>
      <c r="AP169" s="37">
        <v>0</v>
      </c>
      <c r="AQ169" s="37">
        <v>0</v>
      </c>
      <c r="AR169" s="37">
        <v>0</v>
      </c>
      <c r="AS169" s="37">
        <v>19</v>
      </c>
      <c r="AT169" s="36">
        <v>0</v>
      </c>
      <c r="AU169" s="36">
        <v>0</v>
      </c>
      <c r="AV169" s="37">
        <v>0</v>
      </c>
      <c r="AW169" s="36">
        <v>0</v>
      </c>
      <c r="AX169" s="36">
        <v>0</v>
      </c>
      <c r="AY169" s="36">
        <v>0</v>
      </c>
      <c r="AZ169" s="36">
        <v>0</v>
      </c>
      <c r="BA169" s="36">
        <v>0</v>
      </c>
      <c r="BB169" s="36">
        <v>0</v>
      </c>
      <c r="BC169" s="36">
        <v>0</v>
      </c>
      <c r="BD169" s="36">
        <v>0</v>
      </c>
    </row>
    <row r="170" spans="1:56" s="43" customFormat="1" ht="24.95" customHeight="1" x14ac:dyDescent="0.25">
      <c r="A170" s="35" t="s">
        <v>209</v>
      </c>
      <c r="B170" s="35"/>
      <c r="C170" s="33" t="s">
        <v>62</v>
      </c>
      <c r="D170" s="36" t="s">
        <v>137</v>
      </c>
      <c r="E170" s="35"/>
      <c r="F170" s="35"/>
      <c r="G170" s="35"/>
      <c r="H170" s="33" t="s">
        <v>46</v>
      </c>
      <c r="I170" s="35"/>
      <c r="J170" s="35"/>
      <c r="K170" s="35"/>
      <c r="L170" s="35"/>
      <c r="M170" s="35"/>
      <c r="N170" s="35"/>
      <c r="O170" s="35"/>
      <c r="P170" s="35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7">
        <v>241</v>
      </c>
      <c r="AG170" s="37">
        <v>0</v>
      </c>
      <c r="AH170" s="37">
        <v>167.79999999999998</v>
      </c>
      <c r="AI170" s="37">
        <v>51.03</v>
      </c>
      <c r="AJ170" s="37">
        <v>21</v>
      </c>
      <c r="AK170" s="37">
        <v>0</v>
      </c>
      <c r="AL170" s="37">
        <v>10</v>
      </c>
      <c r="AM170" s="37">
        <v>0</v>
      </c>
      <c r="AN170" s="37">
        <v>0</v>
      </c>
      <c r="AO170" s="37">
        <v>226</v>
      </c>
      <c r="AP170" s="37">
        <v>0</v>
      </c>
      <c r="AQ170" s="37">
        <v>0</v>
      </c>
      <c r="AR170" s="37">
        <v>0</v>
      </c>
      <c r="AS170" s="37">
        <v>94</v>
      </c>
      <c r="AT170" s="36">
        <v>0</v>
      </c>
      <c r="AU170" s="36">
        <v>0</v>
      </c>
      <c r="AV170" s="37">
        <v>0</v>
      </c>
      <c r="AW170" s="36">
        <v>0</v>
      </c>
      <c r="AX170" s="36">
        <v>0</v>
      </c>
      <c r="AY170" s="36">
        <v>0</v>
      </c>
      <c r="AZ170" s="36">
        <v>0</v>
      </c>
      <c r="BA170" s="36">
        <v>0</v>
      </c>
      <c r="BB170" s="36">
        <v>0</v>
      </c>
      <c r="BC170" s="36">
        <v>0</v>
      </c>
      <c r="BD170" s="36">
        <v>0</v>
      </c>
    </row>
    <row r="171" spans="1:56" s="43" customFormat="1" ht="24.95" customHeight="1" x14ac:dyDescent="0.25">
      <c r="A171" s="35" t="s">
        <v>209</v>
      </c>
      <c r="B171" s="35"/>
      <c r="C171" s="33" t="s">
        <v>62</v>
      </c>
      <c r="D171" s="36" t="s">
        <v>206</v>
      </c>
      <c r="E171" s="35"/>
      <c r="F171" s="35"/>
      <c r="G171" s="35"/>
      <c r="H171" s="33" t="s">
        <v>46</v>
      </c>
      <c r="I171" s="35"/>
      <c r="J171" s="35"/>
      <c r="K171" s="35"/>
      <c r="L171" s="35"/>
      <c r="M171" s="35"/>
      <c r="N171" s="35"/>
      <c r="O171" s="35"/>
      <c r="P171" s="35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7">
        <v>121</v>
      </c>
      <c r="AG171" s="37">
        <v>0</v>
      </c>
      <c r="AH171" s="37">
        <v>84.000000000000014</v>
      </c>
      <c r="AI171" s="37">
        <v>31.59</v>
      </c>
      <c r="AJ171" s="37">
        <v>13</v>
      </c>
      <c r="AK171" s="37">
        <v>0</v>
      </c>
      <c r="AL171" s="37">
        <v>4</v>
      </c>
      <c r="AM171" s="37">
        <v>0</v>
      </c>
      <c r="AN171" s="37">
        <v>0</v>
      </c>
      <c r="AO171" s="37">
        <v>108</v>
      </c>
      <c r="AP171" s="37">
        <v>0</v>
      </c>
      <c r="AQ171" s="37">
        <v>0</v>
      </c>
      <c r="AR171" s="37">
        <v>0</v>
      </c>
      <c r="AS171" s="37">
        <v>42</v>
      </c>
      <c r="AT171" s="36">
        <v>0</v>
      </c>
      <c r="AU171" s="36">
        <v>0</v>
      </c>
      <c r="AV171" s="37">
        <v>0</v>
      </c>
      <c r="AW171" s="36">
        <v>0</v>
      </c>
      <c r="AX171" s="36">
        <v>0</v>
      </c>
      <c r="AY171" s="36">
        <v>0</v>
      </c>
      <c r="AZ171" s="36">
        <v>0</v>
      </c>
      <c r="BA171" s="36">
        <v>0</v>
      </c>
      <c r="BB171" s="36">
        <v>0</v>
      </c>
      <c r="BC171" s="36">
        <v>0</v>
      </c>
      <c r="BD171" s="36">
        <v>0</v>
      </c>
    </row>
    <row r="172" spans="1:56" s="43" customFormat="1" ht="24.95" customHeight="1" x14ac:dyDescent="0.25">
      <c r="A172" s="35" t="s">
        <v>209</v>
      </c>
      <c r="B172" s="35"/>
      <c r="C172" s="33" t="s">
        <v>62</v>
      </c>
      <c r="D172" s="36" t="s">
        <v>207</v>
      </c>
      <c r="E172" s="35"/>
      <c r="F172" s="35"/>
      <c r="G172" s="35"/>
      <c r="H172" s="33" t="s">
        <v>46</v>
      </c>
      <c r="I172" s="35"/>
      <c r="J172" s="35"/>
      <c r="K172" s="35"/>
      <c r="L172" s="35"/>
      <c r="M172" s="35"/>
      <c r="N172" s="35"/>
      <c r="O172" s="35"/>
      <c r="P172" s="35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7">
        <v>49</v>
      </c>
      <c r="AG172" s="37">
        <v>0</v>
      </c>
      <c r="AH172" s="37">
        <v>39.200000000000003</v>
      </c>
      <c r="AI172" s="37">
        <v>9.7200000000000006</v>
      </c>
      <c r="AJ172" s="37">
        <v>4</v>
      </c>
      <c r="AK172" s="37">
        <v>0</v>
      </c>
      <c r="AL172" s="37">
        <v>2</v>
      </c>
      <c r="AM172" s="37">
        <v>0</v>
      </c>
      <c r="AN172" s="37">
        <v>0</v>
      </c>
      <c r="AO172" s="37">
        <v>47</v>
      </c>
      <c r="AP172" s="37">
        <v>0</v>
      </c>
      <c r="AQ172" s="37">
        <v>0</v>
      </c>
      <c r="AR172" s="37">
        <v>0</v>
      </c>
      <c r="AS172" s="37">
        <v>17</v>
      </c>
      <c r="AT172" s="36">
        <v>0</v>
      </c>
      <c r="AU172" s="36">
        <v>0</v>
      </c>
      <c r="AV172" s="37">
        <v>0</v>
      </c>
      <c r="AW172" s="36">
        <v>0</v>
      </c>
      <c r="AX172" s="36">
        <v>0</v>
      </c>
      <c r="AY172" s="36">
        <v>0</v>
      </c>
      <c r="AZ172" s="36">
        <v>0</v>
      </c>
      <c r="BA172" s="36">
        <v>0</v>
      </c>
      <c r="BB172" s="36">
        <v>0</v>
      </c>
      <c r="BC172" s="36">
        <v>0</v>
      </c>
      <c r="BD172" s="36">
        <v>0</v>
      </c>
    </row>
    <row r="173" spans="1:56" s="43" customFormat="1" ht="24.95" customHeight="1" x14ac:dyDescent="0.25">
      <c r="A173" s="35" t="s">
        <v>248</v>
      </c>
      <c r="B173" s="35"/>
      <c r="C173" s="33" t="s">
        <v>62</v>
      </c>
      <c r="D173" s="36" t="s">
        <v>139</v>
      </c>
      <c r="E173" s="35"/>
      <c r="F173" s="35"/>
      <c r="G173" s="35"/>
      <c r="H173" s="33" t="s">
        <v>46</v>
      </c>
      <c r="I173" s="35"/>
      <c r="J173" s="35"/>
      <c r="K173" s="35"/>
      <c r="L173" s="35"/>
      <c r="M173" s="35"/>
      <c r="N173" s="35"/>
      <c r="O173" s="35"/>
      <c r="P173" s="35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7">
        <v>288</v>
      </c>
      <c r="AG173" s="37">
        <v>0</v>
      </c>
      <c r="AH173" s="37">
        <v>150.6</v>
      </c>
      <c r="AI173" s="37">
        <v>80.190000000000012</v>
      </c>
      <c r="AJ173" s="37">
        <v>33</v>
      </c>
      <c r="AK173" s="37">
        <v>0</v>
      </c>
      <c r="AL173" s="37">
        <v>15</v>
      </c>
      <c r="AM173" s="37">
        <v>0</v>
      </c>
      <c r="AN173" s="37">
        <v>0</v>
      </c>
      <c r="AO173" s="37">
        <v>196</v>
      </c>
      <c r="AP173" s="37">
        <v>0</v>
      </c>
      <c r="AQ173" s="37">
        <v>0</v>
      </c>
      <c r="AR173" s="37">
        <v>0</v>
      </c>
      <c r="AS173" s="37">
        <v>124</v>
      </c>
      <c r="AT173" s="36">
        <v>0</v>
      </c>
      <c r="AU173" s="36">
        <v>0</v>
      </c>
      <c r="AV173" s="37">
        <v>0</v>
      </c>
      <c r="AW173" s="36">
        <v>0</v>
      </c>
      <c r="AX173" s="36">
        <v>0</v>
      </c>
      <c r="AY173" s="36">
        <v>0</v>
      </c>
      <c r="AZ173" s="36">
        <v>0</v>
      </c>
      <c r="BA173" s="36">
        <v>0</v>
      </c>
      <c r="BB173" s="36">
        <v>0</v>
      </c>
      <c r="BC173" s="36">
        <v>0</v>
      </c>
      <c r="BD173" s="36">
        <v>0</v>
      </c>
    </row>
    <row r="174" spans="1:56" s="43" customFormat="1" ht="24.95" customHeight="1" x14ac:dyDescent="0.25">
      <c r="A174" s="35" t="s">
        <v>246</v>
      </c>
      <c r="B174" s="35"/>
      <c r="C174" s="33" t="s">
        <v>62</v>
      </c>
      <c r="D174" s="36" t="s">
        <v>134</v>
      </c>
      <c r="E174" s="35"/>
      <c r="F174" s="35"/>
      <c r="G174" s="35"/>
      <c r="H174" s="33" t="s">
        <v>46</v>
      </c>
      <c r="I174" s="35"/>
      <c r="J174" s="35"/>
      <c r="K174" s="35"/>
      <c r="L174" s="35"/>
      <c r="M174" s="35"/>
      <c r="N174" s="35"/>
      <c r="O174" s="35"/>
      <c r="P174" s="35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7">
        <v>436</v>
      </c>
      <c r="AG174" s="37">
        <v>0</v>
      </c>
      <c r="AH174" s="37">
        <v>305.60000000000002</v>
      </c>
      <c r="AI174" s="37">
        <v>72.900000000000006</v>
      </c>
      <c r="AJ174" s="37">
        <v>30</v>
      </c>
      <c r="AK174" s="37">
        <v>0</v>
      </c>
      <c r="AL174" s="37">
        <v>18</v>
      </c>
      <c r="AM174" s="37">
        <v>0</v>
      </c>
      <c r="AN174" s="37">
        <v>0</v>
      </c>
      <c r="AO174" s="37">
        <v>373</v>
      </c>
      <c r="AP174" s="37">
        <v>0</v>
      </c>
      <c r="AQ174" s="37">
        <v>0</v>
      </c>
      <c r="AR174" s="37">
        <v>0</v>
      </c>
      <c r="AS174" s="37">
        <v>161</v>
      </c>
      <c r="AT174" s="36">
        <v>0</v>
      </c>
      <c r="AU174" s="36">
        <v>0</v>
      </c>
      <c r="AV174" s="37">
        <v>0</v>
      </c>
      <c r="AW174" s="36">
        <v>0</v>
      </c>
      <c r="AX174" s="36">
        <v>0</v>
      </c>
      <c r="AY174" s="36">
        <v>0</v>
      </c>
      <c r="AZ174" s="36">
        <v>0</v>
      </c>
      <c r="BA174" s="36">
        <v>0</v>
      </c>
      <c r="BB174" s="36">
        <v>0</v>
      </c>
      <c r="BC174" s="36">
        <v>0</v>
      </c>
      <c r="BD174" s="36">
        <v>0</v>
      </c>
    </row>
    <row r="175" spans="1:56" s="43" customFormat="1" ht="24.95" customHeight="1" x14ac:dyDescent="0.25">
      <c r="A175" s="35" t="s">
        <v>246</v>
      </c>
      <c r="B175" s="35"/>
      <c r="C175" s="33" t="s">
        <v>62</v>
      </c>
      <c r="D175" s="36" t="s">
        <v>135</v>
      </c>
      <c r="E175" s="35"/>
      <c r="F175" s="35"/>
      <c r="G175" s="35"/>
      <c r="H175" s="33" t="s">
        <v>46</v>
      </c>
      <c r="I175" s="35"/>
      <c r="J175" s="35"/>
      <c r="K175" s="35"/>
      <c r="L175" s="35"/>
      <c r="M175" s="35"/>
      <c r="N175" s="35"/>
      <c r="O175" s="35"/>
      <c r="P175" s="35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7">
        <v>156</v>
      </c>
      <c r="AG175" s="37">
        <v>0</v>
      </c>
      <c r="AH175" s="37">
        <v>106.39999999999999</v>
      </c>
      <c r="AI175" s="37">
        <v>51.03</v>
      </c>
      <c r="AJ175" s="37">
        <v>21</v>
      </c>
      <c r="AK175" s="37">
        <v>0</v>
      </c>
      <c r="AL175" s="37">
        <v>10</v>
      </c>
      <c r="AM175" s="37">
        <v>0</v>
      </c>
      <c r="AN175" s="37">
        <v>0</v>
      </c>
      <c r="AO175" s="37">
        <v>124</v>
      </c>
      <c r="AP175" s="37">
        <v>0</v>
      </c>
      <c r="AQ175" s="37">
        <v>0</v>
      </c>
      <c r="AR175" s="37">
        <v>0</v>
      </c>
      <c r="AS175" s="37">
        <v>56</v>
      </c>
      <c r="AT175" s="36">
        <v>0</v>
      </c>
      <c r="AU175" s="36">
        <v>0</v>
      </c>
      <c r="AV175" s="37">
        <v>0</v>
      </c>
      <c r="AW175" s="36">
        <v>0</v>
      </c>
      <c r="AX175" s="36">
        <v>0</v>
      </c>
      <c r="AY175" s="36">
        <v>0</v>
      </c>
      <c r="AZ175" s="36">
        <v>0</v>
      </c>
      <c r="BA175" s="36">
        <v>0</v>
      </c>
      <c r="BB175" s="36">
        <v>0</v>
      </c>
      <c r="BC175" s="36">
        <v>0</v>
      </c>
      <c r="BD175" s="36">
        <v>0</v>
      </c>
    </row>
    <row r="176" spans="1:56" s="43" customFormat="1" ht="24.95" customHeight="1" x14ac:dyDescent="0.25">
      <c r="A176" s="35" t="s">
        <v>245</v>
      </c>
      <c r="B176" s="35"/>
      <c r="C176" s="33" t="s">
        <v>62</v>
      </c>
      <c r="D176" s="36" t="s">
        <v>133</v>
      </c>
      <c r="E176" s="35"/>
      <c r="F176" s="35"/>
      <c r="G176" s="35"/>
      <c r="H176" s="33" t="s">
        <v>46</v>
      </c>
      <c r="I176" s="35"/>
      <c r="J176" s="35"/>
      <c r="K176" s="35"/>
      <c r="L176" s="35"/>
      <c r="M176" s="35"/>
      <c r="N176" s="35"/>
      <c r="O176" s="35"/>
      <c r="P176" s="35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7">
        <v>330</v>
      </c>
      <c r="AG176" s="37">
        <v>0</v>
      </c>
      <c r="AH176" s="37">
        <v>240.2</v>
      </c>
      <c r="AI176" s="37">
        <v>77.760000000000005</v>
      </c>
      <c r="AJ176" s="37">
        <v>32</v>
      </c>
      <c r="AK176" s="37">
        <v>0</v>
      </c>
      <c r="AL176" s="37">
        <v>8</v>
      </c>
      <c r="AM176" s="37">
        <v>0</v>
      </c>
      <c r="AN176" s="37">
        <v>0</v>
      </c>
      <c r="AO176" s="37">
        <v>302</v>
      </c>
      <c r="AP176" s="37">
        <v>0</v>
      </c>
      <c r="AQ176" s="37">
        <v>0</v>
      </c>
      <c r="AR176" s="37">
        <v>0</v>
      </c>
      <c r="AS176" s="37">
        <v>137</v>
      </c>
      <c r="AT176" s="36">
        <v>0</v>
      </c>
      <c r="AU176" s="36">
        <v>0</v>
      </c>
      <c r="AV176" s="37">
        <v>0</v>
      </c>
      <c r="AW176" s="36">
        <v>0</v>
      </c>
      <c r="AX176" s="36">
        <v>0</v>
      </c>
      <c r="AY176" s="36">
        <v>0</v>
      </c>
      <c r="AZ176" s="36">
        <v>0</v>
      </c>
      <c r="BA176" s="36">
        <v>0</v>
      </c>
      <c r="BB176" s="36">
        <v>0</v>
      </c>
      <c r="BC176" s="36">
        <v>0</v>
      </c>
      <c r="BD176" s="36">
        <v>0</v>
      </c>
    </row>
    <row r="177" spans="1:56" s="43" customFormat="1" ht="24.95" customHeight="1" x14ac:dyDescent="0.25">
      <c r="A177" s="35" t="s">
        <v>243</v>
      </c>
      <c r="B177" s="35"/>
      <c r="C177" s="33" t="s">
        <v>62</v>
      </c>
      <c r="D177" s="36" t="s">
        <v>127</v>
      </c>
      <c r="E177" s="35"/>
      <c r="F177" s="35"/>
      <c r="G177" s="35"/>
      <c r="H177" s="33" t="s">
        <v>46</v>
      </c>
      <c r="I177" s="35"/>
      <c r="J177" s="35"/>
      <c r="K177" s="35"/>
      <c r="L177" s="35"/>
      <c r="M177" s="35"/>
      <c r="N177" s="35"/>
      <c r="O177" s="35"/>
      <c r="P177" s="35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7">
        <v>161</v>
      </c>
      <c r="AG177" s="37">
        <v>0</v>
      </c>
      <c r="AH177" s="37">
        <v>108.80000000000001</v>
      </c>
      <c r="AI177" s="37">
        <v>46.17</v>
      </c>
      <c r="AJ177" s="37">
        <v>19</v>
      </c>
      <c r="AK177" s="37">
        <v>0</v>
      </c>
      <c r="AL177" s="37">
        <v>2</v>
      </c>
      <c r="AM177" s="37">
        <v>0</v>
      </c>
      <c r="AN177" s="37">
        <v>0</v>
      </c>
      <c r="AO177" s="37">
        <v>135</v>
      </c>
      <c r="AP177" s="37">
        <v>0</v>
      </c>
      <c r="AQ177" s="37">
        <v>0</v>
      </c>
      <c r="AR177" s="37">
        <v>0</v>
      </c>
      <c r="AS177" s="37">
        <v>64</v>
      </c>
      <c r="AT177" s="36">
        <v>0</v>
      </c>
      <c r="AU177" s="36">
        <v>0</v>
      </c>
      <c r="AV177" s="37">
        <v>0</v>
      </c>
      <c r="AW177" s="36">
        <v>0</v>
      </c>
      <c r="AX177" s="36">
        <v>0</v>
      </c>
      <c r="AY177" s="36">
        <v>0</v>
      </c>
      <c r="AZ177" s="36">
        <v>0</v>
      </c>
      <c r="BA177" s="36">
        <v>0</v>
      </c>
      <c r="BB177" s="36">
        <v>0</v>
      </c>
      <c r="BC177" s="36">
        <v>0</v>
      </c>
      <c r="BD177" s="36">
        <v>0</v>
      </c>
    </row>
    <row r="178" spans="1:56" s="43" customFormat="1" ht="24.95" customHeight="1" x14ac:dyDescent="0.25">
      <c r="A178" s="35" t="s">
        <v>243</v>
      </c>
      <c r="B178" s="35"/>
      <c r="C178" s="33" t="s">
        <v>62</v>
      </c>
      <c r="D178" s="36" t="s">
        <v>132</v>
      </c>
      <c r="E178" s="35"/>
      <c r="F178" s="35"/>
      <c r="G178" s="35"/>
      <c r="H178" s="33" t="s">
        <v>46</v>
      </c>
      <c r="I178" s="35"/>
      <c r="J178" s="35"/>
      <c r="K178" s="35"/>
      <c r="L178" s="35"/>
      <c r="M178" s="35"/>
      <c r="N178" s="35"/>
      <c r="O178" s="35"/>
      <c r="P178" s="35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7">
        <v>476</v>
      </c>
      <c r="AG178" s="37">
        <v>0</v>
      </c>
      <c r="AH178" s="37">
        <v>0</v>
      </c>
      <c r="AI178" s="37">
        <v>19.440000000000001</v>
      </c>
      <c r="AJ178" s="37">
        <v>8</v>
      </c>
      <c r="AK178" s="37">
        <v>0</v>
      </c>
      <c r="AL178" s="37">
        <v>5</v>
      </c>
      <c r="AM178" s="37">
        <v>0</v>
      </c>
      <c r="AN178" s="37">
        <v>0</v>
      </c>
      <c r="AO178" s="37">
        <v>73</v>
      </c>
      <c r="AP178" s="37">
        <v>0</v>
      </c>
      <c r="AQ178" s="37">
        <v>0</v>
      </c>
      <c r="AR178" s="37">
        <v>0</v>
      </c>
      <c r="AS178" s="37">
        <v>26</v>
      </c>
      <c r="AT178" s="36">
        <v>0</v>
      </c>
      <c r="AU178" s="36">
        <v>0</v>
      </c>
      <c r="AV178" s="37">
        <v>0</v>
      </c>
      <c r="AW178" s="36">
        <v>0</v>
      </c>
      <c r="AX178" s="36">
        <v>0</v>
      </c>
      <c r="AY178" s="36">
        <v>0</v>
      </c>
      <c r="AZ178" s="36">
        <v>0</v>
      </c>
      <c r="BA178" s="36">
        <v>0</v>
      </c>
      <c r="BB178" s="36">
        <v>0</v>
      </c>
      <c r="BC178" s="36">
        <v>0</v>
      </c>
      <c r="BD178" s="36">
        <v>0</v>
      </c>
    </row>
    <row r="179" spans="1:56" s="43" customFormat="1" ht="24.95" customHeight="1" x14ac:dyDescent="0.25">
      <c r="A179" s="35" t="s">
        <v>249</v>
      </c>
      <c r="B179" s="35"/>
      <c r="C179" s="33" t="s">
        <v>62</v>
      </c>
      <c r="D179" s="36" t="s">
        <v>140</v>
      </c>
      <c r="E179" s="35"/>
      <c r="F179" s="35"/>
      <c r="G179" s="35"/>
      <c r="H179" s="33" t="s">
        <v>46</v>
      </c>
      <c r="I179" s="35"/>
      <c r="J179" s="35"/>
      <c r="K179" s="35"/>
      <c r="L179" s="35"/>
      <c r="M179" s="35"/>
      <c r="N179" s="35"/>
      <c r="O179" s="35"/>
      <c r="P179" s="35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7">
        <v>105</v>
      </c>
      <c r="AG179" s="37">
        <v>0</v>
      </c>
      <c r="AH179" s="37">
        <v>38.4</v>
      </c>
      <c r="AI179" s="37">
        <v>41.31</v>
      </c>
      <c r="AJ179" s="37">
        <v>17</v>
      </c>
      <c r="AK179" s="37">
        <v>0</v>
      </c>
      <c r="AL179" s="37">
        <v>0</v>
      </c>
      <c r="AM179" s="37">
        <v>0</v>
      </c>
      <c r="AN179" s="37">
        <v>0</v>
      </c>
      <c r="AO179" s="37">
        <v>52</v>
      </c>
      <c r="AP179" s="37">
        <v>0</v>
      </c>
      <c r="AQ179" s="37">
        <v>0</v>
      </c>
      <c r="AR179" s="37">
        <v>0</v>
      </c>
      <c r="AS179" s="37">
        <v>27</v>
      </c>
      <c r="AT179" s="36">
        <v>0</v>
      </c>
      <c r="AU179" s="36">
        <v>0</v>
      </c>
      <c r="AV179" s="37">
        <v>0</v>
      </c>
      <c r="AW179" s="36">
        <v>0</v>
      </c>
      <c r="AX179" s="36">
        <v>0</v>
      </c>
      <c r="AY179" s="36">
        <v>0</v>
      </c>
      <c r="AZ179" s="36">
        <v>0</v>
      </c>
      <c r="BA179" s="36">
        <v>0</v>
      </c>
      <c r="BB179" s="36">
        <v>0</v>
      </c>
      <c r="BC179" s="36">
        <v>0</v>
      </c>
      <c r="BD179" s="36">
        <v>0</v>
      </c>
    </row>
    <row r="180" spans="1:56" s="43" customFormat="1" ht="24.95" customHeight="1" x14ac:dyDescent="0.25">
      <c r="A180" s="35" t="s">
        <v>247</v>
      </c>
      <c r="B180" s="35"/>
      <c r="C180" s="33" t="s">
        <v>62</v>
      </c>
      <c r="D180" s="36" t="s">
        <v>136</v>
      </c>
      <c r="E180" s="35"/>
      <c r="F180" s="35"/>
      <c r="G180" s="35"/>
      <c r="H180" s="33" t="s">
        <v>46</v>
      </c>
      <c r="I180" s="35"/>
      <c r="J180" s="35"/>
      <c r="K180" s="35"/>
      <c r="L180" s="35"/>
      <c r="M180" s="35"/>
      <c r="N180" s="35"/>
      <c r="O180" s="35"/>
      <c r="P180" s="35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7">
        <v>443</v>
      </c>
      <c r="AG180" s="37">
        <v>0</v>
      </c>
      <c r="AH180" s="37">
        <v>311.99999999999994</v>
      </c>
      <c r="AI180" s="37">
        <v>70.47</v>
      </c>
      <c r="AJ180" s="37">
        <v>29</v>
      </c>
      <c r="AK180" s="37">
        <v>0</v>
      </c>
      <c r="AL180" s="37">
        <v>26</v>
      </c>
      <c r="AM180" s="37">
        <v>0</v>
      </c>
      <c r="AN180" s="37">
        <v>0</v>
      </c>
      <c r="AO180" s="37">
        <v>371</v>
      </c>
      <c r="AP180" s="37">
        <v>0</v>
      </c>
      <c r="AQ180" s="37">
        <v>0</v>
      </c>
      <c r="AR180" s="37">
        <v>0</v>
      </c>
      <c r="AS180" s="37">
        <v>148</v>
      </c>
      <c r="AT180" s="36">
        <v>0</v>
      </c>
      <c r="AU180" s="36">
        <v>0</v>
      </c>
      <c r="AV180" s="37">
        <v>0</v>
      </c>
      <c r="AW180" s="36">
        <v>0</v>
      </c>
      <c r="AX180" s="36">
        <v>0</v>
      </c>
      <c r="AY180" s="36">
        <v>0</v>
      </c>
      <c r="AZ180" s="36">
        <v>0</v>
      </c>
      <c r="BA180" s="36">
        <v>0</v>
      </c>
      <c r="BB180" s="36">
        <v>0</v>
      </c>
      <c r="BC180" s="36">
        <v>0</v>
      </c>
      <c r="BD180" s="36">
        <v>0</v>
      </c>
    </row>
    <row r="181" spans="1:56" s="46" customFormat="1" ht="24.95" customHeight="1" x14ac:dyDescent="0.25">
      <c r="A181" s="44" t="s">
        <v>63</v>
      </c>
      <c r="B181" s="44"/>
      <c r="C181" s="45"/>
      <c r="D181" s="44"/>
      <c r="E181" s="44"/>
      <c r="F181" s="44"/>
      <c r="G181" s="44"/>
      <c r="H181" s="45"/>
      <c r="I181" s="44"/>
      <c r="J181" s="44"/>
      <c r="K181" s="44"/>
      <c r="L181" s="44"/>
      <c r="M181" s="44"/>
      <c r="N181" s="44"/>
      <c r="O181" s="44"/>
      <c r="P181" s="44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44">
        <f>SUM(AF164:AF180)</f>
        <v>4919</v>
      </c>
      <c r="AG181" s="44">
        <f>SUM(AG164:AG180)</f>
        <v>0</v>
      </c>
      <c r="AH181" s="44">
        <f>SUM(AH164:AH180)</f>
        <v>2458.4</v>
      </c>
      <c r="AI181" s="44">
        <f>SUM(AI164:AI180)</f>
        <v>833.49</v>
      </c>
      <c r="AJ181" s="44">
        <f>SUM(AJ164:AJ180)</f>
        <v>343</v>
      </c>
      <c r="AK181" s="44">
        <f>SUM(AK164:AK180)</f>
        <v>0</v>
      </c>
      <c r="AL181" s="44">
        <f>SUM(AL164:AL180)</f>
        <v>173</v>
      </c>
      <c r="AM181" s="44">
        <f>SUM(AM164:AM180)</f>
        <v>0</v>
      </c>
      <c r="AN181" s="44">
        <f>SUM(AN164:AN180)</f>
        <v>0</v>
      </c>
      <c r="AO181" s="44">
        <f>SUM(AO164:AO180)</f>
        <v>3226</v>
      </c>
      <c r="AP181" s="44">
        <f>SUM(AP164:AP180)</f>
        <v>0</v>
      </c>
      <c r="AQ181" s="44">
        <f>SUM(AQ164:AQ180)</f>
        <v>0</v>
      </c>
      <c r="AR181" s="44">
        <f>SUM(AR164:AR180)</f>
        <v>0</v>
      </c>
      <c r="AS181" s="44">
        <f>SUM(AS164:AS180)</f>
        <v>1376</v>
      </c>
      <c r="AT181" s="44">
        <f>SUM(AT164:AT180)</f>
        <v>0</v>
      </c>
      <c r="AU181" s="44">
        <f>SUM(AU164:AU180)</f>
        <v>0</v>
      </c>
      <c r="AV181" s="44">
        <f>SUM(AV164:AV180)</f>
        <v>0</v>
      </c>
      <c r="AW181" s="44">
        <f>SUM(AW164:AW180)</f>
        <v>0</v>
      </c>
      <c r="AX181" s="44">
        <f>SUM(AX164:AX180)</f>
        <v>0</v>
      </c>
      <c r="AY181" s="44">
        <f>SUM(AY164:AY180)</f>
        <v>0</v>
      </c>
      <c r="AZ181" s="44">
        <f>SUM(AZ164:AZ180)</f>
        <v>0</v>
      </c>
      <c r="BA181" s="44">
        <f>SUM(BA164:BA180)</f>
        <v>0</v>
      </c>
      <c r="BB181" s="44">
        <f>SUM(BB164:BB180)</f>
        <v>0</v>
      </c>
      <c r="BC181" s="44">
        <f>SUM(BC164:BC180)</f>
        <v>0</v>
      </c>
      <c r="BD181" s="44">
        <f>SUM(BD164:BD180)</f>
        <v>0</v>
      </c>
    </row>
    <row r="182" spans="1:56" s="43" customFormat="1" ht="24.95" customHeight="1" x14ac:dyDescent="0.25">
      <c r="A182" s="35" t="s">
        <v>251</v>
      </c>
      <c r="B182" s="35"/>
      <c r="C182" s="33" t="s">
        <v>76</v>
      </c>
      <c r="D182" s="36" t="s">
        <v>143</v>
      </c>
      <c r="E182" s="35"/>
      <c r="F182" s="35"/>
      <c r="G182" s="35"/>
      <c r="H182" s="33" t="s">
        <v>46</v>
      </c>
      <c r="I182" s="35"/>
      <c r="J182" s="35"/>
      <c r="K182" s="35"/>
      <c r="L182" s="35"/>
      <c r="M182" s="35"/>
      <c r="N182" s="35"/>
      <c r="O182" s="35"/>
      <c r="P182" s="35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70">
        <v>213</v>
      </c>
      <c r="AG182" s="37">
        <v>0</v>
      </c>
      <c r="AH182" s="37">
        <v>165.80000000000004</v>
      </c>
      <c r="AI182" s="37">
        <v>53.46</v>
      </c>
      <c r="AJ182" s="37">
        <v>22</v>
      </c>
      <c r="AK182" s="37">
        <v>0</v>
      </c>
      <c r="AL182" s="37">
        <v>0</v>
      </c>
      <c r="AM182" s="37">
        <v>0</v>
      </c>
      <c r="AN182" s="37">
        <v>0</v>
      </c>
      <c r="AO182" s="37">
        <v>208</v>
      </c>
      <c r="AP182" s="37">
        <v>0</v>
      </c>
      <c r="AQ182" s="37">
        <v>0</v>
      </c>
      <c r="AR182" s="37">
        <v>51</v>
      </c>
      <c r="AS182" s="37">
        <v>41</v>
      </c>
      <c r="AT182" s="36">
        <v>0</v>
      </c>
      <c r="AU182" s="36">
        <v>0</v>
      </c>
      <c r="AV182" s="37">
        <v>0</v>
      </c>
      <c r="AW182" s="36">
        <v>0</v>
      </c>
      <c r="AX182" s="36">
        <v>0</v>
      </c>
      <c r="AY182" s="36">
        <v>0</v>
      </c>
      <c r="AZ182" s="36">
        <v>0</v>
      </c>
      <c r="BA182" s="36">
        <v>0</v>
      </c>
      <c r="BB182" s="36">
        <v>0</v>
      </c>
      <c r="BC182" s="36">
        <v>0</v>
      </c>
      <c r="BD182" s="36">
        <v>0</v>
      </c>
    </row>
    <row r="183" spans="1:56" s="43" customFormat="1" ht="24.95" customHeight="1" x14ac:dyDescent="0.25">
      <c r="A183" s="35" t="s">
        <v>253</v>
      </c>
      <c r="B183" s="35"/>
      <c r="C183" s="33" t="s">
        <v>76</v>
      </c>
      <c r="D183" s="36" t="s">
        <v>148</v>
      </c>
      <c r="E183" s="35"/>
      <c r="F183" s="35"/>
      <c r="G183" s="35"/>
      <c r="H183" s="33" t="s">
        <v>46</v>
      </c>
      <c r="I183" s="35"/>
      <c r="J183" s="35"/>
      <c r="K183" s="35"/>
      <c r="L183" s="35"/>
      <c r="M183" s="35"/>
      <c r="N183" s="35"/>
      <c r="O183" s="35"/>
      <c r="P183" s="35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70">
        <v>26</v>
      </c>
      <c r="AG183" s="37">
        <v>0</v>
      </c>
      <c r="AH183" s="37">
        <v>20.8</v>
      </c>
      <c r="AI183" s="37">
        <v>4.8600000000000003</v>
      </c>
      <c r="AJ183" s="37">
        <v>2</v>
      </c>
      <c r="AK183" s="37">
        <v>0</v>
      </c>
      <c r="AL183" s="37">
        <v>0</v>
      </c>
      <c r="AM183" s="37">
        <v>0</v>
      </c>
      <c r="AN183" s="37">
        <v>0</v>
      </c>
      <c r="AO183" s="37">
        <v>26</v>
      </c>
      <c r="AP183" s="37">
        <v>0</v>
      </c>
      <c r="AQ183" s="37">
        <v>0</v>
      </c>
      <c r="AR183" s="37">
        <v>8</v>
      </c>
      <c r="AS183" s="37">
        <v>0</v>
      </c>
      <c r="AT183" s="36">
        <v>0</v>
      </c>
      <c r="AU183" s="36">
        <v>0</v>
      </c>
      <c r="AV183" s="37">
        <v>0</v>
      </c>
      <c r="AW183" s="36">
        <v>0</v>
      </c>
      <c r="AX183" s="36">
        <v>0</v>
      </c>
      <c r="AY183" s="36">
        <v>0</v>
      </c>
      <c r="AZ183" s="36">
        <v>0</v>
      </c>
      <c r="BA183" s="36">
        <v>0</v>
      </c>
      <c r="BB183" s="36">
        <v>0</v>
      </c>
      <c r="BC183" s="36">
        <v>0</v>
      </c>
      <c r="BD183" s="36">
        <v>0</v>
      </c>
    </row>
    <row r="184" spans="1:56" s="43" customFormat="1" ht="24.95" customHeight="1" x14ac:dyDescent="0.25">
      <c r="A184" s="35" t="s">
        <v>256</v>
      </c>
      <c r="B184" s="35"/>
      <c r="C184" s="33" t="s">
        <v>76</v>
      </c>
      <c r="D184" s="36" t="s">
        <v>155</v>
      </c>
      <c r="E184" s="35"/>
      <c r="F184" s="35"/>
      <c r="G184" s="35"/>
      <c r="H184" s="33" t="s">
        <v>46</v>
      </c>
      <c r="I184" s="35"/>
      <c r="J184" s="35"/>
      <c r="K184" s="35"/>
      <c r="L184" s="35"/>
      <c r="M184" s="35"/>
      <c r="N184" s="35"/>
      <c r="O184" s="35"/>
      <c r="P184" s="35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70">
        <v>336</v>
      </c>
      <c r="AG184" s="37">
        <v>0</v>
      </c>
      <c r="AH184" s="37">
        <v>232</v>
      </c>
      <c r="AI184" s="37">
        <v>60.75</v>
      </c>
      <c r="AJ184" s="37">
        <v>25</v>
      </c>
      <c r="AK184" s="37">
        <v>0</v>
      </c>
      <c r="AL184" s="37">
        <v>0</v>
      </c>
      <c r="AM184" s="37">
        <v>0</v>
      </c>
      <c r="AN184" s="37">
        <v>0</v>
      </c>
      <c r="AO184" s="37">
        <v>298</v>
      </c>
      <c r="AP184" s="37">
        <v>0</v>
      </c>
      <c r="AQ184" s="37">
        <v>0</v>
      </c>
      <c r="AR184" s="37">
        <v>49</v>
      </c>
      <c r="AS184" s="37">
        <v>116</v>
      </c>
      <c r="AT184" s="36">
        <v>0</v>
      </c>
      <c r="AU184" s="36">
        <v>0</v>
      </c>
      <c r="AV184" s="37">
        <v>0</v>
      </c>
      <c r="AW184" s="36">
        <v>0</v>
      </c>
      <c r="AX184" s="36">
        <v>0</v>
      </c>
      <c r="AY184" s="36">
        <v>0</v>
      </c>
      <c r="AZ184" s="36">
        <v>0</v>
      </c>
      <c r="BA184" s="36">
        <v>0</v>
      </c>
      <c r="BB184" s="36">
        <v>0</v>
      </c>
      <c r="BC184" s="36">
        <v>0</v>
      </c>
      <c r="BD184" s="36">
        <v>0</v>
      </c>
    </row>
    <row r="185" spans="1:56" s="43" customFormat="1" ht="24.95" customHeight="1" x14ac:dyDescent="0.25">
      <c r="A185" s="35" t="s">
        <v>258</v>
      </c>
      <c r="B185" s="35"/>
      <c r="C185" s="33" t="s">
        <v>76</v>
      </c>
      <c r="D185" s="36" t="s">
        <v>157</v>
      </c>
      <c r="E185" s="35"/>
      <c r="F185" s="35"/>
      <c r="G185" s="35"/>
      <c r="H185" s="33" t="s">
        <v>46</v>
      </c>
      <c r="I185" s="35"/>
      <c r="J185" s="35"/>
      <c r="K185" s="35"/>
      <c r="L185" s="35"/>
      <c r="M185" s="35"/>
      <c r="N185" s="35"/>
      <c r="O185" s="35"/>
      <c r="P185" s="35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70">
        <v>564</v>
      </c>
      <c r="AG185" s="37">
        <v>0</v>
      </c>
      <c r="AH185" s="37">
        <v>355.2</v>
      </c>
      <c r="AI185" s="37">
        <v>89.91</v>
      </c>
      <c r="AJ185" s="37">
        <v>37</v>
      </c>
      <c r="AK185" s="37">
        <v>0</v>
      </c>
      <c r="AL185" s="37">
        <v>0</v>
      </c>
      <c r="AM185" s="37">
        <v>0</v>
      </c>
      <c r="AN185" s="37">
        <v>0</v>
      </c>
      <c r="AO185" s="37">
        <v>465</v>
      </c>
      <c r="AP185" s="37">
        <v>0</v>
      </c>
      <c r="AQ185" s="37">
        <v>0</v>
      </c>
      <c r="AR185" s="37">
        <v>116</v>
      </c>
      <c r="AS185" s="37">
        <v>113</v>
      </c>
      <c r="AT185" s="36">
        <v>0</v>
      </c>
      <c r="AU185" s="36">
        <v>0</v>
      </c>
      <c r="AV185" s="37">
        <v>0</v>
      </c>
      <c r="AW185" s="36">
        <v>0</v>
      </c>
      <c r="AX185" s="36">
        <v>0</v>
      </c>
      <c r="AY185" s="36">
        <v>0</v>
      </c>
      <c r="AZ185" s="36">
        <v>0</v>
      </c>
      <c r="BA185" s="36">
        <v>0</v>
      </c>
      <c r="BB185" s="36">
        <v>0</v>
      </c>
      <c r="BC185" s="36">
        <v>0</v>
      </c>
      <c r="BD185" s="36">
        <v>0</v>
      </c>
    </row>
    <row r="186" spans="1:56" s="43" customFormat="1" ht="24.95" customHeight="1" x14ac:dyDescent="0.25">
      <c r="A186" s="35" t="s">
        <v>257</v>
      </c>
      <c r="B186" s="35"/>
      <c r="C186" s="33" t="s">
        <v>76</v>
      </c>
      <c r="D186" s="36" t="s">
        <v>156</v>
      </c>
      <c r="E186" s="35"/>
      <c r="F186" s="35"/>
      <c r="G186" s="35"/>
      <c r="H186" s="33" t="s">
        <v>46</v>
      </c>
      <c r="I186" s="35"/>
      <c r="J186" s="35"/>
      <c r="K186" s="35"/>
      <c r="L186" s="35"/>
      <c r="M186" s="35"/>
      <c r="N186" s="35"/>
      <c r="O186" s="35"/>
      <c r="P186" s="35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70">
        <v>666</v>
      </c>
      <c r="AG186" s="37">
        <v>0</v>
      </c>
      <c r="AH186" s="37">
        <v>485.2</v>
      </c>
      <c r="AI186" s="37">
        <v>145.80000000000001</v>
      </c>
      <c r="AJ186" s="37">
        <v>60</v>
      </c>
      <c r="AK186" s="37">
        <v>0</v>
      </c>
      <c r="AL186" s="37">
        <v>0</v>
      </c>
      <c r="AM186" s="37">
        <v>0</v>
      </c>
      <c r="AN186" s="37">
        <v>0</v>
      </c>
      <c r="AO186" s="37">
        <v>614</v>
      </c>
      <c r="AP186" s="37">
        <v>0</v>
      </c>
      <c r="AQ186" s="37">
        <v>0</v>
      </c>
      <c r="AR186" s="37">
        <v>105</v>
      </c>
      <c r="AS186" s="37">
        <v>167</v>
      </c>
      <c r="AT186" s="36">
        <v>0</v>
      </c>
      <c r="AU186" s="36">
        <v>0</v>
      </c>
      <c r="AV186" s="37">
        <v>0</v>
      </c>
      <c r="AW186" s="36">
        <v>0</v>
      </c>
      <c r="AX186" s="36">
        <v>0</v>
      </c>
      <c r="AY186" s="36">
        <v>0</v>
      </c>
      <c r="AZ186" s="36">
        <v>0</v>
      </c>
      <c r="BA186" s="36">
        <v>0</v>
      </c>
      <c r="BB186" s="36">
        <v>0</v>
      </c>
      <c r="BC186" s="36">
        <v>0</v>
      </c>
      <c r="BD186" s="36">
        <v>0</v>
      </c>
    </row>
    <row r="187" spans="1:56" s="43" customFormat="1" ht="24.95" customHeight="1" x14ac:dyDescent="0.25">
      <c r="A187" s="35" t="s">
        <v>261</v>
      </c>
      <c r="B187" s="35"/>
      <c r="C187" s="33" t="s">
        <v>76</v>
      </c>
      <c r="D187" s="36" t="s">
        <v>161</v>
      </c>
      <c r="E187" s="35"/>
      <c r="F187" s="35"/>
      <c r="G187" s="35"/>
      <c r="H187" s="33" t="s">
        <v>46</v>
      </c>
      <c r="I187" s="35"/>
      <c r="J187" s="35"/>
      <c r="K187" s="35"/>
      <c r="L187" s="35"/>
      <c r="M187" s="35"/>
      <c r="N187" s="35"/>
      <c r="O187" s="35"/>
      <c r="P187" s="35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70">
        <v>301</v>
      </c>
      <c r="AG187" s="37">
        <v>0</v>
      </c>
      <c r="AH187" s="37">
        <v>193</v>
      </c>
      <c r="AI187" s="37">
        <v>68.040000000000006</v>
      </c>
      <c r="AJ187" s="37">
        <v>28</v>
      </c>
      <c r="AK187" s="37">
        <v>0</v>
      </c>
      <c r="AL187" s="37">
        <v>0</v>
      </c>
      <c r="AM187" s="37">
        <v>0</v>
      </c>
      <c r="AN187" s="37">
        <v>0</v>
      </c>
      <c r="AO187" s="37">
        <v>274</v>
      </c>
      <c r="AP187" s="37">
        <v>0</v>
      </c>
      <c r="AQ187" s="37">
        <v>0</v>
      </c>
      <c r="AR187" s="37">
        <v>63</v>
      </c>
      <c r="AS187" s="37">
        <v>48</v>
      </c>
      <c r="AT187" s="36">
        <v>0</v>
      </c>
      <c r="AU187" s="36">
        <v>0</v>
      </c>
      <c r="AV187" s="37">
        <v>0</v>
      </c>
      <c r="AW187" s="36">
        <v>0</v>
      </c>
      <c r="AX187" s="36">
        <v>0</v>
      </c>
      <c r="AY187" s="36">
        <v>0</v>
      </c>
      <c r="AZ187" s="36">
        <v>0</v>
      </c>
      <c r="BA187" s="36">
        <v>0</v>
      </c>
      <c r="BB187" s="36">
        <v>0</v>
      </c>
      <c r="BC187" s="36">
        <v>0</v>
      </c>
      <c r="BD187" s="36">
        <v>0</v>
      </c>
    </row>
    <row r="188" spans="1:56" s="43" customFormat="1" ht="24.95" customHeight="1" x14ac:dyDescent="0.25">
      <c r="A188" s="35" t="s">
        <v>203</v>
      </c>
      <c r="B188" s="35"/>
      <c r="C188" s="33" t="s">
        <v>76</v>
      </c>
      <c r="D188" s="36" t="s">
        <v>150</v>
      </c>
      <c r="E188" s="35"/>
      <c r="F188" s="35"/>
      <c r="G188" s="35"/>
      <c r="H188" s="33" t="s">
        <v>46</v>
      </c>
      <c r="I188" s="35"/>
      <c r="J188" s="35"/>
      <c r="K188" s="35"/>
      <c r="L188" s="35"/>
      <c r="M188" s="35"/>
      <c r="N188" s="35"/>
      <c r="O188" s="35"/>
      <c r="P188" s="35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70">
        <v>618</v>
      </c>
      <c r="AG188" s="37">
        <v>0</v>
      </c>
      <c r="AH188" s="37">
        <v>200</v>
      </c>
      <c r="AI188" s="37">
        <v>72.900000000000006</v>
      </c>
      <c r="AJ188" s="37">
        <v>30</v>
      </c>
      <c r="AK188" s="37">
        <v>0</v>
      </c>
      <c r="AL188" s="37">
        <v>0</v>
      </c>
      <c r="AM188" s="37">
        <v>0</v>
      </c>
      <c r="AN188" s="37">
        <v>0</v>
      </c>
      <c r="AO188" s="37">
        <v>308</v>
      </c>
      <c r="AP188" s="37">
        <v>0</v>
      </c>
      <c r="AQ188" s="37">
        <v>0</v>
      </c>
      <c r="AR188" s="37">
        <v>40</v>
      </c>
      <c r="AS188" s="37">
        <v>66</v>
      </c>
      <c r="AT188" s="36">
        <v>0</v>
      </c>
      <c r="AU188" s="36">
        <v>0</v>
      </c>
      <c r="AV188" s="37">
        <v>0</v>
      </c>
      <c r="AW188" s="36">
        <v>0</v>
      </c>
      <c r="AX188" s="36">
        <v>0</v>
      </c>
      <c r="AY188" s="36">
        <v>0</v>
      </c>
      <c r="AZ188" s="36">
        <v>0</v>
      </c>
      <c r="BA188" s="36">
        <v>0</v>
      </c>
      <c r="BB188" s="36">
        <v>0</v>
      </c>
      <c r="BC188" s="36">
        <v>0</v>
      </c>
      <c r="BD188" s="36">
        <v>0</v>
      </c>
    </row>
    <row r="189" spans="1:56" s="43" customFormat="1" ht="24.95" customHeight="1" x14ac:dyDescent="0.25">
      <c r="A189" s="35" t="s">
        <v>254</v>
      </c>
      <c r="B189" s="35"/>
      <c r="C189" s="33" t="s">
        <v>76</v>
      </c>
      <c r="D189" s="36" t="s">
        <v>153</v>
      </c>
      <c r="E189" s="35"/>
      <c r="F189" s="35"/>
      <c r="G189" s="35"/>
      <c r="H189" s="33" t="s">
        <v>46</v>
      </c>
      <c r="I189" s="35"/>
      <c r="J189" s="35"/>
      <c r="K189" s="35"/>
      <c r="L189" s="35"/>
      <c r="M189" s="35"/>
      <c r="N189" s="35"/>
      <c r="O189" s="35"/>
      <c r="P189" s="35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70">
        <v>555</v>
      </c>
      <c r="AG189" s="37">
        <v>0</v>
      </c>
      <c r="AH189" s="37">
        <v>208.8</v>
      </c>
      <c r="AI189" s="37">
        <v>58.32</v>
      </c>
      <c r="AJ189" s="37">
        <v>24</v>
      </c>
      <c r="AK189" s="37">
        <v>0</v>
      </c>
      <c r="AL189" s="37">
        <v>0</v>
      </c>
      <c r="AM189" s="37">
        <v>0</v>
      </c>
      <c r="AN189" s="37">
        <v>0</v>
      </c>
      <c r="AO189" s="37">
        <v>310</v>
      </c>
      <c r="AP189" s="37">
        <v>0</v>
      </c>
      <c r="AQ189" s="37">
        <v>0</v>
      </c>
      <c r="AR189" s="37">
        <v>48</v>
      </c>
      <c r="AS189" s="37">
        <v>48</v>
      </c>
      <c r="AT189" s="36">
        <v>0</v>
      </c>
      <c r="AU189" s="36">
        <v>0</v>
      </c>
      <c r="AV189" s="37">
        <v>0</v>
      </c>
      <c r="AW189" s="36">
        <v>0</v>
      </c>
      <c r="AX189" s="36">
        <v>0</v>
      </c>
      <c r="AY189" s="36">
        <v>0</v>
      </c>
      <c r="AZ189" s="36">
        <v>0</v>
      </c>
      <c r="BA189" s="36">
        <v>0</v>
      </c>
      <c r="BB189" s="36">
        <v>0</v>
      </c>
      <c r="BC189" s="36">
        <v>0</v>
      </c>
      <c r="BD189" s="36">
        <v>0</v>
      </c>
    </row>
    <row r="190" spans="1:56" s="43" customFormat="1" ht="24.95" customHeight="1" x14ac:dyDescent="0.25">
      <c r="A190" s="35" t="s">
        <v>221</v>
      </c>
      <c r="B190" s="35"/>
      <c r="C190" s="33" t="s">
        <v>76</v>
      </c>
      <c r="D190" s="36" t="s">
        <v>162</v>
      </c>
      <c r="E190" s="35"/>
      <c r="F190" s="35"/>
      <c r="G190" s="35"/>
      <c r="H190" s="33" t="s">
        <v>46</v>
      </c>
      <c r="I190" s="35"/>
      <c r="J190" s="35"/>
      <c r="K190" s="35"/>
      <c r="L190" s="35"/>
      <c r="M190" s="35"/>
      <c r="N190" s="35"/>
      <c r="O190" s="35"/>
      <c r="P190" s="35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70">
        <v>11</v>
      </c>
      <c r="AG190" s="37">
        <v>0</v>
      </c>
      <c r="AH190" s="37">
        <v>0</v>
      </c>
      <c r="AI190" s="37">
        <v>24.3</v>
      </c>
      <c r="AJ190" s="37">
        <v>10</v>
      </c>
      <c r="AK190" s="37">
        <v>0</v>
      </c>
      <c r="AL190" s="37">
        <v>0</v>
      </c>
      <c r="AM190" s="37">
        <v>0</v>
      </c>
      <c r="AN190" s="37">
        <v>0</v>
      </c>
      <c r="AO190" s="37">
        <v>0</v>
      </c>
      <c r="AP190" s="37">
        <v>0</v>
      </c>
      <c r="AQ190" s="37">
        <v>0</v>
      </c>
      <c r="AR190" s="37">
        <v>0</v>
      </c>
      <c r="AS190" s="37">
        <v>0</v>
      </c>
      <c r="AT190" s="36">
        <v>0</v>
      </c>
      <c r="AU190" s="36">
        <v>0</v>
      </c>
      <c r="AV190" s="37">
        <v>0</v>
      </c>
      <c r="AW190" s="36">
        <v>0</v>
      </c>
      <c r="AX190" s="36">
        <v>0</v>
      </c>
      <c r="AY190" s="36">
        <v>0</v>
      </c>
      <c r="AZ190" s="36">
        <v>0</v>
      </c>
      <c r="BA190" s="36">
        <v>0</v>
      </c>
      <c r="BB190" s="36">
        <v>0</v>
      </c>
      <c r="BC190" s="36">
        <v>0</v>
      </c>
      <c r="BD190" s="36">
        <v>0</v>
      </c>
    </row>
    <row r="191" spans="1:56" s="43" customFormat="1" ht="24.95" customHeight="1" x14ac:dyDescent="0.25">
      <c r="A191" s="35" t="s">
        <v>221</v>
      </c>
      <c r="B191" s="35"/>
      <c r="C191" s="33" t="s">
        <v>76</v>
      </c>
      <c r="D191" s="36" t="s">
        <v>146</v>
      </c>
      <c r="E191" s="35"/>
      <c r="F191" s="35"/>
      <c r="G191" s="35"/>
      <c r="H191" s="33" t="s">
        <v>46</v>
      </c>
      <c r="I191" s="35"/>
      <c r="J191" s="35"/>
      <c r="K191" s="35"/>
      <c r="L191" s="35"/>
      <c r="M191" s="35"/>
      <c r="N191" s="35"/>
      <c r="O191" s="35"/>
      <c r="P191" s="35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70">
        <v>123</v>
      </c>
      <c r="AG191" s="37">
        <v>0</v>
      </c>
      <c r="AH191" s="37">
        <v>88</v>
      </c>
      <c r="AI191" s="37">
        <v>29.16</v>
      </c>
      <c r="AJ191" s="37">
        <v>12</v>
      </c>
      <c r="AK191" s="37">
        <v>0</v>
      </c>
      <c r="AL191" s="37">
        <v>0</v>
      </c>
      <c r="AM191" s="37">
        <v>0</v>
      </c>
      <c r="AN191" s="37">
        <v>0</v>
      </c>
      <c r="AO191" s="37">
        <v>111</v>
      </c>
      <c r="AP191" s="37">
        <v>0</v>
      </c>
      <c r="AQ191" s="37">
        <v>0</v>
      </c>
      <c r="AR191" s="37">
        <v>47</v>
      </c>
      <c r="AS191" s="37">
        <v>0</v>
      </c>
      <c r="AT191" s="36">
        <v>0</v>
      </c>
      <c r="AU191" s="36">
        <v>0</v>
      </c>
      <c r="AV191" s="37">
        <v>0</v>
      </c>
      <c r="AW191" s="36">
        <v>0</v>
      </c>
      <c r="AX191" s="36">
        <v>0</v>
      </c>
      <c r="AY191" s="36">
        <v>0</v>
      </c>
      <c r="AZ191" s="36">
        <v>0</v>
      </c>
      <c r="BA191" s="36">
        <v>0</v>
      </c>
      <c r="BB191" s="36">
        <v>0</v>
      </c>
      <c r="BC191" s="36">
        <v>0</v>
      </c>
      <c r="BD191" s="36">
        <v>0</v>
      </c>
    </row>
    <row r="192" spans="1:56" s="43" customFormat="1" ht="24.95" customHeight="1" x14ac:dyDescent="0.25">
      <c r="A192" s="35" t="s">
        <v>260</v>
      </c>
      <c r="B192" s="35"/>
      <c r="C192" s="33" t="s">
        <v>76</v>
      </c>
      <c r="D192" s="36" t="s">
        <v>160</v>
      </c>
      <c r="E192" s="35"/>
      <c r="F192" s="35"/>
      <c r="G192" s="35"/>
      <c r="H192" s="33" t="s">
        <v>46</v>
      </c>
      <c r="I192" s="35"/>
      <c r="J192" s="35"/>
      <c r="K192" s="35"/>
      <c r="L192" s="35"/>
      <c r="M192" s="35"/>
      <c r="N192" s="35"/>
      <c r="O192" s="35"/>
      <c r="P192" s="35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70">
        <v>612</v>
      </c>
      <c r="AG192" s="37">
        <v>0</v>
      </c>
      <c r="AH192" s="37">
        <v>449</v>
      </c>
      <c r="AI192" s="37">
        <v>131.22</v>
      </c>
      <c r="AJ192" s="37">
        <v>54</v>
      </c>
      <c r="AK192" s="37">
        <v>0</v>
      </c>
      <c r="AL192" s="37">
        <v>0</v>
      </c>
      <c r="AM192" s="37">
        <v>0</v>
      </c>
      <c r="AN192" s="37">
        <v>0</v>
      </c>
      <c r="AO192" s="37">
        <v>571</v>
      </c>
      <c r="AP192" s="37">
        <v>0</v>
      </c>
      <c r="AQ192" s="37">
        <v>0</v>
      </c>
      <c r="AR192" s="37">
        <v>103</v>
      </c>
      <c r="AS192" s="37">
        <v>164</v>
      </c>
      <c r="AT192" s="36">
        <v>0</v>
      </c>
      <c r="AU192" s="36">
        <v>0</v>
      </c>
      <c r="AV192" s="37">
        <v>0</v>
      </c>
      <c r="AW192" s="36">
        <v>0</v>
      </c>
      <c r="AX192" s="36">
        <v>0</v>
      </c>
      <c r="AY192" s="36">
        <v>0</v>
      </c>
      <c r="AZ192" s="36">
        <v>0</v>
      </c>
      <c r="BA192" s="36">
        <v>0</v>
      </c>
      <c r="BB192" s="36">
        <v>0</v>
      </c>
      <c r="BC192" s="36">
        <v>0</v>
      </c>
      <c r="BD192" s="36">
        <v>0</v>
      </c>
    </row>
    <row r="193" spans="1:56" s="43" customFormat="1" ht="24.95" customHeight="1" x14ac:dyDescent="0.25">
      <c r="A193" s="35" t="s">
        <v>216</v>
      </c>
      <c r="B193" s="35"/>
      <c r="C193" s="33" t="s">
        <v>76</v>
      </c>
      <c r="D193" s="36" t="s">
        <v>210</v>
      </c>
      <c r="E193" s="35"/>
      <c r="F193" s="35"/>
      <c r="G193" s="35"/>
      <c r="H193" s="33" t="s">
        <v>46</v>
      </c>
      <c r="I193" s="35"/>
      <c r="J193" s="35"/>
      <c r="K193" s="35"/>
      <c r="L193" s="35"/>
      <c r="M193" s="35"/>
      <c r="N193" s="35"/>
      <c r="O193" s="35"/>
      <c r="P193" s="35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70">
        <v>519</v>
      </c>
      <c r="AG193" s="37">
        <v>0</v>
      </c>
      <c r="AH193" s="37">
        <v>184.8</v>
      </c>
      <c r="AI193" s="37">
        <v>58.32</v>
      </c>
      <c r="AJ193" s="37">
        <v>24</v>
      </c>
      <c r="AK193" s="37">
        <v>0</v>
      </c>
      <c r="AL193" s="37">
        <v>0</v>
      </c>
      <c r="AM193" s="37">
        <v>0</v>
      </c>
      <c r="AN193" s="37">
        <v>0</v>
      </c>
      <c r="AO193" s="37">
        <v>279</v>
      </c>
      <c r="AP193" s="37">
        <v>0</v>
      </c>
      <c r="AQ193" s="37">
        <v>0</v>
      </c>
      <c r="AR193" s="37">
        <v>39</v>
      </c>
      <c r="AS193" s="37">
        <v>58</v>
      </c>
      <c r="AT193" s="36">
        <v>0</v>
      </c>
      <c r="AU193" s="36">
        <v>0</v>
      </c>
      <c r="AV193" s="37">
        <v>0</v>
      </c>
      <c r="AW193" s="36">
        <v>0</v>
      </c>
      <c r="AX193" s="36">
        <v>0</v>
      </c>
      <c r="AY193" s="36">
        <v>0</v>
      </c>
      <c r="AZ193" s="36">
        <v>0</v>
      </c>
      <c r="BA193" s="36">
        <v>0</v>
      </c>
      <c r="BB193" s="36">
        <v>0</v>
      </c>
      <c r="BC193" s="36">
        <v>0</v>
      </c>
      <c r="BD193" s="36">
        <v>0</v>
      </c>
    </row>
    <row r="194" spans="1:56" s="43" customFormat="1" ht="24.95" customHeight="1" x14ac:dyDescent="0.25">
      <c r="A194" s="35" t="s">
        <v>250</v>
      </c>
      <c r="B194" s="35"/>
      <c r="C194" s="33" t="s">
        <v>76</v>
      </c>
      <c r="D194" s="36" t="s">
        <v>141</v>
      </c>
      <c r="E194" s="35"/>
      <c r="F194" s="35"/>
      <c r="G194" s="35"/>
      <c r="H194" s="33" t="s">
        <v>46</v>
      </c>
      <c r="I194" s="35"/>
      <c r="J194" s="35"/>
      <c r="K194" s="35"/>
      <c r="L194" s="35"/>
      <c r="M194" s="35"/>
      <c r="N194" s="35"/>
      <c r="O194" s="35"/>
      <c r="P194" s="35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70">
        <v>204</v>
      </c>
      <c r="AG194" s="37">
        <v>0</v>
      </c>
      <c r="AH194" s="37">
        <v>163.20000000000002</v>
      </c>
      <c r="AI194" s="37">
        <v>53.46</v>
      </c>
      <c r="AJ194" s="37">
        <v>22</v>
      </c>
      <c r="AK194" s="37">
        <v>0</v>
      </c>
      <c r="AL194" s="37">
        <v>0</v>
      </c>
      <c r="AM194" s="37">
        <v>0</v>
      </c>
      <c r="AN194" s="37">
        <v>0</v>
      </c>
      <c r="AO194" s="37">
        <v>204</v>
      </c>
      <c r="AP194" s="37">
        <v>0</v>
      </c>
      <c r="AQ194" s="37">
        <v>0</v>
      </c>
      <c r="AR194" s="37">
        <v>32</v>
      </c>
      <c r="AS194" s="37">
        <v>56</v>
      </c>
      <c r="AT194" s="36">
        <v>0</v>
      </c>
      <c r="AU194" s="36">
        <v>0</v>
      </c>
      <c r="AV194" s="37">
        <v>0</v>
      </c>
      <c r="AW194" s="36">
        <v>0</v>
      </c>
      <c r="AX194" s="36">
        <v>0</v>
      </c>
      <c r="AY194" s="36">
        <v>0</v>
      </c>
      <c r="AZ194" s="36">
        <v>0</v>
      </c>
      <c r="BA194" s="36">
        <v>0</v>
      </c>
      <c r="BB194" s="36">
        <v>0</v>
      </c>
      <c r="BC194" s="36">
        <v>0</v>
      </c>
      <c r="BD194" s="36">
        <v>0</v>
      </c>
    </row>
    <row r="195" spans="1:56" s="43" customFormat="1" ht="24.95" customHeight="1" x14ac:dyDescent="0.25">
      <c r="A195" s="35" t="s">
        <v>262</v>
      </c>
      <c r="B195" s="35"/>
      <c r="C195" s="33" t="s">
        <v>76</v>
      </c>
      <c r="D195" s="36" t="s">
        <v>163</v>
      </c>
      <c r="E195" s="35"/>
      <c r="F195" s="35"/>
      <c r="G195" s="35"/>
      <c r="H195" s="33" t="s">
        <v>46</v>
      </c>
      <c r="I195" s="35"/>
      <c r="J195" s="35"/>
      <c r="K195" s="35"/>
      <c r="L195" s="35"/>
      <c r="M195" s="35"/>
      <c r="N195" s="35"/>
      <c r="O195" s="35"/>
      <c r="P195" s="35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70">
        <v>17</v>
      </c>
      <c r="AG195" s="37">
        <v>0</v>
      </c>
      <c r="AH195" s="37">
        <v>4</v>
      </c>
      <c r="AI195" s="37">
        <v>36.450000000000003</v>
      </c>
      <c r="AJ195" s="37">
        <v>15</v>
      </c>
      <c r="AK195" s="37">
        <v>0</v>
      </c>
      <c r="AL195" s="37">
        <v>0</v>
      </c>
      <c r="AM195" s="37">
        <v>0</v>
      </c>
      <c r="AN195" s="37">
        <v>0</v>
      </c>
      <c r="AO195" s="37">
        <v>0</v>
      </c>
      <c r="AP195" s="37">
        <v>0</v>
      </c>
      <c r="AQ195" s="37">
        <v>0</v>
      </c>
      <c r="AR195" s="37">
        <v>0</v>
      </c>
      <c r="AS195" s="37">
        <v>8</v>
      </c>
      <c r="AT195" s="36">
        <v>0</v>
      </c>
      <c r="AU195" s="36">
        <v>0</v>
      </c>
      <c r="AV195" s="37">
        <v>0</v>
      </c>
      <c r="AW195" s="36">
        <v>0</v>
      </c>
      <c r="AX195" s="36">
        <v>0</v>
      </c>
      <c r="AY195" s="36">
        <v>0</v>
      </c>
      <c r="AZ195" s="36">
        <v>0</v>
      </c>
      <c r="BA195" s="36">
        <v>0</v>
      </c>
      <c r="BB195" s="36">
        <v>0</v>
      </c>
      <c r="BC195" s="36">
        <v>0</v>
      </c>
      <c r="BD195" s="36">
        <v>0</v>
      </c>
    </row>
    <row r="196" spans="1:56" s="43" customFormat="1" ht="24.95" customHeight="1" x14ac:dyDescent="0.25">
      <c r="A196" s="35" t="s">
        <v>255</v>
      </c>
      <c r="B196" s="35"/>
      <c r="C196" s="33" t="s">
        <v>76</v>
      </c>
      <c r="D196" s="36" t="s">
        <v>154</v>
      </c>
      <c r="E196" s="35"/>
      <c r="F196" s="35"/>
      <c r="G196" s="35"/>
      <c r="H196" s="33" t="s">
        <v>46</v>
      </c>
      <c r="I196" s="35"/>
      <c r="J196" s="35"/>
      <c r="K196" s="35"/>
      <c r="L196" s="35"/>
      <c r="M196" s="35"/>
      <c r="N196" s="35"/>
      <c r="O196" s="35"/>
      <c r="P196" s="35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70">
        <v>391</v>
      </c>
      <c r="AG196" s="37">
        <v>0</v>
      </c>
      <c r="AH196" s="37">
        <v>147.80000000000001</v>
      </c>
      <c r="AI196" s="37">
        <v>65.61</v>
      </c>
      <c r="AJ196" s="37">
        <v>27</v>
      </c>
      <c r="AK196" s="37">
        <v>0</v>
      </c>
      <c r="AL196" s="37">
        <v>0</v>
      </c>
      <c r="AM196" s="37">
        <v>0</v>
      </c>
      <c r="AN196" s="37">
        <v>0</v>
      </c>
      <c r="AO196" s="37">
        <v>222</v>
      </c>
      <c r="AP196" s="37">
        <v>0</v>
      </c>
      <c r="AQ196" s="37">
        <v>0</v>
      </c>
      <c r="AR196" s="37">
        <v>32</v>
      </c>
      <c r="AS196" s="37">
        <v>129</v>
      </c>
      <c r="AT196" s="36">
        <v>0</v>
      </c>
      <c r="AU196" s="36">
        <v>0</v>
      </c>
      <c r="AV196" s="37">
        <v>0</v>
      </c>
      <c r="AW196" s="36">
        <v>0</v>
      </c>
      <c r="AX196" s="36">
        <v>0</v>
      </c>
      <c r="AY196" s="36">
        <v>0</v>
      </c>
      <c r="AZ196" s="36">
        <v>0</v>
      </c>
      <c r="BA196" s="36">
        <v>0</v>
      </c>
      <c r="BB196" s="36">
        <v>0</v>
      </c>
      <c r="BC196" s="36">
        <v>0</v>
      </c>
      <c r="BD196" s="36">
        <v>0</v>
      </c>
    </row>
    <row r="197" spans="1:56" s="43" customFormat="1" ht="24.95" customHeight="1" x14ac:dyDescent="0.25">
      <c r="A197" s="35" t="s">
        <v>255</v>
      </c>
      <c r="B197" s="35"/>
      <c r="C197" s="33" t="s">
        <v>76</v>
      </c>
      <c r="D197" s="36" t="s">
        <v>159</v>
      </c>
      <c r="E197" s="35"/>
      <c r="F197" s="35"/>
      <c r="G197" s="35"/>
      <c r="H197" s="33" t="s">
        <v>46</v>
      </c>
      <c r="I197" s="35"/>
      <c r="J197" s="35"/>
      <c r="K197" s="35"/>
      <c r="L197" s="35"/>
      <c r="M197" s="35"/>
      <c r="N197" s="35"/>
      <c r="O197" s="35"/>
      <c r="P197" s="35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70">
        <v>533</v>
      </c>
      <c r="AG197" s="37">
        <v>0</v>
      </c>
      <c r="AH197" s="37">
        <v>308</v>
      </c>
      <c r="AI197" s="37">
        <v>85.05</v>
      </c>
      <c r="AJ197" s="37">
        <v>35</v>
      </c>
      <c r="AK197" s="37">
        <v>0</v>
      </c>
      <c r="AL197" s="37">
        <v>0</v>
      </c>
      <c r="AM197" s="37">
        <v>0</v>
      </c>
      <c r="AN197" s="37">
        <v>0</v>
      </c>
      <c r="AO197" s="37">
        <v>407</v>
      </c>
      <c r="AP197" s="37">
        <v>0</v>
      </c>
      <c r="AQ197" s="37">
        <v>0</v>
      </c>
      <c r="AR197" s="37">
        <v>100</v>
      </c>
      <c r="AS197" s="37">
        <v>103</v>
      </c>
      <c r="AT197" s="36">
        <v>0</v>
      </c>
      <c r="AU197" s="36">
        <v>0</v>
      </c>
      <c r="AV197" s="37">
        <v>0</v>
      </c>
      <c r="AW197" s="36">
        <v>0</v>
      </c>
      <c r="AX197" s="36">
        <v>0</v>
      </c>
      <c r="AY197" s="36">
        <v>0</v>
      </c>
      <c r="AZ197" s="36">
        <v>0</v>
      </c>
      <c r="BA197" s="36">
        <v>0</v>
      </c>
      <c r="BB197" s="36">
        <v>0</v>
      </c>
      <c r="BC197" s="36">
        <v>0</v>
      </c>
      <c r="BD197" s="36">
        <v>0</v>
      </c>
    </row>
    <row r="198" spans="1:56" s="43" customFormat="1" ht="24.95" customHeight="1" x14ac:dyDescent="0.25">
      <c r="A198" s="35" t="s">
        <v>259</v>
      </c>
      <c r="B198" s="35"/>
      <c r="C198" s="33" t="s">
        <v>76</v>
      </c>
      <c r="D198" s="36" t="s">
        <v>158</v>
      </c>
      <c r="E198" s="35"/>
      <c r="F198" s="35"/>
      <c r="G198" s="35"/>
      <c r="H198" s="33" t="s">
        <v>46</v>
      </c>
      <c r="I198" s="35"/>
      <c r="J198" s="35"/>
      <c r="K198" s="35"/>
      <c r="L198" s="35"/>
      <c r="M198" s="35"/>
      <c r="N198" s="35"/>
      <c r="O198" s="35"/>
      <c r="P198" s="35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70">
        <v>72</v>
      </c>
      <c r="AG198" s="37">
        <v>0</v>
      </c>
      <c r="AH198" s="37">
        <v>0</v>
      </c>
      <c r="AI198" s="37">
        <v>99.63000000000001</v>
      </c>
      <c r="AJ198" s="37">
        <v>41</v>
      </c>
      <c r="AK198" s="37">
        <v>0</v>
      </c>
      <c r="AL198" s="37">
        <v>0</v>
      </c>
      <c r="AM198" s="37">
        <v>0</v>
      </c>
      <c r="AN198" s="37">
        <v>0</v>
      </c>
      <c r="AO198" s="37">
        <v>0</v>
      </c>
      <c r="AP198" s="37">
        <v>0</v>
      </c>
      <c r="AQ198" s="37">
        <v>0</v>
      </c>
      <c r="AR198" s="37">
        <v>0</v>
      </c>
      <c r="AS198" s="37">
        <v>0</v>
      </c>
      <c r="AT198" s="36">
        <v>0</v>
      </c>
      <c r="AU198" s="36">
        <v>0</v>
      </c>
      <c r="AV198" s="37">
        <v>0</v>
      </c>
      <c r="AW198" s="36">
        <v>0</v>
      </c>
      <c r="AX198" s="36">
        <v>0</v>
      </c>
      <c r="AY198" s="36">
        <v>0</v>
      </c>
      <c r="AZ198" s="36">
        <v>0</v>
      </c>
      <c r="BA198" s="36">
        <v>0</v>
      </c>
      <c r="BB198" s="36">
        <v>0</v>
      </c>
      <c r="BC198" s="36">
        <v>0</v>
      </c>
      <c r="BD198" s="36">
        <v>0</v>
      </c>
    </row>
    <row r="199" spans="1:56" s="43" customFormat="1" ht="24.95" customHeight="1" x14ac:dyDescent="0.25">
      <c r="A199" s="35" t="s">
        <v>263</v>
      </c>
      <c r="B199" s="35"/>
      <c r="C199" s="33" t="s">
        <v>76</v>
      </c>
      <c r="D199" s="36" t="s">
        <v>164</v>
      </c>
      <c r="E199" s="35"/>
      <c r="F199" s="35"/>
      <c r="G199" s="35"/>
      <c r="H199" s="33" t="s">
        <v>46</v>
      </c>
      <c r="I199" s="35"/>
      <c r="J199" s="35"/>
      <c r="K199" s="35"/>
      <c r="L199" s="35"/>
      <c r="M199" s="35"/>
      <c r="N199" s="35"/>
      <c r="O199" s="35"/>
      <c r="P199" s="35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70">
        <v>262</v>
      </c>
      <c r="AG199" s="37">
        <v>0</v>
      </c>
      <c r="AH199" s="37">
        <v>209.6</v>
      </c>
      <c r="AI199" s="37">
        <v>34.020000000000003</v>
      </c>
      <c r="AJ199" s="37">
        <v>14</v>
      </c>
      <c r="AK199" s="37">
        <v>0</v>
      </c>
      <c r="AL199" s="37">
        <v>0</v>
      </c>
      <c r="AM199" s="37">
        <v>0</v>
      </c>
      <c r="AN199" s="37">
        <v>0</v>
      </c>
      <c r="AO199" s="37">
        <v>262</v>
      </c>
      <c r="AP199" s="37">
        <v>0</v>
      </c>
      <c r="AQ199" s="37">
        <v>0</v>
      </c>
      <c r="AR199" s="37">
        <v>41</v>
      </c>
      <c r="AS199" s="37">
        <v>65</v>
      </c>
      <c r="AT199" s="36">
        <v>0</v>
      </c>
      <c r="AU199" s="36">
        <v>0</v>
      </c>
      <c r="AV199" s="37">
        <v>0</v>
      </c>
      <c r="AW199" s="36">
        <v>0</v>
      </c>
      <c r="AX199" s="36">
        <v>0</v>
      </c>
      <c r="AY199" s="36">
        <v>0</v>
      </c>
      <c r="AZ199" s="36">
        <v>0</v>
      </c>
      <c r="BA199" s="36">
        <v>0</v>
      </c>
      <c r="BB199" s="36">
        <v>0</v>
      </c>
      <c r="BC199" s="36">
        <v>0</v>
      </c>
      <c r="BD199" s="36">
        <v>0</v>
      </c>
    </row>
    <row r="200" spans="1:56" s="43" customFormat="1" ht="24.95" customHeight="1" x14ac:dyDescent="0.25">
      <c r="A200" s="35" t="s">
        <v>217</v>
      </c>
      <c r="B200" s="35"/>
      <c r="C200" s="33" t="s">
        <v>76</v>
      </c>
      <c r="D200" s="36" t="s">
        <v>142</v>
      </c>
      <c r="E200" s="35"/>
      <c r="F200" s="35"/>
      <c r="G200" s="35"/>
      <c r="H200" s="33" t="s">
        <v>46</v>
      </c>
      <c r="I200" s="35"/>
      <c r="J200" s="35"/>
      <c r="K200" s="35"/>
      <c r="L200" s="35"/>
      <c r="M200" s="35"/>
      <c r="N200" s="35"/>
      <c r="O200" s="35"/>
      <c r="P200" s="35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70">
        <v>147</v>
      </c>
      <c r="AG200" s="37">
        <v>0</v>
      </c>
      <c r="AH200" s="37">
        <v>62.4</v>
      </c>
      <c r="AI200" s="37">
        <v>26.730000000000004</v>
      </c>
      <c r="AJ200" s="37">
        <v>11</v>
      </c>
      <c r="AK200" s="37">
        <v>0</v>
      </c>
      <c r="AL200" s="37">
        <v>0</v>
      </c>
      <c r="AM200" s="37">
        <v>0</v>
      </c>
      <c r="AN200" s="37">
        <v>0</v>
      </c>
      <c r="AO200" s="37">
        <v>88</v>
      </c>
      <c r="AP200" s="37">
        <v>0</v>
      </c>
      <c r="AQ200" s="37">
        <v>0</v>
      </c>
      <c r="AR200" s="37">
        <v>0</v>
      </c>
      <c r="AS200" s="37">
        <v>37</v>
      </c>
      <c r="AT200" s="36">
        <v>0</v>
      </c>
      <c r="AU200" s="36">
        <v>0</v>
      </c>
      <c r="AV200" s="37">
        <v>0</v>
      </c>
      <c r="AW200" s="36">
        <v>0</v>
      </c>
      <c r="AX200" s="36">
        <v>0</v>
      </c>
      <c r="AY200" s="36">
        <v>0</v>
      </c>
      <c r="AZ200" s="36">
        <v>0</v>
      </c>
      <c r="BA200" s="36">
        <v>0</v>
      </c>
      <c r="BB200" s="36">
        <v>0</v>
      </c>
      <c r="BC200" s="36">
        <v>0</v>
      </c>
      <c r="BD200" s="36">
        <v>0</v>
      </c>
    </row>
    <row r="201" spans="1:56" s="43" customFormat="1" ht="24.95" customHeight="1" x14ac:dyDescent="0.25">
      <c r="A201" s="35" t="s">
        <v>217</v>
      </c>
      <c r="B201" s="35"/>
      <c r="C201" s="33" t="s">
        <v>76</v>
      </c>
      <c r="D201" s="36" t="s">
        <v>211</v>
      </c>
      <c r="E201" s="35"/>
      <c r="F201" s="35"/>
      <c r="G201" s="35"/>
      <c r="H201" s="33" t="s">
        <v>46</v>
      </c>
      <c r="I201" s="35"/>
      <c r="J201" s="35"/>
      <c r="K201" s="35"/>
      <c r="L201" s="35"/>
      <c r="M201" s="35"/>
      <c r="N201" s="35"/>
      <c r="O201" s="35"/>
      <c r="P201" s="35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70">
        <v>338</v>
      </c>
      <c r="AG201" s="37">
        <v>0</v>
      </c>
      <c r="AH201" s="37">
        <v>96.8</v>
      </c>
      <c r="AI201" s="37">
        <v>34.020000000000003</v>
      </c>
      <c r="AJ201" s="37">
        <v>14</v>
      </c>
      <c r="AK201" s="37">
        <v>0</v>
      </c>
      <c r="AL201" s="37">
        <v>0</v>
      </c>
      <c r="AM201" s="37">
        <v>0</v>
      </c>
      <c r="AN201" s="37">
        <v>0</v>
      </c>
      <c r="AO201" s="37">
        <v>157</v>
      </c>
      <c r="AP201" s="37">
        <v>0</v>
      </c>
      <c r="AQ201" s="37">
        <v>0</v>
      </c>
      <c r="AR201" s="37">
        <v>32</v>
      </c>
      <c r="AS201" s="37">
        <v>21</v>
      </c>
      <c r="AT201" s="36">
        <v>0</v>
      </c>
      <c r="AU201" s="36">
        <v>0</v>
      </c>
      <c r="AV201" s="37">
        <v>0</v>
      </c>
      <c r="AW201" s="36">
        <v>0</v>
      </c>
      <c r="AX201" s="36">
        <v>0</v>
      </c>
      <c r="AY201" s="36">
        <v>0</v>
      </c>
      <c r="AZ201" s="36">
        <v>0</v>
      </c>
      <c r="BA201" s="36">
        <v>0</v>
      </c>
      <c r="BB201" s="36">
        <v>0</v>
      </c>
      <c r="BC201" s="36">
        <v>0</v>
      </c>
      <c r="BD201" s="36">
        <v>0</v>
      </c>
    </row>
    <row r="202" spans="1:56" s="43" customFormat="1" ht="24.95" customHeight="1" x14ac:dyDescent="0.25">
      <c r="A202" s="35" t="s">
        <v>252</v>
      </c>
      <c r="B202" s="35"/>
      <c r="C202" s="33" t="s">
        <v>76</v>
      </c>
      <c r="D202" s="36" t="s">
        <v>147</v>
      </c>
      <c r="E202" s="35"/>
      <c r="F202" s="35"/>
      <c r="G202" s="35"/>
      <c r="H202" s="33" t="s">
        <v>46</v>
      </c>
      <c r="I202" s="35"/>
      <c r="J202" s="35"/>
      <c r="K202" s="35"/>
      <c r="L202" s="35"/>
      <c r="M202" s="35"/>
      <c r="N202" s="35"/>
      <c r="O202" s="35"/>
      <c r="P202" s="35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70">
        <v>261</v>
      </c>
      <c r="AG202" s="37">
        <v>0</v>
      </c>
      <c r="AH202" s="37">
        <v>97.6</v>
      </c>
      <c r="AI202" s="37">
        <v>70.47</v>
      </c>
      <c r="AJ202" s="37">
        <v>29</v>
      </c>
      <c r="AK202" s="37">
        <v>0</v>
      </c>
      <c r="AL202" s="37">
        <v>0</v>
      </c>
      <c r="AM202" s="37">
        <v>0</v>
      </c>
      <c r="AN202" s="37">
        <v>0</v>
      </c>
      <c r="AO202" s="37">
        <v>140</v>
      </c>
      <c r="AP202" s="37">
        <v>0</v>
      </c>
      <c r="AQ202" s="37">
        <v>0</v>
      </c>
      <c r="AR202" s="37">
        <v>25</v>
      </c>
      <c r="AS202" s="37">
        <v>37</v>
      </c>
      <c r="AT202" s="36">
        <v>0</v>
      </c>
      <c r="AU202" s="36">
        <v>0</v>
      </c>
      <c r="AV202" s="37">
        <v>0</v>
      </c>
      <c r="AW202" s="36">
        <v>0</v>
      </c>
      <c r="AX202" s="36">
        <v>0</v>
      </c>
      <c r="AY202" s="36">
        <v>0</v>
      </c>
      <c r="AZ202" s="36">
        <v>0</v>
      </c>
      <c r="BA202" s="36">
        <v>0</v>
      </c>
      <c r="BB202" s="36">
        <v>0</v>
      </c>
      <c r="BC202" s="36">
        <v>0</v>
      </c>
      <c r="BD202" s="36">
        <v>0</v>
      </c>
    </row>
    <row r="203" spans="1:56" s="43" customFormat="1" ht="24.95" customHeight="1" x14ac:dyDescent="0.25">
      <c r="A203" s="35" t="s">
        <v>252</v>
      </c>
      <c r="B203" s="35"/>
      <c r="C203" s="33" t="s">
        <v>76</v>
      </c>
      <c r="D203" s="36" t="s">
        <v>165</v>
      </c>
      <c r="E203" s="35"/>
      <c r="F203" s="35"/>
      <c r="G203" s="35"/>
      <c r="H203" s="33" t="s">
        <v>46</v>
      </c>
      <c r="I203" s="35"/>
      <c r="J203" s="35"/>
      <c r="K203" s="35"/>
      <c r="L203" s="35"/>
      <c r="M203" s="35"/>
      <c r="N203" s="35"/>
      <c r="O203" s="35"/>
      <c r="P203" s="35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70">
        <v>1132</v>
      </c>
      <c r="AG203" s="37">
        <v>0</v>
      </c>
      <c r="AH203" s="37">
        <v>0</v>
      </c>
      <c r="AI203" s="37">
        <v>53.46</v>
      </c>
      <c r="AJ203" s="37">
        <v>22</v>
      </c>
      <c r="AK203" s="37">
        <v>0</v>
      </c>
      <c r="AL203" s="37">
        <v>0</v>
      </c>
      <c r="AM203" s="37">
        <v>0</v>
      </c>
      <c r="AN203" s="37">
        <v>0</v>
      </c>
      <c r="AO203" s="37">
        <v>282</v>
      </c>
      <c r="AP203" s="37">
        <v>0</v>
      </c>
      <c r="AQ203" s="37">
        <v>0</v>
      </c>
      <c r="AR203" s="37">
        <v>55</v>
      </c>
      <c r="AS203" s="37">
        <v>48</v>
      </c>
      <c r="AT203" s="36">
        <v>0</v>
      </c>
      <c r="AU203" s="36">
        <v>0</v>
      </c>
      <c r="AV203" s="37">
        <v>0</v>
      </c>
      <c r="AW203" s="36">
        <v>0</v>
      </c>
      <c r="AX203" s="36">
        <v>0</v>
      </c>
      <c r="AY203" s="36">
        <v>0</v>
      </c>
      <c r="AZ203" s="36">
        <v>0</v>
      </c>
      <c r="BA203" s="36">
        <v>0</v>
      </c>
      <c r="BB203" s="36">
        <v>0</v>
      </c>
      <c r="BC203" s="36">
        <v>0</v>
      </c>
      <c r="BD203" s="36">
        <v>0</v>
      </c>
    </row>
    <row r="204" spans="1:56" s="43" customFormat="1" ht="24.95" customHeight="1" x14ac:dyDescent="0.25">
      <c r="A204" s="35" t="s">
        <v>219</v>
      </c>
      <c r="B204" s="35"/>
      <c r="C204" s="33" t="s">
        <v>76</v>
      </c>
      <c r="D204" s="36" t="s">
        <v>166</v>
      </c>
      <c r="E204" s="35"/>
      <c r="F204" s="35"/>
      <c r="G204" s="35"/>
      <c r="H204" s="33" t="s">
        <v>46</v>
      </c>
      <c r="I204" s="35"/>
      <c r="J204" s="35"/>
      <c r="K204" s="35"/>
      <c r="L204" s="35"/>
      <c r="M204" s="35"/>
      <c r="N204" s="35"/>
      <c r="O204" s="35"/>
      <c r="P204" s="35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70">
        <v>93</v>
      </c>
      <c r="AG204" s="37">
        <v>0</v>
      </c>
      <c r="AH204" s="37">
        <v>31.2</v>
      </c>
      <c r="AI204" s="37">
        <v>0</v>
      </c>
      <c r="AJ204" s="37">
        <v>0</v>
      </c>
      <c r="AK204" s="37">
        <v>0</v>
      </c>
      <c r="AL204" s="37">
        <v>0</v>
      </c>
      <c r="AM204" s="37">
        <v>0</v>
      </c>
      <c r="AN204" s="37">
        <v>0</v>
      </c>
      <c r="AO204" s="37">
        <v>48</v>
      </c>
      <c r="AP204" s="37">
        <v>0</v>
      </c>
      <c r="AQ204" s="37">
        <v>0</v>
      </c>
      <c r="AR204" s="37">
        <v>12</v>
      </c>
      <c r="AS204" s="37">
        <v>12</v>
      </c>
      <c r="AT204" s="36">
        <v>0</v>
      </c>
      <c r="AU204" s="36">
        <v>0</v>
      </c>
      <c r="AV204" s="37">
        <v>0</v>
      </c>
      <c r="AW204" s="36">
        <v>0</v>
      </c>
      <c r="AX204" s="36">
        <v>0</v>
      </c>
      <c r="AY204" s="36">
        <v>0</v>
      </c>
      <c r="AZ204" s="36">
        <v>0</v>
      </c>
      <c r="BA204" s="36">
        <v>0</v>
      </c>
      <c r="BB204" s="36">
        <v>0</v>
      </c>
      <c r="BC204" s="36">
        <v>0</v>
      </c>
      <c r="BD204" s="36">
        <v>4</v>
      </c>
    </row>
    <row r="205" spans="1:56" s="43" customFormat="1" ht="24.95" customHeight="1" x14ac:dyDescent="0.25">
      <c r="A205" s="35" t="s">
        <v>219</v>
      </c>
      <c r="B205" s="35"/>
      <c r="C205" s="33" t="s">
        <v>76</v>
      </c>
      <c r="D205" s="36" t="s">
        <v>213</v>
      </c>
      <c r="E205" s="35"/>
      <c r="F205" s="35"/>
      <c r="G205" s="35"/>
      <c r="H205" s="33" t="s">
        <v>46</v>
      </c>
      <c r="I205" s="35"/>
      <c r="J205" s="35"/>
      <c r="K205" s="35"/>
      <c r="L205" s="35"/>
      <c r="M205" s="35"/>
      <c r="N205" s="35"/>
      <c r="O205" s="35"/>
      <c r="P205" s="35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70">
        <v>181</v>
      </c>
      <c r="AG205" s="37">
        <v>0</v>
      </c>
      <c r="AH205" s="37">
        <v>44</v>
      </c>
      <c r="AI205" s="37">
        <v>0</v>
      </c>
      <c r="AJ205" s="37">
        <v>0</v>
      </c>
      <c r="AK205" s="37">
        <v>0</v>
      </c>
      <c r="AL205" s="37">
        <v>0</v>
      </c>
      <c r="AM205" s="37">
        <v>0</v>
      </c>
      <c r="AN205" s="37">
        <v>0</v>
      </c>
      <c r="AO205" s="37">
        <v>76</v>
      </c>
      <c r="AP205" s="37">
        <v>0</v>
      </c>
      <c r="AQ205" s="37">
        <v>0</v>
      </c>
      <c r="AR205" s="37">
        <v>12</v>
      </c>
      <c r="AS205" s="37">
        <v>29</v>
      </c>
      <c r="AT205" s="36">
        <v>0</v>
      </c>
      <c r="AU205" s="36">
        <v>0</v>
      </c>
      <c r="AV205" s="37">
        <v>0</v>
      </c>
      <c r="AW205" s="36">
        <v>0</v>
      </c>
      <c r="AX205" s="36">
        <v>30</v>
      </c>
      <c r="AY205" s="36">
        <v>0</v>
      </c>
      <c r="AZ205" s="36">
        <v>0</v>
      </c>
      <c r="BA205" s="36">
        <v>0</v>
      </c>
      <c r="BB205" s="36">
        <v>0</v>
      </c>
      <c r="BC205" s="36">
        <v>0</v>
      </c>
      <c r="BD205" s="36">
        <v>6</v>
      </c>
    </row>
    <row r="206" spans="1:56" s="43" customFormat="1" ht="24.95" customHeight="1" x14ac:dyDescent="0.25">
      <c r="A206" s="35" t="s">
        <v>220</v>
      </c>
      <c r="B206" s="35"/>
      <c r="C206" s="33" t="s">
        <v>76</v>
      </c>
      <c r="D206" s="36" t="s">
        <v>144</v>
      </c>
      <c r="E206" s="35"/>
      <c r="F206" s="35"/>
      <c r="G206" s="35"/>
      <c r="H206" s="33" t="s">
        <v>46</v>
      </c>
      <c r="I206" s="35"/>
      <c r="J206" s="35"/>
      <c r="K206" s="35"/>
      <c r="L206" s="35"/>
      <c r="M206" s="35"/>
      <c r="N206" s="35"/>
      <c r="O206" s="35"/>
      <c r="P206" s="35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70">
        <v>18</v>
      </c>
      <c r="AG206" s="37">
        <v>0</v>
      </c>
      <c r="AH206" s="37">
        <v>14.4</v>
      </c>
      <c r="AI206" s="37">
        <v>4.8600000000000003</v>
      </c>
      <c r="AJ206" s="37">
        <v>2</v>
      </c>
      <c r="AK206" s="37">
        <v>0</v>
      </c>
      <c r="AL206" s="37">
        <v>0</v>
      </c>
      <c r="AM206" s="37">
        <v>0</v>
      </c>
      <c r="AN206" s="37">
        <v>0</v>
      </c>
      <c r="AO206" s="37">
        <v>18</v>
      </c>
      <c r="AP206" s="37">
        <v>0</v>
      </c>
      <c r="AQ206" s="37">
        <v>0</v>
      </c>
      <c r="AR206" s="37">
        <v>0</v>
      </c>
      <c r="AS206" s="37">
        <v>8</v>
      </c>
      <c r="AT206" s="36">
        <v>0</v>
      </c>
      <c r="AU206" s="36">
        <v>0</v>
      </c>
      <c r="AV206" s="37">
        <v>0</v>
      </c>
      <c r="AW206" s="36">
        <v>0</v>
      </c>
      <c r="AX206" s="36">
        <v>0</v>
      </c>
      <c r="AY206" s="36">
        <v>0</v>
      </c>
      <c r="AZ206" s="36">
        <v>0</v>
      </c>
      <c r="BA206" s="36">
        <v>0</v>
      </c>
      <c r="BB206" s="36">
        <v>0</v>
      </c>
      <c r="BC206" s="36">
        <v>0</v>
      </c>
      <c r="BD206" s="36">
        <v>0</v>
      </c>
    </row>
    <row r="207" spans="1:56" s="43" customFormat="1" ht="24.95" customHeight="1" x14ac:dyDescent="0.25">
      <c r="A207" s="35" t="s">
        <v>220</v>
      </c>
      <c r="B207" s="35"/>
      <c r="C207" s="33" t="s">
        <v>76</v>
      </c>
      <c r="D207" s="36" t="s">
        <v>145</v>
      </c>
      <c r="E207" s="35"/>
      <c r="F207" s="35"/>
      <c r="G207" s="35"/>
      <c r="H207" s="33" t="s">
        <v>46</v>
      </c>
      <c r="I207" s="35"/>
      <c r="J207" s="35"/>
      <c r="K207" s="35"/>
      <c r="L207" s="35"/>
      <c r="M207" s="35"/>
      <c r="N207" s="35"/>
      <c r="O207" s="35"/>
      <c r="P207" s="35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70">
        <v>314</v>
      </c>
      <c r="AG207" s="37">
        <v>0</v>
      </c>
      <c r="AH207" s="37">
        <v>121.59999999999997</v>
      </c>
      <c r="AI207" s="37">
        <v>53.46</v>
      </c>
      <c r="AJ207" s="37">
        <v>22</v>
      </c>
      <c r="AK207" s="37">
        <v>0</v>
      </c>
      <c r="AL207" s="37">
        <v>0</v>
      </c>
      <c r="AM207" s="37">
        <v>0</v>
      </c>
      <c r="AN207" s="37">
        <v>0</v>
      </c>
      <c r="AO207" s="37">
        <v>179</v>
      </c>
      <c r="AP207" s="37">
        <v>0</v>
      </c>
      <c r="AQ207" s="37">
        <v>0</v>
      </c>
      <c r="AR207" s="37">
        <v>45</v>
      </c>
      <c r="AS207" s="37">
        <v>53</v>
      </c>
      <c r="AT207" s="36">
        <v>0</v>
      </c>
      <c r="AU207" s="36">
        <v>0</v>
      </c>
      <c r="AV207" s="37">
        <v>0</v>
      </c>
      <c r="AW207" s="36">
        <v>0</v>
      </c>
      <c r="AX207" s="36">
        <v>0</v>
      </c>
      <c r="AY207" s="36">
        <v>0</v>
      </c>
      <c r="AZ207" s="36">
        <v>0</v>
      </c>
      <c r="BA207" s="36">
        <v>0</v>
      </c>
      <c r="BB207" s="36">
        <v>0</v>
      </c>
      <c r="BC207" s="36">
        <v>0</v>
      </c>
      <c r="BD207" s="36">
        <v>0</v>
      </c>
    </row>
    <row r="208" spans="1:56" s="43" customFormat="1" ht="24.95" customHeight="1" x14ac:dyDescent="0.25">
      <c r="A208" s="35" t="s">
        <v>220</v>
      </c>
      <c r="B208" s="35"/>
      <c r="C208" s="33" t="s">
        <v>76</v>
      </c>
      <c r="D208" s="36" t="s">
        <v>146</v>
      </c>
      <c r="E208" s="35"/>
      <c r="F208" s="35"/>
      <c r="G208" s="35"/>
      <c r="H208" s="33" t="s">
        <v>46</v>
      </c>
      <c r="I208" s="35"/>
      <c r="J208" s="35"/>
      <c r="K208" s="35"/>
      <c r="L208" s="35"/>
      <c r="M208" s="35"/>
      <c r="N208" s="35"/>
      <c r="O208" s="35"/>
      <c r="P208" s="35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70">
        <v>65</v>
      </c>
      <c r="AG208" s="37">
        <v>0</v>
      </c>
      <c r="AH208" s="37">
        <v>52</v>
      </c>
      <c r="AI208" s="37">
        <v>14.580000000000002</v>
      </c>
      <c r="AJ208" s="37">
        <v>6</v>
      </c>
      <c r="AK208" s="37">
        <v>0</v>
      </c>
      <c r="AL208" s="37">
        <v>0</v>
      </c>
      <c r="AM208" s="37">
        <v>0</v>
      </c>
      <c r="AN208" s="37">
        <v>0</v>
      </c>
      <c r="AO208" s="37">
        <v>65</v>
      </c>
      <c r="AP208" s="37">
        <v>0</v>
      </c>
      <c r="AQ208" s="37">
        <v>0</v>
      </c>
      <c r="AR208" s="37">
        <v>0</v>
      </c>
      <c r="AS208" s="37">
        <v>26</v>
      </c>
      <c r="AT208" s="36">
        <v>0</v>
      </c>
      <c r="AU208" s="36">
        <v>0</v>
      </c>
      <c r="AV208" s="37">
        <v>0</v>
      </c>
      <c r="AW208" s="36">
        <v>0</v>
      </c>
      <c r="AX208" s="36">
        <v>0</v>
      </c>
      <c r="AY208" s="36">
        <v>0</v>
      </c>
      <c r="AZ208" s="36">
        <v>0</v>
      </c>
      <c r="BA208" s="36">
        <v>0</v>
      </c>
      <c r="BB208" s="36">
        <v>0</v>
      </c>
      <c r="BC208" s="36">
        <v>0</v>
      </c>
      <c r="BD208" s="36">
        <v>0</v>
      </c>
    </row>
    <row r="209" spans="1:59" s="43" customFormat="1" ht="24.95" customHeight="1" x14ac:dyDescent="0.25">
      <c r="A209" s="35" t="s">
        <v>220</v>
      </c>
      <c r="B209" s="35"/>
      <c r="C209" s="33" t="s">
        <v>76</v>
      </c>
      <c r="D209" s="36" t="s">
        <v>151</v>
      </c>
      <c r="E209" s="35"/>
      <c r="F209" s="35"/>
      <c r="G209" s="35"/>
      <c r="H209" s="33" t="s">
        <v>46</v>
      </c>
      <c r="I209" s="35"/>
      <c r="J209" s="35"/>
      <c r="K209" s="35"/>
      <c r="L209" s="35"/>
      <c r="M209" s="35"/>
      <c r="N209" s="35"/>
      <c r="O209" s="35"/>
      <c r="P209" s="35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70">
        <v>1608</v>
      </c>
      <c r="AG209" s="37">
        <v>0</v>
      </c>
      <c r="AH209" s="37">
        <v>30.400000000000002</v>
      </c>
      <c r="AI209" s="37">
        <v>65.61</v>
      </c>
      <c r="AJ209" s="37">
        <v>27</v>
      </c>
      <c r="AK209" s="37">
        <v>0</v>
      </c>
      <c r="AL209" s="37">
        <v>0</v>
      </c>
      <c r="AM209" s="37">
        <v>0</v>
      </c>
      <c r="AN209" s="37">
        <v>0</v>
      </c>
      <c r="AO209" s="37">
        <v>304</v>
      </c>
      <c r="AP209" s="37">
        <v>0</v>
      </c>
      <c r="AQ209" s="37">
        <v>0</v>
      </c>
      <c r="AR209" s="37">
        <v>40</v>
      </c>
      <c r="AS209" s="37">
        <v>56</v>
      </c>
      <c r="AT209" s="36">
        <v>0</v>
      </c>
      <c r="AU209" s="36">
        <v>0</v>
      </c>
      <c r="AV209" s="37">
        <v>0</v>
      </c>
      <c r="AW209" s="36">
        <v>0</v>
      </c>
      <c r="AX209" s="36">
        <v>0</v>
      </c>
      <c r="AY209" s="36">
        <v>0</v>
      </c>
      <c r="AZ209" s="36">
        <v>0</v>
      </c>
      <c r="BA209" s="36">
        <v>0</v>
      </c>
      <c r="BB209" s="36">
        <v>0</v>
      </c>
      <c r="BC209" s="36">
        <v>0</v>
      </c>
      <c r="BD209" s="36">
        <v>0</v>
      </c>
    </row>
    <row r="210" spans="1:59" s="43" customFormat="1" ht="24.95" customHeight="1" x14ac:dyDescent="0.25">
      <c r="A210" s="35" t="s">
        <v>220</v>
      </c>
      <c r="B210" s="35"/>
      <c r="C210" s="33" t="s">
        <v>76</v>
      </c>
      <c r="D210" s="36" t="s">
        <v>152</v>
      </c>
      <c r="E210" s="35"/>
      <c r="F210" s="35"/>
      <c r="G210" s="35"/>
      <c r="H210" s="33" t="s">
        <v>46</v>
      </c>
      <c r="I210" s="35"/>
      <c r="J210" s="35"/>
      <c r="K210" s="35"/>
      <c r="L210" s="35"/>
      <c r="M210" s="35"/>
      <c r="N210" s="35"/>
      <c r="O210" s="35"/>
      <c r="P210" s="35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70">
        <v>623</v>
      </c>
      <c r="AG210" s="37">
        <v>0</v>
      </c>
      <c r="AH210" s="37">
        <v>109.6</v>
      </c>
      <c r="AI210" s="37">
        <v>43.74</v>
      </c>
      <c r="AJ210" s="37">
        <v>18</v>
      </c>
      <c r="AK210" s="37">
        <v>0</v>
      </c>
      <c r="AL210" s="37">
        <v>0</v>
      </c>
      <c r="AM210" s="37">
        <v>0</v>
      </c>
      <c r="AN210" s="37">
        <v>0</v>
      </c>
      <c r="AO210" s="37">
        <v>220</v>
      </c>
      <c r="AP210" s="37">
        <v>0</v>
      </c>
      <c r="AQ210" s="37">
        <v>0</v>
      </c>
      <c r="AR210" s="37">
        <v>24</v>
      </c>
      <c r="AS210" s="37">
        <v>48</v>
      </c>
      <c r="AT210" s="36">
        <v>0</v>
      </c>
      <c r="AU210" s="36">
        <v>0</v>
      </c>
      <c r="AV210" s="37">
        <v>0</v>
      </c>
      <c r="AW210" s="36">
        <v>0</v>
      </c>
      <c r="AX210" s="36">
        <v>0</v>
      </c>
      <c r="AY210" s="36">
        <v>0</v>
      </c>
      <c r="AZ210" s="36">
        <v>0</v>
      </c>
      <c r="BA210" s="36">
        <v>0</v>
      </c>
      <c r="BB210" s="36">
        <v>0</v>
      </c>
      <c r="BC210" s="36">
        <v>0</v>
      </c>
      <c r="BD210" s="36">
        <v>0</v>
      </c>
    </row>
    <row r="211" spans="1:59" s="43" customFormat="1" ht="24.95" customHeight="1" x14ac:dyDescent="0.25">
      <c r="A211" s="35" t="s">
        <v>220</v>
      </c>
      <c r="B211" s="35"/>
      <c r="C211" s="33" t="s">
        <v>76</v>
      </c>
      <c r="D211" s="36" t="s">
        <v>214</v>
      </c>
      <c r="E211" s="35"/>
      <c r="F211" s="35"/>
      <c r="G211" s="35"/>
      <c r="H211" s="33" t="s">
        <v>46</v>
      </c>
      <c r="I211" s="35"/>
      <c r="J211" s="35"/>
      <c r="K211" s="35"/>
      <c r="L211" s="35"/>
      <c r="M211" s="35"/>
      <c r="N211" s="35"/>
      <c r="O211" s="35"/>
      <c r="P211" s="35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70">
        <v>144</v>
      </c>
      <c r="AG211" s="37">
        <v>0</v>
      </c>
      <c r="AH211" s="37">
        <v>103.39999999999999</v>
      </c>
      <c r="AI211" s="37">
        <v>38.880000000000003</v>
      </c>
      <c r="AJ211" s="37">
        <v>16</v>
      </c>
      <c r="AK211" s="37">
        <v>0</v>
      </c>
      <c r="AL211" s="37">
        <v>0</v>
      </c>
      <c r="AM211" s="37">
        <v>0</v>
      </c>
      <c r="AN211" s="37">
        <v>0</v>
      </c>
      <c r="AO211" s="37">
        <v>144</v>
      </c>
      <c r="AP211" s="37">
        <v>0</v>
      </c>
      <c r="AQ211" s="37">
        <v>0</v>
      </c>
      <c r="AR211" s="37">
        <v>45</v>
      </c>
      <c r="AS211" s="37">
        <v>8</v>
      </c>
      <c r="AT211" s="36">
        <v>0</v>
      </c>
      <c r="AU211" s="36">
        <v>0</v>
      </c>
      <c r="AV211" s="37">
        <v>0</v>
      </c>
      <c r="AW211" s="36">
        <v>0</v>
      </c>
      <c r="AX211" s="36">
        <v>0</v>
      </c>
      <c r="AY211" s="36">
        <v>0</v>
      </c>
      <c r="AZ211" s="36">
        <v>0</v>
      </c>
      <c r="BA211" s="36">
        <v>0</v>
      </c>
      <c r="BB211" s="36">
        <v>0</v>
      </c>
      <c r="BC211" s="36">
        <v>0</v>
      </c>
      <c r="BD211" s="36">
        <v>0</v>
      </c>
    </row>
    <row r="212" spans="1:59" s="43" customFormat="1" ht="24.95" customHeight="1" x14ac:dyDescent="0.25">
      <c r="A212" s="35" t="s">
        <v>218</v>
      </c>
      <c r="B212" s="35"/>
      <c r="C212" s="33" t="s">
        <v>76</v>
      </c>
      <c r="D212" s="36" t="s">
        <v>149</v>
      </c>
      <c r="E212" s="35"/>
      <c r="F212" s="35"/>
      <c r="G212" s="35"/>
      <c r="H212" s="33" t="s">
        <v>46</v>
      </c>
      <c r="I212" s="35"/>
      <c r="J212" s="35"/>
      <c r="K212" s="35"/>
      <c r="L212" s="35"/>
      <c r="M212" s="35"/>
      <c r="N212" s="35"/>
      <c r="O212" s="35"/>
      <c r="P212" s="35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70">
        <v>724</v>
      </c>
      <c r="AG212" s="37">
        <v>0</v>
      </c>
      <c r="AH212" s="37">
        <v>224.00000000000003</v>
      </c>
      <c r="AI212" s="37">
        <v>77.760000000000005</v>
      </c>
      <c r="AJ212" s="37">
        <v>32</v>
      </c>
      <c r="AK212" s="37">
        <v>0</v>
      </c>
      <c r="AL212" s="37">
        <v>0</v>
      </c>
      <c r="AM212" s="37">
        <v>0</v>
      </c>
      <c r="AN212" s="37">
        <v>0</v>
      </c>
      <c r="AO212" s="37">
        <v>348</v>
      </c>
      <c r="AP212" s="37">
        <v>0</v>
      </c>
      <c r="AQ212" s="37">
        <v>0</v>
      </c>
      <c r="AR212" s="37">
        <v>40</v>
      </c>
      <c r="AS212" s="37">
        <v>79</v>
      </c>
      <c r="AT212" s="36">
        <v>0</v>
      </c>
      <c r="AU212" s="36">
        <v>0</v>
      </c>
      <c r="AV212" s="37">
        <v>0</v>
      </c>
      <c r="AW212" s="36">
        <v>0</v>
      </c>
      <c r="AX212" s="36">
        <v>0</v>
      </c>
      <c r="AY212" s="36">
        <v>0</v>
      </c>
      <c r="AZ212" s="36">
        <v>0</v>
      </c>
      <c r="BA212" s="36">
        <v>0</v>
      </c>
      <c r="BB212" s="36">
        <v>0</v>
      </c>
      <c r="BC212" s="36">
        <v>0</v>
      </c>
      <c r="BD212" s="36">
        <v>0</v>
      </c>
    </row>
    <row r="213" spans="1:59" s="43" customFormat="1" ht="24.95" customHeight="1" x14ac:dyDescent="0.25">
      <c r="A213" s="35" t="s">
        <v>218</v>
      </c>
      <c r="B213" s="35"/>
      <c r="C213" s="33" t="s">
        <v>76</v>
      </c>
      <c r="D213" s="36" t="s">
        <v>212</v>
      </c>
      <c r="E213" s="35"/>
      <c r="F213" s="35"/>
      <c r="G213" s="35"/>
      <c r="H213" s="33" t="s">
        <v>46</v>
      </c>
      <c r="I213" s="35"/>
      <c r="J213" s="35"/>
      <c r="K213" s="35"/>
      <c r="L213" s="35"/>
      <c r="M213" s="35"/>
      <c r="N213" s="35"/>
      <c r="O213" s="35"/>
      <c r="P213" s="35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70">
        <v>126</v>
      </c>
      <c r="AG213" s="37">
        <v>0</v>
      </c>
      <c r="AH213" s="37">
        <v>74.8</v>
      </c>
      <c r="AI213" s="37">
        <v>24.3</v>
      </c>
      <c r="AJ213" s="37">
        <v>10</v>
      </c>
      <c r="AK213" s="37">
        <v>0</v>
      </c>
      <c r="AL213" s="37">
        <v>0</v>
      </c>
      <c r="AM213" s="37">
        <v>0</v>
      </c>
      <c r="AN213" s="37">
        <v>0</v>
      </c>
      <c r="AO213" s="37">
        <v>102</v>
      </c>
      <c r="AP213" s="37">
        <v>0</v>
      </c>
      <c r="AQ213" s="37">
        <v>0</v>
      </c>
      <c r="AR213" s="37">
        <v>5</v>
      </c>
      <c r="AS213" s="37">
        <v>31</v>
      </c>
      <c r="AT213" s="36">
        <v>0</v>
      </c>
      <c r="AU213" s="36">
        <v>0</v>
      </c>
      <c r="AV213" s="37">
        <v>0</v>
      </c>
      <c r="AW213" s="36">
        <v>0</v>
      </c>
      <c r="AX213" s="36">
        <v>0</v>
      </c>
      <c r="AY213" s="36">
        <v>0</v>
      </c>
      <c r="AZ213" s="36">
        <v>0</v>
      </c>
      <c r="BA213" s="36">
        <v>0</v>
      </c>
      <c r="BB213" s="36">
        <v>0</v>
      </c>
      <c r="BC213" s="36">
        <v>0</v>
      </c>
      <c r="BD213" s="36">
        <v>0</v>
      </c>
    </row>
    <row r="214" spans="1:59" s="43" customFormat="1" ht="24.95" customHeight="1" x14ac:dyDescent="0.25">
      <c r="A214" s="35" t="s">
        <v>218</v>
      </c>
      <c r="B214" s="35"/>
      <c r="C214" s="33" t="s">
        <v>76</v>
      </c>
      <c r="D214" s="36" t="s">
        <v>215</v>
      </c>
      <c r="E214" s="35"/>
      <c r="F214" s="35"/>
      <c r="G214" s="35"/>
      <c r="H214" s="33" t="s">
        <v>46</v>
      </c>
      <c r="I214" s="35"/>
      <c r="J214" s="35"/>
      <c r="K214" s="35"/>
      <c r="L214" s="35"/>
      <c r="M214" s="35"/>
      <c r="N214" s="35"/>
      <c r="O214" s="35"/>
      <c r="P214" s="35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70">
        <v>111</v>
      </c>
      <c r="AG214" s="37">
        <v>0</v>
      </c>
      <c r="AH214" s="37">
        <v>36</v>
      </c>
      <c r="AI214" s="37">
        <v>9.7200000000000006</v>
      </c>
      <c r="AJ214" s="37">
        <v>4</v>
      </c>
      <c r="AK214" s="37">
        <v>0</v>
      </c>
      <c r="AL214" s="37">
        <v>0</v>
      </c>
      <c r="AM214" s="37">
        <v>0</v>
      </c>
      <c r="AN214" s="37">
        <v>0</v>
      </c>
      <c r="AO214" s="37">
        <v>56</v>
      </c>
      <c r="AP214" s="37">
        <v>0</v>
      </c>
      <c r="AQ214" s="37">
        <v>0</v>
      </c>
      <c r="AR214" s="37">
        <v>18</v>
      </c>
      <c r="AS214" s="37">
        <v>0</v>
      </c>
      <c r="AT214" s="36">
        <v>0</v>
      </c>
      <c r="AU214" s="36">
        <v>0</v>
      </c>
      <c r="AV214" s="37">
        <v>0</v>
      </c>
      <c r="AW214" s="36">
        <v>0</v>
      </c>
      <c r="AX214" s="36">
        <v>0</v>
      </c>
      <c r="AY214" s="36">
        <v>0</v>
      </c>
      <c r="AZ214" s="36">
        <v>0</v>
      </c>
      <c r="BA214" s="36">
        <v>0</v>
      </c>
      <c r="BB214" s="36">
        <v>0</v>
      </c>
      <c r="BC214" s="36">
        <v>0</v>
      </c>
      <c r="BD214" s="36">
        <v>0</v>
      </c>
    </row>
    <row r="215" spans="1:59" s="46" customFormat="1" ht="24.95" customHeight="1" x14ac:dyDescent="0.25">
      <c r="A215" s="44" t="s">
        <v>77</v>
      </c>
      <c r="B215" s="44"/>
      <c r="C215" s="45"/>
      <c r="D215" s="44"/>
      <c r="E215" s="44"/>
      <c r="F215" s="44"/>
      <c r="G215" s="44"/>
      <c r="H215" s="45"/>
      <c r="I215" s="44"/>
      <c r="J215" s="44"/>
      <c r="K215" s="44"/>
      <c r="L215" s="44"/>
      <c r="M215" s="44"/>
      <c r="N215" s="44"/>
      <c r="O215" s="44"/>
      <c r="P215" s="44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47">
        <f>SUM(AF182:AF214)</f>
        <v>11908</v>
      </c>
      <c r="AG215" s="47">
        <f>SUM(AG182:AG214)</f>
        <v>0</v>
      </c>
      <c r="AH215" s="47">
        <f>SUM(AH182:AH214)</f>
        <v>4513.4000000000005</v>
      </c>
      <c r="AI215" s="47">
        <f>SUM(AI182:AI214)</f>
        <v>1688.8500000000001</v>
      </c>
      <c r="AJ215" s="47">
        <f>SUM(AJ182:AJ214)</f>
        <v>695</v>
      </c>
      <c r="AK215" s="47">
        <f>SUM(AK182:AK214)</f>
        <v>0</v>
      </c>
      <c r="AL215" s="47">
        <f>SUM(AL182:AL214)</f>
        <v>0</v>
      </c>
      <c r="AM215" s="47">
        <f>SUM(AM182:AM214)</f>
        <v>0</v>
      </c>
      <c r="AN215" s="47">
        <f>SUM(AN182:AN214)</f>
        <v>0</v>
      </c>
      <c r="AO215" s="47">
        <f>SUM(AO182:AO214)</f>
        <v>6786</v>
      </c>
      <c r="AP215" s="47">
        <f>SUM(AP182:AP214)</f>
        <v>0</v>
      </c>
      <c r="AQ215" s="47">
        <f>SUM(AQ182:AQ214)</f>
        <v>0</v>
      </c>
      <c r="AR215" s="47">
        <f>SUM(AR182:AR214)</f>
        <v>1227</v>
      </c>
      <c r="AS215" s="47">
        <f>SUM(AS182:AS214)</f>
        <v>1675</v>
      </c>
      <c r="AT215" s="47">
        <f>SUM(AT182:AT214)</f>
        <v>0</v>
      </c>
      <c r="AU215" s="47">
        <f>SUM(AU182:AU214)</f>
        <v>0</v>
      </c>
      <c r="AV215" s="47">
        <f>SUM(AV182:AV214)</f>
        <v>0</v>
      </c>
      <c r="AW215" s="47">
        <f>SUM(AW182:AW214)</f>
        <v>0</v>
      </c>
      <c r="AX215" s="47">
        <f>SUM(AX182:AX214)</f>
        <v>30</v>
      </c>
      <c r="AY215" s="47">
        <f>SUM(AY182:AY214)</f>
        <v>0</v>
      </c>
      <c r="AZ215" s="47">
        <f>SUM(AZ182:AZ214)</f>
        <v>0</v>
      </c>
      <c r="BA215" s="47">
        <f>SUM(BA182:BA214)</f>
        <v>0</v>
      </c>
      <c r="BB215" s="47">
        <f>SUM(BB182:BB214)</f>
        <v>0</v>
      </c>
      <c r="BC215" s="47">
        <f>SUM(BC182:BC214)</f>
        <v>0</v>
      </c>
      <c r="BD215" s="47">
        <f>SUM(BD182:BD214)</f>
        <v>10</v>
      </c>
    </row>
    <row r="216" spans="1:59" s="43" customFormat="1" ht="24" customHeight="1" x14ac:dyDescent="0.25">
      <c r="A216" s="35" t="s">
        <v>269</v>
      </c>
      <c r="B216" s="35"/>
      <c r="C216" s="33" t="s">
        <v>82</v>
      </c>
      <c r="D216" s="36" t="s">
        <v>172</v>
      </c>
      <c r="E216" s="35"/>
      <c r="F216" s="35"/>
      <c r="G216" s="35"/>
      <c r="H216" s="33" t="s">
        <v>46</v>
      </c>
      <c r="I216" s="35"/>
      <c r="J216" s="35"/>
      <c r="K216" s="35"/>
      <c r="L216" s="35"/>
      <c r="M216" s="35"/>
      <c r="N216" s="35"/>
      <c r="O216" s="35"/>
      <c r="P216" s="35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70">
        <v>424</v>
      </c>
      <c r="AG216" s="37">
        <v>0</v>
      </c>
      <c r="AH216" s="37">
        <v>147.19999999999999</v>
      </c>
      <c r="AI216" s="37">
        <v>38.880000000000003</v>
      </c>
      <c r="AJ216" s="37">
        <v>16</v>
      </c>
      <c r="AK216" s="37">
        <v>0</v>
      </c>
      <c r="AL216" s="37">
        <v>0</v>
      </c>
      <c r="AM216" s="37">
        <v>0</v>
      </c>
      <c r="AN216" s="37">
        <v>0</v>
      </c>
      <c r="AO216" s="37">
        <v>224</v>
      </c>
      <c r="AP216" s="37">
        <v>0</v>
      </c>
      <c r="AQ216" s="37">
        <v>0</v>
      </c>
      <c r="AR216" s="37">
        <v>26</v>
      </c>
      <c r="AS216" s="37">
        <v>41</v>
      </c>
      <c r="AT216" s="36">
        <v>0</v>
      </c>
      <c r="AU216" s="36">
        <v>0</v>
      </c>
      <c r="AV216" s="37">
        <v>0</v>
      </c>
      <c r="AW216" s="36">
        <v>0</v>
      </c>
      <c r="AX216" s="36">
        <v>0</v>
      </c>
      <c r="AY216" s="36">
        <v>0</v>
      </c>
      <c r="AZ216" s="36">
        <v>0</v>
      </c>
      <c r="BA216" s="36">
        <v>0</v>
      </c>
      <c r="BB216" s="36">
        <v>0</v>
      </c>
      <c r="BC216" s="36">
        <v>0</v>
      </c>
      <c r="BD216" s="36">
        <v>0</v>
      </c>
    </row>
    <row r="217" spans="1:59" s="43" customFormat="1" ht="24.95" customHeight="1" x14ac:dyDescent="0.25">
      <c r="A217" s="35" t="s">
        <v>264</v>
      </c>
      <c r="B217" s="35"/>
      <c r="C217" s="33" t="s">
        <v>82</v>
      </c>
      <c r="D217" s="36" t="s">
        <v>167</v>
      </c>
      <c r="E217" s="35"/>
      <c r="F217" s="35"/>
      <c r="G217" s="35"/>
      <c r="H217" s="33" t="s">
        <v>46</v>
      </c>
      <c r="I217" s="35"/>
      <c r="J217" s="35"/>
      <c r="K217" s="35"/>
      <c r="L217" s="35"/>
      <c r="M217" s="35"/>
      <c r="N217" s="35"/>
      <c r="O217" s="35"/>
      <c r="P217" s="35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70">
        <v>1517</v>
      </c>
      <c r="AG217" s="37">
        <v>0</v>
      </c>
      <c r="AH217" s="37">
        <v>74.400000000000006</v>
      </c>
      <c r="AI217" s="37">
        <v>68.040000000000006</v>
      </c>
      <c r="AJ217" s="37">
        <v>28</v>
      </c>
      <c r="AK217" s="37">
        <v>0</v>
      </c>
      <c r="AL217" s="37">
        <v>0</v>
      </c>
      <c r="AM217" s="37">
        <v>0</v>
      </c>
      <c r="AN217" s="37">
        <v>0</v>
      </c>
      <c r="AO217" s="37">
        <v>353</v>
      </c>
      <c r="AP217" s="37">
        <v>0</v>
      </c>
      <c r="AQ217" s="37">
        <v>0</v>
      </c>
      <c r="AR217" s="37">
        <v>46</v>
      </c>
      <c r="AS217" s="37">
        <v>68</v>
      </c>
      <c r="AT217" s="36">
        <v>0</v>
      </c>
      <c r="AU217" s="36">
        <v>0</v>
      </c>
      <c r="AV217" s="37">
        <v>0</v>
      </c>
      <c r="AW217" s="36">
        <v>0</v>
      </c>
      <c r="AX217" s="36">
        <v>0</v>
      </c>
      <c r="AY217" s="36">
        <v>0</v>
      </c>
      <c r="AZ217" s="36">
        <v>0</v>
      </c>
      <c r="BA217" s="36">
        <v>0</v>
      </c>
      <c r="BB217" s="36">
        <v>0</v>
      </c>
      <c r="BC217" s="36">
        <v>0</v>
      </c>
      <c r="BD217" s="36">
        <v>0</v>
      </c>
    </row>
    <row r="218" spans="1:59" s="43" customFormat="1" ht="24.95" customHeight="1" x14ac:dyDescent="0.25">
      <c r="A218" s="35" t="s">
        <v>267</v>
      </c>
      <c r="B218" s="35"/>
      <c r="C218" s="33" t="s">
        <v>82</v>
      </c>
      <c r="D218" s="36" t="s">
        <v>170</v>
      </c>
      <c r="E218" s="35"/>
      <c r="F218" s="35"/>
      <c r="G218" s="35"/>
      <c r="H218" s="33" t="s">
        <v>46</v>
      </c>
      <c r="I218" s="35"/>
      <c r="J218" s="35"/>
      <c r="K218" s="35"/>
      <c r="L218" s="35"/>
      <c r="M218" s="35"/>
      <c r="N218" s="35"/>
      <c r="O218" s="35"/>
      <c r="P218" s="35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70">
        <v>732</v>
      </c>
      <c r="AG218" s="37">
        <v>0</v>
      </c>
      <c r="AH218" s="37">
        <v>264</v>
      </c>
      <c r="AI218" s="37">
        <v>75.33</v>
      </c>
      <c r="AJ218" s="37">
        <v>31</v>
      </c>
      <c r="AK218" s="37">
        <v>0</v>
      </c>
      <c r="AL218" s="37">
        <v>0</v>
      </c>
      <c r="AM218" s="37">
        <v>0</v>
      </c>
      <c r="AN218" s="37">
        <v>0</v>
      </c>
      <c r="AO218" s="37">
        <v>397</v>
      </c>
      <c r="AP218" s="37">
        <v>0</v>
      </c>
      <c r="AQ218" s="37">
        <v>0</v>
      </c>
      <c r="AR218" s="37">
        <v>51</v>
      </c>
      <c r="AS218" s="37">
        <v>73</v>
      </c>
      <c r="AT218" s="36">
        <v>0</v>
      </c>
      <c r="AU218" s="36">
        <v>0</v>
      </c>
      <c r="AV218" s="37">
        <v>0</v>
      </c>
      <c r="AW218" s="36">
        <v>0</v>
      </c>
      <c r="AX218" s="36">
        <v>0</v>
      </c>
      <c r="AY218" s="36">
        <v>0</v>
      </c>
      <c r="AZ218" s="36">
        <v>0</v>
      </c>
      <c r="BA218" s="36">
        <v>0</v>
      </c>
      <c r="BB218" s="36">
        <v>0</v>
      </c>
      <c r="BC218" s="36">
        <v>0</v>
      </c>
      <c r="BD218" s="36">
        <v>0</v>
      </c>
    </row>
    <row r="219" spans="1:59" s="43" customFormat="1" ht="24.95" customHeight="1" x14ac:dyDescent="0.25">
      <c r="A219" s="35" t="s">
        <v>266</v>
      </c>
      <c r="B219" s="35"/>
      <c r="C219" s="33" t="s">
        <v>82</v>
      </c>
      <c r="D219" s="36" t="s">
        <v>169</v>
      </c>
      <c r="E219" s="35"/>
      <c r="F219" s="35"/>
      <c r="G219" s="35"/>
      <c r="H219" s="33" t="s">
        <v>46</v>
      </c>
      <c r="I219" s="35"/>
      <c r="J219" s="35"/>
      <c r="K219" s="35"/>
      <c r="L219" s="35"/>
      <c r="M219" s="35"/>
      <c r="N219" s="35"/>
      <c r="O219" s="35"/>
      <c r="P219" s="35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70">
        <v>1074</v>
      </c>
      <c r="AG219" s="37">
        <v>0</v>
      </c>
      <c r="AH219" s="37">
        <v>172.79999999999995</v>
      </c>
      <c r="AI219" s="37">
        <v>72.900000000000006</v>
      </c>
      <c r="AJ219" s="37">
        <v>30</v>
      </c>
      <c r="AK219" s="37">
        <v>0</v>
      </c>
      <c r="AL219" s="37">
        <v>0</v>
      </c>
      <c r="AM219" s="37">
        <v>0</v>
      </c>
      <c r="AN219" s="37">
        <v>0</v>
      </c>
      <c r="AO219" s="37">
        <v>359</v>
      </c>
      <c r="AP219" s="37">
        <v>0</v>
      </c>
      <c r="AQ219" s="37">
        <v>0</v>
      </c>
      <c r="AR219" s="37">
        <v>62</v>
      </c>
      <c r="AS219" s="37">
        <v>54</v>
      </c>
      <c r="AT219" s="36">
        <v>0</v>
      </c>
      <c r="AU219" s="36">
        <v>0</v>
      </c>
      <c r="AV219" s="37">
        <v>0</v>
      </c>
      <c r="AW219" s="36">
        <v>0</v>
      </c>
      <c r="AX219" s="36">
        <v>0</v>
      </c>
      <c r="AY219" s="36">
        <v>0</v>
      </c>
      <c r="AZ219" s="36">
        <v>0</v>
      </c>
      <c r="BA219" s="36">
        <v>0</v>
      </c>
      <c r="BB219" s="36">
        <v>0</v>
      </c>
      <c r="BC219" s="36">
        <v>0</v>
      </c>
      <c r="BD219" s="36">
        <v>0</v>
      </c>
    </row>
    <row r="220" spans="1:59" s="43" customFormat="1" ht="24.95" customHeight="1" x14ac:dyDescent="0.25">
      <c r="A220" s="35" t="s">
        <v>268</v>
      </c>
      <c r="B220" s="35"/>
      <c r="C220" s="33" t="s">
        <v>82</v>
      </c>
      <c r="D220" s="36" t="s">
        <v>171</v>
      </c>
      <c r="E220" s="35"/>
      <c r="F220" s="35"/>
      <c r="G220" s="35"/>
      <c r="H220" s="33" t="s">
        <v>46</v>
      </c>
      <c r="I220" s="35"/>
      <c r="J220" s="35"/>
      <c r="K220" s="35"/>
      <c r="L220" s="35"/>
      <c r="M220" s="35"/>
      <c r="N220" s="35"/>
      <c r="O220" s="35"/>
      <c r="P220" s="35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70">
        <v>667</v>
      </c>
      <c r="AG220" s="37">
        <v>0</v>
      </c>
      <c r="AH220" s="37">
        <v>235.99999999999997</v>
      </c>
      <c r="AI220" s="37">
        <v>68.040000000000006</v>
      </c>
      <c r="AJ220" s="37">
        <v>28</v>
      </c>
      <c r="AK220" s="37">
        <v>0</v>
      </c>
      <c r="AL220" s="37">
        <v>0</v>
      </c>
      <c r="AM220" s="37">
        <v>0</v>
      </c>
      <c r="AN220" s="37">
        <v>0</v>
      </c>
      <c r="AO220" s="37">
        <v>356</v>
      </c>
      <c r="AP220" s="37">
        <v>0</v>
      </c>
      <c r="AQ220" s="37">
        <v>0</v>
      </c>
      <c r="AR220" s="37">
        <v>48</v>
      </c>
      <c r="AS220" s="37">
        <v>65</v>
      </c>
      <c r="AT220" s="36">
        <v>0</v>
      </c>
      <c r="AU220" s="36">
        <v>0</v>
      </c>
      <c r="AV220" s="37">
        <v>0</v>
      </c>
      <c r="AW220" s="36">
        <v>0</v>
      </c>
      <c r="AX220" s="36">
        <v>0</v>
      </c>
      <c r="AY220" s="36">
        <v>0</v>
      </c>
      <c r="AZ220" s="36">
        <v>0</v>
      </c>
      <c r="BA220" s="36">
        <v>0</v>
      </c>
      <c r="BB220" s="36">
        <v>0</v>
      </c>
      <c r="BC220" s="36">
        <v>0</v>
      </c>
      <c r="BD220" s="36">
        <v>0</v>
      </c>
    </row>
    <row r="221" spans="1:59" s="43" customFormat="1" ht="24.95" customHeight="1" x14ac:dyDescent="0.25">
      <c r="A221" s="35" t="s">
        <v>265</v>
      </c>
      <c r="B221" s="35"/>
      <c r="C221" s="33" t="s">
        <v>82</v>
      </c>
      <c r="D221" s="36" t="s">
        <v>168</v>
      </c>
      <c r="E221" s="35"/>
      <c r="F221" s="35"/>
      <c r="G221" s="35"/>
      <c r="H221" s="33" t="s">
        <v>46</v>
      </c>
      <c r="I221" s="35"/>
      <c r="J221" s="35"/>
      <c r="K221" s="35"/>
      <c r="L221" s="35"/>
      <c r="M221" s="35"/>
      <c r="N221" s="35"/>
      <c r="O221" s="35"/>
      <c r="P221" s="35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70">
        <v>2590</v>
      </c>
      <c r="AG221" s="37">
        <v>0</v>
      </c>
      <c r="AH221" s="37">
        <v>52.8</v>
      </c>
      <c r="AI221" s="37">
        <v>102.06</v>
      </c>
      <c r="AJ221" s="37">
        <v>42</v>
      </c>
      <c r="AK221" s="37">
        <v>0</v>
      </c>
      <c r="AL221" s="37">
        <v>0</v>
      </c>
      <c r="AM221" s="37">
        <v>0</v>
      </c>
      <c r="AN221" s="37">
        <v>0</v>
      </c>
      <c r="AO221" s="37">
        <v>556</v>
      </c>
      <c r="AP221" s="37">
        <v>0</v>
      </c>
      <c r="AQ221" s="37">
        <v>0</v>
      </c>
      <c r="AR221" s="37">
        <v>84</v>
      </c>
      <c r="AS221" s="37">
        <v>90</v>
      </c>
      <c r="AT221" s="36">
        <v>0</v>
      </c>
      <c r="AU221" s="36">
        <v>0</v>
      </c>
      <c r="AV221" s="37">
        <v>0</v>
      </c>
      <c r="AW221" s="36">
        <v>0</v>
      </c>
      <c r="AX221" s="36">
        <v>0</v>
      </c>
      <c r="AY221" s="36">
        <v>0</v>
      </c>
      <c r="AZ221" s="36">
        <v>0</v>
      </c>
      <c r="BA221" s="36">
        <v>0</v>
      </c>
      <c r="BB221" s="36">
        <v>0</v>
      </c>
      <c r="BC221" s="36">
        <v>0</v>
      </c>
      <c r="BD221" s="36">
        <v>0</v>
      </c>
    </row>
    <row r="222" spans="1:59" s="46" customFormat="1" ht="24.95" customHeight="1" x14ac:dyDescent="0.25">
      <c r="A222" s="44" t="s">
        <v>81</v>
      </c>
      <c r="B222" s="44"/>
      <c r="C222" s="45"/>
      <c r="D222" s="44"/>
      <c r="E222" s="44"/>
      <c r="F222" s="44"/>
      <c r="G222" s="44"/>
      <c r="H222" s="45"/>
      <c r="I222" s="44"/>
      <c r="J222" s="44"/>
      <c r="K222" s="44"/>
      <c r="L222" s="44"/>
      <c r="M222" s="44"/>
      <c r="N222" s="44"/>
      <c r="O222" s="44"/>
      <c r="P222" s="44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47">
        <f>SUM(AF216:AF221)</f>
        <v>7004</v>
      </c>
      <c r="AG222" s="47">
        <f>SUM(AG216:AG221)</f>
        <v>0</v>
      </c>
      <c r="AH222" s="47">
        <f>SUM(AH216:AH221)</f>
        <v>947.19999999999993</v>
      </c>
      <c r="AI222" s="47">
        <f>SUM(AI216:AI221)</f>
        <v>425.25</v>
      </c>
      <c r="AJ222" s="47">
        <f>SUM(AJ216:AJ221)</f>
        <v>175</v>
      </c>
      <c r="AK222" s="47">
        <f>SUM(AK216:AK221)</f>
        <v>0</v>
      </c>
      <c r="AL222" s="47">
        <f>SUM(AL216:AL221)</f>
        <v>0</v>
      </c>
      <c r="AM222" s="47">
        <f>SUM(AM216:AM221)</f>
        <v>0</v>
      </c>
      <c r="AN222" s="47">
        <f>SUM(AN216:AN221)</f>
        <v>0</v>
      </c>
      <c r="AO222" s="47">
        <f>SUM(AO216:AO221)</f>
        <v>2245</v>
      </c>
      <c r="AP222" s="47">
        <f>SUM(AP216:AP221)</f>
        <v>0</v>
      </c>
      <c r="AQ222" s="47">
        <f>SUM(AQ216:AQ221)</f>
        <v>0</v>
      </c>
      <c r="AR222" s="47">
        <f>SUM(AR216:AR221)</f>
        <v>317</v>
      </c>
      <c r="AS222" s="47">
        <f>SUM(AS216:AS221)</f>
        <v>391</v>
      </c>
      <c r="AT222" s="47">
        <f>SUM(AT216:AT221)</f>
        <v>0</v>
      </c>
      <c r="AU222" s="47">
        <f>SUM(AU216:AU221)</f>
        <v>0</v>
      </c>
      <c r="AV222" s="47">
        <f>SUM(AV216:AV221)</f>
        <v>0</v>
      </c>
      <c r="AW222" s="47">
        <f>SUM(AW216:AW221)</f>
        <v>0</v>
      </c>
      <c r="AX222" s="47">
        <f>SUM(AX216:AX221)</f>
        <v>0</v>
      </c>
      <c r="AY222" s="47">
        <f>SUM(AY216:AY221)</f>
        <v>0</v>
      </c>
      <c r="AZ222" s="47">
        <f>SUM(AZ216:AZ221)</f>
        <v>0</v>
      </c>
      <c r="BA222" s="47">
        <f>SUM(BA216:BA221)</f>
        <v>0</v>
      </c>
      <c r="BB222" s="47">
        <f>SUM(BB216:BB221)</f>
        <v>0</v>
      </c>
      <c r="BC222" s="47">
        <f>SUM(BC216:BC221)</f>
        <v>0</v>
      </c>
      <c r="BD222" s="47">
        <f>SUM(BD216:BD221)</f>
        <v>0</v>
      </c>
    </row>
    <row r="223" spans="1:59" s="46" customFormat="1" ht="24.95" customHeight="1" x14ac:dyDescent="0.25">
      <c r="A223" s="48" t="s">
        <v>64</v>
      </c>
      <c r="B223" s="48"/>
      <c r="C223" s="49"/>
      <c r="D223" s="48"/>
      <c r="E223" s="48"/>
      <c r="F223" s="48"/>
      <c r="G223" s="48"/>
      <c r="H223" s="49"/>
      <c r="I223" s="48"/>
      <c r="J223" s="48"/>
      <c r="K223" s="48"/>
      <c r="L223" s="48"/>
      <c r="M223" s="48"/>
      <c r="N223" s="48"/>
      <c r="O223" s="48"/>
      <c r="P223" s="48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>
        <f>AF181+AF163+AF145+AF137+AF125+AF101+AF97+AF69+AF46+AF15+AF12+AF222+AF215</f>
        <v>23831</v>
      </c>
      <c r="AG223" s="50">
        <f>AG181+AG163+AG145+AG137+AG125+AG101+AG97+AG69+AG46+AG15+AG12+AG222+AG215</f>
        <v>0</v>
      </c>
      <c r="AH223" s="50">
        <f>AH181+AH163+AH145+AH137+AH125+AH101+AH97+AH69+AH46+AH15+AH12+AH222+AH215</f>
        <v>14303.600000000002</v>
      </c>
      <c r="AI223" s="50">
        <f>AI181+AI163+AI145+AI137+AI125+AI101+AI97+AI69+AI46+AI15+AI12+AI222+AI215</f>
        <v>5421.33</v>
      </c>
      <c r="AJ223" s="50">
        <f>AJ181+AJ163+AJ145+AJ137+AJ125+AJ101+AJ97+AJ69+AJ46+AJ15+AJ12+AJ222+AJ215</f>
        <v>2231</v>
      </c>
      <c r="AK223" s="50">
        <f>AK181+AK163+AK145+AK137+AK125+AK101+AK97+AK69+AK46+AK15+AK12+AK222+AK215</f>
        <v>0</v>
      </c>
      <c r="AL223" s="50">
        <f>AL181+AL163+AL145+AL137+AL125+AL101+AL97+AL69+AL46+AL15+AL12+AL222+AL215</f>
        <v>565</v>
      </c>
      <c r="AM223" s="50">
        <f>AM181+AM163+AM145+AM137+AM125+AM101+AM97+AM69+AM46+AM15+AM12+AM222+AM215</f>
        <v>0</v>
      </c>
      <c r="AN223" s="50">
        <f>AN181+AN163+AN145+AN137+AN125+AN101+AN97+AN69+AN46+AN15+AN12+AN222+AN215</f>
        <v>0</v>
      </c>
      <c r="AO223" s="50">
        <f>AO181+AO163+AO145+AO137+AO125+AO101+AO97+AO69+AO46+AO15+AO12+AO222+AO215</f>
        <v>21721</v>
      </c>
      <c r="AP223" s="50">
        <f>AP181+AP163+AP145+AP137+AP125+AP101+AP97+AP69+AP46+AP15+AP12+AP222+AP215</f>
        <v>0</v>
      </c>
      <c r="AQ223" s="50">
        <f>AQ181+AQ163+AQ145+AQ137+AQ125+AQ101+AQ97+AQ69+AQ46+AQ15+AQ12+AQ222+AQ215</f>
        <v>0</v>
      </c>
      <c r="AR223" s="50">
        <f>AR181+AR163+AR145+AR137+AR125+AR101+AR97+AR69+AR46+AR15+AR12+AR222+AR215</f>
        <v>6132</v>
      </c>
      <c r="AS223" s="50">
        <f>AS181+AS163+AS145+AS137+AS125+AS101+AS97+AS69+AS46+AS15+AS12+AS222+AS215</f>
        <v>3442</v>
      </c>
      <c r="AT223" s="50">
        <f>AT181+AT163+AT145+AT137+AT125+AT101+AT97+AT69+AT46+AT15+AT12+AT222+AT215</f>
        <v>0</v>
      </c>
      <c r="AU223" s="50">
        <f>AU181+AU163+AU145+AU137+AU125+AU101+AU97+AU69+AU46+AU15+AU12+AU222+AU215</f>
        <v>0</v>
      </c>
      <c r="AV223" s="50">
        <f>AV181+AV163+AV145+AV137+AV125+AV101+AV97+AV69+AV46+AV15+AV12+AV222+AV215</f>
        <v>0</v>
      </c>
      <c r="AW223" s="50">
        <f>AW181+AW163+AW145+AW137+AW125+AW101+AW97+AW69+AW46+AW15+AW12+AW222+AW215</f>
        <v>0</v>
      </c>
      <c r="AX223" s="50">
        <f>AX181+AX163+AX145+AX137+AX125+AX101+AX97+AX69+AX46+AX15+AX12+AX222+AX215</f>
        <v>30</v>
      </c>
      <c r="AY223" s="50">
        <f>AY181+AY163+AY145+AY137+AY125+AY101+AY97+AY69+AY46+AY15+AY12+AY222+AY215</f>
        <v>0</v>
      </c>
      <c r="AZ223" s="50">
        <f>AZ181+AZ163+AZ145+AZ137+AZ125+AZ101+AZ97+AZ69+AZ46+AZ15+AZ12+AZ222+AZ215</f>
        <v>0</v>
      </c>
      <c r="BA223" s="50">
        <f>BA181+BA163+BA145+BA137+BA125+BA101+BA97+BA69+BA46+BA15+BA12+BA222+BA215</f>
        <v>0</v>
      </c>
      <c r="BB223" s="50">
        <f>BB181+BB163+BB145+BB137+BB125+BB101+BB97+BB69+BB46+BB15+BB12+BB222+BB215</f>
        <v>0</v>
      </c>
      <c r="BC223" s="50">
        <f>BC181+BC163+BC145+BC137+BC125+BC101+BC97+BC69+BC46+BC15+BC12+BC222+BC215</f>
        <v>17179</v>
      </c>
      <c r="BD223" s="50">
        <f>BD181+BD163+BD145+BD137+BD125+BD101+BD97+BD69+BD46+BD15+BD12+BD222+BD215</f>
        <v>72</v>
      </c>
      <c r="BE223" s="69">
        <f>SUM(AF223:BD223)</f>
        <v>94927.930000000008</v>
      </c>
      <c r="BF223" s="51"/>
      <c r="BG223" s="51"/>
    </row>
    <row r="224" spans="1:59" s="51" customFormat="1" ht="24.95" customHeight="1" x14ac:dyDescent="0.25">
      <c r="C224" s="52"/>
      <c r="H224" s="53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5"/>
      <c r="BF224" s="55"/>
      <c r="BG224" s="55"/>
    </row>
    <row r="225" spans="1:59" s="55" customFormat="1" ht="24.95" customHeight="1" x14ac:dyDescent="0.25">
      <c r="A225" s="56" t="s">
        <v>65</v>
      </c>
      <c r="B225" s="56"/>
      <c r="C225" s="57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8">
        <v>27.343800000000002</v>
      </c>
      <c r="AG225" s="58">
        <v>0</v>
      </c>
      <c r="AH225" s="58">
        <v>145.88</v>
      </c>
      <c r="AI225" s="58">
        <v>27.66</v>
      </c>
      <c r="AJ225" s="58">
        <v>26.25</v>
      </c>
      <c r="AK225" s="58">
        <v>171.74</v>
      </c>
      <c r="AL225" s="58">
        <v>195</v>
      </c>
      <c r="AM225" s="59">
        <v>180.36</v>
      </c>
      <c r="AN225" s="59">
        <v>185.71</v>
      </c>
      <c r="AO225" s="59">
        <v>189.38</v>
      </c>
      <c r="AP225" s="59">
        <v>207</v>
      </c>
      <c r="AQ225" s="59">
        <v>379.46</v>
      </c>
      <c r="AR225" s="59">
        <v>35.15</v>
      </c>
      <c r="AS225" s="60">
        <v>35.892857142857139</v>
      </c>
      <c r="AT225" s="59">
        <v>81.900000000000006</v>
      </c>
      <c r="AU225" s="60">
        <v>37.5</v>
      </c>
      <c r="AV225" s="59">
        <v>20.62</v>
      </c>
      <c r="AW225" s="59">
        <v>167.2697</v>
      </c>
      <c r="AX225" s="59">
        <v>7.5</v>
      </c>
      <c r="AY225" s="59">
        <v>195</v>
      </c>
      <c r="AZ225" s="59">
        <v>0</v>
      </c>
      <c r="BA225" s="59">
        <v>29.45</v>
      </c>
      <c r="BB225" s="59">
        <v>37.450000000000003</v>
      </c>
      <c r="BC225" s="59">
        <v>29.5639</v>
      </c>
      <c r="BD225" s="59">
        <v>267.18</v>
      </c>
    </row>
    <row r="226" spans="1:59" s="55" customFormat="1" ht="24.95" customHeight="1" x14ac:dyDescent="0.25">
      <c r="C226" s="61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</row>
    <row r="227" spans="1:59" s="55" customFormat="1" ht="24.95" customHeight="1" x14ac:dyDescent="0.25">
      <c r="A227" s="63" t="s">
        <v>66</v>
      </c>
      <c r="B227" s="63"/>
      <c r="C227" s="64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>
        <f>AF223*AF225</f>
        <v>651630.09779999999</v>
      </c>
      <c r="AG227" s="65">
        <f>AG223*AG225</f>
        <v>0</v>
      </c>
      <c r="AH227" s="65">
        <f t="shared" ref="AH227:BD227" si="7">AH223*AH225</f>
        <v>2086609.1680000003</v>
      </c>
      <c r="AI227" s="65">
        <f>AI223*AI225</f>
        <v>149953.9878</v>
      </c>
      <c r="AJ227" s="65">
        <f t="shared" si="7"/>
        <v>58563.75</v>
      </c>
      <c r="AK227" s="65">
        <f t="shared" si="7"/>
        <v>0</v>
      </c>
      <c r="AL227" s="65">
        <f t="shared" si="7"/>
        <v>110175</v>
      </c>
      <c r="AM227" s="65">
        <f t="shared" si="7"/>
        <v>0</v>
      </c>
      <c r="AN227" s="65">
        <f t="shared" si="7"/>
        <v>0</v>
      </c>
      <c r="AO227" s="65">
        <f t="shared" si="7"/>
        <v>4113522.98</v>
      </c>
      <c r="AP227" s="65">
        <f t="shared" si="7"/>
        <v>0</v>
      </c>
      <c r="AQ227" s="65">
        <f t="shared" si="7"/>
        <v>0</v>
      </c>
      <c r="AR227" s="65">
        <f t="shared" si="7"/>
        <v>215539.8</v>
      </c>
      <c r="AS227" s="65">
        <f t="shared" si="7"/>
        <v>123543.21428571428</v>
      </c>
      <c r="AT227" s="65">
        <f t="shared" si="7"/>
        <v>0</v>
      </c>
      <c r="AU227" s="65">
        <f t="shared" si="7"/>
        <v>0</v>
      </c>
      <c r="AV227" s="65">
        <f t="shared" si="7"/>
        <v>0</v>
      </c>
      <c r="AW227" s="65">
        <f t="shared" si="7"/>
        <v>0</v>
      </c>
      <c r="AX227" s="65">
        <f t="shared" si="7"/>
        <v>225</v>
      </c>
      <c r="AY227" s="65">
        <f t="shared" si="7"/>
        <v>0</v>
      </c>
      <c r="AZ227" s="65">
        <f>AZ223*AZ225</f>
        <v>0</v>
      </c>
      <c r="BA227" s="65">
        <f t="shared" si="7"/>
        <v>0</v>
      </c>
      <c r="BB227" s="65">
        <f>BB223*BB225</f>
        <v>0</v>
      </c>
      <c r="BC227" s="65">
        <f>BC223*BC225</f>
        <v>507878.23810000002</v>
      </c>
      <c r="BD227" s="65">
        <f t="shared" si="7"/>
        <v>19236.96</v>
      </c>
      <c r="BE227" s="51"/>
      <c r="BF227" s="51"/>
      <c r="BG227" s="51"/>
    </row>
    <row r="228" spans="1:59" s="51" customFormat="1" ht="24.95" customHeight="1" x14ac:dyDescent="0.25">
      <c r="C228" s="52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46"/>
      <c r="BF228" s="46"/>
      <c r="BG228" s="46"/>
    </row>
    <row r="229" spans="1:59" s="46" customFormat="1" ht="24.95" customHeight="1" x14ac:dyDescent="0.25">
      <c r="A229" s="66" t="s">
        <v>67</v>
      </c>
      <c r="B229" s="66"/>
      <c r="C229" s="67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>
        <f>AF227+AG227+AH227+AI227+AJ227+AK227+AL227+AM227+AN227+AO227+AP227+AQ227+AR227+AS227+AT227+AU227+AV227+AW227+AX227+AY227+AZ227+BA227+BB227+BD227+BC227</f>
        <v>8036878.195985714</v>
      </c>
      <c r="AG229" s="41"/>
      <c r="AH229" s="41"/>
      <c r="AI229" s="41" t="s">
        <v>68</v>
      </c>
      <c r="AJ229" s="41"/>
      <c r="AK229" s="41"/>
      <c r="AL229" s="41"/>
      <c r="BE229" s="51"/>
      <c r="BF229" s="51"/>
      <c r="BG229" s="51"/>
    </row>
    <row r="230" spans="1:59" s="51" customFormat="1" ht="24.95" customHeight="1" x14ac:dyDescent="0.25">
      <c r="C230" s="52"/>
      <c r="H230" s="53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X230" s="54"/>
      <c r="AY230" s="54"/>
      <c r="AZ230" s="54"/>
    </row>
    <row r="231" spans="1:59" x14ac:dyDescent="0.2"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</row>
    <row r="232" spans="1:59" x14ac:dyDescent="0.2"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</row>
    <row r="233" spans="1:59" x14ac:dyDescent="0.2">
      <c r="AL233" s="1"/>
    </row>
    <row r="237" spans="1:59" x14ac:dyDescent="0.2">
      <c r="I237" s="1">
        <v>493298</v>
      </c>
    </row>
  </sheetData>
  <sortState ref="A243:BG248">
    <sortCondition ref="A243"/>
  </sortState>
  <mergeCells count="9">
    <mergeCell ref="A5:A7"/>
    <mergeCell ref="C5:C7"/>
    <mergeCell ref="D5:D7"/>
    <mergeCell ref="AF5:AY5"/>
    <mergeCell ref="T6:U6"/>
    <mergeCell ref="V6:W6"/>
    <mergeCell ref="X6:Y6"/>
    <mergeCell ref="AA6:AB6"/>
    <mergeCell ref="AD6:AE6"/>
  </mergeCells>
  <pageMargins left="1.1023622047244095" right="0.70866141732283472" top="0.74803149606299213" bottom="0.74803149606299213" header="0.31496062992125984" footer="0.31496062992125984"/>
  <pageSetup paperSize="5" scale="3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Airene B. Tabotabo</cp:lastModifiedBy>
  <dcterms:created xsi:type="dcterms:W3CDTF">2022-07-15T23:50:21Z</dcterms:created>
  <dcterms:modified xsi:type="dcterms:W3CDTF">2026-05-16T02:44:21Z</dcterms:modified>
</cp:coreProperties>
</file>