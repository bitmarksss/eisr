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7.MINE EXPLOSIVES REPORTS\02. RCSU WEEKLY REPORT\2026\JUNE 2026\PMC\WEEKLY REPORT - JUNE 1-7\"/>
    </mc:Choice>
  </mc:AlternateContent>
  <bookViews>
    <workbookView xWindow="0" yWindow="0" windowWidth="28800" windowHeight="10815" tabRatio="718" firstSheet="1" activeTab="1"/>
  </bookViews>
  <sheets>
    <sheet name="2-3-9,2018" sheetId="88" r:id="rId1"/>
    <sheet name="Sheet" sheetId="98" r:id="rId2"/>
  </sheets>
  <externalReferences>
    <externalReference r:id="rId3"/>
  </externalReferences>
  <definedNames>
    <definedName name="_xlnm._FilterDatabase" localSheetId="1" hidden="1">Sheet!#REF!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3" i="98" l="1"/>
  <c r="I457" i="98"/>
  <c r="I458" i="98"/>
  <c r="I459" i="98" s="1"/>
  <c r="I460" i="98" s="1"/>
  <c r="I461" i="98" s="1"/>
  <c r="I462" i="98" s="1"/>
  <c r="I463" i="98" s="1"/>
  <c r="O463" i="98" s="1"/>
  <c r="I137" i="98" l="1"/>
  <c r="I138" i="98" s="1"/>
  <c r="I139" i="98" s="1"/>
  <c r="I140" i="98" s="1"/>
  <c r="I141" i="98" s="1"/>
  <c r="I142" i="98" s="1"/>
  <c r="I143" i="98" l="1"/>
  <c r="I144" i="98" s="1"/>
  <c r="I145" i="98" s="1"/>
  <c r="Q177" i="98"/>
  <c r="S424" i="98" l="1"/>
  <c r="I494" i="98" l="1"/>
  <c r="I495" i="98" s="1"/>
  <c r="I496" i="98" s="1"/>
  <c r="I497" i="98" s="1"/>
  <c r="I498" i="98" s="1"/>
  <c r="I499" i="98" s="1"/>
  <c r="I500" i="98" s="1"/>
  <c r="I501" i="98" s="1"/>
  <c r="I502" i="98" s="1"/>
  <c r="I456" i="98"/>
  <c r="I416" i="98"/>
  <c r="I417" i="98" s="1"/>
  <c r="I418" i="98" s="1"/>
  <c r="I419" i="98" s="1"/>
  <c r="I420" i="98" s="1"/>
  <c r="I421" i="98" s="1"/>
  <c r="I422" i="98" s="1"/>
  <c r="I423" i="98" s="1"/>
  <c r="I424" i="98" s="1"/>
  <c r="O424" i="98" s="1"/>
  <c r="I378" i="98"/>
  <c r="I379" i="98" s="1"/>
  <c r="I380" i="98" s="1"/>
  <c r="I381" i="98" s="1"/>
  <c r="I382" i="98" s="1"/>
  <c r="I383" i="98" s="1"/>
  <c r="I301" i="98"/>
  <c r="I302" i="98" s="1"/>
  <c r="I303" i="98" s="1"/>
  <c r="I304" i="98" s="1"/>
  <c r="I305" i="98" s="1"/>
  <c r="I306" i="98" s="1"/>
  <c r="I307" i="98" s="1"/>
  <c r="I308" i="98" s="1"/>
  <c r="I309" i="98" s="1"/>
  <c r="I218" i="98"/>
  <c r="I219" i="98" s="1"/>
  <c r="I220" i="98" s="1"/>
  <c r="I221" i="98" s="1"/>
  <c r="I222" i="98" s="1"/>
  <c r="I223" i="98" s="1"/>
  <c r="I224" i="98" s="1"/>
  <c r="I225" i="98" s="1"/>
  <c r="O225" i="98" s="1"/>
  <c r="I177" i="98"/>
  <c r="I178" i="98" s="1"/>
  <c r="I179" i="98" s="1"/>
  <c r="I180" i="98" s="1"/>
  <c r="I181" i="98" s="1"/>
  <c r="I182" i="98" s="1"/>
  <c r="I183" i="98" s="1"/>
  <c r="I184" i="98" s="1"/>
  <c r="I185" i="98" s="1"/>
  <c r="I96" i="98"/>
  <c r="I97" i="98" s="1"/>
  <c r="I98" i="98" s="1"/>
  <c r="I99" i="98" s="1"/>
  <c r="I100" i="98" s="1"/>
  <c r="I101" i="98" s="1"/>
  <c r="I102" i="98" s="1"/>
  <c r="I103" i="98" s="1"/>
  <c r="I104" i="98" s="1"/>
  <c r="I384" i="98" l="1"/>
  <c r="I385" i="98" s="1"/>
  <c r="I386" i="98" s="1"/>
  <c r="I57" i="98"/>
  <c r="I58" i="98" l="1"/>
  <c r="I59" i="98" s="1"/>
  <c r="I60" i="98" s="1"/>
  <c r="I61" i="98" s="1"/>
  <c r="I62" i="98" s="1"/>
  <c r="I63" i="98" s="1"/>
  <c r="I64" i="98" s="1"/>
  <c r="I65" i="98" s="1"/>
  <c r="I611" i="98"/>
  <c r="I612" i="98" s="1"/>
  <c r="I613" i="98" s="1"/>
  <c r="I614" i="98" s="1"/>
  <c r="I615" i="98" s="1"/>
  <c r="I616" i="98" s="1"/>
  <c r="I617" i="98" s="1"/>
  <c r="I618" i="98" s="1"/>
  <c r="I573" i="98"/>
  <c r="I574" i="98" s="1"/>
  <c r="I575" i="98" s="1"/>
  <c r="I576" i="98" s="1"/>
  <c r="I577" i="98" s="1"/>
  <c r="I578" i="98" s="1"/>
  <c r="I579" i="98" s="1"/>
  <c r="I580" i="98" s="1"/>
  <c r="I533" i="98"/>
  <c r="I534" i="98" s="1"/>
  <c r="I535" i="98" s="1"/>
  <c r="I536" i="98" s="1"/>
  <c r="I537" i="98" s="1"/>
  <c r="I538" i="98" s="1"/>
  <c r="I539" i="98" s="1"/>
  <c r="I540" i="98" s="1"/>
  <c r="I75" i="98" l="1"/>
  <c r="I74" i="98"/>
  <c r="A627" i="98" l="1"/>
  <c r="A589" i="98"/>
  <c r="A549" i="98"/>
  <c r="A511" i="98"/>
  <c r="A473" i="98"/>
  <c r="A432" i="98"/>
  <c r="A395" i="98"/>
  <c r="A356" i="98"/>
  <c r="A319" i="98"/>
  <c r="A277" i="98"/>
  <c r="A236" i="98"/>
  <c r="A195" i="98"/>
  <c r="A155" i="98"/>
  <c r="A114" i="98"/>
  <c r="A74" i="98"/>
  <c r="I341" i="98" l="1"/>
  <c r="I342" i="98" s="1"/>
  <c r="I343" i="98" s="1"/>
  <c r="I344" i="98" s="1"/>
  <c r="I345" i="98" s="1"/>
  <c r="I346" i="98" s="1"/>
  <c r="I347" i="98" s="1"/>
  <c r="I348" i="98" s="1"/>
  <c r="A603" i="98" l="1"/>
  <c r="I261" i="98" l="1"/>
  <c r="I262" i="98" s="1"/>
  <c r="I263" i="98" s="1"/>
  <c r="I264" i="98" s="1"/>
  <c r="I265" i="98" s="1"/>
  <c r="I266" i="98" s="1"/>
  <c r="I267" i="98" s="1"/>
  <c r="I268" i="98" s="1"/>
  <c r="I19" i="98" l="1"/>
  <c r="I20" i="98" s="1"/>
  <c r="I21" i="98" s="1"/>
  <c r="I22" i="98" s="1"/>
  <c r="I23" i="98" s="1"/>
  <c r="I24" i="98" s="1"/>
  <c r="I25" i="98" s="1"/>
  <c r="I26" i="98" s="1"/>
  <c r="C627" i="98" l="1"/>
  <c r="C589" i="98"/>
  <c r="C549" i="98"/>
  <c r="C511" i="98"/>
  <c r="C473" i="98"/>
  <c r="C432" i="98"/>
  <c r="C395" i="98"/>
  <c r="C356" i="98"/>
  <c r="C319" i="98"/>
  <c r="C236" i="98"/>
  <c r="C277" i="98" s="1"/>
  <c r="C195" i="98"/>
  <c r="C155" i="98"/>
  <c r="C114" i="98"/>
  <c r="C74" i="98"/>
  <c r="I628" i="98" l="1"/>
  <c r="I627" i="98"/>
  <c r="I590" i="98"/>
  <c r="I589" i="98"/>
  <c r="I550" i="98"/>
  <c r="I549" i="98"/>
  <c r="I512" i="98"/>
  <c r="I511" i="98"/>
  <c r="I474" i="98"/>
  <c r="I473" i="98"/>
  <c r="I433" i="98"/>
  <c r="I432" i="98"/>
  <c r="I396" i="98"/>
  <c r="I395" i="98"/>
  <c r="I357" i="98"/>
  <c r="I356" i="98"/>
  <c r="I320" i="98"/>
  <c r="I319" i="98"/>
  <c r="I278" i="98"/>
  <c r="I277" i="98"/>
  <c r="I237" i="98"/>
  <c r="I236" i="98"/>
  <c r="I196" i="98"/>
  <c r="I195" i="98"/>
  <c r="I156" i="98"/>
  <c r="I155" i="98"/>
  <c r="I115" i="98"/>
  <c r="I114" i="98"/>
  <c r="A565" i="98" l="1"/>
  <c r="A49" i="98" l="1"/>
  <c r="A525" i="98" l="1"/>
  <c r="A129" i="98" l="1"/>
  <c r="A486" i="98" l="1"/>
  <c r="A448" i="98"/>
  <c r="A408" i="98"/>
  <c r="A371" i="98"/>
  <c r="A333" i="98"/>
  <c r="A293" i="98"/>
  <c r="A253" i="98"/>
  <c r="A210" i="98"/>
  <c r="A169" i="98"/>
  <c r="A88" i="98"/>
  <c r="Q19" i="88" l="1"/>
  <c r="L19" i="88"/>
  <c r="J19" i="88"/>
  <c r="H19" i="88"/>
  <c r="D19" i="88"/>
  <c r="M15" i="88" l="1"/>
  <c r="M18" i="88" s="1"/>
  <c r="M20" i="88" s="1"/>
  <c r="M23" i="88" s="1"/>
  <c r="AA15" i="88"/>
  <c r="AA18" i="88" s="1"/>
  <c r="AA20" i="88" s="1"/>
  <c r="AA23" i="88" s="1"/>
  <c r="Z15" i="88"/>
  <c r="Z18" i="88" s="1"/>
  <c r="Z20" i="88" s="1"/>
  <c r="Z23" i="88" s="1"/>
  <c r="AB15" i="88"/>
  <c r="AB18" i="88" s="1"/>
  <c r="AB20" i="88" s="1"/>
  <c r="AB23" i="88" s="1"/>
  <c r="AF15" i="88"/>
  <c r="AF18" i="88" s="1"/>
  <c r="AF20" i="88" s="1"/>
  <c r="AF23" i="88" s="1"/>
  <c r="X15" i="88" l="1"/>
  <c r="X18" i="88" s="1"/>
  <c r="X20" i="88" s="1"/>
  <c r="X23" i="88" s="1"/>
  <c r="R15" i="88"/>
  <c r="R18" i="88" s="1"/>
  <c r="R20" i="88" s="1"/>
  <c r="R23" i="88" s="1"/>
  <c r="S15" i="88"/>
  <c r="S18" i="88" s="1"/>
  <c r="S20" i="88" s="1"/>
  <c r="S23" i="88" s="1"/>
  <c r="Q15" i="88"/>
  <c r="Q18" i="88" s="1"/>
  <c r="Q20" i="88" s="1"/>
  <c r="Q23" i="88" s="1"/>
  <c r="AC15" i="88"/>
  <c r="AC18" i="88" s="1"/>
  <c r="AC20" i="88" s="1"/>
  <c r="AC23" i="88" s="1"/>
  <c r="U15" i="88"/>
  <c r="U18" i="88" s="1"/>
  <c r="U20" i="88" s="1"/>
  <c r="U23" i="88" s="1"/>
  <c r="Y15" i="88"/>
  <c r="Y18" i="88" s="1"/>
  <c r="Y20" i="88" s="1"/>
  <c r="Y23" i="88" s="1"/>
  <c r="O15" i="88"/>
  <c r="O18" i="88" s="1"/>
  <c r="O20" i="88" s="1"/>
  <c r="O23" i="88" s="1"/>
  <c r="T15" i="88"/>
  <c r="T18" i="88" s="1"/>
  <c r="T20" i="88" s="1"/>
  <c r="T23" i="88" s="1"/>
  <c r="AH15" i="88"/>
  <c r="AH18" i="88" s="1"/>
  <c r="AH20" i="88" s="1"/>
  <c r="AH23" i="88" s="1"/>
  <c r="V15" i="88"/>
  <c r="V18" i="88" s="1"/>
  <c r="V20" i="88" s="1"/>
  <c r="V23" i="88" s="1"/>
  <c r="AE15" i="88"/>
  <c r="AE18" i="88" s="1"/>
  <c r="AE20" i="88" s="1"/>
  <c r="AE23" i="88" s="1"/>
  <c r="W15" i="88"/>
  <c r="W18" i="88" s="1"/>
  <c r="W20" i="88" s="1"/>
  <c r="W23" i="88" s="1"/>
  <c r="D15" i="88"/>
  <c r="D18" i="88" s="1"/>
  <c r="D20" i="88" s="1"/>
  <c r="D23" i="88" s="1"/>
  <c r="K15" i="88"/>
  <c r="K18" i="88" s="1"/>
  <c r="K20" i="88" s="1"/>
  <c r="K23" i="88" s="1"/>
  <c r="L15" i="88"/>
  <c r="L18" i="88" s="1"/>
  <c r="L20" i="88" s="1"/>
  <c r="L23" i="88" s="1"/>
  <c r="P15" i="88"/>
  <c r="P18" i="88" s="1"/>
  <c r="P20" i="88" s="1"/>
  <c r="P23" i="88" s="1"/>
  <c r="C15" i="88"/>
  <c r="C18" i="88" s="1"/>
  <c r="C20" i="88" s="1"/>
  <c r="C23" i="88" s="1"/>
  <c r="AG15" i="88" l="1"/>
  <c r="AG18" i="88" s="1"/>
  <c r="AG20" i="88" s="1"/>
  <c r="AG23" i="88" s="1"/>
  <c r="G15" i="88"/>
  <c r="G18" i="88" s="1"/>
  <c r="G20" i="88" s="1"/>
  <c r="G23" i="88" s="1"/>
  <c r="H15" i="88"/>
  <c r="H18" i="88" s="1"/>
  <c r="H20" i="88" s="1"/>
  <c r="H23" i="88" s="1"/>
  <c r="E15" i="88" l="1"/>
  <c r="E18" i="88" s="1"/>
  <c r="E19" i="88" s="1"/>
  <c r="E20" i="88" s="1"/>
  <c r="E23" i="88" s="1"/>
  <c r="F15" i="88" l="1"/>
  <c r="F18" i="88" s="1"/>
  <c r="F19" i="88" s="1"/>
  <c r="F20" i="88" s="1"/>
  <c r="F23" i="88" s="1"/>
  <c r="I15" i="88" l="1"/>
  <c r="I18" i="88" s="1"/>
  <c r="I20" i="88" s="1"/>
  <c r="I23" i="88" s="1"/>
  <c r="J15" i="88" l="1"/>
  <c r="J18" i="88" s="1"/>
  <c r="J20" i="88" s="1"/>
  <c r="J23" i="88" s="1"/>
  <c r="N15" i="88" l="1"/>
  <c r="N18" i="88" s="1"/>
  <c r="N20" i="88" s="1"/>
  <c r="N23" i="88" s="1"/>
  <c r="AD15" i="88" l="1"/>
  <c r="AD18" i="88" s="1"/>
  <c r="AD20" i="88" s="1"/>
  <c r="AD23" i="88" s="1"/>
  <c r="O348" i="98" l="1"/>
  <c r="O268" i="98" l="1"/>
  <c r="O65" i="98" l="1"/>
  <c r="O145" i="98" l="1"/>
  <c r="O502" i="98" l="1"/>
  <c r="O386" i="98"/>
  <c r="O309" i="98"/>
  <c r="O185" i="98"/>
  <c r="O104" i="98"/>
</calcChain>
</file>

<file path=xl/sharedStrings.xml><?xml version="1.0" encoding="utf-8"?>
<sst xmlns="http://schemas.openxmlformats.org/spreadsheetml/2006/main" count="709" uniqueCount="108">
  <si>
    <t>PHILSAGA MINING CORPORATION</t>
  </si>
  <si>
    <t>Bayugan 3,Rosario Agusan del Sur</t>
  </si>
  <si>
    <t>DATE</t>
  </si>
  <si>
    <t>SUPPLIER</t>
  </si>
  <si>
    <t>MT ROCK</t>
  </si>
  <si>
    <t>EXPEDITION</t>
  </si>
  <si>
    <t>DESCRIPTION</t>
  </si>
  <si>
    <t>Dyna</t>
  </si>
  <si>
    <t>Pentex</t>
  </si>
  <si>
    <t>Anfo</t>
  </si>
  <si>
    <t>S/Fuse</t>
  </si>
  <si>
    <t>OBC</t>
  </si>
  <si>
    <t>MS</t>
  </si>
  <si>
    <t>Cordtex</t>
  </si>
  <si>
    <t>EBC</t>
  </si>
  <si>
    <t>Stope</t>
  </si>
  <si>
    <t>Spider</t>
  </si>
  <si>
    <t>Emulex</t>
  </si>
  <si>
    <t>Superdyne</t>
  </si>
  <si>
    <t>Senatel/Pulsar</t>
  </si>
  <si>
    <t>Primer</t>
  </si>
  <si>
    <t>Pcs</t>
  </si>
  <si>
    <t>Kls</t>
  </si>
  <si>
    <t>Mtrs</t>
  </si>
  <si>
    <t>-</t>
  </si>
  <si>
    <t>Withdrawal of Stock from Main Magazine</t>
  </si>
  <si>
    <t>SAFETY FUSE SAVINGS from MG</t>
  </si>
  <si>
    <t>Less: Total Weekly Consumption</t>
  </si>
  <si>
    <t>MINE MAG. STOCK USABLE</t>
  </si>
  <si>
    <t>Prepared by:</t>
  </si>
  <si>
    <t>Checked by:</t>
  </si>
  <si>
    <t>(savings)</t>
  </si>
  <si>
    <t>Approved by:</t>
  </si>
  <si>
    <t>SUPREME</t>
  </si>
  <si>
    <t>Super Power</t>
  </si>
  <si>
    <t>LIGHTER</t>
  </si>
  <si>
    <t xml:space="preserve">FUSE </t>
  </si>
  <si>
    <t>AIHREIN B. TABOTABO</t>
  </si>
  <si>
    <t>REINNIER JOHN S. SUNICO</t>
  </si>
  <si>
    <t>MT. ROCK</t>
  </si>
  <si>
    <t>EXEL</t>
  </si>
  <si>
    <t>NONEL</t>
  </si>
  <si>
    <t>EXPLOSIVE WEEKLY CONSUMPTION</t>
  </si>
  <si>
    <t>BEG. BALANCE</t>
  </si>
  <si>
    <t>TOTAL ON HAND</t>
  </si>
  <si>
    <t>STOCK BALANCE</t>
  </si>
  <si>
    <t>Billwire</t>
  </si>
  <si>
    <t>Noted by:</t>
  </si>
  <si>
    <t>EDWIN B. BATAL</t>
  </si>
  <si>
    <t>RAFFY D. TORRES</t>
  </si>
  <si>
    <t>Mine Operations  Manager</t>
  </si>
  <si>
    <t>Mine Explosives Clerk</t>
  </si>
  <si>
    <t xml:space="preserve">Mine Explosives Engineer       </t>
  </si>
  <si>
    <t>Mine Explosives Manager</t>
  </si>
  <si>
    <t>EMULSION</t>
  </si>
  <si>
    <t>FEBRAURY 3-9, 2018</t>
  </si>
  <si>
    <t xml:space="preserve">WEEKLY REPORT ON UPDATES ON EXPLOSIVES AND EXPLOSIVE </t>
  </si>
  <si>
    <t>INGREDIENTS TRANSACTIONS</t>
  </si>
  <si>
    <t>Name of Company :</t>
  </si>
  <si>
    <t>Magazine               :</t>
  </si>
  <si>
    <t>KIND</t>
  </si>
  <si>
    <t>UoM</t>
  </si>
  <si>
    <t>ENTRY DATE</t>
  </si>
  <si>
    <t>QUANTITY</t>
  </si>
  <si>
    <t>DATE WITHDRAWN</t>
  </si>
  <si>
    <t>QUANTITY WITHDRAWN</t>
  </si>
  <si>
    <t>BALANCE</t>
  </si>
  <si>
    <t>REMARKS</t>
  </si>
  <si>
    <t>Daily Consumption</t>
  </si>
  <si>
    <t>Ammonium Nitrate Fuel Oil (ANFO)</t>
  </si>
  <si>
    <t>Kgs</t>
  </si>
  <si>
    <t>Safety Fuse</t>
  </si>
  <si>
    <t>Meters</t>
  </si>
  <si>
    <t>Fuse Lighter</t>
  </si>
  <si>
    <t>Supreme Detonator       LP (2.4/3.6)</t>
  </si>
  <si>
    <t>Electric Blasting    Cap</t>
  </si>
  <si>
    <t>Bell Wire</t>
  </si>
  <si>
    <t>Ordinary Blasting        Cap</t>
  </si>
  <si>
    <t>UNDERGROUND MAGAZINE</t>
  </si>
  <si>
    <t>Stock  Balance</t>
  </si>
  <si>
    <t>Remaining Stock</t>
  </si>
  <si>
    <t>Certified Correct by:</t>
  </si>
  <si>
    <t>No Usage</t>
  </si>
  <si>
    <t>Senatel Pulsar 135 (Emulsion/Dyna)</t>
  </si>
  <si>
    <t>Senatel Pulsar 215 (Emulsion/Dyna)</t>
  </si>
  <si>
    <t>Expedition MBDInc</t>
  </si>
  <si>
    <t>Mount Rock Powder Corp.</t>
  </si>
  <si>
    <t xml:space="preserve">  Mine Explosive Dept.</t>
  </si>
  <si>
    <r>
      <rPr>
        <b/>
        <sz val="14"/>
        <rFont val="Arial"/>
        <family val="2"/>
      </rPr>
      <t xml:space="preserve">  </t>
    </r>
    <r>
      <rPr>
        <b/>
        <u/>
        <sz val="14"/>
        <rFont val="Arial"/>
        <family val="2"/>
      </rPr>
      <t>MR. NHOLL GREAL O. LOZADA</t>
    </r>
  </si>
  <si>
    <t xml:space="preserve">  Checked by:       </t>
  </si>
  <si>
    <t xml:space="preserve">Prepared By:                                        </t>
  </si>
  <si>
    <t xml:space="preserve">  Inventory/Warehouseman Supervisor</t>
  </si>
  <si>
    <t>Exel Detonator           LP (2.4/3.6/4.9)</t>
  </si>
  <si>
    <t>Blaster Foreman</t>
  </si>
  <si>
    <t xml:space="preserve"> </t>
  </si>
  <si>
    <t>Shockstar Detonator       LP (2.4)</t>
  </si>
  <si>
    <t>Blaster Foreman Expedition</t>
  </si>
  <si>
    <t xml:space="preserve">Checked by:       </t>
  </si>
  <si>
    <t>Austin Powder         Emulsion   /Dyna 200</t>
  </si>
  <si>
    <t>Nonel Detonator             LP (2.4/3.6)</t>
  </si>
  <si>
    <t>Detonating Cord            (Cordtex 5,6,10,40 C1)</t>
  </si>
  <si>
    <t>Neogel 200 (Emulsion/Dyna)</t>
  </si>
  <si>
    <t>MR. JOHNNY U. GALENG</t>
  </si>
  <si>
    <t>MR. JOHN XERCES C. ANTIPUESTO</t>
  </si>
  <si>
    <t>Deposit Supply</t>
  </si>
  <si>
    <t>ENGR. EDWIN B. BATAL</t>
  </si>
  <si>
    <t>Mine Explosives Asst. Manager</t>
  </si>
  <si>
    <t>Period Covered : JUNE 1-7,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</si>
</sst>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#,##0.0_);\(#,##0.0\)"/>
    <numFmt numFmtId="167" formatCode="#,##0;[Red]#,##0"/>
    <numFmt numFmtId="168" formatCode="#,##0.0;[Red]#,##0.0"/>
    <numFmt numFmtId="169" formatCode="[$-409]dd\-mmm\-yy;@"/>
    <numFmt numFmtId="170" formatCode="#,##0.0;\-#,##0.0"/>
    <numFmt numFmtId="171" formatCode="0.0"/>
    <numFmt numFmtId="172" formatCode="#,##0.00000000000_ ;\-#,##0.00000000000\ "/>
    <numFmt numFmtId="173" formatCode="#,##0.00;[Red]#,##0.00"/>
    <numFmt numFmtId="174" formatCode="#,##0.00_ ;\-#,##0.00\ "/>
    <numFmt numFmtId="175" formatCode="[$-C09]dd\-mmmm\-yyyy;@"/>
    <numFmt numFmtId="176" formatCode="#,##0.0"/>
    <numFmt numFmtId="177" formatCode="#,##0.0_ ;\-#,##0.0\ "/>
    <numFmt numFmtId="178" formatCode="#,##0_ ;\-#,##0\ "/>
  </numFmts>
  <fonts count="26" x14ac:knownFonts="1">
    <font>
      <sz val="10"/>
      <name val="Arial"/>
    </font>
    <font>
      <sz val="10"/>
      <name val="Arial"/>
      <family val="2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2"/>
      <color theme="4" tint="-0.249977111117893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3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5"/>
      <name val="Times New Roman"/>
      <family val="1"/>
    </font>
    <font>
      <b/>
      <sz val="16"/>
      <color theme="4" tint="-0.249977111117893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b/>
      <u/>
      <sz val="20"/>
      <name val="Times New Roman"/>
      <family val="1"/>
    </font>
    <font>
      <b/>
      <sz val="14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4" fillId="0" borderId="0" xfId="0" applyFont="1"/>
    <xf numFmtId="0" fontId="6" fillId="0" borderId="0" xfId="0" applyFont="1"/>
    <xf numFmtId="15" fontId="4" fillId="0" borderId="0" xfId="0" applyNumberFormat="1" applyFont="1" applyAlignment="1">
      <alignment horizontal="center"/>
    </xf>
    <xf numFmtId="0" fontId="4" fillId="2" borderId="5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169" fontId="4" fillId="3" borderId="0" xfId="1" applyNumberFormat="1" applyFont="1" applyFill="1" applyBorder="1" applyAlignment="1">
      <alignment vertical="center"/>
    </xf>
    <xf numFmtId="0" fontId="7" fillId="0" borderId="0" xfId="0" applyFont="1"/>
    <xf numFmtId="37" fontId="7" fillId="0" borderId="0" xfId="0" applyNumberFormat="1" applyFont="1"/>
    <xf numFmtId="171" fontId="4" fillId="0" borderId="0" xfId="0" applyNumberFormat="1" applyFont="1"/>
    <xf numFmtId="2" fontId="4" fillId="0" borderId="0" xfId="0" applyNumberFormat="1" applyFont="1"/>
    <xf numFmtId="172" fontId="4" fillId="0" borderId="0" xfId="0" applyNumberFormat="1" applyFont="1"/>
    <xf numFmtId="4" fontId="4" fillId="0" borderId="0" xfId="0" applyNumberFormat="1" applyFont="1"/>
    <xf numFmtId="37" fontId="4" fillId="0" borderId="0" xfId="0" applyNumberFormat="1" applyFont="1"/>
    <xf numFmtId="0" fontId="6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164" fontId="2" fillId="0" borderId="1" xfId="1" applyFont="1" applyBorder="1" applyAlignment="1">
      <alignment horizontal="left" vertical="center" wrapText="1"/>
    </xf>
    <xf numFmtId="164" fontId="2" fillId="0" borderId="1" xfId="1" applyFont="1" applyBorder="1" applyAlignment="1">
      <alignment horizontal="left" vertical="center"/>
    </xf>
    <xf numFmtId="0" fontId="9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12" fillId="0" borderId="1" xfId="1" applyFont="1" applyBorder="1" applyAlignment="1">
      <alignment horizontal="left" vertical="center" wrapText="1"/>
    </xf>
    <xf numFmtId="164" fontId="8" fillId="4" borderId="1" xfId="1" applyFont="1" applyFill="1" applyBorder="1" applyAlignment="1">
      <alignment horizontal="center" vertical="center"/>
    </xf>
    <xf numFmtId="165" fontId="2" fillId="0" borderId="4" xfId="1" applyNumberFormat="1" applyFont="1" applyBorder="1" applyAlignment="1">
      <alignment horizontal="left" vertical="center"/>
    </xf>
    <xf numFmtId="37" fontId="11" fillId="0" borderId="4" xfId="1" applyNumberFormat="1" applyFont="1" applyBorder="1" applyAlignment="1">
      <alignment horizontal="center" vertical="center"/>
    </xf>
    <xf numFmtId="39" fontId="11" fillId="0" borderId="1" xfId="1" applyNumberFormat="1" applyFont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 vertical="center"/>
    </xf>
    <xf numFmtId="173" fontId="11" fillId="0" borderId="1" xfId="1" applyNumberFormat="1" applyFont="1" applyBorder="1" applyAlignment="1">
      <alignment horizontal="center" vertical="center"/>
    </xf>
    <xf numFmtId="37" fontId="13" fillId="0" borderId="1" xfId="1" applyNumberFormat="1" applyFont="1" applyBorder="1" applyAlignment="1">
      <alignment horizontal="center" vertical="center"/>
    </xf>
    <xf numFmtId="39" fontId="13" fillId="0" borderId="1" xfId="1" applyNumberFormat="1" applyFont="1" applyBorder="1" applyAlignment="1">
      <alignment horizontal="center" vertical="center"/>
    </xf>
    <xf numFmtId="37" fontId="11" fillId="0" borderId="1" xfId="1" applyNumberFormat="1" applyFont="1" applyBorder="1" applyAlignment="1">
      <alignment horizontal="center" vertical="center"/>
    </xf>
    <xf numFmtId="170" fontId="11" fillId="0" borderId="1" xfId="1" applyNumberFormat="1" applyFont="1" applyBorder="1" applyAlignment="1">
      <alignment horizontal="center" vertical="center"/>
    </xf>
    <xf numFmtId="168" fontId="11" fillId="0" borderId="1" xfId="1" applyNumberFormat="1" applyFont="1" applyBorder="1" applyAlignment="1">
      <alignment horizontal="center" vertical="center"/>
    </xf>
    <xf numFmtId="37" fontId="11" fillId="4" borderId="1" xfId="1" applyNumberFormat="1" applyFont="1" applyFill="1" applyBorder="1" applyAlignment="1">
      <alignment horizontal="center" vertical="center"/>
    </xf>
    <xf numFmtId="39" fontId="11" fillId="4" borderId="1" xfId="1" applyNumberFormat="1" applyFont="1" applyFill="1" applyBorder="1" applyAlignment="1">
      <alignment horizontal="center" vertical="center"/>
    </xf>
    <xf numFmtId="170" fontId="11" fillId="0" borderId="4" xfId="1" applyNumberFormat="1" applyFont="1" applyBorder="1" applyAlignment="1">
      <alignment horizontal="center" vertical="center"/>
    </xf>
    <xf numFmtId="170" fontId="13" fillId="0" borderId="1" xfId="1" applyNumberFormat="1" applyFont="1" applyBorder="1" applyAlignment="1">
      <alignment horizontal="center" vertical="center"/>
    </xf>
    <xf numFmtId="170" fontId="11" fillId="4" borderId="1" xfId="1" applyNumberFormat="1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166" fontId="14" fillId="0" borderId="0" xfId="0" applyNumberFormat="1" applyFont="1"/>
    <xf numFmtId="0" fontId="16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164" fontId="17" fillId="0" borderId="1" xfId="1" applyFont="1" applyBorder="1" applyAlignment="1">
      <alignment horizontal="left" vertical="center" wrapText="1"/>
    </xf>
    <xf numFmtId="167" fontId="18" fillId="0" borderId="1" xfId="1" applyNumberFormat="1" applyFont="1" applyBorder="1" applyAlignment="1">
      <alignment horizontal="center" vertical="center"/>
    </xf>
    <xf numFmtId="37" fontId="18" fillId="0" borderId="1" xfId="1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174" fontId="19" fillId="0" borderId="0" xfId="0" applyNumberFormat="1" applyFont="1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4" fontId="19" fillId="0" borderId="1" xfId="2" applyNumberFormat="1" applyFont="1" applyBorder="1" applyAlignment="1">
      <alignment horizontal="center" vertical="center"/>
    </xf>
    <xf numFmtId="175" fontId="19" fillId="0" borderId="1" xfId="0" quotePrefix="1" applyNumberFormat="1" applyFont="1" applyBorder="1" applyAlignment="1">
      <alignment horizontal="center" vertical="center"/>
    </xf>
    <xf numFmtId="37" fontId="19" fillId="0" borderId="0" xfId="0" applyNumberFormat="1" applyFont="1" applyAlignment="1">
      <alignment vertical="center"/>
    </xf>
    <xf numFmtId="174" fontId="19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43" fontId="19" fillId="0" borderId="1" xfId="2" applyFont="1" applyBorder="1" applyAlignment="1">
      <alignment horizontal="left" vertical="center"/>
    </xf>
    <xf numFmtId="3" fontId="19" fillId="0" borderId="1" xfId="2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175" fontId="19" fillId="0" borderId="0" xfId="0" quotePrefix="1" applyNumberFormat="1" applyFont="1" applyAlignment="1">
      <alignment horizontal="center" vertical="center"/>
    </xf>
    <xf numFmtId="43" fontId="19" fillId="0" borderId="0" xfId="2" applyFont="1" applyBorder="1" applyAlignment="1">
      <alignment horizontal="left" vertical="center"/>
    </xf>
    <xf numFmtId="4" fontId="19" fillId="0" borderId="0" xfId="2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" fontId="23" fillId="0" borderId="0" xfId="0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4" fontId="20" fillId="0" borderId="0" xfId="0" applyNumberFormat="1" applyFont="1"/>
    <xf numFmtId="3" fontId="19" fillId="0" borderId="1" xfId="3" applyNumberFormat="1" applyFont="1" applyBorder="1" applyAlignment="1">
      <alignment horizontal="center" vertical="center"/>
    </xf>
    <xf numFmtId="4" fontId="19" fillId="0" borderId="1" xfId="3" applyNumberFormat="1" applyFont="1" applyBorder="1" applyAlignment="1">
      <alignment horizontal="center" vertical="center"/>
    </xf>
    <xf numFmtId="3" fontId="19" fillId="5" borderId="1" xfId="3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3" fontId="19" fillId="0" borderId="0" xfId="0" applyNumberFormat="1" applyFont="1" applyAlignment="1">
      <alignment vertical="center"/>
    </xf>
    <xf numFmtId="0" fontId="19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3" fontId="19" fillId="3" borderId="1" xfId="3" applyNumberFormat="1" applyFont="1" applyFill="1" applyBorder="1" applyAlignment="1">
      <alignment horizontal="center" vertical="center"/>
    </xf>
    <xf numFmtId="43" fontId="19" fillId="0" borderId="1" xfId="3" applyFont="1" applyBorder="1" applyAlignment="1">
      <alignment horizontal="center" vertical="center"/>
    </xf>
    <xf numFmtId="4" fontId="19" fillId="0" borderId="0" xfId="0" applyNumberFormat="1" applyFont="1"/>
    <xf numFmtId="0" fontId="19" fillId="3" borderId="1" xfId="0" applyFont="1" applyFill="1" applyBorder="1" applyAlignment="1">
      <alignment horizontal="center" vertical="center"/>
    </xf>
    <xf numFmtId="43" fontId="19" fillId="0" borderId="0" xfId="2" applyFont="1" applyAlignment="1">
      <alignment vertical="center"/>
    </xf>
    <xf numFmtId="43" fontId="19" fillId="0" borderId="1" xfId="3" applyFont="1" applyBorder="1" applyAlignment="1">
      <alignment horizontal="left" vertical="center"/>
    </xf>
    <xf numFmtId="3" fontId="19" fillId="0" borderId="1" xfId="3" applyNumberFormat="1" applyFont="1" applyFill="1" applyBorder="1" applyAlignment="1">
      <alignment horizontal="center" vertical="center"/>
    </xf>
    <xf numFmtId="1" fontId="19" fillId="0" borderId="1" xfId="1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17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center" vertical="center"/>
    </xf>
    <xf numFmtId="177" fontId="19" fillId="0" borderId="0" xfId="0" applyNumberFormat="1" applyFont="1" applyAlignment="1">
      <alignment vertical="center"/>
    </xf>
    <xf numFmtId="4" fontId="19" fillId="3" borderId="1" xfId="3" applyNumberFormat="1" applyFont="1" applyFill="1" applyBorder="1" applyAlignment="1">
      <alignment horizontal="center" vertical="center"/>
    </xf>
    <xf numFmtId="4" fontId="19" fillId="0" borderId="1" xfId="3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178" fontId="2" fillId="0" borderId="1" xfId="2" applyNumberFormat="1" applyFont="1" applyBorder="1" applyAlignment="1">
      <alignment horizontal="center" vertical="center"/>
    </xf>
    <xf numFmtId="178" fontId="19" fillId="0" borderId="1" xfId="2" applyNumberFormat="1" applyFont="1" applyBorder="1" applyAlignment="1">
      <alignment horizontal="center" vertical="center"/>
    </xf>
    <xf numFmtId="178" fontId="19" fillId="5" borderId="1" xfId="2" applyNumberFormat="1" applyFont="1" applyFill="1" applyBorder="1" applyAlignment="1">
      <alignment horizontal="center" vertical="center"/>
    </xf>
    <xf numFmtId="177" fontId="19" fillId="5" borderId="1" xfId="2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3" fontId="19" fillId="0" borderId="0" xfId="0" applyNumberFormat="1" applyFont="1" applyAlignment="1">
      <alignment horizontal="center" vertical="center"/>
    </xf>
    <xf numFmtId="178" fontId="19" fillId="0" borderId="1" xfId="2" applyNumberFormat="1" applyFont="1" applyFill="1" applyBorder="1" applyAlignment="1">
      <alignment horizontal="center" vertical="center"/>
    </xf>
    <xf numFmtId="178" fontId="19" fillId="0" borderId="0" xfId="0" applyNumberFormat="1" applyFont="1" applyAlignment="1">
      <alignment vertical="center"/>
    </xf>
    <xf numFmtId="4" fontId="19" fillId="0" borderId="1" xfId="0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/>
    </xf>
    <xf numFmtId="177" fontId="19" fillId="0" borderId="1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  <xf numFmtId="164" fontId="4" fillId="2" borderId="38" xfId="1" applyFont="1" applyFill="1" applyBorder="1" applyAlignment="1">
      <alignment horizontal="center" vertical="center"/>
    </xf>
    <xf numFmtId="164" fontId="4" fillId="2" borderId="40" xfId="1" applyFont="1" applyFill="1" applyBorder="1" applyAlignment="1">
      <alignment horizontal="center" vertical="center"/>
    </xf>
    <xf numFmtId="164" fontId="4" fillId="2" borderId="41" xfId="1" applyFont="1" applyFill="1" applyBorder="1" applyAlignment="1">
      <alignment horizontal="center" vertical="center"/>
    </xf>
    <xf numFmtId="164" fontId="4" fillId="2" borderId="43" xfId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165" fontId="2" fillId="0" borderId="1" xfId="1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2" fillId="0" borderId="36" xfId="1" applyFont="1" applyBorder="1" applyAlignment="1">
      <alignment horizontal="center" vertical="center"/>
    </xf>
    <xf numFmtId="164" fontId="2" fillId="0" borderId="44" xfId="1" applyFont="1" applyBorder="1" applyAlignment="1">
      <alignment horizontal="center" vertical="center"/>
    </xf>
    <xf numFmtId="164" fontId="2" fillId="0" borderId="37" xfId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70" fontId="11" fillId="2" borderId="1" xfId="1" applyNumberFormat="1" applyFont="1" applyFill="1" applyBorder="1" applyAlignment="1">
      <alignment horizontal="center" vertical="center"/>
    </xf>
    <xf numFmtId="169" fontId="2" fillId="2" borderId="1" xfId="1" applyNumberFormat="1" applyFont="1" applyFill="1" applyBorder="1" applyAlignment="1">
      <alignment horizontal="left" vertical="center"/>
    </xf>
    <xf numFmtId="164" fontId="2" fillId="2" borderId="2" xfId="1" applyFont="1" applyFill="1" applyBorder="1" applyAlignment="1">
      <alignment horizontal="left" vertical="center"/>
    </xf>
    <xf numFmtId="164" fontId="2" fillId="2" borderId="3" xfId="1" applyFont="1" applyFill="1" applyBorder="1" applyAlignment="1">
      <alignment horizontal="left" vertical="center"/>
    </xf>
    <xf numFmtId="164" fontId="2" fillId="2" borderId="4" xfId="1" applyFont="1" applyFill="1" applyBorder="1" applyAlignment="1">
      <alignment horizontal="left" vertical="center"/>
    </xf>
    <xf numFmtId="37" fontId="11" fillId="2" borderId="1" xfId="1" applyNumberFormat="1" applyFont="1" applyFill="1" applyBorder="1" applyAlignment="1">
      <alignment horizontal="center" vertical="center"/>
    </xf>
    <xf numFmtId="39" fontId="11" fillId="2" borderId="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9" fillId="0" borderId="0" xfId="0" applyFont="1" applyAlignment="1">
      <alignment horizontal="center" vertical="center"/>
    </xf>
    <xf numFmtId="0" fontId="19" fillId="0" borderId="45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174" fontId="19" fillId="0" borderId="0" xfId="0" applyNumberFormat="1" applyFont="1" applyAlignment="1">
      <alignment horizontal="left"/>
    </xf>
  </cellXfs>
  <cellStyles count="9">
    <cellStyle name="Comma" xfId="2" builtinId="3"/>
    <cellStyle name="Comma 2" xfId="1"/>
    <cellStyle name="Comma 2 2" xfId="3"/>
    <cellStyle name="Comma 2 2 2" xfId="5"/>
    <cellStyle name="Comma 2 2 3" xfId="7"/>
    <cellStyle name="Comma 3" xfId="4"/>
    <cellStyle name="Comma 3 2" xfId="8"/>
    <cellStyle name="Comma 4" xf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15363</xdr:colOff>
      <xdr:row>0</xdr:row>
      <xdr:rowOff>92178</xdr:rowOff>
    </xdr:from>
    <xdr:to>
      <xdr:col>11</xdr:col>
      <xdr:colOff>2038946</xdr:colOff>
      <xdr:row>6</xdr:row>
      <xdr:rowOff>206889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3" y="92178"/>
          <a:ext cx="12812661" cy="1528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117928</xdr:rowOff>
    </xdr:from>
    <xdr:to>
      <xdr:col>11</xdr:col>
      <xdr:colOff>2038946</xdr:colOff>
      <xdr:row>44</xdr:row>
      <xdr:rowOff>96568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58803"/>
          <a:ext cx="12795250" cy="1486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63500</xdr:rowOff>
    </xdr:from>
    <xdr:to>
      <xdr:col>11</xdr:col>
      <xdr:colOff>2038946</xdr:colOff>
      <xdr:row>84</xdr:row>
      <xdr:rowOff>400462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18375"/>
          <a:ext cx="12795250" cy="1479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174625</xdr:rowOff>
    </xdr:from>
    <xdr:to>
      <xdr:col>11</xdr:col>
      <xdr:colOff>1941711</xdr:colOff>
      <xdr:row>123</xdr:row>
      <xdr:rowOff>114711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08500"/>
          <a:ext cx="12700000" cy="1479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276679</xdr:rowOff>
    </xdr:from>
    <xdr:to>
      <xdr:col>11</xdr:col>
      <xdr:colOff>2038946</xdr:colOff>
      <xdr:row>164</xdr:row>
      <xdr:rowOff>89764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478858"/>
          <a:ext cx="12790714" cy="1527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63500</xdr:rowOff>
    </xdr:from>
    <xdr:to>
      <xdr:col>11</xdr:col>
      <xdr:colOff>2038946</xdr:colOff>
      <xdr:row>206</xdr:row>
      <xdr:rowOff>178211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799875"/>
          <a:ext cx="12795250" cy="1479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70304</xdr:rowOff>
    </xdr:from>
    <xdr:to>
      <xdr:col>11</xdr:col>
      <xdr:colOff>2038946</xdr:colOff>
      <xdr:row>247</xdr:row>
      <xdr:rowOff>185014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490429"/>
          <a:ext cx="12795250" cy="14799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11</xdr:col>
      <xdr:colOff>2038946</xdr:colOff>
      <xdr:row>288</xdr:row>
      <xdr:rowOff>114711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069857"/>
          <a:ext cx="12790714" cy="1529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</xdr:row>
      <xdr:rowOff>95250</xdr:rowOff>
    </xdr:from>
    <xdr:to>
      <xdr:col>11</xdr:col>
      <xdr:colOff>2038946</xdr:colOff>
      <xdr:row>329</xdr:row>
      <xdr:rowOff>209960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676625"/>
          <a:ext cx="12795250" cy="1479961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</xdr:colOff>
      <xdr:row>360</xdr:row>
      <xdr:rowOff>77108</xdr:rowOff>
    </xdr:from>
    <xdr:to>
      <xdr:col>11</xdr:col>
      <xdr:colOff>1989336</xdr:colOff>
      <xdr:row>366</xdr:row>
      <xdr:rowOff>191819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" y="89056483"/>
          <a:ext cx="12731750" cy="1479961"/>
        </a:xfrm>
        <a:prstGeom prst="rect">
          <a:avLst/>
        </a:prstGeom>
      </xdr:spPr>
    </xdr:pic>
    <xdr:clientData/>
  </xdr:twoCellAnchor>
  <xdr:twoCellAnchor editAs="oneCell">
    <xdr:from>
      <xdr:col>0</xdr:col>
      <xdr:colOff>15363</xdr:colOff>
      <xdr:row>397</xdr:row>
      <xdr:rowOff>399507</xdr:rowOff>
    </xdr:from>
    <xdr:to>
      <xdr:col>11</xdr:col>
      <xdr:colOff>1925324</xdr:colOff>
      <xdr:row>403</xdr:row>
      <xdr:rowOff>204912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3" y="99167612"/>
          <a:ext cx="12679356" cy="1526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240541</xdr:rowOff>
    </xdr:from>
    <xdr:to>
      <xdr:col>11</xdr:col>
      <xdr:colOff>2038946</xdr:colOff>
      <xdr:row>442</xdr:row>
      <xdr:rowOff>63358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917718"/>
          <a:ext cx="12808341" cy="1528100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</xdr:colOff>
      <xdr:row>475</xdr:row>
      <xdr:rowOff>323939</xdr:rowOff>
    </xdr:from>
    <xdr:to>
      <xdr:col>11</xdr:col>
      <xdr:colOff>2038946</xdr:colOff>
      <xdr:row>482</xdr:row>
      <xdr:rowOff>30288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118925552"/>
          <a:ext cx="12794734" cy="1503809"/>
        </a:xfrm>
        <a:prstGeom prst="rect">
          <a:avLst/>
        </a:prstGeom>
      </xdr:spPr>
    </xdr:pic>
    <xdr:clientData/>
  </xdr:twoCellAnchor>
  <xdr:twoCellAnchor editAs="oneCell">
    <xdr:from>
      <xdr:col>0</xdr:col>
      <xdr:colOff>46088</xdr:colOff>
      <xdr:row>514</xdr:row>
      <xdr:rowOff>73303</xdr:rowOff>
    </xdr:from>
    <xdr:to>
      <xdr:col>11</xdr:col>
      <xdr:colOff>2085034</xdr:colOff>
      <xdr:row>520</xdr:row>
      <xdr:rowOff>210692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88" y="128875884"/>
          <a:ext cx="12808341" cy="15046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553</xdr:row>
      <xdr:rowOff>111125</xdr:rowOff>
    </xdr:from>
    <xdr:to>
      <xdr:col>11</xdr:col>
      <xdr:colOff>1894086</xdr:colOff>
      <xdr:row>560</xdr:row>
      <xdr:rowOff>127002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638423"/>
          <a:ext cx="12663481" cy="15060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593</xdr:row>
      <xdr:rowOff>63500</xdr:rowOff>
    </xdr:from>
    <xdr:to>
      <xdr:col>11</xdr:col>
      <xdr:colOff>2038946</xdr:colOff>
      <xdr:row>599</xdr:row>
      <xdr:rowOff>209960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463125"/>
          <a:ext cx="12795250" cy="14799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face%20Weekly%20Consumption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6">
          <cell r="I56">
            <v>49235</v>
          </cell>
        </row>
        <row r="92">
          <cell r="I92">
            <v>59325</v>
          </cell>
        </row>
        <row r="131">
          <cell r="I131">
            <v>10440.999999999993</v>
          </cell>
        </row>
        <row r="168">
          <cell r="I168">
            <v>3750</v>
          </cell>
        </row>
        <row r="207">
          <cell r="I207">
            <v>180</v>
          </cell>
        </row>
        <row r="241">
          <cell r="I241">
            <v>1111</v>
          </cell>
        </row>
        <row r="278">
          <cell r="I278">
            <v>7996</v>
          </cell>
        </row>
        <row r="313">
          <cell r="I313">
            <v>16364</v>
          </cell>
        </row>
        <row r="351">
          <cell r="I351">
            <v>6060</v>
          </cell>
        </row>
        <row r="389">
          <cell r="I389">
            <v>90</v>
          </cell>
        </row>
        <row r="424">
          <cell r="I424">
            <v>915</v>
          </cell>
        </row>
        <row r="462">
          <cell r="I462">
            <v>8000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AI50"/>
  <sheetViews>
    <sheetView topLeftCell="A19" zoomScale="89" zoomScaleNormal="89" workbookViewId="0">
      <selection activeCell="A16" sqref="A16:AH20"/>
    </sheetView>
  </sheetViews>
  <sheetFormatPr defaultRowHeight="15.75" x14ac:dyDescent="0.25"/>
  <cols>
    <col min="1" max="1" width="14" style="1" customWidth="1"/>
    <col min="2" max="2" width="37.140625" style="1" customWidth="1"/>
    <col min="3" max="3" width="12.140625" style="1" customWidth="1"/>
    <col min="4" max="4" width="12.7109375" style="1" bestFit="1" customWidth="1"/>
    <col min="5" max="5" width="4.42578125" style="1" hidden="1" customWidth="1"/>
    <col min="6" max="6" width="4.7109375" style="1" hidden="1" customWidth="1"/>
    <col min="7" max="7" width="9.5703125" style="1" customWidth="1"/>
    <col min="8" max="8" width="10.28515625" style="1" bestFit="1" customWidth="1"/>
    <col min="9" max="9" width="7.42578125" style="1" hidden="1" customWidth="1"/>
    <col min="10" max="10" width="10" style="1" hidden="1" customWidth="1"/>
    <col min="11" max="11" width="14" style="1" customWidth="1"/>
    <col min="12" max="12" width="14.7109375" style="1" customWidth="1"/>
    <col min="13" max="13" width="8.7109375" style="1" customWidth="1"/>
    <col min="14" max="14" width="0.85546875" style="1" hidden="1" customWidth="1"/>
    <col min="15" max="15" width="14.85546875" style="1" customWidth="1"/>
    <col min="16" max="16" width="7" style="1" customWidth="1"/>
    <col min="17" max="17" width="14.7109375" style="1" customWidth="1"/>
    <col min="18" max="18" width="12.5703125" style="1" customWidth="1"/>
    <col min="19" max="20" width="8.5703125" style="1" customWidth="1"/>
    <col min="21" max="21" width="12.7109375" style="1" bestFit="1" customWidth="1"/>
    <col min="22" max="22" width="11" style="1" customWidth="1"/>
    <col min="23" max="23" width="8.42578125" style="1" customWidth="1"/>
    <col min="24" max="24" width="13" style="1" customWidth="1"/>
    <col min="25" max="25" width="12.7109375" style="1" bestFit="1" customWidth="1"/>
    <col min="26" max="26" width="12.7109375" style="1" customWidth="1"/>
    <col min="27" max="28" width="12.7109375" style="1" bestFit="1" customWidth="1"/>
    <col min="29" max="29" width="12.7109375" style="1" customWidth="1"/>
    <col min="30" max="30" width="5.7109375" style="1" customWidth="1"/>
    <col min="31" max="31" width="12.85546875" style="1" bestFit="1" customWidth="1"/>
    <col min="32" max="32" width="11" style="1" bestFit="1" customWidth="1"/>
    <col min="33" max="33" width="10.85546875" style="1" customWidth="1"/>
    <col min="34" max="34" width="8.7109375" style="1" bestFit="1" customWidth="1"/>
    <col min="35" max="16384" width="9.140625" style="1"/>
  </cols>
  <sheetData>
    <row r="2" spans="1:34" ht="22.5" x14ac:dyDescent="0.3">
      <c r="A2" s="141" t="s">
        <v>0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</row>
    <row r="3" spans="1:34" ht="22.5" x14ac:dyDescent="0.3">
      <c r="A3" s="141" t="s">
        <v>1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</row>
    <row r="4" spans="1:34" ht="11.25" customHeight="1" x14ac:dyDescent="0.3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pans="1:34" ht="22.5" x14ac:dyDescent="0.3">
      <c r="A5" s="141" t="s">
        <v>42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</row>
    <row r="6" spans="1:34" ht="22.5" x14ac:dyDescent="0.3">
      <c r="A6" s="142" t="s">
        <v>55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</row>
    <row r="7" spans="1:3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6.5" thickBot="1" x14ac:dyDescent="0.3"/>
    <row r="9" spans="1:34" s="5" customFormat="1" ht="18" customHeight="1" x14ac:dyDescent="0.2">
      <c r="A9" s="143" t="s">
        <v>3</v>
      </c>
      <c r="B9" s="144"/>
      <c r="C9" s="147" t="s">
        <v>39</v>
      </c>
      <c r="D9" s="148"/>
      <c r="E9" s="148"/>
      <c r="F9" s="148"/>
      <c r="G9" s="148"/>
      <c r="H9" s="149"/>
      <c r="I9" s="4"/>
      <c r="J9" s="4"/>
      <c r="K9" s="153" t="s">
        <v>5</v>
      </c>
      <c r="L9" s="154"/>
      <c r="M9" s="154"/>
      <c r="N9" s="155"/>
      <c r="O9" s="153" t="s">
        <v>4</v>
      </c>
      <c r="P9" s="154"/>
      <c r="Q9" s="154"/>
      <c r="R9" s="155"/>
      <c r="S9" s="159" t="s">
        <v>5</v>
      </c>
      <c r="T9" s="153" t="s">
        <v>39</v>
      </c>
      <c r="U9" s="154"/>
      <c r="V9" s="154"/>
      <c r="W9" s="155"/>
      <c r="X9" s="153" t="s">
        <v>5</v>
      </c>
      <c r="Y9" s="154"/>
      <c r="Z9" s="154"/>
      <c r="AA9" s="154"/>
      <c r="AB9" s="155"/>
      <c r="AC9" s="147" t="s">
        <v>39</v>
      </c>
      <c r="AD9" s="149"/>
      <c r="AE9" s="43" t="s">
        <v>5</v>
      </c>
      <c r="AF9" s="147" t="s">
        <v>39</v>
      </c>
      <c r="AG9" s="161"/>
      <c r="AH9" s="149"/>
    </row>
    <row r="10" spans="1:34" s="5" customFormat="1" ht="18" customHeight="1" thickBot="1" x14ac:dyDescent="0.25">
      <c r="A10" s="145"/>
      <c r="B10" s="146"/>
      <c r="C10" s="150"/>
      <c r="D10" s="151"/>
      <c r="E10" s="151"/>
      <c r="F10" s="151"/>
      <c r="G10" s="151"/>
      <c r="H10" s="152"/>
      <c r="I10" s="16"/>
      <c r="J10" s="16"/>
      <c r="K10" s="156"/>
      <c r="L10" s="157"/>
      <c r="M10" s="157"/>
      <c r="N10" s="158"/>
      <c r="O10" s="163" t="s">
        <v>5</v>
      </c>
      <c r="P10" s="162"/>
      <c r="Q10" s="162"/>
      <c r="R10" s="164"/>
      <c r="S10" s="160"/>
      <c r="T10" s="156"/>
      <c r="U10" s="157"/>
      <c r="V10" s="157"/>
      <c r="W10" s="158"/>
      <c r="X10" s="156"/>
      <c r="Y10" s="157"/>
      <c r="Z10" s="157"/>
      <c r="AA10" s="157"/>
      <c r="AB10" s="158"/>
      <c r="AC10" s="150"/>
      <c r="AD10" s="152"/>
      <c r="AE10" s="44" t="s">
        <v>39</v>
      </c>
      <c r="AF10" s="150"/>
      <c r="AG10" s="162"/>
      <c r="AH10" s="152"/>
    </row>
    <row r="11" spans="1:34" s="5" customFormat="1" ht="24" customHeight="1" thickBot="1" x14ac:dyDescent="0.25">
      <c r="A11" s="175" t="s">
        <v>2</v>
      </c>
      <c r="B11" s="175" t="s">
        <v>6</v>
      </c>
      <c r="C11" s="166" t="s">
        <v>54</v>
      </c>
      <c r="D11" s="167"/>
      <c r="E11" s="178" t="s">
        <v>7</v>
      </c>
      <c r="F11" s="179"/>
      <c r="G11" s="166" t="s">
        <v>54</v>
      </c>
      <c r="H11" s="167"/>
      <c r="I11" s="178" t="s">
        <v>7</v>
      </c>
      <c r="J11" s="179"/>
      <c r="K11" s="166" t="s">
        <v>54</v>
      </c>
      <c r="L11" s="167"/>
      <c r="M11" s="20" t="s">
        <v>8</v>
      </c>
      <c r="N11" s="21" t="s">
        <v>8</v>
      </c>
      <c r="O11" s="22" t="s">
        <v>9</v>
      </c>
      <c r="P11" s="22" t="s">
        <v>10</v>
      </c>
      <c r="Q11" s="20" t="s">
        <v>10</v>
      </c>
      <c r="R11" s="21" t="s">
        <v>11</v>
      </c>
      <c r="S11" s="20" t="s">
        <v>36</v>
      </c>
      <c r="T11" s="26" t="s">
        <v>41</v>
      </c>
      <c r="U11" s="168" t="s">
        <v>33</v>
      </c>
      <c r="V11" s="169"/>
      <c r="W11" s="27" t="s">
        <v>41</v>
      </c>
      <c r="X11" s="170" t="s">
        <v>40</v>
      </c>
      <c r="Y11" s="169"/>
      <c r="Z11" s="170" t="s">
        <v>12</v>
      </c>
      <c r="AA11" s="169"/>
      <c r="AB11" s="27" t="s">
        <v>13</v>
      </c>
      <c r="AC11" s="72" t="s">
        <v>13</v>
      </c>
      <c r="AD11" s="39" t="s">
        <v>13</v>
      </c>
      <c r="AE11" s="72" t="s">
        <v>13</v>
      </c>
      <c r="AF11" s="27" t="s">
        <v>13</v>
      </c>
      <c r="AG11" s="73" t="s">
        <v>46</v>
      </c>
      <c r="AH11" s="73" t="s">
        <v>14</v>
      </c>
    </row>
    <row r="12" spans="1:34" s="5" customFormat="1" ht="19.5" customHeight="1" x14ac:dyDescent="0.2">
      <c r="A12" s="176"/>
      <c r="B12" s="176"/>
      <c r="C12" s="171">
        <v>208</v>
      </c>
      <c r="D12" s="172"/>
      <c r="E12" s="173">
        <v>200</v>
      </c>
      <c r="F12" s="174"/>
      <c r="G12" s="171">
        <v>132</v>
      </c>
      <c r="H12" s="172"/>
      <c r="I12" s="173">
        <v>150</v>
      </c>
      <c r="J12" s="174"/>
      <c r="K12" s="171">
        <v>215</v>
      </c>
      <c r="L12" s="172"/>
      <c r="M12" s="23" t="s">
        <v>15</v>
      </c>
      <c r="N12" s="24" t="s">
        <v>16</v>
      </c>
      <c r="O12" s="25"/>
      <c r="P12" s="25" t="s">
        <v>31</v>
      </c>
      <c r="Q12" s="23"/>
      <c r="R12" s="24"/>
      <c r="S12" s="19" t="s">
        <v>35</v>
      </c>
      <c r="T12" s="28">
        <v>2.4</v>
      </c>
      <c r="U12" s="29">
        <v>2.4</v>
      </c>
      <c r="V12" s="20">
        <v>3.6</v>
      </c>
      <c r="W12" s="20">
        <v>3.6</v>
      </c>
      <c r="X12" s="20">
        <v>3.6</v>
      </c>
      <c r="Y12" s="20">
        <v>2.4</v>
      </c>
      <c r="Z12" s="20">
        <v>12</v>
      </c>
      <c r="AA12" s="20">
        <v>18</v>
      </c>
      <c r="AB12" s="20">
        <v>5</v>
      </c>
      <c r="AC12" s="20">
        <v>10</v>
      </c>
      <c r="AD12" s="40">
        <v>11</v>
      </c>
      <c r="AE12" s="20">
        <v>6</v>
      </c>
      <c r="AF12" s="20">
        <v>40</v>
      </c>
      <c r="AG12" s="20"/>
      <c r="AH12" s="20"/>
    </row>
    <row r="13" spans="1:34" s="5" customFormat="1" ht="19.5" customHeight="1" x14ac:dyDescent="0.2">
      <c r="A13" s="176"/>
      <c r="B13" s="176"/>
      <c r="C13" s="171" t="s">
        <v>17</v>
      </c>
      <c r="D13" s="172"/>
      <c r="E13" s="173" t="s">
        <v>18</v>
      </c>
      <c r="F13" s="174"/>
      <c r="G13" s="171" t="s">
        <v>34</v>
      </c>
      <c r="H13" s="172"/>
      <c r="I13" s="173" t="s">
        <v>19</v>
      </c>
      <c r="J13" s="174"/>
      <c r="K13" s="171" t="s">
        <v>19</v>
      </c>
      <c r="L13" s="172"/>
      <c r="M13" s="23" t="s">
        <v>20</v>
      </c>
      <c r="N13" s="24"/>
      <c r="O13" s="23"/>
      <c r="P13" s="23"/>
      <c r="Q13" s="23"/>
      <c r="R13" s="24"/>
      <c r="S13" s="23"/>
      <c r="T13" s="28"/>
      <c r="U13" s="30"/>
      <c r="V13" s="23"/>
      <c r="W13" s="23"/>
      <c r="X13" s="23"/>
      <c r="Y13" s="23"/>
      <c r="Z13" s="23"/>
      <c r="AA13" s="23"/>
      <c r="AB13" s="23"/>
      <c r="AC13" s="23"/>
      <c r="AD13" s="41"/>
      <c r="AE13" s="23"/>
      <c r="AF13" s="23"/>
      <c r="AG13" s="23"/>
      <c r="AH13" s="23"/>
    </row>
    <row r="14" spans="1:34" s="5" customFormat="1" ht="21.75" customHeight="1" thickBot="1" x14ac:dyDescent="0.25">
      <c r="A14" s="177"/>
      <c r="B14" s="177"/>
      <c r="C14" s="31" t="s">
        <v>21</v>
      </c>
      <c r="D14" s="32" t="s">
        <v>22</v>
      </c>
      <c r="E14" s="33" t="s">
        <v>21</v>
      </c>
      <c r="F14" s="34" t="s">
        <v>22</v>
      </c>
      <c r="G14" s="31" t="s">
        <v>21</v>
      </c>
      <c r="H14" s="32" t="s">
        <v>22</v>
      </c>
      <c r="I14" s="33" t="s">
        <v>21</v>
      </c>
      <c r="J14" s="34" t="s">
        <v>22</v>
      </c>
      <c r="K14" s="31" t="s">
        <v>21</v>
      </c>
      <c r="L14" s="32" t="s">
        <v>22</v>
      </c>
      <c r="M14" s="35" t="s">
        <v>21</v>
      </c>
      <c r="N14" s="36" t="s">
        <v>21</v>
      </c>
      <c r="O14" s="35" t="s">
        <v>22</v>
      </c>
      <c r="P14" s="35" t="s">
        <v>23</v>
      </c>
      <c r="Q14" s="35" t="s">
        <v>23</v>
      </c>
      <c r="R14" s="36" t="s">
        <v>21</v>
      </c>
      <c r="S14" s="35"/>
      <c r="T14" s="37" t="s">
        <v>21</v>
      </c>
      <c r="U14" s="38" t="s">
        <v>21</v>
      </c>
      <c r="V14" s="35"/>
      <c r="W14" s="35" t="s">
        <v>21</v>
      </c>
      <c r="X14" s="35" t="s">
        <v>21</v>
      </c>
      <c r="Y14" s="35" t="s">
        <v>21</v>
      </c>
      <c r="Z14" s="35" t="s">
        <v>21</v>
      </c>
      <c r="AA14" s="35" t="s">
        <v>21</v>
      </c>
      <c r="AB14" s="35" t="s">
        <v>23</v>
      </c>
      <c r="AC14" s="35" t="s">
        <v>23</v>
      </c>
      <c r="AD14" s="42" t="s">
        <v>23</v>
      </c>
      <c r="AE14" s="35" t="s">
        <v>23</v>
      </c>
      <c r="AF14" s="35" t="s">
        <v>23</v>
      </c>
      <c r="AG14" s="35" t="s">
        <v>23</v>
      </c>
      <c r="AH14" s="35" t="s">
        <v>21</v>
      </c>
    </row>
    <row r="15" spans="1:34" ht="72.75" customHeight="1" x14ac:dyDescent="0.25">
      <c r="A15" s="48">
        <v>43134</v>
      </c>
      <c r="B15" s="46" t="s">
        <v>43</v>
      </c>
      <c r="C15" s="49" t="e">
        <f>#REF!</f>
        <v>#REF!</v>
      </c>
      <c r="D15" s="60" t="e">
        <f>#REF!</f>
        <v>#REF!</v>
      </c>
      <c r="E15" s="60" t="e">
        <f>#REF!</f>
        <v>#REF!</v>
      </c>
      <c r="F15" s="60" t="e">
        <f>#REF!</f>
        <v>#REF!</v>
      </c>
      <c r="G15" s="60" t="e">
        <f>#REF!</f>
        <v>#REF!</v>
      </c>
      <c r="H15" s="60" t="e">
        <f>#REF!</f>
        <v>#REF!</v>
      </c>
      <c r="I15" s="60" t="e">
        <f>#REF!</f>
        <v>#REF!</v>
      </c>
      <c r="J15" s="60" t="e">
        <f>#REF!</f>
        <v>#REF!</v>
      </c>
      <c r="K15" s="60" t="e">
        <f>#REF!</f>
        <v>#REF!</v>
      </c>
      <c r="L15" s="60" t="e">
        <f>#REF!</f>
        <v>#REF!</v>
      </c>
      <c r="M15" s="60" t="e">
        <f>#REF!</f>
        <v>#REF!</v>
      </c>
      <c r="N15" s="60" t="e">
        <f>#REF!</f>
        <v>#REF!</v>
      </c>
      <c r="O15" s="60" t="e">
        <f>#REF!</f>
        <v>#REF!</v>
      </c>
      <c r="P15" s="60" t="e">
        <f>#REF!</f>
        <v>#REF!</v>
      </c>
      <c r="Q15" s="60" t="e">
        <f>#REF!</f>
        <v>#REF!</v>
      </c>
      <c r="R15" s="60" t="e">
        <f>#REF!</f>
        <v>#REF!</v>
      </c>
      <c r="S15" s="60" t="e">
        <f>#REF!</f>
        <v>#REF!</v>
      </c>
      <c r="T15" s="60" t="e">
        <f>#REF!</f>
        <v>#REF!</v>
      </c>
      <c r="U15" s="60" t="e">
        <f>#REF!</f>
        <v>#REF!</v>
      </c>
      <c r="V15" s="60" t="e">
        <f>#REF!</f>
        <v>#REF!</v>
      </c>
      <c r="W15" s="60" t="e">
        <f>#REF!</f>
        <v>#REF!</v>
      </c>
      <c r="X15" s="60" t="e">
        <f>#REF!</f>
        <v>#REF!</v>
      </c>
      <c r="Y15" s="60" t="e">
        <f>#REF!</f>
        <v>#REF!</v>
      </c>
      <c r="Z15" s="60" t="e">
        <f>#REF!</f>
        <v>#REF!</v>
      </c>
      <c r="AA15" s="60" t="e">
        <f>#REF!</f>
        <v>#REF!</v>
      </c>
      <c r="AB15" s="60" t="e">
        <f>#REF!</f>
        <v>#REF!</v>
      </c>
      <c r="AC15" s="60" t="e">
        <f>#REF!</f>
        <v>#REF!</v>
      </c>
      <c r="AD15" s="60" t="e">
        <f>#REF!</f>
        <v>#REF!</v>
      </c>
      <c r="AE15" s="60" t="e">
        <f>#REF!</f>
        <v>#REF!</v>
      </c>
      <c r="AF15" s="60" t="e">
        <f>#REF!</f>
        <v>#REF!</v>
      </c>
      <c r="AG15" s="60" t="e">
        <f>#REF!</f>
        <v>#REF!</v>
      </c>
      <c r="AH15" s="60" t="e">
        <f>#REF!</f>
        <v>#REF!</v>
      </c>
    </row>
    <row r="16" spans="1:34" s="8" customFormat="1" ht="45" customHeight="1" x14ac:dyDescent="0.25">
      <c r="A16" s="165"/>
      <c r="B16" s="69" t="s">
        <v>25</v>
      </c>
      <c r="C16" s="70"/>
      <c r="D16" s="71"/>
      <c r="E16" s="70"/>
      <c r="F16" s="70"/>
      <c r="G16" s="70"/>
      <c r="H16" s="71"/>
      <c r="I16" s="70"/>
      <c r="J16" s="70"/>
      <c r="K16" s="70"/>
      <c r="L16" s="71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</row>
    <row r="17" spans="1:35" s="6" customFormat="1" ht="45" customHeight="1" x14ac:dyDescent="0.25">
      <c r="A17" s="165"/>
      <c r="B17" s="17" t="s">
        <v>26</v>
      </c>
      <c r="C17" s="53"/>
      <c r="D17" s="54"/>
      <c r="E17" s="53"/>
      <c r="F17" s="53"/>
      <c r="G17" s="53"/>
      <c r="H17" s="61"/>
      <c r="I17" s="53"/>
      <c r="J17" s="53"/>
      <c r="K17" s="53"/>
      <c r="L17" s="54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</row>
    <row r="18" spans="1:35" ht="45" customHeight="1" x14ac:dyDescent="0.25">
      <c r="A18" s="165"/>
      <c r="B18" s="18" t="s">
        <v>44</v>
      </c>
      <c r="C18" s="55" t="e">
        <f>C15+C16</f>
        <v>#REF!</v>
      </c>
      <c r="D18" s="56" t="e">
        <f t="shared" ref="D18:AH18" si="0">D15+D16</f>
        <v>#REF!</v>
      </c>
      <c r="E18" s="55" t="e">
        <f t="shared" si="0"/>
        <v>#REF!</v>
      </c>
      <c r="F18" s="55" t="e">
        <f t="shared" si="0"/>
        <v>#REF!</v>
      </c>
      <c r="G18" s="55" t="e">
        <f t="shared" si="0"/>
        <v>#REF!</v>
      </c>
      <c r="H18" s="50" t="e">
        <f t="shared" si="0"/>
        <v>#REF!</v>
      </c>
      <c r="I18" s="55" t="e">
        <f t="shared" si="0"/>
        <v>#REF!</v>
      </c>
      <c r="J18" s="55" t="e">
        <f t="shared" si="0"/>
        <v>#REF!</v>
      </c>
      <c r="K18" s="55" t="e">
        <f t="shared" si="0"/>
        <v>#REF!</v>
      </c>
      <c r="L18" s="50" t="e">
        <f t="shared" si="0"/>
        <v>#REF!</v>
      </c>
      <c r="M18" s="55" t="e">
        <f t="shared" si="0"/>
        <v>#REF!</v>
      </c>
      <c r="N18" s="55" t="e">
        <f t="shared" si="0"/>
        <v>#REF!</v>
      </c>
      <c r="O18" s="50" t="e">
        <f t="shared" si="0"/>
        <v>#REF!</v>
      </c>
      <c r="P18" s="55" t="e">
        <f t="shared" si="0"/>
        <v>#REF!</v>
      </c>
      <c r="Q18" s="50" t="e">
        <f t="shared" si="0"/>
        <v>#REF!</v>
      </c>
      <c r="R18" s="55" t="e">
        <f t="shared" si="0"/>
        <v>#REF!</v>
      </c>
      <c r="S18" s="55" t="e">
        <f t="shared" si="0"/>
        <v>#REF!</v>
      </c>
      <c r="T18" s="55" t="e">
        <f t="shared" si="0"/>
        <v>#REF!</v>
      </c>
      <c r="U18" s="55" t="e">
        <f t="shared" si="0"/>
        <v>#REF!</v>
      </c>
      <c r="V18" s="55" t="e">
        <f t="shared" si="0"/>
        <v>#REF!</v>
      </c>
      <c r="W18" s="55" t="e">
        <f t="shared" si="0"/>
        <v>#REF!</v>
      </c>
      <c r="X18" s="56" t="e">
        <f t="shared" si="0"/>
        <v>#REF!</v>
      </c>
      <c r="Y18" s="55" t="e">
        <f t="shared" si="0"/>
        <v>#REF!</v>
      </c>
      <c r="Z18" s="55" t="e">
        <f t="shared" si="0"/>
        <v>#REF!</v>
      </c>
      <c r="AA18" s="55" t="e">
        <f t="shared" si="0"/>
        <v>#REF!</v>
      </c>
      <c r="AB18" s="56" t="e">
        <f t="shared" si="0"/>
        <v>#REF!</v>
      </c>
      <c r="AC18" s="56" t="e">
        <f t="shared" si="0"/>
        <v>#REF!</v>
      </c>
      <c r="AD18" s="55" t="e">
        <f t="shared" si="0"/>
        <v>#REF!</v>
      </c>
      <c r="AE18" s="55" t="e">
        <f t="shared" si="0"/>
        <v>#REF!</v>
      </c>
      <c r="AF18" s="55" t="e">
        <f t="shared" si="0"/>
        <v>#REF!</v>
      </c>
      <c r="AG18" s="56" t="e">
        <f t="shared" si="0"/>
        <v>#REF!</v>
      </c>
      <c r="AH18" s="55" t="e">
        <f t="shared" si="0"/>
        <v>#REF!</v>
      </c>
    </row>
    <row r="19" spans="1:35" ht="51" customHeight="1" x14ac:dyDescent="0.25">
      <c r="A19" s="165"/>
      <c r="B19" s="17" t="s">
        <v>27</v>
      </c>
      <c r="C19" s="51">
        <v>16049</v>
      </c>
      <c r="D19" s="50">
        <f>C19/208*25</f>
        <v>1928.966346153846</v>
      </c>
      <c r="E19" s="51" t="e">
        <f>E18</f>
        <v>#REF!</v>
      </c>
      <c r="F19" s="51" t="e">
        <f>F18</f>
        <v>#REF!</v>
      </c>
      <c r="G19" s="51">
        <v>0</v>
      </c>
      <c r="H19" s="50">
        <f>G19/132*25</f>
        <v>0</v>
      </c>
      <c r="I19" s="51">
        <v>0</v>
      </c>
      <c r="J19" s="51">
        <f>I19/150*20</f>
        <v>0</v>
      </c>
      <c r="K19" s="51">
        <v>18061</v>
      </c>
      <c r="L19" s="50">
        <f>K19/215*25</f>
        <v>2100.1162790697672</v>
      </c>
      <c r="M19" s="51">
        <v>0</v>
      </c>
      <c r="N19" s="51" t="s">
        <v>24</v>
      </c>
      <c r="O19" s="57">
        <v>12281</v>
      </c>
      <c r="P19" s="51"/>
      <c r="Q19" s="52">
        <f>R19*2.43</f>
        <v>5496.6600000000008</v>
      </c>
      <c r="R19" s="51">
        <v>2262</v>
      </c>
      <c r="S19" s="51">
        <v>70</v>
      </c>
      <c r="T19" s="51">
        <v>49</v>
      </c>
      <c r="U19" s="51">
        <v>8673</v>
      </c>
      <c r="V19" s="51">
        <v>18</v>
      </c>
      <c r="W19" s="51"/>
      <c r="X19" s="51">
        <v>4152</v>
      </c>
      <c r="Y19" s="51">
        <v>5113</v>
      </c>
      <c r="Z19" s="51"/>
      <c r="AA19" s="51"/>
      <c r="AB19" s="51">
        <v>4799</v>
      </c>
      <c r="AC19" s="51">
        <v>3806</v>
      </c>
      <c r="AD19" s="51"/>
      <c r="AE19" s="51">
        <v>20</v>
      </c>
      <c r="AF19" s="51"/>
      <c r="AG19" s="51">
        <v>230</v>
      </c>
      <c r="AH19" s="55">
        <v>20</v>
      </c>
    </row>
    <row r="20" spans="1:35" ht="45" customHeight="1" x14ac:dyDescent="0.25">
      <c r="A20" s="181">
        <v>43140</v>
      </c>
      <c r="B20" s="182" t="s">
        <v>45</v>
      </c>
      <c r="C20" s="185" t="e">
        <f>C18-C19</f>
        <v>#REF!</v>
      </c>
      <c r="D20" s="180" t="e">
        <f t="shared" ref="D20:AH20" si="1">D18-D19</f>
        <v>#REF!</v>
      </c>
      <c r="E20" s="180" t="e">
        <f t="shared" si="1"/>
        <v>#REF!</v>
      </c>
      <c r="F20" s="180" t="e">
        <f t="shared" si="1"/>
        <v>#REF!</v>
      </c>
      <c r="G20" s="180" t="e">
        <f t="shared" si="1"/>
        <v>#REF!</v>
      </c>
      <c r="H20" s="186" t="e">
        <f t="shared" si="1"/>
        <v>#REF!</v>
      </c>
      <c r="I20" s="180" t="e">
        <f t="shared" si="1"/>
        <v>#REF!</v>
      </c>
      <c r="J20" s="180" t="e">
        <f t="shared" si="1"/>
        <v>#REF!</v>
      </c>
      <c r="K20" s="180" t="e">
        <f t="shared" si="1"/>
        <v>#REF!</v>
      </c>
      <c r="L20" s="180" t="e">
        <f t="shared" si="1"/>
        <v>#REF!</v>
      </c>
      <c r="M20" s="185" t="e">
        <f t="shared" si="1"/>
        <v>#REF!</v>
      </c>
      <c r="N20" s="180" t="e">
        <f t="shared" si="1"/>
        <v>#REF!</v>
      </c>
      <c r="O20" s="186" t="e">
        <f>O18-O19</f>
        <v>#REF!</v>
      </c>
      <c r="P20" s="185" t="e">
        <f t="shared" si="1"/>
        <v>#REF!</v>
      </c>
      <c r="Q20" s="186" t="e">
        <f t="shared" si="1"/>
        <v>#REF!</v>
      </c>
      <c r="R20" s="185" t="e">
        <f t="shared" si="1"/>
        <v>#REF!</v>
      </c>
      <c r="S20" s="185" t="e">
        <f t="shared" si="1"/>
        <v>#REF!</v>
      </c>
      <c r="T20" s="185" t="e">
        <f t="shared" si="1"/>
        <v>#REF!</v>
      </c>
      <c r="U20" s="185" t="e">
        <f t="shared" si="1"/>
        <v>#REF!</v>
      </c>
      <c r="V20" s="185" t="e">
        <f t="shared" si="1"/>
        <v>#REF!</v>
      </c>
      <c r="W20" s="185" t="e">
        <f t="shared" si="1"/>
        <v>#REF!</v>
      </c>
      <c r="X20" s="185" t="e">
        <f t="shared" si="1"/>
        <v>#REF!</v>
      </c>
      <c r="Y20" s="185" t="e">
        <f t="shared" si="1"/>
        <v>#REF!</v>
      </c>
      <c r="Z20" s="185" t="e">
        <f t="shared" si="1"/>
        <v>#REF!</v>
      </c>
      <c r="AA20" s="185" t="e">
        <f t="shared" si="1"/>
        <v>#REF!</v>
      </c>
      <c r="AB20" s="180" t="e">
        <f t="shared" si="1"/>
        <v>#REF!</v>
      </c>
      <c r="AC20" s="180" t="e">
        <f t="shared" si="1"/>
        <v>#REF!</v>
      </c>
      <c r="AD20" s="185" t="e">
        <f t="shared" si="1"/>
        <v>#REF!</v>
      </c>
      <c r="AE20" s="185" t="e">
        <f t="shared" si="1"/>
        <v>#REF!</v>
      </c>
      <c r="AF20" s="185" t="e">
        <f t="shared" si="1"/>
        <v>#REF!</v>
      </c>
      <c r="AG20" s="180" t="e">
        <f>AG18-AG19</f>
        <v>#REF!</v>
      </c>
      <c r="AH20" s="185" t="e">
        <f t="shared" si="1"/>
        <v>#REF!</v>
      </c>
    </row>
    <row r="21" spans="1:35" ht="26.25" customHeight="1" x14ac:dyDescent="0.25">
      <c r="A21" s="181"/>
      <c r="B21" s="183"/>
      <c r="C21" s="185"/>
      <c r="D21" s="180"/>
      <c r="E21" s="180"/>
      <c r="F21" s="180"/>
      <c r="G21" s="180"/>
      <c r="H21" s="186"/>
      <c r="I21" s="180"/>
      <c r="J21" s="180"/>
      <c r="K21" s="180"/>
      <c r="L21" s="180"/>
      <c r="M21" s="185"/>
      <c r="N21" s="180"/>
      <c r="O21" s="186"/>
      <c r="P21" s="185"/>
      <c r="Q21" s="186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0"/>
      <c r="AC21" s="180"/>
      <c r="AD21" s="185"/>
      <c r="AE21" s="185"/>
      <c r="AF21" s="185"/>
      <c r="AG21" s="180"/>
      <c r="AH21" s="185"/>
    </row>
    <row r="22" spans="1:35" ht="6" customHeight="1" x14ac:dyDescent="0.25">
      <c r="A22" s="181"/>
      <c r="B22" s="184"/>
      <c r="C22" s="185"/>
      <c r="D22" s="180"/>
      <c r="E22" s="180"/>
      <c r="F22" s="180"/>
      <c r="G22" s="180"/>
      <c r="H22" s="186"/>
      <c r="I22" s="180"/>
      <c r="J22" s="180"/>
      <c r="K22" s="180"/>
      <c r="L22" s="180"/>
      <c r="M22" s="185"/>
      <c r="N22" s="180"/>
      <c r="O22" s="186"/>
      <c r="P22" s="185"/>
      <c r="Q22" s="186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0"/>
      <c r="AC22" s="180"/>
      <c r="AD22" s="185"/>
      <c r="AE22" s="185"/>
      <c r="AF22" s="185"/>
      <c r="AG22" s="180"/>
      <c r="AH22" s="185"/>
    </row>
    <row r="23" spans="1:35" ht="51" customHeight="1" x14ac:dyDescent="0.25">
      <c r="A23" s="7"/>
      <c r="B23" s="47" t="s">
        <v>28</v>
      </c>
      <c r="C23" s="58" t="e">
        <f>C20</f>
        <v>#REF!</v>
      </c>
      <c r="D23" s="59" t="e">
        <f>D20</f>
        <v>#REF!</v>
      </c>
      <c r="E23" s="58" t="e">
        <f t="shared" ref="E23:AH23" si="2">E20</f>
        <v>#REF!</v>
      </c>
      <c r="F23" s="58" t="e">
        <f t="shared" si="2"/>
        <v>#REF!</v>
      </c>
      <c r="G23" s="58" t="e">
        <f>G20</f>
        <v>#REF!</v>
      </c>
      <c r="H23" s="59" t="e">
        <f>H20</f>
        <v>#REF!</v>
      </c>
      <c r="I23" s="58" t="e">
        <f t="shared" si="2"/>
        <v>#REF!</v>
      </c>
      <c r="J23" s="59" t="e">
        <f t="shared" si="2"/>
        <v>#REF!</v>
      </c>
      <c r="K23" s="58" t="e">
        <f>K20</f>
        <v>#REF!</v>
      </c>
      <c r="L23" s="59" t="e">
        <f>L20</f>
        <v>#REF!</v>
      </c>
      <c r="M23" s="58" t="e">
        <f t="shared" si="2"/>
        <v>#REF!</v>
      </c>
      <c r="N23" s="58" t="e">
        <f t="shared" si="2"/>
        <v>#REF!</v>
      </c>
      <c r="O23" s="59" t="e">
        <f>O20</f>
        <v>#REF!</v>
      </c>
      <c r="P23" s="58" t="e">
        <f>P20</f>
        <v>#REF!</v>
      </c>
      <c r="Q23" s="59" t="e">
        <f>Q20</f>
        <v>#REF!</v>
      </c>
      <c r="R23" s="58" t="e">
        <f>R20</f>
        <v>#REF!</v>
      </c>
      <c r="S23" s="58" t="e">
        <f t="shared" si="2"/>
        <v>#REF!</v>
      </c>
      <c r="T23" s="58" t="e">
        <f t="shared" si="2"/>
        <v>#REF!</v>
      </c>
      <c r="U23" s="58" t="e">
        <f>U20</f>
        <v>#REF!</v>
      </c>
      <c r="V23" s="58" t="e">
        <f>V20</f>
        <v>#REF!</v>
      </c>
      <c r="W23" s="58" t="e">
        <f>W20</f>
        <v>#REF!</v>
      </c>
      <c r="X23" s="58" t="e">
        <f t="shared" si="2"/>
        <v>#REF!</v>
      </c>
      <c r="Y23" s="58" t="e">
        <f>Y20</f>
        <v>#REF!</v>
      </c>
      <c r="Z23" s="58" t="e">
        <f t="shared" si="2"/>
        <v>#REF!</v>
      </c>
      <c r="AA23" s="58" t="e">
        <f t="shared" si="2"/>
        <v>#REF!</v>
      </c>
      <c r="AB23" s="62" t="e">
        <f t="shared" si="2"/>
        <v>#REF!</v>
      </c>
      <c r="AC23" s="62" t="e">
        <f>AC20</f>
        <v>#REF!</v>
      </c>
      <c r="AD23" s="58" t="e">
        <f t="shared" si="2"/>
        <v>#REF!</v>
      </c>
      <c r="AE23" s="58" t="e">
        <f>AE20</f>
        <v>#REF!</v>
      </c>
      <c r="AF23" s="58" t="e">
        <f t="shared" si="2"/>
        <v>#REF!</v>
      </c>
      <c r="AG23" s="62" t="e">
        <f>AG20</f>
        <v>#REF!</v>
      </c>
      <c r="AH23" s="58" t="e">
        <f t="shared" si="2"/>
        <v>#REF!</v>
      </c>
    </row>
    <row r="24" spans="1:35" ht="24.75" customHeight="1" x14ac:dyDescent="0.25">
      <c r="A24" s="8"/>
      <c r="B24" s="8"/>
      <c r="C24" s="9"/>
      <c r="M24" s="10"/>
      <c r="Q24" s="11"/>
      <c r="Z24" s="2"/>
      <c r="AA24" s="2"/>
      <c r="AD24" s="2"/>
      <c r="AE24" s="2"/>
      <c r="AF24" s="2"/>
      <c r="AG24" s="2"/>
      <c r="AH24" s="2"/>
    </row>
    <row r="25" spans="1:35" ht="21.75" customHeight="1" x14ac:dyDescent="0.25">
      <c r="C25" s="11"/>
      <c r="D25" s="12"/>
      <c r="J25" s="2"/>
      <c r="K25" s="2"/>
      <c r="L25" s="2"/>
      <c r="Q25" s="13"/>
      <c r="Y25" s="2"/>
      <c r="Z25" s="2"/>
      <c r="AA25" s="2"/>
      <c r="AB25" s="14"/>
      <c r="AD25" s="2"/>
      <c r="AE25" s="2"/>
      <c r="AF25" s="2"/>
      <c r="AG25" s="2"/>
      <c r="AH25" s="2"/>
    </row>
    <row r="26" spans="1:35" ht="21.75" customHeight="1" x14ac:dyDescent="0.25">
      <c r="C26" s="11"/>
      <c r="D26" s="12"/>
      <c r="J26" s="2"/>
      <c r="K26" s="2"/>
      <c r="L26" s="2"/>
      <c r="Q26" s="13"/>
      <c r="Y26" s="2"/>
      <c r="Z26" s="2"/>
      <c r="AA26" s="2"/>
      <c r="AB26" s="14"/>
      <c r="AD26" s="2"/>
      <c r="AE26" s="2"/>
      <c r="AF26" s="2"/>
      <c r="AG26" s="2"/>
      <c r="AH26" s="2"/>
    </row>
    <row r="27" spans="1:35" s="63" customFormat="1" ht="21" customHeight="1" x14ac:dyDescent="0.4">
      <c r="A27" s="63" t="s">
        <v>29</v>
      </c>
      <c r="G27" s="63" t="s">
        <v>30</v>
      </c>
      <c r="H27" s="64"/>
      <c r="I27" s="64"/>
      <c r="J27" s="64"/>
      <c r="K27" s="64"/>
      <c r="M27" s="65"/>
      <c r="N27" s="64"/>
      <c r="P27" s="187" t="s">
        <v>47</v>
      </c>
      <c r="Q27" s="187"/>
      <c r="X27" s="63" t="s">
        <v>32</v>
      </c>
      <c r="AD27" s="64"/>
      <c r="AE27" s="64"/>
      <c r="AF27" s="64"/>
      <c r="AG27" s="64"/>
      <c r="AH27" s="64"/>
      <c r="AI27" s="64"/>
    </row>
    <row r="28" spans="1:35" s="63" customFormat="1" ht="21" customHeight="1" x14ac:dyDescent="0.4">
      <c r="A28" s="64"/>
      <c r="I28" s="64"/>
      <c r="J28" s="64"/>
      <c r="S28" s="64"/>
      <c r="AD28" s="64"/>
      <c r="AE28" s="64"/>
      <c r="AF28" s="64"/>
      <c r="AG28" s="64"/>
      <c r="AH28" s="64"/>
      <c r="AI28" s="64"/>
    </row>
    <row r="29" spans="1:35" s="63" customFormat="1" ht="21" customHeight="1" x14ac:dyDescent="0.4">
      <c r="A29" s="64"/>
      <c r="B29" s="64"/>
      <c r="C29" s="64"/>
      <c r="D29" s="64"/>
      <c r="E29" s="64"/>
      <c r="F29" s="64"/>
    </row>
    <row r="30" spans="1:35" s="63" customFormat="1" ht="21" customHeight="1" x14ac:dyDescent="0.4">
      <c r="A30" s="64"/>
      <c r="J30" s="64"/>
      <c r="T30" s="66"/>
      <c r="U30" s="66"/>
      <c r="V30" s="66"/>
    </row>
    <row r="31" spans="1:35" s="63" customFormat="1" ht="21" customHeight="1" x14ac:dyDescent="0.35">
      <c r="A31" s="67" t="s">
        <v>37</v>
      </c>
      <c r="F31" s="75"/>
      <c r="G31" s="67" t="s">
        <v>48</v>
      </c>
      <c r="L31" s="67"/>
      <c r="N31" s="67"/>
      <c r="P31" s="67" t="s">
        <v>49</v>
      </c>
      <c r="X31" s="67" t="s">
        <v>38</v>
      </c>
    </row>
    <row r="32" spans="1:35" s="64" customFormat="1" ht="21" customHeight="1" x14ac:dyDescent="0.4">
      <c r="A32" s="64" t="s">
        <v>51</v>
      </c>
      <c r="F32" s="68"/>
      <c r="G32" s="64" t="s">
        <v>52</v>
      </c>
      <c r="P32" s="64" t="s">
        <v>53</v>
      </c>
      <c r="U32" s="68"/>
      <c r="X32" s="68" t="s">
        <v>50</v>
      </c>
      <c r="AF32" s="68"/>
      <c r="AG32" s="68"/>
      <c r="AH32" s="68"/>
      <c r="AI32" s="68"/>
    </row>
    <row r="33" spans="1:34" s="64" customFormat="1" ht="18.75" customHeight="1" x14ac:dyDescent="0.4">
      <c r="F33" s="68"/>
      <c r="G33" s="68"/>
      <c r="H33" s="68"/>
      <c r="I33" s="68"/>
      <c r="X33" s="75"/>
      <c r="Z33" s="68"/>
      <c r="AC33" s="68"/>
      <c r="AD33" s="68"/>
    </row>
    <row r="34" spans="1:34" ht="15.75" customHeight="1" x14ac:dyDescent="0.25"/>
    <row r="35" spans="1:34" ht="15.75" customHeight="1" x14ac:dyDescent="0.25">
      <c r="A35" s="15"/>
      <c r="B35" s="15"/>
      <c r="C35" s="15"/>
      <c r="U35" s="45"/>
    </row>
    <row r="36" spans="1:34" ht="13.5" customHeight="1" x14ac:dyDescent="0.25">
      <c r="M36" s="11"/>
      <c r="AD36" s="2"/>
      <c r="AE36" s="2"/>
    </row>
    <row r="37" spans="1:34" ht="13.5" customHeight="1" x14ac:dyDescent="0.25"/>
    <row r="39" spans="1:34" x14ac:dyDescent="0.25">
      <c r="B39" s="2"/>
    </row>
    <row r="40" spans="1:34" ht="15.75" customHeight="1" x14ac:dyDescent="0.25"/>
    <row r="43" spans="1:34" ht="15.75" customHeight="1" x14ac:dyDescent="0.25"/>
    <row r="45" spans="1:34" x14ac:dyDescent="0.25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7" spans="1:34" s="2" customFormat="1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50" spans="1:1" x14ac:dyDescent="0.25">
      <c r="A50" s="2"/>
    </row>
  </sheetData>
  <mergeCells count="70">
    <mergeCell ref="AE20:AE22"/>
    <mergeCell ref="AF20:AF22"/>
    <mergeCell ref="AG20:AG22"/>
    <mergeCell ref="AH20:AH22"/>
    <mergeCell ref="P27:Q27"/>
    <mergeCell ref="Y20:Y22"/>
    <mergeCell ref="Z20:Z22"/>
    <mergeCell ref="AA20:AA22"/>
    <mergeCell ref="AB20:AB22"/>
    <mergeCell ref="AC20:AC22"/>
    <mergeCell ref="AD20:AD22"/>
    <mergeCell ref="S20:S22"/>
    <mergeCell ref="T20:T22"/>
    <mergeCell ref="U20:U22"/>
    <mergeCell ref="V20:V22"/>
    <mergeCell ref="W20:W22"/>
    <mergeCell ref="X20:X22"/>
    <mergeCell ref="M20:M22"/>
    <mergeCell ref="N20:N22"/>
    <mergeCell ref="O20:O22"/>
    <mergeCell ref="P20:P22"/>
    <mergeCell ref="Q20:Q22"/>
    <mergeCell ref="R20:R22"/>
    <mergeCell ref="L20:L22"/>
    <mergeCell ref="A20:A22"/>
    <mergeCell ref="B20:B22"/>
    <mergeCell ref="C20:C22"/>
    <mergeCell ref="D20:D22"/>
    <mergeCell ref="E20:E22"/>
    <mergeCell ref="F20:F22"/>
    <mergeCell ref="G20:G22"/>
    <mergeCell ref="H20:H22"/>
    <mergeCell ref="I20:I22"/>
    <mergeCell ref="J20:J22"/>
    <mergeCell ref="K20:K22"/>
    <mergeCell ref="Z11:AA11"/>
    <mergeCell ref="C12:D12"/>
    <mergeCell ref="E12:F12"/>
    <mergeCell ref="G12:H12"/>
    <mergeCell ref="I12:J12"/>
    <mergeCell ref="K12:L12"/>
    <mergeCell ref="I11:J11"/>
    <mergeCell ref="A16:A19"/>
    <mergeCell ref="K11:L11"/>
    <mergeCell ref="U11:V11"/>
    <mergeCell ref="X11:Y11"/>
    <mergeCell ref="C13:D13"/>
    <mergeCell ref="E13:F13"/>
    <mergeCell ref="G13:H13"/>
    <mergeCell ref="I13:J13"/>
    <mergeCell ref="K13:L13"/>
    <mergeCell ref="A11:A14"/>
    <mergeCell ref="B11:B14"/>
    <mergeCell ref="C11:D11"/>
    <mergeCell ref="E11:F11"/>
    <mergeCell ref="G11:H11"/>
    <mergeCell ref="A2:AH2"/>
    <mergeCell ref="A3:AH3"/>
    <mergeCell ref="A5:AH5"/>
    <mergeCell ref="A6:AH6"/>
    <mergeCell ref="A9:B10"/>
    <mergeCell ref="C9:H10"/>
    <mergeCell ref="K9:N10"/>
    <mergeCell ref="O9:R9"/>
    <mergeCell ref="S9:S10"/>
    <mergeCell ref="T9:W10"/>
    <mergeCell ref="X9:AB10"/>
    <mergeCell ref="AC9:AD10"/>
    <mergeCell ref="AF9:AH10"/>
    <mergeCell ref="O10:R10"/>
  </mergeCells>
  <pageMargins left="1.1811023622047245" right="0.19685039370078741" top="0.74803149606299213" bottom="0.31496062992125984" header="0.31496062992125984" footer="0.31496062992125984"/>
  <pageSetup paperSize="5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6:Z629"/>
  <sheetViews>
    <sheetView tabSelected="1" topLeftCell="A475" zoomScale="70" zoomScaleNormal="70" zoomScaleSheetLayoutView="64" workbookViewId="0">
      <selection activeCell="O502" sqref="O502"/>
    </sheetView>
  </sheetViews>
  <sheetFormatPr defaultRowHeight="18" x14ac:dyDescent="0.25"/>
  <cols>
    <col min="1" max="1" width="29.42578125" style="76" customWidth="1"/>
    <col min="2" max="2" width="15.28515625" style="76" customWidth="1"/>
    <col min="3" max="3" width="27.5703125" style="76" customWidth="1"/>
    <col min="4" max="4" width="21.140625" style="76" customWidth="1"/>
    <col min="5" max="5" width="28.28515625" style="76" customWidth="1"/>
    <col min="6" max="6" width="4.42578125" style="76" hidden="1" customWidth="1"/>
    <col min="7" max="7" width="4.7109375" style="76" hidden="1" customWidth="1"/>
    <col min="8" max="8" width="22.85546875" style="76" customWidth="1"/>
    <col min="9" max="9" width="16.7109375" style="76" bestFit="1" customWidth="1"/>
    <col min="10" max="10" width="7.42578125" style="76" hidden="1" customWidth="1"/>
    <col min="11" max="11" width="10" style="76" hidden="1" customWidth="1"/>
    <col min="12" max="12" width="31.7109375" style="76" customWidth="1"/>
    <col min="13" max="13" width="14.7109375" style="76" hidden="1" customWidth="1"/>
    <col min="14" max="14" width="0.85546875" style="76" hidden="1" customWidth="1"/>
    <col min="15" max="15" width="17.42578125" style="76" customWidth="1"/>
    <col min="16" max="16" width="7" style="76" hidden="1" customWidth="1"/>
    <col min="17" max="17" width="15.7109375" style="76" customWidth="1"/>
    <col min="18" max="18" width="13.7109375" style="76" customWidth="1"/>
    <col min="19" max="19" width="12.85546875" style="76" customWidth="1"/>
    <col min="20" max="20" width="11" style="76" customWidth="1"/>
    <col min="21" max="21" width="13" style="76" customWidth="1"/>
    <col min="22" max="23" width="12.7109375" style="76" bestFit="1" customWidth="1"/>
    <col min="24" max="24" width="10.85546875" style="76" customWidth="1"/>
    <col min="25" max="25" width="8.7109375" style="76" bestFit="1" customWidth="1"/>
    <col min="26" max="16384" width="9.140625" style="76"/>
  </cols>
  <sheetData>
    <row r="6" spans="1:13" ht="20.25" customHeight="1" x14ac:dyDescent="0.25"/>
    <row r="10" spans="1:13" s="80" customFormat="1" ht="20.100000000000001" customHeight="1" x14ac:dyDescent="0.2">
      <c r="A10" s="188" t="s">
        <v>56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</row>
    <row r="11" spans="1:13" s="80" customFormat="1" ht="20.100000000000001" customHeight="1" x14ac:dyDescent="0.2">
      <c r="A11" s="188" t="s">
        <v>57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</row>
    <row r="12" spans="1:13" s="80" customFormat="1" ht="20.100000000000001" customHeight="1" x14ac:dyDescent="0.2">
      <c r="A12" s="188" t="s">
        <v>107</v>
      </c>
      <c r="B12" s="188"/>
      <c r="C12" s="188"/>
      <c r="D12" s="188"/>
      <c r="E12" s="188"/>
      <c r="F12" s="188"/>
      <c r="G12" s="188"/>
      <c r="H12" s="188"/>
      <c r="I12" s="188"/>
      <c r="J12" s="188"/>
      <c r="K12" s="188"/>
      <c r="L12" s="188"/>
      <c r="M12" s="188"/>
    </row>
    <row r="13" spans="1:13" s="80" customFormat="1" ht="10.5" customHeight="1" x14ac:dyDescent="0.2"/>
    <row r="14" spans="1:13" s="80" customFormat="1" ht="20.100000000000001" customHeight="1" x14ac:dyDescent="0.2">
      <c r="A14" s="80" t="s">
        <v>58</v>
      </c>
      <c r="B14" s="189" t="s">
        <v>0</v>
      </c>
      <c r="C14" s="189"/>
      <c r="D14" s="189"/>
    </row>
    <row r="15" spans="1:13" s="80" customFormat="1" ht="20.100000000000001" customHeight="1" x14ac:dyDescent="0.2">
      <c r="A15" s="80" t="s">
        <v>59</v>
      </c>
      <c r="B15" s="190" t="s">
        <v>78</v>
      </c>
      <c r="C15" s="190"/>
      <c r="D15" s="190"/>
    </row>
    <row r="16" spans="1:13" s="80" customFormat="1" ht="6" customHeight="1" x14ac:dyDescent="0.2"/>
    <row r="17" spans="1:25" s="80" customFormat="1" ht="39.75" customHeight="1" x14ac:dyDescent="0.2">
      <c r="A17" s="82" t="s">
        <v>60</v>
      </c>
      <c r="B17" s="82" t="s">
        <v>61</v>
      </c>
      <c r="C17" s="82" t="s">
        <v>62</v>
      </c>
      <c r="D17" s="82" t="s">
        <v>63</v>
      </c>
      <c r="E17" s="83" t="s">
        <v>64</v>
      </c>
      <c r="F17" s="83" t="s">
        <v>64</v>
      </c>
      <c r="G17" s="83" t="s">
        <v>64</v>
      </c>
      <c r="H17" s="83" t="s">
        <v>65</v>
      </c>
      <c r="I17" s="82" t="s">
        <v>66</v>
      </c>
      <c r="J17" s="82"/>
      <c r="K17" s="82"/>
      <c r="L17" s="82" t="s">
        <v>67</v>
      </c>
    </row>
    <row r="18" spans="1:25" s="80" customFormat="1" ht="39.75" customHeight="1" x14ac:dyDescent="0.2">
      <c r="A18" s="85" t="s">
        <v>83</v>
      </c>
      <c r="B18" s="84" t="s">
        <v>21</v>
      </c>
      <c r="C18" s="86"/>
      <c r="D18" s="86"/>
      <c r="E18" s="88"/>
      <c r="F18" s="86"/>
      <c r="G18" s="86"/>
      <c r="H18" s="87"/>
      <c r="I18" s="93">
        <v>0</v>
      </c>
      <c r="J18" s="86"/>
      <c r="K18" s="86"/>
      <c r="L18" s="84" t="s">
        <v>80</v>
      </c>
    </row>
    <row r="19" spans="1:25" s="80" customFormat="1" ht="20.100000000000001" customHeight="1" x14ac:dyDescent="0.2">
      <c r="A19" s="86"/>
      <c r="B19" s="86"/>
      <c r="C19" s="86"/>
      <c r="D19" s="86"/>
      <c r="E19" s="88">
        <v>46174</v>
      </c>
      <c r="F19" s="86"/>
      <c r="G19" s="86"/>
      <c r="H19" s="102"/>
      <c r="I19" s="102">
        <f>I18-H19</f>
        <v>0</v>
      </c>
      <c r="J19" s="86"/>
      <c r="K19" s="86"/>
      <c r="L19" s="84" t="s">
        <v>82</v>
      </c>
      <c r="R19" s="131"/>
      <c r="S19" s="131"/>
      <c r="T19" s="131"/>
      <c r="U19" s="131"/>
      <c r="V19" s="131"/>
      <c r="W19" s="131"/>
    </row>
    <row r="20" spans="1:25" s="80" customFormat="1" ht="20.100000000000001" customHeight="1" x14ac:dyDescent="0.2">
      <c r="A20" s="86"/>
      <c r="B20" s="86"/>
      <c r="C20" s="88"/>
      <c r="D20" s="103"/>
      <c r="E20" s="88">
        <v>46175</v>
      </c>
      <c r="F20" s="86"/>
      <c r="G20" s="86"/>
      <c r="H20" s="102"/>
      <c r="I20" s="102">
        <f t="shared" ref="I20:I22" si="0">I19-H20</f>
        <v>0</v>
      </c>
      <c r="J20" s="86"/>
      <c r="K20" s="86"/>
      <c r="L20" s="84" t="s">
        <v>82</v>
      </c>
      <c r="R20" s="131"/>
      <c r="S20" s="131"/>
      <c r="T20" s="131"/>
      <c r="U20" s="131"/>
      <c r="V20" s="131"/>
      <c r="W20" s="131"/>
    </row>
    <row r="21" spans="1:25" s="80" customFormat="1" ht="20.100000000000001" customHeight="1" x14ac:dyDescent="0.2">
      <c r="A21" s="86"/>
      <c r="B21" s="86"/>
      <c r="C21" s="88"/>
      <c r="D21" s="103"/>
      <c r="E21" s="88">
        <v>46176</v>
      </c>
      <c r="F21" s="86"/>
      <c r="G21" s="86"/>
      <c r="H21" s="102"/>
      <c r="I21" s="102">
        <f t="shared" si="0"/>
        <v>0</v>
      </c>
      <c r="J21" s="86"/>
      <c r="K21" s="86"/>
      <c r="L21" s="84" t="s">
        <v>82</v>
      </c>
    </row>
    <row r="22" spans="1:25" s="80" customFormat="1" ht="20.100000000000001" customHeight="1" x14ac:dyDescent="0.2">
      <c r="A22" s="86"/>
      <c r="B22" s="86"/>
      <c r="C22" s="88"/>
      <c r="D22" s="103"/>
      <c r="E22" s="88">
        <v>46177</v>
      </c>
      <c r="F22" s="86"/>
      <c r="G22" s="86"/>
      <c r="H22" s="102"/>
      <c r="I22" s="102">
        <f t="shared" si="0"/>
        <v>0</v>
      </c>
      <c r="J22" s="86"/>
      <c r="K22" s="86"/>
      <c r="L22" s="84" t="s">
        <v>82</v>
      </c>
    </row>
    <row r="23" spans="1:25" s="80" customFormat="1" ht="20.100000000000001" customHeight="1" x14ac:dyDescent="0.2">
      <c r="A23" s="86"/>
      <c r="B23" s="86"/>
      <c r="C23" s="88"/>
      <c r="D23" s="103"/>
      <c r="E23" s="88">
        <v>46178</v>
      </c>
      <c r="F23" s="86"/>
      <c r="G23" s="86"/>
      <c r="H23" s="102"/>
      <c r="I23" s="102">
        <f>I22-H23</f>
        <v>0</v>
      </c>
      <c r="J23" s="86"/>
      <c r="K23" s="86"/>
      <c r="L23" s="84" t="s">
        <v>82</v>
      </c>
    </row>
    <row r="24" spans="1:25" s="80" customFormat="1" ht="19.5" customHeight="1" x14ac:dyDescent="0.2">
      <c r="A24" s="86"/>
      <c r="B24" s="86"/>
      <c r="C24" s="88"/>
      <c r="D24" s="103"/>
      <c r="E24" s="88">
        <v>46179</v>
      </c>
      <c r="F24" s="86"/>
      <c r="G24" s="86"/>
      <c r="H24" s="102"/>
      <c r="I24" s="102">
        <f>I23-H24</f>
        <v>0</v>
      </c>
      <c r="J24" s="86"/>
      <c r="K24" s="86"/>
      <c r="L24" s="84" t="s">
        <v>82</v>
      </c>
    </row>
    <row r="25" spans="1:25" s="80" customFormat="1" ht="22.5" customHeight="1" x14ac:dyDescent="0.2">
      <c r="A25" s="86"/>
      <c r="B25" s="86"/>
      <c r="C25" s="88"/>
      <c r="D25" s="103"/>
      <c r="E25" s="88">
        <v>46180</v>
      </c>
      <c r="F25" s="112"/>
      <c r="G25" s="111"/>
      <c r="H25" s="112"/>
      <c r="I25" s="102">
        <f>I24-H25</f>
        <v>0</v>
      </c>
      <c r="J25" s="86"/>
      <c r="K25" s="86"/>
      <c r="L25" s="84" t="s">
        <v>82</v>
      </c>
    </row>
    <row r="26" spans="1:25" s="80" customFormat="1" ht="20.100000000000001" customHeight="1" x14ac:dyDescent="0.2">
      <c r="A26" s="86"/>
      <c r="B26" s="86"/>
      <c r="C26" s="88"/>
      <c r="D26" s="103"/>
      <c r="E26" s="88"/>
      <c r="F26" s="112"/>
      <c r="G26" s="111"/>
      <c r="H26" s="112"/>
      <c r="I26" s="104">
        <f>I25</f>
        <v>0</v>
      </c>
      <c r="J26" s="109"/>
      <c r="K26" s="109"/>
      <c r="L26" s="110" t="s">
        <v>79</v>
      </c>
      <c r="O26" s="91"/>
    </row>
    <row r="27" spans="1:25" s="80" customFormat="1" ht="20.100000000000001" customHeight="1" x14ac:dyDescent="0.2">
      <c r="A27" s="86"/>
      <c r="B27" s="86"/>
      <c r="C27" s="88"/>
      <c r="D27" s="103"/>
      <c r="E27" s="88"/>
      <c r="F27" s="112"/>
      <c r="G27" s="111"/>
      <c r="H27" s="112"/>
      <c r="I27" s="118"/>
      <c r="J27" s="86"/>
      <c r="K27" s="86"/>
      <c r="L27" s="82"/>
      <c r="O27" s="91"/>
    </row>
    <row r="28" spans="1:25" s="80" customFormat="1" ht="20.100000000000001" customHeight="1" x14ac:dyDescent="0.2">
      <c r="A28" s="86"/>
      <c r="B28" s="86"/>
      <c r="C28" s="88"/>
      <c r="D28" s="92"/>
      <c r="E28" s="88"/>
      <c r="F28" s="86"/>
      <c r="G28" s="86"/>
      <c r="H28" s="87"/>
      <c r="I28" s="112"/>
      <c r="J28" s="111"/>
      <c r="K28" s="111"/>
      <c r="L28" s="115"/>
    </row>
    <row r="29" spans="1:25" s="80" customFormat="1" ht="20.100000000000001" customHeight="1" x14ac:dyDescent="0.2">
      <c r="A29" s="86"/>
      <c r="B29" s="86"/>
      <c r="C29" s="88"/>
      <c r="D29" s="92"/>
      <c r="E29" s="88"/>
      <c r="F29" s="86"/>
      <c r="G29" s="86"/>
      <c r="H29" s="87"/>
      <c r="I29" s="112"/>
      <c r="J29" s="111"/>
      <c r="K29" s="111"/>
      <c r="L29" s="115"/>
      <c r="O29" s="91"/>
    </row>
    <row r="30" spans="1:25" s="80" customFormat="1" ht="18.75" customHeight="1" x14ac:dyDescent="0.2"/>
    <row r="31" spans="1:25" s="80" customFormat="1" ht="11.25" customHeight="1" x14ac:dyDescent="0.2">
      <c r="D31" s="80" t="s">
        <v>94</v>
      </c>
    </row>
    <row r="32" spans="1:25" s="80" customFormat="1" ht="21.75" customHeight="1" x14ac:dyDescent="0.2">
      <c r="A32" s="78" t="s">
        <v>90</v>
      </c>
      <c r="B32" s="78"/>
      <c r="E32" s="107" t="s">
        <v>89</v>
      </c>
      <c r="F32" s="78"/>
      <c r="G32" s="78"/>
      <c r="I32" s="78" t="s">
        <v>81</v>
      </c>
      <c r="J32" s="78"/>
      <c r="K32" s="78"/>
      <c r="S32" s="89"/>
      <c r="W32" s="89"/>
      <c r="X32" s="78"/>
      <c r="Y32" s="78"/>
    </row>
    <row r="33" spans="1:26" s="80" customFormat="1" ht="21.75" customHeight="1" x14ac:dyDescent="0.2">
      <c r="A33" s="78"/>
      <c r="B33" s="78"/>
      <c r="D33" s="78"/>
      <c r="E33" s="94"/>
      <c r="F33" s="78"/>
      <c r="G33" s="78"/>
      <c r="I33" s="78"/>
      <c r="J33" s="78"/>
      <c r="K33" s="78"/>
      <c r="S33" s="89"/>
      <c r="W33" s="89"/>
      <c r="X33" s="78"/>
      <c r="Y33" s="78"/>
    </row>
    <row r="34" spans="1:26" ht="21" customHeight="1" x14ac:dyDescent="0.25">
      <c r="A34" s="78"/>
      <c r="B34" s="77"/>
      <c r="D34" s="77"/>
      <c r="E34" s="105"/>
      <c r="F34" s="77"/>
      <c r="G34" s="77"/>
      <c r="I34" s="77"/>
      <c r="J34" s="77"/>
      <c r="K34" s="77"/>
      <c r="O34" s="77"/>
      <c r="Q34" s="79"/>
      <c r="S34" s="77"/>
      <c r="X34" s="77"/>
      <c r="Y34" s="77"/>
      <c r="Z34" s="77"/>
    </row>
    <row r="35" spans="1:26" s="80" customFormat="1" ht="21" customHeight="1" x14ac:dyDescent="0.2">
      <c r="A35" s="81" t="s">
        <v>102</v>
      </c>
      <c r="B35" s="81"/>
      <c r="C35" s="81" t="s">
        <v>103</v>
      </c>
      <c r="E35" s="106" t="s">
        <v>88</v>
      </c>
      <c r="F35" s="81"/>
      <c r="G35" s="81"/>
      <c r="I35" s="81" t="s">
        <v>105</v>
      </c>
      <c r="J35" s="81"/>
      <c r="K35" s="81"/>
      <c r="O35" s="78"/>
      <c r="Q35" s="90"/>
    </row>
    <row r="36" spans="1:26" s="80" customFormat="1" ht="21" customHeight="1" x14ac:dyDescent="0.2">
      <c r="A36" s="78" t="s">
        <v>93</v>
      </c>
      <c r="B36" s="78"/>
      <c r="C36" s="78" t="s">
        <v>96</v>
      </c>
      <c r="D36" s="78"/>
      <c r="E36" s="107" t="s">
        <v>91</v>
      </c>
      <c r="F36" s="78"/>
      <c r="G36" s="78"/>
      <c r="I36" s="78" t="s">
        <v>106</v>
      </c>
      <c r="J36" s="78"/>
      <c r="K36" s="78"/>
      <c r="O36" s="78"/>
      <c r="Q36" s="90"/>
    </row>
    <row r="37" spans="1:26" s="80" customFormat="1" ht="21" customHeight="1" x14ac:dyDescent="0.2">
      <c r="A37" s="78" t="s">
        <v>86</v>
      </c>
      <c r="B37" s="78"/>
      <c r="C37" s="78" t="s">
        <v>85</v>
      </c>
      <c r="D37" s="78"/>
      <c r="E37" s="107" t="s">
        <v>87</v>
      </c>
      <c r="F37" s="78"/>
      <c r="G37" s="78"/>
      <c r="I37" s="107"/>
      <c r="J37" s="78"/>
      <c r="O37" s="78"/>
      <c r="Q37" s="90"/>
    </row>
    <row r="38" spans="1:26" s="80" customFormat="1" ht="27" customHeight="1" x14ac:dyDescent="0.25">
      <c r="A38" s="76"/>
      <c r="B38" s="78"/>
      <c r="D38" s="78"/>
      <c r="E38" s="78"/>
      <c r="F38" s="78"/>
      <c r="G38" s="78"/>
      <c r="I38" s="78"/>
      <c r="J38" s="78"/>
      <c r="O38" s="78"/>
      <c r="Q38" s="90"/>
    </row>
    <row r="39" spans="1:26" ht="31.5" customHeight="1" x14ac:dyDescent="0.25"/>
    <row r="45" spans="1:26" ht="20.25" customHeight="1" x14ac:dyDescent="0.25"/>
    <row r="47" spans="1:26" s="80" customFormat="1" ht="20.100000000000001" customHeight="1" x14ac:dyDescent="0.2">
      <c r="A47" s="188" t="s">
        <v>56</v>
      </c>
      <c r="B47" s="188"/>
      <c r="C47" s="188"/>
      <c r="D47" s="188"/>
      <c r="E47" s="188"/>
      <c r="F47" s="188"/>
      <c r="G47" s="188"/>
      <c r="H47" s="188"/>
      <c r="I47" s="188"/>
      <c r="J47" s="188"/>
      <c r="K47" s="188"/>
      <c r="L47" s="188"/>
      <c r="M47" s="188"/>
    </row>
    <row r="48" spans="1:26" s="80" customFormat="1" ht="20.100000000000001" customHeight="1" x14ac:dyDescent="0.2">
      <c r="A48" s="188" t="s">
        <v>57</v>
      </c>
      <c r="B48" s="188"/>
      <c r="C48" s="188"/>
      <c r="D48" s="188"/>
      <c r="E48" s="188"/>
      <c r="F48" s="188"/>
      <c r="G48" s="188"/>
      <c r="H48" s="188"/>
      <c r="I48" s="188"/>
      <c r="J48" s="188"/>
      <c r="K48" s="188"/>
      <c r="L48" s="188"/>
      <c r="M48" s="188"/>
    </row>
    <row r="49" spans="1:23" s="80" customFormat="1" ht="20.100000000000001" customHeight="1" x14ac:dyDescent="0.2">
      <c r="A49" s="188" t="str">
        <f>A12</f>
        <v>Period Covered : JUNE 1-7, 2026</v>
      </c>
      <c r="B49" s="188"/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</row>
    <row r="50" spans="1:23" s="80" customFormat="1" ht="15.75" customHeight="1" x14ac:dyDescent="0.2"/>
    <row r="51" spans="1:23" s="80" customFormat="1" ht="14.25" customHeight="1" x14ac:dyDescent="0.2"/>
    <row r="52" spans="1:23" s="80" customFormat="1" ht="20.100000000000001" customHeight="1" x14ac:dyDescent="0.2">
      <c r="A52" s="80" t="s">
        <v>58</v>
      </c>
      <c r="B52" s="189" t="s">
        <v>0</v>
      </c>
      <c r="C52" s="189"/>
      <c r="D52" s="189"/>
    </row>
    <row r="53" spans="1:23" s="80" customFormat="1" ht="20.100000000000001" customHeight="1" x14ac:dyDescent="0.2">
      <c r="A53" s="80" t="s">
        <v>59</v>
      </c>
      <c r="B53" s="190" t="s">
        <v>78</v>
      </c>
      <c r="C53" s="190"/>
      <c r="D53" s="190"/>
    </row>
    <row r="54" spans="1:23" s="80" customFormat="1" ht="6" customHeight="1" x14ac:dyDescent="0.2"/>
    <row r="55" spans="1:23" s="80" customFormat="1" ht="39.75" customHeight="1" x14ac:dyDescent="0.2">
      <c r="A55" s="82" t="s">
        <v>60</v>
      </c>
      <c r="B55" s="82" t="s">
        <v>61</v>
      </c>
      <c r="C55" s="82" t="s">
        <v>62</v>
      </c>
      <c r="D55" s="82" t="s">
        <v>63</v>
      </c>
      <c r="E55" s="83" t="s">
        <v>64</v>
      </c>
      <c r="F55" s="83" t="s">
        <v>64</v>
      </c>
      <c r="G55" s="83" t="s">
        <v>64</v>
      </c>
      <c r="H55" s="83" t="s">
        <v>65</v>
      </c>
      <c r="I55" s="82" t="s">
        <v>66</v>
      </c>
      <c r="J55" s="82"/>
      <c r="K55" s="82"/>
      <c r="L55" s="82" t="s">
        <v>67</v>
      </c>
    </row>
    <row r="56" spans="1:23" s="80" customFormat="1" ht="39.75" customHeight="1" x14ac:dyDescent="0.2">
      <c r="A56" s="85" t="s">
        <v>84</v>
      </c>
      <c r="B56" s="84" t="s">
        <v>21</v>
      </c>
      <c r="C56" s="86"/>
      <c r="D56" s="86"/>
      <c r="E56" s="88"/>
      <c r="F56" s="86"/>
      <c r="G56" s="86"/>
      <c r="H56" s="87"/>
      <c r="I56" s="127">
        <v>41019</v>
      </c>
      <c r="J56" s="86"/>
      <c r="K56" s="86"/>
      <c r="L56" s="84" t="s">
        <v>80</v>
      </c>
      <c r="M56" s="91"/>
      <c r="O56" s="116"/>
      <c r="Q56" s="108"/>
    </row>
    <row r="57" spans="1:23" s="80" customFormat="1" ht="19.5" customHeight="1" x14ac:dyDescent="0.2">
      <c r="A57" s="86"/>
      <c r="B57" s="86"/>
      <c r="C57" s="88"/>
      <c r="D57" s="86"/>
      <c r="E57" s="88">
        <v>46174</v>
      </c>
      <c r="F57" s="86"/>
      <c r="G57" s="86"/>
      <c r="H57" s="102">
        <v>1105</v>
      </c>
      <c r="I57" s="128">
        <f>I56-H57</f>
        <v>39914</v>
      </c>
      <c r="J57" s="86"/>
      <c r="K57" s="86"/>
      <c r="L57" s="84" t="s">
        <v>68</v>
      </c>
      <c r="R57" s="89"/>
    </row>
    <row r="58" spans="1:23" s="80" customFormat="1" ht="20.100000000000001" customHeight="1" x14ac:dyDescent="0.2">
      <c r="A58" s="86"/>
      <c r="B58" s="86"/>
      <c r="C58" s="88"/>
      <c r="D58" s="103"/>
      <c r="E58" s="88">
        <v>46175</v>
      </c>
      <c r="F58" s="86"/>
      <c r="G58" s="86"/>
      <c r="H58" s="102">
        <v>1454</v>
      </c>
      <c r="I58" s="128">
        <f t="shared" ref="I58:I64" si="1">I57-H58</f>
        <v>38460</v>
      </c>
      <c r="J58" s="86"/>
      <c r="K58" s="86"/>
      <c r="L58" s="84" t="s">
        <v>68</v>
      </c>
    </row>
    <row r="59" spans="1:23" s="80" customFormat="1" ht="20.100000000000001" customHeight="1" x14ac:dyDescent="0.2">
      <c r="A59" s="86"/>
      <c r="B59" s="86"/>
      <c r="C59" s="88"/>
      <c r="D59" s="103"/>
      <c r="E59" s="88">
        <v>46176</v>
      </c>
      <c r="F59" s="86"/>
      <c r="G59" s="86"/>
      <c r="H59" s="102">
        <v>1722</v>
      </c>
      <c r="I59" s="128">
        <f t="shared" si="1"/>
        <v>36738</v>
      </c>
      <c r="J59" s="86"/>
      <c r="K59" s="86"/>
      <c r="L59" s="84" t="s">
        <v>68</v>
      </c>
      <c r="O59" s="108"/>
      <c r="Q59" s="108"/>
      <c r="R59" s="132"/>
      <c r="S59" s="132"/>
      <c r="T59" s="132"/>
      <c r="U59" s="132"/>
      <c r="V59" s="132"/>
      <c r="W59" s="132"/>
    </row>
    <row r="60" spans="1:23" s="80" customFormat="1" ht="18" customHeight="1" x14ac:dyDescent="0.2">
      <c r="A60" s="86"/>
      <c r="B60" s="86"/>
      <c r="C60" s="88"/>
      <c r="D60" s="103"/>
      <c r="E60" s="88">
        <v>46177</v>
      </c>
      <c r="F60" s="86"/>
      <c r="G60" s="86"/>
      <c r="H60" s="119">
        <v>1315</v>
      </c>
      <c r="I60" s="128">
        <f t="shared" si="1"/>
        <v>35423</v>
      </c>
      <c r="J60" s="86"/>
      <c r="K60" s="86"/>
      <c r="L60" s="84" t="s">
        <v>68</v>
      </c>
      <c r="Q60" s="108"/>
      <c r="R60" s="133"/>
      <c r="S60" s="133"/>
      <c r="T60" s="133"/>
      <c r="U60" s="133"/>
      <c r="V60" s="133"/>
      <c r="W60" s="133"/>
    </row>
    <row r="61" spans="1:23" s="80" customFormat="1" ht="20.100000000000001" customHeight="1" x14ac:dyDescent="0.2">
      <c r="A61" s="86"/>
      <c r="B61" s="86"/>
      <c r="C61" s="88"/>
      <c r="D61" s="103"/>
      <c r="E61" s="88">
        <v>46178</v>
      </c>
      <c r="F61" s="86"/>
      <c r="G61" s="86"/>
      <c r="H61" s="119">
        <v>1382</v>
      </c>
      <c r="I61" s="128">
        <f t="shared" si="1"/>
        <v>34041</v>
      </c>
      <c r="J61" s="86"/>
      <c r="K61" s="86"/>
      <c r="L61" s="84" t="s">
        <v>68</v>
      </c>
      <c r="Q61" s="108"/>
      <c r="R61" s="133"/>
      <c r="S61" s="133"/>
      <c r="T61" s="133"/>
      <c r="U61" s="133"/>
      <c r="V61" s="133"/>
      <c r="W61" s="133"/>
    </row>
    <row r="62" spans="1:23" s="80" customFormat="1" ht="19.5" customHeight="1" x14ac:dyDescent="0.2">
      <c r="A62" s="86"/>
      <c r="B62" s="86"/>
      <c r="C62" s="88"/>
      <c r="D62" s="125"/>
      <c r="E62" s="88">
        <v>46179</v>
      </c>
      <c r="F62" s="126"/>
      <c r="G62" s="126"/>
      <c r="H62" s="82">
        <v>1458</v>
      </c>
      <c r="I62" s="128">
        <f t="shared" si="1"/>
        <v>32583</v>
      </c>
      <c r="J62" s="126"/>
      <c r="K62" s="126"/>
      <c r="L62" s="84" t="s">
        <v>68</v>
      </c>
    </row>
    <row r="63" spans="1:23" s="80" customFormat="1" ht="20.100000000000001" customHeight="1" x14ac:dyDescent="0.2">
      <c r="A63" s="86"/>
      <c r="B63" s="86"/>
      <c r="C63" s="88">
        <v>46179</v>
      </c>
      <c r="D63" s="125">
        <v>10750</v>
      </c>
      <c r="F63" s="112"/>
      <c r="G63" s="111"/>
      <c r="H63" s="112"/>
      <c r="I63" s="128">
        <f>I62+D63</f>
        <v>43333</v>
      </c>
      <c r="J63" s="86"/>
      <c r="K63" s="86"/>
      <c r="L63" s="84" t="s">
        <v>104</v>
      </c>
    </row>
    <row r="64" spans="1:23" s="80" customFormat="1" ht="20.100000000000001" customHeight="1" x14ac:dyDescent="0.2">
      <c r="A64" s="86"/>
      <c r="B64" s="86"/>
      <c r="C64" s="88"/>
      <c r="D64" s="137"/>
      <c r="E64" s="88">
        <v>46180</v>
      </c>
      <c r="F64" s="86"/>
      <c r="G64" s="86"/>
      <c r="H64" s="119">
        <v>915</v>
      </c>
      <c r="I64" s="128">
        <f t="shared" si="1"/>
        <v>42418</v>
      </c>
      <c r="J64" s="109"/>
      <c r="K64" s="109"/>
      <c r="L64" s="84" t="s">
        <v>68</v>
      </c>
      <c r="O64" s="91"/>
      <c r="R64" s="80">
        <v>10750</v>
      </c>
      <c r="T64" s="108"/>
    </row>
    <row r="65" spans="1:26" s="80" customFormat="1" ht="20.100000000000001" customHeight="1" x14ac:dyDescent="0.2">
      <c r="A65" s="86"/>
      <c r="B65" s="86"/>
      <c r="C65" s="88"/>
      <c r="D65" s="117"/>
      <c r="E65" s="88"/>
      <c r="F65" s="112"/>
      <c r="G65" s="111"/>
      <c r="H65" s="112"/>
      <c r="I65" s="129">
        <f>I64</f>
        <v>42418</v>
      </c>
      <c r="J65" s="109"/>
      <c r="K65" s="109"/>
      <c r="L65" s="110" t="s">
        <v>79</v>
      </c>
      <c r="O65" s="108">
        <f>I65+[1]sheet!$I$56</f>
        <v>91653</v>
      </c>
    </row>
    <row r="66" spans="1:26" s="80" customFormat="1" ht="20.100000000000001" customHeight="1" x14ac:dyDescent="0.2">
      <c r="A66" s="86"/>
      <c r="B66" s="86"/>
      <c r="C66" s="88"/>
      <c r="D66" s="92"/>
      <c r="E66" s="88"/>
      <c r="F66" s="86"/>
      <c r="G66" s="86"/>
      <c r="H66" s="87"/>
      <c r="I66" s="135"/>
      <c r="J66" s="138"/>
      <c r="K66" s="138"/>
      <c r="L66" s="139"/>
      <c r="O66" s="91"/>
      <c r="Q66" s="108"/>
    </row>
    <row r="67" spans="1:26" s="80" customFormat="1" ht="20.100000000000001" customHeight="1" x14ac:dyDescent="0.2">
      <c r="A67" s="86"/>
      <c r="B67" s="86"/>
      <c r="C67" s="88"/>
      <c r="D67" s="92"/>
      <c r="E67" s="88"/>
      <c r="F67" s="86"/>
      <c r="G67" s="86"/>
      <c r="H67" s="87"/>
      <c r="I67" s="118"/>
      <c r="J67" s="86"/>
      <c r="K67" s="86"/>
      <c r="L67" s="82"/>
      <c r="O67" s="108"/>
      <c r="R67" s="108"/>
    </row>
    <row r="68" spans="1:26" s="80" customFormat="1" ht="20.100000000000001" customHeight="1" x14ac:dyDescent="0.2">
      <c r="A68" s="86"/>
      <c r="B68" s="86"/>
      <c r="C68" s="88"/>
      <c r="D68" s="92"/>
      <c r="E68" s="88"/>
      <c r="F68" s="86"/>
      <c r="G68" s="86"/>
      <c r="H68" s="87"/>
      <c r="I68" s="112"/>
      <c r="J68" s="111"/>
      <c r="K68" s="111"/>
      <c r="L68" s="115"/>
    </row>
    <row r="69" spans="1:26" s="80" customFormat="1" ht="14.25" customHeight="1" x14ac:dyDescent="0.2"/>
    <row r="70" spans="1:26" s="80" customFormat="1" ht="14.25" customHeight="1" x14ac:dyDescent="0.2"/>
    <row r="71" spans="1:26" s="80" customFormat="1" ht="21.75" customHeight="1" x14ac:dyDescent="0.2">
      <c r="A71" s="78" t="s">
        <v>90</v>
      </c>
      <c r="B71" s="78"/>
      <c r="E71" s="107" t="s">
        <v>89</v>
      </c>
      <c r="F71" s="78"/>
      <c r="G71" s="78"/>
      <c r="I71" s="78" t="s">
        <v>81</v>
      </c>
      <c r="J71" s="78"/>
      <c r="K71" s="78"/>
      <c r="S71" s="89"/>
      <c r="W71" s="89"/>
      <c r="X71" s="78"/>
      <c r="Y71" s="78"/>
    </row>
    <row r="72" spans="1:26" ht="21" customHeight="1" x14ac:dyDescent="0.25">
      <c r="A72" s="78"/>
      <c r="B72" s="78"/>
      <c r="C72" s="80"/>
      <c r="D72" s="78"/>
      <c r="E72" s="94"/>
      <c r="F72" s="78"/>
      <c r="G72" s="78"/>
      <c r="H72" s="80"/>
      <c r="I72" s="78"/>
      <c r="J72" s="78"/>
      <c r="K72" s="78"/>
      <c r="L72" s="108"/>
      <c r="O72" s="77"/>
      <c r="Q72" s="79"/>
      <c r="S72" s="77"/>
      <c r="X72" s="77"/>
      <c r="Y72" s="77"/>
      <c r="Z72" s="77"/>
    </row>
    <row r="73" spans="1:26" s="80" customFormat="1" ht="21" customHeight="1" x14ac:dyDescent="0.25">
      <c r="A73" s="78"/>
      <c r="B73" s="77"/>
      <c r="C73" s="76"/>
      <c r="D73" s="77"/>
      <c r="E73" s="105"/>
      <c r="F73" s="77"/>
      <c r="G73" s="77"/>
      <c r="H73" s="76"/>
      <c r="I73" s="77"/>
      <c r="J73" s="77"/>
      <c r="K73" s="77"/>
      <c r="L73" s="76"/>
      <c r="O73" s="78"/>
      <c r="Q73" s="90"/>
    </row>
    <row r="74" spans="1:26" s="80" customFormat="1" ht="21" customHeight="1" x14ac:dyDescent="0.2">
      <c r="A74" s="81" t="str">
        <f>A35</f>
        <v>MR. JOHNNY U. GALENG</v>
      </c>
      <c r="B74" s="81"/>
      <c r="C74" s="81" t="str">
        <f>C35</f>
        <v>MR. JOHN XERCES C. ANTIPUESTO</v>
      </c>
      <c r="E74" s="106" t="s">
        <v>88</v>
      </c>
      <c r="F74" s="81"/>
      <c r="G74" s="81"/>
      <c r="I74" s="81" t="str">
        <f>I35</f>
        <v>ENGR. EDWIN B. BATAL</v>
      </c>
      <c r="J74" s="81"/>
      <c r="K74" s="81"/>
      <c r="O74" s="78"/>
      <c r="Q74" s="90"/>
    </row>
    <row r="75" spans="1:26" s="80" customFormat="1" ht="21" customHeight="1" x14ac:dyDescent="0.2">
      <c r="A75" s="78" t="s">
        <v>93</v>
      </c>
      <c r="B75" s="78"/>
      <c r="C75" s="78" t="s">
        <v>96</v>
      </c>
      <c r="D75" s="78"/>
      <c r="E75" s="107" t="s">
        <v>91</v>
      </c>
      <c r="F75" s="78"/>
      <c r="G75" s="78"/>
      <c r="I75" s="78" t="str">
        <f>I36</f>
        <v>Mine Explosives Asst. Manager</v>
      </c>
      <c r="J75" s="78"/>
      <c r="K75" s="78"/>
      <c r="O75" s="78"/>
      <c r="Q75" s="90"/>
    </row>
    <row r="76" spans="1:26" s="80" customFormat="1" ht="21" customHeight="1" x14ac:dyDescent="0.2">
      <c r="A76" s="78" t="s">
        <v>86</v>
      </c>
      <c r="B76" s="78"/>
      <c r="C76" s="78" t="s">
        <v>85</v>
      </c>
      <c r="D76" s="78"/>
      <c r="E76" s="107" t="s">
        <v>87</v>
      </c>
      <c r="F76" s="78"/>
      <c r="G76" s="78"/>
      <c r="I76" s="107"/>
      <c r="J76" s="78"/>
      <c r="O76" s="78"/>
      <c r="Q76" s="90"/>
    </row>
    <row r="77" spans="1:26" s="80" customFormat="1" ht="21" customHeight="1" x14ac:dyDescent="0.2">
      <c r="A77" s="78"/>
      <c r="B77" s="78"/>
      <c r="C77" s="78"/>
      <c r="D77" s="78"/>
      <c r="E77" s="107"/>
      <c r="F77" s="78"/>
      <c r="G77" s="78"/>
      <c r="I77" s="107"/>
      <c r="J77" s="78"/>
      <c r="O77" s="78"/>
      <c r="Q77" s="90"/>
    </row>
    <row r="78" spans="1:26" ht="13.5" customHeight="1" x14ac:dyDescent="0.25"/>
    <row r="83" spans="1:18" ht="20.25" customHeight="1" x14ac:dyDescent="0.25"/>
    <row r="85" spans="1:18" ht="49.5" customHeight="1" x14ac:dyDescent="0.25"/>
    <row r="86" spans="1:18" s="80" customFormat="1" ht="20.100000000000001" customHeight="1" x14ac:dyDescent="0.2">
      <c r="A86" s="188" t="s">
        <v>56</v>
      </c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</row>
    <row r="87" spans="1:18" s="80" customFormat="1" ht="20.100000000000001" customHeight="1" x14ac:dyDescent="0.2">
      <c r="A87" s="188" t="s">
        <v>57</v>
      </c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</row>
    <row r="88" spans="1:18" s="80" customFormat="1" ht="20.100000000000001" customHeight="1" x14ac:dyDescent="0.2">
      <c r="A88" s="188" t="str">
        <f>A12</f>
        <v>Period Covered : JUNE 1-7, 2026</v>
      </c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</row>
    <row r="89" spans="1:18" s="80" customFormat="1" ht="13.5" customHeight="1" x14ac:dyDescent="0.2"/>
    <row r="90" spans="1:18" s="80" customFormat="1" ht="13.5" customHeight="1" x14ac:dyDescent="0.2"/>
    <row r="91" spans="1:18" s="80" customFormat="1" ht="20.100000000000001" customHeight="1" x14ac:dyDescent="0.2">
      <c r="A91" s="80" t="s">
        <v>58</v>
      </c>
      <c r="B91" s="189" t="s">
        <v>0</v>
      </c>
      <c r="C91" s="189"/>
      <c r="D91" s="189"/>
    </row>
    <row r="92" spans="1:18" s="80" customFormat="1" ht="20.100000000000001" customHeight="1" x14ac:dyDescent="0.2">
      <c r="A92" s="80" t="s">
        <v>59</v>
      </c>
      <c r="B92" s="190" t="s">
        <v>78</v>
      </c>
      <c r="C92" s="190"/>
      <c r="D92" s="190"/>
    </row>
    <row r="93" spans="1:18" s="80" customFormat="1" ht="6" customHeight="1" x14ac:dyDescent="0.2"/>
    <row r="94" spans="1:18" s="80" customFormat="1" ht="39.75" customHeight="1" x14ac:dyDescent="0.2">
      <c r="A94" s="82" t="s">
        <v>60</v>
      </c>
      <c r="B94" s="82" t="s">
        <v>61</v>
      </c>
      <c r="C94" s="82" t="s">
        <v>62</v>
      </c>
      <c r="D94" s="82" t="s">
        <v>63</v>
      </c>
      <c r="E94" s="83" t="s">
        <v>64</v>
      </c>
      <c r="F94" s="83" t="s">
        <v>64</v>
      </c>
      <c r="G94" s="83" t="s">
        <v>64</v>
      </c>
      <c r="H94" s="83" t="s">
        <v>65</v>
      </c>
      <c r="I94" s="82" t="s">
        <v>66</v>
      </c>
      <c r="J94" s="82"/>
      <c r="K94" s="82"/>
      <c r="L94" s="82" t="s">
        <v>67</v>
      </c>
    </row>
    <row r="95" spans="1:18" s="80" customFormat="1" ht="39.75" customHeight="1" x14ac:dyDescent="0.2">
      <c r="A95" s="85" t="s">
        <v>69</v>
      </c>
      <c r="B95" s="84" t="s">
        <v>70</v>
      </c>
      <c r="C95" s="86"/>
      <c r="D95" s="86"/>
      <c r="E95" s="88"/>
      <c r="F95" s="86"/>
      <c r="G95" s="86"/>
      <c r="H95" s="87"/>
      <c r="I95" s="127">
        <v>13761.819999999996</v>
      </c>
      <c r="J95" s="86"/>
      <c r="K95" s="86"/>
      <c r="L95" s="84" t="s">
        <v>80</v>
      </c>
      <c r="M95" s="91"/>
      <c r="R95" s="91"/>
    </row>
    <row r="96" spans="1:18" s="80" customFormat="1" ht="24.75" customHeight="1" x14ac:dyDescent="0.2">
      <c r="A96" s="86"/>
      <c r="B96" s="86"/>
      <c r="C96" s="88"/>
      <c r="D96" s="86"/>
      <c r="E96" s="88">
        <v>46174</v>
      </c>
      <c r="F96" s="86"/>
      <c r="G96" s="86"/>
      <c r="H96" s="102">
        <v>980.99999999999989</v>
      </c>
      <c r="I96" s="128">
        <f>I95-H96</f>
        <v>12780.819999999996</v>
      </c>
      <c r="J96" s="86"/>
      <c r="K96" s="86"/>
      <c r="L96" s="84" t="s">
        <v>68</v>
      </c>
    </row>
    <row r="97" spans="1:26" s="80" customFormat="1" ht="20.100000000000001" customHeight="1" x14ac:dyDescent="0.2">
      <c r="A97" s="86"/>
      <c r="B97" s="86"/>
      <c r="C97" s="88"/>
      <c r="D97" s="103"/>
      <c r="E97" s="88">
        <v>46175</v>
      </c>
      <c r="F97" s="86"/>
      <c r="G97" s="86"/>
      <c r="H97" s="102">
        <v>1128.2</v>
      </c>
      <c r="I97" s="128">
        <f t="shared" ref="I97:I103" si="2">I96-H97</f>
        <v>11652.619999999995</v>
      </c>
      <c r="J97" s="86"/>
      <c r="K97" s="86"/>
      <c r="L97" s="84" t="s">
        <v>68</v>
      </c>
    </row>
    <row r="98" spans="1:26" s="80" customFormat="1" ht="20.100000000000001" customHeight="1" x14ac:dyDescent="0.2">
      <c r="A98" s="86"/>
      <c r="B98" s="86"/>
      <c r="C98" s="88"/>
      <c r="D98" s="103"/>
      <c r="E98" s="88">
        <v>46176</v>
      </c>
      <c r="F98" s="86"/>
      <c r="G98" s="86"/>
      <c r="H98" s="102">
        <v>1107.8</v>
      </c>
      <c r="I98" s="128">
        <f t="shared" si="2"/>
        <v>10544.819999999996</v>
      </c>
      <c r="J98" s="86"/>
      <c r="K98" s="86"/>
      <c r="L98" s="84" t="s">
        <v>68</v>
      </c>
    </row>
    <row r="99" spans="1:26" s="80" customFormat="1" ht="20.100000000000001" customHeight="1" x14ac:dyDescent="0.2">
      <c r="A99" s="86"/>
      <c r="B99" s="86"/>
      <c r="C99" s="88"/>
      <c r="D99" s="103"/>
      <c r="E99" s="88">
        <v>46177</v>
      </c>
      <c r="F99" s="86"/>
      <c r="G99" s="86"/>
      <c r="H99" s="119">
        <v>1183.4000000000001</v>
      </c>
      <c r="I99" s="128">
        <f t="shared" si="2"/>
        <v>9361.4199999999964</v>
      </c>
      <c r="J99" s="86"/>
      <c r="K99" s="86"/>
      <c r="L99" s="84" t="s">
        <v>68</v>
      </c>
    </row>
    <row r="100" spans="1:26" s="80" customFormat="1" ht="20.100000000000001" customHeight="1" x14ac:dyDescent="0.2">
      <c r="A100" s="86"/>
      <c r="B100" s="86"/>
      <c r="C100" s="88"/>
      <c r="D100" s="103"/>
      <c r="E100" s="88">
        <v>46178</v>
      </c>
      <c r="F100" s="86"/>
      <c r="G100" s="86"/>
      <c r="H100" s="119">
        <v>1186.6000000000001</v>
      </c>
      <c r="I100" s="128">
        <f t="shared" si="2"/>
        <v>8174.8199999999961</v>
      </c>
      <c r="J100" s="86"/>
      <c r="K100" s="86"/>
      <c r="L100" s="84" t="s">
        <v>68</v>
      </c>
    </row>
    <row r="101" spans="1:26" s="80" customFormat="1" ht="19.5" customHeight="1" x14ac:dyDescent="0.2">
      <c r="A101" s="86"/>
      <c r="B101" s="86"/>
      <c r="C101" s="88"/>
      <c r="D101" s="125"/>
      <c r="E101" s="88">
        <v>46179</v>
      </c>
      <c r="F101" s="126"/>
      <c r="G101" s="126"/>
      <c r="H101" s="82">
        <v>1295.2</v>
      </c>
      <c r="I101" s="128">
        <f t="shared" si="2"/>
        <v>6879.6199999999963</v>
      </c>
      <c r="J101" s="126"/>
      <c r="K101" s="126"/>
      <c r="L101" s="84" t="s">
        <v>68</v>
      </c>
    </row>
    <row r="102" spans="1:26" s="80" customFormat="1" ht="20.100000000000001" customHeight="1" x14ac:dyDescent="0.2">
      <c r="A102" s="86"/>
      <c r="B102" s="86"/>
      <c r="C102" s="88">
        <v>46179</v>
      </c>
      <c r="D102" s="125">
        <v>8250</v>
      </c>
      <c r="F102" s="112"/>
      <c r="G102" s="111"/>
      <c r="H102" s="112"/>
      <c r="I102" s="128">
        <f>I101+D102</f>
        <v>15129.619999999995</v>
      </c>
      <c r="J102" s="86"/>
      <c r="K102" s="86"/>
      <c r="L102" s="84" t="s">
        <v>104</v>
      </c>
    </row>
    <row r="103" spans="1:26" s="80" customFormat="1" ht="20.100000000000001" customHeight="1" x14ac:dyDescent="0.2">
      <c r="A103" s="86"/>
      <c r="B103" s="86"/>
      <c r="C103" s="88"/>
      <c r="D103" s="137"/>
      <c r="E103" s="88">
        <v>46180</v>
      </c>
      <c r="F103" s="86"/>
      <c r="G103" s="86"/>
      <c r="H103" s="119">
        <v>887.60000000000014</v>
      </c>
      <c r="I103" s="128">
        <f t="shared" si="2"/>
        <v>14242.019999999995</v>
      </c>
      <c r="J103" s="86"/>
      <c r="K103" s="86"/>
      <c r="L103" s="84" t="s">
        <v>68</v>
      </c>
      <c r="O103" s="90"/>
      <c r="Q103" s="91"/>
    </row>
    <row r="104" spans="1:26" s="80" customFormat="1" ht="20.100000000000001" customHeight="1" x14ac:dyDescent="0.2">
      <c r="A104" s="86"/>
      <c r="B104" s="86"/>
      <c r="C104" s="88"/>
      <c r="D104" s="103"/>
      <c r="E104" s="88"/>
      <c r="F104" s="112"/>
      <c r="G104" s="111"/>
      <c r="H104" s="124"/>
      <c r="I104" s="129">
        <f>I103</f>
        <v>14242.019999999995</v>
      </c>
      <c r="J104" s="109"/>
      <c r="K104" s="109"/>
      <c r="L104" s="110" t="s">
        <v>79</v>
      </c>
      <c r="O104" s="91">
        <f>I104+[1]sheet!$I$92</f>
        <v>73567.01999999999</v>
      </c>
      <c r="R104" s="80">
        <v>8250</v>
      </c>
    </row>
    <row r="105" spans="1:26" s="80" customFormat="1" ht="20.100000000000001" customHeight="1" x14ac:dyDescent="0.2">
      <c r="A105" s="86"/>
      <c r="B105" s="86"/>
      <c r="C105" s="88"/>
      <c r="D105" s="117"/>
      <c r="E105" s="88"/>
      <c r="F105" s="86"/>
      <c r="G105" s="86"/>
      <c r="H105" s="102"/>
      <c r="I105" s="135"/>
      <c r="J105" s="138"/>
      <c r="K105" s="138"/>
      <c r="L105" s="139"/>
      <c r="O105" s="91"/>
      <c r="R105" s="91"/>
    </row>
    <row r="106" spans="1:26" s="80" customFormat="1" ht="20.100000000000001" customHeight="1" x14ac:dyDescent="0.2">
      <c r="A106" s="86"/>
      <c r="B106" s="86"/>
      <c r="C106" s="88"/>
      <c r="D106" s="92"/>
      <c r="E106" s="88"/>
      <c r="F106" s="86"/>
      <c r="G106" s="86"/>
      <c r="H106" s="87"/>
      <c r="I106" s="118"/>
      <c r="J106" s="138"/>
      <c r="K106" s="138"/>
      <c r="L106" s="139"/>
      <c r="O106" s="91"/>
    </row>
    <row r="107" spans="1:26" s="80" customFormat="1" ht="20.100000000000001" customHeight="1" x14ac:dyDescent="0.2">
      <c r="A107" s="86"/>
      <c r="B107" s="86"/>
      <c r="C107" s="88"/>
      <c r="D107" s="92"/>
      <c r="E107" s="88"/>
      <c r="F107" s="86"/>
      <c r="G107" s="86"/>
      <c r="H107" s="87"/>
      <c r="I107" s="118"/>
      <c r="J107" s="86"/>
      <c r="K107" s="86"/>
      <c r="L107" s="82"/>
      <c r="O107" s="100"/>
    </row>
    <row r="108" spans="1:26" s="80" customFormat="1" ht="20.100000000000001" customHeight="1" x14ac:dyDescent="0.2">
      <c r="A108" s="86"/>
      <c r="B108" s="86"/>
      <c r="C108" s="88"/>
      <c r="D108" s="92"/>
      <c r="E108" s="88"/>
      <c r="F108" s="86"/>
      <c r="G108" s="86"/>
      <c r="H108" s="87"/>
      <c r="I108" s="112"/>
      <c r="J108" s="111"/>
      <c r="K108" s="111"/>
      <c r="L108" s="115"/>
    </row>
    <row r="109" spans="1:26" s="80" customFormat="1" ht="11.25" customHeight="1" x14ac:dyDescent="0.2"/>
    <row r="110" spans="1:26" s="80" customFormat="1" ht="15.75" customHeight="1" x14ac:dyDescent="0.2"/>
    <row r="111" spans="1:26" s="80" customFormat="1" ht="21.75" customHeight="1" x14ac:dyDescent="0.2">
      <c r="A111" s="78" t="s">
        <v>90</v>
      </c>
      <c r="B111" s="78"/>
      <c r="E111" s="107" t="s">
        <v>89</v>
      </c>
      <c r="F111" s="78"/>
      <c r="G111" s="78"/>
      <c r="I111" s="78" t="s">
        <v>81</v>
      </c>
      <c r="J111" s="78"/>
      <c r="K111" s="78"/>
      <c r="S111" s="89"/>
      <c r="W111" s="89"/>
      <c r="X111" s="78"/>
      <c r="Y111" s="78"/>
    </row>
    <row r="112" spans="1:26" ht="21" customHeight="1" x14ac:dyDescent="0.25">
      <c r="A112" s="78"/>
      <c r="B112" s="78"/>
      <c r="C112" s="80"/>
      <c r="D112" s="78"/>
      <c r="E112" s="94"/>
      <c r="F112" s="78"/>
      <c r="G112" s="78"/>
      <c r="H112" s="80"/>
      <c r="I112" s="78"/>
      <c r="J112" s="78"/>
      <c r="K112" s="78"/>
      <c r="L112" s="80"/>
      <c r="O112" s="77"/>
      <c r="Q112" s="79"/>
      <c r="S112" s="77"/>
      <c r="X112" s="77"/>
      <c r="Y112" s="77"/>
      <c r="Z112" s="77"/>
    </row>
    <row r="113" spans="1:17" s="80" customFormat="1" ht="21" customHeight="1" x14ac:dyDescent="0.25">
      <c r="A113" s="78"/>
      <c r="B113" s="77"/>
      <c r="C113" s="76"/>
      <c r="D113" s="77"/>
      <c r="E113" s="105"/>
      <c r="F113" s="77"/>
      <c r="G113" s="77"/>
      <c r="H113" s="76"/>
      <c r="I113" s="77"/>
      <c r="J113" s="77"/>
      <c r="K113" s="77"/>
      <c r="L113" s="76"/>
      <c r="O113" s="78"/>
      <c r="Q113" s="90"/>
    </row>
    <row r="114" spans="1:17" s="80" customFormat="1" ht="21" customHeight="1" x14ac:dyDescent="0.2">
      <c r="A114" s="81" t="str">
        <f>A35</f>
        <v>MR. JOHNNY U. GALENG</v>
      </c>
      <c r="B114" s="81"/>
      <c r="C114" s="81" t="str">
        <f>C35</f>
        <v>MR. JOHN XERCES C. ANTIPUESTO</v>
      </c>
      <c r="E114" s="106" t="s">
        <v>88</v>
      </c>
      <c r="F114" s="81"/>
      <c r="G114" s="81"/>
      <c r="I114" s="81" t="str">
        <f>I35</f>
        <v>ENGR. EDWIN B. BATAL</v>
      </c>
      <c r="J114" s="81"/>
      <c r="K114" s="81"/>
      <c r="O114" s="78"/>
      <c r="Q114" s="90"/>
    </row>
    <row r="115" spans="1:17" s="80" customFormat="1" ht="21" customHeight="1" x14ac:dyDescent="0.2">
      <c r="A115" s="78" t="s">
        <v>93</v>
      </c>
      <c r="B115" s="78"/>
      <c r="C115" s="78" t="s">
        <v>96</v>
      </c>
      <c r="D115" s="78"/>
      <c r="E115" s="107" t="s">
        <v>91</v>
      </c>
      <c r="F115" s="78"/>
      <c r="G115" s="78"/>
      <c r="I115" s="78" t="str">
        <f>I36</f>
        <v>Mine Explosives Asst. Manager</v>
      </c>
      <c r="J115" s="78"/>
      <c r="K115" s="78"/>
      <c r="O115" s="78"/>
      <c r="Q115" s="90"/>
    </row>
    <row r="116" spans="1:17" s="80" customFormat="1" ht="21" customHeight="1" x14ac:dyDescent="0.2">
      <c r="A116" s="78" t="s">
        <v>86</v>
      </c>
      <c r="B116" s="78"/>
      <c r="C116" s="78" t="s">
        <v>85</v>
      </c>
      <c r="D116" s="78"/>
      <c r="E116" s="107" t="s">
        <v>87</v>
      </c>
      <c r="F116" s="78"/>
      <c r="G116" s="78"/>
      <c r="I116" s="107"/>
      <c r="J116" s="78"/>
      <c r="O116" s="78"/>
      <c r="Q116" s="90"/>
    </row>
    <row r="117" spans="1:17" s="80" customFormat="1" ht="21" customHeight="1" x14ac:dyDescent="0.25">
      <c r="A117" s="76"/>
      <c r="B117" s="78"/>
      <c r="D117" s="78"/>
      <c r="E117" s="78"/>
      <c r="F117" s="78"/>
      <c r="G117" s="78"/>
      <c r="I117" s="78"/>
      <c r="J117" s="78"/>
      <c r="O117" s="78"/>
      <c r="Q117" s="90"/>
    </row>
    <row r="118" spans="1:17" s="80" customFormat="1" ht="37.5" customHeight="1" x14ac:dyDescent="0.25">
      <c r="A118" s="76"/>
      <c r="B118" s="78"/>
      <c r="D118" s="78"/>
      <c r="E118" s="78"/>
      <c r="F118" s="78"/>
      <c r="G118" s="78"/>
      <c r="I118" s="78"/>
      <c r="J118" s="78"/>
      <c r="O118" s="78"/>
      <c r="Q118" s="90"/>
    </row>
    <row r="119" spans="1:17" ht="13.5" customHeight="1" x14ac:dyDescent="0.25"/>
    <row r="125" spans="1:17" ht="14.25" customHeight="1" x14ac:dyDescent="0.25"/>
    <row r="127" spans="1:17" s="80" customFormat="1" ht="20.100000000000001" customHeight="1" x14ac:dyDescent="0.2">
      <c r="A127" s="188" t="s">
        <v>56</v>
      </c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</row>
    <row r="128" spans="1:17" s="80" customFormat="1" ht="20.100000000000001" customHeight="1" x14ac:dyDescent="0.2">
      <c r="A128" s="188" t="s">
        <v>57</v>
      </c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</row>
    <row r="129" spans="1:17" s="80" customFormat="1" ht="20.100000000000001" customHeight="1" x14ac:dyDescent="0.2">
      <c r="A129" s="188" t="str">
        <f>A12</f>
        <v>Period Covered : JUNE 1-7, 2026</v>
      </c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</row>
    <row r="130" spans="1:17" s="80" customFormat="1" ht="12" customHeight="1" x14ac:dyDescent="0.2"/>
    <row r="131" spans="1:17" s="80" customFormat="1" ht="12" customHeight="1" x14ac:dyDescent="0.2"/>
    <row r="132" spans="1:17" s="80" customFormat="1" ht="20.100000000000001" customHeight="1" x14ac:dyDescent="0.2">
      <c r="A132" s="80" t="s">
        <v>58</v>
      </c>
      <c r="B132" s="189" t="s">
        <v>0</v>
      </c>
      <c r="C132" s="189"/>
      <c r="D132" s="189"/>
    </row>
    <row r="133" spans="1:17" s="80" customFormat="1" ht="20.100000000000001" customHeight="1" x14ac:dyDescent="0.2">
      <c r="A133" s="80" t="s">
        <v>59</v>
      </c>
      <c r="B133" s="190" t="s">
        <v>78</v>
      </c>
      <c r="C133" s="190"/>
      <c r="D133" s="190"/>
    </row>
    <row r="134" spans="1:17" s="80" customFormat="1" ht="6" customHeight="1" x14ac:dyDescent="0.2"/>
    <row r="135" spans="1:17" s="80" customFormat="1" ht="39.75" customHeight="1" x14ac:dyDescent="0.2">
      <c r="A135" s="82" t="s">
        <v>60</v>
      </c>
      <c r="B135" s="82" t="s">
        <v>61</v>
      </c>
      <c r="C135" s="82" t="s">
        <v>62</v>
      </c>
      <c r="D135" s="82" t="s">
        <v>63</v>
      </c>
      <c r="E135" s="83" t="s">
        <v>64</v>
      </c>
      <c r="F135" s="83" t="s">
        <v>64</v>
      </c>
      <c r="G135" s="83" t="s">
        <v>64</v>
      </c>
      <c r="H135" s="83" t="s">
        <v>65</v>
      </c>
      <c r="I135" s="82" t="s">
        <v>66</v>
      </c>
      <c r="J135" s="82"/>
      <c r="K135" s="82"/>
      <c r="L135" s="82" t="s">
        <v>67</v>
      </c>
    </row>
    <row r="136" spans="1:17" s="80" customFormat="1" ht="39.75" customHeight="1" x14ac:dyDescent="0.2">
      <c r="A136" s="85" t="s">
        <v>71</v>
      </c>
      <c r="B136" s="84" t="s">
        <v>72</v>
      </c>
      <c r="C136" s="86"/>
      <c r="D136" s="86"/>
      <c r="E136" s="88"/>
      <c r="F136" s="86"/>
      <c r="G136" s="86"/>
      <c r="H136" s="87"/>
      <c r="I136" s="127">
        <v>5787.6099999999897</v>
      </c>
      <c r="J136" s="86"/>
      <c r="K136" s="86"/>
      <c r="L136" s="84" t="s">
        <v>80</v>
      </c>
      <c r="O136" s="91"/>
      <c r="Q136" s="91"/>
    </row>
    <row r="137" spans="1:17" s="80" customFormat="1" ht="20.100000000000001" customHeight="1" x14ac:dyDescent="0.2">
      <c r="A137" s="86"/>
      <c r="B137" s="86"/>
      <c r="C137" s="88"/>
      <c r="D137" s="86"/>
      <c r="E137" s="88">
        <v>46174</v>
      </c>
      <c r="F137" s="86"/>
      <c r="G137" s="86"/>
      <c r="H137" s="103">
        <v>386.37</v>
      </c>
      <c r="I137" s="128">
        <f>I136-H137</f>
        <v>5401.2399999999898</v>
      </c>
      <c r="J137" s="86"/>
      <c r="K137" s="86"/>
      <c r="L137" s="84" t="s">
        <v>68</v>
      </c>
    </row>
    <row r="138" spans="1:17" s="80" customFormat="1" ht="20.100000000000001" customHeight="1" x14ac:dyDescent="0.2">
      <c r="A138" s="86"/>
      <c r="B138" s="86"/>
      <c r="C138" s="88"/>
      <c r="D138" s="103"/>
      <c r="E138" s="88">
        <v>46175</v>
      </c>
      <c r="F138" s="86"/>
      <c r="G138" s="86"/>
      <c r="H138" s="103">
        <v>415.53000000000003</v>
      </c>
      <c r="I138" s="128">
        <f t="shared" ref="I138:I144" si="3">I137-H138</f>
        <v>4985.70999999999</v>
      </c>
      <c r="J138" s="86"/>
      <c r="K138" s="86"/>
      <c r="L138" s="84" t="s">
        <v>68</v>
      </c>
    </row>
    <row r="139" spans="1:17" s="80" customFormat="1" ht="20.100000000000001" customHeight="1" x14ac:dyDescent="0.2">
      <c r="A139" s="86"/>
      <c r="B139" s="86"/>
      <c r="C139" s="88"/>
      <c r="D139" s="103"/>
      <c r="E139" s="88">
        <v>46176</v>
      </c>
      <c r="F139" s="86"/>
      <c r="G139" s="86"/>
      <c r="H139" s="103">
        <v>427.68</v>
      </c>
      <c r="I139" s="128">
        <f t="shared" si="3"/>
        <v>4558.0299999999897</v>
      </c>
      <c r="J139" s="86"/>
      <c r="K139" s="86"/>
      <c r="L139" s="84" t="s">
        <v>68</v>
      </c>
    </row>
    <row r="140" spans="1:17" s="80" customFormat="1" ht="20.100000000000001" customHeight="1" x14ac:dyDescent="0.2">
      <c r="A140" s="86"/>
      <c r="B140" s="86"/>
      <c r="C140" s="88"/>
      <c r="D140" s="103"/>
      <c r="E140" s="88">
        <v>46177</v>
      </c>
      <c r="F140" s="86"/>
      <c r="G140" s="86"/>
      <c r="H140" s="103">
        <v>434.97</v>
      </c>
      <c r="I140" s="128">
        <f t="shared" si="3"/>
        <v>4123.0599999999895</v>
      </c>
      <c r="J140" s="86"/>
      <c r="K140" s="86"/>
      <c r="L140" s="84" t="s">
        <v>68</v>
      </c>
    </row>
    <row r="141" spans="1:17" s="80" customFormat="1" ht="20.100000000000001" customHeight="1" x14ac:dyDescent="0.2">
      <c r="A141" s="86"/>
      <c r="B141" s="86"/>
      <c r="C141" s="88"/>
      <c r="D141" s="103"/>
      <c r="E141" s="88">
        <v>46178</v>
      </c>
      <c r="F141" s="86"/>
      <c r="G141" s="86"/>
      <c r="H141" s="103">
        <v>544.32000000000005</v>
      </c>
      <c r="I141" s="128">
        <f t="shared" si="3"/>
        <v>3578.7399999999893</v>
      </c>
      <c r="J141" s="86"/>
      <c r="K141" s="86"/>
      <c r="L141" s="84" t="s">
        <v>68</v>
      </c>
    </row>
    <row r="142" spans="1:17" s="80" customFormat="1" ht="19.5" customHeight="1" x14ac:dyDescent="0.2">
      <c r="A142" s="86"/>
      <c r="B142" s="86"/>
      <c r="C142" s="88"/>
      <c r="D142" s="125"/>
      <c r="E142" s="88">
        <v>46179</v>
      </c>
      <c r="F142" s="126"/>
      <c r="G142" s="126"/>
      <c r="H142" s="103">
        <v>510.3</v>
      </c>
      <c r="I142" s="128">
        <f t="shared" si="3"/>
        <v>3068.4399999999891</v>
      </c>
      <c r="J142" s="126"/>
      <c r="K142" s="126"/>
      <c r="L142" s="84" t="s">
        <v>68</v>
      </c>
    </row>
    <row r="143" spans="1:17" s="80" customFormat="1" ht="20.100000000000001" customHeight="1" x14ac:dyDescent="0.2">
      <c r="A143" s="86"/>
      <c r="B143" s="86"/>
      <c r="C143" s="88">
        <v>46179</v>
      </c>
      <c r="D143" s="125">
        <v>3159</v>
      </c>
      <c r="F143" s="112"/>
      <c r="G143" s="111"/>
      <c r="H143" s="103"/>
      <c r="I143" s="128">
        <f>I142+D143</f>
        <v>6227.4399999999896</v>
      </c>
      <c r="J143" s="86"/>
      <c r="K143" s="86"/>
      <c r="L143" s="84" t="s">
        <v>104</v>
      </c>
    </row>
    <row r="144" spans="1:17" s="80" customFormat="1" ht="20.100000000000001" customHeight="1" x14ac:dyDescent="0.2">
      <c r="A144" s="86"/>
      <c r="B144" s="86"/>
      <c r="C144" s="88"/>
      <c r="D144" s="137"/>
      <c r="E144" s="88">
        <v>46180</v>
      </c>
      <c r="F144" s="86"/>
      <c r="G144" s="86"/>
      <c r="H144" s="103">
        <v>352.35</v>
      </c>
      <c r="I144" s="128">
        <f t="shared" si="3"/>
        <v>5875.0899999999892</v>
      </c>
      <c r="J144" s="86"/>
      <c r="K144" s="86"/>
      <c r="L144" s="84" t="s">
        <v>68</v>
      </c>
      <c r="O144" s="90"/>
    </row>
    <row r="145" spans="1:26" s="80" customFormat="1" ht="20.100000000000001" customHeight="1" x14ac:dyDescent="0.2">
      <c r="A145" s="86"/>
      <c r="B145" s="86"/>
      <c r="C145" s="88"/>
      <c r="D145" s="103"/>
      <c r="E145" s="88"/>
      <c r="F145" s="112"/>
      <c r="G145" s="111"/>
      <c r="H145" s="122"/>
      <c r="I145" s="130">
        <f>I144</f>
        <v>5875.0899999999892</v>
      </c>
      <c r="J145" s="109"/>
      <c r="K145" s="109"/>
      <c r="L145" s="110" t="s">
        <v>79</v>
      </c>
      <c r="O145" s="91">
        <f>I145+[1]sheet!$I$131</f>
        <v>16316.089999999982</v>
      </c>
    </row>
    <row r="146" spans="1:26" s="80" customFormat="1" ht="20.100000000000001" customHeight="1" x14ac:dyDescent="0.2">
      <c r="A146" s="86"/>
      <c r="B146" s="86"/>
      <c r="C146" s="88"/>
      <c r="D146" s="117"/>
      <c r="E146" s="88"/>
      <c r="F146" s="86"/>
      <c r="G146" s="86"/>
      <c r="H146" s="102"/>
      <c r="I146" s="140"/>
      <c r="J146" s="138"/>
      <c r="K146" s="138"/>
      <c r="L146" s="139"/>
      <c r="O146" s="91"/>
    </row>
    <row r="147" spans="1:26" s="80" customFormat="1" ht="20.100000000000001" customHeight="1" x14ac:dyDescent="0.2">
      <c r="A147" s="86"/>
      <c r="B147" s="86"/>
      <c r="C147" s="88"/>
      <c r="D147" s="92"/>
      <c r="E147" s="88"/>
      <c r="F147" s="86"/>
      <c r="G147" s="86"/>
      <c r="H147" s="87"/>
      <c r="I147" s="125"/>
      <c r="J147" s="138"/>
      <c r="K147" s="138"/>
      <c r="L147" s="139"/>
      <c r="O147" s="99"/>
      <c r="R147" s="80">
        <v>3402</v>
      </c>
    </row>
    <row r="148" spans="1:26" s="80" customFormat="1" ht="20.100000000000001" customHeight="1" x14ac:dyDescent="0.2">
      <c r="A148" s="86"/>
      <c r="B148" s="86"/>
      <c r="C148" s="88"/>
      <c r="D148" s="92"/>
      <c r="E148" s="88"/>
      <c r="F148" s="86"/>
      <c r="G148" s="86"/>
      <c r="H148" s="87"/>
      <c r="I148" s="118"/>
      <c r="J148" s="86"/>
      <c r="K148" s="86"/>
      <c r="L148" s="82"/>
      <c r="O148" s="91"/>
    </row>
    <row r="149" spans="1:26" s="80" customFormat="1" ht="20.100000000000001" customHeight="1" x14ac:dyDescent="0.2">
      <c r="A149" s="86"/>
      <c r="B149" s="86"/>
      <c r="C149" s="88"/>
      <c r="D149" s="92"/>
      <c r="E149" s="88"/>
      <c r="F149" s="86"/>
      <c r="G149" s="86"/>
      <c r="H149" s="87"/>
      <c r="I149" s="112"/>
      <c r="J149" s="111"/>
      <c r="K149" s="111"/>
      <c r="L149" s="115"/>
    </row>
    <row r="150" spans="1:26" s="80" customFormat="1" ht="11.25" customHeight="1" x14ac:dyDescent="0.2"/>
    <row r="151" spans="1:26" s="80" customFormat="1" ht="13.5" customHeight="1" x14ac:dyDescent="0.2"/>
    <row r="152" spans="1:26" s="80" customFormat="1" ht="21.75" customHeight="1" x14ac:dyDescent="0.2">
      <c r="A152" s="78" t="s">
        <v>90</v>
      </c>
      <c r="B152" s="78"/>
      <c r="E152" s="107" t="s">
        <v>89</v>
      </c>
      <c r="F152" s="78"/>
      <c r="G152" s="78"/>
      <c r="I152" s="78" t="s">
        <v>81</v>
      </c>
      <c r="J152" s="78"/>
      <c r="K152" s="78"/>
      <c r="S152" s="89"/>
      <c r="W152" s="89"/>
      <c r="X152" s="78"/>
      <c r="Y152" s="78"/>
    </row>
    <row r="153" spans="1:26" ht="21" customHeight="1" x14ac:dyDescent="0.25">
      <c r="A153" s="78"/>
      <c r="B153" s="78"/>
      <c r="C153" s="80"/>
      <c r="D153" s="78"/>
      <c r="E153" s="94"/>
      <c r="F153" s="78"/>
      <c r="G153" s="78"/>
      <c r="H153" s="80"/>
      <c r="I153" s="78"/>
      <c r="J153" s="78"/>
      <c r="K153" s="78"/>
      <c r="L153" s="80"/>
      <c r="O153" s="77"/>
      <c r="Q153" s="79"/>
      <c r="S153" s="77"/>
      <c r="X153" s="77"/>
      <c r="Y153" s="77"/>
      <c r="Z153" s="77"/>
    </row>
    <row r="154" spans="1:26" ht="18" customHeight="1" x14ac:dyDescent="0.25">
      <c r="A154" s="78"/>
      <c r="B154" s="77"/>
      <c r="D154" s="77"/>
      <c r="E154" s="105"/>
      <c r="F154" s="77"/>
      <c r="G154" s="77"/>
      <c r="I154" s="77"/>
      <c r="J154" s="77"/>
      <c r="K154" s="77"/>
      <c r="O154" s="77"/>
      <c r="Q154" s="79"/>
      <c r="S154" s="77"/>
      <c r="X154" s="77"/>
      <c r="Y154" s="77"/>
      <c r="Z154" s="77"/>
    </row>
    <row r="155" spans="1:26" s="80" customFormat="1" ht="21" customHeight="1" x14ac:dyDescent="0.2">
      <c r="A155" s="81" t="str">
        <f>A35</f>
        <v>MR. JOHNNY U. GALENG</v>
      </c>
      <c r="B155" s="81"/>
      <c r="C155" s="81" t="str">
        <f>C35</f>
        <v>MR. JOHN XERCES C. ANTIPUESTO</v>
      </c>
      <c r="E155" s="106" t="s">
        <v>88</v>
      </c>
      <c r="F155" s="81"/>
      <c r="G155" s="81"/>
      <c r="I155" s="81" t="str">
        <f>I35</f>
        <v>ENGR. EDWIN B. BATAL</v>
      </c>
      <c r="J155" s="81"/>
      <c r="K155" s="81"/>
      <c r="O155" s="78"/>
      <c r="Q155" s="90"/>
    </row>
    <row r="156" spans="1:26" s="80" customFormat="1" ht="21" customHeight="1" x14ac:dyDescent="0.2">
      <c r="A156" s="78" t="s">
        <v>93</v>
      </c>
      <c r="B156" s="78"/>
      <c r="C156" s="78" t="s">
        <v>96</v>
      </c>
      <c r="D156" s="78"/>
      <c r="E156" s="107" t="s">
        <v>91</v>
      </c>
      <c r="F156" s="78"/>
      <c r="G156" s="78"/>
      <c r="I156" s="78" t="str">
        <f>I36</f>
        <v>Mine Explosives Asst. Manager</v>
      </c>
      <c r="J156" s="78"/>
      <c r="K156" s="78"/>
      <c r="O156" s="78"/>
      <c r="Q156" s="90"/>
    </row>
    <row r="157" spans="1:26" s="80" customFormat="1" ht="21" customHeight="1" x14ac:dyDescent="0.2">
      <c r="A157" s="78" t="s">
        <v>86</v>
      </c>
      <c r="B157" s="78"/>
      <c r="C157" s="78" t="s">
        <v>85</v>
      </c>
      <c r="D157" s="78"/>
      <c r="E157" s="107" t="s">
        <v>87</v>
      </c>
      <c r="F157" s="78"/>
      <c r="G157" s="78"/>
      <c r="I157" s="107"/>
      <c r="J157" s="78"/>
      <c r="O157" s="78"/>
      <c r="Q157" s="90"/>
    </row>
    <row r="158" spans="1:26" s="80" customFormat="1" ht="22.5" customHeight="1" x14ac:dyDescent="0.25">
      <c r="A158" s="76"/>
      <c r="B158" s="78"/>
      <c r="D158" s="78"/>
      <c r="E158" s="78"/>
      <c r="F158" s="78"/>
      <c r="G158" s="78"/>
      <c r="I158" s="78"/>
      <c r="J158" s="78"/>
      <c r="O158" s="78"/>
      <c r="Q158" s="90"/>
    </row>
    <row r="159" spans="1:26" ht="21" customHeight="1" x14ac:dyDescent="0.25"/>
    <row r="165" spans="1:17" ht="20.25" customHeight="1" x14ac:dyDescent="0.25"/>
    <row r="167" spans="1:17" s="80" customFormat="1" x14ac:dyDescent="0.2">
      <c r="A167" s="188" t="s">
        <v>56</v>
      </c>
      <c r="B167" s="188"/>
      <c r="C167" s="188"/>
      <c r="D167" s="188"/>
      <c r="E167" s="188"/>
      <c r="F167" s="188"/>
      <c r="G167" s="188"/>
      <c r="H167" s="188"/>
      <c r="I167" s="188"/>
      <c r="J167" s="188"/>
      <c r="K167" s="188"/>
      <c r="L167" s="188"/>
      <c r="M167" s="188"/>
    </row>
    <row r="168" spans="1:17" s="80" customFormat="1" ht="20.100000000000001" customHeight="1" x14ac:dyDescent="0.2">
      <c r="A168" s="188" t="s">
        <v>57</v>
      </c>
      <c r="B168" s="188"/>
      <c r="C168" s="188"/>
      <c r="D168" s="188"/>
      <c r="E168" s="188"/>
      <c r="F168" s="188"/>
      <c r="G168" s="188"/>
      <c r="H168" s="188"/>
      <c r="I168" s="188"/>
      <c r="J168" s="188"/>
      <c r="K168" s="188"/>
      <c r="L168" s="188"/>
      <c r="M168" s="188"/>
    </row>
    <row r="169" spans="1:17" s="80" customFormat="1" ht="20.100000000000001" customHeight="1" x14ac:dyDescent="0.2">
      <c r="A169" s="188" t="str">
        <f>A12</f>
        <v>Period Covered : JUNE 1-7, 2026</v>
      </c>
      <c r="B169" s="188"/>
      <c r="C169" s="188"/>
      <c r="D169" s="188"/>
      <c r="E169" s="188"/>
      <c r="F169" s="188"/>
      <c r="G169" s="188"/>
      <c r="H169" s="188"/>
      <c r="I169" s="188"/>
      <c r="J169" s="188"/>
      <c r="K169" s="188"/>
      <c r="L169" s="188"/>
      <c r="M169" s="188"/>
    </row>
    <row r="170" spans="1:17" s="80" customFormat="1" ht="12.75" customHeight="1" x14ac:dyDescent="0.2"/>
    <row r="171" spans="1:17" s="80" customFormat="1" ht="12.75" customHeight="1" x14ac:dyDescent="0.2"/>
    <row r="172" spans="1:17" s="80" customFormat="1" ht="20.100000000000001" customHeight="1" x14ac:dyDescent="0.2">
      <c r="A172" s="80" t="s">
        <v>58</v>
      </c>
      <c r="B172" s="189" t="s">
        <v>0</v>
      </c>
      <c r="C172" s="189"/>
      <c r="D172" s="189"/>
    </row>
    <row r="173" spans="1:17" s="80" customFormat="1" ht="20.100000000000001" customHeight="1" x14ac:dyDescent="0.2">
      <c r="A173" s="80" t="s">
        <v>59</v>
      </c>
      <c r="B173" s="190" t="s">
        <v>78</v>
      </c>
      <c r="C173" s="190"/>
      <c r="D173" s="190"/>
    </row>
    <row r="174" spans="1:17" s="80" customFormat="1" ht="6" customHeight="1" x14ac:dyDescent="0.2"/>
    <row r="175" spans="1:17" s="80" customFormat="1" ht="39.75" customHeight="1" x14ac:dyDescent="0.2">
      <c r="A175" s="82" t="s">
        <v>60</v>
      </c>
      <c r="B175" s="82" t="s">
        <v>61</v>
      </c>
      <c r="C175" s="82" t="s">
        <v>62</v>
      </c>
      <c r="D175" s="82" t="s">
        <v>63</v>
      </c>
      <c r="E175" s="83" t="s">
        <v>64</v>
      </c>
      <c r="F175" s="83" t="s">
        <v>64</v>
      </c>
      <c r="G175" s="83" t="s">
        <v>64</v>
      </c>
      <c r="H175" s="83" t="s">
        <v>65</v>
      </c>
      <c r="I175" s="82" t="s">
        <v>66</v>
      </c>
      <c r="J175" s="82"/>
      <c r="K175" s="82"/>
      <c r="L175" s="82" t="s">
        <v>67</v>
      </c>
    </row>
    <row r="176" spans="1:17" s="80" customFormat="1" ht="39.75" customHeight="1" x14ac:dyDescent="0.2">
      <c r="A176" s="85" t="s">
        <v>77</v>
      </c>
      <c r="B176" s="84" t="s">
        <v>21</v>
      </c>
      <c r="C176" s="86"/>
      <c r="D176" s="86"/>
      <c r="E176" s="88"/>
      <c r="F176" s="86"/>
      <c r="G176" s="86"/>
      <c r="H176" s="87"/>
      <c r="I176" s="127">
        <v>2377</v>
      </c>
      <c r="J176" s="86"/>
      <c r="K176" s="86"/>
      <c r="L176" s="84" t="s">
        <v>80</v>
      </c>
      <c r="O176" s="108"/>
      <c r="Q176" s="123"/>
    </row>
    <row r="177" spans="1:25" s="80" customFormat="1" ht="20.100000000000001" customHeight="1" x14ac:dyDescent="0.2">
      <c r="A177" s="86"/>
      <c r="B177" s="86"/>
      <c r="C177" s="88"/>
      <c r="D177" s="86"/>
      <c r="E177" s="88">
        <v>46174</v>
      </c>
      <c r="F177" s="86"/>
      <c r="G177" s="86"/>
      <c r="H177" s="102">
        <v>159</v>
      </c>
      <c r="I177" s="128">
        <f>I176-H177</f>
        <v>2218</v>
      </c>
      <c r="J177" s="86"/>
      <c r="K177" s="86"/>
      <c r="L177" s="84" t="s">
        <v>68</v>
      </c>
      <c r="Q177" s="136">
        <f>I176+500</f>
        <v>2877</v>
      </c>
    </row>
    <row r="178" spans="1:25" s="80" customFormat="1" ht="20.100000000000001" customHeight="1" x14ac:dyDescent="0.2">
      <c r="A178" s="86"/>
      <c r="B178" s="86"/>
      <c r="C178" s="88"/>
      <c r="D178" s="103"/>
      <c r="E178" s="88">
        <v>46175</v>
      </c>
      <c r="F178" s="86"/>
      <c r="G178" s="86"/>
      <c r="H178" s="102">
        <v>171</v>
      </c>
      <c r="I178" s="128">
        <f t="shared" ref="I178:I182" si="4">I177-H178</f>
        <v>2047</v>
      </c>
      <c r="J178" s="86"/>
      <c r="K178" s="86"/>
      <c r="L178" s="84" t="s">
        <v>68</v>
      </c>
    </row>
    <row r="179" spans="1:25" s="80" customFormat="1" ht="20.100000000000001" customHeight="1" x14ac:dyDescent="0.2">
      <c r="A179" s="86"/>
      <c r="B179" s="86"/>
      <c r="C179" s="88"/>
      <c r="D179" s="103"/>
      <c r="E179" s="88">
        <v>46176</v>
      </c>
      <c r="F179" s="86"/>
      <c r="G179" s="86"/>
      <c r="H179" s="102">
        <v>176</v>
      </c>
      <c r="I179" s="128">
        <f t="shared" si="4"/>
        <v>1871</v>
      </c>
      <c r="J179" s="86"/>
      <c r="K179" s="86"/>
      <c r="L179" s="84" t="s">
        <v>68</v>
      </c>
    </row>
    <row r="180" spans="1:25" s="80" customFormat="1" ht="20.100000000000001" customHeight="1" x14ac:dyDescent="0.2">
      <c r="A180" s="86"/>
      <c r="B180" s="86"/>
      <c r="C180" s="88"/>
      <c r="D180" s="103"/>
      <c r="E180" s="88">
        <v>46177</v>
      </c>
      <c r="F180" s="86"/>
      <c r="G180" s="86"/>
      <c r="H180" s="119">
        <v>179</v>
      </c>
      <c r="I180" s="128">
        <f t="shared" si="4"/>
        <v>1692</v>
      </c>
      <c r="J180" s="86"/>
      <c r="K180" s="86"/>
      <c r="L180" s="84" t="s">
        <v>68</v>
      </c>
    </row>
    <row r="181" spans="1:25" s="80" customFormat="1" ht="20.100000000000001" customHeight="1" x14ac:dyDescent="0.2">
      <c r="A181" s="86"/>
      <c r="B181" s="86"/>
      <c r="C181" s="88"/>
      <c r="D181" s="103"/>
      <c r="E181" s="88">
        <v>46178</v>
      </c>
      <c r="F181" s="86"/>
      <c r="G181" s="86"/>
      <c r="H181" s="119">
        <v>224</v>
      </c>
      <c r="I181" s="128">
        <f t="shared" si="4"/>
        <v>1468</v>
      </c>
      <c r="J181" s="86"/>
      <c r="K181" s="86"/>
      <c r="L181" s="84" t="s">
        <v>68</v>
      </c>
    </row>
    <row r="182" spans="1:25" s="80" customFormat="1" ht="19.5" customHeight="1" x14ac:dyDescent="0.2">
      <c r="A182" s="86"/>
      <c r="B182" s="86"/>
      <c r="C182" s="88"/>
      <c r="D182" s="125"/>
      <c r="E182" s="88">
        <v>46179</v>
      </c>
      <c r="F182" s="126"/>
      <c r="G182" s="126"/>
      <c r="H182" s="82">
        <v>210</v>
      </c>
      <c r="I182" s="128">
        <f t="shared" si="4"/>
        <v>1258</v>
      </c>
      <c r="J182" s="126"/>
      <c r="K182" s="126"/>
      <c r="L182" s="84" t="s">
        <v>68</v>
      </c>
    </row>
    <row r="183" spans="1:25" s="80" customFormat="1" ht="20.100000000000001" customHeight="1" x14ac:dyDescent="0.2">
      <c r="A183" s="86"/>
      <c r="B183" s="86"/>
      <c r="C183" s="88">
        <v>46179</v>
      </c>
      <c r="D183" s="125">
        <v>1300</v>
      </c>
      <c r="F183" s="112"/>
      <c r="G183" s="111"/>
      <c r="H183" s="112"/>
      <c r="I183" s="128">
        <f>I182+D183</f>
        <v>2558</v>
      </c>
      <c r="J183" s="86"/>
      <c r="K183" s="86"/>
      <c r="L183" s="84" t="s">
        <v>104</v>
      </c>
    </row>
    <row r="184" spans="1:25" s="80" customFormat="1" ht="20.100000000000001" customHeight="1" x14ac:dyDescent="0.2">
      <c r="A184" s="86"/>
      <c r="B184" s="86"/>
      <c r="C184" s="88"/>
      <c r="D184" s="137"/>
      <c r="E184" s="88">
        <v>46180</v>
      </c>
      <c r="F184" s="86"/>
      <c r="G184" s="86"/>
      <c r="H184" s="119">
        <v>145</v>
      </c>
      <c r="I184" s="128">
        <f t="shared" ref="I184" si="5">I183-H184</f>
        <v>2413</v>
      </c>
      <c r="J184" s="86"/>
      <c r="K184" s="86"/>
      <c r="L184" s="84" t="s">
        <v>68</v>
      </c>
      <c r="O184" s="90"/>
    </row>
    <row r="185" spans="1:25" s="80" customFormat="1" ht="20.100000000000001" customHeight="1" x14ac:dyDescent="0.2">
      <c r="A185" s="86"/>
      <c r="B185" s="86"/>
      <c r="C185" s="88"/>
      <c r="D185" s="103"/>
      <c r="E185" s="88"/>
      <c r="F185" s="112"/>
      <c r="G185" s="111"/>
      <c r="H185" s="112"/>
      <c r="I185" s="129">
        <f>I184</f>
        <v>2413</v>
      </c>
      <c r="J185" s="109"/>
      <c r="K185" s="109"/>
      <c r="L185" s="110" t="s">
        <v>79</v>
      </c>
      <c r="O185" s="91">
        <f>I185+[1]sheet!$I$168</f>
        <v>6163</v>
      </c>
    </row>
    <row r="186" spans="1:25" s="80" customFormat="1" ht="20.100000000000001" customHeight="1" x14ac:dyDescent="0.2">
      <c r="A186" s="86"/>
      <c r="B186" s="86"/>
      <c r="C186" s="88"/>
      <c r="D186" s="117"/>
      <c r="E186" s="88"/>
      <c r="F186" s="86"/>
      <c r="G186" s="86"/>
      <c r="H186" s="102"/>
      <c r="I186" s="135"/>
      <c r="J186" s="138"/>
      <c r="K186" s="138"/>
      <c r="L186" s="139"/>
      <c r="O186" s="91"/>
    </row>
    <row r="187" spans="1:25" s="80" customFormat="1" ht="20.100000000000001" customHeight="1" x14ac:dyDescent="0.2">
      <c r="A187" s="86"/>
      <c r="B187" s="86"/>
      <c r="C187" s="88"/>
      <c r="D187" s="92"/>
      <c r="E187" s="88"/>
      <c r="F187" s="86"/>
      <c r="G187" s="86"/>
      <c r="H187" s="87"/>
      <c r="I187" s="118"/>
      <c r="J187" s="138"/>
      <c r="K187" s="138"/>
      <c r="L187" s="139"/>
      <c r="O187" s="91"/>
    </row>
    <row r="188" spans="1:25" s="80" customFormat="1" ht="20.100000000000001" customHeight="1" x14ac:dyDescent="0.2">
      <c r="A188" s="86"/>
      <c r="B188" s="86"/>
      <c r="C188" s="88"/>
      <c r="D188" s="92"/>
      <c r="E188" s="88"/>
      <c r="F188" s="86"/>
      <c r="G188" s="86"/>
      <c r="H188" s="87"/>
      <c r="I188" s="118"/>
      <c r="J188" s="86"/>
      <c r="K188" s="86"/>
      <c r="L188" s="82"/>
    </row>
    <row r="189" spans="1:25" s="80" customFormat="1" ht="20.100000000000001" customHeight="1" x14ac:dyDescent="0.2">
      <c r="A189" s="86"/>
      <c r="B189" s="86"/>
      <c r="C189" s="88"/>
      <c r="D189" s="92"/>
      <c r="E189" s="88"/>
      <c r="F189" s="86"/>
      <c r="G189" s="86"/>
      <c r="H189" s="87"/>
      <c r="I189" s="118"/>
      <c r="J189" s="86"/>
      <c r="K189" s="86"/>
      <c r="L189" s="82"/>
      <c r="O189" s="91"/>
    </row>
    <row r="190" spans="1:25" s="80" customFormat="1" ht="11.25" customHeight="1" x14ac:dyDescent="0.2"/>
    <row r="191" spans="1:25" s="80" customFormat="1" ht="11.25" customHeight="1" x14ac:dyDescent="0.2"/>
    <row r="192" spans="1:25" s="80" customFormat="1" ht="21.75" customHeight="1" x14ac:dyDescent="0.2">
      <c r="A192" s="78" t="s">
        <v>90</v>
      </c>
      <c r="B192" s="78"/>
      <c r="E192" s="107" t="s">
        <v>89</v>
      </c>
      <c r="F192" s="78"/>
      <c r="G192" s="78"/>
      <c r="I192" s="78" t="s">
        <v>81</v>
      </c>
      <c r="J192" s="78"/>
      <c r="K192" s="78"/>
      <c r="S192" s="89"/>
      <c r="W192" s="89"/>
      <c r="X192" s="78"/>
      <c r="Y192" s="78"/>
    </row>
    <row r="193" spans="1:26" ht="18.75" customHeight="1" x14ac:dyDescent="0.25">
      <c r="A193" s="78"/>
      <c r="B193" s="78"/>
      <c r="C193" s="80"/>
      <c r="D193" s="78"/>
      <c r="E193" s="94"/>
      <c r="F193" s="78"/>
      <c r="G193" s="78"/>
      <c r="H193" s="80"/>
      <c r="I193" s="78"/>
      <c r="J193" s="78"/>
      <c r="K193" s="78"/>
      <c r="L193" s="80"/>
      <c r="O193" s="77"/>
      <c r="Q193" s="79"/>
      <c r="S193" s="77"/>
      <c r="X193" s="77"/>
      <c r="Y193" s="77"/>
      <c r="Z193" s="77"/>
    </row>
    <row r="194" spans="1:26" ht="21" customHeight="1" x14ac:dyDescent="0.25">
      <c r="A194" s="78"/>
      <c r="B194" s="77"/>
      <c r="D194" s="77"/>
      <c r="E194" s="105"/>
      <c r="F194" s="77"/>
      <c r="G194" s="77"/>
      <c r="I194" s="77"/>
      <c r="J194" s="77"/>
      <c r="K194" s="77"/>
      <c r="O194" s="77"/>
      <c r="Q194" s="79"/>
      <c r="S194" s="77"/>
      <c r="X194" s="77"/>
      <c r="Y194" s="77"/>
      <c r="Z194" s="77"/>
    </row>
    <row r="195" spans="1:26" s="80" customFormat="1" ht="21" customHeight="1" x14ac:dyDescent="0.2">
      <c r="A195" s="81" t="str">
        <f>A35</f>
        <v>MR. JOHNNY U. GALENG</v>
      </c>
      <c r="B195" s="81"/>
      <c r="C195" s="81" t="str">
        <f>C35</f>
        <v>MR. JOHN XERCES C. ANTIPUESTO</v>
      </c>
      <c r="E195" s="106" t="s">
        <v>88</v>
      </c>
      <c r="F195" s="81"/>
      <c r="G195" s="81"/>
      <c r="I195" s="81" t="str">
        <f>I35</f>
        <v>ENGR. EDWIN B. BATAL</v>
      </c>
      <c r="J195" s="81"/>
      <c r="K195" s="81"/>
      <c r="O195" s="78"/>
      <c r="Q195" s="90"/>
    </row>
    <row r="196" spans="1:26" s="80" customFormat="1" ht="21" customHeight="1" x14ac:dyDescent="0.2">
      <c r="A196" s="78" t="s">
        <v>93</v>
      </c>
      <c r="B196" s="78"/>
      <c r="C196" s="78" t="s">
        <v>96</v>
      </c>
      <c r="D196" s="78"/>
      <c r="E196" s="107" t="s">
        <v>91</v>
      </c>
      <c r="F196" s="78"/>
      <c r="G196" s="78"/>
      <c r="I196" s="78" t="str">
        <f>I36</f>
        <v>Mine Explosives Asst. Manager</v>
      </c>
      <c r="J196" s="78"/>
      <c r="K196" s="78"/>
      <c r="O196" s="78"/>
      <c r="Q196" s="90"/>
    </row>
    <row r="197" spans="1:26" s="80" customFormat="1" ht="21" customHeight="1" x14ac:dyDescent="0.2">
      <c r="A197" s="78" t="s">
        <v>86</v>
      </c>
      <c r="B197" s="78"/>
      <c r="C197" s="78" t="s">
        <v>85</v>
      </c>
      <c r="D197" s="78"/>
      <c r="E197" s="107" t="s">
        <v>87</v>
      </c>
      <c r="F197" s="78"/>
      <c r="G197" s="78"/>
      <c r="I197" s="107"/>
      <c r="J197" s="78"/>
      <c r="O197" s="78"/>
      <c r="Q197" s="90"/>
    </row>
    <row r="198" spans="1:26" ht="9.75" customHeight="1" x14ac:dyDescent="0.25"/>
    <row r="199" spans="1:26" ht="9.75" customHeight="1" x14ac:dyDescent="0.25"/>
    <row r="200" spans="1:26" ht="7.5" customHeight="1" x14ac:dyDescent="0.25"/>
    <row r="205" spans="1:26" ht="20.25" customHeight="1" x14ac:dyDescent="0.25"/>
    <row r="208" spans="1:26" s="80" customFormat="1" x14ac:dyDescent="0.2">
      <c r="A208" s="188" t="s">
        <v>56</v>
      </c>
      <c r="B208" s="188"/>
      <c r="C208" s="188"/>
      <c r="D208" s="188"/>
      <c r="E208" s="188"/>
      <c r="F208" s="188"/>
      <c r="G208" s="188"/>
      <c r="H208" s="188"/>
      <c r="I208" s="188"/>
      <c r="J208" s="188"/>
      <c r="K208" s="188"/>
      <c r="L208" s="188"/>
      <c r="M208" s="188"/>
    </row>
    <row r="209" spans="1:19" s="80" customFormat="1" ht="20.100000000000001" customHeight="1" x14ac:dyDescent="0.2">
      <c r="A209" s="188" t="s">
        <v>57</v>
      </c>
      <c r="B209" s="188"/>
      <c r="C209" s="188"/>
      <c r="D209" s="188"/>
      <c r="E209" s="188"/>
      <c r="F209" s="188"/>
      <c r="G209" s="188"/>
      <c r="H209" s="188"/>
      <c r="I209" s="188"/>
      <c r="J209" s="188"/>
      <c r="K209" s="188"/>
      <c r="L209" s="188"/>
      <c r="M209" s="188"/>
    </row>
    <row r="210" spans="1:19" s="80" customFormat="1" ht="20.100000000000001" customHeight="1" x14ac:dyDescent="0.2">
      <c r="A210" s="188" t="str">
        <f>A12</f>
        <v>Period Covered : JUNE 1-7, 2026</v>
      </c>
      <c r="B210" s="188"/>
      <c r="C210" s="188"/>
      <c r="D210" s="188"/>
      <c r="E210" s="188"/>
      <c r="F210" s="188"/>
      <c r="G210" s="188"/>
      <c r="H210" s="188"/>
      <c r="I210" s="188"/>
      <c r="J210" s="188"/>
      <c r="K210" s="188"/>
      <c r="L210" s="188"/>
      <c r="M210" s="188"/>
    </row>
    <row r="211" spans="1:19" s="80" customFormat="1" ht="20.100000000000001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</row>
    <row r="212" spans="1:19" s="80" customFormat="1" ht="17.25" customHeight="1" x14ac:dyDescent="0.2"/>
    <row r="213" spans="1:19" s="80" customFormat="1" ht="20.100000000000001" customHeight="1" x14ac:dyDescent="0.2">
      <c r="A213" s="80" t="s">
        <v>58</v>
      </c>
      <c r="B213" s="189" t="s">
        <v>0</v>
      </c>
      <c r="C213" s="189"/>
      <c r="D213" s="189"/>
    </row>
    <row r="214" spans="1:19" s="80" customFormat="1" ht="20.100000000000001" customHeight="1" x14ac:dyDescent="0.2">
      <c r="A214" s="80" t="s">
        <v>59</v>
      </c>
      <c r="B214" s="190" t="s">
        <v>78</v>
      </c>
      <c r="C214" s="190"/>
      <c r="D214" s="190"/>
    </row>
    <row r="215" spans="1:19" s="80" customFormat="1" ht="6" customHeight="1" x14ac:dyDescent="0.2"/>
    <row r="216" spans="1:19" s="80" customFormat="1" ht="39.75" customHeight="1" x14ac:dyDescent="0.2">
      <c r="A216" s="82" t="s">
        <v>60</v>
      </c>
      <c r="B216" s="82" t="s">
        <v>61</v>
      </c>
      <c r="C216" s="82" t="s">
        <v>62</v>
      </c>
      <c r="D216" s="82" t="s">
        <v>63</v>
      </c>
      <c r="E216" s="83" t="s">
        <v>64</v>
      </c>
      <c r="F216" s="83" t="s">
        <v>64</v>
      </c>
      <c r="G216" s="83" t="s">
        <v>64</v>
      </c>
      <c r="H216" s="83" t="s">
        <v>65</v>
      </c>
      <c r="I216" s="82" t="s">
        <v>66</v>
      </c>
      <c r="J216" s="82"/>
      <c r="K216" s="82"/>
      <c r="L216" s="82" t="s">
        <v>67</v>
      </c>
    </row>
    <row r="217" spans="1:19" s="80" customFormat="1" ht="39.75" customHeight="1" x14ac:dyDescent="0.2">
      <c r="A217" s="85" t="s">
        <v>73</v>
      </c>
      <c r="B217" s="84" t="s">
        <v>21</v>
      </c>
      <c r="C217" s="86"/>
      <c r="D217" s="86"/>
      <c r="E217" s="88"/>
      <c r="F217" s="86"/>
      <c r="G217" s="86"/>
      <c r="H217" s="87"/>
      <c r="I217" s="127">
        <v>95</v>
      </c>
      <c r="J217" s="86"/>
      <c r="K217" s="86"/>
      <c r="L217" s="84" t="s">
        <v>80</v>
      </c>
    </row>
    <row r="218" spans="1:19" s="80" customFormat="1" ht="20.100000000000001" customHeight="1" x14ac:dyDescent="0.2">
      <c r="A218" s="86"/>
      <c r="B218" s="86"/>
      <c r="C218" s="88"/>
      <c r="D218" s="86"/>
      <c r="E218" s="88">
        <v>46174</v>
      </c>
      <c r="F218" s="86"/>
      <c r="G218" s="86"/>
      <c r="H218" s="102"/>
      <c r="I218" s="128">
        <f>I217-H218</f>
        <v>95</v>
      </c>
      <c r="J218" s="86"/>
      <c r="K218" s="86"/>
      <c r="L218" s="84" t="s">
        <v>82</v>
      </c>
    </row>
    <row r="219" spans="1:19" s="80" customFormat="1" ht="20.100000000000001" customHeight="1" x14ac:dyDescent="0.2">
      <c r="A219" s="86"/>
      <c r="B219" s="86"/>
      <c r="C219" s="88"/>
      <c r="D219" s="103"/>
      <c r="E219" s="88">
        <v>46175</v>
      </c>
      <c r="F219" s="86"/>
      <c r="G219" s="86"/>
      <c r="H219" s="102"/>
      <c r="I219" s="128">
        <f t="shared" ref="I219:I224" si="6">I218-H219</f>
        <v>95</v>
      </c>
      <c r="J219" s="86"/>
      <c r="K219" s="86"/>
      <c r="L219" s="84" t="s">
        <v>82</v>
      </c>
    </row>
    <row r="220" spans="1:19" s="80" customFormat="1" ht="20.100000000000001" customHeight="1" x14ac:dyDescent="0.2">
      <c r="A220" s="86"/>
      <c r="B220" s="86"/>
      <c r="C220" s="88"/>
      <c r="D220" s="103"/>
      <c r="E220" s="88">
        <v>46176</v>
      </c>
      <c r="F220" s="86"/>
      <c r="G220" s="86"/>
      <c r="H220" s="102"/>
      <c r="I220" s="128">
        <f t="shared" si="6"/>
        <v>95</v>
      </c>
      <c r="J220" s="86"/>
      <c r="K220" s="86"/>
      <c r="L220" s="84" t="s">
        <v>82</v>
      </c>
    </row>
    <row r="221" spans="1:19" s="80" customFormat="1" ht="20.100000000000001" customHeight="1" x14ac:dyDescent="0.2">
      <c r="A221" s="86"/>
      <c r="B221" s="86"/>
      <c r="C221" s="88"/>
      <c r="D221" s="103"/>
      <c r="E221" s="88">
        <v>46177</v>
      </c>
      <c r="F221" s="86"/>
      <c r="G221" s="86"/>
      <c r="H221" s="119"/>
      <c r="I221" s="128">
        <f t="shared" si="6"/>
        <v>95</v>
      </c>
      <c r="J221" s="86"/>
      <c r="K221" s="86"/>
      <c r="L221" s="84" t="s">
        <v>82</v>
      </c>
    </row>
    <row r="222" spans="1:19" s="80" customFormat="1" ht="20.100000000000001" customHeight="1" x14ac:dyDescent="0.2">
      <c r="A222" s="86"/>
      <c r="B222" s="86"/>
      <c r="C222" s="88"/>
      <c r="D222" s="103"/>
      <c r="E222" s="88">
        <v>46178</v>
      </c>
      <c r="F222" s="86"/>
      <c r="G222" s="86"/>
      <c r="H222" s="119">
        <v>2</v>
      </c>
      <c r="I222" s="128">
        <f t="shared" si="6"/>
        <v>93</v>
      </c>
      <c r="J222" s="86"/>
      <c r="K222" s="86"/>
      <c r="L222" s="84" t="s">
        <v>68</v>
      </c>
      <c r="S222" s="80">
        <v>279</v>
      </c>
    </row>
    <row r="223" spans="1:19" s="80" customFormat="1" ht="19.5" customHeight="1" x14ac:dyDescent="0.2">
      <c r="A223" s="86"/>
      <c r="B223" s="86"/>
      <c r="C223" s="88"/>
      <c r="D223" s="125"/>
      <c r="E223" s="88">
        <v>46179</v>
      </c>
      <c r="F223" s="126"/>
      <c r="G223" s="126"/>
      <c r="H223" s="126"/>
      <c r="I223" s="128">
        <f t="shared" si="6"/>
        <v>93</v>
      </c>
      <c r="J223" s="126"/>
      <c r="K223" s="126"/>
      <c r="L223" s="84" t="s">
        <v>82</v>
      </c>
    </row>
    <row r="224" spans="1:19" s="80" customFormat="1" ht="20.100000000000001" customHeight="1" x14ac:dyDescent="0.2">
      <c r="A224" s="86"/>
      <c r="B224" s="86"/>
      <c r="C224" s="88"/>
      <c r="D224" s="125"/>
      <c r="E224" s="88">
        <v>46180</v>
      </c>
      <c r="F224" s="112"/>
      <c r="G224" s="111"/>
      <c r="H224" s="112"/>
      <c r="I224" s="128">
        <f t="shared" si="6"/>
        <v>93</v>
      </c>
      <c r="J224" s="120"/>
      <c r="K224" s="120"/>
      <c r="L224" s="84" t="s">
        <v>82</v>
      </c>
    </row>
    <row r="225" spans="1:26" s="80" customFormat="1" ht="20.100000000000001" customHeight="1" x14ac:dyDescent="0.2">
      <c r="A225" s="86"/>
      <c r="B225" s="86"/>
      <c r="C225" s="88"/>
      <c r="D225" s="125"/>
      <c r="E225" s="88"/>
      <c r="F225" s="112"/>
      <c r="G225" s="111"/>
      <c r="H225" s="112"/>
      <c r="I225" s="129">
        <f>I224</f>
        <v>93</v>
      </c>
      <c r="J225" s="109"/>
      <c r="K225" s="109"/>
      <c r="L225" s="110" t="s">
        <v>79</v>
      </c>
      <c r="O225" s="91">
        <f>I225+[1]sheet!$I$207</f>
        <v>273</v>
      </c>
    </row>
    <row r="226" spans="1:26" s="80" customFormat="1" ht="20.100000000000001" customHeight="1" x14ac:dyDescent="0.2">
      <c r="A226" s="86"/>
      <c r="B226" s="86"/>
      <c r="C226" s="88"/>
      <c r="D226" s="103"/>
      <c r="E226" s="88"/>
      <c r="F226" s="86"/>
      <c r="G226" s="86"/>
      <c r="H226" s="102"/>
      <c r="I226" s="135"/>
      <c r="J226" s="86"/>
      <c r="K226" s="86"/>
      <c r="L226" s="82"/>
      <c r="O226" s="91"/>
    </row>
    <row r="227" spans="1:26" s="80" customFormat="1" ht="20.100000000000001" customHeight="1" x14ac:dyDescent="0.2">
      <c r="A227" s="86"/>
      <c r="B227" s="86"/>
      <c r="C227" s="88"/>
      <c r="D227" s="117"/>
      <c r="E227" s="88"/>
      <c r="F227" s="86"/>
      <c r="G227" s="86"/>
      <c r="H227" s="87"/>
      <c r="I227" s="118"/>
      <c r="J227" s="86"/>
      <c r="K227" s="86"/>
      <c r="L227" s="82"/>
      <c r="O227" s="91"/>
    </row>
    <row r="228" spans="1:26" s="80" customFormat="1" ht="20.100000000000001" customHeight="1" x14ac:dyDescent="0.2">
      <c r="A228" s="86"/>
      <c r="B228" s="86"/>
      <c r="C228" s="88"/>
      <c r="D228" s="92"/>
      <c r="E228" s="88"/>
      <c r="F228" s="86"/>
      <c r="G228" s="86"/>
      <c r="H228" s="87"/>
      <c r="I228" s="112"/>
      <c r="J228" s="111"/>
      <c r="K228" s="111"/>
      <c r="L228" s="115"/>
    </row>
    <row r="229" spans="1:26" s="80" customFormat="1" ht="20.100000000000001" customHeight="1" x14ac:dyDescent="0.2">
      <c r="A229" s="86"/>
      <c r="B229" s="86"/>
      <c r="C229" s="88"/>
      <c r="D229" s="92"/>
      <c r="E229" s="88"/>
      <c r="F229" s="86"/>
      <c r="G229" s="86"/>
      <c r="H229" s="87"/>
      <c r="I229" s="112"/>
      <c r="J229" s="111"/>
      <c r="K229" s="111"/>
      <c r="L229" s="115"/>
    </row>
    <row r="230" spans="1:26" s="80" customFormat="1" ht="20.100000000000001" customHeight="1" x14ac:dyDescent="0.2">
      <c r="A230" s="86"/>
      <c r="B230" s="86"/>
      <c r="C230" s="88"/>
      <c r="D230" s="92"/>
      <c r="E230" s="88"/>
      <c r="F230" s="86"/>
      <c r="G230" s="86"/>
      <c r="H230" s="87"/>
      <c r="I230" s="112"/>
      <c r="J230" s="111"/>
      <c r="K230" s="111"/>
      <c r="L230" s="115"/>
      <c r="O230" s="91"/>
    </row>
    <row r="231" spans="1:26" s="80" customFormat="1" ht="11.25" customHeight="1" x14ac:dyDescent="0.2"/>
    <row r="232" spans="1:26" s="80" customFormat="1" ht="11.25" customHeight="1" x14ac:dyDescent="0.2"/>
    <row r="233" spans="1:26" s="80" customFormat="1" ht="21.75" customHeight="1" x14ac:dyDescent="0.2">
      <c r="A233" s="78" t="s">
        <v>90</v>
      </c>
      <c r="B233" s="78"/>
      <c r="E233" s="107" t="s">
        <v>89</v>
      </c>
      <c r="F233" s="78"/>
      <c r="G233" s="78"/>
      <c r="I233" s="78" t="s">
        <v>81</v>
      </c>
      <c r="J233" s="78"/>
      <c r="K233" s="78"/>
      <c r="S233" s="89"/>
      <c r="W233" s="89"/>
      <c r="X233" s="78"/>
      <c r="Y233" s="78"/>
    </row>
    <row r="234" spans="1:26" ht="17.25" customHeight="1" x14ac:dyDescent="0.25">
      <c r="A234" s="78"/>
      <c r="B234" s="78"/>
      <c r="C234" s="80"/>
      <c r="D234" s="78"/>
      <c r="E234" s="94"/>
      <c r="F234" s="78"/>
      <c r="G234" s="78"/>
      <c r="H234" s="80"/>
      <c r="I234" s="78"/>
      <c r="J234" s="78"/>
      <c r="K234" s="78"/>
      <c r="L234" s="80"/>
      <c r="O234" s="77"/>
      <c r="Q234" s="79"/>
      <c r="S234" s="77"/>
      <c r="X234" s="77"/>
      <c r="Y234" s="77"/>
      <c r="Z234" s="77"/>
    </row>
    <row r="235" spans="1:26" ht="13.5" customHeight="1" x14ac:dyDescent="0.25">
      <c r="A235" s="78"/>
      <c r="B235" s="77"/>
      <c r="D235" s="77"/>
      <c r="E235" s="105"/>
      <c r="F235" s="77"/>
      <c r="G235" s="77"/>
      <c r="I235" s="77"/>
      <c r="J235" s="77"/>
      <c r="K235" s="77"/>
      <c r="O235" s="77"/>
      <c r="Q235" s="79"/>
      <c r="S235" s="77"/>
      <c r="X235" s="77"/>
      <c r="Y235" s="77"/>
      <c r="Z235" s="77"/>
    </row>
    <row r="236" spans="1:26" s="80" customFormat="1" ht="21" customHeight="1" x14ac:dyDescent="0.2">
      <c r="A236" s="81" t="str">
        <f>A35</f>
        <v>MR. JOHNNY U. GALENG</v>
      </c>
      <c r="B236" s="81"/>
      <c r="C236" s="81" t="str">
        <f>C35</f>
        <v>MR. JOHN XERCES C. ANTIPUESTO</v>
      </c>
      <c r="E236" s="106" t="s">
        <v>88</v>
      </c>
      <c r="F236" s="81"/>
      <c r="G236" s="81"/>
      <c r="I236" s="81" t="str">
        <f>I35</f>
        <v>ENGR. EDWIN B. BATAL</v>
      </c>
      <c r="J236" s="81"/>
      <c r="K236" s="81"/>
      <c r="O236" s="78"/>
      <c r="Q236" s="90"/>
    </row>
    <row r="237" spans="1:26" s="80" customFormat="1" ht="21" customHeight="1" x14ac:dyDescent="0.2">
      <c r="A237" s="78" t="s">
        <v>93</v>
      </c>
      <c r="B237" s="78"/>
      <c r="C237" s="78" t="s">
        <v>96</v>
      </c>
      <c r="D237" s="78"/>
      <c r="E237" s="107" t="s">
        <v>91</v>
      </c>
      <c r="F237" s="78"/>
      <c r="G237" s="78"/>
      <c r="I237" s="78" t="str">
        <f>I36</f>
        <v>Mine Explosives Asst. Manager</v>
      </c>
      <c r="J237" s="78"/>
      <c r="K237" s="78"/>
      <c r="O237" s="78"/>
      <c r="Q237" s="90"/>
    </row>
    <row r="238" spans="1:26" s="80" customFormat="1" ht="21" customHeight="1" x14ac:dyDescent="0.2">
      <c r="A238" s="78" t="s">
        <v>86</v>
      </c>
      <c r="B238" s="78"/>
      <c r="C238" s="78" t="s">
        <v>85</v>
      </c>
      <c r="D238" s="78"/>
      <c r="E238" s="107" t="s">
        <v>87</v>
      </c>
      <c r="F238" s="78"/>
      <c r="G238" s="78"/>
      <c r="I238" s="107"/>
      <c r="J238" s="78"/>
      <c r="O238" s="78"/>
      <c r="Q238" s="90"/>
    </row>
    <row r="240" spans="1:26" ht="10.5" customHeight="1" x14ac:dyDescent="0.25"/>
    <row r="245" spans="1:13" ht="20.25" customHeight="1" x14ac:dyDescent="0.25"/>
    <row r="251" spans="1:13" s="80" customFormat="1" ht="20.100000000000001" customHeight="1" x14ac:dyDescent="0.2">
      <c r="A251" s="188" t="s">
        <v>56</v>
      </c>
      <c r="B251" s="188"/>
      <c r="C251" s="188"/>
      <c r="D251" s="188"/>
      <c r="E251" s="188"/>
      <c r="F251" s="188"/>
      <c r="G251" s="188"/>
      <c r="H251" s="188"/>
      <c r="I251" s="188"/>
      <c r="J251" s="188"/>
      <c r="K251" s="188"/>
      <c r="L251" s="188"/>
      <c r="M251" s="188"/>
    </row>
    <row r="252" spans="1:13" s="80" customFormat="1" ht="20.100000000000001" customHeight="1" x14ac:dyDescent="0.2">
      <c r="A252" s="188" t="s">
        <v>57</v>
      </c>
      <c r="B252" s="188"/>
      <c r="C252" s="188"/>
      <c r="D252" s="188"/>
      <c r="E252" s="188"/>
      <c r="F252" s="188"/>
      <c r="G252" s="188"/>
      <c r="H252" s="188"/>
      <c r="I252" s="188"/>
      <c r="J252" s="188"/>
      <c r="K252" s="188"/>
      <c r="L252" s="188"/>
      <c r="M252" s="188"/>
    </row>
    <row r="253" spans="1:13" s="80" customFormat="1" ht="20.100000000000001" customHeight="1" x14ac:dyDescent="0.2">
      <c r="A253" s="188" t="str">
        <f>A12</f>
        <v>Period Covered : JUNE 1-7, 2026</v>
      </c>
      <c r="B253" s="188"/>
      <c r="C253" s="188"/>
      <c r="D253" s="188"/>
      <c r="E253" s="188"/>
      <c r="F253" s="188"/>
      <c r="G253" s="188"/>
      <c r="H253" s="188"/>
      <c r="I253" s="188"/>
      <c r="J253" s="188"/>
      <c r="K253" s="188"/>
      <c r="L253" s="188"/>
      <c r="M253" s="188"/>
    </row>
    <row r="254" spans="1:13" s="80" customFormat="1" ht="10.5" customHeight="1" x14ac:dyDescent="0.2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</row>
    <row r="255" spans="1:13" s="80" customFormat="1" ht="20.100000000000001" customHeight="1" x14ac:dyDescent="0.2"/>
    <row r="256" spans="1:13" s="80" customFormat="1" ht="20.100000000000001" customHeight="1" x14ac:dyDescent="0.2">
      <c r="A256" s="80" t="s">
        <v>58</v>
      </c>
      <c r="B256" s="189" t="s">
        <v>0</v>
      </c>
      <c r="C256" s="189"/>
      <c r="D256" s="189"/>
    </row>
    <row r="257" spans="1:15" s="80" customFormat="1" ht="20.100000000000001" customHeight="1" x14ac:dyDescent="0.2">
      <c r="A257" s="80" t="s">
        <v>59</v>
      </c>
      <c r="B257" s="190" t="s">
        <v>78</v>
      </c>
      <c r="C257" s="190"/>
      <c r="D257" s="190"/>
    </row>
    <row r="258" spans="1:15" s="80" customFormat="1" ht="6" customHeight="1" x14ac:dyDescent="0.2"/>
    <row r="259" spans="1:15" s="80" customFormat="1" ht="39.75" customHeight="1" x14ac:dyDescent="0.2">
      <c r="A259" s="82" t="s">
        <v>60</v>
      </c>
      <c r="B259" s="82" t="s">
        <v>61</v>
      </c>
      <c r="C259" s="82" t="s">
        <v>62</v>
      </c>
      <c r="D259" s="82" t="s">
        <v>63</v>
      </c>
      <c r="E259" s="83" t="s">
        <v>64</v>
      </c>
      <c r="F259" s="83" t="s">
        <v>64</v>
      </c>
      <c r="G259" s="83" t="s">
        <v>64</v>
      </c>
      <c r="H259" s="83" t="s">
        <v>65</v>
      </c>
      <c r="I259" s="82" t="s">
        <v>66</v>
      </c>
      <c r="J259" s="82"/>
      <c r="K259" s="82"/>
      <c r="L259" s="82" t="s">
        <v>67</v>
      </c>
    </row>
    <row r="260" spans="1:15" s="80" customFormat="1" ht="39.75" customHeight="1" x14ac:dyDescent="0.2">
      <c r="A260" s="85" t="s">
        <v>99</v>
      </c>
      <c r="B260" s="84" t="s">
        <v>21</v>
      </c>
      <c r="C260" s="86"/>
      <c r="D260" s="86"/>
      <c r="E260" s="88"/>
      <c r="F260" s="86"/>
      <c r="G260" s="86"/>
      <c r="H260" s="93"/>
      <c r="I260" s="93">
        <v>0</v>
      </c>
      <c r="J260" s="86"/>
      <c r="K260" s="86"/>
      <c r="L260" s="84" t="s">
        <v>80</v>
      </c>
    </row>
    <row r="261" spans="1:15" s="80" customFormat="1" ht="20.100000000000001" customHeight="1" x14ac:dyDescent="0.2">
      <c r="A261" s="86"/>
      <c r="B261" s="86"/>
      <c r="C261" s="86"/>
      <c r="D261" s="86"/>
      <c r="E261" s="88">
        <v>46174</v>
      </c>
      <c r="F261" s="86"/>
      <c r="G261" s="86"/>
      <c r="H261" s="102"/>
      <c r="I261" s="102">
        <f>I260-H261</f>
        <v>0</v>
      </c>
      <c r="J261" s="86"/>
      <c r="K261" s="86"/>
      <c r="L261" s="84" t="s">
        <v>82</v>
      </c>
    </row>
    <row r="262" spans="1:15" s="80" customFormat="1" ht="20.100000000000001" customHeight="1" x14ac:dyDescent="0.2">
      <c r="A262" s="86"/>
      <c r="B262" s="86"/>
      <c r="C262" s="88"/>
      <c r="D262" s="103"/>
      <c r="E262" s="88">
        <v>46175</v>
      </c>
      <c r="F262" s="86"/>
      <c r="G262" s="86"/>
      <c r="H262" s="102"/>
      <c r="I262" s="102">
        <f t="shared" ref="I262:I266" si="7">I261-H262</f>
        <v>0</v>
      </c>
      <c r="J262" s="86"/>
      <c r="K262" s="86"/>
      <c r="L262" s="84" t="s">
        <v>82</v>
      </c>
    </row>
    <row r="263" spans="1:15" s="80" customFormat="1" ht="20.100000000000001" customHeight="1" x14ac:dyDescent="0.2">
      <c r="A263" s="86"/>
      <c r="B263" s="86"/>
      <c r="C263" s="88"/>
      <c r="D263" s="103"/>
      <c r="E263" s="88">
        <v>46176</v>
      </c>
      <c r="F263" s="86"/>
      <c r="G263" s="86"/>
      <c r="H263" s="102"/>
      <c r="I263" s="102">
        <f t="shared" si="7"/>
        <v>0</v>
      </c>
      <c r="J263" s="86"/>
      <c r="K263" s="86"/>
      <c r="L263" s="84" t="s">
        <v>82</v>
      </c>
    </row>
    <row r="264" spans="1:15" s="80" customFormat="1" ht="20.100000000000001" customHeight="1" x14ac:dyDescent="0.2">
      <c r="A264" s="86"/>
      <c r="B264" s="86"/>
      <c r="C264" s="88"/>
      <c r="D264" s="103"/>
      <c r="E264" s="88">
        <v>46177</v>
      </c>
      <c r="F264" s="86"/>
      <c r="G264" s="86"/>
      <c r="H264" s="119"/>
      <c r="I264" s="102">
        <f t="shared" si="7"/>
        <v>0</v>
      </c>
      <c r="J264" s="86"/>
      <c r="K264" s="86"/>
      <c r="L264" s="84" t="s">
        <v>82</v>
      </c>
    </row>
    <row r="265" spans="1:15" s="80" customFormat="1" ht="20.100000000000001" customHeight="1" x14ac:dyDescent="0.2">
      <c r="A265" s="86"/>
      <c r="B265" s="86"/>
      <c r="C265" s="88"/>
      <c r="D265" s="103"/>
      <c r="E265" s="88">
        <v>46178</v>
      </c>
      <c r="F265" s="86"/>
      <c r="G265" s="86"/>
      <c r="H265" s="119"/>
      <c r="I265" s="102">
        <f t="shared" si="7"/>
        <v>0</v>
      </c>
      <c r="J265" s="86"/>
      <c r="K265" s="86"/>
      <c r="L265" s="84" t="s">
        <v>82</v>
      </c>
    </row>
    <row r="266" spans="1:15" s="80" customFormat="1" ht="20.100000000000001" customHeight="1" x14ac:dyDescent="0.2">
      <c r="A266" s="86"/>
      <c r="B266" s="86"/>
      <c r="C266" s="88"/>
      <c r="D266" s="103"/>
      <c r="E266" s="88">
        <v>46179</v>
      </c>
      <c r="F266" s="112"/>
      <c r="G266" s="111"/>
      <c r="H266" s="112"/>
      <c r="I266" s="102">
        <f t="shared" si="7"/>
        <v>0</v>
      </c>
      <c r="J266" s="86"/>
      <c r="K266" s="86"/>
      <c r="L266" s="84" t="s">
        <v>82</v>
      </c>
    </row>
    <row r="267" spans="1:15" s="80" customFormat="1" ht="20.100000000000001" customHeight="1" x14ac:dyDescent="0.2">
      <c r="A267" s="86"/>
      <c r="B267" s="86"/>
      <c r="C267" s="88"/>
      <c r="D267" s="113"/>
      <c r="E267" s="88">
        <v>46180</v>
      </c>
      <c r="F267" s="112"/>
      <c r="G267" s="111"/>
      <c r="H267" s="112"/>
      <c r="I267" s="118">
        <f>I266</f>
        <v>0</v>
      </c>
      <c r="J267" s="86"/>
      <c r="K267" s="86"/>
      <c r="L267" s="84" t="s">
        <v>82</v>
      </c>
      <c r="O267" s="91"/>
    </row>
    <row r="268" spans="1:15" s="80" customFormat="1" ht="20.100000000000001" customHeight="1" x14ac:dyDescent="0.2">
      <c r="A268" s="86"/>
      <c r="B268" s="86"/>
      <c r="C268" s="88"/>
      <c r="D268" s="103"/>
      <c r="E268" s="88"/>
      <c r="F268" s="112"/>
      <c r="G268" s="111"/>
      <c r="H268" s="112"/>
      <c r="I268" s="104">
        <f>I267</f>
        <v>0</v>
      </c>
      <c r="J268" s="109"/>
      <c r="K268" s="109"/>
      <c r="L268" s="110" t="s">
        <v>79</v>
      </c>
      <c r="O268" s="91">
        <f>I268+[1]sheet!$I$241</f>
        <v>1111</v>
      </c>
    </row>
    <row r="269" spans="1:15" s="80" customFormat="1" ht="20.100000000000001" customHeight="1" x14ac:dyDescent="0.2">
      <c r="A269" s="86"/>
      <c r="B269" s="86"/>
      <c r="C269" s="88"/>
      <c r="D269" s="103"/>
      <c r="E269" s="88"/>
      <c r="F269" s="86"/>
      <c r="G269" s="86"/>
      <c r="H269" s="102"/>
      <c r="I269" s="118"/>
      <c r="J269" s="86"/>
      <c r="K269" s="86"/>
      <c r="L269" s="82"/>
      <c r="O269" s="91"/>
    </row>
    <row r="270" spans="1:15" s="80" customFormat="1" ht="20.100000000000001" customHeight="1" x14ac:dyDescent="0.2">
      <c r="A270" s="86"/>
      <c r="B270" s="86"/>
      <c r="C270" s="88"/>
      <c r="D270" s="92"/>
      <c r="E270" s="88"/>
      <c r="F270" s="86"/>
      <c r="G270" s="86"/>
      <c r="H270" s="87"/>
      <c r="I270" s="112"/>
      <c r="J270" s="111"/>
      <c r="K270" s="111"/>
      <c r="L270" s="115"/>
    </row>
    <row r="271" spans="1:15" s="80" customFormat="1" ht="20.100000000000001" customHeight="1" x14ac:dyDescent="0.2">
      <c r="A271" s="86"/>
      <c r="B271" s="86"/>
      <c r="C271" s="88"/>
      <c r="D271" s="92"/>
      <c r="E271" s="88"/>
      <c r="F271" s="86"/>
      <c r="G271" s="86"/>
      <c r="H271" s="87"/>
      <c r="I271" s="112"/>
      <c r="J271" s="111"/>
      <c r="K271" s="111"/>
      <c r="L271" s="115"/>
      <c r="O271" s="91"/>
    </row>
    <row r="272" spans="1:15" s="80" customFormat="1" ht="20.100000000000001" customHeight="1" x14ac:dyDescent="0.2">
      <c r="A272" s="86"/>
      <c r="B272" s="86"/>
      <c r="C272" s="88"/>
      <c r="D272" s="92"/>
      <c r="E272" s="88"/>
      <c r="F272" s="86"/>
      <c r="G272" s="86"/>
      <c r="H272" s="87"/>
      <c r="I272" s="87"/>
      <c r="J272" s="86"/>
      <c r="K272" s="86"/>
      <c r="L272" s="84"/>
    </row>
    <row r="273" spans="1:26" ht="21" customHeight="1" x14ac:dyDescent="0.25">
      <c r="A273" s="78"/>
      <c r="B273" s="77"/>
      <c r="D273" s="77"/>
      <c r="F273" s="77"/>
      <c r="G273" s="77"/>
      <c r="I273" s="77"/>
      <c r="J273" s="78"/>
      <c r="K273" s="77"/>
      <c r="L273" s="77"/>
      <c r="N273" s="77"/>
      <c r="O273" s="77"/>
      <c r="P273" s="191"/>
      <c r="Q273" s="191"/>
      <c r="X273" s="77"/>
      <c r="Y273" s="77"/>
      <c r="Z273" s="77"/>
    </row>
    <row r="274" spans="1:26" s="80" customFormat="1" ht="21.75" customHeight="1" x14ac:dyDescent="0.2">
      <c r="A274" s="78" t="s">
        <v>90</v>
      </c>
      <c r="B274" s="78"/>
      <c r="E274" s="107" t="s">
        <v>89</v>
      </c>
      <c r="F274" s="78"/>
      <c r="G274" s="78"/>
      <c r="I274" s="78" t="s">
        <v>81</v>
      </c>
      <c r="J274" s="78"/>
      <c r="K274" s="78"/>
      <c r="S274" s="89"/>
      <c r="W274" s="89"/>
      <c r="X274" s="78"/>
      <c r="Y274" s="78"/>
    </row>
    <row r="275" spans="1:26" s="80" customFormat="1" ht="21.75" customHeight="1" x14ac:dyDescent="0.2">
      <c r="A275" s="78"/>
      <c r="B275" s="78"/>
      <c r="D275" s="78"/>
      <c r="E275" s="94"/>
      <c r="F275" s="78"/>
      <c r="G275" s="78"/>
      <c r="I275" s="78"/>
      <c r="J275" s="78"/>
      <c r="K275" s="78"/>
      <c r="S275" s="89"/>
      <c r="W275" s="89"/>
      <c r="X275" s="78"/>
      <c r="Y275" s="78"/>
    </row>
    <row r="276" spans="1:26" ht="21" customHeight="1" x14ac:dyDescent="0.25">
      <c r="A276" s="78"/>
      <c r="B276" s="77"/>
      <c r="D276" s="77"/>
      <c r="E276" s="105"/>
      <c r="F276" s="77"/>
      <c r="G276" s="77"/>
      <c r="I276" s="77"/>
      <c r="J276" s="77"/>
      <c r="K276" s="77"/>
      <c r="O276" s="77"/>
      <c r="Q276" s="79"/>
      <c r="S276" s="77"/>
      <c r="X276" s="77"/>
      <c r="Y276" s="77"/>
      <c r="Z276" s="77"/>
    </row>
    <row r="277" spans="1:26" s="80" customFormat="1" ht="21" customHeight="1" x14ac:dyDescent="0.2">
      <c r="A277" s="81" t="str">
        <f>A35</f>
        <v>MR. JOHNNY U. GALENG</v>
      </c>
      <c r="B277" s="81"/>
      <c r="C277" s="81" t="str">
        <f>C236</f>
        <v>MR. JOHN XERCES C. ANTIPUESTO</v>
      </c>
      <c r="E277" s="106" t="s">
        <v>88</v>
      </c>
      <c r="F277" s="81"/>
      <c r="G277" s="81"/>
      <c r="I277" s="81" t="str">
        <f>I35</f>
        <v>ENGR. EDWIN B. BATAL</v>
      </c>
      <c r="J277" s="81"/>
      <c r="K277" s="81"/>
      <c r="O277" s="78"/>
      <c r="Q277" s="90"/>
    </row>
    <row r="278" spans="1:26" s="80" customFormat="1" ht="21" customHeight="1" x14ac:dyDescent="0.2">
      <c r="A278" s="78" t="s">
        <v>93</v>
      </c>
      <c r="B278" s="78"/>
      <c r="C278" s="78" t="s">
        <v>96</v>
      </c>
      <c r="D278" s="78"/>
      <c r="E278" s="107" t="s">
        <v>91</v>
      </c>
      <c r="F278" s="78"/>
      <c r="G278" s="78"/>
      <c r="I278" s="78" t="str">
        <f>I36</f>
        <v>Mine Explosives Asst. Manager</v>
      </c>
      <c r="J278" s="78"/>
      <c r="K278" s="78"/>
      <c r="O278" s="78"/>
      <c r="Q278" s="90"/>
    </row>
    <row r="279" spans="1:26" s="80" customFormat="1" ht="21" customHeight="1" x14ac:dyDescent="0.2">
      <c r="A279" s="78" t="s">
        <v>86</v>
      </c>
      <c r="B279" s="78"/>
      <c r="C279" s="78" t="s">
        <v>85</v>
      </c>
      <c r="D279" s="78"/>
      <c r="E279" s="107" t="s">
        <v>87</v>
      </c>
      <c r="F279" s="78"/>
      <c r="G279" s="78"/>
      <c r="I279" s="107"/>
      <c r="J279" s="78"/>
      <c r="O279" s="78"/>
      <c r="Q279" s="90"/>
    </row>
    <row r="280" spans="1:26" s="80" customFormat="1" ht="11.25" customHeight="1" x14ac:dyDescent="0.25">
      <c r="A280" s="76"/>
      <c r="B280" s="78"/>
      <c r="D280" s="78"/>
      <c r="E280" s="78"/>
      <c r="F280" s="78"/>
      <c r="G280" s="78"/>
      <c r="I280" s="78"/>
      <c r="J280" s="78"/>
      <c r="O280" s="78"/>
      <c r="Q280" s="90"/>
    </row>
    <row r="281" spans="1:26" s="80" customFormat="1" ht="11.25" customHeight="1" x14ac:dyDescent="0.25">
      <c r="A281" s="76"/>
      <c r="B281" s="78"/>
      <c r="D281" s="78"/>
      <c r="E281" s="78"/>
      <c r="F281" s="78"/>
      <c r="G281" s="78"/>
      <c r="I281" s="78"/>
      <c r="J281" s="78"/>
      <c r="O281" s="78"/>
      <c r="Q281" s="90"/>
    </row>
    <row r="282" spans="1:26" ht="9.75" customHeight="1" x14ac:dyDescent="0.25"/>
    <row r="288" spans="1:26" ht="20.25" customHeight="1" x14ac:dyDescent="0.25"/>
    <row r="291" spans="1:15" s="80" customFormat="1" ht="20.100000000000001" customHeight="1" x14ac:dyDescent="0.2">
      <c r="A291" s="188" t="s">
        <v>56</v>
      </c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</row>
    <row r="292" spans="1:15" s="80" customFormat="1" ht="20.100000000000001" customHeight="1" x14ac:dyDescent="0.2">
      <c r="A292" s="188" t="s">
        <v>57</v>
      </c>
      <c r="B292" s="188"/>
      <c r="C292" s="188"/>
      <c r="D292" s="188"/>
      <c r="E292" s="188"/>
      <c r="F292" s="188"/>
      <c r="G292" s="188"/>
      <c r="H292" s="188"/>
      <c r="I292" s="188"/>
      <c r="J292" s="188"/>
      <c r="K292" s="188"/>
      <c r="L292" s="188"/>
      <c r="M292" s="188"/>
    </row>
    <row r="293" spans="1:15" s="80" customFormat="1" ht="20.100000000000001" customHeight="1" x14ac:dyDescent="0.2">
      <c r="A293" s="188" t="str">
        <f>A12</f>
        <v>Period Covered : JUNE 1-7, 2026</v>
      </c>
      <c r="B293" s="188"/>
      <c r="C293" s="188"/>
      <c r="D293" s="188"/>
      <c r="E293" s="188"/>
      <c r="F293" s="188"/>
      <c r="G293" s="188"/>
      <c r="H293" s="188"/>
      <c r="I293" s="188"/>
      <c r="J293" s="188"/>
      <c r="K293" s="188"/>
      <c r="L293" s="188"/>
      <c r="M293" s="188"/>
    </row>
    <row r="294" spans="1:15" s="80" customFormat="1" ht="20.100000000000001" customHeight="1" x14ac:dyDescent="0.2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</row>
    <row r="295" spans="1:15" s="80" customFormat="1" ht="20.100000000000001" customHeight="1" x14ac:dyDescent="0.2"/>
    <row r="296" spans="1:15" s="80" customFormat="1" ht="20.100000000000001" customHeight="1" x14ac:dyDescent="0.2">
      <c r="A296" s="80" t="s">
        <v>58</v>
      </c>
      <c r="B296" s="189" t="s">
        <v>0</v>
      </c>
      <c r="C296" s="189"/>
      <c r="D296" s="189"/>
    </row>
    <row r="297" spans="1:15" s="80" customFormat="1" ht="20.100000000000001" customHeight="1" x14ac:dyDescent="0.2">
      <c r="A297" s="80" t="s">
        <v>59</v>
      </c>
      <c r="B297" s="190" t="s">
        <v>78</v>
      </c>
      <c r="C297" s="190"/>
      <c r="D297" s="190"/>
    </row>
    <row r="298" spans="1:15" s="80" customFormat="1" ht="6" customHeight="1" x14ac:dyDescent="0.2"/>
    <row r="299" spans="1:15" s="80" customFormat="1" ht="39.75" customHeight="1" x14ac:dyDescent="0.2">
      <c r="A299" s="82" t="s">
        <v>60</v>
      </c>
      <c r="B299" s="82" t="s">
        <v>61</v>
      </c>
      <c r="C299" s="82" t="s">
        <v>62</v>
      </c>
      <c r="D299" s="82" t="s">
        <v>63</v>
      </c>
      <c r="E299" s="83" t="s">
        <v>64</v>
      </c>
      <c r="F299" s="83" t="s">
        <v>64</v>
      </c>
      <c r="G299" s="83" t="s">
        <v>64</v>
      </c>
      <c r="H299" s="83" t="s">
        <v>65</v>
      </c>
      <c r="I299" s="82" t="s">
        <v>66</v>
      </c>
      <c r="J299" s="82"/>
      <c r="K299" s="82"/>
      <c r="L299" s="82" t="s">
        <v>67</v>
      </c>
    </row>
    <row r="300" spans="1:15" s="80" customFormat="1" ht="39.75" customHeight="1" x14ac:dyDescent="0.2">
      <c r="A300" s="85" t="s">
        <v>92</v>
      </c>
      <c r="B300" s="84" t="s">
        <v>21</v>
      </c>
      <c r="C300" s="86"/>
      <c r="D300" s="86"/>
      <c r="E300" s="88"/>
      <c r="F300" s="86"/>
      <c r="G300" s="86"/>
      <c r="H300" s="87"/>
      <c r="I300" s="127">
        <v>40800</v>
      </c>
      <c r="J300" s="86"/>
      <c r="K300" s="86"/>
      <c r="L300" s="84" t="s">
        <v>80</v>
      </c>
      <c r="O300" s="91"/>
    </row>
    <row r="301" spans="1:15" s="80" customFormat="1" ht="20.100000000000001" customHeight="1" x14ac:dyDescent="0.2">
      <c r="A301" s="86"/>
      <c r="B301" s="86"/>
      <c r="C301" s="88"/>
      <c r="D301" s="86"/>
      <c r="E301" s="88">
        <v>46174</v>
      </c>
      <c r="F301" s="86"/>
      <c r="G301" s="86"/>
      <c r="H301" s="102">
        <v>1365</v>
      </c>
      <c r="I301" s="128">
        <f>I300-H301</f>
        <v>39435</v>
      </c>
      <c r="J301" s="86"/>
      <c r="K301" s="86"/>
      <c r="L301" s="84" t="s">
        <v>68</v>
      </c>
    </row>
    <row r="302" spans="1:15" s="80" customFormat="1" ht="20.100000000000001" customHeight="1" x14ac:dyDescent="0.2">
      <c r="A302" s="86"/>
      <c r="B302" s="86"/>
      <c r="C302" s="88"/>
      <c r="D302" s="103"/>
      <c r="E302" s="88">
        <v>46175</v>
      </c>
      <c r="F302" s="86"/>
      <c r="G302" s="86"/>
      <c r="H302" s="102">
        <v>1584</v>
      </c>
      <c r="I302" s="128">
        <f t="shared" ref="I302:I308" si="8">I301-H302</f>
        <v>37851</v>
      </c>
      <c r="J302" s="86"/>
      <c r="K302" s="86"/>
      <c r="L302" s="84" t="s">
        <v>68</v>
      </c>
    </row>
    <row r="303" spans="1:15" s="80" customFormat="1" ht="20.100000000000001" customHeight="1" x14ac:dyDescent="0.2">
      <c r="A303" s="86"/>
      <c r="B303" s="86"/>
      <c r="C303" s="88"/>
      <c r="D303" s="103"/>
      <c r="E303" s="88">
        <v>46176</v>
      </c>
      <c r="F303" s="86"/>
      <c r="G303" s="86"/>
      <c r="H303" s="102">
        <v>1668</v>
      </c>
      <c r="I303" s="128">
        <f t="shared" si="8"/>
        <v>36183</v>
      </c>
      <c r="J303" s="86"/>
      <c r="K303" s="86"/>
      <c r="L303" s="84" t="s">
        <v>68</v>
      </c>
    </row>
    <row r="304" spans="1:15" s="80" customFormat="1" ht="20.100000000000001" customHeight="1" x14ac:dyDescent="0.2">
      <c r="A304" s="86"/>
      <c r="B304" s="86"/>
      <c r="C304" s="88"/>
      <c r="D304" s="103"/>
      <c r="E304" s="88">
        <v>46177</v>
      </c>
      <c r="F304" s="86"/>
      <c r="G304" s="86"/>
      <c r="H304" s="119">
        <v>1677</v>
      </c>
      <c r="I304" s="128">
        <f t="shared" si="8"/>
        <v>34506</v>
      </c>
      <c r="J304" s="86"/>
      <c r="K304" s="86"/>
      <c r="L304" s="84" t="s">
        <v>68</v>
      </c>
    </row>
    <row r="305" spans="1:26" s="80" customFormat="1" ht="20.100000000000001" customHeight="1" x14ac:dyDescent="0.2">
      <c r="A305" s="86"/>
      <c r="B305" s="86"/>
      <c r="C305" s="88"/>
      <c r="D305" s="103"/>
      <c r="E305" s="88">
        <v>46178</v>
      </c>
      <c r="F305" s="86"/>
      <c r="G305" s="86"/>
      <c r="H305" s="119">
        <v>1689</v>
      </c>
      <c r="I305" s="128">
        <f t="shared" si="8"/>
        <v>32817</v>
      </c>
      <c r="J305" s="86"/>
      <c r="K305" s="86"/>
      <c r="L305" s="84" t="s">
        <v>68</v>
      </c>
    </row>
    <row r="306" spans="1:26" s="80" customFormat="1" ht="19.5" customHeight="1" x14ac:dyDescent="0.2">
      <c r="A306" s="86"/>
      <c r="B306" s="86"/>
      <c r="C306" s="88"/>
      <c r="D306" s="125"/>
      <c r="E306" s="88">
        <v>46179</v>
      </c>
      <c r="F306" s="126"/>
      <c r="G306" s="126"/>
      <c r="H306" s="82">
        <v>1847</v>
      </c>
      <c r="I306" s="128">
        <f t="shared" si="8"/>
        <v>30970</v>
      </c>
      <c r="J306" s="126"/>
      <c r="K306" s="126"/>
      <c r="L306" s="84" t="s">
        <v>68</v>
      </c>
    </row>
    <row r="307" spans="1:26" s="80" customFormat="1" ht="20.100000000000001" customHeight="1" x14ac:dyDescent="0.2">
      <c r="A307" s="86"/>
      <c r="B307" s="86"/>
      <c r="C307" s="88">
        <v>46179</v>
      </c>
      <c r="D307" s="125">
        <v>10800</v>
      </c>
      <c r="F307" s="112"/>
      <c r="G307" s="111"/>
      <c r="H307" s="112"/>
      <c r="I307" s="128">
        <f>I306+D307</f>
        <v>41770</v>
      </c>
      <c r="J307" s="86"/>
      <c r="K307" s="86"/>
      <c r="L307" s="84" t="s">
        <v>104</v>
      </c>
      <c r="Q307" s="108"/>
    </row>
    <row r="308" spans="1:26" s="80" customFormat="1" ht="20.100000000000001" customHeight="1" x14ac:dyDescent="0.2">
      <c r="A308" s="86"/>
      <c r="B308" s="86"/>
      <c r="C308" s="88"/>
      <c r="D308" s="137"/>
      <c r="E308" s="88">
        <v>46180</v>
      </c>
      <c r="F308" s="86"/>
      <c r="G308" s="86"/>
      <c r="H308" s="119">
        <v>1285</v>
      </c>
      <c r="I308" s="128">
        <f t="shared" si="8"/>
        <v>40485</v>
      </c>
      <c r="J308" s="86"/>
      <c r="K308" s="86"/>
      <c r="L308" s="84" t="s">
        <v>68</v>
      </c>
      <c r="O308" s="90"/>
    </row>
    <row r="309" spans="1:26" s="80" customFormat="1" ht="20.100000000000001" customHeight="1" x14ac:dyDescent="0.2">
      <c r="A309" s="86"/>
      <c r="B309" s="86"/>
      <c r="C309" s="88"/>
      <c r="D309" s="103"/>
      <c r="E309" s="88"/>
      <c r="F309" s="112"/>
      <c r="G309" s="111"/>
      <c r="H309" s="112"/>
      <c r="I309" s="129">
        <f>I308</f>
        <v>40485</v>
      </c>
      <c r="J309" s="109"/>
      <c r="K309" s="109"/>
      <c r="L309" s="110" t="s">
        <v>79</v>
      </c>
      <c r="O309" s="91">
        <f>I309+[1]sheet!$I$278</f>
        <v>48481</v>
      </c>
    </row>
    <row r="310" spans="1:26" s="80" customFormat="1" ht="20.100000000000001" customHeight="1" x14ac:dyDescent="0.2">
      <c r="A310" s="86"/>
      <c r="B310" s="86"/>
      <c r="C310" s="88"/>
      <c r="D310" s="117"/>
      <c r="E310" s="88"/>
      <c r="F310" s="86"/>
      <c r="G310" s="86"/>
      <c r="H310" s="102"/>
      <c r="I310" s="135"/>
      <c r="J310" s="138"/>
      <c r="K310" s="138"/>
      <c r="L310" s="139"/>
      <c r="O310" s="99"/>
      <c r="S310" s="80">
        <v>14250</v>
      </c>
    </row>
    <row r="311" spans="1:26" s="80" customFormat="1" ht="20.100000000000001" customHeight="1" x14ac:dyDescent="0.2">
      <c r="A311" s="86"/>
      <c r="B311" s="86"/>
      <c r="C311" s="88"/>
      <c r="D311" s="92"/>
      <c r="E311" s="88"/>
      <c r="F311" s="86"/>
      <c r="G311" s="86"/>
      <c r="H311" s="87"/>
      <c r="I311" s="118"/>
      <c r="J311" s="86"/>
      <c r="K311" s="86"/>
      <c r="L311" s="82"/>
      <c r="O311" s="91"/>
    </row>
    <row r="312" spans="1:26" s="80" customFormat="1" ht="20.100000000000001" customHeight="1" x14ac:dyDescent="0.2">
      <c r="A312" s="86"/>
      <c r="B312" s="86"/>
      <c r="C312" s="88"/>
      <c r="D312" s="92"/>
      <c r="E312" s="88"/>
      <c r="F312" s="86"/>
      <c r="G312" s="86"/>
      <c r="H312" s="87"/>
      <c r="I312" s="112"/>
      <c r="J312" s="111"/>
      <c r="K312" s="111"/>
      <c r="L312" s="115"/>
    </row>
    <row r="313" spans="1:26" s="80" customFormat="1" ht="20.100000000000001" customHeight="1" x14ac:dyDescent="0.2">
      <c r="A313" s="86"/>
      <c r="B313" s="86"/>
      <c r="C313" s="88"/>
      <c r="D313" s="92"/>
      <c r="E313" s="88"/>
      <c r="F313" s="86"/>
      <c r="G313" s="86"/>
      <c r="H313" s="87"/>
      <c r="I313" s="112"/>
      <c r="J313" s="111"/>
      <c r="K313" s="111"/>
      <c r="L313" s="115"/>
      <c r="O313" s="91"/>
    </row>
    <row r="314" spans="1:26" ht="10.5" customHeight="1" x14ac:dyDescent="0.25">
      <c r="A314" s="78"/>
      <c r="B314" s="77"/>
      <c r="D314" s="77"/>
      <c r="F314" s="77"/>
      <c r="G314" s="77"/>
      <c r="I314" s="77"/>
      <c r="J314" s="78"/>
      <c r="K314" s="77"/>
      <c r="L314" s="77"/>
      <c r="N314" s="77"/>
      <c r="O314" s="77"/>
      <c r="P314" s="191"/>
      <c r="Q314" s="191"/>
      <c r="X314" s="77"/>
      <c r="Y314" s="77"/>
      <c r="Z314" s="77"/>
    </row>
    <row r="315" spans="1:26" ht="11.25" customHeight="1" x14ac:dyDescent="0.25">
      <c r="A315" s="78"/>
      <c r="B315" s="77"/>
      <c r="D315" s="77"/>
      <c r="F315" s="77"/>
      <c r="G315" s="77"/>
      <c r="I315" s="77"/>
      <c r="J315" s="78"/>
      <c r="K315" s="77"/>
      <c r="L315" s="77"/>
      <c r="N315" s="77"/>
      <c r="O315" s="77"/>
      <c r="P315" s="121"/>
      <c r="Q315" s="121"/>
      <c r="X315" s="77"/>
      <c r="Y315" s="77"/>
      <c r="Z315" s="77"/>
    </row>
    <row r="316" spans="1:26" s="80" customFormat="1" ht="21.75" customHeight="1" x14ac:dyDescent="0.2">
      <c r="A316" s="78" t="s">
        <v>90</v>
      </c>
      <c r="B316" s="78"/>
      <c r="E316" s="107" t="s">
        <v>89</v>
      </c>
      <c r="F316" s="78"/>
      <c r="G316" s="78"/>
      <c r="I316" s="78" t="s">
        <v>81</v>
      </c>
      <c r="J316" s="78"/>
      <c r="K316" s="78"/>
      <c r="S316" s="89"/>
      <c r="W316" s="89"/>
      <c r="X316" s="78"/>
      <c r="Y316" s="78"/>
    </row>
    <row r="317" spans="1:26" ht="16.5" customHeight="1" x14ac:dyDescent="0.25">
      <c r="A317" s="78"/>
      <c r="B317" s="78"/>
      <c r="C317" s="80"/>
      <c r="D317" s="78"/>
      <c r="E317" s="94"/>
      <c r="F317" s="78"/>
      <c r="G317" s="78"/>
      <c r="H317" s="80"/>
      <c r="I317" s="78"/>
      <c r="J317" s="78"/>
      <c r="K317" s="78"/>
      <c r="L317" s="80"/>
      <c r="O317" s="77"/>
      <c r="Q317" s="79"/>
      <c r="S317" s="77"/>
      <c r="X317" s="77"/>
      <c r="Y317" s="77"/>
      <c r="Z317" s="77"/>
    </row>
    <row r="318" spans="1:26" s="80" customFormat="1" ht="21" customHeight="1" x14ac:dyDescent="0.25">
      <c r="A318" s="78"/>
      <c r="B318" s="77"/>
      <c r="C318" s="76"/>
      <c r="D318" s="77"/>
      <c r="E318" s="105"/>
      <c r="F318" s="77"/>
      <c r="G318" s="77"/>
      <c r="H318" s="76"/>
      <c r="I318" s="77"/>
      <c r="J318" s="77"/>
      <c r="K318" s="77"/>
      <c r="L318" s="76"/>
      <c r="O318" s="78"/>
      <c r="Q318" s="90"/>
    </row>
    <row r="319" spans="1:26" s="80" customFormat="1" ht="21" customHeight="1" x14ac:dyDescent="0.2">
      <c r="A319" s="81" t="str">
        <f>A35</f>
        <v>MR. JOHNNY U. GALENG</v>
      </c>
      <c r="B319" s="81"/>
      <c r="C319" s="81" t="str">
        <f>C35</f>
        <v>MR. JOHN XERCES C. ANTIPUESTO</v>
      </c>
      <c r="E319" s="106" t="s">
        <v>88</v>
      </c>
      <c r="F319" s="81"/>
      <c r="G319" s="81"/>
      <c r="I319" s="81" t="str">
        <f>I35</f>
        <v>ENGR. EDWIN B. BATAL</v>
      </c>
      <c r="J319" s="81"/>
      <c r="K319" s="81"/>
      <c r="O319" s="78"/>
      <c r="Q319" s="90"/>
    </row>
    <row r="320" spans="1:26" s="80" customFormat="1" ht="21" customHeight="1" x14ac:dyDescent="0.2">
      <c r="A320" s="78" t="s">
        <v>93</v>
      </c>
      <c r="B320" s="78"/>
      <c r="C320" s="78" t="s">
        <v>96</v>
      </c>
      <c r="D320" s="78"/>
      <c r="E320" s="107" t="s">
        <v>91</v>
      </c>
      <c r="F320" s="78"/>
      <c r="G320" s="78"/>
      <c r="I320" s="78" t="str">
        <f>I36</f>
        <v>Mine Explosives Asst. Manager</v>
      </c>
      <c r="J320" s="78"/>
      <c r="K320" s="78"/>
      <c r="O320" s="78"/>
      <c r="Q320" s="90"/>
    </row>
    <row r="321" spans="1:17" s="80" customFormat="1" ht="21" customHeight="1" x14ac:dyDescent="0.2">
      <c r="A321" s="78" t="s">
        <v>86</v>
      </c>
      <c r="B321" s="78"/>
      <c r="C321" s="78" t="s">
        <v>85</v>
      </c>
      <c r="D321" s="78"/>
      <c r="E321" s="107" t="s">
        <v>87</v>
      </c>
      <c r="F321" s="78"/>
      <c r="G321" s="78"/>
      <c r="I321" s="107"/>
      <c r="J321" s="78"/>
      <c r="O321" s="78"/>
      <c r="Q321" s="90"/>
    </row>
    <row r="322" spans="1:17" s="80" customFormat="1" ht="9.75" customHeight="1" x14ac:dyDescent="0.2">
      <c r="A322" s="78"/>
      <c r="B322" s="78"/>
      <c r="D322" s="78"/>
      <c r="E322" s="78"/>
      <c r="F322" s="78"/>
      <c r="G322" s="78"/>
      <c r="I322" s="78"/>
      <c r="J322" s="78"/>
      <c r="O322" s="78"/>
      <c r="Q322" s="90"/>
    </row>
    <row r="328" spans="1:17" ht="20.25" customHeight="1" x14ac:dyDescent="0.25"/>
    <row r="330" spans="1:17" ht="31.5" customHeight="1" x14ac:dyDescent="0.25"/>
    <row r="331" spans="1:17" s="80" customFormat="1" ht="20.100000000000001" customHeight="1" x14ac:dyDescent="0.2">
      <c r="A331" s="188" t="s">
        <v>56</v>
      </c>
      <c r="B331" s="188"/>
      <c r="C331" s="188"/>
      <c r="D331" s="188"/>
      <c r="E331" s="188"/>
      <c r="F331" s="188"/>
      <c r="G331" s="188"/>
      <c r="H331" s="188"/>
      <c r="I331" s="188"/>
      <c r="J331" s="188"/>
      <c r="K331" s="188"/>
      <c r="L331" s="188"/>
      <c r="M331" s="188"/>
    </row>
    <row r="332" spans="1:17" s="80" customFormat="1" ht="20.100000000000001" customHeight="1" x14ac:dyDescent="0.2">
      <c r="A332" s="188" t="s">
        <v>57</v>
      </c>
      <c r="B332" s="188"/>
      <c r="C332" s="188"/>
      <c r="D332" s="188"/>
      <c r="E332" s="188"/>
      <c r="F332" s="188"/>
      <c r="G332" s="188"/>
      <c r="H332" s="188"/>
      <c r="I332" s="188"/>
      <c r="J332" s="188"/>
      <c r="K332" s="188"/>
      <c r="L332" s="188"/>
      <c r="M332" s="188"/>
    </row>
    <row r="333" spans="1:17" s="80" customFormat="1" ht="20.100000000000001" customHeight="1" x14ac:dyDescent="0.2">
      <c r="A333" s="188" t="str">
        <f>A12</f>
        <v>Period Covered : JUNE 1-7, 2026</v>
      </c>
      <c r="B333" s="188"/>
      <c r="C333" s="188"/>
      <c r="D333" s="188"/>
      <c r="E333" s="188"/>
      <c r="F333" s="188"/>
      <c r="G333" s="188"/>
      <c r="H333" s="188"/>
      <c r="I333" s="188"/>
      <c r="J333" s="188"/>
      <c r="K333" s="188"/>
      <c r="L333" s="188"/>
      <c r="M333" s="188"/>
    </row>
    <row r="334" spans="1:17" s="80" customFormat="1" ht="20.100000000000001" customHeight="1" x14ac:dyDescent="0.2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</row>
    <row r="335" spans="1:17" s="80" customFormat="1" ht="20.100000000000001" customHeight="1" x14ac:dyDescent="0.2"/>
    <row r="336" spans="1:17" s="80" customFormat="1" ht="20.100000000000001" customHeight="1" x14ac:dyDescent="0.2">
      <c r="A336" s="80" t="s">
        <v>58</v>
      </c>
      <c r="B336" s="189" t="s">
        <v>0</v>
      </c>
      <c r="C336" s="189"/>
      <c r="D336" s="189"/>
    </row>
    <row r="337" spans="1:26" s="80" customFormat="1" ht="20.100000000000001" customHeight="1" x14ac:dyDescent="0.2">
      <c r="A337" s="80" t="s">
        <v>59</v>
      </c>
      <c r="B337" s="190" t="s">
        <v>78</v>
      </c>
      <c r="C337" s="190"/>
      <c r="D337" s="190"/>
    </row>
    <row r="338" spans="1:26" s="80" customFormat="1" ht="6" customHeight="1" x14ac:dyDescent="0.2"/>
    <row r="339" spans="1:26" s="80" customFormat="1" ht="39.75" customHeight="1" x14ac:dyDescent="0.2">
      <c r="A339" s="82" t="s">
        <v>60</v>
      </c>
      <c r="B339" s="82" t="s">
        <v>61</v>
      </c>
      <c r="C339" s="82" t="s">
        <v>62</v>
      </c>
      <c r="D339" s="82" t="s">
        <v>63</v>
      </c>
      <c r="E339" s="83" t="s">
        <v>64</v>
      </c>
      <c r="F339" s="83" t="s">
        <v>64</v>
      </c>
      <c r="G339" s="83" t="s">
        <v>64</v>
      </c>
      <c r="H339" s="83" t="s">
        <v>65</v>
      </c>
      <c r="I339" s="82" t="s">
        <v>66</v>
      </c>
      <c r="J339" s="82"/>
      <c r="K339" s="82"/>
      <c r="L339" s="82" t="s">
        <v>67</v>
      </c>
    </row>
    <row r="340" spans="1:26" s="80" customFormat="1" ht="39.75" customHeight="1" x14ac:dyDescent="0.2">
      <c r="A340" s="85" t="s">
        <v>74</v>
      </c>
      <c r="B340" s="84" t="s">
        <v>21</v>
      </c>
      <c r="C340" s="86"/>
      <c r="D340" s="86"/>
      <c r="E340" s="88"/>
      <c r="F340" s="86"/>
      <c r="G340" s="86"/>
      <c r="H340" s="93"/>
      <c r="I340" s="93">
        <v>0</v>
      </c>
      <c r="J340" s="86"/>
      <c r="K340" s="86"/>
      <c r="L340" s="84" t="s">
        <v>80</v>
      </c>
      <c r="M340" s="91"/>
    </row>
    <row r="341" spans="1:26" s="80" customFormat="1" ht="20.100000000000001" customHeight="1" x14ac:dyDescent="0.2">
      <c r="A341" s="86"/>
      <c r="B341" s="86"/>
      <c r="C341" s="88"/>
      <c r="D341" s="86"/>
      <c r="E341" s="88">
        <v>46174</v>
      </c>
      <c r="F341" s="86"/>
      <c r="G341" s="86"/>
      <c r="H341" s="102"/>
      <c r="I341" s="102">
        <f>I340-H341</f>
        <v>0</v>
      </c>
      <c r="J341" s="86"/>
      <c r="K341" s="86"/>
      <c r="L341" s="84" t="s">
        <v>82</v>
      </c>
    </row>
    <row r="342" spans="1:26" s="80" customFormat="1" ht="20.100000000000001" customHeight="1" x14ac:dyDescent="0.2">
      <c r="A342" s="86"/>
      <c r="B342" s="86"/>
      <c r="C342" s="88"/>
      <c r="D342" s="103"/>
      <c r="E342" s="88">
        <v>46175</v>
      </c>
      <c r="F342" s="86"/>
      <c r="G342" s="86"/>
      <c r="H342" s="102"/>
      <c r="I342" s="102">
        <f t="shared" ref="I342:I347" si="9">I341-H342</f>
        <v>0</v>
      </c>
      <c r="J342" s="86"/>
      <c r="K342" s="86"/>
      <c r="L342" s="84" t="s">
        <v>82</v>
      </c>
    </row>
    <row r="343" spans="1:26" s="80" customFormat="1" ht="20.100000000000001" customHeight="1" x14ac:dyDescent="0.2">
      <c r="A343" s="86"/>
      <c r="B343" s="86"/>
      <c r="C343" s="88"/>
      <c r="D343" s="103"/>
      <c r="E343" s="88">
        <v>46176</v>
      </c>
      <c r="F343" s="86"/>
      <c r="G343" s="86"/>
      <c r="H343" s="102"/>
      <c r="I343" s="102">
        <f t="shared" si="9"/>
        <v>0</v>
      </c>
      <c r="J343" s="86"/>
      <c r="K343" s="86"/>
      <c r="L343" s="84" t="s">
        <v>82</v>
      </c>
    </row>
    <row r="344" spans="1:26" s="80" customFormat="1" ht="20.100000000000001" customHeight="1" x14ac:dyDescent="0.2">
      <c r="A344" s="86"/>
      <c r="B344" s="86"/>
      <c r="C344" s="88"/>
      <c r="D344" s="103"/>
      <c r="E344" s="88">
        <v>46177</v>
      </c>
      <c r="F344" s="86"/>
      <c r="G344" s="86"/>
      <c r="H344" s="119"/>
      <c r="I344" s="102">
        <f t="shared" si="9"/>
        <v>0</v>
      </c>
      <c r="J344" s="86"/>
      <c r="K344" s="86"/>
      <c r="L344" s="84" t="s">
        <v>82</v>
      </c>
    </row>
    <row r="345" spans="1:26" s="80" customFormat="1" ht="20.100000000000001" customHeight="1" x14ac:dyDescent="0.2">
      <c r="A345" s="86"/>
      <c r="B345" s="86"/>
      <c r="C345" s="88"/>
      <c r="D345" s="103"/>
      <c r="E345" s="88">
        <v>46178</v>
      </c>
      <c r="F345" s="86"/>
      <c r="G345" s="86"/>
      <c r="H345" s="119"/>
      <c r="I345" s="102">
        <f t="shared" si="9"/>
        <v>0</v>
      </c>
      <c r="J345" s="86"/>
      <c r="K345" s="86"/>
      <c r="L345" s="84" t="s">
        <v>82</v>
      </c>
    </row>
    <row r="346" spans="1:26" s="80" customFormat="1" ht="20.100000000000001" customHeight="1" x14ac:dyDescent="0.2">
      <c r="A346" s="86"/>
      <c r="B346" s="86"/>
      <c r="C346" s="88"/>
      <c r="D346" s="103"/>
      <c r="E346" s="88">
        <v>46179</v>
      </c>
      <c r="F346" s="112"/>
      <c r="G346" s="111"/>
      <c r="H346" s="112"/>
      <c r="I346" s="102">
        <f t="shared" si="9"/>
        <v>0</v>
      </c>
      <c r="J346" s="86"/>
      <c r="K346" s="86"/>
      <c r="L346" s="84" t="s">
        <v>82</v>
      </c>
    </row>
    <row r="347" spans="1:26" s="80" customFormat="1" ht="20.100000000000001" customHeight="1" x14ac:dyDescent="0.2">
      <c r="A347" s="86"/>
      <c r="B347" s="86"/>
      <c r="C347" s="88"/>
      <c r="D347" s="103"/>
      <c r="E347" s="88">
        <v>46180</v>
      </c>
      <c r="F347" s="112"/>
      <c r="G347" s="111"/>
      <c r="H347" s="112"/>
      <c r="I347" s="102">
        <f t="shared" si="9"/>
        <v>0</v>
      </c>
      <c r="J347" s="86"/>
      <c r="K347" s="86"/>
      <c r="L347" s="84" t="s">
        <v>82</v>
      </c>
      <c r="O347" s="91"/>
    </row>
    <row r="348" spans="1:26" s="80" customFormat="1" ht="20.100000000000001" customHeight="1" x14ac:dyDescent="0.2">
      <c r="A348" s="86"/>
      <c r="B348" s="86"/>
      <c r="C348" s="88"/>
      <c r="D348" s="103"/>
      <c r="E348" s="88"/>
      <c r="F348" s="112"/>
      <c r="G348" s="111"/>
      <c r="H348" s="112"/>
      <c r="I348" s="104">
        <f>I347</f>
        <v>0</v>
      </c>
      <c r="J348" s="109"/>
      <c r="K348" s="109"/>
      <c r="L348" s="110" t="s">
        <v>79</v>
      </c>
      <c r="O348" s="91">
        <f>I348+[1]sheet!$I$313</f>
        <v>16364</v>
      </c>
    </row>
    <row r="349" spans="1:26" s="80" customFormat="1" ht="20.100000000000001" customHeight="1" x14ac:dyDescent="0.2">
      <c r="A349" s="86"/>
      <c r="B349" s="86"/>
      <c r="C349" s="88"/>
      <c r="D349" s="117"/>
      <c r="E349" s="88"/>
      <c r="F349" s="86"/>
      <c r="G349" s="86"/>
      <c r="H349" s="102"/>
      <c r="I349" s="118"/>
      <c r="J349" s="86"/>
      <c r="K349" s="86"/>
      <c r="L349" s="82"/>
      <c r="O349" s="91"/>
    </row>
    <row r="350" spans="1:26" s="80" customFormat="1" ht="20.100000000000001" customHeight="1" x14ac:dyDescent="0.2">
      <c r="A350" s="86"/>
      <c r="B350" s="86"/>
      <c r="C350" s="88"/>
      <c r="D350" s="92"/>
      <c r="E350" s="88"/>
      <c r="F350" s="86"/>
      <c r="G350" s="86"/>
      <c r="H350" s="87"/>
      <c r="I350" s="118"/>
      <c r="J350" s="86"/>
      <c r="K350" s="86"/>
      <c r="L350" s="82"/>
      <c r="O350" s="108"/>
    </row>
    <row r="351" spans="1:26" s="80" customFormat="1" ht="20.100000000000001" customHeight="1" x14ac:dyDescent="0.2">
      <c r="A351" s="86"/>
      <c r="B351" s="86"/>
      <c r="C351" s="88"/>
      <c r="D351" s="92"/>
      <c r="E351" s="88"/>
      <c r="F351" s="86"/>
      <c r="G351" s="86"/>
      <c r="H351" s="87"/>
      <c r="I351" s="112"/>
      <c r="J351" s="111"/>
      <c r="K351" s="111"/>
      <c r="L351" s="115"/>
    </row>
    <row r="352" spans="1:26" ht="21" customHeight="1" x14ac:dyDescent="0.25">
      <c r="A352" s="78"/>
      <c r="B352" s="77"/>
      <c r="D352" s="77"/>
      <c r="F352" s="77"/>
      <c r="G352" s="77"/>
      <c r="I352" s="77"/>
      <c r="J352" s="78"/>
      <c r="K352" s="77"/>
      <c r="L352" s="77"/>
      <c r="N352" s="77"/>
      <c r="O352" s="77"/>
      <c r="P352" s="191"/>
      <c r="Q352" s="191"/>
      <c r="X352" s="77"/>
      <c r="Y352" s="77"/>
      <c r="Z352" s="77"/>
    </row>
    <row r="353" spans="1:26" s="80" customFormat="1" ht="21.75" customHeight="1" x14ac:dyDescent="0.2">
      <c r="A353" s="78" t="s">
        <v>90</v>
      </c>
      <c r="B353" s="78"/>
      <c r="E353" s="107" t="s">
        <v>89</v>
      </c>
      <c r="F353" s="78"/>
      <c r="G353" s="78"/>
      <c r="I353" s="78" t="s">
        <v>81</v>
      </c>
      <c r="J353" s="78"/>
      <c r="K353" s="78"/>
      <c r="S353" s="89"/>
      <c r="W353" s="89"/>
      <c r="X353" s="78"/>
      <c r="Y353" s="78"/>
    </row>
    <row r="354" spans="1:26" s="80" customFormat="1" ht="18" customHeight="1" x14ac:dyDescent="0.2">
      <c r="A354" s="78"/>
      <c r="B354" s="78"/>
      <c r="D354" s="78"/>
      <c r="E354" s="94"/>
      <c r="F354" s="78"/>
      <c r="G354" s="78"/>
      <c r="I354" s="78"/>
      <c r="J354" s="78"/>
      <c r="K354" s="78"/>
      <c r="S354" s="89"/>
      <c r="W354" s="89"/>
      <c r="X354" s="78"/>
      <c r="Y354" s="78"/>
    </row>
    <row r="355" spans="1:26" ht="21" customHeight="1" x14ac:dyDescent="0.25">
      <c r="A355" s="78"/>
      <c r="B355" s="77"/>
      <c r="D355" s="77"/>
      <c r="E355" s="105"/>
      <c r="F355" s="77"/>
      <c r="G355" s="77"/>
      <c r="I355" s="77"/>
      <c r="J355" s="77"/>
      <c r="K355" s="77"/>
      <c r="O355" s="77"/>
      <c r="Q355" s="79"/>
      <c r="S355" s="77"/>
      <c r="X355" s="77"/>
      <c r="Y355" s="77"/>
      <c r="Z355" s="77"/>
    </row>
    <row r="356" spans="1:26" s="80" customFormat="1" ht="21" customHeight="1" x14ac:dyDescent="0.2">
      <c r="A356" s="81" t="str">
        <f>A35</f>
        <v>MR. JOHNNY U. GALENG</v>
      </c>
      <c r="B356" s="81"/>
      <c r="C356" s="81" t="str">
        <f>C35</f>
        <v>MR. JOHN XERCES C. ANTIPUESTO</v>
      </c>
      <c r="E356" s="106" t="s">
        <v>88</v>
      </c>
      <c r="F356" s="81"/>
      <c r="G356" s="81"/>
      <c r="I356" s="81" t="str">
        <f>I35</f>
        <v>ENGR. EDWIN B. BATAL</v>
      </c>
      <c r="J356" s="81"/>
      <c r="K356" s="81"/>
      <c r="O356" s="78"/>
      <c r="Q356" s="90"/>
    </row>
    <row r="357" spans="1:26" s="80" customFormat="1" ht="21" customHeight="1" x14ac:dyDescent="0.2">
      <c r="A357" s="78" t="s">
        <v>93</v>
      </c>
      <c r="B357" s="78"/>
      <c r="C357" s="78" t="s">
        <v>96</v>
      </c>
      <c r="D357" s="78"/>
      <c r="E357" s="107" t="s">
        <v>91</v>
      </c>
      <c r="F357" s="78"/>
      <c r="G357" s="78"/>
      <c r="I357" s="78" t="str">
        <f>I36</f>
        <v>Mine Explosives Asst. Manager</v>
      </c>
      <c r="J357" s="78"/>
      <c r="K357" s="78"/>
      <c r="O357" s="78"/>
      <c r="Q357" s="90"/>
    </row>
    <row r="358" spans="1:26" s="80" customFormat="1" x14ac:dyDescent="0.2">
      <c r="A358" s="78" t="s">
        <v>86</v>
      </c>
      <c r="B358" s="78"/>
      <c r="C358" s="78" t="s">
        <v>85</v>
      </c>
      <c r="D358" s="78"/>
      <c r="E358" s="107" t="s">
        <v>87</v>
      </c>
      <c r="F358" s="78"/>
      <c r="G358" s="78"/>
      <c r="I358" s="107"/>
      <c r="J358" s="78"/>
      <c r="O358" s="78"/>
      <c r="Q358" s="90"/>
    </row>
    <row r="359" spans="1:26" s="80" customFormat="1" ht="14.25" customHeight="1" x14ac:dyDescent="0.2">
      <c r="A359" s="78"/>
      <c r="B359" s="78"/>
      <c r="D359" s="78"/>
      <c r="E359" s="78"/>
      <c r="F359" s="78"/>
      <c r="G359" s="78"/>
      <c r="I359" s="78"/>
      <c r="J359" s="78"/>
      <c r="O359" s="78"/>
      <c r="Q359" s="90"/>
    </row>
    <row r="360" spans="1:26" ht="9.75" customHeight="1" x14ac:dyDescent="0.25"/>
    <row r="366" spans="1:26" ht="20.25" customHeight="1" x14ac:dyDescent="0.25"/>
    <row r="369" spans="1:15" s="80" customFormat="1" ht="20.100000000000001" customHeight="1" x14ac:dyDescent="0.2">
      <c r="A369" s="188" t="s">
        <v>56</v>
      </c>
      <c r="B369" s="188"/>
      <c r="C369" s="188"/>
      <c r="D369" s="188"/>
      <c r="E369" s="188"/>
      <c r="F369" s="188"/>
      <c r="G369" s="188"/>
      <c r="H369" s="188"/>
      <c r="I369" s="188"/>
      <c r="J369" s="188"/>
      <c r="K369" s="188"/>
      <c r="L369" s="188"/>
      <c r="M369" s="188"/>
    </row>
    <row r="370" spans="1:15" s="80" customFormat="1" ht="20.100000000000001" customHeight="1" x14ac:dyDescent="0.2">
      <c r="A370" s="188" t="s">
        <v>57</v>
      </c>
      <c r="B370" s="188"/>
      <c r="C370" s="188"/>
      <c r="D370" s="188"/>
      <c r="E370" s="188"/>
      <c r="F370" s="188"/>
      <c r="G370" s="188"/>
      <c r="H370" s="188"/>
      <c r="I370" s="188"/>
      <c r="J370" s="188"/>
      <c r="K370" s="188"/>
      <c r="L370" s="188"/>
      <c r="M370" s="188"/>
    </row>
    <row r="371" spans="1:15" s="80" customFormat="1" ht="20.100000000000001" customHeight="1" x14ac:dyDescent="0.2">
      <c r="A371" s="188" t="str">
        <f>A12</f>
        <v>Period Covered : JUNE 1-7, 2026</v>
      </c>
      <c r="B371" s="188"/>
      <c r="C371" s="188"/>
      <c r="D371" s="188"/>
      <c r="E371" s="188"/>
      <c r="F371" s="188"/>
      <c r="G371" s="188"/>
      <c r="H371" s="188"/>
      <c r="I371" s="188"/>
      <c r="J371" s="188"/>
      <c r="K371" s="188"/>
      <c r="L371" s="188"/>
      <c r="M371" s="188"/>
    </row>
    <row r="372" spans="1:15" s="80" customFormat="1" ht="20.100000000000001" customHeight="1" x14ac:dyDescent="0.2"/>
    <row r="373" spans="1:15" s="80" customFormat="1" ht="20.100000000000001" customHeight="1" x14ac:dyDescent="0.2">
      <c r="A373" s="80" t="s">
        <v>58</v>
      </c>
      <c r="B373" s="189" t="s">
        <v>0</v>
      </c>
      <c r="C373" s="189"/>
      <c r="D373" s="189"/>
    </row>
    <row r="374" spans="1:15" s="80" customFormat="1" ht="20.100000000000001" customHeight="1" x14ac:dyDescent="0.2">
      <c r="A374" s="80" t="s">
        <v>59</v>
      </c>
      <c r="B374" s="190" t="s">
        <v>78</v>
      </c>
      <c r="C374" s="190"/>
      <c r="D374" s="190"/>
    </row>
    <row r="375" spans="1:15" s="80" customFormat="1" ht="6" customHeight="1" x14ac:dyDescent="0.2"/>
    <row r="376" spans="1:15" s="80" customFormat="1" ht="39.75" customHeight="1" x14ac:dyDescent="0.2">
      <c r="A376" s="82" t="s">
        <v>60</v>
      </c>
      <c r="B376" s="82" t="s">
        <v>61</v>
      </c>
      <c r="C376" s="82" t="s">
        <v>62</v>
      </c>
      <c r="D376" s="82" t="s">
        <v>63</v>
      </c>
      <c r="E376" s="83" t="s">
        <v>64</v>
      </c>
      <c r="F376" s="83" t="s">
        <v>64</v>
      </c>
      <c r="G376" s="83" t="s">
        <v>64</v>
      </c>
      <c r="H376" s="83" t="s">
        <v>65</v>
      </c>
      <c r="I376" s="82" t="s">
        <v>66</v>
      </c>
      <c r="J376" s="82"/>
      <c r="K376" s="82"/>
      <c r="L376" s="82" t="s">
        <v>67</v>
      </c>
    </row>
    <row r="377" spans="1:15" s="80" customFormat="1" ht="39.75" customHeight="1" x14ac:dyDescent="0.2">
      <c r="A377" s="85" t="s">
        <v>100</v>
      </c>
      <c r="B377" s="84" t="s">
        <v>72</v>
      </c>
      <c r="C377" s="86"/>
      <c r="D377" s="86"/>
      <c r="E377" s="88"/>
      <c r="F377" s="86"/>
      <c r="G377" s="86"/>
      <c r="H377" s="87"/>
      <c r="I377" s="127">
        <v>12123</v>
      </c>
      <c r="J377" s="86"/>
      <c r="K377" s="86"/>
      <c r="L377" s="84" t="s">
        <v>80</v>
      </c>
      <c r="O377" s="100"/>
    </row>
    <row r="378" spans="1:15" s="80" customFormat="1" ht="20.100000000000001" customHeight="1" x14ac:dyDescent="0.2">
      <c r="A378" s="86"/>
      <c r="B378" s="86"/>
      <c r="C378" s="88"/>
      <c r="D378" s="86"/>
      <c r="E378" s="88">
        <v>46174</v>
      </c>
      <c r="F378" s="86"/>
      <c r="G378" s="86"/>
      <c r="H378" s="102">
        <v>653</v>
      </c>
      <c r="I378" s="128">
        <f>I377-H378</f>
        <v>11470</v>
      </c>
      <c r="J378" s="86"/>
      <c r="K378" s="86"/>
      <c r="L378" s="84" t="s">
        <v>68</v>
      </c>
    </row>
    <row r="379" spans="1:15" s="80" customFormat="1" ht="20.100000000000001" customHeight="1" x14ac:dyDescent="0.2">
      <c r="A379" s="86"/>
      <c r="B379" s="86"/>
      <c r="C379" s="88"/>
      <c r="D379" s="103"/>
      <c r="E379" s="88">
        <v>46175</v>
      </c>
      <c r="F379" s="86"/>
      <c r="G379" s="86"/>
      <c r="H379" s="102">
        <v>729</v>
      </c>
      <c r="I379" s="128">
        <f t="shared" ref="I379:I385" si="10">I378-H379</f>
        <v>10741</v>
      </c>
      <c r="J379" s="86"/>
      <c r="K379" s="86"/>
      <c r="L379" s="84" t="s">
        <v>68</v>
      </c>
    </row>
    <row r="380" spans="1:15" s="80" customFormat="1" ht="20.100000000000001" customHeight="1" x14ac:dyDescent="0.2">
      <c r="A380" s="86"/>
      <c r="B380" s="86"/>
      <c r="C380" s="88"/>
      <c r="D380" s="103"/>
      <c r="E380" s="88">
        <v>46176</v>
      </c>
      <c r="F380" s="86"/>
      <c r="G380" s="86"/>
      <c r="H380" s="102">
        <v>760</v>
      </c>
      <c r="I380" s="128">
        <f t="shared" si="10"/>
        <v>9981</v>
      </c>
      <c r="J380" s="86"/>
      <c r="K380" s="86"/>
      <c r="L380" s="84" t="s">
        <v>68</v>
      </c>
    </row>
    <row r="381" spans="1:15" s="80" customFormat="1" ht="20.100000000000001" customHeight="1" x14ac:dyDescent="0.2">
      <c r="A381" s="86"/>
      <c r="B381" s="86"/>
      <c r="C381" s="88"/>
      <c r="D381" s="103"/>
      <c r="E381" s="88">
        <v>46177</v>
      </c>
      <c r="F381" s="86"/>
      <c r="G381" s="86"/>
      <c r="H381" s="119">
        <v>812</v>
      </c>
      <c r="I381" s="128">
        <f t="shared" si="10"/>
        <v>9169</v>
      </c>
      <c r="J381" s="86"/>
      <c r="K381" s="86"/>
      <c r="L381" s="84" t="s">
        <v>68</v>
      </c>
    </row>
    <row r="382" spans="1:15" s="80" customFormat="1" ht="20.100000000000001" customHeight="1" x14ac:dyDescent="0.2">
      <c r="A382" s="86"/>
      <c r="B382" s="86"/>
      <c r="C382" s="88"/>
      <c r="D382" s="103"/>
      <c r="E382" s="88">
        <v>46178</v>
      </c>
      <c r="F382" s="86"/>
      <c r="G382" s="86"/>
      <c r="H382" s="119">
        <v>797</v>
      </c>
      <c r="I382" s="128">
        <f t="shared" si="10"/>
        <v>8372</v>
      </c>
      <c r="J382" s="86"/>
      <c r="K382" s="86"/>
      <c r="L382" s="84" t="s">
        <v>68</v>
      </c>
    </row>
    <row r="383" spans="1:15" s="80" customFormat="1" ht="19.5" customHeight="1" x14ac:dyDescent="0.2">
      <c r="A383" s="86"/>
      <c r="B383" s="86"/>
      <c r="C383" s="88"/>
      <c r="D383" s="125"/>
      <c r="E383" s="88">
        <v>46179</v>
      </c>
      <c r="F383" s="126"/>
      <c r="G383" s="126"/>
      <c r="H383" s="82">
        <v>918</v>
      </c>
      <c r="I383" s="128">
        <f t="shared" si="10"/>
        <v>7454</v>
      </c>
      <c r="J383" s="126"/>
      <c r="K383" s="126"/>
      <c r="L383" s="84" t="s">
        <v>68</v>
      </c>
    </row>
    <row r="384" spans="1:15" s="80" customFormat="1" ht="20.100000000000001" customHeight="1" x14ac:dyDescent="0.2">
      <c r="A384" s="86"/>
      <c r="B384" s="86"/>
      <c r="C384" s="88">
        <v>46179</v>
      </c>
      <c r="D384" s="125">
        <v>6600</v>
      </c>
      <c r="F384" s="112"/>
      <c r="G384" s="111"/>
      <c r="H384" s="112"/>
      <c r="I384" s="128">
        <f>I383+D384</f>
        <v>14054</v>
      </c>
      <c r="J384" s="86"/>
      <c r="K384" s="86"/>
      <c r="L384" s="84" t="s">
        <v>104</v>
      </c>
    </row>
    <row r="385" spans="1:26" s="80" customFormat="1" ht="20.100000000000001" customHeight="1" x14ac:dyDescent="0.2">
      <c r="A385" s="86"/>
      <c r="B385" s="86"/>
      <c r="C385" s="88"/>
      <c r="D385" s="137"/>
      <c r="E385" s="88">
        <v>46180</v>
      </c>
      <c r="F385" s="86"/>
      <c r="G385" s="86"/>
      <c r="H385" s="119">
        <v>609</v>
      </c>
      <c r="I385" s="128">
        <f t="shared" si="10"/>
        <v>13445</v>
      </c>
      <c r="J385" s="86"/>
      <c r="K385" s="86"/>
      <c r="L385" s="84" t="s">
        <v>68</v>
      </c>
      <c r="O385" s="90"/>
    </row>
    <row r="386" spans="1:26" s="80" customFormat="1" ht="20.100000000000001" customHeight="1" x14ac:dyDescent="0.2">
      <c r="A386" s="86"/>
      <c r="B386" s="86"/>
      <c r="C386" s="88"/>
      <c r="D386" s="103"/>
      <c r="E386" s="88"/>
      <c r="F386" s="112"/>
      <c r="G386" s="111"/>
      <c r="H386" s="112"/>
      <c r="I386" s="129">
        <f>I385</f>
        <v>13445</v>
      </c>
      <c r="J386" s="109"/>
      <c r="K386" s="109"/>
      <c r="L386" s="110" t="s">
        <v>79</v>
      </c>
      <c r="O386" s="91">
        <f>I386+[1]sheet!$I$351</f>
        <v>19505</v>
      </c>
    </row>
    <row r="387" spans="1:26" s="80" customFormat="1" ht="20.100000000000001" customHeight="1" x14ac:dyDescent="0.2">
      <c r="A387" s="86"/>
      <c r="B387" s="86"/>
      <c r="C387" s="88"/>
      <c r="D387" s="117"/>
      <c r="E387" s="88"/>
      <c r="F387" s="86"/>
      <c r="G387" s="86"/>
      <c r="H387" s="102"/>
      <c r="I387" s="135"/>
      <c r="J387" s="138"/>
      <c r="K387" s="138"/>
      <c r="L387" s="139"/>
      <c r="O387" s="100"/>
    </row>
    <row r="388" spans="1:26" s="80" customFormat="1" ht="20.100000000000001" customHeight="1" x14ac:dyDescent="0.2">
      <c r="A388" s="86"/>
      <c r="B388" s="86"/>
      <c r="C388" s="88"/>
      <c r="D388" s="92"/>
      <c r="E388" s="88"/>
      <c r="F388" s="86"/>
      <c r="G388" s="86"/>
      <c r="H388" s="87"/>
      <c r="I388" s="118"/>
      <c r="J388" s="86"/>
      <c r="K388" s="86"/>
      <c r="L388" s="82"/>
      <c r="O388" s="100"/>
    </row>
    <row r="389" spans="1:26" s="80" customFormat="1" ht="20.100000000000001" customHeight="1" x14ac:dyDescent="0.2">
      <c r="A389" s="86"/>
      <c r="B389" s="86"/>
      <c r="C389" s="88"/>
      <c r="D389" s="92"/>
      <c r="E389" s="88"/>
      <c r="F389" s="86"/>
      <c r="G389" s="86"/>
      <c r="H389" s="87"/>
      <c r="I389" s="112"/>
      <c r="J389" s="111"/>
      <c r="K389" s="111"/>
      <c r="L389" s="115"/>
    </row>
    <row r="390" spans="1:26" s="80" customFormat="1" ht="20.100000000000001" customHeight="1" x14ac:dyDescent="0.2">
      <c r="A390" s="86"/>
      <c r="B390" s="86"/>
      <c r="C390" s="88"/>
      <c r="D390" s="92"/>
      <c r="E390" s="88"/>
      <c r="F390" s="86"/>
      <c r="G390" s="86"/>
      <c r="H390" s="87"/>
      <c r="I390" s="112"/>
      <c r="J390" s="111"/>
      <c r="K390" s="111"/>
      <c r="L390" s="115"/>
    </row>
    <row r="391" spans="1:26" ht="21" customHeight="1" x14ac:dyDescent="0.25">
      <c r="A391" s="78"/>
      <c r="B391" s="77"/>
      <c r="D391" s="77"/>
      <c r="F391" s="77"/>
      <c r="G391" s="77"/>
      <c r="I391" s="77"/>
      <c r="J391" s="78"/>
      <c r="K391" s="77"/>
      <c r="L391" s="77"/>
      <c r="N391" s="77"/>
      <c r="O391" s="77"/>
      <c r="P391" s="191"/>
      <c r="Q391" s="191"/>
      <c r="X391" s="77"/>
      <c r="Y391" s="77"/>
      <c r="Z391" s="77"/>
    </row>
    <row r="392" spans="1:26" s="80" customFormat="1" ht="21.75" customHeight="1" x14ac:dyDescent="0.2">
      <c r="A392" s="78" t="s">
        <v>90</v>
      </c>
      <c r="B392" s="78"/>
      <c r="E392" s="107" t="s">
        <v>89</v>
      </c>
      <c r="F392" s="78"/>
      <c r="G392" s="78"/>
      <c r="I392" s="78" t="s">
        <v>81</v>
      </c>
      <c r="J392" s="78"/>
      <c r="K392" s="78"/>
      <c r="S392" s="89"/>
      <c r="W392" s="89"/>
      <c r="X392" s="78"/>
      <c r="Y392" s="78"/>
    </row>
    <row r="393" spans="1:26" s="80" customFormat="1" ht="21.75" customHeight="1" x14ac:dyDescent="0.2">
      <c r="A393" s="78"/>
      <c r="B393" s="78"/>
      <c r="D393" s="78"/>
      <c r="E393" s="94"/>
      <c r="F393" s="78"/>
      <c r="G393" s="78"/>
      <c r="I393" s="78"/>
      <c r="J393" s="78"/>
      <c r="K393" s="78"/>
      <c r="S393" s="89"/>
      <c r="W393" s="89"/>
      <c r="X393" s="78"/>
      <c r="Y393" s="78"/>
    </row>
    <row r="394" spans="1:26" ht="14.25" customHeight="1" x14ac:dyDescent="0.25">
      <c r="A394" s="78"/>
      <c r="B394" s="77"/>
      <c r="D394" s="77"/>
      <c r="E394" s="105"/>
      <c r="F394" s="77"/>
      <c r="G394" s="77"/>
      <c r="I394" s="77"/>
      <c r="J394" s="77"/>
      <c r="K394" s="77"/>
      <c r="O394" s="77"/>
      <c r="Q394" s="79"/>
      <c r="S394" s="77"/>
      <c r="X394" s="77"/>
      <c r="Y394" s="77"/>
      <c r="Z394" s="77"/>
    </row>
    <row r="395" spans="1:26" s="80" customFormat="1" ht="21" customHeight="1" x14ac:dyDescent="0.2">
      <c r="A395" s="81" t="str">
        <f>A35</f>
        <v>MR. JOHNNY U. GALENG</v>
      </c>
      <c r="B395" s="81"/>
      <c r="C395" s="81" t="str">
        <f>C35</f>
        <v>MR. JOHN XERCES C. ANTIPUESTO</v>
      </c>
      <c r="E395" s="106" t="s">
        <v>88</v>
      </c>
      <c r="F395" s="81"/>
      <c r="G395" s="81"/>
      <c r="I395" s="81" t="str">
        <f>I35</f>
        <v>ENGR. EDWIN B. BATAL</v>
      </c>
      <c r="J395" s="81"/>
      <c r="K395" s="81"/>
      <c r="O395" s="78"/>
      <c r="Q395" s="90"/>
    </row>
    <row r="396" spans="1:26" s="80" customFormat="1" ht="21" customHeight="1" x14ac:dyDescent="0.2">
      <c r="A396" s="78" t="s">
        <v>93</v>
      </c>
      <c r="B396" s="78"/>
      <c r="C396" s="78" t="s">
        <v>96</v>
      </c>
      <c r="D396" s="78"/>
      <c r="E396" s="107" t="s">
        <v>91</v>
      </c>
      <c r="F396" s="78"/>
      <c r="G396" s="78"/>
      <c r="I396" s="78" t="str">
        <f>I36</f>
        <v>Mine Explosives Asst. Manager</v>
      </c>
      <c r="J396" s="78"/>
      <c r="K396" s="78"/>
      <c r="O396" s="78"/>
      <c r="Q396" s="90"/>
    </row>
    <row r="397" spans="1:26" s="80" customFormat="1" ht="21" customHeight="1" x14ac:dyDescent="0.2">
      <c r="A397" s="78" t="s">
        <v>86</v>
      </c>
      <c r="B397" s="78"/>
      <c r="C397" s="78" t="s">
        <v>85</v>
      </c>
      <c r="D397" s="78"/>
      <c r="E397" s="107" t="s">
        <v>87</v>
      </c>
      <c r="F397" s="78"/>
      <c r="G397" s="78"/>
      <c r="I397" s="107"/>
      <c r="J397" s="78"/>
      <c r="O397" s="78"/>
      <c r="Q397" s="90"/>
    </row>
    <row r="398" spans="1:26" s="80" customFormat="1" ht="54" customHeight="1" x14ac:dyDescent="0.25">
      <c r="A398" s="76"/>
      <c r="B398" s="78"/>
      <c r="D398" s="78"/>
      <c r="E398" s="78"/>
      <c r="F398" s="78"/>
      <c r="G398" s="78"/>
      <c r="I398" s="78"/>
      <c r="J398" s="78"/>
      <c r="O398" s="78"/>
      <c r="Q398" s="90"/>
    </row>
    <row r="399" spans="1:26" s="80" customFormat="1" ht="9" customHeight="1" x14ac:dyDescent="0.2">
      <c r="A399" s="78"/>
      <c r="B399" s="78"/>
      <c r="D399" s="78"/>
      <c r="E399" s="78"/>
      <c r="F399" s="78"/>
      <c r="G399" s="78"/>
      <c r="I399" s="78"/>
      <c r="J399" s="78"/>
      <c r="O399" s="78"/>
      <c r="Q399" s="90"/>
    </row>
    <row r="406" spans="1:13" s="80" customFormat="1" ht="20.100000000000001" customHeight="1" x14ac:dyDescent="0.2">
      <c r="A406" s="188" t="s">
        <v>56</v>
      </c>
      <c r="B406" s="188"/>
      <c r="C406" s="188"/>
      <c r="D406" s="188"/>
      <c r="E406" s="188"/>
      <c r="F406" s="188"/>
      <c r="G406" s="188"/>
      <c r="H406" s="188"/>
      <c r="I406" s="188"/>
      <c r="J406" s="188"/>
      <c r="K406" s="188"/>
      <c r="L406" s="188"/>
      <c r="M406" s="188"/>
    </row>
    <row r="407" spans="1:13" s="80" customFormat="1" ht="20.100000000000001" customHeight="1" x14ac:dyDescent="0.2">
      <c r="A407" s="188" t="s">
        <v>57</v>
      </c>
      <c r="B407" s="188"/>
      <c r="C407" s="188"/>
      <c r="D407" s="188"/>
      <c r="E407" s="188"/>
      <c r="F407" s="188"/>
      <c r="G407" s="188"/>
      <c r="H407" s="188"/>
      <c r="I407" s="188"/>
      <c r="J407" s="188"/>
      <c r="K407" s="188"/>
      <c r="L407" s="188"/>
      <c r="M407" s="188"/>
    </row>
    <row r="408" spans="1:13" s="80" customFormat="1" ht="20.100000000000001" customHeight="1" x14ac:dyDescent="0.2">
      <c r="A408" s="188" t="str">
        <f>A12</f>
        <v>Period Covered : JUNE 1-7, 2026</v>
      </c>
      <c r="B408" s="188"/>
      <c r="C408" s="188"/>
      <c r="D408" s="188"/>
      <c r="E408" s="188"/>
      <c r="F408" s="188"/>
      <c r="G408" s="188"/>
      <c r="H408" s="188"/>
      <c r="I408" s="188"/>
      <c r="J408" s="188"/>
      <c r="K408" s="188"/>
      <c r="L408" s="188"/>
      <c r="M408" s="188"/>
    </row>
    <row r="409" spans="1:13" s="80" customFormat="1" ht="20.100000000000001" customHeight="1" x14ac:dyDescent="0.2"/>
    <row r="410" spans="1:13" s="80" customFormat="1" ht="20.100000000000001" customHeight="1" x14ac:dyDescent="0.2"/>
    <row r="411" spans="1:13" s="80" customFormat="1" ht="20.100000000000001" customHeight="1" x14ac:dyDescent="0.2">
      <c r="A411" s="80" t="s">
        <v>58</v>
      </c>
      <c r="B411" s="189" t="s">
        <v>0</v>
      </c>
      <c r="C411" s="189"/>
      <c r="D411" s="189"/>
    </row>
    <row r="412" spans="1:13" s="80" customFormat="1" ht="20.100000000000001" customHeight="1" x14ac:dyDescent="0.2">
      <c r="A412" s="80" t="s">
        <v>59</v>
      </c>
      <c r="B412" s="190" t="s">
        <v>78</v>
      </c>
      <c r="C412" s="190"/>
      <c r="D412" s="190"/>
    </row>
    <row r="413" spans="1:13" s="80" customFormat="1" ht="6" customHeight="1" x14ac:dyDescent="0.2"/>
    <row r="414" spans="1:13" s="80" customFormat="1" ht="39.75" customHeight="1" x14ac:dyDescent="0.2">
      <c r="A414" s="82" t="s">
        <v>60</v>
      </c>
      <c r="B414" s="82" t="s">
        <v>61</v>
      </c>
      <c r="C414" s="82" t="s">
        <v>62</v>
      </c>
      <c r="D414" s="82" t="s">
        <v>63</v>
      </c>
      <c r="E414" s="83" t="s">
        <v>64</v>
      </c>
      <c r="F414" s="83" t="s">
        <v>64</v>
      </c>
      <c r="G414" s="83" t="s">
        <v>64</v>
      </c>
      <c r="H414" s="83" t="s">
        <v>65</v>
      </c>
      <c r="I414" s="82" t="s">
        <v>66</v>
      </c>
      <c r="J414" s="82"/>
      <c r="K414" s="82"/>
      <c r="L414" s="82" t="s">
        <v>67</v>
      </c>
    </row>
    <row r="415" spans="1:13" s="80" customFormat="1" ht="39.75" customHeight="1" x14ac:dyDescent="0.2">
      <c r="A415" s="85" t="s">
        <v>75</v>
      </c>
      <c r="B415" s="84" t="s">
        <v>21</v>
      </c>
      <c r="C415" s="86"/>
      <c r="D415" s="86"/>
      <c r="E415" s="88"/>
      <c r="F415" s="86"/>
      <c r="G415" s="86"/>
      <c r="H415" s="87"/>
      <c r="I415" s="127">
        <v>244</v>
      </c>
      <c r="J415" s="86"/>
      <c r="K415" s="86"/>
      <c r="L415" s="84" t="s">
        <v>80</v>
      </c>
    </row>
    <row r="416" spans="1:13" s="80" customFormat="1" ht="20.100000000000001" customHeight="1" x14ac:dyDescent="0.2">
      <c r="A416" s="86"/>
      <c r="B416" s="86"/>
      <c r="C416" s="88"/>
      <c r="D416" s="86"/>
      <c r="E416" s="88">
        <v>46174</v>
      </c>
      <c r="F416" s="86"/>
      <c r="G416" s="86"/>
      <c r="H416" s="102">
        <v>2</v>
      </c>
      <c r="I416" s="128">
        <f>I415-H416</f>
        <v>242</v>
      </c>
      <c r="J416" s="86"/>
      <c r="K416" s="86"/>
      <c r="L416" s="84" t="s">
        <v>68</v>
      </c>
    </row>
    <row r="417" spans="1:26" s="80" customFormat="1" ht="20.100000000000001" customHeight="1" x14ac:dyDescent="0.2">
      <c r="A417" s="86"/>
      <c r="B417" s="86"/>
      <c r="C417" s="88"/>
      <c r="D417" s="103"/>
      <c r="E417" s="88">
        <v>46175</v>
      </c>
      <c r="F417" s="86"/>
      <c r="G417" s="86"/>
      <c r="H417" s="102">
        <v>6</v>
      </c>
      <c r="I417" s="128">
        <f t="shared" ref="I417:I423" si="11">I416-H417</f>
        <v>236</v>
      </c>
      <c r="J417" s="86"/>
      <c r="K417" s="86"/>
      <c r="L417" s="84" t="s">
        <v>68</v>
      </c>
    </row>
    <row r="418" spans="1:26" s="80" customFormat="1" ht="20.100000000000001" customHeight="1" x14ac:dyDescent="0.2">
      <c r="A418" s="86"/>
      <c r="B418" s="86"/>
      <c r="C418" s="88"/>
      <c r="D418" s="103"/>
      <c r="E418" s="88">
        <v>46176</v>
      </c>
      <c r="F418" s="86"/>
      <c r="G418" s="86"/>
      <c r="H418" s="102">
        <v>6</v>
      </c>
      <c r="I418" s="128">
        <f t="shared" si="11"/>
        <v>230</v>
      </c>
      <c r="J418" s="86"/>
      <c r="K418" s="86"/>
      <c r="L418" s="84" t="s">
        <v>68</v>
      </c>
    </row>
    <row r="419" spans="1:26" s="80" customFormat="1" ht="20.100000000000001" customHeight="1" x14ac:dyDescent="0.2">
      <c r="A419" s="86"/>
      <c r="B419" s="86"/>
      <c r="C419" s="88"/>
      <c r="D419" s="103"/>
      <c r="E419" s="88">
        <v>46177</v>
      </c>
      <c r="F419" s="86"/>
      <c r="G419" s="86"/>
      <c r="H419" s="119">
        <v>4</v>
      </c>
      <c r="I419" s="128">
        <f t="shared" si="11"/>
        <v>226</v>
      </c>
      <c r="J419" s="86"/>
      <c r="K419" s="86"/>
      <c r="L419" s="84" t="s">
        <v>68</v>
      </c>
    </row>
    <row r="420" spans="1:26" s="80" customFormat="1" ht="20.100000000000001" customHeight="1" x14ac:dyDescent="0.2">
      <c r="A420" s="86"/>
      <c r="B420" s="86"/>
      <c r="C420" s="88"/>
      <c r="D420" s="103"/>
      <c r="E420" s="88">
        <v>46178</v>
      </c>
      <c r="F420" s="86"/>
      <c r="G420" s="86"/>
      <c r="H420" s="119">
        <v>4</v>
      </c>
      <c r="I420" s="128">
        <f t="shared" si="11"/>
        <v>222</v>
      </c>
      <c r="J420" s="86"/>
      <c r="K420" s="86"/>
      <c r="L420" s="84" t="s">
        <v>68</v>
      </c>
    </row>
    <row r="421" spans="1:26" s="80" customFormat="1" ht="19.5" customHeight="1" x14ac:dyDescent="0.2">
      <c r="A421" s="86"/>
      <c r="B421" s="86"/>
      <c r="C421" s="88"/>
      <c r="D421" s="125"/>
      <c r="E421" s="88">
        <v>46179</v>
      </c>
      <c r="F421" s="126"/>
      <c r="G421" s="126"/>
      <c r="H421" s="82">
        <v>4</v>
      </c>
      <c r="I421" s="128">
        <f t="shared" si="11"/>
        <v>218</v>
      </c>
      <c r="J421" s="126"/>
      <c r="K421" s="126"/>
      <c r="L421" s="84" t="s">
        <v>68</v>
      </c>
    </row>
    <row r="422" spans="1:26" s="80" customFormat="1" ht="20.100000000000001" customHeight="1" x14ac:dyDescent="0.2">
      <c r="A422" s="86"/>
      <c r="B422" s="86"/>
      <c r="C422" s="88"/>
      <c r="D422" s="125"/>
      <c r="E422" s="126"/>
      <c r="F422" s="112"/>
      <c r="G422" s="111"/>
      <c r="H422" s="134"/>
      <c r="I422" s="128">
        <f>I421+D422</f>
        <v>218</v>
      </c>
      <c r="J422" s="86"/>
      <c r="K422" s="86"/>
      <c r="L422" s="84" t="s">
        <v>104</v>
      </c>
    </row>
    <row r="423" spans="1:26" s="80" customFormat="1" ht="20.100000000000001" customHeight="1" x14ac:dyDescent="0.2">
      <c r="A423" s="86"/>
      <c r="B423" s="86"/>
      <c r="C423" s="88"/>
      <c r="D423" s="137"/>
      <c r="E423" s="88">
        <v>46180</v>
      </c>
      <c r="F423" s="86"/>
      <c r="G423" s="86"/>
      <c r="H423" s="102">
        <v>2</v>
      </c>
      <c r="I423" s="128">
        <f t="shared" si="11"/>
        <v>216</v>
      </c>
      <c r="J423" s="86"/>
      <c r="K423" s="86"/>
      <c r="L423" s="84" t="s">
        <v>68</v>
      </c>
      <c r="O423" s="90"/>
      <c r="Q423" s="90"/>
    </row>
    <row r="424" spans="1:26" s="80" customFormat="1" ht="20.100000000000001" customHeight="1" x14ac:dyDescent="0.2">
      <c r="A424" s="86"/>
      <c r="B424" s="86"/>
      <c r="C424" s="88"/>
      <c r="D424" s="117"/>
      <c r="E424" s="88"/>
      <c r="F424" s="86"/>
      <c r="G424" s="86"/>
      <c r="H424" s="93"/>
      <c r="I424" s="129">
        <f>I423</f>
        <v>216</v>
      </c>
      <c r="J424" s="109"/>
      <c r="K424" s="109"/>
      <c r="L424" s="110" t="s">
        <v>79</v>
      </c>
      <c r="O424" s="91">
        <f>I424+[1]sheet!$I$389</f>
        <v>306</v>
      </c>
      <c r="Q424" s="91"/>
      <c r="R424" s="91"/>
      <c r="S424" s="80">
        <f>204-174</f>
        <v>30</v>
      </c>
    </row>
    <row r="425" spans="1:26" s="80" customFormat="1" ht="20.100000000000001" customHeight="1" x14ac:dyDescent="0.2">
      <c r="A425" s="86"/>
      <c r="B425" s="86"/>
      <c r="C425" s="88"/>
      <c r="D425" s="92"/>
      <c r="E425" s="88"/>
      <c r="F425" s="86"/>
      <c r="G425" s="86"/>
      <c r="H425" s="87"/>
      <c r="I425" s="135"/>
      <c r="J425" s="138"/>
      <c r="K425" s="138"/>
      <c r="L425" s="139"/>
      <c r="O425" s="91"/>
    </row>
    <row r="426" spans="1:26" s="80" customFormat="1" ht="20.100000000000001" customHeight="1" x14ac:dyDescent="0.2">
      <c r="A426" s="86"/>
      <c r="B426" s="86"/>
      <c r="C426" s="88"/>
      <c r="D426" s="92"/>
      <c r="E426" s="88"/>
      <c r="F426" s="86"/>
      <c r="G426" s="86"/>
      <c r="H426" s="87"/>
      <c r="I426" s="118"/>
      <c r="J426" s="86"/>
      <c r="K426" s="86"/>
      <c r="L426" s="82"/>
      <c r="O426" s="91"/>
    </row>
    <row r="427" spans="1:26" s="80" customFormat="1" ht="20.100000000000001" customHeight="1" x14ac:dyDescent="0.2">
      <c r="A427" s="86"/>
      <c r="B427" s="86"/>
      <c r="C427" s="88"/>
      <c r="D427" s="92"/>
      <c r="E427" s="88"/>
      <c r="F427" s="86"/>
      <c r="G427" s="86"/>
      <c r="H427" s="87"/>
      <c r="I427" s="118"/>
      <c r="J427" s="86"/>
      <c r="K427" s="86"/>
      <c r="L427" s="82"/>
      <c r="O427" s="91"/>
    </row>
    <row r="428" spans="1:26" ht="19.5" customHeight="1" x14ac:dyDescent="0.25">
      <c r="A428" s="78"/>
      <c r="B428" s="77"/>
      <c r="D428" s="77"/>
      <c r="F428" s="77"/>
      <c r="G428" s="77"/>
      <c r="I428" s="77"/>
      <c r="J428" s="78"/>
      <c r="K428" s="77"/>
      <c r="L428" s="77"/>
      <c r="N428" s="77"/>
      <c r="O428" s="77"/>
      <c r="P428" s="191"/>
      <c r="Q428" s="191"/>
      <c r="X428" s="77"/>
      <c r="Y428" s="77"/>
      <c r="Z428" s="77"/>
    </row>
    <row r="429" spans="1:26" s="80" customFormat="1" ht="21.75" customHeight="1" x14ac:dyDescent="0.2">
      <c r="A429" s="78" t="s">
        <v>90</v>
      </c>
      <c r="B429" s="78"/>
      <c r="E429" s="107" t="s">
        <v>89</v>
      </c>
      <c r="F429" s="78"/>
      <c r="G429" s="78"/>
      <c r="I429" s="78" t="s">
        <v>81</v>
      </c>
      <c r="J429" s="78"/>
      <c r="K429" s="78"/>
      <c r="S429" s="89"/>
      <c r="W429" s="89"/>
      <c r="X429" s="78"/>
      <c r="Y429" s="78"/>
    </row>
    <row r="430" spans="1:26" s="80" customFormat="1" ht="18" customHeight="1" x14ac:dyDescent="0.2">
      <c r="A430" s="78"/>
      <c r="B430" s="78"/>
      <c r="D430" s="78"/>
      <c r="E430" s="94"/>
      <c r="F430" s="78"/>
      <c r="G430" s="78"/>
      <c r="I430" s="78"/>
      <c r="J430" s="78"/>
      <c r="K430" s="78"/>
      <c r="S430" s="89"/>
      <c r="W430" s="89"/>
      <c r="X430" s="78"/>
      <c r="Y430" s="78"/>
    </row>
    <row r="431" spans="1:26" ht="21" customHeight="1" x14ac:dyDescent="0.25">
      <c r="A431" s="78"/>
      <c r="B431" s="77"/>
      <c r="D431" s="77"/>
      <c r="E431" s="105"/>
      <c r="F431" s="77"/>
      <c r="G431" s="77"/>
      <c r="I431" s="77"/>
      <c r="J431" s="77"/>
      <c r="K431" s="77"/>
      <c r="O431" s="77"/>
      <c r="Q431" s="79"/>
      <c r="S431" s="77"/>
      <c r="X431" s="77"/>
      <c r="Y431" s="77"/>
      <c r="Z431" s="77"/>
    </row>
    <row r="432" spans="1:26" s="80" customFormat="1" ht="21" customHeight="1" x14ac:dyDescent="0.2">
      <c r="A432" s="81" t="str">
        <f>A35</f>
        <v>MR. JOHNNY U. GALENG</v>
      </c>
      <c r="B432" s="81"/>
      <c r="C432" s="81" t="str">
        <f>C35</f>
        <v>MR. JOHN XERCES C. ANTIPUESTO</v>
      </c>
      <c r="E432" s="106" t="s">
        <v>88</v>
      </c>
      <c r="F432" s="81"/>
      <c r="G432" s="81"/>
      <c r="I432" s="81" t="str">
        <f>I35</f>
        <v>ENGR. EDWIN B. BATAL</v>
      </c>
      <c r="J432" s="81"/>
      <c r="K432" s="81"/>
      <c r="O432" s="78"/>
      <c r="Q432" s="90"/>
    </row>
    <row r="433" spans="1:17" s="80" customFormat="1" ht="21" customHeight="1" x14ac:dyDescent="0.2">
      <c r="A433" s="78" t="s">
        <v>93</v>
      </c>
      <c r="B433" s="78"/>
      <c r="C433" s="78" t="s">
        <v>96</v>
      </c>
      <c r="D433" s="78"/>
      <c r="E433" s="107" t="s">
        <v>91</v>
      </c>
      <c r="F433" s="78"/>
      <c r="G433" s="78"/>
      <c r="I433" s="78" t="str">
        <f>I36</f>
        <v>Mine Explosives Asst. Manager</v>
      </c>
      <c r="J433" s="78"/>
      <c r="K433" s="78"/>
      <c r="O433" s="78"/>
      <c r="Q433" s="90"/>
    </row>
    <row r="434" spans="1:17" s="80" customFormat="1" ht="21" customHeight="1" x14ac:dyDescent="0.2">
      <c r="A434" s="78" t="s">
        <v>86</v>
      </c>
      <c r="B434" s="78"/>
      <c r="C434" s="78" t="s">
        <v>85</v>
      </c>
      <c r="D434" s="78"/>
      <c r="E434" s="107" t="s">
        <v>87</v>
      </c>
      <c r="F434" s="78"/>
      <c r="G434" s="78"/>
      <c r="I434" s="107"/>
      <c r="J434" s="78"/>
      <c r="O434" s="78"/>
      <c r="Q434" s="90"/>
    </row>
    <row r="435" spans="1:17" s="80" customFormat="1" ht="12.75" customHeight="1" x14ac:dyDescent="0.2">
      <c r="A435" s="78"/>
      <c r="B435" s="78"/>
      <c r="C435" s="78"/>
      <c r="D435" s="78"/>
      <c r="E435" s="107"/>
      <c r="F435" s="78"/>
      <c r="G435" s="78"/>
      <c r="I435" s="107"/>
      <c r="J435" s="78"/>
      <c r="O435" s="78"/>
      <c r="Q435" s="90"/>
    </row>
    <row r="436" spans="1:17" s="80" customFormat="1" ht="22.5" customHeight="1" x14ac:dyDescent="0.2">
      <c r="A436" s="78"/>
      <c r="B436" s="78"/>
      <c r="D436" s="78"/>
      <c r="E436" s="78"/>
      <c r="F436" s="78"/>
      <c r="G436" s="78"/>
      <c r="I436" s="78"/>
      <c r="J436" s="78"/>
      <c r="O436" s="78"/>
      <c r="Q436" s="90"/>
    </row>
    <row r="442" spans="1:17" ht="20.25" customHeight="1" x14ac:dyDescent="0.25"/>
    <row r="444" spans="1:17" ht="11.25" customHeight="1" x14ac:dyDescent="0.25"/>
    <row r="445" spans="1:17" ht="11.25" customHeight="1" x14ac:dyDescent="0.25"/>
    <row r="446" spans="1:17" s="80" customFormat="1" ht="20.100000000000001" customHeight="1" x14ac:dyDescent="0.2">
      <c r="A446" s="188" t="s">
        <v>56</v>
      </c>
      <c r="B446" s="188"/>
      <c r="C446" s="188"/>
      <c r="D446" s="188"/>
      <c r="E446" s="188"/>
      <c r="F446" s="188"/>
      <c r="G446" s="188"/>
      <c r="H446" s="188"/>
      <c r="I446" s="188"/>
      <c r="J446" s="188"/>
      <c r="K446" s="188"/>
      <c r="L446" s="188"/>
      <c r="M446" s="188"/>
    </row>
    <row r="447" spans="1:17" s="80" customFormat="1" ht="20.100000000000001" customHeight="1" x14ac:dyDescent="0.2">
      <c r="A447" s="188" t="s">
        <v>57</v>
      </c>
      <c r="B447" s="188"/>
      <c r="C447" s="188"/>
      <c r="D447" s="188"/>
      <c r="E447" s="188"/>
      <c r="F447" s="188"/>
      <c r="G447" s="188"/>
      <c r="H447" s="188"/>
      <c r="I447" s="188"/>
      <c r="J447" s="188"/>
      <c r="K447" s="188"/>
      <c r="L447" s="188"/>
      <c r="M447" s="188"/>
    </row>
    <row r="448" spans="1:17" s="80" customFormat="1" ht="20.100000000000001" customHeight="1" x14ac:dyDescent="0.2">
      <c r="A448" s="188" t="str">
        <f>A12</f>
        <v>Period Covered : JUNE 1-7, 2026</v>
      </c>
      <c r="B448" s="188"/>
      <c r="C448" s="188"/>
      <c r="D448" s="188"/>
      <c r="E448" s="188"/>
      <c r="F448" s="188"/>
      <c r="G448" s="188"/>
      <c r="H448" s="188"/>
      <c r="I448" s="188"/>
      <c r="J448" s="188"/>
      <c r="K448" s="188"/>
      <c r="L448" s="188"/>
      <c r="M448" s="188"/>
    </row>
    <row r="449" spans="1:22" s="80" customFormat="1" ht="9.75" customHeight="1" x14ac:dyDescent="0.2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</row>
    <row r="450" spans="1:22" s="80" customFormat="1" ht="20.100000000000001" customHeight="1" x14ac:dyDescent="0.2"/>
    <row r="451" spans="1:22" s="80" customFormat="1" ht="20.100000000000001" customHeight="1" x14ac:dyDescent="0.2">
      <c r="A451" s="80" t="s">
        <v>58</v>
      </c>
      <c r="B451" s="189" t="s">
        <v>0</v>
      </c>
      <c r="C451" s="189"/>
      <c r="D451" s="189"/>
    </row>
    <row r="452" spans="1:22" s="80" customFormat="1" ht="20.100000000000001" customHeight="1" x14ac:dyDescent="0.2">
      <c r="A452" s="80" t="s">
        <v>59</v>
      </c>
      <c r="B452" s="190" t="s">
        <v>78</v>
      </c>
      <c r="C452" s="190"/>
      <c r="D452" s="190"/>
    </row>
    <row r="453" spans="1:22" s="80" customFormat="1" ht="6" customHeight="1" x14ac:dyDescent="0.2"/>
    <row r="454" spans="1:22" s="80" customFormat="1" ht="39.75" customHeight="1" x14ac:dyDescent="0.2">
      <c r="A454" s="82" t="s">
        <v>60</v>
      </c>
      <c r="B454" s="82" t="s">
        <v>61</v>
      </c>
      <c r="C454" s="82" t="s">
        <v>62</v>
      </c>
      <c r="D454" s="82" t="s">
        <v>63</v>
      </c>
      <c r="E454" s="83" t="s">
        <v>64</v>
      </c>
      <c r="F454" s="83" t="s">
        <v>64</v>
      </c>
      <c r="G454" s="83" t="s">
        <v>64</v>
      </c>
      <c r="H454" s="83" t="s">
        <v>65</v>
      </c>
      <c r="I454" s="82" t="s">
        <v>66</v>
      </c>
      <c r="J454" s="82"/>
      <c r="K454" s="82"/>
      <c r="L454" s="82" t="s">
        <v>67</v>
      </c>
    </row>
    <row r="455" spans="1:22" s="80" customFormat="1" ht="39.75" customHeight="1" x14ac:dyDescent="0.2">
      <c r="A455" s="85" t="s">
        <v>76</v>
      </c>
      <c r="B455" s="84" t="s">
        <v>72</v>
      </c>
      <c r="C455" s="86"/>
      <c r="D455" s="86"/>
      <c r="E455" s="88"/>
      <c r="F455" s="86"/>
      <c r="G455" s="86"/>
      <c r="H455" s="87"/>
      <c r="I455" s="127">
        <v>1030</v>
      </c>
      <c r="J455" s="86"/>
      <c r="K455" s="86"/>
      <c r="L455" s="84" t="s">
        <v>80</v>
      </c>
    </row>
    <row r="456" spans="1:22" s="80" customFormat="1" ht="20.100000000000001" customHeight="1" x14ac:dyDescent="0.2">
      <c r="A456" s="86"/>
      <c r="B456" s="86"/>
      <c r="C456" s="88"/>
      <c r="D456" s="86"/>
      <c r="E456" s="88">
        <v>46174</v>
      </c>
      <c r="F456" s="86"/>
      <c r="G456" s="86"/>
      <c r="H456" s="102"/>
      <c r="I456" s="128">
        <f>I455-H456</f>
        <v>1030</v>
      </c>
      <c r="J456" s="86"/>
      <c r="K456" s="86"/>
      <c r="L456" s="84" t="s">
        <v>82</v>
      </c>
    </row>
    <row r="457" spans="1:22" s="80" customFormat="1" ht="20.100000000000001" customHeight="1" x14ac:dyDescent="0.2">
      <c r="A457" s="86"/>
      <c r="B457" s="86"/>
      <c r="C457" s="88"/>
      <c r="D457" s="103"/>
      <c r="E457" s="88">
        <v>46175</v>
      </c>
      <c r="F457" s="86"/>
      <c r="G457" s="86"/>
      <c r="H457" s="102"/>
      <c r="I457" s="128">
        <f t="shared" ref="I457:I462" si="12">I456-H457</f>
        <v>1030</v>
      </c>
      <c r="J457" s="86"/>
      <c r="K457" s="86"/>
      <c r="L457" s="84" t="s">
        <v>82</v>
      </c>
      <c r="U457" s="80">
        <v>765</v>
      </c>
    </row>
    <row r="458" spans="1:22" s="80" customFormat="1" ht="20.100000000000001" customHeight="1" x14ac:dyDescent="0.2">
      <c r="A458" s="86"/>
      <c r="B458" s="86"/>
      <c r="C458" s="88"/>
      <c r="D458" s="103"/>
      <c r="E458" s="88">
        <v>46176</v>
      </c>
      <c r="F458" s="86"/>
      <c r="G458" s="86"/>
      <c r="H458" s="102"/>
      <c r="I458" s="128">
        <f t="shared" si="12"/>
        <v>1030</v>
      </c>
      <c r="J458" s="86"/>
      <c r="K458" s="86"/>
      <c r="L458" s="84" t="s">
        <v>82</v>
      </c>
    </row>
    <row r="459" spans="1:22" s="80" customFormat="1" ht="20.100000000000001" customHeight="1" x14ac:dyDescent="0.2">
      <c r="A459" s="86"/>
      <c r="B459" s="86"/>
      <c r="C459" s="88"/>
      <c r="D459" s="103"/>
      <c r="E459" s="88">
        <v>46177</v>
      </c>
      <c r="F459" s="86"/>
      <c r="G459" s="86"/>
      <c r="H459" s="119"/>
      <c r="I459" s="128">
        <f t="shared" si="12"/>
        <v>1030</v>
      </c>
      <c r="J459" s="86"/>
      <c r="K459" s="86"/>
      <c r="L459" s="84" t="s">
        <v>82</v>
      </c>
    </row>
    <row r="460" spans="1:22" s="80" customFormat="1" ht="20.100000000000001" customHeight="1" x14ac:dyDescent="0.2">
      <c r="A460" s="86"/>
      <c r="B460" s="86"/>
      <c r="C460" s="88"/>
      <c r="D460" s="103"/>
      <c r="E460" s="88">
        <v>46178</v>
      </c>
      <c r="F460" s="86"/>
      <c r="G460" s="86"/>
      <c r="H460" s="119">
        <v>26</v>
      </c>
      <c r="I460" s="128">
        <f t="shared" si="12"/>
        <v>1004</v>
      </c>
      <c r="J460" s="86"/>
      <c r="K460" s="86"/>
      <c r="L460" s="84" t="s">
        <v>68</v>
      </c>
      <c r="V460" s="80">
        <v>1995</v>
      </c>
    </row>
    <row r="461" spans="1:22" s="80" customFormat="1" ht="19.5" customHeight="1" x14ac:dyDescent="0.2">
      <c r="A461" s="86"/>
      <c r="B461" s="86"/>
      <c r="C461" s="88"/>
      <c r="D461" s="125"/>
      <c r="E461" s="88">
        <v>46179</v>
      </c>
      <c r="F461" s="126"/>
      <c r="G461" s="126"/>
      <c r="H461" s="126"/>
      <c r="I461" s="128">
        <f t="shared" si="12"/>
        <v>1004</v>
      </c>
      <c r="J461" s="126"/>
      <c r="K461" s="126"/>
      <c r="L461" s="84" t="s">
        <v>82</v>
      </c>
    </row>
    <row r="462" spans="1:22" s="80" customFormat="1" ht="20.100000000000001" customHeight="1" x14ac:dyDescent="0.2">
      <c r="A462" s="86"/>
      <c r="B462" s="86"/>
      <c r="C462" s="88"/>
      <c r="D462" s="125"/>
      <c r="E462" s="88">
        <v>46180</v>
      </c>
      <c r="F462" s="112"/>
      <c r="G462" s="111"/>
      <c r="H462" s="112"/>
      <c r="I462" s="128">
        <f t="shared" si="12"/>
        <v>1004</v>
      </c>
      <c r="J462" s="120"/>
      <c r="K462" s="120"/>
      <c r="L462" s="84" t="s">
        <v>82</v>
      </c>
    </row>
    <row r="463" spans="1:22" s="80" customFormat="1" ht="20.100000000000001" customHeight="1" x14ac:dyDescent="0.2">
      <c r="A463" s="86"/>
      <c r="B463" s="86"/>
      <c r="C463" s="88"/>
      <c r="D463" s="137"/>
      <c r="E463" s="88"/>
      <c r="F463" s="112"/>
      <c r="G463" s="111"/>
      <c r="H463" s="112"/>
      <c r="I463" s="129">
        <f>I462</f>
        <v>1004</v>
      </c>
      <c r="J463" s="109"/>
      <c r="K463" s="109"/>
      <c r="L463" s="110" t="s">
        <v>79</v>
      </c>
      <c r="O463" s="91">
        <f>I463+[1]sheet!$I$424</f>
        <v>1919</v>
      </c>
    </row>
    <row r="464" spans="1:22" s="80" customFormat="1" ht="20.100000000000001" customHeight="1" x14ac:dyDescent="0.2">
      <c r="A464" s="86"/>
      <c r="B464" s="86"/>
      <c r="C464" s="88"/>
      <c r="D464" s="103"/>
      <c r="E464" s="88"/>
      <c r="F464" s="86"/>
      <c r="G464" s="86"/>
      <c r="H464" s="102"/>
      <c r="I464" s="135"/>
      <c r="J464" s="138"/>
      <c r="K464" s="138"/>
      <c r="L464" s="139"/>
      <c r="O464" s="91"/>
    </row>
    <row r="465" spans="1:26" s="80" customFormat="1" ht="20.100000000000001" customHeight="1" x14ac:dyDescent="0.2">
      <c r="A465" s="86"/>
      <c r="B465" s="86"/>
      <c r="C465" s="88"/>
      <c r="D465" s="117"/>
      <c r="E465" s="88"/>
      <c r="F465" s="86"/>
      <c r="G465" s="86"/>
      <c r="H465" s="87"/>
      <c r="I465" s="118"/>
      <c r="J465" s="86"/>
      <c r="K465" s="86"/>
      <c r="L465" s="82"/>
      <c r="O465" s="91"/>
    </row>
    <row r="466" spans="1:26" s="80" customFormat="1" ht="20.100000000000001" customHeight="1" x14ac:dyDescent="0.2">
      <c r="A466" s="86"/>
      <c r="B466" s="86"/>
      <c r="C466" s="88"/>
      <c r="D466" s="92"/>
      <c r="E466" s="88"/>
      <c r="F466" s="86"/>
      <c r="G466" s="86"/>
      <c r="H466" s="87"/>
      <c r="I466" s="118"/>
      <c r="J466" s="86"/>
      <c r="K466" s="86"/>
      <c r="L466" s="82"/>
    </row>
    <row r="467" spans="1:26" s="80" customFormat="1" ht="20.100000000000001" customHeight="1" x14ac:dyDescent="0.2">
      <c r="A467" s="86"/>
      <c r="B467" s="86"/>
      <c r="C467" s="88"/>
      <c r="D467" s="92"/>
      <c r="E467" s="88"/>
      <c r="F467" s="86"/>
      <c r="G467" s="86"/>
      <c r="H467" s="87"/>
      <c r="I467" s="118"/>
      <c r="J467" s="86"/>
      <c r="K467" s="86"/>
      <c r="L467" s="82"/>
    </row>
    <row r="468" spans="1:26" s="80" customFormat="1" ht="20.100000000000001" customHeight="1" x14ac:dyDescent="0.2">
      <c r="A468" s="86"/>
      <c r="B468" s="86"/>
      <c r="C468" s="88"/>
      <c r="D468" s="92"/>
      <c r="E468" s="88"/>
      <c r="F468" s="86"/>
      <c r="G468" s="86"/>
      <c r="H468" s="87"/>
      <c r="I468" s="87"/>
      <c r="J468" s="86"/>
      <c r="K468" s="86"/>
      <c r="L468" s="84"/>
    </row>
    <row r="469" spans="1:26" s="80" customFormat="1" ht="20.100000000000001" customHeight="1" x14ac:dyDescent="0.2">
      <c r="A469" s="94"/>
      <c r="B469" s="94"/>
      <c r="C469" s="95"/>
      <c r="D469" s="96"/>
      <c r="E469" s="95"/>
      <c r="F469" s="94"/>
      <c r="G469" s="94"/>
      <c r="H469" s="97"/>
      <c r="I469" s="97"/>
      <c r="J469" s="94"/>
      <c r="K469" s="94"/>
      <c r="L469" s="98"/>
    </row>
    <row r="470" spans="1:26" s="80" customFormat="1" ht="21.75" customHeight="1" x14ac:dyDescent="0.2">
      <c r="A470" s="78" t="s">
        <v>90</v>
      </c>
      <c r="B470" s="78"/>
      <c r="E470" s="107" t="s">
        <v>89</v>
      </c>
      <c r="F470" s="78"/>
      <c r="G470" s="78"/>
      <c r="I470" s="78" t="s">
        <v>81</v>
      </c>
      <c r="J470" s="78"/>
      <c r="K470" s="78"/>
      <c r="S470" s="89"/>
      <c r="W470" s="89"/>
      <c r="X470" s="78"/>
      <c r="Y470" s="78"/>
    </row>
    <row r="471" spans="1:26" ht="21" customHeight="1" x14ac:dyDescent="0.25">
      <c r="A471" s="78"/>
      <c r="B471" s="78"/>
      <c r="C471" s="80"/>
      <c r="D471" s="78"/>
      <c r="E471" s="94"/>
      <c r="F471" s="78"/>
      <c r="G471" s="78"/>
      <c r="H471" s="80"/>
      <c r="I471" s="78"/>
      <c r="J471" s="78"/>
      <c r="K471" s="78"/>
      <c r="L471" s="80"/>
      <c r="O471" s="77"/>
      <c r="Q471" s="79"/>
      <c r="S471" s="77"/>
      <c r="X471" s="77"/>
      <c r="Y471" s="77"/>
      <c r="Z471" s="77"/>
    </row>
    <row r="472" spans="1:26" s="80" customFormat="1" ht="21" customHeight="1" x14ac:dyDescent="0.25">
      <c r="A472" s="78"/>
      <c r="B472" s="77"/>
      <c r="C472" s="76"/>
      <c r="D472" s="77"/>
      <c r="E472" s="105"/>
      <c r="F472" s="77"/>
      <c r="G472" s="77"/>
      <c r="H472" s="76"/>
      <c r="I472" s="77"/>
      <c r="J472" s="77"/>
      <c r="K472" s="77"/>
      <c r="L472" s="76"/>
      <c r="O472" s="78"/>
      <c r="Q472" s="90"/>
    </row>
    <row r="473" spans="1:26" s="80" customFormat="1" ht="21" customHeight="1" x14ac:dyDescent="0.2">
      <c r="A473" s="81" t="str">
        <f>A35</f>
        <v>MR. JOHNNY U. GALENG</v>
      </c>
      <c r="B473" s="81"/>
      <c r="C473" s="81" t="str">
        <f>C35</f>
        <v>MR. JOHN XERCES C. ANTIPUESTO</v>
      </c>
      <c r="E473" s="106" t="s">
        <v>88</v>
      </c>
      <c r="F473" s="81"/>
      <c r="G473" s="81"/>
      <c r="I473" s="81" t="str">
        <f>I35</f>
        <v>ENGR. EDWIN B. BATAL</v>
      </c>
      <c r="J473" s="81"/>
      <c r="K473" s="81"/>
      <c r="O473" s="78"/>
      <c r="Q473" s="90"/>
    </row>
    <row r="474" spans="1:26" s="80" customFormat="1" ht="21" customHeight="1" x14ac:dyDescent="0.2">
      <c r="A474" s="78" t="s">
        <v>93</v>
      </c>
      <c r="B474" s="78"/>
      <c r="C474" s="78" t="s">
        <v>96</v>
      </c>
      <c r="D474" s="78"/>
      <c r="E474" s="107" t="s">
        <v>91</v>
      </c>
      <c r="F474" s="78"/>
      <c r="G474" s="78"/>
      <c r="I474" s="78" t="str">
        <f>I36</f>
        <v>Mine Explosives Asst. Manager</v>
      </c>
      <c r="J474" s="78"/>
      <c r="K474" s="78"/>
      <c r="O474" s="78"/>
      <c r="Q474" s="90"/>
    </row>
    <row r="475" spans="1:26" s="80" customFormat="1" ht="21" customHeight="1" x14ac:dyDescent="0.2">
      <c r="A475" s="78" t="s">
        <v>86</v>
      </c>
      <c r="B475" s="78"/>
      <c r="C475" s="78" t="s">
        <v>85</v>
      </c>
      <c r="D475" s="78"/>
      <c r="E475" s="107" t="s">
        <v>87</v>
      </c>
      <c r="F475" s="78"/>
      <c r="G475" s="78"/>
      <c r="I475" s="107"/>
      <c r="J475" s="78"/>
      <c r="O475" s="78"/>
      <c r="Q475" s="90"/>
    </row>
    <row r="476" spans="1:26" s="80" customFormat="1" ht="33.75" customHeight="1" x14ac:dyDescent="0.2">
      <c r="A476" s="78"/>
      <c r="B476" s="78"/>
      <c r="C476" s="78"/>
      <c r="D476" s="78"/>
      <c r="E476" s="107"/>
      <c r="F476" s="78"/>
      <c r="G476" s="78"/>
      <c r="I476" s="78"/>
      <c r="J476" s="78"/>
      <c r="O476" s="78"/>
      <c r="Q476" s="90"/>
    </row>
    <row r="477" spans="1:26" s="80" customFormat="1" ht="21" customHeight="1" x14ac:dyDescent="0.2">
      <c r="A477" s="78"/>
      <c r="B477" s="78"/>
      <c r="D477" s="78"/>
      <c r="E477" s="78"/>
      <c r="F477" s="78"/>
      <c r="G477" s="78"/>
      <c r="I477" s="78"/>
      <c r="J477" s="78"/>
      <c r="O477" s="78"/>
      <c r="Q477" s="90"/>
    </row>
    <row r="478" spans="1:26" s="80" customFormat="1" ht="15" customHeight="1" x14ac:dyDescent="0.2">
      <c r="A478" s="78"/>
      <c r="B478" s="78"/>
      <c r="D478" s="78"/>
      <c r="E478" s="78"/>
      <c r="F478" s="78"/>
      <c r="G478" s="78"/>
      <c r="I478" s="78"/>
      <c r="J478" s="78"/>
      <c r="O478" s="78"/>
      <c r="Q478" s="90"/>
    </row>
    <row r="484" spans="1:17" s="80" customFormat="1" ht="20.100000000000001" customHeight="1" x14ac:dyDescent="0.2">
      <c r="A484" s="188" t="s">
        <v>56</v>
      </c>
      <c r="B484" s="188"/>
      <c r="C484" s="188"/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</row>
    <row r="485" spans="1:17" s="80" customFormat="1" ht="20.100000000000001" customHeight="1" x14ac:dyDescent="0.2">
      <c r="A485" s="188" t="s">
        <v>57</v>
      </c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</row>
    <row r="486" spans="1:17" s="80" customFormat="1" ht="20.100000000000001" customHeight="1" x14ac:dyDescent="0.2">
      <c r="A486" s="188" t="str">
        <f>A12</f>
        <v>Period Covered : JUNE 1-7, 2026</v>
      </c>
      <c r="B486" s="188"/>
      <c r="C486" s="188"/>
      <c r="D486" s="188"/>
      <c r="E486" s="188"/>
      <c r="F486" s="188"/>
      <c r="G486" s="188"/>
      <c r="H486" s="188"/>
      <c r="I486" s="188"/>
      <c r="J486" s="188"/>
      <c r="K486" s="188"/>
      <c r="L486" s="188"/>
      <c r="M486" s="188"/>
    </row>
    <row r="487" spans="1:17" s="80" customFormat="1" ht="20.100000000000001" customHeight="1" x14ac:dyDescent="0.2"/>
    <row r="488" spans="1:17" s="80" customFormat="1" ht="20.100000000000001" customHeight="1" x14ac:dyDescent="0.2"/>
    <row r="489" spans="1:17" s="80" customFormat="1" ht="20.100000000000001" customHeight="1" x14ac:dyDescent="0.2">
      <c r="A489" s="80" t="s">
        <v>58</v>
      </c>
      <c r="B489" s="189" t="s">
        <v>0</v>
      </c>
      <c r="C489" s="189"/>
      <c r="D489" s="189"/>
    </row>
    <row r="490" spans="1:17" s="80" customFormat="1" ht="20.100000000000001" customHeight="1" x14ac:dyDescent="0.2">
      <c r="A490" s="80" t="s">
        <v>59</v>
      </c>
      <c r="B490" s="190" t="s">
        <v>78</v>
      </c>
      <c r="C490" s="190"/>
      <c r="D490" s="190"/>
    </row>
    <row r="491" spans="1:17" s="80" customFormat="1" ht="6" customHeight="1" x14ac:dyDescent="0.2"/>
    <row r="492" spans="1:17" s="80" customFormat="1" ht="39.75" customHeight="1" x14ac:dyDescent="0.2">
      <c r="A492" s="82" t="s">
        <v>60</v>
      </c>
      <c r="B492" s="82" t="s">
        <v>61</v>
      </c>
      <c r="C492" s="82" t="s">
        <v>62</v>
      </c>
      <c r="D492" s="82" t="s">
        <v>63</v>
      </c>
      <c r="E492" s="83" t="s">
        <v>64</v>
      </c>
      <c r="F492" s="83" t="s">
        <v>64</v>
      </c>
      <c r="G492" s="83" t="s">
        <v>64</v>
      </c>
      <c r="H492" s="83" t="s">
        <v>65</v>
      </c>
      <c r="I492" s="82" t="s">
        <v>66</v>
      </c>
      <c r="J492" s="82"/>
      <c r="K492" s="82"/>
      <c r="L492" s="82" t="s">
        <v>67</v>
      </c>
    </row>
    <row r="493" spans="1:17" s="80" customFormat="1" ht="42" customHeight="1" x14ac:dyDescent="0.2">
      <c r="A493" s="85" t="s">
        <v>101</v>
      </c>
      <c r="B493" s="84" t="s">
        <v>21</v>
      </c>
      <c r="C493" s="86"/>
      <c r="D493" s="86"/>
      <c r="E493" s="88"/>
      <c r="F493" s="86"/>
      <c r="G493" s="86"/>
      <c r="H493" s="87"/>
      <c r="I493" s="127">
        <v>11350</v>
      </c>
      <c r="J493" s="86"/>
      <c r="K493" s="86"/>
      <c r="L493" s="84" t="s">
        <v>80</v>
      </c>
      <c r="Q493" s="136">
        <f>I493-8000</f>
        <v>3350</v>
      </c>
    </row>
    <row r="494" spans="1:17" s="80" customFormat="1" ht="20.100000000000001" customHeight="1" x14ac:dyDescent="0.2">
      <c r="A494" s="86"/>
      <c r="B494" s="86"/>
      <c r="C494" s="88"/>
      <c r="D494" s="86"/>
      <c r="E494" s="88">
        <v>46174</v>
      </c>
      <c r="F494" s="86"/>
      <c r="G494" s="86"/>
      <c r="H494" s="102">
        <v>1332</v>
      </c>
      <c r="I494" s="128">
        <f>I493-H494</f>
        <v>10018</v>
      </c>
      <c r="J494" s="86"/>
      <c r="K494" s="86"/>
      <c r="L494" s="84" t="s">
        <v>68</v>
      </c>
    </row>
    <row r="495" spans="1:17" s="80" customFormat="1" ht="20.100000000000001" customHeight="1" x14ac:dyDescent="0.2">
      <c r="A495" s="86"/>
      <c r="B495" s="86"/>
      <c r="C495" s="88"/>
      <c r="D495" s="103"/>
      <c r="E495" s="88">
        <v>46175</v>
      </c>
      <c r="F495" s="86"/>
      <c r="G495" s="86"/>
      <c r="H495" s="102">
        <v>1300</v>
      </c>
      <c r="I495" s="128">
        <f t="shared" ref="I495:I501" si="13">I494-H495</f>
        <v>8718</v>
      </c>
      <c r="J495" s="86"/>
      <c r="K495" s="86"/>
      <c r="L495" s="84" t="s">
        <v>68</v>
      </c>
      <c r="Q495" s="136"/>
    </row>
    <row r="496" spans="1:17" s="80" customFormat="1" ht="20.100000000000001" customHeight="1" x14ac:dyDescent="0.2">
      <c r="A496" s="86"/>
      <c r="B496" s="86"/>
      <c r="C496" s="88"/>
      <c r="D496" s="103"/>
      <c r="E496" s="88">
        <v>46176</v>
      </c>
      <c r="F496" s="86"/>
      <c r="G496" s="86"/>
      <c r="H496" s="102">
        <v>1371</v>
      </c>
      <c r="I496" s="128">
        <f t="shared" si="13"/>
        <v>7347</v>
      </c>
      <c r="J496" s="86"/>
      <c r="K496" s="86"/>
      <c r="L496" s="84" t="s">
        <v>68</v>
      </c>
    </row>
    <row r="497" spans="1:26" s="80" customFormat="1" ht="20.100000000000001" customHeight="1" x14ac:dyDescent="0.2">
      <c r="A497" s="86"/>
      <c r="B497" s="86"/>
      <c r="C497" s="88"/>
      <c r="D497" s="103"/>
      <c r="E497" s="88">
        <v>46177</v>
      </c>
      <c r="F497" s="86"/>
      <c r="G497" s="86"/>
      <c r="H497" s="119">
        <v>1588</v>
      </c>
      <c r="I497" s="128">
        <f t="shared" si="13"/>
        <v>5759</v>
      </c>
      <c r="J497" s="86"/>
      <c r="K497" s="86"/>
      <c r="L497" s="84" t="s">
        <v>68</v>
      </c>
    </row>
    <row r="498" spans="1:26" s="80" customFormat="1" ht="20.100000000000001" customHeight="1" x14ac:dyDescent="0.2">
      <c r="A498" s="86"/>
      <c r="B498" s="86"/>
      <c r="C498" s="88"/>
      <c r="D498" s="103"/>
      <c r="E498" s="88">
        <v>46178</v>
      </c>
      <c r="F498" s="86"/>
      <c r="G498" s="86"/>
      <c r="H498" s="119">
        <v>1800</v>
      </c>
      <c r="I498" s="128">
        <f t="shared" si="13"/>
        <v>3959</v>
      </c>
      <c r="J498" s="86"/>
      <c r="K498" s="86"/>
      <c r="L498" s="84" t="s">
        <v>68</v>
      </c>
    </row>
    <row r="499" spans="1:26" s="80" customFormat="1" ht="19.5" customHeight="1" x14ac:dyDescent="0.2">
      <c r="A499" s="86"/>
      <c r="B499" s="86"/>
      <c r="C499" s="88"/>
      <c r="D499" s="125"/>
      <c r="E499" s="88">
        <v>46179</v>
      </c>
      <c r="F499" s="126"/>
      <c r="G499" s="126"/>
      <c r="H499" s="82">
        <v>1981</v>
      </c>
      <c r="I499" s="128">
        <f t="shared" si="13"/>
        <v>1978</v>
      </c>
      <c r="J499" s="126"/>
      <c r="K499" s="126"/>
      <c r="L499" s="84" t="s">
        <v>68</v>
      </c>
    </row>
    <row r="500" spans="1:26" s="80" customFormat="1" ht="20.100000000000001" customHeight="1" x14ac:dyDescent="0.2">
      <c r="A500" s="86"/>
      <c r="B500" s="86"/>
      <c r="C500" s="88">
        <v>46179</v>
      </c>
      <c r="D500" s="125">
        <v>8000</v>
      </c>
      <c r="F500" s="112"/>
      <c r="G500" s="111"/>
      <c r="H500" s="112"/>
      <c r="I500" s="128">
        <f>I499+D500</f>
        <v>9978</v>
      </c>
      <c r="J500" s="86"/>
      <c r="K500" s="86"/>
      <c r="L500" s="84" t="s">
        <v>104</v>
      </c>
    </row>
    <row r="501" spans="1:26" s="80" customFormat="1" ht="20.100000000000001" customHeight="1" x14ac:dyDescent="0.2">
      <c r="A501" s="86"/>
      <c r="B501" s="86"/>
      <c r="C501" s="88"/>
      <c r="D501" s="137"/>
      <c r="E501" s="88">
        <v>46180</v>
      </c>
      <c r="F501" s="112"/>
      <c r="G501" s="111"/>
      <c r="H501" s="134">
        <v>1694</v>
      </c>
      <c r="I501" s="128">
        <f t="shared" si="13"/>
        <v>8284</v>
      </c>
      <c r="J501" s="86"/>
      <c r="K501" s="86"/>
      <c r="L501" s="84" t="s">
        <v>68</v>
      </c>
      <c r="O501" s="91"/>
      <c r="S501" s="125">
        <v>19000</v>
      </c>
      <c r="T501" s="125"/>
    </row>
    <row r="502" spans="1:26" s="80" customFormat="1" ht="20.100000000000001" customHeight="1" x14ac:dyDescent="0.2">
      <c r="A502" s="86"/>
      <c r="B502" s="86"/>
      <c r="C502" s="88"/>
      <c r="D502" s="103"/>
      <c r="E502" s="88"/>
      <c r="F502" s="86"/>
      <c r="G502" s="86"/>
      <c r="H502" s="102"/>
      <c r="I502" s="129">
        <f>I501</f>
        <v>8284</v>
      </c>
      <c r="J502" s="109"/>
      <c r="K502" s="109"/>
      <c r="L502" s="110" t="s">
        <v>79</v>
      </c>
      <c r="O502" s="91">
        <f>I502+[1]sheet!$I$462</f>
        <v>16284</v>
      </c>
    </row>
    <row r="503" spans="1:26" s="80" customFormat="1" ht="20.100000000000001" customHeight="1" x14ac:dyDescent="0.2">
      <c r="A503" s="86"/>
      <c r="B503" s="86"/>
      <c r="C503" s="88"/>
      <c r="D503" s="117"/>
      <c r="E503" s="88"/>
      <c r="F503" s="86"/>
      <c r="G503" s="86"/>
      <c r="H503" s="93"/>
      <c r="I503" s="135"/>
      <c r="J503" s="138"/>
      <c r="K503" s="138"/>
      <c r="L503" s="139"/>
      <c r="O503" s="91"/>
    </row>
    <row r="504" spans="1:26" s="80" customFormat="1" ht="20.100000000000001" customHeight="1" x14ac:dyDescent="0.2">
      <c r="A504" s="86"/>
      <c r="B504" s="86"/>
      <c r="C504" s="88"/>
      <c r="D504" s="92"/>
      <c r="E504" s="88"/>
      <c r="F504" s="86"/>
      <c r="G504" s="86"/>
      <c r="H504" s="87"/>
      <c r="I504" s="118"/>
      <c r="J504" s="86"/>
      <c r="K504" s="86"/>
      <c r="L504" s="82"/>
      <c r="O504" s="91"/>
    </row>
    <row r="505" spans="1:26" s="80" customFormat="1" ht="20.100000000000001" customHeight="1" x14ac:dyDescent="0.2">
      <c r="A505" s="86"/>
      <c r="B505" s="86"/>
      <c r="C505" s="88"/>
      <c r="D505" s="92" t="s">
        <v>94</v>
      </c>
      <c r="E505" s="88"/>
      <c r="F505" s="86"/>
      <c r="G505" s="86"/>
      <c r="H505" s="87"/>
      <c r="I505" s="118"/>
      <c r="J505" s="86"/>
      <c r="K505" s="86"/>
      <c r="L505" s="82"/>
    </row>
    <row r="506" spans="1:26" s="80" customFormat="1" ht="20.100000000000001" customHeight="1" x14ac:dyDescent="0.2">
      <c r="A506" s="86"/>
      <c r="B506" s="86"/>
      <c r="C506" s="88"/>
      <c r="D506" s="92"/>
      <c r="E506" s="88"/>
      <c r="F506" s="86"/>
      <c r="G506" s="86"/>
      <c r="H506" s="87"/>
      <c r="I506" s="112"/>
      <c r="J506" s="111"/>
      <c r="K506" s="111"/>
      <c r="L506" s="115"/>
      <c r="O506" s="91"/>
    </row>
    <row r="507" spans="1:26" ht="21" customHeight="1" x14ac:dyDescent="0.25">
      <c r="A507" s="78"/>
      <c r="B507" s="77"/>
      <c r="D507" s="77"/>
      <c r="F507" s="77"/>
      <c r="G507" s="77"/>
      <c r="I507" s="77"/>
      <c r="J507" s="78"/>
      <c r="K507" s="77"/>
      <c r="L507" s="77"/>
      <c r="N507" s="77"/>
      <c r="O507" s="101"/>
      <c r="P507" s="191"/>
      <c r="Q507" s="191"/>
      <c r="X507" s="77"/>
      <c r="Y507" s="77"/>
      <c r="Z507" s="77"/>
    </row>
    <row r="508" spans="1:26" ht="21" customHeight="1" x14ac:dyDescent="0.25">
      <c r="A508" s="78" t="s">
        <v>90</v>
      </c>
      <c r="B508" s="78"/>
      <c r="C508" s="80"/>
      <c r="D508" s="80"/>
      <c r="E508" s="107" t="s">
        <v>89</v>
      </c>
      <c r="F508" s="78"/>
      <c r="G508" s="78"/>
      <c r="H508" s="80"/>
      <c r="I508" s="78" t="s">
        <v>81</v>
      </c>
      <c r="J508" s="78"/>
      <c r="K508" s="78"/>
      <c r="L508" s="80"/>
      <c r="N508" s="77"/>
      <c r="O508" s="77"/>
      <c r="P508" s="121"/>
      <c r="Q508" s="121"/>
      <c r="X508" s="77"/>
      <c r="Y508" s="77"/>
      <c r="Z508" s="77"/>
    </row>
    <row r="509" spans="1:26" s="80" customFormat="1" ht="21.75" customHeight="1" x14ac:dyDescent="0.2">
      <c r="A509" s="78"/>
      <c r="B509" s="78"/>
      <c r="D509" s="78"/>
      <c r="E509" s="94"/>
      <c r="F509" s="78"/>
      <c r="G509" s="78"/>
      <c r="I509" s="78"/>
      <c r="J509" s="78"/>
      <c r="K509" s="78"/>
      <c r="S509" s="89"/>
      <c r="W509" s="89"/>
      <c r="X509" s="78"/>
      <c r="Y509" s="78"/>
    </row>
    <row r="510" spans="1:26" ht="21" customHeight="1" x14ac:dyDescent="0.25">
      <c r="A510" s="78"/>
      <c r="B510" s="77"/>
      <c r="D510" s="77"/>
      <c r="E510" s="105"/>
      <c r="F510" s="77"/>
      <c r="G510" s="77"/>
      <c r="I510" s="77"/>
      <c r="J510" s="77"/>
      <c r="K510" s="77"/>
      <c r="O510" s="77"/>
      <c r="Q510" s="79"/>
      <c r="S510" s="77"/>
      <c r="X510" s="77"/>
      <c r="Y510" s="77"/>
      <c r="Z510" s="77"/>
    </row>
    <row r="511" spans="1:26" s="80" customFormat="1" ht="21" customHeight="1" x14ac:dyDescent="0.2">
      <c r="A511" s="81" t="str">
        <f>A35</f>
        <v>MR. JOHNNY U. GALENG</v>
      </c>
      <c r="B511" s="81"/>
      <c r="C511" s="81" t="str">
        <f>C35</f>
        <v>MR. JOHN XERCES C. ANTIPUESTO</v>
      </c>
      <c r="E511" s="106" t="s">
        <v>88</v>
      </c>
      <c r="F511" s="81"/>
      <c r="G511" s="81"/>
      <c r="I511" s="81" t="str">
        <f>I35</f>
        <v>ENGR. EDWIN B. BATAL</v>
      </c>
      <c r="J511" s="81"/>
      <c r="K511" s="81"/>
      <c r="O511" s="78"/>
      <c r="Q511" s="90"/>
    </row>
    <row r="512" spans="1:26" s="80" customFormat="1" ht="21" customHeight="1" x14ac:dyDescent="0.2">
      <c r="A512" s="78" t="s">
        <v>93</v>
      </c>
      <c r="B512" s="78"/>
      <c r="C512" s="78" t="s">
        <v>96</v>
      </c>
      <c r="D512" s="78"/>
      <c r="E512" s="107" t="s">
        <v>91</v>
      </c>
      <c r="F512" s="78"/>
      <c r="G512" s="78"/>
      <c r="I512" s="78" t="str">
        <f>I36</f>
        <v>Mine Explosives Asst. Manager</v>
      </c>
      <c r="J512" s="78"/>
      <c r="K512" s="78"/>
      <c r="O512" s="78"/>
      <c r="Q512" s="90"/>
    </row>
    <row r="513" spans="1:17" s="80" customFormat="1" ht="21" customHeight="1" x14ac:dyDescent="0.2">
      <c r="A513" s="78" t="s">
        <v>86</v>
      </c>
      <c r="B513" s="78"/>
      <c r="C513" s="78" t="s">
        <v>85</v>
      </c>
      <c r="D513" s="78"/>
      <c r="E513" s="107" t="s">
        <v>87</v>
      </c>
      <c r="F513" s="78"/>
      <c r="G513" s="78"/>
      <c r="I513" s="107"/>
      <c r="J513" s="78"/>
      <c r="O513" s="78"/>
      <c r="Q513" s="90"/>
    </row>
    <row r="514" spans="1:17" s="80" customFormat="1" ht="22.5" customHeight="1" x14ac:dyDescent="0.2">
      <c r="A514" s="78"/>
      <c r="B514" s="78"/>
      <c r="C514" s="78"/>
      <c r="D514" s="78"/>
      <c r="E514" s="107"/>
      <c r="F514" s="78"/>
      <c r="G514" s="78"/>
      <c r="I514" s="78"/>
      <c r="J514" s="78"/>
      <c r="O514" s="78"/>
      <c r="Q514" s="90"/>
    </row>
    <row r="515" spans="1:17" s="80" customFormat="1" ht="21" customHeight="1" x14ac:dyDescent="0.2">
      <c r="A515" s="78"/>
      <c r="B515" s="78"/>
      <c r="D515" s="78"/>
      <c r="E515" s="78"/>
      <c r="F515" s="78"/>
      <c r="G515" s="78"/>
      <c r="I515" s="78"/>
      <c r="J515" s="78"/>
      <c r="O515" s="78"/>
      <c r="Q515" s="90"/>
    </row>
    <row r="516" spans="1:17" s="80" customFormat="1" ht="15" customHeight="1" x14ac:dyDescent="0.2">
      <c r="A516" s="78"/>
      <c r="B516" s="78"/>
      <c r="D516" s="78"/>
      <c r="E516" s="78"/>
      <c r="F516" s="78"/>
      <c r="G516" s="78"/>
      <c r="I516" s="78"/>
      <c r="J516" s="78"/>
      <c r="O516" s="78"/>
      <c r="Q516" s="90"/>
    </row>
    <row r="522" spans="1:17" ht="20.25" customHeight="1" x14ac:dyDescent="0.25"/>
    <row r="523" spans="1:17" s="80" customFormat="1" ht="20.100000000000001" customHeight="1" x14ac:dyDescent="0.2">
      <c r="A523" s="188" t="s">
        <v>56</v>
      </c>
      <c r="B523" s="188"/>
      <c r="C523" s="188"/>
      <c r="D523" s="188"/>
      <c r="E523" s="188"/>
      <c r="F523" s="188"/>
      <c r="G523" s="188"/>
      <c r="H523" s="188"/>
      <c r="I523" s="188"/>
      <c r="J523" s="188"/>
      <c r="K523" s="188"/>
      <c r="L523" s="188"/>
      <c r="M523" s="188"/>
    </row>
    <row r="524" spans="1:17" s="80" customFormat="1" ht="20.100000000000001" customHeight="1" x14ac:dyDescent="0.2">
      <c r="A524" s="188" t="s">
        <v>57</v>
      </c>
      <c r="B524" s="188"/>
      <c r="C524" s="188"/>
      <c r="D524" s="188"/>
      <c r="E524" s="188"/>
      <c r="F524" s="188"/>
      <c r="G524" s="188"/>
      <c r="H524" s="188"/>
      <c r="I524" s="188"/>
      <c r="J524" s="188"/>
      <c r="K524" s="188"/>
      <c r="L524" s="188"/>
      <c r="M524" s="188"/>
    </row>
    <row r="525" spans="1:17" s="80" customFormat="1" ht="20.100000000000001" customHeight="1" x14ac:dyDescent="0.2">
      <c r="A525" s="188" t="str">
        <f>A12</f>
        <v>Period Covered : JUNE 1-7, 2026</v>
      </c>
      <c r="B525" s="188"/>
      <c r="C525" s="188"/>
      <c r="D525" s="188"/>
      <c r="E525" s="188"/>
      <c r="F525" s="188"/>
      <c r="G525" s="188"/>
      <c r="H525" s="188"/>
      <c r="I525" s="188"/>
      <c r="J525" s="188"/>
      <c r="K525" s="188"/>
      <c r="L525" s="188"/>
      <c r="M525" s="188"/>
    </row>
    <row r="526" spans="1:17" s="80" customFormat="1" ht="20.100000000000001" customHeight="1" x14ac:dyDescent="0.2"/>
    <row r="527" spans="1:17" s="80" customFormat="1" ht="20.100000000000001" customHeight="1" x14ac:dyDescent="0.2"/>
    <row r="528" spans="1:17" s="80" customFormat="1" ht="20.100000000000001" customHeight="1" x14ac:dyDescent="0.2">
      <c r="A528" s="80" t="s">
        <v>58</v>
      </c>
      <c r="B528" s="189" t="s">
        <v>0</v>
      </c>
      <c r="C528" s="189"/>
      <c r="D528" s="189"/>
    </row>
    <row r="529" spans="1:15" s="80" customFormat="1" ht="20.100000000000001" customHeight="1" x14ac:dyDescent="0.2">
      <c r="A529" s="80" t="s">
        <v>59</v>
      </c>
      <c r="B529" s="190" t="s">
        <v>78</v>
      </c>
      <c r="C529" s="190"/>
      <c r="D529" s="190"/>
    </row>
    <row r="530" spans="1:15" s="80" customFormat="1" ht="6" customHeight="1" x14ac:dyDescent="0.2"/>
    <row r="531" spans="1:15" s="80" customFormat="1" ht="39.75" customHeight="1" x14ac:dyDescent="0.2">
      <c r="A531" s="82" t="s">
        <v>60</v>
      </c>
      <c r="B531" s="82" t="s">
        <v>61</v>
      </c>
      <c r="C531" s="82" t="s">
        <v>62</v>
      </c>
      <c r="D531" s="82" t="s">
        <v>63</v>
      </c>
      <c r="E531" s="83" t="s">
        <v>64</v>
      </c>
      <c r="F531" s="83" t="s">
        <v>64</v>
      </c>
      <c r="G531" s="83" t="s">
        <v>64</v>
      </c>
      <c r="H531" s="83" t="s">
        <v>65</v>
      </c>
      <c r="I531" s="82" t="s">
        <v>66</v>
      </c>
      <c r="J531" s="82"/>
      <c r="K531" s="82"/>
      <c r="L531" s="82" t="s">
        <v>67</v>
      </c>
    </row>
    <row r="532" spans="1:15" s="80" customFormat="1" ht="42" customHeight="1" x14ac:dyDescent="0.2">
      <c r="A532" s="85" t="s">
        <v>101</v>
      </c>
      <c r="B532" s="84" t="s">
        <v>21</v>
      </c>
      <c r="C532" s="86"/>
      <c r="D532" s="86"/>
      <c r="E532" s="88"/>
      <c r="F532" s="86"/>
      <c r="G532" s="86"/>
      <c r="H532" s="93"/>
      <c r="I532" s="93">
        <v>0</v>
      </c>
      <c r="J532" s="86"/>
      <c r="K532" s="86"/>
      <c r="L532" s="84" t="s">
        <v>80</v>
      </c>
    </row>
    <row r="533" spans="1:15" s="80" customFormat="1" ht="20.100000000000001" customHeight="1" x14ac:dyDescent="0.2">
      <c r="A533" s="86"/>
      <c r="B533" s="86"/>
      <c r="C533" s="88"/>
      <c r="D533" s="86"/>
      <c r="E533" s="88">
        <v>46174</v>
      </c>
      <c r="F533" s="86"/>
      <c r="G533" s="86"/>
      <c r="H533" s="102"/>
      <c r="I533" s="102">
        <f>I532-H533</f>
        <v>0</v>
      </c>
      <c r="J533" s="86"/>
      <c r="K533" s="86"/>
      <c r="L533" s="84" t="s">
        <v>82</v>
      </c>
    </row>
    <row r="534" spans="1:15" s="80" customFormat="1" ht="20.100000000000001" customHeight="1" x14ac:dyDescent="0.2">
      <c r="A534" s="86"/>
      <c r="B534" s="86"/>
      <c r="C534" s="88"/>
      <c r="D534" s="103"/>
      <c r="E534" s="88">
        <v>46175</v>
      </c>
      <c r="F534" s="86"/>
      <c r="G534" s="86"/>
      <c r="H534" s="102"/>
      <c r="I534" s="102">
        <f t="shared" ref="I534:I539" si="14">I533-H534</f>
        <v>0</v>
      </c>
      <c r="J534" s="86"/>
      <c r="K534" s="86"/>
      <c r="L534" s="84" t="s">
        <v>82</v>
      </c>
    </row>
    <row r="535" spans="1:15" s="80" customFormat="1" ht="20.100000000000001" customHeight="1" x14ac:dyDescent="0.2">
      <c r="A535" s="86"/>
      <c r="B535" s="86"/>
      <c r="C535" s="88"/>
      <c r="D535" s="103"/>
      <c r="E535" s="88">
        <v>46176</v>
      </c>
      <c r="F535" s="86"/>
      <c r="G535" s="86"/>
      <c r="H535" s="102"/>
      <c r="I535" s="102">
        <f t="shared" si="14"/>
        <v>0</v>
      </c>
      <c r="J535" s="86"/>
      <c r="K535" s="86"/>
      <c r="L535" s="84" t="s">
        <v>82</v>
      </c>
    </row>
    <row r="536" spans="1:15" s="80" customFormat="1" ht="20.100000000000001" customHeight="1" x14ac:dyDescent="0.2">
      <c r="A536" s="86"/>
      <c r="B536" s="86"/>
      <c r="C536" s="88"/>
      <c r="D536" s="103"/>
      <c r="E536" s="88">
        <v>46177</v>
      </c>
      <c r="F536" s="86"/>
      <c r="G536" s="86"/>
      <c r="H536" s="119"/>
      <c r="I536" s="102">
        <f t="shared" si="14"/>
        <v>0</v>
      </c>
      <c r="J536" s="86"/>
      <c r="K536" s="86"/>
      <c r="L536" s="84" t="s">
        <v>82</v>
      </c>
    </row>
    <row r="537" spans="1:15" s="80" customFormat="1" ht="20.100000000000001" customHeight="1" x14ac:dyDescent="0.2">
      <c r="A537" s="86"/>
      <c r="B537" s="86"/>
      <c r="C537" s="88"/>
      <c r="D537" s="103"/>
      <c r="E537" s="88">
        <v>46178</v>
      </c>
      <c r="F537" s="86"/>
      <c r="G537" s="86"/>
      <c r="H537" s="119"/>
      <c r="I537" s="102">
        <f t="shared" si="14"/>
        <v>0</v>
      </c>
      <c r="J537" s="86"/>
      <c r="K537" s="86"/>
      <c r="L537" s="84" t="s">
        <v>82</v>
      </c>
    </row>
    <row r="538" spans="1:15" s="80" customFormat="1" ht="20.100000000000001" customHeight="1" x14ac:dyDescent="0.2">
      <c r="A538" s="86"/>
      <c r="B538" s="86"/>
      <c r="C538" s="88"/>
      <c r="D538" s="103"/>
      <c r="E538" s="88">
        <v>46179</v>
      </c>
      <c r="F538" s="112"/>
      <c r="G538" s="111"/>
      <c r="H538" s="112"/>
      <c r="I538" s="102">
        <f t="shared" si="14"/>
        <v>0</v>
      </c>
      <c r="J538" s="120"/>
      <c r="K538" s="120"/>
      <c r="L538" s="84" t="s">
        <v>82</v>
      </c>
    </row>
    <row r="539" spans="1:15" s="80" customFormat="1" ht="20.100000000000001" customHeight="1" x14ac:dyDescent="0.2">
      <c r="A539" s="86"/>
      <c r="B539" s="86"/>
      <c r="C539" s="88"/>
      <c r="D539" s="103"/>
      <c r="E539" s="88">
        <v>46180</v>
      </c>
      <c r="F539" s="112"/>
      <c r="G539" s="111"/>
      <c r="H539" s="112"/>
      <c r="I539" s="102">
        <f t="shared" si="14"/>
        <v>0</v>
      </c>
      <c r="J539" s="120"/>
      <c r="K539" s="120"/>
      <c r="L539" s="84" t="s">
        <v>82</v>
      </c>
      <c r="O539" s="91"/>
    </row>
    <row r="540" spans="1:15" s="80" customFormat="1" ht="20.100000000000001" customHeight="1" x14ac:dyDescent="0.2">
      <c r="A540" s="86"/>
      <c r="B540" s="86"/>
      <c r="C540" s="88"/>
      <c r="D540" s="117"/>
      <c r="E540" s="88"/>
      <c r="F540" s="86"/>
      <c r="G540" s="86"/>
      <c r="H540" s="102"/>
      <c r="I540" s="104">
        <f>I539</f>
        <v>0</v>
      </c>
      <c r="J540" s="109"/>
      <c r="K540" s="109"/>
      <c r="L540" s="110" t="s">
        <v>79</v>
      </c>
      <c r="O540" s="91"/>
    </row>
    <row r="541" spans="1:15" s="80" customFormat="1" ht="20.100000000000001" customHeight="1" x14ac:dyDescent="0.2">
      <c r="A541" s="86"/>
      <c r="B541" s="86"/>
      <c r="C541" s="88"/>
      <c r="D541" s="92"/>
      <c r="E541" s="88"/>
      <c r="F541" s="86"/>
      <c r="G541" s="86"/>
      <c r="H541" s="87"/>
      <c r="I541" s="118"/>
      <c r="J541" s="86"/>
      <c r="K541" s="86"/>
      <c r="L541" s="82"/>
      <c r="O541" s="91"/>
    </row>
    <row r="542" spans="1:15" s="80" customFormat="1" ht="20.100000000000001" customHeight="1" x14ac:dyDescent="0.2">
      <c r="A542" s="86"/>
      <c r="B542" s="86"/>
      <c r="C542" s="88"/>
      <c r="D542" s="92"/>
      <c r="E542" s="88"/>
      <c r="F542" s="86"/>
      <c r="G542" s="86"/>
      <c r="H542" s="87"/>
      <c r="I542" s="112"/>
      <c r="J542" s="111"/>
      <c r="K542" s="111"/>
      <c r="L542" s="115"/>
      <c r="O542" s="91"/>
    </row>
    <row r="543" spans="1:15" s="80" customFormat="1" ht="20.100000000000001" customHeight="1" x14ac:dyDescent="0.2">
      <c r="A543" s="86"/>
      <c r="B543" s="86"/>
      <c r="C543" s="88"/>
      <c r="D543" s="92"/>
      <c r="E543" s="88"/>
      <c r="F543" s="86"/>
      <c r="G543" s="86"/>
      <c r="H543" s="87"/>
      <c r="I543" s="112"/>
      <c r="J543" s="111"/>
      <c r="K543" s="111"/>
      <c r="L543" s="115"/>
    </row>
    <row r="544" spans="1:15" s="80" customFormat="1" ht="20.100000000000001" customHeight="1" x14ac:dyDescent="0.2">
      <c r="A544" s="86"/>
      <c r="B544" s="86"/>
      <c r="C544" s="88"/>
      <c r="D544" s="92"/>
      <c r="E544" s="88"/>
      <c r="F544" s="86"/>
      <c r="G544" s="86"/>
      <c r="H544" s="87"/>
      <c r="I544" s="87"/>
      <c r="J544" s="86"/>
      <c r="K544" s="86"/>
      <c r="L544" s="84"/>
      <c r="O544" s="91"/>
    </row>
    <row r="545" spans="1:26" ht="21" customHeight="1" x14ac:dyDescent="0.25">
      <c r="A545" s="78"/>
      <c r="B545" s="77"/>
      <c r="D545" s="77"/>
      <c r="F545" s="77"/>
      <c r="G545" s="77"/>
      <c r="I545" s="77"/>
      <c r="J545" s="78"/>
      <c r="K545" s="77"/>
      <c r="L545" s="77"/>
      <c r="N545" s="77"/>
      <c r="O545" s="101"/>
      <c r="P545" s="191"/>
      <c r="Q545" s="191"/>
      <c r="X545" s="77"/>
      <c r="Y545" s="77"/>
      <c r="Z545" s="77"/>
    </row>
    <row r="546" spans="1:26" ht="21" customHeight="1" x14ac:dyDescent="0.25">
      <c r="A546" s="78" t="s">
        <v>90</v>
      </c>
      <c r="B546" s="78"/>
      <c r="C546" s="80"/>
      <c r="D546" s="80"/>
      <c r="E546" s="107" t="s">
        <v>89</v>
      </c>
      <c r="F546" s="78"/>
      <c r="G546" s="78"/>
      <c r="H546" s="80"/>
      <c r="I546" s="78" t="s">
        <v>81</v>
      </c>
      <c r="J546" s="78"/>
      <c r="K546" s="78"/>
      <c r="L546" s="80"/>
      <c r="N546" s="77"/>
      <c r="O546" s="77"/>
      <c r="P546" s="121"/>
      <c r="Q546" s="121"/>
      <c r="X546" s="77"/>
      <c r="Y546" s="77"/>
      <c r="Z546" s="77"/>
    </row>
    <row r="547" spans="1:26" s="80" customFormat="1" ht="15.75" customHeight="1" x14ac:dyDescent="0.2">
      <c r="A547" s="78"/>
      <c r="B547" s="78"/>
      <c r="D547" s="78"/>
      <c r="E547" s="94"/>
      <c r="F547" s="78"/>
      <c r="G547" s="78"/>
      <c r="I547" s="78"/>
      <c r="J547" s="78"/>
      <c r="K547" s="78"/>
      <c r="S547" s="89"/>
      <c r="W547" s="89"/>
      <c r="X547" s="78"/>
      <c r="Y547" s="78"/>
    </row>
    <row r="548" spans="1:26" ht="21" customHeight="1" x14ac:dyDescent="0.25">
      <c r="A548" s="78"/>
      <c r="B548" s="77"/>
      <c r="D548" s="77"/>
      <c r="E548" s="105"/>
      <c r="F548" s="77"/>
      <c r="G548" s="77"/>
      <c r="I548" s="77"/>
      <c r="J548" s="77"/>
      <c r="K548" s="77"/>
      <c r="O548" s="77"/>
      <c r="Q548" s="79"/>
      <c r="S548" s="77"/>
      <c r="X548" s="77"/>
      <c r="Y548" s="77"/>
      <c r="Z548" s="77"/>
    </row>
    <row r="549" spans="1:26" s="80" customFormat="1" ht="21" customHeight="1" x14ac:dyDescent="0.2">
      <c r="A549" s="81" t="str">
        <f>A35</f>
        <v>MR. JOHNNY U. GALENG</v>
      </c>
      <c r="B549" s="81"/>
      <c r="C549" s="81" t="str">
        <f>C35</f>
        <v>MR. JOHN XERCES C. ANTIPUESTO</v>
      </c>
      <c r="E549" s="106" t="s">
        <v>88</v>
      </c>
      <c r="F549" s="81"/>
      <c r="G549" s="81"/>
      <c r="I549" s="81" t="str">
        <f>I35</f>
        <v>ENGR. EDWIN B. BATAL</v>
      </c>
      <c r="J549" s="81"/>
      <c r="K549" s="81"/>
      <c r="O549" s="78"/>
      <c r="Q549" s="90"/>
    </row>
    <row r="550" spans="1:26" s="80" customFormat="1" ht="21" customHeight="1" x14ac:dyDescent="0.2">
      <c r="A550" s="78" t="s">
        <v>93</v>
      </c>
      <c r="B550" s="78"/>
      <c r="C550" s="78" t="s">
        <v>96</v>
      </c>
      <c r="D550" s="78"/>
      <c r="E550" s="107" t="s">
        <v>91</v>
      </c>
      <c r="F550" s="78"/>
      <c r="G550" s="78"/>
      <c r="I550" s="78" t="str">
        <f>I36</f>
        <v>Mine Explosives Asst. Manager</v>
      </c>
      <c r="J550" s="78"/>
      <c r="K550" s="78"/>
      <c r="O550" s="78"/>
      <c r="Q550" s="90"/>
    </row>
    <row r="551" spans="1:26" s="80" customFormat="1" ht="21" customHeight="1" x14ac:dyDescent="0.2">
      <c r="A551" s="78" t="s">
        <v>86</v>
      </c>
      <c r="B551" s="78"/>
      <c r="C551" s="78" t="s">
        <v>85</v>
      </c>
      <c r="D551" s="78"/>
      <c r="E551" s="107" t="s">
        <v>87</v>
      </c>
      <c r="F551" s="78"/>
      <c r="G551" s="78"/>
      <c r="I551" s="107"/>
      <c r="J551" s="78"/>
      <c r="O551" s="78"/>
      <c r="Q551" s="90"/>
    </row>
    <row r="552" spans="1:26" ht="5.25" customHeight="1" x14ac:dyDescent="0.25"/>
    <row r="553" spans="1:26" ht="18.75" customHeight="1" x14ac:dyDescent="0.25"/>
    <row r="554" spans="1:26" s="80" customFormat="1" ht="9.75" customHeight="1" x14ac:dyDescent="0.2">
      <c r="A554" s="78"/>
      <c r="B554" s="78"/>
      <c r="C554" s="78"/>
      <c r="D554" s="78"/>
      <c r="E554" s="107"/>
      <c r="F554" s="78"/>
      <c r="G554" s="78"/>
      <c r="I554" s="78"/>
      <c r="J554" s="78"/>
      <c r="O554" s="78"/>
      <c r="Q554" s="90"/>
    </row>
    <row r="555" spans="1:26" s="80" customFormat="1" ht="21" customHeight="1" x14ac:dyDescent="0.2">
      <c r="A555" s="78"/>
      <c r="B555" s="78"/>
      <c r="D555" s="78"/>
      <c r="E555" s="78"/>
      <c r="F555" s="78"/>
      <c r="G555" s="78"/>
      <c r="I555" s="78"/>
      <c r="J555" s="78"/>
      <c r="O555" s="78"/>
      <c r="Q555" s="90"/>
    </row>
    <row r="556" spans="1:26" s="80" customFormat="1" ht="15" customHeight="1" x14ac:dyDescent="0.2">
      <c r="A556" s="78"/>
      <c r="B556" s="78"/>
      <c r="D556" s="78"/>
      <c r="E556" s="78"/>
      <c r="F556" s="78"/>
      <c r="G556" s="78"/>
      <c r="I556" s="78"/>
      <c r="J556" s="78"/>
      <c r="O556" s="78"/>
      <c r="Q556" s="90"/>
    </row>
    <row r="562" spans="1:13" ht="20.25" customHeight="1" x14ac:dyDescent="0.25"/>
    <row r="563" spans="1:13" s="80" customFormat="1" ht="20.100000000000001" customHeight="1" x14ac:dyDescent="0.2">
      <c r="A563" s="188" t="s">
        <v>56</v>
      </c>
      <c r="B563" s="188"/>
      <c r="C563" s="188"/>
      <c r="D563" s="188"/>
      <c r="E563" s="188"/>
      <c r="F563" s="188"/>
      <c r="G563" s="188"/>
      <c r="H563" s="188"/>
      <c r="I563" s="188"/>
      <c r="J563" s="188"/>
      <c r="K563" s="188"/>
      <c r="L563" s="188"/>
      <c r="M563" s="188"/>
    </row>
    <row r="564" spans="1:13" s="80" customFormat="1" ht="20.100000000000001" customHeight="1" x14ac:dyDescent="0.2">
      <c r="A564" s="188" t="s">
        <v>57</v>
      </c>
      <c r="B564" s="188"/>
      <c r="C564" s="188"/>
      <c r="D564" s="188"/>
      <c r="E564" s="188"/>
      <c r="F564" s="188"/>
      <c r="G564" s="188"/>
      <c r="H564" s="188"/>
      <c r="I564" s="188"/>
      <c r="J564" s="188"/>
      <c r="K564" s="188"/>
      <c r="L564" s="188"/>
      <c r="M564" s="188"/>
    </row>
    <row r="565" spans="1:13" s="80" customFormat="1" ht="20.100000000000001" customHeight="1" x14ac:dyDescent="0.2">
      <c r="A565" s="188" t="str">
        <f>A12</f>
        <v>Period Covered : JUNE 1-7, 2026</v>
      </c>
      <c r="B565" s="188"/>
      <c r="C565" s="188"/>
      <c r="D565" s="188"/>
      <c r="E565" s="188"/>
      <c r="F565" s="188"/>
      <c r="G565" s="188"/>
      <c r="H565" s="188"/>
      <c r="I565" s="188"/>
      <c r="J565" s="188"/>
      <c r="K565" s="188"/>
      <c r="L565" s="188"/>
      <c r="M565" s="188"/>
    </row>
    <row r="566" spans="1:13" s="80" customFormat="1" ht="20.100000000000001" customHeight="1" x14ac:dyDescent="0.2"/>
    <row r="567" spans="1:13" s="80" customFormat="1" ht="20.100000000000001" customHeight="1" x14ac:dyDescent="0.2"/>
    <row r="568" spans="1:13" s="80" customFormat="1" ht="20.100000000000001" customHeight="1" x14ac:dyDescent="0.2">
      <c r="A568" s="80" t="s">
        <v>58</v>
      </c>
      <c r="B568" s="189" t="s">
        <v>0</v>
      </c>
      <c r="C568" s="189"/>
      <c r="D568" s="189"/>
    </row>
    <row r="569" spans="1:13" s="80" customFormat="1" ht="20.100000000000001" customHeight="1" x14ac:dyDescent="0.2">
      <c r="A569" s="80" t="s">
        <v>59</v>
      </c>
      <c r="B569" s="190" t="s">
        <v>78</v>
      </c>
      <c r="C569" s="190"/>
      <c r="D569" s="190"/>
    </row>
    <row r="570" spans="1:13" s="80" customFormat="1" ht="6" customHeight="1" x14ac:dyDescent="0.2"/>
    <row r="571" spans="1:13" s="80" customFormat="1" ht="39.75" customHeight="1" x14ac:dyDescent="0.2">
      <c r="A571" s="82" t="s">
        <v>60</v>
      </c>
      <c r="B571" s="82" t="s">
        <v>61</v>
      </c>
      <c r="C571" s="82" t="s">
        <v>62</v>
      </c>
      <c r="D571" s="82" t="s">
        <v>63</v>
      </c>
      <c r="E571" s="83" t="s">
        <v>64</v>
      </c>
      <c r="F571" s="83" t="s">
        <v>64</v>
      </c>
      <c r="G571" s="83" t="s">
        <v>64</v>
      </c>
      <c r="H571" s="83" t="s">
        <v>65</v>
      </c>
      <c r="I571" s="82" t="s">
        <v>66</v>
      </c>
      <c r="J571" s="82"/>
      <c r="K571" s="82"/>
      <c r="L571" s="82" t="s">
        <v>67</v>
      </c>
    </row>
    <row r="572" spans="1:13" s="80" customFormat="1" ht="42" customHeight="1" x14ac:dyDescent="0.2">
      <c r="A572" s="85" t="s">
        <v>95</v>
      </c>
      <c r="B572" s="84" t="s">
        <v>21</v>
      </c>
      <c r="C572" s="86"/>
      <c r="D572" s="86"/>
      <c r="E572" s="88"/>
      <c r="F572" s="86"/>
      <c r="G572" s="86"/>
      <c r="H572" s="93"/>
      <c r="I572" s="93">
        <v>0</v>
      </c>
      <c r="J572" s="86"/>
      <c r="K572" s="86"/>
      <c r="L572" s="84" t="s">
        <v>80</v>
      </c>
    </row>
    <row r="573" spans="1:13" s="80" customFormat="1" ht="20.100000000000001" customHeight="1" x14ac:dyDescent="0.2">
      <c r="A573" s="86"/>
      <c r="B573" s="86"/>
      <c r="C573" s="88"/>
      <c r="D573" s="86"/>
      <c r="E573" s="88">
        <v>46174</v>
      </c>
      <c r="F573" s="86"/>
      <c r="G573" s="86"/>
      <c r="H573" s="102"/>
      <c r="I573" s="102">
        <f>I572-H573</f>
        <v>0</v>
      </c>
      <c r="J573" s="86"/>
      <c r="K573" s="86"/>
      <c r="L573" s="84" t="s">
        <v>82</v>
      </c>
    </row>
    <row r="574" spans="1:13" s="80" customFormat="1" ht="20.100000000000001" customHeight="1" x14ac:dyDescent="0.2">
      <c r="A574" s="86"/>
      <c r="B574" s="86"/>
      <c r="C574" s="88"/>
      <c r="D574" s="103"/>
      <c r="E574" s="88">
        <v>46175</v>
      </c>
      <c r="F574" s="86"/>
      <c r="G574" s="86"/>
      <c r="H574" s="102"/>
      <c r="I574" s="102">
        <f t="shared" ref="I574:I579" si="15">I573-H574</f>
        <v>0</v>
      </c>
      <c r="J574" s="86"/>
      <c r="K574" s="86"/>
      <c r="L574" s="84" t="s">
        <v>82</v>
      </c>
    </row>
    <row r="575" spans="1:13" s="80" customFormat="1" ht="20.100000000000001" customHeight="1" x14ac:dyDescent="0.2">
      <c r="A575" s="86"/>
      <c r="B575" s="86"/>
      <c r="C575" s="88"/>
      <c r="D575" s="103"/>
      <c r="E575" s="88">
        <v>46176</v>
      </c>
      <c r="F575" s="86"/>
      <c r="G575" s="86"/>
      <c r="H575" s="102"/>
      <c r="I575" s="102">
        <f t="shared" si="15"/>
        <v>0</v>
      </c>
      <c r="J575" s="86"/>
      <c r="K575" s="86"/>
      <c r="L575" s="84" t="s">
        <v>82</v>
      </c>
    </row>
    <row r="576" spans="1:13" s="80" customFormat="1" ht="20.100000000000001" customHeight="1" x14ac:dyDescent="0.2">
      <c r="A576" s="86"/>
      <c r="B576" s="86"/>
      <c r="C576" s="88"/>
      <c r="D576" s="103"/>
      <c r="E576" s="88">
        <v>46177</v>
      </c>
      <c r="F576" s="86"/>
      <c r="G576" s="86"/>
      <c r="H576" s="119"/>
      <c r="I576" s="102">
        <f t="shared" si="15"/>
        <v>0</v>
      </c>
      <c r="J576" s="86"/>
      <c r="K576" s="86"/>
      <c r="L576" s="84" t="s">
        <v>82</v>
      </c>
    </row>
    <row r="577" spans="1:26" s="80" customFormat="1" ht="20.100000000000001" customHeight="1" x14ac:dyDescent="0.2">
      <c r="A577" s="86"/>
      <c r="B577" s="86"/>
      <c r="C577" s="88"/>
      <c r="D577" s="103"/>
      <c r="E577" s="88">
        <v>46178</v>
      </c>
      <c r="F577" s="86"/>
      <c r="G577" s="86"/>
      <c r="H577" s="119"/>
      <c r="I577" s="102">
        <f t="shared" si="15"/>
        <v>0</v>
      </c>
      <c r="J577" s="86"/>
      <c r="K577" s="86"/>
      <c r="L577" s="84" t="s">
        <v>82</v>
      </c>
    </row>
    <row r="578" spans="1:26" s="80" customFormat="1" ht="20.100000000000001" customHeight="1" x14ac:dyDescent="0.2">
      <c r="A578" s="86"/>
      <c r="B578" s="86"/>
      <c r="C578" s="88"/>
      <c r="D578" s="103"/>
      <c r="E578" s="88">
        <v>46179</v>
      </c>
      <c r="F578" s="112"/>
      <c r="G578" s="111"/>
      <c r="H578" s="112"/>
      <c r="I578" s="102">
        <f t="shared" si="15"/>
        <v>0</v>
      </c>
      <c r="J578" s="120"/>
      <c r="K578" s="120"/>
      <c r="L578" s="84" t="s">
        <v>82</v>
      </c>
    </row>
    <row r="579" spans="1:26" s="80" customFormat="1" ht="20.100000000000001" customHeight="1" x14ac:dyDescent="0.2">
      <c r="A579" s="86"/>
      <c r="B579" s="86"/>
      <c r="C579" s="88"/>
      <c r="D579" s="103"/>
      <c r="E579" s="88">
        <v>46180</v>
      </c>
      <c r="F579" s="112"/>
      <c r="G579" s="111"/>
      <c r="H579" s="112"/>
      <c r="I579" s="102">
        <f t="shared" si="15"/>
        <v>0</v>
      </c>
      <c r="J579" s="120"/>
      <c r="K579" s="120"/>
      <c r="L579" s="84" t="s">
        <v>82</v>
      </c>
      <c r="O579" s="91"/>
    </row>
    <row r="580" spans="1:26" s="80" customFormat="1" ht="20.100000000000001" customHeight="1" x14ac:dyDescent="0.2">
      <c r="A580" s="86"/>
      <c r="B580" s="86"/>
      <c r="C580" s="88"/>
      <c r="D580" s="117"/>
      <c r="E580" s="88"/>
      <c r="F580" s="86"/>
      <c r="G580" s="86"/>
      <c r="H580" s="102"/>
      <c r="I580" s="104">
        <f>I579</f>
        <v>0</v>
      </c>
      <c r="J580" s="109"/>
      <c r="K580" s="109"/>
      <c r="L580" s="110" t="s">
        <v>79</v>
      </c>
      <c r="O580" s="91"/>
    </row>
    <row r="581" spans="1:26" s="80" customFormat="1" ht="20.100000000000001" customHeight="1" x14ac:dyDescent="0.2">
      <c r="A581" s="86"/>
      <c r="B581" s="86"/>
      <c r="C581" s="88"/>
      <c r="D581" s="92"/>
      <c r="E581" s="88"/>
      <c r="F581" s="86"/>
      <c r="G581" s="86"/>
      <c r="H581" s="87"/>
      <c r="I581" s="118"/>
      <c r="J581" s="86"/>
      <c r="K581" s="86"/>
      <c r="L581" s="82"/>
      <c r="O581" s="91"/>
    </row>
    <row r="582" spans="1:26" s="80" customFormat="1" ht="20.100000000000001" customHeight="1" x14ac:dyDescent="0.2">
      <c r="A582" s="86"/>
      <c r="B582" s="86"/>
      <c r="C582" s="88"/>
      <c r="D582" s="92"/>
      <c r="E582" s="88"/>
      <c r="F582" s="86"/>
      <c r="G582" s="86"/>
      <c r="H582" s="87"/>
      <c r="I582" s="112"/>
      <c r="J582" s="111"/>
      <c r="K582" s="111"/>
      <c r="L582" s="115"/>
      <c r="O582" s="91"/>
    </row>
    <row r="583" spans="1:26" s="80" customFormat="1" ht="20.100000000000001" customHeight="1" x14ac:dyDescent="0.2">
      <c r="A583" s="86"/>
      <c r="B583" s="86"/>
      <c r="C583" s="88"/>
      <c r="D583" s="92"/>
      <c r="E583" s="88"/>
      <c r="F583" s="86"/>
      <c r="G583" s="86"/>
      <c r="H583" s="87"/>
      <c r="I583" s="112"/>
      <c r="J583" s="111"/>
      <c r="K583" s="111"/>
      <c r="L583" s="115"/>
    </row>
    <row r="584" spans="1:26" s="80" customFormat="1" ht="20.100000000000001" customHeight="1" x14ac:dyDescent="0.2">
      <c r="A584" s="86"/>
      <c r="B584" s="86"/>
      <c r="C584" s="88"/>
      <c r="D584" s="92"/>
      <c r="E584" s="88"/>
      <c r="F584" s="86"/>
      <c r="G584" s="86"/>
      <c r="H584" s="87"/>
      <c r="I584" s="87"/>
      <c r="J584" s="86"/>
      <c r="K584" s="86"/>
      <c r="L584" s="84"/>
      <c r="O584" s="91"/>
    </row>
    <row r="585" spans="1:26" ht="13.5" customHeight="1" x14ac:dyDescent="0.25">
      <c r="A585" s="78"/>
      <c r="B585" s="77"/>
      <c r="D585" s="77"/>
      <c r="F585" s="77"/>
      <c r="G585" s="77"/>
      <c r="I585" s="77"/>
      <c r="J585" s="78"/>
      <c r="K585" s="77"/>
      <c r="L585" s="77"/>
      <c r="N585" s="77"/>
      <c r="O585" s="101"/>
      <c r="P585" s="191"/>
      <c r="Q585" s="191"/>
      <c r="X585" s="77"/>
      <c r="Y585" s="77"/>
      <c r="Z585" s="77"/>
    </row>
    <row r="586" spans="1:26" ht="21" customHeight="1" x14ac:dyDescent="0.25">
      <c r="A586" s="78" t="s">
        <v>90</v>
      </c>
      <c r="B586" s="78"/>
      <c r="C586" s="80"/>
      <c r="D586" s="80"/>
      <c r="E586" s="107" t="s">
        <v>97</v>
      </c>
      <c r="F586" s="78"/>
      <c r="G586" s="78"/>
      <c r="H586" s="80"/>
      <c r="I586" s="78" t="s">
        <v>81</v>
      </c>
      <c r="J586" s="78"/>
      <c r="K586" s="78"/>
      <c r="L586" s="80"/>
      <c r="N586" s="77"/>
      <c r="O586" s="77"/>
      <c r="P586" s="121"/>
      <c r="Q586" s="121"/>
      <c r="X586" s="77"/>
      <c r="Y586" s="77"/>
      <c r="Z586" s="77"/>
    </row>
    <row r="587" spans="1:26" s="80" customFormat="1" ht="21.75" customHeight="1" x14ac:dyDescent="0.2">
      <c r="A587" s="78"/>
      <c r="B587" s="78"/>
      <c r="D587" s="78"/>
      <c r="E587" s="94"/>
      <c r="F587" s="78"/>
      <c r="G587" s="78"/>
      <c r="I587" s="78"/>
      <c r="J587" s="78"/>
      <c r="K587" s="78"/>
      <c r="S587" s="89"/>
      <c r="W587" s="89"/>
      <c r="X587" s="78"/>
      <c r="Y587" s="78"/>
    </row>
    <row r="588" spans="1:26" ht="21" customHeight="1" x14ac:dyDescent="0.25">
      <c r="A588" s="78"/>
      <c r="B588" s="77"/>
      <c r="D588" s="77"/>
      <c r="E588" s="105"/>
      <c r="F588" s="77"/>
      <c r="G588" s="77"/>
      <c r="I588" s="77"/>
      <c r="J588" s="77"/>
      <c r="K588" s="77"/>
      <c r="O588" s="77"/>
      <c r="Q588" s="79"/>
      <c r="S588" s="77"/>
      <c r="X588" s="77"/>
      <c r="Y588" s="77"/>
      <c r="Z588" s="77"/>
    </row>
    <row r="589" spans="1:26" s="80" customFormat="1" ht="21" customHeight="1" x14ac:dyDescent="0.2">
      <c r="A589" s="81" t="str">
        <f>A35</f>
        <v>MR. JOHNNY U. GALENG</v>
      </c>
      <c r="B589" s="81"/>
      <c r="C589" s="81" t="str">
        <f>C35</f>
        <v>MR. JOHN XERCES C. ANTIPUESTO</v>
      </c>
      <c r="E589" s="106" t="s">
        <v>88</v>
      </c>
      <c r="F589" s="81"/>
      <c r="G589" s="81"/>
      <c r="I589" s="81" t="str">
        <f>I35</f>
        <v>ENGR. EDWIN B. BATAL</v>
      </c>
      <c r="J589" s="81"/>
      <c r="K589" s="81"/>
      <c r="O589" s="78"/>
      <c r="Q589" s="90"/>
    </row>
    <row r="590" spans="1:26" s="80" customFormat="1" ht="21" customHeight="1" x14ac:dyDescent="0.2">
      <c r="A590" s="78" t="s">
        <v>93</v>
      </c>
      <c r="B590" s="78"/>
      <c r="C590" s="78" t="s">
        <v>96</v>
      </c>
      <c r="D590" s="78"/>
      <c r="E590" s="107" t="s">
        <v>91</v>
      </c>
      <c r="F590" s="78"/>
      <c r="G590" s="78"/>
      <c r="I590" s="78" t="str">
        <f>I36</f>
        <v>Mine Explosives Asst. Manager</v>
      </c>
      <c r="J590" s="78"/>
      <c r="K590" s="78"/>
      <c r="O590" s="78"/>
      <c r="Q590" s="90"/>
    </row>
    <row r="591" spans="1:26" s="80" customFormat="1" ht="21" customHeight="1" x14ac:dyDescent="0.2">
      <c r="A591" s="78" t="s">
        <v>86</v>
      </c>
      <c r="B591" s="78"/>
      <c r="C591" s="78" t="s">
        <v>85</v>
      </c>
      <c r="D591" s="78"/>
      <c r="E591" s="107" t="s">
        <v>87</v>
      </c>
      <c r="F591" s="78"/>
      <c r="G591" s="78"/>
      <c r="I591" s="107"/>
      <c r="J591" s="78"/>
      <c r="O591" s="78"/>
      <c r="Q591" s="90"/>
    </row>
    <row r="592" spans="1:26" x14ac:dyDescent="0.25">
      <c r="A592" s="78"/>
      <c r="B592" s="78"/>
      <c r="C592" s="78"/>
      <c r="D592" s="78"/>
      <c r="E592" s="107"/>
      <c r="F592" s="78"/>
      <c r="G592" s="78"/>
      <c r="H592" s="80"/>
      <c r="I592" s="78"/>
      <c r="J592" s="78"/>
      <c r="K592" s="80"/>
      <c r="L592" s="80"/>
      <c r="M592" s="80"/>
    </row>
    <row r="593" spans="1:13" x14ac:dyDescent="0.25">
      <c r="A593" s="78"/>
      <c r="B593" s="78"/>
      <c r="C593" s="80"/>
      <c r="D593" s="78"/>
      <c r="E593" s="78"/>
      <c r="F593" s="78"/>
      <c r="G593" s="78"/>
      <c r="H593" s="80"/>
      <c r="I593" s="78"/>
      <c r="J593" s="78"/>
      <c r="K593" s="80"/>
      <c r="L593" s="80"/>
      <c r="M593" s="80"/>
    </row>
    <row r="594" spans="1:13" x14ac:dyDescent="0.25">
      <c r="A594" s="78"/>
      <c r="B594" s="78"/>
      <c r="C594" s="80"/>
      <c r="D594" s="78"/>
      <c r="E594" s="78"/>
      <c r="F594" s="78"/>
      <c r="G594" s="78"/>
      <c r="H594" s="80"/>
      <c r="I594" s="78"/>
      <c r="J594" s="78"/>
      <c r="K594" s="80"/>
      <c r="L594" s="80"/>
      <c r="M594" s="80"/>
    </row>
    <row r="601" spans="1:13" x14ac:dyDescent="0.25">
      <c r="A601" s="188" t="s">
        <v>56</v>
      </c>
      <c r="B601" s="188"/>
      <c r="C601" s="188"/>
      <c r="D601" s="188"/>
      <c r="E601" s="188"/>
      <c r="F601" s="188"/>
      <c r="G601" s="188"/>
      <c r="H601" s="188"/>
      <c r="I601" s="188"/>
      <c r="J601" s="188"/>
      <c r="K601" s="188"/>
      <c r="L601" s="188"/>
      <c r="M601" s="188"/>
    </row>
    <row r="602" spans="1:13" x14ac:dyDescent="0.25">
      <c r="A602" s="188" t="s">
        <v>57</v>
      </c>
      <c r="B602" s="188"/>
      <c r="C602" s="188"/>
      <c r="D602" s="188"/>
      <c r="E602" s="188"/>
      <c r="F602" s="188"/>
      <c r="G602" s="188"/>
      <c r="H602" s="188"/>
      <c r="I602" s="188"/>
      <c r="J602" s="188"/>
      <c r="K602" s="188"/>
      <c r="L602" s="188"/>
      <c r="M602" s="188"/>
    </row>
    <row r="603" spans="1:13" x14ac:dyDescent="0.25">
      <c r="A603" s="188" t="str">
        <f>A12</f>
        <v>Period Covered : JUNE 1-7, 2026</v>
      </c>
      <c r="B603" s="188"/>
      <c r="C603" s="188"/>
      <c r="D603" s="188"/>
      <c r="E603" s="188"/>
      <c r="F603" s="188"/>
      <c r="G603" s="188"/>
      <c r="H603" s="188"/>
      <c r="I603" s="188"/>
      <c r="J603" s="188"/>
      <c r="K603" s="188"/>
      <c r="L603" s="188"/>
      <c r="M603" s="188"/>
    </row>
    <row r="604" spans="1:13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</row>
    <row r="605" spans="1:13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</row>
    <row r="606" spans="1:13" x14ac:dyDescent="0.25">
      <c r="A606" s="80" t="s">
        <v>58</v>
      </c>
      <c r="B606" s="189" t="s">
        <v>0</v>
      </c>
      <c r="C606" s="189"/>
      <c r="D606" s="189"/>
      <c r="E606" s="80"/>
      <c r="F606" s="80"/>
      <c r="G606" s="80"/>
      <c r="H606" s="80"/>
      <c r="I606" s="80"/>
      <c r="J606" s="80"/>
      <c r="K606" s="80"/>
      <c r="L606" s="80"/>
      <c r="M606" s="80"/>
    </row>
    <row r="607" spans="1:13" x14ac:dyDescent="0.25">
      <c r="A607" s="80" t="s">
        <v>59</v>
      </c>
      <c r="B607" s="190" t="s">
        <v>78</v>
      </c>
      <c r="C607" s="190"/>
      <c r="D607" s="190"/>
      <c r="E607" s="80"/>
      <c r="F607" s="80"/>
      <c r="G607" s="80"/>
      <c r="H607" s="80"/>
      <c r="I607" s="80"/>
      <c r="J607" s="80"/>
      <c r="K607" s="80"/>
      <c r="L607" s="80"/>
      <c r="M607" s="80"/>
    </row>
    <row r="608" spans="1:13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</row>
    <row r="609" spans="1:15" ht="39" customHeight="1" x14ac:dyDescent="0.25">
      <c r="A609" s="82" t="s">
        <v>60</v>
      </c>
      <c r="B609" s="82" t="s">
        <v>61</v>
      </c>
      <c r="C609" s="82" t="s">
        <v>62</v>
      </c>
      <c r="D609" s="82" t="s">
        <v>63</v>
      </c>
      <c r="E609" s="83" t="s">
        <v>64</v>
      </c>
      <c r="F609" s="83" t="s">
        <v>64</v>
      </c>
      <c r="G609" s="83" t="s">
        <v>64</v>
      </c>
      <c r="H609" s="83" t="s">
        <v>65</v>
      </c>
      <c r="I609" s="82" t="s">
        <v>66</v>
      </c>
      <c r="J609" s="82"/>
      <c r="K609" s="82"/>
      <c r="L609" s="82" t="s">
        <v>67</v>
      </c>
      <c r="M609" s="80"/>
    </row>
    <row r="610" spans="1:15" ht="36" x14ac:dyDescent="0.25">
      <c r="A610" s="85" t="s">
        <v>98</v>
      </c>
      <c r="B610" s="84" t="s">
        <v>21</v>
      </c>
      <c r="C610" s="86"/>
      <c r="D610" s="86"/>
      <c r="E610" s="88"/>
      <c r="F610" s="86"/>
      <c r="G610" s="86"/>
      <c r="H610" s="93"/>
      <c r="I610" s="93">
        <v>0</v>
      </c>
      <c r="J610" s="86"/>
      <c r="K610" s="86"/>
      <c r="L610" s="84" t="s">
        <v>80</v>
      </c>
      <c r="M610" s="80"/>
    </row>
    <row r="611" spans="1:15" x14ac:dyDescent="0.25">
      <c r="A611" s="86"/>
      <c r="B611" s="86"/>
      <c r="C611" s="88"/>
      <c r="D611" s="86"/>
      <c r="E611" s="88">
        <v>46174</v>
      </c>
      <c r="F611" s="86"/>
      <c r="G611" s="86"/>
      <c r="H611" s="102"/>
      <c r="I611" s="102">
        <f>I610-H611</f>
        <v>0</v>
      </c>
      <c r="J611" s="86"/>
      <c r="K611" s="86"/>
      <c r="L611" s="84" t="s">
        <v>82</v>
      </c>
      <c r="M611" s="80"/>
    </row>
    <row r="612" spans="1:15" x14ac:dyDescent="0.25">
      <c r="A612" s="86"/>
      <c r="B612" s="86"/>
      <c r="C612" s="88"/>
      <c r="D612" s="103"/>
      <c r="E612" s="88">
        <v>46175</v>
      </c>
      <c r="F612" s="86"/>
      <c r="G612" s="86"/>
      <c r="H612" s="102"/>
      <c r="I612" s="102">
        <f t="shared" ref="I612:I617" si="16">I611-H612</f>
        <v>0</v>
      </c>
      <c r="J612" s="86"/>
      <c r="K612" s="86"/>
      <c r="L612" s="84" t="s">
        <v>82</v>
      </c>
      <c r="M612" s="80"/>
    </row>
    <row r="613" spans="1:15" x14ac:dyDescent="0.25">
      <c r="A613" s="86"/>
      <c r="B613" s="86"/>
      <c r="C613" s="88"/>
      <c r="D613" s="103"/>
      <c r="E613" s="88">
        <v>46176</v>
      </c>
      <c r="F613" s="86"/>
      <c r="G613" s="86"/>
      <c r="H613" s="102"/>
      <c r="I613" s="102">
        <f t="shared" si="16"/>
        <v>0</v>
      </c>
      <c r="J613" s="86"/>
      <c r="K613" s="86"/>
      <c r="L613" s="84" t="s">
        <v>82</v>
      </c>
      <c r="M613" s="80"/>
    </row>
    <row r="614" spans="1:15" x14ac:dyDescent="0.25">
      <c r="A614" s="86"/>
      <c r="B614" s="86"/>
      <c r="C614" s="88"/>
      <c r="D614" s="103"/>
      <c r="E614" s="88">
        <v>46177</v>
      </c>
      <c r="F614" s="86"/>
      <c r="G614" s="86"/>
      <c r="H614" s="119"/>
      <c r="I614" s="102">
        <f t="shared" si="16"/>
        <v>0</v>
      </c>
      <c r="J614" s="86"/>
      <c r="K614" s="86"/>
      <c r="L614" s="84" t="s">
        <v>82</v>
      </c>
      <c r="M614" s="80"/>
    </row>
    <row r="615" spans="1:15" x14ac:dyDescent="0.25">
      <c r="A615" s="86"/>
      <c r="B615" s="86"/>
      <c r="C615" s="88"/>
      <c r="D615" s="103"/>
      <c r="E615" s="88">
        <v>46178</v>
      </c>
      <c r="F615" s="86"/>
      <c r="G615" s="86"/>
      <c r="H615" s="119"/>
      <c r="I615" s="102">
        <f t="shared" si="16"/>
        <v>0</v>
      </c>
      <c r="J615" s="86"/>
      <c r="K615" s="86"/>
      <c r="L615" s="84" t="s">
        <v>82</v>
      </c>
      <c r="M615" s="80"/>
    </row>
    <row r="616" spans="1:15" x14ac:dyDescent="0.25">
      <c r="A616" s="86"/>
      <c r="B616" s="86"/>
      <c r="C616" s="88"/>
      <c r="D616" s="103"/>
      <c r="E616" s="88">
        <v>46179</v>
      </c>
      <c r="F616" s="112"/>
      <c r="G616" s="111"/>
      <c r="H616" s="112"/>
      <c r="I616" s="102">
        <f t="shared" si="16"/>
        <v>0</v>
      </c>
      <c r="J616" s="120"/>
      <c r="K616" s="120"/>
      <c r="L616" s="84" t="s">
        <v>82</v>
      </c>
      <c r="M616" s="80"/>
      <c r="O616" s="114"/>
    </row>
    <row r="617" spans="1:15" x14ac:dyDescent="0.25">
      <c r="A617" s="86"/>
      <c r="B617" s="86"/>
      <c r="C617" s="88"/>
      <c r="D617" s="103"/>
      <c r="E617" s="88">
        <v>46180</v>
      </c>
      <c r="F617" s="112"/>
      <c r="G617" s="111"/>
      <c r="H617" s="112"/>
      <c r="I617" s="102">
        <f t="shared" si="16"/>
        <v>0</v>
      </c>
      <c r="J617" s="120"/>
      <c r="K617" s="120"/>
      <c r="L617" s="84" t="s">
        <v>82</v>
      </c>
      <c r="M617" s="80"/>
    </row>
    <row r="618" spans="1:15" x14ac:dyDescent="0.25">
      <c r="A618" s="86"/>
      <c r="B618" s="86"/>
      <c r="C618" s="88"/>
      <c r="D618" s="117"/>
      <c r="E618" s="88"/>
      <c r="F618" s="86"/>
      <c r="G618" s="86"/>
      <c r="H618" s="102"/>
      <c r="I618" s="104">
        <f>I617</f>
        <v>0</v>
      </c>
      <c r="J618" s="109"/>
      <c r="K618" s="109"/>
      <c r="L618" s="110" t="s">
        <v>79</v>
      </c>
      <c r="M618" s="80"/>
    </row>
    <row r="619" spans="1:15" x14ac:dyDescent="0.25">
      <c r="A619" s="86"/>
      <c r="B619" s="86"/>
      <c r="C619" s="88"/>
      <c r="D619" s="92"/>
      <c r="E619" s="88"/>
      <c r="F619" s="86"/>
      <c r="G619" s="86"/>
      <c r="H619" s="87"/>
      <c r="I619" s="118"/>
      <c r="J619" s="86"/>
      <c r="K619" s="86"/>
      <c r="L619" s="82"/>
      <c r="M619" s="80"/>
      <c r="O619" s="114"/>
    </row>
    <row r="620" spans="1:15" x14ac:dyDescent="0.25">
      <c r="A620" s="86"/>
      <c r="B620" s="86"/>
      <c r="C620" s="88"/>
      <c r="D620" s="92"/>
      <c r="E620" s="88"/>
      <c r="F620" s="86"/>
      <c r="G620" s="86"/>
      <c r="H620" s="87"/>
      <c r="I620" s="112"/>
      <c r="J620" s="111"/>
      <c r="K620" s="111"/>
      <c r="L620" s="115"/>
      <c r="M620" s="80"/>
      <c r="O620" s="114"/>
    </row>
    <row r="621" spans="1:15" x14ac:dyDescent="0.25">
      <c r="A621" s="86"/>
      <c r="B621" s="86"/>
      <c r="C621" s="88"/>
      <c r="D621" s="92"/>
      <c r="E621" s="88"/>
      <c r="F621" s="86"/>
      <c r="G621" s="86"/>
      <c r="H621" s="87"/>
      <c r="I621" s="112"/>
      <c r="J621" s="111"/>
      <c r="K621" s="111"/>
      <c r="L621" s="115"/>
      <c r="M621" s="80"/>
    </row>
    <row r="622" spans="1:15" x14ac:dyDescent="0.25">
      <c r="A622" s="86"/>
      <c r="B622" s="86"/>
      <c r="C622" s="88"/>
      <c r="D622" s="92"/>
      <c r="E622" s="88"/>
      <c r="F622" s="86"/>
      <c r="G622" s="86"/>
      <c r="H622" s="87"/>
      <c r="I622" s="87"/>
      <c r="J622" s="86"/>
      <c r="K622" s="86"/>
      <c r="L622" s="84"/>
      <c r="M622" s="80"/>
    </row>
    <row r="623" spans="1:15" x14ac:dyDescent="0.25">
      <c r="A623" s="78"/>
      <c r="B623" s="77"/>
      <c r="D623" s="77"/>
      <c r="F623" s="77"/>
      <c r="G623" s="77"/>
      <c r="I623" s="77"/>
      <c r="J623" s="78"/>
      <c r="K623" s="77"/>
      <c r="L623" s="77"/>
    </row>
    <row r="624" spans="1:15" x14ac:dyDescent="0.25">
      <c r="A624" s="78" t="s">
        <v>90</v>
      </c>
      <c r="B624" s="78"/>
      <c r="C624" s="80"/>
      <c r="D624" s="80"/>
      <c r="E624" s="107" t="s">
        <v>97</v>
      </c>
      <c r="F624" s="78"/>
      <c r="G624" s="78"/>
      <c r="H624" s="80"/>
      <c r="I624" s="78" t="s">
        <v>81</v>
      </c>
      <c r="J624" s="78"/>
      <c r="K624" s="78"/>
      <c r="L624" s="80"/>
    </row>
    <row r="625" spans="1:13" x14ac:dyDescent="0.25">
      <c r="A625" s="78"/>
      <c r="B625" s="78"/>
      <c r="C625" s="80"/>
      <c r="D625" s="78"/>
      <c r="E625" s="94"/>
      <c r="F625" s="78"/>
      <c r="G625" s="78"/>
      <c r="H625" s="80"/>
      <c r="I625" s="78"/>
      <c r="J625" s="78"/>
      <c r="K625" s="78"/>
      <c r="L625" s="80"/>
      <c r="M625" s="80"/>
    </row>
    <row r="626" spans="1:13" x14ac:dyDescent="0.25">
      <c r="A626" s="78"/>
      <c r="B626" s="77"/>
      <c r="D626" s="77"/>
      <c r="E626" s="105"/>
      <c r="F626" s="77"/>
      <c r="G626" s="77"/>
      <c r="I626" s="77"/>
      <c r="J626" s="77"/>
      <c r="K626" s="77"/>
    </row>
    <row r="627" spans="1:13" x14ac:dyDescent="0.25">
      <c r="A627" s="81" t="str">
        <f>A35</f>
        <v>MR. JOHNNY U. GALENG</v>
      </c>
      <c r="B627" s="81"/>
      <c r="C627" s="81" t="str">
        <f>C35</f>
        <v>MR. JOHN XERCES C. ANTIPUESTO</v>
      </c>
      <c r="D627" s="80"/>
      <c r="E627" s="106" t="s">
        <v>88</v>
      </c>
      <c r="F627" s="81"/>
      <c r="G627" s="81"/>
      <c r="H627" s="80"/>
      <c r="I627" s="81" t="str">
        <f>I35</f>
        <v>ENGR. EDWIN B. BATAL</v>
      </c>
      <c r="J627" s="81"/>
      <c r="K627" s="81"/>
      <c r="L627" s="80"/>
      <c r="M627" s="80"/>
    </row>
    <row r="628" spans="1:13" x14ac:dyDescent="0.25">
      <c r="A628" s="78" t="s">
        <v>93</v>
      </c>
      <c r="B628" s="78"/>
      <c r="C628" s="78" t="s">
        <v>96</v>
      </c>
      <c r="D628" s="78"/>
      <c r="E628" s="107" t="s">
        <v>91</v>
      </c>
      <c r="F628" s="78"/>
      <c r="G628" s="78"/>
      <c r="H628" s="80"/>
      <c r="I628" s="78" t="str">
        <f>I36</f>
        <v>Mine Explosives Asst. Manager</v>
      </c>
      <c r="J628" s="78"/>
      <c r="K628" s="78"/>
      <c r="L628" s="80"/>
      <c r="M628" s="80"/>
    </row>
    <row r="629" spans="1:13" x14ac:dyDescent="0.25">
      <c r="A629" s="78" t="s">
        <v>86</v>
      </c>
      <c r="B629" s="78"/>
      <c r="C629" s="78" t="s">
        <v>85</v>
      </c>
      <c r="D629" s="78"/>
      <c r="E629" s="107" t="s">
        <v>87</v>
      </c>
      <c r="F629" s="78"/>
      <c r="G629" s="78"/>
      <c r="H629" s="80"/>
      <c r="I629" s="107"/>
      <c r="J629" s="78"/>
      <c r="K629" s="80"/>
      <c r="L629" s="80"/>
      <c r="M629" s="80"/>
    </row>
  </sheetData>
  <mergeCells count="88">
    <mergeCell ref="P507:Q507"/>
    <mergeCell ref="A484:M484"/>
    <mergeCell ref="A485:M485"/>
    <mergeCell ref="A486:M486"/>
    <mergeCell ref="B489:D489"/>
    <mergeCell ref="B490:D490"/>
    <mergeCell ref="P428:Q428"/>
    <mergeCell ref="A406:M406"/>
    <mergeCell ref="A407:M407"/>
    <mergeCell ref="A408:M408"/>
    <mergeCell ref="A370:M370"/>
    <mergeCell ref="A371:M371"/>
    <mergeCell ref="B373:D373"/>
    <mergeCell ref="B374:D374"/>
    <mergeCell ref="B411:D411"/>
    <mergeCell ref="B412:D412"/>
    <mergeCell ref="P273:Q273"/>
    <mergeCell ref="P314:Q314"/>
    <mergeCell ref="P352:Q352"/>
    <mergeCell ref="P391:Q391"/>
    <mergeCell ref="A127:M127"/>
    <mergeCell ref="A128:M128"/>
    <mergeCell ref="A129:M129"/>
    <mergeCell ref="B213:D213"/>
    <mergeCell ref="B214:D214"/>
    <mergeCell ref="A208:M208"/>
    <mergeCell ref="A209:M209"/>
    <mergeCell ref="A210:M210"/>
    <mergeCell ref="A168:M168"/>
    <mergeCell ref="A169:M169"/>
    <mergeCell ref="B172:D172"/>
    <mergeCell ref="B173:D173"/>
    <mergeCell ref="B133:D133"/>
    <mergeCell ref="B132:D132"/>
    <mergeCell ref="A167:M167"/>
    <mergeCell ref="A446:M446"/>
    <mergeCell ref="A447:M447"/>
    <mergeCell ref="A251:M251"/>
    <mergeCell ref="A252:M252"/>
    <mergeCell ref="A253:M253"/>
    <mergeCell ref="B256:D256"/>
    <mergeCell ref="B257:D257"/>
    <mergeCell ref="B337:D337"/>
    <mergeCell ref="A369:M369"/>
    <mergeCell ref="A331:M331"/>
    <mergeCell ref="A332:M332"/>
    <mergeCell ref="A333:M333"/>
    <mergeCell ref="B336:D336"/>
    <mergeCell ref="A448:M448"/>
    <mergeCell ref="B451:D451"/>
    <mergeCell ref="B452:D452"/>
    <mergeCell ref="B297:D297"/>
    <mergeCell ref="A291:M291"/>
    <mergeCell ref="A292:M292"/>
    <mergeCell ref="A293:M293"/>
    <mergeCell ref="B296:D296"/>
    <mergeCell ref="A88:M88"/>
    <mergeCell ref="B91:D91"/>
    <mergeCell ref="B92:D92"/>
    <mergeCell ref="A86:M86"/>
    <mergeCell ref="A87:M87"/>
    <mergeCell ref="A47:M47"/>
    <mergeCell ref="B52:D52"/>
    <mergeCell ref="B53:D53"/>
    <mergeCell ref="A48:M48"/>
    <mergeCell ref="A49:M49"/>
    <mergeCell ref="A10:M10"/>
    <mergeCell ref="A11:M11"/>
    <mergeCell ref="A12:M12"/>
    <mergeCell ref="B15:D15"/>
    <mergeCell ref="B14:D14"/>
    <mergeCell ref="P545:Q545"/>
    <mergeCell ref="A523:M523"/>
    <mergeCell ref="A524:M524"/>
    <mergeCell ref="A525:M525"/>
    <mergeCell ref="B528:D528"/>
    <mergeCell ref="B529:D529"/>
    <mergeCell ref="P585:Q585"/>
    <mergeCell ref="A563:M563"/>
    <mergeCell ref="A564:M564"/>
    <mergeCell ref="A565:M565"/>
    <mergeCell ref="B568:D568"/>
    <mergeCell ref="B569:D569"/>
    <mergeCell ref="A601:M601"/>
    <mergeCell ref="A602:M602"/>
    <mergeCell ref="A603:M603"/>
    <mergeCell ref="B606:D606"/>
    <mergeCell ref="B607:D607"/>
  </mergeCells>
  <pageMargins left="0.59055118110236227" right="0.19685039370078741" top="0.39370078740157483" bottom="0.31496062992125984" header="0.31496062992125984" footer="0.31496062992125984"/>
  <pageSetup paperSize="9" scale="69" orientation="landscape" r:id="rId1"/>
  <rowBreaks count="15" manualBreakCount="15">
    <brk id="38" max="16383" man="1"/>
    <brk id="77" max="16383" man="1"/>
    <brk id="117" max="16383" man="1"/>
    <brk id="157" max="16383" man="1"/>
    <brk id="197" max="16383" man="1"/>
    <brk id="239" max="16383" man="1"/>
    <brk id="280" max="16383" man="1"/>
    <brk id="322" max="16383" man="1"/>
    <brk id="358" max="16383" man="1"/>
    <brk id="397" max="16383" man="1"/>
    <brk id="435" max="16383" man="1"/>
    <brk id="475" max="16383" man="1"/>
    <brk id="513" max="16383" man="1"/>
    <brk id="552" max="16383" man="1"/>
    <brk id="59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2-3-9,2018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Venos L. Mandabon</cp:lastModifiedBy>
  <cp:lastPrinted>2026-05-27T03:14:46Z</cp:lastPrinted>
  <dcterms:created xsi:type="dcterms:W3CDTF">2016-07-15T01:59:21Z</dcterms:created>
  <dcterms:modified xsi:type="dcterms:W3CDTF">2026-06-08T06:58:17Z</dcterms:modified>
</cp:coreProperties>
</file>