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7.MINE EXPLOSIVES REPORTS\01. PNP-PPO REPORT\"/>
    </mc:Choice>
  </mc:AlternateContent>
  <bookViews>
    <workbookView xWindow="0" yWindow="0" windowWidth="28800" windowHeight="11835" tabRatio="886" activeTab="4"/>
  </bookViews>
  <sheets>
    <sheet name="EXPEDITION CONSOLIDATION" sheetId="5" r:id="rId1"/>
    <sheet name="1-2" sheetId="17" r:id="rId2"/>
    <sheet name="3-4" sheetId="18" r:id="rId3"/>
    <sheet name="5-6" sheetId="19" r:id="rId4"/>
    <sheet name="7." sheetId="20" r:id="rId5"/>
    <sheet name="4" sheetId="41" r:id="rId6"/>
    <sheet name="MT.ROCK CONSOLIDATION" sheetId="6" r:id="rId7"/>
    <sheet name="8" sheetId="33" state="hidden" r:id="rId8"/>
    <sheet name="9" sheetId="34" state="hidden" r:id="rId9"/>
    <sheet name="10" sheetId="37" state="hidden" r:id="rId10"/>
    <sheet name="1-2." sheetId="21" r:id="rId11"/>
    <sheet name="3-4." sheetId="28" r:id="rId12"/>
    <sheet name="5-6." sheetId="29" r:id="rId13"/>
    <sheet name="7" sheetId="30" r:id="rId14"/>
    <sheet name="12" sheetId="35" state="hidden" r:id="rId15"/>
    <sheet name="13" sheetId="36" state="hidden" r:id="rId16"/>
    <sheet name="14" sheetId="38" state="hidden" r:id="rId17"/>
    <sheet name="4." sheetId="42" r:id="rId18"/>
    <sheet name="DAILY TOTAL" sheetId="31" r:id="rId19"/>
    <sheet name="MT. ROCK" sheetId="32" r:id="rId20"/>
    <sheet name="CHECKING" sheetId="39" state="hidden" r:id="rId21"/>
    <sheet name="SIGNATORIES" sheetId="40" r:id="rId22"/>
  </sheets>
  <definedNames>
    <definedName name="_xlnm.Print_Area" localSheetId="2">'3-4'!$A$1:$R$72</definedName>
    <definedName name="_xlnm.Print_Area" localSheetId="11">'3-4.'!$A$1:$Q$70</definedName>
    <definedName name="_xlnm.Print_Area" localSheetId="3">'5-6'!$A$1:$Q$74</definedName>
    <definedName name="_xlnm.Print_Area" localSheetId="12">'5-6.'!$A$1:$Q$71</definedName>
    <definedName name="_xlnm.Print_Area" localSheetId="0">'EXPEDITION CONSOLIDATION'!$A$1:$P$51</definedName>
    <definedName name="_xlnm.Print_Area" localSheetId="6">'MT.ROCK CONSOLIDATION'!$A$1:$Q$49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1" i="20" l="1"/>
  <c r="J69" i="19"/>
  <c r="J31" i="19" l="1"/>
  <c r="J69" i="18"/>
  <c r="J31" i="18"/>
  <c r="J67" i="17"/>
  <c r="F49" i="30" l="1"/>
  <c r="G50" i="29" l="1"/>
  <c r="G15" i="28"/>
  <c r="F49" i="20" l="1"/>
  <c r="F11" i="20"/>
  <c r="F49" i="19"/>
  <c r="F11" i="19"/>
  <c r="F49" i="18"/>
  <c r="F11" i="18"/>
  <c r="F47" i="17"/>
  <c r="F11" i="17"/>
  <c r="F12" i="5"/>
  <c r="J30" i="17" l="1"/>
  <c r="J66" i="17"/>
  <c r="N6" i="30" l="1"/>
  <c r="G50" i="30" l="1"/>
  <c r="G14" i="29"/>
  <c r="G14" i="5"/>
  <c r="F15" i="5"/>
  <c r="G16" i="5"/>
  <c r="F12" i="17" l="1"/>
  <c r="F13" i="17"/>
  <c r="B12" i="42" l="1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11" i="42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11" i="30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11" i="29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12" i="28"/>
  <c r="F48" i="42"/>
  <c r="F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60" i="42"/>
  <c r="B61" i="42"/>
  <c r="B62" i="42"/>
  <c r="B47" i="42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47" i="30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47" i="29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48" i="28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47" i="21"/>
  <c r="F12" i="42"/>
  <c r="F11" i="42"/>
  <c r="F48" i="30"/>
  <c r="F47" i="30"/>
  <c r="F12" i="30"/>
  <c r="F11" i="30"/>
  <c r="F48" i="29"/>
  <c r="F47" i="29"/>
  <c r="F12" i="29"/>
  <c r="F11" i="29"/>
  <c r="F49" i="28"/>
  <c r="F48" i="28"/>
  <c r="F13" i="28"/>
  <c r="F12" i="28"/>
  <c r="F48" i="21"/>
  <c r="F47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11" i="21"/>
  <c r="B50" i="41"/>
  <c r="B51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64" i="41"/>
  <c r="B65" i="41"/>
  <c r="B49" i="41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49" i="20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49" i="19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49" i="18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47" i="17"/>
  <c r="B27" i="41"/>
  <c r="B26" i="41"/>
  <c r="B25" i="41"/>
  <c r="B24" i="41"/>
  <c r="B23" i="41"/>
  <c r="B22" i="41"/>
  <c r="B21" i="41"/>
  <c r="B20" i="41"/>
  <c r="B19" i="41"/>
  <c r="B18" i="41"/>
  <c r="B17" i="41"/>
  <c r="B16" i="41"/>
  <c r="B15" i="41"/>
  <c r="B14" i="41"/>
  <c r="B13" i="41"/>
  <c r="B12" i="41"/>
  <c r="B11" i="41"/>
  <c r="F51" i="41"/>
  <c r="F50" i="41"/>
  <c r="F49" i="41"/>
  <c r="F12" i="41"/>
  <c r="F11" i="41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2" i="17"/>
  <c r="B13" i="17"/>
  <c r="B11" i="17"/>
  <c r="F51" i="20" l="1"/>
  <c r="F50" i="20"/>
  <c r="F13" i="20"/>
  <c r="F12" i="20"/>
  <c r="F51" i="19"/>
  <c r="F50" i="19"/>
  <c r="F13" i="19"/>
  <c r="F12" i="19"/>
  <c r="F51" i="18"/>
  <c r="F50" i="18"/>
  <c r="F13" i="18"/>
  <c r="F12" i="18"/>
  <c r="F49" i="17"/>
  <c r="F48" i="17"/>
  <c r="F12" i="21" l="1"/>
  <c r="B21" i="31" l="1"/>
  <c r="C21" i="31"/>
  <c r="F49" i="42" l="1"/>
  <c r="G14" i="42" l="1"/>
  <c r="F13" i="42"/>
  <c r="J22" i="31" s="1"/>
  <c r="I22" i="31"/>
  <c r="J6" i="31"/>
  <c r="I6" i="31"/>
  <c r="I4" i="31"/>
  <c r="I5" i="31"/>
  <c r="B14" i="31" l="1"/>
  <c r="C14" i="31"/>
  <c r="D14" i="31"/>
  <c r="E14" i="31"/>
  <c r="F14" i="31"/>
  <c r="G14" i="31"/>
  <c r="H14" i="31"/>
  <c r="I14" i="31"/>
  <c r="J14" i="31"/>
  <c r="J21" i="31"/>
  <c r="J25" i="31"/>
  <c r="J26" i="31"/>
  <c r="J27" i="31"/>
  <c r="J28" i="31"/>
  <c r="J29" i="31"/>
  <c r="J30" i="31"/>
  <c r="J31" i="31"/>
  <c r="J32" i="31"/>
  <c r="J33" i="31"/>
  <c r="J34" i="31"/>
  <c r="J35" i="31"/>
  <c r="J20" i="31"/>
  <c r="J4" i="31"/>
  <c r="J5" i="31"/>
  <c r="J7" i="31"/>
  <c r="J8" i="31"/>
  <c r="J9" i="31"/>
  <c r="J10" i="31"/>
  <c r="J11" i="31"/>
  <c r="J12" i="31"/>
  <c r="J13" i="31"/>
  <c r="J15" i="31"/>
  <c r="J16" i="31"/>
  <c r="J17" i="31"/>
  <c r="J18" i="31"/>
  <c r="J19" i="31"/>
  <c r="J3" i="31"/>
  <c r="I21" i="31"/>
  <c r="I25" i="31"/>
  <c r="I26" i="31"/>
  <c r="I27" i="31"/>
  <c r="I28" i="31"/>
  <c r="I29" i="31"/>
  <c r="I30" i="31"/>
  <c r="I31" i="31"/>
  <c r="I32" i="31"/>
  <c r="I33" i="31"/>
  <c r="I34" i="31"/>
  <c r="I35" i="31"/>
  <c r="I20" i="31"/>
  <c r="I7" i="31"/>
  <c r="I9" i="31"/>
  <c r="I10" i="31"/>
  <c r="I11" i="31"/>
  <c r="I12" i="31"/>
  <c r="I13" i="31"/>
  <c r="I15" i="31"/>
  <c r="I16" i="31"/>
  <c r="I17" i="31"/>
  <c r="I18" i="31"/>
  <c r="I19" i="31"/>
  <c r="I3" i="31"/>
  <c r="J2" i="31"/>
  <c r="O13" i="31" s="1"/>
  <c r="N6" i="42"/>
  <c r="J65" i="42"/>
  <c r="O62" i="42"/>
  <c r="K62" i="42"/>
  <c r="O61" i="42"/>
  <c r="K61" i="42"/>
  <c r="O60" i="42"/>
  <c r="K60" i="42"/>
  <c r="O59" i="42"/>
  <c r="K59" i="42"/>
  <c r="O58" i="42"/>
  <c r="K58" i="42"/>
  <c r="O57" i="42"/>
  <c r="K57" i="42"/>
  <c r="O56" i="42"/>
  <c r="K56" i="42"/>
  <c r="O55" i="42"/>
  <c r="K55" i="42"/>
  <c r="O54" i="42"/>
  <c r="K54" i="42"/>
  <c r="O53" i="42"/>
  <c r="K53" i="42"/>
  <c r="O52" i="42"/>
  <c r="K52" i="42"/>
  <c r="G50" i="42"/>
  <c r="O50" i="42" s="1"/>
  <c r="N49" i="42"/>
  <c r="J49" i="42"/>
  <c r="O48" i="42"/>
  <c r="K48" i="42"/>
  <c r="J48" i="42"/>
  <c r="O47" i="42"/>
  <c r="N47" i="42"/>
  <c r="K47" i="42"/>
  <c r="J47" i="42"/>
  <c r="J29" i="42"/>
  <c r="O26" i="42"/>
  <c r="K26" i="42"/>
  <c r="O25" i="42"/>
  <c r="K25" i="42"/>
  <c r="O24" i="42"/>
  <c r="K24" i="42"/>
  <c r="O23" i="42"/>
  <c r="K23" i="42"/>
  <c r="O22" i="42"/>
  <c r="K22" i="42"/>
  <c r="O21" i="42"/>
  <c r="K21" i="42"/>
  <c r="O20" i="42"/>
  <c r="K20" i="42"/>
  <c r="O19" i="42"/>
  <c r="K19" i="42"/>
  <c r="O18" i="42"/>
  <c r="K18" i="42"/>
  <c r="O17" i="42"/>
  <c r="K17" i="42"/>
  <c r="O16" i="42"/>
  <c r="K16" i="42"/>
  <c r="G15" i="42"/>
  <c r="J24" i="31" s="1"/>
  <c r="J13" i="42"/>
  <c r="O12" i="42"/>
  <c r="K12" i="42"/>
  <c r="N12" i="42"/>
  <c r="O11" i="42"/>
  <c r="K11" i="42"/>
  <c r="J11" i="42"/>
  <c r="J69" i="41"/>
  <c r="O65" i="41"/>
  <c r="K65" i="41"/>
  <c r="O64" i="41"/>
  <c r="K64" i="41"/>
  <c r="O63" i="41"/>
  <c r="K63" i="41"/>
  <c r="O62" i="41"/>
  <c r="K62" i="41"/>
  <c r="O61" i="41"/>
  <c r="K61" i="41"/>
  <c r="O60" i="41"/>
  <c r="K60" i="41"/>
  <c r="O59" i="41"/>
  <c r="K59" i="41"/>
  <c r="O58" i="41"/>
  <c r="K58" i="41"/>
  <c r="O57" i="41"/>
  <c r="K57" i="41"/>
  <c r="O56" i="41"/>
  <c r="K56" i="41"/>
  <c r="O55" i="41"/>
  <c r="K55" i="41"/>
  <c r="O54" i="41"/>
  <c r="G54" i="41"/>
  <c r="K54" i="41" s="1"/>
  <c r="O53" i="41"/>
  <c r="K53" i="41"/>
  <c r="N52" i="41"/>
  <c r="J52" i="41"/>
  <c r="O51" i="41"/>
  <c r="K51" i="41"/>
  <c r="J51" i="41"/>
  <c r="O50" i="41"/>
  <c r="K50" i="41"/>
  <c r="N50" i="41"/>
  <c r="O49" i="41"/>
  <c r="K49" i="41"/>
  <c r="N49" i="41"/>
  <c r="J30" i="41"/>
  <c r="O27" i="41"/>
  <c r="K27" i="41"/>
  <c r="O26" i="41"/>
  <c r="K26" i="41"/>
  <c r="O25" i="41"/>
  <c r="K25" i="41"/>
  <c r="O24" i="41"/>
  <c r="K24" i="41"/>
  <c r="O23" i="41"/>
  <c r="K23" i="41"/>
  <c r="O22" i="41"/>
  <c r="K22" i="41"/>
  <c r="O21" i="41"/>
  <c r="K21" i="41"/>
  <c r="O20" i="41"/>
  <c r="K20" i="41"/>
  <c r="O19" i="41"/>
  <c r="K19" i="41"/>
  <c r="O18" i="41"/>
  <c r="K18" i="41"/>
  <c r="O17" i="41"/>
  <c r="K17" i="41"/>
  <c r="G16" i="41"/>
  <c r="O16" i="41" s="1"/>
  <c r="O15" i="41"/>
  <c r="K15" i="41"/>
  <c r="N14" i="41"/>
  <c r="J14" i="41"/>
  <c r="O13" i="41"/>
  <c r="N13" i="41"/>
  <c r="K13" i="41"/>
  <c r="F13" i="41"/>
  <c r="J13" i="41" s="1"/>
  <c r="O12" i="41"/>
  <c r="N12" i="41"/>
  <c r="K12" i="41"/>
  <c r="J12" i="41"/>
  <c r="O11" i="41"/>
  <c r="K11" i="41"/>
  <c r="N11" i="41"/>
  <c r="I2" i="31"/>
  <c r="O12" i="31" s="1"/>
  <c r="J11" i="41" l="1"/>
  <c r="K14" i="31"/>
  <c r="G51" i="42"/>
  <c r="K51" i="42" s="1"/>
  <c r="J23" i="31"/>
  <c r="Q13" i="31" s="1"/>
  <c r="J37" i="31"/>
  <c r="K15" i="42"/>
  <c r="O15" i="42"/>
  <c r="N13" i="42"/>
  <c r="O51" i="42"/>
  <c r="K14" i="42"/>
  <c r="N11" i="42"/>
  <c r="O14" i="42"/>
  <c r="N48" i="42"/>
  <c r="J12" i="42"/>
  <c r="K50" i="42"/>
  <c r="K16" i="41"/>
  <c r="N51" i="41"/>
  <c r="J49" i="41"/>
  <c r="J50" i="41"/>
  <c r="J65" i="30"/>
  <c r="J29" i="30"/>
  <c r="J65" i="29"/>
  <c r="J29" i="29"/>
  <c r="J66" i="28"/>
  <c r="J30" i="28"/>
  <c r="J65" i="21"/>
  <c r="J29" i="21"/>
  <c r="A6" i="6" l="1"/>
  <c r="I23" i="31" l="1"/>
  <c r="Q12" i="31" s="1"/>
  <c r="O52" i="30"/>
  <c r="K52" i="30"/>
  <c r="O16" i="30"/>
  <c r="K16" i="30"/>
  <c r="O52" i="29"/>
  <c r="K52" i="29"/>
  <c r="O16" i="29"/>
  <c r="K16" i="29"/>
  <c r="O17" i="28"/>
  <c r="K17" i="28"/>
  <c r="O53" i="28"/>
  <c r="K53" i="28"/>
  <c r="O16" i="21"/>
  <c r="K16" i="21"/>
  <c r="O52" i="21"/>
  <c r="K52" i="21"/>
  <c r="J68" i="19" l="1"/>
  <c r="G25" i="31" l="1"/>
  <c r="F25" i="31"/>
  <c r="E25" i="31"/>
  <c r="D25" i="31"/>
  <c r="C25" i="31"/>
  <c r="B25" i="31"/>
  <c r="H25" i="31"/>
  <c r="K25" i="31" l="1"/>
  <c r="B7" i="31"/>
  <c r="J30" i="19"/>
  <c r="J30" i="20" l="1"/>
  <c r="J68" i="18"/>
  <c r="J30" i="18"/>
  <c r="C7" i="31"/>
  <c r="B23" i="31"/>
  <c r="Q5" i="31" s="1"/>
  <c r="O19" i="17"/>
  <c r="K19" i="17"/>
  <c r="H23" i="31"/>
  <c r="D23" i="31"/>
  <c r="F6" i="31"/>
  <c r="H6" i="31"/>
  <c r="H21" i="31"/>
  <c r="H26" i="31"/>
  <c r="H27" i="31"/>
  <c r="H28" i="31"/>
  <c r="H29" i="31"/>
  <c r="H30" i="31"/>
  <c r="H31" i="31"/>
  <c r="H32" i="31"/>
  <c r="H33" i="31"/>
  <c r="H34" i="31"/>
  <c r="H35" i="31"/>
  <c r="G6" i="31"/>
  <c r="G4" i="31"/>
  <c r="G5" i="31"/>
  <c r="G7" i="31"/>
  <c r="G9" i="31"/>
  <c r="G10" i="31"/>
  <c r="G11" i="31"/>
  <c r="G12" i="31"/>
  <c r="G13" i="31"/>
  <c r="G15" i="31"/>
  <c r="G16" i="31"/>
  <c r="G17" i="31"/>
  <c r="G18" i="31"/>
  <c r="G19" i="31"/>
  <c r="G21" i="31"/>
  <c r="G26" i="31"/>
  <c r="G27" i="31"/>
  <c r="G28" i="31"/>
  <c r="G29" i="31"/>
  <c r="G30" i="31"/>
  <c r="G31" i="31"/>
  <c r="G32" i="31"/>
  <c r="G33" i="31"/>
  <c r="G34" i="31"/>
  <c r="G35" i="31"/>
  <c r="F21" i="31"/>
  <c r="F26" i="31"/>
  <c r="F27" i="31"/>
  <c r="F28" i="31"/>
  <c r="F29" i="31"/>
  <c r="F30" i="31"/>
  <c r="F31" i="31"/>
  <c r="F32" i="31"/>
  <c r="F33" i="31"/>
  <c r="F34" i="31"/>
  <c r="F35" i="31"/>
  <c r="E21" i="31"/>
  <c r="E26" i="31"/>
  <c r="E27" i="31"/>
  <c r="E28" i="31"/>
  <c r="E29" i="31"/>
  <c r="E30" i="31"/>
  <c r="E31" i="31"/>
  <c r="E32" i="31"/>
  <c r="E33" i="31"/>
  <c r="E34" i="31"/>
  <c r="E35" i="31"/>
  <c r="D6" i="31"/>
  <c r="E6" i="31"/>
  <c r="H20" i="31"/>
  <c r="H4" i="31"/>
  <c r="H5" i="31"/>
  <c r="H7" i="31"/>
  <c r="H9" i="31"/>
  <c r="P13" i="31" s="1"/>
  <c r="H10" i="31"/>
  <c r="H11" i="31"/>
  <c r="H12" i="31"/>
  <c r="H13" i="31"/>
  <c r="H15" i="31"/>
  <c r="H16" i="31"/>
  <c r="H17" i="31"/>
  <c r="H18" i="31"/>
  <c r="H19" i="31"/>
  <c r="H3" i="31"/>
  <c r="H2" i="31"/>
  <c r="O11" i="31" s="1"/>
  <c r="G20" i="31"/>
  <c r="G3" i="31"/>
  <c r="G2" i="31"/>
  <c r="O10" i="31" s="1"/>
  <c r="F20" i="31"/>
  <c r="F4" i="31"/>
  <c r="F5" i="31"/>
  <c r="F7" i="31"/>
  <c r="F9" i="31"/>
  <c r="F10" i="31"/>
  <c r="F11" i="31"/>
  <c r="F12" i="31"/>
  <c r="F13" i="31"/>
  <c r="F15" i="31"/>
  <c r="F16" i="31"/>
  <c r="F17" i="31"/>
  <c r="F18" i="31"/>
  <c r="F19" i="31"/>
  <c r="F3" i="31"/>
  <c r="F2" i="31"/>
  <c r="O9" i="31" s="1"/>
  <c r="E20" i="31"/>
  <c r="E4" i="31"/>
  <c r="E5" i="31"/>
  <c r="E7" i="31"/>
  <c r="E9" i="31"/>
  <c r="E10" i="31"/>
  <c r="E11" i="31"/>
  <c r="E12" i="31"/>
  <c r="E13" i="31"/>
  <c r="E15" i="31"/>
  <c r="E16" i="31"/>
  <c r="E17" i="31"/>
  <c r="E18" i="31"/>
  <c r="E19" i="31"/>
  <c r="E3" i="31"/>
  <c r="E2" i="31"/>
  <c r="O8" i="31" s="1"/>
  <c r="D21" i="31"/>
  <c r="D26" i="31"/>
  <c r="D27" i="31"/>
  <c r="D28" i="31"/>
  <c r="D29" i="31"/>
  <c r="D30" i="31"/>
  <c r="D31" i="31"/>
  <c r="D32" i="31"/>
  <c r="D33" i="31"/>
  <c r="D34" i="31"/>
  <c r="D35" i="31"/>
  <c r="D20" i="31"/>
  <c r="D4" i="31"/>
  <c r="D5" i="31"/>
  <c r="D9" i="31"/>
  <c r="D10" i="31"/>
  <c r="D11" i="31"/>
  <c r="D12" i="31"/>
  <c r="D13" i="31"/>
  <c r="D15" i="31"/>
  <c r="D16" i="31"/>
  <c r="D17" i="31"/>
  <c r="D18" i="31"/>
  <c r="D19" i="31"/>
  <c r="D3" i="31"/>
  <c r="D2" i="31"/>
  <c r="O7" i="31" s="1"/>
  <c r="C6" i="31"/>
  <c r="C26" i="31"/>
  <c r="C27" i="31"/>
  <c r="C28" i="31"/>
  <c r="C29" i="31"/>
  <c r="C30" i="31"/>
  <c r="C31" i="31"/>
  <c r="C32" i="31"/>
  <c r="C33" i="31"/>
  <c r="C34" i="31"/>
  <c r="C35" i="31"/>
  <c r="C20" i="31"/>
  <c r="C4" i="31"/>
  <c r="C5" i="31"/>
  <c r="C9" i="31"/>
  <c r="C10" i="31"/>
  <c r="C11" i="31"/>
  <c r="C12" i="31"/>
  <c r="C13" i="31"/>
  <c r="C15" i="31"/>
  <c r="C16" i="31"/>
  <c r="C17" i="31"/>
  <c r="C18" i="31"/>
  <c r="C19" i="31"/>
  <c r="C2" i="31"/>
  <c r="O6" i="31" s="1"/>
  <c r="B2" i="31"/>
  <c r="O5" i="31" s="1"/>
  <c r="B26" i="31"/>
  <c r="B27" i="31"/>
  <c r="B28" i="31"/>
  <c r="B29" i="31"/>
  <c r="B30" i="31"/>
  <c r="B31" i="31"/>
  <c r="B32" i="31"/>
  <c r="B33" i="31"/>
  <c r="B34" i="31"/>
  <c r="B35" i="31"/>
  <c r="B20" i="31"/>
  <c r="B6" i="31"/>
  <c r="B4" i="31"/>
  <c r="B5" i="31"/>
  <c r="B9" i="31"/>
  <c r="B10" i="31"/>
  <c r="B11" i="31"/>
  <c r="B12" i="31"/>
  <c r="B13" i="31"/>
  <c r="B15" i="31"/>
  <c r="B16" i="31"/>
  <c r="B17" i="31"/>
  <c r="B18" i="31"/>
  <c r="B19" i="31"/>
  <c r="C23" i="31"/>
  <c r="G23" i="31"/>
  <c r="O57" i="20"/>
  <c r="K57" i="20"/>
  <c r="G20" i="5"/>
  <c r="O20" i="5" s="1"/>
  <c r="O19" i="34"/>
  <c r="K19" i="34"/>
  <c r="O19" i="33"/>
  <c r="K19" i="33"/>
  <c r="O19" i="20"/>
  <c r="K19" i="20"/>
  <c r="O57" i="19"/>
  <c r="K57" i="19"/>
  <c r="O19" i="19"/>
  <c r="K19" i="19"/>
  <c r="O57" i="18"/>
  <c r="K57" i="18"/>
  <c r="O19" i="18"/>
  <c r="K19" i="18"/>
  <c r="O55" i="17"/>
  <c r="K55" i="17"/>
  <c r="K30" i="31" l="1"/>
  <c r="K35" i="31"/>
  <c r="K11" i="31"/>
  <c r="K18" i="31"/>
  <c r="K6" i="31"/>
  <c r="K21" i="31"/>
  <c r="K29" i="31"/>
  <c r="K9" i="31"/>
  <c r="K28" i="31"/>
  <c r="K3" i="31"/>
  <c r="K5" i="31"/>
  <c r="K27" i="31"/>
  <c r="K10" i="31"/>
  <c r="K19" i="31"/>
  <c r="K4" i="31"/>
  <c r="K26" i="31"/>
  <c r="K16" i="31"/>
  <c r="K17" i="31"/>
  <c r="K15" i="31"/>
  <c r="K34" i="31"/>
  <c r="P5" i="31"/>
  <c r="K33" i="31"/>
  <c r="K20" i="31"/>
  <c r="K13" i="31"/>
  <c r="K32" i="31"/>
  <c r="K12" i="31"/>
  <c r="K31" i="31"/>
  <c r="Q10" i="31"/>
  <c r="P10" i="31" s="1"/>
  <c r="Q6" i="31"/>
  <c r="P6" i="31" s="1"/>
  <c r="Q11" i="31"/>
  <c r="P11" i="31" s="1"/>
  <c r="D7" i="31"/>
  <c r="K7" i="31" s="1"/>
  <c r="K20" i="5"/>
  <c r="F23" i="31"/>
  <c r="Q7" i="31" l="1"/>
  <c r="P7" i="31" s="1"/>
  <c r="Q9" i="31"/>
  <c r="L26" i="31"/>
  <c r="L17" i="31"/>
  <c r="L9" i="31"/>
  <c r="P9" i="31" l="1"/>
  <c r="G12" i="5"/>
  <c r="G12" i="6"/>
  <c r="F12" i="6" s="1"/>
  <c r="N42" i="38"/>
  <c r="N6" i="38"/>
  <c r="N41" i="36"/>
  <c r="N6" i="36"/>
  <c r="N41" i="35"/>
  <c r="N6" i="35"/>
  <c r="N42" i="29"/>
  <c r="N6" i="29"/>
  <c r="N43" i="28"/>
  <c r="N7" i="28"/>
  <c r="N42" i="21"/>
  <c r="N6" i="21"/>
  <c r="G16" i="17" l="1"/>
  <c r="B8" i="31" s="1"/>
  <c r="G52" i="17"/>
  <c r="C8" i="31" s="1"/>
  <c r="J49" i="20" l="1"/>
  <c r="K49" i="20"/>
  <c r="N49" i="20"/>
  <c r="O49" i="20"/>
  <c r="J50" i="20"/>
  <c r="K50" i="20"/>
  <c r="O50" i="20"/>
  <c r="N51" i="20"/>
  <c r="K51" i="20"/>
  <c r="O51" i="20"/>
  <c r="J52" i="20"/>
  <c r="N52" i="20"/>
  <c r="K53" i="20"/>
  <c r="O53" i="20"/>
  <c r="G54" i="20"/>
  <c r="K55" i="20"/>
  <c r="O55" i="20"/>
  <c r="K56" i="20"/>
  <c r="O56" i="20"/>
  <c r="K58" i="20"/>
  <c r="O58" i="20"/>
  <c r="K59" i="20"/>
  <c r="O59" i="20"/>
  <c r="K60" i="20"/>
  <c r="O60" i="20"/>
  <c r="K61" i="20"/>
  <c r="O61" i="20"/>
  <c r="K62" i="20"/>
  <c r="O62" i="20"/>
  <c r="K63" i="20"/>
  <c r="O63" i="20"/>
  <c r="K64" i="20"/>
  <c r="O64" i="20"/>
  <c r="K65" i="20"/>
  <c r="O65" i="20"/>
  <c r="J68" i="20"/>
  <c r="J49" i="19"/>
  <c r="K49" i="19"/>
  <c r="O49" i="19"/>
  <c r="J50" i="19"/>
  <c r="K50" i="19"/>
  <c r="O50" i="19"/>
  <c r="N51" i="19"/>
  <c r="O51" i="19"/>
  <c r="J52" i="19"/>
  <c r="N52" i="19"/>
  <c r="K53" i="19"/>
  <c r="K55" i="19"/>
  <c r="O55" i="19"/>
  <c r="K56" i="19"/>
  <c r="O56" i="19"/>
  <c r="K58" i="19"/>
  <c r="O58" i="19"/>
  <c r="K59" i="19"/>
  <c r="O59" i="19"/>
  <c r="K60" i="19"/>
  <c r="O60" i="19"/>
  <c r="K61" i="19"/>
  <c r="O61" i="19"/>
  <c r="K62" i="19"/>
  <c r="O62" i="19"/>
  <c r="K63" i="19"/>
  <c r="O63" i="19"/>
  <c r="K64" i="19"/>
  <c r="O64" i="19"/>
  <c r="K65" i="19"/>
  <c r="O65" i="19"/>
  <c r="N49" i="18"/>
  <c r="K49" i="18"/>
  <c r="O49" i="18"/>
  <c r="N50" i="18"/>
  <c r="J50" i="18"/>
  <c r="K50" i="18"/>
  <c r="O50" i="18"/>
  <c r="N51" i="18"/>
  <c r="K51" i="18"/>
  <c r="O51" i="18"/>
  <c r="J52" i="18"/>
  <c r="N52" i="18"/>
  <c r="K53" i="18"/>
  <c r="O53" i="18"/>
  <c r="G54" i="18"/>
  <c r="K55" i="18"/>
  <c r="O55" i="18"/>
  <c r="K56" i="18"/>
  <c r="O56" i="18"/>
  <c r="K58" i="18"/>
  <c r="O58" i="18"/>
  <c r="K59" i="18"/>
  <c r="O59" i="18"/>
  <c r="K60" i="18"/>
  <c r="O60" i="18"/>
  <c r="K61" i="18"/>
  <c r="O61" i="18"/>
  <c r="K62" i="18"/>
  <c r="O62" i="18"/>
  <c r="K63" i="18"/>
  <c r="O63" i="18"/>
  <c r="K64" i="18"/>
  <c r="O64" i="18"/>
  <c r="K65" i="18"/>
  <c r="O65" i="18"/>
  <c r="N47" i="17"/>
  <c r="K47" i="17"/>
  <c r="O47" i="17"/>
  <c r="J48" i="17"/>
  <c r="K48" i="17"/>
  <c r="O48" i="17"/>
  <c r="J49" i="17"/>
  <c r="K49" i="17"/>
  <c r="O49" i="17"/>
  <c r="N50" i="17"/>
  <c r="J50" i="17"/>
  <c r="K51" i="17"/>
  <c r="O51" i="17"/>
  <c r="O52" i="17"/>
  <c r="K52" i="17"/>
  <c r="K53" i="17"/>
  <c r="O53" i="17"/>
  <c r="K54" i="17"/>
  <c r="O54" i="17"/>
  <c r="K56" i="17"/>
  <c r="O56" i="17"/>
  <c r="K57" i="17"/>
  <c r="O57" i="17"/>
  <c r="K58" i="17"/>
  <c r="O58" i="17"/>
  <c r="K59" i="17"/>
  <c r="O59" i="17"/>
  <c r="K60" i="17"/>
  <c r="O60" i="17"/>
  <c r="K61" i="17"/>
  <c r="O61" i="17"/>
  <c r="K62" i="17"/>
  <c r="O62" i="17"/>
  <c r="K63" i="17"/>
  <c r="O63" i="17"/>
  <c r="J49" i="18" l="1"/>
  <c r="K54" i="18"/>
  <c r="E8" i="31"/>
  <c r="J51" i="18"/>
  <c r="K54" i="20"/>
  <c r="I8" i="31"/>
  <c r="J47" i="17"/>
  <c r="O54" i="20"/>
  <c r="J51" i="20"/>
  <c r="N49" i="19"/>
  <c r="J51" i="19"/>
  <c r="N48" i="17"/>
  <c r="N50" i="20"/>
  <c r="N49" i="17"/>
  <c r="G54" i="19"/>
  <c r="G8" i="31" s="1"/>
  <c r="N50" i="19"/>
  <c r="O54" i="18"/>
  <c r="O53" i="19"/>
  <c r="K54" i="19" l="1"/>
  <c r="O54" i="19"/>
  <c r="C8" i="39" l="1"/>
  <c r="G22" i="31" l="1"/>
  <c r="H22" i="31" l="1"/>
  <c r="F22" i="31" l="1"/>
  <c r="E23" i="31"/>
  <c r="K23" i="31" s="1"/>
  <c r="E22" i="31"/>
  <c r="D22" i="31"/>
  <c r="C22" i="31"/>
  <c r="B22" i="31"/>
  <c r="K22" i="31" l="1"/>
  <c r="L6" i="31" s="1"/>
  <c r="Q8" i="31"/>
  <c r="Q14" i="31" s="1"/>
  <c r="Q15" i="31" s="1"/>
  <c r="L7" i="31"/>
  <c r="M8" i="31" s="1"/>
  <c r="F12" i="38"/>
  <c r="P8" i="31" l="1"/>
  <c r="O27" i="34"/>
  <c r="K27" i="34"/>
  <c r="O26" i="34"/>
  <c r="K26" i="34"/>
  <c r="E30" i="6" l="1"/>
  <c r="G24" i="5"/>
  <c r="G25" i="5"/>
  <c r="O63" i="33"/>
  <c r="K63" i="33"/>
  <c r="O62" i="33"/>
  <c r="K62" i="33"/>
  <c r="O25" i="33"/>
  <c r="K25" i="33"/>
  <c r="O24" i="33"/>
  <c r="K24" i="33"/>
  <c r="O24" i="20"/>
  <c r="K24" i="20"/>
  <c r="O23" i="20"/>
  <c r="K23" i="20"/>
  <c r="O24" i="19"/>
  <c r="K24" i="19"/>
  <c r="O23" i="19"/>
  <c r="K23" i="19"/>
  <c r="O24" i="18"/>
  <c r="K24" i="18"/>
  <c r="O23" i="18"/>
  <c r="K23" i="18"/>
  <c r="K25" i="18"/>
  <c r="O25" i="18"/>
  <c r="K26" i="18"/>
  <c r="O26" i="18"/>
  <c r="K24" i="17"/>
  <c r="O23" i="17"/>
  <c r="O24" i="17"/>
  <c r="K23" i="17"/>
  <c r="F46" i="38"/>
  <c r="F45" i="38"/>
  <c r="F11" i="38"/>
  <c r="F45" i="36"/>
  <c r="F44" i="36"/>
  <c r="F12" i="36"/>
  <c r="F11" i="36"/>
  <c r="F45" i="35"/>
  <c r="F44" i="35"/>
  <c r="F12" i="35"/>
  <c r="F11" i="35"/>
  <c r="G28" i="5" l="1"/>
  <c r="G27" i="5"/>
  <c r="G26" i="5"/>
  <c r="G23" i="5"/>
  <c r="G22" i="5"/>
  <c r="G21" i="5"/>
  <c r="C20" i="39" s="1"/>
  <c r="G19" i="5"/>
  <c r="C15" i="39" s="1"/>
  <c r="G18" i="5"/>
  <c r="C14" i="39" s="1"/>
  <c r="F14" i="5"/>
  <c r="G13" i="5"/>
  <c r="F13" i="5" s="1"/>
  <c r="O18" i="21" l="1"/>
  <c r="G15" i="21"/>
  <c r="K19" i="5"/>
  <c r="K21" i="5"/>
  <c r="K22" i="5"/>
  <c r="K23" i="5"/>
  <c r="K26" i="5"/>
  <c r="K27" i="5"/>
  <c r="K28" i="5"/>
  <c r="O28" i="5"/>
  <c r="O27" i="5"/>
  <c r="O26" i="5"/>
  <c r="O23" i="5"/>
  <c r="O22" i="5"/>
  <c r="O21" i="5"/>
  <c r="O19" i="5"/>
  <c r="O18" i="5"/>
  <c r="G18" i="6"/>
  <c r="C16" i="39" s="1"/>
  <c r="G15" i="6"/>
  <c r="O15" i="21" l="1"/>
  <c r="B24" i="31"/>
  <c r="K15" i="6"/>
  <c r="C12" i="39"/>
  <c r="D13" i="39" s="1"/>
  <c r="K15" i="21"/>
  <c r="O15" i="6"/>
  <c r="O18" i="6"/>
  <c r="K18" i="6"/>
  <c r="J31" i="33"/>
  <c r="J67" i="37"/>
  <c r="J67" i="34"/>
  <c r="J68" i="33"/>
  <c r="J30" i="37"/>
  <c r="J31" i="34"/>
  <c r="J32" i="5"/>
  <c r="E32" i="5"/>
  <c r="E31" i="5"/>
  <c r="C7" i="39"/>
  <c r="C6" i="39"/>
  <c r="J62" i="38"/>
  <c r="J28" i="38"/>
  <c r="J28" i="36"/>
  <c r="J61" i="36"/>
  <c r="J61" i="35"/>
  <c r="J28" i="35"/>
  <c r="J31" i="6"/>
  <c r="E31" i="6"/>
  <c r="G13" i="6"/>
  <c r="F13" i="6" s="1"/>
  <c r="F14" i="6"/>
  <c r="G19" i="6"/>
  <c r="G20" i="6"/>
  <c r="G21" i="6"/>
  <c r="G22" i="6"/>
  <c r="C21" i="39" s="1"/>
  <c r="G23" i="6"/>
  <c r="C22" i="39" s="1"/>
  <c r="G24" i="6"/>
  <c r="G25" i="6"/>
  <c r="G27" i="6"/>
  <c r="G26" i="6"/>
  <c r="C25" i="39" s="1"/>
  <c r="O59" i="38"/>
  <c r="K59" i="38"/>
  <c r="O58" i="38"/>
  <c r="K58" i="38"/>
  <c r="O57" i="38"/>
  <c r="K57" i="38"/>
  <c r="O56" i="38"/>
  <c r="K56" i="38"/>
  <c r="O55" i="38"/>
  <c r="K55" i="38"/>
  <c r="O54" i="38"/>
  <c r="K54" i="38"/>
  <c r="O53" i="38"/>
  <c r="K53" i="38"/>
  <c r="O52" i="38"/>
  <c r="K52" i="38"/>
  <c r="O51" i="38"/>
  <c r="K51" i="38"/>
  <c r="O50" i="38"/>
  <c r="K50" i="38"/>
  <c r="G49" i="38"/>
  <c r="O49" i="38" s="1"/>
  <c r="O48" i="38"/>
  <c r="K48" i="38"/>
  <c r="N47" i="38"/>
  <c r="J47" i="38"/>
  <c r="O46" i="38"/>
  <c r="K46" i="38"/>
  <c r="J46" i="38"/>
  <c r="O45" i="38"/>
  <c r="K45" i="38"/>
  <c r="J45" i="38"/>
  <c r="O25" i="38"/>
  <c r="K25" i="38"/>
  <c r="O24" i="38"/>
  <c r="K24" i="38"/>
  <c r="O23" i="38"/>
  <c r="K23" i="38"/>
  <c r="O22" i="38"/>
  <c r="K22" i="38"/>
  <c r="O21" i="38"/>
  <c r="K21" i="38"/>
  <c r="O20" i="38"/>
  <c r="K20" i="38"/>
  <c r="O19" i="38"/>
  <c r="K19" i="38"/>
  <c r="O18" i="38"/>
  <c r="K18" i="38"/>
  <c r="O17" i="38"/>
  <c r="K17" i="38"/>
  <c r="O16" i="38"/>
  <c r="K16" i="38"/>
  <c r="G15" i="38"/>
  <c r="K15" i="38" s="1"/>
  <c r="O14" i="38"/>
  <c r="K14" i="38"/>
  <c r="N13" i="38"/>
  <c r="J13" i="38"/>
  <c r="O12" i="38"/>
  <c r="K12" i="38"/>
  <c r="J12" i="38"/>
  <c r="O11" i="38"/>
  <c r="K11" i="38"/>
  <c r="N11" i="38"/>
  <c r="O64" i="37"/>
  <c r="K64" i="37"/>
  <c r="O63" i="37"/>
  <c r="K63" i="37"/>
  <c r="O60" i="37"/>
  <c r="K60" i="37"/>
  <c r="O59" i="37"/>
  <c r="K59" i="37"/>
  <c r="O58" i="37"/>
  <c r="K58" i="37"/>
  <c r="O57" i="37"/>
  <c r="K57" i="37"/>
  <c r="O56" i="37"/>
  <c r="K56" i="37"/>
  <c r="O55" i="37"/>
  <c r="K55" i="37"/>
  <c r="G54" i="37"/>
  <c r="O54" i="37" s="1"/>
  <c r="N52" i="37"/>
  <c r="J52" i="37"/>
  <c r="O51" i="37"/>
  <c r="K51" i="37"/>
  <c r="F51" i="37"/>
  <c r="J51" i="37" s="1"/>
  <c r="O50" i="37"/>
  <c r="K50" i="37"/>
  <c r="F50" i="37"/>
  <c r="J50" i="37" s="1"/>
  <c r="O49" i="37"/>
  <c r="K49" i="37"/>
  <c r="F49" i="37"/>
  <c r="N49" i="37" s="1"/>
  <c r="O27" i="37"/>
  <c r="K27" i="37"/>
  <c r="O26" i="37"/>
  <c r="K26" i="37"/>
  <c r="O25" i="37"/>
  <c r="K25" i="37"/>
  <c r="O22" i="37"/>
  <c r="K22" i="37"/>
  <c r="O21" i="37"/>
  <c r="K21" i="37"/>
  <c r="O20" i="37"/>
  <c r="K20" i="37"/>
  <c r="O19" i="37"/>
  <c r="K19" i="37"/>
  <c r="O18" i="37"/>
  <c r="K18" i="37"/>
  <c r="O17" i="37"/>
  <c r="K17" i="37"/>
  <c r="G16" i="37"/>
  <c r="K16" i="37" s="1"/>
  <c r="O15" i="37"/>
  <c r="K15" i="37"/>
  <c r="N14" i="37"/>
  <c r="J14" i="37"/>
  <c r="O13" i="37"/>
  <c r="K13" i="37"/>
  <c r="F13" i="37"/>
  <c r="J13" i="37" s="1"/>
  <c r="O12" i="37"/>
  <c r="K12" i="37"/>
  <c r="F12" i="37"/>
  <c r="N12" i="37" s="1"/>
  <c r="O11" i="37"/>
  <c r="K11" i="37"/>
  <c r="F11" i="37"/>
  <c r="J11" i="37" s="1"/>
  <c r="B37" i="31" l="1"/>
  <c r="C11" i="39"/>
  <c r="C9" i="39"/>
  <c r="K25" i="6"/>
  <c r="C24" i="39"/>
  <c r="K24" i="6"/>
  <c r="C23" i="39"/>
  <c r="C10" i="39"/>
  <c r="N12" i="38"/>
  <c r="N46" i="38"/>
  <c r="N13" i="37"/>
  <c r="O16" i="37"/>
  <c r="O15" i="38"/>
  <c r="K27" i="6"/>
  <c r="C26" i="39"/>
  <c r="K22" i="6"/>
  <c r="O22" i="6"/>
  <c r="K26" i="6"/>
  <c r="O26" i="6"/>
  <c r="K23" i="6"/>
  <c r="O23" i="6"/>
  <c r="C19" i="39"/>
  <c r="K21" i="6"/>
  <c r="O21" i="6"/>
  <c r="C18" i="39"/>
  <c r="K20" i="6"/>
  <c r="C17" i="39"/>
  <c r="K19" i="6"/>
  <c r="O19" i="6"/>
  <c r="K54" i="37"/>
  <c r="N50" i="37"/>
  <c r="N11" i="37"/>
  <c r="N45" i="38"/>
  <c r="J11" i="38"/>
  <c r="K49" i="38"/>
  <c r="J12" i="37"/>
  <c r="J49" i="37"/>
  <c r="N51" i="37"/>
  <c r="O16" i="5" l="1"/>
  <c r="J30" i="6"/>
  <c r="T30" i="6" s="1"/>
  <c r="O66" i="33"/>
  <c r="K66" i="33"/>
  <c r="O15" i="17" l="1"/>
  <c r="K14" i="36"/>
  <c r="O56" i="35"/>
  <c r="N46" i="35"/>
  <c r="K23" i="35"/>
  <c r="G15" i="35"/>
  <c r="O15" i="35" s="1"/>
  <c r="J13" i="35"/>
  <c r="O27" i="17"/>
  <c r="K27" i="17"/>
  <c r="O26" i="17"/>
  <c r="K26" i="17"/>
  <c r="O25" i="17"/>
  <c r="K25" i="17"/>
  <c r="O22" i="17"/>
  <c r="K22" i="17"/>
  <c r="O21" i="17"/>
  <c r="K21" i="17"/>
  <c r="O20" i="17"/>
  <c r="K20" i="17"/>
  <c r="O18" i="17"/>
  <c r="K18" i="17"/>
  <c r="O17" i="17"/>
  <c r="K17" i="17"/>
  <c r="K15" i="17"/>
  <c r="N14" i="17"/>
  <c r="O13" i="17"/>
  <c r="K13" i="17"/>
  <c r="N13" i="17"/>
  <c r="O12" i="17"/>
  <c r="K12" i="17"/>
  <c r="J12" i="17"/>
  <c r="O11" i="17"/>
  <c r="K11" i="17"/>
  <c r="J11" i="17"/>
  <c r="O58" i="36"/>
  <c r="K58" i="36"/>
  <c r="O57" i="36"/>
  <c r="K57" i="36"/>
  <c r="O56" i="36"/>
  <c r="K56" i="36"/>
  <c r="O55" i="36"/>
  <c r="K55" i="36"/>
  <c r="O54" i="36"/>
  <c r="K54" i="36"/>
  <c r="O53" i="36"/>
  <c r="K53" i="36"/>
  <c r="O52" i="36"/>
  <c r="K52" i="36"/>
  <c r="O51" i="36"/>
  <c r="K51" i="36"/>
  <c r="O50" i="36"/>
  <c r="K50" i="36"/>
  <c r="O49" i="36"/>
  <c r="K49" i="36"/>
  <c r="G48" i="36"/>
  <c r="O48" i="36" s="1"/>
  <c r="O47" i="36"/>
  <c r="K47" i="36"/>
  <c r="N46" i="36"/>
  <c r="J46" i="36"/>
  <c r="O45" i="36"/>
  <c r="K45" i="36"/>
  <c r="N45" i="36"/>
  <c r="O44" i="36"/>
  <c r="K44" i="36"/>
  <c r="N44" i="36"/>
  <c r="O25" i="36"/>
  <c r="K25" i="36"/>
  <c r="O24" i="36"/>
  <c r="K24" i="36"/>
  <c r="O23" i="36"/>
  <c r="K23" i="36"/>
  <c r="O22" i="36"/>
  <c r="K22" i="36"/>
  <c r="O21" i="36"/>
  <c r="K21" i="36"/>
  <c r="O20" i="36"/>
  <c r="K20" i="36"/>
  <c r="O19" i="36"/>
  <c r="K19" i="36"/>
  <c r="O18" i="36"/>
  <c r="K18" i="36"/>
  <c r="O17" i="36"/>
  <c r="K17" i="36"/>
  <c r="O16" i="36"/>
  <c r="K16" i="36"/>
  <c r="G15" i="36"/>
  <c r="O15" i="36" s="1"/>
  <c r="O14" i="36"/>
  <c r="N13" i="36"/>
  <c r="J13" i="36"/>
  <c r="O12" i="36"/>
  <c r="K12" i="36"/>
  <c r="N12" i="36"/>
  <c r="O11" i="36"/>
  <c r="K11" i="36"/>
  <c r="J11" i="36"/>
  <c r="O58" i="35"/>
  <c r="K58" i="35"/>
  <c r="O57" i="35"/>
  <c r="K57" i="35"/>
  <c r="O55" i="35"/>
  <c r="K55" i="35"/>
  <c r="O54" i="35"/>
  <c r="K54" i="35"/>
  <c r="O53" i="35"/>
  <c r="K53" i="35"/>
  <c r="O52" i="35"/>
  <c r="K52" i="35"/>
  <c r="O51" i="35"/>
  <c r="K51" i="35"/>
  <c r="O50" i="35"/>
  <c r="K50" i="35"/>
  <c r="O49" i="35"/>
  <c r="K49" i="35"/>
  <c r="O45" i="35"/>
  <c r="K45" i="35"/>
  <c r="J45" i="35"/>
  <c r="O44" i="35"/>
  <c r="K44" i="35"/>
  <c r="N44" i="35"/>
  <c r="O25" i="35"/>
  <c r="K25" i="35"/>
  <c r="O24" i="35"/>
  <c r="K24" i="35"/>
  <c r="O23" i="35"/>
  <c r="O22" i="35"/>
  <c r="K22" i="35"/>
  <c r="O21" i="35"/>
  <c r="K21" i="35"/>
  <c r="O20" i="35"/>
  <c r="K20" i="35"/>
  <c r="O19" i="35"/>
  <c r="K19" i="35"/>
  <c r="O18" i="35"/>
  <c r="K18" i="35"/>
  <c r="O17" i="35"/>
  <c r="K17" i="35"/>
  <c r="O16" i="35"/>
  <c r="K16" i="35"/>
  <c r="O14" i="35"/>
  <c r="K14" i="35"/>
  <c r="O12" i="35"/>
  <c r="K12" i="35"/>
  <c r="N12" i="35"/>
  <c r="O11" i="35"/>
  <c r="K11" i="35"/>
  <c r="J11" i="35"/>
  <c r="O64" i="34"/>
  <c r="K64" i="34"/>
  <c r="O63" i="34"/>
  <c r="K63" i="34"/>
  <c r="O60" i="34"/>
  <c r="K60" i="34"/>
  <c r="O59" i="34"/>
  <c r="K59" i="34"/>
  <c r="O58" i="34"/>
  <c r="K58" i="34"/>
  <c r="O57" i="34"/>
  <c r="K57" i="34"/>
  <c r="O56" i="34"/>
  <c r="K56" i="34"/>
  <c r="O55" i="34"/>
  <c r="K55" i="34"/>
  <c r="G54" i="34"/>
  <c r="O54" i="34" s="1"/>
  <c r="N52" i="34"/>
  <c r="J52" i="34"/>
  <c r="O51" i="34"/>
  <c r="K51" i="34"/>
  <c r="F51" i="34"/>
  <c r="N51" i="34" s="1"/>
  <c r="O50" i="34"/>
  <c r="K50" i="34"/>
  <c r="F50" i="34"/>
  <c r="N50" i="34" s="1"/>
  <c r="O49" i="34"/>
  <c r="K49" i="34"/>
  <c r="F49" i="34"/>
  <c r="N49" i="34" s="1"/>
  <c r="O28" i="34"/>
  <c r="K28" i="34"/>
  <c r="O23" i="34"/>
  <c r="K23" i="34"/>
  <c r="O22" i="34"/>
  <c r="K22" i="34"/>
  <c r="O21" i="34"/>
  <c r="K21" i="34"/>
  <c r="O20" i="34"/>
  <c r="K20" i="34"/>
  <c r="O18" i="34"/>
  <c r="K18" i="34"/>
  <c r="O17" i="34"/>
  <c r="K17" i="34"/>
  <c r="G16" i="34"/>
  <c r="O16" i="34" s="1"/>
  <c r="O15" i="34"/>
  <c r="K15" i="34"/>
  <c r="N14" i="34"/>
  <c r="J14" i="34"/>
  <c r="O13" i="34"/>
  <c r="K13" i="34"/>
  <c r="F13" i="34"/>
  <c r="N13" i="34" s="1"/>
  <c r="O12" i="34"/>
  <c r="K12" i="34"/>
  <c r="F12" i="34"/>
  <c r="N12" i="34" s="1"/>
  <c r="O11" i="34"/>
  <c r="K11" i="34"/>
  <c r="F11" i="34"/>
  <c r="N11" i="34" s="1"/>
  <c r="O65" i="33"/>
  <c r="K65" i="33"/>
  <c r="O64" i="33"/>
  <c r="K64" i="33"/>
  <c r="O61" i="33"/>
  <c r="K61" i="33"/>
  <c r="O60" i="33"/>
  <c r="K60" i="33"/>
  <c r="O59" i="33"/>
  <c r="K59" i="33"/>
  <c r="O58" i="33"/>
  <c r="K58" i="33"/>
  <c r="O57" i="33"/>
  <c r="K57" i="33"/>
  <c r="O56" i="33"/>
  <c r="K56" i="33"/>
  <c r="G55" i="33"/>
  <c r="K55" i="33" s="1"/>
  <c r="N53" i="33"/>
  <c r="J53" i="33"/>
  <c r="O52" i="33"/>
  <c r="K52" i="33"/>
  <c r="F52" i="33"/>
  <c r="N52" i="33" s="1"/>
  <c r="O51" i="33"/>
  <c r="K51" i="33"/>
  <c r="F51" i="33"/>
  <c r="N51" i="33" s="1"/>
  <c r="O50" i="33"/>
  <c r="K50" i="33"/>
  <c r="F50" i="33"/>
  <c r="J50" i="33" s="1"/>
  <c r="O28" i="33"/>
  <c r="K28" i="33"/>
  <c r="O27" i="33"/>
  <c r="K27" i="33"/>
  <c r="O26" i="33"/>
  <c r="K26" i="33"/>
  <c r="O23" i="33"/>
  <c r="K23" i="33"/>
  <c r="O22" i="33"/>
  <c r="K22" i="33"/>
  <c r="O21" i="33"/>
  <c r="K21" i="33"/>
  <c r="O20" i="33"/>
  <c r="K20" i="33"/>
  <c r="O18" i="33"/>
  <c r="K18" i="33"/>
  <c r="O17" i="33"/>
  <c r="K17" i="33"/>
  <c r="G16" i="33"/>
  <c r="O16" i="33" s="1"/>
  <c r="O15" i="33"/>
  <c r="K15" i="33"/>
  <c r="N14" i="33"/>
  <c r="J14" i="33"/>
  <c r="O13" i="33"/>
  <c r="K13" i="33"/>
  <c r="F13" i="33"/>
  <c r="N13" i="33" s="1"/>
  <c r="O12" i="33"/>
  <c r="K12" i="33"/>
  <c r="F12" i="33"/>
  <c r="N12" i="33" s="1"/>
  <c r="O11" i="33"/>
  <c r="K11" i="33"/>
  <c r="F11" i="33"/>
  <c r="N11" i="33" s="1"/>
  <c r="J12" i="35" l="1"/>
  <c r="N45" i="35"/>
  <c r="J12" i="36"/>
  <c r="J11" i="34"/>
  <c r="J12" i="34"/>
  <c r="J50" i="34"/>
  <c r="K54" i="34"/>
  <c r="J12" i="33"/>
  <c r="J51" i="33"/>
  <c r="N50" i="33"/>
  <c r="N11" i="17"/>
  <c r="N12" i="17"/>
  <c r="J13" i="17"/>
  <c r="N11" i="35"/>
  <c r="K56" i="35"/>
  <c r="N13" i="35"/>
  <c r="G48" i="35"/>
  <c r="K48" i="35" s="1"/>
  <c r="O47" i="35"/>
  <c r="K47" i="35"/>
  <c r="K15" i="36"/>
  <c r="J46" i="35"/>
  <c r="O55" i="33"/>
  <c r="J11" i="33"/>
  <c r="J14" i="17"/>
  <c r="J49" i="34"/>
  <c r="N11" i="36"/>
  <c r="J44" i="36"/>
  <c r="J13" i="33"/>
  <c r="J44" i="35"/>
  <c r="J45" i="36"/>
  <c r="J51" i="34"/>
  <c r="K15" i="35"/>
  <c r="K16" i="33"/>
  <c r="K16" i="34"/>
  <c r="K48" i="36"/>
  <c r="J52" i="33"/>
  <c r="J13" i="34"/>
  <c r="O48" i="35" l="1"/>
  <c r="K16" i="17"/>
  <c r="O16" i="17"/>
  <c r="G15" i="30" l="1"/>
  <c r="H24" i="31" s="1"/>
  <c r="G16" i="20"/>
  <c r="H8" i="31" s="1"/>
  <c r="P12" i="31" s="1"/>
  <c r="P14" i="31" s="1"/>
  <c r="G51" i="29"/>
  <c r="G15" i="29"/>
  <c r="F24" i="31" s="1"/>
  <c r="G52" i="28"/>
  <c r="E24" i="31" s="1"/>
  <c r="E37" i="31" s="1"/>
  <c r="G16" i="28"/>
  <c r="D24" i="31" s="1"/>
  <c r="G16" i="19"/>
  <c r="F8" i="31" s="1"/>
  <c r="H37" i="31" l="1"/>
  <c r="G24" i="31"/>
  <c r="G37" i="31" s="1"/>
  <c r="F37" i="31"/>
  <c r="G51" i="21"/>
  <c r="C24" i="31" s="1"/>
  <c r="G16" i="18"/>
  <c r="D8" i="31" s="1"/>
  <c r="O65" i="32"/>
  <c r="K65" i="32"/>
  <c r="O64" i="32"/>
  <c r="K64" i="32"/>
  <c r="O63" i="32"/>
  <c r="K63" i="32"/>
  <c r="O62" i="32"/>
  <c r="K62" i="32"/>
  <c r="O61" i="32"/>
  <c r="K61" i="32"/>
  <c r="O60" i="32"/>
  <c r="K60" i="32"/>
  <c r="O59" i="32"/>
  <c r="K59" i="32"/>
  <c r="O58" i="32"/>
  <c r="K58" i="32"/>
  <c r="O57" i="32"/>
  <c r="K57" i="32"/>
  <c r="O56" i="32"/>
  <c r="K56" i="32"/>
  <c r="G55" i="32"/>
  <c r="K55" i="32" s="1"/>
  <c r="O54" i="32"/>
  <c r="K54" i="32"/>
  <c r="N53" i="32"/>
  <c r="J53" i="32"/>
  <c r="O52" i="32"/>
  <c r="K52" i="32"/>
  <c r="F52" i="32"/>
  <c r="J52" i="32" s="1"/>
  <c r="O51" i="32"/>
  <c r="K51" i="32"/>
  <c r="F51" i="32"/>
  <c r="N51" i="32" s="1"/>
  <c r="J28" i="32"/>
  <c r="O25" i="32"/>
  <c r="K25" i="32"/>
  <c r="O24" i="32"/>
  <c r="K24" i="32"/>
  <c r="O23" i="32"/>
  <c r="K23" i="32"/>
  <c r="O22" i="32"/>
  <c r="K22" i="32"/>
  <c r="O21" i="32"/>
  <c r="K21" i="32"/>
  <c r="O20" i="32"/>
  <c r="K20" i="32"/>
  <c r="O19" i="32"/>
  <c r="K19" i="32"/>
  <c r="O18" i="32"/>
  <c r="K18" i="32"/>
  <c r="O17" i="32"/>
  <c r="K17" i="32"/>
  <c r="O16" i="32"/>
  <c r="K16" i="32"/>
  <c r="O15" i="32"/>
  <c r="K15" i="32"/>
  <c r="O14" i="32"/>
  <c r="K14" i="32"/>
  <c r="N13" i="32"/>
  <c r="J13" i="32"/>
  <c r="O12" i="32"/>
  <c r="K12" i="32"/>
  <c r="F12" i="32"/>
  <c r="N12" i="32" s="1"/>
  <c r="O11" i="32"/>
  <c r="N11" i="32"/>
  <c r="K11" i="32"/>
  <c r="F11" i="32"/>
  <c r="J11" i="32" s="1"/>
  <c r="D37" i="31" l="1"/>
  <c r="K8" i="31"/>
  <c r="C37" i="31"/>
  <c r="J51" i="32"/>
  <c r="J31" i="5"/>
  <c r="T31" i="5" s="1"/>
  <c r="J12" i="32"/>
  <c r="G17" i="5"/>
  <c r="N52" i="32"/>
  <c r="O55" i="32"/>
  <c r="O17" i="5" l="1"/>
  <c r="K13" i="18"/>
  <c r="J14" i="18"/>
  <c r="N14" i="18"/>
  <c r="O13" i="18"/>
  <c r="O20" i="18"/>
  <c r="O18" i="18"/>
  <c r="O17" i="18"/>
  <c r="O16" i="18"/>
  <c r="O15" i="18"/>
  <c r="K20" i="18"/>
  <c r="K18" i="18"/>
  <c r="K17" i="18"/>
  <c r="K15" i="18"/>
  <c r="K16" i="18"/>
  <c r="J13" i="18"/>
  <c r="N13" i="18" l="1"/>
  <c r="O26" i="20" l="1"/>
  <c r="K26" i="20"/>
  <c r="O26" i="19"/>
  <c r="K26" i="19"/>
  <c r="O62" i="30" l="1"/>
  <c r="K62" i="30"/>
  <c r="O61" i="30"/>
  <c r="K61" i="30"/>
  <c r="O60" i="30"/>
  <c r="K60" i="30"/>
  <c r="O59" i="30"/>
  <c r="K59" i="30"/>
  <c r="O58" i="30"/>
  <c r="K58" i="30"/>
  <c r="O57" i="30"/>
  <c r="K57" i="30"/>
  <c r="O56" i="30"/>
  <c r="K56" i="30"/>
  <c r="O55" i="30"/>
  <c r="K55" i="30"/>
  <c r="O54" i="30"/>
  <c r="K54" i="30"/>
  <c r="O53" i="30"/>
  <c r="K53" i="30"/>
  <c r="G51" i="30"/>
  <c r="I24" i="31" s="1"/>
  <c r="O50" i="30"/>
  <c r="K50" i="30"/>
  <c r="N49" i="30"/>
  <c r="J49" i="30"/>
  <c r="O48" i="30"/>
  <c r="K48" i="30"/>
  <c r="J48" i="30"/>
  <c r="O47" i="30"/>
  <c r="K47" i="30"/>
  <c r="J47" i="30"/>
  <c r="O26" i="30"/>
  <c r="K26" i="30"/>
  <c r="O25" i="30"/>
  <c r="K25" i="30"/>
  <c r="O24" i="30"/>
  <c r="K24" i="30"/>
  <c r="O23" i="30"/>
  <c r="K23" i="30"/>
  <c r="O22" i="30"/>
  <c r="K22" i="30"/>
  <c r="O21" i="30"/>
  <c r="K21" i="30"/>
  <c r="O20" i="30"/>
  <c r="K20" i="30"/>
  <c r="O19" i="30"/>
  <c r="K19" i="30"/>
  <c r="O18" i="30"/>
  <c r="K18" i="30"/>
  <c r="O17" i="30"/>
  <c r="K17" i="30"/>
  <c r="K15" i="30"/>
  <c r="O14" i="30"/>
  <c r="K14" i="30"/>
  <c r="N13" i="30"/>
  <c r="J13" i="30"/>
  <c r="O12" i="30"/>
  <c r="K12" i="30"/>
  <c r="J12" i="30"/>
  <c r="O11" i="30"/>
  <c r="K11" i="30"/>
  <c r="J11" i="30"/>
  <c r="O62" i="29"/>
  <c r="K62" i="29"/>
  <c r="O61" i="29"/>
  <c r="K61" i="29"/>
  <c r="O60" i="29"/>
  <c r="K60" i="29"/>
  <c r="O59" i="29"/>
  <c r="K59" i="29"/>
  <c r="O58" i="29"/>
  <c r="K58" i="29"/>
  <c r="O57" i="29"/>
  <c r="K57" i="29"/>
  <c r="O56" i="29"/>
  <c r="K56" i="29"/>
  <c r="O55" i="29"/>
  <c r="K55" i="29"/>
  <c r="O54" i="29"/>
  <c r="K54" i="29"/>
  <c r="O53" i="29"/>
  <c r="K53" i="29"/>
  <c r="O51" i="29"/>
  <c r="O50" i="29"/>
  <c r="K50" i="29"/>
  <c r="N49" i="29"/>
  <c r="J49" i="29"/>
  <c r="O48" i="29"/>
  <c r="K48" i="29"/>
  <c r="J48" i="29"/>
  <c r="O47" i="29"/>
  <c r="K47" i="29"/>
  <c r="J47" i="29"/>
  <c r="O26" i="29"/>
  <c r="K26" i="29"/>
  <c r="O25" i="29"/>
  <c r="K25" i="29"/>
  <c r="O24" i="29"/>
  <c r="K24" i="29"/>
  <c r="O23" i="29"/>
  <c r="K23" i="29"/>
  <c r="O22" i="29"/>
  <c r="K22" i="29"/>
  <c r="O21" i="29"/>
  <c r="K21" i="29"/>
  <c r="O20" i="29"/>
  <c r="K20" i="29"/>
  <c r="O19" i="29"/>
  <c r="K19" i="29"/>
  <c r="O18" i="29"/>
  <c r="K18" i="29"/>
  <c r="O17" i="29"/>
  <c r="K17" i="29"/>
  <c r="O15" i="29"/>
  <c r="O14" i="29"/>
  <c r="K14" i="29"/>
  <c r="N13" i="29"/>
  <c r="J13" i="29"/>
  <c r="O12" i="29"/>
  <c r="K12" i="29"/>
  <c r="J12" i="29"/>
  <c r="O11" i="29"/>
  <c r="K11" i="29"/>
  <c r="J11" i="29"/>
  <c r="O63" i="28"/>
  <c r="K63" i="28"/>
  <c r="O62" i="28"/>
  <c r="K62" i="28"/>
  <c r="O61" i="28"/>
  <c r="K61" i="28"/>
  <c r="O60" i="28"/>
  <c r="K60" i="28"/>
  <c r="O59" i="28"/>
  <c r="K59" i="28"/>
  <c r="O58" i="28"/>
  <c r="K58" i="28"/>
  <c r="O57" i="28"/>
  <c r="K57" i="28"/>
  <c r="O56" i="28"/>
  <c r="K56" i="28"/>
  <c r="O55" i="28"/>
  <c r="K55" i="28"/>
  <c r="O54" i="28"/>
  <c r="K54" i="28"/>
  <c r="K52" i="28"/>
  <c r="O51" i="28"/>
  <c r="K51" i="28"/>
  <c r="N50" i="28"/>
  <c r="J50" i="28"/>
  <c r="O49" i="28"/>
  <c r="K49" i="28"/>
  <c r="J49" i="28"/>
  <c r="O48" i="28"/>
  <c r="K48" i="28"/>
  <c r="N48" i="28"/>
  <c r="O27" i="28"/>
  <c r="K27" i="28"/>
  <c r="O26" i="28"/>
  <c r="K26" i="28"/>
  <c r="O25" i="28"/>
  <c r="K25" i="28"/>
  <c r="O24" i="28"/>
  <c r="K24" i="28"/>
  <c r="O23" i="28"/>
  <c r="K23" i="28"/>
  <c r="O22" i="28"/>
  <c r="K22" i="28"/>
  <c r="O21" i="28"/>
  <c r="K21" i="28"/>
  <c r="O20" i="28"/>
  <c r="K20" i="28"/>
  <c r="O19" i="28"/>
  <c r="K19" i="28"/>
  <c r="O18" i="28"/>
  <c r="K18" i="28"/>
  <c r="O16" i="28"/>
  <c r="O15" i="28"/>
  <c r="K15" i="28"/>
  <c r="N14" i="28"/>
  <c r="J14" i="28"/>
  <c r="O13" i="28"/>
  <c r="K13" i="28"/>
  <c r="N13" i="28"/>
  <c r="O12" i="28"/>
  <c r="K12" i="28"/>
  <c r="N12" i="28"/>
  <c r="K18" i="21"/>
  <c r="O25" i="21"/>
  <c r="K25" i="21"/>
  <c r="O61" i="21"/>
  <c r="K61" i="21"/>
  <c r="O54" i="21"/>
  <c r="K54" i="21"/>
  <c r="I37" i="31" l="1"/>
  <c r="L37" i="31" s="1"/>
  <c r="K24" i="31"/>
  <c r="L8" i="31" s="1"/>
  <c r="G16" i="6"/>
  <c r="O16" i="6" s="1"/>
  <c r="G17" i="6"/>
  <c r="N48" i="30"/>
  <c r="O51" i="30"/>
  <c r="N49" i="28"/>
  <c r="N11" i="29"/>
  <c r="N47" i="29"/>
  <c r="N48" i="29"/>
  <c r="O15" i="30"/>
  <c r="N11" i="30"/>
  <c r="N47" i="30"/>
  <c r="N12" i="30"/>
  <c r="K15" i="29"/>
  <c r="N12" i="29"/>
  <c r="O52" i="28"/>
  <c r="J12" i="28"/>
  <c r="K51" i="30"/>
  <c r="K51" i="29"/>
  <c r="J13" i="28"/>
  <c r="J48" i="28"/>
  <c r="K16" i="28"/>
  <c r="O27" i="20"/>
  <c r="K27" i="20"/>
  <c r="O27" i="18"/>
  <c r="K27" i="18"/>
  <c r="O27" i="19"/>
  <c r="K27" i="19"/>
  <c r="C13" i="39" l="1"/>
  <c r="K16" i="6"/>
  <c r="O17" i="6"/>
  <c r="K17" i="6"/>
  <c r="O24" i="6"/>
  <c r="O59" i="21"/>
  <c r="K59" i="21"/>
  <c r="O23" i="21"/>
  <c r="K23" i="21"/>
  <c r="O25" i="20"/>
  <c r="K25" i="20"/>
  <c r="O25" i="19"/>
  <c r="K25" i="19"/>
  <c r="O13" i="6"/>
  <c r="O48" i="21"/>
  <c r="K48" i="21"/>
  <c r="J48" i="21"/>
  <c r="K12" i="21"/>
  <c r="O12" i="21"/>
  <c r="N12" i="21"/>
  <c r="F11" i="21"/>
  <c r="N48" i="21" l="1"/>
  <c r="K13" i="6"/>
  <c r="J13" i="6"/>
  <c r="J12" i="21"/>
  <c r="O53" i="21"/>
  <c r="K53" i="21"/>
  <c r="O17" i="21"/>
  <c r="K17" i="21"/>
  <c r="O21" i="21"/>
  <c r="K21" i="21"/>
  <c r="O57" i="21"/>
  <c r="K57" i="21"/>
  <c r="N13" i="6" l="1"/>
  <c r="J12" i="6" l="1"/>
  <c r="O20" i="21" l="1"/>
  <c r="K20" i="21"/>
  <c r="O56" i="21"/>
  <c r="K56" i="21"/>
  <c r="K21" i="19" l="1"/>
  <c r="O21" i="19"/>
  <c r="K21" i="18"/>
  <c r="O21" i="18"/>
  <c r="N13" i="21" l="1"/>
  <c r="J13" i="21"/>
  <c r="N49" i="21"/>
  <c r="J49" i="21"/>
  <c r="N14" i="6" l="1"/>
  <c r="J14" i="6" l="1"/>
  <c r="K14" i="5"/>
  <c r="O13" i="20"/>
  <c r="K13" i="20"/>
  <c r="N13" i="20"/>
  <c r="O12" i="20"/>
  <c r="K12" i="20"/>
  <c r="N12" i="20"/>
  <c r="K13" i="19"/>
  <c r="O13" i="19"/>
  <c r="J13" i="19"/>
  <c r="J14" i="5" l="1"/>
  <c r="O14" i="5"/>
  <c r="J12" i="20"/>
  <c r="J13" i="20"/>
  <c r="N13" i="19"/>
  <c r="K16" i="5"/>
  <c r="O15" i="20"/>
  <c r="K15" i="20"/>
  <c r="N14" i="5" l="1"/>
  <c r="O15" i="19"/>
  <c r="K15" i="19"/>
  <c r="O62" i="21" l="1"/>
  <c r="K62" i="21"/>
  <c r="O60" i="21"/>
  <c r="K60" i="21"/>
  <c r="O58" i="21"/>
  <c r="K58" i="21"/>
  <c r="O55" i="21"/>
  <c r="K55" i="21"/>
  <c r="O51" i="21"/>
  <c r="K51" i="21"/>
  <c r="O50" i="21"/>
  <c r="K50" i="21"/>
  <c r="O47" i="21"/>
  <c r="K47" i="21"/>
  <c r="N47" i="21"/>
  <c r="O26" i="21"/>
  <c r="K26" i="21"/>
  <c r="O24" i="21"/>
  <c r="K24" i="21"/>
  <c r="O22" i="21"/>
  <c r="K22" i="21"/>
  <c r="O19" i="21"/>
  <c r="K19" i="21"/>
  <c r="O14" i="21"/>
  <c r="K14" i="21"/>
  <c r="O11" i="21"/>
  <c r="K11" i="21"/>
  <c r="N11" i="21"/>
  <c r="O22" i="20"/>
  <c r="K22" i="20"/>
  <c r="O21" i="20"/>
  <c r="K21" i="20"/>
  <c r="O20" i="20"/>
  <c r="K20" i="20"/>
  <c r="O18" i="20"/>
  <c r="K18" i="20"/>
  <c r="O17" i="20"/>
  <c r="K17" i="20"/>
  <c r="O16" i="20"/>
  <c r="K16" i="20"/>
  <c r="N14" i="20"/>
  <c r="J14" i="20"/>
  <c r="O11" i="20"/>
  <c r="K11" i="20"/>
  <c r="N11" i="20"/>
  <c r="O22" i="19"/>
  <c r="K22" i="19"/>
  <c r="O20" i="19"/>
  <c r="K20" i="19"/>
  <c r="O18" i="19"/>
  <c r="K18" i="19"/>
  <c r="O17" i="19"/>
  <c r="K17" i="19"/>
  <c r="O16" i="19"/>
  <c r="K16" i="19"/>
  <c r="N14" i="19"/>
  <c r="J14" i="19"/>
  <c r="O12" i="19"/>
  <c r="K12" i="19"/>
  <c r="N12" i="19"/>
  <c r="O11" i="19"/>
  <c r="K11" i="19"/>
  <c r="N11" i="19"/>
  <c r="O22" i="18"/>
  <c r="K22" i="18"/>
  <c r="O12" i="18"/>
  <c r="K12" i="18"/>
  <c r="N12" i="18"/>
  <c r="O11" i="18"/>
  <c r="K11" i="18"/>
  <c r="N11" i="18"/>
  <c r="O25" i="6"/>
  <c r="K12" i="6"/>
  <c r="K18" i="5"/>
  <c r="J11" i="21" l="1"/>
  <c r="J47" i="21"/>
  <c r="J11" i="20"/>
  <c r="J11" i="19"/>
  <c r="J12" i="19"/>
  <c r="J11" i="18"/>
  <c r="J12" i="18"/>
  <c r="O27" i="6" l="1"/>
  <c r="O12" i="6"/>
  <c r="N12" i="6"/>
  <c r="K17" i="5" l="1"/>
  <c r="J15" i="5"/>
  <c r="O13" i="5"/>
  <c r="O12" i="5"/>
  <c r="N15" i="5" l="1"/>
  <c r="K13" i="5"/>
  <c r="K12" i="5"/>
  <c r="J13" i="5"/>
  <c r="N12" i="5"/>
  <c r="J12" i="5" l="1"/>
  <c r="N13" i="5"/>
</calcChain>
</file>

<file path=xl/sharedStrings.xml><?xml version="1.0" encoding="utf-8"?>
<sst xmlns="http://schemas.openxmlformats.org/spreadsheetml/2006/main" count="3405" uniqueCount="114">
  <si>
    <t>EXPEDITION DRILLING AND BLASTING, INC.</t>
  </si>
  <si>
    <t>Bayugan 3, Rosario Agusan del Sur</t>
  </si>
  <si>
    <t>DAILY CONSOLIDATION BLASTER REPORT</t>
  </si>
  <si>
    <t>Location</t>
  </si>
  <si>
    <t>:</t>
  </si>
  <si>
    <t>Date:</t>
  </si>
  <si>
    <t>I.</t>
  </si>
  <si>
    <t>EXPLOSIVE USED</t>
  </si>
  <si>
    <t>REQUISITIONED</t>
  </si>
  <si>
    <t>CONSUMED</t>
  </si>
  <si>
    <t>REQUIRED</t>
  </si>
  <si>
    <t>MINE SITE, CO-O, CONSUELO, BUNAWAN , AGUSAN DEL SUR</t>
  </si>
  <si>
    <t>II.</t>
  </si>
  <si>
    <t>(a)</t>
  </si>
  <si>
    <t>(b)</t>
  </si>
  <si>
    <t>III.</t>
  </si>
  <si>
    <t>ESTIMATED TONNAGE OF BLASTED MATERIAL</t>
  </si>
  <si>
    <t>REMARKS:</t>
  </si>
  <si>
    <t>No. of holes:</t>
  </si>
  <si>
    <t>Depth:</t>
  </si>
  <si>
    <t>LICENSED BLASTER</t>
  </si>
  <si>
    <t>FESAGS PNCO</t>
  </si>
  <si>
    <t>Time of Blasting</t>
  </si>
  <si>
    <t>________________________________________________________________________________________________________________</t>
  </si>
  <si>
    <t>MT. ROCK POWDER CORPORATION</t>
  </si>
  <si>
    <t>CHARGED DRILL HOLES</t>
  </si>
  <si>
    <t>DAILY BLASTER REPORT</t>
  </si>
  <si>
    <t>Shift:</t>
  </si>
  <si>
    <t>PHILSAGA MINING CORPORATION (OPERATION)</t>
  </si>
  <si>
    <t>(KLS)</t>
  </si>
  <si>
    <t>(PCS)</t>
  </si>
  <si>
    <t xml:space="preserve"> </t>
  </si>
  <si>
    <t>5'X11"</t>
  </si>
  <si>
    <t>3X'11"</t>
  </si>
  <si>
    <t>PRIMARY:</t>
  </si>
  <si>
    <t>SECONDARY:</t>
  </si>
  <si>
    <t>1ST SHIFT/2ND SHIFT/3RD SHIFT</t>
  </si>
  <si>
    <t>6:45 AM / 2:45 PM / 10:45 PM</t>
  </si>
  <si>
    <t>pcs</t>
  </si>
  <si>
    <t>meters</t>
  </si>
  <si>
    <t>mtrs</t>
  </si>
  <si>
    <t>kls</t>
  </si>
  <si>
    <t>ENGR. REINNIER JOHN S. SUNICO</t>
  </si>
  <si>
    <t>MINE OPERATIONS MANAGER</t>
  </si>
  <si>
    <t>ENGR. RAFFY D. TORRES</t>
  </si>
  <si>
    <t>FKB15-080917-04562</t>
  </si>
  <si>
    <t>Emulsion  Superdyne 200</t>
  </si>
  <si>
    <t>Emulsion Diagel 150 P</t>
  </si>
  <si>
    <t>Emulsion Senatel Pulsar 215 P</t>
  </si>
  <si>
    <t>Anfo</t>
  </si>
  <si>
    <t>OBC</t>
  </si>
  <si>
    <t>Safety Fuse</t>
  </si>
  <si>
    <t>EXEL Detonator (3.6)</t>
  </si>
  <si>
    <t>EXEL Detonator (2.4)</t>
  </si>
  <si>
    <t>Cordtex (Detonating Cord) 5</t>
  </si>
  <si>
    <t>Cordtex  (Detonating Cord) 6</t>
  </si>
  <si>
    <t>Cordtex (Detonating Cord) 10</t>
  </si>
  <si>
    <t>Cordtex (Detonating Cord) 40</t>
  </si>
  <si>
    <t>Fuse Lighter</t>
  </si>
  <si>
    <t>BILL WIRE</t>
  </si>
  <si>
    <t>EBC</t>
  </si>
  <si>
    <t>Emulsion Emulex 208</t>
  </si>
  <si>
    <t>Emulsion Super Power 132</t>
  </si>
  <si>
    <t>SUPREME Detonator 2.4</t>
  </si>
  <si>
    <t>SUPREME Detonator 3.6</t>
  </si>
  <si>
    <t>NONEL Detonator 2.4</t>
  </si>
  <si>
    <t>NONEL Detonator 3.6</t>
  </si>
  <si>
    <t>Solar Detonating Cord 6</t>
  </si>
  <si>
    <t>Solar Detonating Cord 10</t>
  </si>
  <si>
    <t>Solar Detonating Cord 40</t>
  </si>
  <si>
    <t>Solar  EBC</t>
  </si>
  <si>
    <t xml:space="preserve">                    Depth:</t>
  </si>
  <si>
    <t>PCS/KLS/MTRS.</t>
  </si>
  <si>
    <t>PNP - PPO AGUSAN DEL SUR REPRESENTATIVE</t>
  </si>
  <si>
    <t>Emulsion Super Emulex 208</t>
  </si>
  <si>
    <t>MS 12</t>
  </si>
  <si>
    <t>MS 18</t>
  </si>
  <si>
    <t>Emulsion Superpower 208</t>
  </si>
  <si>
    <t>Emulsion Super Power 150</t>
  </si>
  <si>
    <t>Emulison Senatel Magnum 150</t>
  </si>
  <si>
    <t>Emulsion Super Power 208</t>
  </si>
  <si>
    <t>Emulison Senatel Pulsar 135</t>
  </si>
  <si>
    <t>Prepared by:</t>
  </si>
  <si>
    <t>Witnessed and Checked by:</t>
  </si>
  <si>
    <t>Emulsion  Senatel Pulsar 38</t>
  </si>
  <si>
    <t>EXEL Detonator (4.9)</t>
  </si>
  <si>
    <t>TOTAL</t>
  </si>
  <si>
    <t>DATE</t>
  </si>
  <si>
    <t>S/FUSE</t>
  </si>
  <si>
    <t>SHOCKSTAR Detonator 2.4</t>
  </si>
  <si>
    <t xml:space="preserve">TOTAL </t>
  </si>
  <si>
    <t>PEMS VER M JULAO</t>
  </si>
  <si>
    <t>Cordtex (DCORD I) 5</t>
  </si>
  <si>
    <t>Reviewed by:</t>
  </si>
  <si>
    <t>RAFFY D TORRES</t>
  </si>
  <si>
    <t>MINE EXPLOSIVES MANAGER</t>
  </si>
  <si>
    <t>Noted by:</t>
  </si>
  <si>
    <t>ENGR EARL M SON</t>
  </si>
  <si>
    <t>RONALD V BATERNA</t>
  </si>
  <si>
    <t>FPKB15-090124-1069</t>
  </si>
  <si>
    <t>NEOGEL 200</t>
  </si>
  <si>
    <t>Emulison Senatel Pulsar 38</t>
  </si>
  <si>
    <t>MINE DIVISION MANAGER</t>
  </si>
  <si>
    <t>ELMER L GANZON</t>
  </si>
  <si>
    <t>FPKB15-081325-0107</t>
  </si>
  <si>
    <t>JOHN XERCES C ANTIPUESTO</t>
  </si>
  <si>
    <t>FPKB15-100925-0131</t>
  </si>
  <si>
    <t>EDWIN B BATAL</t>
  </si>
  <si>
    <t>MINE EXPLOSIVES ASST MANAGER</t>
  </si>
  <si>
    <t>JOHNNY U GALENG</t>
  </si>
  <si>
    <t>FPDJ10-111022-0847</t>
  </si>
  <si>
    <t>ROSSELLER P CANTIVEROS</t>
  </si>
  <si>
    <t>FPB08-130416-04156</t>
  </si>
  <si>
    <t>FOR JUNE 1-7,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</si>
</sst>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"/>
    <numFmt numFmtId="166" formatCode="_(* #,##0.0_);_(* \(#,##0.0\);_(* &quot;-&quot;??_);_(@_)"/>
    <numFmt numFmtId="167" formatCode="0.0"/>
    <numFmt numFmtId="168" formatCode="_(* #,##0_);_(* \(#,##0\);_(* &quot;-&quot;??_);_(@_)"/>
    <numFmt numFmtId="169" formatCode="[$-3409]dd\-mmm\-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 Unicode MS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rgb="FFC00000"/>
      <name val="Segoe UI"/>
      <family val="2"/>
    </font>
    <font>
      <sz val="10"/>
      <color rgb="FF002060"/>
      <name val="Segoe UI"/>
      <family val="2"/>
    </font>
    <font>
      <b/>
      <sz val="10"/>
      <color theme="3"/>
      <name val="Segoe U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26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quotePrefix="1" applyFont="1"/>
    <xf numFmtId="0" fontId="5" fillId="0" borderId="0" xfId="0" applyFont="1"/>
    <xf numFmtId="0" fontId="6" fillId="0" borderId="0" xfId="0" applyFont="1"/>
    <xf numFmtId="0" fontId="5" fillId="0" borderId="0" xfId="0" applyFont="1" applyAlignment="1"/>
    <xf numFmtId="0" fontId="6" fillId="0" borderId="1" xfId="0" applyFont="1" applyBorder="1"/>
    <xf numFmtId="0" fontId="8" fillId="0" borderId="0" xfId="0" applyFont="1"/>
    <xf numFmtId="0" fontId="8" fillId="0" borderId="1" xfId="0" applyFont="1" applyBorder="1"/>
    <xf numFmtId="18" fontId="8" fillId="0" borderId="2" xfId="0" applyNumberFormat="1" applyFont="1" applyBorder="1"/>
    <xf numFmtId="0" fontId="8" fillId="0" borderId="2" xfId="0" applyFont="1" applyBorder="1"/>
    <xf numFmtId="0" fontId="1" fillId="0" borderId="0" xfId="0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3" fontId="0" fillId="0" borderId="0" xfId="0" applyNumberFormat="1"/>
    <xf numFmtId="0" fontId="8" fillId="0" borderId="0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2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Border="1"/>
    <xf numFmtId="0" fontId="9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1" fillId="0" borderId="4" xfId="0" applyNumberFormat="1" applyFont="1" applyBorder="1" applyAlignment="1">
      <alignment horizontal="right"/>
    </xf>
    <xf numFmtId="0" fontId="1" fillId="0" borderId="2" xfId="0" applyFont="1" applyBorder="1"/>
    <xf numFmtId="0" fontId="2" fillId="0" borderId="3" xfId="0" applyFont="1" applyBorder="1" applyAlignment="1"/>
    <xf numFmtId="3" fontId="1" fillId="0" borderId="0" xfId="0" applyNumberFormat="1" applyFont="1" applyBorder="1" applyAlignment="1">
      <alignment horizontal="center"/>
    </xf>
    <xf numFmtId="0" fontId="6" fillId="0" borderId="0" xfId="0" applyFont="1" applyBorder="1"/>
    <xf numFmtId="3" fontId="1" fillId="0" borderId="4" xfId="0" applyNumberFormat="1" applyFont="1" applyBorder="1" applyAlignment="1"/>
    <xf numFmtId="0" fontId="9" fillId="0" borderId="0" xfId="0" applyFont="1" applyBorder="1"/>
    <xf numFmtId="3" fontId="1" fillId="0" borderId="1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3" fontId="1" fillId="0" borderId="6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/>
    </xf>
    <xf numFmtId="2" fontId="1" fillId="0" borderId="1" xfId="0" applyNumberFormat="1" applyFont="1" applyBorder="1"/>
    <xf numFmtId="3" fontId="1" fillId="0" borderId="4" xfId="0" applyNumberFormat="1" applyFont="1" applyBorder="1"/>
    <xf numFmtId="166" fontId="1" fillId="0" borderId="4" xfId="1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0" fillId="0" borderId="1" xfId="0" applyFont="1" applyBorder="1" applyAlignment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3" fillId="0" borderId="0" xfId="0" applyFont="1" applyAlignment="1">
      <alignment horizontal="center"/>
    </xf>
    <xf numFmtId="3" fontId="1" fillId="0" borderId="1" xfId="0" applyNumberFormat="1" applyFont="1" applyBorder="1" applyAlignment="1"/>
    <xf numFmtId="3" fontId="1" fillId="0" borderId="2" xfId="0" applyNumberFormat="1" applyFont="1" applyBorder="1" applyAlignment="1"/>
    <xf numFmtId="0" fontId="1" fillId="0" borderId="2" xfId="0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" fillId="0" borderId="1" xfId="1" applyFont="1" applyBorder="1"/>
    <xf numFmtId="14" fontId="0" fillId="0" borderId="0" xfId="0" applyNumberFormat="1"/>
    <xf numFmtId="3" fontId="5" fillId="0" borderId="0" xfId="0" applyNumberFormat="1" applyFont="1"/>
    <xf numFmtId="3" fontId="6" fillId="0" borderId="0" xfId="0" applyNumberFormat="1" applyFont="1"/>
    <xf numFmtId="165" fontId="0" fillId="0" borderId="0" xfId="0" applyNumberFormat="1"/>
    <xf numFmtId="0" fontId="12" fillId="0" borderId="1" xfId="0" applyFont="1" applyBorder="1"/>
    <xf numFmtId="4" fontId="1" fillId="0" borderId="1" xfId="0" applyNumberFormat="1" applyFon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164" fontId="1" fillId="0" borderId="1" xfId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1" xfId="0" applyNumberFormat="1" applyFont="1" applyBorder="1"/>
    <xf numFmtId="0" fontId="13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4" fontId="1" fillId="0" borderId="4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164" fontId="1" fillId="0" borderId="4" xfId="1" applyNumberFormat="1" applyFont="1" applyBorder="1" applyAlignment="1">
      <alignment horizontal="left"/>
    </xf>
    <xf numFmtId="2" fontId="0" fillId="0" borderId="0" xfId="0" applyNumberFormat="1"/>
    <xf numFmtId="167" fontId="0" fillId="0" borderId="0" xfId="0" applyNumberFormat="1"/>
    <xf numFmtId="2" fontId="1" fillId="0" borderId="1" xfId="1" applyNumberFormat="1" applyFont="1" applyBorder="1" applyAlignment="1">
      <alignment horizontal="center"/>
    </xf>
    <xf numFmtId="168" fontId="1" fillId="0" borderId="4" xfId="1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4" fillId="0" borderId="3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4" xfId="0" applyNumberFormat="1" applyFont="1" applyBorder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3" fillId="0" borderId="0" xfId="0" applyFont="1" applyBorder="1"/>
    <xf numFmtId="0" fontId="12" fillId="0" borderId="0" xfId="0" applyFont="1" applyBorder="1"/>
    <xf numFmtId="164" fontId="1" fillId="0" borderId="0" xfId="1" applyFont="1" applyBorder="1"/>
    <xf numFmtId="3" fontId="1" fillId="0" borderId="6" xfId="0" applyNumberFormat="1" applyFont="1" applyBorder="1" applyAlignment="1">
      <alignment horizontal="center"/>
    </xf>
    <xf numFmtId="0" fontId="1" fillId="0" borderId="7" xfId="0" applyFont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5" fontId="1" fillId="0" borderId="8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10" fillId="0" borderId="4" xfId="1" applyNumberFormat="1" applyFont="1" applyBorder="1" applyAlignment="1">
      <alignment horizontal="left"/>
    </xf>
    <xf numFmtId="0" fontId="0" fillId="0" borderId="0" xfId="0" applyFont="1"/>
    <xf numFmtId="0" fontId="15" fillId="0" borderId="0" xfId="0" applyFont="1"/>
    <xf numFmtId="0" fontId="15" fillId="0" borderId="9" xfId="0" applyFont="1" applyBorder="1"/>
    <xf numFmtId="0" fontId="16" fillId="0" borderId="9" xfId="0" applyFont="1" applyBorder="1"/>
    <xf numFmtId="0" fontId="17" fillId="3" borderId="9" xfId="0" applyFont="1" applyFill="1" applyBorder="1" applyAlignment="1"/>
    <xf numFmtId="0" fontId="1" fillId="4" borderId="0" xfId="0" applyFont="1" applyFill="1"/>
    <xf numFmtId="3" fontId="3" fillId="2" borderId="9" xfId="0" applyNumberFormat="1" applyFont="1" applyFill="1" applyBorder="1"/>
    <xf numFmtId="4" fontId="1" fillId="2" borderId="9" xfId="0" applyNumberFormat="1" applyFont="1" applyFill="1" applyBorder="1"/>
    <xf numFmtId="3" fontId="1" fillId="5" borderId="9" xfId="0" applyNumberFormat="1" applyFont="1" applyFill="1" applyBorder="1"/>
    <xf numFmtId="164" fontId="1" fillId="5" borderId="9" xfId="1" applyFont="1" applyFill="1" applyBorder="1"/>
    <xf numFmtId="0" fontId="18" fillId="5" borderId="9" xfId="0" applyFont="1" applyFill="1" applyBorder="1" applyAlignment="1"/>
    <xf numFmtId="3" fontId="15" fillId="5" borderId="9" xfId="0" applyNumberFormat="1" applyFont="1" applyFill="1" applyBorder="1" applyAlignment="1"/>
    <xf numFmtId="3" fontId="15" fillId="5" borderId="9" xfId="0" applyNumberFormat="1" applyFont="1" applyFill="1" applyBorder="1"/>
    <xf numFmtId="4" fontId="15" fillId="5" borderId="9" xfId="0" applyNumberFormat="1" applyFont="1" applyFill="1" applyBorder="1" applyAlignment="1"/>
    <xf numFmtId="4" fontId="15" fillId="5" borderId="9" xfId="0" applyNumberFormat="1" applyFont="1" applyFill="1" applyBorder="1"/>
    <xf numFmtId="0" fontId="18" fillId="5" borderId="9" xfId="0" applyFont="1" applyFill="1" applyBorder="1" applyAlignment="1">
      <alignment horizontal="left"/>
    </xf>
    <xf numFmtId="3" fontId="3" fillId="6" borderId="9" xfId="0" applyNumberFormat="1" applyFont="1" applyFill="1" applyBorder="1"/>
    <xf numFmtId="3" fontId="3" fillId="7" borderId="9" xfId="0" applyNumberFormat="1" applyFont="1" applyFill="1" applyBorder="1"/>
    <xf numFmtId="3" fontId="3" fillId="8" borderId="9" xfId="0" applyNumberFormat="1" applyFont="1" applyFill="1" applyBorder="1"/>
    <xf numFmtId="4" fontId="3" fillId="8" borderId="9" xfId="0" applyNumberFormat="1" applyFont="1" applyFill="1" applyBorder="1"/>
    <xf numFmtId="0" fontId="18" fillId="9" borderId="9" xfId="0" applyFont="1" applyFill="1" applyBorder="1" applyAlignment="1"/>
    <xf numFmtId="3" fontId="15" fillId="9" borderId="9" xfId="0" applyNumberFormat="1" applyFont="1" applyFill="1" applyBorder="1" applyAlignment="1"/>
    <xf numFmtId="3" fontId="15" fillId="9" borderId="9" xfId="0" applyNumberFormat="1" applyFont="1" applyFill="1" applyBorder="1"/>
    <xf numFmtId="4" fontId="15" fillId="9" borderId="9" xfId="0" applyNumberFormat="1" applyFont="1" applyFill="1" applyBorder="1" applyAlignment="1"/>
    <xf numFmtId="4" fontId="15" fillId="9" borderId="9" xfId="0" applyNumberFormat="1" applyFont="1" applyFill="1" applyBorder="1"/>
    <xf numFmtId="0" fontId="18" fillId="10" borderId="9" xfId="0" applyFont="1" applyFill="1" applyBorder="1" applyAlignment="1"/>
    <xf numFmtId="4" fontId="19" fillId="3" borderId="9" xfId="0" applyNumberFormat="1" applyFont="1" applyFill="1" applyBorder="1"/>
    <xf numFmtId="15" fontId="16" fillId="11" borderId="9" xfId="0" applyNumberFormat="1" applyFont="1" applyFill="1" applyBorder="1" applyAlignment="1"/>
    <xf numFmtId="15" fontId="16" fillId="11" borderId="9" xfId="0" applyNumberFormat="1" applyFont="1" applyFill="1" applyBorder="1"/>
    <xf numFmtId="0" fontId="1" fillId="0" borderId="5" xfId="0" applyFont="1" applyFill="1" applyBorder="1" applyAlignment="1">
      <alignment vertical="center"/>
    </xf>
    <xf numFmtId="3" fontId="1" fillId="12" borderId="0" xfId="0" applyNumberFormat="1" applyFont="1" applyFill="1"/>
    <xf numFmtId="4" fontId="3" fillId="7" borderId="9" xfId="0" applyNumberFormat="1" applyFont="1" applyFill="1" applyBorder="1"/>
    <xf numFmtId="18" fontId="8" fillId="0" borderId="0" xfId="0" applyNumberFormat="1" applyFont="1" applyBorder="1"/>
    <xf numFmtId="0" fontId="10" fillId="0" borderId="0" xfId="0" applyFont="1" applyBorder="1" applyAlignment="1">
      <alignment horizontal="center"/>
    </xf>
    <xf numFmtId="0" fontId="2" fillId="13" borderId="1" xfId="0" applyFont="1" applyFill="1" applyBorder="1" applyAlignment="1"/>
    <xf numFmtId="15" fontId="20" fillId="14" borderId="9" xfId="0" applyNumberFormat="1" applyFont="1" applyFill="1" applyBorder="1"/>
    <xf numFmtId="15" fontId="21" fillId="14" borderId="9" xfId="0" applyNumberFormat="1" applyFont="1" applyFill="1" applyBorder="1"/>
    <xf numFmtId="0" fontId="20" fillId="16" borderId="9" xfId="0" applyNumberFormat="1" applyFont="1" applyFill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Border="1"/>
    <xf numFmtId="3" fontId="22" fillId="15" borderId="9" xfId="0" applyNumberFormat="1" applyFont="1" applyFill="1" applyBorder="1"/>
    <xf numFmtId="2" fontId="20" fillId="16" borderId="9" xfId="0" applyNumberFormat="1" applyFont="1" applyFill="1" applyBorder="1"/>
    <xf numFmtId="0" fontId="0" fillId="12" borderId="0" xfId="0" applyFill="1"/>
    <xf numFmtId="4" fontId="1" fillId="12" borderId="0" xfId="0" applyNumberFormat="1" applyFont="1" applyFill="1"/>
    <xf numFmtId="166" fontId="1" fillId="0" borderId="1" xfId="1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3" fontId="1" fillId="0" borderId="0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4" fontId="23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15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" fillId="12" borderId="10" xfId="0" applyNumberFormat="1" applyFont="1" applyFill="1" applyBorder="1" applyAlignment="1">
      <alignment horizontal="center" vertical="center"/>
    </xf>
    <xf numFmtId="3" fontId="1" fillId="12" borderId="5" xfId="0" applyNumberFormat="1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46</xdr:row>
      <xdr:rowOff>95251</xdr:rowOff>
    </xdr:from>
    <xdr:ext cx="532142" cy="32625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SpPr txBox="1"/>
      </xdr:nvSpPr>
      <xdr:spPr>
        <a:xfrm rot="18372061">
          <a:off x="2044754" y="10366322"/>
          <a:ext cx="3262533" cy="53214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8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8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156500</xdr:colOff>
      <xdr:row>42</xdr:row>
      <xdr:rowOff>33485</xdr:rowOff>
    </xdr:from>
    <xdr:ext cx="405239" cy="254552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/>
      </xdr:nvSpPr>
      <xdr:spPr>
        <a:xfrm rot="18372061">
          <a:off x="1705734" y="9409426"/>
          <a:ext cx="2545522" cy="40523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1400" b="0">
            <a:solidFill>
              <a:srgbClr val="FF0000"/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504824</xdr:colOff>
      <xdr:row>1</xdr:row>
      <xdr:rowOff>47625</xdr:rowOff>
    </xdr:from>
    <xdr:ext cx="807080" cy="63722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SpPr txBox="1"/>
      </xdr:nvSpPr>
      <xdr:spPr>
        <a:xfrm rot="18372061">
          <a:off x="665476" y="3068323"/>
          <a:ext cx="6372225" cy="8070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32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3200" b="0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  <xdr:oneCellAnchor>
    <xdr:from>
      <xdr:col>7</xdr:col>
      <xdr:colOff>114300</xdr:colOff>
      <xdr:row>39</xdr:row>
      <xdr:rowOff>9525</xdr:rowOff>
    </xdr:from>
    <xdr:ext cx="807080" cy="63722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SpPr txBox="1"/>
      </xdr:nvSpPr>
      <xdr:spPr>
        <a:xfrm rot="18372061">
          <a:off x="808352" y="10497823"/>
          <a:ext cx="6372225" cy="80708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reflection blurRad="1270000" stA="29000" dist="12700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/>
        <a:p>
          <a:r>
            <a:rPr lang="en-US" sz="32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NO BLASTING OPERATION</a:t>
          </a:r>
          <a:endParaRPr lang="en-US" sz="3200" b="0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82"/>
  <sheetViews>
    <sheetView zoomScaleNormal="100" workbookViewId="0">
      <selection activeCell="H18" sqref="H18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3.140625" customWidth="1"/>
    <col min="6" max="6" width="9.5703125" bestFit="1" customWidth="1"/>
    <col min="7" max="7" width="9.140625" bestFit="1" customWidth="1"/>
    <col min="8" max="8" width="6.7109375" customWidth="1"/>
    <col min="9" max="9" width="3.140625" customWidth="1"/>
    <col min="10" max="10" width="9.28515625" customWidth="1"/>
    <col min="11" max="11" width="8.140625" customWidth="1"/>
    <col min="12" max="12" width="6.7109375" customWidth="1"/>
    <col min="13" max="13" width="2.5703125" style="23" customWidth="1"/>
    <col min="14" max="14" width="9.5703125" bestFit="1" customWidth="1"/>
    <col min="15" max="15" width="8" customWidth="1"/>
    <col min="16" max="16" width="6.7109375" customWidth="1"/>
  </cols>
  <sheetData>
    <row r="1" spans="1:18" s="4" customFormat="1" ht="18.75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18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8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18" s="4" customFormat="1" ht="15.75" x14ac:dyDescent="0.25">
      <c r="M4" s="16"/>
    </row>
    <row r="5" spans="1:18" s="4" customFormat="1" ht="18.75" x14ac:dyDescent="0.3">
      <c r="A5" s="240" t="s">
        <v>2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</row>
    <row r="6" spans="1:18" s="4" customFormat="1" ht="15.75" x14ac:dyDescent="0.25">
      <c r="A6" s="243" t="s">
        <v>113</v>
      </c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</row>
    <row r="7" spans="1:18" s="4" customFormat="1" ht="9" customHeight="1" x14ac:dyDescent="0.3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</row>
    <row r="8" spans="1:18" s="2" customFormat="1" ht="20.100000000000001" customHeight="1" x14ac:dyDescent="0.25">
      <c r="A8" s="2" t="s">
        <v>3</v>
      </c>
      <c r="C8" s="5" t="s">
        <v>4</v>
      </c>
      <c r="D8" s="33" t="s">
        <v>11</v>
      </c>
      <c r="E8" s="33"/>
      <c r="F8" s="33"/>
      <c r="G8" s="33"/>
      <c r="H8" s="33"/>
      <c r="I8" s="33"/>
      <c r="J8" s="33"/>
      <c r="K8" s="33"/>
      <c r="L8" s="42"/>
      <c r="M8" s="22"/>
      <c r="N8" s="242"/>
      <c r="O8" s="242"/>
      <c r="P8" s="35"/>
    </row>
    <row r="9" spans="1:18" ht="20.100000000000001" customHeight="1" x14ac:dyDescent="0.25"/>
    <row r="10" spans="1:18" s="6" customFormat="1" ht="20.100000000000001" customHeight="1" x14ac:dyDescent="0.3">
      <c r="A10" s="6" t="s">
        <v>6</v>
      </c>
      <c r="B10" s="248" t="s">
        <v>7</v>
      </c>
      <c r="C10" s="248"/>
      <c r="D10" s="248"/>
      <c r="F10" s="245" t="s">
        <v>8</v>
      </c>
      <c r="G10" s="245"/>
      <c r="H10" s="245"/>
      <c r="I10" s="17"/>
      <c r="J10" s="245" t="s">
        <v>9</v>
      </c>
      <c r="K10" s="245"/>
      <c r="L10" s="245"/>
      <c r="M10" s="17"/>
      <c r="N10" s="245" t="s">
        <v>10</v>
      </c>
      <c r="O10" s="245"/>
      <c r="P10" s="245"/>
    </row>
    <row r="11" spans="1:18" s="6" customFormat="1" ht="20.100000000000001" customHeight="1" x14ac:dyDescent="0.3">
      <c r="B11" s="19"/>
      <c r="C11" s="19"/>
      <c r="D11" s="19"/>
      <c r="F11" s="18" t="s">
        <v>29</v>
      </c>
      <c r="G11" s="246" t="s">
        <v>30</v>
      </c>
      <c r="H11" s="247"/>
      <c r="I11" s="17"/>
      <c r="J11" s="18" t="s">
        <v>29</v>
      </c>
      <c r="K11" s="246" t="s">
        <v>30</v>
      </c>
      <c r="L11" s="247"/>
      <c r="M11" s="17"/>
      <c r="N11" s="18" t="s">
        <v>29</v>
      </c>
      <c r="O11" s="246" t="s">
        <v>30</v>
      </c>
      <c r="P11" s="247"/>
    </row>
    <row r="12" spans="1:18" ht="20.100000000000001" customHeight="1" x14ac:dyDescent="0.25">
      <c r="B12" s="244" t="s">
        <v>101</v>
      </c>
      <c r="C12" s="244"/>
      <c r="D12" s="244"/>
      <c r="E12" s="2"/>
      <c r="F12" s="79">
        <f>G12/38*25</f>
        <v>0</v>
      </c>
      <c r="G12" s="27">
        <f>'1-2'!G11+'1-2'!G47+'3-4'!G11+'3-4'!G49+'5-6'!G11+'5-6'!G49+'7.'!G11+'7.'!G49+'8'!G11+'8'!G50+'9'!G11+'9'!G49+'10'!G11+'10'!G49</f>
        <v>0</v>
      </c>
      <c r="H12" s="43" t="s">
        <v>38</v>
      </c>
      <c r="I12" s="14"/>
      <c r="J12" s="79">
        <f t="shared" ref="J12:K14" si="0">F12</f>
        <v>0</v>
      </c>
      <c r="K12" s="36">
        <f t="shared" si="0"/>
        <v>0</v>
      </c>
      <c r="L12" s="43" t="s">
        <v>38</v>
      </c>
      <c r="N12" s="79">
        <f t="shared" ref="N12:O14" si="1">F12</f>
        <v>0</v>
      </c>
      <c r="O12" s="41">
        <f t="shared" si="1"/>
        <v>0</v>
      </c>
      <c r="P12" s="43" t="s">
        <v>38</v>
      </c>
    </row>
    <row r="13" spans="1:18" ht="20.100000000000001" customHeight="1" x14ac:dyDescent="0.25">
      <c r="B13" s="244" t="s">
        <v>81</v>
      </c>
      <c r="C13" s="244"/>
      <c r="D13" s="244"/>
      <c r="E13" s="2"/>
      <c r="F13" s="30">
        <f>G13/135*25</f>
        <v>0</v>
      </c>
      <c r="G13" s="27">
        <f>'1-2'!G12+'1-2'!G48+'3-4'!G12+'3-4'!G50+'5-6'!G12+'5-6'!G50+'7.'!G12+'7.'!G50+'8'!G12+'8'!G51+'9'!G12+'9'!G50+'10'!G12+'10'!G50</f>
        <v>0</v>
      </c>
      <c r="H13" s="44" t="s">
        <v>38</v>
      </c>
      <c r="I13" s="14"/>
      <c r="J13" s="30">
        <f t="shared" si="0"/>
        <v>0</v>
      </c>
      <c r="K13" s="36">
        <f t="shared" si="0"/>
        <v>0</v>
      </c>
      <c r="L13" s="44" t="s">
        <v>38</v>
      </c>
      <c r="N13" s="30">
        <f t="shared" si="1"/>
        <v>0</v>
      </c>
      <c r="O13" s="41">
        <f t="shared" si="1"/>
        <v>0</v>
      </c>
      <c r="P13" s="44" t="s">
        <v>38</v>
      </c>
    </row>
    <row r="14" spans="1:18" ht="20.100000000000001" customHeight="1" x14ac:dyDescent="0.25">
      <c r="B14" s="244" t="s">
        <v>48</v>
      </c>
      <c r="C14" s="244"/>
      <c r="D14" s="244"/>
      <c r="E14" s="2"/>
      <c r="F14" s="30">
        <f>G14/215*25</f>
        <v>1087.3255813953488</v>
      </c>
      <c r="G14" s="27">
        <f>'1-2'!G13+'1-2'!G49+'3-4'!G13+'3-4'!G51+'5-6'!G13+'5-6'!G51+'7.'!G13+'7.'!G51+'8'!G13+'8'!G52+'9'!G13+'9'!G51+'10'!G13+'10'!G51</f>
        <v>9351</v>
      </c>
      <c r="H14" s="44" t="s">
        <v>38</v>
      </c>
      <c r="I14" s="14"/>
      <c r="J14" s="82">
        <f t="shared" si="0"/>
        <v>1087.3255813953488</v>
      </c>
      <c r="K14" s="36">
        <f t="shared" si="0"/>
        <v>9351</v>
      </c>
      <c r="L14" s="44" t="s">
        <v>38</v>
      </c>
      <c r="M14" s="81"/>
      <c r="N14" s="82">
        <f t="shared" si="1"/>
        <v>1087.3255813953488</v>
      </c>
      <c r="O14" s="41">
        <f t="shared" si="1"/>
        <v>9351</v>
      </c>
      <c r="P14" s="44" t="s">
        <v>38</v>
      </c>
    </row>
    <row r="15" spans="1:18" ht="20.100000000000001" customHeight="1" x14ac:dyDescent="0.25">
      <c r="B15" s="244" t="s">
        <v>49</v>
      </c>
      <c r="C15" s="244"/>
      <c r="D15" s="244"/>
      <c r="E15" s="2"/>
      <c r="F15" s="169">
        <f>'1-2'!F14+'1-2'!F50+'3-4'!F14+'3-4'!F52+'5-6'!F14+'5-6'!F52+'7.'!F14+'7.'!F52+'8'!F14+'8'!F53+'9'!F14+'9'!F52+'10'!F14+'10'!F52</f>
        <v>7769.8</v>
      </c>
      <c r="G15" s="36"/>
      <c r="H15" s="44"/>
      <c r="I15" s="14"/>
      <c r="J15" s="169">
        <f>F15</f>
        <v>7769.8</v>
      </c>
      <c r="K15" s="27"/>
      <c r="L15" s="44"/>
      <c r="N15" s="169">
        <f>F15</f>
        <v>7769.8</v>
      </c>
      <c r="O15" s="41"/>
      <c r="P15" s="44"/>
      <c r="Q15" s="80"/>
      <c r="R15" s="80"/>
    </row>
    <row r="16" spans="1:18" ht="20.100000000000001" customHeight="1" x14ac:dyDescent="0.25">
      <c r="B16" s="57" t="s">
        <v>50</v>
      </c>
      <c r="C16" s="57"/>
      <c r="D16" s="57"/>
      <c r="E16" s="2"/>
      <c r="F16" s="34"/>
      <c r="G16" s="27">
        <f>'1-2'!G15+'1-2'!G51+'3-4'!G15+'3-4'!G53+'5-6'!G15+'5-6'!G53+'7.'!G15+'7.'!G53+'8'!G15+'8'!G54+'9'!G15+'9'!G53+'10'!G15+'10'!G53</f>
        <v>632</v>
      </c>
      <c r="H16" s="44" t="s">
        <v>38</v>
      </c>
      <c r="I16" s="14"/>
      <c r="J16" s="34"/>
      <c r="K16" s="36">
        <f t="shared" ref="K16:K28" si="2">G16</f>
        <v>632</v>
      </c>
      <c r="L16" s="44" t="s">
        <v>38</v>
      </c>
      <c r="N16" s="34"/>
      <c r="O16" s="41">
        <f t="shared" ref="O16:O23" si="3">G16</f>
        <v>632</v>
      </c>
      <c r="P16" s="44" t="s">
        <v>38</v>
      </c>
      <c r="Q16" s="20"/>
      <c r="R16" s="20"/>
    </row>
    <row r="17" spans="1:20" ht="20.100000000000001" customHeight="1" x14ac:dyDescent="0.25">
      <c r="B17" s="57" t="s">
        <v>51</v>
      </c>
      <c r="C17" s="57"/>
      <c r="D17" s="57"/>
      <c r="E17" s="2"/>
      <c r="F17" s="34"/>
      <c r="G17" s="112">
        <f>'1-2'!G16+'1-2'!G52+'3-4'!G16+'3-4'!G54+'5-6'!G16+'5-6'!G54+'7.'!G16+'7.'!G54+'8'!G16+'8'!G55+'9'!G16+'9'!G54</f>
        <v>1535.7600000000002</v>
      </c>
      <c r="H17" s="43" t="s">
        <v>39</v>
      </c>
      <c r="I17" s="14"/>
      <c r="J17" s="34"/>
      <c r="K17" s="90">
        <f t="shared" si="2"/>
        <v>1535.7600000000002</v>
      </c>
      <c r="L17" s="43" t="s">
        <v>39</v>
      </c>
      <c r="N17" s="34"/>
      <c r="O17" s="113">
        <f t="shared" si="3"/>
        <v>1535.7600000000002</v>
      </c>
      <c r="P17" s="43" t="s">
        <v>39</v>
      </c>
    </row>
    <row r="18" spans="1:20" ht="20.100000000000001" customHeight="1" x14ac:dyDescent="0.25">
      <c r="B18" s="57" t="s">
        <v>52</v>
      </c>
      <c r="C18" s="57"/>
      <c r="D18" s="57"/>
      <c r="E18" s="2"/>
      <c r="F18" s="55"/>
      <c r="G18" s="27">
        <f>'1-2'!G17+'1-2'!G53+'3-4'!G17+'3-4'!G55+'5-6'!G17+'5-6'!G55+'7.'!G17+'7.'!G55+'8'!G17+'8'!G56+'9'!G17+'9'!G55+'10'!G17+'10'!G55</f>
        <v>580</v>
      </c>
      <c r="H18" s="43" t="s">
        <v>38</v>
      </c>
      <c r="I18" s="14"/>
      <c r="J18" s="55"/>
      <c r="K18" s="36">
        <f t="shared" si="2"/>
        <v>580</v>
      </c>
      <c r="L18" s="43" t="s">
        <v>38</v>
      </c>
      <c r="M18" s="56"/>
      <c r="N18" s="55"/>
      <c r="O18" s="41">
        <f t="shared" si="3"/>
        <v>580</v>
      </c>
      <c r="P18" s="43" t="s">
        <v>38</v>
      </c>
    </row>
    <row r="19" spans="1:20" ht="20.100000000000001" customHeight="1" x14ac:dyDescent="0.25">
      <c r="B19" s="57" t="s">
        <v>53</v>
      </c>
      <c r="C19" s="57"/>
      <c r="D19" s="114"/>
      <c r="E19" s="2"/>
      <c r="F19" s="34"/>
      <c r="G19" s="27">
        <f>'1-2'!G18+'1-2'!G54+'3-4'!G18+'3-4'!G56+'5-6'!G18+'5-6'!G56+'7.'!G18+'7.'!G56+'8'!G18+'8'!G57+'9'!G18+'9'!G56+'10'!G18+'10'!G56</f>
        <v>10535</v>
      </c>
      <c r="H19" s="43" t="s">
        <v>38</v>
      </c>
      <c r="I19" s="14"/>
      <c r="J19" s="34"/>
      <c r="K19" s="36">
        <f t="shared" si="2"/>
        <v>10535</v>
      </c>
      <c r="L19" s="43" t="s">
        <v>38</v>
      </c>
      <c r="N19" s="34"/>
      <c r="O19" s="41">
        <f t="shared" si="3"/>
        <v>10535</v>
      </c>
      <c r="P19" s="43" t="s">
        <v>38</v>
      </c>
    </row>
    <row r="20" spans="1:20" ht="20.100000000000001" customHeight="1" x14ac:dyDescent="0.25">
      <c r="B20" s="57" t="s">
        <v>85</v>
      </c>
      <c r="C20" s="57"/>
      <c r="D20" s="175"/>
      <c r="E20" s="2"/>
      <c r="F20" s="176"/>
      <c r="G20" s="27">
        <f>'1-2'!G19+'1-2'!G55+'3-4'!G19+'3-4'!G57+'5-6'!G19+'5-6'!G57+'7.'!G19+'7.'!G58+'8'!G19+'8'!G58+'9'!G19+'9'!G57+'10'!G19+'10'!G57</f>
        <v>0</v>
      </c>
      <c r="H20" s="43" t="s">
        <v>38</v>
      </c>
      <c r="I20" s="14"/>
      <c r="J20" s="176"/>
      <c r="K20" s="36">
        <f t="shared" ref="K20" si="4">G20</f>
        <v>0</v>
      </c>
      <c r="L20" s="43" t="s">
        <v>38</v>
      </c>
      <c r="M20" s="177"/>
      <c r="N20" s="176"/>
      <c r="O20" s="41">
        <f t="shared" si="3"/>
        <v>0</v>
      </c>
      <c r="P20" s="43" t="s">
        <v>38</v>
      </c>
    </row>
    <row r="21" spans="1:20" ht="20.100000000000001" customHeight="1" x14ac:dyDescent="0.25">
      <c r="B21" s="57" t="s">
        <v>54</v>
      </c>
      <c r="C21" s="57"/>
      <c r="D21" s="57"/>
      <c r="E21" s="2"/>
      <c r="F21" s="34"/>
      <c r="G21" s="27">
        <f>'1-2'!G20+'1-2'!G56+'3-4'!G20+'3-4'!G58+'5-6'!G20+'5-6'!G58+'7.'!G20+'7.'!G58+'8'!G20+'8'!G58+'9'!G20+'9'!G57+'10'!G19+'10'!G57</f>
        <v>2350</v>
      </c>
      <c r="H21" s="45" t="s">
        <v>39</v>
      </c>
      <c r="I21" s="14"/>
      <c r="J21" s="34"/>
      <c r="K21" s="36">
        <f t="shared" si="2"/>
        <v>2350</v>
      </c>
      <c r="L21" s="45" t="s">
        <v>39</v>
      </c>
      <c r="N21" s="34"/>
      <c r="O21" s="41">
        <f t="shared" si="3"/>
        <v>2350</v>
      </c>
      <c r="P21" s="45" t="s">
        <v>39</v>
      </c>
    </row>
    <row r="22" spans="1:20" ht="20.100000000000001" customHeight="1" x14ac:dyDescent="0.25">
      <c r="B22" s="236" t="s">
        <v>92</v>
      </c>
      <c r="C22" s="114"/>
      <c r="D22" s="114"/>
      <c r="E22" s="2"/>
      <c r="F22" s="3"/>
      <c r="G22" s="27">
        <f>'1-2'!G21+'1-2'!G57+'3-4'!G21+'3-4'!G59+'5-6'!G21+'5-6'!G59+'7.'!G21+'7.'!G59+'8'!G22+'8'!G60+'9'!G22+'9'!G59+'10'!G21+'10'!G59</f>
        <v>0</v>
      </c>
      <c r="H22" s="45" t="s">
        <v>39</v>
      </c>
      <c r="I22" s="14"/>
      <c r="J22" s="87"/>
      <c r="K22" s="36">
        <f t="shared" si="2"/>
        <v>0</v>
      </c>
      <c r="L22" s="45" t="s">
        <v>39</v>
      </c>
      <c r="M22" s="86"/>
      <c r="N22" s="87"/>
      <c r="O22" s="41">
        <f t="shared" si="3"/>
        <v>0</v>
      </c>
      <c r="P22" s="45" t="s">
        <v>39</v>
      </c>
    </row>
    <row r="23" spans="1:20" ht="20.100000000000001" customHeight="1" x14ac:dyDescent="0.25">
      <c r="B23" s="57" t="s">
        <v>57</v>
      </c>
      <c r="C23" s="57"/>
      <c r="D23" s="57"/>
      <c r="E23" s="2"/>
      <c r="F23" s="3"/>
      <c r="G23" s="27">
        <f>'1-2'!G22+'1-2'!G58+'3-4'!G22+'3-4'!G60+'5-6'!G22+'5-6'!G60+'7.'!G22+'7.'!G60+'8'!G23+'8'!G61+'9'!G23+'9'!G60+'10'!G22+'10'!G60</f>
        <v>0</v>
      </c>
      <c r="H23" s="45" t="s">
        <v>39</v>
      </c>
      <c r="I23" s="14"/>
      <c r="J23" s="87"/>
      <c r="K23" s="36">
        <f t="shared" si="2"/>
        <v>0</v>
      </c>
      <c r="L23" s="45" t="s">
        <v>39</v>
      </c>
      <c r="M23" s="86"/>
      <c r="N23" s="87"/>
      <c r="O23" s="41">
        <f t="shared" si="3"/>
        <v>0</v>
      </c>
      <c r="P23" s="45" t="s">
        <v>39</v>
      </c>
    </row>
    <row r="24" spans="1:20" ht="19.5" customHeight="1" x14ac:dyDescent="0.25">
      <c r="B24" s="57" t="s">
        <v>75</v>
      </c>
      <c r="C24" s="57"/>
      <c r="D24" s="57"/>
      <c r="E24" s="2"/>
      <c r="F24" s="3"/>
      <c r="G24" s="27">
        <f>'1-2'!G23+'1-2'!G59+'3-4'!G23+'3-4'!G61+'5-6'!G23+'5-6'!G61+'7.'!G23+'7.'!G61+'8'!G24+'8'!G62+'9'!G24+'9'!G61+'10'!G23+'10'!G61</f>
        <v>0</v>
      </c>
      <c r="H24" s="37" t="s">
        <v>39</v>
      </c>
      <c r="I24" s="14"/>
      <c r="J24" s="162"/>
      <c r="K24" s="36">
        <v>0</v>
      </c>
      <c r="L24" s="37" t="s">
        <v>39</v>
      </c>
      <c r="M24" s="164"/>
      <c r="N24" s="162"/>
      <c r="O24" s="36">
        <v>0</v>
      </c>
      <c r="P24" s="37" t="s">
        <v>39</v>
      </c>
    </row>
    <row r="25" spans="1:20" ht="19.5" customHeight="1" x14ac:dyDescent="0.25">
      <c r="B25" s="163" t="s">
        <v>76</v>
      </c>
      <c r="C25" s="163"/>
      <c r="D25" s="163"/>
      <c r="E25" s="2"/>
      <c r="F25" s="3"/>
      <c r="G25" s="27">
        <f>'1-2'!G24+'1-2'!G60+'3-4'!G24+'3-4'!G62+'5-6'!G24+'5-6'!G62+'7.'!G24+'7.'!G62+'8'!G25+'8'!G63+'9'!G25+'9'!G62+'10'!G24+'10'!G62</f>
        <v>0</v>
      </c>
      <c r="H25" s="37" t="s">
        <v>39</v>
      </c>
      <c r="I25" s="14"/>
      <c r="J25" s="162"/>
      <c r="K25" s="36">
        <v>0</v>
      </c>
      <c r="L25" s="37" t="s">
        <v>39</v>
      </c>
      <c r="M25" s="164"/>
      <c r="N25" s="162"/>
      <c r="O25" s="36">
        <v>0</v>
      </c>
      <c r="P25" s="37" t="s">
        <v>39</v>
      </c>
    </row>
    <row r="26" spans="1:20" ht="20.100000000000001" customHeight="1" x14ac:dyDescent="0.25">
      <c r="B26" s="57" t="s">
        <v>58</v>
      </c>
      <c r="C26" s="57"/>
      <c r="D26" s="57"/>
      <c r="E26" s="2"/>
      <c r="F26" s="3"/>
      <c r="G26" s="27">
        <f>'1-2'!G25+'1-2'!G61+'3-4'!G25+'3-4'!G63+'5-6'!G25+'5-6'!G63+'7.'!G25+'7.'!G63+'8'!G26+'8'!G64+'9'!G24+'9'!G63+'10'!G25+'10'!G63</f>
        <v>2</v>
      </c>
      <c r="H26" s="45" t="s">
        <v>38</v>
      </c>
      <c r="I26" s="14"/>
      <c r="J26" s="3"/>
      <c r="K26" s="36">
        <f t="shared" si="2"/>
        <v>2</v>
      </c>
      <c r="L26" s="45" t="s">
        <v>39</v>
      </c>
      <c r="M26" s="52"/>
      <c r="N26" s="3"/>
      <c r="O26" s="41">
        <f>G26</f>
        <v>2</v>
      </c>
      <c r="P26" s="45" t="s">
        <v>39</v>
      </c>
    </row>
    <row r="27" spans="1:20" ht="20.100000000000001" customHeight="1" x14ac:dyDescent="0.25">
      <c r="B27" s="114" t="s">
        <v>59</v>
      </c>
      <c r="C27" s="114"/>
      <c r="D27" s="114"/>
      <c r="E27" s="2"/>
      <c r="F27" s="3"/>
      <c r="G27" s="27">
        <f>'1-2'!G26+'1-2'!G62+'3-4'!G26+'3-4'!G64+'5-6'!G26+'5-6'!G64+'7.'!G26+'7.'!G64+'8'!G27+'8'!G65+'9'!G25+'9'!G64+'10'!G26+'10'!G64</f>
        <v>26</v>
      </c>
      <c r="H27" s="45" t="s">
        <v>38</v>
      </c>
      <c r="I27" s="14"/>
      <c r="J27" s="3"/>
      <c r="K27" s="36">
        <f t="shared" si="2"/>
        <v>26</v>
      </c>
      <c r="L27" s="45" t="s">
        <v>39</v>
      </c>
      <c r="M27" s="106"/>
      <c r="N27" s="3"/>
      <c r="O27" s="41">
        <f>G27</f>
        <v>26</v>
      </c>
      <c r="P27" s="45" t="s">
        <v>39</v>
      </c>
    </row>
    <row r="28" spans="1:20" ht="20.100000000000001" customHeight="1" x14ac:dyDescent="0.25">
      <c r="B28" s="57" t="s">
        <v>60</v>
      </c>
      <c r="C28" s="57"/>
      <c r="D28" s="57"/>
      <c r="E28" s="2"/>
      <c r="F28" s="3"/>
      <c r="G28" s="27">
        <f>'1-2'!G27+'1-2'!G63+'3-4'!G27+'3-4'!G65+'5-6'!G27+'5-6'!G65+'7.'!G27+'7.'!G65+'8'!G28+'8'!G66+'9'!G28+'9'!G65+'10'!G27+'10'!G65</f>
        <v>28</v>
      </c>
      <c r="H28" s="45" t="s">
        <v>38</v>
      </c>
      <c r="I28" s="14"/>
      <c r="J28" s="3"/>
      <c r="K28" s="36">
        <f t="shared" si="2"/>
        <v>28</v>
      </c>
      <c r="L28" s="45" t="s">
        <v>39</v>
      </c>
      <c r="N28" s="3"/>
      <c r="O28" s="41">
        <f>G28</f>
        <v>28</v>
      </c>
      <c r="P28" s="45" t="s">
        <v>39</v>
      </c>
    </row>
    <row r="29" spans="1:20" ht="12" customHeight="1" x14ac:dyDescent="0.25"/>
    <row r="30" spans="1:20" s="6" customFormat="1" ht="23.25" customHeight="1" x14ac:dyDescent="0.3">
      <c r="A30" s="6" t="s">
        <v>12</v>
      </c>
      <c r="B30" s="245" t="s">
        <v>25</v>
      </c>
      <c r="C30" s="245"/>
      <c r="D30" s="245"/>
      <c r="M30" s="17"/>
    </row>
    <row r="31" spans="1:20" ht="20.100000000000001" customHeight="1" x14ac:dyDescent="0.25">
      <c r="C31" s="26" t="s">
        <v>13</v>
      </c>
      <c r="D31" s="31" t="s">
        <v>34</v>
      </c>
      <c r="E31" s="250">
        <f>'1-2'!E30:F30+'1-2'!E66:F66+'3-4'!E30:F30+'3-4'!E68:F68+'5-6'!E30:F30+'5-6'!E68:F68+'7.'!E30:F30+'7.'!E68:F68+'8'!E31:F31+'8'!E68:F68+'9'!E31:F31+'9'!E67:F67+'10'!E30:F30+'10'!E67:F67</f>
        <v>450</v>
      </c>
      <c r="F31" s="251"/>
      <c r="G31" s="249" t="s">
        <v>18</v>
      </c>
      <c r="H31" s="249"/>
      <c r="I31" s="249"/>
      <c r="J31" s="250">
        <f>'1-2'!J30:K30+'1-2'!J66:K66+'3-4'!J30:K30+'3-4'!J68:K68+'5-6'!J30:K30+'5-6'!J68:K68+'7.'!J30:K30+'7.'!J68:K68+'8'!J31:K31+'8'!J68:K68+'9'!J31:K31+'9'!J67:K67+'10'!J30:K30+'10'!J67:K67</f>
        <v>11010</v>
      </c>
      <c r="K31" s="251"/>
      <c r="L31" s="22" t="s">
        <v>19</v>
      </c>
      <c r="M31" s="22"/>
      <c r="N31" s="250" t="s">
        <v>32</v>
      </c>
      <c r="O31" s="250"/>
      <c r="P31" s="39"/>
      <c r="Q31" s="20"/>
      <c r="R31" s="20"/>
      <c r="T31" s="209">
        <f>J31+J32</f>
        <v>11115</v>
      </c>
    </row>
    <row r="32" spans="1:20" ht="20.100000000000001" customHeight="1" x14ac:dyDescent="0.25">
      <c r="C32" s="26" t="s">
        <v>14</v>
      </c>
      <c r="D32" s="31" t="s">
        <v>35</v>
      </c>
      <c r="E32" s="250">
        <f>'1-2'!E31:F31+'1-2'!E67:F67+'3-4'!E31:F31+'3-4'!E69:F69+'5-6'!E31:F31+'5-6'!E69:F69+'7.'!E31:F31+'7.'!E69:F69+'8'!E32:F32+'8'!E69:F69+'9'!E32:F32+'9'!E68:F68+'10'!E31:F31+'10'!E68:F68</f>
        <v>16</v>
      </c>
      <c r="F32" s="251"/>
      <c r="G32" s="249" t="s">
        <v>18</v>
      </c>
      <c r="H32" s="249"/>
      <c r="I32" s="249"/>
      <c r="J32" s="250">
        <f>'1-2'!J31:K31+'1-2'!J67:K67+'3-4'!J31:K31+'3-4'!J69:K69+'5-6'!J31:K31+'5-6'!J69:K69+'7.'!J31:K31+'7.'!J69:K69+'8'!J32:K32+'8'!J69:K69+'9'!J32:K32+'9'!J68:K68+'10'!J31:K31+'10'!J68:K68</f>
        <v>105</v>
      </c>
      <c r="K32" s="251"/>
      <c r="L32" s="22" t="s">
        <v>19</v>
      </c>
      <c r="M32" s="22"/>
      <c r="N32" s="252" t="s">
        <v>33</v>
      </c>
      <c r="O32" s="252"/>
      <c r="P32" s="35"/>
    </row>
    <row r="33" spans="1:16" ht="20.100000000000001" customHeight="1" x14ac:dyDescent="0.25">
      <c r="K33" s="20"/>
      <c r="L33" s="20"/>
    </row>
    <row r="34" spans="1:16" s="7" customFormat="1" ht="20.100000000000001" customHeight="1" x14ac:dyDescent="0.3">
      <c r="A34" s="7" t="s">
        <v>15</v>
      </c>
      <c r="B34" s="8" t="s">
        <v>16</v>
      </c>
      <c r="C34" s="8"/>
      <c r="D34" s="8"/>
      <c r="E34" s="6"/>
      <c r="F34" s="6"/>
      <c r="M34" s="24"/>
    </row>
    <row r="35" spans="1:16" s="7" customFormat="1" ht="20.100000000000001" customHeight="1" x14ac:dyDescent="0.3">
      <c r="B35" s="6" t="s">
        <v>17</v>
      </c>
      <c r="D35" s="9"/>
      <c r="E35" s="9"/>
      <c r="F35" s="9"/>
      <c r="G35" s="9"/>
      <c r="H35" s="9"/>
      <c r="I35" s="9"/>
      <c r="J35" s="9"/>
      <c r="K35" s="9"/>
      <c r="L35" s="9"/>
      <c r="M35" s="25"/>
      <c r="N35" s="9"/>
      <c r="O35" s="9"/>
      <c r="P35" s="40"/>
    </row>
    <row r="36" spans="1:16" ht="20.100000000000001" customHeight="1" x14ac:dyDescent="0.25">
      <c r="D36" s="1"/>
      <c r="E36" s="1"/>
      <c r="F36" s="1"/>
      <c r="G36" s="1"/>
      <c r="H36" s="1"/>
      <c r="I36" s="1"/>
      <c r="J36" s="1"/>
      <c r="K36" s="1"/>
      <c r="L36" s="1"/>
      <c r="M36" s="15"/>
      <c r="N36" s="1"/>
      <c r="O36" s="1"/>
      <c r="P36" s="32"/>
    </row>
    <row r="37" spans="1:16" ht="51.75" customHeight="1" x14ac:dyDescent="0.25">
      <c r="D37" s="32"/>
      <c r="E37" s="32"/>
      <c r="F37" s="32"/>
      <c r="G37" s="32"/>
      <c r="H37" s="32"/>
      <c r="I37" s="32"/>
      <c r="J37" s="32"/>
      <c r="K37" s="32"/>
      <c r="L37" s="32"/>
      <c r="M37" s="109"/>
      <c r="N37" s="32"/>
      <c r="O37" s="32"/>
      <c r="P37" s="32"/>
    </row>
    <row r="38" spans="1:16" ht="20.100000000000001" customHeight="1" x14ac:dyDescent="0.25">
      <c r="A38" t="s">
        <v>82</v>
      </c>
      <c r="F38" t="s">
        <v>83</v>
      </c>
      <c r="L38" t="s">
        <v>93</v>
      </c>
      <c r="M38" s="238"/>
    </row>
    <row r="39" spans="1:16" ht="20.100000000000001" customHeight="1" x14ac:dyDescent="0.25">
      <c r="M39" s="238"/>
    </row>
    <row r="40" spans="1:16" ht="19.5" customHeight="1" x14ac:dyDescent="0.25">
      <c r="M40" s="238"/>
    </row>
    <row r="41" spans="1:16" ht="20.100000000000001" customHeight="1" x14ac:dyDescent="0.25">
      <c r="A41" s="253" t="s">
        <v>98</v>
      </c>
      <c r="B41" s="253"/>
      <c r="C41" s="253"/>
      <c r="D41" s="253"/>
      <c r="E41" s="160"/>
      <c r="F41" s="170" t="s">
        <v>91</v>
      </c>
      <c r="G41" s="161"/>
      <c r="H41" s="161"/>
      <c r="I41" s="161"/>
      <c r="J41" s="161" t="s">
        <v>31</v>
      </c>
      <c r="K41" s="160"/>
      <c r="L41" s="253" t="s">
        <v>94</v>
      </c>
      <c r="M41" s="253"/>
      <c r="N41" s="253"/>
      <c r="O41" s="253"/>
      <c r="P41" s="1"/>
    </row>
    <row r="42" spans="1:16" s="4" customFormat="1" ht="20.100000000000001" customHeight="1" x14ac:dyDescent="0.25">
      <c r="A42" s="255" t="s">
        <v>20</v>
      </c>
      <c r="B42" s="255"/>
      <c r="C42" s="255"/>
      <c r="D42" s="255"/>
      <c r="E42" s="160"/>
      <c r="F42" s="172" t="s">
        <v>73</v>
      </c>
      <c r="G42" s="172"/>
      <c r="H42" s="172"/>
      <c r="I42" s="172"/>
      <c r="J42" s="172"/>
      <c r="K42" s="172"/>
      <c r="L42" s="172" t="s">
        <v>95</v>
      </c>
      <c r="M42" s="172"/>
      <c r="N42" s="172"/>
      <c r="O42" s="172"/>
      <c r="P42" s="171"/>
    </row>
    <row r="43" spans="1:16" ht="20.100000000000001" customHeight="1" x14ac:dyDescent="0.25">
      <c r="A43" s="254" t="s">
        <v>99</v>
      </c>
      <c r="B43" s="254"/>
      <c r="C43" s="254"/>
      <c r="D43" s="254"/>
      <c r="E43" s="160"/>
      <c r="F43" s="160"/>
      <c r="G43" s="160"/>
      <c r="H43" s="160"/>
      <c r="I43" s="160"/>
      <c r="J43" s="160"/>
      <c r="K43" s="160"/>
      <c r="M43" s="171"/>
    </row>
    <row r="44" spans="1:16" ht="20.100000000000001" customHeight="1" x14ac:dyDescent="0.25">
      <c r="A44" s="237"/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M44" s="238"/>
    </row>
    <row r="45" spans="1:16" ht="20.100000000000001" customHeight="1" x14ac:dyDescent="0.25">
      <c r="A45" s="237"/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M45" s="238"/>
    </row>
    <row r="46" spans="1:16" ht="20.100000000000001" customHeight="1" x14ac:dyDescent="0.25">
      <c r="A46" t="s">
        <v>96</v>
      </c>
      <c r="B46" s="238"/>
      <c r="E46" s="237"/>
      <c r="F46" s="237"/>
      <c r="G46" s="237"/>
      <c r="H46" s="237"/>
      <c r="I46" s="237"/>
      <c r="J46" s="237"/>
      <c r="K46" s="237"/>
      <c r="M46" s="238"/>
    </row>
    <row r="47" spans="1:16" ht="20.100000000000001" customHeight="1" x14ac:dyDescent="0.25">
      <c r="B47" s="238"/>
      <c r="E47" s="237"/>
      <c r="F47" s="237"/>
      <c r="G47" s="237"/>
      <c r="H47" s="237"/>
      <c r="I47" s="237"/>
      <c r="J47" s="237"/>
      <c r="K47" s="237"/>
      <c r="M47" s="238"/>
    </row>
    <row r="48" spans="1:16" ht="20.100000000000001" customHeight="1" x14ac:dyDescent="0.25">
      <c r="B48" s="238"/>
      <c r="E48" s="237"/>
      <c r="F48" s="237"/>
      <c r="G48" s="237"/>
      <c r="H48" s="237"/>
      <c r="I48" s="237"/>
      <c r="J48" s="237"/>
      <c r="K48" s="237"/>
      <c r="M48" s="238"/>
    </row>
    <row r="49" spans="1:16" ht="20.100000000000001" customHeight="1" x14ac:dyDescent="0.25">
      <c r="A49" s="253" t="s">
        <v>97</v>
      </c>
      <c r="B49" s="253"/>
      <c r="C49" s="253"/>
      <c r="D49" s="253"/>
      <c r="E49" s="237"/>
      <c r="F49" s="237"/>
      <c r="G49" s="237"/>
      <c r="H49" s="237"/>
      <c r="I49" s="237"/>
      <c r="J49" s="237"/>
      <c r="K49" s="237"/>
      <c r="M49" s="238"/>
    </row>
    <row r="50" spans="1:16" ht="20.100000000000001" customHeight="1" x14ac:dyDescent="0.25">
      <c r="A50" s="172" t="s">
        <v>102</v>
      </c>
      <c r="B50" s="173"/>
      <c r="C50" s="173"/>
      <c r="D50" s="173"/>
      <c r="E50" s="237"/>
      <c r="F50" s="237"/>
      <c r="G50" s="237"/>
      <c r="H50" s="237"/>
      <c r="I50" s="237"/>
      <c r="J50" s="237"/>
      <c r="K50" s="237"/>
      <c r="M50" s="238"/>
    </row>
    <row r="51" spans="1:16" ht="20.100000000000001" customHeight="1" x14ac:dyDescent="0.25">
      <c r="A51" s="237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M51" s="238"/>
    </row>
    <row r="52" spans="1:16" ht="20.100000000000001" customHeight="1" x14ac:dyDescent="0.25">
      <c r="A52" s="237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M52" s="238"/>
    </row>
    <row r="53" spans="1:16" ht="20.100000000000001" customHeight="1" x14ac:dyDescent="0.25">
      <c r="A53" s="237"/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M53" s="238"/>
    </row>
    <row r="54" spans="1:16" ht="20.100000000000001" customHeight="1" x14ac:dyDescent="0.25">
      <c r="A54" s="237"/>
      <c r="B54" s="237"/>
      <c r="C54" s="237"/>
      <c r="D54" s="237"/>
      <c r="E54" s="237"/>
      <c r="F54" s="237"/>
      <c r="G54" s="237"/>
      <c r="H54" s="237"/>
      <c r="I54" s="237"/>
      <c r="J54" s="237"/>
      <c r="K54" s="237"/>
      <c r="M54" s="238"/>
    </row>
    <row r="55" spans="1:1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"/>
      <c r="N55" s="1"/>
      <c r="O55" s="1"/>
      <c r="P55" s="1"/>
    </row>
    <row r="82" ht="9.75" customHeight="1" x14ac:dyDescent="0.25"/>
  </sheetData>
  <mergeCells count="31">
    <mergeCell ref="A49:D49"/>
    <mergeCell ref="A43:D43"/>
    <mergeCell ref="A41:D41"/>
    <mergeCell ref="A42:D42"/>
    <mergeCell ref="L41:O41"/>
    <mergeCell ref="B14:D14"/>
    <mergeCell ref="B30:D30"/>
    <mergeCell ref="G31:I31"/>
    <mergeCell ref="J31:K31"/>
    <mergeCell ref="E31:F31"/>
    <mergeCell ref="G32:I32"/>
    <mergeCell ref="J32:K32"/>
    <mergeCell ref="E32:F32"/>
    <mergeCell ref="B15:D15"/>
    <mergeCell ref="N31:O31"/>
    <mergeCell ref="N32:O32"/>
    <mergeCell ref="B13:D13"/>
    <mergeCell ref="N10:P10"/>
    <mergeCell ref="F10:H10"/>
    <mergeCell ref="G11:H11"/>
    <mergeCell ref="K11:L11"/>
    <mergeCell ref="O11:P11"/>
    <mergeCell ref="J10:L10"/>
    <mergeCell ref="B10:D10"/>
    <mergeCell ref="B12:D12"/>
    <mergeCell ref="A1:P1"/>
    <mergeCell ref="A2:P2"/>
    <mergeCell ref="A3:P3"/>
    <mergeCell ref="A5:P5"/>
    <mergeCell ref="N8:O8"/>
    <mergeCell ref="A6:P6"/>
  </mergeCells>
  <pageMargins left="0.7" right="0.2" top="0.19" bottom="0.2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74"/>
  <sheetViews>
    <sheetView topLeftCell="A40" zoomScaleNormal="100" workbookViewId="0">
      <selection activeCell="E65" sqref="E65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42578125" customWidth="1"/>
    <col min="7" max="7" width="8.28515625" customWidth="1"/>
    <col min="8" max="8" width="6.7109375" customWidth="1"/>
    <col min="9" max="9" width="3.42578125" customWidth="1"/>
    <col min="10" max="10" width="8.42578125" customWidth="1"/>
    <col min="11" max="11" width="7.85546875" customWidth="1"/>
    <col min="12" max="12" width="6.7109375" customWidth="1"/>
    <col min="13" max="13" width="6.28515625" style="70" customWidth="1"/>
    <col min="14" max="14" width="8" customWidth="1"/>
    <col min="15" max="15" width="8.5703125" customWidth="1"/>
    <col min="16" max="16" width="6.7109375" customWidth="1"/>
    <col min="21" max="21" width="9.7109375" bestFit="1" customWidth="1"/>
  </cols>
  <sheetData>
    <row r="1" spans="1:19" s="4" customFormat="1" ht="18.75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19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9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19" s="4" customFormat="1" ht="15.75" x14ac:dyDescent="0.25">
      <c r="M4" s="69"/>
    </row>
    <row r="5" spans="1:19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</row>
    <row r="6" spans="1:19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v>46174</v>
      </c>
      <c r="O6" s="256"/>
      <c r="P6" s="256"/>
    </row>
    <row r="7" spans="1:19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2" t="s">
        <v>27</v>
      </c>
      <c r="N7" s="53" t="s">
        <v>36</v>
      </c>
      <c r="O7" s="53"/>
      <c r="P7" s="72"/>
    </row>
    <row r="9" spans="1:19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64"/>
      <c r="J9" s="245" t="s">
        <v>9</v>
      </c>
      <c r="K9" s="245"/>
      <c r="L9" s="245"/>
      <c r="M9" s="64"/>
      <c r="N9" s="245" t="s">
        <v>10</v>
      </c>
      <c r="O9" s="245"/>
      <c r="P9" s="245"/>
    </row>
    <row r="10" spans="1:19" s="6" customFormat="1" ht="18.75" x14ac:dyDescent="0.3">
      <c r="B10" s="63"/>
      <c r="C10" s="63"/>
      <c r="D10" s="63"/>
      <c r="F10" s="62" t="s">
        <v>29</v>
      </c>
      <c r="G10" s="246" t="s">
        <v>30</v>
      </c>
      <c r="H10" s="247"/>
      <c r="I10" s="64"/>
      <c r="J10" s="62" t="s">
        <v>29</v>
      </c>
      <c r="K10" s="246" t="s">
        <v>30</v>
      </c>
      <c r="L10" s="247"/>
      <c r="M10" s="64"/>
      <c r="N10" s="62" t="s">
        <v>29</v>
      </c>
      <c r="O10" s="246" t="s">
        <v>30</v>
      </c>
      <c r="P10" s="247"/>
    </row>
    <row r="11" spans="1:19" x14ac:dyDescent="0.25">
      <c r="B11" s="244" t="str">
        <f>'EXPEDITION CONSOLIDATION'!B12:D12</f>
        <v>Emulison Senatel Pulsar 38</v>
      </c>
      <c r="C11" s="244"/>
      <c r="D11" s="244"/>
      <c r="E11" s="2"/>
      <c r="F11" s="79">
        <f>G11/38*25</f>
        <v>0</v>
      </c>
      <c r="G11" s="36"/>
      <c r="H11" s="45" t="s">
        <v>38</v>
      </c>
      <c r="I11" s="14"/>
      <c r="J11" s="79">
        <f t="shared" ref="J11:K13" si="0">F11</f>
        <v>0</v>
      </c>
      <c r="K11" s="36">
        <f t="shared" si="0"/>
        <v>0</v>
      </c>
      <c r="L11" s="45" t="s">
        <v>38</v>
      </c>
      <c r="M11" s="130"/>
      <c r="N11" s="79">
        <f t="shared" ref="N11:O13" si="1">F11</f>
        <v>0</v>
      </c>
      <c r="O11" s="36">
        <f t="shared" si="1"/>
        <v>0</v>
      </c>
      <c r="P11" s="45" t="s">
        <v>38</v>
      </c>
    </row>
    <row r="12" spans="1:19" x14ac:dyDescent="0.25">
      <c r="B12" s="244" t="str">
        <f>'EXPEDITION CONSOLIDATION'!B13:D13</f>
        <v>Emulison Senatel Pulsar 135</v>
      </c>
      <c r="C12" s="244"/>
      <c r="D12" s="244"/>
      <c r="E12" s="2"/>
      <c r="F12" s="30">
        <f>G12/135*25</f>
        <v>0</v>
      </c>
      <c r="G12" s="36"/>
      <c r="H12" s="45" t="s">
        <v>38</v>
      </c>
      <c r="I12" s="14"/>
      <c r="J12" s="30">
        <f t="shared" si="0"/>
        <v>0</v>
      </c>
      <c r="K12" s="36">
        <f t="shared" si="0"/>
        <v>0</v>
      </c>
      <c r="L12" s="45" t="s">
        <v>38</v>
      </c>
      <c r="M12" s="130"/>
      <c r="N12" s="30">
        <f t="shared" si="1"/>
        <v>0</v>
      </c>
      <c r="O12" s="36">
        <f t="shared" si="1"/>
        <v>0</v>
      </c>
      <c r="P12" s="3" t="s">
        <v>38</v>
      </c>
    </row>
    <row r="13" spans="1:19" x14ac:dyDescent="0.25">
      <c r="B13" s="244" t="str">
        <f>'EXPEDITION CONSOLIDATION'!B14:D14</f>
        <v>Emulsion Senatel Pulsar 215 P</v>
      </c>
      <c r="C13" s="244"/>
      <c r="D13" s="244"/>
      <c r="E13" s="2"/>
      <c r="F13" s="30">
        <f>G13/215*25</f>
        <v>128.48837209302326</v>
      </c>
      <c r="G13" s="36">
        <v>1105</v>
      </c>
      <c r="H13" s="45" t="s">
        <v>38</v>
      </c>
      <c r="I13" s="14"/>
      <c r="J13" s="30">
        <f t="shared" si="0"/>
        <v>128.48837209302326</v>
      </c>
      <c r="K13" s="36">
        <f t="shared" si="0"/>
        <v>1105</v>
      </c>
      <c r="L13" s="45" t="s">
        <v>38</v>
      </c>
      <c r="M13" s="130"/>
      <c r="N13" s="30">
        <f t="shared" si="1"/>
        <v>128.48837209302326</v>
      </c>
      <c r="O13" s="36">
        <f t="shared" si="1"/>
        <v>1105</v>
      </c>
      <c r="P13" s="3" t="s">
        <v>38</v>
      </c>
    </row>
    <row r="14" spans="1:19" x14ac:dyDescent="0.25">
      <c r="B14" s="244" t="str">
        <f>'EXPEDITION CONSOLIDATION'!B15:D15</f>
        <v>Anfo</v>
      </c>
      <c r="C14" s="244"/>
      <c r="D14" s="244"/>
      <c r="E14" s="2"/>
      <c r="F14" s="79">
        <v>981</v>
      </c>
      <c r="G14" s="36"/>
      <c r="H14" s="45"/>
      <c r="I14" s="14"/>
      <c r="J14" s="79">
        <f>F14</f>
        <v>981</v>
      </c>
      <c r="K14" s="36"/>
      <c r="L14" s="45"/>
      <c r="M14" s="130"/>
      <c r="N14" s="79">
        <f>F14</f>
        <v>981</v>
      </c>
      <c r="O14" s="36"/>
      <c r="P14" s="3"/>
    </row>
    <row r="15" spans="1:19" x14ac:dyDescent="0.25">
      <c r="B15" s="244" t="str">
        <f>'EXPEDITION CONSOLIDATION'!B16:D16</f>
        <v>OBC</v>
      </c>
      <c r="C15" s="244"/>
      <c r="D15" s="244"/>
      <c r="E15" s="2"/>
      <c r="F15" s="128"/>
      <c r="G15" s="47">
        <v>80</v>
      </c>
      <c r="H15" s="46" t="s">
        <v>38</v>
      </c>
      <c r="I15" s="14"/>
      <c r="J15" s="127"/>
      <c r="K15" s="36">
        <f t="shared" ref="K15:K27" si="2">G15</f>
        <v>80</v>
      </c>
      <c r="L15" s="45" t="s">
        <v>38</v>
      </c>
      <c r="M15" s="130"/>
      <c r="N15" s="127"/>
      <c r="O15" s="36">
        <f t="shared" ref="O15:O27" si="3">G15</f>
        <v>80</v>
      </c>
      <c r="P15" s="3" t="s">
        <v>38</v>
      </c>
      <c r="S15" s="77"/>
    </row>
    <row r="16" spans="1:19" x14ac:dyDescent="0.25">
      <c r="B16" s="244" t="str">
        <f>'EXPEDITION CONSOLIDATION'!B17:D17</f>
        <v>Safety Fuse</v>
      </c>
      <c r="C16" s="244"/>
      <c r="D16" s="244"/>
      <c r="E16" s="2"/>
      <c r="F16" s="129"/>
      <c r="G16" s="94">
        <f>G15*2.43</f>
        <v>194.4</v>
      </c>
      <c r="H16" s="45" t="s">
        <v>39</v>
      </c>
      <c r="I16" s="14"/>
      <c r="J16" s="127"/>
      <c r="K16" s="90">
        <f t="shared" si="2"/>
        <v>194.4</v>
      </c>
      <c r="L16" s="45" t="s">
        <v>39</v>
      </c>
      <c r="M16" s="130"/>
      <c r="N16" s="127"/>
      <c r="O16" s="90">
        <f t="shared" si="3"/>
        <v>194.4</v>
      </c>
      <c r="P16" s="3" t="s">
        <v>39</v>
      </c>
      <c r="S16" s="77"/>
    </row>
    <row r="17" spans="1:21" x14ac:dyDescent="0.25">
      <c r="B17" s="244" t="str">
        <f>'EXPEDITION CONSOLIDATION'!B18:D18</f>
        <v>EXEL Detonator (3.6)</v>
      </c>
      <c r="C17" s="244"/>
      <c r="D17" s="244"/>
      <c r="E17" s="2"/>
      <c r="F17" s="129"/>
      <c r="G17" s="36">
        <v>98</v>
      </c>
      <c r="H17" s="45" t="s">
        <v>38</v>
      </c>
      <c r="I17" s="14"/>
      <c r="J17" s="127"/>
      <c r="K17" s="36">
        <f t="shared" si="2"/>
        <v>98</v>
      </c>
      <c r="L17" s="45" t="s">
        <v>38</v>
      </c>
      <c r="M17" s="130"/>
      <c r="N17" s="127"/>
      <c r="O17" s="36">
        <f t="shared" si="3"/>
        <v>98</v>
      </c>
      <c r="P17" s="3" t="s">
        <v>38</v>
      </c>
    </row>
    <row r="18" spans="1:21" x14ac:dyDescent="0.25">
      <c r="B18" s="244" t="str">
        <f>'EXPEDITION CONSOLIDATION'!B19:D19</f>
        <v>EXEL Detonator (2.4)</v>
      </c>
      <c r="C18" s="244"/>
      <c r="D18" s="244"/>
      <c r="E18" s="2"/>
      <c r="F18" s="129"/>
      <c r="G18" s="36">
        <v>1267</v>
      </c>
      <c r="H18" s="45" t="s">
        <v>38</v>
      </c>
      <c r="I18" s="14"/>
      <c r="J18" s="127"/>
      <c r="K18" s="36">
        <f t="shared" si="2"/>
        <v>1267</v>
      </c>
      <c r="L18" s="45" t="s">
        <v>38</v>
      </c>
      <c r="M18" s="130"/>
      <c r="N18" s="127"/>
      <c r="O18" s="36">
        <f t="shared" si="3"/>
        <v>1267</v>
      </c>
      <c r="P18" s="3" t="s">
        <v>38</v>
      </c>
      <c r="S18" s="20"/>
    </row>
    <row r="19" spans="1:21" x14ac:dyDescent="0.25">
      <c r="B19" s="244" t="str">
        <f>'EXPEDITION CONSOLIDATION'!B20:D20</f>
        <v>EXEL Detonator (4.9)</v>
      </c>
      <c r="C19" s="244"/>
      <c r="D19" s="244"/>
      <c r="E19" s="2"/>
      <c r="F19" s="176"/>
      <c r="G19" s="36"/>
      <c r="H19" s="45" t="s">
        <v>38</v>
      </c>
      <c r="I19" s="14"/>
      <c r="J19" s="174"/>
      <c r="K19" s="36">
        <f t="shared" ref="K19" si="4">G19</f>
        <v>0</v>
      </c>
      <c r="L19" s="45" t="s">
        <v>38</v>
      </c>
      <c r="M19" s="177"/>
      <c r="N19" s="174"/>
      <c r="O19" s="36">
        <f t="shared" ref="O19" si="5">G19</f>
        <v>0</v>
      </c>
      <c r="P19" s="3" t="s">
        <v>38</v>
      </c>
      <c r="S19" s="20"/>
    </row>
    <row r="20" spans="1:21" x14ac:dyDescent="0.25">
      <c r="B20" s="244" t="str">
        <f>'EXPEDITION CONSOLIDATION'!B21:D21</f>
        <v>Cordtex (Detonating Cord) 5</v>
      </c>
      <c r="C20" s="244"/>
      <c r="D20" s="244"/>
      <c r="E20" s="2"/>
      <c r="F20" s="129"/>
      <c r="G20" s="48">
        <v>392</v>
      </c>
      <c r="H20" s="45" t="s">
        <v>39</v>
      </c>
      <c r="I20" s="14"/>
      <c r="J20" s="127"/>
      <c r="K20" s="36">
        <f t="shared" si="2"/>
        <v>392</v>
      </c>
      <c r="L20" s="45" t="s">
        <v>39</v>
      </c>
      <c r="M20" s="130"/>
      <c r="N20" s="127"/>
      <c r="O20" s="36">
        <f t="shared" si="3"/>
        <v>392</v>
      </c>
      <c r="P20" s="3" t="s">
        <v>39</v>
      </c>
    </row>
    <row r="21" spans="1:21" x14ac:dyDescent="0.25">
      <c r="B21" s="244" t="str">
        <f>'EXPEDITION CONSOLIDATION'!B22:D22</f>
        <v>Cordtex (DCORD I) 5</v>
      </c>
      <c r="C21" s="244"/>
      <c r="D21" s="244"/>
      <c r="E21" s="2"/>
      <c r="F21" s="3"/>
      <c r="G21" s="36"/>
      <c r="H21" s="45" t="s">
        <v>39</v>
      </c>
      <c r="I21" s="14"/>
      <c r="J21" s="127"/>
      <c r="K21" s="36">
        <f t="shared" si="2"/>
        <v>0</v>
      </c>
      <c r="L21" s="45" t="s">
        <v>39</v>
      </c>
      <c r="M21" s="130"/>
      <c r="N21" s="127"/>
      <c r="O21" s="36">
        <f t="shared" si="3"/>
        <v>0</v>
      </c>
      <c r="P21" s="3" t="s">
        <v>39</v>
      </c>
      <c r="S21" s="20"/>
    </row>
    <row r="22" spans="1:21" x14ac:dyDescent="0.25">
      <c r="B22" s="244" t="str">
        <f>'EXPEDITION CONSOLIDATION'!B23:D23</f>
        <v>Cordtex (Detonating Cord) 40</v>
      </c>
      <c r="C22" s="244"/>
      <c r="D22" s="244"/>
      <c r="E22" s="2"/>
      <c r="F22" s="3"/>
      <c r="G22" s="36"/>
      <c r="H22" s="45" t="s">
        <v>39</v>
      </c>
      <c r="I22" s="14"/>
      <c r="J22" s="127"/>
      <c r="K22" s="36">
        <f t="shared" si="2"/>
        <v>0</v>
      </c>
      <c r="L22" s="45" t="s">
        <v>39</v>
      </c>
      <c r="M22" s="130"/>
      <c r="N22" s="127"/>
      <c r="O22" s="36">
        <f t="shared" si="3"/>
        <v>0</v>
      </c>
      <c r="P22" s="3" t="s">
        <v>39</v>
      </c>
      <c r="S22" s="20"/>
    </row>
    <row r="23" spans="1:21" x14ac:dyDescent="0.25">
      <c r="B23" s="244" t="str">
        <f>'EXPEDITION CONSOLIDATION'!B24:D24</f>
        <v>MS 12</v>
      </c>
      <c r="C23" s="244"/>
      <c r="D23" s="244"/>
      <c r="E23" s="2"/>
      <c r="F23" s="3"/>
      <c r="G23" s="36"/>
      <c r="H23" s="45" t="s">
        <v>39</v>
      </c>
      <c r="I23" s="14"/>
      <c r="J23" s="162"/>
      <c r="K23" s="36">
        <f t="shared" si="2"/>
        <v>0</v>
      </c>
      <c r="L23" s="45" t="s">
        <v>39</v>
      </c>
      <c r="M23" s="164"/>
      <c r="N23" s="162"/>
      <c r="O23" s="36">
        <f t="shared" si="3"/>
        <v>0</v>
      </c>
      <c r="P23" s="3" t="s">
        <v>39</v>
      </c>
      <c r="S23" s="20"/>
    </row>
    <row r="24" spans="1:21" x14ac:dyDescent="0.25">
      <c r="B24" s="244" t="str">
        <f>'EXPEDITION CONSOLIDATION'!B25:D25</f>
        <v>MS 18</v>
      </c>
      <c r="C24" s="244"/>
      <c r="D24" s="244"/>
      <c r="E24" s="2"/>
      <c r="F24" s="3"/>
      <c r="G24" s="36"/>
      <c r="H24" s="45" t="s">
        <v>39</v>
      </c>
      <c r="I24" s="14"/>
      <c r="J24" s="162"/>
      <c r="K24" s="36">
        <f>G24</f>
        <v>0</v>
      </c>
      <c r="L24" s="45" t="s">
        <v>39</v>
      </c>
      <c r="M24" s="164"/>
      <c r="N24" s="162"/>
      <c r="O24" s="36">
        <f t="shared" si="3"/>
        <v>0</v>
      </c>
      <c r="P24" s="3" t="s">
        <v>39</v>
      </c>
      <c r="S24" s="20"/>
    </row>
    <row r="25" spans="1:21" x14ac:dyDescent="0.25">
      <c r="B25" s="244" t="str">
        <f>'EXPEDITION CONSOLIDATION'!B26:D26</f>
        <v>Fuse Lighter</v>
      </c>
      <c r="C25" s="244"/>
      <c r="D25" s="244"/>
      <c r="E25" s="2"/>
      <c r="F25" s="3"/>
      <c r="G25" s="36"/>
      <c r="H25" s="37" t="s">
        <v>38</v>
      </c>
      <c r="I25" s="14"/>
      <c r="J25" s="127"/>
      <c r="K25" s="36">
        <f t="shared" si="2"/>
        <v>0</v>
      </c>
      <c r="L25" s="37" t="s">
        <v>38</v>
      </c>
      <c r="M25" s="130"/>
      <c r="N25" s="127"/>
      <c r="O25" s="36">
        <f t="shared" si="3"/>
        <v>0</v>
      </c>
      <c r="P25" s="37" t="s">
        <v>38</v>
      </c>
    </row>
    <row r="26" spans="1:21" x14ac:dyDescent="0.25">
      <c r="B26" s="244" t="str">
        <f>'EXPEDITION CONSOLIDATION'!B27:D27</f>
        <v>BILL WIRE</v>
      </c>
      <c r="C26" s="244"/>
      <c r="D26" s="244"/>
      <c r="E26" s="2"/>
      <c r="F26" s="3"/>
      <c r="G26" s="36"/>
      <c r="H26" s="37" t="s">
        <v>38</v>
      </c>
      <c r="I26" s="14"/>
      <c r="J26" s="127"/>
      <c r="K26" s="36">
        <f t="shared" si="2"/>
        <v>0</v>
      </c>
      <c r="L26" s="37" t="s">
        <v>38</v>
      </c>
      <c r="M26" s="130"/>
      <c r="N26" s="127"/>
      <c r="O26" s="36">
        <f t="shared" si="3"/>
        <v>0</v>
      </c>
      <c r="P26" s="37" t="s">
        <v>38</v>
      </c>
    </row>
    <row r="27" spans="1:21" x14ac:dyDescent="0.25">
      <c r="B27" s="244" t="str">
        <f>'EXPEDITION CONSOLIDATION'!B28:D28</f>
        <v>EBC</v>
      </c>
      <c r="C27" s="244"/>
      <c r="D27" s="244"/>
      <c r="E27" s="2"/>
      <c r="F27" s="3"/>
      <c r="G27" s="36">
        <v>2</v>
      </c>
      <c r="H27" s="37" t="s">
        <v>38</v>
      </c>
      <c r="I27" s="14"/>
      <c r="J27" s="127"/>
      <c r="K27" s="36">
        <f t="shared" si="2"/>
        <v>2</v>
      </c>
      <c r="L27" s="37" t="s">
        <v>38</v>
      </c>
      <c r="M27" s="130"/>
      <c r="N27" s="127"/>
      <c r="O27" s="36">
        <f t="shared" si="3"/>
        <v>2</v>
      </c>
      <c r="P27" s="37" t="s">
        <v>38</v>
      </c>
    </row>
    <row r="28" spans="1:21" ht="11.25" customHeight="1" x14ac:dyDescent="0.25">
      <c r="M28" s="130"/>
      <c r="S28" s="20"/>
    </row>
    <row r="29" spans="1:21" s="6" customFormat="1" ht="18.75" x14ac:dyDescent="0.3">
      <c r="A29" s="6" t="s">
        <v>12</v>
      </c>
      <c r="B29" s="245" t="s">
        <v>25</v>
      </c>
      <c r="C29" s="245"/>
      <c r="D29" s="245"/>
      <c r="M29" s="123"/>
      <c r="S29" s="75"/>
    </row>
    <row r="30" spans="1:21" x14ac:dyDescent="0.25">
      <c r="C30" s="65" t="s">
        <v>13</v>
      </c>
      <c r="D30" s="31" t="s">
        <v>34</v>
      </c>
      <c r="E30" s="250">
        <v>54</v>
      </c>
      <c r="F30" s="250"/>
      <c r="G30" s="249" t="s">
        <v>18</v>
      </c>
      <c r="H30" s="249"/>
      <c r="I30" s="126"/>
      <c r="J30" s="250">
        <f>G17+G18+G19-J31</f>
        <v>1365</v>
      </c>
      <c r="K30" s="250"/>
      <c r="L30" s="39"/>
      <c r="M30" s="22" t="s">
        <v>19</v>
      </c>
      <c r="N30" s="250" t="s">
        <v>32</v>
      </c>
      <c r="O30" s="250"/>
      <c r="P30" s="127"/>
      <c r="R30" s="20"/>
      <c r="S30" s="20"/>
      <c r="T30" s="20"/>
      <c r="U30" s="74"/>
    </row>
    <row r="31" spans="1:21" x14ac:dyDescent="0.25">
      <c r="C31" s="65" t="s">
        <v>14</v>
      </c>
      <c r="D31" s="31" t="s">
        <v>35</v>
      </c>
      <c r="E31" s="252">
        <v>0</v>
      </c>
      <c r="F31" s="252"/>
      <c r="G31" s="249" t="s">
        <v>18</v>
      </c>
      <c r="H31" s="249"/>
      <c r="I31" s="126"/>
      <c r="J31" s="257">
        <v>0</v>
      </c>
      <c r="K31" s="252"/>
      <c r="L31" s="131"/>
      <c r="M31" s="22" t="s">
        <v>19</v>
      </c>
      <c r="N31" s="252" t="s">
        <v>33</v>
      </c>
      <c r="O31" s="252"/>
      <c r="P31" s="128"/>
      <c r="R31" s="20"/>
      <c r="S31" s="20"/>
      <c r="T31" s="20"/>
    </row>
    <row r="32" spans="1:21" x14ac:dyDescent="0.25">
      <c r="J32" s="20"/>
      <c r="K32" s="20"/>
      <c r="L32" s="20"/>
      <c r="Q32" s="20"/>
      <c r="R32" s="20"/>
      <c r="S32" s="20"/>
      <c r="T32" s="20"/>
    </row>
    <row r="33" spans="1:18" s="7" customFormat="1" ht="18.75" x14ac:dyDescent="0.3">
      <c r="A33" s="7" t="s">
        <v>15</v>
      </c>
      <c r="B33" s="8" t="s">
        <v>16</v>
      </c>
      <c r="C33" s="8"/>
      <c r="D33" s="8"/>
      <c r="E33" s="6"/>
      <c r="F33" s="6"/>
      <c r="M33" s="24"/>
    </row>
    <row r="34" spans="1:18" s="7" customFormat="1" ht="18.75" x14ac:dyDescent="0.3">
      <c r="B34" s="6" t="s">
        <v>17</v>
      </c>
      <c r="D34" s="9"/>
      <c r="E34" s="9"/>
      <c r="F34" s="9"/>
      <c r="G34" s="9"/>
      <c r="H34" s="9"/>
      <c r="I34" s="9"/>
      <c r="J34" s="9"/>
      <c r="K34" s="9"/>
      <c r="L34" s="9"/>
      <c r="M34" s="25"/>
      <c r="N34" s="9"/>
      <c r="O34" s="9"/>
      <c r="P34" s="9"/>
      <c r="R34" s="76"/>
    </row>
    <row r="35" spans="1:18" s="7" customFormat="1" ht="18.75" x14ac:dyDescent="0.3">
      <c r="B35" s="6"/>
      <c r="D35" s="40"/>
      <c r="E35" s="40"/>
      <c r="F35" s="40"/>
      <c r="G35" s="40"/>
      <c r="H35" s="40"/>
      <c r="I35" s="40"/>
      <c r="J35" s="40"/>
      <c r="K35" s="40"/>
      <c r="L35" s="40"/>
      <c r="M35" s="111"/>
      <c r="N35" s="40"/>
      <c r="O35" s="40"/>
      <c r="P35" s="40"/>
      <c r="R35" s="76"/>
    </row>
    <row r="36" spans="1:18" ht="3.75" customHeight="1" x14ac:dyDescent="0.25"/>
    <row r="37" spans="1:18" s="4" customFormat="1" ht="18.75" x14ac:dyDescent="0.3">
      <c r="A37" s="240" t="s">
        <v>0</v>
      </c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</row>
    <row r="38" spans="1:18" s="4" customFormat="1" ht="15.75" x14ac:dyDescent="0.25">
      <c r="A38" s="241" t="s">
        <v>28</v>
      </c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</row>
    <row r="39" spans="1:18" s="4" customFormat="1" ht="15.75" x14ac:dyDescent="0.25">
      <c r="A39" s="241" t="s">
        <v>1</v>
      </c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</row>
    <row r="40" spans="1:18" s="4" customFormat="1" ht="13.5" customHeight="1" x14ac:dyDescent="0.25">
      <c r="M40" s="69"/>
    </row>
    <row r="41" spans="1:18" s="4" customFormat="1" ht="18.75" x14ac:dyDescent="0.3">
      <c r="A41" s="240" t="s">
        <v>26</v>
      </c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</row>
    <row r="42" spans="1:18" s="2" customFormat="1" x14ac:dyDescent="0.25">
      <c r="A42" s="2" t="s">
        <v>3</v>
      </c>
      <c r="C42" s="5" t="s">
        <v>4</v>
      </c>
      <c r="D42" s="11" t="s">
        <v>11</v>
      </c>
      <c r="E42" s="11"/>
      <c r="F42" s="11"/>
      <c r="G42" s="11"/>
      <c r="H42" s="11"/>
      <c r="I42" s="11"/>
      <c r="J42" s="11"/>
      <c r="K42" s="11"/>
      <c r="L42" s="21"/>
      <c r="M42" s="22" t="s">
        <v>5</v>
      </c>
      <c r="N42" s="256">
        <v>46175</v>
      </c>
      <c r="O42" s="256"/>
      <c r="P42" s="256"/>
    </row>
    <row r="43" spans="1:18" s="2" customFormat="1" x14ac:dyDescent="0.25">
      <c r="A43" s="2" t="s">
        <v>22</v>
      </c>
      <c r="C43" s="5" t="s">
        <v>4</v>
      </c>
      <c r="D43" s="12" t="s">
        <v>37</v>
      </c>
      <c r="E43" s="13"/>
      <c r="F43" s="13"/>
      <c r="G43" s="13"/>
      <c r="H43" s="10"/>
      <c r="I43" s="10"/>
      <c r="J43" s="10"/>
      <c r="K43" s="10"/>
      <c r="L43" s="10"/>
      <c r="M43" s="22" t="s">
        <v>27</v>
      </c>
      <c r="N43" s="53" t="s">
        <v>36</v>
      </c>
      <c r="O43" s="53"/>
      <c r="P43" s="72"/>
    </row>
    <row r="45" spans="1:18" s="6" customFormat="1" ht="18.75" x14ac:dyDescent="0.3">
      <c r="A45" s="6" t="s">
        <v>6</v>
      </c>
      <c r="B45" s="248" t="s">
        <v>7</v>
      </c>
      <c r="C45" s="248"/>
      <c r="D45" s="248"/>
      <c r="F45" s="245" t="s">
        <v>8</v>
      </c>
      <c r="G45" s="245"/>
      <c r="H45" s="245"/>
      <c r="I45" s="64"/>
      <c r="J45" s="245" t="s">
        <v>9</v>
      </c>
      <c r="K45" s="245"/>
      <c r="L45" s="245"/>
      <c r="M45" s="64"/>
      <c r="N45" s="245" t="s">
        <v>10</v>
      </c>
      <c r="O45" s="245"/>
      <c r="P45" s="245"/>
    </row>
    <row r="46" spans="1:18" s="6" customFormat="1" ht="18.75" x14ac:dyDescent="0.3">
      <c r="B46" s="63"/>
      <c r="C46" s="63"/>
      <c r="D46" s="63"/>
      <c r="F46" s="62" t="s">
        <v>29</v>
      </c>
      <c r="G46" s="246" t="s">
        <v>30</v>
      </c>
      <c r="H46" s="247"/>
      <c r="I46" s="64"/>
      <c r="J46" s="62" t="s">
        <v>29</v>
      </c>
      <c r="K46" s="246" t="s">
        <v>30</v>
      </c>
      <c r="L46" s="247"/>
      <c r="M46" s="64"/>
      <c r="N46" s="62" t="s">
        <v>29</v>
      </c>
      <c r="O46" s="246" t="s">
        <v>30</v>
      </c>
      <c r="P46" s="247"/>
    </row>
    <row r="47" spans="1:18" x14ac:dyDescent="0.25">
      <c r="B47" s="244" t="str">
        <f>'EXPEDITION CONSOLIDATION'!B12:D12</f>
        <v>Emulison Senatel Pulsar 38</v>
      </c>
      <c r="C47" s="244"/>
      <c r="D47" s="244"/>
      <c r="E47" s="2"/>
      <c r="F47" s="79">
        <f>G47/38*25</f>
        <v>0</v>
      </c>
      <c r="G47" s="36"/>
      <c r="H47" s="45" t="s">
        <v>38</v>
      </c>
      <c r="I47" s="14"/>
      <c r="J47" s="30">
        <f>F47</f>
        <v>0</v>
      </c>
      <c r="K47" s="36">
        <f>G47</f>
        <v>0</v>
      </c>
      <c r="L47" s="45" t="s">
        <v>38</v>
      </c>
      <c r="N47" s="30">
        <f>F47</f>
        <v>0</v>
      </c>
      <c r="O47" s="36">
        <f>G47</f>
        <v>0</v>
      </c>
      <c r="P47" s="45" t="s">
        <v>38</v>
      </c>
    </row>
    <row r="48" spans="1:18" x14ac:dyDescent="0.25">
      <c r="B48" s="244" t="str">
        <f>'EXPEDITION CONSOLIDATION'!B13:D13</f>
        <v>Emulison Senatel Pulsar 135</v>
      </c>
      <c r="C48" s="244"/>
      <c r="D48" s="244"/>
      <c r="E48" s="2"/>
      <c r="F48" s="30">
        <f>G48/135*25</f>
        <v>0</v>
      </c>
      <c r="G48" s="36"/>
      <c r="H48" s="45" t="s">
        <v>38</v>
      </c>
      <c r="I48" s="14"/>
      <c r="J48" s="30">
        <f>F48</f>
        <v>0</v>
      </c>
      <c r="K48" s="36">
        <f t="shared" ref="K48:K62" si="6">G48</f>
        <v>0</v>
      </c>
      <c r="L48" s="45" t="s">
        <v>38</v>
      </c>
      <c r="N48" s="30">
        <f t="shared" ref="N48:O62" si="7">F48</f>
        <v>0</v>
      </c>
      <c r="O48" s="36">
        <f t="shared" si="7"/>
        <v>0</v>
      </c>
      <c r="P48" s="45" t="s">
        <v>38</v>
      </c>
    </row>
    <row r="49" spans="2:19" x14ac:dyDescent="0.25">
      <c r="B49" s="244" t="str">
        <f>'EXPEDITION CONSOLIDATION'!B14:D14</f>
        <v>Emulsion Senatel Pulsar 215 P</v>
      </c>
      <c r="C49" s="244"/>
      <c r="D49" s="244"/>
      <c r="E49" s="2"/>
      <c r="F49" s="30">
        <f>G49/215*25</f>
        <v>169.06976744186045</v>
      </c>
      <c r="G49" s="36">
        <v>1454</v>
      </c>
      <c r="H49" s="45" t="s">
        <v>38</v>
      </c>
      <c r="I49" s="14"/>
      <c r="J49" s="30">
        <f>F49</f>
        <v>169.06976744186045</v>
      </c>
      <c r="K49" s="36">
        <f t="shared" ref="K49" si="8">G49</f>
        <v>1454</v>
      </c>
      <c r="L49" s="45" t="s">
        <v>38</v>
      </c>
      <c r="M49" s="81"/>
      <c r="N49" s="30">
        <f t="shared" ref="N49" si="9">F49</f>
        <v>169.06976744186045</v>
      </c>
      <c r="O49" s="36">
        <f t="shared" ref="O49" si="10">G49</f>
        <v>1454</v>
      </c>
      <c r="P49" s="45" t="s">
        <v>38</v>
      </c>
    </row>
    <row r="50" spans="2:19" x14ac:dyDescent="0.25">
      <c r="B50" s="244" t="str">
        <f>'EXPEDITION CONSOLIDATION'!B15:D15</f>
        <v>Anfo</v>
      </c>
      <c r="C50" s="244"/>
      <c r="D50" s="244"/>
      <c r="E50" s="2"/>
      <c r="F50" s="79">
        <v>1128.2</v>
      </c>
      <c r="G50" s="90"/>
      <c r="H50" s="45"/>
      <c r="I50" s="14"/>
      <c r="J50" s="97">
        <f>F50</f>
        <v>1128.2</v>
      </c>
      <c r="K50" s="36"/>
      <c r="L50" s="45"/>
      <c r="N50" s="97">
        <f t="shared" si="7"/>
        <v>1128.2</v>
      </c>
      <c r="O50" s="36"/>
      <c r="P50" s="45"/>
      <c r="S50" s="77"/>
    </row>
    <row r="51" spans="2:19" x14ac:dyDescent="0.25">
      <c r="B51" s="244" t="str">
        <f>'EXPEDITION CONSOLIDATION'!B16:D16</f>
        <v>OBC</v>
      </c>
      <c r="C51" s="244"/>
      <c r="D51" s="244"/>
      <c r="E51" s="2"/>
      <c r="F51" s="67"/>
      <c r="G51" s="47">
        <v>85</v>
      </c>
      <c r="H51" s="46" t="s">
        <v>38</v>
      </c>
      <c r="I51" s="14"/>
      <c r="J51" s="66"/>
      <c r="K51" s="36">
        <f>G51</f>
        <v>85</v>
      </c>
      <c r="L51" s="45" t="s">
        <v>38</v>
      </c>
      <c r="N51" s="66"/>
      <c r="O51" s="36">
        <f>G51</f>
        <v>85</v>
      </c>
      <c r="P51" s="45" t="s">
        <v>38</v>
      </c>
      <c r="S51" s="20"/>
    </row>
    <row r="52" spans="2:19" x14ac:dyDescent="0.25">
      <c r="B52" s="244" t="str">
        <f>'EXPEDITION CONSOLIDATION'!B17:D17</f>
        <v>Safety Fuse</v>
      </c>
      <c r="C52" s="244"/>
      <c r="D52" s="244"/>
      <c r="E52" s="2"/>
      <c r="F52" s="68"/>
      <c r="G52" s="94">
        <f>G51*2.43</f>
        <v>206.55</v>
      </c>
      <c r="H52" s="45" t="s">
        <v>39</v>
      </c>
      <c r="I52" s="14"/>
      <c r="J52" s="66"/>
      <c r="K52" s="90">
        <f t="shared" si="6"/>
        <v>206.55</v>
      </c>
      <c r="L52" s="45" t="s">
        <v>39</v>
      </c>
      <c r="N52" s="66"/>
      <c r="O52" s="90">
        <f t="shared" si="7"/>
        <v>206.55</v>
      </c>
      <c r="P52" s="3" t="s">
        <v>39</v>
      </c>
    </row>
    <row r="53" spans="2:19" x14ac:dyDescent="0.25">
      <c r="B53" s="244" t="str">
        <f>'EXPEDITION CONSOLIDATION'!B18:D18</f>
        <v>EXEL Detonator (3.6)</v>
      </c>
      <c r="C53" s="244"/>
      <c r="D53" s="244"/>
      <c r="E53" s="2"/>
      <c r="F53" s="68"/>
      <c r="G53" s="36">
        <v>100</v>
      </c>
      <c r="H53" s="45" t="s">
        <v>38</v>
      </c>
      <c r="I53" s="14"/>
      <c r="J53" s="66"/>
      <c r="K53" s="36">
        <f t="shared" si="6"/>
        <v>100</v>
      </c>
      <c r="L53" s="45" t="s">
        <v>38</v>
      </c>
      <c r="N53" s="66"/>
      <c r="O53" s="36">
        <f t="shared" si="7"/>
        <v>100</v>
      </c>
      <c r="P53" s="3" t="s">
        <v>38</v>
      </c>
      <c r="S53" s="77"/>
    </row>
    <row r="54" spans="2:19" x14ac:dyDescent="0.25">
      <c r="B54" s="244" t="str">
        <f>'EXPEDITION CONSOLIDATION'!B19:D19</f>
        <v>EXEL Detonator (2.4)</v>
      </c>
      <c r="C54" s="244"/>
      <c r="D54" s="244"/>
      <c r="E54" s="2"/>
      <c r="F54" s="68"/>
      <c r="G54" s="36">
        <v>1484</v>
      </c>
      <c r="H54" s="45" t="s">
        <v>38</v>
      </c>
      <c r="I54" s="14"/>
      <c r="J54" s="66"/>
      <c r="K54" s="36">
        <f>G54</f>
        <v>1484</v>
      </c>
      <c r="L54" s="45" t="s">
        <v>38</v>
      </c>
      <c r="N54" s="66"/>
      <c r="O54" s="36">
        <f>G54</f>
        <v>1484</v>
      </c>
      <c r="P54" s="3" t="s">
        <v>38</v>
      </c>
    </row>
    <row r="55" spans="2:19" x14ac:dyDescent="0.25">
      <c r="B55" s="244" t="str">
        <f>'EXPEDITION CONSOLIDATION'!B20:D20</f>
        <v>EXEL Detonator (4.9)</v>
      </c>
      <c r="C55" s="244"/>
      <c r="D55" s="244"/>
      <c r="E55" s="2"/>
      <c r="F55" s="176"/>
      <c r="G55" s="36"/>
      <c r="H55" s="45" t="s">
        <v>38</v>
      </c>
      <c r="I55" s="14"/>
      <c r="J55" s="174"/>
      <c r="K55" s="36">
        <f>G55</f>
        <v>0</v>
      </c>
      <c r="L55" s="45" t="s">
        <v>38</v>
      </c>
      <c r="M55" s="177"/>
      <c r="N55" s="174"/>
      <c r="O55" s="36">
        <f>G55</f>
        <v>0</v>
      </c>
      <c r="P55" s="3" t="s">
        <v>38</v>
      </c>
    </row>
    <row r="56" spans="2:19" x14ac:dyDescent="0.25">
      <c r="B56" s="244" t="str">
        <f>'EXPEDITION CONSOLIDATION'!B21:D21</f>
        <v>Cordtex (Detonating Cord) 5</v>
      </c>
      <c r="C56" s="244"/>
      <c r="D56" s="244"/>
      <c r="E56" s="2"/>
      <c r="F56" s="68"/>
      <c r="G56" s="36">
        <v>437</v>
      </c>
      <c r="H56" s="45" t="s">
        <v>39</v>
      </c>
      <c r="I56" s="14"/>
      <c r="J56" s="66"/>
      <c r="K56" s="36">
        <f t="shared" si="6"/>
        <v>437</v>
      </c>
      <c r="L56" s="45" t="s">
        <v>39</v>
      </c>
      <c r="N56" s="66"/>
      <c r="O56" s="36">
        <f t="shared" si="7"/>
        <v>437</v>
      </c>
      <c r="P56" s="3" t="s">
        <v>39</v>
      </c>
    </row>
    <row r="57" spans="2:19" x14ac:dyDescent="0.25">
      <c r="B57" s="244" t="str">
        <f>'EXPEDITION CONSOLIDATION'!B22:D22</f>
        <v>Cordtex (DCORD I) 5</v>
      </c>
      <c r="C57" s="244"/>
      <c r="D57" s="244"/>
      <c r="E57" s="2"/>
      <c r="F57" s="3"/>
      <c r="G57" s="36"/>
      <c r="H57" s="45" t="s">
        <v>39</v>
      </c>
      <c r="I57" s="14"/>
      <c r="J57" s="88"/>
      <c r="K57" s="36">
        <f t="shared" si="6"/>
        <v>0</v>
      </c>
      <c r="L57" s="45" t="s">
        <v>39</v>
      </c>
      <c r="M57" s="86"/>
      <c r="N57" s="88"/>
      <c r="O57" s="36">
        <f t="shared" si="7"/>
        <v>0</v>
      </c>
      <c r="P57" s="3" t="s">
        <v>39</v>
      </c>
    </row>
    <row r="58" spans="2:19" x14ac:dyDescent="0.25">
      <c r="B58" s="244" t="str">
        <f>'EXPEDITION CONSOLIDATION'!B23:D23</f>
        <v>Cordtex (Detonating Cord) 40</v>
      </c>
      <c r="C58" s="244"/>
      <c r="D58" s="244"/>
      <c r="E58" s="2"/>
      <c r="F58" s="3"/>
      <c r="G58" s="36"/>
      <c r="H58" s="45" t="s">
        <v>39</v>
      </c>
      <c r="I58" s="14"/>
      <c r="J58" s="66"/>
      <c r="K58" s="36">
        <f t="shared" si="6"/>
        <v>0</v>
      </c>
      <c r="L58" s="45" t="s">
        <v>39</v>
      </c>
      <c r="N58" s="66"/>
      <c r="O58" s="36">
        <f t="shared" si="7"/>
        <v>0</v>
      </c>
      <c r="P58" s="3" t="s">
        <v>39</v>
      </c>
    </row>
    <row r="59" spans="2:19" x14ac:dyDescent="0.25">
      <c r="B59" s="244" t="str">
        <f>'EXPEDITION CONSOLIDATION'!B24:D24</f>
        <v>MS 12</v>
      </c>
      <c r="C59" s="244"/>
      <c r="D59" s="244"/>
      <c r="E59" s="2"/>
      <c r="F59" s="3"/>
      <c r="G59" s="36"/>
      <c r="H59" s="45" t="s">
        <v>39</v>
      </c>
      <c r="I59" s="14"/>
      <c r="J59" s="162"/>
      <c r="K59" s="36">
        <f t="shared" si="6"/>
        <v>0</v>
      </c>
      <c r="L59" s="45" t="s">
        <v>39</v>
      </c>
      <c r="M59" s="164"/>
      <c r="N59" s="162"/>
      <c r="O59" s="36">
        <f t="shared" si="7"/>
        <v>0</v>
      </c>
      <c r="P59" s="3" t="s">
        <v>39</v>
      </c>
      <c r="S59" s="20"/>
    </row>
    <row r="60" spans="2:19" x14ac:dyDescent="0.25">
      <c r="B60" s="244" t="str">
        <f>'EXPEDITION CONSOLIDATION'!B25:D25</f>
        <v>MS 18</v>
      </c>
      <c r="C60" s="244"/>
      <c r="D60" s="244"/>
      <c r="E60" s="2"/>
      <c r="F60" s="3"/>
      <c r="G60" s="36"/>
      <c r="H60" s="45" t="s">
        <v>39</v>
      </c>
      <c r="I60" s="14"/>
      <c r="J60" s="162"/>
      <c r="K60" s="36">
        <f>G60</f>
        <v>0</v>
      </c>
      <c r="L60" s="45" t="s">
        <v>39</v>
      </c>
      <c r="M60" s="164"/>
      <c r="N60" s="162"/>
      <c r="O60" s="36">
        <f t="shared" si="7"/>
        <v>0</v>
      </c>
      <c r="P60" s="3" t="s">
        <v>39</v>
      </c>
      <c r="S60" s="20"/>
    </row>
    <row r="61" spans="2:19" x14ac:dyDescent="0.25">
      <c r="B61" s="244" t="str">
        <f>'EXPEDITION CONSOLIDATION'!B26:D26</f>
        <v>Fuse Lighter</v>
      </c>
      <c r="C61" s="244"/>
      <c r="D61" s="244"/>
      <c r="E61" s="2"/>
      <c r="F61" s="3"/>
      <c r="G61" s="36"/>
      <c r="H61" s="37" t="s">
        <v>38</v>
      </c>
      <c r="I61" s="14"/>
      <c r="J61" s="92"/>
      <c r="K61" s="36">
        <f t="shared" si="6"/>
        <v>0</v>
      </c>
      <c r="L61" s="37" t="s">
        <v>38</v>
      </c>
      <c r="M61" s="91"/>
      <c r="N61" s="92"/>
      <c r="O61" s="36">
        <f t="shared" si="7"/>
        <v>0</v>
      </c>
      <c r="P61" s="37" t="s">
        <v>38</v>
      </c>
    </row>
    <row r="62" spans="2:19" x14ac:dyDescent="0.25">
      <c r="B62" s="244" t="str">
        <f>'EXPEDITION CONSOLIDATION'!B27:D27</f>
        <v>BILL WIRE</v>
      </c>
      <c r="C62" s="244"/>
      <c r="D62" s="244"/>
      <c r="E62" s="2"/>
      <c r="F62" s="3"/>
      <c r="G62" s="36"/>
      <c r="H62" s="37" t="s">
        <v>38</v>
      </c>
      <c r="I62" s="14"/>
      <c r="J62" s="105"/>
      <c r="K62" s="36">
        <f t="shared" si="6"/>
        <v>0</v>
      </c>
      <c r="L62" s="37" t="s">
        <v>38</v>
      </c>
      <c r="M62" s="106"/>
      <c r="N62" s="105"/>
      <c r="O62" s="36">
        <f t="shared" si="7"/>
        <v>0</v>
      </c>
      <c r="P62" s="37" t="s">
        <v>38</v>
      </c>
    </row>
    <row r="63" spans="2:19" x14ac:dyDescent="0.25">
      <c r="B63" s="244" t="str">
        <f>'EXPEDITION CONSOLIDATION'!B28:D28</f>
        <v>EBC</v>
      </c>
      <c r="C63" s="244"/>
      <c r="D63" s="244"/>
      <c r="E63" s="2"/>
      <c r="F63" s="3"/>
      <c r="G63" s="36">
        <v>6</v>
      </c>
      <c r="H63" s="37" t="s">
        <v>38</v>
      </c>
      <c r="I63" s="14"/>
      <c r="J63" s="66"/>
      <c r="K63" s="36">
        <f t="shared" ref="K63" si="11">G63</f>
        <v>6</v>
      </c>
      <c r="L63" s="37" t="s">
        <v>38</v>
      </c>
      <c r="N63" s="66"/>
      <c r="O63" s="36">
        <f t="shared" ref="O63" si="12">G63</f>
        <v>6</v>
      </c>
      <c r="P63" s="37" t="s">
        <v>38</v>
      </c>
      <c r="S63" s="20"/>
    </row>
    <row r="65" spans="1:19" s="6" customFormat="1" ht="18.75" x14ac:dyDescent="0.3">
      <c r="A65" s="6" t="s">
        <v>12</v>
      </c>
      <c r="B65" s="245" t="s">
        <v>25</v>
      </c>
      <c r="C65" s="245"/>
      <c r="D65" s="245"/>
      <c r="M65" s="64"/>
      <c r="R65" s="75"/>
    </row>
    <row r="66" spans="1:19" x14ac:dyDescent="0.25">
      <c r="C66" s="65" t="s">
        <v>13</v>
      </c>
      <c r="D66" s="31" t="s">
        <v>34</v>
      </c>
      <c r="E66" s="250">
        <v>74</v>
      </c>
      <c r="F66" s="250"/>
      <c r="G66" s="249" t="s">
        <v>18</v>
      </c>
      <c r="H66" s="249"/>
      <c r="I66" s="65"/>
      <c r="J66" s="250">
        <f>G53+G54+G55-J67</f>
        <v>1565</v>
      </c>
      <c r="K66" s="250"/>
      <c r="L66" s="39"/>
      <c r="M66" s="22" t="s">
        <v>19</v>
      </c>
      <c r="N66" s="250" t="s">
        <v>32</v>
      </c>
      <c r="O66" s="250"/>
      <c r="P66" s="66"/>
      <c r="R66" s="20"/>
      <c r="S66" s="20"/>
    </row>
    <row r="67" spans="1:19" x14ac:dyDescent="0.25">
      <c r="C67" s="65" t="s">
        <v>14</v>
      </c>
      <c r="D67" s="31" t="s">
        <v>35</v>
      </c>
      <c r="E67" s="252">
        <v>3</v>
      </c>
      <c r="F67" s="252"/>
      <c r="G67" s="249" t="s">
        <v>18</v>
      </c>
      <c r="H67" s="249"/>
      <c r="I67" s="65"/>
      <c r="J67" s="257">
        <f>6+7+6</f>
        <v>19</v>
      </c>
      <c r="K67" s="257"/>
      <c r="L67" s="71"/>
      <c r="M67" s="22" t="s">
        <v>19</v>
      </c>
      <c r="N67" s="252" t="s">
        <v>33</v>
      </c>
      <c r="O67" s="252"/>
      <c r="P67" s="68"/>
      <c r="R67" s="20"/>
      <c r="S67" s="20"/>
    </row>
    <row r="68" spans="1:19" x14ac:dyDescent="0.25">
      <c r="J68" s="20"/>
      <c r="K68" s="20"/>
      <c r="L68" s="20"/>
      <c r="R68" s="20"/>
      <c r="S68" s="20"/>
    </row>
    <row r="69" spans="1:19" s="7" customFormat="1" ht="18.75" x14ac:dyDescent="0.3">
      <c r="A69" s="7" t="s">
        <v>15</v>
      </c>
      <c r="B69" s="8" t="s">
        <v>16</v>
      </c>
      <c r="C69" s="8"/>
      <c r="D69" s="8"/>
      <c r="E69" s="6"/>
      <c r="F69" s="6"/>
      <c r="M69" s="24"/>
    </row>
    <row r="70" spans="1:19" s="7" customFormat="1" ht="18.75" x14ac:dyDescent="0.3">
      <c r="B70" s="6" t="s">
        <v>17</v>
      </c>
      <c r="D70" s="9"/>
      <c r="E70" s="9"/>
      <c r="F70" s="9"/>
      <c r="G70" s="9"/>
      <c r="H70" s="9"/>
      <c r="I70" s="9"/>
      <c r="J70" s="9"/>
      <c r="K70" s="9"/>
      <c r="L70" s="9"/>
      <c r="M70" s="25"/>
      <c r="N70" s="9"/>
      <c r="O70" s="9"/>
      <c r="P70" s="9"/>
      <c r="R70" s="76"/>
    </row>
    <row r="71" spans="1:19" ht="9.75" customHeight="1" x14ac:dyDescent="0.25">
      <c r="M71" s="108"/>
    </row>
    <row r="74" spans="1:19" x14ac:dyDescent="0.25">
      <c r="M74" s="137"/>
    </row>
  </sheetData>
  <mergeCells count="76">
    <mergeCell ref="A1:P1"/>
    <mergeCell ref="A2:P2"/>
    <mergeCell ref="A3:P3"/>
    <mergeCell ref="A5:P5"/>
    <mergeCell ref="N6:P6"/>
    <mergeCell ref="N9:P9"/>
    <mergeCell ref="G10:H10"/>
    <mergeCell ref="K10:L10"/>
    <mergeCell ref="O10:P10"/>
    <mergeCell ref="B11:D11"/>
    <mergeCell ref="B48:D48"/>
    <mergeCell ref="B29:D29"/>
    <mergeCell ref="B9:D9"/>
    <mergeCell ref="F9:H9"/>
    <mergeCell ref="J9:L9"/>
    <mergeCell ref="B12:D12"/>
    <mergeCell ref="B14:D14"/>
    <mergeCell ref="B13:D13"/>
    <mergeCell ref="B15:D15"/>
    <mergeCell ref="B16:D16"/>
    <mergeCell ref="B17:D17"/>
    <mergeCell ref="B18:D18"/>
    <mergeCell ref="A37:P37"/>
    <mergeCell ref="G46:H46"/>
    <mergeCell ref="K46:L46"/>
    <mergeCell ref="O46:P46"/>
    <mergeCell ref="B47:D47"/>
    <mergeCell ref="J30:K30"/>
    <mergeCell ref="N30:O30"/>
    <mergeCell ref="E31:F31"/>
    <mergeCell ref="G31:H31"/>
    <mergeCell ref="J31:K31"/>
    <mergeCell ref="N31:O31"/>
    <mergeCell ref="E30:F30"/>
    <mergeCell ref="B65:D65"/>
    <mergeCell ref="E66:F66"/>
    <mergeCell ref="G66:H66"/>
    <mergeCell ref="J66:K66"/>
    <mergeCell ref="B50:D50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E67:F67"/>
    <mergeCell ref="G67:H67"/>
    <mergeCell ref="J67:K67"/>
    <mergeCell ref="N67:O67"/>
    <mergeCell ref="N66:O66"/>
    <mergeCell ref="B19:D19"/>
    <mergeCell ref="B20:D20"/>
    <mergeCell ref="B21:D21"/>
    <mergeCell ref="B22:D22"/>
    <mergeCell ref="B23:D23"/>
    <mergeCell ref="B63:D63"/>
    <mergeCell ref="B24:D24"/>
    <mergeCell ref="B25:D25"/>
    <mergeCell ref="B26:D26"/>
    <mergeCell ref="B27:D27"/>
    <mergeCell ref="B51:D51"/>
    <mergeCell ref="A39:P39"/>
    <mergeCell ref="A41:P41"/>
    <mergeCell ref="B45:D45"/>
    <mergeCell ref="F45:H45"/>
    <mergeCell ref="J45:L45"/>
    <mergeCell ref="N45:P45"/>
    <mergeCell ref="N42:P42"/>
    <mergeCell ref="B49:D49"/>
    <mergeCell ref="A38:P38"/>
    <mergeCell ref="G30:H30"/>
  </mergeCells>
  <pageMargins left="0.7" right="0.2" top="0.19" bottom="0.25" header="0.3" footer="0.3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73"/>
  <sheetViews>
    <sheetView topLeftCell="A43" zoomScaleNormal="100" workbookViewId="0">
      <selection activeCell="E69" sqref="E69:F69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28515625" customWidth="1"/>
    <col min="7" max="7" width="7" customWidth="1"/>
    <col min="8" max="8" width="6.7109375" customWidth="1"/>
    <col min="9" max="9" width="3.140625" customWidth="1"/>
    <col min="10" max="10" width="9" customWidth="1"/>
    <col min="11" max="11" width="6.85546875" customWidth="1"/>
    <col min="12" max="12" width="6.7109375" customWidth="1"/>
    <col min="13" max="13" width="5.7109375" style="70" customWidth="1"/>
    <col min="14" max="14" width="8.28515625" customWidth="1"/>
    <col min="15" max="15" width="7.140625" customWidth="1"/>
    <col min="16" max="16" width="7.42578125" customWidth="1"/>
  </cols>
  <sheetData>
    <row r="1" spans="1:16" s="4" customFormat="1" ht="18.75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16" s="4" customFormat="1" ht="15.75" x14ac:dyDescent="0.25">
      <c r="M4" s="69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v>46176</v>
      </c>
      <c r="O6" s="256"/>
      <c r="P6" s="256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2" t="s">
        <v>27</v>
      </c>
      <c r="N7" s="53" t="s">
        <v>36</v>
      </c>
      <c r="O7" s="53"/>
      <c r="P7" s="72"/>
    </row>
    <row r="9" spans="1:16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64"/>
      <c r="J9" s="245" t="s">
        <v>9</v>
      </c>
      <c r="K9" s="245"/>
      <c r="L9" s="245"/>
      <c r="M9" s="64"/>
      <c r="N9" s="245" t="s">
        <v>10</v>
      </c>
      <c r="O9" s="245"/>
      <c r="P9" s="245"/>
    </row>
    <row r="10" spans="1:16" s="6" customFormat="1" ht="18.75" x14ac:dyDescent="0.3">
      <c r="B10" s="63"/>
      <c r="C10" s="63"/>
      <c r="D10" s="63"/>
      <c r="F10" s="62" t="s">
        <v>29</v>
      </c>
      <c r="G10" s="246" t="s">
        <v>30</v>
      </c>
      <c r="H10" s="247"/>
      <c r="I10" s="64"/>
      <c r="J10" s="62" t="s">
        <v>29</v>
      </c>
      <c r="K10" s="246" t="s">
        <v>30</v>
      </c>
      <c r="L10" s="247"/>
      <c r="M10" s="64"/>
      <c r="N10" s="62" t="s">
        <v>29</v>
      </c>
      <c r="O10" s="246" t="s">
        <v>30</v>
      </c>
      <c r="P10" s="247"/>
    </row>
    <row r="11" spans="1:16" x14ac:dyDescent="0.25">
      <c r="B11" s="244" t="str">
        <f>'EXPEDITION CONSOLIDATION'!B12:D12</f>
        <v>Emulison Senatel Pulsar 38</v>
      </c>
      <c r="C11" s="244"/>
      <c r="D11" s="244"/>
      <c r="E11" s="2"/>
      <c r="F11" s="79">
        <f>G11/38*25</f>
        <v>0</v>
      </c>
      <c r="G11" s="36"/>
      <c r="H11" s="45" t="s">
        <v>38</v>
      </c>
      <c r="I11" s="14"/>
      <c r="J11" s="30">
        <f>F11</f>
        <v>0</v>
      </c>
      <c r="K11" s="36">
        <f>G11</f>
        <v>0</v>
      </c>
      <c r="L11" s="45" t="s">
        <v>38</v>
      </c>
      <c r="N11" s="30">
        <f>F11</f>
        <v>0</v>
      </c>
      <c r="O11" s="36">
        <f>G11</f>
        <v>0</v>
      </c>
      <c r="P11" s="45" t="s">
        <v>38</v>
      </c>
    </row>
    <row r="12" spans="1:16" x14ac:dyDescent="0.25">
      <c r="B12" s="244" t="str">
        <f>'EXPEDITION CONSOLIDATION'!B13:D13</f>
        <v>Emulison Senatel Pulsar 135</v>
      </c>
      <c r="C12" s="244"/>
      <c r="D12" s="244"/>
      <c r="E12" s="2"/>
      <c r="F12" s="30">
        <f>G12/135*25</f>
        <v>0</v>
      </c>
      <c r="G12" s="36"/>
      <c r="H12" s="45" t="s">
        <v>38</v>
      </c>
      <c r="I12" s="14"/>
      <c r="J12" s="30">
        <f>F12</f>
        <v>0</v>
      </c>
      <c r="K12" s="36">
        <f t="shared" ref="K12:K26" si="0">G12</f>
        <v>0</v>
      </c>
      <c r="L12" s="45" t="s">
        <v>38</v>
      </c>
      <c r="N12" s="30">
        <f t="shared" ref="N12:O26" si="1">F12</f>
        <v>0</v>
      </c>
      <c r="O12" s="36">
        <f t="shared" si="1"/>
        <v>0</v>
      </c>
      <c r="P12" s="3" t="s">
        <v>38</v>
      </c>
    </row>
    <row r="13" spans="1:16" x14ac:dyDescent="0.25">
      <c r="B13" s="244" t="str">
        <f>'EXPEDITION CONSOLIDATION'!B14:D14</f>
        <v>Emulsion Senatel Pulsar 215 P</v>
      </c>
      <c r="C13" s="244"/>
      <c r="D13" s="244"/>
      <c r="E13" s="2"/>
      <c r="F13" s="30">
        <f>G13/215*25</f>
        <v>200.23255813953486</v>
      </c>
      <c r="G13" s="36">
        <v>1722</v>
      </c>
      <c r="H13" s="45" t="s">
        <v>38</v>
      </c>
      <c r="I13" s="14"/>
      <c r="J13" s="30">
        <f>F13</f>
        <v>200.23255813953486</v>
      </c>
      <c r="K13" s="36">
        <f>G13</f>
        <v>1722</v>
      </c>
      <c r="L13" s="45" t="s">
        <v>38</v>
      </c>
      <c r="M13" s="81"/>
      <c r="N13" s="30">
        <f>F13</f>
        <v>200.23255813953486</v>
      </c>
      <c r="O13" s="36">
        <f>G13</f>
        <v>1722</v>
      </c>
      <c r="P13" s="3" t="s">
        <v>38</v>
      </c>
    </row>
    <row r="14" spans="1:16" x14ac:dyDescent="0.25">
      <c r="B14" s="244" t="str">
        <f>'EXPEDITION CONSOLIDATION'!B15:D15</f>
        <v>Anfo</v>
      </c>
      <c r="C14" s="244"/>
      <c r="D14" s="244"/>
      <c r="E14" s="2"/>
      <c r="F14" s="79">
        <v>1107.8</v>
      </c>
      <c r="G14" s="36"/>
      <c r="H14" s="45"/>
      <c r="I14" s="14"/>
      <c r="J14" s="79">
        <f>F14</f>
        <v>1107.8</v>
      </c>
      <c r="K14" s="36"/>
      <c r="L14" s="45"/>
      <c r="N14" s="239">
        <f>F14</f>
        <v>1107.8</v>
      </c>
      <c r="O14" s="36"/>
      <c r="P14" s="3"/>
    </row>
    <row r="15" spans="1:16" x14ac:dyDescent="0.25">
      <c r="B15" s="244" t="str">
        <f>'EXPEDITION CONSOLIDATION'!B16:D16</f>
        <v>OBC</v>
      </c>
      <c r="C15" s="244"/>
      <c r="D15" s="244"/>
      <c r="E15" s="2"/>
      <c r="F15" s="67"/>
      <c r="G15" s="47">
        <v>88</v>
      </c>
      <c r="H15" s="46" t="s">
        <v>38</v>
      </c>
      <c r="I15" s="14"/>
      <c r="J15" s="66"/>
      <c r="K15" s="36">
        <f t="shared" ref="K15:K20" si="2">G15</f>
        <v>88</v>
      </c>
      <c r="L15" s="45" t="s">
        <v>38</v>
      </c>
      <c r="N15" s="66"/>
      <c r="O15" s="36">
        <f t="shared" ref="O15:O20" si="3">G15</f>
        <v>88</v>
      </c>
      <c r="P15" s="3" t="s">
        <v>38</v>
      </c>
    </row>
    <row r="16" spans="1:16" x14ac:dyDescent="0.25">
      <c r="B16" s="244" t="str">
        <f>'EXPEDITION CONSOLIDATION'!B17:D17</f>
        <v>Safety Fuse</v>
      </c>
      <c r="C16" s="244"/>
      <c r="D16" s="244"/>
      <c r="E16" s="2"/>
      <c r="F16" s="68"/>
      <c r="G16" s="178">
        <f>G15*2.43</f>
        <v>213.84</v>
      </c>
      <c r="H16" s="45" t="s">
        <v>39</v>
      </c>
      <c r="I16" s="14"/>
      <c r="J16" s="66"/>
      <c r="K16" s="90">
        <f t="shared" si="2"/>
        <v>213.84</v>
      </c>
      <c r="L16" s="45" t="s">
        <v>38</v>
      </c>
      <c r="N16" s="66"/>
      <c r="O16" s="90">
        <f t="shared" si="3"/>
        <v>213.84</v>
      </c>
      <c r="P16" s="3" t="s">
        <v>39</v>
      </c>
    </row>
    <row r="17" spans="1:19" x14ac:dyDescent="0.25">
      <c r="B17" s="244" t="str">
        <f>'EXPEDITION CONSOLIDATION'!B18:D18</f>
        <v>EXEL Detonator (3.6)</v>
      </c>
      <c r="C17" s="244"/>
      <c r="D17" s="244"/>
      <c r="E17" s="2"/>
      <c r="F17" s="68"/>
      <c r="G17" s="36">
        <v>69</v>
      </c>
      <c r="H17" s="45" t="s">
        <v>38</v>
      </c>
      <c r="I17" s="14"/>
      <c r="J17" s="66"/>
      <c r="K17" s="36">
        <f t="shared" si="2"/>
        <v>69</v>
      </c>
      <c r="L17" s="45" t="s">
        <v>38</v>
      </c>
      <c r="N17" s="66"/>
      <c r="O17" s="36">
        <f t="shared" si="3"/>
        <v>69</v>
      </c>
      <c r="P17" s="3" t="s">
        <v>38</v>
      </c>
    </row>
    <row r="18" spans="1:19" x14ac:dyDescent="0.25">
      <c r="B18" s="244" t="str">
        <f>'EXPEDITION CONSOLIDATION'!B19:D19</f>
        <v>EXEL Detonator (2.4)</v>
      </c>
      <c r="C18" s="244"/>
      <c r="D18" s="244"/>
      <c r="E18" s="2"/>
      <c r="F18" s="68"/>
      <c r="G18" s="36">
        <v>1599</v>
      </c>
      <c r="H18" s="45" t="s">
        <v>38</v>
      </c>
      <c r="I18" s="14"/>
      <c r="J18" s="66"/>
      <c r="K18" s="36">
        <f t="shared" si="2"/>
        <v>1599</v>
      </c>
      <c r="L18" s="45" t="s">
        <v>38</v>
      </c>
      <c r="N18" s="66"/>
      <c r="O18" s="36">
        <f t="shared" si="3"/>
        <v>1599</v>
      </c>
      <c r="P18" s="3" t="s">
        <v>38</v>
      </c>
    </row>
    <row r="19" spans="1:19" x14ac:dyDescent="0.25">
      <c r="B19" s="244" t="str">
        <f>'EXPEDITION CONSOLIDATION'!B20:D20</f>
        <v>EXEL Detonator (4.9)</v>
      </c>
      <c r="C19" s="244"/>
      <c r="D19" s="244"/>
      <c r="E19" s="2"/>
      <c r="F19" s="176"/>
      <c r="G19" s="36"/>
      <c r="H19" s="45" t="s">
        <v>38</v>
      </c>
      <c r="I19" s="14"/>
      <c r="J19" s="174"/>
      <c r="K19" s="36">
        <f t="shared" si="2"/>
        <v>0</v>
      </c>
      <c r="L19" s="45" t="s">
        <v>38</v>
      </c>
      <c r="M19" s="177"/>
      <c r="N19" s="174"/>
      <c r="O19" s="36">
        <f t="shared" si="3"/>
        <v>0</v>
      </c>
      <c r="P19" s="3" t="s">
        <v>38</v>
      </c>
    </row>
    <row r="20" spans="1:19" x14ac:dyDescent="0.25">
      <c r="B20" s="244" t="str">
        <f>'EXPEDITION CONSOLIDATION'!B21:D21</f>
        <v>Cordtex (Detonating Cord) 5</v>
      </c>
      <c r="C20" s="244"/>
      <c r="D20" s="244"/>
      <c r="E20" s="2"/>
      <c r="F20" s="68"/>
      <c r="G20" s="36">
        <v>424</v>
      </c>
      <c r="H20" s="45" t="s">
        <v>39</v>
      </c>
      <c r="I20" s="14"/>
      <c r="J20" s="66"/>
      <c r="K20" s="36">
        <f t="shared" si="2"/>
        <v>424</v>
      </c>
      <c r="L20" s="45" t="s">
        <v>39</v>
      </c>
      <c r="N20" s="66"/>
      <c r="O20" s="36">
        <f t="shared" si="3"/>
        <v>424</v>
      </c>
      <c r="P20" s="3" t="s">
        <v>39</v>
      </c>
    </row>
    <row r="21" spans="1:19" x14ac:dyDescent="0.25">
      <c r="B21" s="244" t="str">
        <f>'EXPEDITION CONSOLIDATION'!B22:D22</f>
        <v>Cordtex (DCORD I) 5</v>
      </c>
      <c r="C21" s="244"/>
      <c r="D21" s="244"/>
      <c r="E21" s="2"/>
      <c r="F21" s="3"/>
      <c r="G21" s="36"/>
      <c r="H21" s="45" t="s">
        <v>39</v>
      </c>
      <c r="I21" s="14"/>
      <c r="J21" s="88"/>
      <c r="K21" s="36">
        <f t="shared" si="0"/>
        <v>0</v>
      </c>
      <c r="L21" s="45" t="s">
        <v>39</v>
      </c>
      <c r="M21" s="86"/>
      <c r="N21" s="88"/>
      <c r="O21" s="36">
        <f t="shared" si="1"/>
        <v>0</v>
      </c>
      <c r="P21" s="3" t="s">
        <v>39</v>
      </c>
    </row>
    <row r="22" spans="1:19" x14ac:dyDescent="0.25">
      <c r="B22" s="244" t="str">
        <f>'EXPEDITION CONSOLIDATION'!B23:D23</f>
        <v>Cordtex (Detonating Cord) 40</v>
      </c>
      <c r="C22" s="244"/>
      <c r="D22" s="244"/>
      <c r="E22" s="2"/>
      <c r="F22" s="3"/>
      <c r="G22" s="36"/>
      <c r="H22" s="45" t="s">
        <v>39</v>
      </c>
      <c r="I22" s="14"/>
      <c r="J22" s="66"/>
      <c r="K22" s="36">
        <f t="shared" si="0"/>
        <v>0</v>
      </c>
      <c r="L22" s="45"/>
      <c r="N22" s="66"/>
      <c r="O22" s="36">
        <f t="shared" si="1"/>
        <v>0</v>
      </c>
      <c r="P22" s="3" t="s">
        <v>39</v>
      </c>
    </row>
    <row r="23" spans="1:19" x14ac:dyDescent="0.25">
      <c r="B23" s="244" t="str">
        <f>'EXPEDITION CONSOLIDATION'!B24:D24</f>
        <v>MS 12</v>
      </c>
      <c r="C23" s="244"/>
      <c r="D23" s="244"/>
      <c r="E23" s="2"/>
      <c r="F23" s="3"/>
      <c r="G23" s="36"/>
      <c r="H23" s="45" t="s">
        <v>39</v>
      </c>
      <c r="I23" s="14"/>
      <c r="J23" s="162"/>
      <c r="K23" s="36">
        <f t="shared" si="0"/>
        <v>0</v>
      </c>
      <c r="L23" s="45" t="s">
        <v>39</v>
      </c>
      <c r="M23" s="164"/>
      <c r="N23" s="162"/>
      <c r="O23" s="36">
        <f t="shared" si="1"/>
        <v>0</v>
      </c>
      <c r="P23" s="3" t="s">
        <v>39</v>
      </c>
      <c r="S23" s="20"/>
    </row>
    <row r="24" spans="1:19" x14ac:dyDescent="0.25">
      <c r="B24" s="244" t="str">
        <f>'EXPEDITION CONSOLIDATION'!B25:D25</f>
        <v>MS 18</v>
      </c>
      <c r="C24" s="244"/>
      <c r="D24" s="244"/>
      <c r="E24" s="2"/>
      <c r="F24" s="3"/>
      <c r="G24" s="36"/>
      <c r="H24" s="45" t="s">
        <v>39</v>
      </c>
      <c r="I24" s="14"/>
      <c r="J24" s="162"/>
      <c r="K24" s="36">
        <f>G24</f>
        <v>0</v>
      </c>
      <c r="L24" s="45" t="s">
        <v>39</v>
      </c>
      <c r="M24" s="164"/>
      <c r="N24" s="162"/>
      <c r="O24" s="36">
        <f t="shared" si="1"/>
        <v>0</v>
      </c>
      <c r="P24" s="3" t="s">
        <v>39</v>
      </c>
      <c r="S24" s="20"/>
    </row>
    <row r="25" spans="1:19" x14ac:dyDescent="0.25">
      <c r="B25" s="244" t="str">
        <f>'EXPEDITION CONSOLIDATION'!B26:D26</f>
        <v>Fuse Lighter</v>
      </c>
      <c r="C25" s="244"/>
      <c r="D25" s="244"/>
      <c r="E25" s="2"/>
      <c r="F25" s="3"/>
      <c r="G25" s="36"/>
      <c r="H25" s="37" t="s">
        <v>38</v>
      </c>
      <c r="I25" s="14"/>
      <c r="J25" s="92"/>
      <c r="K25" s="36">
        <f>G25</f>
        <v>0</v>
      </c>
      <c r="L25" s="37" t="s">
        <v>38</v>
      </c>
      <c r="M25" s="91"/>
      <c r="N25" s="92"/>
      <c r="O25" s="36">
        <f t="shared" si="1"/>
        <v>0</v>
      </c>
      <c r="P25" s="37" t="s">
        <v>38</v>
      </c>
    </row>
    <row r="26" spans="1:19" x14ac:dyDescent="0.25">
      <c r="B26" s="244" t="str">
        <f>'EXPEDITION CONSOLIDATION'!B27:D27</f>
        <v>BILL WIRE</v>
      </c>
      <c r="C26" s="244"/>
      <c r="D26" s="244"/>
      <c r="E26" s="2"/>
      <c r="F26" s="3"/>
      <c r="G26" s="36"/>
      <c r="H26" s="37" t="s">
        <v>38</v>
      </c>
      <c r="I26" s="14"/>
      <c r="J26" s="105"/>
      <c r="K26" s="36">
        <f t="shared" si="0"/>
        <v>0</v>
      </c>
      <c r="L26" s="37" t="s">
        <v>38</v>
      </c>
      <c r="M26" s="106"/>
      <c r="N26" s="105"/>
      <c r="O26" s="36">
        <f t="shared" si="1"/>
        <v>0</v>
      </c>
      <c r="P26" s="37" t="s">
        <v>38</v>
      </c>
    </row>
    <row r="27" spans="1:19" x14ac:dyDescent="0.25">
      <c r="B27" s="244" t="str">
        <f>'EXPEDITION CONSOLIDATION'!B28:D28</f>
        <v>EBC</v>
      </c>
      <c r="C27" s="244"/>
      <c r="D27" s="244"/>
      <c r="E27" s="2"/>
      <c r="F27" s="3"/>
      <c r="G27" s="36">
        <v>6</v>
      </c>
      <c r="H27" s="37" t="s">
        <v>38</v>
      </c>
      <c r="I27" s="14"/>
      <c r="J27" s="66"/>
      <c r="K27" s="36">
        <f t="shared" ref="K27" si="4">G27</f>
        <v>6</v>
      </c>
      <c r="L27" s="37" t="s">
        <v>38</v>
      </c>
      <c r="N27" s="66"/>
      <c r="O27" s="36">
        <f t="shared" ref="O27" si="5">G27</f>
        <v>6</v>
      </c>
      <c r="P27" s="37" t="s">
        <v>38</v>
      </c>
    </row>
    <row r="28" spans="1:19" ht="11.25" customHeight="1" x14ac:dyDescent="0.25"/>
    <row r="29" spans="1:19" s="6" customFormat="1" ht="18.75" x14ac:dyDescent="0.3">
      <c r="A29" s="6" t="s">
        <v>12</v>
      </c>
      <c r="B29" s="245" t="s">
        <v>25</v>
      </c>
      <c r="C29" s="245"/>
      <c r="D29" s="245"/>
      <c r="M29" s="64"/>
    </row>
    <row r="30" spans="1:19" x14ac:dyDescent="0.25">
      <c r="C30" s="65" t="s">
        <v>13</v>
      </c>
      <c r="D30" s="31" t="s">
        <v>34</v>
      </c>
      <c r="E30" s="250">
        <v>65</v>
      </c>
      <c r="F30" s="250"/>
      <c r="G30" s="249" t="s">
        <v>18</v>
      </c>
      <c r="H30" s="249"/>
      <c r="I30" s="65"/>
      <c r="J30" s="250">
        <f>G17+G18-J31+G19</f>
        <v>1652</v>
      </c>
      <c r="K30" s="250"/>
      <c r="L30" s="39"/>
      <c r="M30" s="22" t="s">
        <v>19</v>
      </c>
      <c r="N30" s="250" t="s">
        <v>32</v>
      </c>
      <c r="O30" s="250"/>
      <c r="P30" s="66"/>
      <c r="R30" s="20"/>
    </row>
    <row r="31" spans="1:19" x14ac:dyDescent="0.25">
      <c r="C31" s="65" t="s">
        <v>14</v>
      </c>
      <c r="D31" s="31" t="s">
        <v>35</v>
      </c>
      <c r="E31" s="252">
        <v>2</v>
      </c>
      <c r="F31" s="252"/>
      <c r="G31" s="249" t="s">
        <v>18</v>
      </c>
      <c r="H31" s="249"/>
      <c r="I31" s="65"/>
      <c r="J31" s="257">
        <f>6+10</f>
        <v>16</v>
      </c>
      <c r="K31" s="252"/>
      <c r="L31" s="71"/>
      <c r="M31" s="22" t="s">
        <v>19</v>
      </c>
      <c r="N31" s="252" t="s">
        <v>33</v>
      </c>
      <c r="O31" s="252"/>
      <c r="P31" s="67"/>
      <c r="R31" s="20"/>
      <c r="S31" s="20"/>
    </row>
    <row r="32" spans="1:19" x14ac:dyDescent="0.25">
      <c r="J32" s="20"/>
      <c r="K32" s="20"/>
      <c r="L32" s="20"/>
      <c r="Q32" s="20"/>
      <c r="R32" s="20"/>
    </row>
    <row r="33" spans="1:18" s="7" customFormat="1" ht="18.75" x14ac:dyDescent="0.3">
      <c r="A33" s="7" t="s">
        <v>15</v>
      </c>
      <c r="B33" s="8" t="s">
        <v>16</v>
      </c>
      <c r="C33" s="8"/>
      <c r="D33" s="8"/>
      <c r="E33" s="6"/>
      <c r="F33" s="6"/>
      <c r="M33" s="24"/>
    </row>
    <row r="34" spans="1:18" s="7" customFormat="1" ht="18.75" x14ac:dyDescent="0.3">
      <c r="B34" s="6" t="s">
        <v>17</v>
      </c>
      <c r="D34" s="78"/>
      <c r="E34" s="9"/>
      <c r="F34" s="9"/>
      <c r="G34" s="9"/>
      <c r="H34" s="9"/>
      <c r="I34" s="9"/>
      <c r="J34" s="9"/>
      <c r="K34" s="9"/>
      <c r="L34" s="9"/>
      <c r="M34" s="25"/>
      <c r="N34" s="9"/>
      <c r="O34" s="9"/>
      <c r="P34" s="9"/>
    </row>
    <row r="35" spans="1:18" s="7" customFormat="1" ht="18.75" x14ac:dyDescent="0.3">
      <c r="B35" s="6"/>
      <c r="D35" s="156"/>
      <c r="E35" s="40"/>
      <c r="F35" s="40"/>
      <c r="G35" s="40"/>
      <c r="H35" s="40"/>
      <c r="I35" s="40"/>
      <c r="J35" s="40"/>
      <c r="K35" s="40"/>
      <c r="L35" s="40"/>
      <c r="M35" s="111"/>
      <c r="N35" s="40"/>
      <c r="O35" s="40"/>
      <c r="P35" s="40"/>
    </row>
    <row r="36" spans="1:18" ht="7.5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109"/>
      <c r="N36" s="32"/>
      <c r="O36" s="32"/>
      <c r="P36" s="32"/>
      <c r="Q36" s="32"/>
      <c r="R36" s="32"/>
    </row>
    <row r="37" spans="1:18" ht="9" customHeight="1" x14ac:dyDescent="0.25"/>
    <row r="38" spans="1:18" ht="4.5" customHeight="1" x14ac:dyDescent="0.25"/>
    <row r="39" spans="1:18" s="4" customFormat="1" ht="18.75" x14ac:dyDescent="0.3">
      <c r="A39" s="240" t="s">
        <v>0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</row>
    <row r="40" spans="1:18" s="4" customFormat="1" ht="15.75" x14ac:dyDescent="0.25">
      <c r="A40" s="241" t="s">
        <v>28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</row>
    <row r="41" spans="1:18" s="4" customFormat="1" ht="15.75" x14ac:dyDescent="0.25">
      <c r="A41" s="241" t="s">
        <v>1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</row>
    <row r="42" spans="1:18" s="4" customFormat="1" ht="13.5" customHeight="1" x14ac:dyDescent="0.25">
      <c r="M42" s="69"/>
    </row>
    <row r="43" spans="1:18" s="4" customFormat="1" ht="18.75" x14ac:dyDescent="0.3">
      <c r="A43" s="240" t="s">
        <v>26</v>
      </c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</row>
    <row r="44" spans="1:18" s="2" customFormat="1" x14ac:dyDescent="0.25">
      <c r="A44" s="2" t="s">
        <v>3</v>
      </c>
      <c r="C44" s="5" t="s">
        <v>4</v>
      </c>
      <c r="D44" s="11" t="s">
        <v>11</v>
      </c>
      <c r="E44" s="11"/>
      <c r="F44" s="11"/>
      <c r="G44" s="11"/>
      <c r="H44" s="11"/>
      <c r="I44" s="11"/>
      <c r="J44" s="11"/>
      <c r="K44" s="11"/>
      <c r="L44" s="21"/>
      <c r="M44" s="22" t="s">
        <v>5</v>
      </c>
      <c r="N44" s="256">
        <v>46177</v>
      </c>
      <c r="O44" s="256"/>
      <c r="P44" s="256"/>
    </row>
    <row r="45" spans="1:18" s="2" customFormat="1" x14ac:dyDescent="0.25">
      <c r="A45" s="2" t="s">
        <v>22</v>
      </c>
      <c r="C45" s="5" t="s">
        <v>4</v>
      </c>
      <c r="D45" s="12" t="s">
        <v>37</v>
      </c>
      <c r="E45" s="13"/>
      <c r="F45" s="13"/>
      <c r="G45" s="13"/>
      <c r="H45" s="10"/>
      <c r="I45" s="10"/>
      <c r="J45" s="10"/>
      <c r="K45" s="10"/>
      <c r="L45" s="10"/>
      <c r="M45" s="22" t="s">
        <v>27</v>
      </c>
      <c r="N45" s="53" t="s">
        <v>36</v>
      </c>
      <c r="O45" s="53"/>
      <c r="P45" s="72"/>
    </row>
    <row r="47" spans="1:18" s="6" customFormat="1" ht="18.75" x14ac:dyDescent="0.3">
      <c r="A47" s="6" t="s">
        <v>6</v>
      </c>
      <c r="B47" s="248" t="s">
        <v>7</v>
      </c>
      <c r="C47" s="248"/>
      <c r="D47" s="248"/>
      <c r="F47" s="245" t="s">
        <v>8</v>
      </c>
      <c r="G47" s="245"/>
      <c r="H47" s="245"/>
      <c r="I47" s="64"/>
      <c r="J47" s="245" t="s">
        <v>9</v>
      </c>
      <c r="K47" s="245"/>
      <c r="L47" s="245"/>
      <c r="M47" s="64"/>
      <c r="N47" s="245" t="s">
        <v>10</v>
      </c>
      <c r="O47" s="245"/>
      <c r="P47" s="245"/>
    </row>
    <row r="48" spans="1:18" s="6" customFormat="1" ht="18.75" x14ac:dyDescent="0.3">
      <c r="B48" s="63"/>
      <c r="C48" s="63"/>
      <c r="D48" s="63"/>
      <c r="F48" s="62" t="s">
        <v>29</v>
      </c>
      <c r="G48" s="246" t="s">
        <v>30</v>
      </c>
      <c r="H48" s="247"/>
      <c r="I48" s="64"/>
      <c r="J48" s="62" t="s">
        <v>29</v>
      </c>
      <c r="K48" s="246" t="s">
        <v>30</v>
      </c>
      <c r="L48" s="247"/>
      <c r="M48" s="64"/>
      <c r="N48" s="62" t="s">
        <v>29</v>
      </c>
      <c r="O48" s="246" t="s">
        <v>30</v>
      </c>
      <c r="P48" s="247"/>
    </row>
    <row r="49" spans="2:20" x14ac:dyDescent="0.25">
      <c r="B49" s="244" t="str">
        <f>'EXPEDITION CONSOLIDATION'!B12:D12</f>
        <v>Emulison Senatel Pulsar 38</v>
      </c>
      <c r="C49" s="244"/>
      <c r="D49" s="244"/>
      <c r="E49" s="2"/>
      <c r="F49" s="79">
        <f>G49/38*25</f>
        <v>0</v>
      </c>
      <c r="G49" s="36"/>
      <c r="H49" s="45" t="s">
        <v>38</v>
      </c>
      <c r="I49" s="14"/>
      <c r="J49" s="79">
        <f>F49</f>
        <v>0</v>
      </c>
      <c r="K49" s="36">
        <f>G49</f>
        <v>0</v>
      </c>
      <c r="L49" s="45" t="s">
        <v>38</v>
      </c>
      <c r="N49" s="79">
        <f>F49</f>
        <v>0</v>
      </c>
      <c r="O49" s="36">
        <f>G49</f>
        <v>0</v>
      </c>
      <c r="P49" s="45" t="s">
        <v>38</v>
      </c>
    </row>
    <row r="50" spans="2:20" x14ac:dyDescent="0.25">
      <c r="B50" s="244" t="str">
        <f>'EXPEDITION CONSOLIDATION'!B13:D13</f>
        <v>Emulison Senatel Pulsar 135</v>
      </c>
      <c r="C50" s="244"/>
      <c r="D50" s="244"/>
      <c r="E50" s="2"/>
      <c r="F50" s="30">
        <f>G50/135*25</f>
        <v>0</v>
      </c>
      <c r="G50" s="36"/>
      <c r="H50" s="45" t="s">
        <v>38</v>
      </c>
      <c r="I50" s="14"/>
      <c r="J50" s="30">
        <f>F50</f>
        <v>0</v>
      </c>
      <c r="K50" s="36">
        <f t="shared" ref="K50:K64" si="6">G50</f>
        <v>0</v>
      </c>
      <c r="L50" s="45" t="s">
        <v>38</v>
      </c>
      <c r="N50" s="30">
        <f t="shared" ref="N50:O64" si="7">F50</f>
        <v>0</v>
      </c>
      <c r="O50" s="36">
        <f t="shared" si="7"/>
        <v>0</v>
      </c>
      <c r="P50" s="3" t="s">
        <v>38</v>
      </c>
    </row>
    <row r="51" spans="2:20" x14ac:dyDescent="0.25">
      <c r="B51" s="244" t="str">
        <f>'EXPEDITION CONSOLIDATION'!B14:D14</f>
        <v>Emulsion Senatel Pulsar 215 P</v>
      </c>
      <c r="C51" s="244"/>
      <c r="D51" s="244"/>
      <c r="E51" s="2"/>
      <c r="F51" s="30">
        <f>G51/215*25</f>
        <v>152.90697674418604</v>
      </c>
      <c r="G51" s="36">
        <v>1315</v>
      </c>
      <c r="H51" s="45" t="s">
        <v>38</v>
      </c>
      <c r="I51" s="14"/>
      <c r="J51" s="30">
        <f>F51</f>
        <v>152.90697674418604</v>
      </c>
      <c r="K51" s="36">
        <f>G51</f>
        <v>1315</v>
      </c>
      <c r="L51" s="45" t="s">
        <v>38</v>
      </c>
      <c r="M51" s="81"/>
      <c r="N51" s="30">
        <f>F51</f>
        <v>152.90697674418604</v>
      </c>
      <c r="O51" s="36">
        <f>G51</f>
        <v>1315</v>
      </c>
      <c r="P51" s="3" t="s">
        <v>38</v>
      </c>
    </row>
    <row r="52" spans="2:20" x14ac:dyDescent="0.25">
      <c r="B52" s="244" t="str">
        <f>'EXPEDITION CONSOLIDATION'!B15:D15</f>
        <v>Anfo</v>
      </c>
      <c r="C52" s="244"/>
      <c r="D52" s="244"/>
      <c r="E52" s="2"/>
      <c r="F52" s="79">
        <v>1183.4000000000001</v>
      </c>
      <c r="G52" s="36"/>
      <c r="H52" s="45"/>
      <c r="I52" s="14"/>
      <c r="J52" s="232">
        <f>F52</f>
        <v>1183.4000000000001</v>
      </c>
      <c r="K52" s="36"/>
      <c r="L52" s="45"/>
      <c r="N52" s="232">
        <f>F52</f>
        <v>1183.4000000000001</v>
      </c>
      <c r="O52" s="36"/>
      <c r="P52" s="3"/>
    </row>
    <row r="53" spans="2:20" x14ac:dyDescent="0.25">
      <c r="B53" s="244" t="str">
        <f>'EXPEDITION CONSOLIDATION'!B16:D16</f>
        <v>OBC</v>
      </c>
      <c r="C53" s="244"/>
      <c r="D53" s="244"/>
      <c r="E53" s="2"/>
      <c r="F53" s="67"/>
      <c r="G53" s="47">
        <v>90</v>
      </c>
      <c r="H53" s="46" t="s">
        <v>38</v>
      </c>
      <c r="I53" s="14"/>
      <c r="J53" s="66"/>
      <c r="K53" s="36">
        <f t="shared" ref="K53:K58" si="8">G53</f>
        <v>90</v>
      </c>
      <c r="L53" s="45" t="s">
        <v>38</v>
      </c>
      <c r="N53" s="66"/>
      <c r="O53" s="36">
        <f t="shared" ref="O53:O58" si="9">G53</f>
        <v>90</v>
      </c>
      <c r="P53" s="3" t="s">
        <v>38</v>
      </c>
      <c r="S53" s="20"/>
      <c r="T53" s="95"/>
    </row>
    <row r="54" spans="2:20" x14ac:dyDescent="0.25">
      <c r="B54" s="244" t="str">
        <f>'EXPEDITION CONSOLIDATION'!B17:D17</f>
        <v>Safety Fuse</v>
      </c>
      <c r="C54" s="244"/>
      <c r="D54" s="244"/>
      <c r="E54" s="2"/>
      <c r="F54" s="68"/>
      <c r="G54" s="51">
        <f>G53*2.43</f>
        <v>218.70000000000002</v>
      </c>
      <c r="H54" s="45" t="s">
        <v>39</v>
      </c>
      <c r="I54" s="14"/>
      <c r="J54" s="66"/>
      <c r="K54" s="48">
        <f t="shared" si="8"/>
        <v>218.70000000000002</v>
      </c>
      <c r="L54" s="45" t="s">
        <v>39</v>
      </c>
      <c r="N54" s="66"/>
      <c r="O54" s="48">
        <f t="shared" si="9"/>
        <v>218.70000000000002</v>
      </c>
      <c r="P54" s="3" t="s">
        <v>39</v>
      </c>
    </row>
    <row r="55" spans="2:20" x14ac:dyDescent="0.25">
      <c r="B55" s="244" t="str">
        <f>'EXPEDITION CONSOLIDATION'!B18:D18</f>
        <v>EXEL Detonator (3.6)</v>
      </c>
      <c r="C55" s="244"/>
      <c r="D55" s="244"/>
      <c r="E55" s="2"/>
      <c r="F55" s="68"/>
      <c r="G55" s="36">
        <v>97</v>
      </c>
      <c r="H55" s="45" t="s">
        <v>38</v>
      </c>
      <c r="I55" s="14"/>
      <c r="J55" s="66"/>
      <c r="K55" s="36">
        <f t="shared" si="8"/>
        <v>97</v>
      </c>
      <c r="L55" s="45" t="s">
        <v>38</v>
      </c>
      <c r="N55" s="66"/>
      <c r="O55" s="36">
        <f t="shared" si="9"/>
        <v>97</v>
      </c>
      <c r="P55" s="3" t="s">
        <v>38</v>
      </c>
    </row>
    <row r="56" spans="2:20" x14ac:dyDescent="0.25">
      <c r="B56" s="244" t="str">
        <f>'EXPEDITION CONSOLIDATION'!B19:D19</f>
        <v>EXEL Detonator (2.4)</v>
      </c>
      <c r="C56" s="244"/>
      <c r="D56" s="244"/>
      <c r="E56" s="2"/>
      <c r="F56" s="68"/>
      <c r="G56" s="36">
        <v>1580</v>
      </c>
      <c r="H56" s="45" t="s">
        <v>38</v>
      </c>
      <c r="I56" s="14"/>
      <c r="J56" s="66"/>
      <c r="K56" s="36">
        <f t="shared" si="8"/>
        <v>1580</v>
      </c>
      <c r="L56" s="45" t="s">
        <v>38</v>
      </c>
      <c r="N56" s="66"/>
      <c r="O56" s="36">
        <f t="shared" si="9"/>
        <v>1580</v>
      </c>
      <c r="P56" s="3" t="s">
        <v>38</v>
      </c>
    </row>
    <row r="57" spans="2:20" x14ac:dyDescent="0.25">
      <c r="B57" s="244" t="str">
        <f>'EXPEDITION CONSOLIDATION'!B20:D20</f>
        <v>EXEL Detonator (4.9)</v>
      </c>
      <c r="C57" s="244"/>
      <c r="D57" s="244"/>
      <c r="E57" s="2"/>
      <c r="F57" s="176"/>
      <c r="G57" s="36"/>
      <c r="H57" s="45" t="s">
        <v>38</v>
      </c>
      <c r="I57" s="14"/>
      <c r="J57" s="174"/>
      <c r="K57" s="36">
        <f t="shared" si="8"/>
        <v>0</v>
      </c>
      <c r="L57" s="45" t="s">
        <v>38</v>
      </c>
      <c r="M57" s="177"/>
      <c r="N57" s="174"/>
      <c r="O57" s="36">
        <f t="shared" si="9"/>
        <v>0</v>
      </c>
      <c r="P57" s="3" t="s">
        <v>38</v>
      </c>
    </row>
    <row r="58" spans="2:20" x14ac:dyDescent="0.25">
      <c r="B58" s="244" t="str">
        <f>'EXPEDITION CONSOLIDATION'!B21:D21</f>
        <v>Cordtex (Detonating Cord) 5</v>
      </c>
      <c r="C58" s="244"/>
      <c r="D58" s="244"/>
      <c r="E58" s="2"/>
      <c r="F58" s="68"/>
      <c r="G58" s="48">
        <v>285</v>
      </c>
      <c r="H58" s="45" t="s">
        <v>39</v>
      </c>
      <c r="I58" s="14"/>
      <c r="J58" s="66"/>
      <c r="K58" s="48">
        <f t="shared" si="8"/>
        <v>285</v>
      </c>
      <c r="L58" s="45" t="s">
        <v>39</v>
      </c>
      <c r="N58" s="66"/>
      <c r="O58" s="48">
        <f t="shared" si="9"/>
        <v>285</v>
      </c>
      <c r="P58" s="3" t="s">
        <v>39</v>
      </c>
    </row>
    <row r="59" spans="2:20" x14ac:dyDescent="0.25">
      <c r="B59" s="244" t="str">
        <f>'EXPEDITION CONSOLIDATION'!B22:D22</f>
        <v>Cordtex (DCORD I) 5</v>
      </c>
      <c r="C59" s="244"/>
      <c r="D59" s="244"/>
      <c r="E59" s="2"/>
      <c r="F59" s="3"/>
      <c r="G59" s="36"/>
      <c r="H59" s="45" t="s">
        <v>39</v>
      </c>
      <c r="I59" s="14"/>
      <c r="J59" s="88"/>
      <c r="K59" s="36">
        <f t="shared" si="6"/>
        <v>0</v>
      </c>
      <c r="L59" s="45" t="s">
        <v>39</v>
      </c>
      <c r="M59" s="86"/>
      <c r="N59" s="88"/>
      <c r="O59" s="36">
        <f t="shared" si="7"/>
        <v>0</v>
      </c>
      <c r="P59" s="3" t="s">
        <v>39</v>
      </c>
      <c r="R59" s="20"/>
    </row>
    <row r="60" spans="2:20" x14ac:dyDescent="0.25">
      <c r="B60" s="244" t="str">
        <f>'EXPEDITION CONSOLIDATION'!B23:D23</f>
        <v>Cordtex (Detonating Cord) 40</v>
      </c>
      <c r="C60" s="244"/>
      <c r="D60" s="244"/>
      <c r="E60" s="2"/>
      <c r="F60" s="3"/>
      <c r="G60" s="36"/>
      <c r="H60" s="45" t="s">
        <v>39</v>
      </c>
      <c r="I60" s="14"/>
      <c r="J60" s="66"/>
      <c r="K60" s="36">
        <f t="shared" si="6"/>
        <v>0</v>
      </c>
      <c r="L60" s="45" t="s">
        <v>39</v>
      </c>
      <c r="N60" s="66"/>
      <c r="O60" s="36">
        <f t="shared" si="7"/>
        <v>0</v>
      </c>
      <c r="P60" s="3" t="s">
        <v>39</v>
      </c>
      <c r="R60" s="20"/>
    </row>
    <row r="61" spans="2:20" x14ac:dyDescent="0.25">
      <c r="B61" s="244" t="str">
        <f>'EXPEDITION CONSOLIDATION'!B24:D24</f>
        <v>MS 12</v>
      </c>
      <c r="C61" s="244"/>
      <c r="D61" s="244"/>
      <c r="E61" s="2"/>
      <c r="F61" s="3"/>
      <c r="G61" s="36"/>
      <c r="H61" s="45" t="s">
        <v>39</v>
      </c>
      <c r="I61" s="14"/>
      <c r="J61" s="162"/>
      <c r="K61" s="36">
        <f t="shared" si="6"/>
        <v>0</v>
      </c>
      <c r="L61" s="45" t="s">
        <v>39</v>
      </c>
      <c r="M61" s="164"/>
      <c r="N61" s="162"/>
      <c r="O61" s="36">
        <f t="shared" si="7"/>
        <v>0</v>
      </c>
      <c r="P61" s="3" t="s">
        <v>39</v>
      </c>
      <c r="S61" s="20"/>
    </row>
    <row r="62" spans="2:20" x14ac:dyDescent="0.25">
      <c r="B62" s="244" t="str">
        <f>'EXPEDITION CONSOLIDATION'!B25:D25</f>
        <v>MS 18</v>
      </c>
      <c r="C62" s="244"/>
      <c r="D62" s="244"/>
      <c r="E62" s="2"/>
      <c r="F62" s="3"/>
      <c r="G62" s="36"/>
      <c r="H62" s="45" t="s">
        <v>39</v>
      </c>
      <c r="I62" s="14"/>
      <c r="J62" s="162"/>
      <c r="K62" s="36">
        <f>G62</f>
        <v>0</v>
      </c>
      <c r="L62" s="45" t="s">
        <v>39</v>
      </c>
      <c r="M62" s="164"/>
      <c r="N62" s="162"/>
      <c r="O62" s="36">
        <f t="shared" si="7"/>
        <v>0</v>
      </c>
      <c r="P62" s="3" t="s">
        <v>39</v>
      </c>
      <c r="S62" s="20"/>
    </row>
    <row r="63" spans="2:20" x14ac:dyDescent="0.25">
      <c r="B63" s="244" t="str">
        <f>'EXPEDITION CONSOLIDATION'!B26:D26</f>
        <v>Fuse Lighter</v>
      </c>
      <c r="C63" s="244"/>
      <c r="D63" s="244"/>
      <c r="E63" s="2"/>
      <c r="F63" s="3"/>
      <c r="G63" s="36"/>
      <c r="H63" s="37" t="s">
        <v>38</v>
      </c>
      <c r="I63" s="14"/>
      <c r="J63" s="92"/>
      <c r="K63" s="36">
        <f t="shared" si="6"/>
        <v>0</v>
      </c>
      <c r="L63" s="37" t="s">
        <v>38</v>
      </c>
      <c r="M63" s="91"/>
      <c r="N63" s="92"/>
      <c r="O63" s="36">
        <f t="shared" si="7"/>
        <v>0</v>
      </c>
      <c r="P63" s="37" t="s">
        <v>38</v>
      </c>
    </row>
    <row r="64" spans="2:20" x14ac:dyDescent="0.25">
      <c r="B64" s="244" t="str">
        <f>'EXPEDITION CONSOLIDATION'!B27:D27</f>
        <v>BILL WIRE</v>
      </c>
      <c r="C64" s="244"/>
      <c r="D64" s="244"/>
      <c r="E64" s="2"/>
      <c r="F64" s="3"/>
      <c r="G64" s="36"/>
      <c r="H64" s="37" t="s">
        <v>38</v>
      </c>
      <c r="I64" s="14"/>
      <c r="J64" s="105"/>
      <c r="K64" s="36">
        <f t="shared" si="6"/>
        <v>0</v>
      </c>
      <c r="L64" s="37" t="s">
        <v>38</v>
      </c>
      <c r="M64" s="106"/>
      <c r="N64" s="105"/>
      <c r="O64" s="36">
        <f t="shared" si="7"/>
        <v>0</v>
      </c>
      <c r="P64" s="37" t="s">
        <v>38</v>
      </c>
    </row>
    <row r="65" spans="1:19" x14ac:dyDescent="0.25">
      <c r="B65" s="244" t="str">
        <f>'EXPEDITION CONSOLIDATION'!B28:D28</f>
        <v>EBC</v>
      </c>
      <c r="C65" s="244"/>
      <c r="D65" s="244"/>
      <c r="E65" s="2"/>
      <c r="F65" s="3"/>
      <c r="G65" s="36">
        <v>4</v>
      </c>
      <c r="H65" s="37" t="s">
        <v>38</v>
      </c>
      <c r="I65" s="14"/>
      <c r="J65" s="66"/>
      <c r="K65" s="36">
        <f t="shared" ref="K65" si="10">G65</f>
        <v>4</v>
      </c>
      <c r="L65" s="37" t="s">
        <v>38</v>
      </c>
      <c r="N65" s="66"/>
      <c r="O65" s="36">
        <f t="shared" ref="O65" si="11">G65</f>
        <v>4</v>
      </c>
      <c r="P65" s="37" t="s">
        <v>38</v>
      </c>
    </row>
    <row r="66" spans="1:19" ht="9.75" customHeight="1" x14ac:dyDescent="0.25"/>
    <row r="67" spans="1:19" s="6" customFormat="1" ht="18.75" x14ac:dyDescent="0.3">
      <c r="A67" s="6" t="s">
        <v>12</v>
      </c>
      <c r="B67" s="245" t="s">
        <v>25</v>
      </c>
      <c r="C67" s="245"/>
      <c r="D67" s="245"/>
      <c r="M67" s="64"/>
    </row>
    <row r="68" spans="1:19" x14ac:dyDescent="0.25">
      <c r="C68" s="65" t="s">
        <v>13</v>
      </c>
      <c r="D68" s="31" t="s">
        <v>34</v>
      </c>
      <c r="E68" s="250">
        <v>69</v>
      </c>
      <c r="F68" s="250"/>
      <c r="G68" s="249" t="s">
        <v>18</v>
      </c>
      <c r="H68" s="249"/>
      <c r="I68" s="65"/>
      <c r="J68" s="250">
        <f>G55+G56-J69+G57</f>
        <v>1670</v>
      </c>
      <c r="K68" s="250"/>
      <c r="L68" s="39"/>
      <c r="M68" s="22" t="s">
        <v>19</v>
      </c>
      <c r="N68" s="250" t="s">
        <v>32</v>
      </c>
      <c r="O68" s="250"/>
      <c r="P68" s="66"/>
      <c r="R68" s="20"/>
    </row>
    <row r="69" spans="1:19" x14ac:dyDescent="0.25">
      <c r="C69" s="65" t="s">
        <v>14</v>
      </c>
      <c r="D69" s="31" t="s">
        <v>35</v>
      </c>
      <c r="E69" s="252">
        <v>2</v>
      </c>
      <c r="F69" s="252"/>
      <c r="G69" s="249" t="s">
        <v>18</v>
      </c>
      <c r="H69" s="249"/>
      <c r="I69" s="65"/>
      <c r="J69" s="257">
        <f>5+2</f>
        <v>7</v>
      </c>
      <c r="K69" s="257"/>
      <c r="L69" s="71"/>
      <c r="M69" s="22" t="s">
        <v>19</v>
      </c>
      <c r="N69" s="252" t="s">
        <v>33</v>
      </c>
      <c r="O69" s="252"/>
      <c r="P69" s="68"/>
      <c r="R69" s="20"/>
      <c r="S69" s="20"/>
    </row>
    <row r="70" spans="1:19" x14ac:dyDescent="0.25">
      <c r="J70" s="20"/>
      <c r="K70" s="20"/>
      <c r="L70" s="20"/>
      <c r="R70" s="20"/>
    </row>
    <row r="71" spans="1:19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4"/>
    </row>
    <row r="72" spans="1:19" s="7" customFormat="1" ht="15" customHeight="1" x14ac:dyDescent="0.3">
      <c r="B72" s="6" t="s">
        <v>17</v>
      </c>
      <c r="D72" s="78"/>
      <c r="E72" s="9"/>
      <c r="F72" s="9"/>
      <c r="G72" s="9"/>
      <c r="H72" s="9"/>
      <c r="I72" s="9"/>
      <c r="J72" s="9"/>
      <c r="K72" s="9"/>
      <c r="L72" s="9"/>
      <c r="M72" s="25"/>
      <c r="N72" s="9"/>
      <c r="O72" s="9"/>
      <c r="P72" s="9"/>
    </row>
    <row r="73" spans="1:19" ht="9.75" customHeight="1" x14ac:dyDescent="0.25">
      <c r="M73" s="108"/>
    </row>
  </sheetData>
  <mergeCells count="76">
    <mergeCell ref="A1:P1"/>
    <mergeCell ref="A2:P2"/>
    <mergeCell ref="A3:P3"/>
    <mergeCell ref="A5:P5"/>
    <mergeCell ref="N6:P6"/>
    <mergeCell ref="N9:P9"/>
    <mergeCell ref="G10:H10"/>
    <mergeCell ref="K10:L10"/>
    <mergeCell ref="O10:P10"/>
    <mergeCell ref="B11:D11"/>
    <mergeCell ref="B50:D50"/>
    <mergeCell ref="B29:D29"/>
    <mergeCell ref="B9:D9"/>
    <mergeCell ref="F9:H9"/>
    <mergeCell ref="J9:L9"/>
    <mergeCell ref="B12:D12"/>
    <mergeCell ref="B14:D14"/>
    <mergeCell ref="B13:D13"/>
    <mergeCell ref="B15:D15"/>
    <mergeCell ref="B16:D16"/>
    <mergeCell ref="B17:D17"/>
    <mergeCell ref="B18:D18"/>
    <mergeCell ref="A39:P39"/>
    <mergeCell ref="G48:H48"/>
    <mergeCell ref="K48:L48"/>
    <mergeCell ref="O48:P48"/>
    <mergeCell ref="B49:D49"/>
    <mergeCell ref="J30:K30"/>
    <mergeCell ref="N30:O30"/>
    <mergeCell ref="E31:F31"/>
    <mergeCell ref="G31:H31"/>
    <mergeCell ref="J31:K31"/>
    <mergeCell ref="N31:O31"/>
    <mergeCell ref="E30:F30"/>
    <mergeCell ref="B67:D67"/>
    <mergeCell ref="E68:F68"/>
    <mergeCell ref="G68:H68"/>
    <mergeCell ref="J68:K68"/>
    <mergeCell ref="B52:D52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E69:F69"/>
    <mergeCell ref="G69:H69"/>
    <mergeCell ref="J69:K69"/>
    <mergeCell ref="N69:O69"/>
    <mergeCell ref="N68:O68"/>
    <mergeCell ref="B19:D19"/>
    <mergeCell ref="B20:D20"/>
    <mergeCell ref="B21:D21"/>
    <mergeCell ref="B22:D22"/>
    <mergeCell ref="B23:D23"/>
    <mergeCell ref="B65:D65"/>
    <mergeCell ref="B24:D24"/>
    <mergeCell ref="B25:D25"/>
    <mergeCell ref="B26:D26"/>
    <mergeCell ref="B27:D27"/>
    <mergeCell ref="B53:D53"/>
    <mergeCell ref="A41:P41"/>
    <mergeCell ref="A43:P43"/>
    <mergeCell ref="B47:D47"/>
    <mergeCell ref="F47:H47"/>
    <mergeCell ref="J47:L47"/>
    <mergeCell ref="N47:P47"/>
    <mergeCell ref="N44:P44"/>
    <mergeCell ref="B51:D51"/>
    <mergeCell ref="A40:P40"/>
    <mergeCell ref="G30:H30"/>
  </mergeCells>
  <pageMargins left="0.51181102362204722" right="0.11811023622047245" top="0.19685039370078741" bottom="0.23622047244094491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73"/>
  <sheetViews>
    <sheetView topLeftCell="A28" zoomScaleNormal="100" workbookViewId="0">
      <selection activeCell="K70" sqref="K70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42578125" customWidth="1"/>
    <col min="7" max="7" width="8.28515625" customWidth="1"/>
    <col min="8" max="8" width="6.7109375" customWidth="1"/>
    <col min="9" max="9" width="3.42578125" customWidth="1"/>
    <col min="10" max="10" width="8.5703125" customWidth="1"/>
    <col min="11" max="11" width="7.85546875" customWidth="1"/>
    <col min="12" max="12" width="6.7109375" customWidth="1"/>
    <col min="13" max="13" width="6.28515625" style="70" customWidth="1"/>
    <col min="14" max="14" width="8" customWidth="1"/>
    <col min="15" max="15" width="8.5703125" customWidth="1"/>
    <col min="16" max="16" width="12.7109375" customWidth="1"/>
  </cols>
  <sheetData>
    <row r="1" spans="1:18" s="4" customFormat="1" ht="18.75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18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8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18" s="4" customFormat="1" ht="15.75" x14ac:dyDescent="0.25">
      <c r="M4" s="69"/>
    </row>
    <row r="5" spans="1:18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</row>
    <row r="6" spans="1:18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v>46178</v>
      </c>
      <c r="O6" s="256"/>
      <c r="P6" s="256"/>
    </row>
    <row r="7" spans="1:18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2" t="s">
        <v>27</v>
      </c>
      <c r="N7" s="53" t="s">
        <v>36</v>
      </c>
      <c r="O7" s="53"/>
      <c r="P7" s="72"/>
    </row>
    <row r="9" spans="1:18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64"/>
      <c r="J9" s="245" t="s">
        <v>9</v>
      </c>
      <c r="K9" s="245"/>
      <c r="L9" s="245"/>
      <c r="M9" s="64"/>
      <c r="N9" s="245" t="s">
        <v>10</v>
      </c>
      <c r="O9" s="245"/>
      <c r="P9" s="245"/>
    </row>
    <row r="10" spans="1:18" s="6" customFormat="1" ht="18.75" x14ac:dyDescent="0.3">
      <c r="B10" s="63"/>
      <c r="C10" s="63"/>
      <c r="D10" s="63"/>
      <c r="F10" s="62" t="s">
        <v>29</v>
      </c>
      <c r="G10" s="246" t="s">
        <v>30</v>
      </c>
      <c r="H10" s="247"/>
      <c r="I10" s="64"/>
      <c r="J10" s="62" t="s">
        <v>29</v>
      </c>
      <c r="K10" s="246" t="s">
        <v>30</v>
      </c>
      <c r="L10" s="247"/>
      <c r="M10" s="64"/>
      <c r="N10" s="62" t="s">
        <v>29</v>
      </c>
      <c r="O10" s="246" t="s">
        <v>30</v>
      </c>
      <c r="P10" s="247"/>
    </row>
    <row r="11" spans="1:18" x14ac:dyDescent="0.25">
      <c r="B11" s="244" t="str">
        <f>'EXPEDITION CONSOLIDATION'!B12:D12</f>
        <v>Emulison Senatel Pulsar 38</v>
      </c>
      <c r="C11" s="244"/>
      <c r="D11" s="244"/>
      <c r="E11" s="2"/>
      <c r="F11" s="79">
        <f>G11/38*25</f>
        <v>0</v>
      </c>
      <c r="G11" s="36"/>
      <c r="H11" s="45" t="s">
        <v>38</v>
      </c>
      <c r="I11" s="14"/>
      <c r="J11" s="79">
        <f t="shared" ref="J11:K13" si="0">F11</f>
        <v>0</v>
      </c>
      <c r="K11" s="36">
        <f t="shared" si="0"/>
        <v>0</v>
      </c>
      <c r="L11" s="45" t="s">
        <v>38</v>
      </c>
      <c r="N11" s="79">
        <f t="shared" ref="N11:O13" si="1">F11</f>
        <v>0</v>
      </c>
      <c r="O11" s="36">
        <f t="shared" si="1"/>
        <v>0</v>
      </c>
      <c r="P11" s="45" t="s">
        <v>38</v>
      </c>
    </row>
    <row r="12" spans="1:18" x14ac:dyDescent="0.25">
      <c r="B12" s="244" t="str">
        <f>'EXPEDITION CONSOLIDATION'!B13:D13</f>
        <v>Emulison Senatel Pulsar 135</v>
      </c>
      <c r="C12" s="244"/>
      <c r="D12" s="244"/>
      <c r="E12" s="2"/>
      <c r="F12" s="30">
        <f>G12/135*25</f>
        <v>0</v>
      </c>
      <c r="G12" s="36"/>
      <c r="H12" s="45" t="s">
        <v>38</v>
      </c>
      <c r="I12" s="14"/>
      <c r="J12" s="30">
        <f t="shared" si="0"/>
        <v>0</v>
      </c>
      <c r="K12" s="36">
        <f t="shared" si="0"/>
        <v>0</v>
      </c>
      <c r="L12" s="45" t="s">
        <v>38</v>
      </c>
      <c r="N12" s="30">
        <f t="shared" si="1"/>
        <v>0</v>
      </c>
      <c r="O12" s="36">
        <f t="shared" si="1"/>
        <v>0</v>
      </c>
      <c r="P12" s="3" t="s">
        <v>38</v>
      </c>
    </row>
    <row r="13" spans="1:18" x14ac:dyDescent="0.25">
      <c r="B13" s="244" t="str">
        <f>'EXPEDITION CONSOLIDATION'!B14:D14</f>
        <v>Emulsion Senatel Pulsar 215 P</v>
      </c>
      <c r="C13" s="244"/>
      <c r="D13" s="244"/>
      <c r="E13" s="2"/>
      <c r="F13" s="30">
        <f>G13/215*25</f>
        <v>160.69767441860466</v>
      </c>
      <c r="G13" s="36">
        <v>1382</v>
      </c>
      <c r="H13" s="45" t="s">
        <v>38</v>
      </c>
      <c r="I13" s="14"/>
      <c r="J13" s="30">
        <f t="shared" si="0"/>
        <v>160.69767441860466</v>
      </c>
      <c r="K13" s="36">
        <f t="shared" si="0"/>
        <v>1382</v>
      </c>
      <c r="L13" s="45" t="s">
        <v>38</v>
      </c>
      <c r="M13" s="81"/>
      <c r="N13" s="30">
        <f t="shared" si="1"/>
        <v>160.69767441860466</v>
      </c>
      <c r="O13" s="36">
        <f t="shared" si="1"/>
        <v>1382</v>
      </c>
      <c r="P13" s="3" t="s">
        <v>38</v>
      </c>
    </row>
    <row r="14" spans="1:18" x14ac:dyDescent="0.25">
      <c r="B14" s="244" t="str">
        <f>'EXPEDITION CONSOLIDATION'!B15:D15</f>
        <v>Anfo</v>
      </c>
      <c r="C14" s="244"/>
      <c r="D14" s="244"/>
      <c r="E14" s="2"/>
      <c r="F14" s="79">
        <v>1186.5999999999999</v>
      </c>
      <c r="G14" s="36"/>
      <c r="H14" s="45"/>
      <c r="I14" s="14"/>
      <c r="J14" s="79">
        <f>F14</f>
        <v>1186.5999999999999</v>
      </c>
      <c r="K14" s="36"/>
      <c r="L14" s="45"/>
      <c r="N14" s="79">
        <f>F14</f>
        <v>1186.5999999999999</v>
      </c>
      <c r="O14" s="36"/>
      <c r="P14" s="3"/>
    </row>
    <row r="15" spans="1:18" x14ac:dyDescent="0.25">
      <c r="B15" s="244" t="str">
        <f>'EXPEDITION CONSOLIDATION'!B16:D16</f>
        <v>OBC</v>
      </c>
      <c r="C15" s="244"/>
      <c r="D15" s="244"/>
      <c r="E15" s="2"/>
      <c r="F15" s="67"/>
      <c r="G15" s="47">
        <v>112</v>
      </c>
      <c r="H15" s="46" t="s">
        <v>38</v>
      </c>
      <c r="I15" s="14"/>
      <c r="J15" s="66"/>
      <c r="K15" s="36">
        <f t="shared" ref="K15:K27" si="2">G15</f>
        <v>112</v>
      </c>
      <c r="L15" s="45" t="s">
        <v>38</v>
      </c>
      <c r="N15" s="66"/>
      <c r="O15" s="36">
        <f t="shared" ref="O15:O27" si="3">G15</f>
        <v>112</v>
      </c>
      <c r="P15" s="3" t="s">
        <v>38</v>
      </c>
    </row>
    <row r="16" spans="1:18" x14ac:dyDescent="0.25">
      <c r="B16" s="244" t="str">
        <f>'EXPEDITION CONSOLIDATION'!B17:D17</f>
        <v>Safety Fuse</v>
      </c>
      <c r="C16" s="244"/>
      <c r="D16" s="244"/>
      <c r="E16" s="2"/>
      <c r="F16" s="68"/>
      <c r="G16" s="94">
        <f>G15*2.43</f>
        <v>272.16000000000003</v>
      </c>
      <c r="H16" s="45" t="s">
        <v>39</v>
      </c>
      <c r="I16" s="14"/>
      <c r="J16" s="66"/>
      <c r="K16" s="90">
        <f t="shared" si="2"/>
        <v>272.16000000000003</v>
      </c>
      <c r="L16" s="45" t="s">
        <v>39</v>
      </c>
      <c r="N16" s="66"/>
      <c r="O16" s="90">
        <f t="shared" si="3"/>
        <v>272.16000000000003</v>
      </c>
      <c r="P16" s="3" t="s">
        <v>39</v>
      </c>
      <c r="R16" s="77"/>
    </row>
    <row r="17" spans="1:19" x14ac:dyDescent="0.25">
      <c r="B17" s="244" t="str">
        <f>'EXPEDITION CONSOLIDATION'!B18:D18</f>
        <v>EXEL Detonator (3.6)</v>
      </c>
      <c r="C17" s="244"/>
      <c r="D17" s="244"/>
      <c r="E17" s="2"/>
      <c r="F17" s="68"/>
      <c r="G17" s="36">
        <v>74</v>
      </c>
      <c r="H17" s="45" t="s">
        <v>38</v>
      </c>
      <c r="I17" s="14"/>
      <c r="J17" s="66"/>
      <c r="K17" s="36">
        <f t="shared" si="2"/>
        <v>74</v>
      </c>
      <c r="L17" s="45" t="s">
        <v>38</v>
      </c>
      <c r="N17" s="66"/>
      <c r="O17" s="36">
        <f t="shared" si="3"/>
        <v>74</v>
      </c>
      <c r="P17" s="3" t="s">
        <v>38</v>
      </c>
    </row>
    <row r="18" spans="1:19" x14ac:dyDescent="0.25">
      <c r="B18" s="244" t="str">
        <f>'EXPEDITION CONSOLIDATION'!B19:D19</f>
        <v>EXEL Detonator (2.4)</v>
      </c>
      <c r="C18" s="244"/>
      <c r="D18" s="244"/>
      <c r="E18" s="2"/>
      <c r="F18" s="68"/>
      <c r="G18" s="36">
        <v>1615</v>
      </c>
      <c r="H18" s="45" t="s">
        <v>38</v>
      </c>
      <c r="I18" s="14"/>
      <c r="J18" s="66"/>
      <c r="K18" s="36">
        <f t="shared" si="2"/>
        <v>1615</v>
      </c>
      <c r="L18" s="45" t="s">
        <v>38</v>
      </c>
      <c r="N18" s="66"/>
      <c r="O18" s="36">
        <f t="shared" si="3"/>
        <v>1615</v>
      </c>
      <c r="P18" s="3" t="s">
        <v>38</v>
      </c>
    </row>
    <row r="19" spans="1:19" x14ac:dyDescent="0.25">
      <c r="B19" s="244" t="str">
        <f>'EXPEDITION CONSOLIDATION'!B20:D20</f>
        <v>EXEL Detonator (4.9)</v>
      </c>
      <c r="C19" s="244"/>
      <c r="D19" s="244"/>
      <c r="E19" s="2"/>
      <c r="F19" s="176"/>
      <c r="G19" s="36"/>
      <c r="H19" s="45" t="s">
        <v>38</v>
      </c>
      <c r="I19" s="14"/>
      <c r="J19" s="174"/>
      <c r="K19" s="36">
        <f t="shared" ref="K19" si="4">G19</f>
        <v>0</v>
      </c>
      <c r="L19" s="45" t="s">
        <v>38</v>
      </c>
      <c r="M19" s="177"/>
      <c r="N19" s="174"/>
      <c r="O19" s="36">
        <f t="shared" ref="O19" si="5">G19</f>
        <v>0</v>
      </c>
      <c r="P19" s="3" t="s">
        <v>38</v>
      </c>
    </row>
    <row r="20" spans="1:19" x14ac:dyDescent="0.25">
      <c r="B20" s="244" t="str">
        <f>'EXPEDITION CONSOLIDATION'!B21:D21</f>
        <v>Cordtex (Detonating Cord) 5</v>
      </c>
      <c r="C20" s="244"/>
      <c r="D20" s="244"/>
      <c r="E20" s="2"/>
      <c r="F20" s="68"/>
      <c r="G20" s="48">
        <v>254</v>
      </c>
      <c r="H20" s="45" t="s">
        <v>39</v>
      </c>
      <c r="I20" s="14"/>
      <c r="J20" s="66"/>
      <c r="K20" s="36">
        <f t="shared" si="2"/>
        <v>254</v>
      </c>
      <c r="L20" s="45" t="s">
        <v>39</v>
      </c>
      <c r="N20" s="66"/>
      <c r="O20" s="36">
        <f t="shared" si="3"/>
        <v>254</v>
      </c>
      <c r="P20" s="3" t="s">
        <v>39</v>
      </c>
    </row>
    <row r="21" spans="1:19" x14ac:dyDescent="0.25">
      <c r="B21" s="244" t="str">
        <f>'EXPEDITION CONSOLIDATION'!B22:D22</f>
        <v>Cordtex (DCORD I) 5</v>
      </c>
      <c r="C21" s="244"/>
      <c r="D21" s="244"/>
      <c r="E21" s="2"/>
      <c r="F21" s="3"/>
      <c r="G21" s="36"/>
      <c r="H21" s="45" t="s">
        <v>39</v>
      </c>
      <c r="I21" s="14"/>
      <c r="J21" s="88"/>
      <c r="K21" s="36">
        <f t="shared" si="2"/>
        <v>0</v>
      </c>
      <c r="L21" s="45" t="s">
        <v>39</v>
      </c>
      <c r="M21" s="86"/>
      <c r="N21" s="88"/>
      <c r="O21" s="36">
        <f t="shared" si="3"/>
        <v>0</v>
      </c>
      <c r="P21" s="3" t="s">
        <v>39</v>
      </c>
    </row>
    <row r="22" spans="1:19" x14ac:dyDescent="0.25">
      <c r="B22" s="244" t="str">
        <f>'EXPEDITION CONSOLIDATION'!B23:D23</f>
        <v>Cordtex (Detonating Cord) 40</v>
      </c>
      <c r="C22" s="244"/>
      <c r="D22" s="244"/>
      <c r="E22" s="2"/>
      <c r="F22" s="3"/>
      <c r="G22" s="36"/>
      <c r="H22" s="45" t="s">
        <v>39</v>
      </c>
      <c r="I22" s="14"/>
      <c r="J22" s="66"/>
      <c r="K22" s="36">
        <f t="shared" si="2"/>
        <v>0</v>
      </c>
      <c r="L22" s="45" t="s">
        <v>39</v>
      </c>
      <c r="N22" s="66"/>
      <c r="O22" s="36">
        <f t="shared" si="3"/>
        <v>0</v>
      </c>
      <c r="P22" s="3" t="s">
        <v>39</v>
      </c>
    </row>
    <row r="23" spans="1:19" x14ac:dyDescent="0.25">
      <c r="B23" s="244" t="str">
        <f>'EXPEDITION CONSOLIDATION'!B24:D24</f>
        <v>MS 12</v>
      </c>
      <c r="C23" s="244"/>
      <c r="D23" s="244"/>
      <c r="E23" s="2"/>
      <c r="F23" s="3"/>
      <c r="G23" s="36"/>
      <c r="H23" s="45" t="s">
        <v>39</v>
      </c>
      <c r="I23" s="14"/>
      <c r="J23" s="162"/>
      <c r="K23" s="36">
        <f t="shared" si="2"/>
        <v>0</v>
      </c>
      <c r="L23" s="45" t="s">
        <v>39</v>
      </c>
      <c r="M23" s="164"/>
      <c r="N23" s="162"/>
      <c r="O23" s="36">
        <f t="shared" si="3"/>
        <v>0</v>
      </c>
      <c r="P23" s="3" t="s">
        <v>39</v>
      </c>
      <c r="S23" s="20"/>
    </row>
    <row r="24" spans="1:19" x14ac:dyDescent="0.25">
      <c r="B24" s="244" t="str">
        <f>'EXPEDITION CONSOLIDATION'!B25:D25</f>
        <v>MS 18</v>
      </c>
      <c r="C24" s="244"/>
      <c r="D24" s="244"/>
      <c r="E24" s="2"/>
      <c r="F24" s="3"/>
      <c r="G24" s="36"/>
      <c r="H24" s="45" t="s">
        <v>39</v>
      </c>
      <c r="I24" s="14"/>
      <c r="J24" s="162"/>
      <c r="K24" s="36">
        <f>G24</f>
        <v>0</v>
      </c>
      <c r="L24" s="45" t="s">
        <v>39</v>
      </c>
      <c r="M24" s="164"/>
      <c r="N24" s="162"/>
      <c r="O24" s="36">
        <f t="shared" si="3"/>
        <v>0</v>
      </c>
      <c r="P24" s="3" t="s">
        <v>39</v>
      </c>
      <c r="S24" s="20"/>
    </row>
    <row r="25" spans="1:19" x14ac:dyDescent="0.25">
      <c r="B25" s="244" t="str">
        <f>'EXPEDITION CONSOLIDATION'!B26:D26</f>
        <v>Fuse Lighter</v>
      </c>
      <c r="C25" s="244"/>
      <c r="D25" s="244"/>
      <c r="E25" s="2"/>
      <c r="F25" s="3"/>
      <c r="G25" s="36">
        <v>2</v>
      </c>
      <c r="H25" s="37" t="s">
        <v>38</v>
      </c>
      <c r="I25" s="14"/>
      <c r="J25" s="92"/>
      <c r="K25" s="36">
        <f t="shared" si="2"/>
        <v>2</v>
      </c>
      <c r="L25" s="37" t="s">
        <v>38</v>
      </c>
      <c r="M25" s="91"/>
      <c r="N25" s="92"/>
      <c r="O25" s="36">
        <f t="shared" si="3"/>
        <v>2</v>
      </c>
      <c r="P25" s="37" t="s">
        <v>38</v>
      </c>
    </row>
    <row r="26" spans="1:19" x14ac:dyDescent="0.25">
      <c r="B26" s="244" t="str">
        <f>'EXPEDITION CONSOLIDATION'!B27:D27</f>
        <v>BILL WIRE</v>
      </c>
      <c r="C26" s="244"/>
      <c r="D26" s="244"/>
      <c r="E26" s="2"/>
      <c r="F26" s="3"/>
      <c r="G26" s="36">
        <v>26</v>
      </c>
      <c r="H26" s="37" t="s">
        <v>38</v>
      </c>
      <c r="I26" s="14"/>
      <c r="J26" s="105"/>
      <c r="K26" s="36">
        <f t="shared" si="2"/>
        <v>26</v>
      </c>
      <c r="L26" s="37" t="s">
        <v>38</v>
      </c>
      <c r="M26" s="106"/>
      <c r="N26" s="105"/>
      <c r="O26" s="36">
        <f t="shared" si="3"/>
        <v>26</v>
      </c>
      <c r="P26" s="37" t="s">
        <v>38</v>
      </c>
    </row>
    <row r="27" spans="1:19" x14ac:dyDescent="0.25">
      <c r="B27" s="244" t="str">
        <f>'EXPEDITION CONSOLIDATION'!B28:D28</f>
        <v>EBC</v>
      </c>
      <c r="C27" s="244"/>
      <c r="D27" s="244"/>
      <c r="E27" s="2"/>
      <c r="F27" s="3"/>
      <c r="G27" s="36">
        <v>4</v>
      </c>
      <c r="H27" s="37" t="s">
        <v>38</v>
      </c>
      <c r="I27" s="14"/>
      <c r="J27" s="66"/>
      <c r="K27" s="36">
        <f t="shared" si="2"/>
        <v>4</v>
      </c>
      <c r="L27" s="37" t="s">
        <v>38</v>
      </c>
      <c r="N27" s="66"/>
      <c r="O27" s="36">
        <f t="shared" si="3"/>
        <v>4</v>
      </c>
      <c r="P27" s="37" t="s">
        <v>38</v>
      </c>
      <c r="S27" s="20"/>
    </row>
    <row r="28" spans="1:19" ht="11.25" customHeight="1" x14ac:dyDescent="0.25">
      <c r="S28" s="20"/>
    </row>
    <row r="29" spans="1:19" s="6" customFormat="1" ht="18.75" x14ac:dyDescent="0.3">
      <c r="A29" s="6" t="s">
        <v>12</v>
      </c>
      <c r="B29" s="245" t="s">
        <v>25</v>
      </c>
      <c r="C29" s="245"/>
      <c r="D29" s="245"/>
      <c r="M29" s="64"/>
    </row>
    <row r="30" spans="1:19" x14ac:dyDescent="0.25">
      <c r="C30" s="65" t="s">
        <v>13</v>
      </c>
      <c r="D30" s="31" t="s">
        <v>34</v>
      </c>
      <c r="E30" s="250">
        <v>68</v>
      </c>
      <c r="F30" s="250"/>
      <c r="G30" s="249" t="s">
        <v>18</v>
      </c>
      <c r="H30" s="249"/>
      <c r="I30" s="89"/>
      <c r="J30" s="250">
        <f>G17+G18-J31+G19</f>
        <v>1661</v>
      </c>
      <c r="K30" s="250"/>
      <c r="L30" s="39"/>
      <c r="M30" s="22" t="s">
        <v>19</v>
      </c>
      <c r="N30" s="250" t="s">
        <v>32</v>
      </c>
      <c r="O30" s="250"/>
      <c r="P30" s="66"/>
      <c r="R30" s="20"/>
      <c r="S30" s="20"/>
    </row>
    <row r="31" spans="1:19" x14ac:dyDescent="0.25">
      <c r="C31" s="65" t="s">
        <v>14</v>
      </c>
      <c r="D31" s="31" t="s">
        <v>35</v>
      </c>
      <c r="E31" s="252">
        <v>3</v>
      </c>
      <c r="F31" s="252"/>
      <c r="G31" s="249" t="s">
        <v>18</v>
      </c>
      <c r="H31" s="249"/>
      <c r="I31" s="89"/>
      <c r="J31" s="257">
        <f>9+9+10</f>
        <v>28</v>
      </c>
      <c r="K31" s="252"/>
      <c r="L31" s="71"/>
      <c r="M31" s="22" t="s">
        <v>19</v>
      </c>
      <c r="N31" s="252" t="s">
        <v>33</v>
      </c>
      <c r="O31" s="252"/>
      <c r="P31" s="67"/>
      <c r="R31" s="20"/>
      <c r="S31" s="20"/>
    </row>
    <row r="32" spans="1:19" x14ac:dyDescent="0.25">
      <c r="J32" s="20"/>
      <c r="K32" s="20"/>
      <c r="L32" s="20"/>
      <c r="Q32" s="20"/>
      <c r="R32" s="20"/>
      <c r="S32" s="20"/>
    </row>
    <row r="33" spans="1:19" s="7" customFormat="1" ht="18.75" x14ac:dyDescent="0.3">
      <c r="A33" s="7" t="s">
        <v>15</v>
      </c>
      <c r="B33" s="8" t="s">
        <v>16</v>
      </c>
      <c r="C33" s="8"/>
      <c r="D33" s="8"/>
      <c r="E33" s="6"/>
      <c r="F33" s="6"/>
      <c r="M33" s="24"/>
      <c r="S33" s="76"/>
    </row>
    <row r="34" spans="1:19" s="7" customFormat="1" ht="18.75" x14ac:dyDescent="0.3">
      <c r="B34" s="6" t="s">
        <v>17</v>
      </c>
      <c r="D34" s="9"/>
      <c r="E34" s="9"/>
      <c r="F34" s="9"/>
      <c r="G34" s="9"/>
      <c r="H34" s="9"/>
      <c r="I34" s="9"/>
      <c r="J34" s="9"/>
      <c r="K34" s="9"/>
      <c r="L34" s="9"/>
      <c r="M34" s="25"/>
      <c r="N34" s="9"/>
      <c r="O34" s="9"/>
      <c r="P34" s="9"/>
      <c r="S34" s="76"/>
    </row>
    <row r="35" spans="1:19" s="7" customFormat="1" ht="18.75" x14ac:dyDescent="0.3">
      <c r="B35" s="6"/>
      <c r="D35" s="40"/>
      <c r="E35" s="40"/>
      <c r="F35" s="40"/>
      <c r="G35" s="40"/>
      <c r="H35" s="40"/>
      <c r="I35" s="40"/>
      <c r="J35" s="40"/>
      <c r="K35" s="40"/>
      <c r="L35" s="40"/>
      <c r="M35" s="111"/>
      <c r="N35" s="40"/>
      <c r="O35" s="40"/>
      <c r="P35" s="40"/>
      <c r="S35" s="76"/>
    </row>
    <row r="36" spans="1:19" ht="7.5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109"/>
      <c r="N36" s="32"/>
      <c r="O36" s="32"/>
      <c r="P36" s="32"/>
      <c r="Q36" s="32"/>
    </row>
    <row r="37" spans="1:19" ht="9" customHeight="1" x14ac:dyDescent="0.25"/>
    <row r="38" spans="1:19" ht="4.5" customHeight="1" x14ac:dyDescent="0.25"/>
    <row r="39" spans="1:19" s="4" customFormat="1" ht="18.75" x14ac:dyDescent="0.3">
      <c r="A39" s="240" t="s">
        <v>0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</row>
    <row r="40" spans="1:19" s="4" customFormat="1" ht="15.75" x14ac:dyDescent="0.25">
      <c r="A40" s="241" t="s">
        <v>28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</row>
    <row r="41" spans="1:19" s="4" customFormat="1" ht="15.75" x14ac:dyDescent="0.25">
      <c r="A41" s="241" t="s">
        <v>1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</row>
    <row r="42" spans="1:19" s="4" customFormat="1" ht="13.5" customHeight="1" x14ac:dyDescent="0.25">
      <c r="M42" s="69"/>
    </row>
    <row r="43" spans="1:19" s="4" customFormat="1" ht="18.75" x14ac:dyDescent="0.3">
      <c r="A43" s="240" t="s">
        <v>26</v>
      </c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</row>
    <row r="44" spans="1:19" s="2" customFormat="1" x14ac:dyDescent="0.25">
      <c r="A44" s="2" t="s">
        <v>3</v>
      </c>
      <c r="C44" s="5" t="s">
        <v>4</v>
      </c>
      <c r="D44" s="11" t="s">
        <v>11</v>
      </c>
      <c r="E44" s="11"/>
      <c r="F44" s="11"/>
      <c r="G44" s="11"/>
      <c r="H44" s="11"/>
      <c r="I44" s="11"/>
      <c r="J44" s="11"/>
      <c r="K44" s="11"/>
      <c r="L44" s="21"/>
      <c r="M44" s="22" t="s">
        <v>5</v>
      </c>
      <c r="N44" s="256">
        <v>46179</v>
      </c>
      <c r="O44" s="256"/>
      <c r="P44" s="256"/>
    </row>
    <row r="45" spans="1:19" s="2" customFormat="1" x14ac:dyDescent="0.25">
      <c r="A45" s="2" t="s">
        <v>22</v>
      </c>
      <c r="C45" s="5" t="s">
        <v>4</v>
      </c>
      <c r="D45" s="12" t="s">
        <v>37</v>
      </c>
      <c r="E45" s="13"/>
      <c r="F45" s="13"/>
      <c r="G45" s="13"/>
      <c r="H45" s="10"/>
      <c r="I45" s="10"/>
      <c r="J45" s="10"/>
      <c r="K45" s="10"/>
      <c r="L45" s="10"/>
      <c r="M45" s="22" t="s">
        <v>27</v>
      </c>
      <c r="N45" s="53" t="s">
        <v>36</v>
      </c>
      <c r="O45" s="53"/>
      <c r="P45" s="72"/>
    </row>
    <row r="47" spans="1:19" s="6" customFormat="1" ht="18.75" x14ac:dyDescent="0.3">
      <c r="A47" s="6" t="s">
        <v>6</v>
      </c>
      <c r="B47" s="248" t="s">
        <v>7</v>
      </c>
      <c r="C47" s="248"/>
      <c r="D47" s="248"/>
      <c r="F47" s="245" t="s">
        <v>8</v>
      </c>
      <c r="G47" s="245"/>
      <c r="H47" s="245"/>
      <c r="I47" s="64"/>
      <c r="J47" s="245" t="s">
        <v>9</v>
      </c>
      <c r="K47" s="245"/>
      <c r="L47" s="245"/>
      <c r="M47" s="64"/>
      <c r="N47" s="245" t="s">
        <v>10</v>
      </c>
      <c r="O47" s="245"/>
      <c r="P47" s="245"/>
    </row>
    <row r="48" spans="1:19" s="6" customFormat="1" ht="18.75" x14ac:dyDescent="0.3">
      <c r="B48" s="63"/>
      <c r="C48" s="63"/>
      <c r="D48" s="63"/>
      <c r="F48" s="62" t="s">
        <v>29</v>
      </c>
      <c r="G48" s="246" t="s">
        <v>30</v>
      </c>
      <c r="H48" s="247"/>
      <c r="I48" s="64"/>
      <c r="J48" s="62" t="s">
        <v>29</v>
      </c>
      <c r="K48" s="246" t="s">
        <v>30</v>
      </c>
      <c r="L48" s="247"/>
      <c r="M48" s="64"/>
      <c r="N48" s="62" t="s">
        <v>29</v>
      </c>
      <c r="O48" s="246" t="s">
        <v>30</v>
      </c>
      <c r="P48" s="247"/>
    </row>
    <row r="49" spans="2:19" x14ac:dyDescent="0.25">
      <c r="B49" s="244" t="str">
        <f>'EXPEDITION CONSOLIDATION'!B12:D12</f>
        <v>Emulison Senatel Pulsar 38</v>
      </c>
      <c r="C49" s="244"/>
      <c r="D49" s="244"/>
      <c r="E49" s="2"/>
      <c r="F49" s="79">
        <f>G49/38*25</f>
        <v>0</v>
      </c>
      <c r="G49" s="36"/>
      <c r="H49" s="45" t="s">
        <v>38</v>
      </c>
      <c r="I49" s="14"/>
      <c r="J49" s="30">
        <f>F49</f>
        <v>0</v>
      </c>
      <c r="K49" s="36">
        <f>G49</f>
        <v>0</v>
      </c>
      <c r="L49" s="45" t="s">
        <v>38</v>
      </c>
      <c r="N49" s="30">
        <f>F49</f>
        <v>0</v>
      </c>
      <c r="O49" s="36">
        <f>G49</f>
        <v>0</v>
      </c>
      <c r="P49" s="45" t="s">
        <v>38</v>
      </c>
    </row>
    <row r="50" spans="2:19" x14ac:dyDescent="0.25">
      <c r="B50" s="244" t="str">
        <f>'EXPEDITION CONSOLIDATION'!B13:D13</f>
        <v>Emulison Senatel Pulsar 135</v>
      </c>
      <c r="C50" s="244"/>
      <c r="D50" s="244"/>
      <c r="E50" s="2"/>
      <c r="F50" s="30">
        <f>G50/135*25</f>
        <v>0</v>
      </c>
      <c r="G50" s="36"/>
      <c r="H50" s="45" t="s">
        <v>38</v>
      </c>
      <c r="I50" s="14"/>
      <c r="J50" s="30">
        <f>F50</f>
        <v>0</v>
      </c>
      <c r="K50" s="36">
        <f t="shared" ref="K50:K64" si="6">G50</f>
        <v>0</v>
      </c>
      <c r="L50" s="45" t="s">
        <v>38</v>
      </c>
      <c r="N50" s="30">
        <f t="shared" ref="N50:O64" si="7">F50</f>
        <v>0</v>
      </c>
      <c r="O50" s="36">
        <f t="shared" si="7"/>
        <v>0</v>
      </c>
      <c r="P50" s="3" t="s">
        <v>38</v>
      </c>
    </row>
    <row r="51" spans="2:19" x14ac:dyDescent="0.25">
      <c r="B51" s="244" t="str">
        <f>'EXPEDITION CONSOLIDATION'!B14:D14</f>
        <v>Emulsion Senatel Pulsar 215 P</v>
      </c>
      <c r="C51" s="244"/>
      <c r="D51" s="244"/>
      <c r="E51" s="2"/>
      <c r="F51" s="30">
        <f>G51/215*25</f>
        <v>169.53488372093025</v>
      </c>
      <c r="G51" s="36">
        <v>1458</v>
      </c>
      <c r="H51" s="45" t="s">
        <v>38</v>
      </c>
      <c r="I51" s="14"/>
      <c r="J51" s="30">
        <f>F51</f>
        <v>169.53488372093025</v>
      </c>
      <c r="K51" s="36"/>
      <c r="L51" s="45" t="s">
        <v>38</v>
      </c>
      <c r="M51" s="81"/>
      <c r="N51" s="30">
        <f t="shared" ref="N51" si="8">F51</f>
        <v>169.53488372093025</v>
      </c>
      <c r="O51" s="36">
        <f t="shared" ref="O51" si="9">G51</f>
        <v>1458</v>
      </c>
      <c r="P51" s="3" t="s">
        <v>38</v>
      </c>
    </row>
    <row r="52" spans="2:19" x14ac:dyDescent="0.25">
      <c r="B52" s="244" t="str">
        <f>'EXPEDITION CONSOLIDATION'!B15:D15</f>
        <v>Anfo</v>
      </c>
      <c r="C52" s="244"/>
      <c r="D52" s="244"/>
      <c r="E52" s="2"/>
      <c r="F52" s="79">
        <v>1295.2</v>
      </c>
      <c r="G52" s="36"/>
      <c r="H52" s="45"/>
      <c r="I52" s="14"/>
      <c r="J52" s="97">
        <f>F52</f>
        <v>1295.2</v>
      </c>
      <c r="K52" s="36"/>
      <c r="L52" s="45"/>
      <c r="N52" s="97">
        <f t="shared" si="7"/>
        <v>1295.2</v>
      </c>
      <c r="O52" s="36"/>
      <c r="P52" s="3"/>
    </row>
    <row r="53" spans="2:19" x14ac:dyDescent="0.25">
      <c r="B53" s="244" t="str">
        <f>'EXPEDITION CONSOLIDATION'!B16:D16</f>
        <v>OBC</v>
      </c>
      <c r="C53" s="244"/>
      <c r="D53" s="244"/>
      <c r="E53" s="2"/>
      <c r="F53" s="67"/>
      <c r="G53" s="47">
        <v>105</v>
      </c>
      <c r="H53" s="46" t="s">
        <v>38</v>
      </c>
      <c r="I53" s="14"/>
      <c r="J53" s="66"/>
      <c r="K53" s="48">
        <f t="shared" si="6"/>
        <v>105</v>
      </c>
      <c r="L53" s="45" t="s">
        <v>38</v>
      </c>
      <c r="N53" s="66"/>
      <c r="O53" s="48">
        <f>G53</f>
        <v>105</v>
      </c>
      <c r="P53" s="3" t="s">
        <v>38</v>
      </c>
    </row>
    <row r="54" spans="2:19" x14ac:dyDescent="0.25">
      <c r="B54" s="244" t="str">
        <f>'EXPEDITION CONSOLIDATION'!B17:D17</f>
        <v>Safety Fuse</v>
      </c>
      <c r="C54" s="244"/>
      <c r="D54" s="244"/>
      <c r="E54" s="2"/>
      <c r="F54" s="68"/>
      <c r="G54" s="94">
        <f>G53*2.43</f>
        <v>255.15</v>
      </c>
      <c r="H54" s="45" t="s">
        <v>39</v>
      </c>
      <c r="I54" s="14"/>
      <c r="J54" s="66"/>
      <c r="K54" s="90">
        <f t="shared" si="6"/>
        <v>255.15</v>
      </c>
      <c r="L54" s="45" t="s">
        <v>39</v>
      </c>
      <c r="N54" s="66"/>
      <c r="O54" s="90">
        <f>G54</f>
        <v>255.15</v>
      </c>
      <c r="P54" s="3" t="s">
        <v>39</v>
      </c>
      <c r="S54" s="20"/>
    </row>
    <row r="55" spans="2:19" x14ac:dyDescent="0.25">
      <c r="B55" s="244" t="str">
        <f>'EXPEDITION CONSOLIDATION'!B18:D18</f>
        <v>EXEL Detonator (3.6)</v>
      </c>
      <c r="C55" s="244"/>
      <c r="D55" s="244"/>
      <c r="E55" s="2"/>
      <c r="F55" s="68"/>
      <c r="G55" s="36">
        <v>90</v>
      </c>
      <c r="H55" s="45" t="s">
        <v>38</v>
      </c>
      <c r="I55" s="14"/>
      <c r="J55" s="66"/>
      <c r="K55" s="36">
        <f t="shared" si="6"/>
        <v>90</v>
      </c>
      <c r="L55" s="45" t="s">
        <v>38</v>
      </c>
      <c r="N55" s="66"/>
      <c r="O55" s="36">
        <f t="shared" si="7"/>
        <v>90</v>
      </c>
      <c r="P55" s="3" t="s">
        <v>38</v>
      </c>
      <c r="S55" s="20"/>
    </row>
    <row r="56" spans="2:19" x14ac:dyDescent="0.25">
      <c r="B56" s="244" t="str">
        <f>'EXPEDITION CONSOLIDATION'!B19:D19</f>
        <v>EXEL Detonator (2.4)</v>
      </c>
      <c r="C56" s="244"/>
      <c r="D56" s="244"/>
      <c r="E56" s="2"/>
      <c r="F56" s="68"/>
      <c r="G56" s="36">
        <v>1757</v>
      </c>
      <c r="H56" s="45" t="s">
        <v>38</v>
      </c>
      <c r="I56" s="14"/>
      <c r="J56" s="66"/>
      <c r="K56" s="36">
        <f>G56</f>
        <v>1757</v>
      </c>
      <c r="L56" s="45" t="s">
        <v>38</v>
      </c>
      <c r="N56" s="66"/>
      <c r="O56" s="36">
        <f>G56</f>
        <v>1757</v>
      </c>
      <c r="P56" s="3" t="s">
        <v>38</v>
      </c>
    </row>
    <row r="57" spans="2:19" x14ac:dyDescent="0.25">
      <c r="B57" s="244" t="str">
        <f>'EXPEDITION CONSOLIDATION'!B20:D20</f>
        <v>EXEL Detonator (4.9)</v>
      </c>
      <c r="C57" s="244"/>
      <c r="D57" s="244"/>
      <c r="E57" s="2"/>
      <c r="F57" s="176"/>
      <c r="G57" s="36"/>
      <c r="H57" s="45" t="s">
        <v>38</v>
      </c>
      <c r="I57" s="14"/>
      <c r="J57" s="174"/>
      <c r="K57" s="36">
        <f>G57</f>
        <v>0</v>
      </c>
      <c r="L57" s="45" t="s">
        <v>38</v>
      </c>
      <c r="M57" s="177"/>
      <c r="N57" s="174"/>
      <c r="O57" s="36">
        <f>G57</f>
        <v>0</v>
      </c>
      <c r="P57" s="3" t="s">
        <v>38</v>
      </c>
    </row>
    <row r="58" spans="2:19" x14ac:dyDescent="0.25">
      <c r="B58" s="244" t="str">
        <f>'EXPEDITION CONSOLIDATION'!B21:D21</f>
        <v>Cordtex (Detonating Cord) 5</v>
      </c>
      <c r="C58" s="244"/>
      <c r="D58" s="244"/>
      <c r="E58" s="2"/>
      <c r="F58" s="68"/>
      <c r="G58" s="48">
        <v>355</v>
      </c>
      <c r="H58" s="45" t="s">
        <v>39</v>
      </c>
      <c r="I58" s="14"/>
      <c r="J58" s="66"/>
      <c r="K58" s="48">
        <f t="shared" si="6"/>
        <v>355</v>
      </c>
      <c r="L58" s="45" t="s">
        <v>39</v>
      </c>
      <c r="N58" s="66"/>
      <c r="O58" s="48">
        <f t="shared" si="7"/>
        <v>355</v>
      </c>
      <c r="P58" s="3" t="s">
        <v>39</v>
      </c>
    </row>
    <row r="59" spans="2:19" x14ac:dyDescent="0.25">
      <c r="B59" s="244" t="str">
        <f>'EXPEDITION CONSOLIDATION'!B22:D22</f>
        <v>Cordtex (DCORD I) 5</v>
      </c>
      <c r="C59" s="244"/>
      <c r="D59" s="244"/>
      <c r="E59" s="2"/>
      <c r="F59" s="3"/>
      <c r="G59" s="36"/>
      <c r="H59" s="45" t="s">
        <v>39</v>
      </c>
      <c r="I59" s="14"/>
      <c r="J59" s="66"/>
      <c r="K59" s="36">
        <f t="shared" si="6"/>
        <v>0</v>
      </c>
      <c r="L59" s="45" t="s">
        <v>39</v>
      </c>
      <c r="N59" s="66"/>
      <c r="O59" s="36">
        <f t="shared" si="7"/>
        <v>0</v>
      </c>
      <c r="P59" s="3" t="s">
        <v>39</v>
      </c>
    </row>
    <row r="60" spans="2:19" x14ac:dyDescent="0.25">
      <c r="B60" s="244" t="str">
        <f>'EXPEDITION CONSOLIDATION'!B23:D23</f>
        <v>Cordtex (Detonating Cord) 40</v>
      </c>
      <c r="C60" s="244"/>
      <c r="D60" s="244"/>
      <c r="E60" s="2"/>
      <c r="F60" s="3"/>
      <c r="G60" s="36"/>
      <c r="H60" s="45" t="s">
        <v>39</v>
      </c>
      <c r="I60" s="14"/>
      <c r="J60" s="66"/>
      <c r="K60" s="36">
        <f t="shared" si="6"/>
        <v>0</v>
      </c>
      <c r="L60" s="45" t="s">
        <v>39</v>
      </c>
      <c r="N60" s="66"/>
      <c r="O60" s="36">
        <f t="shared" si="7"/>
        <v>0</v>
      </c>
      <c r="P60" s="3" t="s">
        <v>39</v>
      </c>
    </row>
    <row r="61" spans="2:19" x14ac:dyDescent="0.25">
      <c r="B61" s="244" t="str">
        <f>'EXPEDITION CONSOLIDATION'!B24:D24</f>
        <v>MS 12</v>
      </c>
      <c r="C61" s="244"/>
      <c r="D61" s="244"/>
      <c r="E61" s="2"/>
      <c r="F61" s="3"/>
      <c r="G61" s="36"/>
      <c r="H61" s="45" t="s">
        <v>39</v>
      </c>
      <c r="I61" s="14"/>
      <c r="J61" s="162"/>
      <c r="K61" s="36">
        <f t="shared" si="6"/>
        <v>0</v>
      </c>
      <c r="L61" s="45" t="s">
        <v>39</v>
      </c>
      <c r="M61" s="164"/>
      <c r="N61" s="162"/>
      <c r="O61" s="36">
        <f t="shared" si="7"/>
        <v>0</v>
      </c>
      <c r="P61" s="3" t="s">
        <v>39</v>
      </c>
      <c r="S61" s="20"/>
    </row>
    <row r="62" spans="2:19" x14ac:dyDescent="0.25">
      <c r="B62" s="244" t="str">
        <f>'EXPEDITION CONSOLIDATION'!B25:D25</f>
        <v>MS 18</v>
      </c>
      <c r="C62" s="244"/>
      <c r="D62" s="244"/>
      <c r="E62" s="2"/>
      <c r="F62" s="3"/>
      <c r="G62" s="36"/>
      <c r="H62" s="45" t="s">
        <v>39</v>
      </c>
      <c r="I62" s="14"/>
      <c r="J62" s="162"/>
      <c r="K62" s="36">
        <f>G62</f>
        <v>0</v>
      </c>
      <c r="L62" s="45" t="s">
        <v>39</v>
      </c>
      <c r="M62" s="164"/>
      <c r="N62" s="162"/>
      <c r="O62" s="36">
        <f t="shared" si="7"/>
        <v>0</v>
      </c>
      <c r="P62" s="3" t="s">
        <v>39</v>
      </c>
      <c r="S62" s="20"/>
    </row>
    <row r="63" spans="2:19" x14ac:dyDescent="0.25">
      <c r="B63" s="244" t="str">
        <f>'EXPEDITION CONSOLIDATION'!B26:D26</f>
        <v>Fuse Lighter</v>
      </c>
      <c r="C63" s="244"/>
      <c r="D63" s="244"/>
      <c r="E63" s="2"/>
      <c r="F63" s="3"/>
      <c r="G63" s="36"/>
      <c r="H63" s="37" t="s">
        <v>38</v>
      </c>
      <c r="I63" s="14"/>
      <c r="J63" s="92"/>
      <c r="K63" s="36">
        <f t="shared" si="6"/>
        <v>0</v>
      </c>
      <c r="L63" s="37" t="s">
        <v>38</v>
      </c>
      <c r="M63" s="91"/>
      <c r="N63" s="92"/>
      <c r="O63" s="36">
        <f t="shared" si="7"/>
        <v>0</v>
      </c>
      <c r="P63" s="37" t="s">
        <v>38</v>
      </c>
    </row>
    <row r="64" spans="2:19" x14ac:dyDescent="0.25">
      <c r="B64" s="244" t="str">
        <f>'EXPEDITION CONSOLIDATION'!B27:D27</f>
        <v>BILL WIRE</v>
      </c>
      <c r="C64" s="244"/>
      <c r="D64" s="244"/>
      <c r="E64" s="2"/>
      <c r="F64" s="3"/>
      <c r="G64" s="36"/>
      <c r="H64" s="37" t="s">
        <v>38</v>
      </c>
      <c r="I64" s="14"/>
      <c r="J64" s="105"/>
      <c r="K64" s="36">
        <f t="shared" si="6"/>
        <v>0</v>
      </c>
      <c r="L64" s="37" t="s">
        <v>38</v>
      </c>
      <c r="M64" s="106"/>
      <c r="N64" s="105"/>
      <c r="O64" s="36">
        <f t="shared" si="7"/>
        <v>0</v>
      </c>
      <c r="P64" s="37" t="s">
        <v>38</v>
      </c>
    </row>
    <row r="65" spans="1:19" x14ac:dyDescent="0.25">
      <c r="B65" s="244" t="str">
        <f>'EXPEDITION CONSOLIDATION'!B28:D28</f>
        <v>EBC</v>
      </c>
      <c r="C65" s="244"/>
      <c r="D65" s="244"/>
      <c r="E65" s="2"/>
      <c r="F65" s="3"/>
      <c r="G65" s="36">
        <v>4</v>
      </c>
      <c r="H65" s="37" t="s">
        <v>38</v>
      </c>
      <c r="I65" s="14"/>
      <c r="J65" s="66"/>
      <c r="K65" s="36">
        <f t="shared" ref="K65" si="10">G65</f>
        <v>4</v>
      </c>
      <c r="L65" s="37" t="s">
        <v>38</v>
      </c>
      <c r="N65" s="66"/>
      <c r="O65" s="36">
        <f t="shared" ref="O65" si="11">G65</f>
        <v>4</v>
      </c>
      <c r="P65" s="37" t="s">
        <v>38</v>
      </c>
    </row>
    <row r="67" spans="1:19" s="6" customFormat="1" ht="18.75" x14ac:dyDescent="0.3">
      <c r="A67" s="6" t="s">
        <v>12</v>
      </c>
      <c r="B67" s="245" t="s">
        <v>25</v>
      </c>
      <c r="C67" s="245"/>
      <c r="D67" s="245"/>
      <c r="M67" s="64"/>
    </row>
    <row r="68" spans="1:19" x14ac:dyDescent="0.25">
      <c r="C68" s="65" t="s">
        <v>13</v>
      </c>
      <c r="D68" s="31" t="s">
        <v>34</v>
      </c>
      <c r="E68" s="250">
        <v>73</v>
      </c>
      <c r="F68" s="250"/>
      <c r="G68" s="249" t="s">
        <v>18</v>
      </c>
      <c r="H68" s="249"/>
      <c r="I68" s="65"/>
      <c r="J68" s="250">
        <f>G55+G56+G57-J69</f>
        <v>1831</v>
      </c>
      <c r="K68" s="250"/>
      <c r="L68" s="39"/>
      <c r="M68" s="22" t="s">
        <v>19</v>
      </c>
      <c r="N68" s="250" t="s">
        <v>32</v>
      </c>
      <c r="O68" s="250"/>
      <c r="P68" s="66"/>
      <c r="R68" s="20"/>
      <c r="S68" s="20"/>
    </row>
    <row r="69" spans="1:19" x14ac:dyDescent="0.25">
      <c r="C69" s="65" t="s">
        <v>14</v>
      </c>
      <c r="D69" s="31" t="s">
        <v>35</v>
      </c>
      <c r="E69" s="252">
        <v>3</v>
      </c>
      <c r="F69" s="252"/>
      <c r="G69" s="249" t="s">
        <v>18</v>
      </c>
      <c r="H69" s="249"/>
      <c r="I69" s="65"/>
      <c r="J69" s="257">
        <f>6+8+2</f>
        <v>16</v>
      </c>
      <c r="K69" s="257"/>
      <c r="L69" s="71"/>
      <c r="M69" s="22" t="s">
        <v>19</v>
      </c>
      <c r="N69" s="252" t="s">
        <v>33</v>
      </c>
      <c r="O69" s="252"/>
      <c r="P69" s="68"/>
      <c r="R69" s="20"/>
      <c r="S69" s="20"/>
    </row>
    <row r="70" spans="1:19" x14ac:dyDescent="0.25">
      <c r="J70" s="20"/>
      <c r="K70" s="20"/>
      <c r="L70" s="20"/>
      <c r="R70" s="20"/>
      <c r="S70" s="20"/>
    </row>
    <row r="71" spans="1:19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4"/>
      <c r="R71" s="76"/>
    </row>
    <row r="72" spans="1:19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5"/>
      <c r="N72" s="9"/>
      <c r="O72" s="9"/>
      <c r="P72" s="9"/>
      <c r="S72" s="76"/>
    </row>
    <row r="73" spans="1:19" ht="9.75" customHeight="1" x14ac:dyDescent="0.25">
      <c r="M73" s="108"/>
    </row>
  </sheetData>
  <mergeCells count="76">
    <mergeCell ref="A1:P1"/>
    <mergeCell ref="A2:P2"/>
    <mergeCell ref="A3:P3"/>
    <mergeCell ref="A5:P5"/>
    <mergeCell ref="N6:P6"/>
    <mergeCell ref="N9:P9"/>
    <mergeCell ref="G10:H10"/>
    <mergeCell ref="K10:L10"/>
    <mergeCell ref="O10:P10"/>
    <mergeCell ref="B11:D11"/>
    <mergeCell ref="B50:D50"/>
    <mergeCell ref="B29:D29"/>
    <mergeCell ref="B9:D9"/>
    <mergeCell ref="F9:H9"/>
    <mergeCell ref="J9:L9"/>
    <mergeCell ref="B12:D12"/>
    <mergeCell ref="B14:D14"/>
    <mergeCell ref="B13:D13"/>
    <mergeCell ref="B15:D15"/>
    <mergeCell ref="B16:D16"/>
    <mergeCell ref="B17:D17"/>
    <mergeCell ref="B18:D18"/>
    <mergeCell ref="A39:P39"/>
    <mergeCell ref="G48:H48"/>
    <mergeCell ref="K48:L48"/>
    <mergeCell ref="O48:P48"/>
    <mergeCell ref="B49:D49"/>
    <mergeCell ref="J30:K30"/>
    <mergeCell ref="N30:O30"/>
    <mergeCell ref="E31:F31"/>
    <mergeCell ref="G31:H31"/>
    <mergeCell ref="J31:K31"/>
    <mergeCell ref="N31:O31"/>
    <mergeCell ref="E30:F30"/>
    <mergeCell ref="B67:D67"/>
    <mergeCell ref="E68:F68"/>
    <mergeCell ref="G68:H68"/>
    <mergeCell ref="J68:K68"/>
    <mergeCell ref="B52:D52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E69:F69"/>
    <mergeCell ref="G69:H69"/>
    <mergeCell ref="J69:K69"/>
    <mergeCell ref="N69:O69"/>
    <mergeCell ref="N68:O68"/>
    <mergeCell ref="B19:D19"/>
    <mergeCell ref="B20:D20"/>
    <mergeCell ref="B21:D21"/>
    <mergeCell ref="B22:D22"/>
    <mergeCell ref="B23:D23"/>
    <mergeCell ref="B65:D65"/>
    <mergeCell ref="B24:D24"/>
    <mergeCell ref="B25:D25"/>
    <mergeCell ref="B26:D26"/>
    <mergeCell ref="B27:D27"/>
    <mergeCell ref="B53:D53"/>
    <mergeCell ref="A41:P41"/>
    <mergeCell ref="A43:P43"/>
    <mergeCell ref="B47:D47"/>
    <mergeCell ref="F47:H47"/>
    <mergeCell ref="J47:L47"/>
    <mergeCell ref="N47:P47"/>
    <mergeCell ref="N44:P44"/>
    <mergeCell ref="B51:D51"/>
    <mergeCell ref="A40:P40"/>
    <mergeCell ref="G30:H30"/>
  </mergeCells>
  <pageMargins left="0.7" right="0.2" top="0.19" bottom="0.25" header="0.3" footer="0.3"/>
  <pageSetup paperSize="9" scale="73" orientation="portrait" r:id="rId1"/>
  <rowBreaks count="1" manualBreakCount="1">
    <brk id="7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4"/>
  <sheetViews>
    <sheetView tabSelected="1" topLeftCell="A4" zoomScaleNormal="100" workbookViewId="0">
      <selection activeCell="L25" sqref="L25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7109375" customWidth="1"/>
    <col min="7" max="7" width="8.28515625" customWidth="1"/>
    <col min="8" max="8" width="6.7109375" customWidth="1"/>
    <col min="9" max="9" width="3.42578125" customWidth="1"/>
    <col min="10" max="10" width="9.28515625" customWidth="1"/>
    <col min="11" max="11" width="7.85546875" customWidth="1"/>
    <col min="12" max="12" width="6.7109375" customWidth="1"/>
    <col min="13" max="13" width="6.28515625" style="70" customWidth="1"/>
    <col min="14" max="14" width="8.7109375" customWidth="1"/>
    <col min="15" max="15" width="8.5703125" customWidth="1"/>
    <col min="16" max="16" width="6.7109375" customWidth="1"/>
  </cols>
  <sheetData>
    <row r="1" spans="1:20" s="4" customFormat="1" ht="18.75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20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20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20" s="4" customFormat="1" ht="15.75" x14ac:dyDescent="0.25">
      <c r="M4" s="69"/>
    </row>
    <row r="5" spans="1:20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</row>
    <row r="6" spans="1:20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v>46180</v>
      </c>
      <c r="O6" s="256"/>
      <c r="P6" s="256"/>
    </row>
    <row r="7" spans="1:20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2" t="s">
        <v>27</v>
      </c>
      <c r="N7" s="53" t="s">
        <v>36</v>
      </c>
      <c r="O7" s="53"/>
      <c r="P7" s="72"/>
    </row>
    <row r="9" spans="1:20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64"/>
      <c r="J9" s="245" t="s">
        <v>9</v>
      </c>
      <c r="K9" s="245"/>
      <c r="L9" s="245"/>
      <c r="M9" s="64"/>
      <c r="N9" s="245" t="s">
        <v>10</v>
      </c>
      <c r="O9" s="245"/>
      <c r="P9" s="245"/>
    </row>
    <row r="10" spans="1:20" s="6" customFormat="1" ht="18.75" x14ac:dyDescent="0.3">
      <c r="B10" s="63"/>
      <c r="C10" s="63"/>
      <c r="D10" s="63"/>
      <c r="F10" s="62" t="s">
        <v>29</v>
      </c>
      <c r="G10" s="246" t="s">
        <v>30</v>
      </c>
      <c r="H10" s="247"/>
      <c r="I10" s="64"/>
      <c r="J10" s="62" t="s">
        <v>29</v>
      </c>
      <c r="K10" s="246" t="s">
        <v>30</v>
      </c>
      <c r="L10" s="247"/>
      <c r="M10" s="64"/>
      <c r="N10" s="62" t="s">
        <v>29</v>
      </c>
      <c r="O10" s="246" t="s">
        <v>30</v>
      </c>
      <c r="P10" s="247"/>
    </row>
    <row r="11" spans="1:20" x14ac:dyDescent="0.25">
      <c r="B11" s="244" t="str">
        <f>'EXPEDITION CONSOLIDATION'!B12:D12</f>
        <v>Emulison Senatel Pulsar 38</v>
      </c>
      <c r="C11" s="244"/>
      <c r="D11" s="244"/>
      <c r="E11" s="2"/>
      <c r="F11" s="79">
        <f>G11/38*25</f>
        <v>0</v>
      </c>
      <c r="G11" s="36"/>
      <c r="H11" s="45" t="s">
        <v>38</v>
      </c>
      <c r="I11" s="14"/>
      <c r="J11" s="79">
        <f>F11</f>
        <v>0</v>
      </c>
      <c r="K11" s="36">
        <f>G11</f>
        <v>0</v>
      </c>
      <c r="L11" s="45" t="s">
        <v>38</v>
      </c>
      <c r="N11" s="79">
        <f>F11</f>
        <v>0</v>
      </c>
      <c r="O11" s="36">
        <f>G11</f>
        <v>0</v>
      </c>
      <c r="P11" s="45" t="s">
        <v>38</v>
      </c>
    </row>
    <row r="12" spans="1:20" x14ac:dyDescent="0.25">
      <c r="B12" s="244" t="str">
        <f>'EXPEDITION CONSOLIDATION'!B13:D13</f>
        <v>Emulison Senatel Pulsar 135</v>
      </c>
      <c r="C12" s="244"/>
      <c r="D12" s="244"/>
      <c r="E12" s="2"/>
      <c r="F12" s="30">
        <f>G12/135*25</f>
        <v>0</v>
      </c>
      <c r="G12" s="36"/>
      <c r="H12" s="45" t="s">
        <v>38</v>
      </c>
      <c r="I12" s="14"/>
      <c r="J12" s="30">
        <f>F12</f>
        <v>0</v>
      </c>
      <c r="K12" s="36">
        <f t="shared" ref="K12:K13" si="0">G12</f>
        <v>0</v>
      </c>
      <c r="L12" s="45" t="s">
        <v>38</v>
      </c>
      <c r="M12" s="81"/>
      <c r="N12" s="30">
        <f t="shared" ref="N12:O13" si="1">F12</f>
        <v>0</v>
      </c>
      <c r="O12" s="36">
        <f t="shared" si="1"/>
        <v>0</v>
      </c>
      <c r="P12" s="3" t="s">
        <v>38</v>
      </c>
    </row>
    <row r="13" spans="1:20" x14ac:dyDescent="0.25">
      <c r="B13" s="244" t="str">
        <f>'EXPEDITION CONSOLIDATION'!B14:D14</f>
        <v>Emulsion Senatel Pulsar 215 P</v>
      </c>
      <c r="C13" s="244"/>
      <c r="D13" s="244"/>
      <c r="E13" s="2"/>
      <c r="F13" s="30">
        <f>G13/215*25</f>
        <v>106.3953488372093</v>
      </c>
      <c r="G13" s="36">
        <v>915</v>
      </c>
      <c r="H13" s="45" t="s">
        <v>38</v>
      </c>
      <c r="I13" s="14"/>
      <c r="J13" s="30">
        <f>F13</f>
        <v>106.3953488372093</v>
      </c>
      <c r="K13" s="36">
        <f t="shared" si="0"/>
        <v>915</v>
      </c>
      <c r="L13" s="45" t="s">
        <v>38</v>
      </c>
      <c r="M13" s="81"/>
      <c r="N13" s="30">
        <f t="shared" si="1"/>
        <v>106.3953488372093</v>
      </c>
      <c r="O13" s="36">
        <f t="shared" si="1"/>
        <v>915</v>
      </c>
      <c r="P13" s="3" t="s">
        <v>38</v>
      </c>
    </row>
    <row r="14" spans="1:20" x14ac:dyDescent="0.25">
      <c r="B14" s="244" t="str">
        <f>'EXPEDITION CONSOLIDATION'!B15:D15</f>
        <v>Anfo</v>
      </c>
      <c r="C14" s="244"/>
      <c r="D14" s="244"/>
      <c r="E14" s="2"/>
      <c r="F14" s="79">
        <v>887.6</v>
      </c>
      <c r="G14" s="36"/>
      <c r="H14" s="45"/>
      <c r="I14" s="14"/>
      <c r="J14" s="79">
        <f>F14</f>
        <v>887.6</v>
      </c>
      <c r="K14" s="36"/>
      <c r="L14" s="45"/>
      <c r="N14" s="79">
        <f>F14</f>
        <v>887.6</v>
      </c>
      <c r="O14" s="36"/>
      <c r="P14" s="3"/>
    </row>
    <row r="15" spans="1:20" x14ac:dyDescent="0.25">
      <c r="B15" s="244" t="str">
        <f>'EXPEDITION CONSOLIDATION'!B16:D16</f>
        <v>OBC</v>
      </c>
      <c r="C15" s="244"/>
      <c r="D15" s="244"/>
      <c r="E15" s="2"/>
      <c r="F15" s="67"/>
      <c r="G15" s="98">
        <v>72</v>
      </c>
      <c r="H15" s="46" t="s">
        <v>38</v>
      </c>
      <c r="I15" s="14"/>
      <c r="J15" s="66"/>
      <c r="K15" s="48">
        <f t="shared" ref="K15:K26" si="2">G15</f>
        <v>72</v>
      </c>
      <c r="L15" s="45" t="s">
        <v>38</v>
      </c>
      <c r="N15" s="66"/>
      <c r="O15" s="48">
        <f t="shared" ref="O15:O26" si="3">G15</f>
        <v>72</v>
      </c>
      <c r="P15" s="3" t="s">
        <v>38</v>
      </c>
      <c r="S15" s="77"/>
      <c r="T15" s="96"/>
    </row>
    <row r="16" spans="1:20" x14ac:dyDescent="0.25">
      <c r="B16" s="244" t="str">
        <f>'EXPEDITION CONSOLIDATION'!B17:D17</f>
        <v>Safety Fuse</v>
      </c>
      <c r="C16" s="244"/>
      <c r="D16" s="244"/>
      <c r="E16" s="2"/>
      <c r="F16" s="68"/>
      <c r="G16" s="94">
        <f>G15*2.43</f>
        <v>174.96</v>
      </c>
      <c r="H16" s="45" t="s">
        <v>39</v>
      </c>
      <c r="I16" s="14"/>
      <c r="J16" s="66"/>
      <c r="K16" s="90">
        <f t="shared" si="2"/>
        <v>174.96</v>
      </c>
      <c r="L16" s="45" t="s">
        <v>39</v>
      </c>
      <c r="N16" s="66"/>
      <c r="O16" s="90">
        <f t="shared" si="3"/>
        <v>174.96</v>
      </c>
      <c r="P16" s="3" t="s">
        <v>39</v>
      </c>
    </row>
    <row r="17" spans="1:19" x14ac:dyDescent="0.25">
      <c r="B17" s="244" t="str">
        <f>'EXPEDITION CONSOLIDATION'!B18:D18</f>
        <v>EXEL Detonator (3.6)</v>
      </c>
      <c r="C17" s="244"/>
      <c r="D17" s="244"/>
      <c r="E17" s="2"/>
      <c r="F17" s="68"/>
      <c r="G17" s="36">
        <v>52</v>
      </c>
      <c r="H17" s="45" t="s">
        <v>38</v>
      </c>
      <c r="I17" s="14"/>
      <c r="J17" s="66"/>
      <c r="K17" s="36">
        <f t="shared" si="2"/>
        <v>52</v>
      </c>
      <c r="L17" s="45" t="s">
        <v>38</v>
      </c>
      <c r="N17" s="66"/>
      <c r="O17" s="36">
        <f t="shared" si="3"/>
        <v>52</v>
      </c>
      <c r="P17" s="3" t="s">
        <v>38</v>
      </c>
    </row>
    <row r="18" spans="1:19" x14ac:dyDescent="0.25">
      <c r="B18" s="244" t="str">
        <f>'EXPEDITION CONSOLIDATION'!B19:D19</f>
        <v>EXEL Detonator (2.4)</v>
      </c>
      <c r="C18" s="244"/>
      <c r="D18" s="244"/>
      <c r="E18" s="2"/>
      <c r="F18" s="68"/>
      <c r="G18" s="36">
        <v>1233</v>
      </c>
      <c r="H18" s="45" t="s">
        <v>38</v>
      </c>
      <c r="I18" s="14"/>
      <c r="J18" s="66"/>
      <c r="K18" s="36">
        <f>G18</f>
        <v>1233</v>
      </c>
      <c r="L18" s="45" t="s">
        <v>38</v>
      </c>
      <c r="N18" s="66"/>
      <c r="O18" s="36">
        <f>G18</f>
        <v>1233</v>
      </c>
      <c r="P18" s="3" t="s">
        <v>38</v>
      </c>
    </row>
    <row r="19" spans="1:19" x14ac:dyDescent="0.25">
      <c r="B19" s="244" t="str">
        <f>'EXPEDITION CONSOLIDATION'!B20:D20</f>
        <v>EXEL Detonator (4.9)</v>
      </c>
      <c r="C19" s="244"/>
      <c r="D19" s="244"/>
      <c r="E19" s="2"/>
      <c r="F19" s="176"/>
      <c r="G19" s="36"/>
      <c r="H19" s="45" t="s">
        <v>38</v>
      </c>
      <c r="I19" s="14"/>
      <c r="J19" s="174"/>
      <c r="K19" s="36">
        <f>G19</f>
        <v>0</v>
      </c>
      <c r="L19" s="45" t="s">
        <v>38</v>
      </c>
      <c r="M19" s="177"/>
      <c r="N19" s="174"/>
      <c r="O19" s="36">
        <f>G19</f>
        <v>0</v>
      </c>
      <c r="P19" s="3" t="s">
        <v>38</v>
      </c>
    </row>
    <row r="20" spans="1:19" x14ac:dyDescent="0.25">
      <c r="B20" s="244" t="str">
        <f>'EXPEDITION CONSOLIDATION'!B21:D21</f>
        <v>Cordtex (Detonating Cord) 5</v>
      </c>
      <c r="C20" s="244"/>
      <c r="D20" s="244"/>
      <c r="E20" s="2"/>
      <c r="F20" s="68"/>
      <c r="G20" s="36">
        <v>203</v>
      </c>
      <c r="H20" s="45" t="s">
        <v>39</v>
      </c>
      <c r="I20" s="14"/>
      <c r="J20" s="66"/>
      <c r="K20" s="36">
        <f t="shared" si="2"/>
        <v>203</v>
      </c>
      <c r="L20" s="45" t="s">
        <v>39</v>
      </c>
      <c r="N20" s="66"/>
      <c r="O20" s="36">
        <f t="shared" si="3"/>
        <v>203</v>
      </c>
      <c r="P20" s="3" t="s">
        <v>39</v>
      </c>
    </row>
    <row r="21" spans="1:19" x14ac:dyDescent="0.25">
      <c r="B21" s="244" t="str">
        <f>'EXPEDITION CONSOLIDATION'!B22:D22</f>
        <v>Cordtex (DCORD I) 5</v>
      </c>
      <c r="C21" s="244"/>
      <c r="D21" s="244"/>
      <c r="E21" s="2"/>
      <c r="F21" s="3"/>
      <c r="G21" s="36"/>
      <c r="H21" s="45" t="s">
        <v>39</v>
      </c>
      <c r="I21" s="14"/>
      <c r="J21" s="66"/>
      <c r="K21" s="36">
        <f t="shared" si="2"/>
        <v>0</v>
      </c>
      <c r="L21" s="45" t="s">
        <v>39</v>
      </c>
      <c r="N21" s="66"/>
      <c r="O21" s="36">
        <f t="shared" si="3"/>
        <v>0</v>
      </c>
      <c r="P21" s="3" t="s">
        <v>39</v>
      </c>
    </row>
    <row r="22" spans="1:19" x14ac:dyDescent="0.25">
      <c r="B22" s="244" t="str">
        <f>'EXPEDITION CONSOLIDATION'!B23:D23</f>
        <v>Cordtex (Detonating Cord) 40</v>
      </c>
      <c r="C22" s="244"/>
      <c r="D22" s="244"/>
      <c r="E22" s="2"/>
      <c r="F22" s="3"/>
      <c r="G22" s="48"/>
      <c r="H22" s="45" t="s">
        <v>39</v>
      </c>
      <c r="I22" s="14"/>
      <c r="J22" s="66"/>
      <c r="K22" s="48">
        <f t="shared" si="2"/>
        <v>0</v>
      </c>
      <c r="L22" s="45" t="s">
        <v>39</v>
      </c>
      <c r="N22" s="66"/>
      <c r="O22" s="48">
        <f t="shared" si="3"/>
        <v>0</v>
      </c>
      <c r="P22" s="3" t="s">
        <v>39</v>
      </c>
    </row>
    <row r="23" spans="1:19" x14ac:dyDescent="0.25">
      <c r="B23" s="244" t="str">
        <f>'EXPEDITION CONSOLIDATION'!B24:D24</f>
        <v>MS 12</v>
      </c>
      <c r="C23" s="244"/>
      <c r="D23" s="244"/>
      <c r="E23" s="2"/>
      <c r="F23" s="3"/>
      <c r="G23" s="36"/>
      <c r="H23" s="45" t="s">
        <v>39</v>
      </c>
      <c r="I23" s="14"/>
      <c r="J23" s="162"/>
      <c r="K23" s="36">
        <f t="shared" si="2"/>
        <v>0</v>
      </c>
      <c r="L23" s="45" t="s">
        <v>39</v>
      </c>
      <c r="M23" s="164"/>
      <c r="N23" s="162"/>
      <c r="O23" s="36">
        <f t="shared" si="3"/>
        <v>0</v>
      </c>
      <c r="P23" s="3" t="s">
        <v>39</v>
      </c>
      <c r="S23" s="20"/>
    </row>
    <row r="24" spans="1:19" x14ac:dyDescent="0.25">
      <c r="B24" s="244" t="str">
        <f>'EXPEDITION CONSOLIDATION'!B25:D25</f>
        <v>MS 18</v>
      </c>
      <c r="C24" s="244"/>
      <c r="D24" s="244"/>
      <c r="E24" s="2"/>
      <c r="F24" s="3"/>
      <c r="G24" s="36"/>
      <c r="H24" s="45" t="s">
        <v>39</v>
      </c>
      <c r="I24" s="14"/>
      <c r="J24" s="162"/>
      <c r="K24" s="36">
        <f>G24</f>
        <v>0</v>
      </c>
      <c r="L24" s="45" t="s">
        <v>39</v>
      </c>
      <c r="M24" s="164"/>
      <c r="N24" s="162"/>
      <c r="O24" s="36">
        <f t="shared" si="3"/>
        <v>0</v>
      </c>
      <c r="P24" s="3" t="s">
        <v>39</v>
      </c>
      <c r="S24" s="20"/>
    </row>
    <row r="25" spans="1:19" x14ac:dyDescent="0.25">
      <c r="B25" s="244" t="str">
        <f>'EXPEDITION CONSOLIDATION'!B26:D26</f>
        <v>Fuse Lighter</v>
      </c>
      <c r="C25" s="244"/>
      <c r="D25" s="244"/>
      <c r="E25" s="2"/>
      <c r="F25" s="3"/>
      <c r="G25" s="36"/>
      <c r="H25" s="37" t="s">
        <v>38</v>
      </c>
      <c r="I25" s="14"/>
      <c r="J25" s="92"/>
      <c r="K25" s="36">
        <f t="shared" si="2"/>
        <v>0</v>
      </c>
      <c r="L25" s="37" t="s">
        <v>38</v>
      </c>
      <c r="M25" s="91"/>
      <c r="N25" s="92"/>
      <c r="O25" s="36">
        <f t="shared" si="3"/>
        <v>0</v>
      </c>
      <c r="P25" s="37" t="s">
        <v>38</v>
      </c>
    </row>
    <row r="26" spans="1:19" x14ac:dyDescent="0.25">
      <c r="B26" s="244" t="str">
        <f>'EXPEDITION CONSOLIDATION'!B27:D27</f>
        <v>BILL WIRE</v>
      </c>
      <c r="C26" s="244"/>
      <c r="D26" s="244"/>
      <c r="E26" s="2"/>
      <c r="F26" s="3"/>
      <c r="G26" s="36"/>
      <c r="H26" s="37" t="s">
        <v>38</v>
      </c>
      <c r="I26" s="14"/>
      <c r="J26" s="105"/>
      <c r="K26" s="36">
        <f t="shared" si="2"/>
        <v>0</v>
      </c>
      <c r="L26" s="37" t="s">
        <v>38</v>
      </c>
      <c r="M26" s="106"/>
      <c r="N26" s="105"/>
      <c r="O26" s="36">
        <f t="shared" si="3"/>
        <v>0</v>
      </c>
      <c r="P26" s="37" t="s">
        <v>38</v>
      </c>
    </row>
    <row r="27" spans="1:19" x14ac:dyDescent="0.25">
      <c r="B27" s="244" t="str">
        <f>'EXPEDITION CONSOLIDATION'!B28:D28</f>
        <v>EBC</v>
      </c>
      <c r="C27" s="244"/>
      <c r="D27" s="244"/>
      <c r="E27" s="2"/>
      <c r="F27" s="3"/>
      <c r="G27" s="36">
        <v>2</v>
      </c>
      <c r="H27" s="37" t="s">
        <v>38</v>
      </c>
      <c r="I27" s="14"/>
      <c r="J27" s="66"/>
      <c r="K27" s="36">
        <f t="shared" ref="K27" si="4">G27</f>
        <v>2</v>
      </c>
      <c r="L27" s="37" t="s">
        <v>38</v>
      </c>
      <c r="N27" s="66"/>
      <c r="O27" s="36">
        <f t="shared" ref="O27" si="5">G27</f>
        <v>2</v>
      </c>
      <c r="P27" s="37" t="s">
        <v>38</v>
      </c>
    </row>
    <row r="28" spans="1:19" ht="11.25" customHeight="1" x14ac:dyDescent="0.25"/>
    <row r="29" spans="1:19" s="6" customFormat="1" ht="18.75" x14ac:dyDescent="0.3">
      <c r="A29" s="6" t="s">
        <v>12</v>
      </c>
      <c r="B29" s="245" t="s">
        <v>25</v>
      </c>
      <c r="C29" s="245"/>
      <c r="D29" s="245"/>
      <c r="M29" s="64"/>
    </row>
    <row r="30" spans="1:19" x14ac:dyDescent="0.25">
      <c r="C30" s="65" t="s">
        <v>13</v>
      </c>
      <c r="D30" s="31" t="s">
        <v>34</v>
      </c>
      <c r="E30" s="250">
        <v>47</v>
      </c>
      <c r="F30" s="250"/>
      <c r="G30" s="249" t="s">
        <v>18</v>
      </c>
      <c r="H30" s="249"/>
      <c r="I30" s="65"/>
      <c r="J30" s="250">
        <f>G17+G18-J31+G19</f>
        <v>1266</v>
      </c>
      <c r="K30" s="250"/>
      <c r="L30" s="39"/>
      <c r="M30" s="22" t="s">
        <v>19</v>
      </c>
      <c r="N30" s="250" t="s">
        <v>32</v>
      </c>
      <c r="O30" s="250"/>
      <c r="P30" s="66"/>
      <c r="R30" s="20"/>
    </row>
    <row r="31" spans="1:19" x14ac:dyDescent="0.25">
      <c r="C31" s="65" t="s">
        <v>14</v>
      </c>
      <c r="D31" s="31" t="s">
        <v>35</v>
      </c>
      <c r="E31" s="252">
        <v>3</v>
      </c>
      <c r="F31" s="252"/>
      <c r="G31" s="249" t="s">
        <v>18</v>
      </c>
      <c r="H31" s="249"/>
      <c r="I31" s="65"/>
      <c r="J31" s="257">
        <f>7+8+4</f>
        <v>19</v>
      </c>
      <c r="K31" s="252"/>
      <c r="L31" s="71"/>
      <c r="M31" s="22" t="s">
        <v>19</v>
      </c>
      <c r="N31" s="252" t="s">
        <v>33</v>
      </c>
      <c r="O31" s="252"/>
      <c r="P31" s="67"/>
      <c r="R31" s="20"/>
      <c r="S31" s="20"/>
    </row>
    <row r="32" spans="1:19" x14ac:dyDescent="0.25">
      <c r="J32" s="20"/>
      <c r="K32" s="20"/>
      <c r="L32" s="20"/>
      <c r="Q32" s="20"/>
      <c r="R32" s="20"/>
      <c r="S32" s="20"/>
    </row>
    <row r="33" spans="1:18" s="7" customFormat="1" ht="18.75" x14ac:dyDescent="0.3">
      <c r="A33" s="7" t="s">
        <v>15</v>
      </c>
      <c r="B33" s="8" t="s">
        <v>16</v>
      </c>
      <c r="C33" s="8"/>
      <c r="D33" s="8"/>
      <c r="E33" s="6"/>
      <c r="F33" s="6"/>
      <c r="M33" s="24"/>
    </row>
    <row r="34" spans="1:18" s="7" customFormat="1" ht="18.75" x14ac:dyDescent="0.3">
      <c r="B34" s="6" t="s">
        <v>17</v>
      </c>
      <c r="D34" s="85"/>
      <c r="E34" s="9"/>
      <c r="F34" s="9"/>
      <c r="G34" s="9"/>
      <c r="H34" s="9"/>
      <c r="I34" s="9"/>
      <c r="J34" s="9"/>
      <c r="K34" s="9"/>
      <c r="L34" s="9"/>
      <c r="M34" s="25"/>
      <c r="N34" s="9"/>
      <c r="O34" s="9"/>
      <c r="P34" s="9"/>
    </row>
    <row r="35" spans="1:18" s="7" customFormat="1" ht="18.75" x14ac:dyDescent="0.3">
      <c r="B35" s="6"/>
      <c r="D35" s="155"/>
      <c r="E35" s="40"/>
      <c r="F35" s="40"/>
      <c r="G35" s="40"/>
      <c r="H35" s="40"/>
      <c r="I35" s="40"/>
      <c r="J35" s="40"/>
      <c r="K35" s="40"/>
      <c r="L35" s="40"/>
      <c r="M35" s="111"/>
      <c r="N35" s="40"/>
      <c r="O35" s="40"/>
      <c r="P35" s="40"/>
    </row>
    <row r="36" spans="1:18" ht="7.5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109"/>
      <c r="N36" s="32"/>
      <c r="O36" s="32"/>
      <c r="P36" s="32"/>
      <c r="Q36" s="32"/>
      <c r="R36" s="32"/>
    </row>
    <row r="37" spans="1:18" ht="9" customHeight="1" x14ac:dyDescent="0.25"/>
    <row r="38" spans="1:18" ht="3.75" customHeight="1" x14ac:dyDescent="0.25"/>
    <row r="39" spans="1:18" s="4" customFormat="1" ht="18.75" x14ac:dyDescent="0.3">
      <c r="A39" s="240" t="s">
        <v>0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</row>
    <row r="40" spans="1:18" s="4" customFormat="1" ht="15.75" x14ac:dyDescent="0.25">
      <c r="A40" s="241" t="s">
        <v>28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</row>
    <row r="41" spans="1:18" s="4" customFormat="1" ht="15.75" x14ac:dyDescent="0.25">
      <c r="A41" s="241" t="s">
        <v>1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</row>
    <row r="42" spans="1:18" s="4" customFormat="1" ht="13.5" customHeight="1" x14ac:dyDescent="0.25">
      <c r="M42" s="69"/>
    </row>
    <row r="43" spans="1:18" s="4" customFormat="1" ht="18.75" x14ac:dyDescent="0.3">
      <c r="A43" s="240" t="s">
        <v>26</v>
      </c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</row>
    <row r="44" spans="1:18" s="2" customFormat="1" x14ac:dyDescent="0.25">
      <c r="A44" s="2" t="s">
        <v>3</v>
      </c>
      <c r="C44" s="5" t="s">
        <v>4</v>
      </c>
      <c r="D44" s="11" t="s">
        <v>11</v>
      </c>
      <c r="E44" s="11"/>
      <c r="F44" s="11"/>
      <c r="G44" s="11"/>
      <c r="H44" s="11"/>
      <c r="I44" s="11"/>
      <c r="J44" s="11"/>
      <c r="K44" s="11"/>
      <c r="L44" s="21"/>
      <c r="M44" s="22" t="s">
        <v>5</v>
      </c>
      <c r="N44" s="256"/>
      <c r="O44" s="256"/>
      <c r="P44" s="256"/>
    </row>
    <row r="45" spans="1:18" s="2" customFormat="1" x14ac:dyDescent="0.25">
      <c r="A45" s="2" t="s">
        <v>22</v>
      </c>
      <c r="C45" s="5" t="s">
        <v>4</v>
      </c>
      <c r="D45" s="12" t="s">
        <v>37</v>
      </c>
      <c r="E45" s="13"/>
      <c r="F45" s="13"/>
      <c r="G45" s="13"/>
      <c r="H45" s="10"/>
      <c r="I45" s="10"/>
      <c r="J45" s="10"/>
      <c r="K45" s="10"/>
      <c r="L45" s="10"/>
      <c r="M45" s="22" t="s">
        <v>27</v>
      </c>
      <c r="N45" s="53" t="s">
        <v>36</v>
      </c>
      <c r="O45" s="53"/>
      <c r="P45" s="72"/>
    </row>
    <row r="47" spans="1:18" s="6" customFormat="1" ht="18.75" x14ac:dyDescent="0.3">
      <c r="A47" s="6" t="s">
        <v>6</v>
      </c>
      <c r="B47" s="248" t="s">
        <v>7</v>
      </c>
      <c r="C47" s="248"/>
      <c r="D47" s="248"/>
      <c r="F47" s="245" t="s">
        <v>8</v>
      </c>
      <c r="G47" s="245"/>
      <c r="H47" s="245"/>
      <c r="I47" s="64"/>
      <c r="J47" s="245" t="s">
        <v>9</v>
      </c>
      <c r="K47" s="245"/>
      <c r="L47" s="245"/>
      <c r="M47" s="64"/>
      <c r="N47" s="245" t="s">
        <v>10</v>
      </c>
      <c r="O47" s="245"/>
      <c r="P47" s="245"/>
    </row>
    <row r="48" spans="1:18" s="6" customFormat="1" ht="18.75" x14ac:dyDescent="0.3">
      <c r="B48" s="63"/>
      <c r="C48" s="63"/>
      <c r="D48" s="63"/>
      <c r="F48" s="62" t="s">
        <v>29</v>
      </c>
      <c r="G48" s="246" t="s">
        <v>30</v>
      </c>
      <c r="H48" s="247"/>
      <c r="I48" s="64"/>
      <c r="J48" s="62" t="s">
        <v>29</v>
      </c>
      <c r="K48" s="246" t="s">
        <v>30</v>
      </c>
      <c r="L48" s="247"/>
      <c r="M48" s="64"/>
      <c r="N48" s="62" t="s">
        <v>29</v>
      </c>
      <c r="O48" s="246" t="s">
        <v>30</v>
      </c>
      <c r="P48" s="247"/>
    </row>
    <row r="49" spans="2:19" x14ac:dyDescent="0.25">
      <c r="B49" s="244" t="str">
        <f>'EXPEDITION CONSOLIDATION'!B12:D12</f>
        <v>Emulison Senatel Pulsar 38</v>
      </c>
      <c r="C49" s="244"/>
      <c r="D49" s="244"/>
      <c r="E49" s="2"/>
      <c r="F49" s="79">
        <f>G49/38*25</f>
        <v>0</v>
      </c>
      <c r="G49" s="36"/>
      <c r="H49" s="45" t="s">
        <v>38</v>
      </c>
      <c r="I49" s="14"/>
      <c r="J49" s="79">
        <f>F49</f>
        <v>0</v>
      </c>
      <c r="K49" s="36">
        <f>G49</f>
        <v>0</v>
      </c>
      <c r="L49" s="45" t="s">
        <v>38</v>
      </c>
      <c r="M49" s="130"/>
      <c r="N49" s="79">
        <f>F49</f>
        <v>0</v>
      </c>
      <c r="O49" s="36">
        <f>G49</f>
        <v>0</v>
      </c>
      <c r="P49" s="45" t="s">
        <v>38</v>
      </c>
    </row>
    <row r="50" spans="2:19" x14ac:dyDescent="0.25">
      <c r="B50" s="244" t="str">
        <f>'EXPEDITION CONSOLIDATION'!B13:D13</f>
        <v>Emulison Senatel Pulsar 135</v>
      </c>
      <c r="C50" s="244"/>
      <c r="D50" s="244"/>
      <c r="E50" s="2"/>
      <c r="F50" s="30">
        <f>G50/135*25</f>
        <v>0</v>
      </c>
      <c r="G50" s="36"/>
      <c r="H50" s="45" t="s">
        <v>38</v>
      </c>
      <c r="I50" s="14"/>
      <c r="J50" s="30">
        <f>F50</f>
        <v>0</v>
      </c>
      <c r="K50" s="36">
        <f t="shared" ref="K50:K51" si="6">G50</f>
        <v>0</v>
      </c>
      <c r="L50" s="45" t="s">
        <v>38</v>
      </c>
      <c r="M50" s="130"/>
      <c r="N50" s="30">
        <f t="shared" ref="N50:O51" si="7">F50</f>
        <v>0</v>
      </c>
      <c r="O50" s="36">
        <f t="shared" si="7"/>
        <v>0</v>
      </c>
      <c r="P50" s="3" t="s">
        <v>38</v>
      </c>
    </row>
    <row r="51" spans="2:19" x14ac:dyDescent="0.25">
      <c r="B51" s="244" t="str">
        <f>'EXPEDITION CONSOLIDATION'!B14:D14</f>
        <v>Emulsion Senatel Pulsar 215 P</v>
      </c>
      <c r="C51" s="244"/>
      <c r="D51" s="244"/>
      <c r="E51" s="2"/>
      <c r="F51" s="30">
        <f>G51/215*25</f>
        <v>0</v>
      </c>
      <c r="G51" s="36"/>
      <c r="H51" s="45" t="s">
        <v>38</v>
      </c>
      <c r="I51" s="14"/>
      <c r="J51" s="30">
        <f>F51</f>
        <v>0</v>
      </c>
      <c r="K51" s="36">
        <f t="shared" si="6"/>
        <v>0</v>
      </c>
      <c r="L51" s="45" t="s">
        <v>38</v>
      </c>
      <c r="M51" s="130"/>
      <c r="N51" s="30">
        <f t="shared" si="7"/>
        <v>0</v>
      </c>
      <c r="O51" s="36">
        <f t="shared" si="7"/>
        <v>0</v>
      </c>
      <c r="P51" s="3" t="s">
        <v>38</v>
      </c>
    </row>
    <row r="52" spans="2:19" x14ac:dyDescent="0.25">
      <c r="B52" s="244" t="str">
        <f>'EXPEDITION CONSOLIDATION'!B15:D15</f>
        <v>Anfo</v>
      </c>
      <c r="C52" s="244"/>
      <c r="D52" s="244"/>
      <c r="E52" s="2"/>
      <c r="F52" s="79">
        <v>0</v>
      </c>
      <c r="G52" s="36"/>
      <c r="H52" s="45"/>
      <c r="I52" s="14"/>
      <c r="J52" s="79">
        <f>F52</f>
        <v>0</v>
      </c>
      <c r="K52" s="36"/>
      <c r="L52" s="45"/>
      <c r="M52" s="130"/>
      <c r="N52" s="79">
        <f>F52</f>
        <v>0</v>
      </c>
      <c r="O52" s="36"/>
      <c r="P52" s="3"/>
    </row>
    <row r="53" spans="2:19" x14ac:dyDescent="0.25">
      <c r="B53" s="244" t="str">
        <f>'EXPEDITION CONSOLIDATION'!B16:D16</f>
        <v>OBC</v>
      </c>
      <c r="C53" s="244"/>
      <c r="D53" s="244"/>
      <c r="E53" s="2"/>
      <c r="F53" s="128"/>
      <c r="G53" s="98"/>
      <c r="H53" s="46" t="s">
        <v>38</v>
      </c>
      <c r="I53" s="14"/>
      <c r="J53" s="127"/>
      <c r="K53" s="48">
        <f t="shared" ref="K53:K65" si="8">G53</f>
        <v>0</v>
      </c>
      <c r="L53" s="45" t="s">
        <v>38</v>
      </c>
      <c r="M53" s="130"/>
      <c r="N53" s="127"/>
      <c r="O53" s="48">
        <f t="shared" ref="O53:O65" si="9">G53</f>
        <v>0</v>
      </c>
      <c r="P53" s="3" t="s">
        <v>38</v>
      </c>
    </row>
    <row r="54" spans="2:19" x14ac:dyDescent="0.25">
      <c r="B54" s="244" t="str">
        <f>'EXPEDITION CONSOLIDATION'!B17:D17</f>
        <v>Safety Fuse</v>
      </c>
      <c r="C54" s="244"/>
      <c r="D54" s="244"/>
      <c r="E54" s="2"/>
      <c r="F54" s="129"/>
      <c r="G54" s="94">
        <f>G53*2.43</f>
        <v>0</v>
      </c>
      <c r="H54" s="45" t="s">
        <v>39</v>
      </c>
      <c r="I54" s="14"/>
      <c r="J54" s="127"/>
      <c r="K54" s="90">
        <f t="shared" si="8"/>
        <v>0</v>
      </c>
      <c r="L54" s="45" t="s">
        <v>39</v>
      </c>
      <c r="M54" s="130"/>
      <c r="N54" s="127"/>
      <c r="O54" s="90">
        <f t="shared" si="9"/>
        <v>0</v>
      </c>
      <c r="P54" s="3" t="s">
        <v>39</v>
      </c>
    </row>
    <row r="55" spans="2:19" x14ac:dyDescent="0.25">
      <c r="B55" s="244" t="str">
        <f>'EXPEDITION CONSOLIDATION'!B18:D18</f>
        <v>EXEL Detonator (3.6)</v>
      </c>
      <c r="C55" s="244"/>
      <c r="D55" s="244"/>
      <c r="E55" s="2"/>
      <c r="F55" s="129"/>
      <c r="G55" s="36"/>
      <c r="H55" s="45" t="s">
        <v>38</v>
      </c>
      <c r="I55" s="14"/>
      <c r="J55" s="127"/>
      <c r="K55" s="36">
        <f t="shared" si="8"/>
        <v>0</v>
      </c>
      <c r="L55" s="45" t="s">
        <v>38</v>
      </c>
      <c r="M55" s="130"/>
      <c r="N55" s="127"/>
      <c r="O55" s="36">
        <f t="shared" si="9"/>
        <v>0</v>
      </c>
      <c r="P55" s="3" t="s">
        <v>38</v>
      </c>
    </row>
    <row r="56" spans="2:19" x14ac:dyDescent="0.25">
      <c r="B56" s="244" t="str">
        <f>'EXPEDITION CONSOLIDATION'!B19:D19</f>
        <v>EXEL Detonator (2.4)</v>
      </c>
      <c r="C56" s="244"/>
      <c r="D56" s="244"/>
      <c r="E56" s="2"/>
      <c r="F56" s="129"/>
      <c r="G56" s="36"/>
      <c r="H56" s="45" t="s">
        <v>38</v>
      </c>
      <c r="I56" s="14"/>
      <c r="J56" s="127"/>
      <c r="K56" s="36">
        <f>G56</f>
        <v>0</v>
      </c>
      <c r="L56" s="45" t="s">
        <v>38</v>
      </c>
      <c r="M56" s="130"/>
      <c r="N56" s="127"/>
      <c r="O56" s="36">
        <f>G56</f>
        <v>0</v>
      </c>
      <c r="P56" s="3" t="s">
        <v>38</v>
      </c>
    </row>
    <row r="57" spans="2:19" x14ac:dyDescent="0.25">
      <c r="B57" s="244" t="str">
        <f>'EXPEDITION CONSOLIDATION'!B20:D20</f>
        <v>EXEL Detonator (4.9)</v>
      </c>
      <c r="C57" s="244"/>
      <c r="D57" s="244"/>
      <c r="E57" s="2"/>
      <c r="F57" s="176"/>
      <c r="G57" s="36"/>
      <c r="H57" s="45" t="s">
        <v>38</v>
      </c>
      <c r="I57" s="14"/>
      <c r="J57" s="174"/>
      <c r="K57" s="36">
        <f>G57</f>
        <v>0</v>
      </c>
      <c r="L57" s="45" t="s">
        <v>38</v>
      </c>
      <c r="M57" s="177"/>
      <c r="N57" s="174"/>
      <c r="O57" s="36">
        <f>G57</f>
        <v>0</v>
      </c>
      <c r="P57" s="3" t="s">
        <v>38</v>
      </c>
    </row>
    <row r="58" spans="2:19" x14ac:dyDescent="0.25">
      <c r="B58" s="244" t="str">
        <f>'EXPEDITION CONSOLIDATION'!B21:D21</f>
        <v>Cordtex (Detonating Cord) 5</v>
      </c>
      <c r="C58" s="244"/>
      <c r="D58" s="244"/>
      <c r="E58" s="2"/>
      <c r="F58" s="129"/>
      <c r="G58" s="36"/>
      <c r="H58" s="45" t="s">
        <v>39</v>
      </c>
      <c r="I58" s="14"/>
      <c r="J58" s="127"/>
      <c r="K58" s="36">
        <f t="shared" si="8"/>
        <v>0</v>
      </c>
      <c r="L58" s="45" t="s">
        <v>39</v>
      </c>
      <c r="M58" s="130"/>
      <c r="N58" s="127"/>
      <c r="O58" s="36">
        <f t="shared" si="9"/>
        <v>0</v>
      </c>
      <c r="P58" s="3" t="s">
        <v>39</v>
      </c>
    </row>
    <row r="59" spans="2:19" x14ac:dyDescent="0.25">
      <c r="B59" s="244" t="str">
        <f>'EXPEDITION CONSOLIDATION'!B22:D22</f>
        <v>Cordtex (DCORD I) 5</v>
      </c>
      <c r="C59" s="244"/>
      <c r="D59" s="244"/>
      <c r="E59" s="2"/>
      <c r="F59" s="3"/>
      <c r="G59" s="36"/>
      <c r="H59" s="45" t="s">
        <v>39</v>
      </c>
      <c r="I59" s="14"/>
      <c r="J59" s="127"/>
      <c r="K59" s="36">
        <f t="shared" si="8"/>
        <v>0</v>
      </c>
      <c r="L59" s="45" t="s">
        <v>39</v>
      </c>
      <c r="M59" s="130"/>
      <c r="N59" s="127"/>
      <c r="O59" s="36">
        <f t="shared" si="9"/>
        <v>0</v>
      </c>
      <c r="P59" s="3" t="s">
        <v>39</v>
      </c>
    </row>
    <row r="60" spans="2:19" x14ac:dyDescent="0.25">
      <c r="B60" s="244" t="str">
        <f>'EXPEDITION CONSOLIDATION'!B23:D23</f>
        <v>Cordtex (Detonating Cord) 40</v>
      </c>
      <c r="C60" s="244"/>
      <c r="D60" s="244"/>
      <c r="E60" s="2"/>
      <c r="F60" s="3"/>
      <c r="G60" s="48"/>
      <c r="H60" s="45" t="s">
        <v>39</v>
      </c>
      <c r="I60" s="14"/>
      <c r="J60" s="127"/>
      <c r="K60" s="48">
        <f t="shared" si="8"/>
        <v>0</v>
      </c>
      <c r="L60" s="45" t="s">
        <v>39</v>
      </c>
      <c r="M60" s="130"/>
      <c r="N60" s="127"/>
      <c r="O60" s="48">
        <f t="shared" si="9"/>
        <v>0</v>
      </c>
      <c r="P60" s="3" t="s">
        <v>39</v>
      </c>
    </row>
    <row r="61" spans="2:19" x14ac:dyDescent="0.25">
      <c r="B61" s="244" t="str">
        <f>'EXPEDITION CONSOLIDATION'!B24:D24</f>
        <v>MS 12</v>
      </c>
      <c r="C61" s="244"/>
      <c r="D61" s="244"/>
      <c r="E61" s="2"/>
      <c r="F61" s="3"/>
      <c r="G61" s="36"/>
      <c r="H61" s="45" t="s">
        <v>39</v>
      </c>
      <c r="I61" s="14"/>
      <c r="J61" s="162"/>
      <c r="K61" s="36">
        <f t="shared" si="8"/>
        <v>0</v>
      </c>
      <c r="L61" s="45" t="s">
        <v>39</v>
      </c>
      <c r="M61" s="164"/>
      <c r="N61" s="162"/>
      <c r="O61" s="36">
        <f t="shared" si="9"/>
        <v>0</v>
      </c>
      <c r="P61" s="3" t="s">
        <v>39</v>
      </c>
      <c r="S61" s="20"/>
    </row>
    <row r="62" spans="2:19" x14ac:dyDescent="0.25">
      <c r="B62" s="244" t="str">
        <f>'EXPEDITION CONSOLIDATION'!B25:D25</f>
        <v>MS 18</v>
      </c>
      <c r="C62" s="244"/>
      <c r="D62" s="244"/>
      <c r="E62" s="2"/>
      <c r="F62" s="3"/>
      <c r="G62" s="36"/>
      <c r="H62" s="45" t="s">
        <v>39</v>
      </c>
      <c r="I62" s="14"/>
      <c r="J62" s="162"/>
      <c r="K62" s="36">
        <f>G62</f>
        <v>0</v>
      </c>
      <c r="L62" s="45" t="s">
        <v>39</v>
      </c>
      <c r="M62" s="164"/>
      <c r="N62" s="162"/>
      <c r="O62" s="36">
        <f t="shared" si="9"/>
        <v>0</v>
      </c>
      <c r="P62" s="3" t="s">
        <v>39</v>
      </c>
      <c r="S62" s="20"/>
    </row>
    <row r="63" spans="2:19" x14ac:dyDescent="0.25">
      <c r="B63" s="244" t="str">
        <f>'EXPEDITION CONSOLIDATION'!B26:D26</f>
        <v>Fuse Lighter</v>
      </c>
      <c r="C63" s="244"/>
      <c r="D63" s="244"/>
      <c r="E63" s="2"/>
      <c r="F63" s="3"/>
      <c r="G63" s="36"/>
      <c r="H63" s="37" t="s">
        <v>38</v>
      </c>
      <c r="I63" s="14"/>
      <c r="J63" s="127"/>
      <c r="K63" s="36">
        <f t="shared" si="8"/>
        <v>0</v>
      </c>
      <c r="L63" s="37" t="s">
        <v>38</v>
      </c>
      <c r="M63" s="130"/>
      <c r="N63" s="127"/>
      <c r="O63" s="36">
        <f t="shared" si="9"/>
        <v>0</v>
      </c>
      <c r="P63" s="37" t="s">
        <v>38</v>
      </c>
    </row>
    <row r="64" spans="2:19" x14ac:dyDescent="0.25">
      <c r="B64" s="244" t="str">
        <f>'EXPEDITION CONSOLIDATION'!B27:D27</f>
        <v>BILL WIRE</v>
      </c>
      <c r="C64" s="244"/>
      <c r="D64" s="244"/>
      <c r="E64" s="2"/>
      <c r="F64" s="3"/>
      <c r="G64" s="36"/>
      <c r="H64" s="37" t="s">
        <v>38</v>
      </c>
      <c r="I64" s="14"/>
      <c r="J64" s="127"/>
      <c r="K64" s="36">
        <f t="shared" si="8"/>
        <v>0</v>
      </c>
      <c r="L64" s="37" t="s">
        <v>38</v>
      </c>
      <c r="M64" s="130"/>
      <c r="N64" s="127"/>
      <c r="O64" s="36">
        <f t="shared" si="9"/>
        <v>0</v>
      </c>
      <c r="P64" s="37" t="s">
        <v>38</v>
      </c>
    </row>
    <row r="65" spans="1:19" x14ac:dyDescent="0.25">
      <c r="B65" s="244" t="str">
        <f>'EXPEDITION CONSOLIDATION'!B28:D28</f>
        <v>EBC</v>
      </c>
      <c r="C65" s="244"/>
      <c r="D65" s="244"/>
      <c r="E65" s="2"/>
      <c r="F65" s="3"/>
      <c r="G65" s="36"/>
      <c r="H65" s="37" t="s">
        <v>38</v>
      </c>
      <c r="I65" s="14"/>
      <c r="J65" s="127"/>
      <c r="K65" s="36">
        <f t="shared" si="8"/>
        <v>0</v>
      </c>
      <c r="L65" s="37" t="s">
        <v>38</v>
      </c>
      <c r="M65" s="130"/>
      <c r="N65" s="127"/>
      <c r="O65" s="36">
        <f t="shared" si="9"/>
        <v>0</v>
      </c>
      <c r="P65" s="37" t="s">
        <v>38</v>
      </c>
    </row>
    <row r="66" spans="1:19" s="6" customFormat="1" ht="18.75" x14ac:dyDescent="0.3">
      <c r="A66" s="6" t="s">
        <v>12</v>
      </c>
      <c r="B66" s="245" t="s">
        <v>25</v>
      </c>
      <c r="C66" s="245"/>
      <c r="D66" s="245"/>
      <c r="E66"/>
      <c r="F66"/>
      <c r="G66"/>
      <c r="H66"/>
      <c r="I66"/>
      <c r="J66"/>
      <c r="K66"/>
      <c r="L66"/>
      <c r="M66" s="130"/>
      <c r="N66"/>
      <c r="O66"/>
      <c r="P66"/>
    </row>
    <row r="67" spans="1:19" ht="6" customHeight="1" x14ac:dyDescent="0.3">
      <c r="C67" s="65"/>
      <c r="D67" s="31"/>
      <c r="E67" s="6"/>
      <c r="F67" s="6"/>
      <c r="G67" s="6"/>
      <c r="H67" s="6"/>
      <c r="I67" s="6"/>
      <c r="J67" s="6"/>
      <c r="K67" s="6"/>
      <c r="L67" s="6"/>
      <c r="M67" s="135"/>
      <c r="N67" s="6"/>
      <c r="O67" s="6"/>
      <c r="P67" s="6"/>
      <c r="R67" s="20"/>
    </row>
    <row r="68" spans="1:19" x14ac:dyDescent="0.25">
      <c r="C68" s="133" t="s">
        <v>13</v>
      </c>
      <c r="D68" s="31" t="s">
        <v>34</v>
      </c>
      <c r="E68" s="250">
        <v>0</v>
      </c>
      <c r="F68" s="250"/>
      <c r="G68" s="249" t="s">
        <v>18</v>
      </c>
      <c r="H68" s="249"/>
      <c r="I68" s="133"/>
      <c r="J68" s="250">
        <f>G55+G56-J69</f>
        <v>0</v>
      </c>
      <c r="K68" s="250"/>
      <c r="L68" s="39"/>
      <c r="M68" s="22" t="s">
        <v>19</v>
      </c>
      <c r="N68" s="250" t="s">
        <v>32</v>
      </c>
      <c r="O68" s="250"/>
      <c r="P68" s="134"/>
      <c r="S68" s="20"/>
    </row>
    <row r="69" spans="1:19" x14ac:dyDescent="0.25">
      <c r="C69" s="133" t="s">
        <v>14</v>
      </c>
      <c r="D69" s="31" t="s">
        <v>35</v>
      </c>
      <c r="E69" s="252">
        <v>0</v>
      </c>
      <c r="F69" s="252"/>
      <c r="G69" s="249" t="s">
        <v>18</v>
      </c>
      <c r="H69" s="249"/>
      <c r="I69" s="126"/>
      <c r="J69" s="257">
        <v>0</v>
      </c>
      <c r="K69" s="257"/>
      <c r="L69" s="131"/>
      <c r="M69" s="22" t="s">
        <v>19</v>
      </c>
      <c r="N69" s="252" t="s">
        <v>33</v>
      </c>
      <c r="O69" s="252"/>
      <c r="P69" s="128"/>
    </row>
    <row r="70" spans="1:19" x14ac:dyDescent="0.25">
      <c r="C70" s="133"/>
      <c r="D70" s="31"/>
      <c r="E70" s="136"/>
      <c r="F70" s="136"/>
      <c r="G70" s="133"/>
      <c r="H70" s="133"/>
      <c r="I70" s="133"/>
      <c r="J70" s="39"/>
      <c r="K70" s="136"/>
      <c r="L70" s="136"/>
      <c r="M70" s="22"/>
      <c r="N70" s="136"/>
      <c r="O70" s="136"/>
      <c r="P70" s="136"/>
    </row>
    <row r="71" spans="1:19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4"/>
    </row>
    <row r="72" spans="1:19" s="7" customFormat="1" ht="18.75" x14ac:dyDescent="0.3">
      <c r="B72" s="6" t="s">
        <v>17</v>
      </c>
      <c r="D72" s="85"/>
      <c r="E72" s="9"/>
      <c r="F72" s="9"/>
      <c r="G72" s="9"/>
      <c r="H72" s="9"/>
      <c r="I72" s="9"/>
      <c r="J72" s="9"/>
      <c r="K72" s="9"/>
      <c r="L72" s="9"/>
      <c r="M72" s="25"/>
      <c r="N72" s="9"/>
      <c r="O72" s="9"/>
      <c r="P72" s="9"/>
    </row>
    <row r="73" spans="1:19" s="7" customFormat="1" ht="18.75" x14ac:dyDescent="0.3">
      <c r="B73" s="6"/>
      <c r="D73" s="40"/>
      <c r="E73" s="40"/>
      <c r="F73" s="40"/>
      <c r="G73" s="40"/>
      <c r="H73" s="40"/>
      <c r="I73" s="40"/>
      <c r="J73" s="40"/>
      <c r="K73" s="40"/>
      <c r="L73" s="40"/>
      <c r="M73" s="111"/>
      <c r="N73" s="40"/>
      <c r="O73" s="40"/>
      <c r="P73" s="40"/>
    </row>
    <row r="74" spans="1:19" ht="9.75" customHeight="1" x14ac:dyDescent="0.25"/>
  </sheetData>
  <mergeCells count="76">
    <mergeCell ref="B16:D16"/>
    <mergeCell ref="B17:D17"/>
    <mergeCell ref="B18:D18"/>
    <mergeCell ref="A1:P1"/>
    <mergeCell ref="A2:P2"/>
    <mergeCell ref="A3:P3"/>
    <mergeCell ref="A5:P5"/>
    <mergeCell ref="N6:P6"/>
    <mergeCell ref="B11:D11"/>
    <mergeCell ref="B12:D12"/>
    <mergeCell ref="B14:D14"/>
    <mergeCell ref="B13:D13"/>
    <mergeCell ref="B15:D15"/>
    <mergeCell ref="B9:D9"/>
    <mergeCell ref="F9:H9"/>
    <mergeCell ref="J9:L9"/>
    <mergeCell ref="N9:P9"/>
    <mergeCell ref="G10:H10"/>
    <mergeCell ref="K10:L10"/>
    <mergeCell ref="O10:P10"/>
    <mergeCell ref="O48:P48"/>
    <mergeCell ref="B50:D50"/>
    <mergeCell ref="B51:D51"/>
    <mergeCell ref="A40:P40"/>
    <mergeCell ref="A41:P41"/>
    <mergeCell ref="A43:P43"/>
    <mergeCell ref="B47:D47"/>
    <mergeCell ref="F47:H47"/>
    <mergeCell ref="J47:L47"/>
    <mergeCell ref="N47:P47"/>
    <mergeCell ref="G48:H48"/>
    <mergeCell ref="K48:L48"/>
    <mergeCell ref="N44:P44"/>
    <mergeCell ref="N69:O69"/>
    <mergeCell ref="E68:F68"/>
    <mergeCell ref="G68:H68"/>
    <mergeCell ref="B52:D52"/>
    <mergeCell ref="J68:K68"/>
    <mergeCell ref="N68:O68"/>
    <mergeCell ref="B66:D66"/>
    <mergeCell ref="E69:F69"/>
    <mergeCell ref="G69:H69"/>
    <mergeCell ref="J69:K69"/>
    <mergeCell ref="B54:D54"/>
    <mergeCell ref="B55:D55"/>
    <mergeCell ref="B56:D56"/>
    <mergeCell ref="B57:D57"/>
    <mergeCell ref="B58:D58"/>
    <mergeCell ref="B59:D59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53:D53"/>
    <mergeCell ref="A39:P39"/>
    <mergeCell ref="G30:H30"/>
    <mergeCell ref="J30:K30"/>
    <mergeCell ref="N30:O30"/>
    <mergeCell ref="E31:F31"/>
    <mergeCell ref="G31:H31"/>
    <mergeCell ref="J31:K31"/>
    <mergeCell ref="N31:O31"/>
    <mergeCell ref="E30:F30"/>
    <mergeCell ref="B29:D29"/>
    <mergeCell ref="B49:D49"/>
    <mergeCell ref="B65:D65"/>
    <mergeCell ref="B60:D60"/>
    <mergeCell ref="B61:D61"/>
    <mergeCell ref="B62:D62"/>
    <mergeCell ref="B63:D63"/>
    <mergeCell ref="B64:D64"/>
  </mergeCells>
  <pageMargins left="0.7" right="0.2" top="0.19" bottom="0.25" header="0.3" footer="0.3"/>
  <pageSetup paperSize="9"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T75"/>
  <sheetViews>
    <sheetView zoomScaleNormal="100" workbookViewId="0">
      <selection activeCell="H75" sqref="H75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7109375" customWidth="1"/>
    <col min="7" max="7" width="8.28515625" customWidth="1"/>
    <col min="8" max="8" width="6.7109375" customWidth="1"/>
    <col min="9" max="9" width="3.42578125" customWidth="1"/>
    <col min="10" max="10" width="9.28515625" customWidth="1"/>
    <col min="11" max="11" width="7.85546875" customWidth="1"/>
    <col min="12" max="12" width="6.7109375" customWidth="1"/>
    <col min="13" max="13" width="6.28515625" style="226" customWidth="1"/>
    <col min="14" max="14" width="8.7109375" customWidth="1"/>
    <col min="15" max="15" width="8.5703125" customWidth="1"/>
    <col min="16" max="16" width="6.7109375" customWidth="1"/>
  </cols>
  <sheetData>
    <row r="1" spans="1:20" s="4" customFormat="1" ht="18.75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20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20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20" s="4" customFormat="1" ht="15.75" x14ac:dyDescent="0.25">
      <c r="M4" s="121"/>
    </row>
    <row r="5" spans="1:20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</row>
    <row r="6" spans="1:20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v>0</v>
      </c>
      <c r="O6" s="256"/>
      <c r="P6" s="256"/>
    </row>
    <row r="7" spans="1:20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2" t="s">
        <v>27</v>
      </c>
      <c r="N7" s="53" t="s">
        <v>36</v>
      </c>
      <c r="O7" s="53"/>
      <c r="P7" s="225"/>
    </row>
    <row r="9" spans="1:20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217"/>
      <c r="J9" s="245" t="s">
        <v>9</v>
      </c>
      <c r="K9" s="245"/>
      <c r="L9" s="245"/>
      <c r="M9" s="217"/>
      <c r="N9" s="245" t="s">
        <v>10</v>
      </c>
      <c r="O9" s="245"/>
      <c r="P9" s="245"/>
    </row>
    <row r="10" spans="1:20" s="6" customFormat="1" ht="18.75" x14ac:dyDescent="0.3">
      <c r="B10" s="222"/>
      <c r="C10" s="222"/>
      <c r="D10" s="222"/>
      <c r="F10" s="223" t="s">
        <v>29</v>
      </c>
      <c r="G10" s="246" t="s">
        <v>30</v>
      </c>
      <c r="H10" s="247"/>
      <c r="I10" s="217"/>
      <c r="J10" s="223" t="s">
        <v>29</v>
      </c>
      <c r="K10" s="246" t="s">
        <v>30</v>
      </c>
      <c r="L10" s="247"/>
      <c r="M10" s="217"/>
      <c r="N10" s="223" t="s">
        <v>29</v>
      </c>
      <c r="O10" s="246" t="s">
        <v>30</v>
      </c>
      <c r="P10" s="247"/>
    </row>
    <row r="11" spans="1:20" x14ac:dyDescent="0.25">
      <c r="B11" s="244" t="str">
        <f>'EXPEDITION CONSOLIDATION'!B12:D12</f>
        <v>Emulison Senatel Pulsar 38</v>
      </c>
      <c r="C11" s="244"/>
      <c r="D11" s="244"/>
      <c r="E11" s="2"/>
      <c r="F11" s="79">
        <f>G11/38*25</f>
        <v>0</v>
      </c>
      <c r="G11" s="36"/>
      <c r="H11" s="45" t="s">
        <v>38</v>
      </c>
      <c r="I11" s="14"/>
      <c r="J11" s="79">
        <f>F11</f>
        <v>0</v>
      </c>
      <c r="K11" s="36">
        <f>G11</f>
        <v>0</v>
      </c>
      <c r="L11" s="45" t="s">
        <v>38</v>
      </c>
      <c r="N11" s="79">
        <f>F11</f>
        <v>0</v>
      </c>
      <c r="O11" s="36">
        <f>G11</f>
        <v>0</v>
      </c>
      <c r="P11" s="45" t="s">
        <v>38</v>
      </c>
    </row>
    <row r="12" spans="1:20" x14ac:dyDescent="0.25">
      <c r="B12" s="244" t="str">
        <f>'EXPEDITION CONSOLIDATION'!B13:D13</f>
        <v>Emulison Senatel Pulsar 135</v>
      </c>
      <c r="C12" s="244"/>
      <c r="D12" s="244"/>
      <c r="E12" s="2"/>
      <c r="F12" s="30">
        <f>G12/135*25</f>
        <v>0</v>
      </c>
      <c r="G12" s="36"/>
      <c r="H12" s="45" t="s">
        <v>38</v>
      </c>
      <c r="I12" s="14"/>
      <c r="J12" s="30">
        <f>F12</f>
        <v>0</v>
      </c>
      <c r="K12" s="36">
        <f t="shared" ref="K12:K13" si="0">G12</f>
        <v>0</v>
      </c>
      <c r="L12" s="45" t="s">
        <v>38</v>
      </c>
      <c r="N12" s="30">
        <f t="shared" ref="N12:O13" si="1">F12</f>
        <v>0</v>
      </c>
      <c r="O12" s="36">
        <f t="shared" si="1"/>
        <v>0</v>
      </c>
      <c r="P12" s="3" t="s">
        <v>38</v>
      </c>
    </row>
    <row r="13" spans="1:20" x14ac:dyDescent="0.25">
      <c r="B13" s="244" t="str">
        <f>'EXPEDITION CONSOLIDATION'!B14:D14</f>
        <v>Emulsion Senatel Pulsar 215 P</v>
      </c>
      <c r="C13" s="244"/>
      <c r="D13" s="244"/>
      <c r="E13" s="2"/>
      <c r="F13" s="30">
        <f>G13/215*25</f>
        <v>0</v>
      </c>
      <c r="G13" s="36"/>
      <c r="H13" s="45" t="s">
        <v>38</v>
      </c>
      <c r="I13" s="14"/>
      <c r="J13" s="30">
        <f>F13</f>
        <v>0</v>
      </c>
      <c r="K13" s="36">
        <f t="shared" si="0"/>
        <v>0</v>
      </c>
      <c r="L13" s="45" t="s">
        <v>38</v>
      </c>
      <c r="N13" s="30">
        <f t="shared" si="1"/>
        <v>0</v>
      </c>
      <c r="O13" s="36">
        <f t="shared" si="1"/>
        <v>0</v>
      </c>
      <c r="P13" s="3" t="s">
        <v>38</v>
      </c>
    </row>
    <row r="14" spans="1:20" x14ac:dyDescent="0.25">
      <c r="B14" s="244" t="str">
        <f>'EXPEDITION CONSOLIDATION'!B15:D15</f>
        <v>Anfo</v>
      </c>
      <c r="C14" s="244"/>
      <c r="D14" s="244"/>
      <c r="E14" s="2"/>
      <c r="F14" s="79"/>
      <c r="G14" s="36"/>
      <c r="H14" s="45"/>
      <c r="I14" s="14"/>
      <c r="J14" s="79">
        <f>F14</f>
        <v>0</v>
      </c>
      <c r="K14" s="36"/>
      <c r="L14" s="45"/>
      <c r="N14" s="79">
        <f>F14</f>
        <v>0</v>
      </c>
      <c r="O14" s="36"/>
      <c r="P14" s="3"/>
    </row>
    <row r="15" spans="1:20" x14ac:dyDescent="0.25">
      <c r="B15" s="244" t="str">
        <f>'EXPEDITION CONSOLIDATION'!B16:D16</f>
        <v>OBC</v>
      </c>
      <c r="C15" s="244"/>
      <c r="D15" s="244"/>
      <c r="E15" s="2"/>
      <c r="F15" s="221"/>
      <c r="G15" s="98"/>
      <c r="H15" s="46" t="s">
        <v>38</v>
      </c>
      <c r="I15" s="14"/>
      <c r="J15" s="219"/>
      <c r="K15" s="48">
        <f t="shared" ref="K15:K27" si="2">G15</f>
        <v>0</v>
      </c>
      <c r="L15" s="45" t="s">
        <v>38</v>
      </c>
      <c r="N15" s="219"/>
      <c r="O15" s="48">
        <f t="shared" ref="O15:O27" si="3">G15</f>
        <v>0</v>
      </c>
      <c r="P15" s="3" t="s">
        <v>38</v>
      </c>
      <c r="S15" s="77"/>
      <c r="T15" s="96"/>
    </row>
    <row r="16" spans="1:20" x14ac:dyDescent="0.25">
      <c r="B16" s="244" t="str">
        <f>'EXPEDITION CONSOLIDATION'!B17:D17</f>
        <v>Safety Fuse</v>
      </c>
      <c r="C16" s="244"/>
      <c r="D16" s="244"/>
      <c r="E16" s="2"/>
      <c r="F16" s="220"/>
      <c r="G16" s="94">
        <f>G15*2.43</f>
        <v>0</v>
      </c>
      <c r="H16" s="45" t="s">
        <v>39</v>
      </c>
      <c r="I16" s="14"/>
      <c r="J16" s="219"/>
      <c r="K16" s="90">
        <f t="shared" si="2"/>
        <v>0</v>
      </c>
      <c r="L16" s="45" t="s">
        <v>39</v>
      </c>
      <c r="N16" s="219"/>
      <c r="O16" s="90">
        <f t="shared" si="3"/>
        <v>0</v>
      </c>
      <c r="P16" s="3" t="s">
        <v>39</v>
      </c>
    </row>
    <row r="17" spans="1:19" x14ac:dyDescent="0.25">
      <c r="B17" s="244" t="str">
        <f>'EXPEDITION CONSOLIDATION'!B18:D18</f>
        <v>EXEL Detonator (3.6)</v>
      </c>
      <c r="C17" s="244"/>
      <c r="D17" s="244"/>
      <c r="E17" s="2"/>
      <c r="F17" s="220"/>
      <c r="G17" s="36"/>
      <c r="H17" s="45" t="s">
        <v>38</v>
      </c>
      <c r="I17" s="14"/>
      <c r="J17" s="219"/>
      <c r="K17" s="36">
        <f t="shared" si="2"/>
        <v>0</v>
      </c>
      <c r="L17" s="45" t="s">
        <v>38</v>
      </c>
      <c r="N17" s="219"/>
      <c r="O17" s="36">
        <f t="shared" si="3"/>
        <v>0</v>
      </c>
      <c r="P17" s="3" t="s">
        <v>38</v>
      </c>
    </row>
    <row r="18" spans="1:19" x14ac:dyDescent="0.25">
      <c r="B18" s="244" t="str">
        <f>'EXPEDITION CONSOLIDATION'!B19:D19</f>
        <v>EXEL Detonator (2.4)</v>
      </c>
      <c r="C18" s="244"/>
      <c r="D18" s="244"/>
      <c r="E18" s="2"/>
      <c r="F18" s="220"/>
      <c r="G18" s="36"/>
      <c r="H18" s="45" t="s">
        <v>38</v>
      </c>
      <c r="I18" s="14"/>
      <c r="J18" s="219"/>
      <c r="K18" s="36">
        <f>G18</f>
        <v>0</v>
      </c>
      <c r="L18" s="45" t="s">
        <v>38</v>
      </c>
      <c r="N18" s="219"/>
      <c r="O18" s="36">
        <f>G18</f>
        <v>0</v>
      </c>
      <c r="P18" s="3" t="s">
        <v>38</v>
      </c>
    </row>
    <row r="19" spans="1:19" x14ac:dyDescent="0.25">
      <c r="B19" s="244" t="str">
        <f>'EXPEDITION CONSOLIDATION'!B20:D20</f>
        <v>EXEL Detonator (4.9)</v>
      </c>
      <c r="C19" s="244"/>
      <c r="D19" s="244"/>
      <c r="E19" s="2"/>
      <c r="F19" s="220"/>
      <c r="G19" s="36"/>
      <c r="H19" s="45" t="s">
        <v>38</v>
      </c>
      <c r="I19" s="14"/>
      <c r="J19" s="219"/>
      <c r="K19" s="36">
        <f>G19</f>
        <v>0</v>
      </c>
      <c r="L19" s="45" t="s">
        <v>38</v>
      </c>
      <c r="N19" s="219"/>
      <c r="O19" s="36">
        <f>G19</f>
        <v>0</v>
      </c>
      <c r="P19" s="3" t="s">
        <v>38</v>
      </c>
    </row>
    <row r="20" spans="1:19" x14ac:dyDescent="0.25">
      <c r="B20" s="244" t="str">
        <f>'EXPEDITION CONSOLIDATION'!B21:D21</f>
        <v>Cordtex (Detonating Cord) 5</v>
      </c>
      <c r="C20" s="244"/>
      <c r="D20" s="244"/>
      <c r="E20" s="2"/>
      <c r="F20" s="220"/>
      <c r="G20" s="36"/>
      <c r="H20" s="45" t="s">
        <v>39</v>
      </c>
      <c r="I20" s="14"/>
      <c r="J20" s="219"/>
      <c r="K20" s="36">
        <f t="shared" si="2"/>
        <v>0</v>
      </c>
      <c r="L20" s="45" t="s">
        <v>39</v>
      </c>
      <c r="N20" s="219"/>
      <c r="O20" s="36">
        <f t="shared" si="3"/>
        <v>0</v>
      </c>
      <c r="P20" s="3" t="s">
        <v>39</v>
      </c>
    </row>
    <row r="21" spans="1:19" x14ac:dyDescent="0.25">
      <c r="B21" s="244" t="str">
        <f>'EXPEDITION CONSOLIDATION'!B22:D22</f>
        <v>Cordtex (DCORD I) 5</v>
      </c>
      <c r="C21" s="244"/>
      <c r="D21" s="244"/>
      <c r="E21" s="2"/>
      <c r="F21" s="3"/>
      <c r="G21" s="36"/>
      <c r="H21" s="45" t="s">
        <v>39</v>
      </c>
      <c r="I21" s="14"/>
      <c r="J21" s="219"/>
      <c r="K21" s="36">
        <f t="shared" si="2"/>
        <v>0</v>
      </c>
      <c r="L21" s="45" t="s">
        <v>39</v>
      </c>
      <c r="N21" s="219"/>
      <c r="O21" s="36">
        <f t="shared" si="3"/>
        <v>0</v>
      </c>
      <c r="P21" s="3" t="s">
        <v>39</v>
      </c>
    </row>
    <row r="22" spans="1:19" x14ac:dyDescent="0.25">
      <c r="B22" s="244" t="str">
        <f>'EXPEDITION CONSOLIDATION'!B23:D23</f>
        <v>Cordtex (Detonating Cord) 40</v>
      </c>
      <c r="C22" s="244"/>
      <c r="D22" s="244"/>
      <c r="E22" s="2"/>
      <c r="F22" s="3"/>
      <c r="G22" s="48"/>
      <c r="H22" s="45" t="s">
        <v>39</v>
      </c>
      <c r="I22" s="14"/>
      <c r="J22" s="219"/>
      <c r="K22" s="48">
        <f t="shared" si="2"/>
        <v>0</v>
      </c>
      <c r="L22" s="45" t="s">
        <v>39</v>
      </c>
      <c r="N22" s="219"/>
      <c r="O22" s="48">
        <f t="shared" si="3"/>
        <v>0</v>
      </c>
      <c r="P22" s="3" t="s">
        <v>39</v>
      </c>
    </row>
    <row r="23" spans="1:19" x14ac:dyDescent="0.25">
      <c r="B23" s="244" t="str">
        <f>'EXPEDITION CONSOLIDATION'!B24:D24</f>
        <v>MS 12</v>
      </c>
      <c r="C23" s="244"/>
      <c r="D23" s="244"/>
      <c r="E23" s="2"/>
      <c r="F23" s="3"/>
      <c r="G23" s="36"/>
      <c r="H23" s="45" t="s">
        <v>39</v>
      </c>
      <c r="I23" s="14"/>
      <c r="J23" s="219"/>
      <c r="K23" s="36">
        <f t="shared" si="2"/>
        <v>0</v>
      </c>
      <c r="L23" s="45" t="s">
        <v>39</v>
      </c>
      <c r="N23" s="219"/>
      <c r="O23" s="36">
        <f t="shared" si="3"/>
        <v>0</v>
      </c>
      <c r="P23" s="3" t="s">
        <v>39</v>
      </c>
      <c r="S23" s="20"/>
    </row>
    <row r="24" spans="1:19" x14ac:dyDescent="0.25">
      <c r="B24" s="244" t="str">
        <f>'EXPEDITION CONSOLIDATION'!B25:D25</f>
        <v>MS 18</v>
      </c>
      <c r="C24" s="244"/>
      <c r="D24" s="244"/>
      <c r="E24" s="2"/>
      <c r="F24" s="3"/>
      <c r="G24" s="36"/>
      <c r="H24" s="45" t="s">
        <v>39</v>
      </c>
      <c r="I24" s="14"/>
      <c r="J24" s="219"/>
      <c r="K24" s="36">
        <f>G24</f>
        <v>0</v>
      </c>
      <c r="L24" s="45" t="s">
        <v>39</v>
      </c>
      <c r="N24" s="219"/>
      <c r="O24" s="36">
        <f t="shared" si="3"/>
        <v>0</v>
      </c>
      <c r="P24" s="3" t="s">
        <v>39</v>
      </c>
      <c r="S24" s="20"/>
    </row>
    <row r="25" spans="1:19" x14ac:dyDescent="0.25">
      <c r="B25" s="244" t="str">
        <f>'EXPEDITION CONSOLIDATION'!B26:D26</f>
        <v>Fuse Lighter</v>
      </c>
      <c r="C25" s="244"/>
      <c r="D25" s="244"/>
      <c r="E25" s="2"/>
      <c r="F25" s="3"/>
      <c r="G25" s="36"/>
      <c r="H25" s="37" t="s">
        <v>38</v>
      </c>
      <c r="I25" s="14"/>
      <c r="J25" s="219"/>
      <c r="K25" s="36">
        <f t="shared" si="2"/>
        <v>0</v>
      </c>
      <c r="L25" s="37" t="s">
        <v>38</v>
      </c>
      <c r="N25" s="219"/>
      <c r="O25" s="36">
        <f t="shared" si="3"/>
        <v>0</v>
      </c>
      <c r="P25" s="37" t="s">
        <v>38</v>
      </c>
    </row>
    <row r="26" spans="1:19" x14ac:dyDescent="0.25">
      <c r="B26" s="244" t="str">
        <f>'EXPEDITION CONSOLIDATION'!B27:D27</f>
        <v>BILL WIRE</v>
      </c>
      <c r="C26" s="244"/>
      <c r="D26" s="244"/>
      <c r="E26" s="2"/>
      <c r="F26" s="3"/>
      <c r="G26" s="36"/>
      <c r="H26" s="37" t="s">
        <v>38</v>
      </c>
      <c r="I26" s="14"/>
      <c r="J26" s="219"/>
      <c r="K26" s="36">
        <f t="shared" si="2"/>
        <v>0</v>
      </c>
      <c r="L26" s="37" t="s">
        <v>38</v>
      </c>
      <c r="N26" s="219"/>
      <c r="O26" s="36">
        <f t="shared" si="3"/>
        <v>0</v>
      </c>
      <c r="P26" s="37" t="s">
        <v>38</v>
      </c>
    </row>
    <row r="27" spans="1:19" x14ac:dyDescent="0.25">
      <c r="B27" s="244" t="str">
        <f>'EXPEDITION CONSOLIDATION'!B28:D28</f>
        <v>EBC</v>
      </c>
      <c r="C27" s="244"/>
      <c r="D27" s="244"/>
      <c r="E27" s="2"/>
      <c r="F27" s="3"/>
      <c r="G27" s="36"/>
      <c r="H27" s="37" t="s">
        <v>38</v>
      </c>
      <c r="I27" s="14"/>
      <c r="J27" s="219"/>
      <c r="K27" s="36">
        <f t="shared" si="2"/>
        <v>0</v>
      </c>
      <c r="L27" s="37" t="s">
        <v>38</v>
      </c>
      <c r="N27" s="219"/>
      <c r="O27" s="36">
        <f t="shared" si="3"/>
        <v>0</v>
      </c>
      <c r="P27" s="37" t="s">
        <v>38</v>
      </c>
    </row>
    <row r="28" spans="1:19" ht="9" customHeight="1" x14ac:dyDescent="0.25"/>
    <row r="29" spans="1:19" s="6" customFormat="1" ht="18.75" x14ac:dyDescent="0.3">
      <c r="A29" s="6" t="s">
        <v>12</v>
      </c>
      <c r="B29" s="245" t="s">
        <v>25</v>
      </c>
      <c r="C29" s="245"/>
      <c r="D29" s="245"/>
      <c r="M29" s="217"/>
    </row>
    <row r="30" spans="1:19" x14ac:dyDescent="0.25">
      <c r="C30" s="218" t="s">
        <v>13</v>
      </c>
      <c r="D30" s="31" t="s">
        <v>34</v>
      </c>
      <c r="E30" s="250">
        <v>0</v>
      </c>
      <c r="F30" s="250"/>
      <c r="G30" s="249" t="s">
        <v>18</v>
      </c>
      <c r="H30" s="249"/>
      <c r="I30" s="218"/>
      <c r="J30" s="250">
        <f>G17+G18-J31+G19</f>
        <v>0</v>
      </c>
      <c r="K30" s="250"/>
      <c r="L30" s="39"/>
      <c r="M30" s="22" t="s">
        <v>19</v>
      </c>
      <c r="N30" s="250" t="s">
        <v>32</v>
      </c>
      <c r="O30" s="250"/>
      <c r="P30" s="219"/>
      <c r="R30" s="20"/>
    </row>
    <row r="31" spans="1:19" x14ac:dyDescent="0.25">
      <c r="C31" s="218" t="s">
        <v>14</v>
      </c>
      <c r="D31" s="31" t="s">
        <v>35</v>
      </c>
      <c r="E31" s="252">
        <v>0</v>
      </c>
      <c r="F31" s="252"/>
      <c r="G31" s="249" t="s">
        <v>18</v>
      </c>
      <c r="H31" s="249"/>
      <c r="I31" s="218"/>
      <c r="J31" s="257">
        <v>0</v>
      </c>
      <c r="K31" s="252"/>
      <c r="L31" s="224"/>
      <c r="M31" s="22" t="s">
        <v>19</v>
      </c>
      <c r="N31" s="252" t="s">
        <v>33</v>
      </c>
      <c r="O31" s="252"/>
      <c r="P31" s="221"/>
      <c r="R31" s="20"/>
      <c r="S31" s="20"/>
    </row>
    <row r="32" spans="1:19" x14ac:dyDescent="0.25">
      <c r="J32" s="20"/>
      <c r="K32" s="20"/>
      <c r="L32" s="20"/>
      <c r="Q32" s="20"/>
      <c r="R32" s="20"/>
      <c r="S32" s="20"/>
    </row>
    <row r="33" spans="1:18" s="7" customFormat="1" ht="18.75" x14ac:dyDescent="0.3">
      <c r="A33" s="7" t="s">
        <v>15</v>
      </c>
      <c r="B33" s="8" t="s">
        <v>16</v>
      </c>
      <c r="C33" s="8"/>
      <c r="D33" s="8"/>
      <c r="E33" s="6"/>
      <c r="F33" s="6"/>
      <c r="M33" s="24"/>
    </row>
    <row r="34" spans="1:18" s="7" customFormat="1" ht="18.75" x14ac:dyDescent="0.3">
      <c r="B34" s="6" t="s">
        <v>17</v>
      </c>
      <c r="D34" s="85"/>
      <c r="E34" s="9"/>
      <c r="F34" s="9"/>
      <c r="G34" s="9"/>
      <c r="H34" s="9"/>
      <c r="I34" s="9"/>
      <c r="J34" s="9"/>
      <c r="K34" s="9"/>
      <c r="L34" s="9"/>
      <c r="M34" s="25"/>
      <c r="N34" s="9"/>
      <c r="O34" s="9"/>
      <c r="P34" s="9"/>
    </row>
    <row r="35" spans="1:18" s="7" customFormat="1" ht="18.75" x14ac:dyDescent="0.3">
      <c r="B35" s="6"/>
      <c r="D35" s="155"/>
      <c r="E35" s="40"/>
      <c r="F35" s="40"/>
      <c r="G35" s="40"/>
      <c r="H35" s="40"/>
      <c r="I35" s="40"/>
      <c r="J35" s="40"/>
      <c r="K35" s="40"/>
      <c r="L35" s="40"/>
      <c r="M35" s="111"/>
      <c r="N35" s="40"/>
      <c r="O35" s="40"/>
      <c r="P35" s="40"/>
    </row>
    <row r="36" spans="1:18" ht="7.5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109"/>
      <c r="N36" s="32"/>
      <c r="O36" s="32"/>
      <c r="P36" s="32"/>
      <c r="Q36" s="32"/>
      <c r="R36" s="32"/>
    </row>
    <row r="37" spans="1:18" ht="9" customHeight="1" x14ac:dyDescent="0.25"/>
    <row r="38" spans="1:18" ht="3.75" customHeight="1" x14ac:dyDescent="0.25"/>
    <row r="39" spans="1:18" s="4" customFormat="1" ht="18.75" x14ac:dyDescent="0.3">
      <c r="A39" s="240" t="s">
        <v>0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</row>
    <row r="40" spans="1:18" s="4" customFormat="1" ht="15.75" x14ac:dyDescent="0.25">
      <c r="A40" s="241" t="s">
        <v>28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</row>
    <row r="41" spans="1:18" s="4" customFormat="1" ht="15.75" x14ac:dyDescent="0.25">
      <c r="A41" s="241" t="s">
        <v>1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</row>
    <row r="42" spans="1:18" s="4" customFormat="1" ht="13.5" customHeight="1" x14ac:dyDescent="0.25">
      <c r="M42" s="121"/>
    </row>
    <row r="43" spans="1:18" s="4" customFormat="1" ht="18.75" x14ac:dyDescent="0.3">
      <c r="A43" s="240" t="s">
        <v>26</v>
      </c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</row>
    <row r="44" spans="1:18" s="2" customFormat="1" x14ac:dyDescent="0.25">
      <c r="A44" s="2" t="s">
        <v>3</v>
      </c>
      <c r="C44" s="5" t="s">
        <v>4</v>
      </c>
      <c r="D44" s="11" t="s">
        <v>11</v>
      </c>
      <c r="E44" s="11"/>
      <c r="F44" s="11"/>
      <c r="G44" s="11"/>
      <c r="H44" s="11"/>
      <c r="I44" s="11"/>
      <c r="J44" s="11"/>
      <c r="K44" s="11"/>
      <c r="L44" s="21"/>
      <c r="M44" s="22" t="s">
        <v>5</v>
      </c>
      <c r="N44" s="256">
        <v>0</v>
      </c>
      <c r="O44" s="256"/>
      <c r="P44" s="256"/>
    </row>
    <row r="45" spans="1:18" s="2" customFormat="1" x14ac:dyDescent="0.25">
      <c r="A45" s="2" t="s">
        <v>22</v>
      </c>
      <c r="C45" s="5" t="s">
        <v>4</v>
      </c>
      <c r="D45" s="12" t="s">
        <v>37</v>
      </c>
      <c r="E45" s="13"/>
      <c r="F45" s="13"/>
      <c r="G45" s="13"/>
      <c r="H45" s="10"/>
      <c r="I45" s="10"/>
      <c r="J45" s="10"/>
      <c r="K45" s="10"/>
      <c r="L45" s="10"/>
      <c r="M45" s="22" t="s">
        <v>27</v>
      </c>
      <c r="N45" s="53" t="s">
        <v>36</v>
      </c>
      <c r="O45" s="53"/>
      <c r="P45" s="225"/>
    </row>
    <row r="47" spans="1:18" s="6" customFormat="1" ht="18.75" x14ac:dyDescent="0.3">
      <c r="A47" s="6" t="s">
        <v>6</v>
      </c>
      <c r="B47" s="248" t="s">
        <v>7</v>
      </c>
      <c r="C47" s="248"/>
      <c r="D47" s="248"/>
      <c r="F47" s="245" t="s">
        <v>8</v>
      </c>
      <c r="G47" s="245"/>
      <c r="H47" s="245"/>
      <c r="I47" s="217"/>
      <c r="J47" s="245" t="s">
        <v>9</v>
      </c>
      <c r="K47" s="245"/>
      <c r="L47" s="245"/>
      <c r="M47" s="217"/>
      <c r="N47" s="245" t="s">
        <v>10</v>
      </c>
      <c r="O47" s="245"/>
      <c r="P47" s="245"/>
    </row>
    <row r="48" spans="1:18" s="6" customFormat="1" ht="18.75" x14ac:dyDescent="0.3">
      <c r="B48" s="222"/>
      <c r="C48" s="222"/>
      <c r="D48" s="222"/>
      <c r="F48" s="223" t="s">
        <v>29</v>
      </c>
      <c r="G48" s="246" t="s">
        <v>30</v>
      </c>
      <c r="H48" s="247"/>
      <c r="I48" s="217"/>
      <c r="J48" s="223" t="s">
        <v>29</v>
      </c>
      <c r="K48" s="246" t="s">
        <v>30</v>
      </c>
      <c r="L48" s="247"/>
      <c r="M48" s="217"/>
      <c r="N48" s="223" t="s">
        <v>29</v>
      </c>
      <c r="O48" s="246" t="s">
        <v>30</v>
      </c>
      <c r="P48" s="247"/>
    </row>
    <row r="49" spans="2:19" x14ac:dyDescent="0.25">
      <c r="B49" s="244" t="str">
        <f>'EXPEDITION CONSOLIDATION'!B12:D12</f>
        <v>Emulison Senatel Pulsar 38</v>
      </c>
      <c r="C49" s="244"/>
      <c r="D49" s="244"/>
      <c r="E49" s="2"/>
      <c r="F49" s="79">
        <f>G49/38*25</f>
        <v>0</v>
      </c>
      <c r="G49" s="36"/>
      <c r="H49" s="45" t="s">
        <v>38</v>
      </c>
      <c r="I49" s="14"/>
      <c r="J49" s="79">
        <f>F49</f>
        <v>0</v>
      </c>
      <c r="K49" s="36">
        <f>G49</f>
        <v>0</v>
      </c>
      <c r="L49" s="45" t="s">
        <v>38</v>
      </c>
      <c r="N49" s="79">
        <f>F49</f>
        <v>0</v>
      </c>
      <c r="O49" s="36">
        <f>G49</f>
        <v>0</v>
      </c>
      <c r="P49" s="45" t="s">
        <v>38</v>
      </c>
    </row>
    <row r="50" spans="2:19" x14ac:dyDescent="0.25">
      <c r="B50" s="244" t="str">
        <f>'EXPEDITION CONSOLIDATION'!B13:D13</f>
        <v>Emulison Senatel Pulsar 135</v>
      </c>
      <c r="C50" s="244"/>
      <c r="D50" s="244"/>
      <c r="E50" s="2"/>
      <c r="F50" s="30">
        <f>G50/135*25</f>
        <v>0</v>
      </c>
      <c r="G50" s="36"/>
      <c r="H50" s="45" t="s">
        <v>38</v>
      </c>
      <c r="I50" s="14"/>
      <c r="J50" s="30">
        <f>F50</f>
        <v>0</v>
      </c>
      <c r="K50" s="36">
        <f t="shared" ref="K50:K51" si="4">G50</f>
        <v>0</v>
      </c>
      <c r="L50" s="45" t="s">
        <v>38</v>
      </c>
      <c r="N50" s="30">
        <f t="shared" ref="N50:O51" si="5">F50</f>
        <v>0</v>
      </c>
      <c r="O50" s="36">
        <f t="shared" si="5"/>
        <v>0</v>
      </c>
      <c r="P50" s="3" t="s">
        <v>38</v>
      </c>
    </row>
    <row r="51" spans="2:19" x14ac:dyDescent="0.25">
      <c r="B51" s="244" t="str">
        <f>'EXPEDITION CONSOLIDATION'!B14:D14</f>
        <v>Emulsion Senatel Pulsar 215 P</v>
      </c>
      <c r="C51" s="244"/>
      <c r="D51" s="244"/>
      <c r="E51" s="2"/>
      <c r="F51" s="30">
        <f>G51/215*25</f>
        <v>0</v>
      </c>
      <c r="G51" s="36"/>
      <c r="H51" s="45" t="s">
        <v>38</v>
      </c>
      <c r="I51" s="14"/>
      <c r="J51" s="30">
        <f>F51</f>
        <v>0</v>
      </c>
      <c r="K51" s="36">
        <f t="shared" si="4"/>
        <v>0</v>
      </c>
      <c r="L51" s="45" t="s">
        <v>38</v>
      </c>
      <c r="N51" s="30">
        <f t="shared" si="5"/>
        <v>0</v>
      </c>
      <c r="O51" s="36">
        <f t="shared" si="5"/>
        <v>0</v>
      </c>
      <c r="P51" s="3" t="s">
        <v>38</v>
      </c>
    </row>
    <row r="52" spans="2:19" x14ac:dyDescent="0.25">
      <c r="B52" s="244" t="str">
        <f>'EXPEDITION CONSOLIDATION'!B15:D15</f>
        <v>Anfo</v>
      </c>
      <c r="C52" s="244"/>
      <c r="D52" s="244"/>
      <c r="E52" s="2"/>
      <c r="F52" s="79"/>
      <c r="G52" s="36"/>
      <c r="H52" s="45"/>
      <c r="I52" s="14"/>
      <c r="J52" s="79">
        <f>F52</f>
        <v>0</v>
      </c>
      <c r="K52" s="36"/>
      <c r="L52" s="45"/>
      <c r="N52" s="79">
        <f>F52</f>
        <v>0</v>
      </c>
      <c r="O52" s="36"/>
      <c r="P52" s="3"/>
    </row>
    <row r="53" spans="2:19" x14ac:dyDescent="0.25">
      <c r="B53" s="244" t="str">
        <f>'EXPEDITION CONSOLIDATION'!B16:D16</f>
        <v>OBC</v>
      </c>
      <c r="C53" s="244"/>
      <c r="D53" s="244"/>
      <c r="E53" s="2"/>
      <c r="F53" s="221"/>
      <c r="G53" s="98"/>
      <c r="H53" s="46" t="s">
        <v>38</v>
      </c>
      <c r="I53" s="14"/>
      <c r="J53" s="219"/>
      <c r="K53" s="48">
        <f t="shared" ref="K53:K65" si="6">G53</f>
        <v>0</v>
      </c>
      <c r="L53" s="45" t="s">
        <v>38</v>
      </c>
      <c r="N53" s="219"/>
      <c r="O53" s="48">
        <f t="shared" ref="O53:O65" si="7">G53</f>
        <v>0</v>
      </c>
      <c r="P53" s="3" t="s">
        <v>38</v>
      </c>
    </row>
    <row r="54" spans="2:19" x14ac:dyDescent="0.25">
      <c r="B54" s="244" t="str">
        <f>'EXPEDITION CONSOLIDATION'!B17:D17</f>
        <v>Safety Fuse</v>
      </c>
      <c r="C54" s="244"/>
      <c r="D54" s="244"/>
      <c r="E54" s="2"/>
      <c r="F54" s="220"/>
      <c r="G54" s="94">
        <f>G53*2.43</f>
        <v>0</v>
      </c>
      <c r="H54" s="45" t="s">
        <v>39</v>
      </c>
      <c r="I54" s="14"/>
      <c r="J54" s="219"/>
      <c r="K54" s="90">
        <f t="shared" si="6"/>
        <v>0</v>
      </c>
      <c r="L54" s="45" t="s">
        <v>39</v>
      </c>
      <c r="N54" s="219"/>
      <c r="O54" s="90">
        <f t="shared" si="7"/>
        <v>0</v>
      </c>
      <c r="P54" s="3" t="s">
        <v>39</v>
      </c>
    </row>
    <row r="55" spans="2:19" x14ac:dyDescent="0.25">
      <c r="B55" s="244" t="str">
        <f>'EXPEDITION CONSOLIDATION'!B18:D18</f>
        <v>EXEL Detonator (3.6)</v>
      </c>
      <c r="C55" s="244"/>
      <c r="D55" s="244"/>
      <c r="E55" s="2"/>
      <c r="F55" s="220"/>
      <c r="G55" s="36"/>
      <c r="H55" s="45" t="s">
        <v>38</v>
      </c>
      <c r="I55" s="14"/>
      <c r="J55" s="219"/>
      <c r="K55" s="36">
        <f t="shared" si="6"/>
        <v>0</v>
      </c>
      <c r="L55" s="45" t="s">
        <v>38</v>
      </c>
      <c r="N55" s="219"/>
      <c r="O55" s="36">
        <f t="shared" si="7"/>
        <v>0</v>
      </c>
      <c r="P55" s="3" t="s">
        <v>38</v>
      </c>
    </row>
    <row r="56" spans="2:19" x14ac:dyDescent="0.25">
      <c r="B56" s="244" t="str">
        <f>'EXPEDITION CONSOLIDATION'!B19:D19</f>
        <v>EXEL Detonator (2.4)</v>
      </c>
      <c r="C56" s="244"/>
      <c r="D56" s="244"/>
      <c r="E56" s="2"/>
      <c r="F56" s="220"/>
      <c r="G56" s="36"/>
      <c r="H56" s="45" t="s">
        <v>38</v>
      </c>
      <c r="I56" s="14"/>
      <c r="J56" s="219"/>
      <c r="K56" s="36">
        <f>G56</f>
        <v>0</v>
      </c>
      <c r="L56" s="45" t="s">
        <v>38</v>
      </c>
      <c r="N56" s="219"/>
      <c r="O56" s="36">
        <f>G56</f>
        <v>0</v>
      </c>
      <c r="P56" s="3" t="s">
        <v>38</v>
      </c>
    </row>
    <row r="57" spans="2:19" x14ac:dyDescent="0.25">
      <c r="B57" s="244" t="str">
        <f>'EXPEDITION CONSOLIDATION'!B20:D20</f>
        <v>EXEL Detonator (4.9)</v>
      </c>
      <c r="C57" s="244"/>
      <c r="D57" s="244"/>
      <c r="E57" s="2"/>
      <c r="F57" s="220"/>
      <c r="G57" s="36"/>
      <c r="H57" s="45" t="s">
        <v>38</v>
      </c>
      <c r="I57" s="14"/>
      <c r="J57" s="219"/>
      <c r="K57" s="36">
        <f>G57</f>
        <v>0</v>
      </c>
      <c r="L57" s="45" t="s">
        <v>38</v>
      </c>
      <c r="N57" s="219"/>
      <c r="O57" s="36">
        <f>G57</f>
        <v>0</v>
      </c>
      <c r="P57" s="3" t="s">
        <v>38</v>
      </c>
    </row>
    <row r="58" spans="2:19" x14ac:dyDescent="0.25">
      <c r="B58" s="244" t="str">
        <f>'EXPEDITION CONSOLIDATION'!B21:D21</f>
        <v>Cordtex (Detonating Cord) 5</v>
      </c>
      <c r="C58" s="244"/>
      <c r="D58" s="244"/>
      <c r="E58" s="2"/>
      <c r="F58" s="220"/>
      <c r="G58" s="36"/>
      <c r="H58" s="45" t="s">
        <v>39</v>
      </c>
      <c r="I58" s="14"/>
      <c r="J58" s="219"/>
      <c r="K58" s="36">
        <f t="shared" si="6"/>
        <v>0</v>
      </c>
      <c r="L58" s="45" t="s">
        <v>39</v>
      </c>
      <c r="N58" s="219"/>
      <c r="O58" s="36">
        <f t="shared" si="7"/>
        <v>0</v>
      </c>
      <c r="P58" s="3" t="s">
        <v>39</v>
      </c>
    </row>
    <row r="59" spans="2:19" x14ac:dyDescent="0.25">
      <c r="B59" s="244" t="str">
        <f>'EXPEDITION CONSOLIDATION'!B22:D22</f>
        <v>Cordtex (DCORD I) 5</v>
      </c>
      <c r="C59" s="244"/>
      <c r="D59" s="244"/>
      <c r="E59" s="2"/>
      <c r="F59" s="3"/>
      <c r="G59" s="36"/>
      <c r="H59" s="45" t="s">
        <v>39</v>
      </c>
      <c r="I59" s="14"/>
      <c r="J59" s="219"/>
      <c r="K59" s="36">
        <f t="shared" si="6"/>
        <v>0</v>
      </c>
      <c r="L59" s="45" t="s">
        <v>39</v>
      </c>
      <c r="N59" s="219"/>
      <c r="O59" s="36">
        <f t="shared" si="7"/>
        <v>0</v>
      </c>
      <c r="P59" s="3" t="s">
        <v>39</v>
      </c>
    </row>
    <row r="60" spans="2:19" x14ac:dyDescent="0.25">
      <c r="B60" s="244" t="str">
        <f>'EXPEDITION CONSOLIDATION'!B23:D23</f>
        <v>Cordtex (Detonating Cord) 40</v>
      </c>
      <c r="C60" s="244"/>
      <c r="D60" s="244"/>
      <c r="E60" s="2"/>
      <c r="F60" s="3"/>
      <c r="G60" s="48"/>
      <c r="H60" s="45" t="s">
        <v>39</v>
      </c>
      <c r="I60" s="14"/>
      <c r="J60" s="219"/>
      <c r="K60" s="48">
        <f t="shared" si="6"/>
        <v>0</v>
      </c>
      <c r="L60" s="45" t="s">
        <v>39</v>
      </c>
      <c r="N60" s="219"/>
      <c r="O60" s="48">
        <f t="shared" si="7"/>
        <v>0</v>
      </c>
      <c r="P60" s="3" t="s">
        <v>39</v>
      </c>
    </row>
    <row r="61" spans="2:19" x14ac:dyDescent="0.25">
      <c r="B61" s="244" t="str">
        <f>'EXPEDITION CONSOLIDATION'!B24:D24</f>
        <v>MS 12</v>
      </c>
      <c r="C61" s="244"/>
      <c r="D61" s="244"/>
      <c r="E61" s="2"/>
      <c r="F61" s="3"/>
      <c r="G61" s="36"/>
      <c r="H61" s="45" t="s">
        <v>39</v>
      </c>
      <c r="I61" s="14"/>
      <c r="J61" s="219"/>
      <c r="K61" s="36">
        <f t="shared" si="6"/>
        <v>0</v>
      </c>
      <c r="L61" s="45" t="s">
        <v>39</v>
      </c>
      <c r="N61" s="219"/>
      <c r="O61" s="36">
        <f t="shared" si="7"/>
        <v>0</v>
      </c>
      <c r="P61" s="3" t="s">
        <v>39</v>
      </c>
      <c r="S61" s="20"/>
    </row>
    <row r="62" spans="2:19" x14ac:dyDescent="0.25">
      <c r="B62" s="244" t="str">
        <f>'EXPEDITION CONSOLIDATION'!B25:D25</f>
        <v>MS 18</v>
      </c>
      <c r="C62" s="244"/>
      <c r="D62" s="244"/>
      <c r="E62" s="2"/>
      <c r="F62" s="3"/>
      <c r="G62" s="36"/>
      <c r="H62" s="45" t="s">
        <v>39</v>
      </c>
      <c r="I62" s="14"/>
      <c r="J62" s="219"/>
      <c r="K62" s="36">
        <f>G62</f>
        <v>0</v>
      </c>
      <c r="L62" s="45" t="s">
        <v>39</v>
      </c>
      <c r="N62" s="219"/>
      <c r="O62" s="36">
        <f t="shared" si="7"/>
        <v>0</v>
      </c>
      <c r="P62" s="3" t="s">
        <v>39</v>
      </c>
      <c r="S62" s="20"/>
    </row>
    <row r="63" spans="2:19" x14ac:dyDescent="0.25">
      <c r="B63" s="244" t="str">
        <f>'EXPEDITION CONSOLIDATION'!B26:D26</f>
        <v>Fuse Lighter</v>
      </c>
      <c r="C63" s="244"/>
      <c r="D63" s="244"/>
      <c r="E63" s="2"/>
      <c r="F63" s="3"/>
      <c r="G63" s="36"/>
      <c r="H63" s="37" t="s">
        <v>38</v>
      </c>
      <c r="I63" s="14"/>
      <c r="J63" s="219"/>
      <c r="K63" s="36">
        <f t="shared" si="6"/>
        <v>0</v>
      </c>
      <c r="L63" s="37" t="s">
        <v>38</v>
      </c>
      <c r="N63" s="219"/>
      <c r="O63" s="36">
        <f t="shared" si="7"/>
        <v>0</v>
      </c>
      <c r="P63" s="37" t="s">
        <v>38</v>
      </c>
    </row>
    <row r="64" spans="2:19" x14ac:dyDescent="0.25">
      <c r="B64" s="244" t="str">
        <f>'EXPEDITION CONSOLIDATION'!B27:D27</f>
        <v>BILL WIRE</v>
      </c>
      <c r="C64" s="244"/>
      <c r="D64" s="244"/>
      <c r="E64" s="2"/>
      <c r="F64" s="3"/>
      <c r="G64" s="36"/>
      <c r="H64" s="37" t="s">
        <v>38</v>
      </c>
      <c r="I64" s="14"/>
      <c r="J64" s="219"/>
      <c r="K64" s="36">
        <f t="shared" si="6"/>
        <v>0</v>
      </c>
      <c r="L64" s="37" t="s">
        <v>38</v>
      </c>
      <c r="N64" s="219"/>
      <c r="O64" s="36">
        <f t="shared" si="7"/>
        <v>0</v>
      </c>
      <c r="P64" s="37" t="s">
        <v>38</v>
      </c>
    </row>
    <row r="65" spans="1:19" x14ac:dyDescent="0.25">
      <c r="B65" s="244" t="str">
        <f>'EXPEDITION CONSOLIDATION'!B28:D28</f>
        <v>EBC</v>
      </c>
      <c r="C65" s="244"/>
      <c r="D65" s="244"/>
      <c r="E65" s="2"/>
      <c r="F65" s="3"/>
      <c r="G65" s="36"/>
      <c r="H65" s="37" t="s">
        <v>38</v>
      </c>
      <c r="I65" s="14"/>
      <c r="J65" s="219"/>
      <c r="K65" s="36">
        <f t="shared" si="6"/>
        <v>0</v>
      </c>
      <c r="L65" s="37" t="s">
        <v>38</v>
      </c>
      <c r="N65" s="219"/>
      <c r="O65" s="36">
        <f t="shared" si="7"/>
        <v>0</v>
      </c>
      <c r="P65" s="37" t="s">
        <v>38</v>
      </c>
    </row>
    <row r="66" spans="1:19" ht="9" customHeight="1" x14ac:dyDescent="0.25">
      <c r="B66" s="233"/>
      <c r="C66" s="233"/>
      <c r="D66" s="233"/>
      <c r="E66" s="2"/>
      <c r="F66" s="14"/>
      <c r="G66" s="235"/>
      <c r="H66" s="14"/>
      <c r="I66" s="14"/>
      <c r="J66" s="39"/>
      <c r="K66" s="235"/>
      <c r="L66" s="14"/>
      <c r="M66" s="234"/>
      <c r="N66" s="39"/>
      <c r="O66" s="235"/>
      <c r="P66" s="14"/>
    </row>
    <row r="67" spans="1:19" s="6" customFormat="1" ht="18.75" x14ac:dyDescent="0.3">
      <c r="A67" s="6" t="s">
        <v>12</v>
      </c>
      <c r="B67" s="245" t="s">
        <v>25</v>
      </c>
      <c r="C67" s="245"/>
      <c r="D67" s="245"/>
      <c r="E67"/>
      <c r="F67"/>
      <c r="G67"/>
      <c r="H67"/>
      <c r="I67"/>
      <c r="J67"/>
      <c r="K67"/>
      <c r="L67"/>
      <c r="M67" s="226"/>
      <c r="N67"/>
      <c r="O67"/>
      <c r="P67"/>
    </row>
    <row r="68" spans="1:19" ht="6" customHeight="1" x14ac:dyDescent="0.3">
      <c r="C68" s="218"/>
      <c r="D68" s="31"/>
      <c r="E68" s="6"/>
      <c r="F68" s="6"/>
      <c r="G68" s="6"/>
      <c r="H68" s="6"/>
      <c r="I68" s="6"/>
      <c r="J68" s="6"/>
      <c r="K68" s="6"/>
      <c r="L68" s="6"/>
      <c r="M68" s="217"/>
      <c r="N68" s="6"/>
      <c r="O68" s="6"/>
      <c r="P68" s="6"/>
      <c r="R68" s="20"/>
    </row>
    <row r="69" spans="1:19" x14ac:dyDescent="0.25">
      <c r="C69" s="218" t="s">
        <v>13</v>
      </c>
      <c r="D69" s="31" t="s">
        <v>34</v>
      </c>
      <c r="E69" s="250"/>
      <c r="F69" s="250"/>
      <c r="G69" s="249" t="s">
        <v>18</v>
      </c>
      <c r="H69" s="249"/>
      <c r="I69" s="218"/>
      <c r="J69" s="250">
        <f>G55+G56-J70</f>
        <v>0</v>
      </c>
      <c r="K69" s="250"/>
      <c r="L69" s="39"/>
      <c r="M69" s="22" t="s">
        <v>19</v>
      </c>
      <c r="N69" s="250" t="s">
        <v>32</v>
      </c>
      <c r="O69" s="250"/>
      <c r="P69" s="219"/>
      <c r="S69" s="20"/>
    </row>
    <row r="70" spans="1:19" x14ac:dyDescent="0.25">
      <c r="C70" s="218" t="s">
        <v>14</v>
      </c>
      <c r="D70" s="31" t="s">
        <v>35</v>
      </c>
      <c r="E70" s="252"/>
      <c r="F70" s="252"/>
      <c r="G70" s="249" t="s">
        <v>18</v>
      </c>
      <c r="H70" s="249"/>
      <c r="I70" s="218"/>
      <c r="J70" s="257"/>
      <c r="K70" s="257"/>
      <c r="L70" s="224"/>
      <c r="M70" s="22" t="s">
        <v>19</v>
      </c>
      <c r="N70" s="252" t="s">
        <v>33</v>
      </c>
      <c r="O70" s="252"/>
      <c r="P70" s="221"/>
    </row>
    <row r="71" spans="1:19" x14ac:dyDescent="0.25">
      <c r="C71" s="218"/>
      <c r="D71" s="31"/>
      <c r="E71" s="224"/>
      <c r="F71" s="224"/>
      <c r="G71" s="218"/>
      <c r="H71" s="218"/>
      <c r="I71" s="218"/>
      <c r="J71" s="39"/>
      <c r="K71" s="224"/>
      <c r="L71" s="224"/>
      <c r="M71" s="22"/>
      <c r="N71" s="224"/>
      <c r="O71" s="224"/>
      <c r="P71" s="224"/>
    </row>
    <row r="72" spans="1:19" s="7" customFormat="1" ht="18.75" x14ac:dyDescent="0.3">
      <c r="A72" s="7" t="s">
        <v>15</v>
      </c>
      <c r="B72" s="8" t="s">
        <v>16</v>
      </c>
      <c r="C72" s="8"/>
      <c r="D72" s="8"/>
      <c r="E72" s="6"/>
      <c r="F72" s="6"/>
      <c r="M72" s="24"/>
    </row>
    <row r="73" spans="1:19" s="7" customFormat="1" ht="18.75" x14ac:dyDescent="0.3">
      <c r="B73" s="6" t="s">
        <v>17</v>
      </c>
      <c r="D73" s="85"/>
      <c r="E73" s="9"/>
      <c r="F73" s="9"/>
      <c r="G73" s="9"/>
      <c r="H73" s="9"/>
      <c r="I73" s="9"/>
      <c r="J73" s="9"/>
      <c r="K73" s="9"/>
      <c r="L73" s="9"/>
      <c r="M73" s="25"/>
      <c r="N73" s="9"/>
      <c r="O73" s="9"/>
      <c r="P73" s="9"/>
    </row>
    <row r="74" spans="1:19" s="7" customFormat="1" ht="18.75" x14ac:dyDescent="0.3">
      <c r="B74" s="6"/>
      <c r="D74" s="40"/>
      <c r="E74" s="40"/>
      <c r="F74" s="40"/>
      <c r="G74" s="40"/>
      <c r="H74" s="40"/>
      <c r="I74" s="40"/>
      <c r="J74" s="40"/>
      <c r="K74" s="40"/>
      <c r="L74" s="40"/>
      <c r="M74" s="111"/>
      <c r="N74" s="40"/>
      <c r="O74" s="40"/>
      <c r="P74" s="40"/>
    </row>
    <row r="75" spans="1:19" ht="9.75" customHeight="1" x14ac:dyDescent="0.25"/>
  </sheetData>
  <mergeCells count="76">
    <mergeCell ref="N70:O70"/>
    <mergeCell ref="B52:D52"/>
    <mergeCell ref="B67:D67"/>
    <mergeCell ref="E69:F69"/>
    <mergeCell ref="G69:H69"/>
    <mergeCell ref="J69:K69"/>
    <mergeCell ref="N69:O69"/>
    <mergeCell ref="B54:D54"/>
    <mergeCell ref="B55:D55"/>
    <mergeCell ref="B56:D56"/>
    <mergeCell ref="B57:D57"/>
    <mergeCell ref="B58:D58"/>
    <mergeCell ref="B59:D59"/>
    <mergeCell ref="B49:D49"/>
    <mergeCell ref="B50:D50"/>
    <mergeCell ref="E70:F70"/>
    <mergeCell ref="G70:H70"/>
    <mergeCell ref="J70:K70"/>
    <mergeCell ref="B65:D65"/>
    <mergeCell ref="B60:D60"/>
    <mergeCell ref="B61:D61"/>
    <mergeCell ref="B62:D62"/>
    <mergeCell ref="B63:D63"/>
    <mergeCell ref="B64:D64"/>
    <mergeCell ref="J47:L47"/>
    <mergeCell ref="N47:P47"/>
    <mergeCell ref="G48:H48"/>
    <mergeCell ref="K48:L48"/>
    <mergeCell ref="O48:P48"/>
    <mergeCell ref="B14:D14"/>
    <mergeCell ref="B29:D29"/>
    <mergeCell ref="E30:F30"/>
    <mergeCell ref="G30:H30"/>
    <mergeCell ref="J30:K30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3:D13"/>
    <mergeCell ref="A1:P1"/>
    <mergeCell ref="A2:P2"/>
    <mergeCell ref="A3:P3"/>
    <mergeCell ref="A5:P5"/>
    <mergeCell ref="N6:P6"/>
    <mergeCell ref="B9:D9"/>
    <mergeCell ref="F9:H9"/>
    <mergeCell ref="J9:L9"/>
    <mergeCell ref="N9:P9"/>
    <mergeCell ref="G10:H10"/>
    <mergeCell ref="K10:L10"/>
    <mergeCell ref="O10:P10"/>
    <mergeCell ref="B11:D11"/>
    <mergeCell ref="B12:D12"/>
    <mergeCell ref="B26:D26"/>
    <mergeCell ref="B27:D27"/>
    <mergeCell ref="B53:D53"/>
    <mergeCell ref="A40:P40"/>
    <mergeCell ref="N30:O30"/>
    <mergeCell ref="E31:F31"/>
    <mergeCell ref="G31:H31"/>
    <mergeCell ref="J31:K31"/>
    <mergeCell ref="N31:O31"/>
    <mergeCell ref="A39:P39"/>
    <mergeCell ref="B51:D51"/>
    <mergeCell ref="A41:P41"/>
    <mergeCell ref="A43:P43"/>
    <mergeCell ref="N44:P44"/>
    <mergeCell ref="B47:D47"/>
    <mergeCell ref="F47:H47"/>
  </mergeCells>
  <pageMargins left="0.7" right="0.2" top="0.19" bottom="0.25" header="0.3" footer="0.3"/>
  <pageSetup paperSize="9"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88"/>
  <sheetViews>
    <sheetView zoomScaleNormal="100" workbookViewId="0">
      <selection activeCell="R51" sqref="R51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4.28515625" customWidth="1"/>
    <col min="6" max="6" width="9.5703125" customWidth="1"/>
    <col min="7" max="7" width="8.85546875" customWidth="1"/>
    <col min="8" max="8" width="4.5703125" customWidth="1"/>
    <col min="9" max="9" width="3.5703125" customWidth="1"/>
    <col min="10" max="10" width="9.42578125" customWidth="1"/>
    <col min="11" max="11" width="8.28515625" customWidth="1"/>
    <col min="12" max="12" width="6.140625" customWidth="1"/>
    <col min="13" max="13" width="4.140625" style="23" customWidth="1"/>
    <col min="14" max="14" width="9.5703125" bestFit="1" customWidth="1"/>
    <col min="15" max="15" width="10.85546875" customWidth="1"/>
    <col min="16" max="16" width="4.5703125" customWidth="1"/>
  </cols>
  <sheetData>
    <row r="1" spans="1:19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9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9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9" s="4" customFormat="1" ht="15.75" x14ac:dyDescent="0.25">
      <c r="M4" s="16"/>
    </row>
    <row r="5" spans="1:19" s="4" customFormat="1" ht="18.75" x14ac:dyDescent="0.3">
      <c r="A5" s="240" t="s">
        <v>2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9" s="4" customFormat="1" ht="15.75" x14ac:dyDescent="0.25">
      <c r="A6" s="243" t="str">
        <f>'EXPEDITION CONSOLIDATION'!A6:P6</f>
        <v>FOR JUNE 1-7, 2026</v>
      </c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</row>
    <row r="7" spans="1:19" s="4" customFormat="1" ht="9" customHeight="1" x14ac:dyDescent="0.3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</row>
    <row r="8" spans="1:19" s="2" customFormat="1" ht="20.100000000000001" customHeight="1" x14ac:dyDescent="0.25">
      <c r="A8" s="2" t="s">
        <v>3</v>
      </c>
      <c r="C8" s="5" t="s">
        <v>4</v>
      </c>
      <c r="D8" s="33" t="s">
        <v>11</v>
      </c>
      <c r="E8" s="33"/>
      <c r="F8" s="33"/>
      <c r="G8" s="33"/>
      <c r="H8" s="33"/>
      <c r="I8" s="33"/>
      <c r="J8" s="33"/>
      <c r="K8" s="33"/>
      <c r="L8" s="42"/>
      <c r="M8" s="22"/>
      <c r="N8" s="247"/>
      <c r="O8" s="247"/>
    </row>
    <row r="9" spans="1:19" ht="20.100000000000001" customHeight="1" x14ac:dyDescent="0.25"/>
    <row r="10" spans="1:19" s="6" customFormat="1" ht="20.100000000000001" customHeight="1" x14ac:dyDescent="0.3">
      <c r="A10" s="6" t="s">
        <v>6</v>
      </c>
      <c r="B10" s="248" t="s">
        <v>7</v>
      </c>
      <c r="C10" s="248"/>
      <c r="D10" s="248"/>
      <c r="F10" s="245" t="s">
        <v>8</v>
      </c>
      <c r="G10" s="245"/>
      <c r="H10" s="245"/>
      <c r="I10" s="17"/>
      <c r="J10" s="245" t="s">
        <v>9</v>
      </c>
      <c r="K10" s="245"/>
      <c r="L10" s="245"/>
      <c r="M10" s="17"/>
      <c r="N10" s="245" t="s">
        <v>10</v>
      </c>
      <c r="O10" s="245"/>
      <c r="P10" s="245"/>
    </row>
    <row r="11" spans="1:19" s="6" customFormat="1" ht="20.100000000000001" customHeight="1" x14ac:dyDescent="0.3">
      <c r="B11" s="19"/>
      <c r="C11" s="19"/>
      <c r="D11" s="19"/>
      <c r="F11" s="58" t="s">
        <v>29</v>
      </c>
      <c r="G11" s="246" t="s">
        <v>30</v>
      </c>
      <c r="H11" s="247"/>
      <c r="I11" s="17"/>
      <c r="J11" s="58" t="s">
        <v>29</v>
      </c>
      <c r="K11" s="246" t="s">
        <v>30</v>
      </c>
      <c r="L11" s="247"/>
      <c r="M11" s="17"/>
      <c r="N11" s="58" t="s">
        <v>29</v>
      </c>
      <c r="O11" s="246" t="s">
        <v>30</v>
      </c>
      <c r="P11" s="247"/>
    </row>
    <row r="12" spans="1:19" ht="20.100000000000001" customHeight="1" x14ac:dyDescent="0.25">
      <c r="B12" s="244" t="s">
        <v>80</v>
      </c>
      <c r="C12" s="244"/>
      <c r="D12" s="244"/>
      <c r="E12" s="2"/>
      <c r="F12" s="73">
        <f>G12/208*25</f>
        <v>0</v>
      </c>
      <c r="G12" s="27">
        <f>'1-2.'!G11+'1-2.'!G47+'3-4.'!G12+'3-4.'!G48+'5-6.'!G11+'5-6.'!G47+'7'!G11+'7'!G47+'12'!G11+'12'!G44+'13'!G11+'13'!G44+'14'!G11+'14'!G45</f>
        <v>0</v>
      </c>
      <c r="H12" s="59" t="s">
        <v>38</v>
      </c>
      <c r="I12" s="14"/>
      <c r="J12" s="73">
        <f>F12</f>
        <v>0</v>
      </c>
      <c r="K12" s="27">
        <f>G12</f>
        <v>0</v>
      </c>
      <c r="L12" s="59" t="s">
        <v>38</v>
      </c>
      <c r="M12" s="22"/>
      <c r="N12" s="73">
        <f>F12</f>
        <v>0</v>
      </c>
      <c r="O12" s="27">
        <f>G12</f>
        <v>0</v>
      </c>
      <c r="P12" s="59" t="s">
        <v>38</v>
      </c>
    </row>
    <row r="13" spans="1:19" ht="20.100000000000001" customHeight="1" x14ac:dyDescent="0.25">
      <c r="B13" s="244" t="s">
        <v>100</v>
      </c>
      <c r="C13" s="244"/>
      <c r="D13" s="244"/>
      <c r="E13" s="2"/>
      <c r="F13" s="157">
        <f>G13/200*25</f>
        <v>1383.25</v>
      </c>
      <c r="G13" s="27">
        <f>'1-2.'!G12+'1-2.'!G48+'3-4.'!G13+'3-4.'!G49+'5-6.'!G12+'5-6.'!G48+'7'!G12+'7'!G48+'12'!G12+'12'!G45+'13'!G12+'13'!G45+'14'!G12+'14'!G46</f>
        <v>11066</v>
      </c>
      <c r="H13" s="59" t="s">
        <v>38</v>
      </c>
      <c r="I13" s="14"/>
      <c r="J13" s="73">
        <f>F13</f>
        <v>1383.25</v>
      </c>
      <c r="K13" s="27">
        <f>G13</f>
        <v>11066</v>
      </c>
      <c r="L13" s="59" t="s">
        <v>38</v>
      </c>
      <c r="M13" s="22"/>
      <c r="N13" s="73">
        <f>F13</f>
        <v>1383.25</v>
      </c>
      <c r="O13" s="27">
        <f>G13</f>
        <v>11066</v>
      </c>
      <c r="P13" s="59" t="s">
        <v>38</v>
      </c>
    </row>
    <row r="14" spans="1:19" ht="20.100000000000001" customHeight="1" x14ac:dyDescent="0.25">
      <c r="B14" s="244" t="s">
        <v>49</v>
      </c>
      <c r="C14" s="244"/>
      <c r="D14" s="244"/>
      <c r="E14" s="2"/>
      <c r="F14" s="168">
        <f>'1-2.'!F13+'1-2.'!F49+'3-4.'!F14+'3-4.'!F50+'5-6.'!F13+'5-6.'!F49+'7'!F13+'7'!F49+'12'!F13+'12'!F46+'13'!F13+'13'!F46+'14'!F13+'14'!F47</f>
        <v>0</v>
      </c>
      <c r="G14" s="158"/>
      <c r="H14" s="60"/>
      <c r="I14" s="14"/>
      <c r="J14" s="93">
        <f>F14</f>
        <v>0</v>
      </c>
      <c r="K14" s="27"/>
      <c r="L14" s="60"/>
      <c r="M14" s="22"/>
      <c r="N14" s="93">
        <f>F14</f>
        <v>0</v>
      </c>
      <c r="O14" s="27"/>
      <c r="P14" s="60"/>
      <c r="Q14" s="80"/>
      <c r="S14" s="80"/>
    </row>
    <row r="15" spans="1:19" ht="20.100000000000001" customHeight="1" x14ac:dyDescent="0.25">
      <c r="B15" s="244" t="s">
        <v>50</v>
      </c>
      <c r="C15" s="244"/>
      <c r="D15" s="244"/>
      <c r="E15" s="2"/>
      <c r="F15" s="159"/>
      <c r="G15" s="27">
        <f>'1-2.'!G14+'1-2.'!G50+'3-4.'!G15+'3-4.'!G51+'5-6.'!G14+'5-6.'!G50+'7'!G14+'7'!G50+'12'!G14+'12'!G47+'13'!G14+'13'!G47+'14'!G14+'14'!G48</f>
        <v>632</v>
      </c>
      <c r="H15" s="60" t="s">
        <v>38</v>
      </c>
      <c r="I15" s="14"/>
      <c r="J15" s="3"/>
      <c r="K15" s="27">
        <f t="shared" ref="K15:K27" si="0">G15</f>
        <v>632</v>
      </c>
      <c r="L15" s="60" t="s">
        <v>38</v>
      </c>
      <c r="M15" s="22"/>
      <c r="N15" s="3"/>
      <c r="O15" s="27">
        <f>G15</f>
        <v>632</v>
      </c>
      <c r="P15" s="60" t="s">
        <v>38</v>
      </c>
      <c r="Q15" s="80"/>
      <c r="R15" s="80"/>
    </row>
    <row r="16" spans="1:19" ht="20.100000000000001" customHeight="1" x14ac:dyDescent="0.25">
      <c r="B16" s="244" t="s">
        <v>51</v>
      </c>
      <c r="C16" s="244"/>
      <c r="D16" s="244"/>
      <c r="E16" s="2"/>
      <c r="F16" s="3"/>
      <c r="G16" s="112">
        <f>'1-2.'!G15+'1-2.'!G51+'3-4.'!G16+'3-4.'!G52+'5-6.'!G15+'5-6.'!G51+'7'!G15+'7'!G51+'12'!G15+'12'!G48+'13'!G15+'13'!G48+'14'!G15+'14'!G49</f>
        <v>1535.7600000000002</v>
      </c>
      <c r="H16" s="60" t="s">
        <v>40</v>
      </c>
      <c r="I16" s="14"/>
      <c r="J16" s="84"/>
      <c r="K16" s="112">
        <f t="shared" si="0"/>
        <v>1535.7600000000002</v>
      </c>
      <c r="L16" s="60" t="s">
        <v>40</v>
      </c>
      <c r="M16" s="22"/>
      <c r="N16" s="84"/>
      <c r="O16" s="112">
        <f>G16</f>
        <v>1535.7600000000002</v>
      </c>
      <c r="P16" s="60" t="s">
        <v>40</v>
      </c>
      <c r="R16" s="80"/>
    </row>
    <row r="17" spans="1:20" ht="20.100000000000001" customHeight="1" x14ac:dyDescent="0.25">
      <c r="B17" s="244" t="s">
        <v>89</v>
      </c>
      <c r="C17" s="244"/>
      <c r="D17" s="244"/>
      <c r="E17" s="2"/>
      <c r="F17" s="3"/>
      <c r="G17" s="27">
        <f>'1-2.'!G16+'1-2.'!G52+'3-4.'!G17+'3-4.'!G53+'5-6.'!G16+'5-6.'!G52+'7'!G16+'7'!G51+'12'!G15+'12'!G48+'13'!G15+'13'!G48+'14'!G15+'14'!G49</f>
        <v>0</v>
      </c>
      <c r="H17" s="60" t="s">
        <v>38</v>
      </c>
      <c r="I17" s="14"/>
      <c r="J17" s="84"/>
      <c r="K17" s="27">
        <f t="shared" si="0"/>
        <v>0</v>
      </c>
      <c r="L17" s="60" t="s">
        <v>38</v>
      </c>
      <c r="M17" s="22"/>
      <c r="N17" s="84"/>
      <c r="O17" s="27">
        <f>G17</f>
        <v>0</v>
      </c>
      <c r="P17" s="60" t="s">
        <v>38</v>
      </c>
      <c r="R17" s="80"/>
    </row>
    <row r="18" spans="1:20" ht="20.100000000000001" customHeight="1" x14ac:dyDescent="0.25">
      <c r="B18" s="244" t="s">
        <v>63</v>
      </c>
      <c r="C18" s="244"/>
      <c r="D18" s="244"/>
      <c r="E18" s="2"/>
      <c r="F18" s="3"/>
      <c r="G18" s="27">
        <f>'1-2.'!G17+'1-2.'!G53+'3-4.'!G18+'3-4.'!G54+'5-6.'!G17+'5-6.'!G53+'7'!G17+'7'!G53+'12'!G16+'12'!G49+'13'!G16+'13'!G49+'14'!G16+'14'!G50</f>
        <v>0</v>
      </c>
      <c r="H18" s="60" t="s">
        <v>38</v>
      </c>
      <c r="I18" s="14"/>
      <c r="J18" s="3"/>
      <c r="K18" s="27">
        <f t="shared" si="0"/>
        <v>0</v>
      </c>
      <c r="L18" s="60" t="s">
        <v>38</v>
      </c>
      <c r="M18" s="22"/>
      <c r="N18" s="3"/>
      <c r="O18" s="27">
        <f>G18</f>
        <v>0</v>
      </c>
      <c r="P18" s="60" t="s">
        <v>38</v>
      </c>
    </row>
    <row r="19" spans="1:20" ht="20.100000000000001" customHeight="1" x14ac:dyDescent="0.25">
      <c r="B19" s="244" t="s">
        <v>64</v>
      </c>
      <c r="C19" s="244"/>
      <c r="D19" s="244"/>
      <c r="E19" s="2"/>
      <c r="F19" s="3"/>
      <c r="G19" s="27">
        <f>'1-2.'!G18+'1-2.'!G54+'3-4.'!G19+'3-4.'!G55+'5-6.'!G18+'5-6.'!G54+'7'!G18+'7'!G54+'12'!G17+'12'!G50+'13'!G17+'13'!G50+'14'!G17+'14'!G51</f>
        <v>0</v>
      </c>
      <c r="H19" s="60" t="s">
        <v>38</v>
      </c>
      <c r="I19" s="14"/>
      <c r="J19" s="3"/>
      <c r="K19" s="27">
        <f t="shared" si="0"/>
        <v>0</v>
      </c>
      <c r="L19" s="60" t="s">
        <v>38</v>
      </c>
      <c r="M19" s="22"/>
      <c r="N19" s="3"/>
      <c r="O19" s="27">
        <f>G19</f>
        <v>0</v>
      </c>
      <c r="P19" s="60" t="s">
        <v>38</v>
      </c>
    </row>
    <row r="20" spans="1:20" ht="20.100000000000001" customHeight="1" x14ac:dyDescent="0.25">
      <c r="B20" s="244" t="s">
        <v>65</v>
      </c>
      <c r="C20" s="244"/>
      <c r="D20" s="244"/>
      <c r="E20" s="2"/>
      <c r="F20" s="3"/>
      <c r="G20" s="27">
        <f>'1-2.'!G19+'1-2.'!G55+'3-4.'!G20+'3-4.'!G56+'5-6.'!G19+'5-6.'!G55+'7'!G19+'7'!G55+'12'!G18+'12'!G51+'13'!G18+'13'!G51+'14'!G18+'14'!G52</f>
        <v>0</v>
      </c>
      <c r="H20" s="60" t="s">
        <v>38</v>
      </c>
      <c r="I20" s="14"/>
      <c r="J20" s="3"/>
      <c r="K20" s="27">
        <f t="shared" si="0"/>
        <v>0</v>
      </c>
      <c r="L20" s="60" t="s">
        <v>38</v>
      </c>
      <c r="M20" s="22"/>
      <c r="N20" s="3"/>
      <c r="O20" s="27">
        <v>0</v>
      </c>
      <c r="P20" s="60" t="s">
        <v>38</v>
      </c>
    </row>
    <row r="21" spans="1:20" ht="20.100000000000001" customHeight="1" x14ac:dyDescent="0.25">
      <c r="B21" s="244" t="s">
        <v>66</v>
      </c>
      <c r="C21" s="244"/>
      <c r="D21" s="244"/>
      <c r="E21" s="2"/>
      <c r="F21" s="3"/>
      <c r="G21" s="27">
        <f>'1-2.'!G20+'1-2.'!G56+'3-4.'!G21+'3-4.'!G57+'5-6.'!G20+'5-6.'!G56+'7'!G20+'7'!G56+'12'!G19+'12'!G52+'13'!G19+'13'!G52+'14'!G19+'14'!G53</f>
        <v>0</v>
      </c>
      <c r="H21" s="60" t="s">
        <v>38</v>
      </c>
      <c r="I21" s="14"/>
      <c r="J21" s="3"/>
      <c r="K21" s="27">
        <f t="shared" si="0"/>
        <v>0</v>
      </c>
      <c r="L21" s="60" t="s">
        <v>38</v>
      </c>
      <c r="M21" s="22"/>
      <c r="N21" s="3"/>
      <c r="O21" s="27">
        <f>G21</f>
        <v>0</v>
      </c>
      <c r="P21" s="60" t="s">
        <v>38</v>
      </c>
    </row>
    <row r="22" spans="1:20" ht="20.100000000000001" customHeight="1" x14ac:dyDescent="0.25">
      <c r="B22" s="244" t="s">
        <v>67</v>
      </c>
      <c r="C22" s="244"/>
      <c r="D22" s="244"/>
      <c r="E22" s="2"/>
      <c r="F22" s="3"/>
      <c r="G22" s="27">
        <f>'1-2.'!G21+'1-2.'!G57+'3-4.'!G22+'3-4.'!G58+'5-6.'!G21+'5-6.'!G57+'7'!G21+'7'!G57+'12'!G20+'12'!G53+'13'!G20+'13'!G53+'14'!G20+'14'!G54</f>
        <v>0</v>
      </c>
      <c r="H22" s="60" t="s">
        <v>40</v>
      </c>
      <c r="I22" s="14"/>
      <c r="J22" s="3"/>
      <c r="K22" s="27">
        <f t="shared" si="0"/>
        <v>0</v>
      </c>
      <c r="L22" s="60" t="s">
        <v>40</v>
      </c>
      <c r="M22" s="22"/>
      <c r="N22" s="3"/>
      <c r="O22" s="27">
        <f>G22</f>
        <v>0</v>
      </c>
      <c r="P22" s="60" t="s">
        <v>40</v>
      </c>
    </row>
    <row r="23" spans="1:20" ht="20.100000000000001" customHeight="1" x14ac:dyDescent="0.25">
      <c r="B23" s="244" t="s">
        <v>68</v>
      </c>
      <c r="C23" s="244"/>
      <c r="D23" s="244"/>
      <c r="E23" s="2"/>
      <c r="F23" s="3"/>
      <c r="G23" s="27">
        <f>'1-2.'!G22+'1-2.'!G58+'3-4.'!G23+'3-4.'!G59+'5-6.'!G22+'5-6.'!G58+'7'!G22+'7'!G58+'12'!G21+'12'!G54+'13'!G21+'13'!G54+'14'!G21+'14'!G55</f>
        <v>2928</v>
      </c>
      <c r="H23" s="60" t="s">
        <v>40</v>
      </c>
      <c r="I23" s="14"/>
      <c r="J23" s="3"/>
      <c r="K23" s="27">
        <f t="shared" si="0"/>
        <v>2928</v>
      </c>
      <c r="L23" s="60" t="s">
        <v>40</v>
      </c>
      <c r="M23" s="22"/>
      <c r="N23" s="3"/>
      <c r="O23" s="27">
        <f>G23</f>
        <v>2928</v>
      </c>
      <c r="P23" s="60" t="s">
        <v>40</v>
      </c>
    </row>
    <row r="24" spans="1:20" ht="20.100000000000001" customHeight="1" x14ac:dyDescent="0.25">
      <c r="B24" s="244" t="s">
        <v>69</v>
      </c>
      <c r="C24" s="244"/>
      <c r="D24" s="244"/>
      <c r="E24" s="2"/>
      <c r="F24" s="3"/>
      <c r="G24" s="27">
        <f>'1-2.'!G23+'1-2.'!G59+'3-4.'!G24+'3-4.'!G60+'5-6.'!G23+'5-6.'!G59+'7'!G23+'7'!G59+'12'!G22+'12'!G55+'13'!G22+'13'!G55+'14'!G22+'14'!G56</f>
        <v>0</v>
      </c>
      <c r="H24" s="60" t="s">
        <v>40</v>
      </c>
      <c r="I24" s="14"/>
      <c r="J24" s="3"/>
      <c r="K24" s="27">
        <f t="shared" si="0"/>
        <v>0</v>
      </c>
      <c r="L24" s="60" t="s">
        <v>40</v>
      </c>
      <c r="M24" s="22"/>
      <c r="N24" s="3"/>
      <c r="O24" s="27">
        <f t="shared" ref="O24" si="1">G24</f>
        <v>0</v>
      </c>
      <c r="P24" s="60" t="s">
        <v>40</v>
      </c>
    </row>
    <row r="25" spans="1:20" ht="20.100000000000001" customHeight="1" x14ac:dyDescent="0.25">
      <c r="B25" s="244" t="s">
        <v>58</v>
      </c>
      <c r="C25" s="244"/>
      <c r="D25" s="244"/>
      <c r="E25" s="2"/>
      <c r="F25" s="3"/>
      <c r="G25" s="27">
        <f>'1-2.'!G24+'1-2.'!G60+'3-4.'!G25+'3-4.'!G61+'5-6.'!G24+'5-6.'!G60+'7'!G24+'7'!G60+'12'!G23+'12'!G56+'13'!G23+'13'!G56+'14'!G23+'14'!G57</f>
        <v>0</v>
      </c>
      <c r="H25" s="61" t="s">
        <v>38</v>
      </c>
      <c r="I25" s="14"/>
      <c r="J25" s="3"/>
      <c r="K25" s="27">
        <f t="shared" si="0"/>
        <v>0</v>
      </c>
      <c r="L25" s="61" t="s">
        <v>38</v>
      </c>
      <c r="M25" s="22"/>
      <c r="N25" s="3"/>
      <c r="O25" s="27">
        <f t="shared" ref="O25" si="2">G25</f>
        <v>0</v>
      </c>
      <c r="P25" s="61" t="s">
        <v>38</v>
      </c>
      <c r="Q25" s="80"/>
    </row>
    <row r="26" spans="1:20" ht="20.100000000000001" customHeight="1" x14ac:dyDescent="0.25">
      <c r="B26" s="244" t="s">
        <v>59</v>
      </c>
      <c r="C26" s="244"/>
      <c r="D26" s="244"/>
      <c r="E26" s="2"/>
      <c r="F26" s="3"/>
      <c r="G26" s="27">
        <f>'1-2.'!G25+'1-2.'!G61+'3-4.'!G26+'3-4.'!G62+'5-6.'!G25+'5-6.'!G61+'7'!G25+'7'!G61+'12'!G24+'12'!G57+'13'!G24+'13'!G57+'14'!G24+'14'!G58</f>
        <v>0</v>
      </c>
      <c r="H26" s="60" t="s">
        <v>40</v>
      </c>
      <c r="I26" s="14"/>
      <c r="J26" s="3"/>
      <c r="K26" s="27">
        <f t="shared" si="0"/>
        <v>0</v>
      </c>
      <c r="L26" s="60" t="s">
        <v>40</v>
      </c>
      <c r="M26" s="22"/>
      <c r="N26" s="3"/>
      <c r="O26" s="27">
        <f>G26</f>
        <v>0</v>
      </c>
      <c r="P26" s="60" t="s">
        <v>40</v>
      </c>
    </row>
    <row r="27" spans="1:20" ht="20.100000000000001" customHeight="1" x14ac:dyDescent="0.25">
      <c r="B27" s="244" t="s">
        <v>70</v>
      </c>
      <c r="C27" s="244"/>
      <c r="D27" s="244"/>
      <c r="E27" s="2"/>
      <c r="F27" s="3"/>
      <c r="G27" s="27">
        <f>'1-2.'!G26+'1-2.'!G62+'3-4.'!G27+'3-4.'!G63+'5-6.'!G26+'5-6.'!G62+'7'!G26+'7'!G62+'12'!G25+'12'!G58+'13'!G25+'13'!G58+'14'!G25+'14'!G59</f>
        <v>0</v>
      </c>
      <c r="H27" s="61" t="s">
        <v>38</v>
      </c>
      <c r="I27" s="14"/>
      <c r="J27" s="1"/>
      <c r="K27" s="27">
        <f t="shared" si="0"/>
        <v>0</v>
      </c>
      <c r="L27" s="61" t="s">
        <v>38</v>
      </c>
      <c r="N27" s="1"/>
      <c r="O27" s="28">
        <f>G27</f>
        <v>0</v>
      </c>
      <c r="P27" s="61" t="s">
        <v>38</v>
      </c>
    </row>
    <row r="28" spans="1:20" ht="12.75" customHeight="1" x14ac:dyDescent="0.25"/>
    <row r="29" spans="1:20" s="6" customFormat="1" ht="18.75" customHeight="1" x14ac:dyDescent="0.3">
      <c r="A29" s="6" t="s">
        <v>12</v>
      </c>
      <c r="B29" s="245" t="s">
        <v>25</v>
      </c>
      <c r="C29" s="245"/>
      <c r="D29" s="245"/>
      <c r="M29" s="17"/>
    </row>
    <row r="30" spans="1:20" ht="20.100000000000001" customHeight="1" x14ac:dyDescent="0.25">
      <c r="C30" s="26" t="s">
        <v>13</v>
      </c>
      <c r="D30" s="31" t="s">
        <v>34</v>
      </c>
      <c r="E30" s="251">
        <f>'1-2.'!E29:F29+'1-2.'!E65:F65+'3-4.'!E30:F30+'3-4.'!E66:F66+'5-6.'!E29:F29+'5-6.'!E65:F65+'7'!E29:F29+'7'!E65:F65+'12'!E28:F28+'12'!E61:F61+'13'!E28:F28+'13'!E61:F61+'14'!E28:F28+'14'!E62:F62</f>
        <v>0</v>
      </c>
      <c r="F30" s="251"/>
      <c r="G30" s="249" t="s">
        <v>18</v>
      </c>
      <c r="H30" s="249"/>
      <c r="I30" s="249"/>
      <c r="J30" s="250">
        <f>'1-2.'!J29:K29+'1-2.'!J65:K65+'3-4.'!J30:K30+'3-4.'!J66:K66+'5-6.'!J29:K29+'5-6.'!J65:K65+'7'!J29:K29+'7'!J65:K65+'12'!J28:K28+'12'!J61:K61+'13'!J28:K28+'13'!J61:K61+'14'!J28:K28+'14'!J62:K62</f>
        <v>0</v>
      </c>
      <c r="K30" s="251"/>
      <c r="L30" s="22" t="s">
        <v>19</v>
      </c>
      <c r="M30" s="22"/>
      <c r="N30" s="250" t="s">
        <v>32</v>
      </c>
      <c r="O30" s="250"/>
      <c r="P30" s="1"/>
      <c r="T30" s="209">
        <f>J30+J31</f>
        <v>0</v>
      </c>
    </row>
    <row r="31" spans="1:20" ht="20.100000000000001" customHeight="1" x14ac:dyDescent="0.25">
      <c r="C31" s="26" t="s">
        <v>14</v>
      </c>
      <c r="D31" s="31" t="s">
        <v>35</v>
      </c>
      <c r="E31" s="251">
        <f>'1-2.'!E30:F30+'1-2.'!E66:F66+'3-4.'!E31:F31+'3-4.'!E67:F67+'5-6.'!E30:F30+'5-6.'!E66:F66+'7'!E30:F30+'7'!E66:F66+'12'!E29:F29+'12'!E62:F62+'13'!E29:F29+'13'!E62:F62+'14'!E29:F29+'14'!E63:F63</f>
        <v>0</v>
      </c>
      <c r="F31" s="251"/>
      <c r="G31" s="249" t="s">
        <v>18</v>
      </c>
      <c r="H31" s="249"/>
      <c r="I31" s="249"/>
      <c r="J31" s="251">
        <f>'1-2.'!J30:K30+'1-2.'!J66:K66+'3-4.'!J31:K31+'3-4.'!J67:K67+'5-6.'!J30:K30+'5-6.'!J66:K66+'7'!J30:K30+'7'!J66:K66+'12'!J29:K29+'12'!J62:K62+'13'!J29:K29+'13'!J62:K62+'14'!J29:K29+'14'!J63:K63</f>
        <v>0</v>
      </c>
      <c r="K31" s="251"/>
      <c r="L31" s="22" t="s">
        <v>19</v>
      </c>
      <c r="M31" s="22"/>
      <c r="N31" s="252" t="s">
        <v>33</v>
      </c>
      <c r="O31" s="252"/>
      <c r="P31" s="54"/>
    </row>
    <row r="32" spans="1:20" ht="20.100000000000001" customHeight="1" x14ac:dyDescent="0.25">
      <c r="K32" s="20"/>
      <c r="L32" s="20"/>
    </row>
    <row r="33" spans="1:18" s="7" customFormat="1" ht="20.100000000000001" customHeight="1" x14ac:dyDescent="0.3">
      <c r="A33" s="7" t="s">
        <v>15</v>
      </c>
      <c r="B33" s="8" t="s">
        <v>16</v>
      </c>
      <c r="C33" s="8"/>
      <c r="D33" s="8"/>
      <c r="E33" s="6"/>
      <c r="F33" s="6"/>
      <c r="M33" s="24"/>
      <c r="R33" s="76"/>
    </row>
    <row r="34" spans="1:18" s="7" customFormat="1" ht="20.100000000000001" customHeight="1" x14ac:dyDescent="0.3">
      <c r="B34" s="6" t="s">
        <v>17</v>
      </c>
      <c r="D34" s="9"/>
      <c r="E34" s="9"/>
      <c r="F34" s="9"/>
      <c r="G34" s="9"/>
      <c r="H34" s="9"/>
      <c r="I34" s="9"/>
      <c r="J34" s="9"/>
      <c r="K34" s="9"/>
      <c r="L34" s="9"/>
      <c r="M34" s="25"/>
      <c r="N34" s="9"/>
      <c r="O34" s="9"/>
      <c r="P34" s="9"/>
    </row>
    <row r="35" spans="1:18" ht="20.100000000000001" customHeight="1" x14ac:dyDescent="0.25">
      <c r="D35" s="1"/>
      <c r="E35" s="1"/>
      <c r="F35" s="1"/>
      <c r="G35" s="1"/>
      <c r="H35" s="1"/>
      <c r="I35" s="1"/>
      <c r="J35" s="1"/>
      <c r="K35" s="1"/>
      <c r="L35" s="1"/>
      <c r="M35" s="15"/>
      <c r="N35" s="1"/>
      <c r="O35" s="1"/>
      <c r="P35" s="54"/>
    </row>
    <row r="36" spans="1:18" ht="51.75" customHeight="1" x14ac:dyDescent="0.25"/>
    <row r="37" spans="1:18" ht="16.5" customHeight="1" x14ac:dyDescent="0.25">
      <c r="A37" t="s">
        <v>82</v>
      </c>
      <c r="F37" t="s">
        <v>83</v>
      </c>
      <c r="L37" t="s">
        <v>93</v>
      </c>
      <c r="M37" s="238"/>
    </row>
    <row r="38" spans="1:18" ht="29.25" customHeight="1" x14ac:dyDescent="0.25">
      <c r="M38" s="238"/>
    </row>
    <row r="39" spans="1:18" ht="20.100000000000001" customHeight="1" x14ac:dyDescent="0.25">
      <c r="A39" s="253" t="s">
        <v>109</v>
      </c>
      <c r="B39" s="253"/>
      <c r="C39" s="253"/>
      <c r="D39" s="253"/>
      <c r="E39" s="160"/>
      <c r="F39" s="170" t="s">
        <v>91</v>
      </c>
      <c r="G39" s="161"/>
      <c r="H39" s="161"/>
      <c r="I39" s="161"/>
      <c r="J39" s="161" t="s">
        <v>31</v>
      </c>
      <c r="K39" s="160"/>
      <c r="L39" s="253" t="s">
        <v>94</v>
      </c>
      <c r="M39" s="253"/>
      <c r="N39" s="253"/>
      <c r="O39" s="253"/>
      <c r="P39" s="1"/>
    </row>
    <row r="40" spans="1:18" s="4" customFormat="1" ht="20.100000000000001" customHeight="1" x14ac:dyDescent="0.25">
      <c r="A40" s="255" t="s">
        <v>20</v>
      </c>
      <c r="B40" s="255"/>
      <c r="C40" s="255"/>
      <c r="D40" s="255"/>
      <c r="E40" s="160"/>
      <c r="F40" s="172" t="s">
        <v>73</v>
      </c>
      <c r="G40" s="172"/>
      <c r="H40" s="172"/>
      <c r="I40" s="172"/>
      <c r="J40" s="172"/>
      <c r="K40" s="172"/>
      <c r="L40" s="172" t="s">
        <v>95</v>
      </c>
      <c r="M40" s="172"/>
      <c r="N40" s="172"/>
      <c r="O40" s="172"/>
      <c r="P40" s="171"/>
    </row>
    <row r="41" spans="1:18" ht="20.100000000000001" customHeight="1" x14ac:dyDescent="0.25">
      <c r="A41" s="254" t="s">
        <v>110</v>
      </c>
      <c r="B41" s="254"/>
      <c r="C41" s="254"/>
      <c r="D41" s="254"/>
      <c r="E41" s="160"/>
      <c r="F41" s="160"/>
      <c r="G41" s="160"/>
      <c r="H41" s="160"/>
      <c r="I41" s="160"/>
      <c r="J41" s="160"/>
      <c r="K41" s="160"/>
      <c r="M41" s="171"/>
    </row>
    <row r="42" spans="1:18" ht="20.100000000000001" customHeight="1" x14ac:dyDescent="0.25">
      <c r="A42" s="237"/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M42" s="238"/>
    </row>
    <row r="43" spans="1:18" ht="20.100000000000001" customHeight="1" x14ac:dyDescent="0.25">
      <c r="A43" s="237"/>
      <c r="B43" s="237"/>
      <c r="C43" s="237"/>
      <c r="D43" s="237"/>
      <c r="E43" s="237"/>
      <c r="F43" s="237"/>
      <c r="G43" s="237"/>
      <c r="H43" s="237"/>
      <c r="I43" s="237"/>
      <c r="J43" s="237"/>
      <c r="K43" s="237"/>
      <c r="M43" s="238"/>
    </row>
    <row r="44" spans="1:18" ht="20.100000000000001" customHeight="1" x14ac:dyDescent="0.25">
      <c r="A44" t="s">
        <v>96</v>
      </c>
      <c r="B44" s="238"/>
      <c r="E44" s="237"/>
      <c r="F44" s="237"/>
      <c r="G44" s="237"/>
      <c r="H44" s="237"/>
      <c r="I44" s="237"/>
      <c r="J44" s="237"/>
      <c r="K44" s="237"/>
      <c r="M44" s="238"/>
    </row>
    <row r="45" spans="1:18" ht="20.100000000000001" customHeight="1" x14ac:dyDescent="0.25">
      <c r="B45" s="238"/>
      <c r="E45" s="237"/>
      <c r="F45" s="237"/>
      <c r="G45" s="237"/>
      <c r="H45" s="237"/>
      <c r="I45" s="237"/>
      <c r="J45" s="237"/>
      <c r="K45" s="237"/>
      <c r="M45" s="238"/>
    </row>
    <row r="46" spans="1:18" ht="20.100000000000001" customHeight="1" x14ac:dyDescent="0.25">
      <c r="B46" s="238"/>
      <c r="E46" s="237"/>
      <c r="F46" s="237"/>
      <c r="G46" s="237"/>
      <c r="H46" s="237"/>
      <c r="I46" s="237"/>
      <c r="J46" s="237"/>
      <c r="K46" s="237"/>
      <c r="M46" s="238"/>
    </row>
    <row r="47" spans="1:18" ht="20.100000000000001" customHeight="1" x14ac:dyDescent="0.25">
      <c r="A47" s="253" t="s">
        <v>97</v>
      </c>
      <c r="B47" s="253"/>
      <c r="C47" s="253"/>
      <c r="D47" s="253"/>
      <c r="E47" s="237"/>
      <c r="F47" s="237"/>
      <c r="G47" s="237"/>
      <c r="H47" s="237"/>
      <c r="I47" s="237"/>
      <c r="J47" s="237"/>
      <c r="K47" s="237"/>
      <c r="M47" s="238"/>
    </row>
    <row r="48" spans="1:18" ht="20.100000000000001" customHeight="1" x14ac:dyDescent="0.25">
      <c r="A48" s="172" t="s">
        <v>102</v>
      </c>
      <c r="B48" s="173"/>
      <c r="C48" s="173"/>
      <c r="D48" s="173"/>
      <c r="E48" s="237"/>
      <c r="F48" s="237"/>
      <c r="G48" s="237"/>
      <c r="H48" s="237"/>
      <c r="I48" s="237"/>
      <c r="J48" s="237"/>
      <c r="K48" s="237"/>
      <c r="M48" s="238"/>
    </row>
    <row r="49" spans="1:16" ht="20.100000000000001" customHeight="1" x14ac:dyDescent="0.25">
      <c r="A49" s="237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M49" s="238"/>
    </row>
    <row r="50" spans="1:16" ht="20.100000000000001" customHeight="1" x14ac:dyDescent="0.25">
      <c r="A50" s="237"/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M50" s="238"/>
    </row>
    <row r="51" spans="1:16" ht="20.100000000000001" customHeight="1" x14ac:dyDescent="0.25">
      <c r="A51" s="237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M51" s="238"/>
    </row>
    <row r="52" spans="1:16" ht="20.100000000000001" customHeight="1" x14ac:dyDescent="0.25">
      <c r="A52" s="237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M52" s="238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"/>
      <c r="N54" s="1"/>
      <c r="O54" s="1"/>
      <c r="P54" s="1"/>
    </row>
    <row r="88" ht="9.75" customHeight="1" x14ac:dyDescent="0.25"/>
  </sheetData>
  <mergeCells count="43">
    <mergeCell ref="A47:D47"/>
    <mergeCell ref="A41:D41"/>
    <mergeCell ref="L39:O39"/>
    <mergeCell ref="B12:D12"/>
    <mergeCell ref="B16:D16"/>
    <mergeCell ref="B20:D20"/>
    <mergeCell ref="B23:D23"/>
    <mergeCell ref="B25:D25"/>
    <mergeCell ref="B21:D21"/>
    <mergeCell ref="B18:D18"/>
    <mergeCell ref="B22:D22"/>
    <mergeCell ref="B24:D24"/>
    <mergeCell ref="B19:D19"/>
    <mergeCell ref="J30:K30"/>
    <mergeCell ref="N30:O30"/>
    <mergeCell ref="N31:O31"/>
    <mergeCell ref="J31:K31"/>
    <mergeCell ref="A1:O1"/>
    <mergeCell ref="A2:O2"/>
    <mergeCell ref="A3:O3"/>
    <mergeCell ref="A5:O5"/>
    <mergeCell ref="B15:D15"/>
    <mergeCell ref="N8:O8"/>
    <mergeCell ref="B14:D14"/>
    <mergeCell ref="J10:L10"/>
    <mergeCell ref="F10:H10"/>
    <mergeCell ref="G11:H11"/>
    <mergeCell ref="K11:L11"/>
    <mergeCell ref="O11:P11"/>
    <mergeCell ref="N10:P10"/>
    <mergeCell ref="B13:D13"/>
    <mergeCell ref="A6:P6"/>
    <mergeCell ref="E31:F31"/>
    <mergeCell ref="G31:I31"/>
    <mergeCell ref="A40:D40"/>
    <mergeCell ref="A39:D39"/>
    <mergeCell ref="B10:D10"/>
    <mergeCell ref="B26:D26"/>
    <mergeCell ref="B27:D27"/>
    <mergeCell ref="B29:D29"/>
    <mergeCell ref="G30:I30"/>
    <mergeCell ref="E30:F30"/>
    <mergeCell ref="B17:D17"/>
  </mergeCells>
  <pageMargins left="0.7" right="0.2" top="0.19" bottom="0.25" header="0.3" footer="0.3"/>
  <pageSetup paperSize="9"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73"/>
  <sheetViews>
    <sheetView topLeftCell="A7" zoomScaleNormal="100" workbookViewId="0">
      <selection activeCell="G19" sqref="G19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7109375" customWidth="1"/>
    <col min="7" max="7" width="8.28515625" customWidth="1"/>
    <col min="8" max="8" width="6.7109375" customWidth="1"/>
    <col min="9" max="9" width="3.42578125" customWidth="1"/>
    <col min="10" max="10" width="9.28515625" customWidth="1"/>
    <col min="11" max="11" width="7.85546875" customWidth="1"/>
    <col min="12" max="12" width="6.7109375" customWidth="1"/>
    <col min="13" max="13" width="6.28515625" style="130" customWidth="1"/>
    <col min="14" max="14" width="8.7109375" customWidth="1"/>
    <col min="15" max="15" width="8.5703125" customWidth="1"/>
    <col min="16" max="16" width="6.7109375" customWidth="1"/>
  </cols>
  <sheetData>
    <row r="1" spans="1:20" s="4" customFormat="1" ht="18.75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20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20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20" s="4" customFormat="1" ht="15.75" x14ac:dyDescent="0.25">
      <c r="M4" s="121"/>
    </row>
    <row r="5" spans="1:20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</row>
    <row r="6" spans="1:20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v>0</v>
      </c>
      <c r="O6" s="256"/>
      <c r="P6" s="256"/>
    </row>
    <row r="7" spans="1:20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2" t="s">
        <v>27</v>
      </c>
      <c r="N7" s="53" t="s">
        <v>36</v>
      </c>
      <c r="O7" s="53"/>
      <c r="P7" s="132"/>
    </row>
    <row r="9" spans="1:20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123"/>
      <c r="J9" s="245" t="s">
        <v>9</v>
      </c>
      <c r="K9" s="245"/>
      <c r="L9" s="245"/>
      <c r="M9" s="123"/>
      <c r="N9" s="245" t="s">
        <v>10</v>
      </c>
      <c r="O9" s="245"/>
      <c r="P9" s="245"/>
    </row>
    <row r="10" spans="1:20" s="6" customFormat="1" ht="18.75" x14ac:dyDescent="0.3">
      <c r="B10" s="124"/>
      <c r="C10" s="124"/>
      <c r="D10" s="124"/>
      <c r="F10" s="122" t="s">
        <v>29</v>
      </c>
      <c r="G10" s="246" t="s">
        <v>30</v>
      </c>
      <c r="H10" s="247"/>
      <c r="I10" s="123"/>
      <c r="J10" s="122" t="s">
        <v>29</v>
      </c>
      <c r="K10" s="246" t="s">
        <v>30</v>
      </c>
      <c r="L10" s="247"/>
      <c r="M10" s="123"/>
      <c r="N10" s="122" t="s">
        <v>29</v>
      </c>
      <c r="O10" s="246" t="s">
        <v>30</v>
      </c>
      <c r="P10" s="247"/>
    </row>
    <row r="11" spans="1:20" x14ac:dyDescent="0.25">
      <c r="B11" s="244" t="s">
        <v>84</v>
      </c>
      <c r="C11" s="244"/>
      <c r="D11" s="244"/>
      <c r="E11" s="2"/>
      <c r="F11" s="79">
        <f>G11/200*25</f>
        <v>0</v>
      </c>
      <c r="G11" s="36"/>
      <c r="H11" s="45" t="s">
        <v>38</v>
      </c>
      <c r="I11" s="14"/>
      <c r="J11" s="79">
        <f>F11</f>
        <v>0</v>
      </c>
      <c r="K11" s="36">
        <f>G11</f>
        <v>0</v>
      </c>
      <c r="L11" s="45" t="s">
        <v>38</v>
      </c>
      <c r="N11" s="79">
        <f>F11</f>
        <v>0</v>
      </c>
      <c r="O11" s="36">
        <f>G11</f>
        <v>0</v>
      </c>
      <c r="P11" s="45" t="s">
        <v>38</v>
      </c>
    </row>
    <row r="12" spans="1:20" x14ac:dyDescent="0.25">
      <c r="B12" s="244" t="s">
        <v>81</v>
      </c>
      <c r="C12" s="244"/>
      <c r="D12" s="244"/>
      <c r="E12" s="2"/>
      <c r="F12" s="30">
        <f>G12/150*25</f>
        <v>0</v>
      </c>
      <c r="G12" s="36"/>
      <c r="H12" s="45" t="s">
        <v>38</v>
      </c>
      <c r="I12" s="14"/>
      <c r="J12" s="30">
        <f>F12</f>
        <v>0</v>
      </c>
      <c r="K12" s="36">
        <f t="shared" ref="K12:K13" si="0">G12</f>
        <v>0</v>
      </c>
      <c r="L12" s="45" t="s">
        <v>38</v>
      </c>
      <c r="N12" s="30">
        <f t="shared" ref="N12:O13" si="1">F12</f>
        <v>0</v>
      </c>
      <c r="O12" s="36">
        <f t="shared" si="1"/>
        <v>0</v>
      </c>
      <c r="P12" s="3" t="s">
        <v>38</v>
      </c>
    </row>
    <row r="13" spans="1:20" x14ac:dyDescent="0.25">
      <c r="B13" s="244" t="s">
        <v>48</v>
      </c>
      <c r="C13" s="244"/>
      <c r="D13" s="244"/>
      <c r="E13" s="2"/>
      <c r="F13" s="30">
        <f>G13/215*25</f>
        <v>0</v>
      </c>
      <c r="G13" s="36"/>
      <c r="H13" s="45" t="s">
        <v>38</v>
      </c>
      <c r="I13" s="14"/>
      <c r="J13" s="30">
        <f>F13</f>
        <v>0</v>
      </c>
      <c r="K13" s="36">
        <f t="shared" si="0"/>
        <v>0</v>
      </c>
      <c r="L13" s="45" t="s">
        <v>38</v>
      </c>
      <c r="N13" s="30">
        <f t="shared" si="1"/>
        <v>0</v>
      </c>
      <c r="O13" s="36">
        <f t="shared" si="1"/>
        <v>0</v>
      </c>
      <c r="P13" s="3" t="s">
        <v>38</v>
      </c>
    </row>
    <row r="14" spans="1:20" x14ac:dyDescent="0.25">
      <c r="B14" s="244" t="s">
        <v>49</v>
      </c>
      <c r="C14" s="244"/>
      <c r="D14" s="244"/>
      <c r="E14" s="2"/>
      <c r="F14" s="79"/>
      <c r="G14" s="36"/>
      <c r="H14" s="45"/>
      <c r="I14" s="14"/>
      <c r="J14" s="79">
        <f>F14</f>
        <v>0</v>
      </c>
      <c r="K14" s="36"/>
      <c r="L14" s="45"/>
      <c r="N14" s="79">
        <f>F14</f>
        <v>0</v>
      </c>
      <c r="O14" s="36"/>
      <c r="P14" s="3"/>
    </row>
    <row r="15" spans="1:20" x14ac:dyDescent="0.25">
      <c r="B15" s="57" t="s">
        <v>50</v>
      </c>
      <c r="C15" s="57"/>
      <c r="D15" s="57"/>
      <c r="E15" s="2"/>
      <c r="F15" s="128"/>
      <c r="G15" s="98"/>
      <c r="H15" s="46" t="s">
        <v>38</v>
      </c>
      <c r="I15" s="14"/>
      <c r="J15" s="127"/>
      <c r="K15" s="48">
        <f t="shared" ref="K15:K28" si="2">G15</f>
        <v>0</v>
      </c>
      <c r="L15" s="45" t="s">
        <v>38</v>
      </c>
      <c r="N15" s="127"/>
      <c r="O15" s="48">
        <f t="shared" ref="O15:O28" si="3">G15</f>
        <v>0</v>
      </c>
      <c r="P15" s="3" t="s">
        <v>38</v>
      </c>
      <c r="S15" s="77"/>
      <c r="T15" s="96"/>
    </row>
    <row r="16" spans="1:20" x14ac:dyDescent="0.25">
      <c r="B16" s="57" t="s">
        <v>51</v>
      </c>
      <c r="C16" s="57"/>
      <c r="D16" s="57"/>
      <c r="E16" s="2"/>
      <c r="F16" s="129"/>
      <c r="G16" s="94">
        <f>G15*2.43</f>
        <v>0</v>
      </c>
      <c r="H16" s="45" t="s">
        <v>39</v>
      </c>
      <c r="I16" s="14"/>
      <c r="J16" s="127"/>
      <c r="K16" s="90">
        <f t="shared" si="2"/>
        <v>0</v>
      </c>
      <c r="L16" s="45" t="s">
        <v>39</v>
      </c>
      <c r="N16" s="127"/>
      <c r="O16" s="90">
        <f t="shared" si="3"/>
        <v>0</v>
      </c>
      <c r="P16" s="3" t="s">
        <v>39</v>
      </c>
    </row>
    <row r="17" spans="1:19" x14ac:dyDescent="0.25">
      <c r="B17" s="57" t="s">
        <v>52</v>
      </c>
      <c r="C17" s="57"/>
      <c r="D17" s="57"/>
      <c r="E17" s="2"/>
      <c r="F17" s="129"/>
      <c r="G17" s="36"/>
      <c r="H17" s="45" t="s">
        <v>38</v>
      </c>
      <c r="I17" s="14"/>
      <c r="J17" s="127"/>
      <c r="K17" s="36">
        <f t="shared" si="2"/>
        <v>0</v>
      </c>
      <c r="L17" s="45" t="s">
        <v>38</v>
      </c>
      <c r="N17" s="127"/>
      <c r="O17" s="36">
        <f t="shared" si="3"/>
        <v>0</v>
      </c>
      <c r="P17" s="3" t="s">
        <v>38</v>
      </c>
    </row>
    <row r="18" spans="1:19" x14ac:dyDescent="0.25">
      <c r="B18" s="57" t="s">
        <v>53</v>
      </c>
      <c r="C18" s="57"/>
      <c r="D18" s="125"/>
      <c r="E18" s="2"/>
      <c r="F18" s="129"/>
      <c r="G18" s="36"/>
      <c r="H18" s="45" t="s">
        <v>38</v>
      </c>
      <c r="I18" s="14"/>
      <c r="J18" s="127"/>
      <c r="K18" s="36">
        <f>G18</f>
        <v>0</v>
      </c>
      <c r="L18" s="45" t="s">
        <v>38</v>
      </c>
      <c r="N18" s="127"/>
      <c r="O18" s="36">
        <f>G18</f>
        <v>0</v>
      </c>
      <c r="P18" s="3" t="s">
        <v>38</v>
      </c>
    </row>
    <row r="19" spans="1:19" x14ac:dyDescent="0.25">
      <c r="B19" s="57" t="s">
        <v>85</v>
      </c>
      <c r="C19" s="57"/>
      <c r="D19" s="175"/>
      <c r="E19" s="2"/>
      <c r="F19" s="176"/>
      <c r="G19" s="36"/>
      <c r="H19" s="45" t="s">
        <v>38</v>
      </c>
      <c r="I19" s="14"/>
      <c r="J19" s="174"/>
      <c r="K19" s="36">
        <f>G19</f>
        <v>0</v>
      </c>
      <c r="L19" s="45" t="s">
        <v>38</v>
      </c>
      <c r="M19" s="177"/>
      <c r="N19" s="174"/>
      <c r="O19" s="36">
        <f>G19</f>
        <v>0</v>
      </c>
      <c r="P19" s="3" t="s">
        <v>38</v>
      </c>
    </row>
    <row r="20" spans="1:19" x14ac:dyDescent="0.25">
      <c r="B20" s="57" t="s">
        <v>54</v>
      </c>
      <c r="C20" s="57"/>
      <c r="D20" s="57"/>
      <c r="E20" s="2"/>
      <c r="F20" s="129"/>
      <c r="G20" s="36"/>
      <c r="H20" s="45" t="s">
        <v>39</v>
      </c>
      <c r="I20" s="14"/>
      <c r="J20" s="127"/>
      <c r="K20" s="36">
        <f t="shared" si="2"/>
        <v>0</v>
      </c>
      <c r="L20" s="45" t="s">
        <v>39</v>
      </c>
      <c r="N20" s="127"/>
      <c r="O20" s="36">
        <f t="shared" si="3"/>
        <v>0</v>
      </c>
      <c r="P20" s="3" t="s">
        <v>39</v>
      </c>
    </row>
    <row r="21" spans="1:19" x14ac:dyDescent="0.25">
      <c r="B21" s="57" t="s">
        <v>55</v>
      </c>
      <c r="C21" s="57"/>
      <c r="D21" s="57"/>
      <c r="E21" s="2"/>
      <c r="F21" s="129"/>
      <c r="G21" s="48"/>
      <c r="H21" s="45" t="s">
        <v>39</v>
      </c>
      <c r="I21" s="14"/>
      <c r="J21" s="127"/>
      <c r="K21" s="48">
        <f t="shared" si="2"/>
        <v>0</v>
      </c>
      <c r="L21" s="45" t="s">
        <v>39</v>
      </c>
      <c r="N21" s="127"/>
      <c r="O21" s="48">
        <f t="shared" si="3"/>
        <v>0</v>
      </c>
      <c r="P21" s="3" t="s">
        <v>39</v>
      </c>
    </row>
    <row r="22" spans="1:19" x14ac:dyDescent="0.25">
      <c r="B22" s="125" t="s">
        <v>56</v>
      </c>
      <c r="C22" s="125"/>
      <c r="D22" s="125"/>
      <c r="E22" s="2"/>
      <c r="F22" s="3"/>
      <c r="G22" s="36"/>
      <c r="H22" s="45" t="s">
        <v>39</v>
      </c>
      <c r="I22" s="14"/>
      <c r="J22" s="127"/>
      <c r="K22" s="36">
        <f t="shared" si="2"/>
        <v>0</v>
      </c>
      <c r="L22" s="45" t="s">
        <v>39</v>
      </c>
      <c r="N22" s="127"/>
      <c r="O22" s="36">
        <f t="shared" si="3"/>
        <v>0</v>
      </c>
      <c r="P22" s="3" t="s">
        <v>39</v>
      </c>
    </row>
    <row r="23" spans="1:19" x14ac:dyDescent="0.25">
      <c r="B23" s="57" t="s">
        <v>57</v>
      </c>
      <c r="C23" s="57"/>
      <c r="D23" s="57"/>
      <c r="E23" s="2"/>
      <c r="F23" s="3"/>
      <c r="G23" s="48"/>
      <c r="H23" s="45" t="s">
        <v>39</v>
      </c>
      <c r="I23" s="14"/>
      <c r="J23" s="127"/>
      <c r="K23" s="48">
        <f t="shared" si="2"/>
        <v>0</v>
      </c>
      <c r="L23" s="45" t="s">
        <v>39</v>
      </c>
      <c r="N23" s="127"/>
      <c r="O23" s="48">
        <f t="shared" si="3"/>
        <v>0</v>
      </c>
      <c r="P23" s="3" t="s">
        <v>39</v>
      </c>
    </row>
    <row r="24" spans="1:19" x14ac:dyDescent="0.25">
      <c r="B24" s="57" t="s">
        <v>75</v>
      </c>
      <c r="C24" s="57"/>
      <c r="D24" s="57"/>
      <c r="E24" s="2"/>
      <c r="F24" s="3"/>
      <c r="G24" s="36"/>
      <c r="H24" s="45" t="s">
        <v>39</v>
      </c>
      <c r="I24" s="14"/>
      <c r="J24" s="162"/>
      <c r="K24" s="36">
        <f t="shared" si="2"/>
        <v>0</v>
      </c>
      <c r="L24" s="45" t="s">
        <v>39</v>
      </c>
      <c r="M24" s="164"/>
      <c r="N24" s="162"/>
      <c r="O24" s="36">
        <f t="shared" si="3"/>
        <v>0</v>
      </c>
      <c r="P24" s="3" t="s">
        <v>39</v>
      </c>
      <c r="S24" s="20"/>
    </row>
    <row r="25" spans="1:19" x14ac:dyDescent="0.25">
      <c r="B25" s="57" t="s">
        <v>76</v>
      </c>
      <c r="C25" s="57"/>
      <c r="D25" s="57"/>
      <c r="E25" s="2"/>
      <c r="F25" s="3"/>
      <c r="G25" s="36"/>
      <c r="H25" s="45" t="s">
        <v>39</v>
      </c>
      <c r="I25" s="14"/>
      <c r="J25" s="162"/>
      <c r="K25" s="36">
        <f>G25</f>
        <v>0</v>
      </c>
      <c r="L25" s="45" t="s">
        <v>39</v>
      </c>
      <c r="M25" s="164"/>
      <c r="N25" s="162"/>
      <c r="O25" s="36">
        <f t="shared" si="3"/>
        <v>0</v>
      </c>
      <c r="P25" s="3" t="s">
        <v>39</v>
      </c>
      <c r="S25" s="20"/>
    </row>
    <row r="26" spans="1:19" x14ac:dyDescent="0.25">
      <c r="B26" s="57" t="s">
        <v>58</v>
      </c>
      <c r="C26" s="57"/>
      <c r="D26" s="57"/>
      <c r="E26" s="2"/>
      <c r="F26" s="3"/>
      <c r="G26" s="36"/>
      <c r="H26" s="37" t="s">
        <v>38</v>
      </c>
      <c r="I26" s="14"/>
      <c r="J26" s="127"/>
      <c r="K26" s="36">
        <f t="shared" si="2"/>
        <v>0</v>
      </c>
      <c r="L26" s="37" t="s">
        <v>38</v>
      </c>
      <c r="N26" s="127"/>
      <c r="O26" s="36">
        <f t="shared" si="3"/>
        <v>0</v>
      </c>
      <c r="P26" s="37" t="s">
        <v>38</v>
      </c>
    </row>
    <row r="27" spans="1:19" x14ac:dyDescent="0.25">
      <c r="B27" s="125" t="s">
        <v>59</v>
      </c>
      <c r="C27" s="125"/>
      <c r="D27" s="125"/>
      <c r="E27" s="2"/>
      <c r="F27" s="3"/>
      <c r="G27" s="36"/>
      <c r="H27" s="37" t="s">
        <v>38</v>
      </c>
      <c r="I27" s="14"/>
      <c r="J27" s="127"/>
      <c r="K27" s="36">
        <f t="shared" si="2"/>
        <v>0</v>
      </c>
      <c r="L27" s="37" t="s">
        <v>38</v>
      </c>
      <c r="N27" s="127"/>
      <c r="O27" s="36">
        <f t="shared" si="3"/>
        <v>0</v>
      </c>
      <c r="P27" s="37" t="s">
        <v>38</v>
      </c>
    </row>
    <row r="28" spans="1:19" x14ac:dyDescent="0.25">
      <c r="B28" s="57" t="s">
        <v>60</v>
      </c>
      <c r="C28" s="57"/>
      <c r="D28" s="57"/>
      <c r="E28" s="2"/>
      <c r="F28" s="3"/>
      <c r="G28" s="36"/>
      <c r="H28" s="37" t="s">
        <v>38</v>
      </c>
      <c r="I28" s="14"/>
      <c r="J28" s="127"/>
      <c r="K28" s="36">
        <f t="shared" si="2"/>
        <v>0</v>
      </c>
      <c r="L28" s="37" t="s">
        <v>38</v>
      </c>
      <c r="N28" s="127"/>
      <c r="O28" s="36">
        <f t="shared" si="3"/>
        <v>0</v>
      </c>
      <c r="P28" s="37" t="s">
        <v>38</v>
      </c>
    </row>
    <row r="29" spans="1:19" ht="11.25" customHeight="1" x14ac:dyDescent="0.25"/>
    <row r="30" spans="1:19" s="6" customFormat="1" ht="18.75" x14ac:dyDescent="0.3">
      <c r="A30" s="6" t="s">
        <v>12</v>
      </c>
      <c r="B30" s="245" t="s">
        <v>25</v>
      </c>
      <c r="C30" s="245"/>
      <c r="D30" s="245"/>
      <c r="M30" s="123"/>
    </row>
    <row r="31" spans="1:19" x14ac:dyDescent="0.25">
      <c r="C31" s="126" t="s">
        <v>13</v>
      </c>
      <c r="D31" s="31" t="s">
        <v>34</v>
      </c>
      <c r="E31" s="250"/>
      <c r="F31" s="250"/>
      <c r="G31" s="249" t="s">
        <v>18</v>
      </c>
      <c r="H31" s="249"/>
      <c r="I31" s="126"/>
      <c r="J31" s="250">
        <f>G17+G18-J32</f>
        <v>0</v>
      </c>
      <c r="K31" s="250"/>
      <c r="L31" s="39"/>
      <c r="M31" s="22" t="s">
        <v>19</v>
      </c>
      <c r="N31" s="250" t="s">
        <v>32</v>
      </c>
      <c r="O31" s="250"/>
      <c r="P31" s="127"/>
      <c r="R31" s="20"/>
    </row>
    <row r="32" spans="1:19" x14ac:dyDescent="0.25">
      <c r="C32" s="126" t="s">
        <v>14</v>
      </c>
      <c r="D32" s="31" t="s">
        <v>35</v>
      </c>
      <c r="E32" s="252"/>
      <c r="F32" s="252"/>
      <c r="G32" s="249" t="s">
        <v>18</v>
      </c>
      <c r="H32" s="249"/>
      <c r="I32" s="126"/>
      <c r="J32" s="257"/>
      <c r="K32" s="252"/>
      <c r="L32" s="131"/>
      <c r="M32" s="22" t="s">
        <v>19</v>
      </c>
      <c r="N32" s="252" t="s">
        <v>33</v>
      </c>
      <c r="O32" s="252"/>
      <c r="P32" s="128"/>
      <c r="R32" s="20"/>
      <c r="S32" s="20"/>
    </row>
    <row r="33" spans="1:19" x14ac:dyDescent="0.25">
      <c r="J33" s="20"/>
      <c r="K33" s="20"/>
      <c r="L33" s="20"/>
      <c r="Q33" s="20"/>
      <c r="R33" s="20"/>
      <c r="S33" s="20"/>
    </row>
    <row r="34" spans="1:19" s="7" customFormat="1" ht="18.75" x14ac:dyDescent="0.3">
      <c r="A34" s="7" t="s">
        <v>15</v>
      </c>
      <c r="B34" s="8" t="s">
        <v>16</v>
      </c>
      <c r="C34" s="8"/>
      <c r="D34" s="8"/>
      <c r="E34" s="6"/>
      <c r="F34" s="6"/>
      <c r="M34" s="24"/>
    </row>
    <row r="35" spans="1:19" s="7" customFormat="1" ht="18.75" x14ac:dyDescent="0.3">
      <c r="B35" s="6" t="s">
        <v>17</v>
      </c>
      <c r="D35" s="85"/>
      <c r="E35" s="9"/>
      <c r="F35" s="9"/>
      <c r="G35" s="9"/>
      <c r="H35" s="9"/>
      <c r="I35" s="9"/>
      <c r="J35" s="9"/>
      <c r="K35" s="9"/>
      <c r="L35" s="9"/>
      <c r="M35" s="25"/>
      <c r="N35" s="9"/>
      <c r="O35" s="9"/>
      <c r="P35" s="9"/>
    </row>
    <row r="36" spans="1:19" s="7" customFormat="1" ht="18.75" x14ac:dyDescent="0.3">
      <c r="B36" s="6"/>
      <c r="D36" s="155"/>
      <c r="E36" s="40"/>
      <c r="F36" s="40"/>
      <c r="G36" s="40"/>
      <c r="H36" s="40"/>
      <c r="I36" s="40"/>
      <c r="J36" s="40"/>
      <c r="K36" s="40"/>
      <c r="L36" s="40"/>
      <c r="M36" s="111"/>
      <c r="N36" s="40"/>
      <c r="O36" s="40"/>
      <c r="P36" s="40"/>
    </row>
    <row r="37" spans="1:19" ht="7.5" customHeight="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109"/>
      <c r="N37" s="32"/>
      <c r="O37" s="32"/>
      <c r="P37" s="32"/>
      <c r="Q37" s="32"/>
      <c r="R37" s="32"/>
    </row>
    <row r="38" spans="1:19" ht="9" customHeight="1" x14ac:dyDescent="0.25"/>
    <row r="39" spans="1:19" ht="3.75" customHeight="1" x14ac:dyDescent="0.25"/>
    <row r="40" spans="1:19" s="4" customFormat="1" ht="18.75" x14ac:dyDescent="0.3">
      <c r="A40" s="240" t="s">
        <v>0</v>
      </c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</row>
    <row r="41" spans="1:19" s="4" customFormat="1" ht="15.75" x14ac:dyDescent="0.25">
      <c r="A41" s="241" t="s">
        <v>28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</row>
    <row r="42" spans="1:19" s="4" customFormat="1" ht="15.75" x14ac:dyDescent="0.25">
      <c r="A42" s="241" t="s">
        <v>1</v>
      </c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</row>
    <row r="43" spans="1:19" s="4" customFormat="1" ht="13.5" customHeight="1" x14ac:dyDescent="0.25">
      <c r="M43" s="121"/>
    </row>
    <row r="44" spans="1:19" s="4" customFormat="1" ht="18.75" x14ac:dyDescent="0.3">
      <c r="A44" s="240" t="s">
        <v>26</v>
      </c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</row>
    <row r="45" spans="1:19" s="2" customFormat="1" x14ac:dyDescent="0.25">
      <c r="A45" s="2" t="s">
        <v>3</v>
      </c>
      <c r="C45" s="5" t="s">
        <v>4</v>
      </c>
      <c r="D45" s="11" t="s">
        <v>11</v>
      </c>
      <c r="E45" s="11"/>
      <c r="F45" s="11"/>
      <c r="G45" s="11"/>
      <c r="H45" s="11"/>
      <c r="I45" s="11"/>
      <c r="J45" s="11"/>
      <c r="K45" s="11"/>
      <c r="L45" s="21"/>
      <c r="M45" s="22" t="s">
        <v>5</v>
      </c>
      <c r="N45" s="256">
        <v>0</v>
      </c>
      <c r="O45" s="256"/>
      <c r="P45" s="256"/>
    </row>
    <row r="46" spans="1:19" s="2" customFormat="1" x14ac:dyDescent="0.25">
      <c r="A46" s="2" t="s">
        <v>22</v>
      </c>
      <c r="C46" s="5" t="s">
        <v>4</v>
      </c>
      <c r="D46" s="12" t="s">
        <v>37</v>
      </c>
      <c r="E46" s="13"/>
      <c r="F46" s="13"/>
      <c r="G46" s="13"/>
      <c r="H46" s="10"/>
      <c r="I46" s="10"/>
      <c r="J46" s="10"/>
      <c r="K46" s="10"/>
      <c r="L46" s="10"/>
      <c r="M46" s="22" t="s">
        <v>27</v>
      </c>
      <c r="N46" s="53" t="s">
        <v>36</v>
      </c>
      <c r="O46" s="53"/>
      <c r="P46" s="132"/>
    </row>
    <row r="48" spans="1:19" s="6" customFormat="1" ht="18.75" x14ac:dyDescent="0.3">
      <c r="A48" s="6" t="s">
        <v>6</v>
      </c>
      <c r="B48" s="248" t="s">
        <v>7</v>
      </c>
      <c r="C48" s="248"/>
      <c r="D48" s="248"/>
      <c r="F48" s="245" t="s">
        <v>8</v>
      </c>
      <c r="G48" s="245"/>
      <c r="H48" s="245"/>
      <c r="I48" s="123"/>
      <c r="J48" s="245" t="s">
        <v>9</v>
      </c>
      <c r="K48" s="245"/>
      <c r="L48" s="245"/>
      <c r="M48" s="123"/>
      <c r="N48" s="245" t="s">
        <v>10</v>
      </c>
      <c r="O48" s="245"/>
      <c r="P48" s="245"/>
    </row>
    <row r="49" spans="2:19" s="6" customFormat="1" ht="18.75" x14ac:dyDescent="0.3">
      <c r="B49" s="124"/>
      <c r="C49" s="124"/>
      <c r="D49" s="124"/>
      <c r="F49" s="122" t="s">
        <v>29</v>
      </c>
      <c r="G49" s="246" t="s">
        <v>30</v>
      </c>
      <c r="H49" s="247"/>
      <c r="I49" s="123"/>
      <c r="J49" s="122" t="s">
        <v>29</v>
      </c>
      <c r="K49" s="246" t="s">
        <v>30</v>
      </c>
      <c r="L49" s="247"/>
      <c r="M49" s="123"/>
      <c r="N49" s="122" t="s">
        <v>29</v>
      </c>
      <c r="O49" s="246" t="s">
        <v>30</v>
      </c>
      <c r="P49" s="247"/>
    </row>
    <row r="50" spans="2:19" x14ac:dyDescent="0.25">
      <c r="B50" s="244" t="s">
        <v>46</v>
      </c>
      <c r="C50" s="244"/>
      <c r="D50" s="244"/>
      <c r="E50" s="2"/>
      <c r="F50" s="30">
        <f>G50/200*25</f>
        <v>0</v>
      </c>
      <c r="G50" s="36"/>
      <c r="H50" s="45" t="s">
        <v>38</v>
      </c>
      <c r="I50" s="14"/>
      <c r="J50" s="30">
        <f>F50</f>
        <v>0</v>
      </c>
      <c r="K50" s="36">
        <f>G50</f>
        <v>0</v>
      </c>
      <c r="L50" s="45" t="s">
        <v>38</v>
      </c>
      <c r="N50" s="30">
        <f>F50</f>
        <v>0</v>
      </c>
      <c r="O50" s="36">
        <f>G50</f>
        <v>0</v>
      </c>
      <c r="P50" s="45" t="s">
        <v>38</v>
      </c>
    </row>
    <row r="51" spans="2:19" x14ac:dyDescent="0.25">
      <c r="B51" s="244" t="s">
        <v>79</v>
      </c>
      <c r="C51" s="244"/>
      <c r="D51" s="244"/>
      <c r="E51" s="2"/>
      <c r="F51" s="30">
        <f>G51/150*25</f>
        <v>0</v>
      </c>
      <c r="G51" s="36"/>
      <c r="H51" s="45" t="s">
        <v>38</v>
      </c>
      <c r="I51" s="14"/>
      <c r="J51" s="30">
        <f>F51</f>
        <v>0</v>
      </c>
      <c r="K51" s="36">
        <f t="shared" ref="K51:K52" si="4">G51</f>
        <v>0</v>
      </c>
      <c r="L51" s="45" t="s">
        <v>38</v>
      </c>
      <c r="N51" s="30">
        <f t="shared" ref="N51:O65" si="5">F51</f>
        <v>0</v>
      </c>
      <c r="O51" s="36">
        <f t="shared" si="5"/>
        <v>0</v>
      </c>
      <c r="P51" s="3" t="s">
        <v>38</v>
      </c>
    </row>
    <row r="52" spans="2:19" x14ac:dyDescent="0.25">
      <c r="B52" s="244" t="s">
        <v>48</v>
      </c>
      <c r="C52" s="244"/>
      <c r="D52" s="244"/>
      <c r="E52" s="2"/>
      <c r="F52" s="30">
        <f>G52/215*25</f>
        <v>0</v>
      </c>
      <c r="G52" s="36"/>
      <c r="H52" s="45" t="s">
        <v>38</v>
      </c>
      <c r="I52" s="14"/>
      <c r="J52" s="30">
        <f>F52</f>
        <v>0</v>
      </c>
      <c r="K52" s="36">
        <f t="shared" si="4"/>
        <v>0</v>
      </c>
      <c r="L52" s="45" t="s">
        <v>38</v>
      </c>
      <c r="N52" s="30">
        <f t="shared" si="5"/>
        <v>0</v>
      </c>
      <c r="O52" s="36">
        <f t="shared" si="5"/>
        <v>0</v>
      </c>
      <c r="P52" s="3" t="s">
        <v>38</v>
      </c>
    </row>
    <row r="53" spans="2:19" x14ac:dyDescent="0.25">
      <c r="B53" s="244" t="s">
        <v>49</v>
      </c>
      <c r="C53" s="244"/>
      <c r="D53" s="244"/>
      <c r="E53" s="2"/>
      <c r="F53" s="79"/>
      <c r="G53" s="36"/>
      <c r="H53" s="45" t="s">
        <v>41</v>
      </c>
      <c r="I53" s="14"/>
      <c r="J53" s="97">
        <f>F53</f>
        <v>0</v>
      </c>
      <c r="K53" s="36"/>
      <c r="L53" s="45" t="s">
        <v>41</v>
      </c>
      <c r="N53" s="97">
        <f t="shared" si="5"/>
        <v>0</v>
      </c>
      <c r="O53" s="36"/>
      <c r="P53" s="3" t="s">
        <v>41</v>
      </c>
    </row>
    <row r="54" spans="2:19" x14ac:dyDescent="0.25">
      <c r="B54" s="57" t="s">
        <v>50</v>
      </c>
      <c r="C54" s="57"/>
      <c r="D54" s="57"/>
      <c r="E54" s="2"/>
      <c r="F54" s="128"/>
      <c r="G54" s="47"/>
      <c r="H54" s="46" t="s">
        <v>38</v>
      </c>
      <c r="I54" s="14"/>
      <c r="J54" s="127"/>
      <c r="K54" s="36"/>
      <c r="L54" s="45" t="s">
        <v>38</v>
      </c>
      <c r="N54" s="127"/>
      <c r="O54" s="36"/>
      <c r="P54" s="3" t="s">
        <v>38</v>
      </c>
    </row>
    <row r="55" spans="2:19" x14ac:dyDescent="0.25">
      <c r="B55" s="57" t="s">
        <v>51</v>
      </c>
      <c r="C55" s="57"/>
      <c r="D55" s="57"/>
      <c r="E55" s="2"/>
      <c r="F55" s="129"/>
      <c r="G55" s="51">
        <f>G54*2.43</f>
        <v>0</v>
      </c>
      <c r="H55" s="45" t="s">
        <v>39</v>
      </c>
      <c r="I55" s="14"/>
      <c r="J55" s="127"/>
      <c r="K55" s="48">
        <f t="shared" ref="K55:K66" si="6">G55</f>
        <v>0</v>
      </c>
      <c r="L55" s="45" t="s">
        <v>39</v>
      </c>
      <c r="N55" s="127"/>
      <c r="O55" s="48">
        <f t="shared" si="5"/>
        <v>0</v>
      </c>
      <c r="P55" s="3" t="s">
        <v>39</v>
      </c>
    </row>
    <row r="56" spans="2:19" x14ac:dyDescent="0.25">
      <c r="B56" s="57" t="s">
        <v>52</v>
      </c>
      <c r="C56" s="57"/>
      <c r="D56" s="57"/>
      <c r="E56" s="2"/>
      <c r="F56" s="129"/>
      <c r="G56" s="36"/>
      <c r="H56" s="45" t="s">
        <v>38</v>
      </c>
      <c r="I56" s="14"/>
      <c r="J56" s="127"/>
      <c r="K56" s="36">
        <f t="shared" si="6"/>
        <v>0</v>
      </c>
      <c r="L56" s="45" t="s">
        <v>38</v>
      </c>
      <c r="N56" s="127"/>
      <c r="O56" s="36">
        <f t="shared" si="5"/>
        <v>0</v>
      </c>
      <c r="P56" s="3" t="s">
        <v>38</v>
      </c>
    </row>
    <row r="57" spans="2:19" x14ac:dyDescent="0.25">
      <c r="B57" s="57" t="s">
        <v>53</v>
      </c>
      <c r="C57" s="57"/>
      <c r="D57" s="125"/>
      <c r="E57" s="2"/>
      <c r="F57" s="129"/>
      <c r="G57" s="36"/>
      <c r="H57" s="45" t="s">
        <v>38</v>
      </c>
      <c r="I57" s="14"/>
      <c r="J57" s="127"/>
      <c r="K57" s="36">
        <f>G57</f>
        <v>0</v>
      </c>
      <c r="L57" s="45" t="s">
        <v>38</v>
      </c>
      <c r="N57" s="127"/>
      <c r="O57" s="36">
        <f>G57</f>
        <v>0</v>
      </c>
      <c r="P57" s="3" t="s">
        <v>38</v>
      </c>
    </row>
    <row r="58" spans="2:19" x14ac:dyDescent="0.25">
      <c r="B58" s="57" t="s">
        <v>54</v>
      </c>
      <c r="C58" s="57"/>
      <c r="D58" s="57"/>
      <c r="E58" s="2"/>
      <c r="F58" s="129"/>
      <c r="G58" s="36"/>
      <c r="H58" s="45" t="s">
        <v>39</v>
      </c>
      <c r="I58" s="14"/>
      <c r="J58" s="127"/>
      <c r="K58" s="36">
        <f t="shared" si="6"/>
        <v>0</v>
      </c>
      <c r="L58" s="45" t="s">
        <v>39</v>
      </c>
      <c r="N58" s="127"/>
      <c r="O58" s="36">
        <f t="shared" si="5"/>
        <v>0</v>
      </c>
      <c r="P58" s="3" t="s">
        <v>39</v>
      </c>
    </row>
    <row r="59" spans="2:19" x14ac:dyDescent="0.25">
      <c r="B59" s="57" t="s">
        <v>55</v>
      </c>
      <c r="C59" s="57"/>
      <c r="D59" s="57"/>
      <c r="E59" s="2"/>
      <c r="F59" s="129"/>
      <c r="G59" s="36"/>
      <c r="H59" s="45" t="s">
        <v>39</v>
      </c>
      <c r="I59" s="14"/>
      <c r="J59" s="127"/>
      <c r="K59" s="36">
        <f t="shared" si="6"/>
        <v>0</v>
      </c>
      <c r="L59" s="45" t="s">
        <v>39</v>
      </c>
      <c r="N59" s="127"/>
      <c r="O59" s="36">
        <f t="shared" si="5"/>
        <v>0</v>
      </c>
      <c r="P59" s="3" t="s">
        <v>39</v>
      </c>
    </row>
    <row r="60" spans="2:19" x14ac:dyDescent="0.25">
      <c r="B60" s="125" t="s">
        <v>56</v>
      </c>
      <c r="C60" s="125"/>
      <c r="D60" s="125"/>
      <c r="E60" s="2"/>
      <c r="F60" s="3"/>
      <c r="G60" s="36"/>
      <c r="H60" s="45" t="s">
        <v>39</v>
      </c>
      <c r="I60" s="14"/>
      <c r="J60" s="127"/>
      <c r="K60" s="36">
        <f t="shared" si="6"/>
        <v>0</v>
      </c>
      <c r="L60" s="45" t="s">
        <v>39</v>
      </c>
      <c r="N60" s="127"/>
      <c r="O60" s="36">
        <f t="shared" si="5"/>
        <v>0</v>
      </c>
      <c r="P60" s="3" t="s">
        <v>39</v>
      </c>
    </row>
    <row r="61" spans="2:19" x14ac:dyDescent="0.25">
      <c r="B61" s="57" t="s">
        <v>57</v>
      </c>
      <c r="C61" s="57"/>
      <c r="D61" s="57"/>
      <c r="E61" s="2"/>
      <c r="F61" s="3"/>
      <c r="G61" s="36"/>
      <c r="H61" s="45" t="s">
        <v>39</v>
      </c>
      <c r="I61" s="14"/>
      <c r="J61" s="127"/>
      <c r="K61" s="36">
        <f t="shared" si="6"/>
        <v>0</v>
      </c>
      <c r="L61" s="45" t="s">
        <v>39</v>
      </c>
      <c r="N61" s="127"/>
      <c r="O61" s="36">
        <f t="shared" si="5"/>
        <v>0</v>
      </c>
      <c r="P61" s="3" t="s">
        <v>39</v>
      </c>
    </row>
    <row r="62" spans="2:19" x14ac:dyDescent="0.25">
      <c r="B62" s="57" t="s">
        <v>75</v>
      </c>
      <c r="C62" s="57"/>
      <c r="D62" s="57"/>
      <c r="E62" s="2"/>
      <c r="F62" s="3"/>
      <c r="G62" s="36"/>
      <c r="H62" s="45" t="s">
        <v>39</v>
      </c>
      <c r="I62" s="14"/>
      <c r="J62" s="162"/>
      <c r="K62" s="36">
        <f t="shared" si="6"/>
        <v>0</v>
      </c>
      <c r="L62" s="45" t="s">
        <v>39</v>
      </c>
      <c r="M62" s="164"/>
      <c r="N62" s="162"/>
      <c r="O62" s="36">
        <f t="shared" si="5"/>
        <v>0</v>
      </c>
      <c r="P62" s="3" t="s">
        <v>39</v>
      </c>
      <c r="S62" s="20"/>
    </row>
    <row r="63" spans="2:19" x14ac:dyDescent="0.25">
      <c r="B63" s="57" t="s">
        <v>76</v>
      </c>
      <c r="C63" s="57"/>
      <c r="D63" s="57"/>
      <c r="E63" s="2"/>
      <c r="F63" s="3"/>
      <c r="G63" s="36"/>
      <c r="H63" s="45" t="s">
        <v>39</v>
      </c>
      <c r="I63" s="14"/>
      <c r="J63" s="162"/>
      <c r="K63" s="36">
        <f>G63</f>
        <v>0</v>
      </c>
      <c r="L63" s="45" t="s">
        <v>39</v>
      </c>
      <c r="M63" s="164"/>
      <c r="N63" s="162"/>
      <c r="O63" s="36">
        <f t="shared" si="5"/>
        <v>0</v>
      </c>
      <c r="P63" s="3" t="s">
        <v>39</v>
      </c>
      <c r="S63" s="20"/>
    </row>
    <row r="64" spans="2:19" x14ac:dyDescent="0.25">
      <c r="B64" s="57" t="s">
        <v>58</v>
      </c>
      <c r="C64" s="57"/>
      <c r="D64" s="57"/>
      <c r="E64" s="2"/>
      <c r="F64" s="3"/>
      <c r="G64" s="36"/>
      <c r="H64" s="37" t="s">
        <v>38</v>
      </c>
      <c r="I64" s="14"/>
      <c r="J64" s="127"/>
      <c r="K64" s="36">
        <f t="shared" si="6"/>
        <v>0</v>
      </c>
      <c r="L64" s="37" t="s">
        <v>38</v>
      </c>
      <c r="N64" s="127"/>
      <c r="O64" s="36">
        <f t="shared" si="5"/>
        <v>0</v>
      </c>
      <c r="P64" s="37" t="s">
        <v>38</v>
      </c>
    </row>
    <row r="65" spans="1:19" x14ac:dyDescent="0.25">
      <c r="B65" s="125" t="s">
        <v>59</v>
      </c>
      <c r="C65" s="125"/>
      <c r="D65" s="125"/>
      <c r="E65" s="2"/>
      <c r="F65" s="3"/>
      <c r="G65" s="36"/>
      <c r="H65" s="37" t="s">
        <v>38</v>
      </c>
      <c r="I65" s="14"/>
      <c r="J65" s="127"/>
      <c r="K65" s="36">
        <f t="shared" si="6"/>
        <v>0</v>
      </c>
      <c r="L65" s="37" t="s">
        <v>38</v>
      </c>
      <c r="N65" s="127"/>
      <c r="O65" s="36">
        <f t="shared" si="5"/>
        <v>0</v>
      </c>
      <c r="P65" s="37" t="s">
        <v>38</v>
      </c>
    </row>
    <row r="66" spans="1:19" x14ac:dyDescent="0.25">
      <c r="B66" s="57" t="s">
        <v>60</v>
      </c>
      <c r="C66" s="57"/>
      <c r="D66" s="57"/>
      <c r="F66" s="138"/>
      <c r="G66" s="1"/>
      <c r="H66" s="37" t="s">
        <v>38</v>
      </c>
      <c r="I66" s="32"/>
      <c r="J66" s="138"/>
      <c r="K66" s="36">
        <f t="shared" si="6"/>
        <v>0</v>
      </c>
      <c r="L66" s="37" t="s">
        <v>38</v>
      </c>
      <c r="M66" s="109"/>
      <c r="N66" s="138"/>
      <c r="O66" s="36">
        <f>G66</f>
        <v>0</v>
      </c>
      <c r="P66" s="37" t="s">
        <v>38</v>
      </c>
    </row>
    <row r="67" spans="1:19" s="6" customFormat="1" ht="18.75" x14ac:dyDescent="0.3">
      <c r="A67" s="6" t="s">
        <v>12</v>
      </c>
      <c r="B67" s="245" t="s">
        <v>25</v>
      </c>
      <c r="C67" s="245"/>
      <c r="D67" s="245"/>
      <c r="M67" s="123"/>
    </row>
    <row r="68" spans="1:19" x14ac:dyDescent="0.25">
      <c r="C68" s="126" t="s">
        <v>13</v>
      </c>
      <c r="D68" s="31" t="s">
        <v>34</v>
      </c>
      <c r="E68" s="250"/>
      <c r="F68" s="250"/>
      <c r="G68" s="249" t="s">
        <v>18</v>
      </c>
      <c r="H68" s="249"/>
      <c r="I68" s="126"/>
      <c r="J68" s="250">
        <f>G56+G57-J69</f>
        <v>0</v>
      </c>
      <c r="K68" s="250"/>
      <c r="L68" s="39"/>
      <c r="M68" s="22" t="s">
        <v>19</v>
      </c>
      <c r="N68" s="250" t="s">
        <v>32</v>
      </c>
      <c r="O68" s="250"/>
      <c r="P68" s="127"/>
      <c r="R68" s="20"/>
    </row>
    <row r="69" spans="1:19" x14ac:dyDescent="0.25">
      <c r="C69" s="126" t="s">
        <v>14</v>
      </c>
      <c r="D69" s="31" t="s">
        <v>35</v>
      </c>
      <c r="E69" s="252"/>
      <c r="F69" s="252"/>
      <c r="G69" s="249" t="s">
        <v>18</v>
      </c>
      <c r="H69" s="249"/>
      <c r="I69" s="126"/>
      <c r="J69" s="252"/>
      <c r="K69" s="252"/>
      <c r="L69" s="131"/>
      <c r="M69" s="22" t="s">
        <v>19</v>
      </c>
      <c r="N69" s="252" t="s">
        <v>33</v>
      </c>
      <c r="O69" s="252"/>
      <c r="P69" s="129"/>
      <c r="S69" s="20"/>
    </row>
    <row r="70" spans="1:19" x14ac:dyDescent="0.25">
      <c r="J70" s="20"/>
      <c r="K70" s="20"/>
      <c r="L70" s="20"/>
    </row>
    <row r="71" spans="1:19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4"/>
    </row>
    <row r="72" spans="1:19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5"/>
      <c r="N72" s="9"/>
      <c r="O72" s="9"/>
      <c r="P72" s="9"/>
    </row>
    <row r="73" spans="1:19" ht="9.75" customHeight="1" x14ac:dyDescent="0.25"/>
  </sheetData>
  <mergeCells count="50">
    <mergeCell ref="G68:H68"/>
    <mergeCell ref="J68:K68"/>
    <mergeCell ref="N68:O68"/>
    <mergeCell ref="E69:F69"/>
    <mergeCell ref="G69:H69"/>
    <mergeCell ref="J69:K69"/>
    <mergeCell ref="N69:O69"/>
    <mergeCell ref="E68:F68"/>
    <mergeCell ref="B50:D50"/>
    <mergeCell ref="B51:D51"/>
    <mergeCell ref="B52:D52"/>
    <mergeCell ref="B53:D53"/>
    <mergeCell ref="B67:D67"/>
    <mergeCell ref="B48:D48"/>
    <mergeCell ref="F48:H48"/>
    <mergeCell ref="J48:L48"/>
    <mergeCell ref="N48:P48"/>
    <mergeCell ref="G49:H49"/>
    <mergeCell ref="K49:L49"/>
    <mergeCell ref="O49:P49"/>
    <mergeCell ref="A40:P40"/>
    <mergeCell ref="A41:P41"/>
    <mergeCell ref="A42:P42"/>
    <mergeCell ref="A44:P44"/>
    <mergeCell ref="N45:P45"/>
    <mergeCell ref="E32:F32"/>
    <mergeCell ref="G32:H32"/>
    <mergeCell ref="J32:K32"/>
    <mergeCell ref="N32:O32"/>
    <mergeCell ref="B14:D14"/>
    <mergeCell ref="B30:D30"/>
    <mergeCell ref="E31:F31"/>
    <mergeCell ref="G31:H31"/>
    <mergeCell ref="J31:K31"/>
    <mergeCell ref="N31:O31"/>
    <mergeCell ref="B13:D13"/>
    <mergeCell ref="A1:P1"/>
    <mergeCell ref="A2:P2"/>
    <mergeCell ref="A3:P3"/>
    <mergeCell ref="A5:P5"/>
    <mergeCell ref="B9:D9"/>
    <mergeCell ref="F9:H9"/>
    <mergeCell ref="J9:L9"/>
    <mergeCell ref="N9:P9"/>
    <mergeCell ref="G10:H10"/>
    <mergeCell ref="K10:L10"/>
    <mergeCell ref="O10:P10"/>
    <mergeCell ref="B11:D11"/>
    <mergeCell ref="B12:D12"/>
    <mergeCell ref="N6:P6"/>
  </mergeCells>
  <pageMargins left="0.7" right="0.2" top="0.19" bottom="0.25" header="0.3" footer="0.3"/>
  <pageSetup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72"/>
  <sheetViews>
    <sheetView topLeftCell="A16" zoomScaleNormal="100" workbookViewId="0">
      <selection activeCell="K19" sqref="K19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7109375" customWidth="1"/>
    <col min="7" max="7" width="8.28515625" customWidth="1"/>
    <col min="8" max="8" width="6.7109375" customWidth="1"/>
    <col min="9" max="9" width="3.42578125" customWidth="1"/>
    <col min="10" max="10" width="9.28515625" customWidth="1"/>
    <col min="11" max="11" width="7.85546875" customWidth="1"/>
    <col min="12" max="12" width="6.7109375" customWidth="1"/>
    <col min="13" max="13" width="6.28515625" style="130" customWidth="1"/>
    <col min="14" max="14" width="8.7109375" customWidth="1"/>
    <col min="15" max="15" width="10.42578125" customWidth="1"/>
    <col min="16" max="16" width="6.7109375" customWidth="1"/>
  </cols>
  <sheetData>
    <row r="1" spans="1:20" s="4" customFormat="1" ht="18.75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20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20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20" s="4" customFormat="1" ht="15.75" x14ac:dyDescent="0.25">
      <c r="M4" s="121"/>
    </row>
    <row r="5" spans="1:20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</row>
    <row r="6" spans="1:20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v>0</v>
      </c>
      <c r="O6" s="256"/>
      <c r="P6" s="256"/>
    </row>
    <row r="7" spans="1:20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2" t="s">
        <v>27</v>
      </c>
      <c r="N7" s="53" t="s">
        <v>36</v>
      </c>
      <c r="O7" s="53"/>
      <c r="P7" s="132"/>
    </row>
    <row r="9" spans="1:20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123"/>
      <c r="J9" s="245" t="s">
        <v>9</v>
      </c>
      <c r="K9" s="245"/>
      <c r="L9" s="245"/>
      <c r="M9" s="123"/>
      <c r="N9" s="245" t="s">
        <v>10</v>
      </c>
      <c r="O9" s="245"/>
      <c r="P9" s="245"/>
    </row>
    <row r="10" spans="1:20" s="6" customFormat="1" ht="18.75" x14ac:dyDescent="0.3">
      <c r="B10" s="124"/>
      <c r="C10" s="124"/>
      <c r="D10" s="124"/>
      <c r="F10" s="122" t="s">
        <v>29</v>
      </c>
      <c r="G10" s="246" t="s">
        <v>30</v>
      </c>
      <c r="H10" s="247"/>
      <c r="I10" s="123"/>
      <c r="J10" s="122" t="s">
        <v>29</v>
      </c>
      <c r="K10" s="246" t="s">
        <v>30</v>
      </c>
      <c r="L10" s="247"/>
      <c r="M10" s="123"/>
      <c r="N10" s="122" t="s">
        <v>29</v>
      </c>
      <c r="O10" s="246" t="s">
        <v>30</v>
      </c>
      <c r="P10" s="247"/>
    </row>
    <row r="11" spans="1:20" x14ac:dyDescent="0.25">
      <c r="B11" s="244" t="s">
        <v>84</v>
      </c>
      <c r="C11" s="244"/>
      <c r="D11" s="244"/>
      <c r="E11" s="2"/>
      <c r="F11" s="79">
        <f>G11/200*25</f>
        <v>0</v>
      </c>
      <c r="G11" s="36"/>
      <c r="H11" s="45" t="s">
        <v>38</v>
      </c>
      <c r="I11" s="14"/>
      <c r="J11" s="79">
        <f>F11</f>
        <v>0</v>
      </c>
      <c r="K11" s="36">
        <f>G11</f>
        <v>0</v>
      </c>
      <c r="L11" s="45" t="s">
        <v>38</v>
      </c>
      <c r="N11" s="79">
        <f>F11</f>
        <v>0</v>
      </c>
      <c r="O11" s="36">
        <f>G11</f>
        <v>0</v>
      </c>
      <c r="P11" s="45" t="s">
        <v>38</v>
      </c>
    </row>
    <row r="12" spans="1:20" x14ac:dyDescent="0.25">
      <c r="B12" s="244" t="s">
        <v>81</v>
      </c>
      <c r="C12" s="244"/>
      <c r="D12" s="244"/>
      <c r="E12" s="2"/>
      <c r="F12" s="30">
        <f>G12/150*25</f>
        <v>0</v>
      </c>
      <c r="G12" s="36"/>
      <c r="H12" s="45" t="s">
        <v>38</v>
      </c>
      <c r="I12" s="14"/>
      <c r="J12" s="30">
        <f>F12</f>
        <v>0</v>
      </c>
      <c r="K12" s="36">
        <f t="shared" ref="K12:K13" si="0">G12</f>
        <v>0</v>
      </c>
      <c r="L12" s="45" t="s">
        <v>38</v>
      </c>
      <c r="N12" s="30">
        <f t="shared" ref="N12:O13" si="1">F12</f>
        <v>0</v>
      </c>
      <c r="O12" s="36">
        <f t="shared" si="1"/>
        <v>0</v>
      </c>
      <c r="P12" s="3" t="s">
        <v>38</v>
      </c>
    </row>
    <row r="13" spans="1:20" x14ac:dyDescent="0.25">
      <c r="B13" s="244" t="s">
        <v>48</v>
      </c>
      <c r="C13" s="244"/>
      <c r="D13" s="244"/>
      <c r="E13" s="2"/>
      <c r="F13" s="30">
        <f>G13/215*25</f>
        <v>0</v>
      </c>
      <c r="G13" s="36"/>
      <c r="H13" s="45" t="s">
        <v>38</v>
      </c>
      <c r="I13" s="14"/>
      <c r="J13" s="30">
        <f>F13</f>
        <v>0</v>
      </c>
      <c r="K13" s="36">
        <f t="shared" si="0"/>
        <v>0</v>
      </c>
      <c r="L13" s="45" t="s">
        <v>38</v>
      </c>
      <c r="N13" s="30">
        <f t="shared" si="1"/>
        <v>0</v>
      </c>
      <c r="O13" s="36">
        <f t="shared" si="1"/>
        <v>0</v>
      </c>
      <c r="P13" s="3" t="s">
        <v>38</v>
      </c>
    </row>
    <row r="14" spans="1:20" x14ac:dyDescent="0.25">
      <c r="B14" s="244" t="s">
        <v>49</v>
      </c>
      <c r="C14" s="244"/>
      <c r="D14" s="244"/>
      <c r="E14" s="2"/>
      <c r="F14" s="79"/>
      <c r="G14" s="36"/>
      <c r="H14" s="45"/>
      <c r="I14" s="14"/>
      <c r="J14" s="79">
        <f>F14</f>
        <v>0</v>
      </c>
      <c r="K14" s="36"/>
      <c r="L14" s="45"/>
      <c r="N14" s="79">
        <f>F14</f>
        <v>0</v>
      </c>
      <c r="O14" s="36"/>
      <c r="P14" s="3"/>
    </row>
    <row r="15" spans="1:20" x14ac:dyDescent="0.25">
      <c r="B15" s="57" t="s">
        <v>50</v>
      </c>
      <c r="C15" s="57"/>
      <c r="D15" s="57"/>
      <c r="E15" s="2"/>
      <c r="F15" s="128"/>
      <c r="G15" s="98"/>
      <c r="H15" s="46" t="s">
        <v>38</v>
      </c>
      <c r="I15" s="14"/>
      <c r="J15" s="127"/>
      <c r="K15" s="48">
        <f t="shared" ref="K15:K28" si="2">G15</f>
        <v>0</v>
      </c>
      <c r="L15" s="45" t="s">
        <v>38</v>
      </c>
      <c r="N15" s="127"/>
      <c r="O15" s="48">
        <f t="shared" ref="O15:O28" si="3">G15</f>
        <v>0</v>
      </c>
      <c r="P15" s="3" t="s">
        <v>38</v>
      </c>
      <c r="S15" s="77"/>
      <c r="T15" s="96"/>
    </row>
    <row r="16" spans="1:20" x14ac:dyDescent="0.25">
      <c r="B16" s="57" t="s">
        <v>51</v>
      </c>
      <c r="C16" s="57"/>
      <c r="D16" s="57"/>
      <c r="E16" s="2"/>
      <c r="F16" s="129"/>
      <c r="G16" s="94">
        <f>G15*2.43</f>
        <v>0</v>
      </c>
      <c r="H16" s="45" t="s">
        <v>39</v>
      </c>
      <c r="I16" s="14"/>
      <c r="J16" s="127"/>
      <c r="K16" s="90">
        <f t="shared" si="2"/>
        <v>0</v>
      </c>
      <c r="L16" s="45" t="s">
        <v>39</v>
      </c>
      <c r="N16" s="127"/>
      <c r="O16" s="90">
        <f t="shared" si="3"/>
        <v>0</v>
      </c>
      <c r="P16" s="3" t="s">
        <v>39</v>
      </c>
    </row>
    <row r="17" spans="1:19" x14ac:dyDescent="0.25">
      <c r="B17" s="57" t="s">
        <v>52</v>
      </c>
      <c r="C17" s="57"/>
      <c r="D17" s="57"/>
      <c r="E17" s="2"/>
      <c r="F17" s="129"/>
      <c r="G17" s="36"/>
      <c r="H17" s="45" t="s">
        <v>38</v>
      </c>
      <c r="I17" s="14"/>
      <c r="J17" s="127"/>
      <c r="K17" s="36">
        <f t="shared" si="2"/>
        <v>0</v>
      </c>
      <c r="L17" s="45" t="s">
        <v>38</v>
      </c>
      <c r="N17" s="127"/>
      <c r="O17" s="36">
        <f t="shared" si="3"/>
        <v>0</v>
      </c>
      <c r="P17" s="3" t="s">
        <v>38</v>
      </c>
    </row>
    <row r="18" spans="1:19" x14ac:dyDescent="0.25">
      <c r="B18" s="57" t="s">
        <v>53</v>
      </c>
      <c r="C18" s="57"/>
      <c r="D18" s="125"/>
      <c r="E18" s="2"/>
      <c r="F18" s="129"/>
      <c r="G18" s="36"/>
      <c r="H18" s="45" t="s">
        <v>38</v>
      </c>
      <c r="I18" s="14"/>
      <c r="J18" s="127"/>
      <c r="K18" s="36">
        <f>G18</f>
        <v>0</v>
      </c>
      <c r="L18" s="45" t="s">
        <v>38</v>
      </c>
      <c r="N18" s="127"/>
      <c r="O18" s="36">
        <f>G18</f>
        <v>0</v>
      </c>
      <c r="P18" s="3" t="s">
        <v>38</v>
      </c>
    </row>
    <row r="19" spans="1:19" x14ac:dyDescent="0.25">
      <c r="B19" s="57" t="s">
        <v>85</v>
      </c>
      <c r="C19" s="57"/>
      <c r="D19" s="175"/>
      <c r="E19" s="2"/>
      <c r="F19" s="176"/>
      <c r="G19" s="36"/>
      <c r="H19" s="45"/>
      <c r="I19" s="14"/>
      <c r="J19" s="174"/>
      <c r="K19" s="36">
        <f>G19</f>
        <v>0</v>
      </c>
      <c r="L19" s="45" t="s">
        <v>38</v>
      </c>
      <c r="M19" s="177"/>
      <c r="N19" s="174"/>
      <c r="O19" s="36">
        <f>G19</f>
        <v>0</v>
      </c>
      <c r="P19" s="3" t="s">
        <v>38</v>
      </c>
    </row>
    <row r="20" spans="1:19" x14ac:dyDescent="0.25">
      <c r="B20" s="57" t="s">
        <v>54</v>
      </c>
      <c r="C20" s="57"/>
      <c r="D20" s="57"/>
      <c r="E20" s="2"/>
      <c r="F20" s="129"/>
      <c r="G20" s="36"/>
      <c r="H20" s="45" t="s">
        <v>39</v>
      </c>
      <c r="I20" s="14"/>
      <c r="J20" s="127"/>
      <c r="K20" s="36">
        <f t="shared" si="2"/>
        <v>0</v>
      </c>
      <c r="L20" s="45" t="s">
        <v>39</v>
      </c>
      <c r="N20" s="127"/>
      <c r="O20" s="36">
        <f t="shared" si="3"/>
        <v>0</v>
      </c>
      <c r="P20" s="3" t="s">
        <v>39</v>
      </c>
    </row>
    <row r="21" spans="1:19" x14ac:dyDescent="0.25">
      <c r="B21" s="57" t="s">
        <v>55</v>
      </c>
      <c r="C21" s="57"/>
      <c r="D21" s="57"/>
      <c r="E21" s="2"/>
      <c r="F21" s="129"/>
      <c r="G21" s="48"/>
      <c r="H21" s="45" t="s">
        <v>39</v>
      </c>
      <c r="I21" s="14"/>
      <c r="J21" s="127"/>
      <c r="K21" s="48">
        <f t="shared" si="2"/>
        <v>0</v>
      </c>
      <c r="L21" s="45" t="s">
        <v>39</v>
      </c>
      <c r="N21" s="127"/>
      <c r="O21" s="48">
        <f t="shared" si="3"/>
        <v>0</v>
      </c>
      <c r="P21" s="3" t="s">
        <v>39</v>
      </c>
    </row>
    <row r="22" spans="1:19" x14ac:dyDescent="0.25">
      <c r="B22" s="125" t="s">
        <v>56</v>
      </c>
      <c r="C22" s="125"/>
      <c r="D22" s="125"/>
      <c r="E22" s="2"/>
      <c r="F22" s="3"/>
      <c r="G22" s="36"/>
      <c r="H22" s="45" t="s">
        <v>39</v>
      </c>
      <c r="I22" s="14"/>
      <c r="J22" s="127"/>
      <c r="K22" s="36">
        <f t="shared" si="2"/>
        <v>0</v>
      </c>
      <c r="L22" s="45" t="s">
        <v>39</v>
      </c>
      <c r="N22" s="127"/>
      <c r="O22" s="36">
        <f t="shared" si="3"/>
        <v>0</v>
      </c>
      <c r="P22" s="3" t="s">
        <v>39</v>
      </c>
    </row>
    <row r="23" spans="1:19" x14ac:dyDescent="0.25">
      <c r="B23" s="57" t="s">
        <v>57</v>
      </c>
      <c r="C23" s="57"/>
      <c r="D23" s="57"/>
      <c r="E23" s="2"/>
      <c r="F23" s="3"/>
      <c r="G23" s="48"/>
      <c r="H23" s="45" t="s">
        <v>39</v>
      </c>
      <c r="I23" s="14"/>
      <c r="J23" s="127"/>
      <c r="K23" s="48">
        <f t="shared" si="2"/>
        <v>0</v>
      </c>
      <c r="L23" s="45" t="s">
        <v>39</v>
      </c>
      <c r="N23" s="127"/>
      <c r="O23" s="48">
        <f t="shared" si="3"/>
        <v>0</v>
      </c>
      <c r="P23" s="3" t="s">
        <v>39</v>
      </c>
    </row>
    <row r="24" spans="1:19" x14ac:dyDescent="0.25">
      <c r="B24" s="57" t="s">
        <v>75</v>
      </c>
      <c r="C24" s="57"/>
      <c r="D24" s="57"/>
      <c r="E24" s="2"/>
      <c r="F24" s="3"/>
      <c r="G24" s="36"/>
      <c r="H24" s="37" t="s">
        <v>39</v>
      </c>
      <c r="I24" s="14"/>
      <c r="J24" s="127"/>
      <c r="K24" s="36">
        <v>0</v>
      </c>
      <c r="L24" s="37" t="s">
        <v>39</v>
      </c>
      <c r="N24" s="127"/>
      <c r="O24" s="36">
        <v>0</v>
      </c>
      <c r="P24" s="37" t="s">
        <v>39</v>
      </c>
    </row>
    <row r="25" spans="1:19" x14ac:dyDescent="0.25">
      <c r="B25" s="125" t="s">
        <v>76</v>
      </c>
      <c r="C25" s="125"/>
      <c r="D25" s="125"/>
      <c r="E25" s="2"/>
      <c r="F25" s="3"/>
      <c r="G25" s="36"/>
      <c r="H25" s="37" t="s">
        <v>39</v>
      </c>
      <c r="I25" s="14"/>
      <c r="J25" s="127"/>
      <c r="K25" s="36">
        <v>0</v>
      </c>
      <c r="L25" s="37" t="s">
        <v>39</v>
      </c>
      <c r="N25" s="127"/>
      <c r="O25" s="36">
        <v>0</v>
      </c>
      <c r="P25" s="37" t="s">
        <v>39</v>
      </c>
    </row>
    <row r="26" spans="1:19" x14ac:dyDescent="0.25">
      <c r="B26" s="57" t="s">
        <v>58</v>
      </c>
      <c r="C26" s="57"/>
      <c r="D26" s="57"/>
      <c r="E26" s="2"/>
      <c r="F26" s="3"/>
      <c r="G26" s="36"/>
      <c r="H26" s="37" t="s">
        <v>38</v>
      </c>
      <c r="I26" s="14"/>
      <c r="J26" s="165"/>
      <c r="K26" s="36">
        <f t="shared" ref="K26:K27" si="4">G26</f>
        <v>0</v>
      </c>
      <c r="L26" s="37" t="s">
        <v>38</v>
      </c>
      <c r="M26" s="167"/>
      <c r="N26" s="165"/>
      <c r="O26" s="36">
        <f t="shared" ref="O26:O27" si="5">G26</f>
        <v>0</v>
      </c>
      <c r="P26" s="37" t="s">
        <v>38</v>
      </c>
    </row>
    <row r="27" spans="1:19" x14ac:dyDescent="0.25">
      <c r="B27" s="166" t="s">
        <v>59</v>
      </c>
      <c r="C27" s="166"/>
      <c r="D27" s="166"/>
      <c r="E27" s="2"/>
      <c r="F27" s="3"/>
      <c r="G27" s="36"/>
      <c r="H27" s="37" t="s">
        <v>38</v>
      </c>
      <c r="I27" s="14"/>
      <c r="J27" s="165"/>
      <c r="K27" s="36">
        <f t="shared" si="4"/>
        <v>0</v>
      </c>
      <c r="L27" s="37" t="s">
        <v>38</v>
      </c>
      <c r="M27" s="167"/>
      <c r="N27" s="165"/>
      <c r="O27" s="36">
        <f t="shared" si="5"/>
        <v>0</v>
      </c>
      <c r="P27" s="37" t="s">
        <v>38</v>
      </c>
    </row>
    <row r="28" spans="1:19" x14ac:dyDescent="0.25">
      <c r="B28" s="57" t="s">
        <v>60</v>
      </c>
      <c r="C28" s="57"/>
      <c r="D28" s="57"/>
      <c r="E28" s="2"/>
      <c r="F28" s="3"/>
      <c r="G28" s="36"/>
      <c r="H28" s="37" t="s">
        <v>38</v>
      </c>
      <c r="I28" s="14"/>
      <c r="J28" s="127"/>
      <c r="K28" s="36">
        <f t="shared" si="2"/>
        <v>0</v>
      </c>
      <c r="L28" s="37" t="s">
        <v>38</v>
      </c>
      <c r="N28" s="127"/>
      <c r="O28" s="36">
        <f t="shared" si="3"/>
        <v>0</v>
      </c>
      <c r="P28" s="37" t="s">
        <v>38</v>
      </c>
    </row>
    <row r="29" spans="1:19" ht="11.25" customHeight="1" x14ac:dyDescent="0.25"/>
    <row r="30" spans="1:19" s="6" customFormat="1" ht="18.75" x14ac:dyDescent="0.3">
      <c r="A30" s="6" t="s">
        <v>12</v>
      </c>
      <c r="B30" s="245" t="s">
        <v>25</v>
      </c>
      <c r="C30" s="245"/>
      <c r="D30" s="245"/>
      <c r="M30" s="123"/>
    </row>
    <row r="31" spans="1:19" x14ac:dyDescent="0.25">
      <c r="C31" s="126" t="s">
        <v>13</v>
      </c>
      <c r="D31" s="31" t="s">
        <v>34</v>
      </c>
      <c r="E31" s="250"/>
      <c r="F31" s="250"/>
      <c r="G31" s="249" t="s">
        <v>18</v>
      </c>
      <c r="H31" s="249"/>
      <c r="I31" s="126"/>
      <c r="J31" s="250">
        <f>G17+G18-J32</f>
        <v>0</v>
      </c>
      <c r="K31" s="250"/>
      <c r="L31" s="39"/>
      <c r="M31" s="22" t="s">
        <v>19</v>
      </c>
      <c r="N31" s="250" t="s">
        <v>32</v>
      </c>
      <c r="O31" s="250"/>
      <c r="P31" s="127"/>
      <c r="R31" s="20"/>
    </row>
    <row r="32" spans="1:19" x14ac:dyDescent="0.25">
      <c r="C32" s="126" t="s">
        <v>14</v>
      </c>
      <c r="D32" s="31" t="s">
        <v>35</v>
      </c>
      <c r="E32" s="252"/>
      <c r="F32" s="252"/>
      <c r="G32" s="249" t="s">
        <v>18</v>
      </c>
      <c r="H32" s="249"/>
      <c r="I32" s="126"/>
      <c r="J32" s="257"/>
      <c r="K32" s="252"/>
      <c r="L32" s="131"/>
      <c r="M32" s="22" t="s">
        <v>19</v>
      </c>
      <c r="N32" s="252" t="s">
        <v>33</v>
      </c>
      <c r="O32" s="252"/>
      <c r="P32" s="128"/>
      <c r="R32" s="20"/>
      <c r="S32" s="20"/>
    </row>
    <row r="33" spans="1:19" x14ac:dyDescent="0.25">
      <c r="J33" s="20"/>
      <c r="K33" s="20"/>
      <c r="L33" s="20"/>
      <c r="Q33" s="20"/>
      <c r="R33" s="20"/>
      <c r="S33" s="20"/>
    </row>
    <row r="34" spans="1:19" s="7" customFormat="1" ht="18.75" x14ac:dyDescent="0.3">
      <c r="A34" s="7" t="s">
        <v>15</v>
      </c>
      <c r="B34" s="8" t="s">
        <v>16</v>
      </c>
      <c r="C34" s="8"/>
      <c r="D34" s="8"/>
      <c r="E34" s="6"/>
      <c r="F34" s="6"/>
      <c r="M34" s="24"/>
    </row>
    <row r="35" spans="1:19" s="7" customFormat="1" ht="18.75" x14ac:dyDescent="0.3">
      <c r="B35" s="6" t="s">
        <v>17</v>
      </c>
      <c r="D35" s="85"/>
      <c r="E35" s="9"/>
      <c r="F35" s="9"/>
      <c r="G35" s="9"/>
      <c r="H35" s="9"/>
      <c r="I35" s="9"/>
      <c r="J35" s="9"/>
      <c r="K35" s="9"/>
      <c r="L35" s="9"/>
      <c r="M35" s="25"/>
      <c r="N35" s="9"/>
      <c r="O35" s="9"/>
      <c r="P35" s="9"/>
    </row>
    <row r="36" spans="1:19" s="7" customFormat="1" ht="18.75" x14ac:dyDescent="0.3">
      <c r="B36" s="6"/>
      <c r="D36" s="155"/>
      <c r="E36" s="40"/>
      <c r="F36" s="40"/>
      <c r="G36" s="40"/>
      <c r="H36" s="40"/>
      <c r="I36" s="40"/>
      <c r="J36" s="40"/>
      <c r="K36" s="40"/>
      <c r="L36" s="40"/>
      <c r="M36" s="111"/>
      <c r="N36" s="40"/>
      <c r="O36" s="40"/>
      <c r="P36" s="40"/>
    </row>
    <row r="37" spans="1:19" ht="9" customHeight="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109"/>
      <c r="N37" s="32"/>
      <c r="O37" s="32"/>
      <c r="P37" s="32"/>
      <c r="Q37" s="32"/>
      <c r="R37" s="32"/>
    </row>
    <row r="38" spans="1:19" ht="3.75" customHeight="1" x14ac:dyDescent="0.25"/>
    <row r="39" spans="1:19" s="4" customFormat="1" ht="18.75" x14ac:dyDescent="0.3">
      <c r="A39" s="240" t="s">
        <v>0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</row>
    <row r="40" spans="1:19" s="4" customFormat="1" ht="15.75" x14ac:dyDescent="0.25">
      <c r="A40" s="241" t="s">
        <v>28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</row>
    <row r="41" spans="1:19" s="4" customFormat="1" ht="15.75" x14ac:dyDescent="0.25">
      <c r="A41" s="241" t="s">
        <v>1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</row>
    <row r="42" spans="1:19" s="4" customFormat="1" ht="13.5" customHeight="1" x14ac:dyDescent="0.25">
      <c r="M42" s="121"/>
    </row>
    <row r="43" spans="1:19" s="4" customFormat="1" ht="18.75" x14ac:dyDescent="0.3">
      <c r="A43" s="240" t="s">
        <v>26</v>
      </c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</row>
    <row r="44" spans="1:19" s="2" customFormat="1" x14ac:dyDescent="0.25">
      <c r="A44" s="2" t="s">
        <v>3</v>
      </c>
      <c r="C44" s="5" t="s">
        <v>4</v>
      </c>
      <c r="D44" s="11" t="s">
        <v>11</v>
      </c>
      <c r="E44" s="11"/>
      <c r="F44" s="11"/>
      <c r="G44" s="11"/>
      <c r="H44" s="11"/>
      <c r="I44" s="11"/>
      <c r="J44" s="11"/>
      <c r="K44" s="11"/>
      <c r="L44" s="21"/>
      <c r="M44" s="22" t="s">
        <v>5</v>
      </c>
      <c r="N44" s="256">
        <v>0</v>
      </c>
      <c r="O44" s="256"/>
      <c r="P44" s="256"/>
    </row>
    <row r="45" spans="1:19" s="2" customFormat="1" x14ac:dyDescent="0.25">
      <c r="A45" s="2" t="s">
        <v>22</v>
      </c>
      <c r="C45" s="5" t="s">
        <v>4</v>
      </c>
      <c r="D45" s="12" t="s">
        <v>37</v>
      </c>
      <c r="E45" s="13"/>
      <c r="F45" s="13"/>
      <c r="G45" s="13"/>
      <c r="H45" s="10"/>
      <c r="I45" s="10"/>
      <c r="J45" s="10"/>
      <c r="K45" s="10"/>
      <c r="L45" s="10"/>
      <c r="M45" s="22" t="s">
        <v>27</v>
      </c>
      <c r="N45" s="53" t="s">
        <v>36</v>
      </c>
      <c r="O45" s="53"/>
      <c r="P45" s="132"/>
    </row>
    <row r="47" spans="1:19" s="6" customFormat="1" ht="18.75" x14ac:dyDescent="0.3">
      <c r="A47" s="6" t="s">
        <v>6</v>
      </c>
      <c r="B47" s="248" t="s">
        <v>7</v>
      </c>
      <c r="C47" s="248"/>
      <c r="D47" s="248"/>
      <c r="F47" s="245" t="s">
        <v>8</v>
      </c>
      <c r="G47" s="245"/>
      <c r="H47" s="245"/>
      <c r="I47" s="123"/>
      <c r="J47" s="245" t="s">
        <v>9</v>
      </c>
      <c r="K47" s="245"/>
      <c r="L47" s="245"/>
      <c r="M47" s="123"/>
      <c r="N47" s="245" t="s">
        <v>10</v>
      </c>
      <c r="O47" s="245"/>
      <c r="P47" s="245"/>
    </row>
    <row r="48" spans="1:19" s="6" customFormat="1" ht="18.75" x14ac:dyDescent="0.3">
      <c r="B48" s="124"/>
      <c r="C48" s="124"/>
      <c r="D48" s="124"/>
      <c r="F48" s="122" t="s">
        <v>29</v>
      </c>
      <c r="G48" s="246" t="s">
        <v>30</v>
      </c>
      <c r="H48" s="247"/>
      <c r="I48" s="123"/>
      <c r="J48" s="122" t="s">
        <v>29</v>
      </c>
      <c r="K48" s="246" t="s">
        <v>30</v>
      </c>
      <c r="L48" s="247"/>
      <c r="M48" s="123"/>
      <c r="N48" s="122" t="s">
        <v>29</v>
      </c>
      <c r="O48" s="246" t="s">
        <v>30</v>
      </c>
      <c r="P48" s="247"/>
    </row>
    <row r="49" spans="2:16" x14ac:dyDescent="0.25">
      <c r="B49" s="244" t="s">
        <v>46</v>
      </c>
      <c r="C49" s="244"/>
      <c r="D49" s="244"/>
      <c r="E49" s="2"/>
      <c r="F49" s="30">
        <f>G49/200*25</f>
        <v>0</v>
      </c>
      <c r="G49" s="36"/>
      <c r="H49" s="45" t="s">
        <v>38</v>
      </c>
      <c r="I49" s="14"/>
      <c r="J49" s="30">
        <f>F49</f>
        <v>0</v>
      </c>
      <c r="K49" s="36">
        <f>G49</f>
        <v>0</v>
      </c>
      <c r="L49" s="45" t="s">
        <v>38</v>
      </c>
      <c r="N49" s="30">
        <f>F49</f>
        <v>0</v>
      </c>
      <c r="O49" s="36">
        <f>G49</f>
        <v>0</v>
      </c>
      <c r="P49" s="45" t="s">
        <v>38</v>
      </c>
    </row>
    <row r="50" spans="2:16" x14ac:dyDescent="0.25">
      <c r="B50" s="244" t="s">
        <v>47</v>
      </c>
      <c r="C50" s="244"/>
      <c r="D50" s="244"/>
      <c r="E50" s="2"/>
      <c r="F50" s="30">
        <f>G50/150*25</f>
        <v>0</v>
      </c>
      <c r="G50" s="36"/>
      <c r="H50" s="45" t="s">
        <v>38</v>
      </c>
      <c r="I50" s="14"/>
      <c r="J50" s="30">
        <f>F50</f>
        <v>0</v>
      </c>
      <c r="K50" s="36">
        <f t="shared" ref="K50:K51" si="6">G50</f>
        <v>0</v>
      </c>
      <c r="L50" s="45" t="s">
        <v>38</v>
      </c>
      <c r="N50" s="30">
        <f t="shared" ref="N50:O64" si="7">F50</f>
        <v>0</v>
      </c>
      <c r="O50" s="36">
        <f t="shared" si="7"/>
        <v>0</v>
      </c>
      <c r="P50" s="3" t="s">
        <v>38</v>
      </c>
    </row>
    <row r="51" spans="2:16" x14ac:dyDescent="0.25">
      <c r="B51" s="244" t="s">
        <v>48</v>
      </c>
      <c r="C51" s="244"/>
      <c r="D51" s="244"/>
      <c r="E51" s="2"/>
      <c r="F51" s="30">
        <f>G51/215*25</f>
        <v>0</v>
      </c>
      <c r="G51" s="36"/>
      <c r="H51" s="45" t="s">
        <v>38</v>
      </c>
      <c r="I51" s="14"/>
      <c r="J51" s="30">
        <f>F51</f>
        <v>0</v>
      </c>
      <c r="K51" s="36">
        <f t="shared" si="6"/>
        <v>0</v>
      </c>
      <c r="L51" s="45" t="s">
        <v>38</v>
      </c>
      <c r="N51" s="30">
        <f t="shared" si="7"/>
        <v>0</v>
      </c>
      <c r="O51" s="36">
        <f t="shared" si="7"/>
        <v>0</v>
      </c>
      <c r="P51" s="3" t="s">
        <v>38</v>
      </c>
    </row>
    <row r="52" spans="2:16" x14ac:dyDescent="0.25">
      <c r="B52" s="244" t="s">
        <v>49</v>
      </c>
      <c r="C52" s="244"/>
      <c r="D52" s="244"/>
      <c r="E52" s="2"/>
      <c r="F52" s="79"/>
      <c r="G52" s="36"/>
      <c r="H52" s="45" t="s">
        <v>41</v>
      </c>
      <c r="I52" s="14"/>
      <c r="J52" s="97">
        <f>F52</f>
        <v>0</v>
      </c>
      <c r="K52" s="36"/>
      <c r="L52" s="45" t="s">
        <v>41</v>
      </c>
      <c r="N52" s="97">
        <f t="shared" si="7"/>
        <v>0</v>
      </c>
      <c r="O52" s="36"/>
      <c r="P52" s="3" t="s">
        <v>41</v>
      </c>
    </row>
    <row r="53" spans="2:16" x14ac:dyDescent="0.25">
      <c r="B53" s="57" t="s">
        <v>50</v>
      </c>
      <c r="C53" s="57"/>
      <c r="D53" s="57"/>
      <c r="E53" s="2"/>
      <c r="F53" s="128"/>
      <c r="G53" s="47"/>
      <c r="H53" s="46" t="s">
        <v>38</v>
      </c>
      <c r="I53" s="14"/>
      <c r="J53" s="127"/>
      <c r="K53" s="36"/>
      <c r="L53" s="45" t="s">
        <v>38</v>
      </c>
      <c r="N53" s="127"/>
      <c r="O53" s="36"/>
      <c r="P53" s="3" t="s">
        <v>38</v>
      </c>
    </row>
    <row r="54" spans="2:16" x14ac:dyDescent="0.25">
      <c r="B54" s="57" t="s">
        <v>51</v>
      </c>
      <c r="C54" s="57"/>
      <c r="D54" s="57"/>
      <c r="E54" s="2"/>
      <c r="F54" s="129"/>
      <c r="G54" s="51">
        <f>G53*2.43</f>
        <v>0</v>
      </c>
      <c r="H54" s="45" t="s">
        <v>39</v>
      </c>
      <c r="I54" s="14"/>
      <c r="J54" s="127"/>
      <c r="K54" s="48">
        <f t="shared" ref="K54:K64" si="8">G54</f>
        <v>0</v>
      </c>
      <c r="L54" s="45" t="s">
        <v>39</v>
      </c>
      <c r="N54" s="127"/>
      <c r="O54" s="48">
        <f t="shared" si="7"/>
        <v>0</v>
      </c>
      <c r="P54" s="3" t="s">
        <v>39</v>
      </c>
    </row>
    <row r="55" spans="2:16" x14ac:dyDescent="0.25">
      <c r="B55" s="57" t="s">
        <v>52</v>
      </c>
      <c r="C55" s="57"/>
      <c r="D55" s="57"/>
      <c r="E55" s="2"/>
      <c r="F55" s="129"/>
      <c r="G55" s="36"/>
      <c r="H55" s="45" t="s">
        <v>38</v>
      </c>
      <c r="I55" s="14"/>
      <c r="J55" s="127"/>
      <c r="K55" s="36">
        <f t="shared" si="8"/>
        <v>0</v>
      </c>
      <c r="L55" s="45" t="s">
        <v>38</v>
      </c>
      <c r="N55" s="127"/>
      <c r="O55" s="36">
        <f t="shared" si="7"/>
        <v>0</v>
      </c>
      <c r="P55" s="3" t="s">
        <v>38</v>
      </c>
    </row>
    <row r="56" spans="2:16" x14ac:dyDescent="0.25">
      <c r="B56" s="57" t="s">
        <v>53</v>
      </c>
      <c r="C56" s="57"/>
      <c r="D56" s="125"/>
      <c r="E56" s="2"/>
      <c r="F56" s="129"/>
      <c r="G56" s="36"/>
      <c r="H56" s="45" t="s">
        <v>38</v>
      </c>
      <c r="I56" s="14"/>
      <c r="J56" s="127"/>
      <c r="K56" s="36">
        <f>G56</f>
        <v>0</v>
      </c>
      <c r="L56" s="45" t="s">
        <v>38</v>
      </c>
      <c r="N56" s="127"/>
      <c r="O56" s="36">
        <f>G56</f>
        <v>0</v>
      </c>
      <c r="P56" s="3" t="s">
        <v>38</v>
      </c>
    </row>
    <row r="57" spans="2:16" x14ac:dyDescent="0.25">
      <c r="B57" s="57" t="s">
        <v>54</v>
      </c>
      <c r="C57" s="57"/>
      <c r="D57" s="57"/>
      <c r="E57" s="2"/>
      <c r="F57" s="129"/>
      <c r="G57" s="36"/>
      <c r="H57" s="45" t="s">
        <v>39</v>
      </c>
      <c r="I57" s="14"/>
      <c r="J57" s="127"/>
      <c r="K57" s="36">
        <f t="shared" si="8"/>
        <v>0</v>
      </c>
      <c r="L57" s="45" t="s">
        <v>39</v>
      </c>
      <c r="N57" s="127"/>
      <c r="O57" s="36">
        <f t="shared" si="7"/>
        <v>0</v>
      </c>
      <c r="P57" s="3" t="s">
        <v>39</v>
      </c>
    </row>
    <row r="58" spans="2:16" x14ac:dyDescent="0.25">
      <c r="B58" s="57" t="s">
        <v>55</v>
      </c>
      <c r="C58" s="57"/>
      <c r="D58" s="57"/>
      <c r="E58" s="2"/>
      <c r="F58" s="129"/>
      <c r="G58" s="36"/>
      <c r="H58" s="45" t="s">
        <v>39</v>
      </c>
      <c r="I58" s="14"/>
      <c r="J58" s="127"/>
      <c r="K58" s="36">
        <f t="shared" si="8"/>
        <v>0</v>
      </c>
      <c r="L58" s="45" t="s">
        <v>39</v>
      </c>
      <c r="N58" s="127"/>
      <c r="O58" s="36">
        <f t="shared" si="7"/>
        <v>0</v>
      </c>
      <c r="P58" s="3" t="s">
        <v>39</v>
      </c>
    </row>
    <row r="59" spans="2:16" x14ac:dyDescent="0.25">
      <c r="B59" s="125" t="s">
        <v>56</v>
      </c>
      <c r="C59" s="125"/>
      <c r="D59" s="125"/>
      <c r="E59" s="2"/>
      <c r="F59" s="3"/>
      <c r="G59" s="36"/>
      <c r="H59" s="45" t="s">
        <v>39</v>
      </c>
      <c r="I59" s="14"/>
      <c r="J59" s="127"/>
      <c r="K59" s="36">
        <f t="shared" si="8"/>
        <v>0</v>
      </c>
      <c r="L59" s="45" t="s">
        <v>39</v>
      </c>
      <c r="N59" s="127"/>
      <c r="O59" s="36">
        <f t="shared" si="7"/>
        <v>0</v>
      </c>
      <c r="P59" s="3" t="s">
        <v>39</v>
      </c>
    </row>
    <row r="60" spans="2:16" x14ac:dyDescent="0.25">
      <c r="B60" s="57" t="s">
        <v>57</v>
      </c>
      <c r="C60" s="57"/>
      <c r="D60" s="57"/>
      <c r="E60" s="2"/>
      <c r="F60" s="3"/>
      <c r="G60" s="36"/>
      <c r="H60" s="45" t="s">
        <v>39</v>
      </c>
      <c r="I60" s="14"/>
      <c r="J60" s="127"/>
      <c r="K60" s="36">
        <f t="shared" si="8"/>
        <v>0</v>
      </c>
      <c r="L60" s="45" t="s">
        <v>39</v>
      </c>
      <c r="N60" s="127"/>
      <c r="O60" s="36">
        <f t="shared" si="7"/>
        <v>0</v>
      </c>
      <c r="P60" s="3" t="s">
        <v>39</v>
      </c>
    </row>
    <row r="61" spans="2:16" x14ac:dyDescent="0.25">
      <c r="B61" s="57" t="s">
        <v>75</v>
      </c>
      <c r="C61" s="57"/>
      <c r="D61" s="57"/>
      <c r="E61" s="2"/>
      <c r="F61" s="3"/>
      <c r="G61" s="36"/>
      <c r="H61" s="37" t="s">
        <v>39</v>
      </c>
      <c r="I61" s="14"/>
      <c r="J61" s="162"/>
      <c r="K61" s="36">
        <v>0</v>
      </c>
      <c r="L61" s="37" t="s">
        <v>39</v>
      </c>
      <c r="M61" s="164"/>
      <c r="N61" s="162"/>
      <c r="O61" s="36">
        <v>0</v>
      </c>
      <c r="P61" s="37" t="s">
        <v>39</v>
      </c>
    </row>
    <row r="62" spans="2:16" x14ac:dyDescent="0.25">
      <c r="B62" s="163" t="s">
        <v>76</v>
      </c>
      <c r="C62" s="163"/>
      <c r="D62" s="163"/>
      <c r="E62" s="2"/>
      <c r="F62" s="3"/>
      <c r="G62" s="36"/>
      <c r="H62" s="37" t="s">
        <v>39</v>
      </c>
      <c r="I62" s="14"/>
      <c r="J62" s="162"/>
      <c r="K62" s="36">
        <v>0</v>
      </c>
      <c r="L62" s="37" t="s">
        <v>39</v>
      </c>
      <c r="M62" s="164"/>
      <c r="N62" s="162"/>
      <c r="O62" s="36">
        <v>0</v>
      </c>
      <c r="P62" s="37" t="s">
        <v>39</v>
      </c>
    </row>
    <row r="63" spans="2:16" x14ac:dyDescent="0.25">
      <c r="B63" s="57" t="s">
        <v>58</v>
      </c>
      <c r="C63" s="57"/>
      <c r="D63" s="57"/>
      <c r="E63" s="2"/>
      <c r="F63" s="3"/>
      <c r="G63" s="36"/>
      <c r="H63" s="37" t="s">
        <v>38</v>
      </c>
      <c r="I63" s="14"/>
      <c r="J63" s="127"/>
      <c r="K63" s="36">
        <f t="shared" si="8"/>
        <v>0</v>
      </c>
      <c r="L63" s="37" t="s">
        <v>38</v>
      </c>
      <c r="N63" s="127"/>
      <c r="O63" s="36">
        <f t="shared" si="7"/>
        <v>0</v>
      </c>
      <c r="P63" s="37" t="s">
        <v>38</v>
      </c>
    </row>
    <row r="64" spans="2:16" x14ac:dyDescent="0.25">
      <c r="B64" s="125" t="s">
        <v>59</v>
      </c>
      <c r="C64" s="125"/>
      <c r="D64" s="125"/>
      <c r="E64" s="2"/>
      <c r="F64" s="3"/>
      <c r="G64" s="36"/>
      <c r="H64" s="37" t="s">
        <v>38</v>
      </c>
      <c r="I64" s="14"/>
      <c r="J64" s="127"/>
      <c r="K64" s="36">
        <f t="shared" si="8"/>
        <v>0</v>
      </c>
      <c r="L64" s="37" t="s">
        <v>38</v>
      </c>
      <c r="N64" s="127"/>
      <c r="O64" s="36">
        <f t="shared" si="7"/>
        <v>0</v>
      </c>
      <c r="P64" s="37" t="s">
        <v>38</v>
      </c>
    </row>
    <row r="65" spans="1:19" x14ac:dyDescent="0.25">
      <c r="B65" s="57" t="s">
        <v>60</v>
      </c>
      <c r="C65" s="57"/>
      <c r="D65" s="57"/>
    </row>
    <row r="66" spans="1:19" s="6" customFormat="1" ht="18.75" x14ac:dyDescent="0.3">
      <c r="A66" s="6" t="s">
        <v>12</v>
      </c>
      <c r="B66" s="245" t="s">
        <v>25</v>
      </c>
      <c r="C66" s="245"/>
      <c r="D66" s="245"/>
      <c r="M66" s="123"/>
    </row>
    <row r="67" spans="1:19" x14ac:dyDescent="0.25">
      <c r="C67" s="126" t="s">
        <v>13</v>
      </c>
      <c r="D67" s="31" t="s">
        <v>34</v>
      </c>
      <c r="E67" s="250"/>
      <c r="F67" s="250"/>
      <c r="G67" s="249" t="s">
        <v>18</v>
      </c>
      <c r="H67" s="249"/>
      <c r="I67" s="126"/>
      <c r="J67" s="250">
        <f>G55+G56-J68</f>
        <v>0</v>
      </c>
      <c r="K67" s="250"/>
      <c r="L67" s="39"/>
      <c r="M67" s="22" t="s">
        <v>19</v>
      </c>
      <c r="N67" s="250" t="s">
        <v>32</v>
      </c>
      <c r="O67" s="250"/>
      <c r="P67" s="127"/>
      <c r="R67" s="20"/>
    </row>
    <row r="68" spans="1:19" x14ac:dyDescent="0.25">
      <c r="C68" s="126" t="s">
        <v>14</v>
      </c>
      <c r="D68" s="31" t="s">
        <v>35</v>
      </c>
      <c r="E68" s="252"/>
      <c r="F68" s="252"/>
      <c r="G68" s="249" t="s">
        <v>18</v>
      </c>
      <c r="H68" s="249"/>
      <c r="I68" s="126"/>
      <c r="J68" s="252"/>
      <c r="K68" s="252"/>
      <c r="L68" s="131"/>
      <c r="M68" s="22" t="s">
        <v>19</v>
      </c>
      <c r="N68" s="252" t="s">
        <v>33</v>
      </c>
      <c r="O68" s="252"/>
      <c r="P68" s="129"/>
      <c r="S68" s="20"/>
    </row>
    <row r="69" spans="1:19" x14ac:dyDescent="0.25">
      <c r="J69" s="20"/>
      <c r="K69" s="20"/>
      <c r="L69" s="20"/>
    </row>
    <row r="70" spans="1:19" s="7" customFormat="1" ht="18.75" x14ac:dyDescent="0.3">
      <c r="A70" s="7" t="s">
        <v>15</v>
      </c>
      <c r="B70" s="8" t="s">
        <v>16</v>
      </c>
      <c r="C70" s="8"/>
      <c r="D70" s="8"/>
      <c r="E70" s="6"/>
      <c r="F70" s="6"/>
      <c r="M70" s="24"/>
    </row>
    <row r="71" spans="1:19" s="7" customFormat="1" ht="18.75" x14ac:dyDescent="0.3">
      <c r="B71" s="6" t="s">
        <v>17</v>
      </c>
      <c r="D71" s="9"/>
      <c r="E71" s="9"/>
      <c r="F71" s="9"/>
      <c r="G71" s="9"/>
      <c r="H71" s="9"/>
      <c r="I71" s="9"/>
      <c r="J71" s="9"/>
      <c r="K71" s="9"/>
      <c r="L71" s="9"/>
      <c r="M71" s="25"/>
      <c r="N71" s="9"/>
      <c r="O71" s="9"/>
      <c r="P71" s="9"/>
    </row>
    <row r="72" spans="1:19" ht="9.75" customHeight="1" x14ac:dyDescent="0.25"/>
  </sheetData>
  <mergeCells count="50">
    <mergeCell ref="G67:H67"/>
    <mergeCell ref="J67:K67"/>
    <mergeCell ref="N67:O67"/>
    <mergeCell ref="E68:F68"/>
    <mergeCell ref="G68:H68"/>
    <mergeCell ref="J68:K68"/>
    <mergeCell ref="N68:O68"/>
    <mergeCell ref="E67:F67"/>
    <mergeCell ref="B49:D49"/>
    <mergeCell ref="B50:D50"/>
    <mergeCell ref="B51:D51"/>
    <mergeCell ref="B52:D52"/>
    <mergeCell ref="B66:D66"/>
    <mergeCell ref="B47:D47"/>
    <mergeCell ref="F47:H47"/>
    <mergeCell ref="J47:L47"/>
    <mergeCell ref="N47:P47"/>
    <mergeCell ref="G48:H48"/>
    <mergeCell ref="K48:L48"/>
    <mergeCell ref="O48:P48"/>
    <mergeCell ref="A39:P39"/>
    <mergeCell ref="A40:P40"/>
    <mergeCell ref="A41:P41"/>
    <mergeCell ref="A43:P43"/>
    <mergeCell ref="N44:P44"/>
    <mergeCell ref="E32:F32"/>
    <mergeCell ref="G32:H32"/>
    <mergeCell ref="J32:K32"/>
    <mergeCell ref="N32:O32"/>
    <mergeCell ref="B14:D14"/>
    <mergeCell ref="B30:D30"/>
    <mergeCell ref="E31:F31"/>
    <mergeCell ref="G31:H31"/>
    <mergeCell ref="J31:K31"/>
    <mergeCell ref="N31:O31"/>
    <mergeCell ref="B13:D13"/>
    <mergeCell ref="A1:P1"/>
    <mergeCell ref="A2:P2"/>
    <mergeCell ref="A3:P3"/>
    <mergeCell ref="A5:P5"/>
    <mergeCell ref="B9:D9"/>
    <mergeCell ref="F9:H9"/>
    <mergeCell ref="J9:L9"/>
    <mergeCell ref="N9:P9"/>
    <mergeCell ref="G10:H10"/>
    <mergeCell ref="K10:L10"/>
    <mergeCell ref="O10:P10"/>
    <mergeCell ref="B11:D11"/>
    <mergeCell ref="B12:D12"/>
    <mergeCell ref="N6:P6"/>
  </mergeCells>
  <pageMargins left="0.7" right="0.2" top="0.19" bottom="0.25" header="0.3" footer="0.3"/>
  <pageSetup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T72"/>
  <sheetViews>
    <sheetView zoomScaleNormal="100" workbookViewId="0">
      <selection activeCell="F17" sqref="F17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.28515625" customWidth="1"/>
    <col min="5" max="5" width="3.28515625" customWidth="1"/>
    <col min="6" max="6" width="8.7109375" customWidth="1"/>
    <col min="7" max="7" width="8.28515625" customWidth="1"/>
    <col min="8" max="8" width="6.7109375" customWidth="1"/>
    <col min="9" max="9" width="3.42578125" customWidth="1"/>
    <col min="10" max="10" width="9.28515625" customWidth="1"/>
    <col min="11" max="11" width="7.85546875" customWidth="1"/>
    <col min="12" max="12" width="6.7109375" customWidth="1"/>
    <col min="13" max="13" width="6.28515625" style="139" customWidth="1"/>
    <col min="14" max="14" width="8.7109375" customWidth="1"/>
    <col min="15" max="15" width="10.42578125" customWidth="1"/>
    <col min="16" max="16" width="6.7109375" customWidth="1"/>
  </cols>
  <sheetData>
    <row r="1" spans="1:20" s="4" customFormat="1" ht="18.75" x14ac:dyDescent="0.3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20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20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</row>
    <row r="4" spans="1:20" s="4" customFormat="1" ht="15.75" x14ac:dyDescent="0.25">
      <c r="M4" s="121"/>
    </row>
    <row r="5" spans="1:20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</row>
    <row r="6" spans="1:20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v>0</v>
      </c>
      <c r="O6" s="256"/>
      <c r="P6" s="256"/>
    </row>
    <row r="7" spans="1:20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10"/>
      <c r="I7" s="10"/>
      <c r="J7" s="10"/>
      <c r="K7" s="10"/>
      <c r="L7" s="10"/>
      <c r="M7" s="22" t="s">
        <v>27</v>
      </c>
      <c r="N7" s="53" t="s">
        <v>36</v>
      </c>
      <c r="O7" s="53"/>
      <c r="P7" s="149"/>
    </row>
    <row r="9" spans="1:20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144"/>
      <c r="J9" s="245" t="s">
        <v>9</v>
      </c>
      <c r="K9" s="245"/>
      <c r="L9" s="245"/>
      <c r="M9" s="144"/>
      <c r="N9" s="245" t="s">
        <v>10</v>
      </c>
      <c r="O9" s="245"/>
      <c r="P9" s="245"/>
    </row>
    <row r="10" spans="1:20" s="6" customFormat="1" ht="18.75" x14ac:dyDescent="0.3">
      <c r="B10" s="147"/>
      <c r="C10" s="147"/>
      <c r="D10" s="147"/>
      <c r="F10" s="146" t="s">
        <v>29</v>
      </c>
      <c r="G10" s="246" t="s">
        <v>30</v>
      </c>
      <c r="H10" s="247"/>
      <c r="I10" s="144"/>
      <c r="J10" s="146" t="s">
        <v>29</v>
      </c>
      <c r="K10" s="246" t="s">
        <v>30</v>
      </c>
      <c r="L10" s="247"/>
      <c r="M10" s="144"/>
      <c r="N10" s="146" t="s">
        <v>29</v>
      </c>
      <c r="O10" s="246" t="s">
        <v>30</v>
      </c>
      <c r="P10" s="247"/>
    </row>
    <row r="11" spans="1:20" x14ac:dyDescent="0.25">
      <c r="B11" s="244" t="s">
        <v>46</v>
      </c>
      <c r="C11" s="244"/>
      <c r="D11" s="244"/>
      <c r="E11" s="2"/>
      <c r="F11" s="79">
        <f>G11/200*25</f>
        <v>0</v>
      </c>
      <c r="G11" s="36"/>
      <c r="H11" s="45" t="s">
        <v>38</v>
      </c>
      <c r="I11" s="14"/>
      <c r="J11" s="79">
        <f>F11</f>
        <v>0</v>
      </c>
      <c r="K11" s="36">
        <f>G11</f>
        <v>0</v>
      </c>
      <c r="L11" s="45" t="s">
        <v>38</v>
      </c>
      <c r="N11" s="79">
        <f>F11</f>
        <v>0</v>
      </c>
      <c r="O11" s="36">
        <f>G11</f>
        <v>0</v>
      </c>
      <c r="P11" s="45" t="s">
        <v>38</v>
      </c>
    </row>
    <row r="12" spans="1:20" x14ac:dyDescent="0.25">
      <c r="B12" s="244" t="s">
        <v>81</v>
      </c>
      <c r="C12" s="244"/>
      <c r="D12" s="244"/>
      <c r="E12" s="2"/>
      <c r="F12" s="30">
        <f>G12/150*25</f>
        <v>0</v>
      </c>
      <c r="G12" s="36"/>
      <c r="H12" s="45" t="s">
        <v>38</v>
      </c>
      <c r="I12" s="14"/>
      <c r="J12" s="30">
        <f>F12</f>
        <v>0</v>
      </c>
      <c r="K12" s="36">
        <f t="shared" ref="K12:K13" si="0">G12</f>
        <v>0</v>
      </c>
      <c r="L12" s="45" t="s">
        <v>38</v>
      </c>
      <c r="N12" s="30">
        <f t="shared" ref="N12:O13" si="1">F12</f>
        <v>0</v>
      </c>
      <c r="O12" s="36">
        <f t="shared" si="1"/>
        <v>0</v>
      </c>
      <c r="P12" s="3" t="s">
        <v>38</v>
      </c>
    </row>
    <row r="13" spans="1:20" x14ac:dyDescent="0.25">
      <c r="B13" s="244" t="s">
        <v>48</v>
      </c>
      <c r="C13" s="244"/>
      <c r="D13" s="244"/>
      <c r="E13" s="2"/>
      <c r="F13" s="30">
        <f>G13/215*25</f>
        <v>0</v>
      </c>
      <c r="G13" s="36"/>
      <c r="H13" s="45" t="s">
        <v>38</v>
      </c>
      <c r="I13" s="14"/>
      <c r="J13" s="30">
        <f>F13</f>
        <v>0</v>
      </c>
      <c r="K13" s="36">
        <f t="shared" si="0"/>
        <v>0</v>
      </c>
      <c r="L13" s="45" t="s">
        <v>38</v>
      </c>
      <c r="N13" s="30">
        <f t="shared" si="1"/>
        <v>0</v>
      </c>
      <c r="O13" s="36">
        <f t="shared" si="1"/>
        <v>0</v>
      </c>
      <c r="P13" s="3" t="s">
        <v>38</v>
      </c>
    </row>
    <row r="14" spans="1:20" x14ac:dyDescent="0.25">
      <c r="B14" s="244" t="s">
        <v>49</v>
      </c>
      <c r="C14" s="244"/>
      <c r="D14" s="244"/>
      <c r="E14" s="2"/>
      <c r="F14" s="79"/>
      <c r="G14" s="36"/>
      <c r="H14" s="45"/>
      <c r="I14" s="14"/>
      <c r="J14" s="79">
        <f>F14</f>
        <v>0</v>
      </c>
      <c r="K14" s="36"/>
      <c r="L14" s="45"/>
      <c r="N14" s="79">
        <f>F14</f>
        <v>0</v>
      </c>
      <c r="O14" s="36"/>
      <c r="P14" s="3"/>
    </row>
    <row r="15" spans="1:20" x14ac:dyDescent="0.25">
      <c r="B15" s="57" t="s">
        <v>50</v>
      </c>
      <c r="C15" s="57"/>
      <c r="D15" s="57"/>
      <c r="E15" s="2"/>
      <c r="F15" s="140"/>
      <c r="G15" s="98"/>
      <c r="H15" s="46" t="s">
        <v>38</v>
      </c>
      <c r="I15" s="14"/>
      <c r="J15" s="143"/>
      <c r="K15" s="48">
        <f t="shared" ref="K15:K27" si="2">G15</f>
        <v>0</v>
      </c>
      <c r="L15" s="45" t="s">
        <v>38</v>
      </c>
      <c r="N15" s="143"/>
      <c r="O15" s="48">
        <f t="shared" ref="O15:O27" si="3">G15</f>
        <v>0</v>
      </c>
      <c r="P15" s="3" t="s">
        <v>38</v>
      </c>
      <c r="S15" s="77"/>
      <c r="T15" s="96"/>
    </row>
    <row r="16" spans="1:20" x14ac:dyDescent="0.25">
      <c r="B16" s="57" t="s">
        <v>51</v>
      </c>
      <c r="C16" s="57"/>
      <c r="D16" s="57"/>
      <c r="E16" s="2"/>
      <c r="F16" s="142"/>
      <c r="G16" s="94">
        <f>G15*2.43</f>
        <v>0</v>
      </c>
      <c r="H16" s="45" t="s">
        <v>39</v>
      </c>
      <c r="I16" s="14"/>
      <c r="J16" s="143"/>
      <c r="K16" s="90">
        <f t="shared" si="2"/>
        <v>0</v>
      </c>
      <c r="L16" s="45" t="s">
        <v>39</v>
      </c>
      <c r="N16" s="143"/>
      <c r="O16" s="90">
        <f t="shared" si="3"/>
        <v>0</v>
      </c>
      <c r="P16" s="3" t="s">
        <v>39</v>
      </c>
    </row>
    <row r="17" spans="1:19" x14ac:dyDescent="0.25">
      <c r="B17" s="57" t="s">
        <v>52</v>
      </c>
      <c r="C17" s="57"/>
      <c r="D17" s="57"/>
      <c r="E17" s="2"/>
      <c r="F17" s="142"/>
      <c r="G17" s="36"/>
      <c r="H17" s="45" t="s">
        <v>38</v>
      </c>
      <c r="I17" s="14"/>
      <c r="J17" s="143"/>
      <c r="K17" s="36">
        <f t="shared" si="2"/>
        <v>0</v>
      </c>
      <c r="L17" s="45" t="s">
        <v>38</v>
      </c>
      <c r="N17" s="143"/>
      <c r="O17" s="36">
        <f t="shared" si="3"/>
        <v>0</v>
      </c>
      <c r="P17" s="3" t="s">
        <v>38</v>
      </c>
    </row>
    <row r="18" spans="1:19" x14ac:dyDescent="0.25">
      <c r="B18" s="57" t="s">
        <v>53</v>
      </c>
      <c r="C18" s="57"/>
      <c r="D18" s="145"/>
      <c r="E18" s="2"/>
      <c r="F18" s="142"/>
      <c r="G18" s="36"/>
      <c r="H18" s="45" t="s">
        <v>38</v>
      </c>
      <c r="I18" s="14"/>
      <c r="J18" s="143"/>
      <c r="K18" s="36">
        <f>G18</f>
        <v>0</v>
      </c>
      <c r="L18" s="45" t="s">
        <v>38</v>
      </c>
      <c r="N18" s="143"/>
      <c r="O18" s="36">
        <f>G18</f>
        <v>0</v>
      </c>
      <c r="P18" s="3" t="s">
        <v>38</v>
      </c>
    </row>
    <row r="19" spans="1:19" x14ac:dyDescent="0.25">
      <c r="B19" s="57" t="s">
        <v>54</v>
      </c>
      <c r="C19" s="57"/>
      <c r="D19" s="57"/>
      <c r="E19" s="2"/>
      <c r="F19" s="142"/>
      <c r="G19" s="36"/>
      <c r="H19" s="45" t="s">
        <v>39</v>
      </c>
      <c r="I19" s="14"/>
      <c r="J19" s="143"/>
      <c r="K19" s="36">
        <f t="shared" si="2"/>
        <v>0</v>
      </c>
      <c r="L19" s="45" t="s">
        <v>39</v>
      </c>
      <c r="N19" s="143"/>
      <c r="O19" s="36">
        <f t="shared" si="3"/>
        <v>0</v>
      </c>
      <c r="P19" s="3" t="s">
        <v>39</v>
      </c>
    </row>
    <row r="20" spans="1:19" x14ac:dyDescent="0.25">
      <c r="B20" s="57" t="s">
        <v>55</v>
      </c>
      <c r="C20" s="57"/>
      <c r="D20" s="57"/>
      <c r="E20" s="2"/>
      <c r="F20" s="142"/>
      <c r="G20" s="48"/>
      <c r="H20" s="45" t="s">
        <v>39</v>
      </c>
      <c r="I20" s="14"/>
      <c r="J20" s="143"/>
      <c r="K20" s="48">
        <f t="shared" si="2"/>
        <v>0</v>
      </c>
      <c r="L20" s="45" t="s">
        <v>39</v>
      </c>
      <c r="N20" s="143"/>
      <c r="O20" s="48">
        <f t="shared" si="3"/>
        <v>0</v>
      </c>
      <c r="P20" s="3" t="s">
        <v>39</v>
      </c>
    </row>
    <row r="21" spans="1:19" x14ac:dyDescent="0.25">
      <c r="B21" s="145" t="s">
        <v>56</v>
      </c>
      <c r="C21" s="145"/>
      <c r="D21" s="145"/>
      <c r="E21" s="2"/>
      <c r="F21" s="3"/>
      <c r="G21" s="36"/>
      <c r="H21" s="45" t="s">
        <v>39</v>
      </c>
      <c r="I21" s="14"/>
      <c r="J21" s="143"/>
      <c r="K21" s="36">
        <f t="shared" si="2"/>
        <v>0</v>
      </c>
      <c r="L21" s="45" t="s">
        <v>39</v>
      </c>
      <c r="N21" s="143"/>
      <c r="O21" s="36">
        <f t="shared" si="3"/>
        <v>0</v>
      </c>
      <c r="P21" s="3" t="s">
        <v>39</v>
      </c>
    </row>
    <row r="22" spans="1:19" x14ac:dyDescent="0.25">
      <c r="B22" s="57" t="s">
        <v>57</v>
      </c>
      <c r="C22" s="57"/>
      <c r="D22" s="57"/>
      <c r="E22" s="2"/>
      <c r="F22" s="3"/>
      <c r="G22" s="48"/>
      <c r="H22" s="45" t="s">
        <v>39</v>
      </c>
      <c r="I22" s="14"/>
      <c r="J22" s="143"/>
      <c r="K22" s="48">
        <f t="shared" si="2"/>
        <v>0</v>
      </c>
      <c r="L22" s="45" t="s">
        <v>39</v>
      </c>
      <c r="N22" s="143"/>
      <c r="O22" s="48">
        <f t="shared" si="3"/>
        <v>0</v>
      </c>
      <c r="P22" s="3" t="s">
        <v>39</v>
      </c>
    </row>
    <row r="23" spans="1:19" x14ac:dyDescent="0.25">
      <c r="B23" s="57" t="s">
        <v>75</v>
      </c>
      <c r="C23" s="57"/>
      <c r="D23" s="57"/>
      <c r="E23" s="2"/>
      <c r="F23" s="3"/>
      <c r="G23" s="36"/>
      <c r="H23" s="37" t="s">
        <v>39</v>
      </c>
      <c r="I23" s="14"/>
      <c r="J23" s="162"/>
      <c r="K23" s="36">
        <v>0</v>
      </c>
      <c r="L23" s="37" t="s">
        <v>39</v>
      </c>
      <c r="M23" s="164"/>
      <c r="N23" s="162"/>
      <c r="O23" s="36">
        <v>0</v>
      </c>
      <c r="P23" s="37" t="s">
        <v>39</v>
      </c>
    </row>
    <row r="24" spans="1:19" x14ac:dyDescent="0.25">
      <c r="B24" s="163" t="s">
        <v>76</v>
      </c>
      <c r="C24" s="163"/>
      <c r="D24" s="163"/>
      <c r="E24" s="2"/>
      <c r="F24" s="3"/>
      <c r="G24" s="36"/>
      <c r="H24" s="37" t="s">
        <v>39</v>
      </c>
      <c r="I24" s="14"/>
      <c r="J24" s="162"/>
      <c r="K24" s="36">
        <v>0</v>
      </c>
      <c r="L24" s="37" t="s">
        <v>39</v>
      </c>
      <c r="M24" s="164"/>
      <c r="N24" s="162"/>
      <c r="O24" s="36">
        <v>0</v>
      </c>
      <c r="P24" s="37" t="s">
        <v>39</v>
      </c>
    </row>
    <row r="25" spans="1:19" x14ac:dyDescent="0.25">
      <c r="B25" s="57" t="s">
        <v>58</v>
      </c>
      <c r="C25" s="57"/>
      <c r="D25" s="57"/>
      <c r="E25" s="2"/>
      <c r="F25" s="3"/>
      <c r="G25" s="36"/>
      <c r="H25" s="37" t="s">
        <v>38</v>
      </c>
      <c r="I25" s="14"/>
      <c r="J25" s="143"/>
      <c r="K25" s="36">
        <f t="shared" si="2"/>
        <v>0</v>
      </c>
      <c r="L25" s="37" t="s">
        <v>38</v>
      </c>
      <c r="N25" s="143"/>
      <c r="O25" s="36">
        <f t="shared" si="3"/>
        <v>0</v>
      </c>
      <c r="P25" s="37" t="s">
        <v>38</v>
      </c>
    </row>
    <row r="26" spans="1:19" x14ac:dyDescent="0.25">
      <c r="B26" s="145" t="s">
        <v>59</v>
      </c>
      <c r="C26" s="145"/>
      <c r="D26" s="145"/>
      <c r="E26" s="2"/>
      <c r="F26" s="3"/>
      <c r="G26" s="36"/>
      <c r="H26" s="37" t="s">
        <v>38</v>
      </c>
      <c r="I26" s="14"/>
      <c r="J26" s="143"/>
      <c r="K26" s="36">
        <f t="shared" si="2"/>
        <v>0</v>
      </c>
      <c r="L26" s="37" t="s">
        <v>38</v>
      </c>
      <c r="N26" s="143"/>
      <c r="O26" s="36">
        <f t="shared" si="3"/>
        <v>0</v>
      </c>
      <c r="P26" s="37" t="s">
        <v>38</v>
      </c>
    </row>
    <row r="27" spans="1:19" x14ac:dyDescent="0.25">
      <c r="B27" s="57" t="s">
        <v>60</v>
      </c>
      <c r="C27" s="57"/>
      <c r="D27" s="57"/>
      <c r="E27" s="2"/>
      <c r="F27" s="3"/>
      <c r="G27" s="36"/>
      <c r="H27" s="37" t="s">
        <v>38</v>
      </c>
      <c r="I27" s="14"/>
      <c r="J27" s="143"/>
      <c r="K27" s="36">
        <f t="shared" si="2"/>
        <v>0</v>
      </c>
      <c r="L27" s="37" t="s">
        <v>38</v>
      </c>
      <c r="N27" s="143"/>
      <c r="O27" s="36">
        <f t="shared" si="3"/>
        <v>0</v>
      </c>
      <c r="P27" s="37" t="s">
        <v>38</v>
      </c>
    </row>
    <row r="28" spans="1:19" ht="11.25" customHeight="1" x14ac:dyDescent="0.25"/>
    <row r="29" spans="1:19" s="6" customFormat="1" ht="18.75" x14ac:dyDescent="0.3">
      <c r="A29" s="6" t="s">
        <v>12</v>
      </c>
      <c r="B29" s="245" t="s">
        <v>25</v>
      </c>
      <c r="C29" s="245"/>
      <c r="D29" s="245"/>
      <c r="M29" s="144"/>
    </row>
    <row r="30" spans="1:19" x14ac:dyDescent="0.25">
      <c r="C30" s="141" t="s">
        <v>13</v>
      </c>
      <c r="D30" s="31" t="s">
        <v>34</v>
      </c>
      <c r="E30" s="250"/>
      <c r="F30" s="250"/>
      <c r="G30" s="249" t="s">
        <v>18</v>
      </c>
      <c r="H30" s="249"/>
      <c r="I30" s="141"/>
      <c r="J30" s="250">
        <f>G17+G18-J31</f>
        <v>0</v>
      </c>
      <c r="K30" s="250"/>
      <c r="L30" s="39"/>
      <c r="M30" s="22" t="s">
        <v>19</v>
      </c>
      <c r="N30" s="250" t="s">
        <v>32</v>
      </c>
      <c r="O30" s="250"/>
      <c r="P30" s="143"/>
      <c r="R30" s="20"/>
    </row>
    <row r="31" spans="1:19" x14ac:dyDescent="0.25">
      <c r="C31" s="141" t="s">
        <v>14</v>
      </c>
      <c r="D31" s="31" t="s">
        <v>35</v>
      </c>
      <c r="E31" s="252"/>
      <c r="F31" s="252"/>
      <c r="G31" s="249" t="s">
        <v>18</v>
      </c>
      <c r="H31" s="249"/>
      <c r="I31" s="141"/>
      <c r="J31" s="257"/>
      <c r="K31" s="252"/>
      <c r="L31" s="148"/>
      <c r="M31" s="22" t="s">
        <v>19</v>
      </c>
      <c r="N31" s="252" t="s">
        <v>33</v>
      </c>
      <c r="O31" s="252"/>
      <c r="P31" s="140"/>
      <c r="R31" s="20"/>
      <c r="S31" s="20"/>
    </row>
    <row r="32" spans="1:19" x14ac:dyDescent="0.25">
      <c r="J32" s="20"/>
      <c r="K32" s="20"/>
      <c r="L32" s="20"/>
      <c r="Q32" s="20"/>
      <c r="R32" s="20"/>
      <c r="S32" s="20"/>
    </row>
    <row r="33" spans="1:18" s="7" customFormat="1" ht="18.75" x14ac:dyDescent="0.3">
      <c r="A33" s="7" t="s">
        <v>15</v>
      </c>
      <c r="B33" s="8" t="s">
        <v>16</v>
      </c>
      <c r="C33" s="8"/>
      <c r="D33" s="8"/>
      <c r="E33" s="6"/>
      <c r="F33" s="6"/>
      <c r="M33" s="24"/>
    </row>
    <row r="34" spans="1:18" s="7" customFormat="1" ht="18.75" x14ac:dyDescent="0.3">
      <c r="B34" s="6" t="s">
        <v>17</v>
      </c>
      <c r="D34" s="85"/>
      <c r="E34" s="9"/>
      <c r="F34" s="9"/>
      <c r="G34" s="9"/>
      <c r="H34" s="9"/>
      <c r="I34" s="9"/>
      <c r="J34" s="9"/>
      <c r="K34" s="9"/>
      <c r="L34" s="9"/>
      <c r="M34" s="25"/>
      <c r="N34" s="9"/>
      <c r="O34" s="9"/>
      <c r="P34" s="9"/>
    </row>
    <row r="35" spans="1:18" s="7" customFormat="1" ht="18.75" x14ac:dyDescent="0.3">
      <c r="B35" s="6"/>
      <c r="D35" s="155"/>
      <c r="E35" s="40"/>
      <c r="F35" s="40"/>
      <c r="G35" s="40"/>
      <c r="H35" s="40"/>
      <c r="I35" s="40"/>
      <c r="J35" s="40"/>
      <c r="K35" s="40"/>
      <c r="L35" s="40"/>
      <c r="M35" s="111"/>
      <c r="N35" s="40"/>
      <c r="O35" s="40"/>
      <c r="P35" s="40"/>
    </row>
    <row r="36" spans="1:18" ht="7.5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109"/>
      <c r="N36" s="32"/>
      <c r="O36" s="32"/>
      <c r="P36" s="32"/>
      <c r="Q36" s="32"/>
      <c r="R36" s="32"/>
    </row>
    <row r="37" spans="1:18" ht="9" customHeight="1" x14ac:dyDescent="0.25"/>
    <row r="38" spans="1:18" ht="3.75" customHeight="1" x14ac:dyDescent="0.25"/>
    <row r="39" spans="1:18" s="4" customFormat="1" ht="18.75" x14ac:dyDescent="0.3">
      <c r="A39" s="240" t="s">
        <v>0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</row>
    <row r="40" spans="1:18" s="4" customFormat="1" ht="15.75" x14ac:dyDescent="0.25">
      <c r="A40" s="241" t="s">
        <v>28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</row>
    <row r="41" spans="1:18" s="4" customFormat="1" ht="15.75" x14ac:dyDescent="0.25">
      <c r="A41" s="241" t="s">
        <v>1</v>
      </c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</row>
    <row r="42" spans="1:18" s="4" customFormat="1" ht="13.5" customHeight="1" x14ac:dyDescent="0.25">
      <c r="M42" s="121"/>
    </row>
    <row r="43" spans="1:18" s="4" customFormat="1" ht="18.75" x14ac:dyDescent="0.3">
      <c r="A43" s="240" t="s">
        <v>26</v>
      </c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</row>
    <row r="44" spans="1:18" s="2" customFormat="1" x14ac:dyDescent="0.25">
      <c r="A44" s="2" t="s">
        <v>3</v>
      </c>
      <c r="C44" s="5" t="s">
        <v>4</v>
      </c>
      <c r="D44" s="11" t="s">
        <v>11</v>
      </c>
      <c r="E44" s="11"/>
      <c r="F44" s="11"/>
      <c r="G44" s="11"/>
      <c r="H44" s="11"/>
      <c r="I44" s="11"/>
      <c r="J44" s="11"/>
      <c r="K44" s="11"/>
      <c r="L44" s="21"/>
      <c r="M44" s="22" t="s">
        <v>5</v>
      </c>
      <c r="N44" s="256">
        <v>0</v>
      </c>
      <c r="O44" s="256"/>
      <c r="P44" s="256"/>
    </row>
    <row r="45" spans="1:18" s="2" customFormat="1" x14ac:dyDescent="0.25">
      <c r="A45" s="2" t="s">
        <v>22</v>
      </c>
      <c r="C45" s="5" t="s">
        <v>4</v>
      </c>
      <c r="D45" s="12" t="s">
        <v>37</v>
      </c>
      <c r="E45" s="13"/>
      <c r="F45" s="13"/>
      <c r="G45" s="13"/>
      <c r="H45" s="10"/>
      <c r="I45" s="10"/>
      <c r="J45" s="10"/>
      <c r="K45" s="10"/>
      <c r="L45" s="10"/>
      <c r="M45" s="22" t="s">
        <v>27</v>
      </c>
      <c r="N45" s="53" t="s">
        <v>36</v>
      </c>
      <c r="O45" s="53"/>
      <c r="P45" s="149"/>
    </row>
    <row r="47" spans="1:18" s="6" customFormat="1" ht="18.75" x14ac:dyDescent="0.3">
      <c r="A47" s="6" t="s">
        <v>6</v>
      </c>
      <c r="B47" s="248" t="s">
        <v>7</v>
      </c>
      <c r="C47" s="248"/>
      <c r="D47" s="248"/>
      <c r="F47" s="245" t="s">
        <v>8</v>
      </c>
      <c r="G47" s="245"/>
      <c r="H47" s="245"/>
      <c r="I47" s="144"/>
      <c r="J47" s="245" t="s">
        <v>9</v>
      </c>
      <c r="K47" s="245"/>
      <c r="L47" s="245"/>
      <c r="M47" s="144"/>
      <c r="N47" s="245" t="s">
        <v>10</v>
      </c>
      <c r="O47" s="245"/>
      <c r="P47" s="245"/>
    </row>
    <row r="48" spans="1:18" s="6" customFormat="1" ht="18.75" x14ac:dyDescent="0.3">
      <c r="B48" s="147"/>
      <c r="C48" s="147"/>
      <c r="D48" s="147"/>
      <c r="F48" s="146" t="s">
        <v>29</v>
      </c>
      <c r="G48" s="246" t="s">
        <v>30</v>
      </c>
      <c r="H48" s="247"/>
      <c r="I48" s="144"/>
      <c r="J48" s="146" t="s">
        <v>29</v>
      </c>
      <c r="K48" s="246" t="s">
        <v>30</v>
      </c>
      <c r="L48" s="247"/>
      <c r="M48" s="144"/>
      <c r="N48" s="146" t="s">
        <v>29</v>
      </c>
      <c r="O48" s="246" t="s">
        <v>30</v>
      </c>
      <c r="P48" s="247"/>
    </row>
    <row r="49" spans="2:16" x14ac:dyDescent="0.25">
      <c r="B49" s="244" t="s">
        <v>46</v>
      </c>
      <c r="C49" s="244"/>
      <c r="D49" s="244"/>
      <c r="E49" s="2"/>
      <c r="F49" s="30">
        <f>G49/200*25</f>
        <v>0</v>
      </c>
      <c r="G49" s="36"/>
      <c r="H49" s="45" t="s">
        <v>38</v>
      </c>
      <c r="I49" s="14"/>
      <c r="J49" s="30">
        <f>F49</f>
        <v>0</v>
      </c>
      <c r="K49" s="36">
        <f>G49</f>
        <v>0</v>
      </c>
      <c r="L49" s="45" t="s">
        <v>38</v>
      </c>
      <c r="N49" s="30">
        <f>F49</f>
        <v>0</v>
      </c>
      <c r="O49" s="36">
        <f>G49</f>
        <v>0</v>
      </c>
      <c r="P49" s="45" t="s">
        <v>38</v>
      </c>
    </row>
    <row r="50" spans="2:16" x14ac:dyDescent="0.25">
      <c r="B50" s="244" t="s">
        <v>47</v>
      </c>
      <c r="C50" s="244"/>
      <c r="D50" s="244"/>
      <c r="E50" s="2"/>
      <c r="F50" s="30">
        <f>G50/150*25</f>
        <v>0</v>
      </c>
      <c r="G50" s="36"/>
      <c r="H50" s="45" t="s">
        <v>38</v>
      </c>
      <c r="I50" s="14"/>
      <c r="J50" s="30">
        <f>F50</f>
        <v>0</v>
      </c>
      <c r="K50" s="36">
        <f t="shared" ref="K50:K51" si="4">G50</f>
        <v>0</v>
      </c>
      <c r="L50" s="45" t="s">
        <v>38</v>
      </c>
      <c r="N50" s="30">
        <f t="shared" ref="N50:O64" si="5">F50</f>
        <v>0</v>
      </c>
      <c r="O50" s="36">
        <f t="shared" si="5"/>
        <v>0</v>
      </c>
      <c r="P50" s="3" t="s">
        <v>38</v>
      </c>
    </row>
    <row r="51" spans="2:16" x14ac:dyDescent="0.25">
      <c r="B51" s="244" t="s">
        <v>48</v>
      </c>
      <c r="C51" s="244"/>
      <c r="D51" s="244"/>
      <c r="E51" s="2"/>
      <c r="F51" s="30">
        <f>G51/215*25</f>
        <v>0</v>
      </c>
      <c r="G51" s="36"/>
      <c r="H51" s="45" t="s">
        <v>38</v>
      </c>
      <c r="I51" s="14"/>
      <c r="J51" s="30">
        <f>F51</f>
        <v>0</v>
      </c>
      <c r="K51" s="36">
        <f t="shared" si="4"/>
        <v>0</v>
      </c>
      <c r="L51" s="45" t="s">
        <v>38</v>
      </c>
      <c r="N51" s="30">
        <f t="shared" si="5"/>
        <v>0</v>
      </c>
      <c r="O51" s="36">
        <f t="shared" si="5"/>
        <v>0</v>
      </c>
      <c r="P51" s="3" t="s">
        <v>38</v>
      </c>
    </row>
    <row r="52" spans="2:16" x14ac:dyDescent="0.25">
      <c r="B52" s="244" t="s">
        <v>49</v>
      </c>
      <c r="C52" s="244"/>
      <c r="D52" s="244"/>
      <c r="E52" s="2"/>
      <c r="F52" s="79"/>
      <c r="G52" s="36"/>
      <c r="H52" s="45" t="s">
        <v>41</v>
      </c>
      <c r="I52" s="14"/>
      <c r="J52" s="97">
        <f>F52</f>
        <v>0</v>
      </c>
      <c r="K52" s="36"/>
      <c r="L52" s="45" t="s">
        <v>41</v>
      </c>
      <c r="N52" s="97">
        <f t="shared" si="5"/>
        <v>0</v>
      </c>
      <c r="O52" s="36"/>
      <c r="P52" s="3" t="s">
        <v>41</v>
      </c>
    </row>
    <row r="53" spans="2:16" x14ac:dyDescent="0.25">
      <c r="B53" s="57" t="s">
        <v>50</v>
      </c>
      <c r="C53" s="57"/>
      <c r="D53" s="57"/>
      <c r="E53" s="2"/>
      <c r="F53" s="140"/>
      <c r="G53" s="47"/>
      <c r="H53" s="46" t="s">
        <v>38</v>
      </c>
      <c r="I53" s="14"/>
      <c r="J53" s="143"/>
      <c r="K53" s="36"/>
      <c r="L53" s="45" t="s">
        <v>38</v>
      </c>
      <c r="N53" s="143"/>
      <c r="O53" s="36"/>
      <c r="P53" s="3" t="s">
        <v>38</v>
      </c>
    </row>
    <row r="54" spans="2:16" x14ac:dyDescent="0.25">
      <c r="B54" s="57" t="s">
        <v>51</v>
      </c>
      <c r="C54" s="57"/>
      <c r="D54" s="57"/>
      <c r="E54" s="2"/>
      <c r="F54" s="142"/>
      <c r="G54" s="51">
        <f>G53*2.43</f>
        <v>0</v>
      </c>
      <c r="H54" s="45" t="s">
        <v>39</v>
      </c>
      <c r="I54" s="14"/>
      <c r="J54" s="143"/>
      <c r="K54" s="48">
        <f t="shared" ref="K54:K64" si="6">G54</f>
        <v>0</v>
      </c>
      <c r="L54" s="45" t="s">
        <v>39</v>
      </c>
      <c r="N54" s="143"/>
      <c r="O54" s="48">
        <f t="shared" si="5"/>
        <v>0</v>
      </c>
      <c r="P54" s="3" t="s">
        <v>39</v>
      </c>
    </row>
    <row r="55" spans="2:16" x14ac:dyDescent="0.25">
      <c r="B55" s="57" t="s">
        <v>52</v>
      </c>
      <c r="C55" s="57"/>
      <c r="D55" s="57"/>
      <c r="E55" s="2"/>
      <c r="F55" s="142"/>
      <c r="G55" s="36"/>
      <c r="H55" s="45" t="s">
        <v>38</v>
      </c>
      <c r="I55" s="14"/>
      <c r="J55" s="143"/>
      <c r="K55" s="36">
        <f t="shared" si="6"/>
        <v>0</v>
      </c>
      <c r="L55" s="45" t="s">
        <v>38</v>
      </c>
      <c r="N55" s="143"/>
      <c r="O55" s="36">
        <f t="shared" si="5"/>
        <v>0</v>
      </c>
      <c r="P55" s="3" t="s">
        <v>38</v>
      </c>
    </row>
    <row r="56" spans="2:16" x14ac:dyDescent="0.25">
      <c r="B56" s="57" t="s">
        <v>53</v>
      </c>
      <c r="C56" s="57"/>
      <c r="D56" s="145"/>
      <c r="E56" s="2"/>
      <c r="F56" s="142"/>
      <c r="G56" s="36"/>
      <c r="H56" s="45" t="s">
        <v>38</v>
      </c>
      <c r="I56" s="14"/>
      <c r="J56" s="143"/>
      <c r="K56" s="36">
        <f>G56</f>
        <v>0</v>
      </c>
      <c r="L56" s="45" t="s">
        <v>38</v>
      </c>
      <c r="N56" s="143"/>
      <c r="O56" s="36">
        <f>G56</f>
        <v>0</v>
      </c>
      <c r="P56" s="3" t="s">
        <v>38</v>
      </c>
    </row>
    <row r="57" spans="2:16" x14ac:dyDescent="0.25">
      <c r="B57" s="57" t="s">
        <v>54</v>
      </c>
      <c r="C57" s="57"/>
      <c r="D57" s="57"/>
      <c r="E57" s="2"/>
      <c r="F57" s="142"/>
      <c r="G57" s="36"/>
      <c r="H57" s="45" t="s">
        <v>39</v>
      </c>
      <c r="I57" s="14"/>
      <c r="J57" s="143"/>
      <c r="K57" s="36">
        <f t="shared" si="6"/>
        <v>0</v>
      </c>
      <c r="L57" s="45" t="s">
        <v>39</v>
      </c>
      <c r="N57" s="143"/>
      <c r="O57" s="36">
        <f t="shared" si="5"/>
        <v>0</v>
      </c>
      <c r="P57" s="3" t="s">
        <v>39</v>
      </c>
    </row>
    <row r="58" spans="2:16" x14ac:dyDescent="0.25">
      <c r="B58" s="57" t="s">
        <v>55</v>
      </c>
      <c r="C58" s="57"/>
      <c r="D58" s="57"/>
      <c r="E58" s="2"/>
      <c r="F58" s="142"/>
      <c r="G58" s="36"/>
      <c r="H58" s="45" t="s">
        <v>39</v>
      </c>
      <c r="I58" s="14"/>
      <c r="J58" s="143"/>
      <c r="K58" s="36">
        <f t="shared" si="6"/>
        <v>0</v>
      </c>
      <c r="L58" s="45" t="s">
        <v>39</v>
      </c>
      <c r="N58" s="143"/>
      <c r="O58" s="36">
        <f t="shared" si="5"/>
        <v>0</v>
      </c>
      <c r="P58" s="3" t="s">
        <v>39</v>
      </c>
    </row>
    <row r="59" spans="2:16" x14ac:dyDescent="0.25">
      <c r="B59" s="145" t="s">
        <v>56</v>
      </c>
      <c r="C59" s="145"/>
      <c r="D59" s="145"/>
      <c r="E59" s="2"/>
      <c r="F59" s="3"/>
      <c r="G59" s="36"/>
      <c r="H59" s="45" t="s">
        <v>39</v>
      </c>
      <c r="I59" s="14"/>
      <c r="J59" s="143"/>
      <c r="K59" s="36">
        <f t="shared" si="6"/>
        <v>0</v>
      </c>
      <c r="L59" s="45" t="s">
        <v>39</v>
      </c>
      <c r="N59" s="143"/>
      <c r="O59" s="36">
        <f t="shared" si="5"/>
        <v>0</v>
      </c>
      <c r="P59" s="3" t="s">
        <v>39</v>
      </c>
    </row>
    <row r="60" spans="2:16" x14ac:dyDescent="0.25">
      <c r="B60" s="57" t="s">
        <v>57</v>
      </c>
      <c r="C60" s="57"/>
      <c r="D60" s="57"/>
      <c r="E60" s="2"/>
      <c r="F60" s="3"/>
      <c r="G60" s="36"/>
      <c r="H60" s="45" t="s">
        <v>39</v>
      </c>
      <c r="I60" s="14"/>
      <c r="J60" s="143"/>
      <c r="K60" s="36">
        <f t="shared" si="6"/>
        <v>0</v>
      </c>
      <c r="L60" s="45" t="s">
        <v>39</v>
      </c>
      <c r="N60" s="143"/>
      <c r="O60" s="36">
        <f t="shared" si="5"/>
        <v>0</v>
      </c>
      <c r="P60" s="3" t="s">
        <v>39</v>
      </c>
    </row>
    <row r="61" spans="2:16" x14ac:dyDescent="0.25">
      <c r="B61" s="57" t="s">
        <v>75</v>
      </c>
      <c r="C61" s="57"/>
      <c r="D61" s="57"/>
      <c r="E61" s="2"/>
      <c r="F61" s="3"/>
      <c r="G61" s="36"/>
      <c r="H61" s="37" t="s">
        <v>39</v>
      </c>
      <c r="I61" s="14"/>
      <c r="J61" s="162"/>
      <c r="K61" s="36">
        <v>0</v>
      </c>
      <c r="L61" s="37" t="s">
        <v>39</v>
      </c>
      <c r="M61" s="164"/>
      <c r="N61" s="162"/>
      <c r="O61" s="36">
        <v>0</v>
      </c>
      <c r="P61" s="37" t="s">
        <v>39</v>
      </c>
    </row>
    <row r="62" spans="2:16" x14ac:dyDescent="0.25">
      <c r="B62" s="163" t="s">
        <v>76</v>
      </c>
      <c r="C62" s="163"/>
      <c r="D62" s="163"/>
      <c r="E62" s="2"/>
      <c r="F62" s="3"/>
      <c r="G62" s="36"/>
      <c r="H62" s="37" t="s">
        <v>39</v>
      </c>
      <c r="I62" s="14"/>
      <c r="J62" s="162"/>
      <c r="K62" s="36">
        <v>0</v>
      </c>
      <c r="L62" s="37" t="s">
        <v>39</v>
      </c>
      <c r="M62" s="164"/>
      <c r="N62" s="162"/>
      <c r="O62" s="36">
        <v>0</v>
      </c>
      <c r="P62" s="37" t="s">
        <v>39</v>
      </c>
    </row>
    <row r="63" spans="2:16" x14ac:dyDescent="0.25">
      <c r="B63" s="57" t="s">
        <v>58</v>
      </c>
      <c r="C63" s="57"/>
      <c r="D63" s="57"/>
      <c r="E63" s="2"/>
      <c r="F63" s="3"/>
      <c r="G63" s="36"/>
      <c r="H63" s="37" t="s">
        <v>38</v>
      </c>
      <c r="I63" s="14"/>
      <c r="J63" s="143"/>
      <c r="K63" s="36">
        <f t="shared" si="6"/>
        <v>0</v>
      </c>
      <c r="L63" s="37" t="s">
        <v>38</v>
      </c>
      <c r="N63" s="143"/>
      <c r="O63" s="36">
        <f t="shared" si="5"/>
        <v>0</v>
      </c>
      <c r="P63" s="37" t="s">
        <v>38</v>
      </c>
    </row>
    <row r="64" spans="2:16" x14ac:dyDescent="0.25">
      <c r="B64" s="145" t="s">
        <v>59</v>
      </c>
      <c r="C64" s="145"/>
      <c r="D64" s="145"/>
      <c r="E64" s="2"/>
      <c r="F64" s="3"/>
      <c r="G64" s="36"/>
      <c r="H64" s="37" t="s">
        <v>38</v>
      </c>
      <c r="I64" s="14"/>
      <c r="J64" s="143"/>
      <c r="K64" s="36">
        <f t="shared" si="6"/>
        <v>0</v>
      </c>
      <c r="L64" s="37" t="s">
        <v>38</v>
      </c>
      <c r="N64" s="143"/>
      <c r="O64" s="36">
        <f t="shared" si="5"/>
        <v>0</v>
      </c>
      <c r="P64" s="37" t="s">
        <v>38</v>
      </c>
    </row>
    <row r="65" spans="1:19" x14ac:dyDescent="0.25">
      <c r="B65" s="57" t="s">
        <v>60</v>
      </c>
      <c r="C65" s="57"/>
      <c r="D65" s="57"/>
    </row>
    <row r="66" spans="1:19" s="6" customFormat="1" ht="18.75" x14ac:dyDescent="0.3">
      <c r="A66" s="6" t="s">
        <v>12</v>
      </c>
      <c r="B66" s="245" t="s">
        <v>25</v>
      </c>
      <c r="C66" s="245"/>
      <c r="D66" s="245"/>
      <c r="M66" s="144"/>
    </row>
    <row r="67" spans="1:19" x14ac:dyDescent="0.25">
      <c r="C67" s="141" t="s">
        <v>13</v>
      </c>
      <c r="D67" s="31" t="s">
        <v>34</v>
      </c>
      <c r="E67" s="250"/>
      <c r="F67" s="250"/>
      <c r="G67" s="249" t="s">
        <v>18</v>
      </c>
      <c r="H67" s="249"/>
      <c r="I67" s="141"/>
      <c r="J67" s="250">
        <f>G55+G56-J68</f>
        <v>0</v>
      </c>
      <c r="K67" s="250"/>
      <c r="L67" s="39"/>
      <c r="M67" s="22" t="s">
        <v>19</v>
      </c>
      <c r="N67" s="250" t="s">
        <v>32</v>
      </c>
      <c r="O67" s="250"/>
      <c r="P67" s="143"/>
      <c r="R67" s="20"/>
    </row>
    <row r="68" spans="1:19" x14ac:dyDescent="0.25">
      <c r="C68" s="141" t="s">
        <v>14</v>
      </c>
      <c r="D68" s="31" t="s">
        <v>35</v>
      </c>
      <c r="E68" s="252"/>
      <c r="F68" s="252"/>
      <c r="G68" s="249" t="s">
        <v>18</v>
      </c>
      <c r="H68" s="249"/>
      <c r="I68" s="141"/>
      <c r="J68" s="252"/>
      <c r="K68" s="252"/>
      <c r="L68" s="148"/>
      <c r="M68" s="22" t="s">
        <v>19</v>
      </c>
      <c r="N68" s="252" t="s">
        <v>33</v>
      </c>
      <c r="O68" s="252"/>
      <c r="P68" s="142"/>
      <c r="S68" s="20"/>
    </row>
    <row r="69" spans="1:19" x14ac:dyDescent="0.25">
      <c r="J69" s="20"/>
      <c r="K69" s="20"/>
      <c r="L69" s="20"/>
    </row>
    <row r="70" spans="1:19" s="7" customFormat="1" ht="18.75" x14ac:dyDescent="0.3">
      <c r="A70" s="7" t="s">
        <v>15</v>
      </c>
      <c r="B70" s="8" t="s">
        <v>16</v>
      </c>
      <c r="C70" s="8"/>
      <c r="D70" s="8"/>
      <c r="E70" s="6"/>
      <c r="F70" s="6"/>
      <c r="M70" s="24"/>
    </row>
    <row r="71" spans="1:19" s="7" customFormat="1" ht="18.75" x14ac:dyDescent="0.3">
      <c r="B71" s="6" t="s">
        <v>17</v>
      </c>
      <c r="D71" s="9"/>
      <c r="E71" s="9"/>
      <c r="F71" s="9"/>
      <c r="G71" s="9"/>
      <c r="H71" s="9"/>
      <c r="I71" s="9"/>
      <c r="J71" s="9"/>
      <c r="K71" s="9"/>
      <c r="L71" s="9"/>
      <c r="M71" s="25"/>
      <c r="N71" s="9"/>
      <c r="O71" s="9"/>
      <c r="P71" s="9"/>
    </row>
    <row r="72" spans="1:19" ht="9.75" customHeight="1" x14ac:dyDescent="0.25"/>
  </sheetData>
  <mergeCells count="50">
    <mergeCell ref="B13:D13"/>
    <mergeCell ref="A1:P1"/>
    <mergeCell ref="A2:P2"/>
    <mergeCell ref="A3:P3"/>
    <mergeCell ref="A5:P5"/>
    <mergeCell ref="B9:D9"/>
    <mergeCell ref="F9:H9"/>
    <mergeCell ref="J9:L9"/>
    <mergeCell ref="N9:P9"/>
    <mergeCell ref="G10:H10"/>
    <mergeCell ref="K10:L10"/>
    <mergeCell ref="O10:P10"/>
    <mergeCell ref="B11:D11"/>
    <mergeCell ref="B12:D12"/>
    <mergeCell ref="N6:P6"/>
    <mergeCell ref="A43:P43"/>
    <mergeCell ref="G30:H30"/>
    <mergeCell ref="J30:K30"/>
    <mergeCell ref="N30:O30"/>
    <mergeCell ref="N44:P44"/>
    <mergeCell ref="J31:K31"/>
    <mergeCell ref="N31:O31"/>
    <mergeCell ref="A39:P39"/>
    <mergeCell ref="A40:P40"/>
    <mergeCell ref="A41:P41"/>
    <mergeCell ref="B14:D14"/>
    <mergeCell ref="B29:D29"/>
    <mergeCell ref="E30:F30"/>
    <mergeCell ref="E31:F31"/>
    <mergeCell ref="G31:H31"/>
    <mergeCell ref="B47:D47"/>
    <mergeCell ref="F47:H47"/>
    <mergeCell ref="J47:L47"/>
    <mergeCell ref="N47:P47"/>
    <mergeCell ref="G48:H48"/>
    <mergeCell ref="K48:L48"/>
    <mergeCell ref="O48:P48"/>
    <mergeCell ref="B49:D49"/>
    <mergeCell ref="B50:D50"/>
    <mergeCell ref="B51:D51"/>
    <mergeCell ref="B52:D52"/>
    <mergeCell ref="B66:D66"/>
    <mergeCell ref="N67:O67"/>
    <mergeCell ref="E68:F68"/>
    <mergeCell ref="G68:H68"/>
    <mergeCell ref="J68:K68"/>
    <mergeCell ref="N68:O68"/>
    <mergeCell ref="E67:F67"/>
    <mergeCell ref="G67:H67"/>
    <mergeCell ref="J67:K67"/>
  </mergeCells>
  <pageMargins left="0.7" right="0.2" top="0.19" bottom="0.25" header="0.3" footer="0.3"/>
  <pageSetup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72"/>
  <sheetViews>
    <sheetView topLeftCell="A31" zoomScaleNormal="100" workbookViewId="0">
      <selection activeCell="G60" sqref="G60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6" width="8" customWidth="1"/>
    <col min="7" max="7" width="7.7109375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70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6" s="4" customFormat="1" ht="15.75" x14ac:dyDescent="0.25">
      <c r="M4" s="69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8">
        <f>'1-2'!N6</f>
        <v>46174</v>
      </c>
      <c r="O6" s="258"/>
      <c r="P6" s="258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1"/>
      <c r="I7" s="10"/>
      <c r="J7" s="10"/>
      <c r="K7" s="10"/>
      <c r="L7" s="10"/>
      <c r="M7" s="22" t="s">
        <v>27</v>
      </c>
      <c r="N7" s="259" t="s">
        <v>36</v>
      </c>
      <c r="O7" s="259"/>
      <c r="P7" s="259"/>
    </row>
    <row r="9" spans="1:16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64"/>
      <c r="J9" s="245" t="s">
        <v>9</v>
      </c>
      <c r="K9" s="245"/>
      <c r="L9" s="245"/>
      <c r="M9" s="64"/>
      <c r="N9" s="245" t="s">
        <v>10</v>
      </c>
      <c r="O9" s="245"/>
      <c r="P9" s="245"/>
    </row>
    <row r="10" spans="1:16" s="6" customFormat="1" ht="18.75" x14ac:dyDescent="0.3">
      <c r="B10" s="63"/>
      <c r="C10" s="63"/>
      <c r="D10" s="63"/>
      <c r="F10" s="62" t="s">
        <v>29</v>
      </c>
      <c r="G10" s="246" t="s">
        <v>30</v>
      </c>
      <c r="H10" s="247"/>
      <c r="I10" s="64"/>
      <c r="J10" s="62" t="s">
        <v>29</v>
      </c>
      <c r="K10" s="246" t="s">
        <v>30</v>
      </c>
      <c r="L10" s="247"/>
      <c r="M10" s="64"/>
      <c r="N10" s="62" t="s">
        <v>29</v>
      </c>
      <c r="O10" s="246" t="s">
        <v>30</v>
      </c>
      <c r="P10" s="247"/>
    </row>
    <row r="11" spans="1:16" x14ac:dyDescent="0.25">
      <c r="B11" s="244" t="str">
        <f>'MT.ROCK CONSOLIDATION'!B12:D12</f>
        <v>Emulsion Super Power 208</v>
      </c>
      <c r="C11" s="244"/>
      <c r="D11" s="244"/>
      <c r="E11" s="2"/>
      <c r="F11" s="49">
        <f>G11/208*25</f>
        <v>0</v>
      </c>
      <c r="G11" s="36"/>
      <c r="H11" s="43" t="s">
        <v>38</v>
      </c>
      <c r="I11" s="14"/>
      <c r="J11" s="49">
        <f>F11</f>
        <v>0</v>
      </c>
      <c r="K11" s="50">
        <f>G11</f>
        <v>0</v>
      </c>
      <c r="L11" s="43" t="s">
        <v>38</v>
      </c>
      <c r="M11" s="22"/>
      <c r="N11" s="49">
        <f>F11</f>
        <v>0</v>
      </c>
      <c r="O11" s="27">
        <f>G11</f>
        <v>0</v>
      </c>
      <c r="P11" s="43" t="s">
        <v>38</v>
      </c>
    </row>
    <row r="12" spans="1:16" x14ac:dyDescent="0.25">
      <c r="B12" s="244" t="str">
        <f>'MT.ROCK CONSOLIDATION'!B13:D13</f>
        <v>NEOGEL 200</v>
      </c>
      <c r="C12" s="244"/>
      <c r="D12" s="244"/>
      <c r="E12" s="2"/>
      <c r="F12" s="49">
        <f>G12/200*25</f>
        <v>166.5</v>
      </c>
      <c r="G12" s="36">
        <v>1332</v>
      </c>
      <c r="H12" s="43" t="s">
        <v>38</v>
      </c>
      <c r="I12" s="14"/>
      <c r="J12" s="49">
        <f>F12</f>
        <v>166.5</v>
      </c>
      <c r="K12" s="50">
        <f>G12</f>
        <v>1332</v>
      </c>
      <c r="L12" s="43" t="s">
        <v>38</v>
      </c>
      <c r="M12" s="22"/>
      <c r="N12" s="49">
        <f>F12</f>
        <v>166.5</v>
      </c>
      <c r="O12" s="27">
        <f>G12</f>
        <v>1332</v>
      </c>
      <c r="P12" s="43" t="s">
        <v>38</v>
      </c>
    </row>
    <row r="13" spans="1:16" x14ac:dyDescent="0.25">
      <c r="B13" s="244" t="str">
        <f>'MT.ROCK CONSOLIDATION'!B14:D14</f>
        <v>Anfo</v>
      </c>
      <c r="C13" s="244"/>
      <c r="D13" s="244"/>
      <c r="E13" s="2"/>
      <c r="F13" s="49">
        <v>0</v>
      </c>
      <c r="G13" s="83"/>
      <c r="H13" s="43"/>
      <c r="I13" s="14"/>
      <c r="J13" s="49">
        <f>F13</f>
        <v>0</v>
      </c>
      <c r="K13" s="29"/>
      <c r="L13" s="43"/>
      <c r="M13" s="22"/>
      <c r="N13" s="49">
        <f>F13</f>
        <v>0</v>
      </c>
      <c r="O13" s="29"/>
      <c r="P13" s="43"/>
    </row>
    <row r="14" spans="1:16" x14ac:dyDescent="0.25">
      <c r="B14" s="244" t="str">
        <f>'MT.ROCK CONSOLIDATION'!B15:D15</f>
        <v>OBC</v>
      </c>
      <c r="C14" s="244"/>
      <c r="D14" s="244"/>
      <c r="E14" s="2"/>
      <c r="F14" s="93"/>
      <c r="G14" s="27">
        <v>79</v>
      </c>
      <c r="H14" s="43" t="s">
        <v>38</v>
      </c>
      <c r="I14" s="14"/>
      <c r="J14" s="3"/>
      <c r="K14" s="27">
        <f>G14</f>
        <v>79</v>
      </c>
      <c r="L14" s="43" t="s">
        <v>38</v>
      </c>
      <c r="M14" s="22"/>
      <c r="N14" s="3"/>
      <c r="O14" s="27">
        <f>G14</f>
        <v>79</v>
      </c>
      <c r="P14" s="43" t="s">
        <v>38</v>
      </c>
    </row>
    <row r="15" spans="1:16" x14ac:dyDescent="0.25">
      <c r="B15" s="244" t="str">
        <f>'MT.ROCK CONSOLIDATION'!B16:D16</f>
        <v>Safety Fuse</v>
      </c>
      <c r="C15" s="244"/>
      <c r="D15" s="244"/>
      <c r="E15" s="2"/>
      <c r="F15" s="3"/>
      <c r="G15" s="94">
        <f>G14*2.43</f>
        <v>191.97</v>
      </c>
      <c r="H15" s="43" t="s">
        <v>39</v>
      </c>
      <c r="I15" s="14"/>
      <c r="J15" s="3"/>
      <c r="K15" s="112">
        <f>G15</f>
        <v>191.97</v>
      </c>
      <c r="L15" s="43" t="s">
        <v>39</v>
      </c>
      <c r="M15" s="22"/>
      <c r="N15" s="3"/>
      <c r="O15" s="112">
        <f>G15</f>
        <v>191.97</v>
      </c>
      <c r="P15" s="43" t="s">
        <v>39</v>
      </c>
    </row>
    <row r="16" spans="1:16" x14ac:dyDescent="0.25">
      <c r="B16" s="244" t="str">
        <f>'MT.ROCK CONSOLIDATION'!B17:D17</f>
        <v>SHOCKSTAR Detonator 2.4</v>
      </c>
      <c r="C16" s="244"/>
      <c r="D16" s="244"/>
      <c r="E16" s="2"/>
      <c r="F16" s="3"/>
      <c r="G16" s="27"/>
      <c r="H16" s="43" t="s">
        <v>38</v>
      </c>
      <c r="I16" s="14"/>
      <c r="J16" s="3"/>
      <c r="K16" s="27">
        <f t="shared" ref="K16" si="0">G16</f>
        <v>0</v>
      </c>
      <c r="L16" s="43" t="s">
        <v>38</v>
      </c>
      <c r="M16" s="22"/>
      <c r="N16" s="3"/>
      <c r="O16" s="27">
        <f t="shared" ref="O16" si="1">G16</f>
        <v>0</v>
      </c>
      <c r="P16" s="43" t="s">
        <v>38</v>
      </c>
    </row>
    <row r="17" spans="1:16" x14ac:dyDescent="0.25">
      <c r="B17" s="244" t="str">
        <f>'MT.ROCK CONSOLIDATION'!B18:D18</f>
        <v>SUPREME Detonator 2.4</v>
      </c>
      <c r="C17" s="244"/>
      <c r="D17" s="244"/>
      <c r="E17" s="2"/>
      <c r="F17" s="3"/>
      <c r="G17" s="27"/>
      <c r="H17" s="43" t="s">
        <v>38</v>
      </c>
      <c r="I17" s="14"/>
      <c r="J17" s="3"/>
      <c r="K17" s="27">
        <f t="shared" ref="K17" si="2">G17</f>
        <v>0</v>
      </c>
      <c r="L17" s="43" t="s">
        <v>38</v>
      </c>
      <c r="M17" s="22"/>
      <c r="N17" s="3"/>
      <c r="O17" s="27">
        <f t="shared" ref="O17" si="3">G17</f>
        <v>0</v>
      </c>
      <c r="P17" s="43" t="s">
        <v>38</v>
      </c>
    </row>
    <row r="18" spans="1:16" x14ac:dyDescent="0.25">
      <c r="B18" s="244" t="str">
        <f>'MT.ROCK CONSOLIDATION'!B19:D19</f>
        <v>SUPREME Detonator 3.6</v>
      </c>
      <c r="C18" s="244"/>
      <c r="D18" s="244"/>
      <c r="E18" s="2"/>
      <c r="F18" s="3"/>
      <c r="G18" s="27"/>
      <c r="H18" s="43" t="s">
        <v>38</v>
      </c>
      <c r="I18" s="14"/>
      <c r="J18" s="3"/>
      <c r="K18" s="27">
        <f t="shared" ref="K18" si="4">G18</f>
        <v>0</v>
      </c>
      <c r="L18" s="43" t="s">
        <v>38</v>
      </c>
      <c r="M18" s="22"/>
      <c r="N18" s="3"/>
      <c r="O18" s="27">
        <f>G18</f>
        <v>0</v>
      </c>
      <c r="P18" s="43" t="s">
        <v>38</v>
      </c>
    </row>
    <row r="19" spans="1:16" x14ac:dyDescent="0.25">
      <c r="B19" s="244" t="str">
        <f>'MT.ROCK CONSOLIDATION'!B20:D20</f>
        <v>NONEL Detonator 2.4</v>
      </c>
      <c r="C19" s="244"/>
      <c r="D19" s="244"/>
      <c r="E19" s="2"/>
      <c r="F19" s="3"/>
      <c r="G19" s="27"/>
      <c r="H19" s="43" t="s">
        <v>38</v>
      </c>
      <c r="I19" s="14"/>
      <c r="J19" s="3"/>
      <c r="K19" s="27">
        <f t="shared" ref="K19:K26" si="5">G19</f>
        <v>0</v>
      </c>
      <c r="L19" s="43" t="s">
        <v>38</v>
      </c>
      <c r="M19" s="22"/>
      <c r="N19" s="3"/>
      <c r="O19" s="27">
        <f t="shared" ref="O19:O26" si="6">G19</f>
        <v>0</v>
      </c>
      <c r="P19" s="43" t="s">
        <v>38</v>
      </c>
    </row>
    <row r="20" spans="1:16" x14ac:dyDescent="0.25">
      <c r="B20" s="244" t="str">
        <f>'MT.ROCK CONSOLIDATION'!B21:D21</f>
        <v>NONEL Detonator 3.6</v>
      </c>
      <c r="C20" s="244"/>
      <c r="D20" s="244"/>
      <c r="E20" s="2"/>
      <c r="F20" s="3"/>
      <c r="G20" s="27"/>
      <c r="H20" s="43" t="s">
        <v>38</v>
      </c>
      <c r="I20" s="14"/>
      <c r="J20" s="3"/>
      <c r="K20" s="27">
        <f t="shared" ref="K20:K21" si="7">G20</f>
        <v>0</v>
      </c>
      <c r="L20" s="43" t="s">
        <v>38</v>
      </c>
      <c r="M20" s="22"/>
      <c r="N20" s="3"/>
      <c r="O20" s="27">
        <f t="shared" ref="O20:O21" si="8">G20</f>
        <v>0</v>
      </c>
      <c r="P20" s="43" t="s">
        <v>38</v>
      </c>
    </row>
    <row r="21" spans="1:16" x14ac:dyDescent="0.25">
      <c r="B21" s="244" t="str">
        <f>'MT.ROCK CONSOLIDATION'!B22:D22</f>
        <v>Solar Detonating Cord 6</v>
      </c>
      <c r="C21" s="244"/>
      <c r="D21" s="244"/>
      <c r="E21" s="2"/>
      <c r="F21" s="3"/>
      <c r="G21" s="28"/>
      <c r="H21" s="43" t="s">
        <v>39</v>
      </c>
      <c r="I21" s="14"/>
      <c r="J21" s="3"/>
      <c r="K21" s="27">
        <f t="shared" si="7"/>
        <v>0</v>
      </c>
      <c r="L21" s="43" t="s">
        <v>39</v>
      </c>
      <c r="M21" s="22"/>
      <c r="N21" s="3"/>
      <c r="O21" s="27">
        <f t="shared" si="8"/>
        <v>0</v>
      </c>
      <c r="P21" s="43" t="s">
        <v>39</v>
      </c>
    </row>
    <row r="22" spans="1:16" x14ac:dyDescent="0.25">
      <c r="B22" s="244" t="str">
        <f>'MT.ROCK CONSOLIDATION'!B23:D23</f>
        <v>Solar Detonating Cord 10</v>
      </c>
      <c r="C22" s="244"/>
      <c r="D22" s="244"/>
      <c r="E22" s="2"/>
      <c r="F22" s="3"/>
      <c r="G22" s="28">
        <v>261</v>
      </c>
      <c r="H22" s="43" t="s">
        <v>39</v>
      </c>
      <c r="I22" s="14"/>
      <c r="J22" s="3"/>
      <c r="K22" s="27">
        <f t="shared" si="5"/>
        <v>261</v>
      </c>
      <c r="L22" s="43" t="s">
        <v>39</v>
      </c>
      <c r="M22" s="22"/>
      <c r="N22" s="3"/>
      <c r="O22" s="27">
        <f t="shared" si="6"/>
        <v>261</v>
      </c>
      <c r="P22" s="43" t="s">
        <v>39</v>
      </c>
    </row>
    <row r="23" spans="1:16" x14ac:dyDescent="0.25">
      <c r="B23" s="244" t="str">
        <f>'MT.ROCK CONSOLIDATION'!B24:D24</f>
        <v>Solar Detonating Cord 40</v>
      </c>
      <c r="C23" s="244"/>
      <c r="D23" s="244"/>
      <c r="E23" s="2"/>
      <c r="F23" s="3"/>
      <c r="G23" s="28"/>
      <c r="H23" s="43" t="s">
        <v>39</v>
      </c>
      <c r="I23" s="14"/>
      <c r="J23" s="3"/>
      <c r="K23" s="27">
        <f t="shared" ref="K23" si="9">G23</f>
        <v>0</v>
      </c>
      <c r="L23" s="43" t="s">
        <v>39</v>
      </c>
      <c r="M23" s="22"/>
      <c r="N23" s="3"/>
      <c r="O23" s="27">
        <f t="shared" ref="O23" si="10">G23</f>
        <v>0</v>
      </c>
      <c r="P23" s="43" t="s">
        <v>39</v>
      </c>
    </row>
    <row r="24" spans="1:16" x14ac:dyDescent="0.25">
      <c r="B24" s="244" t="str">
        <f>'MT.ROCK CONSOLIDATION'!B25:D25</f>
        <v>Fuse Lighter</v>
      </c>
      <c r="C24" s="244"/>
      <c r="D24" s="244"/>
      <c r="E24" s="2"/>
      <c r="F24" s="3"/>
      <c r="G24" s="27"/>
      <c r="H24" s="43" t="s">
        <v>38</v>
      </c>
      <c r="I24" s="14"/>
      <c r="J24" s="3"/>
      <c r="K24" s="27">
        <f t="shared" si="5"/>
        <v>0</v>
      </c>
      <c r="L24" s="43" t="s">
        <v>38</v>
      </c>
      <c r="M24" s="22"/>
      <c r="N24" s="3"/>
      <c r="O24" s="27">
        <f t="shared" si="6"/>
        <v>0</v>
      </c>
      <c r="P24" s="43" t="s">
        <v>38</v>
      </c>
    </row>
    <row r="25" spans="1:16" x14ac:dyDescent="0.25">
      <c r="B25" s="244" t="str">
        <f>'MT.ROCK CONSOLIDATION'!B26:D26</f>
        <v>BILL WIRE</v>
      </c>
      <c r="C25" s="244"/>
      <c r="D25" s="244"/>
      <c r="E25" s="2"/>
      <c r="F25" s="3"/>
      <c r="G25" s="28"/>
      <c r="H25" s="43" t="s">
        <v>39</v>
      </c>
      <c r="I25" s="14"/>
      <c r="J25" s="3"/>
      <c r="K25" s="27">
        <f t="shared" si="5"/>
        <v>0</v>
      </c>
      <c r="L25" s="43" t="s">
        <v>39</v>
      </c>
      <c r="M25" s="22"/>
      <c r="N25" s="3"/>
      <c r="O25" s="27">
        <f t="shared" si="6"/>
        <v>0</v>
      </c>
      <c r="P25" s="43" t="s">
        <v>39</v>
      </c>
    </row>
    <row r="26" spans="1:16" x14ac:dyDescent="0.25">
      <c r="B26" s="244" t="str">
        <f>'MT.ROCK CONSOLIDATION'!B27:D27</f>
        <v>Solar  EBC</v>
      </c>
      <c r="C26" s="244"/>
      <c r="D26" s="244"/>
      <c r="E26" s="2"/>
      <c r="F26" s="3"/>
      <c r="G26" s="28"/>
      <c r="H26" s="43" t="s">
        <v>38</v>
      </c>
      <c r="I26" s="14"/>
      <c r="J26" s="3"/>
      <c r="K26" s="27">
        <f t="shared" si="5"/>
        <v>0</v>
      </c>
      <c r="L26" s="43" t="s">
        <v>38</v>
      </c>
      <c r="M26" s="22"/>
      <c r="N26" s="3"/>
      <c r="O26" s="27">
        <f t="shared" si="6"/>
        <v>0</v>
      </c>
      <c r="P26" s="43" t="s">
        <v>38</v>
      </c>
    </row>
    <row r="28" spans="1:16" s="6" customFormat="1" ht="17.25" customHeight="1" x14ac:dyDescent="0.3">
      <c r="A28" s="6" t="s">
        <v>12</v>
      </c>
      <c r="B28" s="245" t="s">
        <v>25</v>
      </c>
      <c r="C28" s="245"/>
      <c r="D28" s="245"/>
      <c r="M28" s="64"/>
    </row>
    <row r="29" spans="1:16" x14ac:dyDescent="0.25">
      <c r="C29" s="65" t="s">
        <v>13</v>
      </c>
      <c r="D29" s="31" t="s">
        <v>34</v>
      </c>
      <c r="E29" s="251">
        <v>0</v>
      </c>
      <c r="F29" s="251"/>
      <c r="G29" s="249" t="s">
        <v>18</v>
      </c>
      <c r="H29" s="249"/>
      <c r="I29" s="249"/>
      <c r="J29" s="250">
        <f>G16+G17+G18+G19+G20-J30</f>
        <v>0</v>
      </c>
      <c r="K29" s="250"/>
      <c r="L29" s="22" t="s">
        <v>71</v>
      </c>
      <c r="M29" s="22"/>
      <c r="N29" s="250" t="s">
        <v>32</v>
      </c>
      <c r="O29" s="250"/>
    </row>
    <row r="30" spans="1:16" x14ac:dyDescent="0.25">
      <c r="C30" s="65" t="s">
        <v>14</v>
      </c>
      <c r="D30" s="31" t="s">
        <v>35</v>
      </c>
      <c r="E30" s="251">
        <v>0</v>
      </c>
      <c r="F30" s="251"/>
      <c r="G30" s="249" t="s">
        <v>18</v>
      </c>
      <c r="H30" s="249"/>
      <c r="I30" s="249"/>
      <c r="J30" s="257">
        <v>0</v>
      </c>
      <c r="K30" s="252"/>
      <c r="L30" s="22" t="s">
        <v>71</v>
      </c>
      <c r="M30" s="22"/>
      <c r="N30" s="252" t="s">
        <v>33</v>
      </c>
      <c r="O30" s="252"/>
    </row>
    <row r="31" spans="1:16" x14ac:dyDescent="0.25">
      <c r="J31" s="20"/>
      <c r="K31" s="20"/>
      <c r="L31" s="20"/>
    </row>
    <row r="32" spans="1:16" s="7" customFormat="1" ht="18.75" x14ac:dyDescent="0.3">
      <c r="A32" s="7" t="s">
        <v>15</v>
      </c>
      <c r="B32" s="8" t="s">
        <v>16</v>
      </c>
      <c r="C32" s="8"/>
      <c r="D32" s="8"/>
      <c r="E32" s="6"/>
      <c r="F32" s="6"/>
      <c r="M32" s="24"/>
    </row>
    <row r="33" spans="1:18" s="7" customFormat="1" ht="18.75" x14ac:dyDescent="0.3">
      <c r="B33" s="6" t="s">
        <v>17</v>
      </c>
      <c r="D33" s="40"/>
      <c r="E33" s="40"/>
      <c r="F33" s="40"/>
      <c r="G33" s="40"/>
      <c r="H33" s="40"/>
      <c r="I33" s="40"/>
      <c r="J33" s="40"/>
      <c r="K33" s="40"/>
      <c r="L33" s="40"/>
      <c r="M33" s="111"/>
      <c r="N33" s="40"/>
      <c r="O33" s="40"/>
      <c r="P33" s="40"/>
    </row>
    <row r="34" spans="1:18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109"/>
      <c r="N34" s="32"/>
      <c r="O34" s="32"/>
      <c r="P34" s="32"/>
      <c r="Q34" s="32"/>
      <c r="R34" s="32"/>
    </row>
    <row r="36" spans="1:18" s="4" customFormat="1" ht="18.75" x14ac:dyDescent="0.3">
      <c r="A36" s="240" t="s">
        <v>24</v>
      </c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</row>
    <row r="37" spans="1:18" s="4" customFormat="1" ht="15.75" x14ac:dyDescent="0.25">
      <c r="A37" s="241" t="s">
        <v>28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</row>
    <row r="38" spans="1:18" s="4" customFormat="1" ht="15.75" x14ac:dyDescent="0.25">
      <c r="A38" s="241" t="s">
        <v>1</v>
      </c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</row>
    <row r="39" spans="1:18" s="4" customFormat="1" ht="15.75" x14ac:dyDescent="0.25">
      <c r="M39" s="69"/>
    </row>
    <row r="40" spans="1:18" s="4" customFormat="1" ht="18.75" x14ac:dyDescent="0.3">
      <c r="A40" s="240" t="s">
        <v>26</v>
      </c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</row>
    <row r="42" spans="1:18" s="2" customFormat="1" x14ac:dyDescent="0.25">
      <c r="A42" s="2" t="s">
        <v>3</v>
      </c>
      <c r="C42" s="5" t="s">
        <v>4</v>
      </c>
      <c r="D42" s="11" t="s">
        <v>11</v>
      </c>
      <c r="E42" s="11"/>
      <c r="F42" s="11"/>
      <c r="G42" s="11"/>
      <c r="H42" s="11"/>
      <c r="I42" s="11"/>
      <c r="J42" s="11"/>
      <c r="K42" s="11"/>
      <c r="L42" s="21"/>
      <c r="M42" s="22" t="s">
        <v>5</v>
      </c>
      <c r="N42" s="256">
        <f>'1-2'!N42</f>
        <v>46175</v>
      </c>
      <c r="O42" s="256"/>
      <c r="P42" s="256"/>
    </row>
    <row r="43" spans="1:18" s="2" customFormat="1" x14ac:dyDescent="0.25">
      <c r="A43" s="2" t="s">
        <v>22</v>
      </c>
      <c r="C43" s="5" t="s">
        <v>4</v>
      </c>
      <c r="D43" s="12" t="s">
        <v>37</v>
      </c>
      <c r="E43" s="13"/>
      <c r="F43" s="13"/>
      <c r="G43" s="13"/>
      <c r="H43" s="21"/>
      <c r="I43" s="10"/>
      <c r="J43" s="10"/>
      <c r="K43" s="10"/>
      <c r="L43" s="10"/>
      <c r="M43" s="22" t="s">
        <v>27</v>
      </c>
      <c r="N43" s="259" t="s">
        <v>36</v>
      </c>
      <c r="O43" s="259"/>
      <c r="P43" s="259"/>
    </row>
    <row r="44" spans="1:18" s="2" customFormat="1" x14ac:dyDescent="0.25">
      <c r="C44" s="5"/>
      <c r="D44" s="211"/>
      <c r="E44" s="21"/>
      <c r="F44" s="21"/>
      <c r="G44" s="21"/>
      <c r="H44" s="21"/>
      <c r="I44" s="10"/>
      <c r="J44" s="10"/>
      <c r="K44" s="10"/>
      <c r="L44" s="10"/>
      <c r="M44" s="22"/>
      <c r="N44" s="212"/>
      <c r="O44" s="212"/>
      <c r="P44" s="212"/>
    </row>
    <row r="45" spans="1:18" s="6" customFormat="1" ht="18.75" x14ac:dyDescent="0.3">
      <c r="A45" s="6" t="s">
        <v>6</v>
      </c>
      <c r="B45" s="248" t="s">
        <v>7</v>
      </c>
      <c r="C45" s="248"/>
      <c r="D45" s="248"/>
      <c r="F45" s="245" t="s">
        <v>8</v>
      </c>
      <c r="G45" s="245"/>
      <c r="H45" s="245"/>
      <c r="I45" s="64"/>
      <c r="J45" s="245" t="s">
        <v>9</v>
      </c>
      <c r="K45" s="245"/>
      <c r="L45" s="245"/>
      <c r="M45" s="64"/>
      <c r="N45" s="245" t="s">
        <v>10</v>
      </c>
      <c r="O45" s="245"/>
      <c r="P45" s="245"/>
    </row>
    <row r="46" spans="1:18" s="6" customFormat="1" ht="18.75" x14ac:dyDescent="0.3">
      <c r="B46" s="63"/>
      <c r="C46" s="63"/>
      <c r="D46" s="63"/>
      <c r="F46" s="62" t="s">
        <v>29</v>
      </c>
      <c r="G46" s="246" t="s">
        <v>30</v>
      </c>
      <c r="H46" s="247"/>
      <c r="I46" s="64"/>
      <c r="J46" s="62" t="s">
        <v>29</v>
      </c>
      <c r="K46" s="246" t="s">
        <v>30</v>
      </c>
      <c r="L46" s="247"/>
      <c r="M46" s="64"/>
      <c r="N46" s="62" t="s">
        <v>29</v>
      </c>
      <c r="O46" s="246" t="s">
        <v>30</v>
      </c>
      <c r="P46" s="247"/>
    </row>
    <row r="47" spans="1:18" x14ac:dyDescent="0.25">
      <c r="B47" s="244" t="str">
        <f>'MT.ROCK CONSOLIDATION'!B12:D12</f>
        <v>Emulsion Super Power 208</v>
      </c>
      <c r="C47" s="244"/>
      <c r="D47" s="244"/>
      <c r="E47" s="2"/>
      <c r="F47" s="49">
        <f>G47/208*25</f>
        <v>0</v>
      </c>
      <c r="G47" s="36">
        <v>0</v>
      </c>
      <c r="H47" s="43" t="s">
        <v>38</v>
      </c>
      <c r="I47" s="14"/>
      <c r="J47" s="49">
        <f>F47</f>
        <v>0</v>
      </c>
      <c r="K47" s="50">
        <f>G47</f>
        <v>0</v>
      </c>
      <c r="L47" s="43" t="s">
        <v>38</v>
      </c>
      <c r="M47" s="22"/>
      <c r="N47" s="49">
        <f>F47</f>
        <v>0</v>
      </c>
      <c r="O47" s="27">
        <f>G47</f>
        <v>0</v>
      </c>
      <c r="P47" s="43" t="s">
        <v>38</v>
      </c>
    </row>
    <row r="48" spans="1:18" x14ac:dyDescent="0.25">
      <c r="B48" s="244" t="str">
        <f>'MT.ROCK CONSOLIDATION'!B13:D13</f>
        <v>NEOGEL 200</v>
      </c>
      <c r="C48" s="244"/>
      <c r="D48" s="244"/>
      <c r="E48" s="2"/>
      <c r="F48" s="49">
        <f>G48/200*25</f>
        <v>162.5</v>
      </c>
      <c r="G48" s="36">
        <v>1300</v>
      </c>
      <c r="H48" s="43" t="s">
        <v>38</v>
      </c>
      <c r="I48" s="14"/>
      <c r="J48" s="49">
        <f>F48</f>
        <v>162.5</v>
      </c>
      <c r="K48" s="50">
        <f>G48</f>
        <v>1300</v>
      </c>
      <c r="L48" s="43" t="s">
        <v>38</v>
      </c>
      <c r="M48" s="22"/>
      <c r="N48" s="49">
        <f>F48</f>
        <v>162.5</v>
      </c>
      <c r="O48" s="27">
        <f>G48</f>
        <v>1300</v>
      </c>
      <c r="P48" s="43" t="s">
        <v>38</v>
      </c>
    </row>
    <row r="49" spans="1:16" x14ac:dyDescent="0.25">
      <c r="B49" s="244" t="str">
        <f>'MT.ROCK CONSOLIDATION'!B14:D14</f>
        <v>Anfo</v>
      </c>
      <c r="C49" s="244"/>
      <c r="D49" s="244"/>
      <c r="E49" s="2"/>
      <c r="F49" s="49">
        <v>0</v>
      </c>
      <c r="G49" s="27"/>
      <c r="H49" s="43"/>
      <c r="I49" s="14"/>
      <c r="J49" s="49">
        <f>F49</f>
        <v>0</v>
      </c>
      <c r="K49" s="29"/>
      <c r="L49" s="43"/>
      <c r="M49" s="22"/>
      <c r="N49" s="49">
        <f>F49</f>
        <v>0</v>
      </c>
      <c r="O49" s="29"/>
      <c r="P49" s="43"/>
    </row>
    <row r="50" spans="1:16" x14ac:dyDescent="0.25">
      <c r="B50" s="244" t="str">
        <f>'MT.ROCK CONSOLIDATION'!B15:D15</f>
        <v>OBC</v>
      </c>
      <c r="C50" s="244"/>
      <c r="D50" s="244"/>
      <c r="E50" s="2"/>
      <c r="F50" s="3"/>
      <c r="G50" s="27">
        <v>86</v>
      </c>
      <c r="H50" s="43" t="s">
        <v>38</v>
      </c>
      <c r="I50" s="14"/>
      <c r="J50" s="3"/>
      <c r="K50" s="27">
        <f>G50</f>
        <v>86</v>
      </c>
      <c r="L50" s="43" t="s">
        <v>38</v>
      </c>
      <c r="M50" s="22"/>
      <c r="N50" s="3"/>
      <c r="O50" s="27">
        <f>G50</f>
        <v>86</v>
      </c>
      <c r="P50" s="43" t="s">
        <v>38</v>
      </c>
    </row>
    <row r="51" spans="1:16" x14ac:dyDescent="0.25">
      <c r="B51" s="244" t="str">
        <f>'MT.ROCK CONSOLIDATION'!B16:D16</f>
        <v>Safety Fuse</v>
      </c>
      <c r="C51" s="244"/>
      <c r="D51" s="244"/>
      <c r="E51" s="2"/>
      <c r="F51" s="3"/>
      <c r="G51" s="94">
        <f>G50*2.43</f>
        <v>208.98000000000002</v>
      </c>
      <c r="H51" s="43" t="s">
        <v>39</v>
      </c>
      <c r="I51" s="14"/>
      <c r="J51" s="3"/>
      <c r="K51" s="112">
        <f t="shared" ref="K51:K62" si="11">G51</f>
        <v>208.98000000000002</v>
      </c>
      <c r="L51" s="43" t="s">
        <v>39</v>
      </c>
      <c r="M51" s="22"/>
      <c r="N51" s="3"/>
      <c r="O51" s="112">
        <f t="shared" ref="O51:O62" si="12">G51</f>
        <v>208.98000000000002</v>
      </c>
      <c r="P51" s="43" t="s">
        <v>39</v>
      </c>
    </row>
    <row r="52" spans="1:16" x14ac:dyDescent="0.25">
      <c r="B52" s="244" t="str">
        <f>'MT.ROCK CONSOLIDATION'!B17:D17</f>
        <v>SHOCKSTAR Detonator 2.4</v>
      </c>
      <c r="C52" s="244"/>
      <c r="D52" s="244"/>
      <c r="E52" s="2"/>
      <c r="F52" s="3"/>
      <c r="G52" s="27"/>
      <c r="H52" s="43" t="s">
        <v>38</v>
      </c>
      <c r="I52" s="14"/>
      <c r="J52" s="3"/>
      <c r="K52" s="27">
        <f t="shared" si="11"/>
        <v>0</v>
      </c>
      <c r="L52" s="43" t="s">
        <v>38</v>
      </c>
      <c r="M52" s="22"/>
      <c r="N52" s="3"/>
      <c r="O52" s="27">
        <f t="shared" si="12"/>
        <v>0</v>
      </c>
      <c r="P52" s="43" t="s">
        <v>38</v>
      </c>
    </row>
    <row r="53" spans="1:16" x14ac:dyDescent="0.25">
      <c r="B53" s="244" t="str">
        <f>'MT.ROCK CONSOLIDATION'!B18:D18</f>
        <v>SUPREME Detonator 2.4</v>
      </c>
      <c r="C53" s="244"/>
      <c r="D53" s="244"/>
      <c r="E53" s="2"/>
      <c r="F53" s="3"/>
      <c r="G53" s="27"/>
      <c r="H53" s="43" t="s">
        <v>38</v>
      </c>
      <c r="I53" s="14"/>
      <c r="J53" s="3"/>
      <c r="K53" s="27">
        <f t="shared" ref="K53" si="13">G53</f>
        <v>0</v>
      </c>
      <c r="L53" s="43" t="s">
        <v>38</v>
      </c>
      <c r="M53" s="22"/>
      <c r="N53" s="3"/>
      <c r="O53" s="27">
        <f t="shared" ref="O53" si="14">G53</f>
        <v>0</v>
      </c>
      <c r="P53" s="43" t="s">
        <v>38</v>
      </c>
    </row>
    <row r="54" spans="1:16" x14ac:dyDescent="0.25">
      <c r="B54" s="244" t="str">
        <f>'MT.ROCK CONSOLIDATION'!B19:D19</f>
        <v>SUPREME Detonator 3.6</v>
      </c>
      <c r="C54" s="244"/>
      <c r="D54" s="244"/>
      <c r="E54" s="2"/>
      <c r="F54" s="3"/>
      <c r="G54" s="27"/>
      <c r="H54" s="43" t="s">
        <v>38</v>
      </c>
      <c r="I54" s="14"/>
      <c r="J54" s="3"/>
      <c r="K54" s="27">
        <f t="shared" ref="K54" si="15">G54</f>
        <v>0</v>
      </c>
      <c r="L54" s="43" t="s">
        <v>38</v>
      </c>
      <c r="M54" s="22"/>
      <c r="N54" s="3"/>
      <c r="O54" s="27">
        <f t="shared" ref="O54" si="16">G54</f>
        <v>0</v>
      </c>
      <c r="P54" s="43" t="s">
        <v>38</v>
      </c>
    </row>
    <row r="55" spans="1:16" x14ac:dyDescent="0.25">
      <c r="B55" s="244" t="str">
        <f>'MT.ROCK CONSOLIDATION'!B20:D20</f>
        <v>NONEL Detonator 2.4</v>
      </c>
      <c r="C55" s="244"/>
      <c r="D55" s="244"/>
      <c r="E55" s="2"/>
      <c r="F55" s="3"/>
      <c r="G55" s="27"/>
      <c r="H55" s="43" t="s">
        <v>38</v>
      </c>
      <c r="I55" s="14"/>
      <c r="J55" s="3"/>
      <c r="K55" s="27">
        <f t="shared" si="11"/>
        <v>0</v>
      </c>
      <c r="L55" s="43" t="s">
        <v>38</v>
      </c>
      <c r="M55" s="22"/>
      <c r="N55" s="3"/>
      <c r="O55" s="27">
        <f t="shared" si="12"/>
        <v>0</v>
      </c>
      <c r="P55" s="43" t="s">
        <v>38</v>
      </c>
    </row>
    <row r="56" spans="1:16" x14ac:dyDescent="0.25">
      <c r="B56" s="244" t="str">
        <f>'MT.ROCK CONSOLIDATION'!B21:D21</f>
        <v>NONEL Detonator 3.6</v>
      </c>
      <c r="C56" s="244"/>
      <c r="D56" s="244"/>
      <c r="E56" s="2"/>
      <c r="F56" s="3"/>
      <c r="G56" s="27"/>
      <c r="H56" s="43" t="s">
        <v>38</v>
      </c>
      <c r="I56" s="14"/>
      <c r="J56" s="3"/>
      <c r="K56" s="27">
        <f t="shared" si="11"/>
        <v>0</v>
      </c>
      <c r="L56" s="43" t="s">
        <v>38</v>
      </c>
      <c r="M56" s="22"/>
      <c r="N56" s="3"/>
      <c r="O56" s="27">
        <f t="shared" ref="O56:O57" si="17">G56</f>
        <v>0</v>
      </c>
      <c r="P56" s="43" t="s">
        <v>38</v>
      </c>
    </row>
    <row r="57" spans="1:16" x14ac:dyDescent="0.25">
      <c r="B57" s="244" t="str">
        <f>'MT.ROCK CONSOLIDATION'!B22:D22</f>
        <v>Solar Detonating Cord 6</v>
      </c>
      <c r="C57" s="244"/>
      <c r="D57" s="244"/>
      <c r="E57" s="2"/>
      <c r="F57" s="3"/>
      <c r="G57" s="28"/>
      <c r="H57" s="43" t="s">
        <v>39</v>
      </c>
      <c r="I57" s="14"/>
      <c r="J57" s="3"/>
      <c r="K57" s="27">
        <f t="shared" ref="K57" si="18">G57</f>
        <v>0</v>
      </c>
      <c r="L57" s="43" t="s">
        <v>39</v>
      </c>
      <c r="M57" s="22"/>
      <c r="N57" s="3"/>
      <c r="O57" s="27">
        <f t="shared" si="17"/>
        <v>0</v>
      </c>
      <c r="P57" s="43" t="s">
        <v>39</v>
      </c>
    </row>
    <row r="58" spans="1:16" x14ac:dyDescent="0.25">
      <c r="B58" s="244" t="str">
        <f>'MT.ROCK CONSOLIDATION'!B23:D23</f>
        <v>Solar Detonating Cord 10</v>
      </c>
      <c r="C58" s="244"/>
      <c r="D58" s="244"/>
      <c r="E58" s="2"/>
      <c r="F58" s="3"/>
      <c r="G58" s="28">
        <v>292</v>
      </c>
      <c r="H58" s="43" t="s">
        <v>39</v>
      </c>
      <c r="I58" s="14"/>
      <c r="J58" s="3"/>
      <c r="K58" s="27">
        <f t="shared" si="11"/>
        <v>292</v>
      </c>
      <c r="L58" s="43" t="s">
        <v>39</v>
      </c>
      <c r="M58" s="22"/>
      <c r="N58" s="3"/>
      <c r="O58" s="27">
        <f t="shared" si="12"/>
        <v>292</v>
      </c>
      <c r="P58" s="43" t="s">
        <v>39</v>
      </c>
    </row>
    <row r="59" spans="1:16" x14ac:dyDescent="0.25">
      <c r="B59" s="244" t="str">
        <f>'MT.ROCK CONSOLIDATION'!B24:D24</f>
        <v>Solar Detonating Cord 40</v>
      </c>
      <c r="C59" s="244"/>
      <c r="D59" s="244"/>
      <c r="E59" s="2"/>
      <c r="F59" s="3"/>
      <c r="G59" s="28"/>
      <c r="H59" s="43" t="s">
        <v>39</v>
      </c>
      <c r="I59" s="14"/>
      <c r="J59" s="3"/>
      <c r="K59" s="27">
        <f t="shared" si="11"/>
        <v>0</v>
      </c>
      <c r="L59" s="43" t="s">
        <v>39</v>
      </c>
      <c r="M59" s="22"/>
      <c r="N59" s="3"/>
      <c r="O59" s="27">
        <f t="shared" si="12"/>
        <v>0</v>
      </c>
      <c r="P59" s="43" t="s">
        <v>39</v>
      </c>
    </row>
    <row r="60" spans="1:16" x14ac:dyDescent="0.25">
      <c r="B60" s="244" t="str">
        <f>'MT.ROCK CONSOLIDATION'!B25:D25</f>
        <v>Fuse Lighter</v>
      </c>
      <c r="C60" s="244"/>
      <c r="D60" s="244"/>
      <c r="E60" s="2"/>
      <c r="F60" s="3"/>
      <c r="G60" s="27"/>
      <c r="H60" s="43" t="s">
        <v>38</v>
      </c>
      <c r="I60" s="14"/>
      <c r="J60" s="3"/>
      <c r="K60" s="27">
        <f t="shared" si="11"/>
        <v>0</v>
      </c>
      <c r="L60" s="43" t="s">
        <v>38</v>
      </c>
      <c r="M60" s="22"/>
      <c r="N60" s="3"/>
      <c r="O60" s="27">
        <f t="shared" si="12"/>
        <v>0</v>
      </c>
      <c r="P60" s="43" t="s">
        <v>38</v>
      </c>
    </row>
    <row r="61" spans="1:16" x14ac:dyDescent="0.25">
      <c r="B61" s="244" t="str">
        <f>'MT.ROCK CONSOLIDATION'!B26:D26</f>
        <v>BILL WIRE</v>
      </c>
      <c r="C61" s="244"/>
      <c r="D61" s="244"/>
      <c r="E61" s="2"/>
      <c r="F61" s="3"/>
      <c r="G61" s="28"/>
      <c r="H61" s="43" t="s">
        <v>39</v>
      </c>
      <c r="I61" s="14"/>
      <c r="J61" s="3"/>
      <c r="K61" s="27">
        <f t="shared" ref="K61" si="19">G61</f>
        <v>0</v>
      </c>
      <c r="L61" s="43" t="s">
        <v>39</v>
      </c>
      <c r="M61" s="22"/>
      <c r="N61" s="3"/>
      <c r="O61" s="27">
        <f t="shared" ref="O61" si="20">G61</f>
        <v>0</v>
      </c>
      <c r="P61" s="43" t="s">
        <v>39</v>
      </c>
    </row>
    <row r="62" spans="1:16" x14ac:dyDescent="0.25">
      <c r="B62" s="244" t="str">
        <f>'MT.ROCK CONSOLIDATION'!B27:D27</f>
        <v>Solar  EBC</v>
      </c>
      <c r="C62" s="244"/>
      <c r="D62" s="244"/>
      <c r="E62" s="2"/>
      <c r="F62" s="3"/>
      <c r="G62" s="28"/>
      <c r="H62" s="43" t="s">
        <v>38</v>
      </c>
      <c r="I62" s="14"/>
      <c r="J62" s="3"/>
      <c r="K62" s="27">
        <f t="shared" si="11"/>
        <v>0</v>
      </c>
      <c r="L62" s="43" t="s">
        <v>38</v>
      </c>
      <c r="M62" s="22"/>
      <c r="N62" s="3"/>
      <c r="O62" s="27">
        <f t="shared" si="12"/>
        <v>0</v>
      </c>
      <c r="P62" s="43" t="s">
        <v>38</v>
      </c>
    </row>
    <row r="64" spans="1:16" s="6" customFormat="1" ht="18.75" x14ac:dyDescent="0.3">
      <c r="A64" s="6" t="s">
        <v>12</v>
      </c>
      <c r="B64" s="245" t="s">
        <v>25</v>
      </c>
      <c r="C64" s="245"/>
      <c r="D64" s="245"/>
      <c r="M64" s="64"/>
    </row>
    <row r="65" spans="1:16" x14ac:dyDescent="0.25">
      <c r="C65" s="65" t="s">
        <v>13</v>
      </c>
      <c r="D65" s="31" t="s">
        <v>34</v>
      </c>
      <c r="E65" s="251">
        <v>0</v>
      </c>
      <c r="F65" s="251"/>
      <c r="G65" s="249" t="s">
        <v>18</v>
      </c>
      <c r="H65" s="249"/>
      <c r="I65" s="249"/>
      <c r="J65" s="250">
        <f>G52+G53+G54+G55+G56-J66</f>
        <v>0</v>
      </c>
      <c r="K65" s="250"/>
      <c r="L65" s="22" t="s">
        <v>71</v>
      </c>
      <c r="M65" s="22"/>
      <c r="N65" s="250" t="s">
        <v>32</v>
      </c>
      <c r="O65" s="250"/>
    </row>
    <row r="66" spans="1:16" x14ac:dyDescent="0.25">
      <c r="C66" s="65" t="s">
        <v>14</v>
      </c>
      <c r="D66" s="31" t="s">
        <v>35</v>
      </c>
      <c r="E66" s="251">
        <v>0</v>
      </c>
      <c r="F66" s="251"/>
      <c r="G66" s="249" t="s">
        <v>18</v>
      </c>
      <c r="H66" s="249"/>
      <c r="I66" s="249"/>
      <c r="J66" s="257">
        <v>0</v>
      </c>
      <c r="K66" s="252"/>
      <c r="L66" s="22" t="s">
        <v>71</v>
      </c>
      <c r="M66" s="22"/>
      <c r="N66" s="252" t="s">
        <v>33</v>
      </c>
      <c r="O66" s="252"/>
    </row>
    <row r="67" spans="1:16" x14ac:dyDescent="0.25">
      <c r="K67" s="20"/>
      <c r="L67" s="20"/>
    </row>
    <row r="68" spans="1:16" s="7" customFormat="1" ht="18.75" x14ac:dyDescent="0.3">
      <c r="A68" s="7" t="s">
        <v>15</v>
      </c>
      <c r="B68" s="8" t="s">
        <v>16</v>
      </c>
      <c r="C68" s="8"/>
      <c r="D68" s="8"/>
      <c r="E68" s="6"/>
      <c r="F68" s="6"/>
      <c r="M68" s="24"/>
    </row>
    <row r="69" spans="1:16" s="7" customFormat="1" ht="18.75" x14ac:dyDescent="0.3">
      <c r="B69" s="6" t="s">
        <v>17</v>
      </c>
      <c r="D69" s="9"/>
      <c r="E69" s="9"/>
      <c r="F69" s="9"/>
      <c r="G69" s="9"/>
      <c r="H69" s="9"/>
      <c r="I69" s="9"/>
      <c r="J69" s="9"/>
      <c r="K69" s="9"/>
      <c r="L69" s="9"/>
      <c r="M69" s="25"/>
      <c r="N69" s="9"/>
      <c r="O69" s="9"/>
      <c r="P69" s="9"/>
    </row>
    <row r="70" spans="1:16" x14ac:dyDescent="0.25">
      <c r="D70" s="32"/>
      <c r="E70" s="32"/>
      <c r="F70" s="32"/>
      <c r="G70" s="32"/>
      <c r="H70" s="32"/>
      <c r="I70" s="32"/>
      <c r="J70" s="32"/>
      <c r="K70" s="32"/>
      <c r="L70" s="32"/>
      <c r="M70" s="109"/>
      <c r="N70" s="32"/>
      <c r="O70" s="32"/>
      <c r="P70" s="32"/>
    </row>
    <row r="71" spans="1:16" x14ac:dyDescent="0.25">
      <c r="D71" s="32"/>
      <c r="E71" s="32"/>
      <c r="F71" s="32"/>
      <c r="G71" s="32"/>
      <c r="H71" s="32"/>
      <c r="I71" s="32"/>
      <c r="J71" s="32"/>
      <c r="K71" s="32"/>
      <c r="L71" s="32"/>
      <c r="M71" s="109"/>
      <c r="N71" s="32"/>
      <c r="O71" s="32"/>
      <c r="P71" s="32"/>
    </row>
    <row r="72" spans="1:16" x14ac:dyDescent="0.25">
      <c r="D72" s="32"/>
      <c r="E72" s="32"/>
      <c r="F72" s="32"/>
      <c r="G72" s="32"/>
      <c r="H72" s="32"/>
      <c r="I72" s="32"/>
      <c r="J72" s="32"/>
      <c r="K72" s="32"/>
      <c r="L72" s="32"/>
      <c r="M72" s="109"/>
      <c r="N72" s="32"/>
      <c r="O72" s="32"/>
      <c r="P72" s="32"/>
    </row>
  </sheetData>
  <mergeCells count="76">
    <mergeCell ref="B52:D52"/>
    <mergeCell ref="A1:O1"/>
    <mergeCell ref="A2:O2"/>
    <mergeCell ref="A3:O3"/>
    <mergeCell ref="A5:O5"/>
    <mergeCell ref="B22:D22"/>
    <mergeCell ref="N7:P7"/>
    <mergeCell ref="B9:D9"/>
    <mergeCell ref="F9:H9"/>
    <mergeCell ref="J9:L9"/>
    <mergeCell ref="N9:P9"/>
    <mergeCell ref="G10:H10"/>
    <mergeCell ref="K10:L10"/>
    <mergeCell ref="O10:P10"/>
    <mergeCell ref="B11:D11"/>
    <mergeCell ref="B13:D13"/>
    <mergeCell ref="B14:D14"/>
    <mergeCell ref="B15:D15"/>
    <mergeCell ref="B12:D12"/>
    <mergeCell ref="J29:K29"/>
    <mergeCell ref="B17:D17"/>
    <mergeCell ref="N29:O29"/>
    <mergeCell ref="B16:D16"/>
    <mergeCell ref="E30:F30"/>
    <mergeCell ref="G30:I30"/>
    <mergeCell ref="J30:K30"/>
    <mergeCell ref="N30:O30"/>
    <mergeCell ref="E29:F29"/>
    <mergeCell ref="G29:I29"/>
    <mergeCell ref="N45:P45"/>
    <mergeCell ref="A36:O36"/>
    <mergeCell ref="A37:O37"/>
    <mergeCell ref="A38:O38"/>
    <mergeCell ref="A40:O40"/>
    <mergeCell ref="F45:H45"/>
    <mergeCell ref="N43:P43"/>
    <mergeCell ref="E65:F65"/>
    <mergeCell ref="G65:I65"/>
    <mergeCell ref="J65:K65"/>
    <mergeCell ref="N65:O65"/>
    <mergeCell ref="E66:F66"/>
    <mergeCell ref="G66:I66"/>
    <mergeCell ref="J66:K66"/>
    <mergeCell ref="N66:O66"/>
    <mergeCell ref="B64:D64"/>
    <mergeCell ref="G46:H46"/>
    <mergeCell ref="B51:D51"/>
    <mergeCell ref="B55:D55"/>
    <mergeCell ref="B58:D58"/>
    <mergeCell ref="B60:D60"/>
    <mergeCell ref="B62:D62"/>
    <mergeCell ref="B56:D56"/>
    <mergeCell ref="B57:D57"/>
    <mergeCell ref="B48:D48"/>
    <mergeCell ref="B54:D54"/>
    <mergeCell ref="B61:D61"/>
    <mergeCell ref="B47:D47"/>
    <mergeCell ref="B49:D49"/>
    <mergeCell ref="B50:D50"/>
    <mergeCell ref="B53:D53"/>
    <mergeCell ref="N6:P6"/>
    <mergeCell ref="N42:P42"/>
    <mergeCell ref="B18:D18"/>
    <mergeCell ref="B23:D23"/>
    <mergeCell ref="B59:D59"/>
    <mergeCell ref="B45:D45"/>
    <mergeCell ref="B19:D19"/>
    <mergeCell ref="B20:D20"/>
    <mergeCell ref="B21:D21"/>
    <mergeCell ref="B24:D24"/>
    <mergeCell ref="B26:D26"/>
    <mergeCell ref="B28:D28"/>
    <mergeCell ref="B25:D25"/>
    <mergeCell ref="K46:L46"/>
    <mergeCell ref="O46:P46"/>
    <mergeCell ref="J45:L45"/>
  </mergeCells>
  <pageMargins left="0.7" right="0.2" top="0.19" bottom="0.25" header="0.3" footer="0.3"/>
  <pageSetup paperSize="9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R70"/>
  <sheetViews>
    <sheetView topLeftCell="A31" zoomScaleNormal="100" workbookViewId="0">
      <selection activeCell="G61" sqref="G61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6" width="8" customWidth="1"/>
    <col min="7" max="7" width="7.7109375" customWidth="1"/>
    <col min="8" max="8" width="7" customWidth="1"/>
    <col min="9" max="9" width="2.5703125" customWidth="1"/>
    <col min="10" max="10" width="7.7109375" customWidth="1"/>
    <col min="11" max="11" width="7.140625" bestFit="1" customWidth="1"/>
    <col min="12" max="12" width="6.7109375" customWidth="1"/>
    <col min="13" max="13" width="5.140625" style="99" customWidth="1"/>
    <col min="14" max="14" width="7.140625" customWidth="1"/>
    <col min="15" max="15" width="7.7109375" customWidth="1"/>
    <col min="16" max="16" width="8.5703125" customWidth="1"/>
  </cols>
  <sheetData>
    <row r="1" spans="1:16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6" s="4" customFormat="1" ht="12" customHeight="1" x14ac:dyDescent="0.25">
      <c r="M4" s="101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6" ht="12" customHeight="1" x14ac:dyDescent="0.25"/>
    <row r="7" spans="1:16" s="2" customFormat="1" x14ac:dyDescent="0.25">
      <c r="A7" s="2" t="s">
        <v>3</v>
      </c>
      <c r="C7" s="5" t="s">
        <v>4</v>
      </c>
      <c r="D7" s="11" t="s">
        <v>11</v>
      </c>
      <c r="E7" s="11"/>
      <c r="F7" s="11"/>
      <c r="G7" s="11"/>
      <c r="H7" s="11"/>
      <c r="I7" s="11"/>
      <c r="J7" s="11"/>
      <c r="K7" s="11"/>
      <c r="L7" s="21"/>
      <c r="M7" s="22" t="s">
        <v>5</v>
      </c>
      <c r="N7" s="256">
        <f>'3-4'!N6</f>
        <v>46176</v>
      </c>
      <c r="O7" s="256"/>
      <c r="P7" s="256"/>
    </row>
    <row r="8" spans="1:16" s="2" customFormat="1" x14ac:dyDescent="0.25">
      <c r="A8" s="2" t="s">
        <v>22</v>
      </c>
      <c r="C8" s="5" t="s">
        <v>4</v>
      </c>
      <c r="D8" s="12" t="s">
        <v>37</v>
      </c>
      <c r="E8" s="13"/>
      <c r="F8" s="13"/>
      <c r="G8" s="13"/>
      <c r="H8" s="21"/>
      <c r="I8" s="10"/>
      <c r="J8" s="10"/>
      <c r="K8" s="10"/>
      <c r="L8" s="10"/>
      <c r="M8" s="22" t="s">
        <v>27</v>
      </c>
      <c r="N8" s="259" t="s">
        <v>36</v>
      </c>
      <c r="O8" s="259"/>
      <c r="P8" s="259"/>
    </row>
    <row r="9" spans="1:16" ht="12.75" customHeight="1" x14ac:dyDescent="0.25"/>
    <row r="10" spans="1:16" s="6" customFormat="1" ht="18.75" x14ac:dyDescent="0.3">
      <c r="A10" s="6" t="s">
        <v>6</v>
      </c>
      <c r="B10" s="248" t="s">
        <v>7</v>
      </c>
      <c r="C10" s="248"/>
      <c r="D10" s="248"/>
      <c r="F10" s="245" t="s">
        <v>8</v>
      </c>
      <c r="G10" s="245"/>
      <c r="H10" s="245"/>
      <c r="I10" s="102"/>
      <c r="J10" s="245" t="s">
        <v>9</v>
      </c>
      <c r="K10" s="245"/>
      <c r="L10" s="245"/>
      <c r="M10" s="102"/>
      <c r="N10" s="245" t="s">
        <v>10</v>
      </c>
      <c r="O10" s="245"/>
      <c r="P10" s="245"/>
    </row>
    <row r="11" spans="1:16" s="6" customFormat="1" ht="18.75" x14ac:dyDescent="0.3">
      <c r="B11" s="104"/>
      <c r="C11" s="104"/>
      <c r="D11" s="104"/>
      <c r="F11" s="103" t="s">
        <v>29</v>
      </c>
      <c r="G11" s="246" t="s">
        <v>30</v>
      </c>
      <c r="H11" s="247"/>
      <c r="I11" s="102"/>
      <c r="J11" s="103" t="s">
        <v>29</v>
      </c>
      <c r="K11" s="246" t="s">
        <v>30</v>
      </c>
      <c r="L11" s="247"/>
      <c r="M11" s="102"/>
      <c r="N11" s="103" t="s">
        <v>29</v>
      </c>
      <c r="O11" s="246" t="s">
        <v>30</v>
      </c>
      <c r="P11" s="247"/>
    </row>
    <row r="12" spans="1:16" x14ac:dyDescent="0.25">
      <c r="B12" s="244" t="str">
        <f>'MT.ROCK CONSOLIDATION'!B12:D12</f>
        <v>Emulsion Super Power 208</v>
      </c>
      <c r="C12" s="244"/>
      <c r="D12" s="244"/>
      <c r="E12" s="2"/>
      <c r="F12" s="49">
        <f>G12/208*25</f>
        <v>0</v>
      </c>
      <c r="G12" s="36"/>
      <c r="H12" s="43" t="s">
        <v>38</v>
      </c>
      <c r="I12" s="14"/>
      <c r="J12" s="49">
        <f>F12</f>
        <v>0</v>
      </c>
      <c r="K12" s="50">
        <f>G12</f>
        <v>0</v>
      </c>
      <c r="L12" s="43" t="s">
        <v>38</v>
      </c>
      <c r="M12" s="22"/>
      <c r="N12" s="49">
        <f>F12</f>
        <v>0</v>
      </c>
      <c r="O12" s="27">
        <f>G12</f>
        <v>0</v>
      </c>
      <c r="P12" s="43" t="s">
        <v>38</v>
      </c>
    </row>
    <row r="13" spans="1:16" x14ac:dyDescent="0.25">
      <c r="B13" s="244" t="str">
        <f>'MT.ROCK CONSOLIDATION'!B13:D13</f>
        <v>NEOGEL 200</v>
      </c>
      <c r="C13" s="244"/>
      <c r="D13" s="244"/>
      <c r="E13" s="2"/>
      <c r="F13" s="49">
        <f>G13/200*25</f>
        <v>171.375</v>
      </c>
      <c r="G13" s="36">
        <v>1371</v>
      </c>
      <c r="H13" s="43" t="s">
        <v>38</v>
      </c>
      <c r="I13" s="14"/>
      <c r="J13" s="49">
        <f>F13</f>
        <v>171.375</v>
      </c>
      <c r="K13" s="50">
        <f>G13</f>
        <v>1371</v>
      </c>
      <c r="L13" s="43" t="s">
        <v>38</v>
      </c>
      <c r="M13" s="22"/>
      <c r="N13" s="49">
        <f>F13</f>
        <v>171.375</v>
      </c>
      <c r="O13" s="27">
        <f>G13</f>
        <v>1371</v>
      </c>
      <c r="P13" s="43" t="s">
        <v>38</v>
      </c>
    </row>
    <row r="14" spans="1:16" x14ac:dyDescent="0.25">
      <c r="B14" s="244" t="str">
        <f>'MT.ROCK CONSOLIDATION'!B14:D14</f>
        <v>Anfo</v>
      </c>
      <c r="C14" s="244"/>
      <c r="D14" s="244"/>
      <c r="E14" s="2"/>
      <c r="F14" s="49">
        <v>0</v>
      </c>
      <c r="G14" s="83"/>
      <c r="H14" s="43"/>
      <c r="I14" s="14"/>
      <c r="J14" s="49">
        <f>F14</f>
        <v>0</v>
      </c>
      <c r="K14" s="29"/>
      <c r="L14" s="43"/>
      <c r="M14" s="22"/>
      <c r="N14" s="49">
        <f>F14</f>
        <v>0</v>
      </c>
      <c r="O14" s="29"/>
      <c r="P14" s="43"/>
    </row>
    <row r="15" spans="1:16" x14ac:dyDescent="0.25">
      <c r="B15" s="244" t="str">
        <f>'MT.ROCK CONSOLIDATION'!B15:D15</f>
        <v>OBC</v>
      </c>
      <c r="C15" s="244"/>
      <c r="D15" s="244"/>
      <c r="E15" s="2"/>
      <c r="F15" s="3"/>
      <c r="G15" s="27">
        <f>'3-4'!G15</f>
        <v>88</v>
      </c>
      <c r="H15" s="43" t="s">
        <v>38</v>
      </c>
      <c r="I15" s="14"/>
      <c r="J15" s="3"/>
      <c r="K15" s="27">
        <f>G15</f>
        <v>88</v>
      </c>
      <c r="L15" s="43" t="s">
        <v>38</v>
      </c>
      <c r="M15" s="22"/>
      <c r="N15" s="3"/>
      <c r="O15" s="27">
        <f>G15</f>
        <v>88</v>
      </c>
      <c r="P15" s="43" t="s">
        <v>38</v>
      </c>
    </row>
    <row r="16" spans="1:16" x14ac:dyDescent="0.25">
      <c r="B16" s="244" t="str">
        <f>'MT.ROCK CONSOLIDATION'!B16:D16</f>
        <v>Safety Fuse</v>
      </c>
      <c r="C16" s="244"/>
      <c r="D16" s="244"/>
      <c r="E16" s="2"/>
      <c r="F16" s="3"/>
      <c r="G16" s="94">
        <f>G15*2.43</f>
        <v>213.84</v>
      </c>
      <c r="H16" s="43" t="s">
        <v>39</v>
      </c>
      <c r="I16" s="14"/>
      <c r="J16" s="3"/>
      <c r="K16" s="112">
        <f t="shared" ref="K16:K27" si="0">G16</f>
        <v>213.84</v>
      </c>
      <c r="L16" s="43" t="s">
        <v>39</v>
      </c>
      <c r="M16" s="22"/>
      <c r="N16" s="3"/>
      <c r="O16" s="112">
        <f t="shared" ref="O16:O27" si="1">G16</f>
        <v>213.84</v>
      </c>
      <c r="P16" s="43" t="s">
        <v>39</v>
      </c>
    </row>
    <row r="17" spans="1:16" x14ac:dyDescent="0.25">
      <c r="B17" s="244" t="str">
        <f>'MT.ROCK CONSOLIDATION'!B17:D17</f>
        <v>SHOCKSTAR Detonator 2.4</v>
      </c>
      <c r="C17" s="244"/>
      <c r="D17" s="244"/>
      <c r="E17" s="2"/>
      <c r="F17" s="3"/>
      <c r="G17" s="27"/>
      <c r="H17" s="43" t="s">
        <v>38</v>
      </c>
      <c r="I17" s="14"/>
      <c r="J17" s="3"/>
      <c r="K17" s="27">
        <f t="shared" ref="K17" si="2">G17</f>
        <v>0</v>
      </c>
      <c r="L17" s="43" t="s">
        <v>38</v>
      </c>
      <c r="M17" s="22"/>
      <c r="N17" s="3"/>
      <c r="O17" s="27">
        <f t="shared" ref="O17" si="3">G17</f>
        <v>0</v>
      </c>
      <c r="P17" s="43" t="s">
        <v>38</v>
      </c>
    </row>
    <row r="18" spans="1:16" x14ac:dyDescent="0.25">
      <c r="B18" s="244" t="str">
        <f>'MT.ROCK CONSOLIDATION'!B18:D18</f>
        <v>SUPREME Detonator 2.4</v>
      </c>
      <c r="C18" s="244"/>
      <c r="D18" s="244"/>
      <c r="E18" s="2"/>
      <c r="F18" s="3"/>
      <c r="G18" s="27"/>
      <c r="H18" s="43" t="s">
        <v>38</v>
      </c>
      <c r="I18" s="14"/>
      <c r="J18" s="3"/>
      <c r="K18" s="27">
        <f t="shared" si="0"/>
        <v>0</v>
      </c>
      <c r="L18" s="43" t="s">
        <v>38</v>
      </c>
      <c r="M18" s="22"/>
      <c r="N18" s="3"/>
      <c r="O18" s="27">
        <f t="shared" si="1"/>
        <v>0</v>
      </c>
      <c r="P18" s="43" t="s">
        <v>38</v>
      </c>
    </row>
    <row r="19" spans="1:16" x14ac:dyDescent="0.25">
      <c r="B19" s="244" t="str">
        <f>'MT.ROCK CONSOLIDATION'!B19:D19</f>
        <v>SUPREME Detonator 3.6</v>
      </c>
      <c r="C19" s="244"/>
      <c r="D19" s="244"/>
      <c r="E19" s="2"/>
      <c r="F19" s="3"/>
      <c r="G19" s="27"/>
      <c r="H19" s="43" t="s">
        <v>38</v>
      </c>
      <c r="I19" s="14"/>
      <c r="J19" s="3"/>
      <c r="K19" s="27">
        <f t="shared" si="0"/>
        <v>0</v>
      </c>
      <c r="L19" s="43" t="s">
        <v>38</v>
      </c>
      <c r="M19" s="22"/>
      <c r="N19" s="3"/>
      <c r="O19" s="27">
        <f t="shared" si="1"/>
        <v>0</v>
      </c>
      <c r="P19" s="43" t="s">
        <v>38</v>
      </c>
    </row>
    <row r="20" spans="1:16" x14ac:dyDescent="0.25">
      <c r="B20" s="244" t="str">
        <f>'MT.ROCK CONSOLIDATION'!B20:D20</f>
        <v>NONEL Detonator 2.4</v>
      </c>
      <c r="C20" s="244"/>
      <c r="D20" s="244"/>
      <c r="E20" s="2"/>
      <c r="F20" s="3"/>
      <c r="G20" s="27"/>
      <c r="H20" s="43" t="s">
        <v>38</v>
      </c>
      <c r="I20" s="14"/>
      <c r="J20" s="3"/>
      <c r="K20" s="27">
        <f t="shared" si="0"/>
        <v>0</v>
      </c>
      <c r="L20" s="43" t="s">
        <v>38</v>
      </c>
      <c r="M20" s="22"/>
      <c r="N20" s="3"/>
      <c r="O20" s="27">
        <f t="shared" si="1"/>
        <v>0</v>
      </c>
      <c r="P20" s="43" t="s">
        <v>38</v>
      </c>
    </row>
    <row r="21" spans="1:16" x14ac:dyDescent="0.25">
      <c r="B21" s="244" t="str">
        <f>'MT.ROCK CONSOLIDATION'!B21:D21</f>
        <v>NONEL Detonator 3.6</v>
      </c>
      <c r="C21" s="244"/>
      <c r="D21" s="244"/>
      <c r="E21" s="2"/>
      <c r="F21" s="3"/>
      <c r="G21" s="27"/>
      <c r="H21" s="43" t="s">
        <v>38</v>
      </c>
      <c r="I21" s="14"/>
      <c r="J21" s="3"/>
      <c r="K21" s="27">
        <f t="shared" si="0"/>
        <v>0</v>
      </c>
      <c r="L21" s="43" t="s">
        <v>38</v>
      </c>
      <c r="M21" s="22"/>
      <c r="N21" s="3"/>
      <c r="O21" s="27">
        <f t="shared" si="1"/>
        <v>0</v>
      </c>
      <c r="P21" s="43" t="s">
        <v>38</v>
      </c>
    </row>
    <row r="22" spans="1:16" x14ac:dyDescent="0.25">
      <c r="B22" s="244" t="str">
        <f>'MT.ROCK CONSOLIDATION'!B22:D22</f>
        <v>Solar Detonating Cord 6</v>
      </c>
      <c r="C22" s="244"/>
      <c r="D22" s="244"/>
      <c r="E22" s="2"/>
      <c r="F22" s="3"/>
      <c r="G22" s="28"/>
      <c r="H22" s="43" t="s">
        <v>39</v>
      </c>
      <c r="I22" s="14"/>
      <c r="J22" s="3"/>
      <c r="K22" s="27">
        <f t="shared" si="0"/>
        <v>0</v>
      </c>
      <c r="L22" s="43" t="s">
        <v>39</v>
      </c>
      <c r="M22" s="22"/>
      <c r="N22" s="3"/>
      <c r="O22" s="27">
        <f t="shared" si="1"/>
        <v>0</v>
      </c>
      <c r="P22" s="43" t="s">
        <v>39</v>
      </c>
    </row>
    <row r="23" spans="1:16" x14ac:dyDescent="0.25">
      <c r="B23" s="244" t="str">
        <f>'MT.ROCK CONSOLIDATION'!B23:D23</f>
        <v>Solar Detonating Cord 10</v>
      </c>
      <c r="C23" s="244"/>
      <c r="D23" s="244"/>
      <c r="E23" s="2"/>
      <c r="F23" s="3"/>
      <c r="G23" s="28">
        <v>336</v>
      </c>
      <c r="H23" s="43" t="s">
        <v>39</v>
      </c>
      <c r="I23" s="14"/>
      <c r="J23" s="3"/>
      <c r="K23" s="27">
        <f t="shared" si="0"/>
        <v>336</v>
      </c>
      <c r="L23" s="43" t="s">
        <v>39</v>
      </c>
      <c r="M23" s="22"/>
      <c r="N23" s="3"/>
      <c r="O23" s="27">
        <f t="shared" si="1"/>
        <v>336</v>
      </c>
      <c r="P23" s="43" t="s">
        <v>39</v>
      </c>
    </row>
    <row r="24" spans="1:16" x14ac:dyDescent="0.25">
      <c r="B24" s="244" t="str">
        <f>'MT.ROCK CONSOLIDATION'!B24:D24</f>
        <v>Solar Detonating Cord 40</v>
      </c>
      <c r="C24" s="244"/>
      <c r="D24" s="244"/>
      <c r="E24" s="2"/>
      <c r="F24" s="3"/>
      <c r="G24" s="28"/>
      <c r="H24" s="43" t="s">
        <v>39</v>
      </c>
      <c r="I24" s="14"/>
      <c r="J24" s="3"/>
      <c r="K24" s="27">
        <f t="shared" si="0"/>
        <v>0</v>
      </c>
      <c r="L24" s="43" t="s">
        <v>39</v>
      </c>
      <c r="M24" s="22"/>
      <c r="N24" s="3"/>
      <c r="O24" s="27">
        <f t="shared" si="1"/>
        <v>0</v>
      </c>
      <c r="P24" s="43" t="s">
        <v>39</v>
      </c>
    </row>
    <row r="25" spans="1:16" x14ac:dyDescent="0.25">
      <c r="B25" s="244" t="str">
        <f>'MT.ROCK CONSOLIDATION'!B25:D25</f>
        <v>Fuse Lighter</v>
      </c>
      <c r="C25" s="244"/>
      <c r="D25" s="244"/>
      <c r="E25" s="2"/>
      <c r="F25" s="3"/>
      <c r="G25" s="27"/>
      <c r="H25" s="43" t="s">
        <v>38</v>
      </c>
      <c r="I25" s="14"/>
      <c r="J25" s="3"/>
      <c r="K25" s="27">
        <f t="shared" si="0"/>
        <v>0</v>
      </c>
      <c r="L25" s="43" t="s">
        <v>38</v>
      </c>
      <c r="M25" s="22"/>
      <c r="N25" s="3"/>
      <c r="O25" s="27">
        <f t="shared" si="1"/>
        <v>0</v>
      </c>
      <c r="P25" s="43" t="s">
        <v>38</v>
      </c>
    </row>
    <row r="26" spans="1:16" x14ac:dyDescent="0.25">
      <c r="B26" s="244" t="str">
        <f>'MT.ROCK CONSOLIDATION'!B26:D26</f>
        <v>BILL WIRE</v>
      </c>
      <c r="C26" s="244"/>
      <c r="D26" s="244"/>
      <c r="E26" s="2"/>
      <c r="F26" s="3"/>
      <c r="G26" s="28"/>
      <c r="H26" s="43" t="s">
        <v>39</v>
      </c>
      <c r="I26" s="14"/>
      <c r="J26" s="3"/>
      <c r="K26" s="27">
        <f t="shared" si="0"/>
        <v>0</v>
      </c>
      <c r="L26" s="43" t="s">
        <v>39</v>
      </c>
      <c r="M26" s="22"/>
      <c r="N26" s="3"/>
      <c r="O26" s="27">
        <f t="shared" si="1"/>
        <v>0</v>
      </c>
      <c r="P26" s="43" t="s">
        <v>39</v>
      </c>
    </row>
    <row r="27" spans="1:16" x14ac:dyDescent="0.25">
      <c r="B27" s="244" t="str">
        <f>'MT.ROCK CONSOLIDATION'!B27:D27</f>
        <v>Solar  EBC</v>
      </c>
      <c r="C27" s="244"/>
      <c r="D27" s="244"/>
      <c r="E27" s="2"/>
      <c r="F27" s="3"/>
      <c r="G27" s="28"/>
      <c r="H27" s="43" t="s">
        <v>38</v>
      </c>
      <c r="I27" s="14"/>
      <c r="J27" s="3"/>
      <c r="K27" s="27">
        <f t="shared" si="0"/>
        <v>0</v>
      </c>
      <c r="L27" s="43" t="s">
        <v>38</v>
      </c>
      <c r="M27" s="22"/>
      <c r="N27" s="3"/>
      <c r="O27" s="27">
        <f t="shared" si="1"/>
        <v>0</v>
      </c>
      <c r="P27" s="43" t="s">
        <v>38</v>
      </c>
    </row>
    <row r="29" spans="1:16" s="6" customFormat="1" ht="18.75" x14ac:dyDescent="0.3">
      <c r="A29" s="6" t="s">
        <v>12</v>
      </c>
      <c r="B29" s="245" t="s">
        <v>25</v>
      </c>
      <c r="C29" s="245"/>
      <c r="D29" s="245"/>
      <c r="M29" s="102"/>
    </row>
    <row r="30" spans="1:16" x14ac:dyDescent="0.25">
      <c r="C30" s="100" t="s">
        <v>13</v>
      </c>
      <c r="D30" s="31" t="s">
        <v>34</v>
      </c>
      <c r="E30" s="251">
        <v>0</v>
      </c>
      <c r="F30" s="251"/>
      <c r="G30" s="249"/>
      <c r="H30" s="249"/>
      <c r="I30" s="249"/>
      <c r="J30" s="250">
        <f>G17+G18+G19+G20+G21-J31</f>
        <v>0</v>
      </c>
      <c r="K30" s="250"/>
      <c r="L30" s="22" t="s">
        <v>71</v>
      </c>
      <c r="M30" s="22"/>
      <c r="N30" s="250" t="s">
        <v>32</v>
      </c>
      <c r="O30" s="250"/>
    </row>
    <row r="31" spans="1:16" x14ac:dyDescent="0.25">
      <c r="C31" s="100" t="s">
        <v>14</v>
      </c>
      <c r="D31" s="31" t="s">
        <v>35</v>
      </c>
      <c r="E31" s="251">
        <v>0</v>
      </c>
      <c r="F31" s="251"/>
      <c r="G31" s="249" t="s">
        <v>18</v>
      </c>
      <c r="H31" s="249"/>
      <c r="I31" s="249"/>
      <c r="J31" s="257">
        <v>0</v>
      </c>
      <c r="K31" s="252"/>
      <c r="L31" s="22" t="s">
        <v>71</v>
      </c>
      <c r="M31" s="22"/>
      <c r="N31" s="252" t="s">
        <v>33</v>
      </c>
      <c r="O31" s="252"/>
    </row>
    <row r="32" spans="1:16" x14ac:dyDescent="0.25">
      <c r="J32" s="20"/>
      <c r="K32" s="20"/>
      <c r="L32" s="20"/>
    </row>
    <row r="33" spans="1:18" s="7" customFormat="1" ht="18.75" x14ac:dyDescent="0.3">
      <c r="A33" s="7" t="s">
        <v>15</v>
      </c>
      <c r="B33" s="8" t="s">
        <v>16</v>
      </c>
      <c r="C33" s="8"/>
      <c r="D33" s="8"/>
      <c r="E33" s="6"/>
      <c r="F33" s="6"/>
      <c r="M33" s="24"/>
    </row>
    <row r="34" spans="1:18" s="7" customFormat="1" ht="18.75" x14ac:dyDescent="0.3">
      <c r="B34" s="6" t="s">
        <v>17</v>
      </c>
      <c r="D34" s="40"/>
      <c r="E34" s="40"/>
      <c r="F34" s="40"/>
      <c r="G34" s="40"/>
      <c r="H34" s="40"/>
      <c r="I34" s="40"/>
      <c r="J34" s="40"/>
      <c r="K34" s="40"/>
      <c r="L34" s="40"/>
      <c r="M34" s="111"/>
      <c r="N34" s="40"/>
      <c r="O34" s="40"/>
      <c r="P34" s="40"/>
    </row>
    <row r="35" spans="1:18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109"/>
      <c r="N35" s="32"/>
      <c r="O35" s="32"/>
      <c r="P35" s="32"/>
      <c r="Q35" s="32"/>
      <c r="R35" s="32"/>
    </row>
    <row r="36" spans="1:18" ht="12" customHeight="1" x14ac:dyDescent="0.25"/>
    <row r="37" spans="1:18" s="4" customFormat="1" ht="18.75" x14ac:dyDescent="0.3">
      <c r="A37" s="240" t="s">
        <v>24</v>
      </c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</row>
    <row r="38" spans="1:18" s="4" customFormat="1" ht="15.75" x14ac:dyDescent="0.25">
      <c r="A38" s="241" t="s">
        <v>28</v>
      </c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</row>
    <row r="39" spans="1:18" s="4" customFormat="1" ht="15.75" x14ac:dyDescent="0.25">
      <c r="A39" s="241" t="s">
        <v>1</v>
      </c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</row>
    <row r="40" spans="1:18" s="4" customFormat="1" ht="12" customHeight="1" x14ac:dyDescent="0.25">
      <c r="M40" s="101"/>
    </row>
    <row r="41" spans="1:18" s="4" customFormat="1" ht="18.75" x14ac:dyDescent="0.3">
      <c r="A41" s="240" t="s">
        <v>26</v>
      </c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</row>
    <row r="42" spans="1:18" ht="10.5" customHeight="1" x14ac:dyDescent="0.25"/>
    <row r="43" spans="1:18" s="2" customFormat="1" x14ac:dyDescent="0.25">
      <c r="A43" s="2" t="s">
        <v>3</v>
      </c>
      <c r="C43" s="5" t="s">
        <v>4</v>
      </c>
      <c r="D43" s="11" t="s">
        <v>11</v>
      </c>
      <c r="E43" s="11"/>
      <c r="F43" s="11"/>
      <c r="G43" s="11"/>
      <c r="H43" s="11"/>
      <c r="I43" s="11"/>
      <c r="J43" s="11"/>
      <c r="K43" s="11"/>
      <c r="L43" s="21"/>
      <c r="M43" s="22" t="s">
        <v>5</v>
      </c>
      <c r="N43" s="256">
        <f>'3-4'!N44</f>
        <v>46177</v>
      </c>
      <c r="O43" s="256"/>
      <c r="P43" s="256"/>
    </row>
    <row r="44" spans="1:18" s="2" customFormat="1" x14ac:dyDescent="0.25">
      <c r="A44" s="2" t="s">
        <v>22</v>
      </c>
      <c r="C44" s="5" t="s">
        <v>4</v>
      </c>
      <c r="D44" s="12" t="s">
        <v>37</v>
      </c>
      <c r="E44" s="13"/>
      <c r="F44" s="13"/>
      <c r="G44" s="13"/>
      <c r="H44" s="21"/>
      <c r="I44" s="10"/>
      <c r="J44" s="10"/>
      <c r="K44" s="10"/>
      <c r="L44" s="10"/>
      <c r="M44" s="22" t="s">
        <v>27</v>
      </c>
      <c r="N44" s="259" t="s">
        <v>36</v>
      </c>
      <c r="O44" s="259"/>
      <c r="P44" s="259"/>
    </row>
    <row r="46" spans="1:18" s="6" customFormat="1" ht="18.75" x14ac:dyDescent="0.3">
      <c r="A46" s="6" t="s">
        <v>6</v>
      </c>
      <c r="B46" s="248" t="s">
        <v>7</v>
      </c>
      <c r="C46" s="248"/>
      <c r="D46" s="248"/>
      <c r="F46" s="245" t="s">
        <v>8</v>
      </c>
      <c r="G46" s="245"/>
      <c r="H46" s="245"/>
      <c r="I46" s="102"/>
      <c r="J46" s="245" t="s">
        <v>9</v>
      </c>
      <c r="K46" s="245"/>
      <c r="L46" s="245"/>
      <c r="M46" s="102"/>
      <c r="N46" s="245" t="s">
        <v>10</v>
      </c>
      <c r="O46" s="245"/>
      <c r="P46" s="245"/>
    </row>
    <row r="47" spans="1:18" s="6" customFormat="1" ht="18.75" x14ac:dyDescent="0.3">
      <c r="B47" s="104"/>
      <c r="C47" s="104"/>
      <c r="D47" s="104"/>
      <c r="F47" s="103" t="s">
        <v>29</v>
      </c>
      <c r="G47" s="246" t="s">
        <v>30</v>
      </c>
      <c r="H47" s="247"/>
      <c r="I47" s="102"/>
      <c r="J47" s="103" t="s">
        <v>29</v>
      </c>
      <c r="K47" s="246" t="s">
        <v>30</v>
      </c>
      <c r="L47" s="247"/>
      <c r="M47" s="102"/>
      <c r="N47" s="103" t="s">
        <v>29</v>
      </c>
      <c r="O47" s="246" t="s">
        <v>30</v>
      </c>
      <c r="P47" s="247"/>
    </row>
    <row r="48" spans="1:18" x14ac:dyDescent="0.25">
      <c r="B48" s="244" t="str">
        <f>'MT.ROCK CONSOLIDATION'!B12:D12</f>
        <v>Emulsion Super Power 208</v>
      </c>
      <c r="C48" s="244"/>
      <c r="D48" s="244"/>
      <c r="E48" s="2"/>
      <c r="F48" s="49">
        <f>G48/208*25</f>
        <v>0</v>
      </c>
      <c r="G48" s="36"/>
      <c r="H48" s="43" t="s">
        <v>38</v>
      </c>
      <c r="I48" s="14"/>
      <c r="J48" s="49">
        <f>F48</f>
        <v>0</v>
      </c>
      <c r="K48" s="50">
        <f>G48</f>
        <v>0</v>
      </c>
      <c r="L48" s="43" t="s">
        <v>38</v>
      </c>
      <c r="M48" s="22"/>
      <c r="N48" s="49">
        <f>F48</f>
        <v>0</v>
      </c>
      <c r="O48" s="27">
        <f>G48</f>
        <v>0</v>
      </c>
      <c r="P48" s="43" t="s">
        <v>38</v>
      </c>
    </row>
    <row r="49" spans="2:16" x14ac:dyDescent="0.25">
      <c r="B49" s="244" t="str">
        <f>'MT.ROCK CONSOLIDATION'!B13:D13</f>
        <v>NEOGEL 200</v>
      </c>
      <c r="C49" s="244"/>
      <c r="D49" s="244"/>
      <c r="E49" s="2"/>
      <c r="F49" s="49">
        <f>G49/200*25</f>
        <v>198.5</v>
      </c>
      <c r="G49" s="36">
        <v>1588</v>
      </c>
      <c r="H49" s="43" t="s">
        <v>38</v>
      </c>
      <c r="I49" s="14"/>
      <c r="J49" s="49">
        <f>F49</f>
        <v>198.5</v>
      </c>
      <c r="K49" s="50">
        <f>G49</f>
        <v>1588</v>
      </c>
      <c r="L49" s="43" t="s">
        <v>38</v>
      </c>
      <c r="M49" s="22"/>
      <c r="N49" s="49">
        <f>F49</f>
        <v>198.5</v>
      </c>
      <c r="O49" s="27">
        <f>G49</f>
        <v>1588</v>
      </c>
      <c r="P49" s="43" t="s">
        <v>38</v>
      </c>
    </row>
    <row r="50" spans="2:16" x14ac:dyDescent="0.25">
      <c r="B50" s="244" t="str">
        <f>'MT.ROCK CONSOLIDATION'!B14:D14</f>
        <v>Anfo</v>
      </c>
      <c r="C50" s="244"/>
      <c r="D50" s="244"/>
      <c r="E50" s="2"/>
      <c r="F50" s="49">
        <v>0</v>
      </c>
      <c r="G50" s="27"/>
      <c r="H50" s="43"/>
      <c r="I50" s="14"/>
      <c r="J50" s="49">
        <f>F50</f>
        <v>0</v>
      </c>
      <c r="K50" s="29"/>
      <c r="L50" s="43"/>
      <c r="M50" s="22"/>
      <c r="N50" s="49">
        <f>F50</f>
        <v>0</v>
      </c>
      <c r="O50" s="29"/>
      <c r="P50" s="43"/>
    </row>
    <row r="51" spans="2:16" x14ac:dyDescent="0.25">
      <c r="B51" s="244" t="str">
        <f>'MT.ROCK CONSOLIDATION'!B15:D15</f>
        <v>OBC</v>
      </c>
      <c r="C51" s="244"/>
      <c r="D51" s="244"/>
      <c r="E51" s="2"/>
      <c r="F51" s="3"/>
      <c r="G51" s="27">
        <v>89</v>
      </c>
      <c r="H51" s="43" t="s">
        <v>38</v>
      </c>
      <c r="I51" s="14"/>
      <c r="J51" s="3"/>
      <c r="K51" s="27">
        <f>G51</f>
        <v>89</v>
      </c>
      <c r="L51" s="43" t="s">
        <v>38</v>
      </c>
      <c r="M51" s="22"/>
      <c r="N51" s="3"/>
      <c r="O51" s="27">
        <f>G51</f>
        <v>89</v>
      </c>
      <c r="P51" s="43" t="s">
        <v>38</v>
      </c>
    </row>
    <row r="52" spans="2:16" x14ac:dyDescent="0.25">
      <c r="B52" s="244" t="str">
        <f>'MT.ROCK CONSOLIDATION'!B16:D16</f>
        <v>Safety Fuse</v>
      </c>
      <c r="C52" s="244"/>
      <c r="D52" s="244"/>
      <c r="E52" s="2"/>
      <c r="F52" s="3"/>
      <c r="G52" s="94">
        <f>G51*2.43</f>
        <v>216.27</v>
      </c>
      <c r="H52" s="43" t="s">
        <v>39</v>
      </c>
      <c r="I52" s="14"/>
      <c r="J52" s="3"/>
      <c r="K52" s="112">
        <f t="shared" ref="K52:K63" si="4">G52</f>
        <v>216.27</v>
      </c>
      <c r="L52" s="43" t="s">
        <v>39</v>
      </c>
      <c r="M52" s="22"/>
      <c r="N52" s="3"/>
      <c r="O52" s="112">
        <f t="shared" ref="O52:O63" si="5">G52</f>
        <v>216.27</v>
      </c>
      <c r="P52" s="43" t="s">
        <v>39</v>
      </c>
    </row>
    <row r="53" spans="2:16" x14ac:dyDescent="0.25">
      <c r="B53" s="244" t="str">
        <f>'MT.ROCK CONSOLIDATION'!B17:D17</f>
        <v>SHOCKSTAR Detonator 2.4</v>
      </c>
      <c r="C53" s="244"/>
      <c r="D53" s="244"/>
      <c r="E53" s="2"/>
      <c r="F53" s="3"/>
      <c r="G53" s="27"/>
      <c r="H53" s="43" t="s">
        <v>38</v>
      </c>
      <c r="I53" s="14"/>
      <c r="J53" s="3"/>
      <c r="K53" s="27">
        <f t="shared" ref="K53" si="6">G53</f>
        <v>0</v>
      </c>
      <c r="L53" s="43" t="s">
        <v>38</v>
      </c>
      <c r="M53" s="22"/>
      <c r="N53" s="3"/>
      <c r="O53" s="27">
        <f t="shared" ref="O53" si="7">G53</f>
        <v>0</v>
      </c>
      <c r="P53" s="43" t="s">
        <v>38</v>
      </c>
    </row>
    <row r="54" spans="2:16" x14ac:dyDescent="0.25">
      <c r="B54" s="244" t="str">
        <f>'MT.ROCK CONSOLIDATION'!B18:D18</f>
        <v>SUPREME Detonator 2.4</v>
      </c>
      <c r="C54" s="244"/>
      <c r="D54" s="244"/>
      <c r="E54" s="2"/>
      <c r="F54" s="3"/>
      <c r="G54" s="27"/>
      <c r="H54" s="43" t="s">
        <v>38</v>
      </c>
      <c r="I54" s="14"/>
      <c r="J54" s="3"/>
      <c r="K54" s="27">
        <f t="shared" si="4"/>
        <v>0</v>
      </c>
      <c r="L54" s="43" t="s">
        <v>38</v>
      </c>
      <c r="M54" s="22"/>
      <c r="N54" s="3"/>
      <c r="O54" s="27">
        <f t="shared" si="5"/>
        <v>0</v>
      </c>
      <c r="P54" s="43" t="s">
        <v>38</v>
      </c>
    </row>
    <row r="55" spans="2:16" x14ac:dyDescent="0.25">
      <c r="B55" s="244" t="str">
        <f>'MT.ROCK CONSOLIDATION'!B19:D19</f>
        <v>SUPREME Detonator 3.6</v>
      </c>
      <c r="C55" s="244"/>
      <c r="D55" s="244"/>
      <c r="E55" s="2"/>
      <c r="F55" s="3"/>
      <c r="G55" s="27"/>
      <c r="H55" s="43" t="s">
        <v>38</v>
      </c>
      <c r="I55" s="14"/>
      <c r="J55" s="3"/>
      <c r="K55" s="27">
        <f t="shared" si="4"/>
        <v>0</v>
      </c>
      <c r="L55" s="43" t="s">
        <v>38</v>
      </c>
      <c r="M55" s="22"/>
      <c r="N55" s="3"/>
      <c r="O55" s="27">
        <f t="shared" si="5"/>
        <v>0</v>
      </c>
      <c r="P55" s="43" t="s">
        <v>38</v>
      </c>
    </row>
    <row r="56" spans="2:16" x14ac:dyDescent="0.25">
      <c r="B56" s="244" t="str">
        <f>'MT.ROCK CONSOLIDATION'!B20:D20</f>
        <v>NONEL Detonator 2.4</v>
      </c>
      <c r="C56" s="244"/>
      <c r="D56" s="244"/>
      <c r="E56" s="2"/>
      <c r="F56" s="3"/>
      <c r="G56" s="27"/>
      <c r="H56" s="43" t="s">
        <v>38</v>
      </c>
      <c r="I56" s="14"/>
      <c r="J56" s="3"/>
      <c r="K56" s="27">
        <f t="shared" si="4"/>
        <v>0</v>
      </c>
      <c r="L56" s="43" t="s">
        <v>38</v>
      </c>
      <c r="M56" s="22"/>
      <c r="N56" s="3"/>
      <c r="O56" s="27">
        <f t="shared" si="5"/>
        <v>0</v>
      </c>
      <c r="P56" s="43" t="s">
        <v>38</v>
      </c>
    </row>
    <row r="57" spans="2:16" x14ac:dyDescent="0.25">
      <c r="B57" s="244" t="str">
        <f>'MT.ROCK CONSOLIDATION'!B21:D21</f>
        <v>NONEL Detonator 3.6</v>
      </c>
      <c r="C57" s="244"/>
      <c r="D57" s="244"/>
      <c r="E57" s="2"/>
      <c r="F57" s="3"/>
      <c r="G57" s="27"/>
      <c r="H57" s="43" t="s">
        <v>38</v>
      </c>
      <c r="I57" s="14"/>
      <c r="J57" s="3"/>
      <c r="K57" s="27">
        <f t="shared" si="4"/>
        <v>0</v>
      </c>
      <c r="L57" s="43" t="s">
        <v>38</v>
      </c>
      <c r="M57" s="22"/>
      <c r="N57" s="3"/>
      <c r="O57" s="27">
        <f t="shared" si="5"/>
        <v>0</v>
      </c>
      <c r="P57" s="43" t="s">
        <v>38</v>
      </c>
    </row>
    <row r="58" spans="2:16" x14ac:dyDescent="0.25">
      <c r="B58" s="244" t="str">
        <f>'MT.ROCK CONSOLIDATION'!B22:D22</f>
        <v>Solar Detonating Cord 6</v>
      </c>
      <c r="C58" s="244"/>
      <c r="D58" s="244"/>
      <c r="E58" s="2"/>
      <c r="F58" s="3"/>
      <c r="G58" s="28"/>
      <c r="H58" s="43" t="s">
        <v>39</v>
      </c>
      <c r="I58" s="14"/>
      <c r="J58" s="3"/>
      <c r="K58" s="27">
        <f t="shared" si="4"/>
        <v>0</v>
      </c>
      <c r="L58" s="43" t="s">
        <v>39</v>
      </c>
      <c r="M58" s="22"/>
      <c r="N58" s="3"/>
      <c r="O58" s="27">
        <f t="shared" si="5"/>
        <v>0</v>
      </c>
      <c r="P58" s="43" t="s">
        <v>39</v>
      </c>
    </row>
    <row r="59" spans="2:16" x14ac:dyDescent="0.25">
      <c r="B59" s="244" t="str">
        <f>'MT.ROCK CONSOLIDATION'!B23:D23</f>
        <v>Solar Detonating Cord 10</v>
      </c>
      <c r="C59" s="244"/>
      <c r="D59" s="244"/>
      <c r="E59" s="2"/>
      <c r="F59" s="3"/>
      <c r="G59" s="28">
        <v>527</v>
      </c>
      <c r="H59" s="43" t="s">
        <v>39</v>
      </c>
      <c r="I59" s="14"/>
      <c r="J59" s="3"/>
      <c r="K59" s="27">
        <f t="shared" si="4"/>
        <v>527</v>
      </c>
      <c r="L59" s="43" t="s">
        <v>39</v>
      </c>
      <c r="M59" s="22"/>
      <c r="N59" s="3"/>
      <c r="O59" s="27">
        <f t="shared" si="5"/>
        <v>527</v>
      </c>
      <c r="P59" s="43" t="s">
        <v>39</v>
      </c>
    </row>
    <row r="60" spans="2:16" x14ac:dyDescent="0.25">
      <c r="B60" s="244" t="str">
        <f>'MT.ROCK CONSOLIDATION'!B24:D24</f>
        <v>Solar Detonating Cord 40</v>
      </c>
      <c r="C60" s="244"/>
      <c r="D60" s="244"/>
      <c r="E60" s="2"/>
      <c r="F60" s="3"/>
      <c r="G60" s="28"/>
      <c r="H60" s="43" t="s">
        <v>39</v>
      </c>
      <c r="I60" s="14"/>
      <c r="J60" s="3"/>
      <c r="K60" s="27">
        <f t="shared" si="4"/>
        <v>0</v>
      </c>
      <c r="L60" s="43" t="s">
        <v>39</v>
      </c>
      <c r="M60" s="22"/>
      <c r="N60" s="3"/>
      <c r="O60" s="27">
        <f t="shared" si="5"/>
        <v>0</v>
      </c>
      <c r="P60" s="43" t="s">
        <v>39</v>
      </c>
    </row>
    <row r="61" spans="2:16" x14ac:dyDescent="0.25">
      <c r="B61" s="244" t="str">
        <f>'MT.ROCK CONSOLIDATION'!B25:D25</f>
        <v>Fuse Lighter</v>
      </c>
      <c r="C61" s="244"/>
      <c r="D61" s="244"/>
      <c r="E61" s="2"/>
      <c r="F61" s="3"/>
      <c r="G61" s="27"/>
      <c r="H61" s="43" t="s">
        <v>38</v>
      </c>
      <c r="I61" s="14"/>
      <c r="J61" s="3"/>
      <c r="K61" s="27">
        <f t="shared" si="4"/>
        <v>0</v>
      </c>
      <c r="L61" s="43" t="s">
        <v>38</v>
      </c>
      <c r="M61" s="22"/>
      <c r="N61" s="3"/>
      <c r="O61" s="27">
        <f t="shared" si="5"/>
        <v>0</v>
      </c>
      <c r="P61" s="43" t="s">
        <v>38</v>
      </c>
    </row>
    <row r="62" spans="2:16" x14ac:dyDescent="0.25">
      <c r="B62" s="244" t="str">
        <f>'MT.ROCK CONSOLIDATION'!B26:D26</f>
        <v>BILL WIRE</v>
      </c>
      <c r="C62" s="244"/>
      <c r="D62" s="244"/>
      <c r="E62" s="2"/>
      <c r="F62" s="3"/>
      <c r="G62" s="28"/>
      <c r="H62" s="43" t="s">
        <v>39</v>
      </c>
      <c r="I62" s="14"/>
      <c r="J62" s="3"/>
      <c r="K62" s="27">
        <f t="shared" si="4"/>
        <v>0</v>
      </c>
      <c r="L62" s="43" t="s">
        <v>39</v>
      </c>
      <c r="M62" s="22"/>
      <c r="N62" s="3"/>
      <c r="O62" s="27">
        <f t="shared" si="5"/>
        <v>0</v>
      </c>
      <c r="P62" s="43" t="s">
        <v>39</v>
      </c>
    </row>
    <row r="63" spans="2:16" x14ac:dyDescent="0.25">
      <c r="B63" s="244" t="str">
        <f>'MT.ROCK CONSOLIDATION'!B27:D27</f>
        <v>Solar  EBC</v>
      </c>
      <c r="C63" s="244"/>
      <c r="D63" s="244"/>
      <c r="E63" s="2"/>
      <c r="F63" s="3"/>
      <c r="G63" s="28"/>
      <c r="H63" s="43" t="s">
        <v>38</v>
      </c>
      <c r="I63" s="14"/>
      <c r="J63" s="3"/>
      <c r="K63" s="27">
        <f t="shared" si="4"/>
        <v>0</v>
      </c>
      <c r="L63" s="43" t="s">
        <v>38</v>
      </c>
      <c r="M63" s="22"/>
      <c r="N63" s="3"/>
      <c r="O63" s="27">
        <f t="shared" si="5"/>
        <v>0</v>
      </c>
      <c r="P63" s="43" t="s">
        <v>38</v>
      </c>
    </row>
    <row r="64" spans="2:16" ht="10.5" customHeight="1" x14ac:dyDescent="0.25"/>
    <row r="65" spans="1:16" s="6" customFormat="1" ht="16.5" customHeight="1" x14ac:dyDescent="0.3">
      <c r="A65" s="6" t="s">
        <v>12</v>
      </c>
      <c r="B65" s="245" t="s">
        <v>25</v>
      </c>
      <c r="C65" s="245"/>
      <c r="D65" s="245"/>
      <c r="M65" s="102"/>
    </row>
    <row r="66" spans="1:16" x14ac:dyDescent="0.25">
      <c r="C66" s="100" t="s">
        <v>13</v>
      </c>
      <c r="D66" s="31" t="s">
        <v>34</v>
      </c>
      <c r="E66" s="251">
        <v>0</v>
      </c>
      <c r="F66" s="251"/>
      <c r="G66" s="249" t="s">
        <v>18</v>
      </c>
      <c r="H66" s="249"/>
      <c r="I66" s="249"/>
      <c r="J66" s="250">
        <f>G53+G54+G55+G56+G57-J67</f>
        <v>0</v>
      </c>
      <c r="K66" s="250"/>
      <c r="L66" s="22" t="s">
        <v>71</v>
      </c>
      <c r="M66" s="22"/>
      <c r="N66" s="250" t="s">
        <v>32</v>
      </c>
      <c r="O66" s="250"/>
    </row>
    <row r="67" spans="1:16" x14ac:dyDescent="0.25">
      <c r="C67" s="100" t="s">
        <v>14</v>
      </c>
      <c r="D67" s="31" t="s">
        <v>35</v>
      </c>
      <c r="E67" s="251">
        <v>0</v>
      </c>
      <c r="F67" s="251"/>
      <c r="G67" s="249" t="s">
        <v>18</v>
      </c>
      <c r="H67" s="249"/>
      <c r="I67" s="249"/>
      <c r="J67" s="257">
        <v>0</v>
      </c>
      <c r="K67" s="252"/>
      <c r="L67" s="22" t="s">
        <v>71</v>
      </c>
      <c r="M67" s="22"/>
      <c r="N67" s="252" t="s">
        <v>33</v>
      </c>
      <c r="O67" s="252"/>
    </row>
    <row r="68" spans="1:16" ht="11.25" customHeight="1" x14ac:dyDescent="0.25">
      <c r="K68" s="20"/>
      <c r="L68" s="20"/>
    </row>
    <row r="69" spans="1:16" s="7" customFormat="1" ht="18.75" x14ac:dyDescent="0.3">
      <c r="A69" s="7" t="s">
        <v>15</v>
      </c>
      <c r="B69" s="8" t="s">
        <v>16</v>
      </c>
      <c r="C69" s="8"/>
      <c r="D69" s="8"/>
      <c r="E69" s="6"/>
      <c r="F69" s="6"/>
      <c r="M69" s="24"/>
    </row>
    <row r="70" spans="1:16" s="7" customFormat="1" ht="18.75" x14ac:dyDescent="0.3">
      <c r="B70" s="6" t="s">
        <v>17</v>
      </c>
      <c r="D70" s="9"/>
      <c r="E70" s="9"/>
      <c r="F70" s="9"/>
      <c r="G70" s="9"/>
      <c r="H70" s="9"/>
      <c r="I70" s="9"/>
      <c r="J70" s="9"/>
      <c r="K70" s="9"/>
      <c r="L70" s="9"/>
      <c r="M70" s="25"/>
      <c r="N70" s="9"/>
      <c r="O70" s="9"/>
      <c r="P70" s="9"/>
    </row>
  </sheetData>
  <mergeCells count="76">
    <mergeCell ref="N8:P8"/>
    <mergeCell ref="A1:O1"/>
    <mergeCell ref="A2:O2"/>
    <mergeCell ref="A3:O3"/>
    <mergeCell ref="A5:O5"/>
    <mergeCell ref="N7:P7"/>
    <mergeCell ref="B10:D10"/>
    <mergeCell ref="F10:H10"/>
    <mergeCell ref="J10:L10"/>
    <mergeCell ref="N10:P10"/>
    <mergeCell ref="G11:H11"/>
    <mergeCell ref="K11:L11"/>
    <mergeCell ref="O11:P11"/>
    <mergeCell ref="B24:D24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17:D17"/>
    <mergeCell ref="B25:D25"/>
    <mergeCell ref="B26:D26"/>
    <mergeCell ref="B27:D27"/>
    <mergeCell ref="B29:D29"/>
    <mergeCell ref="E30:F30"/>
    <mergeCell ref="J30:K30"/>
    <mergeCell ref="N30:O30"/>
    <mergeCell ref="E31:F31"/>
    <mergeCell ref="G31:I31"/>
    <mergeCell ref="J31:K31"/>
    <mergeCell ref="N31:O31"/>
    <mergeCell ref="G30:I30"/>
    <mergeCell ref="N44:P44"/>
    <mergeCell ref="A37:O37"/>
    <mergeCell ref="A38:O38"/>
    <mergeCell ref="A39:O39"/>
    <mergeCell ref="A41:O41"/>
    <mergeCell ref="N43:P43"/>
    <mergeCell ref="B46:D46"/>
    <mergeCell ref="F46:H46"/>
    <mergeCell ref="J46:L46"/>
    <mergeCell ref="N46:P46"/>
    <mergeCell ref="G47:H47"/>
    <mergeCell ref="K47:L47"/>
    <mergeCell ref="O47:P47"/>
    <mergeCell ref="B60:D60"/>
    <mergeCell ref="B48:D48"/>
    <mergeCell ref="B49:D49"/>
    <mergeCell ref="B50:D50"/>
    <mergeCell ref="B51:D51"/>
    <mergeCell ref="B52:D52"/>
    <mergeCell ref="B54:D54"/>
    <mergeCell ref="B55:D55"/>
    <mergeCell ref="B56:D56"/>
    <mergeCell ref="B57:D57"/>
    <mergeCell ref="B58:D58"/>
    <mergeCell ref="B59:D59"/>
    <mergeCell ref="B53:D53"/>
    <mergeCell ref="B61:D61"/>
    <mergeCell ref="B62:D62"/>
    <mergeCell ref="B63:D63"/>
    <mergeCell ref="B65:D65"/>
    <mergeCell ref="E66:F66"/>
    <mergeCell ref="N66:O66"/>
    <mergeCell ref="E67:F67"/>
    <mergeCell ref="G67:I67"/>
    <mergeCell ref="J67:K67"/>
    <mergeCell ref="N67:O67"/>
    <mergeCell ref="G66:I66"/>
    <mergeCell ref="J66:K66"/>
  </mergeCells>
  <pageMargins left="0.7" right="0.2" top="0.19" bottom="0.25" header="0.3" footer="0.3"/>
  <pageSetup paperSize="9" scale="7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R71"/>
  <sheetViews>
    <sheetView topLeftCell="A31" zoomScaleNormal="100" workbookViewId="0">
      <selection activeCell="O61" sqref="O61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6" width="8" customWidth="1"/>
    <col min="7" max="7" width="7.7109375" customWidth="1"/>
    <col min="8" max="8" width="7" customWidth="1"/>
    <col min="9" max="9" width="3.140625" customWidth="1"/>
    <col min="10" max="10" width="7.7109375" customWidth="1"/>
    <col min="11" max="11" width="7.140625" bestFit="1" customWidth="1"/>
    <col min="12" max="12" width="6.7109375" customWidth="1"/>
    <col min="13" max="13" width="5.140625" style="99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6" s="4" customFormat="1" ht="12.75" customHeight="1" x14ac:dyDescent="0.25">
      <c r="M4" s="101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f>'5-6'!N6</f>
        <v>46178</v>
      </c>
      <c r="O6" s="256"/>
      <c r="P6" s="256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1"/>
      <c r="I7" s="10"/>
      <c r="J7" s="10"/>
      <c r="K7" s="10"/>
      <c r="L7" s="10"/>
      <c r="M7" s="22" t="s">
        <v>27</v>
      </c>
      <c r="N7" s="259" t="s">
        <v>36</v>
      </c>
      <c r="O7" s="259"/>
      <c r="P7" s="259"/>
    </row>
    <row r="9" spans="1:16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102"/>
      <c r="J9" s="245" t="s">
        <v>9</v>
      </c>
      <c r="K9" s="245"/>
      <c r="L9" s="245"/>
      <c r="M9" s="102"/>
      <c r="N9" s="245" t="s">
        <v>10</v>
      </c>
      <c r="O9" s="245"/>
      <c r="P9" s="245"/>
    </row>
    <row r="10" spans="1:16" s="6" customFormat="1" ht="18.75" x14ac:dyDescent="0.3">
      <c r="B10" s="104"/>
      <c r="C10" s="104"/>
      <c r="D10" s="104"/>
      <c r="F10" s="103" t="s">
        <v>29</v>
      </c>
      <c r="G10" s="246" t="s">
        <v>30</v>
      </c>
      <c r="H10" s="247"/>
      <c r="I10" s="102"/>
      <c r="J10" s="103" t="s">
        <v>29</v>
      </c>
      <c r="K10" s="246" t="s">
        <v>30</v>
      </c>
      <c r="L10" s="247"/>
      <c r="M10" s="102"/>
      <c r="N10" s="103" t="s">
        <v>29</v>
      </c>
      <c r="O10" s="246" t="s">
        <v>30</v>
      </c>
      <c r="P10" s="247"/>
    </row>
    <row r="11" spans="1:16" x14ac:dyDescent="0.25">
      <c r="B11" s="244" t="str">
        <f>'MT.ROCK CONSOLIDATION'!B12:D12</f>
        <v>Emulsion Super Power 208</v>
      </c>
      <c r="C11" s="244"/>
      <c r="D11" s="244"/>
      <c r="E11" s="2"/>
      <c r="F11" s="49">
        <f>G11/208*25</f>
        <v>0</v>
      </c>
      <c r="G11" s="36"/>
      <c r="H11" s="43" t="s">
        <v>38</v>
      </c>
      <c r="I11" s="14"/>
      <c r="J11" s="49">
        <f>F11</f>
        <v>0</v>
      </c>
      <c r="K11" s="50">
        <f>G11</f>
        <v>0</v>
      </c>
      <c r="L11" s="43" t="s">
        <v>38</v>
      </c>
      <c r="M11" s="22"/>
      <c r="N11" s="49">
        <f>F11</f>
        <v>0</v>
      </c>
      <c r="O11" s="27">
        <f>G11</f>
        <v>0</v>
      </c>
      <c r="P11" s="43" t="s">
        <v>38</v>
      </c>
    </row>
    <row r="12" spans="1:16" x14ac:dyDescent="0.25">
      <c r="B12" s="244" t="str">
        <f>'MT.ROCK CONSOLIDATION'!B13:D13</f>
        <v>NEOGEL 200</v>
      </c>
      <c r="C12" s="244"/>
      <c r="D12" s="244"/>
      <c r="E12" s="2"/>
      <c r="F12" s="49">
        <f>G12/200*25</f>
        <v>225</v>
      </c>
      <c r="G12" s="36">
        <v>1800</v>
      </c>
      <c r="H12" s="43" t="s">
        <v>38</v>
      </c>
      <c r="I12" s="14"/>
      <c r="J12" s="49">
        <f>F12</f>
        <v>225</v>
      </c>
      <c r="K12" s="50">
        <f>G12</f>
        <v>1800</v>
      </c>
      <c r="L12" s="43" t="s">
        <v>38</v>
      </c>
      <c r="M12" s="22"/>
      <c r="N12" s="49">
        <f>F12</f>
        <v>225</v>
      </c>
      <c r="O12" s="27">
        <f>G12</f>
        <v>1800</v>
      </c>
      <c r="P12" s="43" t="s">
        <v>38</v>
      </c>
    </row>
    <row r="13" spans="1:16" x14ac:dyDescent="0.25">
      <c r="B13" s="244" t="str">
        <f>'MT.ROCK CONSOLIDATION'!B14:D14</f>
        <v>Anfo</v>
      </c>
      <c r="C13" s="244"/>
      <c r="D13" s="244"/>
      <c r="E13" s="2"/>
      <c r="F13" s="49">
        <v>0</v>
      </c>
      <c r="G13" s="83"/>
      <c r="H13" s="43"/>
      <c r="I13" s="14"/>
      <c r="J13" s="49">
        <f>F13</f>
        <v>0</v>
      </c>
      <c r="K13" s="29"/>
      <c r="L13" s="43"/>
      <c r="M13" s="22"/>
      <c r="N13" s="49">
        <f>F13</f>
        <v>0</v>
      </c>
      <c r="O13" s="29"/>
      <c r="P13" s="43"/>
    </row>
    <row r="14" spans="1:16" x14ac:dyDescent="0.25">
      <c r="B14" s="244" t="str">
        <f>'MT.ROCK CONSOLIDATION'!B15:D15</f>
        <v>OBC</v>
      </c>
      <c r="C14" s="244"/>
      <c r="D14" s="244"/>
      <c r="E14" s="2"/>
      <c r="F14" s="3"/>
      <c r="G14" s="27">
        <f>'5-6'!G15</f>
        <v>112</v>
      </c>
      <c r="H14" s="43" t="s">
        <v>38</v>
      </c>
      <c r="I14" s="14"/>
      <c r="J14" s="3"/>
      <c r="K14" s="27">
        <f>G14</f>
        <v>112</v>
      </c>
      <c r="L14" s="43" t="s">
        <v>38</v>
      </c>
      <c r="M14" s="22"/>
      <c r="N14" s="3"/>
      <c r="O14" s="27">
        <f>G14</f>
        <v>112</v>
      </c>
      <c r="P14" s="43" t="s">
        <v>38</v>
      </c>
    </row>
    <row r="15" spans="1:16" x14ac:dyDescent="0.25">
      <c r="B15" s="244" t="str">
        <f>'MT.ROCK CONSOLIDATION'!B16:D16</f>
        <v>Safety Fuse</v>
      </c>
      <c r="C15" s="244"/>
      <c r="D15" s="244"/>
      <c r="E15" s="2"/>
      <c r="F15" s="3"/>
      <c r="G15" s="94">
        <f>G14*2.43</f>
        <v>272.16000000000003</v>
      </c>
      <c r="H15" s="43" t="s">
        <v>39</v>
      </c>
      <c r="I15" s="14"/>
      <c r="J15" s="3"/>
      <c r="K15" s="112">
        <f t="shared" ref="K15:K26" si="0">G15</f>
        <v>272.16000000000003</v>
      </c>
      <c r="L15" s="43" t="s">
        <v>39</v>
      </c>
      <c r="M15" s="22"/>
      <c r="N15" s="3"/>
      <c r="O15" s="112">
        <f t="shared" ref="O15:O26" si="1">G15</f>
        <v>272.16000000000003</v>
      </c>
      <c r="P15" s="43" t="s">
        <v>39</v>
      </c>
    </row>
    <row r="16" spans="1:16" x14ac:dyDescent="0.25">
      <c r="B16" s="244" t="str">
        <f>'MT.ROCK CONSOLIDATION'!B17:D17</f>
        <v>SHOCKSTAR Detonator 2.4</v>
      </c>
      <c r="C16" s="244"/>
      <c r="D16" s="244"/>
      <c r="E16" s="2"/>
      <c r="F16" s="3"/>
      <c r="G16" s="27"/>
      <c r="H16" s="43" t="s">
        <v>38</v>
      </c>
      <c r="I16" s="14"/>
      <c r="J16" s="3"/>
      <c r="K16" s="27">
        <f t="shared" ref="K16" si="2">G16</f>
        <v>0</v>
      </c>
      <c r="L16" s="43" t="s">
        <v>38</v>
      </c>
      <c r="M16" s="22"/>
      <c r="N16" s="3"/>
      <c r="O16" s="27">
        <f t="shared" ref="O16" si="3">G16</f>
        <v>0</v>
      </c>
      <c r="P16" s="43" t="s">
        <v>38</v>
      </c>
    </row>
    <row r="17" spans="1:16" x14ac:dyDescent="0.25">
      <c r="B17" s="244" t="str">
        <f>'MT.ROCK CONSOLIDATION'!B18:D18</f>
        <v>SUPREME Detonator 2.4</v>
      </c>
      <c r="C17" s="244"/>
      <c r="D17" s="244"/>
      <c r="E17" s="2"/>
      <c r="F17" s="3"/>
      <c r="G17" s="27"/>
      <c r="H17" s="43" t="s">
        <v>38</v>
      </c>
      <c r="I17" s="14"/>
      <c r="J17" s="3"/>
      <c r="K17" s="27">
        <f t="shared" si="0"/>
        <v>0</v>
      </c>
      <c r="L17" s="43" t="s">
        <v>38</v>
      </c>
      <c r="M17" s="22"/>
      <c r="N17" s="3"/>
      <c r="O17" s="27">
        <f t="shared" si="1"/>
        <v>0</v>
      </c>
      <c r="P17" s="43" t="s">
        <v>38</v>
      </c>
    </row>
    <row r="18" spans="1:16" x14ac:dyDescent="0.25">
      <c r="B18" s="244" t="str">
        <f>'MT.ROCK CONSOLIDATION'!B19:D19</f>
        <v>SUPREME Detonator 3.6</v>
      </c>
      <c r="C18" s="244"/>
      <c r="D18" s="244"/>
      <c r="E18" s="2"/>
      <c r="F18" s="3"/>
      <c r="G18" s="27"/>
      <c r="H18" s="43" t="s">
        <v>38</v>
      </c>
      <c r="I18" s="14"/>
      <c r="J18" s="3"/>
      <c r="K18" s="27">
        <f t="shared" si="0"/>
        <v>0</v>
      </c>
      <c r="L18" s="43" t="s">
        <v>38</v>
      </c>
      <c r="M18" s="22"/>
      <c r="N18" s="3"/>
      <c r="O18" s="27">
        <f t="shared" si="1"/>
        <v>0</v>
      </c>
      <c r="P18" s="43" t="s">
        <v>38</v>
      </c>
    </row>
    <row r="19" spans="1:16" x14ac:dyDescent="0.25">
      <c r="B19" s="244" t="str">
        <f>'MT.ROCK CONSOLIDATION'!B20:D20</f>
        <v>NONEL Detonator 2.4</v>
      </c>
      <c r="C19" s="244"/>
      <c r="D19" s="244"/>
      <c r="E19" s="2"/>
      <c r="F19" s="3"/>
      <c r="G19" s="27"/>
      <c r="H19" s="43" t="s">
        <v>38</v>
      </c>
      <c r="I19" s="14"/>
      <c r="J19" s="3"/>
      <c r="K19" s="27">
        <f t="shared" si="0"/>
        <v>0</v>
      </c>
      <c r="L19" s="43" t="s">
        <v>38</v>
      </c>
      <c r="M19" s="22"/>
      <c r="N19" s="3"/>
      <c r="O19" s="27">
        <f t="shared" si="1"/>
        <v>0</v>
      </c>
      <c r="P19" s="43" t="s">
        <v>38</v>
      </c>
    </row>
    <row r="20" spans="1:16" x14ac:dyDescent="0.25">
      <c r="B20" s="244" t="str">
        <f>'MT.ROCK CONSOLIDATION'!B21:D21</f>
        <v>NONEL Detonator 3.6</v>
      </c>
      <c r="C20" s="244"/>
      <c r="D20" s="244"/>
      <c r="E20" s="2"/>
      <c r="F20" s="3"/>
      <c r="G20" s="27"/>
      <c r="H20" s="43" t="s">
        <v>38</v>
      </c>
      <c r="I20" s="14"/>
      <c r="J20" s="3"/>
      <c r="K20" s="27">
        <f t="shared" si="0"/>
        <v>0</v>
      </c>
      <c r="L20" s="43" t="s">
        <v>38</v>
      </c>
      <c r="M20" s="22"/>
      <c r="N20" s="3"/>
      <c r="O20" s="27">
        <f t="shared" si="1"/>
        <v>0</v>
      </c>
      <c r="P20" s="43" t="s">
        <v>38</v>
      </c>
    </row>
    <row r="21" spans="1:16" x14ac:dyDescent="0.25">
      <c r="B21" s="244" t="str">
        <f>'MT.ROCK CONSOLIDATION'!B22:D22</f>
        <v>Solar Detonating Cord 6</v>
      </c>
      <c r="C21" s="244"/>
      <c r="D21" s="244"/>
      <c r="E21" s="2"/>
      <c r="F21" s="3"/>
      <c r="G21" s="28"/>
      <c r="H21" s="43" t="s">
        <v>39</v>
      </c>
      <c r="I21" s="14"/>
      <c r="J21" s="3"/>
      <c r="K21" s="27">
        <f t="shared" si="0"/>
        <v>0</v>
      </c>
      <c r="L21" s="43" t="s">
        <v>39</v>
      </c>
      <c r="M21" s="22"/>
      <c r="N21" s="3"/>
      <c r="O21" s="27">
        <f t="shared" si="1"/>
        <v>0</v>
      </c>
      <c r="P21" s="43" t="s">
        <v>39</v>
      </c>
    </row>
    <row r="22" spans="1:16" x14ac:dyDescent="0.25">
      <c r="B22" s="244" t="str">
        <f>'MT.ROCK CONSOLIDATION'!B23:D23</f>
        <v>Solar Detonating Cord 10</v>
      </c>
      <c r="C22" s="244"/>
      <c r="D22" s="244"/>
      <c r="E22" s="2"/>
      <c r="F22" s="3"/>
      <c r="G22" s="28">
        <v>543</v>
      </c>
      <c r="H22" s="43" t="s">
        <v>39</v>
      </c>
      <c r="I22" s="14"/>
      <c r="J22" s="3"/>
      <c r="K22" s="27">
        <f t="shared" si="0"/>
        <v>543</v>
      </c>
      <c r="L22" s="43" t="s">
        <v>39</v>
      </c>
      <c r="M22" s="22"/>
      <c r="N22" s="3"/>
      <c r="O22" s="27">
        <f t="shared" si="1"/>
        <v>543</v>
      </c>
      <c r="P22" s="43" t="s">
        <v>39</v>
      </c>
    </row>
    <row r="23" spans="1:16" x14ac:dyDescent="0.25">
      <c r="B23" s="244" t="str">
        <f>'MT.ROCK CONSOLIDATION'!B24:D24</f>
        <v>Solar Detonating Cord 40</v>
      </c>
      <c r="C23" s="244"/>
      <c r="D23" s="244"/>
      <c r="E23" s="2"/>
      <c r="F23" s="3"/>
      <c r="G23" s="28"/>
      <c r="H23" s="43" t="s">
        <v>39</v>
      </c>
      <c r="I23" s="14"/>
      <c r="J23" s="3"/>
      <c r="K23" s="27">
        <f t="shared" si="0"/>
        <v>0</v>
      </c>
      <c r="L23" s="43" t="s">
        <v>39</v>
      </c>
      <c r="M23" s="22"/>
      <c r="N23" s="3"/>
      <c r="O23" s="27">
        <f t="shared" si="1"/>
        <v>0</v>
      </c>
      <c r="P23" s="43" t="s">
        <v>39</v>
      </c>
    </row>
    <row r="24" spans="1:16" x14ac:dyDescent="0.25">
      <c r="B24" s="244" t="str">
        <f>'MT.ROCK CONSOLIDATION'!B25:D25</f>
        <v>Fuse Lighter</v>
      </c>
      <c r="C24" s="244"/>
      <c r="D24" s="244"/>
      <c r="E24" s="2"/>
      <c r="F24" s="3"/>
      <c r="G24" s="27"/>
      <c r="H24" s="43" t="s">
        <v>38</v>
      </c>
      <c r="I24" s="14"/>
      <c r="J24" s="3"/>
      <c r="K24" s="27">
        <f t="shared" si="0"/>
        <v>0</v>
      </c>
      <c r="L24" s="43" t="s">
        <v>38</v>
      </c>
      <c r="M24" s="22"/>
      <c r="N24" s="3"/>
      <c r="O24" s="27">
        <f t="shared" si="1"/>
        <v>0</v>
      </c>
      <c r="P24" s="43" t="s">
        <v>38</v>
      </c>
    </row>
    <row r="25" spans="1:16" x14ac:dyDescent="0.25">
      <c r="B25" s="244" t="str">
        <f>'MT.ROCK CONSOLIDATION'!B26:D26</f>
        <v>BILL WIRE</v>
      </c>
      <c r="C25" s="244"/>
      <c r="D25" s="244"/>
      <c r="E25" s="2"/>
      <c r="F25" s="3"/>
      <c r="G25" s="28"/>
      <c r="H25" s="43" t="s">
        <v>39</v>
      </c>
      <c r="I25" s="14"/>
      <c r="J25" s="3"/>
      <c r="K25" s="27">
        <f t="shared" si="0"/>
        <v>0</v>
      </c>
      <c r="L25" s="43" t="s">
        <v>39</v>
      </c>
      <c r="M25" s="22"/>
      <c r="N25" s="3"/>
      <c r="O25" s="27">
        <f t="shared" si="1"/>
        <v>0</v>
      </c>
      <c r="P25" s="43" t="s">
        <v>39</v>
      </c>
    </row>
    <row r="26" spans="1:16" x14ac:dyDescent="0.25">
      <c r="B26" s="244" t="str">
        <f>'MT.ROCK CONSOLIDATION'!B27:D27</f>
        <v>Solar  EBC</v>
      </c>
      <c r="C26" s="244"/>
      <c r="D26" s="244"/>
      <c r="E26" s="2"/>
      <c r="F26" s="3"/>
      <c r="G26" s="28"/>
      <c r="H26" s="43" t="s">
        <v>38</v>
      </c>
      <c r="I26" s="14"/>
      <c r="J26" s="3"/>
      <c r="K26" s="27">
        <f t="shared" si="0"/>
        <v>0</v>
      </c>
      <c r="L26" s="43" t="s">
        <v>38</v>
      </c>
      <c r="M26" s="22"/>
      <c r="N26" s="3"/>
      <c r="O26" s="27">
        <f t="shared" si="1"/>
        <v>0</v>
      </c>
      <c r="P26" s="43" t="s">
        <v>38</v>
      </c>
    </row>
    <row r="28" spans="1:16" s="6" customFormat="1" ht="18.75" x14ac:dyDescent="0.3">
      <c r="A28" s="6" t="s">
        <v>12</v>
      </c>
      <c r="B28" s="245" t="s">
        <v>25</v>
      </c>
      <c r="C28" s="245"/>
      <c r="D28" s="245"/>
      <c r="M28" s="102"/>
    </row>
    <row r="29" spans="1:16" x14ac:dyDescent="0.25">
      <c r="C29" s="100" t="s">
        <v>13</v>
      </c>
      <c r="D29" s="31" t="s">
        <v>34</v>
      </c>
      <c r="E29" s="251">
        <v>0</v>
      </c>
      <c r="F29" s="251"/>
      <c r="G29" s="249" t="s">
        <v>18</v>
      </c>
      <c r="H29" s="249"/>
      <c r="I29" s="249"/>
      <c r="J29" s="250">
        <f>G16+G17+G18+G19+G20-J30</f>
        <v>0</v>
      </c>
      <c r="K29" s="250"/>
      <c r="L29" s="22" t="s">
        <v>71</v>
      </c>
      <c r="M29" s="22"/>
      <c r="N29" s="250" t="s">
        <v>32</v>
      </c>
      <c r="O29" s="250"/>
    </row>
    <row r="30" spans="1:16" x14ac:dyDescent="0.25">
      <c r="C30" s="100" t="s">
        <v>14</v>
      </c>
      <c r="D30" s="31" t="s">
        <v>35</v>
      </c>
      <c r="E30" s="251">
        <v>0</v>
      </c>
      <c r="F30" s="251"/>
      <c r="G30" s="249" t="s">
        <v>18</v>
      </c>
      <c r="H30" s="249"/>
      <c r="I30" s="249"/>
      <c r="J30" s="257">
        <v>0</v>
      </c>
      <c r="K30" s="252"/>
      <c r="L30" s="22" t="s">
        <v>71</v>
      </c>
      <c r="M30" s="22"/>
      <c r="N30" s="252" t="s">
        <v>33</v>
      </c>
      <c r="O30" s="252"/>
    </row>
    <row r="31" spans="1:16" ht="12.75" customHeight="1" x14ac:dyDescent="0.25">
      <c r="J31" s="20"/>
      <c r="K31" s="20"/>
      <c r="L31" s="20"/>
    </row>
    <row r="32" spans="1:16" s="7" customFormat="1" ht="18.75" x14ac:dyDescent="0.3">
      <c r="A32" s="7" t="s">
        <v>15</v>
      </c>
      <c r="B32" s="8" t="s">
        <v>16</v>
      </c>
      <c r="C32" s="8"/>
      <c r="D32" s="8"/>
      <c r="E32" s="6"/>
      <c r="F32" s="6"/>
      <c r="M32" s="24"/>
    </row>
    <row r="33" spans="1:18" s="7" customFormat="1" ht="18.75" x14ac:dyDescent="0.3">
      <c r="B33" s="6" t="s">
        <v>17</v>
      </c>
      <c r="D33" s="40"/>
      <c r="E33" s="40"/>
      <c r="F33" s="40"/>
      <c r="G33" s="40"/>
      <c r="H33" s="40"/>
      <c r="I33" s="40"/>
      <c r="J33" s="40"/>
      <c r="K33" s="40"/>
      <c r="L33" s="40"/>
      <c r="M33" s="111"/>
      <c r="N33" s="40"/>
      <c r="O33" s="40"/>
      <c r="P33" s="40"/>
    </row>
    <row r="34" spans="1:18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109"/>
      <c r="N34" s="32"/>
      <c r="O34" s="32"/>
      <c r="P34" s="32"/>
      <c r="Q34" s="32"/>
      <c r="R34" s="32"/>
    </row>
    <row r="36" spans="1:18" s="4" customFormat="1" ht="18.75" x14ac:dyDescent="0.3">
      <c r="A36" s="240" t="s">
        <v>24</v>
      </c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</row>
    <row r="37" spans="1:18" s="4" customFormat="1" ht="15.75" x14ac:dyDescent="0.25">
      <c r="A37" s="241" t="s">
        <v>28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</row>
    <row r="38" spans="1:18" s="4" customFormat="1" ht="15.75" x14ac:dyDescent="0.25">
      <c r="A38" s="241" t="s">
        <v>1</v>
      </c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</row>
    <row r="39" spans="1:18" s="4" customFormat="1" ht="15.75" x14ac:dyDescent="0.25">
      <c r="M39" s="101"/>
    </row>
    <row r="40" spans="1:18" s="4" customFormat="1" ht="18.75" x14ac:dyDescent="0.3">
      <c r="A40" s="240" t="s">
        <v>26</v>
      </c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</row>
    <row r="42" spans="1:18" s="2" customFormat="1" x14ac:dyDescent="0.25">
      <c r="A42" s="2" t="s">
        <v>3</v>
      </c>
      <c r="C42" s="5" t="s">
        <v>4</v>
      </c>
      <c r="D42" s="11" t="s">
        <v>11</v>
      </c>
      <c r="E42" s="11"/>
      <c r="F42" s="11"/>
      <c r="G42" s="11"/>
      <c r="H42" s="11"/>
      <c r="I42" s="11"/>
      <c r="J42" s="11"/>
      <c r="K42" s="11"/>
      <c r="L42" s="21"/>
      <c r="M42" s="22" t="s">
        <v>5</v>
      </c>
      <c r="N42" s="256">
        <f>'5-6'!N44</f>
        <v>46179</v>
      </c>
      <c r="O42" s="256"/>
      <c r="P42" s="256"/>
    </row>
    <row r="43" spans="1:18" s="2" customFormat="1" x14ac:dyDescent="0.25">
      <c r="A43" s="2" t="s">
        <v>22</v>
      </c>
      <c r="C43" s="5" t="s">
        <v>4</v>
      </c>
      <c r="D43" s="12" t="s">
        <v>37</v>
      </c>
      <c r="E43" s="13"/>
      <c r="F43" s="13"/>
      <c r="G43" s="13"/>
      <c r="H43" s="21"/>
      <c r="I43" s="10"/>
      <c r="J43" s="10"/>
      <c r="K43" s="10"/>
      <c r="L43" s="10"/>
      <c r="M43" s="22" t="s">
        <v>27</v>
      </c>
      <c r="N43" s="259" t="s">
        <v>36</v>
      </c>
      <c r="O43" s="259"/>
      <c r="P43" s="259"/>
    </row>
    <row r="44" spans="1:18" s="2" customFormat="1" x14ac:dyDescent="0.25">
      <c r="C44" s="5"/>
      <c r="D44" s="211"/>
      <c r="E44" s="21"/>
      <c r="F44" s="21"/>
      <c r="G44" s="21"/>
      <c r="H44" s="21"/>
      <c r="I44" s="10"/>
      <c r="J44" s="10"/>
      <c r="K44" s="10"/>
      <c r="L44" s="10"/>
      <c r="M44" s="22"/>
      <c r="N44" s="212"/>
      <c r="O44" s="212"/>
      <c r="P44" s="212"/>
    </row>
    <row r="45" spans="1:18" s="6" customFormat="1" ht="18.75" x14ac:dyDescent="0.3">
      <c r="A45" s="6" t="s">
        <v>6</v>
      </c>
      <c r="B45" s="248" t="s">
        <v>7</v>
      </c>
      <c r="C45" s="248"/>
      <c r="D45" s="248"/>
      <c r="F45" s="245" t="s">
        <v>8</v>
      </c>
      <c r="G45" s="245"/>
      <c r="H45" s="245"/>
      <c r="I45" s="102"/>
      <c r="J45" s="245" t="s">
        <v>9</v>
      </c>
      <c r="K45" s="245"/>
      <c r="L45" s="245"/>
      <c r="M45" s="102"/>
      <c r="N45" s="245" t="s">
        <v>10</v>
      </c>
      <c r="O45" s="245"/>
      <c r="P45" s="245"/>
    </row>
    <row r="46" spans="1:18" s="6" customFormat="1" ht="18.75" x14ac:dyDescent="0.3">
      <c r="B46" s="104"/>
      <c r="C46" s="104"/>
      <c r="D46" s="104"/>
      <c r="F46" s="103" t="s">
        <v>29</v>
      </c>
      <c r="G46" s="246" t="s">
        <v>30</v>
      </c>
      <c r="H46" s="247"/>
      <c r="I46" s="102"/>
      <c r="J46" s="103" t="s">
        <v>29</v>
      </c>
      <c r="K46" s="246" t="s">
        <v>30</v>
      </c>
      <c r="L46" s="247"/>
      <c r="M46" s="102"/>
      <c r="N46" s="103" t="s">
        <v>29</v>
      </c>
      <c r="O46" s="246" t="s">
        <v>30</v>
      </c>
      <c r="P46" s="247"/>
    </row>
    <row r="47" spans="1:18" x14ac:dyDescent="0.25">
      <c r="B47" s="244" t="str">
        <f>'MT.ROCK CONSOLIDATION'!B12:D12</f>
        <v>Emulsion Super Power 208</v>
      </c>
      <c r="C47" s="244"/>
      <c r="D47" s="244"/>
      <c r="E47" s="2"/>
      <c r="F47" s="49">
        <f>G47/208*25</f>
        <v>0</v>
      </c>
      <c r="G47" s="36"/>
      <c r="H47" s="43" t="s">
        <v>38</v>
      </c>
      <c r="I47" s="14"/>
      <c r="J47" s="49">
        <f>F47</f>
        <v>0</v>
      </c>
      <c r="K47" s="50">
        <f>G47</f>
        <v>0</v>
      </c>
      <c r="L47" s="43" t="s">
        <v>38</v>
      </c>
      <c r="M47" s="22"/>
      <c r="N47" s="49">
        <f>F47</f>
        <v>0</v>
      </c>
      <c r="O47" s="27">
        <f>G47</f>
        <v>0</v>
      </c>
      <c r="P47" s="43" t="s">
        <v>38</v>
      </c>
    </row>
    <row r="48" spans="1:18" x14ac:dyDescent="0.25">
      <c r="B48" s="244" t="str">
        <f>'MT.ROCK CONSOLIDATION'!B13:D13</f>
        <v>NEOGEL 200</v>
      </c>
      <c r="C48" s="244"/>
      <c r="D48" s="244"/>
      <c r="E48" s="2"/>
      <c r="F48" s="49">
        <f>G48/200*25</f>
        <v>247.62499999999997</v>
      </c>
      <c r="G48" s="36">
        <v>1981</v>
      </c>
      <c r="H48" s="43" t="s">
        <v>38</v>
      </c>
      <c r="I48" s="14"/>
      <c r="J48" s="49">
        <f>F48</f>
        <v>247.62499999999997</v>
      </c>
      <c r="K48" s="50">
        <f>G48</f>
        <v>1981</v>
      </c>
      <c r="L48" s="43" t="s">
        <v>38</v>
      </c>
      <c r="M48" s="22"/>
      <c r="N48" s="49">
        <f>F48</f>
        <v>247.62499999999997</v>
      </c>
      <c r="O48" s="27">
        <f>G48</f>
        <v>1981</v>
      </c>
      <c r="P48" s="43" t="s">
        <v>38</v>
      </c>
    </row>
    <row r="49" spans="1:16" x14ac:dyDescent="0.25">
      <c r="B49" s="244" t="str">
        <f>'MT.ROCK CONSOLIDATION'!B14:D14</f>
        <v>Anfo</v>
      </c>
      <c r="C49" s="244"/>
      <c r="D49" s="244"/>
      <c r="E49" s="2"/>
      <c r="F49" s="49">
        <v>0</v>
      </c>
      <c r="G49" s="27"/>
      <c r="H49" s="43"/>
      <c r="I49" s="14"/>
      <c r="J49" s="49">
        <f>F49</f>
        <v>0</v>
      </c>
      <c r="K49" s="29"/>
      <c r="L49" s="43"/>
      <c r="M49" s="22"/>
      <c r="N49" s="49">
        <f>F49</f>
        <v>0</v>
      </c>
      <c r="O49" s="29"/>
      <c r="P49" s="43"/>
    </row>
    <row r="50" spans="1:16" x14ac:dyDescent="0.25">
      <c r="B50" s="244" t="str">
        <f>'MT.ROCK CONSOLIDATION'!B15:D15</f>
        <v>OBC</v>
      </c>
      <c r="C50" s="244"/>
      <c r="D50" s="244"/>
      <c r="E50" s="2"/>
      <c r="F50" s="3"/>
      <c r="G50" s="27">
        <f>'5-6'!G53</f>
        <v>105</v>
      </c>
      <c r="H50" s="43" t="s">
        <v>38</v>
      </c>
      <c r="I50" s="14"/>
      <c r="J50" s="3"/>
      <c r="K50" s="27">
        <f>G50</f>
        <v>105</v>
      </c>
      <c r="L50" s="43" t="s">
        <v>38</v>
      </c>
      <c r="M50" s="22"/>
      <c r="N50" s="3"/>
      <c r="O50" s="27">
        <f>G50</f>
        <v>105</v>
      </c>
      <c r="P50" s="43" t="s">
        <v>38</v>
      </c>
    </row>
    <row r="51" spans="1:16" x14ac:dyDescent="0.25">
      <c r="B51" s="244" t="str">
        <f>'MT.ROCK CONSOLIDATION'!B16:D16</f>
        <v>Safety Fuse</v>
      </c>
      <c r="C51" s="244"/>
      <c r="D51" s="244"/>
      <c r="E51" s="2"/>
      <c r="F51" s="3"/>
      <c r="G51" s="94">
        <f>G50*2.43</f>
        <v>255.15</v>
      </c>
      <c r="H51" s="43" t="s">
        <v>39</v>
      </c>
      <c r="I51" s="14"/>
      <c r="J51" s="3"/>
      <c r="K51" s="112">
        <f t="shared" ref="K51:K62" si="4">G51</f>
        <v>255.15</v>
      </c>
      <c r="L51" s="43" t="s">
        <v>39</v>
      </c>
      <c r="M51" s="22"/>
      <c r="N51" s="3"/>
      <c r="O51" s="112">
        <f t="shared" ref="O51:O62" si="5">G51</f>
        <v>255.15</v>
      </c>
      <c r="P51" s="43" t="s">
        <v>39</v>
      </c>
    </row>
    <row r="52" spans="1:16" x14ac:dyDescent="0.25">
      <c r="B52" s="244" t="str">
        <f>'MT.ROCK CONSOLIDATION'!B17:D17</f>
        <v>SHOCKSTAR Detonator 2.4</v>
      </c>
      <c r="C52" s="244"/>
      <c r="D52" s="244"/>
      <c r="E52" s="2"/>
      <c r="F52" s="3"/>
      <c r="G52" s="27"/>
      <c r="H52" s="43" t="s">
        <v>38</v>
      </c>
      <c r="I52" s="14"/>
      <c r="J52" s="3"/>
      <c r="K52" s="27">
        <f t="shared" ref="K52" si="6">G52</f>
        <v>0</v>
      </c>
      <c r="L52" s="43" t="s">
        <v>38</v>
      </c>
      <c r="M52" s="22"/>
      <c r="N52" s="3"/>
      <c r="O52" s="27">
        <f t="shared" ref="O52" si="7">G52</f>
        <v>0</v>
      </c>
      <c r="P52" s="43" t="s">
        <v>38</v>
      </c>
    </row>
    <row r="53" spans="1:16" x14ac:dyDescent="0.25">
      <c r="B53" s="244" t="str">
        <f>'MT.ROCK CONSOLIDATION'!B18:D18</f>
        <v>SUPREME Detonator 2.4</v>
      </c>
      <c r="C53" s="244"/>
      <c r="D53" s="244"/>
      <c r="E53" s="2"/>
      <c r="F53" s="3"/>
      <c r="G53" s="27"/>
      <c r="H53" s="43" t="s">
        <v>38</v>
      </c>
      <c r="I53" s="14"/>
      <c r="J53" s="3"/>
      <c r="K53" s="27">
        <f t="shared" si="4"/>
        <v>0</v>
      </c>
      <c r="L53" s="43" t="s">
        <v>38</v>
      </c>
      <c r="M53" s="22"/>
      <c r="N53" s="3"/>
      <c r="O53" s="27">
        <f t="shared" si="5"/>
        <v>0</v>
      </c>
      <c r="P53" s="43" t="s">
        <v>38</v>
      </c>
    </row>
    <row r="54" spans="1:16" x14ac:dyDescent="0.25">
      <c r="B54" s="244" t="str">
        <f>'MT.ROCK CONSOLIDATION'!B19:D19</f>
        <v>SUPREME Detonator 3.6</v>
      </c>
      <c r="C54" s="244"/>
      <c r="D54" s="244"/>
      <c r="E54" s="2"/>
      <c r="F54" s="3"/>
      <c r="G54" s="27"/>
      <c r="H54" s="43" t="s">
        <v>38</v>
      </c>
      <c r="I54" s="14"/>
      <c r="J54" s="3"/>
      <c r="K54" s="27">
        <f t="shared" si="4"/>
        <v>0</v>
      </c>
      <c r="L54" s="43" t="s">
        <v>38</v>
      </c>
      <c r="M54" s="22"/>
      <c r="N54" s="3"/>
      <c r="O54" s="27">
        <f t="shared" si="5"/>
        <v>0</v>
      </c>
      <c r="P54" s="43" t="s">
        <v>38</v>
      </c>
    </row>
    <row r="55" spans="1:16" x14ac:dyDescent="0.25">
      <c r="B55" s="244" t="str">
        <f>'MT.ROCK CONSOLIDATION'!B20:D20</f>
        <v>NONEL Detonator 2.4</v>
      </c>
      <c r="C55" s="244"/>
      <c r="D55" s="244"/>
      <c r="E55" s="2"/>
      <c r="F55" s="3"/>
      <c r="G55" s="27"/>
      <c r="H55" s="43" t="s">
        <v>38</v>
      </c>
      <c r="I55" s="14"/>
      <c r="J55" s="3"/>
      <c r="K55" s="27">
        <f t="shared" si="4"/>
        <v>0</v>
      </c>
      <c r="L55" s="43" t="s">
        <v>38</v>
      </c>
      <c r="M55" s="22"/>
      <c r="N55" s="3"/>
      <c r="O55" s="27">
        <f t="shared" si="5"/>
        <v>0</v>
      </c>
      <c r="P55" s="43" t="s">
        <v>38</v>
      </c>
    </row>
    <row r="56" spans="1:16" x14ac:dyDescent="0.25">
      <c r="B56" s="244" t="str">
        <f>'MT.ROCK CONSOLIDATION'!B21:D21</f>
        <v>NONEL Detonator 3.6</v>
      </c>
      <c r="C56" s="244"/>
      <c r="D56" s="244"/>
      <c r="E56" s="2"/>
      <c r="F56" s="3"/>
      <c r="G56" s="27"/>
      <c r="H56" s="43" t="s">
        <v>38</v>
      </c>
      <c r="I56" s="14"/>
      <c r="J56" s="3"/>
      <c r="K56" s="27">
        <f t="shared" si="4"/>
        <v>0</v>
      </c>
      <c r="L56" s="43" t="s">
        <v>38</v>
      </c>
      <c r="M56" s="22"/>
      <c r="N56" s="3"/>
      <c r="O56" s="27">
        <f t="shared" si="5"/>
        <v>0</v>
      </c>
      <c r="P56" s="43" t="s">
        <v>38</v>
      </c>
    </row>
    <row r="57" spans="1:16" x14ac:dyDescent="0.25">
      <c r="B57" s="244" t="str">
        <f>'MT.ROCK CONSOLIDATION'!B22:D22</f>
        <v>Solar Detonating Cord 6</v>
      </c>
      <c r="C57" s="244"/>
      <c r="D57" s="244"/>
      <c r="E57" s="2"/>
      <c r="F57" s="3"/>
      <c r="G57" s="28"/>
      <c r="H57" s="43" t="s">
        <v>39</v>
      </c>
      <c r="I57" s="14"/>
      <c r="J57" s="3"/>
      <c r="K57" s="27">
        <f t="shared" si="4"/>
        <v>0</v>
      </c>
      <c r="L57" s="43" t="s">
        <v>39</v>
      </c>
      <c r="M57" s="22"/>
      <c r="N57" s="3"/>
      <c r="O57" s="27">
        <f t="shared" si="5"/>
        <v>0</v>
      </c>
      <c r="P57" s="43" t="s">
        <v>39</v>
      </c>
    </row>
    <row r="58" spans="1:16" x14ac:dyDescent="0.25">
      <c r="B58" s="244" t="str">
        <f>'MT.ROCK CONSOLIDATION'!B23:D23</f>
        <v>Solar Detonating Cord 10</v>
      </c>
      <c r="C58" s="244"/>
      <c r="D58" s="244"/>
      <c r="E58" s="2"/>
      <c r="F58" s="3"/>
      <c r="G58" s="28">
        <v>563</v>
      </c>
      <c r="H58" s="43" t="s">
        <v>39</v>
      </c>
      <c r="I58" s="14"/>
      <c r="J58" s="3"/>
      <c r="K58" s="27">
        <f t="shared" si="4"/>
        <v>563</v>
      </c>
      <c r="L58" s="43" t="s">
        <v>39</v>
      </c>
      <c r="M58" s="22"/>
      <c r="N58" s="3"/>
      <c r="O58" s="27">
        <f t="shared" si="5"/>
        <v>563</v>
      </c>
      <c r="P58" s="43" t="s">
        <v>39</v>
      </c>
    </row>
    <row r="59" spans="1:16" x14ac:dyDescent="0.25">
      <c r="B59" s="244" t="str">
        <f>'MT.ROCK CONSOLIDATION'!B24:D24</f>
        <v>Solar Detonating Cord 40</v>
      </c>
      <c r="C59" s="244"/>
      <c r="D59" s="244"/>
      <c r="E59" s="2"/>
      <c r="F59" s="3"/>
      <c r="G59" s="28"/>
      <c r="H59" s="43" t="s">
        <v>39</v>
      </c>
      <c r="I59" s="14"/>
      <c r="J59" s="3"/>
      <c r="K59" s="27">
        <f t="shared" si="4"/>
        <v>0</v>
      </c>
      <c r="L59" s="43" t="s">
        <v>39</v>
      </c>
      <c r="M59" s="22"/>
      <c r="N59" s="3"/>
      <c r="O59" s="27">
        <f t="shared" si="5"/>
        <v>0</v>
      </c>
      <c r="P59" s="43" t="s">
        <v>39</v>
      </c>
    </row>
    <row r="60" spans="1:16" x14ac:dyDescent="0.25">
      <c r="B60" s="244" t="str">
        <f>'MT.ROCK CONSOLIDATION'!B25:D25</f>
        <v>Fuse Lighter</v>
      </c>
      <c r="C60" s="244"/>
      <c r="D60" s="244"/>
      <c r="E60" s="2"/>
      <c r="F60" s="3"/>
      <c r="G60" s="27"/>
      <c r="H60" s="43" t="s">
        <v>38</v>
      </c>
      <c r="I60" s="14"/>
      <c r="J60" s="3"/>
      <c r="K60" s="27">
        <f t="shared" si="4"/>
        <v>0</v>
      </c>
      <c r="L60" s="43" t="s">
        <v>38</v>
      </c>
      <c r="M60" s="22"/>
      <c r="N60" s="3"/>
      <c r="O60" s="27">
        <f t="shared" si="5"/>
        <v>0</v>
      </c>
      <c r="P60" s="43" t="s">
        <v>38</v>
      </c>
    </row>
    <row r="61" spans="1:16" x14ac:dyDescent="0.25">
      <c r="B61" s="244" t="str">
        <f>'MT.ROCK CONSOLIDATION'!B26:D26</f>
        <v>BILL WIRE</v>
      </c>
      <c r="C61" s="244"/>
      <c r="D61" s="244"/>
      <c r="E61" s="2"/>
      <c r="F61" s="3"/>
      <c r="G61" s="28"/>
      <c r="H61" s="43" t="s">
        <v>39</v>
      </c>
      <c r="I61" s="14"/>
      <c r="J61" s="3"/>
      <c r="K61" s="27">
        <f t="shared" si="4"/>
        <v>0</v>
      </c>
      <c r="L61" s="43" t="s">
        <v>39</v>
      </c>
      <c r="M61" s="22"/>
      <c r="N61" s="3"/>
      <c r="O61" s="27">
        <f t="shared" si="5"/>
        <v>0</v>
      </c>
      <c r="P61" s="43" t="s">
        <v>39</v>
      </c>
    </row>
    <row r="62" spans="1:16" x14ac:dyDescent="0.25">
      <c r="B62" s="244" t="str">
        <f>'MT.ROCK CONSOLIDATION'!B27:D27</f>
        <v>Solar  EBC</v>
      </c>
      <c r="C62" s="244"/>
      <c r="D62" s="244"/>
      <c r="E62" s="2"/>
      <c r="F62" s="3"/>
      <c r="G62" s="28"/>
      <c r="H62" s="43" t="s">
        <v>38</v>
      </c>
      <c r="I62" s="14"/>
      <c r="J62" s="3"/>
      <c r="K62" s="27">
        <f t="shared" si="4"/>
        <v>0</v>
      </c>
      <c r="L62" s="43" t="s">
        <v>38</v>
      </c>
      <c r="M62" s="22"/>
      <c r="N62" s="3"/>
      <c r="O62" s="27">
        <f t="shared" si="5"/>
        <v>0</v>
      </c>
      <c r="P62" s="43" t="s">
        <v>38</v>
      </c>
    </row>
    <row r="63" spans="1:16" ht="9.75" customHeight="1" x14ac:dyDescent="0.25"/>
    <row r="64" spans="1:16" s="6" customFormat="1" ht="18.75" x14ac:dyDescent="0.3">
      <c r="A64" s="6" t="s">
        <v>12</v>
      </c>
      <c r="B64" s="245" t="s">
        <v>25</v>
      </c>
      <c r="C64" s="245"/>
      <c r="D64" s="245"/>
      <c r="M64" s="102"/>
    </row>
    <row r="65" spans="1:16" x14ac:dyDescent="0.25">
      <c r="C65" s="100" t="s">
        <v>13</v>
      </c>
      <c r="D65" s="31" t="s">
        <v>34</v>
      </c>
      <c r="E65" s="251">
        <v>0</v>
      </c>
      <c r="F65" s="251"/>
      <c r="G65" s="249" t="s">
        <v>18</v>
      </c>
      <c r="H65" s="249"/>
      <c r="I65" s="249"/>
      <c r="J65" s="250">
        <f>G52+G53+G54+G55+G56-J66</f>
        <v>0</v>
      </c>
      <c r="K65" s="250"/>
      <c r="L65" s="22" t="s">
        <v>71</v>
      </c>
      <c r="M65" s="22"/>
      <c r="N65" s="250" t="s">
        <v>32</v>
      </c>
      <c r="O65" s="250"/>
    </row>
    <row r="66" spans="1:16" x14ac:dyDescent="0.25">
      <c r="C66" s="100" t="s">
        <v>14</v>
      </c>
      <c r="D66" s="31" t="s">
        <v>35</v>
      </c>
      <c r="E66" s="251">
        <v>0</v>
      </c>
      <c r="F66" s="251"/>
      <c r="G66" s="249" t="s">
        <v>18</v>
      </c>
      <c r="H66" s="249"/>
      <c r="I66" s="249"/>
      <c r="J66" s="257">
        <v>0</v>
      </c>
      <c r="K66" s="252"/>
      <c r="L66" s="22" t="s">
        <v>71</v>
      </c>
      <c r="M66" s="22"/>
      <c r="N66" s="252" t="s">
        <v>33</v>
      </c>
      <c r="O66" s="252"/>
    </row>
    <row r="67" spans="1:16" x14ac:dyDescent="0.25">
      <c r="K67" s="20"/>
      <c r="L67" s="20"/>
    </row>
    <row r="68" spans="1:16" s="7" customFormat="1" ht="18.75" x14ac:dyDescent="0.3">
      <c r="A68" s="7" t="s">
        <v>15</v>
      </c>
      <c r="B68" s="8" t="s">
        <v>16</v>
      </c>
      <c r="C68" s="8"/>
      <c r="D68" s="8"/>
      <c r="E68" s="6"/>
      <c r="F68" s="6"/>
      <c r="M68" s="24"/>
    </row>
    <row r="69" spans="1:16" s="7" customFormat="1" ht="18.75" x14ac:dyDescent="0.3">
      <c r="B69" s="6" t="s">
        <v>17</v>
      </c>
      <c r="D69" s="9"/>
      <c r="E69" s="9"/>
      <c r="F69" s="9"/>
      <c r="G69" s="9"/>
      <c r="H69" s="9"/>
      <c r="I69" s="9"/>
      <c r="J69" s="9"/>
      <c r="K69" s="9"/>
      <c r="L69" s="9"/>
      <c r="M69" s="25"/>
      <c r="N69" s="9"/>
      <c r="O69" s="9"/>
      <c r="P69" s="9"/>
    </row>
    <row r="70" spans="1:16" x14ac:dyDescent="0.25">
      <c r="D70" s="32"/>
      <c r="E70" s="32"/>
      <c r="F70" s="32"/>
      <c r="G70" s="32"/>
      <c r="H70" s="32"/>
      <c r="I70" s="32"/>
      <c r="J70" s="32"/>
      <c r="K70" s="32"/>
      <c r="L70" s="32"/>
      <c r="M70" s="109"/>
      <c r="N70" s="32"/>
      <c r="O70" s="32"/>
      <c r="P70" s="32"/>
    </row>
    <row r="71" spans="1:16" x14ac:dyDescent="0.25">
      <c r="D71" s="32"/>
      <c r="E71" s="32"/>
      <c r="F71" s="32"/>
      <c r="G71" s="32"/>
      <c r="H71" s="32"/>
      <c r="I71" s="32"/>
      <c r="J71" s="32"/>
      <c r="K71" s="32"/>
      <c r="L71" s="32"/>
      <c r="M71" s="109"/>
      <c r="N71" s="32"/>
      <c r="O71" s="32"/>
      <c r="P71" s="32"/>
    </row>
  </sheetData>
  <mergeCells count="76">
    <mergeCell ref="N7:P7"/>
    <mergeCell ref="A1:O1"/>
    <mergeCell ref="A2:O2"/>
    <mergeCell ref="A3:O3"/>
    <mergeCell ref="A5:O5"/>
    <mergeCell ref="N6:P6"/>
    <mergeCell ref="B9:D9"/>
    <mergeCell ref="F9:H9"/>
    <mergeCell ref="J9:L9"/>
    <mergeCell ref="N9:P9"/>
    <mergeCell ref="G10:H10"/>
    <mergeCell ref="K10:L10"/>
    <mergeCell ref="O10:P10"/>
    <mergeCell ref="B23:D23"/>
    <mergeCell ref="B11:D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16:D16"/>
    <mergeCell ref="B24:D24"/>
    <mergeCell ref="B25:D25"/>
    <mergeCell ref="B26:D26"/>
    <mergeCell ref="B28:D28"/>
    <mergeCell ref="E29:F29"/>
    <mergeCell ref="J29:K29"/>
    <mergeCell ref="N29:O29"/>
    <mergeCell ref="E30:F30"/>
    <mergeCell ref="G30:I30"/>
    <mergeCell ref="J30:K30"/>
    <mergeCell ref="N30:O30"/>
    <mergeCell ref="G29:I29"/>
    <mergeCell ref="B45:D45"/>
    <mergeCell ref="F45:H45"/>
    <mergeCell ref="J45:L45"/>
    <mergeCell ref="A36:O36"/>
    <mergeCell ref="A37:O37"/>
    <mergeCell ref="A38:O38"/>
    <mergeCell ref="A40:O40"/>
    <mergeCell ref="N45:P45"/>
    <mergeCell ref="N42:P42"/>
    <mergeCell ref="N43:P43"/>
    <mergeCell ref="G46:H46"/>
    <mergeCell ref="K46:L46"/>
    <mergeCell ref="O46:P46"/>
    <mergeCell ref="B59:D59"/>
    <mergeCell ref="B47:D47"/>
    <mergeCell ref="B48:D48"/>
    <mergeCell ref="B49:D49"/>
    <mergeCell ref="B50:D50"/>
    <mergeCell ref="B51:D51"/>
    <mergeCell ref="B53:D53"/>
    <mergeCell ref="B54:D54"/>
    <mergeCell ref="B55:D55"/>
    <mergeCell ref="B56:D56"/>
    <mergeCell ref="B57:D57"/>
    <mergeCell ref="B58:D58"/>
    <mergeCell ref="B52:D52"/>
    <mergeCell ref="B60:D60"/>
    <mergeCell ref="B61:D61"/>
    <mergeCell ref="B62:D62"/>
    <mergeCell ref="B64:D64"/>
    <mergeCell ref="E65:F65"/>
    <mergeCell ref="J65:K65"/>
    <mergeCell ref="N65:O65"/>
    <mergeCell ref="E66:F66"/>
    <mergeCell ref="G66:I66"/>
    <mergeCell ref="J66:K66"/>
    <mergeCell ref="N66:O66"/>
    <mergeCell ref="G65:I65"/>
  </mergeCells>
  <pageMargins left="0.7" right="0.2" top="0.19" bottom="0.25" header="0.3" footer="0.3"/>
  <pageSetup paperSize="9" scale="75" orientation="portrait" r:id="rId1"/>
  <rowBreaks count="1" manualBreakCount="1">
    <brk id="71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R72"/>
  <sheetViews>
    <sheetView zoomScaleNormal="100" workbookViewId="0">
      <selection activeCell="G22" sqref="G22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99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6" s="4" customFormat="1" ht="15.75" x14ac:dyDescent="0.25">
      <c r="M4" s="101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f>'7.'!N6:P6</f>
        <v>46180</v>
      </c>
      <c r="O6" s="256"/>
      <c r="P6" s="256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1"/>
      <c r="I7" s="10"/>
      <c r="J7" s="10"/>
      <c r="K7" s="10"/>
      <c r="L7" s="10"/>
      <c r="M7" s="22" t="s">
        <v>27</v>
      </c>
      <c r="N7" s="259" t="s">
        <v>36</v>
      </c>
      <c r="O7" s="259"/>
      <c r="P7" s="259"/>
    </row>
    <row r="9" spans="1:16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102"/>
      <c r="J9" s="245" t="s">
        <v>9</v>
      </c>
      <c r="K9" s="245"/>
      <c r="L9" s="245"/>
      <c r="M9" s="102"/>
      <c r="N9" s="245" t="s">
        <v>10</v>
      </c>
      <c r="O9" s="245"/>
      <c r="P9" s="245"/>
    </row>
    <row r="10" spans="1:16" s="6" customFormat="1" ht="18.75" x14ac:dyDescent="0.3">
      <c r="B10" s="104"/>
      <c r="C10" s="104"/>
      <c r="D10" s="104"/>
      <c r="F10" s="103" t="s">
        <v>29</v>
      </c>
      <c r="G10" s="246" t="s">
        <v>30</v>
      </c>
      <c r="H10" s="247"/>
      <c r="I10" s="102"/>
      <c r="J10" s="103" t="s">
        <v>29</v>
      </c>
      <c r="K10" s="246" t="s">
        <v>30</v>
      </c>
      <c r="L10" s="247"/>
      <c r="M10" s="102"/>
      <c r="N10" s="103" t="s">
        <v>29</v>
      </c>
      <c r="O10" s="246" t="s">
        <v>30</v>
      </c>
      <c r="P10" s="247"/>
    </row>
    <row r="11" spans="1:16" x14ac:dyDescent="0.25">
      <c r="B11" s="244" t="str">
        <f>'MT.ROCK CONSOLIDATION'!B12:D12</f>
        <v>Emulsion Super Power 208</v>
      </c>
      <c r="C11" s="244"/>
      <c r="D11" s="244"/>
      <c r="E11" s="2"/>
      <c r="F11" s="49">
        <f>G11/208*25</f>
        <v>0</v>
      </c>
      <c r="G11" s="36"/>
      <c r="H11" s="43" t="s">
        <v>38</v>
      </c>
      <c r="I11" s="14"/>
      <c r="J11" s="49">
        <f>F11</f>
        <v>0</v>
      </c>
      <c r="K11" s="50">
        <f>G11</f>
        <v>0</v>
      </c>
      <c r="L11" s="43" t="s">
        <v>38</v>
      </c>
      <c r="M11" s="22"/>
      <c r="N11" s="49">
        <f>F11</f>
        <v>0</v>
      </c>
      <c r="O11" s="27">
        <f>G11</f>
        <v>0</v>
      </c>
      <c r="P11" s="43" t="s">
        <v>38</v>
      </c>
    </row>
    <row r="12" spans="1:16" x14ac:dyDescent="0.25">
      <c r="B12" s="244" t="str">
        <f>'MT.ROCK CONSOLIDATION'!B13:D13</f>
        <v>NEOGEL 200</v>
      </c>
      <c r="C12" s="244"/>
      <c r="D12" s="244"/>
      <c r="E12" s="2"/>
      <c r="F12" s="49">
        <f>G12/200*25</f>
        <v>211.75000000000003</v>
      </c>
      <c r="G12" s="36">
        <v>1694</v>
      </c>
      <c r="H12" s="43" t="s">
        <v>38</v>
      </c>
      <c r="I12" s="14"/>
      <c r="J12" s="49">
        <f>F12</f>
        <v>211.75000000000003</v>
      </c>
      <c r="K12" s="50">
        <f>G12</f>
        <v>1694</v>
      </c>
      <c r="L12" s="43" t="s">
        <v>38</v>
      </c>
      <c r="M12" s="22"/>
      <c r="N12" s="49">
        <f>F12</f>
        <v>211.75000000000003</v>
      </c>
      <c r="O12" s="27">
        <f>G12</f>
        <v>1694</v>
      </c>
      <c r="P12" s="43" t="s">
        <v>38</v>
      </c>
    </row>
    <row r="13" spans="1:16" x14ac:dyDescent="0.25">
      <c r="B13" s="244" t="str">
        <f>'MT.ROCK CONSOLIDATION'!B14:D14</f>
        <v>Anfo</v>
      </c>
      <c r="C13" s="244"/>
      <c r="D13" s="244"/>
      <c r="E13" s="2"/>
      <c r="F13" s="49">
        <v>0</v>
      </c>
      <c r="G13" s="83"/>
      <c r="H13" s="43"/>
      <c r="I13" s="14"/>
      <c r="J13" s="49">
        <f>F13</f>
        <v>0</v>
      </c>
      <c r="K13" s="29"/>
      <c r="L13" s="43"/>
      <c r="M13" s="22"/>
      <c r="N13" s="49">
        <f>F13</f>
        <v>0</v>
      </c>
      <c r="O13" s="29"/>
      <c r="P13" s="43"/>
    </row>
    <row r="14" spans="1:16" x14ac:dyDescent="0.25">
      <c r="B14" s="244" t="str">
        <f>'MT.ROCK CONSOLIDATION'!B15:D15</f>
        <v>OBC</v>
      </c>
      <c r="C14" s="244"/>
      <c r="D14" s="244"/>
      <c r="E14" s="2"/>
      <c r="F14" s="3"/>
      <c r="G14" s="27">
        <v>73</v>
      </c>
      <c r="H14" s="43" t="s">
        <v>38</v>
      </c>
      <c r="I14" s="14"/>
      <c r="J14" s="3"/>
      <c r="K14" s="27">
        <f>G14</f>
        <v>73</v>
      </c>
      <c r="L14" s="43" t="s">
        <v>38</v>
      </c>
      <c r="M14" s="22"/>
      <c r="N14" s="3"/>
      <c r="O14" s="27">
        <f>G14</f>
        <v>73</v>
      </c>
      <c r="P14" s="43" t="s">
        <v>38</v>
      </c>
    </row>
    <row r="15" spans="1:16" x14ac:dyDescent="0.25">
      <c r="B15" s="244" t="str">
        <f>'MT.ROCK CONSOLIDATION'!B16:D16</f>
        <v>Safety Fuse</v>
      </c>
      <c r="C15" s="244"/>
      <c r="D15" s="244"/>
      <c r="E15" s="2"/>
      <c r="F15" s="3"/>
      <c r="G15" s="94">
        <f>G14*2.43</f>
        <v>177.39000000000001</v>
      </c>
      <c r="H15" s="43" t="s">
        <v>39</v>
      </c>
      <c r="I15" s="14"/>
      <c r="J15" s="3"/>
      <c r="K15" s="112">
        <f t="shared" ref="K15:K26" si="0">G15</f>
        <v>177.39000000000001</v>
      </c>
      <c r="L15" s="43" t="s">
        <v>39</v>
      </c>
      <c r="M15" s="22"/>
      <c r="N15" s="3"/>
      <c r="O15" s="112">
        <f t="shared" ref="O15:O26" si="1">G15</f>
        <v>177.39000000000001</v>
      </c>
      <c r="P15" s="43" t="s">
        <v>39</v>
      </c>
    </row>
    <row r="16" spans="1:16" x14ac:dyDescent="0.25">
      <c r="B16" s="244" t="str">
        <f>'MT.ROCK CONSOLIDATION'!B17:D17</f>
        <v>SHOCKSTAR Detonator 2.4</v>
      </c>
      <c r="C16" s="244"/>
      <c r="D16" s="244"/>
      <c r="E16" s="2"/>
      <c r="F16" s="3"/>
      <c r="G16" s="27"/>
      <c r="H16" s="43" t="s">
        <v>38</v>
      </c>
      <c r="I16" s="14"/>
      <c r="J16" s="3"/>
      <c r="K16" s="27">
        <f t="shared" ref="K16" si="2">G16</f>
        <v>0</v>
      </c>
      <c r="L16" s="43" t="s">
        <v>38</v>
      </c>
      <c r="M16" s="22"/>
      <c r="N16" s="3"/>
      <c r="O16" s="27">
        <f t="shared" ref="O16" si="3">G16</f>
        <v>0</v>
      </c>
      <c r="P16" s="43" t="s">
        <v>38</v>
      </c>
    </row>
    <row r="17" spans="1:16" x14ac:dyDescent="0.25">
      <c r="B17" s="244" t="str">
        <f>'MT.ROCK CONSOLIDATION'!B18:D18</f>
        <v>SUPREME Detonator 2.4</v>
      </c>
      <c r="C17" s="244"/>
      <c r="D17" s="244"/>
      <c r="E17" s="2"/>
      <c r="F17" s="3"/>
      <c r="G17" s="27"/>
      <c r="H17" s="43" t="s">
        <v>38</v>
      </c>
      <c r="I17" s="14"/>
      <c r="J17" s="3"/>
      <c r="K17" s="27">
        <f t="shared" si="0"/>
        <v>0</v>
      </c>
      <c r="L17" s="43" t="s">
        <v>38</v>
      </c>
      <c r="M17" s="22"/>
      <c r="N17" s="3"/>
      <c r="O17" s="27">
        <f t="shared" si="1"/>
        <v>0</v>
      </c>
      <c r="P17" s="43" t="s">
        <v>38</v>
      </c>
    </row>
    <row r="18" spans="1:16" x14ac:dyDescent="0.25">
      <c r="B18" s="244" t="str">
        <f>'MT.ROCK CONSOLIDATION'!B19:D19</f>
        <v>SUPREME Detonator 3.6</v>
      </c>
      <c r="C18" s="244"/>
      <c r="D18" s="244"/>
      <c r="E18" s="2"/>
      <c r="F18" s="3"/>
      <c r="G18" s="27"/>
      <c r="H18" s="43" t="s">
        <v>38</v>
      </c>
      <c r="I18" s="14"/>
      <c r="J18" s="3"/>
      <c r="K18" s="27">
        <f t="shared" si="0"/>
        <v>0</v>
      </c>
      <c r="L18" s="43" t="s">
        <v>38</v>
      </c>
      <c r="M18" s="22"/>
      <c r="N18" s="3"/>
      <c r="O18" s="27">
        <f t="shared" si="1"/>
        <v>0</v>
      </c>
      <c r="P18" s="43" t="s">
        <v>38</v>
      </c>
    </row>
    <row r="19" spans="1:16" x14ac:dyDescent="0.25">
      <c r="B19" s="244" t="str">
        <f>'MT.ROCK CONSOLIDATION'!B20:D20</f>
        <v>NONEL Detonator 2.4</v>
      </c>
      <c r="C19" s="244"/>
      <c r="D19" s="244"/>
      <c r="E19" s="2"/>
      <c r="F19" s="3"/>
      <c r="G19" s="27"/>
      <c r="H19" s="43" t="s">
        <v>38</v>
      </c>
      <c r="I19" s="14"/>
      <c r="J19" s="3"/>
      <c r="K19" s="27">
        <f t="shared" si="0"/>
        <v>0</v>
      </c>
      <c r="L19" s="43" t="s">
        <v>38</v>
      </c>
      <c r="M19" s="22"/>
      <c r="N19" s="3"/>
      <c r="O19" s="27">
        <f t="shared" si="1"/>
        <v>0</v>
      </c>
      <c r="P19" s="43" t="s">
        <v>38</v>
      </c>
    </row>
    <row r="20" spans="1:16" x14ac:dyDescent="0.25">
      <c r="B20" s="244" t="str">
        <f>'MT.ROCK CONSOLIDATION'!B21:D21</f>
        <v>NONEL Detonator 3.6</v>
      </c>
      <c r="C20" s="244"/>
      <c r="D20" s="244"/>
      <c r="E20" s="2"/>
      <c r="F20" s="3"/>
      <c r="G20" s="27"/>
      <c r="H20" s="43" t="s">
        <v>38</v>
      </c>
      <c r="I20" s="14"/>
      <c r="J20" s="3"/>
      <c r="K20" s="27">
        <f t="shared" si="0"/>
        <v>0</v>
      </c>
      <c r="L20" s="43" t="s">
        <v>38</v>
      </c>
      <c r="M20" s="22"/>
      <c r="N20" s="3"/>
      <c r="O20" s="27">
        <f t="shared" si="1"/>
        <v>0</v>
      </c>
      <c r="P20" s="43" t="s">
        <v>38</v>
      </c>
    </row>
    <row r="21" spans="1:16" x14ac:dyDescent="0.25">
      <c r="B21" s="244" t="str">
        <f>'MT.ROCK CONSOLIDATION'!B22:D22</f>
        <v>Solar Detonating Cord 6</v>
      </c>
      <c r="C21" s="244"/>
      <c r="D21" s="244"/>
      <c r="E21" s="2"/>
      <c r="F21" s="3"/>
      <c r="G21" s="28"/>
      <c r="H21" s="43" t="s">
        <v>39</v>
      </c>
      <c r="I21" s="14"/>
      <c r="J21" s="3"/>
      <c r="K21" s="27">
        <f t="shared" si="0"/>
        <v>0</v>
      </c>
      <c r="L21" s="43" t="s">
        <v>39</v>
      </c>
      <c r="M21" s="22"/>
      <c r="N21" s="3"/>
      <c r="O21" s="27">
        <f t="shared" si="1"/>
        <v>0</v>
      </c>
      <c r="P21" s="43" t="s">
        <v>39</v>
      </c>
    </row>
    <row r="22" spans="1:16" x14ac:dyDescent="0.25">
      <c r="B22" s="244" t="str">
        <f>'MT.ROCK CONSOLIDATION'!B23:D23</f>
        <v>Solar Detonating Cord 10</v>
      </c>
      <c r="C22" s="244"/>
      <c r="D22" s="244"/>
      <c r="E22" s="2"/>
      <c r="F22" s="3"/>
      <c r="G22" s="28">
        <v>406</v>
      </c>
      <c r="H22" s="43" t="s">
        <v>39</v>
      </c>
      <c r="I22" s="14"/>
      <c r="J22" s="3"/>
      <c r="K22" s="27">
        <f t="shared" si="0"/>
        <v>406</v>
      </c>
      <c r="L22" s="43" t="s">
        <v>39</v>
      </c>
      <c r="M22" s="22"/>
      <c r="N22" s="3"/>
      <c r="O22" s="27">
        <f t="shared" si="1"/>
        <v>406</v>
      </c>
      <c r="P22" s="43" t="s">
        <v>39</v>
      </c>
    </row>
    <row r="23" spans="1:16" x14ac:dyDescent="0.25">
      <c r="B23" s="244" t="str">
        <f>'MT.ROCK CONSOLIDATION'!B24:D24</f>
        <v>Solar Detonating Cord 40</v>
      </c>
      <c r="C23" s="244"/>
      <c r="D23" s="244"/>
      <c r="E23" s="2"/>
      <c r="F23" s="3"/>
      <c r="G23" s="28"/>
      <c r="H23" s="43" t="s">
        <v>39</v>
      </c>
      <c r="I23" s="14"/>
      <c r="J23" s="3"/>
      <c r="K23" s="27">
        <f t="shared" si="0"/>
        <v>0</v>
      </c>
      <c r="L23" s="43" t="s">
        <v>39</v>
      </c>
      <c r="M23" s="22"/>
      <c r="N23" s="3"/>
      <c r="O23" s="27">
        <f t="shared" si="1"/>
        <v>0</v>
      </c>
      <c r="P23" s="43" t="s">
        <v>39</v>
      </c>
    </row>
    <row r="24" spans="1:16" x14ac:dyDescent="0.25">
      <c r="B24" s="244" t="str">
        <f>'MT.ROCK CONSOLIDATION'!B25:D25</f>
        <v>Fuse Lighter</v>
      </c>
      <c r="C24" s="244"/>
      <c r="D24" s="244"/>
      <c r="E24" s="2"/>
      <c r="F24" s="3"/>
      <c r="G24" s="27"/>
      <c r="H24" s="43" t="s">
        <v>38</v>
      </c>
      <c r="I24" s="14"/>
      <c r="J24" s="3"/>
      <c r="K24" s="27">
        <f t="shared" si="0"/>
        <v>0</v>
      </c>
      <c r="L24" s="43" t="s">
        <v>38</v>
      </c>
      <c r="M24" s="22"/>
      <c r="N24" s="3"/>
      <c r="O24" s="27">
        <f t="shared" si="1"/>
        <v>0</v>
      </c>
      <c r="P24" s="43" t="s">
        <v>38</v>
      </c>
    </row>
    <row r="25" spans="1:16" x14ac:dyDescent="0.25">
      <c r="B25" s="244" t="str">
        <f>'MT.ROCK CONSOLIDATION'!B26:D26</f>
        <v>BILL WIRE</v>
      </c>
      <c r="C25" s="244"/>
      <c r="D25" s="244"/>
      <c r="E25" s="2"/>
      <c r="F25" s="3"/>
      <c r="G25" s="28"/>
      <c r="H25" s="43" t="s">
        <v>39</v>
      </c>
      <c r="I25" s="14"/>
      <c r="J25" s="3"/>
      <c r="K25" s="27">
        <f t="shared" si="0"/>
        <v>0</v>
      </c>
      <c r="L25" s="43" t="s">
        <v>39</v>
      </c>
      <c r="M25" s="22"/>
      <c r="N25" s="3"/>
      <c r="O25" s="27">
        <f t="shared" si="1"/>
        <v>0</v>
      </c>
      <c r="P25" s="43" t="s">
        <v>39</v>
      </c>
    </row>
    <row r="26" spans="1:16" x14ac:dyDescent="0.25">
      <c r="B26" s="244" t="str">
        <f>'MT.ROCK CONSOLIDATION'!B27:D27</f>
        <v>Solar  EBC</v>
      </c>
      <c r="C26" s="244"/>
      <c r="D26" s="244"/>
      <c r="E26" s="2"/>
      <c r="F26" s="3"/>
      <c r="G26" s="28"/>
      <c r="H26" s="43" t="s">
        <v>38</v>
      </c>
      <c r="I26" s="14"/>
      <c r="J26" s="3"/>
      <c r="K26" s="27">
        <f t="shared" si="0"/>
        <v>0</v>
      </c>
      <c r="L26" s="43" t="s">
        <v>38</v>
      </c>
      <c r="M26" s="22"/>
      <c r="N26" s="3"/>
      <c r="O26" s="27">
        <f t="shared" si="1"/>
        <v>0</v>
      </c>
      <c r="P26" s="43" t="s">
        <v>38</v>
      </c>
    </row>
    <row r="28" spans="1:16" s="6" customFormat="1" ht="15.75" customHeight="1" x14ac:dyDescent="0.3">
      <c r="A28" s="6" t="s">
        <v>12</v>
      </c>
      <c r="B28" s="245" t="s">
        <v>25</v>
      </c>
      <c r="C28" s="245"/>
      <c r="D28" s="245"/>
      <c r="M28" s="102"/>
    </row>
    <row r="29" spans="1:16" x14ac:dyDescent="0.25">
      <c r="C29" s="100" t="s">
        <v>13</v>
      </c>
      <c r="D29" s="31" t="s">
        <v>34</v>
      </c>
      <c r="E29" s="251">
        <v>0</v>
      </c>
      <c r="F29" s="251"/>
      <c r="G29" s="249" t="s">
        <v>18</v>
      </c>
      <c r="H29" s="249"/>
      <c r="I29" s="249"/>
      <c r="J29" s="250">
        <f>G16+G17+G18+G19+G20-J30</f>
        <v>0</v>
      </c>
      <c r="K29" s="250"/>
      <c r="L29" s="22" t="s">
        <v>71</v>
      </c>
      <c r="M29" s="22"/>
      <c r="N29" s="250" t="s">
        <v>32</v>
      </c>
      <c r="O29" s="250"/>
    </row>
    <row r="30" spans="1:16" x14ac:dyDescent="0.25">
      <c r="C30" s="100" t="s">
        <v>14</v>
      </c>
      <c r="D30" s="31" t="s">
        <v>35</v>
      </c>
      <c r="E30" s="251">
        <v>0</v>
      </c>
      <c r="F30" s="251"/>
      <c r="G30" s="249" t="s">
        <v>18</v>
      </c>
      <c r="H30" s="249"/>
      <c r="I30" s="249"/>
      <c r="J30" s="257">
        <v>0</v>
      </c>
      <c r="K30" s="252"/>
      <c r="L30" s="22" t="s">
        <v>71</v>
      </c>
      <c r="M30" s="22"/>
      <c r="N30" s="252" t="s">
        <v>33</v>
      </c>
      <c r="O30" s="252"/>
    </row>
    <row r="31" spans="1:16" x14ac:dyDescent="0.25">
      <c r="J31" s="20"/>
      <c r="K31" s="20"/>
      <c r="L31" s="20"/>
    </row>
    <row r="32" spans="1:16" s="7" customFormat="1" ht="18.75" x14ac:dyDescent="0.3">
      <c r="A32" s="7" t="s">
        <v>15</v>
      </c>
      <c r="B32" s="8" t="s">
        <v>16</v>
      </c>
      <c r="C32" s="8"/>
      <c r="D32" s="8"/>
      <c r="E32" s="6"/>
      <c r="F32" s="6"/>
      <c r="M32" s="24"/>
    </row>
    <row r="33" spans="1:18" s="7" customFormat="1" ht="18.75" x14ac:dyDescent="0.3">
      <c r="B33" s="6" t="s">
        <v>17</v>
      </c>
      <c r="D33" s="40"/>
      <c r="E33" s="40"/>
      <c r="F33" s="40"/>
      <c r="G33" s="40"/>
      <c r="H33" s="40"/>
      <c r="I33" s="40"/>
      <c r="J33" s="40"/>
      <c r="K33" s="40"/>
      <c r="L33" s="40"/>
      <c r="M33" s="111"/>
      <c r="N33" s="40"/>
      <c r="O33" s="40"/>
      <c r="P33" s="40"/>
    </row>
    <row r="34" spans="1:18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109"/>
      <c r="N34" s="32"/>
      <c r="O34" s="32"/>
      <c r="P34" s="32"/>
      <c r="Q34" s="32"/>
      <c r="R34" s="32"/>
    </row>
    <row r="36" spans="1:18" s="4" customFormat="1" ht="18.75" x14ac:dyDescent="0.3">
      <c r="A36" s="240" t="s">
        <v>24</v>
      </c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</row>
    <row r="37" spans="1:18" s="4" customFormat="1" ht="15.75" x14ac:dyDescent="0.25">
      <c r="A37" s="241" t="s">
        <v>28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</row>
    <row r="38" spans="1:18" s="4" customFormat="1" ht="15.75" x14ac:dyDescent="0.25">
      <c r="A38" s="241" t="s">
        <v>1</v>
      </c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</row>
    <row r="39" spans="1:18" s="4" customFormat="1" ht="15.75" x14ac:dyDescent="0.25">
      <c r="M39" s="101"/>
    </row>
    <row r="40" spans="1:18" s="4" customFormat="1" ht="18.75" x14ac:dyDescent="0.3">
      <c r="A40" s="240" t="s">
        <v>26</v>
      </c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</row>
    <row r="42" spans="1:18" s="2" customFormat="1" x14ac:dyDescent="0.25">
      <c r="A42" s="2" t="s">
        <v>3</v>
      </c>
      <c r="C42" s="5" t="s">
        <v>4</v>
      </c>
      <c r="D42" s="11" t="s">
        <v>11</v>
      </c>
      <c r="E42" s="11"/>
      <c r="F42" s="11"/>
      <c r="G42" s="11"/>
      <c r="H42" s="11"/>
      <c r="I42" s="11"/>
      <c r="J42" s="11"/>
      <c r="K42" s="11"/>
      <c r="L42" s="21"/>
      <c r="M42" s="22" t="s">
        <v>5</v>
      </c>
      <c r="N42" s="256"/>
      <c r="O42" s="256"/>
      <c r="P42" s="256"/>
    </row>
    <row r="43" spans="1:18" s="2" customFormat="1" x14ac:dyDescent="0.25">
      <c r="A43" s="2" t="s">
        <v>22</v>
      </c>
      <c r="C43" s="5" t="s">
        <v>4</v>
      </c>
      <c r="D43" s="12" t="s">
        <v>37</v>
      </c>
      <c r="E43" s="13"/>
      <c r="F43" s="13"/>
      <c r="G43" s="13"/>
      <c r="H43" s="21"/>
      <c r="I43" s="10"/>
      <c r="J43" s="10"/>
      <c r="K43" s="10"/>
      <c r="L43" s="10"/>
      <c r="M43" s="22" t="s">
        <v>27</v>
      </c>
      <c r="N43" s="259" t="s">
        <v>36</v>
      </c>
      <c r="O43" s="259"/>
      <c r="P43" s="259"/>
    </row>
    <row r="44" spans="1:18" s="2" customFormat="1" x14ac:dyDescent="0.25">
      <c r="C44" s="5"/>
      <c r="D44" s="211"/>
      <c r="E44" s="21"/>
      <c r="F44" s="21"/>
      <c r="G44" s="21"/>
      <c r="H44" s="21"/>
      <c r="I44" s="10"/>
      <c r="J44" s="10"/>
      <c r="K44" s="10"/>
      <c r="L44" s="10"/>
      <c r="M44" s="22"/>
      <c r="N44" s="212"/>
      <c r="O44" s="212"/>
      <c r="P44" s="212"/>
    </row>
    <row r="45" spans="1:18" s="6" customFormat="1" ht="18.75" x14ac:dyDescent="0.3">
      <c r="A45" s="6" t="s">
        <v>6</v>
      </c>
      <c r="B45" s="248" t="s">
        <v>7</v>
      </c>
      <c r="C45" s="248"/>
      <c r="D45" s="248"/>
      <c r="F45" s="245" t="s">
        <v>8</v>
      </c>
      <c r="G45" s="245"/>
      <c r="H45" s="245"/>
      <c r="I45" s="102"/>
      <c r="J45" s="245" t="s">
        <v>9</v>
      </c>
      <c r="K45" s="245"/>
      <c r="L45" s="245"/>
      <c r="M45" s="102"/>
      <c r="N45" s="245" t="s">
        <v>10</v>
      </c>
      <c r="O45" s="245"/>
      <c r="P45" s="245"/>
    </row>
    <row r="46" spans="1:18" s="6" customFormat="1" ht="18.75" x14ac:dyDescent="0.3">
      <c r="B46" s="104"/>
      <c r="C46" s="104"/>
      <c r="D46" s="104"/>
      <c r="F46" s="103" t="s">
        <v>29</v>
      </c>
      <c r="G46" s="246" t="s">
        <v>30</v>
      </c>
      <c r="H46" s="247"/>
      <c r="I46" s="102"/>
      <c r="J46" s="103" t="s">
        <v>29</v>
      </c>
      <c r="K46" s="246" t="s">
        <v>30</v>
      </c>
      <c r="L46" s="247"/>
      <c r="M46" s="102"/>
      <c r="N46" s="103" t="s">
        <v>29</v>
      </c>
      <c r="O46" s="246" t="s">
        <v>30</v>
      </c>
      <c r="P46" s="247"/>
    </row>
    <row r="47" spans="1:18" x14ac:dyDescent="0.25">
      <c r="B47" s="244" t="str">
        <f>'MT.ROCK CONSOLIDATION'!B12:D12</f>
        <v>Emulsion Super Power 208</v>
      </c>
      <c r="C47" s="244"/>
      <c r="D47" s="244"/>
      <c r="E47" s="2"/>
      <c r="F47" s="49">
        <f>G47/208*25</f>
        <v>0</v>
      </c>
      <c r="G47" s="36"/>
      <c r="H47" s="43" t="s">
        <v>38</v>
      </c>
      <c r="I47" s="14"/>
      <c r="J47" s="49">
        <f>F47</f>
        <v>0</v>
      </c>
      <c r="K47" s="50">
        <f>G47</f>
        <v>0</v>
      </c>
      <c r="L47" s="43" t="s">
        <v>38</v>
      </c>
      <c r="M47" s="22"/>
      <c r="N47" s="49">
        <f>F47</f>
        <v>0</v>
      </c>
      <c r="O47" s="27">
        <f>G47</f>
        <v>0</v>
      </c>
      <c r="P47" s="43" t="s">
        <v>38</v>
      </c>
    </row>
    <row r="48" spans="1:18" x14ac:dyDescent="0.25">
      <c r="B48" s="244" t="str">
        <f>'MT.ROCK CONSOLIDATION'!B13:D13</f>
        <v>NEOGEL 200</v>
      </c>
      <c r="C48" s="244"/>
      <c r="D48" s="244"/>
      <c r="E48" s="2"/>
      <c r="F48" s="49">
        <f>G48/200*25</f>
        <v>0</v>
      </c>
      <c r="G48" s="36"/>
      <c r="H48" s="43" t="s">
        <v>38</v>
      </c>
      <c r="I48" s="14"/>
      <c r="J48" s="49">
        <f>F48</f>
        <v>0</v>
      </c>
      <c r="K48" s="50">
        <f>G48</f>
        <v>0</v>
      </c>
      <c r="L48" s="43" t="s">
        <v>38</v>
      </c>
      <c r="M48" s="22"/>
      <c r="N48" s="49">
        <f>F48</f>
        <v>0</v>
      </c>
      <c r="O48" s="27">
        <f>G48</f>
        <v>0</v>
      </c>
      <c r="P48" s="43" t="s">
        <v>38</v>
      </c>
    </row>
    <row r="49" spans="1:16" x14ac:dyDescent="0.25">
      <c r="B49" s="244" t="str">
        <f>'MT.ROCK CONSOLIDATION'!B14:D14</f>
        <v>Anfo</v>
      </c>
      <c r="C49" s="244"/>
      <c r="D49" s="244"/>
      <c r="E49" s="2"/>
      <c r="F49" s="49">
        <f>'7.'!F52</f>
        <v>0</v>
      </c>
      <c r="G49" s="27"/>
      <c r="H49" s="43"/>
      <c r="I49" s="14"/>
      <c r="J49" s="49">
        <f>F49</f>
        <v>0</v>
      </c>
      <c r="K49" s="29"/>
      <c r="L49" s="43"/>
      <c r="M49" s="22"/>
      <c r="N49" s="49">
        <f>F49</f>
        <v>0</v>
      </c>
      <c r="O49" s="29"/>
      <c r="P49" s="43"/>
    </row>
    <row r="50" spans="1:16" x14ac:dyDescent="0.25">
      <c r="B50" s="244" t="str">
        <f>'MT.ROCK CONSOLIDATION'!B15:D15</f>
        <v>OBC</v>
      </c>
      <c r="C50" s="244"/>
      <c r="D50" s="244"/>
      <c r="E50" s="2"/>
      <c r="F50" s="3"/>
      <c r="G50" s="27">
        <f>'7.'!G53</f>
        <v>0</v>
      </c>
      <c r="H50" s="43" t="s">
        <v>38</v>
      </c>
      <c r="I50" s="14"/>
      <c r="J50" s="3"/>
      <c r="K50" s="27">
        <f>G50</f>
        <v>0</v>
      </c>
      <c r="L50" s="43" t="s">
        <v>38</v>
      </c>
      <c r="M50" s="22"/>
      <c r="N50" s="3"/>
      <c r="O50" s="27">
        <f>G50</f>
        <v>0</v>
      </c>
      <c r="P50" s="43" t="s">
        <v>38</v>
      </c>
    </row>
    <row r="51" spans="1:16" x14ac:dyDescent="0.25">
      <c r="B51" s="244" t="str">
        <f>'MT.ROCK CONSOLIDATION'!B16:D16</f>
        <v>Safety Fuse</v>
      </c>
      <c r="C51" s="244"/>
      <c r="D51" s="244"/>
      <c r="E51" s="2"/>
      <c r="F51" s="3"/>
      <c r="G51" s="51">
        <f>G50*2.43</f>
        <v>0</v>
      </c>
      <c r="H51" s="43" t="s">
        <v>39</v>
      </c>
      <c r="I51" s="14"/>
      <c r="J51" s="3"/>
      <c r="K51" s="83">
        <f t="shared" ref="K51:K62" si="4">G51</f>
        <v>0</v>
      </c>
      <c r="L51" s="43" t="s">
        <v>39</v>
      </c>
      <c r="M51" s="22"/>
      <c r="N51" s="3"/>
      <c r="O51" s="83">
        <f t="shared" ref="O51:O62" si="5">G51</f>
        <v>0</v>
      </c>
      <c r="P51" s="43" t="s">
        <v>39</v>
      </c>
    </row>
    <row r="52" spans="1:16" x14ac:dyDescent="0.25">
      <c r="B52" s="244" t="str">
        <f>'MT.ROCK CONSOLIDATION'!B17:D17</f>
        <v>SHOCKSTAR Detonator 2.4</v>
      </c>
      <c r="C52" s="244"/>
      <c r="D52" s="244"/>
      <c r="E52" s="2"/>
      <c r="F52" s="3"/>
      <c r="G52" s="27"/>
      <c r="H52" s="43" t="s">
        <v>38</v>
      </c>
      <c r="I52" s="14"/>
      <c r="J52" s="3"/>
      <c r="K52" s="27">
        <f t="shared" ref="K52" si="6">G52</f>
        <v>0</v>
      </c>
      <c r="L52" s="43" t="s">
        <v>38</v>
      </c>
      <c r="M52" s="22"/>
      <c r="N52" s="3"/>
      <c r="O52" s="27">
        <f t="shared" ref="O52" si="7">G52</f>
        <v>0</v>
      </c>
      <c r="P52" s="43" t="s">
        <v>38</v>
      </c>
    </row>
    <row r="53" spans="1:16" x14ac:dyDescent="0.25">
      <c r="B53" s="244" t="str">
        <f>'MT.ROCK CONSOLIDATION'!B18:D18</f>
        <v>SUPREME Detonator 2.4</v>
      </c>
      <c r="C53" s="244"/>
      <c r="D53" s="244"/>
      <c r="E53" s="2"/>
      <c r="F53" s="3"/>
      <c r="G53" s="27"/>
      <c r="H53" s="43" t="s">
        <v>38</v>
      </c>
      <c r="I53" s="14"/>
      <c r="J53" s="3"/>
      <c r="K53" s="27">
        <f t="shared" si="4"/>
        <v>0</v>
      </c>
      <c r="L53" s="43" t="s">
        <v>38</v>
      </c>
      <c r="M53" s="22"/>
      <c r="N53" s="3"/>
      <c r="O53" s="27">
        <f t="shared" si="5"/>
        <v>0</v>
      </c>
      <c r="P53" s="43" t="s">
        <v>38</v>
      </c>
    </row>
    <row r="54" spans="1:16" x14ac:dyDescent="0.25">
      <c r="B54" s="244" t="str">
        <f>'MT.ROCK CONSOLIDATION'!B19:D19</f>
        <v>SUPREME Detonator 3.6</v>
      </c>
      <c r="C54" s="244"/>
      <c r="D54" s="244"/>
      <c r="E54" s="2"/>
      <c r="F54" s="3"/>
      <c r="G54" s="27"/>
      <c r="H54" s="43" t="s">
        <v>38</v>
      </c>
      <c r="I54" s="14"/>
      <c r="J54" s="3"/>
      <c r="K54" s="27">
        <f t="shared" si="4"/>
        <v>0</v>
      </c>
      <c r="L54" s="43" t="s">
        <v>38</v>
      </c>
      <c r="M54" s="22"/>
      <c r="N54" s="3"/>
      <c r="O54" s="27">
        <f t="shared" si="5"/>
        <v>0</v>
      </c>
      <c r="P54" s="43" t="s">
        <v>38</v>
      </c>
    </row>
    <row r="55" spans="1:16" x14ac:dyDescent="0.25">
      <c r="B55" s="244" t="str">
        <f>'MT.ROCK CONSOLIDATION'!B20:D20</f>
        <v>NONEL Detonator 2.4</v>
      </c>
      <c r="C55" s="244"/>
      <c r="D55" s="244"/>
      <c r="E55" s="2"/>
      <c r="F55" s="3"/>
      <c r="G55" s="27"/>
      <c r="H55" s="43" t="s">
        <v>38</v>
      </c>
      <c r="I55" s="14"/>
      <c r="J55" s="3"/>
      <c r="K55" s="27">
        <f t="shared" si="4"/>
        <v>0</v>
      </c>
      <c r="L55" s="43" t="s">
        <v>38</v>
      </c>
      <c r="M55" s="22"/>
      <c r="N55" s="3"/>
      <c r="O55" s="27">
        <f t="shared" si="5"/>
        <v>0</v>
      </c>
      <c r="P55" s="43" t="s">
        <v>38</v>
      </c>
    </row>
    <row r="56" spans="1:16" x14ac:dyDescent="0.25">
      <c r="B56" s="244" t="str">
        <f>'MT.ROCK CONSOLIDATION'!B21:D21</f>
        <v>NONEL Detonator 3.6</v>
      </c>
      <c r="C56" s="244"/>
      <c r="D56" s="244"/>
      <c r="E56" s="2"/>
      <c r="F56" s="3"/>
      <c r="G56" s="27"/>
      <c r="H56" s="43" t="s">
        <v>38</v>
      </c>
      <c r="I56" s="14"/>
      <c r="J56" s="3"/>
      <c r="K56" s="27">
        <f t="shared" si="4"/>
        <v>0</v>
      </c>
      <c r="L56" s="43" t="s">
        <v>38</v>
      </c>
      <c r="M56" s="22"/>
      <c r="N56" s="3"/>
      <c r="O56" s="27">
        <f t="shared" si="5"/>
        <v>0</v>
      </c>
      <c r="P56" s="43" t="s">
        <v>38</v>
      </c>
    </row>
    <row r="57" spans="1:16" x14ac:dyDescent="0.25">
      <c r="B57" s="244" t="str">
        <f>'MT.ROCK CONSOLIDATION'!B22:D22</f>
        <v>Solar Detonating Cord 6</v>
      </c>
      <c r="C57" s="244"/>
      <c r="D57" s="244"/>
      <c r="E57" s="2"/>
      <c r="F57" s="3"/>
      <c r="G57" s="28"/>
      <c r="H57" s="43" t="s">
        <v>39</v>
      </c>
      <c r="I57" s="14"/>
      <c r="J57" s="3"/>
      <c r="K57" s="27">
        <f t="shared" si="4"/>
        <v>0</v>
      </c>
      <c r="L57" s="43" t="s">
        <v>39</v>
      </c>
      <c r="M57" s="22"/>
      <c r="N57" s="3"/>
      <c r="O57" s="27">
        <f t="shared" si="5"/>
        <v>0</v>
      </c>
      <c r="P57" s="43" t="s">
        <v>39</v>
      </c>
    </row>
    <row r="58" spans="1:16" x14ac:dyDescent="0.25">
      <c r="B58" s="244" t="str">
        <f>'MT.ROCK CONSOLIDATION'!B23:D23</f>
        <v>Solar Detonating Cord 10</v>
      </c>
      <c r="C58" s="244"/>
      <c r="D58" s="244"/>
      <c r="E58" s="2"/>
      <c r="F58" s="3"/>
      <c r="G58" s="28"/>
      <c r="H58" s="43" t="s">
        <v>39</v>
      </c>
      <c r="I58" s="14"/>
      <c r="J58" s="3"/>
      <c r="K58" s="27">
        <f t="shared" si="4"/>
        <v>0</v>
      </c>
      <c r="L58" s="43" t="s">
        <v>39</v>
      </c>
      <c r="M58" s="22"/>
      <c r="N58" s="3"/>
      <c r="O58" s="27">
        <f t="shared" si="5"/>
        <v>0</v>
      </c>
      <c r="P58" s="43" t="s">
        <v>39</v>
      </c>
    </row>
    <row r="59" spans="1:16" x14ac:dyDescent="0.25">
      <c r="B59" s="244" t="str">
        <f>'MT.ROCK CONSOLIDATION'!B24:D24</f>
        <v>Solar Detonating Cord 40</v>
      </c>
      <c r="C59" s="244"/>
      <c r="D59" s="244"/>
      <c r="E59" s="2"/>
      <c r="F59" s="3"/>
      <c r="G59" s="28"/>
      <c r="H59" s="43" t="s">
        <v>39</v>
      </c>
      <c r="I59" s="14"/>
      <c r="J59" s="3"/>
      <c r="K59" s="27">
        <f t="shared" si="4"/>
        <v>0</v>
      </c>
      <c r="L59" s="43" t="s">
        <v>39</v>
      </c>
      <c r="M59" s="22"/>
      <c r="N59" s="3"/>
      <c r="O59" s="27">
        <f t="shared" si="5"/>
        <v>0</v>
      </c>
      <c r="P59" s="43" t="s">
        <v>39</v>
      </c>
    </row>
    <row r="60" spans="1:16" x14ac:dyDescent="0.25">
      <c r="B60" s="244" t="str">
        <f>'MT.ROCK CONSOLIDATION'!B25:D25</f>
        <v>Fuse Lighter</v>
      </c>
      <c r="C60" s="244"/>
      <c r="D60" s="244"/>
      <c r="E60" s="2"/>
      <c r="F60" s="3"/>
      <c r="G60" s="27"/>
      <c r="H60" s="43" t="s">
        <v>38</v>
      </c>
      <c r="I60" s="14"/>
      <c r="J60" s="3"/>
      <c r="K60" s="27">
        <f t="shared" si="4"/>
        <v>0</v>
      </c>
      <c r="L60" s="43" t="s">
        <v>38</v>
      </c>
      <c r="M60" s="22"/>
      <c r="N60" s="3"/>
      <c r="O60" s="27">
        <f t="shared" si="5"/>
        <v>0</v>
      </c>
      <c r="P60" s="43" t="s">
        <v>38</v>
      </c>
    </row>
    <row r="61" spans="1:16" x14ac:dyDescent="0.25">
      <c r="B61" s="244" t="str">
        <f>'MT.ROCK CONSOLIDATION'!B26:D26</f>
        <v>BILL WIRE</v>
      </c>
      <c r="C61" s="244"/>
      <c r="D61" s="244"/>
      <c r="E61" s="2"/>
      <c r="F61" s="3"/>
      <c r="G61" s="28"/>
      <c r="H61" s="43" t="s">
        <v>39</v>
      </c>
      <c r="I61" s="14"/>
      <c r="J61" s="3"/>
      <c r="K61" s="27">
        <f t="shared" si="4"/>
        <v>0</v>
      </c>
      <c r="L61" s="43" t="s">
        <v>39</v>
      </c>
      <c r="M61" s="22"/>
      <c r="N61" s="3"/>
      <c r="O61" s="27">
        <f t="shared" si="5"/>
        <v>0</v>
      </c>
      <c r="P61" s="43" t="s">
        <v>39</v>
      </c>
    </row>
    <row r="62" spans="1:16" x14ac:dyDescent="0.25">
      <c r="B62" s="244" t="str">
        <f>'MT.ROCK CONSOLIDATION'!B27:D27</f>
        <v>Solar  EBC</v>
      </c>
      <c r="C62" s="244"/>
      <c r="D62" s="244"/>
      <c r="E62" s="2"/>
      <c r="F62" s="3"/>
      <c r="G62" s="28"/>
      <c r="H62" s="43" t="s">
        <v>38</v>
      </c>
      <c r="I62" s="14"/>
      <c r="J62" s="3"/>
      <c r="K62" s="27">
        <f t="shared" si="4"/>
        <v>0</v>
      </c>
      <c r="L62" s="43" t="s">
        <v>38</v>
      </c>
      <c r="M62" s="22"/>
      <c r="N62" s="3"/>
      <c r="O62" s="27">
        <f t="shared" si="5"/>
        <v>0</v>
      </c>
      <c r="P62" s="43" t="s">
        <v>38</v>
      </c>
    </row>
    <row r="64" spans="1:16" s="6" customFormat="1" ht="18.75" x14ac:dyDescent="0.3">
      <c r="A64" s="6" t="s">
        <v>12</v>
      </c>
      <c r="B64" s="245" t="s">
        <v>25</v>
      </c>
      <c r="C64" s="245"/>
      <c r="D64" s="245"/>
      <c r="M64" s="102"/>
    </row>
    <row r="65" spans="1:16" x14ac:dyDescent="0.25">
      <c r="C65" s="100" t="s">
        <v>13</v>
      </c>
      <c r="D65" s="31" t="s">
        <v>34</v>
      </c>
      <c r="E65" s="251">
        <v>0</v>
      </c>
      <c r="F65" s="251"/>
      <c r="G65" s="249" t="s">
        <v>18</v>
      </c>
      <c r="H65" s="249"/>
      <c r="I65" s="249"/>
      <c r="J65" s="250">
        <f>G52+G53+G54+G55+G56-J66</f>
        <v>0</v>
      </c>
      <c r="K65" s="250"/>
      <c r="L65" s="22" t="s">
        <v>71</v>
      </c>
      <c r="M65" s="22"/>
      <c r="N65" s="250" t="s">
        <v>32</v>
      </c>
      <c r="O65" s="250"/>
    </row>
    <row r="66" spans="1:16" x14ac:dyDescent="0.25">
      <c r="C66" s="100" t="s">
        <v>14</v>
      </c>
      <c r="D66" s="31" t="s">
        <v>35</v>
      </c>
      <c r="E66" s="251">
        <v>0</v>
      </c>
      <c r="F66" s="251"/>
      <c r="G66" s="249" t="s">
        <v>18</v>
      </c>
      <c r="H66" s="249"/>
      <c r="I66" s="249"/>
      <c r="J66" s="257">
        <v>0</v>
      </c>
      <c r="K66" s="252"/>
      <c r="L66" s="22" t="s">
        <v>71</v>
      </c>
      <c r="M66" s="22"/>
      <c r="N66" s="252" t="s">
        <v>33</v>
      </c>
      <c r="O66" s="252"/>
    </row>
    <row r="67" spans="1:16" x14ac:dyDescent="0.25">
      <c r="K67" s="20"/>
      <c r="L67" s="20"/>
    </row>
    <row r="68" spans="1:16" s="7" customFormat="1" ht="18.75" x14ac:dyDescent="0.3">
      <c r="A68" s="7" t="s">
        <v>15</v>
      </c>
      <c r="B68" s="8" t="s">
        <v>16</v>
      </c>
      <c r="C68" s="8"/>
      <c r="D68" s="8"/>
      <c r="E68" s="6"/>
      <c r="F68" s="6"/>
      <c r="M68" s="24"/>
    </row>
    <row r="69" spans="1:16" s="7" customFormat="1" ht="18.75" x14ac:dyDescent="0.3">
      <c r="B69" s="6" t="s">
        <v>17</v>
      </c>
      <c r="D69" s="9"/>
      <c r="E69" s="9"/>
      <c r="F69" s="9"/>
      <c r="G69" s="9"/>
      <c r="H69" s="9"/>
      <c r="I69" s="9"/>
      <c r="J69" s="9"/>
      <c r="K69" s="9"/>
      <c r="L69" s="9"/>
      <c r="M69" s="25"/>
      <c r="N69" s="9"/>
      <c r="O69" s="9"/>
      <c r="P69" s="9"/>
    </row>
    <row r="70" spans="1:16" x14ac:dyDescent="0.25">
      <c r="D70" s="32"/>
      <c r="E70" s="32"/>
      <c r="F70" s="32"/>
      <c r="G70" s="32"/>
      <c r="H70" s="32"/>
      <c r="I70" s="32"/>
      <c r="J70" s="32"/>
      <c r="K70" s="32"/>
      <c r="L70" s="32"/>
      <c r="M70" s="109"/>
      <c r="N70" s="32"/>
      <c r="O70" s="32"/>
      <c r="P70" s="32"/>
    </row>
    <row r="71" spans="1:16" x14ac:dyDescent="0.25">
      <c r="D71" s="32"/>
      <c r="E71" s="32"/>
      <c r="F71" s="32"/>
      <c r="G71" s="32"/>
      <c r="H71" s="32"/>
      <c r="I71" s="32"/>
      <c r="J71" s="32"/>
      <c r="K71" s="32"/>
      <c r="L71" s="32"/>
      <c r="M71" s="109"/>
      <c r="N71" s="32"/>
      <c r="O71" s="32"/>
      <c r="P71" s="32"/>
    </row>
    <row r="72" spans="1:16" x14ac:dyDescent="0.25">
      <c r="D72" s="32"/>
      <c r="E72" s="32"/>
      <c r="F72" s="32"/>
      <c r="G72" s="32"/>
      <c r="H72" s="32"/>
      <c r="I72" s="32"/>
      <c r="J72" s="32"/>
      <c r="K72" s="32"/>
      <c r="L72" s="32"/>
      <c r="M72" s="109"/>
      <c r="N72" s="32"/>
      <c r="O72" s="32"/>
      <c r="P72" s="32"/>
    </row>
  </sheetData>
  <mergeCells count="76">
    <mergeCell ref="N7:P7"/>
    <mergeCell ref="A1:O1"/>
    <mergeCell ref="A2:O2"/>
    <mergeCell ref="A3:O3"/>
    <mergeCell ref="A5:O5"/>
    <mergeCell ref="N6:P6"/>
    <mergeCell ref="B9:D9"/>
    <mergeCell ref="F9:H9"/>
    <mergeCell ref="J9:L9"/>
    <mergeCell ref="N9:P9"/>
    <mergeCell ref="G10:H10"/>
    <mergeCell ref="K10:L10"/>
    <mergeCell ref="O10:P10"/>
    <mergeCell ref="B23:D23"/>
    <mergeCell ref="B11:D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16:D16"/>
    <mergeCell ref="B24:D24"/>
    <mergeCell ref="B25:D25"/>
    <mergeCell ref="B26:D26"/>
    <mergeCell ref="B28:D28"/>
    <mergeCell ref="E29:F29"/>
    <mergeCell ref="J29:K29"/>
    <mergeCell ref="N29:O29"/>
    <mergeCell ref="E30:F30"/>
    <mergeCell ref="G30:I30"/>
    <mergeCell ref="J30:K30"/>
    <mergeCell ref="N30:O30"/>
    <mergeCell ref="G29:I29"/>
    <mergeCell ref="B45:D45"/>
    <mergeCell ref="F45:H45"/>
    <mergeCell ref="J45:L45"/>
    <mergeCell ref="A36:O36"/>
    <mergeCell ref="A37:O37"/>
    <mergeCell ref="A38:O38"/>
    <mergeCell ref="A40:O40"/>
    <mergeCell ref="N45:P45"/>
    <mergeCell ref="N42:P42"/>
    <mergeCell ref="N43:P43"/>
    <mergeCell ref="G46:H46"/>
    <mergeCell ref="K46:L46"/>
    <mergeCell ref="O46:P46"/>
    <mergeCell ref="B59:D59"/>
    <mergeCell ref="B47:D47"/>
    <mergeCell ref="B48:D48"/>
    <mergeCell ref="B49:D49"/>
    <mergeCell ref="B50:D50"/>
    <mergeCell ref="B51:D51"/>
    <mergeCell ref="B53:D53"/>
    <mergeCell ref="B54:D54"/>
    <mergeCell ref="B55:D55"/>
    <mergeCell ref="B56:D56"/>
    <mergeCell ref="B57:D57"/>
    <mergeCell ref="B58:D58"/>
    <mergeCell ref="B52:D52"/>
    <mergeCell ref="B60:D60"/>
    <mergeCell ref="B61:D61"/>
    <mergeCell ref="B62:D62"/>
    <mergeCell ref="B64:D64"/>
    <mergeCell ref="E65:F65"/>
    <mergeCell ref="J65:K65"/>
    <mergeCell ref="N65:O65"/>
    <mergeCell ref="E66:F66"/>
    <mergeCell ref="G66:I66"/>
    <mergeCell ref="J66:K66"/>
    <mergeCell ref="N66:O66"/>
    <mergeCell ref="G65:I65"/>
  </mergeCells>
  <pageMargins left="0.7" right="0.2" top="0.19" bottom="0.25" header="0.3" footer="0.3"/>
  <pageSetup paperSize="9" scale="7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R67"/>
  <sheetViews>
    <sheetView topLeftCell="A34" zoomScaleNormal="100" workbookViewId="0">
      <selection activeCell="N41" sqref="N41:P41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130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6" s="4" customFormat="1" ht="15.75" x14ac:dyDescent="0.25">
      <c r="M4" s="121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f>'8'!N6</f>
        <v>0</v>
      </c>
      <c r="O6" s="256"/>
      <c r="P6" s="256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1"/>
      <c r="I7" s="10"/>
      <c r="J7" s="10"/>
      <c r="K7" s="10"/>
      <c r="L7" s="10"/>
      <c r="M7" s="22" t="s">
        <v>27</v>
      </c>
      <c r="N7" s="259" t="s">
        <v>36</v>
      </c>
      <c r="O7" s="259"/>
      <c r="P7" s="259"/>
    </row>
    <row r="9" spans="1:16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123"/>
      <c r="J9" s="245" t="s">
        <v>9</v>
      </c>
      <c r="K9" s="245"/>
      <c r="L9" s="245"/>
      <c r="M9" s="123"/>
      <c r="N9" s="245" t="s">
        <v>10</v>
      </c>
      <c r="O9" s="245"/>
      <c r="P9" s="245"/>
    </row>
    <row r="10" spans="1:16" s="6" customFormat="1" ht="18.75" x14ac:dyDescent="0.3">
      <c r="B10" s="124"/>
      <c r="C10" s="124"/>
      <c r="D10" s="124"/>
      <c r="F10" s="122" t="s">
        <v>29</v>
      </c>
      <c r="G10" s="246" t="s">
        <v>30</v>
      </c>
      <c r="H10" s="247"/>
      <c r="I10" s="123"/>
      <c r="J10" s="122" t="s">
        <v>29</v>
      </c>
      <c r="K10" s="246" t="s">
        <v>30</v>
      </c>
      <c r="L10" s="247"/>
      <c r="M10" s="123"/>
      <c r="N10" s="122" t="s">
        <v>29</v>
      </c>
      <c r="O10" s="246" t="s">
        <v>30</v>
      </c>
      <c r="P10" s="247"/>
    </row>
    <row r="11" spans="1:16" x14ac:dyDescent="0.25">
      <c r="B11" s="244" t="s">
        <v>78</v>
      </c>
      <c r="C11" s="244"/>
      <c r="D11" s="244"/>
      <c r="E11" s="2"/>
      <c r="F11" s="49">
        <f>G11/208*25</f>
        <v>0</v>
      </c>
      <c r="G11" s="36"/>
      <c r="H11" s="43" t="s">
        <v>38</v>
      </c>
      <c r="I11" s="14"/>
      <c r="J11" s="49">
        <f>F11</f>
        <v>0</v>
      </c>
      <c r="K11" s="50">
        <f>G11</f>
        <v>0</v>
      </c>
      <c r="L11" s="43" t="s">
        <v>38</v>
      </c>
      <c r="M11" s="22"/>
      <c r="N11" s="49">
        <f>F11</f>
        <v>0</v>
      </c>
      <c r="O11" s="27">
        <f>G11</f>
        <v>0</v>
      </c>
      <c r="P11" s="43" t="s">
        <v>38</v>
      </c>
    </row>
    <row r="12" spans="1:16" x14ac:dyDescent="0.25">
      <c r="B12" s="244" t="s">
        <v>74</v>
      </c>
      <c r="C12" s="244"/>
      <c r="D12" s="244"/>
      <c r="E12" s="2"/>
      <c r="F12" s="49">
        <f>G12/208*25</f>
        <v>0</v>
      </c>
      <c r="G12" s="36"/>
      <c r="H12" s="43" t="s">
        <v>38</v>
      </c>
      <c r="I12" s="14"/>
      <c r="J12" s="49">
        <f>F12</f>
        <v>0</v>
      </c>
      <c r="K12" s="50">
        <f>G12</f>
        <v>0</v>
      </c>
      <c r="L12" s="43" t="s">
        <v>38</v>
      </c>
      <c r="M12" s="22"/>
      <c r="N12" s="49">
        <f>F12</f>
        <v>0</v>
      </c>
      <c r="O12" s="27">
        <f>G12</f>
        <v>0</v>
      </c>
      <c r="P12" s="43" t="s">
        <v>38</v>
      </c>
    </row>
    <row r="13" spans="1:16" x14ac:dyDescent="0.25">
      <c r="B13" s="244" t="s">
        <v>49</v>
      </c>
      <c r="C13" s="244"/>
      <c r="D13" s="244"/>
      <c r="E13" s="2"/>
      <c r="F13" s="49"/>
      <c r="G13" s="83"/>
      <c r="H13" s="43"/>
      <c r="I13" s="14"/>
      <c r="J13" s="49">
        <f>F13</f>
        <v>0</v>
      </c>
      <c r="K13" s="29"/>
      <c r="L13" s="43"/>
      <c r="M13" s="22"/>
      <c r="N13" s="49">
        <f>F13</f>
        <v>0</v>
      </c>
      <c r="O13" s="29"/>
      <c r="P13" s="43"/>
    </row>
    <row r="14" spans="1:16" x14ac:dyDescent="0.25">
      <c r="B14" s="244" t="s">
        <v>50</v>
      </c>
      <c r="C14" s="244"/>
      <c r="D14" s="244"/>
      <c r="E14" s="2"/>
      <c r="F14" s="3"/>
      <c r="G14" s="27"/>
      <c r="H14" s="43" t="s">
        <v>38</v>
      </c>
      <c r="I14" s="14"/>
      <c r="J14" s="3"/>
      <c r="K14" s="27">
        <f>G14</f>
        <v>0</v>
      </c>
      <c r="L14" s="43" t="s">
        <v>38</v>
      </c>
      <c r="M14" s="22"/>
      <c r="N14" s="3"/>
      <c r="O14" s="27">
        <f>G14</f>
        <v>0</v>
      </c>
      <c r="P14" s="43" t="s">
        <v>38</v>
      </c>
    </row>
    <row r="15" spans="1:16" x14ac:dyDescent="0.25">
      <c r="B15" s="244" t="s">
        <v>51</v>
      </c>
      <c r="C15" s="244"/>
      <c r="D15" s="244"/>
      <c r="E15" s="2"/>
      <c r="F15" s="3"/>
      <c r="G15" s="94">
        <f>G14*2.43</f>
        <v>0</v>
      </c>
      <c r="H15" s="43" t="s">
        <v>39</v>
      </c>
      <c r="I15" s="14"/>
      <c r="J15" s="3"/>
      <c r="K15" s="112">
        <f t="shared" ref="K15:K25" si="0">G15</f>
        <v>0</v>
      </c>
      <c r="L15" s="43" t="s">
        <v>39</v>
      </c>
      <c r="M15" s="22"/>
      <c r="N15" s="3"/>
      <c r="O15" s="112">
        <f t="shared" ref="O15:O25" si="1">G15</f>
        <v>0</v>
      </c>
      <c r="P15" s="43" t="s">
        <v>39</v>
      </c>
    </row>
    <row r="16" spans="1:16" x14ac:dyDescent="0.25">
      <c r="B16" s="244" t="s">
        <v>63</v>
      </c>
      <c r="C16" s="244"/>
      <c r="D16" s="244"/>
      <c r="E16" s="2"/>
      <c r="F16" s="3"/>
      <c r="G16" s="27"/>
      <c r="H16" s="43" t="s">
        <v>38</v>
      </c>
      <c r="I16" s="14"/>
      <c r="J16" s="3"/>
      <c r="K16" s="27">
        <f t="shared" si="0"/>
        <v>0</v>
      </c>
      <c r="L16" s="43" t="s">
        <v>38</v>
      </c>
      <c r="M16" s="22"/>
      <c r="N16" s="3"/>
      <c r="O16" s="27">
        <f t="shared" si="1"/>
        <v>0</v>
      </c>
      <c r="P16" s="43" t="s">
        <v>38</v>
      </c>
    </row>
    <row r="17" spans="1:16" x14ac:dyDescent="0.25">
      <c r="B17" s="244" t="s">
        <v>64</v>
      </c>
      <c r="C17" s="244"/>
      <c r="D17" s="244"/>
      <c r="E17" s="2"/>
      <c r="F17" s="3"/>
      <c r="G17" s="27"/>
      <c r="H17" s="43" t="s">
        <v>38</v>
      </c>
      <c r="I17" s="14"/>
      <c r="J17" s="3"/>
      <c r="K17" s="27">
        <f t="shared" si="0"/>
        <v>0</v>
      </c>
      <c r="L17" s="43" t="s">
        <v>38</v>
      </c>
      <c r="M17" s="22"/>
      <c r="N17" s="3"/>
      <c r="O17" s="27">
        <f t="shared" si="1"/>
        <v>0</v>
      </c>
      <c r="P17" s="43" t="s">
        <v>38</v>
      </c>
    </row>
    <row r="18" spans="1:16" x14ac:dyDescent="0.25">
      <c r="B18" s="244" t="s">
        <v>65</v>
      </c>
      <c r="C18" s="244"/>
      <c r="D18" s="244"/>
      <c r="E18" s="2"/>
      <c r="F18" s="3"/>
      <c r="G18" s="27"/>
      <c r="H18" s="43" t="s">
        <v>38</v>
      </c>
      <c r="I18" s="14"/>
      <c r="J18" s="3"/>
      <c r="K18" s="27">
        <f t="shared" si="0"/>
        <v>0</v>
      </c>
      <c r="L18" s="43" t="s">
        <v>38</v>
      </c>
      <c r="M18" s="22"/>
      <c r="N18" s="3"/>
      <c r="O18" s="27">
        <f t="shared" si="1"/>
        <v>0</v>
      </c>
      <c r="P18" s="43" t="s">
        <v>38</v>
      </c>
    </row>
    <row r="19" spans="1:16" x14ac:dyDescent="0.25">
      <c r="B19" s="244" t="s">
        <v>66</v>
      </c>
      <c r="C19" s="244"/>
      <c r="D19" s="244"/>
      <c r="E19" s="2"/>
      <c r="F19" s="3"/>
      <c r="G19" s="27"/>
      <c r="H19" s="43" t="s">
        <v>38</v>
      </c>
      <c r="I19" s="14"/>
      <c r="J19" s="3"/>
      <c r="K19" s="27">
        <f t="shared" si="0"/>
        <v>0</v>
      </c>
      <c r="L19" s="43" t="s">
        <v>38</v>
      </c>
      <c r="M19" s="22"/>
      <c r="N19" s="3"/>
      <c r="O19" s="27">
        <f t="shared" si="1"/>
        <v>0</v>
      </c>
      <c r="P19" s="43" t="s">
        <v>38</v>
      </c>
    </row>
    <row r="20" spans="1:16" x14ac:dyDescent="0.25">
      <c r="B20" s="244" t="s">
        <v>67</v>
      </c>
      <c r="C20" s="244"/>
      <c r="D20" s="244"/>
      <c r="E20" s="2"/>
      <c r="F20" s="3"/>
      <c r="G20" s="28"/>
      <c r="H20" s="43" t="s">
        <v>39</v>
      </c>
      <c r="I20" s="14"/>
      <c r="J20" s="3"/>
      <c r="K20" s="27">
        <f t="shared" si="0"/>
        <v>0</v>
      </c>
      <c r="L20" s="43" t="s">
        <v>39</v>
      </c>
      <c r="M20" s="22"/>
      <c r="N20" s="3"/>
      <c r="O20" s="27">
        <f t="shared" si="1"/>
        <v>0</v>
      </c>
      <c r="P20" s="43" t="s">
        <v>39</v>
      </c>
    </row>
    <row r="21" spans="1:16" x14ac:dyDescent="0.25">
      <c r="B21" s="244" t="s">
        <v>68</v>
      </c>
      <c r="C21" s="244"/>
      <c r="D21" s="244"/>
      <c r="E21" s="2"/>
      <c r="F21" s="3"/>
      <c r="G21" s="28"/>
      <c r="H21" s="43" t="s">
        <v>39</v>
      </c>
      <c r="I21" s="14"/>
      <c r="J21" s="3"/>
      <c r="K21" s="27">
        <f t="shared" si="0"/>
        <v>0</v>
      </c>
      <c r="L21" s="43" t="s">
        <v>39</v>
      </c>
      <c r="M21" s="22"/>
      <c r="N21" s="3"/>
      <c r="O21" s="27">
        <f t="shared" si="1"/>
        <v>0</v>
      </c>
      <c r="P21" s="43" t="s">
        <v>39</v>
      </c>
    </row>
    <row r="22" spans="1:16" x14ac:dyDescent="0.25">
      <c r="B22" s="244" t="s">
        <v>69</v>
      </c>
      <c r="C22" s="244"/>
      <c r="D22" s="244"/>
      <c r="E22" s="2"/>
      <c r="F22" s="3"/>
      <c r="G22" s="28"/>
      <c r="H22" s="43" t="s">
        <v>39</v>
      </c>
      <c r="I22" s="14"/>
      <c r="J22" s="3"/>
      <c r="K22" s="27">
        <f t="shared" si="0"/>
        <v>0</v>
      </c>
      <c r="L22" s="43" t="s">
        <v>39</v>
      </c>
      <c r="M22" s="22"/>
      <c r="N22" s="3"/>
      <c r="O22" s="27">
        <f t="shared" si="1"/>
        <v>0</v>
      </c>
      <c r="P22" s="43" t="s">
        <v>39</v>
      </c>
    </row>
    <row r="23" spans="1:16" x14ac:dyDescent="0.25">
      <c r="B23" s="244" t="s">
        <v>58</v>
      </c>
      <c r="C23" s="244"/>
      <c r="D23" s="244"/>
      <c r="E23" s="2"/>
      <c r="F23" s="3"/>
      <c r="G23" s="27"/>
      <c r="H23" s="43" t="s">
        <v>38</v>
      </c>
      <c r="I23" s="14"/>
      <c r="J23" s="3"/>
      <c r="K23" s="27">
        <f t="shared" si="0"/>
        <v>0</v>
      </c>
      <c r="L23" s="43" t="s">
        <v>38</v>
      </c>
      <c r="M23" s="22"/>
      <c r="N23" s="3"/>
      <c r="O23" s="27">
        <f t="shared" si="1"/>
        <v>0</v>
      </c>
      <c r="P23" s="43" t="s">
        <v>38</v>
      </c>
    </row>
    <row r="24" spans="1:16" x14ac:dyDescent="0.25">
      <c r="B24" s="244" t="s">
        <v>59</v>
      </c>
      <c r="C24" s="244"/>
      <c r="D24" s="244"/>
      <c r="E24" s="2"/>
      <c r="F24" s="3"/>
      <c r="G24" s="28"/>
      <c r="H24" s="43" t="s">
        <v>39</v>
      </c>
      <c r="I24" s="14"/>
      <c r="J24" s="3"/>
      <c r="K24" s="27">
        <f t="shared" si="0"/>
        <v>0</v>
      </c>
      <c r="L24" s="43" t="s">
        <v>39</v>
      </c>
      <c r="M24" s="22"/>
      <c r="N24" s="3"/>
      <c r="O24" s="27">
        <f t="shared" si="1"/>
        <v>0</v>
      </c>
      <c r="P24" s="43" t="s">
        <v>39</v>
      </c>
    </row>
    <row r="25" spans="1:16" x14ac:dyDescent="0.25">
      <c r="B25" s="244" t="s">
        <v>70</v>
      </c>
      <c r="C25" s="244"/>
      <c r="D25" s="244"/>
      <c r="E25" s="2"/>
      <c r="F25" s="3"/>
      <c r="G25" s="28"/>
      <c r="H25" s="43" t="s">
        <v>38</v>
      </c>
      <c r="I25" s="14"/>
      <c r="J25" s="3"/>
      <c r="K25" s="27">
        <f t="shared" si="0"/>
        <v>0</v>
      </c>
      <c r="L25" s="43" t="s">
        <v>38</v>
      </c>
      <c r="M25" s="22"/>
      <c r="N25" s="3"/>
      <c r="O25" s="27">
        <f t="shared" si="1"/>
        <v>0</v>
      </c>
      <c r="P25" s="43" t="s">
        <v>38</v>
      </c>
    </row>
    <row r="27" spans="1:16" s="6" customFormat="1" ht="15.75" customHeight="1" x14ac:dyDescent="0.3">
      <c r="A27" s="6" t="s">
        <v>12</v>
      </c>
      <c r="B27" s="245" t="s">
        <v>25</v>
      </c>
      <c r="C27" s="245"/>
      <c r="D27" s="245"/>
      <c r="M27" s="123"/>
    </row>
    <row r="28" spans="1:16" x14ac:dyDescent="0.25">
      <c r="C28" s="126" t="s">
        <v>13</v>
      </c>
      <c r="D28" s="31" t="s">
        <v>34</v>
      </c>
      <c r="E28" s="251"/>
      <c r="F28" s="251"/>
      <c r="G28" s="249" t="s">
        <v>18</v>
      </c>
      <c r="H28" s="249"/>
      <c r="I28" s="249"/>
      <c r="J28" s="250">
        <f>G16+G17+G18+G19-J29</f>
        <v>0</v>
      </c>
      <c r="K28" s="250"/>
      <c r="L28" s="22" t="s">
        <v>71</v>
      </c>
      <c r="M28" s="22"/>
      <c r="N28" s="250" t="s">
        <v>32</v>
      </c>
      <c r="O28" s="250"/>
    </row>
    <row r="29" spans="1:16" x14ac:dyDescent="0.25">
      <c r="C29" s="126" t="s">
        <v>14</v>
      </c>
      <c r="D29" s="31" t="s">
        <v>35</v>
      </c>
      <c r="E29" s="251"/>
      <c r="F29" s="251"/>
      <c r="G29" s="249" t="s">
        <v>18</v>
      </c>
      <c r="H29" s="249"/>
      <c r="I29" s="249"/>
      <c r="J29" s="257"/>
      <c r="K29" s="252"/>
      <c r="L29" s="22" t="s">
        <v>71</v>
      </c>
      <c r="M29" s="22"/>
      <c r="N29" s="252" t="s">
        <v>33</v>
      </c>
      <c r="O29" s="252"/>
    </row>
    <row r="30" spans="1:16" x14ac:dyDescent="0.25">
      <c r="J30" s="20"/>
      <c r="K30" s="20"/>
      <c r="L30" s="20"/>
    </row>
    <row r="31" spans="1:16" s="7" customFormat="1" ht="18.75" x14ac:dyDescent="0.3">
      <c r="A31" s="7" t="s">
        <v>15</v>
      </c>
      <c r="B31" s="8" t="s">
        <v>16</v>
      </c>
      <c r="C31" s="8"/>
      <c r="D31" s="8"/>
      <c r="E31" s="6"/>
      <c r="F31" s="6"/>
      <c r="M31" s="24"/>
    </row>
    <row r="32" spans="1:16" s="7" customFormat="1" ht="18.75" x14ac:dyDescent="0.3">
      <c r="B32" s="6" t="s">
        <v>17</v>
      </c>
      <c r="D32" s="40"/>
      <c r="E32" s="40"/>
      <c r="F32" s="40"/>
      <c r="G32" s="40"/>
      <c r="H32" s="40"/>
      <c r="I32" s="40"/>
      <c r="J32" s="40"/>
      <c r="K32" s="40"/>
      <c r="L32" s="40"/>
      <c r="M32" s="111"/>
      <c r="N32" s="40"/>
      <c r="O32" s="40"/>
      <c r="P32" s="40"/>
    </row>
    <row r="33" spans="1:18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109"/>
      <c r="N33" s="32"/>
      <c r="O33" s="32"/>
      <c r="P33" s="32"/>
      <c r="Q33" s="32"/>
      <c r="R33" s="32"/>
    </row>
    <row r="35" spans="1:18" s="4" customFormat="1" ht="18.75" x14ac:dyDescent="0.3">
      <c r="A35" s="240" t="s">
        <v>24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</row>
    <row r="36" spans="1:18" s="4" customFormat="1" ht="15.75" x14ac:dyDescent="0.25">
      <c r="A36" s="241" t="s">
        <v>28</v>
      </c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</row>
    <row r="37" spans="1:18" s="4" customFormat="1" ht="15.75" x14ac:dyDescent="0.25">
      <c r="A37" s="241" t="s">
        <v>1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</row>
    <row r="38" spans="1:18" s="4" customFormat="1" ht="15.75" x14ac:dyDescent="0.25">
      <c r="M38" s="121"/>
    </row>
    <row r="39" spans="1:18" s="4" customFormat="1" ht="18.75" x14ac:dyDescent="0.3">
      <c r="A39" s="240" t="s">
        <v>26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</row>
    <row r="41" spans="1:18" s="2" customFormat="1" x14ac:dyDescent="0.25">
      <c r="A41" s="2" t="s">
        <v>3</v>
      </c>
      <c r="C41" s="5" t="s">
        <v>4</v>
      </c>
      <c r="D41" s="11" t="s">
        <v>11</v>
      </c>
      <c r="E41" s="11"/>
      <c r="F41" s="11"/>
      <c r="G41" s="11"/>
      <c r="H41" s="11"/>
      <c r="I41" s="11"/>
      <c r="J41" s="11"/>
      <c r="K41" s="11"/>
      <c r="L41" s="21"/>
      <c r="M41" s="22" t="s">
        <v>5</v>
      </c>
      <c r="N41" s="256">
        <f>'8'!N45</f>
        <v>0</v>
      </c>
      <c r="O41" s="256"/>
      <c r="P41" s="256"/>
    </row>
    <row r="42" spans="1:18" s="6" customFormat="1" ht="18.75" x14ac:dyDescent="0.3">
      <c r="A42" s="6" t="s">
        <v>6</v>
      </c>
      <c r="B42" s="248" t="s">
        <v>7</v>
      </c>
      <c r="C42" s="248"/>
      <c r="D42" s="248"/>
      <c r="F42" s="245" t="s">
        <v>8</v>
      </c>
      <c r="G42" s="245"/>
      <c r="H42" s="245"/>
      <c r="I42" s="123"/>
      <c r="J42" s="245" t="s">
        <v>9</v>
      </c>
      <c r="K42" s="245"/>
      <c r="L42" s="245"/>
      <c r="M42" s="123"/>
      <c r="N42" s="245" t="s">
        <v>10</v>
      </c>
      <c r="O42" s="245"/>
      <c r="P42" s="245"/>
    </row>
    <row r="43" spans="1:18" s="6" customFormat="1" ht="18.75" x14ac:dyDescent="0.3">
      <c r="B43" s="124"/>
      <c r="C43" s="124"/>
      <c r="D43" s="124"/>
      <c r="F43" s="122" t="s">
        <v>29</v>
      </c>
      <c r="G43" s="246" t="s">
        <v>30</v>
      </c>
      <c r="H43" s="247"/>
      <c r="I43" s="123"/>
      <c r="J43" s="122" t="s">
        <v>29</v>
      </c>
      <c r="K43" s="246" t="s">
        <v>30</v>
      </c>
      <c r="L43" s="247"/>
      <c r="M43" s="123"/>
      <c r="N43" s="122" t="s">
        <v>29</v>
      </c>
      <c r="O43" s="246" t="s">
        <v>30</v>
      </c>
      <c r="P43" s="247"/>
    </row>
    <row r="44" spans="1:18" x14ac:dyDescent="0.25">
      <c r="B44" s="244" t="s">
        <v>78</v>
      </c>
      <c r="C44" s="244"/>
      <c r="D44" s="244"/>
      <c r="E44" s="2"/>
      <c r="F44" s="49">
        <f>G44/208*25</f>
        <v>0</v>
      </c>
      <c r="G44" s="36"/>
      <c r="H44" s="43" t="s">
        <v>38</v>
      </c>
      <c r="I44" s="14"/>
      <c r="J44" s="49">
        <f>F44</f>
        <v>0</v>
      </c>
      <c r="K44" s="50">
        <f>G44</f>
        <v>0</v>
      </c>
      <c r="L44" s="43" t="s">
        <v>38</v>
      </c>
      <c r="M44" s="22"/>
      <c r="N44" s="49">
        <f>F44</f>
        <v>0</v>
      </c>
      <c r="O44" s="27">
        <f>G44</f>
        <v>0</v>
      </c>
      <c r="P44" s="43" t="s">
        <v>38</v>
      </c>
    </row>
    <row r="45" spans="1:18" x14ac:dyDescent="0.25">
      <c r="B45" s="244" t="s">
        <v>74</v>
      </c>
      <c r="C45" s="244"/>
      <c r="D45" s="244"/>
      <c r="E45" s="2"/>
      <c r="F45" s="49">
        <f>G45/208*25</f>
        <v>0</v>
      </c>
      <c r="G45" s="36"/>
      <c r="H45" s="43" t="s">
        <v>38</v>
      </c>
      <c r="I45" s="14"/>
      <c r="J45" s="49">
        <f>F45</f>
        <v>0</v>
      </c>
      <c r="K45" s="50">
        <f>G45</f>
        <v>0</v>
      </c>
      <c r="L45" s="43" t="s">
        <v>38</v>
      </c>
      <c r="M45" s="22"/>
      <c r="N45" s="49">
        <f>F45</f>
        <v>0</v>
      </c>
      <c r="O45" s="27">
        <f>G45</f>
        <v>0</v>
      </c>
      <c r="P45" s="43" t="s">
        <v>38</v>
      </c>
    </row>
    <row r="46" spans="1:18" x14ac:dyDescent="0.25">
      <c r="B46" s="244" t="s">
        <v>49</v>
      </c>
      <c r="C46" s="244"/>
      <c r="D46" s="244"/>
      <c r="E46" s="2"/>
      <c r="F46" s="49"/>
      <c r="G46" s="27"/>
      <c r="H46" s="43"/>
      <c r="I46" s="14"/>
      <c r="J46" s="49">
        <f>F46</f>
        <v>0</v>
      </c>
      <c r="K46" s="29"/>
      <c r="L46" s="43"/>
      <c r="M46" s="22"/>
      <c r="N46" s="49">
        <f>F46</f>
        <v>0</v>
      </c>
      <c r="O46" s="29"/>
      <c r="P46" s="43"/>
    </row>
    <row r="47" spans="1:18" x14ac:dyDescent="0.25">
      <c r="B47" s="244" t="s">
        <v>50</v>
      </c>
      <c r="C47" s="244"/>
      <c r="D47" s="244"/>
      <c r="E47" s="2"/>
      <c r="F47" s="3"/>
      <c r="G47" s="27"/>
      <c r="H47" s="43" t="s">
        <v>38</v>
      </c>
      <c r="I47" s="14"/>
      <c r="J47" s="3"/>
      <c r="K47" s="27">
        <f>G47</f>
        <v>0</v>
      </c>
      <c r="L47" s="43" t="s">
        <v>38</v>
      </c>
      <c r="M47" s="22"/>
      <c r="N47" s="3"/>
      <c r="O47" s="27">
        <f>G47</f>
        <v>0</v>
      </c>
      <c r="P47" s="43" t="s">
        <v>38</v>
      </c>
    </row>
    <row r="48" spans="1:18" x14ac:dyDescent="0.25">
      <c r="B48" s="244" t="s">
        <v>51</v>
      </c>
      <c r="C48" s="244"/>
      <c r="D48" s="244"/>
      <c r="E48" s="2"/>
      <c r="F48" s="3"/>
      <c r="G48" s="51">
        <f>G47*2.43</f>
        <v>0</v>
      </c>
      <c r="H48" s="43" t="s">
        <v>39</v>
      </c>
      <c r="I48" s="14"/>
      <c r="J48" s="3"/>
      <c r="K48" s="83">
        <f t="shared" ref="K48:K58" si="2">G48</f>
        <v>0</v>
      </c>
      <c r="L48" s="43" t="s">
        <v>39</v>
      </c>
      <c r="M48" s="22"/>
      <c r="N48" s="3"/>
      <c r="O48" s="83">
        <f t="shared" ref="O48:O58" si="3">G48</f>
        <v>0</v>
      </c>
      <c r="P48" s="43" t="s">
        <v>39</v>
      </c>
    </row>
    <row r="49" spans="1:16" x14ac:dyDescent="0.25">
      <c r="B49" s="244" t="s">
        <v>63</v>
      </c>
      <c r="C49" s="244"/>
      <c r="D49" s="244"/>
      <c r="E49" s="2"/>
      <c r="F49" s="3"/>
      <c r="G49" s="27"/>
      <c r="H49" s="43" t="s">
        <v>38</v>
      </c>
      <c r="I49" s="14"/>
      <c r="J49" s="3"/>
      <c r="K49" s="27">
        <f t="shared" si="2"/>
        <v>0</v>
      </c>
      <c r="L49" s="43" t="s">
        <v>38</v>
      </c>
      <c r="M49" s="22"/>
      <c r="N49" s="3"/>
      <c r="O49" s="27">
        <f t="shared" si="3"/>
        <v>0</v>
      </c>
      <c r="P49" s="43" t="s">
        <v>38</v>
      </c>
    </row>
    <row r="50" spans="1:16" x14ac:dyDescent="0.25">
      <c r="B50" s="244" t="s">
        <v>64</v>
      </c>
      <c r="C50" s="244"/>
      <c r="D50" s="244"/>
      <c r="E50" s="2"/>
      <c r="F50" s="3"/>
      <c r="G50" s="27"/>
      <c r="H50" s="43" t="s">
        <v>38</v>
      </c>
      <c r="I50" s="14"/>
      <c r="J50" s="3"/>
      <c r="K50" s="27">
        <f t="shared" si="2"/>
        <v>0</v>
      </c>
      <c r="L50" s="43" t="s">
        <v>38</v>
      </c>
      <c r="M50" s="22"/>
      <c r="N50" s="3"/>
      <c r="O50" s="27">
        <f t="shared" si="3"/>
        <v>0</v>
      </c>
      <c r="P50" s="43" t="s">
        <v>38</v>
      </c>
    </row>
    <row r="51" spans="1:16" x14ac:dyDescent="0.25">
      <c r="B51" s="244" t="s">
        <v>65</v>
      </c>
      <c r="C51" s="244"/>
      <c r="D51" s="244"/>
      <c r="E51" s="2"/>
      <c r="F51" s="3"/>
      <c r="G51" s="27"/>
      <c r="H51" s="43" t="s">
        <v>38</v>
      </c>
      <c r="I51" s="14"/>
      <c r="J51" s="3"/>
      <c r="K51" s="27">
        <f t="shared" si="2"/>
        <v>0</v>
      </c>
      <c r="L51" s="43" t="s">
        <v>38</v>
      </c>
      <c r="M51" s="22"/>
      <c r="N51" s="3"/>
      <c r="O51" s="27">
        <f t="shared" si="3"/>
        <v>0</v>
      </c>
      <c r="P51" s="43" t="s">
        <v>38</v>
      </c>
    </row>
    <row r="52" spans="1:16" x14ac:dyDescent="0.25">
      <c r="B52" s="244" t="s">
        <v>66</v>
      </c>
      <c r="C52" s="244"/>
      <c r="D52" s="244"/>
      <c r="E52" s="2"/>
      <c r="F52" s="3"/>
      <c r="G52" s="27"/>
      <c r="H52" s="43" t="s">
        <v>38</v>
      </c>
      <c r="I52" s="14"/>
      <c r="J52" s="3"/>
      <c r="K52" s="27">
        <f t="shared" si="2"/>
        <v>0</v>
      </c>
      <c r="L52" s="43" t="s">
        <v>38</v>
      </c>
      <c r="M52" s="22"/>
      <c r="N52" s="3"/>
      <c r="O52" s="27">
        <f t="shared" si="3"/>
        <v>0</v>
      </c>
      <c r="P52" s="43" t="s">
        <v>38</v>
      </c>
    </row>
    <row r="53" spans="1:16" x14ac:dyDescent="0.25">
      <c r="B53" s="244" t="s">
        <v>67</v>
      </c>
      <c r="C53" s="244"/>
      <c r="D53" s="244"/>
      <c r="E53" s="2"/>
      <c r="F53" s="3"/>
      <c r="G53" s="28"/>
      <c r="H53" s="43" t="s">
        <v>39</v>
      </c>
      <c r="I53" s="14"/>
      <c r="J53" s="3"/>
      <c r="K53" s="27">
        <f t="shared" si="2"/>
        <v>0</v>
      </c>
      <c r="L53" s="43" t="s">
        <v>39</v>
      </c>
      <c r="M53" s="22"/>
      <c r="N53" s="3"/>
      <c r="O53" s="27">
        <f t="shared" si="3"/>
        <v>0</v>
      </c>
      <c r="P53" s="43" t="s">
        <v>39</v>
      </c>
    </row>
    <row r="54" spans="1:16" x14ac:dyDescent="0.25">
      <c r="B54" s="244" t="s">
        <v>68</v>
      </c>
      <c r="C54" s="244"/>
      <c r="D54" s="244"/>
      <c r="E54" s="2"/>
      <c r="F54" s="3"/>
      <c r="G54" s="28"/>
      <c r="H54" s="43" t="s">
        <v>39</v>
      </c>
      <c r="I54" s="14"/>
      <c r="J54" s="3"/>
      <c r="K54" s="27">
        <f t="shared" si="2"/>
        <v>0</v>
      </c>
      <c r="L54" s="43" t="s">
        <v>39</v>
      </c>
      <c r="M54" s="22"/>
      <c r="N54" s="3"/>
      <c r="O54" s="27">
        <f t="shared" si="3"/>
        <v>0</v>
      </c>
      <c r="P54" s="43" t="s">
        <v>39</v>
      </c>
    </row>
    <row r="55" spans="1:16" x14ac:dyDescent="0.25">
      <c r="B55" s="244" t="s">
        <v>69</v>
      </c>
      <c r="C55" s="244"/>
      <c r="D55" s="244"/>
      <c r="E55" s="2"/>
      <c r="F55" s="3"/>
      <c r="G55" s="28"/>
      <c r="H55" s="43" t="s">
        <v>39</v>
      </c>
      <c r="I55" s="14"/>
      <c r="J55" s="3"/>
      <c r="K55" s="27">
        <f t="shared" si="2"/>
        <v>0</v>
      </c>
      <c r="L55" s="43" t="s">
        <v>39</v>
      </c>
      <c r="M55" s="22"/>
      <c r="N55" s="3"/>
      <c r="O55" s="27">
        <f t="shared" si="3"/>
        <v>0</v>
      </c>
      <c r="P55" s="43" t="s">
        <v>39</v>
      </c>
    </row>
    <row r="56" spans="1:16" x14ac:dyDescent="0.25">
      <c r="B56" s="244" t="s">
        <v>58</v>
      </c>
      <c r="C56" s="244"/>
      <c r="D56" s="244"/>
      <c r="E56" s="2"/>
      <c r="F56" s="3"/>
      <c r="G56" s="27"/>
      <c r="H56" s="43" t="s">
        <v>38</v>
      </c>
      <c r="I56" s="14"/>
      <c r="J56" s="3"/>
      <c r="K56" s="27">
        <f t="shared" si="2"/>
        <v>0</v>
      </c>
      <c r="L56" s="43" t="s">
        <v>38</v>
      </c>
      <c r="M56" s="22"/>
      <c r="N56" s="3"/>
      <c r="O56" s="27">
        <f t="shared" si="3"/>
        <v>0</v>
      </c>
      <c r="P56" s="43" t="s">
        <v>38</v>
      </c>
    </row>
    <row r="57" spans="1:16" x14ac:dyDescent="0.25">
      <c r="B57" s="244" t="s">
        <v>59</v>
      </c>
      <c r="C57" s="244"/>
      <c r="D57" s="244"/>
      <c r="E57" s="2"/>
      <c r="F57" s="3"/>
      <c r="G57" s="28"/>
      <c r="H57" s="43" t="s">
        <v>39</v>
      </c>
      <c r="I57" s="14"/>
      <c r="J57" s="3"/>
      <c r="K57" s="27">
        <f t="shared" si="2"/>
        <v>0</v>
      </c>
      <c r="L57" s="43" t="s">
        <v>39</v>
      </c>
      <c r="M57" s="22"/>
      <c r="N57" s="3"/>
      <c r="O57" s="27">
        <f t="shared" si="3"/>
        <v>0</v>
      </c>
      <c r="P57" s="43" t="s">
        <v>39</v>
      </c>
    </row>
    <row r="58" spans="1:16" x14ac:dyDescent="0.25">
      <c r="B58" s="244" t="s">
        <v>70</v>
      </c>
      <c r="C58" s="244"/>
      <c r="D58" s="244"/>
      <c r="E58" s="2"/>
      <c r="F58" s="3"/>
      <c r="G58" s="28"/>
      <c r="H58" s="43" t="s">
        <v>38</v>
      </c>
      <c r="I58" s="14"/>
      <c r="J58" s="3"/>
      <c r="K58" s="27">
        <f t="shared" si="2"/>
        <v>0</v>
      </c>
      <c r="L58" s="43" t="s">
        <v>38</v>
      </c>
      <c r="M58" s="22"/>
      <c r="N58" s="3"/>
      <c r="O58" s="27">
        <f t="shared" si="3"/>
        <v>0</v>
      </c>
      <c r="P58" s="43" t="s">
        <v>38</v>
      </c>
    </row>
    <row r="60" spans="1:16" s="6" customFormat="1" ht="18.75" x14ac:dyDescent="0.3">
      <c r="A60" s="6" t="s">
        <v>12</v>
      </c>
      <c r="B60" s="245" t="s">
        <v>25</v>
      </c>
      <c r="C60" s="245"/>
      <c r="D60" s="245"/>
      <c r="M60" s="123"/>
    </row>
    <row r="61" spans="1:16" x14ac:dyDescent="0.25">
      <c r="C61" s="126" t="s">
        <v>13</v>
      </c>
      <c r="D61" s="31" t="s">
        <v>34</v>
      </c>
      <c r="E61" s="251"/>
      <c r="F61" s="251"/>
      <c r="G61" s="249" t="s">
        <v>18</v>
      </c>
      <c r="H61" s="249"/>
      <c r="I61" s="249"/>
      <c r="J61" s="250">
        <f>G49+G50+G51+G52-J62</f>
        <v>0</v>
      </c>
      <c r="K61" s="250"/>
      <c r="L61" s="22" t="s">
        <v>71</v>
      </c>
      <c r="M61" s="22"/>
      <c r="N61" s="250" t="s">
        <v>32</v>
      </c>
      <c r="O61" s="250"/>
    </row>
    <row r="62" spans="1:16" x14ac:dyDescent="0.25">
      <c r="C62" s="126" t="s">
        <v>14</v>
      </c>
      <c r="D62" s="31" t="s">
        <v>35</v>
      </c>
      <c r="E62" s="251"/>
      <c r="F62" s="251"/>
      <c r="G62" s="249" t="s">
        <v>18</v>
      </c>
      <c r="H62" s="249"/>
      <c r="I62" s="249"/>
      <c r="J62" s="257"/>
      <c r="K62" s="252"/>
      <c r="L62" s="22" t="s">
        <v>71</v>
      </c>
      <c r="M62" s="22"/>
      <c r="N62" s="252" t="s">
        <v>33</v>
      </c>
      <c r="O62" s="252"/>
    </row>
    <row r="63" spans="1:16" x14ac:dyDescent="0.25">
      <c r="K63" s="20"/>
      <c r="L63" s="20"/>
    </row>
    <row r="64" spans="1:16" s="7" customFormat="1" ht="18.75" x14ac:dyDescent="0.3">
      <c r="A64" s="7" t="s">
        <v>15</v>
      </c>
      <c r="B64" s="8" t="s">
        <v>16</v>
      </c>
      <c r="C64" s="8"/>
      <c r="D64" s="8"/>
      <c r="E64" s="6"/>
      <c r="F64" s="6"/>
      <c r="M64" s="24"/>
    </row>
    <row r="65" spans="2:16" s="7" customFormat="1" ht="18.75" x14ac:dyDescent="0.3">
      <c r="B65" s="6" t="s">
        <v>17</v>
      </c>
      <c r="D65" s="9"/>
      <c r="E65" s="9"/>
      <c r="F65" s="9"/>
      <c r="G65" s="9"/>
      <c r="H65" s="9"/>
      <c r="I65" s="9"/>
      <c r="J65" s="9"/>
      <c r="K65" s="9"/>
      <c r="L65" s="9"/>
      <c r="M65" s="25"/>
      <c r="N65" s="9"/>
      <c r="O65" s="9"/>
      <c r="P65" s="9"/>
    </row>
    <row r="66" spans="2:16" x14ac:dyDescent="0.25">
      <c r="D66" s="32"/>
      <c r="E66" s="32"/>
      <c r="F66" s="32"/>
      <c r="G66" s="32"/>
      <c r="H66" s="32"/>
      <c r="I66" s="32"/>
      <c r="J66" s="32"/>
      <c r="K66" s="32"/>
      <c r="L66" s="32"/>
      <c r="M66" s="109"/>
      <c r="N66" s="32"/>
      <c r="O66" s="32"/>
      <c r="P66" s="32"/>
    </row>
    <row r="67" spans="2:16" x14ac:dyDescent="0.25">
      <c r="D67" s="32"/>
      <c r="E67" s="32"/>
      <c r="F67" s="32"/>
      <c r="G67" s="32"/>
      <c r="H67" s="32"/>
      <c r="I67" s="32"/>
      <c r="J67" s="32"/>
      <c r="K67" s="32"/>
      <c r="L67" s="32"/>
      <c r="M67" s="109"/>
      <c r="N67" s="32"/>
      <c r="O67" s="32"/>
      <c r="P67" s="32"/>
    </row>
  </sheetData>
  <mergeCells count="73">
    <mergeCell ref="E62:F62"/>
    <mergeCell ref="G62:I62"/>
    <mergeCell ref="J62:K62"/>
    <mergeCell ref="N62:O62"/>
    <mergeCell ref="B58:D58"/>
    <mergeCell ref="B60:D60"/>
    <mergeCell ref="E61:F61"/>
    <mergeCell ref="G61:I61"/>
    <mergeCell ref="J61:K61"/>
    <mergeCell ref="N61:O61"/>
    <mergeCell ref="B55:D55"/>
    <mergeCell ref="B56:D56"/>
    <mergeCell ref="B47:D47"/>
    <mergeCell ref="B48:D48"/>
    <mergeCell ref="B49:D49"/>
    <mergeCell ref="B50:D50"/>
    <mergeCell ref="B51:D51"/>
    <mergeCell ref="B57:D57"/>
    <mergeCell ref="B46:D46"/>
    <mergeCell ref="A37:O37"/>
    <mergeCell ref="A39:O39"/>
    <mergeCell ref="B42:D42"/>
    <mergeCell ref="F42:H42"/>
    <mergeCell ref="J42:L42"/>
    <mergeCell ref="N42:P42"/>
    <mergeCell ref="G43:H43"/>
    <mergeCell ref="K43:L43"/>
    <mergeCell ref="O43:P43"/>
    <mergeCell ref="B44:D44"/>
    <mergeCell ref="B45:D45"/>
    <mergeCell ref="B52:D52"/>
    <mergeCell ref="B53:D53"/>
    <mergeCell ref="B54:D54"/>
    <mergeCell ref="A36:O36"/>
    <mergeCell ref="J28:K28"/>
    <mergeCell ref="N28:O28"/>
    <mergeCell ref="E29:F29"/>
    <mergeCell ref="G29:I29"/>
    <mergeCell ref="J29:K29"/>
    <mergeCell ref="N29:O29"/>
    <mergeCell ref="G28:I28"/>
    <mergeCell ref="A35:O35"/>
    <mergeCell ref="B23:D23"/>
    <mergeCell ref="B24:D24"/>
    <mergeCell ref="B25:D25"/>
    <mergeCell ref="B27:D27"/>
    <mergeCell ref="E28:F28"/>
    <mergeCell ref="B17:D17"/>
    <mergeCell ref="B18:D18"/>
    <mergeCell ref="B19:D19"/>
    <mergeCell ref="B20:D20"/>
    <mergeCell ref="B21:D21"/>
    <mergeCell ref="B12:D12"/>
    <mergeCell ref="B13:D13"/>
    <mergeCell ref="B14:D14"/>
    <mergeCell ref="B15:D15"/>
    <mergeCell ref="B16:D16"/>
    <mergeCell ref="N41:P41"/>
    <mergeCell ref="N7:P7"/>
    <mergeCell ref="A1:O1"/>
    <mergeCell ref="A2:O2"/>
    <mergeCell ref="A3:O3"/>
    <mergeCell ref="A5:O5"/>
    <mergeCell ref="N6:P6"/>
    <mergeCell ref="B9:D9"/>
    <mergeCell ref="F9:H9"/>
    <mergeCell ref="J9:L9"/>
    <mergeCell ref="N9:P9"/>
    <mergeCell ref="G10:H10"/>
    <mergeCell ref="K10:L10"/>
    <mergeCell ref="O10:P10"/>
    <mergeCell ref="B22:D22"/>
    <mergeCell ref="B11:D11"/>
  </mergeCells>
  <pageMargins left="0.7" right="0.7" top="0.4" bottom="0.75" header="0.3" footer="0.3"/>
  <pageSetup scale="6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68"/>
  <sheetViews>
    <sheetView topLeftCell="A22" zoomScaleNormal="100" workbookViewId="0">
      <selection activeCell="N6" sqref="N6:P6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2.42578125" customWidth="1"/>
    <col min="10" max="10" width="7.7109375" customWidth="1"/>
    <col min="11" max="11" width="7.140625" bestFit="1" customWidth="1"/>
    <col min="12" max="12" width="6.7109375" customWidth="1"/>
    <col min="13" max="13" width="5.140625" style="130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6" s="4" customFormat="1" ht="15.75" x14ac:dyDescent="0.25">
      <c r="M4" s="121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f>'9'!N6</f>
        <v>0</v>
      </c>
      <c r="O6" s="256"/>
      <c r="P6" s="256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1"/>
      <c r="I7" s="10"/>
      <c r="J7" s="10"/>
      <c r="K7" s="10"/>
      <c r="L7" s="10"/>
      <c r="M7" s="22" t="s">
        <v>27</v>
      </c>
      <c r="N7" s="259" t="s">
        <v>36</v>
      </c>
      <c r="O7" s="259"/>
      <c r="P7" s="259"/>
    </row>
    <row r="9" spans="1:16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123"/>
      <c r="J9" s="245" t="s">
        <v>9</v>
      </c>
      <c r="K9" s="245"/>
      <c r="L9" s="245"/>
      <c r="M9" s="123"/>
      <c r="N9" s="245" t="s">
        <v>10</v>
      </c>
      <c r="O9" s="245"/>
      <c r="P9" s="245"/>
    </row>
    <row r="10" spans="1:16" s="6" customFormat="1" ht="18.75" x14ac:dyDescent="0.3">
      <c r="B10" s="124"/>
      <c r="C10" s="124"/>
      <c r="D10" s="124"/>
      <c r="F10" s="122" t="s">
        <v>29</v>
      </c>
      <c r="G10" s="246" t="s">
        <v>30</v>
      </c>
      <c r="H10" s="247"/>
      <c r="I10" s="123"/>
      <c r="J10" s="122" t="s">
        <v>29</v>
      </c>
      <c r="K10" s="246" t="s">
        <v>30</v>
      </c>
      <c r="L10" s="247"/>
      <c r="M10" s="123"/>
      <c r="N10" s="122" t="s">
        <v>29</v>
      </c>
      <c r="O10" s="246" t="s">
        <v>30</v>
      </c>
      <c r="P10" s="247"/>
    </row>
    <row r="11" spans="1:16" x14ac:dyDescent="0.25">
      <c r="B11" s="244" t="s">
        <v>78</v>
      </c>
      <c r="C11" s="244"/>
      <c r="D11" s="244"/>
      <c r="E11" s="2"/>
      <c r="F11" s="49">
        <f>G11/208*25</f>
        <v>0</v>
      </c>
      <c r="G11" s="36"/>
      <c r="H11" s="43" t="s">
        <v>38</v>
      </c>
      <c r="I11" s="14"/>
      <c r="J11" s="49">
        <f>F11</f>
        <v>0</v>
      </c>
      <c r="K11" s="50">
        <f>G11</f>
        <v>0</v>
      </c>
      <c r="L11" s="43" t="s">
        <v>38</v>
      </c>
      <c r="M11" s="22"/>
      <c r="N11" s="49">
        <f>F11</f>
        <v>0</v>
      </c>
      <c r="O11" s="27">
        <f>G11</f>
        <v>0</v>
      </c>
      <c r="P11" s="43" t="s">
        <v>38</v>
      </c>
    </row>
    <row r="12" spans="1:16" x14ac:dyDescent="0.25">
      <c r="B12" s="244" t="s">
        <v>74</v>
      </c>
      <c r="C12" s="244"/>
      <c r="D12" s="244"/>
      <c r="E12" s="2"/>
      <c r="F12" s="49">
        <f>G12/208*25</f>
        <v>0</v>
      </c>
      <c r="G12" s="36"/>
      <c r="H12" s="43" t="s">
        <v>38</v>
      </c>
      <c r="I12" s="14"/>
      <c r="J12" s="49">
        <f>F12</f>
        <v>0</v>
      </c>
      <c r="K12" s="50">
        <f>G12</f>
        <v>0</v>
      </c>
      <c r="L12" s="43" t="s">
        <v>38</v>
      </c>
      <c r="M12" s="22"/>
      <c r="N12" s="49">
        <f>F12</f>
        <v>0</v>
      </c>
      <c r="O12" s="27">
        <f>G12</f>
        <v>0</v>
      </c>
      <c r="P12" s="43" t="s">
        <v>38</v>
      </c>
    </row>
    <row r="13" spans="1:16" x14ac:dyDescent="0.25">
      <c r="B13" s="244" t="s">
        <v>49</v>
      </c>
      <c r="C13" s="244"/>
      <c r="D13" s="244"/>
      <c r="E13" s="2"/>
      <c r="F13" s="49"/>
      <c r="G13" s="83"/>
      <c r="H13" s="43"/>
      <c r="I13" s="14"/>
      <c r="J13" s="49">
        <f>F13</f>
        <v>0</v>
      </c>
      <c r="K13" s="29"/>
      <c r="L13" s="43"/>
      <c r="M13" s="22"/>
      <c r="N13" s="49">
        <f>F13</f>
        <v>0</v>
      </c>
      <c r="O13" s="29"/>
      <c r="P13" s="43"/>
    </row>
    <row r="14" spans="1:16" x14ac:dyDescent="0.25">
      <c r="B14" s="244" t="s">
        <v>50</v>
      </c>
      <c r="C14" s="244"/>
      <c r="D14" s="244"/>
      <c r="E14" s="2"/>
      <c r="F14" s="3"/>
      <c r="G14" s="27"/>
      <c r="H14" s="43" t="s">
        <v>38</v>
      </c>
      <c r="I14" s="14"/>
      <c r="J14" s="3"/>
      <c r="K14" s="27">
        <f>G14</f>
        <v>0</v>
      </c>
      <c r="L14" s="43" t="s">
        <v>38</v>
      </c>
      <c r="M14" s="22"/>
      <c r="N14" s="3"/>
      <c r="O14" s="27">
        <f>G14</f>
        <v>0</v>
      </c>
      <c r="P14" s="43" t="s">
        <v>38</v>
      </c>
    </row>
    <row r="15" spans="1:16" x14ac:dyDescent="0.25">
      <c r="B15" s="244" t="s">
        <v>51</v>
      </c>
      <c r="C15" s="244"/>
      <c r="D15" s="244"/>
      <c r="E15" s="2"/>
      <c r="F15" s="3"/>
      <c r="G15" s="94">
        <f>G14*2.43</f>
        <v>0</v>
      </c>
      <c r="H15" s="43" t="s">
        <v>39</v>
      </c>
      <c r="I15" s="14"/>
      <c r="J15" s="3"/>
      <c r="K15" s="112">
        <f t="shared" ref="K15:K25" si="0">G15</f>
        <v>0</v>
      </c>
      <c r="L15" s="43" t="s">
        <v>39</v>
      </c>
      <c r="M15" s="22"/>
      <c r="N15" s="3"/>
      <c r="O15" s="112">
        <f t="shared" ref="O15:O25" si="1">G15</f>
        <v>0</v>
      </c>
      <c r="P15" s="43" t="s">
        <v>39</v>
      </c>
    </row>
    <row r="16" spans="1:16" x14ac:dyDescent="0.25">
      <c r="B16" s="244" t="s">
        <v>63</v>
      </c>
      <c r="C16" s="244"/>
      <c r="D16" s="244"/>
      <c r="E16" s="2"/>
      <c r="F16" s="3"/>
      <c r="G16" s="27"/>
      <c r="H16" s="43" t="s">
        <v>38</v>
      </c>
      <c r="I16" s="14"/>
      <c r="J16" s="3"/>
      <c r="K16" s="27">
        <f t="shared" si="0"/>
        <v>0</v>
      </c>
      <c r="L16" s="43" t="s">
        <v>38</v>
      </c>
      <c r="M16" s="22"/>
      <c r="N16" s="3"/>
      <c r="O16" s="27">
        <f t="shared" si="1"/>
        <v>0</v>
      </c>
      <c r="P16" s="43" t="s">
        <v>38</v>
      </c>
    </row>
    <row r="17" spans="1:16" x14ac:dyDescent="0.25">
      <c r="B17" s="244" t="s">
        <v>64</v>
      </c>
      <c r="C17" s="244"/>
      <c r="D17" s="244"/>
      <c r="E17" s="2"/>
      <c r="F17" s="3"/>
      <c r="G17" s="27"/>
      <c r="H17" s="43" t="s">
        <v>38</v>
      </c>
      <c r="I17" s="14"/>
      <c r="J17" s="3"/>
      <c r="K17" s="27">
        <f t="shared" si="0"/>
        <v>0</v>
      </c>
      <c r="L17" s="43" t="s">
        <v>38</v>
      </c>
      <c r="M17" s="22"/>
      <c r="N17" s="3"/>
      <c r="O17" s="27">
        <f t="shared" si="1"/>
        <v>0</v>
      </c>
      <c r="P17" s="43" t="s">
        <v>38</v>
      </c>
    </row>
    <row r="18" spans="1:16" x14ac:dyDescent="0.25">
      <c r="B18" s="244" t="s">
        <v>65</v>
      </c>
      <c r="C18" s="244"/>
      <c r="D18" s="244"/>
      <c r="E18" s="2"/>
      <c r="F18" s="3"/>
      <c r="G18" s="27"/>
      <c r="H18" s="43" t="s">
        <v>38</v>
      </c>
      <c r="I18" s="14"/>
      <c r="J18" s="3"/>
      <c r="K18" s="27">
        <f t="shared" si="0"/>
        <v>0</v>
      </c>
      <c r="L18" s="43" t="s">
        <v>38</v>
      </c>
      <c r="M18" s="22"/>
      <c r="N18" s="3"/>
      <c r="O18" s="27">
        <f t="shared" si="1"/>
        <v>0</v>
      </c>
      <c r="P18" s="43" t="s">
        <v>38</v>
      </c>
    </row>
    <row r="19" spans="1:16" x14ac:dyDescent="0.25">
      <c r="B19" s="244" t="s">
        <v>66</v>
      </c>
      <c r="C19" s="244"/>
      <c r="D19" s="244"/>
      <c r="E19" s="2"/>
      <c r="F19" s="3"/>
      <c r="G19" s="27"/>
      <c r="H19" s="43" t="s">
        <v>38</v>
      </c>
      <c r="I19" s="14"/>
      <c r="J19" s="3"/>
      <c r="K19" s="27">
        <f t="shared" si="0"/>
        <v>0</v>
      </c>
      <c r="L19" s="43" t="s">
        <v>38</v>
      </c>
      <c r="M19" s="22"/>
      <c r="N19" s="3"/>
      <c r="O19" s="27">
        <f t="shared" si="1"/>
        <v>0</v>
      </c>
      <c r="P19" s="43" t="s">
        <v>38</v>
      </c>
    </row>
    <row r="20" spans="1:16" x14ac:dyDescent="0.25">
      <c r="B20" s="244" t="s">
        <v>67</v>
      </c>
      <c r="C20" s="244"/>
      <c r="D20" s="244"/>
      <c r="E20" s="2"/>
      <c r="F20" s="3"/>
      <c r="G20" s="28"/>
      <c r="H20" s="43" t="s">
        <v>39</v>
      </c>
      <c r="I20" s="14"/>
      <c r="J20" s="3"/>
      <c r="K20" s="27">
        <f t="shared" si="0"/>
        <v>0</v>
      </c>
      <c r="L20" s="43" t="s">
        <v>39</v>
      </c>
      <c r="M20" s="22"/>
      <c r="N20" s="3"/>
      <c r="O20" s="27">
        <f t="shared" si="1"/>
        <v>0</v>
      </c>
      <c r="P20" s="43" t="s">
        <v>39</v>
      </c>
    </row>
    <row r="21" spans="1:16" x14ac:dyDescent="0.25">
      <c r="B21" s="244" t="s">
        <v>68</v>
      </c>
      <c r="C21" s="244"/>
      <c r="D21" s="244"/>
      <c r="E21" s="2"/>
      <c r="F21" s="3"/>
      <c r="G21" s="28"/>
      <c r="H21" s="43" t="s">
        <v>39</v>
      </c>
      <c r="I21" s="14"/>
      <c r="J21" s="3"/>
      <c r="K21" s="27">
        <f t="shared" si="0"/>
        <v>0</v>
      </c>
      <c r="L21" s="43" t="s">
        <v>39</v>
      </c>
      <c r="M21" s="22"/>
      <c r="N21" s="3"/>
      <c r="O21" s="27">
        <f t="shared" si="1"/>
        <v>0</v>
      </c>
      <c r="P21" s="43" t="s">
        <v>39</v>
      </c>
    </row>
    <row r="22" spans="1:16" x14ac:dyDescent="0.25">
      <c r="B22" s="244" t="s">
        <v>69</v>
      </c>
      <c r="C22" s="244"/>
      <c r="D22" s="244"/>
      <c r="E22" s="2"/>
      <c r="F22" s="3"/>
      <c r="G22" s="28"/>
      <c r="H22" s="43" t="s">
        <v>39</v>
      </c>
      <c r="I22" s="14"/>
      <c r="J22" s="3"/>
      <c r="K22" s="27">
        <f t="shared" si="0"/>
        <v>0</v>
      </c>
      <c r="L22" s="43" t="s">
        <v>39</v>
      </c>
      <c r="M22" s="22"/>
      <c r="N22" s="3"/>
      <c r="O22" s="27">
        <f t="shared" si="1"/>
        <v>0</v>
      </c>
      <c r="P22" s="43" t="s">
        <v>39</v>
      </c>
    </row>
    <row r="23" spans="1:16" x14ac:dyDescent="0.25">
      <c r="B23" s="244" t="s">
        <v>58</v>
      </c>
      <c r="C23" s="244"/>
      <c r="D23" s="244"/>
      <c r="E23" s="2"/>
      <c r="F23" s="3"/>
      <c r="G23" s="27"/>
      <c r="H23" s="43" t="s">
        <v>38</v>
      </c>
      <c r="I23" s="14"/>
      <c r="J23" s="3"/>
      <c r="K23" s="27">
        <f t="shared" si="0"/>
        <v>0</v>
      </c>
      <c r="L23" s="43" t="s">
        <v>38</v>
      </c>
      <c r="M23" s="22"/>
      <c r="N23" s="3"/>
      <c r="O23" s="27">
        <f t="shared" si="1"/>
        <v>0</v>
      </c>
      <c r="P23" s="43" t="s">
        <v>38</v>
      </c>
    </row>
    <row r="24" spans="1:16" x14ac:dyDescent="0.25">
      <c r="B24" s="244" t="s">
        <v>59</v>
      </c>
      <c r="C24" s="244"/>
      <c r="D24" s="244"/>
      <c r="E24" s="2"/>
      <c r="F24" s="3"/>
      <c r="G24" s="28"/>
      <c r="H24" s="43" t="s">
        <v>39</v>
      </c>
      <c r="I24" s="14"/>
      <c r="J24" s="3"/>
      <c r="K24" s="27">
        <f t="shared" si="0"/>
        <v>0</v>
      </c>
      <c r="L24" s="43" t="s">
        <v>39</v>
      </c>
      <c r="M24" s="22"/>
      <c r="N24" s="3"/>
      <c r="O24" s="27">
        <f t="shared" si="1"/>
        <v>0</v>
      </c>
      <c r="P24" s="43" t="s">
        <v>39</v>
      </c>
    </row>
    <row r="25" spans="1:16" x14ac:dyDescent="0.25">
      <c r="B25" s="244" t="s">
        <v>70</v>
      </c>
      <c r="C25" s="244"/>
      <c r="D25" s="244"/>
      <c r="E25" s="2"/>
      <c r="F25" s="3"/>
      <c r="G25" s="28"/>
      <c r="H25" s="43" t="s">
        <v>38</v>
      </c>
      <c r="I25" s="14"/>
      <c r="J25" s="3"/>
      <c r="K25" s="27">
        <f t="shared" si="0"/>
        <v>0</v>
      </c>
      <c r="L25" s="43" t="s">
        <v>38</v>
      </c>
      <c r="M25" s="22"/>
      <c r="N25" s="3"/>
      <c r="O25" s="27">
        <f t="shared" si="1"/>
        <v>0</v>
      </c>
      <c r="P25" s="43" t="s">
        <v>38</v>
      </c>
    </row>
    <row r="27" spans="1:16" s="6" customFormat="1" ht="15.75" customHeight="1" x14ac:dyDescent="0.3">
      <c r="A27" s="6" t="s">
        <v>12</v>
      </c>
      <c r="B27" s="245" t="s">
        <v>25</v>
      </c>
      <c r="C27" s="245"/>
      <c r="D27" s="245"/>
      <c r="M27" s="123"/>
    </row>
    <row r="28" spans="1:16" x14ac:dyDescent="0.25">
      <c r="C28" s="126" t="s">
        <v>13</v>
      </c>
      <c r="D28" s="31" t="s">
        <v>34</v>
      </c>
      <c r="E28" s="251"/>
      <c r="F28" s="251"/>
      <c r="G28" s="249" t="s">
        <v>18</v>
      </c>
      <c r="H28" s="249"/>
      <c r="I28" s="249"/>
      <c r="J28" s="250">
        <f>G16+G17+G18+G19-J29</f>
        <v>0</v>
      </c>
      <c r="K28" s="250"/>
      <c r="L28" s="22" t="s">
        <v>71</v>
      </c>
      <c r="M28" s="22"/>
      <c r="N28" s="250" t="s">
        <v>32</v>
      </c>
      <c r="O28" s="250"/>
    </row>
    <row r="29" spans="1:16" x14ac:dyDescent="0.25">
      <c r="C29" s="126" t="s">
        <v>14</v>
      </c>
      <c r="D29" s="31" t="s">
        <v>35</v>
      </c>
      <c r="E29" s="251"/>
      <c r="F29" s="251"/>
      <c r="G29" s="249" t="s">
        <v>18</v>
      </c>
      <c r="H29" s="249"/>
      <c r="I29" s="249"/>
      <c r="J29" s="257"/>
      <c r="K29" s="252"/>
      <c r="L29" s="22" t="s">
        <v>71</v>
      </c>
      <c r="M29" s="22"/>
      <c r="N29" s="252" t="s">
        <v>33</v>
      </c>
      <c r="O29" s="252"/>
    </row>
    <row r="30" spans="1:16" x14ac:dyDescent="0.25">
      <c r="J30" s="20"/>
      <c r="K30" s="20"/>
      <c r="L30" s="20"/>
    </row>
    <row r="31" spans="1:16" s="7" customFormat="1" ht="18.75" x14ac:dyDescent="0.3">
      <c r="A31" s="7" t="s">
        <v>15</v>
      </c>
      <c r="B31" s="8" t="s">
        <v>16</v>
      </c>
      <c r="C31" s="8"/>
      <c r="D31" s="8"/>
      <c r="E31" s="6"/>
      <c r="F31" s="6"/>
      <c r="M31" s="24"/>
    </row>
    <row r="32" spans="1:16" s="7" customFormat="1" ht="18.75" x14ac:dyDescent="0.3">
      <c r="B32" s="6" t="s">
        <v>17</v>
      </c>
      <c r="D32" s="40"/>
      <c r="E32" s="40"/>
      <c r="F32" s="40"/>
      <c r="G32" s="40"/>
      <c r="H32" s="40"/>
      <c r="I32" s="40"/>
      <c r="J32" s="40"/>
      <c r="K32" s="40"/>
      <c r="L32" s="40"/>
      <c r="M32" s="111"/>
      <c r="N32" s="40"/>
      <c r="O32" s="40"/>
      <c r="P32" s="40"/>
    </row>
    <row r="33" spans="1:18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109"/>
      <c r="N33" s="32"/>
      <c r="O33" s="32"/>
      <c r="P33" s="32"/>
      <c r="Q33" s="32"/>
      <c r="R33" s="32"/>
    </row>
    <row r="35" spans="1:18" s="4" customFormat="1" ht="18.75" x14ac:dyDescent="0.3">
      <c r="A35" s="240" t="s">
        <v>24</v>
      </c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</row>
    <row r="36" spans="1:18" s="4" customFormat="1" ht="15.75" x14ac:dyDescent="0.25">
      <c r="A36" s="241" t="s">
        <v>28</v>
      </c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</row>
    <row r="37" spans="1:18" s="4" customFormat="1" ht="15.75" x14ac:dyDescent="0.25">
      <c r="A37" s="241" t="s">
        <v>1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</row>
    <row r="38" spans="1:18" s="4" customFormat="1" ht="15.75" x14ac:dyDescent="0.25">
      <c r="M38" s="121"/>
    </row>
    <row r="39" spans="1:18" s="4" customFormat="1" ht="18.75" x14ac:dyDescent="0.3">
      <c r="A39" s="240" t="s">
        <v>26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</row>
    <row r="41" spans="1:18" s="2" customFormat="1" x14ac:dyDescent="0.25">
      <c r="A41" s="2" t="s">
        <v>3</v>
      </c>
      <c r="C41" s="5" t="s">
        <v>4</v>
      </c>
      <c r="D41" s="11" t="s">
        <v>11</v>
      </c>
      <c r="E41" s="11"/>
      <c r="F41" s="11"/>
      <c r="G41" s="11"/>
      <c r="H41" s="11"/>
      <c r="I41" s="11"/>
      <c r="J41" s="11"/>
      <c r="K41" s="11"/>
      <c r="L41" s="21"/>
      <c r="M41" s="22" t="s">
        <v>5</v>
      </c>
      <c r="N41" s="256">
        <f>'9'!N44</f>
        <v>0</v>
      </c>
      <c r="O41" s="256"/>
      <c r="P41" s="256"/>
    </row>
    <row r="42" spans="1:18" s="6" customFormat="1" ht="18.75" x14ac:dyDescent="0.3">
      <c r="A42" s="6" t="s">
        <v>6</v>
      </c>
      <c r="B42" s="248" t="s">
        <v>7</v>
      </c>
      <c r="C42" s="248"/>
      <c r="D42" s="248"/>
      <c r="F42" s="245" t="s">
        <v>8</v>
      </c>
      <c r="G42" s="245"/>
      <c r="H42" s="245"/>
      <c r="I42" s="123"/>
      <c r="J42" s="245" t="s">
        <v>9</v>
      </c>
      <c r="K42" s="245"/>
      <c r="L42" s="245"/>
      <c r="M42" s="123"/>
      <c r="N42" s="245" t="s">
        <v>10</v>
      </c>
      <c r="O42" s="245"/>
      <c r="P42" s="245"/>
    </row>
    <row r="43" spans="1:18" s="6" customFormat="1" ht="18.75" x14ac:dyDescent="0.3">
      <c r="B43" s="124"/>
      <c r="C43" s="124"/>
      <c r="D43" s="124"/>
      <c r="F43" s="122" t="s">
        <v>29</v>
      </c>
      <c r="G43" s="246" t="s">
        <v>30</v>
      </c>
      <c r="H43" s="247"/>
      <c r="I43" s="123"/>
      <c r="J43" s="122" t="s">
        <v>29</v>
      </c>
      <c r="K43" s="246" t="s">
        <v>30</v>
      </c>
      <c r="L43" s="247"/>
      <c r="M43" s="123"/>
      <c r="N43" s="122" t="s">
        <v>29</v>
      </c>
      <c r="O43" s="246" t="s">
        <v>30</v>
      </c>
      <c r="P43" s="247"/>
    </row>
    <row r="44" spans="1:18" x14ac:dyDescent="0.25">
      <c r="B44" s="244" t="s">
        <v>78</v>
      </c>
      <c r="C44" s="244"/>
      <c r="D44" s="244"/>
      <c r="E44" s="2"/>
      <c r="F44" s="49">
        <f>G44/208*25</f>
        <v>0</v>
      </c>
      <c r="G44" s="36"/>
      <c r="H44" s="43" t="s">
        <v>38</v>
      </c>
      <c r="I44" s="14"/>
      <c r="J44" s="49">
        <f>F44</f>
        <v>0</v>
      </c>
      <c r="K44" s="50">
        <f>G44</f>
        <v>0</v>
      </c>
      <c r="L44" s="43" t="s">
        <v>38</v>
      </c>
      <c r="M44" s="22"/>
      <c r="N44" s="49">
        <f>F44</f>
        <v>0</v>
      </c>
      <c r="O44" s="27">
        <f>G44</f>
        <v>0</v>
      </c>
      <c r="P44" s="43" t="s">
        <v>38</v>
      </c>
    </row>
    <row r="45" spans="1:18" x14ac:dyDescent="0.25">
      <c r="B45" s="244" t="s">
        <v>74</v>
      </c>
      <c r="C45" s="244"/>
      <c r="D45" s="244"/>
      <c r="E45" s="2"/>
      <c r="F45" s="49">
        <f>G45/208*25</f>
        <v>0</v>
      </c>
      <c r="G45" s="36"/>
      <c r="H45" s="43" t="s">
        <v>38</v>
      </c>
      <c r="I45" s="14"/>
      <c r="J45" s="49">
        <f>F45</f>
        <v>0</v>
      </c>
      <c r="K45" s="50">
        <f>G45</f>
        <v>0</v>
      </c>
      <c r="L45" s="43" t="s">
        <v>38</v>
      </c>
      <c r="M45" s="22"/>
      <c r="N45" s="49">
        <f>F45</f>
        <v>0</v>
      </c>
      <c r="O45" s="27">
        <f>G45</f>
        <v>0</v>
      </c>
      <c r="P45" s="43" t="s">
        <v>38</v>
      </c>
    </row>
    <row r="46" spans="1:18" x14ac:dyDescent="0.25">
      <c r="B46" s="244" t="s">
        <v>49</v>
      </c>
      <c r="C46" s="244"/>
      <c r="D46" s="244"/>
      <c r="E46" s="2"/>
      <c r="F46" s="49"/>
      <c r="G46" s="27"/>
      <c r="H46" s="43"/>
      <c r="I46" s="14"/>
      <c r="J46" s="49">
        <f>F46</f>
        <v>0</v>
      </c>
      <c r="K46" s="29"/>
      <c r="L46" s="43"/>
      <c r="M46" s="22"/>
      <c r="N46" s="49">
        <f>F46</f>
        <v>0</v>
      </c>
      <c r="O46" s="29"/>
      <c r="P46" s="43"/>
    </row>
    <row r="47" spans="1:18" x14ac:dyDescent="0.25">
      <c r="B47" s="244" t="s">
        <v>50</v>
      </c>
      <c r="C47" s="244"/>
      <c r="D47" s="244"/>
      <c r="E47" s="2"/>
      <c r="F47" s="3"/>
      <c r="G47" s="27"/>
      <c r="H47" s="43" t="s">
        <v>38</v>
      </c>
      <c r="I47" s="14"/>
      <c r="J47" s="3"/>
      <c r="K47" s="27">
        <f>G47</f>
        <v>0</v>
      </c>
      <c r="L47" s="43" t="s">
        <v>38</v>
      </c>
      <c r="M47" s="22"/>
      <c r="N47" s="3"/>
      <c r="O47" s="27">
        <f>G47</f>
        <v>0</v>
      </c>
      <c r="P47" s="43" t="s">
        <v>38</v>
      </c>
    </row>
    <row r="48" spans="1:18" x14ac:dyDescent="0.25">
      <c r="B48" s="244" t="s">
        <v>51</v>
      </c>
      <c r="C48" s="244"/>
      <c r="D48" s="244"/>
      <c r="E48" s="2"/>
      <c r="F48" s="3"/>
      <c r="G48" s="51">
        <f>G47*2.43</f>
        <v>0</v>
      </c>
      <c r="H48" s="43" t="s">
        <v>39</v>
      </c>
      <c r="I48" s="14"/>
      <c r="J48" s="3"/>
      <c r="K48" s="83">
        <f t="shared" ref="K48:K58" si="2">G48</f>
        <v>0</v>
      </c>
      <c r="L48" s="43" t="s">
        <v>39</v>
      </c>
      <c r="M48" s="22"/>
      <c r="N48" s="3"/>
      <c r="O48" s="83">
        <f t="shared" ref="O48:O58" si="3">G48</f>
        <v>0</v>
      </c>
      <c r="P48" s="43" t="s">
        <v>39</v>
      </c>
    </row>
    <row r="49" spans="1:16" x14ac:dyDescent="0.25">
      <c r="B49" s="244" t="s">
        <v>63</v>
      </c>
      <c r="C49" s="244"/>
      <c r="D49" s="244"/>
      <c r="E49" s="2"/>
      <c r="F49" s="3"/>
      <c r="G49" s="27"/>
      <c r="H49" s="43" t="s">
        <v>38</v>
      </c>
      <c r="I49" s="14"/>
      <c r="J49" s="3"/>
      <c r="K49" s="27">
        <f t="shared" si="2"/>
        <v>0</v>
      </c>
      <c r="L49" s="43" t="s">
        <v>38</v>
      </c>
      <c r="M49" s="22"/>
      <c r="N49" s="3"/>
      <c r="O49" s="27">
        <f t="shared" si="3"/>
        <v>0</v>
      </c>
      <c r="P49" s="43" t="s">
        <v>38</v>
      </c>
    </row>
    <row r="50" spans="1:16" x14ac:dyDescent="0.25">
      <c r="B50" s="244" t="s">
        <v>64</v>
      </c>
      <c r="C50" s="244"/>
      <c r="D50" s="244"/>
      <c r="E50" s="2"/>
      <c r="F50" s="3"/>
      <c r="G50" s="27"/>
      <c r="H50" s="43" t="s">
        <v>38</v>
      </c>
      <c r="I50" s="14"/>
      <c r="J50" s="3"/>
      <c r="K50" s="27">
        <f t="shared" si="2"/>
        <v>0</v>
      </c>
      <c r="L50" s="43" t="s">
        <v>38</v>
      </c>
      <c r="M50" s="22"/>
      <c r="N50" s="3"/>
      <c r="O50" s="27">
        <f t="shared" si="3"/>
        <v>0</v>
      </c>
      <c r="P50" s="43" t="s">
        <v>38</v>
      </c>
    </row>
    <row r="51" spans="1:16" x14ac:dyDescent="0.25">
      <c r="B51" s="244" t="s">
        <v>65</v>
      </c>
      <c r="C51" s="244"/>
      <c r="D51" s="244"/>
      <c r="E51" s="2"/>
      <c r="F51" s="3"/>
      <c r="G51" s="27"/>
      <c r="H51" s="43" t="s">
        <v>38</v>
      </c>
      <c r="I51" s="14"/>
      <c r="J51" s="3"/>
      <c r="K51" s="27">
        <f t="shared" si="2"/>
        <v>0</v>
      </c>
      <c r="L51" s="43" t="s">
        <v>38</v>
      </c>
      <c r="M51" s="22"/>
      <c r="N51" s="3"/>
      <c r="O51" s="27">
        <f t="shared" si="3"/>
        <v>0</v>
      </c>
      <c r="P51" s="43" t="s">
        <v>38</v>
      </c>
    </row>
    <row r="52" spans="1:16" x14ac:dyDescent="0.25">
      <c r="B52" s="244" t="s">
        <v>66</v>
      </c>
      <c r="C52" s="244"/>
      <c r="D52" s="244"/>
      <c r="E52" s="2"/>
      <c r="F52" s="3"/>
      <c r="G52" s="27"/>
      <c r="H52" s="43" t="s">
        <v>38</v>
      </c>
      <c r="I52" s="14"/>
      <c r="J52" s="3"/>
      <c r="K52" s="27">
        <f t="shared" si="2"/>
        <v>0</v>
      </c>
      <c r="L52" s="43" t="s">
        <v>38</v>
      </c>
      <c r="M52" s="22"/>
      <c r="N52" s="3"/>
      <c r="O52" s="27">
        <f t="shared" si="3"/>
        <v>0</v>
      </c>
      <c r="P52" s="43" t="s">
        <v>38</v>
      </c>
    </row>
    <row r="53" spans="1:16" x14ac:dyDescent="0.25">
      <c r="B53" s="244" t="s">
        <v>67</v>
      </c>
      <c r="C53" s="244"/>
      <c r="D53" s="244"/>
      <c r="E53" s="2"/>
      <c r="F53" s="3"/>
      <c r="G53" s="28"/>
      <c r="H53" s="43" t="s">
        <v>39</v>
      </c>
      <c r="I53" s="14"/>
      <c r="J53" s="3"/>
      <c r="K53" s="27">
        <f t="shared" si="2"/>
        <v>0</v>
      </c>
      <c r="L53" s="43" t="s">
        <v>39</v>
      </c>
      <c r="M53" s="22"/>
      <c r="N53" s="3"/>
      <c r="O53" s="27">
        <f t="shared" si="3"/>
        <v>0</v>
      </c>
      <c r="P53" s="43" t="s">
        <v>39</v>
      </c>
    </row>
    <row r="54" spans="1:16" x14ac:dyDescent="0.25">
      <c r="B54" s="244" t="s">
        <v>68</v>
      </c>
      <c r="C54" s="244"/>
      <c r="D54" s="244"/>
      <c r="E54" s="2"/>
      <c r="F54" s="3"/>
      <c r="G54" s="28"/>
      <c r="H54" s="43" t="s">
        <v>39</v>
      </c>
      <c r="I54" s="14"/>
      <c r="J54" s="3"/>
      <c r="K54" s="27">
        <f t="shared" si="2"/>
        <v>0</v>
      </c>
      <c r="L54" s="43" t="s">
        <v>39</v>
      </c>
      <c r="M54" s="22"/>
      <c r="N54" s="3"/>
      <c r="O54" s="27">
        <f t="shared" si="3"/>
        <v>0</v>
      </c>
      <c r="P54" s="43" t="s">
        <v>39</v>
      </c>
    </row>
    <row r="55" spans="1:16" x14ac:dyDescent="0.25">
      <c r="B55" s="244" t="s">
        <v>69</v>
      </c>
      <c r="C55" s="244"/>
      <c r="D55" s="244"/>
      <c r="E55" s="2"/>
      <c r="F55" s="3"/>
      <c r="G55" s="28"/>
      <c r="H55" s="43" t="s">
        <v>39</v>
      </c>
      <c r="I55" s="14"/>
      <c r="J55" s="3"/>
      <c r="K55" s="27">
        <f t="shared" si="2"/>
        <v>0</v>
      </c>
      <c r="L55" s="43" t="s">
        <v>39</v>
      </c>
      <c r="M55" s="22"/>
      <c r="N55" s="3"/>
      <c r="O55" s="27">
        <f t="shared" si="3"/>
        <v>0</v>
      </c>
      <c r="P55" s="43" t="s">
        <v>39</v>
      </c>
    </row>
    <row r="56" spans="1:16" x14ac:dyDescent="0.25">
      <c r="B56" s="244" t="s">
        <v>58</v>
      </c>
      <c r="C56" s="244"/>
      <c r="D56" s="244"/>
      <c r="E56" s="2"/>
      <c r="F56" s="3"/>
      <c r="G56" s="28"/>
      <c r="H56" s="43" t="s">
        <v>38</v>
      </c>
      <c r="I56" s="14"/>
      <c r="J56" s="3"/>
      <c r="K56" s="27">
        <f t="shared" si="2"/>
        <v>0</v>
      </c>
      <c r="L56" s="43" t="s">
        <v>38</v>
      </c>
      <c r="M56" s="22"/>
      <c r="N56" s="3"/>
      <c r="O56" s="27">
        <f t="shared" si="3"/>
        <v>0</v>
      </c>
      <c r="P56" s="43" t="s">
        <v>38</v>
      </c>
    </row>
    <row r="57" spans="1:16" x14ac:dyDescent="0.25">
      <c r="B57" s="244" t="s">
        <v>59</v>
      </c>
      <c r="C57" s="244"/>
      <c r="D57" s="244"/>
      <c r="E57" s="2"/>
      <c r="F57" s="3"/>
      <c r="G57" s="28"/>
      <c r="H57" s="43" t="s">
        <v>39</v>
      </c>
      <c r="I57" s="14"/>
      <c r="J57" s="3"/>
      <c r="K57" s="27">
        <f t="shared" si="2"/>
        <v>0</v>
      </c>
      <c r="L57" s="43" t="s">
        <v>39</v>
      </c>
      <c r="M57" s="22"/>
      <c r="N57" s="3"/>
      <c r="O57" s="27">
        <f t="shared" si="3"/>
        <v>0</v>
      </c>
      <c r="P57" s="43" t="s">
        <v>39</v>
      </c>
    </row>
    <row r="58" spans="1:16" x14ac:dyDescent="0.25">
      <c r="B58" s="244" t="s">
        <v>70</v>
      </c>
      <c r="C58" s="244"/>
      <c r="D58" s="244"/>
      <c r="E58" s="2"/>
      <c r="F58" s="3"/>
      <c r="G58" s="28"/>
      <c r="H58" s="43" t="s">
        <v>38</v>
      </c>
      <c r="I58" s="14"/>
      <c r="J58" s="3"/>
      <c r="K58" s="27">
        <f t="shared" si="2"/>
        <v>0</v>
      </c>
      <c r="L58" s="43" t="s">
        <v>38</v>
      </c>
      <c r="M58" s="22"/>
      <c r="N58" s="3"/>
      <c r="O58" s="27">
        <f t="shared" si="3"/>
        <v>0</v>
      </c>
      <c r="P58" s="43" t="s">
        <v>38</v>
      </c>
    </row>
    <row r="60" spans="1:16" s="6" customFormat="1" ht="18.75" x14ac:dyDescent="0.3">
      <c r="A60" s="6" t="s">
        <v>12</v>
      </c>
      <c r="B60" s="245" t="s">
        <v>25</v>
      </c>
      <c r="C60" s="245"/>
      <c r="D60" s="245"/>
      <c r="M60" s="123"/>
    </row>
    <row r="61" spans="1:16" x14ac:dyDescent="0.25">
      <c r="C61" s="126" t="s">
        <v>13</v>
      </c>
      <c r="D61" s="31" t="s">
        <v>34</v>
      </c>
      <c r="E61" s="251"/>
      <c r="F61" s="251"/>
      <c r="G61" s="249" t="s">
        <v>18</v>
      </c>
      <c r="H61" s="249"/>
      <c r="I61" s="249"/>
      <c r="J61" s="250">
        <f>G49+G50+G51+G52-J62</f>
        <v>0</v>
      </c>
      <c r="K61" s="250"/>
      <c r="L61" s="22" t="s">
        <v>71</v>
      </c>
      <c r="M61" s="22"/>
      <c r="N61" s="250" t="s">
        <v>32</v>
      </c>
      <c r="O61" s="250"/>
    </row>
    <row r="62" spans="1:16" x14ac:dyDescent="0.25">
      <c r="C62" s="126" t="s">
        <v>14</v>
      </c>
      <c r="D62" s="31" t="s">
        <v>35</v>
      </c>
      <c r="E62" s="251"/>
      <c r="F62" s="251"/>
      <c r="G62" s="249" t="s">
        <v>18</v>
      </c>
      <c r="H62" s="249"/>
      <c r="I62" s="249"/>
      <c r="J62" s="257"/>
      <c r="K62" s="252"/>
      <c r="L62" s="22" t="s">
        <v>71</v>
      </c>
      <c r="M62" s="22"/>
      <c r="N62" s="252" t="s">
        <v>33</v>
      </c>
      <c r="O62" s="252"/>
    </row>
    <row r="63" spans="1:16" x14ac:dyDescent="0.25">
      <c r="K63" s="20"/>
      <c r="L63" s="20"/>
    </row>
    <row r="64" spans="1:16" s="7" customFormat="1" ht="18.75" x14ac:dyDescent="0.3">
      <c r="A64" s="7" t="s">
        <v>15</v>
      </c>
      <c r="B64" s="8" t="s">
        <v>16</v>
      </c>
      <c r="C64" s="8"/>
      <c r="D64" s="8"/>
      <c r="E64" s="6"/>
      <c r="F64" s="6"/>
      <c r="M64" s="24"/>
    </row>
    <row r="65" spans="2:16" s="7" customFormat="1" ht="18.75" x14ac:dyDescent="0.3">
      <c r="B65" s="6" t="s">
        <v>17</v>
      </c>
      <c r="D65" s="9"/>
      <c r="E65" s="9"/>
      <c r="F65" s="9"/>
      <c r="G65" s="9"/>
      <c r="H65" s="9"/>
      <c r="I65" s="9"/>
      <c r="J65" s="9"/>
      <c r="K65" s="9"/>
      <c r="L65" s="9"/>
      <c r="M65" s="25"/>
      <c r="N65" s="9"/>
      <c r="O65" s="9"/>
      <c r="P65" s="9"/>
    </row>
    <row r="66" spans="2:16" x14ac:dyDescent="0.25">
      <c r="D66" s="32"/>
      <c r="E66" s="32"/>
      <c r="F66" s="32"/>
      <c r="G66" s="32"/>
      <c r="H66" s="32"/>
      <c r="I66" s="32"/>
      <c r="J66" s="32"/>
      <c r="K66" s="32"/>
      <c r="L66" s="32"/>
      <c r="M66" s="109"/>
      <c r="N66" s="32"/>
      <c r="O66" s="32"/>
      <c r="P66" s="32"/>
    </row>
    <row r="67" spans="2:16" x14ac:dyDescent="0.25">
      <c r="D67" s="32"/>
      <c r="E67" s="32"/>
      <c r="F67" s="32"/>
      <c r="G67" s="32"/>
      <c r="H67" s="32"/>
      <c r="I67" s="32"/>
      <c r="J67" s="32"/>
      <c r="K67" s="32"/>
      <c r="L67" s="32"/>
      <c r="M67" s="109"/>
      <c r="N67" s="32"/>
      <c r="O67" s="32"/>
      <c r="P67" s="32"/>
    </row>
    <row r="68" spans="2:16" x14ac:dyDescent="0.25">
      <c r="D68" s="32"/>
      <c r="E68" s="32"/>
      <c r="F68" s="32"/>
      <c r="G68" s="32"/>
      <c r="H68" s="32"/>
      <c r="I68" s="32"/>
      <c r="J68" s="32"/>
      <c r="K68" s="32"/>
      <c r="L68" s="32"/>
      <c r="M68" s="109"/>
      <c r="N68" s="32"/>
      <c r="O68" s="32"/>
      <c r="P68" s="32"/>
    </row>
  </sheetData>
  <mergeCells count="73">
    <mergeCell ref="E62:F62"/>
    <mergeCell ref="G62:I62"/>
    <mergeCell ref="J62:K62"/>
    <mergeCell ref="N62:O62"/>
    <mergeCell ref="B58:D58"/>
    <mergeCell ref="B60:D60"/>
    <mergeCell ref="E61:F61"/>
    <mergeCell ref="G61:I61"/>
    <mergeCell ref="J61:K61"/>
    <mergeCell ref="N61:O61"/>
    <mergeCell ref="B55:D55"/>
    <mergeCell ref="B56:D56"/>
    <mergeCell ref="B47:D47"/>
    <mergeCell ref="B48:D48"/>
    <mergeCell ref="B49:D49"/>
    <mergeCell ref="B50:D50"/>
    <mergeCell ref="B51:D51"/>
    <mergeCell ref="B57:D57"/>
    <mergeCell ref="B46:D46"/>
    <mergeCell ref="A37:O37"/>
    <mergeCell ref="A39:O39"/>
    <mergeCell ref="B42:D42"/>
    <mergeCell ref="F42:H42"/>
    <mergeCell ref="J42:L42"/>
    <mergeCell ref="N42:P42"/>
    <mergeCell ref="G43:H43"/>
    <mergeCell ref="K43:L43"/>
    <mergeCell ref="O43:P43"/>
    <mergeCell ref="B44:D44"/>
    <mergeCell ref="B45:D45"/>
    <mergeCell ref="B52:D52"/>
    <mergeCell ref="B53:D53"/>
    <mergeCell ref="B54:D54"/>
    <mergeCell ref="A36:O36"/>
    <mergeCell ref="J28:K28"/>
    <mergeCell ref="N28:O28"/>
    <mergeCell ref="E29:F29"/>
    <mergeCell ref="G29:I29"/>
    <mergeCell ref="J29:K29"/>
    <mergeCell ref="N29:O29"/>
    <mergeCell ref="G28:I28"/>
    <mergeCell ref="A35:O35"/>
    <mergeCell ref="B23:D23"/>
    <mergeCell ref="B24:D24"/>
    <mergeCell ref="B25:D25"/>
    <mergeCell ref="B27:D27"/>
    <mergeCell ref="E28:F28"/>
    <mergeCell ref="B17:D17"/>
    <mergeCell ref="B18:D18"/>
    <mergeCell ref="B19:D19"/>
    <mergeCell ref="B20:D20"/>
    <mergeCell ref="B21:D21"/>
    <mergeCell ref="B12:D12"/>
    <mergeCell ref="B13:D13"/>
    <mergeCell ref="B14:D14"/>
    <mergeCell ref="B15:D15"/>
    <mergeCell ref="B16:D16"/>
    <mergeCell ref="N41:P41"/>
    <mergeCell ref="N6:P6"/>
    <mergeCell ref="N7:P7"/>
    <mergeCell ref="A1:O1"/>
    <mergeCell ref="A2:O2"/>
    <mergeCell ref="A3:O3"/>
    <mergeCell ref="A5:O5"/>
    <mergeCell ref="B9:D9"/>
    <mergeCell ref="F9:H9"/>
    <mergeCell ref="J9:L9"/>
    <mergeCell ref="N9:P9"/>
    <mergeCell ref="G10:H10"/>
    <mergeCell ref="K10:L10"/>
    <mergeCell ref="O10:P10"/>
    <mergeCell ref="B22:D22"/>
    <mergeCell ref="B11:D11"/>
  </mergeCells>
  <pageMargins left="0.7" right="0.7" top="0.4" bottom="0.75" header="0.3" footer="0.3"/>
  <pageSetup scale="6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R71"/>
  <sheetViews>
    <sheetView topLeftCell="A13" zoomScaleNormal="100" workbookViewId="0">
      <selection activeCell="N6" sqref="N6:P6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139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6" s="4" customFormat="1" ht="15.75" x14ac:dyDescent="0.25">
      <c r="M4" s="121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f>'10'!N6</f>
        <v>0</v>
      </c>
      <c r="O6" s="256"/>
      <c r="P6" s="256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1"/>
      <c r="I7" s="10"/>
      <c r="J7" s="10"/>
      <c r="K7" s="10"/>
      <c r="L7" s="10"/>
      <c r="M7" s="22" t="s">
        <v>27</v>
      </c>
      <c r="N7" s="259" t="s">
        <v>36</v>
      </c>
      <c r="O7" s="259"/>
      <c r="P7" s="259"/>
    </row>
    <row r="9" spans="1:16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144"/>
      <c r="J9" s="245" t="s">
        <v>9</v>
      </c>
      <c r="K9" s="245"/>
      <c r="L9" s="245"/>
      <c r="M9" s="144"/>
      <c r="N9" s="245" t="s">
        <v>10</v>
      </c>
      <c r="O9" s="245"/>
      <c r="P9" s="245"/>
    </row>
    <row r="10" spans="1:16" s="6" customFormat="1" ht="18.75" x14ac:dyDescent="0.3">
      <c r="B10" s="147"/>
      <c r="C10" s="147"/>
      <c r="D10" s="147"/>
      <c r="F10" s="146" t="s">
        <v>29</v>
      </c>
      <c r="G10" s="246" t="s">
        <v>30</v>
      </c>
      <c r="H10" s="247"/>
      <c r="I10" s="144"/>
      <c r="J10" s="146" t="s">
        <v>29</v>
      </c>
      <c r="K10" s="246" t="s">
        <v>30</v>
      </c>
      <c r="L10" s="247"/>
      <c r="M10" s="144"/>
      <c r="N10" s="146" t="s">
        <v>29</v>
      </c>
      <c r="O10" s="246" t="s">
        <v>30</v>
      </c>
      <c r="P10" s="247"/>
    </row>
    <row r="11" spans="1:16" x14ac:dyDescent="0.25">
      <c r="B11" s="244" t="s">
        <v>78</v>
      </c>
      <c r="C11" s="244"/>
      <c r="D11" s="244"/>
      <c r="E11" s="2"/>
      <c r="F11" s="49">
        <f>G11/208*25</f>
        <v>0</v>
      </c>
      <c r="G11" s="36"/>
      <c r="H11" s="43" t="s">
        <v>38</v>
      </c>
      <c r="I11" s="14"/>
      <c r="J11" s="49">
        <f>F11</f>
        <v>0</v>
      </c>
      <c r="K11" s="50">
        <f>G11</f>
        <v>0</v>
      </c>
      <c r="L11" s="43" t="s">
        <v>38</v>
      </c>
      <c r="M11" s="22"/>
      <c r="N11" s="49">
        <f>F11</f>
        <v>0</v>
      </c>
      <c r="O11" s="27">
        <f>G11</f>
        <v>0</v>
      </c>
      <c r="P11" s="43" t="s">
        <v>38</v>
      </c>
    </row>
    <row r="12" spans="1:16" x14ac:dyDescent="0.25">
      <c r="B12" s="244" t="s">
        <v>74</v>
      </c>
      <c r="C12" s="244"/>
      <c r="D12" s="244"/>
      <c r="E12" s="2"/>
      <c r="F12" s="49">
        <f>G12/208*25</f>
        <v>0</v>
      </c>
      <c r="G12" s="36"/>
      <c r="H12" s="43" t="s">
        <v>38</v>
      </c>
      <c r="I12" s="14"/>
      <c r="J12" s="49">
        <f>F12</f>
        <v>0</v>
      </c>
      <c r="K12" s="50">
        <f>G12</f>
        <v>0</v>
      </c>
      <c r="L12" s="43" t="s">
        <v>38</v>
      </c>
      <c r="M12" s="22"/>
      <c r="N12" s="49">
        <f>F12</f>
        <v>0</v>
      </c>
      <c r="O12" s="27">
        <f>G12</f>
        <v>0</v>
      </c>
      <c r="P12" s="43" t="s">
        <v>38</v>
      </c>
    </row>
    <row r="13" spans="1:16" x14ac:dyDescent="0.25">
      <c r="B13" s="244" t="s">
        <v>49</v>
      </c>
      <c r="C13" s="244"/>
      <c r="D13" s="244"/>
      <c r="E13" s="2"/>
      <c r="F13" s="49"/>
      <c r="G13" s="83"/>
      <c r="H13" s="43"/>
      <c r="I13" s="14"/>
      <c r="J13" s="49">
        <f>F13</f>
        <v>0</v>
      </c>
      <c r="K13" s="29"/>
      <c r="L13" s="43"/>
      <c r="M13" s="22"/>
      <c r="N13" s="49">
        <f>F13</f>
        <v>0</v>
      </c>
      <c r="O13" s="29"/>
      <c r="P13" s="43"/>
    </row>
    <row r="14" spans="1:16" x14ac:dyDescent="0.25">
      <c r="B14" s="244" t="s">
        <v>50</v>
      </c>
      <c r="C14" s="244"/>
      <c r="D14" s="244"/>
      <c r="E14" s="2"/>
      <c r="F14" s="3"/>
      <c r="G14" s="27"/>
      <c r="H14" s="43" t="s">
        <v>38</v>
      </c>
      <c r="I14" s="14"/>
      <c r="J14" s="3"/>
      <c r="K14" s="27">
        <f>G14</f>
        <v>0</v>
      </c>
      <c r="L14" s="43" t="s">
        <v>38</v>
      </c>
      <c r="M14" s="22"/>
      <c r="N14" s="3"/>
      <c r="O14" s="27">
        <f>G14</f>
        <v>0</v>
      </c>
      <c r="P14" s="43" t="s">
        <v>38</v>
      </c>
    </row>
    <row r="15" spans="1:16" x14ac:dyDescent="0.25">
      <c r="B15" s="244" t="s">
        <v>51</v>
      </c>
      <c r="C15" s="244"/>
      <c r="D15" s="244"/>
      <c r="E15" s="2"/>
      <c r="F15" s="3"/>
      <c r="G15" s="94">
        <f>G14*2.43</f>
        <v>0</v>
      </c>
      <c r="H15" s="43" t="s">
        <v>39</v>
      </c>
      <c r="I15" s="14"/>
      <c r="J15" s="3"/>
      <c r="K15" s="112">
        <f t="shared" ref="K15:K25" si="0">G15</f>
        <v>0</v>
      </c>
      <c r="L15" s="43" t="s">
        <v>39</v>
      </c>
      <c r="M15" s="22"/>
      <c r="N15" s="3"/>
      <c r="O15" s="112">
        <f t="shared" ref="O15:O25" si="1">G15</f>
        <v>0</v>
      </c>
      <c r="P15" s="43" t="s">
        <v>39</v>
      </c>
    </row>
    <row r="16" spans="1:16" x14ac:dyDescent="0.25">
      <c r="B16" s="244" t="s">
        <v>63</v>
      </c>
      <c r="C16" s="244"/>
      <c r="D16" s="244"/>
      <c r="E16" s="2"/>
      <c r="F16" s="3"/>
      <c r="G16" s="27"/>
      <c r="H16" s="43" t="s">
        <v>38</v>
      </c>
      <c r="I16" s="14"/>
      <c r="J16" s="3"/>
      <c r="K16" s="27">
        <f t="shared" si="0"/>
        <v>0</v>
      </c>
      <c r="L16" s="43" t="s">
        <v>38</v>
      </c>
      <c r="M16" s="22"/>
      <c r="N16" s="3"/>
      <c r="O16" s="27">
        <f t="shared" si="1"/>
        <v>0</v>
      </c>
      <c r="P16" s="43" t="s">
        <v>38</v>
      </c>
    </row>
    <row r="17" spans="1:16" x14ac:dyDescent="0.25">
      <c r="B17" s="244" t="s">
        <v>64</v>
      </c>
      <c r="C17" s="244"/>
      <c r="D17" s="244"/>
      <c r="E17" s="2"/>
      <c r="F17" s="3"/>
      <c r="G17" s="27"/>
      <c r="H17" s="43" t="s">
        <v>38</v>
      </c>
      <c r="I17" s="14"/>
      <c r="J17" s="3"/>
      <c r="K17" s="27">
        <f t="shared" si="0"/>
        <v>0</v>
      </c>
      <c r="L17" s="43" t="s">
        <v>38</v>
      </c>
      <c r="M17" s="22"/>
      <c r="N17" s="3"/>
      <c r="O17" s="27">
        <f t="shared" si="1"/>
        <v>0</v>
      </c>
      <c r="P17" s="43" t="s">
        <v>38</v>
      </c>
    </row>
    <row r="18" spans="1:16" x14ac:dyDescent="0.25">
      <c r="B18" s="244" t="s">
        <v>65</v>
      </c>
      <c r="C18" s="244"/>
      <c r="D18" s="244"/>
      <c r="E18" s="2"/>
      <c r="F18" s="3"/>
      <c r="G18" s="27"/>
      <c r="H18" s="43" t="s">
        <v>38</v>
      </c>
      <c r="I18" s="14"/>
      <c r="J18" s="3"/>
      <c r="K18" s="27">
        <f t="shared" si="0"/>
        <v>0</v>
      </c>
      <c r="L18" s="43" t="s">
        <v>38</v>
      </c>
      <c r="M18" s="22"/>
      <c r="N18" s="3"/>
      <c r="O18" s="27">
        <f t="shared" si="1"/>
        <v>0</v>
      </c>
      <c r="P18" s="43" t="s">
        <v>38</v>
      </c>
    </row>
    <row r="19" spans="1:16" x14ac:dyDescent="0.25">
      <c r="B19" s="244" t="s">
        <v>66</v>
      </c>
      <c r="C19" s="244"/>
      <c r="D19" s="244"/>
      <c r="E19" s="2"/>
      <c r="F19" s="3"/>
      <c r="G19" s="27"/>
      <c r="H19" s="43" t="s">
        <v>38</v>
      </c>
      <c r="I19" s="14"/>
      <c r="J19" s="3"/>
      <c r="K19" s="27">
        <f t="shared" si="0"/>
        <v>0</v>
      </c>
      <c r="L19" s="43" t="s">
        <v>38</v>
      </c>
      <c r="M19" s="22"/>
      <c r="N19" s="3"/>
      <c r="O19" s="27">
        <f t="shared" si="1"/>
        <v>0</v>
      </c>
      <c r="P19" s="43" t="s">
        <v>38</v>
      </c>
    </row>
    <row r="20" spans="1:16" x14ac:dyDescent="0.25">
      <c r="B20" s="244" t="s">
        <v>67</v>
      </c>
      <c r="C20" s="244"/>
      <c r="D20" s="244"/>
      <c r="E20" s="2"/>
      <c r="F20" s="3"/>
      <c r="G20" s="28"/>
      <c r="H20" s="43" t="s">
        <v>39</v>
      </c>
      <c r="I20" s="14"/>
      <c r="J20" s="3"/>
      <c r="K20" s="27">
        <f t="shared" si="0"/>
        <v>0</v>
      </c>
      <c r="L20" s="43" t="s">
        <v>39</v>
      </c>
      <c r="M20" s="22"/>
      <c r="N20" s="3"/>
      <c r="O20" s="27">
        <f t="shared" si="1"/>
        <v>0</v>
      </c>
      <c r="P20" s="43" t="s">
        <v>39</v>
      </c>
    </row>
    <row r="21" spans="1:16" x14ac:dyDescent="0.25">
      <c r="B21" s="244" t="s">
        <v>68</v>
      </c>
      <c r="C21" s="244"/>
      <c r="D21" s="244"/>
      <c r="E21" s="2"/>
      <c r="F21" s="3"/>
      <c r="G21" s="28"/>
      <c r="H21" s="43" t="s">
        <v>39</v>
      </c>
      <c r="I21" s="14"/>
      <c r="J21" s="3"/>
      <c r="K21" s="27">
        <f t="shared" si="0"/>
        <v>0</v>
      </c>
      <c r="L21" s="43" t="s">
        <v>39</v>
      </c>
      <c r="M21" s="22"/>
      <c r="N21" s="3"/>
      <c r="O21" s="27">
        <f t="shared" si="1"/>
        <v>0</v>
      </c>
      <c r="P21" s="43" t="s">
        <v>39</v>
      </c>
    </row>
    <row r="22" spans="1:16" x14ac:dyDescent="0.25">
      <c r="B22" s="244" t="s">
        <v>69</v>
      </c>
      <c r="C22" s="244"/>
      <c r="D22" s="244"/>
      <c r="E22" s="2"/>
      <c r="F22" s="3"/>
      <c r="G22" s="28"/>
      <c r="H22" s="43" t="s">
        <v>39</v>
      </c>
      <c r="I22" s="14"/>
      <c r="J22" s="3"/>
      <c r="K22" s="27">
        <f t="shared" si="0"/>
        <v>0</v>
      </c>
      <c r="L22" s="43" t="s">
        <v>39</v>
      </c>
      <c r="M22" s="22"/>
      <c r="N22" s="3"/>
      <c r="O22" s="27">
        <f t="shared" si="1"/>
        <v>0</v>
      </c>
      <c r="P22" s="43" t="s">
        <v>39</v>
      </c>
    </row>
    <row r="23" spans="1:16" x14ac:dyDescent="0.25">
      <c r="B23" s="244" t="s">
        <v>58</v>
      </c>
      <c r="C23" s="244"/>
      <c r="D23" s="244"/>
      <c r="E23" s="2"/>
      <c r="F23" s="3"/>
      <c r="G23" s="27"/>
      <c r="H23" s="43" t="s">
        <v>38</v>
      </c>
      <c r="I23" s="14"/>
      <c r="J23" s="3"/>
      <c r="K23" s="27">
        <f t="shared" si="0"/>
        <v>0</v>
      </c>
      <c r="L23" s="43" t="s">
        <v>38</v>
      </c>
      <c r="M23" s="22"/>
      <c r="N23" s="3"/>
      <c r="O23" s="27">
        <f t="shared" si="1"/>
        <v>0</v>
      </c>
      <c r="P23" s="43" t="s">
        <v>38</v>
      </c>
    </row>
    <row r="24" spans="1:16" x14ac:dyDescent="0.25">
      <c r="B24" s="244" t="s">
        <v>59</v>
      </c>
      <c r="C24" s="244"/>
      <c r="D24" s="244"/>
      <c r="E24" s="2"/>
      <c r="F24" s="3"/>
      <c r="G24" s="28"/>
      <c r="H24" s="43" t="s">
        <v>39</v>
      </c>
      <c r="I24" s="14"/>
      <c r="J24" s="3"/>
      <c r="K24" s="27">
        <f t="shared" si="0"/>
        <v>0</v>
      </c>
      <c r="L24" s="43" t="s">
        <v>39</v>
      </c>
      <c r="M24" s="22"/>
      <c r="N24" s="3"/>
      <c r="O24" s="27">
        <f t="shared" si="1"/>
        <v>0</v>
      </c>
      <c r="P24" s="43" t="s">
        <v>39</v>
      </c>
    </row>
    <row r="25" spans="1:16" x14ac:dyDescent="0.25">
      <c r="B25" s="244" t="s">
        <v>70</v>
      </c>
      <c r="C25" s="244"/>
      <c r="D25" s="244"/>
      <c r="E25" s="2"/>
      <c r="F25" s="3"/>
      <c r="G25" s="28"/>
      <c r="H25" s="43" t="s">
        <v>38</v>
      </c>
      <c r="I25" s="14"/>
      <c r="J25" s="3"/>
      <c r="K25" s="27">
        <f t="shared" si="0"/>
        <v>0</v>
      </c>
      <c r="L25" s="43" t="s">
        <v>38</v>
      </c>
      <c r="M25" s="22"/>
      <c r="N25" s="3"/>
      <c r="O25" s="27">
        <f t="shared" si="1"/>
        <v>0</v>
      </c>
      <c r="P25" s="43" t="s">
        <v>38</v>
      </c>
    </row>
    <row r="27" spans="1:16" s="6" customFormat="1" ht="15.75" customHeight="1" x14ac:dyDescent="0.3">
      <c r="A27" s="6" t="s">
        <v>12</v>
      </c>
      <c r="B27" s="245" t="s">
        <v>25</v>
      </c>
      <c r="C27" s="245"/>
      <c r="D27" s="245"/>
      <c r="M27" s="144"/>
    </row>
    <row r="28" spans="1:16" x14ac:dyDescent="0.25">
      <c r="C28" s="141" t="s">
        <v>13</v>
      </c>
      <c r="D28" s="31" t="s">
        <v>34</v>
      </c>
      <c r="E28" s="251"/>
      <c r="F28" s="251"/>
      <c r="G28" s="249" t="s">
        <v>18</v>
      </c>
      <c r="H28" s="249"/>
      <c r="I28" s="249"/>
      <c r="J28" s="250">
        <f>G16+G17+G18+G19-J29</f>
        <v>0</v>
      </c>
      <c r="K28" s="250"/>
      <c r="L28" s="22" t="s">
        <v>71</v>
      </c>
      <c r="M28" s="22"/>
      <c r="N28" s="250" t="s">
        <v>32</v>
      </c>
      <c r="O28" s="250"/>
    </row>
    <row r="29" spans="1:16" x14ac:dyDescent="0.25">
      <c r="C29" s="141" t="s">
        <v>14</v>
      </c>
      <c r="D29" s="31" t="s">
        <v>35</v>
      </c>
      <c r="E29" s="251"/>
      <c r="F29" s="251"/>
      <c r="G29" s="249" t="s">
        <v>18</v>
      </c>
      <c r="H29" s="249"/>
      <c r="I29" s="249"/>
      <c r="J29" s="257"/>
      <c r="K29" s="252"/>
      <c r="L29" s="22" t="s">
        <v>71</v>
      </c>
      <c r="M29" s="22"/>
      <c r="N29" s="252" t="s">
        <v>33</v>
      </c>
      <c r="O29" s="252"/>
    </row>
    <row r="30" spans="1:16" x14ac:dyDescent="0.25">
      <c r="J30" s="20"/>
      <c r="K30" s="20"/>
      <c r="L30" s="20"/>
    </row>
    <row r="31" spans="1:16" s="7" customFormat="1" ht="18.75" x14ac:dyDescent="0.3">
      <c r="A31" s="7" t="s">
        <v>15</v>
      </c>
      <c r="B31" s="8" t="s">
        <v>16</v>
      </c>
      <c r="C31" s="8"/>
      <c r="D31" s="8"/>
      <c r="E31" s="6"/>
      <c r="F31" s="6"/>
      <c r="M31" s="24"/>
    </row>
    <row r="32" spans="1:16" s="7" customFormat="1" ht="18.75" x14ac:dyDescent="0.3">
      <c r="B32" s="6" t="s">
        <v>17</v>
      </c>
      <c r="D32" s="9"/>
      <c r="E32" s="9"/>
      <c r="F32" s="9"/>
      <c r="G32" s="9"/>
      <c r="H32" s="9"/>
      <c r="I32" s="9"/>
      <c r="J32" s="9"/>
      <c r="K32" s="9"/>
      <c r="L32" s="9"/>
      <c r="M32" s="25"/>
      <c r="N32" s="9"/>
      <c r="O32" s="9"/>
      <c r="P32" s="9"/>
    </row>
    <row r="33" spans="1:18" x14ac:dyDescent="0.25">
      <c r="D33" s="1"/>
      <c r="E33" s="1"/>
      <c r="F33" s="1"/>
      <c r="G33" s="1"/>
      <c r="H33" s="1"/>
      <c r="I33" s="1"/>
      <c r="J33" s="1"/>
      <c r="K33" s="1"/>
      <c r="L33" s="1"/>
      <c r="M33" s="15"/>
      <c r="N33" s="1"/>
      <c r="O33" s="1"/>
      <c r="P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5"/>
      <c r="N34" s="1"/>
      <c r="O34" s="1"/>
      <c r="P34" s="1"/>
      <c r="Q34" s="1"/>
      <c r="R34" s="1"/>
    </row>
    <row r="36" spans="1:18" s="4" customFormat="1" ht="18.75" x14ac:dyDescent="0.3">
      <c r="A36" s="240" t="s">
        <v>24</v>
      </c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</row>
    <row r="37" spans="1:18" s="4" customFormat="1" ht="15.75" x14ac:dyDescent="0.25">
      <c r="A37" s="241" t="s">
        <v>28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</row>
    <row r="38" spans="1:18" s="4" customFormat="1" ht="15.75" x14ac:dyDescent="0.25">
      <c r="A38" s="241" t="s">
        <v>1</v>
      </c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</row>
    <row r="39" spans="1:18" s="4" customFormat="1" ht="15.75" x14ac:dyDescent="0.25">
      <c r="M39" s="121"/>
    </row>
    <row r="40" spans="1:18" s="4" customFormat="1" ht="18.75" x14ac:dyDescent="0.3">
      <c r="A40" s="240" t="s">
        <v>26</v>
      </c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</row>
    <row r="42" spans="1:18" s="2" customFormat="1" x14ac:dyDescent="0.25">
      <c r="A42" s="2" t="s">
        <v>3</v>
      </c>
      <c r="C42" s="5" t="s">
        <v>4</v>
      </c>
      <c r="D42" s="11" t="s">
        <v>11</v>
      </c>
      <c r="E42" s="11"/>
      <c r="F42" s="11"/>
      <c r="G42" s="11"/>
      <c r="H42" s="11"/>
      <c r="I42" s="11"/>
      <c r="J42" s="11"/>
      <c r="K42" s="11"/>
      <c r="L42" s="21"/>
      <c r="M42" s="22" t="s">
        <v>5</v>
      </c>
      <c r="N42" s="256">
        <f>'10'!N44</f>
        <v>0</v>
      </c>
      <c r="O42" s="256"/>
      <c r="P42" s="256"/>
    </row>
    <row r="43" spans="1:18" s="6" customFormat="1" ht="18.75" x14ac:dyDescent="0.3">
      <c r="A43" s="6" t="s">
        <v>6</v>
      </c>
      <c r="B43" s="248" t="s">
        <v>7</v>
      </c>
      <c r="C43" s="248"/>
      <c r="D43" s="248"/>
      <c r="F43" s="245" t="s">
        <v>8</v>
      </c>
      <c r="G43" s="245"/>
      <c r="H43" s="245"/>
      <c r="I43" s="144"/>
      <c r="J43" s="245" t="s">
        <v>9</v>
      </c>
      <c r="K43" s="245"/>
      <c r="L43" s="245"/>
      <c r="M43" s="144"/>
      <c r="N43" s="245" t="s">
        <v>10</v>
      </c>
      <c r="O43" s="245"/>
      <c r="P43" s="245"/>
    </row>
    <row r="44" spans="1:18" s="6" customFormat="1" ht="18.75" x14ac:dyDescent="0.3">
      <c r="B44" s="147"/>
      <c r="C44" s="147"/>
      <c r="D44" s="147"/>
      <c r="F44" s="146" t="s">
        <v>29</v>
      </c>
      <c r="G44" s="246" t="s">
        <v>30</v>
      </c>
      <c r="H44" s="247"/>
      <c r="I44" s="144"/>
      <c r="J44" s="146" t="s">
        <v>29</v>
      </c>
      <c r="K44" s="246" t="s">
        <v>30</v>
      </c>
      <c r="L44" s="247"/>
      <c r="M44" s="144"/>
      <c r="N44" s="146" t="s">
        <v>29</v>
      </c>
      <c r="O44" s="246" t="s">
        <v>30</v>
      </c>
      <c r="P44" s="247"/>
    </row>
    <row r="45" spans="1:18" x14ac:dyDescent="0.25">
      <c r="B45" s="244" t="s">
        <v>78</v>
      </c>
      <c r="C45" s="244"/>
      <c r="D45" s="244"/>
      <c r="E45" s="2"/>
      <c r="F45" s="49">
        <f>G45/208*25</f>
        <v>0</v>
      </c>
      <c r="G45" s="36"/>
      <c r="H45" s="43" t="s">
        <v>38</v>
      </c>
      <c r="I45" s="14"/>
      <c r="J45" s="49">
        <f>F45</f>
        <v>0</v>
      </c>
      <c r="K45" s="50">
        <f>G45</f>
        <v>0</v>
      </c>
      <c r="L45" s="43" t="s">
        <v>38</v>
      </c>
      <c r="M45" s="22"/>
      <c r="N45" s="49">
        <f>F45</f>
        <v>0</v>
      </c>
      <c r="O45" s="27">
        <f>G45</f>
        <v>0</v>
      </c>
      <c r="P45" s="43" t="s">
        <v>38</v>
      </c>
    </row>
    <row r="46" spans="1:18" x14ac:dyDescent="0.25">
      <c r="B46" s="244" t="s">
        <v>74</v>
      </c>
      <c r="C46" s="244"/>
      <c r="D46" s="244"/>
      <c r="E46" s="2"/>
      <c r="F46" s="49">
        <f>G46/208*25</f>
        <v>0</v>
      </c>
      <c r="G46" s="36"/>
      <c r="H46" s="43" t="s">
        <v>38</v>
      </c>
      <c r="I46" s="14"/>
      <c r="J46" s="49">
        <f>F46</f>
        <v>0</v>
      </c>
      <c r="K46" s="50">
        <f>G46</f>
        <v>0</v>
      </c>
      <c r="L46" s="43" t="s">
        <v>38</v>
      </c>
      <c r="M46" s="22"/>
      <c r="N46" s="49">
        <f>F46</f>
        <v>0</v>
      </c>
      <c r="O46" s="27">
        <f>G46</f>
        <v>0</v>
      </c>
      <c r="P46" s="43" t="s">
        <v>38</v>
      </c>
    </row>
    <row r="47" spans="1:18" x14ac:dyDescent="0.25">
      <c r="B47" s="244" t="s">
        <v>49</v>
      </c>
      <c r="C47" s="244"/>
      <c r="D47" s="244"/>
      <c r="E47" s="2"/>
      <c r="F47" s="49"/>
      <c r="G47" s="27"/>
      <c r="H47" s="43"/>
      <c r="I47" s="14"/>
      <c r="J47" s="49">
        <f>F47</f>
        <v>0</v>
      </c>
      <c r="K47" s="29"/>
      <c r="L47" s="43"/>
      <c r="M47" s="22"/>
      <c r="N47" s="49">
        <f>F47</f>
        <v>0</v>
      </c>
      <c r="O47" s="29"/>
      <c r="P47" s="43"/>
    </row>
    <row r="48" spans="1:18" x14ac:dyDescent="0.25">
      <c r="B48" s="244" t="s">
        <v>50</v>
      </c>
      <c r="C48" s="244"/>
      <c r="D48" s="244"/>
      <c r="E48" s="2"/>
      <c r="F48" s="3"/>
      <c r="G48" s="27"/>
      <c r="H48" s="43" t="s">
        <v>38</v>
      </c>
      <c r="I48" s="14"/>
      <c r="J48" s="3"/>
      <c r="K48" s="27">
        <f>G48</f>
        <v>0</v>
      </c>
      <c r="L48" s="43" t="s">
        <v>38</v>
      </c>
      <c r="M48" s="22"/>
      <c r="N48" s="3"/>
      <c r="O48" s="27">
        <f>G48</f>
        <v>0</v>
      </c>
      <c r="P48" s="43" t="s">
        <v>38</v>
      </c>
    </row>
    <row r="49" spans="1:16" x14ac:dyDescent="0.25">
      <c r="B49" s="244" t="s">
        <v>51</v>
      </c>
      <c r="C49" s="244"/>
      <c r="D49" s="244"/>
      <c r="E49" s="2"/>
      <c r="F49" s="3"/>
      <c r="G49" s="51">
        <f>G48*2.43</f>
        <v>0</v>
      </c>
      <c r="H49" s="43" t="s">
        <v>39</v>
      </c>
      <c r="I49" s="14"/>
      <c r="J49" s="3"/>
      <c r="K49" s="83">
        <f t="shared" ref="K49:K59" si="2">G49</f>
        <v>0</v>
      </c>
      <c r="L49" s="43" t="s">
        <v>39</v>
      </c>
      <c r="M49" s="22"/>
      <c r="N49" s="3"/>
      <c r="O49" s="83">
        <f t="shared" ref="O49:O59" si="3">G49</f>
        <v>0</v>
      </c>
      <c r="P49" s="43" t="s">
        <v>39</v>
      </c>
    </row>
    <row r="50" spans="1:16" x14ac:dyDescent="0.25">
      <c r="B50" s="244" t="s">
        <v>63</v>
      </c>
      <c r="C50" s="244"/>
      <c r="D50" s="244"/>
      <c r="E50" s="2"/>
      <c r="F50" s="3"/>
      <c r="G50" s="27"/>
      <c r="H50" s="43" t="s">
        <v>38</v>
      </c>
      <c r="I50" s="14"/>
      <c r="J50" s="3"/>
      <c r="K50" s="27">
        <f t="shared" si="2"/>
        <v>0</v>
      </c>
      <c r="L50" s="43" t="s">
        <v>38</v>
      </c>
      <c r="M50" s="22"/>
      <c r="N50" s="3"/>
      <c r="O50" s="27">
        <f t="shared" si="3"/>
        <v>0</v>
      </c>
      <c r="P50" s="43" t="s">
        <v>38</v>
      </c>
    </row>
    <row r="51" spans="1:16" x14ac:dyDescent="0.25">
      <c r="B51" s="244" t="s">
        <v>64</v>
      </c>
      <c r="C51" s="244"/>
      <c r="D51" s="244"/>
      <c r="E51" s="2"/>
      <c r="F51" s="3"/>
      <c r="G51" s="27"/>
      <c r="H51" s="43" t="s">
        <v>38</v>
      </c>
      <c r="I51" s="14"/>
      <c r="J51" s="3"/>
      <c r="K51" s="27">
        <f t="shared" si="2"/>
        <v>0</v>
      </c>
      <c r="L51" s="43" t="s">
        <v>38</v>
      </c>
      <c r="M51" s="22"/>
      <c r="N51" s="3"/>
      <c r="O51" s="27">
        <f t="shared" si="3"/>
        <v>0</v>
      </c>
      <c r="P51" s="43" t="s">
        <v>38</v>
      </c>
    </row>
    <row r="52" spans="1:16" x14ac:dyDescent="0.25">
      <c r="B52" s="244" t="s">
        <v>65</v>
      </c>
      <c r="C52" s="244"/>
      <c r="D52" s="244"/>
      <c r="E52" s="2"/>
      <c r="F52" s="3"/>
      <c r="G52" s="27"/>
      <c r="H52" s="43" t="s">
        <v>38</v>
      </c>
      <c r="I52" s="14"/>
      <c r="J52" s="3"/>
      <c r="K52" s="27">
        <f t="shared" si="2"/>
        <v>0</v>
      </c>
      <c r="L52" s="43" t="s">
        <v>38</v>
      </c>
      <c r="M52" s="22"/>
      <c r="N52" s="3"/>
      <c r="O52" s="27">
        <f t="shared" si="3"/>
        <v>0</v>
      </c>
      <c r="P52" s="43" t="s">
        <v>38</v>
      </c>
    </row>
    <row r="53" spans="1:16" x14ac:dyDescent="0.25">
      <c r="B53" s="244" t="s">
        <v>66</v>
      </c>
      <c r="C53" s="244"/>
      <c r="D53" s="244"/>
      <c r="E53" s="2"/>
      <c r="F53" s="3"/>
      <c r="G53" s="27"/>
      <c r="H53" s="43" t="s">
        <v>38</v>
      </c>
      <c r="I53" s="14"/>
      <c r="J53" s="3"/>
      <c r="K53" s="27">
        <f t="shared" si="2"/>
        <v>0</v>
      </c>
      <c r="L53" s="43" t="s">
        <v>38</v>
      </c>
      <c r="M53" s="22"/>
      <c r="N53" s="3"/>
      <c r="O53" s="27">
        <f t="shared" si="3"/>
        <v>0</v>
      </c>
      <c r="P53" s="43" t="s">
        <v>38</v>
      </c>
    </row>
    <row r="54" spans="1:16" x14ac:dyDescent="0.25">
      <c r="B54" s="244" t="s">
        <v>67</v>
      </c>
      <c r="C54" s="244"/>
      <c r="D54" s="244"/>
      <c r="E54" s="2"/>
      <c r="F54" s="3"/>
      <c r="G54" s="28"/>
      <c r="H54" s="43" t="s">
        <v>39</v>
      </c>
      <c r="I54" s="14"/>
      <c r="J54" s="3"/>
      <c r="K54" s="27">
        <f t="shared" si="2"/>
        <v>0</v>
      </c>
      <c r="L54" s="43" t="s">
        <v>39</v>
      </c>
      <c r="M54" s="22"/>
      <c r="N54" s="3"/>
      <c r="O54" s="27">
        <f t="shared" si="3"/>
        <v>0</v>
      </c>
      <c r="P54" s="43" t="s">
        <v>39</v>
      </c>
    </row>
    <row r="55" spans="1:16" x14ac:dyDescent="0.25">
      <c r="B55" s="244" t="s">
        <v>68</v>
      </c>
      <c r="C55" s="244"/>
      <c r="D55" s="244"/>
      <c r="E55" s="2"/>
      <c r="F55" s="3"/>
      <c r="G55" s="28"/>
      <c r="H55" s="43" t="s">
        <v>39</v>
      </c>
      <c r="I55" s="14"/>
      <c r="J55" s="3"/>
      <c r="K55" s="27">
        <f t="shared" si="2"/>
        <v>0</v>
      </c>
      <c r="L55" s="43" t="s">
        <v>39</v>
      </c>
      <c r="M55" s="22"/>
      <c r="N55" s="3"/>
      <c r="O55" s="27">
        <f t="shared" si="3"/>
        <v>0</v>
      </c>
      <c r="P55" s="43" t="s">
        <v>39</v>
      </c>
    </row>
    <row r="56" spans="1:16" x14ac:dyDescent="0.25">
      <c r="B56" s="244" t="s">
        <v>69</v>
      </c>
      <c r="C56" s="244"/>
      <c r="D56" s="244"/>
      <c r="E56" s="2"/>
      <c r="F56" s="3"/>
      <c r="G56" s="28"/>
      <c r="H56" s="43" t="s">
        <v>39</v>
      </c>
      <c r="I56" s="14"/>
      <c r="J56" s="3"/>
      <c r="K56" s="27">
        <f t="shared" si="2"/>
        <v>0</v>
      </c>
      <c r="L56" s="43" t="s">
        <v>39</v>
      </c>
      <c r="M56" s="22"/>
      <c r="N56" s="3"/>
      <c r="O56" s="27">
        <f t="shared" si="3"/>
        <v>0</v>
      </c>
      <c r="P56" s="43" t="s">
        <v>39</v>
      </c>
    </row>
    <row r="57" spans="1:16" x14ac:dyDescent="0.25">
      <c r="B57" s="244" t="s">
        <v>58</v>
      </c>
      <c r="C57" s="244"/>
      <c r="D57" s="244"/>
      <c r="E57" s="2"/>
      <c r="F57" s="3"/>
      <c r="G57" s="28"/>
      <c r="H57" s="43" t="s">
        <v>38</v>
      </c>
      <c r="I57" s="14"/>
      <c r="J57" s="3"/>
      <c r="K57" s="27">
        <f t="shared" si="2"/>
        <v>0</v>
      </c>
      <c r="L57" s="43" t="s">
        <v>38</v>
      </c>
      <c r="M57" s="22"/>
      <c r="N57" s="3"/>
      <c r="O57" s="27">
        <f t="shared" si="3"/>
        <v>0</v>
      </c>
      <c r="P57" s="43" t="s">
        <v>38</v>
      </c>
    </row>
    <row r="58" spans="1:16" x14ac:dyDescent="0.25">
      <c r="B58" s="244" t="s">
        <v>59</v>
      </c>
      <c r="C58" s="244"/>
      <c r="D58" s="244"/>
      <c r="E58" s="2"/>
      <c r="F58" s="3"/>
      <c r="G58" s="28"/>
      <c r="H58" s="43" t="s">
        <v>39</v>
      </c>
      <c r="I58" s="14"/>
      <c r="J58" s="3"/>
      <c r="K58" s="27">
        <f t="shared" si="2"/>
        <v>0</v>
      </c>
      <c r="L58" s="43" t="s">
        <v>39</v>
      </c>
      <c r="M58" s="22"/>
      <c r="N58" s="3"/>
      <c r="O58" s="27">
        <f t="shared" si="3"/>
        <v>0</v>
      </c>
      <c r="P58" s="43" t="s">
        <v>39</v>
      </c>
    </row>
    <row r="59" spans="1:16" x14ac:dyDescent="0.25">
      <c r="B59" s="244" t="s">
        <v>70</v>
      </c>
      <c r="C59" s="244"/>
      <c r="D59" s="244"/>
      <c r="E59" s="2"/>
      <c r="F59" s="3"/>
      <c r="G59" s="28"/>
      <c r="H59" s="43" t="s">
        <v>38</v>
      </c>
      <c r="I59" s="14"/>
      <c r="J59" s="3"/>
      <c r="K59" s="27">
        <f t="shared" si="2"/>
        <v>0</v>
      </c>
      <c r="L59" s="43" t="s">
        <v>38</v>
      </c>
      <c r="M59" s="22"/>
      <c r="N59" s="3"/>
      <c r="O59" s="27">
        <f t="shared" si="3"/>
        <v>0</v>
      </c>
      <c r="P59" s="43" t="s">
        <v>38</v>
      </c>
    </row>
    <row r="61" spans="1:16" s="6" customFormat="1" ht="18.75" x14ac:dyDescent="0.3">
      <c r="A61" s="6" t="s">
        <v>12</v>
      </c>
      <c r="B61" s="245" t="s">
        <v>25</v>
      </c>
      <c r="C61" s="245"/>
      <c r="D61" s="245"/>
      <c r="M61" s="144"/>
    </row>
    <row r="62" spans="1:16" x14ac:dyDescent="0.25">
      <c r="C62" s="141" t="s">
        <v>13</v>
      </c>
      <c r="D62" s="31" t="s">
        <v>34</v>
      </c>
      <c r="E62" s="251"/>
      <c r="F62" s="251"/>
      <c r="G62" s="249" t="s">
        <v>18</v>
      </c>
      <c r="H62" s="249"/>
      <c r="I62" s="249"/>
      <c r="J62" s="250">
        <f>G50+G51+G52+G53-J63</f>
        <v>0</v>
      </c>
      <c r="K62" s="250"/>
      <c r="L62" s="22" t="s">
        <v>71</v>
      </c>
      <c r="M62" s="22"/>
      <c r="N62" s="250" t="s">
        <v>32</v>
      </c>
      <c r="O62" s="250"/>
    </row>
    <row r="63" spans="1:16" x14ac:dyDescent="0.25">
      <c r="C63" s="141" t="s">
        <v>14</v>
      </c>
      <c r="D63" s="31" t="s">
        <v>35</v>
      </c>
      <c r="E63" s="251"/>
      <c r="F63" s="251"/>
      <c r="G63" s="249" t="s">
        <v>18</v>
      </c>
      <c r="H63" s="249"/>
      <c r="I63" s="249"/>
      <c r="J63" s="257"/>
      <c r="K63" s="252"/>
      <c r="L63" s="22" t="s">
        <v>71</v>
      </c>
      <c r="M63" s="22"/>
      <c r="N63" s="252" t="s">
        <v>33</v>
      </c>
      <c r="O63" s="252"/>
    </row>
    <row r="64" spans="1:16" x14ac:dyDescent="0.25">
      <c r="K64" s="20"/>
      <c r="L64" s="20"/>
    </row>
    <row r="65" spans="1:16" s="7" customFormat="1" ht="18.75" x14ac:dyDescent="0.3">
      <c r="A65" s="7" t="s">
        <v>15</v>
      </c>
      <c r="B65" s="8" t="s">
        <v>16</v>
      </c>
      <c r="C65" s="8"/>
      <c r="D65" s="8"/>
      <c r="E65" s="6"/>
      <c r="F65" s="6"/>
      <c r="M65" s="24"/>
    </row>
    <row r="66" spans="1:16" s="7" customFormat="1" ht="18.75" x14ac:dyDescent="0.3">
      <c r="B66" s="6" t="s">
        <v>17</v>
      </c>
      <c r="D66" s="9"/>
      <c r="E66" s="9"/>
      <c r="F66" s="9"/>
      <c r="G66" s="9"/>
      <c r="H66" s="9"/>
      <c r="I66" s="9"/>
      <c r="J66" s="9"/>
      <c r="K66" s="9"/>
      <c r="L66" s="9"/>
      <c r="M66" s="25"/>
      <c r="N66" s="9"/>
      <c r="O66" s="9"/>
      <c r="P66" s="9"/>
    </row>
    <row r="67" spans="1:16" x14ac:dyDescent="0.25">
      <c r="D67" s="32"/>
      <c r="E67" s="32"/>
      <c r="F67" s="32"/>
      <c r="G67" s="32"/>
      <c r="H67" s="32"/>
      <c r="I67" s="32"/>
      <c r="J67" s="32"/>
      <c r="K67" s="32"/>
      <c r="L67" s="32"/>
      <c r="M67" s="109"/>
      <c r="N67" s="32"/>
      <c r="O67" s="32"/>
      <c r="P67" s="32"/>
    </row>
    <row r="68" spans="1:16" x14ac:dyDescent="0.25">
      <c r="D68" s="32"/>
      <c r="E68" s="32"/>
      <c r="F68" s="32"/>
      <c r="G68" s="32"/>
      <c r="H68" s="32"/>
      <c r="I68" s="32"/>
      <c r="J68" s="32"/>
      <c r="K68" s="32"/>
      <c r="L68" s="32"/>
      <c r="M68" s="109"/>
      <c r="N68" s="32"/>
      <c r="O68" s="32"/>
      <c r="P68" s="32"/>
    </row>
    <row r="69" spans="1:16" x14ac:dyDescent="0.25">
      <c r="D69" s="32"/>
      <c r="E69" s="32"/>
      <c r="F69" s="32"/>
      <c r="G69" s="32"/>
      <c r="H69" s="32"/>
      <c r="I69" s="32"/>
      <c r="J69" s="32"/>
      <c r="K69" s="32"/>
      <c r="L69" s="32"/>
      <c r="M69" s="109"/>
      <c r="N69" s="32"/>
      <c r="O69" s="32"/>
      <c r="P69" s="32"/>
    </row>
    <row r="71" spans="1:1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5"/>
      <c r="N71" s="1"/>
      <c r="O71" s="1"/>
      <c r="P71" s="1"/>
    </row>
  </sheetData>
  <mergeCells count="73">
    <mergeCell ref="N7:P7"/>
    <mergeCell ref="A1:O1"/>
    <mergeCell ref="A2:O2"/>
    <mergeCell ref="A3:O3"/>
    <mergeCell ref="A5:O5"/>
    <mergeCell ref="B9:D9"/>
    <mergeCell ref="F9:H9"/>
    <mergeCell ref="J9:L9"/>
    <mergeCell ref="N9:P9"/>
    <mergeCell ref="G10:H10"/>
    <mergeCell ref="K10:L10"/>
    <mergeCell ref="O10:P10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7:D27"/>
    <mergeCell ref="E28:F28"/>
    <mergeCell ref="B58:D58"/>
    <mergeCell ref="B47:D47"/>
    <mergeCell ref="A38:O38"/>
    <mergeCell ref="A40:O40"/>
    <mergeCell ref="B43:D43"/>
    <mergeCell ref="F43:H43"/>
    <mergeCell ref="J43:L43"/>
    <mergeCell ref="N43:P43"/>
    <mergeCell ref="G44:H44"/>
    <mergeCell ref="K44:L44"/>
    <mergeCell ref="O44:P44"/>
    <mergeCell ref="B45:D45"/>
    <mergeCell ref="B46:D46"/>
    <mergeCell ref="B53:D53"/>
    <mergeCell ref="B54:D54"/>
    <mergeCell ref="B55:D55"/>
    <mergeCell ref="B56:D56"/>
    <mergeCell ref="B57:D57"/>
    <mergeCell ref="B48:D48"/>
    <mergeCell ref="B49:D49"/>
    <mergeCell ref="B50:D50"/>
    <mergeCell ref="B51:D51"/>
    <mergeCell ref="B52:D52"/>
    <mergeCell ref="B59:D59"/>
    <mergeCell ref="B61:D61"/>
    <mergeCell ref="E62:F62"/>
    <mergeCell ref="G62:I62"/>
    <mergeCell ref="J62:K62"/>
    <mergeCell ref="N42:P42"/>
    <mergeCell ref="N6:P6"/>
    <mergeCell ref="E63:F63"/>
    <mergeCell ref="G63:I63"/>
    <mergeCell ref="J63:K63"/>
    <mergeCell ref="N63:O63"/>
    <mergeCell ref="N62:O62"/>
    <mergeCell ref="A37:O37"/>
    <mergeCell ref="J28:K28"/>
    <mergeCell ref="N28:O28"/>
    <mergeCell ref="E29:F29"/>
    <mergeCell ref="G29:I29"/>
    <mergeCell ref="J29:K29"/>
    <mergeCell ref="N29:O29"/>
    <mergeCell ref="G28:I28"/>
    <mergeCell ref="A36:O36"/>
  </mergeCells>
  <pageMargins left="0.7" right="0.7" top="0.4" bottom="0.75" header="0.3" footer="0.3"/>
  <pageSetup scale="6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R72"/>
  <sheetViews>
    <sheetView zoomScaleNormal="100" workbookViewId="0">
      <selection activeCell="B13" sqref="B13:D13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3" customWidth="1"/>
    <col min="10" max="10" width="7.7109375" customWidth="1"/>
    <col min="11" max="11" width="7.140625" bestFit="1" customWidth="1"/>
    <col min="12" max="12" width="6.7109375" customWidth="1"/>
    <col min="13" max="13" width="5.140625" style="226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6" s="4" customFormat="1" ht="15.75" x14ac:dyDescent="0.25">
      <c r="M4" s="121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>
        <f>'4'!N6</f>
        <v>0</v>
      </c>
      <c r="O6" s="256"/>
      <c r="P6" s="256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1"/>
      <c r="I7" s="10"/>
      <c r="J7" s="10"/>
      <c r="K7" s="10"/>
      <c r="L7" s="10"/>
      <c r="M7" s="22" t="s">
        <v>27</v>
      </c>
      <c r="N7" s="259" t="s">
        <v>36</v>
      </c>
      <c r="O7" s="259"/>
      <c r="P7" s="259"/>
    </row>
    <row r="9" spans="1:16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217"/>
      <c r="J9" s="245" t="s">
        <v>9</v>
      </c>
      <c r="K9" s="245"/>
      <c r="L9" s="245"/>
      <c r="M9" s="217"/>
      <c r="N9" s="245" t="s">
        <v>10</v>
      </c>
      <c r="O9" s="245"/>
      <c r="P9" s="245"/>
    </row>
    <row r="10" spans="1:16" s="6" customFormat="1" ht="18.75" x14ac:dyDescent="0.3">
      <c r="B10" s="222"/>
      <c r="C10" s="222"/>
      <c r="D10" s="222"/>
      <c r="F10" s="223" t="s">
        <v>29</v>
      </c>
      <c r="G10" s="246" t="s">
        <v>30</v>
      </c>
      <c r="H10" s="247"/>
      <c r="I10" s="217"/>
      <c r="J10" s="223" t="s">
        <v>29</v>
      </c>
      <c r="K10" s="246" t="s">
        <v>30</v>
      </c>
      <c r="L10" s="247"/>
      <c r="M10" s="217"/>
      <c r="N10" s="223" t="s">
        <v>29</v>
      </c>
      <c r="O10" s="246" t="s">
        <v>30</v>
      </c>
      <c r="P10" s="247"/>
    </row>
    <row r="11" spans="1:16" x14ac:dyDescent="0.25">
      <c r="B11" s="244" t="str">
        <f>'MT.ROCK CONSOLIDATION'!B12:D12</f>
        <v>Emulsion Super Power 208</v>
      </c>
      <c r="C11" s="244"/>
      <c r="D11" s="244"/>
      <c r="E11" s="2"/>
      <c r="F11" s="49">
        <f>G11/208*25</f>
        <v>0</v>
      </c>
      <c r="G11" s="36"/>
      <c r="H11" s="43" t="s">
        <v>38</v>
      </c>
      <c r="I11" s="14"/>
      <c r="J11" s="49">
        <f>F11</f>
        <v>0</v>
      </c>
      <c r="K11" s="50">
        <f>G11</f>
        <v>0</v>
      </c>
      <c r="L11" s="43" t="s">
        <v>38</v>
      </c>
      <c r="M11" s="22"/>
      <c r="N11" s="49">
        <f>F11</f>
        <v>0</v>
      </c>
      <c r="O11" s="27">
        <f>G11</f>
        <v>0</v>
      </c>
      <c r="P11" s="43" t="s">
        <v>38</v>
      </c>
    </row>
    <row r="12" spans="1:16" x14ac:dyDescent="0.25">
      <c r="B12" s="244" t="str">
        <f>'MT.ROCK CONSOLIDATION'!B13:D13</f>
        <v>NEOGEL 200</v>
      </c>
      <c r="C12" s="244"/>
      <c r="D12" s="244"/>
      <c r="E12" s="2"/>
      <c r="F12" s="49">
        <f>G12/200*25</f>
        <v>0</v>
      </c>
      <c r="G12" s="36"/>
      <c r="H12" s="43" t="s">
        <v>38</v>
      </c>
      <c r="I12" s="14"/>
      <c r="J12" s="49">
        <f>F12</f>
        <v>0</v>
      </c>
      <c r="K12" s="50">
        <f>G12</f>
        <v>0</v>
      </c>
      <c r="L12" s="43" t="s">
        <v>38</v>
      </c>
      <c r="M12" s="22"/>
      <c r="N12" s="49">
        <f>F12</f>
        <v>0</v>
      </c>
      <c r="O12" s="27">
        <f>G12</f>
        <v>0</v>
      </c>
      <c r="P12" s="43" t="s">
        <v>38</v>
      </c>
    </row>
    <row r="13" spans="1:16" x14ac:dyDescent="0.25">
      <c r="B13" s="244" t="str">
        <f>'MT.ROCK CONSOLIDATION'!B14:D14</f>
        <v>Anfo</v>
      </c>
      <c r="C13" s="244"/>
      <c r="D13" s="244"/>
      <c r="E13" s="2"/>
      <c r="F13" s="49">
        <f>'4'!F14</f>
        <v>0</v>
      </c>
      <c r="G13" s="83"/>
      <c r="H13" s="43"/>
      <c r="I13" s="14"/>
      <c r="J13" s="49">
        <f>F13</f>
        <v>0</v>
      </c>
      <c r="K13" s="29"/>
      <c r="L13" s="43"/>
      <c r="M13" s="22"/>
      <c r="N13" s="49">
        <f>F13</f>
        <v>0</v>
      </c>
      <c r="O13" s="29"/>
      <c r="P13" s="43"/>
    </row>
    <row r="14" spans="1:16" x14ac:dyDescent="0.25">
      <c r="B14" s="244" t="str">
        <f>'MT.ROCK CONSOLIDATION'!B15:D15</f>
        <v>OBC</v>
      </c>
      <c r="C14" s="244"/>
      <c r="D14" s="244"/>
      <c r="E14" s="2"/>
      <c r="F14" s="3"/>
      <c r="G14" s="27">
        <f>'4'!G15</f>
        <v>0</v>
      </c>
      <c r="H14" s="43" t="s">
        <v>38</v>
      </c>
      <c r="I14" s="14"/>
      <c r="J14" s="3"/>
      <c r="K14" s="27">
        <f>G14</f>
        <v>0</v>
      </c>
      <c r="L14" s="43" t="s">
        <v>38</v>
      </c>
      <c r="M14" s="22"/>
      <c r="N14" s="3"/>
      <c r="O14" s="27">
        <f>G14</f>
        <v>0</v>
      </c>
      <c r="P14" s="43" t="s">
        <v>38</v>
      </c>
    </row>
    <row r="15" spans="1:16" x14ac:dyDescent="0.25">
      <c r="B15" s="244" t="str">
        <f>'MT.ROCK CONSOLIDATION'!B16:D16</f>
        <v>Safety Fuse</v>
      </c>
      <c r="C15" s="244"/>
      <c r="D15" s="244"/>
      <c r="E15" s="2"/>
      <c r="F15" s="3"/>
      <c r="G15" s="94">
        <f>G14*2.43</f>
        <v>0</v>
      </c>
      <c r="H15" s="43" t="s">
        <v>39</v>
      </c>
      <c r="I15" s="14"/>
      <c r="J15" s="3"/>
      <c r="K15" s="112">
        <f t="shared" ref="K15:K26" si="0">G15</f>
        <v>0</v>
      </c>
      <c r="L15" s="43" t="s">
        <v>39</v>
      </c>
      <c r="M15" s="22"/>
      <c r="N15" s="3"/>
      <c r="O15" s="112">
        <f t="shared" ref="O15:O26" si="1">G15</f>
        <v>0</v>
      </c>
      <c r="P15" s="43" t="s">
        <v>39</v>
      </c>
    </row>
    <row r="16" spans="1:16" x14ac:dyDescent="0.25">
      <c r="B16" s="244" t="str">
        <f>'MT.ROCK CONSOLIDATION'!B17:D17</f>
        <v>SHOCKSTAR Detonator 2.4</v>
      </c>
      <c r="C16" s="244"/>
      <c r="D16" s="244"/>
      <c r="E16" s="2"/>
      <c r="F16" s="3"/>
      <c r="G16" s="27"/>
      <c r="H16" s="43" t="s">
        <v>38</v>
      </c>
      <c r="I16" s="14"/>
      <c r="J16" s="3"/>
      <c r="K16" s="27">
        <f t="shared" si="0"/>
        <v>0</v>
      </c>
      <c r="L16" s="43" t="s">
        <v>38</v>
      </c>
      <c r="M16" s="22"/>
      <c r="N16" s="3"/>
      <c r="O16" s="27">
        <f t="shared" si="1"/>
        <v>0</v>
      </c>
      <c r="P16" s="43" t="s">
        <v>38</v>
      </c>
    </row>
    <row r="17" spans="1:16" x14ac:dyDescent="0.25">
      <c r="B17" s="244" t="str">
        <f>'MT.ROCK CONSOLIDATION'!B18:D18</f>
        <v>SUPREME Detonator 2.4</v>
      </c>
      <c r="C17" s="244"/>
      <c r="D17" s="244"/>
      <c r="E17" s="2"/>
      <c r="F17" s="3"/>
      <c r="G17" s="27"/>
      <c r="H17" s="43" t="s">
        <v>38</v>
      </c>
      <c r="I17" s="14"/>
      <c r="J17" s="3"/>
      <c r="K17" s="27">
        <f t="shared" si="0"/>
        <v>0</v>
      </c>
      <c r="L17" s="43" t="s">
        <v>38</v>
      </c>
      <c r="M17" s="22"/>
      <c r="N17" s="3"/>
      <c r="O17" s="27">
        <f t="shared" si="1"/>
        <v>0</v>
      </c>
      <c r="P17" s="43" t="s">
        <v>38</v>
      </c>
    </row>
    <row r="18" spans="1:16" x14ac:dyDescent="0.25">
      <c r="B18" s="244" t="str">
        <f>'MT.ROCK CONSOLIDATION'!B19:D19</f>
        <v>SUPREME Detonator 3.6</v>
      </c>
      <c r="C18" s="244"/>
      <c r="D18" s="244"/>
      <c r="E18" s="2"/>
      <c r="F18" s="3"/>
      <c r="G18" s="27"/>
      <c r="H18" s="43" t="s">
        <v>38</v>
      </c>
      <c r="I18" s="14"/>
      <c r="J18" s="3"/>
      <c r="K18" s="27">
        <f t="shared" si="0"/>
        <v>0</v>
      </c>
      <c r="L18" s="43" t="s">
        <v>38</v>
      </c>
      <c r="M18" s="22"/>
      <c r="N18" s="3"/>
      <c r="O18" s="27">
        <f t="shared" si="1"/>
        <v>0</v>
      </c>
      <c r="P18" s="43" t="s">
        <v>38</v>
      </c>
    </row>
    <row r="19" spans="1:16" x14ac:dyDescent="0.25">
      <c r="B19" s="244" t="str">
        <f>'MT.ROCK CONSOLIDATION'!B20:D20</f>
        <v>NONEL Detonator 2.4</v>
      </c>
      <c r="C19" s="244"/>
      <c r="D19" s="244"/>
      <c r="E19" s="2"/>
      <c r="F19" s="3"/>
      <c r="G19" s="27"/>
      <c r="H19" s="43" t="s">
        <v>38</v>
      </c>
      <c r="I19" s="14"/>
      <c r="J19" s="3"/>
      <c r="K19" s="27">
        <f t="shared" si="0"/>
        <v>0</v>
      </c>
      <c r="L19" s="43" t="s">
        <v>38</v>
      </c>
      <c r="M19" s="22"/>
      <c r="N19" s="3"/>
      <c r="O19" s="27">
        <f t="shared" si="1"/>
        <v>0</v>
      </c>
      <c r="P19" s="43" t="s">
        <v>38</v>
      </c>
    </row>
    <row r="20" spans="1:16" x14ac:dyDescent="0.25">
      <c r="B20" s="244" t="str">
        <f>'MT.ROCK CONSOLIDATION'!B21:D21</f>
        <v>NONEL Detonator 3.6</v>
      </c>
      <c r="C20" s="244"/>
      <c r="D20" s="244"/>
      <c r="E20" s="2"/>
      <c r="F20" s="3"/>
      <c r="G20" s="27"/>
      <c r="H20" s="43" t="s">
        <v>38</v>
      </c>
      <c r="I20" s="14"/>
      <c r="J20" s="3"/>
      <c r="K20" s="27">
        <f t="shared" si="0"/>
        <v>0</v>
      </c>
      <c r="L20" s="43" t="s">
        <v>38</v>
      </c>
      <c r="M20" s="22"/>
      <c r="N20" s="3"/>
      <c r="O20" s="27">
        <f t="shared" si="1"/>
        <v>0</v>
      </c>
      <c r="P20" s="43" t="s">
        <v>38</v>
      </c>
    </row>
    <row r="21" spans="1:16" x14ac:dyDescent="0.25">
      <c r="B21" s="244" t="str">
        <f>'MT.ROCK CONSOLIDATION'!B22:D22</f>
        <v>Solar Detonating Cord 6</v>
      </c>
      <c r="C21" s="244"/>
      <c r="D21" s="244"/>
      <c r="E21" s="2"/>
      <c r="F21" s="3"/>
      <c r="G21" s="28"/>
      <c r="H21" s="43" t="s">
        <v>39</v>
      </c>
      <c r="I21" s="14"/>
      <c r="J21" s="3"/>
      <c r="K21" s="27">
        <f t="shared" si="0"/>
        <v>0</v>
      </c>
      <c r="L21" s="43" t="s">
        <v>39</v>
      </c>
      <c r="M21" s="22"/>
      <c r="N21" s="3"/>
      <c r="O21" s="27">
        <f t="shared" si="1"/>
        <v>0</v>
      </c>
      <c r="P21" s="43" t="s">
        <v>39</v>
      </c>
    </row>
    <row r="22" spans="1:16" x14ac:dyDescent="0.25">
      <c r="B22" s="244" t="str">
        <f>'MT.ROCK CONSOLIDATION'!B23:D23</f>
        <v>Solar Detonating Cord 10</v>
      </c>
      <c r="C22" s="244"/>
      <c r="D22" s="244"/>
      <c r="E22" s="2"/>
      <c r="F22" s="3"/>
      <c r="G22" s="28"/>
      <c r="H22" s="43" t="s">
        <v>39</v>
      </c>
      <c r="I22" s="14"/>
      <c r="J22" s="3"/>
      <c r="K22" s="27">
        <f t="shared" si="0"/>
        <v>0</v>
      </c>
      <c r="L22" s="43" t="s">
        <v>39</v>
      </c>
      <c r="M22" s="22"/>
      <c r="N22" s="3"/>
      <c r="O22" s="27">
        <f t="shared" si="1"/>
        <v>0</v>
      </c>
      <c r="P22" s="43" t="s">
        <v>39</v>
      </c>
    </row>
    <row r="23" spans="1:16" x14ac:dyDescent="0.25">
      <c r="B23" s="244" t="str">
        <f>'MT.ROCK CONSOLIDATION'!B24:D24</f>
        <v>Solar Detonating Cord 40</v>
      </c>
      <c r="C23" s="244"/>
      <c r="D23" s="244"/>
      <c r="E23" s="2"/>
      <c r="F23" s="3"/>
      <c r="G23" s="28"/>
      <c r="H23" s="43" t="s">
        <v>39</v>
      </c>
      <c r="I23" s="14"/>
      <c r="J23" s="3"/>
      <c r="K23" s="27">
        <f t="shared" si="0"/>
        <v>0</v>
      </c>
      <c r="L23" s="43" t="s">
        <v>39</v>
      </c>
      <c r="M23" s="22"/>
      <c r="N23" s="3"/>
      <c r="O23" s="27">
        <f t="shared" si="1"/>
        <v>0</v>
      </c>
      <c r="P23" s="43" t="s">
        <v>39</v>
      </c>
    </row>
    <row r="24" spans="1:16" x14ac:dyDescent="0.25">
      <c r="B24" s="244" t="str">
        <f>'MT.ROCK CONSOLIDATION'!B25:D25</f>
        <v>Fuse Lighter</v>
      </c>
      <c r="C24" s="244"/>
      <c r="D24" s="244"/>
      <c r="E24" s="2"/>
      <c r="F24" s="3"/>
      <c r="G24" s="27"/>
      <c r="H24" s="43" t="s">
        <v>38</v>
      </c>
      <c r="I24" s="14"/>
      <c r="J24" s="3"/>
      <c r="K24" s="27">
        <f t="shared" si="0"/>
        <v>0</v>
      </c>
      <c r="L24" s="43" t="s">
        <v>38</v>
      </c>
      <c r="M24" s="22"/>
      <c r="N24" s="3"/>
      <c r="O24" s="27">
        <f t="shared" si="1"/>
        <v>0</v>
      </c>
      <c r="P24" s="43" t="s">
        <v>38</v>
      </c>
    </row>
    <row r="25" spans="1:16" x14ac:dyDescent="0.25">
      <c r="B25" s="244" t="str">
        <f>'MT.ROCK CONSOLIDATION'!B26:D26</f>
        <v>BILL WIRE</v>
      </c>
      <c r="C25" s="244"/>
      <c r="D25" s="244"/>
      <c r="E25" s="2"/>
      <c r="F25" s="3"/>
      <c r="G25" s="28"/>
      <c r="H25" s="43" t="s">
        <v>39</v>
      </c>
      <c r="I25" s="14"/>
      <c r="J25" s="3"/>
      <c r="K25" s="27">
        <f t="shared" si="0"/>
        <v>0</v>
      </c>
      <c r="L25" s="43" t="s">
        <v>39</v>
      </c>
      <c r="M25" s="22"/>
      <c r="N25" s="3"/>
      <c r="O25" s="27">
        <f t="shared" si="1"/>
        <v>0</v>
      </c>
      <c r="P25" s="43" t="s">
        <v>39</v>
      </c>
    </row>
    <row r="26" spans="1:16" x14ac:dyDescent="0.25">
      <c r="B26" s="244" t="str">
        <f>'MT.ROCK CONSOLIDATION'!B27:D27</f>
        <v>Solar  EBC</v>
      </c>
      <c r="C26" s="244"/>
      <c r="D26" s="244"/>
      <c r="E26" s="2"/>
      <c r="F26" s="3"/>
      <c r="G26" s="28"/>
      <c r="H26" s="43" t="s">
        <v>38</v>
      </c>
      <c r="I26" s="14"/>
      <c r="J26" s="3"/>
      <c r="K26" s="27">
        <f t="shared" si="0"/>
        <v>0</v>
      </c>
      <c r="L26" s="43" t="s">
        <v>38</v>
      </c>
      <c r="M26" s="22"/>
      <c r="N26" s="3"/>
      <c r="O26" s="27">
        <f t="shared" si="1"/>
        <v>0</v>
      </c>
      <c r="P26" s="43" t="s">
        <v>38</v>
      </c>
    </row>
    <row r="28" spans="1:16" s="6" customFormat="1" ht="15.75" customHeight="1" x14ac:dyDescent="0.3">
      <c r="A28" s="6" t="s">
        <v>12</v>
      </c>
      <c r="B28" s="245" t="s">
        <v>25</v>
      </c>
      <c r="C28" s="245"/>
      <c r="D28" s="245"/>
      <c r="M28" s="217"/>
    </row>
    <row r="29" spans="1:16" x14ac:dyDescent="0.25">
      <c r="C29" s="218" t="s">
        <v>13</v>
      </c>
      <c r="D29" s="31" t="s">
        <v>34</v>
      </c>
      <c r="E29" s="251"/>
      <c r="F29" s="251"/>
      <c r="G29" s="249" t="s">
        <v>18</v>
      </c>
      <c r="H29" s="249"/>
      <c r="I29" s="249"/>
      <c r="J29" s="250">
        <f>G16+G17+G18+G19+G20-J30</f>
        <v>0</v>
      </c>
      <c r="K29" s="250"/>
      <c r="L29" s="22" t="s">
        <v>71</v>
      </c>
      <c r="M29" s="22"/>
      <c r="N29" s="250" t="s">
        <v>32</v>
      </c>
      <c r="O29" s="250"/>
    </row>
    <row r="30" spans="1:16" x14ac:dyDescent="0.25">
      <c r="C30" s="218" t="s">
        <v>14</v>
      </c>
      <c r="D30" s="31" t="s">
        <v>35</v>
      </c>
      <c r="E30" s="251"/>
      <c r="F30" s="251"/>
      <c r="G30" s="249" t="s">
        <v>18</v>
      </c>
      <c r="H30" s="249"/>
      <c r="I30" s="249"/>
      <c r="J30" s="257">
        <v>0</v>
      </c>
      <c r="K30" s="252"/>
      <c r="L30" s="22" t="s">
        <v>71</v>
      </c>
      <c r="M30" s="22"/>
      <c r="N30" s="252" t="s">
        <v>33</v>
      </c>
      <c r="O30" s="252"/>
    </row>
    <row r="31" spans="1:16" x14ac:dyDescent="0.25">
      <c r="J31" s="20"/>
      <c r="K31" s="20"/>
      <c r="L31" s="20"/>
    </row>
    <row r="32" spans="1:16" s="7" customFormat="1" ht="18.75" x14ac:dyDescent="0.3">
      <c r="A32" s="7" t="s">
        <v>15</v>
      </c>
      <c r="B32" s="8" t="s">
        <v>16</v>
      </c>
      <c r="C32" s="8"/>
      <c r="D32" s="8"/>
      <c r="E32" s="6"/>
      <c r="F32" s="6"/>
      <c r="M32" s="24"/>
    </row>
    <row r="33" spans="1:18" s="7" customFormat="1" ht="18.75" x14ac:dyDescent="0.3">
      <c r="B33" s="6" t="s">
        <v>17</v>
      </c>
      <c r="D33" s="40"/>
      <c r="E33" s="40"/>
      <c r="F33" s="40"/>
      <c r="G33" s="40"/>
      <c r="H33" s="40"/>
      <c r="I33" s="40"/>
      <c r="J33" s="40"/>
      <c r="K33" s="40"/>
      <c r="L33" s="40"/>
      <c r="M33" s="111"/>
      <c r="N33" s="40"/>
      <c r="O33" s="40"/>
      <c r="P33" s="40"/>
    </row>
    <row r="34" spans="1:18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109"/>
      <c r="N34" s="32"/>
      <c r="O34" s="32"/>
      <c r="P34" s="32"/>
      <c r="Q34" s="32"/>
      <c r="R34" s="32"/>
    </row>
    <row r="36" spans="1:18" s="4" customFormat="1" ht="18.75" x14ac:dyDescent="0.3">
      <c r="A36" s="240" t="s">
        <v>24</v>
      </c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</row>
    <row r="37" spans="1:18" s="4" customFormat="1" ht="15.75" x14ac:dyDescent="0.25">
      <c r="A37" s="241" t="s">
        <v>28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</row>
    <row r="38" spans="1:18" s="4" customFormat="1" ht="15.75" x14ac:dyDescent="0.25">
      <c r="A38" s="241" t="s">
        <v>1</v>
      </c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</row>
    <row r="39" spans="1:18" s="4" customFormat="1" ht="15.75" x14ac:dyDescent="0.25">
      <c r="M39" s="121"/>
    </row>
    <row r="40" spans="1:18" s="4" customFormat="1" ht="18.75" x14ac:dyDescent="0.3">
      <c r="A40" s="240" t="s">
        <v>26</v>
      </c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</row>
    <row r="42" spans="1:18" s="2" customFormat="1" x14ac:dyDescent="0.25">
      <c r="A42" s="2" t="s">
        <v>3</v>
      </c>
      <c r="C42" s="5" t="s">
        <v>4</v>
      </c>
      <c r="D42" s="11" t="s">
        <v>11</v>
      </c>
      <c r="E42" s="11"/>
      <c r="F42" s="11"/>
      <c r="G42" s="11"/>
      <c r="H42" s="11"/>
      <c r="I42" s="11"/>
      <c r="J42" s="11"/>
      <c r="K42" s="11"/>
      <c r="L42" s="21"/>
      <c r="M42" s="22" t="s">
        <v>5</v>
      </c>
      <c r="N42" s="256">
        <v>0</v>
      </c>
      <c r="O42" s="256"/>
      <c r="P42" s="256"/>
    </row>
    <row r="43" spans="1:18" s="2" customFormat="1" x14ac:dyDescent="0.25">
      <c r="A43" s="2" t="s">
        <v>22</v>
      </c>
      <c r="C43" s="5" t="s">
        <v>4</v>
      </c>
      <c r="D43" s="12" t="s">
        <v>37</v>
      </c>
      <c r="E43" s="13"/>
      <c r="F43" s="13"/>
      <c r="G43" s="13"/>
      <c r="H43" s="21"/>
      <c r="I43" s="10"/>
      <c r="J43" s="10"/>
      <c r="K43" s="10"/>
      <c r="L43" s="10"/>
      <c r="M43" s="22" t="s">
        <v>27</v>
      </c>
      <c r="N43" s="259" t="s">
        <v>36</v>
      </c>
      <c r="O43" s="259"/>
      <c r="P43" s="259"/>
    </row>
    <row r="44" spans="1:18" s="2" customFormat="1" x14ac:dyDescent="0.25">
      <c r="C44" s="5"/>
      <c r="D44" s="211"/>
      <c r="E44" s="21"/>
      <c r="F44" s="21"/>
      <c r="G44" s="21"/>
      <c r="H44" s="21"/>
      <c r="I44" s="10"/>
      <c r="J44" s="10"/>
      <c r="K44" s="10"/>
      <c r="L44" s="10"/>
      <c r="M44" s="22"/>
      <c r="N44" s="212"/>
      <c r="O44" s="212"/>
      <c r="P44" s="212"/>
    </row>
    <row r="45" spans="1:18" s="6" customFormat="1" ht="18.75" x14ac:dyDescent="0.3">
      <c r="A45" s="6" t="s">
        <v>6</v>
      </c>
      <c r="B45" s="248" t="s">
        <v>7</v>
      </c>
      <c r="C45" s="248"/>
      <c r="D45" s="248"/>
      <c r="F45" s="245" t="s">
        <v>8</v>
      </c>
      <c r="G45" s="245"/>
      <c r="H45" s="245"/>
      <c r="I45" s="217"/>
      <c r="J45" s="245" t="s">
        <v>9</v>
      </c>
      <c r="K45" s="245"/>
      <c r="L45" s="245"/>
      <c r="M45" s="217"/>
      <c r="N45" s="245" t="s">
        <v>10</v>
      </c>
      <c r="O45" s="245"/>
      <c r="P45" s="245"/>
    </row>
    <row r="46" spans="1:18" s="6" customFormat="1" ht="18.75" x14ac:dyDescent="0.3">
      <c r="B46" s="222"/>
      <c r="C46" s="222"/>
      <c r="D46" s="222"/>
      <c r="F46" s="223" t="s">
        <v>29</v>
      </c>
      <c r="G46" s="246" t="s">
        <v>30</v>
      </c>
      <c r="H46" s="247"/>
      <c r="I46" s="217"/>
      <c r="J46" s="223" t="s">
        <v>29</v>
      </c>
      <c r="K46" s="246" t="s">
        <v>30</v>
      </c>
      <c r="L46" s="247"/>
      <c r="M46" s="217"/>
      <c r="N46" s="223" t="s">
        <v>29</v>
      </c>
      <c r="O46" s="246" t="s">
        <v>30</v>
      </c>
      <c r="P46" s="247"/>
    </row>
    <row r="47" spans="1:18" x14ac:dyDescent="0.25">
      <c r="B47" s="244" t="str">
        <f>'MT.ROCK CONSOLIDATION'!B12:D12</f>
        <v>Emulsion Super Power 208</v>
      </c>
      <c r="C47" s="244"/>
      <c r="D47" s="244"/>
      <c r="E47" s="2"/>
      <c r="F47" s="49">
        <f>G47/208*25</f>
        <v>0</v>
      </c>
      <c r="G47" s="36"/>
      <c r="H47" s="43" t="s">
        <v>38</v>
      </c>
      <c r="I47" s="14"/>
      <c r="J47" s="49">
        <f>F47</f>
        <v>0</v>
      </c>
      <c r="K47" s="50">
        <f>G47</f>
        <v>0</v>
      </c>
      <c r="L47" s="43" t="s">
        <v>38</v>
      </c>
      <c r="M47" s="22"/>
      <c r="N47" s="49">
        <f>F47</f>
        <v>0</v>
      </c>
      <c r="O47" s="27">
        <f>G47</f>
        <v>0</v>
      </c>
      <c r="P47" s="43" t="s">
        <v>38</v>
      </c>
    </row>
    <row r="48" spans="1:18" x14ac:dyDescent="0.25">
      <c r="B48" s="244" t="str">
        <f>'MT.ROCK CONSOLIDATION'!B13:D13</f>
        <v>NEOGEL 200</v>
      </c>
      <c r="C48" s="244"/>
      <c r="D48" s="244"/>
      <c r="E48" s="2"/>
      <c r="F48" s="49">
        <f>G48/200*25</f>
        <v>0</v>
      </c>
      <c r="G48" s="36"/>
      <c r="H48" s="43" t="s">
        <v>38</v>
      </c>
      <c r="I48" s="14"/>
      <c r="J48" s="49">
        <f>F48</f>
        <v>0</v>
      </c>
      <c r="K48" s="50">
        <f>G48</f>
        <v>0</v>
      </c>
      <c r="L48" s="43" t="s">
        <v>38</v>
      </c>
      <c r="M48" s="22"/>
      <c r="N48" s="49">
        <f>F48</f>
        <v>0</v>
      </c>
      <c r="O48" s="27">
        <f>G48</f>
        <v>0</v>
      </c>
      <c r="P48" s="43" t="s">
        <v>38</v>
      </c>
    </row>
    <row r="49" spans="1:16" x14ac:dyDescent="0.25">
      <c r="B49" s="244" t="str">
        <f>'MT.ROCK CONSOLIDATION'!B14:D14</f>
        <v>Anfo</v>
      </c>
      <c r="C49" s="244"/>
      <c r="D49" s="244"/>
      <c r="E49" s="2"/>
      <c r="F49" s="49">
        <f>'4'!F52</f>
        <v>0</v>
      </c>
      <c r="G49" s="27"/>
      <c r="H49" s="43"/>
      <c r="I49" s="14"/>
      <c r="J49" s="49">
        <f>F49</f>
        <v>0</v>
      </c>
      <c r="K49" s="29"/>
      <c r="L49" s="43"/>
      <c r="M49" s="22"/>
      <c r="N49" s="49">
        <f>F49</f>
        <v>0</v>
      </c>
      <c r="O49" s="29"/>
      <c r="P49" s="43"/>
    </row>
    <row r="50" spans="1:16" x14ac:dyDescent="0.25">
      <c r="B50" s="244" t="str">
        <f>'MT.ROCK CONSOLIDATION'!B15:D15</f>
        <v>OBC</v>
      </c>
      <c r="C50" s="244"/>
      <c r="D50" s="244"/>
      <c r="E50" s="2"/>
      <c r="F50" s="3"/>
      <c r="G50" s="27">
        <f>'7.'!G53</f>
        <v>0</v>
      </c>
      <c r="H50" s="43" t="s">
        <v>38</v>
      </c>
      <c r="I50" s="14"/>
      <c r="J50" s="3"/>
      <c r="K50" s="27">
        <f>G50</f>
        <v>0</v>
      </c>
      <c r="L50" s="43" t="s">
        <v>38</v>
      </c>
      <c r="M50" s="22"/>
      <c r="N50" s="3"/>
      <c r="O50" s="27">
        <f>G50</f>
        <v>0</v>
      </c>
      <c r="P50" s="43" t="s">
        <v>38</v>
      </c>
    </row>
    <row r="51" spans="1:16" x14ac:dyDescent="0.25">
      <c r="B51" s="244" t="str">
        <f>'MT.ROCK CONSOLIDATION'!B16:D16</f>
        <v>Safety Fuse</v>
      </c>
      <c r="C51" s="244"/>
      <c r="D51" s="244"/>
      <c r="E51" s="2"/>
      <c r="F51" s="3"/>
      <c r="G51" s="51">
        <f>G50*2.43</f>
        <v>0</v>
      </c>
      <c r="H51" s="43" t="s">
        <v>39</v>
      </c>
      <c r="I51" s="14"/>
      <c r="J51" s="3"/>
      <c r="K51" s="83">
        <f t="shared" ref="K51:K62" si="2">G51</f>
        <v>0</v>
      </c>
      <c r="L51" s="43" t="s">
        <v>39</v>
      </c>
      <c r="M51" s="22"/>
      <c r="N51" s="3"/>
      <c r="O51" s="83">
        <f t="shared" ref="O51:O62" si="3">G51</f>
        <v>0</v>
      </c>
      <c r="P51" s="43" t="s">
        <v>39</v>
      </c>
    </row>
    <row r="52" spans="1:16" x14ac:dyDescent="0.25">
      <c r="B52" s="244" t="str">
        <f>'MT.ROCK CONSOLIDATION'!B17:D17</f>
        <v>SHOCKSTAR Detonator 2.4</v>
      </c>
      <c r="C52" s="244"/>
      <c r="D52" s="244"/>
      <c r="E52" s="2"/>
      <c r="F52" s="3"/>
      <c r="G52" s="27"/>
      <c r="H52" s="43" t="s">
        <v>38</v>
      </c>
      <c r="I52" s="14"/>
      <c r="J52" s="3"/>
      <c r="K52" s="27">
        <f t="shared" si="2"/>
        <v>0</v>
      </c>
      <c r="L52" s="43" t="s">
        <v>38</v>
      </c>
      <c r="M52" s="22"/>
      <c r="N52" s="3"/>
      <c r="O52" s="27">
        <f t="shared" si="3"/>
        <v>0</v>
      </c>
      <c r="P52" s="43" t="s">
        <v>38</v>
      </c>
    </row>
    <row r="53" spans="1:16" x14ac:dyDescent="0.25">
      <c r="B53" s="244" t="str">
        <f>'MT.ROCK CONSOLIDATION'!B18:D18</f>
        <v>SUPREME Detonator 2.4</v>
      </c>
      <c r="C53" s="244"/>
      <c r="D53" s="244"/>
      <c r="E53" s="2"/>
      <c r="F53" s="3"/>
      <c r="G53" s="27"/>
      <c r="H53" s="43" t="s">
        <v>38</v>
      </c>
      <c r="I53" s="14"/>
      <c r="J53" s="3"/>
      <c r="K53" s="27">
        <f t="shared" si="2"/>
        <v>0</v>
      </c>
      <c r="L53" s="43" t="s">
        <v>38</v>
      </c>
      <c r="M53" s="22"/>
      <c r="N53" s="3"/>
      <c r="O53" s="27">
        <f t="shared" si="3"/>
        <v>0</v>
      </c>
      <c r="P53" s="43" t="s">
        <v>38</v>
      </c>
    </row>
    <row r="54" spans="1:16" x14ac:dyDescent="0.25">
      <c r="B54" s="244" t="str">
        <f>'MT.ROCK CONSOLIDATION'!B19:D19</f>
        <v>SUPREME Detonator 3.6</v>
      </c>
      <c r="C54" s="244"/>
      <c r="D54" s="244"/>
      <c r="E54" s="2"/>
      <c r="F54" s="3"/>
      <c r="G54" s="27"/>
      <c r="H54" s="43" t="s">
        <v>38</v>
      </c>
      <c r="I54" s="14"/>
      <c r="J54" s="3"/>
      <c r="K54" s="27">
        <f t="shared" si="2"/>
        <v>0</v>
      </c>
      <c r="L54" s="43" t="s">
        <v>38</v>
      </c>
      <c r="M54" s="22"/>
      <c r="N54" s="3"/>
      <c r="O54" s="27">
        <f t="shared" si="3"/>
        <v>0</v>
      </c>
      <c r="P54" s="43" t="s">
        <v>38</v>
      </c>
    </row>
    <row r="55" spans="1:16" x14ac:dyDescent="0.25">
      <c r="B55" s="244" t="str">
        <f>'MT.ROCK CONSOLIDATION'!B20:D20</f>
        <v>NONEL Detonator 2.4</v>
      </c>
      <c r="C55" s="244"/>
      <c r="D55" s="244"/>
      <c r="E55" s="2"/>
      <c r="F55" s="3"/>
      <c r="G55" s="27"/>
      <c r="H55" s="43" t="s">
        <v>38</v>
      </c>
      <c r="I55" s="14"/>
      <c r="J55" s="3"/>
      <c r="K55" s="27">
        <f t="shared" si="2"/>
        <v>0</v>
      </c>
      <c r="L55" s="43" t="s">
        <v>38</v>
      </c>
      <c r="M55" s="22"/>
      <c r="N55" s="3"/>
      <c r="O55" s="27">
        <f t="shared" si="3"/>
        <v>0</v>
      </c>
      <c r="P55" s="43" t="s">
        <v>38</v>
      </c>
    </row>
    <row r="56" spans="1:16" x14ac:dyDescent="0.25">
      <c r="B56" s="244" t="str">
        <f>'MT.ROCK CONSOLIDATION'!B21:D21</f>
        <v>NONEL Detonator 3.6</v>
      </c>
      <c r="C56" s="244"/>
      <c r="D56" s="244"/>
      <c r="E56" s="2"/>
      <c r="F56" s="3"/>
      <c r="G56" s="27"/>
      <c r="H56" s="43" t="s">
        <v>38</v>
      </c>
      <c r="I56" s="14"/>
      <c r="J56" s="3"/>
      <c r="K56" s="27">
        <f t="shared" si="2"/>
        <v>0</v>
      </c>
      <c r="L56" s="43" t="s">
        <v>38</v>
      </c>
      <c r="M56" s="22"/>
      <c r="N56" s="3"/>
      <c r="O56" s="27">
        <f t="shared" si="3"/>
        <v>0</v>
      </c>
      <c r="P56" s="43" t="s">
        <v>38</v>
      </c>
    </row>
    <row r="57" spans="1:16" x14ac:dyDescent="0.25">
      <c r="B57" s="244" t="str">
        <f>'MT.ROCK CONSOLIDATION'!B22:D22</f>
        <v>Solar Detonating Cord 6</v>
      </c>
      <c r="C57" s="244"/>
      <c r="D57" s="244"/>
      <c r="E57" s="2"/>
      <c r="F57" s="3"/>
      <c r="G57" s="28"/>
      <c r="H57" s="43" t="s">
        <v>39</v>
      </c>
      <c r="I57" s="14"/>
      <c r="J57" s="3"/>
      <c r="K57" s="27">
        <f t="shared" si="2"/>
        <v>0</v>
      </c>
      <c r="L57" s="43" t="s">
        <v>39</v>
      </c>
      <c r="M57" s="22"/>
      <c r="N57" s="3"/>
      <c r="O57" s="27">
        <f t="shared" si="3"/>
        <v>0</v>
      </c>
      <c r="P57" s="43" t="s">
        <v>39</v>
      </c>
    </row>
    <row r="58" spans="1:16" x14ac:dyDescent="0.25">
      <c r="B58" s="244" t="str">
        <f>'MT.ROCK CONSOLIDATION'!B23:D23</f>
        <v>Solar Detonating Cord 10</v>
      </c>
      <c r="C58" s="244"/>
      <c r="D58" s="244"/>
      <c r="E58" s="2"/>
      <c r="F58" s="3"/>
      <c r="G58" s="28"/>
      <c r="H58" s="43" t="s">
        <v>39</v>
      </c>
      <c r="I58" s="14"/>
      <c r="J58" s="3"/>
      <c r="K58" s="27">
        <f t="shared" si="2"/>
        <v>0</v>
      </c>
      <c r="L58" s="43" t="s">
        <v>39</v>
      </c>
      <c r="M58" s="22"/>
      <c r="N58" s="3"/>
      <c r="O58" s="27">
        <f t="shared" si="3"/>
        <v>0</v>
      </c>
      <c r="P58" s="43" t="s">
        <v>39</v>
      </c>
    </row>
    <row r="59" spans="1:16" x14ac:dyDescent="0.25">
      <c r="B59" s="244" t="str">
        <f>'MT.ROCK CONSOLIDATION'!B24:D24</f>
        <v>Solar Detonating Cord 40</v>
      </c>
      <c r="C59" s="244"/>
      <c r="D59" s="244"/>
      <c r="E59" s="2"/>
      <c r="F59" s="3"/>
      <c r="G59" s="28"/>
      <c r="H59" s="43" t="s">
        <v>39</v>
      </c>
      <c r="I59" s="14"/>
      <c r="J59" s="3"/>
      <c r="K59" s="27">
        <f t="shared" si="2"/>
        <v>0</v>
      </c>
      <c r="L59" s="43" t="s">
        <v>39</v>
      </c>
      <c r="M59" s="22"/>
      <c r="N59" s="3"/>
      <c r="O59" s="27">
        <f t="shared" si="3"/>
        <v>0</v>
      </c>
      <c r="P59" s="43" t="s">
        <v>39</v>
      </c>
    </row>
    <row r="60" spans="1:16" x14ac:dyDescent="0.25">
      <c r="B60" s="244" t="str">
        <f>'MT.ROCK CONSOLIDATION'!B25:D25</f>
        <v>Fuse Lighter</v>
      </c>
      <c r="C60" s="244"/>
      <c r="D60" s="244"/>
      <c r="E60" s="2"/>
      <c r="F60" s="3"/>
      <c r="G60" s="27"/>
      <c r="H60" s="43" t="s">
        <v>38</v>
      </c>
      <c r="I60" s="14"/>
      <c r="J60" s="3"/>
      <c r="K60" s="27">
        <f t="shared" si="2"/>
        <v>0</v>
      </c>
      <c r="L60" s="43" t="s">
        <v>38</v>
      </c>
      <c r="M60" s="22"/>
      <c r="N60" s="3"/>
      <c r="O60" s="27">
        <f t="shared" si="3"/>
        <v>0</v>
      </c>
      <c r="P60" s="43" t="s">
        <v>38</v>
      </c>
    </row>
    <row r="61" spans="1:16" x14ac:dyDescent="0.25">
      <c r="B61" s="244" t="str">
        <f>'MT.ROCK CONSOLIDATION'!B26:D26</f>
        <v>BILL WIRE</v>
      </c>
      <c r="C61" s="244"/>
      <c r="D61" s="244"/>
      <c r="E61" s="2"/>
      <c r="F61" s="3"/>
      <c r="G61" s="28"/>
      <c r="H61" s="43" t="s">
        <v>39</v>
      </c>
      <c r="I61" s="14"/>
      <c r="J61" s="3"/>
      <c r="K61" s="27">
        <f t="shared" si="2"/>
        <v>0</v>
      </c>
      <c r="L61" s="43" t="s">
        <v>39</v>
      </c>
      <c r="M61" s="22"/>
      <c r="N61" s="3"/>
      <c r="O61" s="27">
        <f t="shared" si="3"/>
        <v>0</v>
      </c>
      <c r="P61" s="43" t="s">
        <v>39</v>
      </c>
    </row>
    <row r="62" spans="1:16" x14ac:dyDescent="0.25">
      <c r="B62" s="244" t="str">
        <f>'MT.ROCK CONSOLIDATION'!B27:D27</f>
        <v>Solar  EBC</v>
      </c>
      <c r="C62" s="244"/>
      <c r="D62" s="244"/>
      <c r="E62" s="2"/>
      <c r="F62" s="3"/>
      <c r="G62" s="28"/>
      <c r="H62" s="43" t="s">
        <v>38</v>
      </c>
      <c r="I62" s="14"/>
      <c r="J62" s="3"/>
      <c r="K62" s="27">
        <f t="shared" si="2"/>
        <v>0</v>
      </c>
      <c r="L62" s="43" t="s">
        <v>38</v>
      </c>
      <c r="M62" s="22"/>
      <c r="N62" s="3"/>
      <c r="O62" s="27">
        <f t="shared" si="3"/>
        <v>0</v>
      </c>
      <c r="P62" s="43" t="s">
        <v>38</v>
      </c>
    </row>
    <row r="64" spans="1:16" s="6" customFormat="1" ht="18.75" x14ac:dyDescent="0.3">
      <c r="A64" s="6" t="s">
        <v>12</v>
      </c>
      <c r="B64" s="245" t="s">
        <v>25</v>
      </c>
      <c r="C64" s="245"/>
      <c r="D64" s="245"/>
      <c r="M64" s="217"/>
    </row>
    <row r="65" spans="1:16" x14ac:dyDescent="0.25">
      <c r="C65" s="218" t="s">
        <v>13</v>
      </c>
      <c r="D65" s="31" t="s">
        <v>34</v>
      </c>
      <c r="E65" s="251"/>
      <c r="F65" s="251"/>
      <c r="G65" s="249" t="s">
        <v>18</v>
      </c>
      <c r="H65" s="249"/>
      <c r="I65" s="249"/>
      <c r="J65" s="250">
        <f>G52+G53+G54+G55+G56-J66</f>
        <v>0</v>
      </c>
      <c r="K65" s="250"/>
      <c r="L65" s="22" t="s">
        <v>71</v>
      </c>
      <c r="M65" s="22"/>
      <c r="N65" s="250" t="s">
        <v>32</v>
      </c>
      <c r="O65" s="250"/>
    </row>
    <row r="66" spans="1:16" x14ac:dyDescent="0.25">
      <c r="C66" s="218" t="s">
        <v>14</v>
      </c>
      <c r="D66" s="31" t="s">
        <v>35</v>
      </c>
      <c r="E66" s="251"/>
      <c r="F66" s="251"/>
      <c r="G66" s="249" t="s">
        <v>18</v>
      </c>
      <c r="H66" s="249"/>
      <c r="I66" s="249"/>
      <c r="J66" s="257"/>
      <c r="K66" s="252"/>
      <c r="L66" s="22" t="s">
        <v>71</v>
      </c>
      <c r="M66" s="22"/>
      <c r="N66" s="252" t="s">
        <v>33</v>
      </c>
      <c r="O66" s="252"/>
    </row>
    <row r="67" spans="1:16" x14ac:dyDescent="0.25">
      <c r="K67" s="20"/>
      <c r="L67" s="20"/>
    </row>
    <row r="68" spans="1:16" s="7" customFormat="1" ht="18.75" x14ac:dyDescent="0.3">
      <c r="A68" s="7" t="s">
        <v>15</v>
      </c>
      <c r="B68" s="8" t="s">
        <v>16</v>
      </c>
      <c r="C68" s="8"/>
      <c r="D68" s="8"/>
      <c r="E68" s="6"/>
      <c r="F68" s="6"/>
      <c r="M68" s="24"/>
    </row>
    <row r="69" spans="1:16" s="7" customFormat="1" ht="18.75" x14ac:dyDescent="0.3">
      <c r="B69" s="6" t="s">
        <v>17</v>
      </c>
      <c r="D69" s="9"/>
      <c r="E69" s="9"/>
      <c r="F69" s="9"/>
      <c r="G69" s="9"/>
      <c r="H69" s="9"/>
      <c r="I69" s="9"/>
      <c r="J69" s="9"/>
      <c r="K69" s="9"/>
      <c r="L69" s="9"/>
      <c r="M69" s="25"/>
      <c r="N69" s="9"/>
      <c r="O69" s="9"/>
      <c r="P69" s="9"/>
    </row>
    <row r="70" spans="1:16" x14ac:dyDescent="0.25">
      <c r="D70" s="32"/>
      <c r="E70" s="32"/>
      <c r="F70" s="32"/>
      <c r="G70" s="32"/>
      <c r="H70" s="32"/>
      <c r="I70" s="32"/>
      <c r="J70" s="32"/>
      <c r="K70" s="32"/>
      <c r="L70" s="32"/>
      <c r="M70" s="109"/>
      <c r="N70" s="32"/>
      <c r="O70" s="32"/>
      <c r="P70" s="32"/>
    </row>
    <row r="71" spans="1:16" x14ac:dyDescent="0.25">
      <c r="D71" s="32"/>
      <c r="E71" s="32"/>
      <c r="F71" s="32"/>
      <c r="G71" s="32"/>
      <c r="H71" s="32"/>
      <c r="I71" s="32"/>
      <c r="J71" s="32"/>
      <c r="K71" s="32"/>
      <c r="L71" s="32"/>
      <c r="M71" s="109"/>
      <c r="N71" s="32"/>
      <c r="O71" s="32"/>
      <c r="P71" s="32"/>
    </row>
    <row r="72" spans="1:16" x14ac:dyDescent="0.25">
      <c r="D72" s="32"/>
      <c r="E72" s="32"/>
      <c r="F72" s="32"/>
      <c r="G72" s="32"/>
      <c r="H72" s="32"/>
      <c r="I72" s="32"/>
      <c r="J72" s="32"/>
      <c r="K72" s="32"/>
      <c r="L72" s="32"/>
      <c r="M72" s="109"/>
      <c r="N72" s="32"/>
      <c r="O72" s="32"/>
      <c r="P72" s="32"/>
    </row>
  </sheetData>
  <mergeCells count="76">
    <mergeCell ref="G65:I65"/>
    <mergeCell ref="J65:K65"/>
    <mergeCell ref="N65:O65"/>
    <mergeCell ref="E66:F66"/>
    <mergeCell ref="G66:I66"/>
    <mergeCell ref="J66:K66"/>
    <mergeCell ref="N66:O66"/>
    <mergeCell ref="E65:F65"/>
    <mergeCell ref="B59:D59"/>
    <mergeCell ref="B60:D60"/>
    <mergeCell ref="B61:D61"/>
    <mergeCell ref="B62:D62"/>
    <mergeCell ref="B64:D64"/>
    <mergeCell ref="B58:D58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5:D45"/>
    <mergeCell ref="F45:H45"/>
    <mergeCell ref="J45:L45"/>
    <mergeCell ref="N45:P45"/>
    <mergeCell ref="G46:H46"/>
    <mergeCell ref="K46:L46"/>
    <mergeCell ref="O46:P46"/>
    <mergeCell ref="N43:P43"/>
    <mergeCell ref="G29:I29"/>
    <mergeCell ref="J29:K29"/>
    <mergeCell ref="N29:O29"/>
    <mergeCell ref="E30:F30"/>
    <mergeCell ref="G30:I30"/>
    <mergeCell ref="J30:K30"/>
    <mergeCell ref="N30:O30"/>
    <mergeCell ref="E29:F29"/>
    <mergeCell ref="A36:O36"/>
    <mergeCell ref="A37:O37"/>
    <mergeCell ref="A38:O38"/>
    <mergeCell ref="A40:O40"/>
    <mergeCell ref="N42:P42"/>
    <mergeCell ref="B23:D23"/>
    <mergeCell ref="B24:D24"/>
    <mergeCell ref="B25:D25"/>
    <mergeCell ref="B26:D26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9:D9"/>
    <mergeCell ref="F9:H9"/>
    <mergeCell ref="J9:L9"/>
    <mergeCell ref="N9:P9"/>
    <mergeCell ref="G10:H10"/>
    <mergeCell ref="K10:L10"/>
    <mergeCell ref="O10:P10"/>
    <mergeCell ref="N7:P7"/>
    <mergeCell ref="A1:O1"/>
    <mergeCell ref="A2:O2"/>
    <mergeCell ref="A3:O3"/>
    <mergeCell ref="A5:O5"/>
    <mergeCell ref="N6:P6"/>
  </mergeCells>
  <pageMargins left="0.7" right="0.2" top="0.19" bottom="0.25" header="0.3" footer="0.3"/>
  <pageSetup paperSize="9" scale="7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2:Q80"/>
  <sheetViews>
    <sheetView zoomScaleNormal="100" workbookViewId="0">
      <pane ySplit="2" topLeftCell="A15" activePane="bottomLeft" state="frozen"/>
      <selection pane="bottomLeft" activeCell="I41" sqref="I41"/>
    </sheetView>
  </sheetViews>
  <sheetFormatPr defaultRowHeight="15" x14ac:dyDescent="0.25"/>
  <cols>
    <col min="1" max="1" width="27.7109375" bestFit="1" customWidth="1"/>
    <col min="2" max="2" width="11.5703125" bestFit="1" customWidth="1"/>
    <col min="3" max="4" width="11.140625" style="179" bestFit="1" customWidth="1"/>
    <col min="5" max="8" width="11.140625" bestFit="1" customWidth="1"/>
    <col min="9" max="10" width="11.140625" customWidth="1"/>
    <col min="13" max="13" width="9.5703125" bestFit="1" customWidth="1"/>
    <col min="16" max="16" width="10.85546875" bestFit="1" customWidth="1"/>
  </cols>
  <sheetData>
    <row r="2" spans="1:17" x14ac:dyDescent="0.25">
      <c r="A2" s="180"/>
      <c r="B2" s="206">
        <f>'1-2'!N6</f>
        <v>46174</v>
      </c>
      <c r="C2" s="206">
        <f>'1-2'!N42</f>
        <v>46175</v>
      </c>
      <c r="D2" s="206">
        <f>'3-4'!N6</f>
        <v>46176</v>
      </c>
      <c r="E2" s="207">
        <f>'3-4'!N44</f>
        <v>46177</v>
      </c>
      <c r="F2" s="207">
        <f>'5-6'!N6</f>
        <v>46178</v>
      </c>
      <c r="G2" s="207">
        <f>'5-6'!N44</f>
        <v>46179</v>
      </c>
      <c r="H2" s="207">
        <f>'7.'!N6</f>
        <v>46180</v>
      </c>
      <c r="I2" s="207">
        <f>'7.'!N44</f>
        <v>0</v>
      </c>
      <c r="J2" s="207">
        <f>'4'!N6</f>
        <v>0</v>
      </c>
      <c r="K2" s="184" t="s">
        <v>86</v>
      </c>
    </row>
    <row r="3" spans="1:17" s="4" customFormat="1" ht="15.75" x14ac:dyDescent="0.25">
      <c r="A3" s="204" t="s">
        <v>101</v>
      </c>
      <c r="B3" s="190"/>
      <c r="C3" s="190"/>
      <c r="D3" s="191">
        <f>'3-4'!G11</f>
        <v>0</v>
      </c>
      <c r="E3" s="191">
        <f>'3-4'!G49</f>
        <v>0</v>
      </c>
      <c r="F3" s="191">
        <f>'5-6'!G11</f>
        <v>0</v>
      </c>
      <c r="G3" s="191">
        <f>'5-6'!G49</f>
        <v>0</v>
      </c>
      <c r="H3" s="191">
        <f>'7.'!G11</f>
        <v>0</v>
      </c>
      <c r="I3" s="191">
        <f>'7.'!G49</f>
        <v>0</v>
      </c>
      <c r="J3" s="191">
        <f>'4'!G11</f>
        <v>0</v>
      </c>
      <c r="K3" s="197">
        <f>SUM(B3:J3)</f>
        <v>0</v>
      </c>
    </row>
    <row r="4" spans="1:17" s="4" customFormat="1" ht="15.75" x14ac:dyDescent="0.25">
      <c r="A4" s="204" t="s">
        <v>81</v>
      </c>
      <c r="B4" s="190">
        <f>'1-2'!G12</f>
        <v>0</v>
      </c>
      <c r="C4" s="190">
        <f>'1-2'!G48</f>
        <v>0</v>
      </c>
      <c r="D4" s="191">
        <f>'3-4'!G12</f>
        <v>0</v>
      </c>
      <c r="E4" s="191">
        <f>'3-4'!G50</f>
        <v>0</v>
      </c>
      <c r="F4" s="191">
        <f>'5-6'!G12</f>
        <v>0</v>
      </c>
      <c r="G4" s="191">
        <f>'5-6'!G50</f>
        <v>0</v>
      </c>
      <c r="H4" s="191">
        <f>'7.'!G12</f>
        <v>0</v>
      </c>
      <c r="I4" s="191">
        <f>'7.'!G50</f>
        <v>0</v>
      </c>
      <c r="J4" s="191">
        <f>'4'!G12</f>
        <v>0</v>
      </c>
      <c r="K4" s="197">
        <f t="shared" ref="K4:K7" si="0">SUM(B4:J4)</f>
        <v>0</v>
      </c>
      <c r="O4" s="213" t="s">
        <v>87</v>
      </c>
      <c r="P4" s="213" t="s">
        <v>88</v>
      </c>
      <c r="Q4" s="213" t="s">
        <v>50</v>
      </c>
    </row>
    <row r="5" spans="1:17" s="4" customFormat="1" ht="15.75" x14ac:dyDescent="0.25">
      <c r="A5" s="204" t="s">
        <v>48</v>
      </c>
      <c r="B5" s="190">
        <f>'1-2'!G13</f>
        <v>1105</v>
      </c>
      <c r="C5" s="190">
        <f>'1-2'!G49</f>
        <v>1454</v>
      </c>
      <c r="D5" s="191">
        <f>'3-4'!G13</f>
        <v>1722</v>
      </c>
      <c r="E5" s="191">
        <f>'3-4'!G51</f>
        <v>1315</v>
      </c>
      <c r="F5" s="191">
        <f>'5-6'!G13</f>
        <v>1382</v>
      </c>
      <c r="G5" s="191">
        <f>'5-6'!G51</f>
        <v>1458</v>
      </c>
      <c r="H5" s="191">
        <f>'7.'!G13</f>
        <v>915</v>
      </c>
      <c r="I5" s="191">
        <f>'7.'!G51</f>
        <v>0</v>
      </c>
      <c r="J5" s="191">
        <f>'4'!G13</f>
        <v>0</v>
      </c>
      <c r="K5" s="197">
        <f t="shared" si="0"/>
        <v>9351</v>
      </c>
      <c r="O5" s="214">
        <f>B2</f>
        <v>46174</v>
      </c>
      <c r="P5" s="216">
        <f>Q5*2.43</f>
        <v>386.37</v>
      </c>
      <c r="Q5" s="228">
        <f>B7+B23</f>
        <v>159</v>
      </c>
    </row>
    <row r="6" spans="1:17" s="4" customFormat="1" ht="15.75" x14ac:dyDescent="0.25">
      <c r="A6" s="189" t="s">
        <v>49</v>
      </c>
      <c r="B6" s="192">
        <f>'1-2'!F14</f>
        <v>981</v>
      </c>
      <c r="C6" s="192">
        <f>'1-2'!F50</f>
        <v>1128.2</v>
      </c>
      <c r="D6" s="193">
        <f>'3-4'!F14</f>
        <v>1107.8</v>
      </c>
      <c r="E6" s="193">
        <f>'3-4'!F52</f>
        <v>1183.4000000000001</v>
      </c>
      <c r="F6" s="193">
        <f>'5-6'!F14</f>
        <v>1186.5999999999999</v>
      </c>
      <c r="G6" s="193">
        <f>'5-6'!F52</f>
        <v>1295.2</v>
      </c>
      <c r="H6" s="193">
        <f>'7.'!F14</f>
        <v>887.6</v>
      </c>
      <c r="I6" s="191">
        <f>'7.'!F52</f>
        <v>0</v>
      </c>
      <c r="J6" s="191">
        <f>'4'!F14</f>
        <v>0</v>
      </c>
      <c r="K6" s="197">
        <f t="shared" si="0"/>
        <v>7769.8</v>
      </c>
      <c r="L6" s="185">
        <f>K6+K22</f>
        <v>7769.8</v>
      </c>
      <c r="O6" s="214">
        <f>C2</f>
        <v>46175</v>
      </c>
      <c r="P6" s="216">
        <f t="shared" ref="P6:P11" si="1">Q6*2.43</f>
        <v>415.53000000000003</v>
      </c>
      <c r="Q6" s="228">
        <f>C7+C23</f>
        <v>171</v>
      </c>
    </row>
    <row r="7" spans="1:17" s="4" customFormat="1" ht="15.75" x14ac:dyDescent="0.25">
      <c r="A7" s="189" t="s">
        <v>50</v>
      </c>
      <c r="B7" s="190">
        <f>'1-2'!G15</f>
        <v>80</v>
      </c>
      <c r="C7" s="190">
        <f>'1-2'!G51</f>
        <v>85</v>
      </c>
      <c r="D7" s="191">
        <f>'3-4'!G15</f>
        <v>88</v>
      </c>
      <c r="E7" s="191">
        <f>'3-4'!G53</f>
        <v>90</v>
      </c>
      <c r="F7" s="191">
        <f>'5-6'!G15</f>
        <v>112</v>
      </c>
      <c r="G7" s="191">
        <f>'5-6'!G53</f>
        <v>105</v>
      </c>
      <c r="H7" s="191">
        <f>'7.'!G15</f>
        <v>72</v>
      </c>
      <c r="I7" s="191">
        <f>'7.'!G53</f>
        <v>0</v>
      </c>
      <c r="J7" s="191">
        <f>'4'!G15</f>
        <v>0</v>
      </c>
      <c r="K7" s="197">
        <f t="shared" si="0"/>
        <v>632</v>
      </c>
      <c r="L7" s="185">
        <f>K7+K23</f>
        <v>1264</v>
      </c>
      <c r="O7" s="214">
        <f>D2</f>
        <v>46176</v>
      </c>
      <c r="P7" s="216">
        <f t="shared" si="1"/>
        <v>427.68</v>
      </c>
      <c r="Q7" s="228">
        <f>D7+D23</f>
        <v>176</v>
      </c>
    </row>
    <row r="8" spans="1:17" s="2" customFormat="1" ht="15.75" x14ac:dyDescent="0.25">
      <c r="A8" s="189" t="s">
        <v>51</v>
      </c>
      <c r="B8" s="192">
        <f>'1-2'!G16</f>
        <v>194.4</v>
      </c>
      <c r="C8" s="192">
        <f>'1-2'!G52</f>
        <v>206.55</v>
      </c>
      <c r="D8" s="193">
        <f>'3-4'!G16</f>
        <v>213.84</v>
      </c>
      <c r="E8" s="193">
        <f>'3-4'!G54</f>
        <v>218.70000000000002</v>
      </c>
      <c r="F8" s="193">
        <f>'5-6'!G16</f>
        <v>272.16000000000003</v>
      </c>
      <c r="G8" s="193">
        <f>'5-6'!G54</f>
        <v>255.15</v>
      </c>
      <c r="H8" s="193">
        <f>'7.'!G16</f>
        <v>174.96</v>
      </c>
      <c r="I8" s="191">
        <f>'7.'!G54</f>
        <v>0</v>
      </c>
      <c r="J8" s="191">
        <f>'4'!G16</f>
        <v>0</v>
      </c>
      <c r="K8" s="198">
        <f>SUM(B8:J8)</f>
        <v>1535.7600000000002</v>
      </c>
      <c r="L8" s="186">
        <f>K8+K24</f>
        <v>3071.5200000000004</v>
      </c>
      <c r="M8" s="188">
        <f>L7*2.43</f>
        <v>3071.52</v>
      </c>
      <c r="O8" s="215">
        <f>E2</f>
        <v>46177</v>
      </c>
      <c r="P8" s="216">
        <f t="shared" si="1"/>
        <v>434.97</v>
      </c>
      <c r="Q8" s="228">
        <f>E7+E23</f>
        <v>179</v>
      </c>
    </row>
    <row r="9" spans="1:17" s="2" customFormat="1" ht="15.75" x14ac:dyDescent="0.25">
      <c r="A9" s="189" t="s">
        <v>52</v>
      </c>
      <c r="B9" s="190">
        <f>'1-2'!G17</f>
        <v>98</v>
      </c>
      <c r="C9" s="190">
        <f>'1-2'!G53</f>
        <v>100</v>
      </c>
      <c r="D9" s="191">
        <f>'3-4'!G17</f>
        <v>69</v>
      </c>
      <c r="E9" s="191">
        <f>'3-4'!G55</f>
        <v>97</v>
      </c>
      <c r="F9" s="191">
        <f>'5-6'!G17</f>
        <v>74</v>
      </c>
      <c r="G9" s="191">
        <f>'5-6'!G55</f>
        <v>90</v>
      </c>
      <c r="H9" s="191">
        <f>'7.'!G17</f>
        <v>52</v>
      </c>
      <c r="I9" s="191">
        <f>'7.'!G55</f>
        <v>0</v>
      </c>
      <c r="J9" s="191">
        <f>'4'!G17</f>
        <v>0</v>
      </c>
      <c r="K9" s="195">
        <f>SUM(B9:J9)</f>
        <v>580</v>
      </c>
      <c r="L9" s="260">
        <f>K9+K10+K11</f>
        <v>11115</v>
      </c>
      <c r="O9" s="215">
        <f>F2</f>
        <v>46178</v>
      </c>
      <c r="P9" s="216">
        <f t="shared" si="1"/>
        <v>544.32000000000005</v>
      </c>
      <c r="Q9" s="228">
        <f>F7+F23</f>
        <v>224</v>
      </c>
    </row>
    <row r="10" spans="1:17" ht="15.75" x14ac:dyDescent="0.25">
      <c r="A10" s="189" t="s">
        <v>53</v>
      </c>
      <c r="B10" s="190">
        <f>'1-2'!G18</f>
        <v>1267</v>
      </c>
      <c r="C10" s="190">
        <f>'1-2'!G54</f>
        <v>1484</v>
      </c>
      <c r="D10" s="191">
        <f>'3-4'!G18</f>
        <v>1599</v>
      </c>
      <c r="E10" s="191">
        <f>'3-4'!G56</f>
        <v>1580</v>
      </c>
      <c r="F10" s="191">
        <f>'5-6'!G18</f>
        <v>1615</v>
      </c>
      <c r="G10" s="191">
        <f>'5-6'!G56</f>
        <v>1757</v>
      </c>
      <c r="H10" s="191">
        <f>'7.'!G18</f>
        <v>1233</v>
      </c>
      <c r="I10" s="191">
        <f>'7.'!G56</f>
        <v>0</v>
      </c>
      <c r="J10" s="191">
        <f>'4'!G18</f>
        <v>0</v>
      </c>
      <c r="K10" s="195">
        <f t="shared" ref="K10:K19" si="2">SUM(B10:J10)</f>
        <v>10535</v>
      </c>
      <c r="L10" s="261"/>
      <c r="O10" s="214">
        <f>G2</f>
        <v>46179</v>
      </c>
      <c r="P10" s="216">
        <f t="shared" si="1"/>
        <v>510.3</v>
      </c>
      <c r="Q10" s="228">
        <f>G7+G23</f>
        <v>210</v>
      </c>
    </row>
    <row r="11" spans="1:17" s="6" customFormat="1" ht="18.75" x14ac:dyDescent="0.3">
      <c r="A11" s="189" t="s">
        <v>85</v>
      </c>
      <c r="B11" s="190">
        <f>'1-2'!G19</f>
        <v>0</v>
      </c>
      <c r="C11" s="190">
        <f>'1-2'!G55</f>
        <v>0</v>
      </c>
      <c r="D11" s="191">
        <f>'3-4'!G19</f>
        <v>0</v>
      </c>
      <c r="E11" s="191">
        <f>'3-4'!G57</f>
        <v>0</v>
      </c>
      <c r="F11" s="191">
        <f>'5-6'!G19</f>
        <v>0</v>
      </c>
      <c r="G11" s="191">
        <f>'5-6'!G57</f>
        <v>0</v>
      </c>
      <c r="H11" s="191">
        <f>'7.'!G19</f>
        <v>0</v>
      </c>
      <c r="I11" s="191">
        <f>'7.'!G57</f>
        <v>0</v>
      </c>
      <c r="J11" s="191">
        <f>'4'!G19</f>
        <v>0</v>
      </c>
      <c r="K11" s="195">
        <f t="shared" si="2"/>
        <v>0</v>
      </c>
      <c r="L11" s="261"/>
      <c r="O11" s="215">
        <f>H2</f>
        <v>46180</v>
      </c>
      <c r="P11" s="216">
        <f t="shared" si="1"/>
        <v>352.35</v>
      </c>
      <c r="Q11" s="228">
        <f>H7+H23</f>
        <v>145</v>
      </c>
    </row>
    <row r="12" spans="1:17" s="6" customFormat="1" ht="18.75" x14ac:dyDescent="0.3">
      <c r="A12" s="189" t="s">
        <v>54</v>
      </c>
      <c r="B12" s="190">
        <f>'1-2'!G20</f>
        <v>392</v>
      </c>
      <c r="C12" s="190">
        <f>'1-2'!G56</f>
        <v>437</v>
      </c>
      <c r="D12" s="191">
        <f>'3-4'!G20</f>
        <v>424</v>
      </c>
      <c r="E12" s="191">
        <f>'3-4'!G58</f>
        <v>285</v>
      </c>
      <c r="F12" s="191">
        <f>'5-6'!G20</f>
        <v>254</v>
      </c>
      <c r="G12" s="191">
        <f>'5-6'!G58</f>
        <v>355</v>
      </c>
      <c r="H12" s="191">
        <f>'7.'!G20</f>
        <v>203</v>
      </c>
      <c r="I12" s="191">
        <f>'7.'!G58</f>
        <v>0</v>
      </c>
      <c r="J12" s="191">
        <f>'4'!G20</f>
        <v>0</v>
      </c>
      <c r="K12" s="195">
        <f t="shared" si="2"/>
        <v>2350</v>
      </c>
      <c r="L12" s="208"/>
      <c r="N12" s="75"/>
      <c r="O12" s="215">
        <f>I2</f>
        <v>0</v>
      </c>
      <c r="P12" s="229">
        <f t="shared" ref="P12:P13" si="3">Q12*2.43</f>
        <v>0</v>
      </c>
      <c r="Q12" s="228">
        <f>I7+I23</f>
        <v>0</v>
      </c>
    </row>
    <row r="13" spans="1:17" ht="15.75" x14ac:dyDescent="0.25">
      <c r="A13" s="194" t="s">
        <v>56</v>
      </c>
      <c r="B13" s="190">
        <f>'1-2'!G21</f>
        <v>0</v>
      </c>
      <c r="C13" s="190">
        <f>'1-2'!G57</f>
        <v>0</v>
      </c>
      <c r="D13" s="191">
        <f>'3-4'!G21</f>
        <v>0</v>
      </c>
      <c r="E13" s="191">
        <f>'3-4'!G59</f>
        <v>0</v>
      </c>
      <c r="F13" s="191">
        <f>'5-6'!G21</f>
        <v>0</v>
      </c>
      <c r="G13" s="191">
        <f>'5-6'!G59</f>
        <v>0</v>
      </c>
      <c r="H13" s="191">
        <f>'7.'!G21</f>
        <v>0</v>
      </c>
      <c r="I13" s="191">
        <f>'7.'!G59</f>
        <v>0</v>
      </c>
      <c r="J13" s="191">
        <f>'4'!G21</f>
        <v>0</v>
      </c>
      <c r="K13" s="195">
        <f t="shared" si="2"/>
        <v>0</v>
      </c>
      <c r="O13" s="215">
        <f>J2</f>
        <v>0</v>
      </c>
      <c r="P13" s="216">
        <f t="shared" si="3"/>
        <v>0</v>
      </c>
      <c r="Q13" s="228">
        <f>J7+J23</f>
        <v>0</v>
      </c>
    </row>
    <row r="14" spans="1:17" ht="15.75" x14ac:dyDescent="0.25">
      <c r="A14" s="189" t="s">
        <v>57</v>
      </c>
      <c r="B14" s="190">
        <f>'1-2'!G22</f>
        <v>0</v>
      </c>
      <c r="C14" s="190">
        <f>'1-2'!G58</f>
        <v>0</v>
      </c>
      <c r="D14" s="191">
        <f>'3-4'!G22</f>
        <v>0</v>
      </c>
      <c r="E14" s="191">
        <f>'3-4'!G60</f>
        <v>0</v>
      </c>
      <c r="F14" s="191">
        <f>'5-6'!G22</f>
        <v>0</v>
      </c>
      <c r="G14" s="191">
        <f>'5-6'!G60</f>
        <v>0</v>
      </c>
      <c r="H14" s="191">
        <f>'7.'!G22</f>
        <v>0</v>
      </c>
      <c r="I14" s="191">
        <f>'7.'!G60</f>
        <v>0</v>
      </c>
      <c r="J14" s="191">
        <f>'4'!G22</f>
        <v>0</v>
      </c>
      <c r="K14" s="195">
        <f t="shared" si="2"/>
        <v>0</v>
      </c>
      <c r="O14" s="215" t="s">
        <v>90</v>
      </c>
      <c r="P14" s="216">
        <f>SUM(P5:P13)</f>
        <v>3071.5200000000004</v>
      </c>
      <c r="Q14" s="216">
        <f>SUM(Q5:Q13)</f>
        <v>1264</v>
      </c>
    </row>
    <row r="15" spans="1:17" ht="15.75" x14ac:dyDescent="0.25">
      <c r="A15" s="189" t="s">
        <v>75</v>
      </c>
      <c r="B15" s="190">
        <f>'1-2'!G23</f>
        <v>0</v>
      </c>
      <c r="C15" s="190">
        <f>'1-2'!G59</f>
        <v>0</v>
      </c>
      <c r="D15" s="191">
        <f>'3-4'!G23</f>
        <v>0</v>
      </c>
      <c r="E15" s="191">
        <f>'3-4'!G61</f>
        <v>0</v>
      </c>
      <c r="F15" s="191">
        <f>'5-6'!G23</f>
        <v>0</v>
      </c>
      <c r="G15" s="191">
        <f>'5-6'!G61</f>
        <v>0</v>
      </c>
      <c r="H15" s="191">
        <f>'7.'!G23</f>
        <v>0</v>
      </c>
      <c r="I15" s="191">
        <f>'7.'!G61</f>
        <v>0</v>
      </c>
      <c r="J15" s="191">
        <f>'4'!G23</f>
        <v>0</v>
      </c>
      <c r="K15" s="195">
        <f t="shared" si="2"/>
        <v>0</v>
      </c>
      <c r="Q15" s="230">
        <f>Q14*2.43</f>
        <v>3071.52</v>
      </c>
    </row>
    <row r="16" spans="1:17" ht="15.75" x14ac:dyDescent="0.25">
      <c r="A16" s="194" t="s">
        <v>76</v>
      </c>
      <c r="B16" s="190">
        <f>'1-2'!G24</f>
        <v>0</v>
      </c>
      <c r="C16" s="190">
        <f>'1-2'!G60</f>
        <v>0</v>
      </c>
      <c r="D16" s="191">
        <f>'3-4'!G24</f>
        <v>0</v>
      </c>
      <c r="E16" s="191">
        <f>'3-4'!G62</f>
        <v>0</v>
      </c>
      <c r="F16" s="191">
        <f>'5-6'!G24</f>
        <v>0</v>
      </c>
      <c r="G16" s="191">
        <f>'5-6'!G62</f>
        <v>0</v>
      </c>
      <c r="H16" s="191">
        <f>'7.'!G24</f>
        <v>0</v>
      </c>
      <c r="I16" s="191">
        <f>'7.'!G62</f>
        <v>0</v>
      </c>
      <c r="J16" s="191">
        <f>'4'!G24</f>
        <v>0</v>
      </c>
      <c r="K16" s="195">
        <f t="shared" si="2"/>
        <v>0</v>
      </c>
    </row>
    <row r="17" spans="1:16" ht="15.75" x14ac:dyDescent="0.25">
      <c r="A17" s="189" t="s">
        <v>58</v>
      </c>
      <c r="B17" s="190">
        <f>'1-2'!G25</f>
        <v>0</v>
      </c>
      <c r="C17" s="190">
        <f>'1-2'!G61</f>
        <v>0</v>
      </c>
      <c r="D17" s="191">
        <f>'3-4'!G25</f>
        <v>0</v>
      </c>
      <c r="E17" s="191">
        <f>'3-4'!G63</f>
        <v>0</v>
      </c>
      <c r="F17" s="191">
        <f>'5-6'!G25</f>
        <v>2</v>
      </c>
      <c r="G17" s="191">
        <f>'5-6'!G63</f>
        <v>0</v>
      </c>
      <c r="H17" s="191">
        <f>'7.'!G25</f>
        <v>0</v>
      </c>
      <c r="I17" s="191">
        <f>'7.'!G63</f>
        <v>0</v>
      </c>
      <c r="J17" s="191">
        <f>'4'!G25</f>
        <v>0</v>
      </c>
      <c r="K17" s="195">
        <f t="shared" si="2"/>
        <v>2</v>
      </c>
      <c r="L17" s="187">
        <f>K17+K33</f>
        <v>2</v>
      </c>
    </row>
    <row r="18" spans="1:16" ht="15.75" x14ac:dyDescent="0.25">
      <c r="A18" s="194" t="s">
        <v>59</v>
      </c>
      <c r="B18" s="190">
        <f>'1-2'!G26</f>
        <v>0</v>
      </c>
      <c r="C18" s="190">
        <f>'1-2'!G62</f>
        <v>0</v>
      </c>
      <c r="D18" s="191">
        <f>'3-4'!G26</f>
        <v>0</v>
      </c>
      <c r="E18" s="191">
        <f>'3-4'!G64</f>
        <v>0</v>
      </c>
      <c r="F18" s="191">
        <f>'5-6'!G26</f>
        <v>26</v>
      </c>
      <c r="G18" s="191">
        <f>'5-6'!G64</f>
        <v>0</v>
      </c>
      <c r="H18" s="191">
        <f>'7.'!G26</f>
        <v>0</v>
      </c>
      <c r="I18" s="191">
        <f>'7.'!G64</f>
        <v>0</v>
      </c>
      <c r="J18" s="191">
        <f>'4'!G26</f>
        <v>0</v>
      </c>
      <c r="K18" s="195">
        <f t="shared" si="2"/>
        <v>26</v>
      </c>
    </row>
    <row r="19" spans="1:16" ht="15.75" x14ac:dyDescent="0.25">
      <c r="A19" s="189" t="s">
        <v>60</v>
      </c>
      <c r="B19" s="190">
        <f>'1-2'!G27</f>
        <v>2</v>
      </c>
      <c r="C19" s="190">
        <f>'1-2'!G63</f>
        <v>6</v>
      </c>
      <c r="D19" s="191">
        <f>'3-4'!G27</f>
        <v>6</v>
      </c>
      <c r="E19" s="191">
        <f>'3-4'!G65</f>
        <v>4</v>
      </c>
      <c r="F19" s="191">
        <f>'5-6'!G27</f>
        <v>4</v>
      </c>
      <c r="G19" s="191">
        <f>'5-6'!G65</f>
        <v>4</v>
      </c>
      <c r="H19" s="191">
        <f>'7.'!G27</f>
        <v>2</v>
      </c>
      <c r="I19" s="191">
        <f>'7.'!G65</f>
        <v>0</v>
      </c>
      <c r="J19" s="191">
        <f>'4'!G27</f>
        <v>0</v>
      </c>
      <c r="K19" s="195">
        <f t="shared" si="2"/>
        <v>28</v>
      </c>
    </row>
    <row r="20" spans="1:16" ht="15.75" x14ac:dyDescent="0.25">
      <c r="A20" s="199" t="s">
        <v>80</v>
      </c>
      <c r="B20" s="200">
        <f>'1-2.'!G11</f>
        <v>0</v>
      </c>
      <c r="C20" s="200">
        <f>'1-2.'!G47</f>
        <v>0</v>
      </c>
      <c r="D20" s="201">
        <f>'3-4.'!G12</f>
        <v>0</v>
      </c>
      <c r="E20" s="201">
        <f>'3-4.'!G48</f>
        <v>0</v>
      </c>
      <c r="F20" s="201">
        <f>'5-6.'!G11</f>
        <v>0</v>
      </c>
      <c r="G20" s="201">
        <f>'5-6.'!G47</f>
        <v>0</v>
      </c>
      <c r="H20" s="201">
        <f>'7'!G11</f>
        <v>0</v>
      </c>
      <c r="I20" s="201">
        <f>'7'!G47</f>
        <v>0</v>
      </c>
      <c r="J20" s="201">
        <f>'4.'!G11</f>
        <v>0</v>
      </c>
      <c r="K20" s="196">
        <f>SUM(B20:J20)</f>
        <v>0</v>
      </c>
      <c r="N20" s="244"/>
      <c r="O20" s="244"/>
      <c r="P20" s="244"/>
    </row>
    <row r="21" spans="1:16" ht="15.75" x14ac:dyDescent="0.25">
      <c r="A21" s="199" t="s">
        <v>100</v>
      </c>
      <c r="B21" s="200">
        <f>'1-2.'!G12</f>
        <v>1332</v>
      </c>
      <c r="C21" s="200">
        <f>'1-2.'!G48</f>
        <v>1300</v>
      </c>
      <c r="D21" s="201">
        <f>'3-4.'!G13</f>
        <v>1371</v>
      </c>
      <c r="E21" s="201">
        <f>'3-4.'!G49</f>
        <v>1588</v>
      </c>
      <c r="F21" s="201">
        <f>'5-6.'!G12</f>
        <v>1800</v>
      </c>
      <c r="G21" s="201">
        <f>'5-6.'!G48</f>
        <v>1981</v>
      </c>
      <c r="H21" s="201">
        <f>'7'!G12</f>
        <v>1694</v>
      </c>
      <c r="I21" s="201">
        <f>'7'!G48</f>
        <v>0</v>
      </c>
      <c r="J21" s="201">
        <f>'4.'!G12</f>
        <v>0</v>
      </c>
      <c r="K21" s="196">
        <f t="shared" ref="K21:K23" si="4">SUM(B21:J21)</f>
        <v>11066</v>
      </c>
      <c r="N21" s="244"/>
      <c r="O21" s="244"/>
      <c r="P21" s="244"/>
    </row>
    <row r="22" spans="1:16" ht="15.75" x14ac:dyDescent="0.25">
      <c r="A22" s="199" t="s">
        <v>49</v>
      </c>
      <c r="B22" s="202">
        <f>'1-2.'!F13</f>
        <v>0</v>
      </c>
      <c r="C22" s="202">
        <f>'1-2.'!F49</f>
        <v>0</v>
      </c>
      <c r="D22" s="203">
        <f>'3-4.'!F14</f>
        <v>0</v>
      </c>
      <c r="E22" s="203">
        <f>'3-4.'!F50</f>
        <v>0</v>
      </c>
      <c r="F22" s="203">
        <f>'5-6.'!F13</f>
        <v>0</v>
      </c>
      <c r="G22" s="203">
        <f>'5-6.'!F49</f>
        <v>0</v>
      </c>
      <c r="H22" s="203">
        <f>'7'!F13</f>
        <v>0</v>
      </c>
      <c r="I22" s="201">
        <f>'7'!F49</f>
        <v>0</v>
      </c>
      <c r="J22" s="201">
        <f>'4.'!F13</f>
        <v>0</v>
      </c>
      <c r="K22" s="196">
        <f t="shared" si="4"/>
        <v>0</v>
      </c>
      <c r="N22" s="244"/>
      <c r="O22" s="244"/>
      <c r="P22" s="244"/>
    </row>
    <row r="23" spans="1:16" ht="15.75" x14ac:dyDescent="0.25">
      <c r="A23" s="199" t="s">
        <v>50</v>
      </c>
      <c r="B23" s="200">
        <f>'1-2.'!G14</f>
        <v>79</v>
      </c>
      <c r="C23" s="200">
        <f>'1-2.'!G50</f>
        <v>86</v>
      </c>
      <c r="D23" s="201">
        <f>'3-4.'!G15</f>
        <v>88</v>
      </c>
      <c r="E23" s="201">
        <f>'3-4.'!G51</f>
        <v>89</v>
      </c>
      <c r="F23" s="201">
        <f>'5-6.'!G14</f>
        <v>112</v>
      </c>
      <c r="G23" s="201">
        <f>'5-6.'!G50</f>
        <v>105</v>
      </c>
      <c r="H23" s="201">
        <f>'7'!G14</f>
        <v>73</v>
      </c>
      <c r="I23" s="201">
        <f>'7'!G50</f>
        <v>0</v>
      </c>
      <c r="J23" s="201">
        <f>'4.'!G14</f>
        <v>0</v>
      </c>
      <c r="K23" s="196">
        <f t="shared" si="4"/>
        <v>632</v>
      </c>
      <c r="N23" s="244"/>
      <c r="O23" s="244"/>
      <c r="P23" s="244"/>
    </row>
    <row r="24" spans="1:16" ht="15.75" x14ac:dyDescent="0.25">
      <c r="A24" s="199" t="s">
        <v>51</v>
      </c>
      <c r="B24" s="202">
        <f>'1-2.'!G15</f>
        <v>191.97</v>
      </c>
      <c r="C24" s="202">
        <f>'1-2.'!G51</f>
        <v>208.98000000000002</v>
      </c>
      <c r="D24" s="203">
        <f>'3-4.'!G16</f>
        <v>213.84</v>
      </c>
      <c r="E24" s="203">
        <f>'3-4.'!G52</f>
        <v>216.27</v>
      </c>
      <c r="F24" s="203">
        <f>'5-6.'!G15</f>
        <v>272.16000000000003</v>
      </c>
      <c r="G24" s="203">
        <f>'5-6.'!G51</f>
        <v>255.15</v>
      </c>
      <c r="H24" s="203">
        <f>'7'!G15</f>
        <v>177.39000000000001</v>
      </c>
      <c r="I24" s="201">
        <f>'7'!G51</f>
        <v>0</v>
      </c>
      <c r="J24" s="201">
        <f>'4.'!G15</f>
        <v>0</v>
      </c>
      <c r="K24" s="210">
        <f>SUM(B24:J24)</f>
        <v>1535.7600000000002</v>
      </c>
      <c r="N24" s="244"/>
      <c r="O24" s="244"/>
      <c r="P24" s="244"/>
    </row>
    <row r="25" spans="1:16" ht="15.75" x14ac:dyDescent="0.25">
      <c r="A25" s="199" t="s">
        <v>89</v>
      </c>
      <c r="B25" s="200">
        <f>'1-2.'!G16</f>
        <v>0</v>
      </c>
      <c r="C25" s="200">
        <f>'1-2.'!G52</f>
        <v>0</v>
      </c>
      <c r="D25" s="201">
        <f>'3-4.'!G17</f>
        <v>0</v>
      </c>
      <c r="E25" s="201">
        <f>'3-4.'!G53</f>
        <v>0</v>
      </c>
      <c r="F25" s="201">
        <f>'5-6.'!G16</f>
        <v>0</v>
      </c>
      <c r="G25" s="201">
        <f>'5-6.'!G52</f>
        <v>0</v>
      </c>
      <c r="H25" s="201">
        <f>'7'!G16</f>
        <v>0</v>
      </c>
      <c r="I25" s="201">
        <f>'7'!G52</f>
        <v>0</v>
      </c>
      <c r="J25" s="201">
        <f>'4.'!G16</f>
        <v>0</v>
      </c>
      <c r="K25" s="210">
        <f>SUM(B25:J25)</f>
        <v>0</v>
      </c>
      <c r="N25" s="244"/>
      <c r="O25" s="244"/>
      <c r="P25" s="244"/>
    </row>
    <row r="26" spans="1:16" ht="15.75" x14ac:dyDescent="0.25">
      <c r="A26" s="199" t="s">
        <v>63</v>
      </c>
      <c r="B26" s="200">
        <f>'1-2.'!G17</f>
        <v>0</v>
      </c>
      <c r="C26" s="200">
        <f>'1-2.'!G53</f>
        <v>0</v>
      </c>
      <c r="D26" s="201">
        <f>'3-4.'!G18</f>
        <v>0</v>
      </c>
      <c r="E26" s="201">
        <f>'3-4.'!G54</f>
        <v>0</v>
      </c>
      <c r="F26" s="201">
        <f>'5-6.'!G17</f>
        <v>0</v>
      </c>
      <c r="G26" s="201">
        <f>'5-6.'!G53</f>
        <v>0</v>
      </c>
      <c r="H26" s="201">
        <f>'7'!G17</f>
        <v>0</v>
      </c>
      <c r="I26" s="201">
        <f>'7'!G53</f>
        <v>0</v>
      </c>
      <c r="J26" s="201">
        <f>'4.'!G17</f>
        <v>0</v>
      </c>
      <c r="K26" s="196">
        <f t="shared" ref="K26:K35" si="5">SUM(B26:J26)</f>
        <v>0</v>
      </c>
      <c r="L26" s="261">
        <f>K26+K27+K28+K29</f>
        <v>0</v>
      </c>
      <c r="N26" s="244"/>
      <c r="O26" s="244"/>
      <c r="P26" s="244"/>
    </row>
    <row r="27" spans="1:16" ht="15.75" x14ac:dyDescent="0.25">
      <c r="A27" s="199" t="s">
        <v>64</v>
      </c>
      <c r="B27" s="200">
        <f>'1-2.'!G18</f>
        <v>0</v>
      </c>
      <c r="C27" s="200">
        <f>'1-2.'!G54</f>
        <v>0</v>
      </c>
      <c r="D27" s="201">
        <f>'3-4.'!G19</f>
        <v>0</v>
      </c>
      <c r="E27" s="201">
        <f>'3-4.'!G55</f>
        <v>0</v>
      </c>
      <c r="F27" s="201">
        <f>'5-6.'!G18</f>
        <v>0</v>
      </c>
      <c r="G27" s="201">
        <f>'5-6.'!G54</f>
        <v>0</v>
      </c>
      <c r="H27" s="201">
        <f>'7'!G18</f>
        <v>0</v>
      </c>
      <c r="I27" s="201">
        <f>'7'!G54</f>
        <v>0</v>
      </c>
      <c r="J27" s="201">
        <f>'4.'!G18</f>
        <v>0</v>
      </c>
      <c r="K27" s="196">
        <f t="shared" si="5"/>
        <v>0</v>
      </c>
      <c r="L27" s="262"/>
      <c r="N27" s="244"/>
      <c r="O27" s="244"/>
      <c r="P27" s="244"/>
    </row>
    <row r="28" spans="1:16" ht="15.75" x14ac:dyDescent="0.25">
      <c r="A28" s="199" t="s">
        <v>65</v>
      </c>
      <c r="B28" s="200">
        <f>'1-2.'!G19</f>
        <v>0</v>
      </c>
      <c r="C28" s="200">
        <f>'1-2.'!G55</f>
        <v>0</v>
      </c>
      <c r="D28" s="201">
        <f>'3-4.'!G20</f>
        <v>0</v>
      </c>
      <c r="E28" s="201">
        <f>'3-4.'!G56</f>
        <v>0</v>
      </c>
      <c r="F28" s="201">
        <f>'5-6.'!G19</f>
        <v>0</v>
      </c>
      <c r="G28" s="201">
        <f>'5-6.'!G55</f>
        <v>0</v>
      </c>
      <c r="H28" s="201">
        <f>'7'!G19</f>
        <v>0</v>
      </c>
      <c r="I28" s="201">
        <f>'7'!G55</f>
        <v>0</v>
      </c>
      <c r="J28" s="201">
        <f>'4.'!G19</f>
        <v>0</v>
      </c>
      <c r="K28" s="196">
        <f t="shared" si="5"/>
        <v>0</v>
      </c>
      <c r="L28" s="262"/>
      <c r="N28" s="244"/>
      <c r="O28" s="244"/>
      <c r="P28" s="244"/>
    </row>
    <row r="29" spans="1:16" ht="15.75" x14ac:dyDescent="0.25">
      <c r="A29" s="199" t="s">
        <v>66</v>
      </c>
      <c r="B29" s="200">
        <f>'1-2.'!G20</f>
        <v>0</v>
      </c>
      <c r="C29" s="200">
        <f>'1-2.'!G56</f>
        <v>0</v>
      </c>
      <c r="D29" s="201">
        <f>'3-4.'!G21</f>
        <v>0</v>
      </c>
      <c r="E29" s="201">
        <f>'3-4.'!G57</f>
        <v>0</v>
      </c>
      <c r="F29" s="201">
        <f>'5-6.'!G20</f>
        <v>0</v>
      </c>
      <c r="G29" s="201">
        <f>'5-6.'!G56</f>
        <v>0</v>
      </c>
      <c r="H29" s="201">
        <f>'7'!G20</f>
        <v>0</v>
      </c>
      <c r="I29" s="201">
        <f>'7'!G56</f>
        <v>0</v>
      </c>
      <c r="J29" s="201">
        <f>'4.'!G20</f>
        <v>0</v>
      </c>
      <c r="K29" s="196">
        <f t="shared" si="5"/>
        <v>0</v>
      </c>
      <c r="L29" s="262"/>
      <c r="N29" s="244"/>
      <c r="O29" s="244"/>
      <c r="P29" s="244"/>
    </row>
    <row r="30" spans="1:16" s="6" customFormat="1" ht="18.75" x14ac:dyDescent="0.3">
      <c r="A30" s="199" t="s">
        <v>67</v>
      </c>
      <c r="B30" s="200">
        <f>'1-2.'!G21</f>
        <v>0</v>
      </c>
      <c r="C30" s="200">
        <f>'1-2.'!G57</f>
        <v>0</v>
      </c>
      <c r="D30" s="201">
        <f>'3-4.'!G22</f>
        <v>0</v>
      </c>
      <c r="E30" s="201">
        <f>'3-4.'!G58</f>
        <v>0</v>
      </c>
      <c r="F30" s="201">
        <f>'5-6.'!G21</f>
        <v>0</v>
      </c>
      <c r="G30" s="201">
        <f>'5-6.'!G57</f>
        <v>0</v>
      </c>
      <c r="H30" s="201">
        <f>'7'!G21</f>
        <v>0</v>
      </c>
      <c r="I30" s="201">
        <f>'7'!G57</f>
        <v>0</v>
      </c>
      <c r="J30" s="201">
        <f>'4.'!G21</f>
        <v>0</v>
      </c>
      <c r="K30" s="196">
        <f t="shared" si="5"/>
        <v>0</v>
      </c>
      <c r="N30" s="244"/>
      <c r="O30" s="244"/>
      <c r="P30" s="244"/>
    </row>
    <row r="31" spans="1:16" ht="15.75" x14ac:dyDescent="0.25">
      <c r="A31" s="199" t="s">
        <v>68</v>
      </c>
      <c r="B31" s="200">
        <f>'1-2.'!G22</f>
        <v>261</v>
      </c>
      <c r="C31" s="200">
        <f>'1-2.'!G58</f>
        <v>292</v>
      </c>
      <c r="D31" s="201">
        <f>'3-4.'!G23</f>
        <v>336</v>
      </c>
      <c r="E31" s="201">
        <f>'3-4.'!G59</f>
        <v>527</v>
      </c>
      <c r="F31" s="201">
        <f>'5-6.'!G22</f>
        <v>543</v>
      </c>
      <c r="G31" s="201">
        <f>'5-6.'!G58</f>
        <v>563</v>
      </c>
      <c r="H31" s="201">
        <f>'7'!G22</f>
        <v>406</v>
      </c>
      <c r="I31" s="201">
        <f>'7'!G58</f>
        <v>0</v>
      </c>
      <c r="J31" s="201">
        <f>'4.'!G22</f>
        <v>0</v>
      </c>
      <c r="K31" s="196">
        <f t="shared" si="5"/>
        <v>2928</v>
      </c>
      <c r="N31" s="244"/>
      <c r="O31" s="244"/>
      <c r="P31" s="244"/>
    </row>
    <row r="32" spans="1:16" ht="15.75" x14ac:dyDescent="0.25">
      <c r="A32" s="199" t="s">
        <v>69</v>
      </c>
      <c r="B32" s="200">
        <f>'1-2.'!G23</f>
        <v>0</v>
      </c>
      <c r="C32" s="200">
        <f>'1-2.'!G59</f>
        <v>0</v>
      </c>
      <c r="D32" s="201">
        <f>'3-4.'!G24</f>
        <v>0</v>
      </c>
      <c r="E32" s="201">
        <f>'3-4.'!G60</f>
        <v>0</v>
      </c>
      <c r="F32" s="201">
        <f>'5-6.'!G23</f>
        <v>0</v>
      </c>
      <c r="G32" s="201">
        <f>'5-6.'!G59</f>
        <v>0</v>
      </c>
      <c r="H32" s="201">
        <f>'7'!G23</f>
        <v>0</v>
      </c>
      <c r="I32" s="201">
        <f>'7'!G59</f>
        <v>0</v>
      </c>
      <c r="J32" s="201">
        <f>'4.'!G23</f>
        <v>0</v>
      </c>
      <c r="K32" s="196">
        <f t="shared" si="5"/>
        <v>0</v>
      </c>
      <c r="N32" s="244"/>
      <c r="O32" s="244"/>
      <c r="P32" s="244"/>
    </row>
    <row r="33" spans="1:16" ht="15.75" x14ac:dyDescent="0.25">
      <c r="A33" s="199" t="s">
        <v>58</v>
      </c>
      <c r="B33" s="200">
        <f>'1-2.'!G24</f>
        <v>0</v>
      </c>
      <c r="C33" s="200">
        <f>'1-2.'!G60</f>
        <v>0</v>
      </c>
      <c r="D33" s="201">
        <f>'3-4.'!G25</f>
        <v>0</v>
      </c>
      <c r="E33" s="201">
        <f>'3-4.'!G61</f>
        <v>0</v>
      </c>
      <c r="F33" s="201">
        <f>'5-6.'!G24</f>
        <v>0</v>
      </c>
      <c r="G33" s="201">
        <f>'5-6.'!G60</f>
        <v>0</v>
      </c>
      <c r="H33" s="201">
        <f>'7'!G24</f>
        <v>0</v>
      </c>
      <c r="I33" s="201">
        <f>'7'!G60</f>
        <v>0</v>
      </c>
      <c r="J33" s="201">
        <f>'4.'!G24</f>
        <v>0</v>
      </c>
      <c r="K33" s="196">
        <f t="shared" si="5"/>
        <v>0</v>
      </c>
      <c r="N33" s="244"/>
      <c r="O33" s="244"/>
      <c r="P33" s="244"/>
    </row>
    <row r="34" spans="1:16" s="7" customFormat="1" ht="18.75" x14ac:dyDescent="0.3">
      <c r="A34" s="199" t="s">
        <v>59</v>
      </c>
      <c r="B34" s="200">
        <f>'1-2.'!G25</f>
        <v>0</v>
      </c>
      <c r="C34" s="200">
        <f>'1-2.'!G61</f>
        <v>0</v>
      </c>
      <c r="D34" s="201">
        <f>'3-4.'!G26</f>
        <v>0</v>
      </c>
      <c r="E34" s="201">
        <f>'3-4.'!G62</f>
        <v>0</v>
      </c>
      <c r="F34" s="201">
        <f>'5-6.'!G25</f>
        <v>0</v>
      </c>
      <c r="G34" s="201">
        <f>'5-6.'!G61</f>
        <v>0</v>
      </c>
      <c r="H34" s="201">
        <f>'7'!G25</f>
        <v>0</v>
      </c>
      <c r="I34" s="201">
        <f>'7'!G61</f>
        <v>0</v>
      </c>
      <c r="J34" s="201">
        <f>'4.'!G25</f>
        <v>0</v>
      </c>
      <c r="K34" s="196">
        <f t="shared" si="5"/>
        <v>0</v>
      </c>
      <c r="N34" s="244"/>
      <c r="O34" s="244"/>
      <c r="P34" s="244"/>
    </row>
    <row r="35" spans="1:16" s="7" customFormat="1" ht="18.75" x14ac:dyDescent="0.3">
      <c r="A35" s="199" t="s">
        <v>70</v>
      </c>
      <c r="B35" s="200">
        <f>'1-2.'!G26</f>
        <v>0</v>
      </c>
      <c r="C35" s="200">
        <f>'1-2.'!G62</f>
        <v>0</v>
      </c>
      <c r="D35" s="201">
        <f>'3-4.'!G27</f>
        <v>0</v>
      </c>
      <c r="E35" s="201">
        <f>'3-4.'!G63</f>
        <v>0</v>
      </c>
      <c r="F35" s="201">
        <f>'5-6.'!G26</f>
        <v>0</v>
      </c>
      <c r="G35" s="201">
        <f>'5-6.'!G62</f>
        <v>0</v>
      </c>
      <c r="H35" s="201">
        <f>'7'!G26</f>
        <v>0</v>
      </c>
      <c r="I35" s="201">
        <f>'7'!G62</f>
        <v>0</v>
      </c>
      <c r="J35" s="201">
        <f>'4.'!G26</f>
        <v>0</v>
      </c>
      <c r="K35" s="196">
        <f t="shared" si="5"/>
        <v>0</v>
      </c>
      <c r="N35" s="244"/>
      <c r="O35" s="244"/>
      <c r="P35" s="244"/>
    </row>
    <row r="36" spans="1:16" x14ac:dyDescent="0.25">
      <c r="A36" s="181"/>
      <c r="B36" s="182"/>
      <c r="C36" s="181"/>
      <c r="D36" s="181"/>
      <c r="E36" s="181"/>
      <c r="F36" s="181"/>
      <c r="G36" s="181"/>
      <c r="H36" s="181"/>
      <c r="I36" s="227"/>
      <c r="J36" s="227"/>
    </row>
    <row r="37" spans="1:16" ht="19.5" customHeight="1" x14ac:dyDescent="0.25">
      <c r="A37" s="183" t="s">
        <v>86</v>
      </c>
      <c r="B37" s="205">
        <f t="shared" ref="B37:J37" si="6">SUM(B3:B36)</f>
        <v>5983.37</v>
      </c>
      <c r="C37" s="205">
        <f t="shared" si="6"/>
        <v>6787.73</v>
      </c>
      <c r="D37" s="205">
        <f t="shared" si="6"/>
        <v>7238.4800000000005</v>
      </c>
      <c r="E37" s="205">
        <f t="shared" si="6"/>
        <v>7193.3700000000008</v>
      </c>
      <c r="F37" s="205">
        <f t="shared" si="6"/>
        <v>7654.92</v>
      </c>
      <c r="G37" s="205">
        <f t="shared" si="6"/>
        <v>8223.5</v>
      </c>
      <c r="H37" s="205">
        <f t="shared" si="6"/>
        <v>5889.95</v>
      </c>
      <c r="I37" s="205">
        <f t="shared" si="6"/>
        <v>0</v>
      </c>
      <c r="J37" s="205">
        <f t="shared" si="6"/>
        <v>0</v>
      </c>
      <c r="L37" s="231">
        <f>SUM(B37:K37)</f>
        <v>48971.319999999992</v>
      </c>
    </row>
    <row r="40" spans="1:16" s="4" customFormat="1" ht="15.75" x14ac:dyDescent="0.25">
      <c r="C40" s="179"/>
      <c r="D40" s="179"/>
    </row>
    <row r="42" spans="1:16" ht="9.75" customHeight="1" x14ac:dyDescent="0.25"/>
    <row r="43" spans="1:16" ht="7.5" customHeight="1" x14ac:dyDescent="0.25"/>
    <row r="44" spans="1:16" ht="9" customHeight="1" x14ac:dyDescent="0.25"/>
    <row r="45" spans="1:16" ht="3.75" customHeight="1" x14ac:dyDescent="0.25"/>
    <row r="46" spans="1:16" s="4" customFormat="1" ht="15.75" x14ac:dyDescent="0.25">
      <c r="C46" s="179"/>
      <c r="D46" s="179"/>
    </row>
    <row r="47" spans="1:16" s="4" customFormat="1" ht="15.75" x14ac:dyDescent="0.25">
      <c r="C47" s="179"/>
      <c r="D47" s="179"/>
    </row>
    <row r="48" spans="1:16" s="4" customFormat="1" ht="15.75" x14ac:dyDescent="0.25">
      <c r="C48" s="179"/>
      <c r="D48" s="179"/>
    </row>
    <row r="49" spans="3:4" s="4" customFormat="1" ht="13.5" customHeight="1" x14ac:dyDescent="0.25">
      <c r="C49" s="179"/>
      <c r="D49" s="179"/>
    </row>
    <row r="50" spans="3:4" s="4" customFormat="1" ht="15.75" x14ac:dyDescent="0.25">
      <c r="C50" s="179"/>
      <c r="D50" s="179"/>
    </row>
    <row r="51" spans="3:4" s="2" customFormat="1" x14ac:dyDescent="0.25"/>
    <row r="52" spans="3:4" s="2" customFormat="1" x14ac:dyDescent="0.25"/>
    <row r="54" spans="3:4" s="6" customFormat="1" ht="18.75" x14ac:dyDescent="0.3">
      <c r="C54" s="2"/>
      <c r="D54" s="2"/>
    </row>
    <row r="55" spans="3:4" s="6" customFormat="1" ht="18.75" x14ac:dyDescent="0.3">
      <c r="C55" s="2"/>
      <c r="D55" s="2"/>
    </row>
    <row r="71" spans="1:4" s="6" customFormat="1" ht="18.75" x14ac:dyDescent="0.3">
      <c r="C71" s="2"/>
      <c r="D71" s="2"/>
    </row>
    <row r="73" spans="1:4" x14ac:dyDescent="0.25">
      <c r="A73" s="20"/>
    </row>
    <row r="75" spans="1:4" s="7" customFormat="1" ht="18.75" x14ac:dyDescent="0.3">
      <c r="C75" s="179"/>
      <c r="D75" s="179"/>
    </row>
    <row r="76" spans="1:4" s="7" customFormat="1" ht="18.75" x14ac:dyDescent="0.3">
      <c r="C76" s="179"/>
      <c r="D76" s="179"/>
    </row>
    <row r="77" spans="1:4" s="7" customFormat="1" ht="18.75" x14ac:dyDescent="0.3">
      <c r="C77" s="179"/>
      <c r="D77" s="179"/>
    </row>
    <row r="78" spans="1:4" ht="9.75" customHeight="1" x14ac:dyDescent="0.25"/>
    <row r="80" spans="1:4" s="4" customFormat="1" ht="15.75" x14ac:dyDescent="0.25">
      <c r="C80" s="179"/>
      <c r="D80" s="179"/>
    </row>
  </sheetData>
  <mergeCells count="18">
    <mergeCell ref="L9:L11"/>
    <mergeCell ref="L26:L2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N35:P35"/>
    <mergeCell ref="N30:P30"/>
    <mergeCell ref="N31:P31"/>
    <mergeCell ref="N32:P32"/>
    <mergeCell ref="N33:P33"/>
    <mergeCell ref="N34:P34"/>
  </mergeCells>
  <pageMargins left="0.7" right="0.2" top="0.44" bottom="0.25" header="0.3" footer="0.3"/>
  <pageSetup paperSize="5" scale="7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81"/>
  <sheetViews>
    <sheetView zoomScaleNormal="100" workbookViewId="0">
      <selection activeCell="N48" sqref="N48:O48"/>
    </sheetView>
  </sheetViews>
  <sheetFormatPr defaultRowHeight="15" x14ac:dyDescent="0.25"/>
  <cols>
    <col min="1" max="1" width="4" customWidth="1"/>
    <col min="2" max="2" width="11.5703125" customWidth="1"/>
    <col min="3" max="3" width="3.42578125" customWidth="1"/>
    <col min="4" max="4" width="12" customWidth="1"/>
    <col min="5" max="5" width="5.140625" customWidth="1"/>
    <col min="6" max="7" width="8" customWidth="1"/>
    <col min="8" max="8" width="7" customWidth="1"/>
    <col min="9" max="9" width="5" customWidth="1"/>
    <col min="10" max="10" width="7.7109375" customWidth="1"/>
    <col min="11" max="11" width="7.140625" bestFit="1" customWidth="1"/>
    <col min="12" max="12" width="6.7109375" customWidth="1"/>
    <col min="13" max="13" width="5.140625" style="119" customWidth="1"/>
    <col min="14" max="14" width="8.28515625" customWidth="1"/>
    <col min="15" max="15" width="8.7109375" customWidth="1"/>
    <col min="16" max="16" width="7.140625" customWidth="1"/>
  </cols>
  <sheetData>
    <row r="1" spans="1:16" s="4" customFormat="1" ht="18.75" x14ac:dyDescent="0.3">
      <c r="A1" s="240" t="s">
        <v>24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spans="1:16" s="4" customFormat="1" ht="15.75" x14ac:dyDescent="0.25">
      <c r="A2" s="241" t="s">
        <v>28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 spans="1:16" s="4" customFormat="1" ht="15.75" x14ac:dyDescent="0.25">
      <c r="A3" s="241" t="s">
        <v>1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 spans="1:16" s="4" customFormat="1" ht="15.75" x14ac:dyDescent="0.25">
      <c r="M4" s="121"/>
    </row>
    <row r="5" spans="1:16" s="4" customFormat="1" ht="18.75" x14ac:dyDescent="0.3">
      <c r="A5" s="240" t="s">
        <v>26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</row>
    <row r="6" spans="1:16" s="2" customFormat="1" x14ac:dyDescent="0.25">
      <c r="A6" s="2" t="s">
        <v>3</v>
      </c>
      <c r="C6" s="5" t="s">
        <v>4</v>
      </c>
      <c r="D6" s="11" t="s">
        <v>11</v>
      </c>
      <c r="E6" s="11"/>
      <c r="F6" s="11"/>
      <c r="G6" s="11"/>
      <c r="H6" s="11"/>
      <c r="I6" s="11"/>
      <c r="J6" s="11"/>
      <c r="K6" s="11"/>
      <c r="L6" s="21"/>
      <c r="M6" s="22" t="s">
        <v>5</v>
      </c>
      <c r="N6" s="256"/>
      <c r="O6" s="256"/>
      <c r="P6" s="3"/>
    </row>
    <row r="7" spans="1:16" s="2" customFormat="1" x14ac:dyDescent="0.25">
      <c r="A7" s="2" t="s">
        <v>22</v>
      </c>
      <c r="C7" s="5" t="s">
        <v>4</v>
      </c>
      <c r="D7" s="12" t="s">
        <v>37</v>
      </c>
      <c r="E7" s="13"/>
      <c r="F7" s="13"/>
      <c r="G7" s="13"/>
      <c r="H7" s="21"/>
      <c r="I7" s="10"/>
      <c r="J7" s="10"/>
      <c r="K7" s="10"/>
      <c r="L7" s="10"/>
      <c r="M7" s="22" t="s">
        <v>27</v>
      </c>
      <c r="N7" s="259" t="s">
        <v>36</v>
      </c>
      <c r="O7" s="259"/>
      <c r="P7" s="259"/>
    </row>
    <row r="9" spans="1:16" s="6" customFormat="1" ht="18.75" x14ac:dyDescent="0.3">
      <c r="A9" s="6" t="s">
        <v>6</v>
      </c>
      <c r="B9" s="248" t="s">
        <v>7</v>
      </c>
      <c r="C9" s="248"/>
      <c r="D9" s="248"/>
      <c r="F9" s="245" t="s">
        <v>8</v>
      </c>
      <c r="G9" s="245"/>
      <c r="H9" s="245"/>
      <c r="I9" s="117"/>
      <c r="J9" s="245" t="s">
        <v>9</v>
      </c>
      <c r="K9" s="245"/>
      <c r="L9" s="245"/>
      <c r="M9" s="117"/>
      <c r="N9" s="245" t="s">
        <v>10</v>
      </c>
      <c r="O9" s="245"/>
      <c r="P9" s="245"/>
    </row>
    <row r="10" spans="1:16" s="6" customFormat="1" ht="18.75" x14ac:dyDescent="0.3">
      <c r="B10" s="116"/>
      <c r="C10" s="116"/>
      <c r="D10" s="116"/>
      <c r="F10" s="115" t="s">
        <v>29</v>
      </c>
      <c r="G10" s="246" t="s">
        <v>30</v>
      </c>
      <c r="H10" s="247"/>
      <c r="I10" s="117"/>
      <c r="J10" s="115" t="s">
        <v>29</v>
      </c>
      <c r="K10" s="246" t="s">
        <v>30</v>
      </c>
      <c r="L10" s="247"/>
      <c r="M10" s="117"/>
      <c r="N10" s="115" t="s">
        <v>29</v>
      </c>
      <c r="O10" s="246" t="s">
        <v>30</v>
      </c>
      <c r="P10" s="247"/>
    </row>
    <row r="11" spans="1:16" x14ac:dyDescent="0.25">
      <c r="B11" s="244" t="s">
        <v>61</v>
      </c>
      <c r="C11" s="244"/>
      <c r="D11" s="244"/>
      <c r="E11" s="2"/>
      <c r="F11" s="49">
        <f>G11/208*25</f>
        <v>0</v>
      </c>
      <c r="G11" s="36"/>
      <c r="H11" s="43" t="s">
        <v>38</v>
      </c>
      <c r="I11" s="14"/>
      <c r="J11" s="49">
        <f>F11</f>
        <v>0</v>
      </c>
      <c r="K11" s="50">
        <f>G11</f>
        <v>0</v>
      </c>
      <c r="L11" s="43" t="s">
        <v>38</v>
      </c>
      <c r="M11" s="22"/>
      <c r="N11" s="49">
        <f>F11</f>
        <v>0</v>
      </c>
      <c r="O11" s="27">
        <f>G11</f>
        <v>0</v>
      </c>
      <c r="P11" s="43" t="s">
        <v>38</v>
      </c>
    </row>
    <row r="12" spans="1:16" x14ac:dyDescent="0.25">
      <c r="B12" s="244" t="s">
        <v>62</v>
      </c>
      <c r="C12" s="244"/>
      <c r="D12" s="244"/>
      <c r="E12" s="2"/>
      <c r="F12" s="49">
        <f>G12/132*25</f>
        <v>0</v>
      </c>
      <c r="G12" s="36"/>
      <c r="H12" s="43" t="s">
        <v>38</v>
      </c>
      <c r="I12" s="14"/>
      <c r="J12" s="49">
        <f>F12</f>
        <v>0</v>
      </c>
      <c r="K12" s="50">
        <f>G12</f>
        <v>0</v>
      </c>
      <c r="L12" s="43" t="s">
        <v>38</v>
      </c>
      <c r="M12" s="22"/>
      <c r="N12" s="49">
        <f>F12</f>
        <v>0</v>
      </c>
      <c r="O12" s="27">
        <f>G12</f>
        <v>0</v>
      </c>
      <c r="P12" s="43" t="s">
        <v>38</v>
      </c>
    </row>
    <row r="13" spans="1:16" x14ac:dyDescent="0.25">
      <c r="B13" s="244" t="s">
        <v>49</v>
      </c>
      <c r="C13" s="244"/>
      <c r="D13" s="244"/>
      <c r="E13" s="2"/>
      <c r="F13" s="49"/>
      <c r="G13" s="83"/>
      <c r="H13" s="43"/>
      <c r="I13" s="14"/>
      <c r="J13" s="49">
        <f>F13</f>
        <v>0</v>
      </c>
      <c r="K13" s="29"/>
      <c r="L13" s="43"/>
      <c r="M13" s="22"/>
      <c r="N13" s="49">
        <f>F13</f>
        <v>0</v>
      </c>
      <c r="O13" s="29"/>
      <c r="P13" s="43"/>
    </row>
    <row r="14" spans="1:16" x14ac:dyDescent="0.25">
      <c r="B14" s="244" t="s">
        <v>50</v>
      </c>
      <c r="C14" s="244"/>
      <c r="D14" s="244"/>
      <c r="E14" s="2"/>
      <c r="F14" s="3"/>
      <c r="G14" s="27"/>
      <c r="H14" s="43" t="s">
        <v>38</v>
      </c>
      <c r="I14" s="14"/>
      <c r="J14" s="3"/>
      <c r="K14" s="27">
        <f>G14</f>
        <v>0</v>
      </c>
      <c r="L14" s="43" t="s">
        <v>38</v>
      </c>
      <c r="M14" s="22"/>
      <c r="N14" s="3"/>
      <c r="O14" s="27">
        <f>G14</f>
        <v>0</v>
      </c>
      <c r="P14" s="43" t="s">
        <v>38</v>
      </c>
    </row>
    <row r="15" spans="1:16" x14ac:dyDescent="0.25">
      <c r="B15" s="244" t="s">
        <v>51</v>
      </c>
      <c r="C15" s="244"/>
      <c r="D15" s="244"/>
      <c r="E15" s="2"/>
      <c r="F15" s="3"/>
      <c r="G15" s="94"/>
      <c r="H15" s="43" t="s">
        <v>39</v>
      </c>
      <c r="I15" s="14"/>
      <c r="J15" s="3"/>
      <c r="K15" s="112">
        <f t="shared" ref="K15:K25" si="0">G15</f>
        <v>0</v>
      </c>
      <c r="L15" s="43" t="s">
        <v>39</v>
      </c>
      <c r="M15" s="22"/>
      <c r="N15" s="3"/>
      <c r="O15" s="112">
        <f t="shared" ref="O15:O25" si="1">G15</f>
        <v>0</v>
      </c>
      <c r="P15" s="43" t="s">
        <v>39</v>
      </c>
    </row>
    <row r="16" spans="1:16" x14ac:dyDescent="0.25">
      <c r="B16" s="244" t="s">
        <v>63</v>
      </c>
      <c r="C16" s="244"/>
      <c r="D16" s="244"/>
      <c r="E16" s="2"/>
      <c r="F16" s="3"/>
      <c r="G16" s="27"/>
      <c r="H16" s="43" t="s">
        <v>38</v>
      </c>
      <c r="I16" s="14"/>
      <c r="J16" s="3"/>
      <c r="K16" s="27">
        <f t="shared" si="0"/>
        <v>0</v>
      </c>
      <c r="L16" s="43" t="s">
        <v>38</v>
      </c>
      <c r="M16" s="22"/>
      <c r="N16" s="3"/>
      <c r="O16" s="27">
        <f t="shared" si="1"/>
        <v>0</v>
      </c>
      <c r="P16" s="43" t="s">
        <v>38</v>
      </c>
    </row>
    <row r="17" spans="1:16" x14ac:dyDescent="0.25">
      <c r="B17" s="244" t="s">
        <v>64</v>
      </c>
      <c r="C17" s="244"/>
      <c r="D17" s="244"/>
      <c r="E17" s="2"/>
      <c r="F17" s="3"/>
      <c r="G17" s="27"/>
      <c r="H17" s="43" t="s">
        <v>38</v>
      </c>
      <c r="I17" s="14"/>
      <c r="J17" s="3"/>
      <c r="K17" s="27">
        <f t="shared" si="0"/>
        <v>0</v>
      </c>
      <c r="L17" s="43" t="s">
        <v>38</v>
      </c>
      <c r="M17" s="22"/>
      <c r="N17" s="3"/>
      <c r="O17" s="27">
        <f t="shared" si="1"/>
        <v>0</v>
      </c>
      <c r="P17" s="43" t="s">
        <v>38</v>
      </c>
    </row>
    <row r="18" spans="1:16" x14ac:dyDescent="0.25">
      <c r="B18" s="244" t="s">
        <v>65</v>
      </c>
      <c r="C18" s="244"/>
      <c r="D18" s="244"/>
      <c r="E18" s="2"/>
      <c r="F18" s="3"/>
      <c r="G18" s="27"/>
      <c r="H18" s="43" t="s">
        <v>38</v>
      </c>
      <c r="I18" s="14"/>
      <c r="J18" s="3"/>
      <c r="K18" s="27">
        <f t="shared" si="0"/>
        <v>0</v>
      </c>
      <c r="L18" s="43" t="s">
        <v>38</v>
      </c>
      <c r="M18" s="22"/>
      <c r="N18" s="3"/>
      <c r="O18" s="27">
        <f t="shared" si="1"/>
        <v>0</v>
      </c>
      <c r="P18" s="43" t="s">
        <v>38</v>
      </c>
    </row>
    <row r="19" spans="1:16" x14ac:dyDescent="0.25">
      <c r="B19" s="244" t="s">
        <v>66</v>
      </c>
      <c r="C19" s="244"/>
      <c r="D19" s="244"/>
      <c r="E19" s="2"/>
      <c r="F19" s="3"/>
      <c r="G19" s="27"/>
      <c r="H19" s="43" t="s">
        <v>38</v>
      </c>
      <c r="I19" s="14"/>
      <c r="J19" s="3"/>
      <c r="K19" s="27">
        <f t="shared" si="0"/>
        <v>0</v>
      </c>
      <c r="L19" s="43" t="s">
        <v>38</v>
      </c>
      <c r="M19" s="22"/>
      <c r="N19" s="3"/>
      <c r="O19" s="27">
        <f t="shared" si="1"/>
        <v>0</v>
      </c>
      <c r="P19" s="43" t="s">
        <v>38</v>
      </c>
    </row>
    <row r="20" spans="1:16" x14ac:dyDescent="0.25">
      <c r="B20" s="244" t="s">
        <v>67</v>
      </c>
      <c r="C20" s="244"/>
      <c r="D20" s="244"/>
      <c r="E20" s="2"/>
      <c r="F20" s="3"/>
      <c r="G20" s="28"/>
      <c r="H20" s="43" t="s">
        <v>39</v>
      </c>
      <c r="I20" s="14"/>
      <c r="J20" s="3"/>
      <c r="K20" s="27">
        <f t="shared" si="0"/>
        <v>0</v>
      </c>
      <c r="L20" s="43" t="s">
        <v>39</v>
      </c>
      <c r="M20" s="22"/>
      <c r="N20" s="3"/>
      <c r="O20" s="27">
        <f t="shared" si="1"/>
        <v>0</v>
      </c>
      <c r="P20" s="43" t="s">
        <v>39</v>
      </c>
    </row>
    <row r="21" spans="1:16" x14ac:dyDescent="0.25">
      <c r="B21" s="244" t="s">
        <v>68</v>
      </c>
      <c r="C21" s="244"/>
      <c r="D21" s="244"/>
      <c r="E21" s="2"/>
      <c r="F21" s="3"/>
      <c r="G21" s="28"/>
      <c r="H21" s="43" t="s">
        <v>39</v>
      </c>
      <c r="I21" s="14"/>
      <c r="J21" s="3"/>
      <c r="K21" s="27">
        <f t="shared" si="0"/>
        <v>0</v>
      </c>
      <c r="L21" s="43" t="s">
        <v>39</v>
      </c>
      <c r="M21" s="22"/>
      <c r="N21" s="3"/>
      <c r="O21" s="27">
        <f t="shared" si="1"/>
        <v>0</v>
      </c>
      <c r="P21" s="43" t="s">
        <v>39</v>
      </c>
    </row>
    <row r="22" spans="1:16" x14ac:dyDescent="0.25">
      <c r="B22" s="244" t="s">
        <v>69</v>
      </c>
      <c r="C22" s="244"/>
      <c r="D22" s="244"/>
      <c r="E22" s="2"/>
      <c r="F22" s="3"/>
      <c r="G22" s="28"/>
      <c r="H22" s="43" t="s">
        <v>39</v>
      </c>
      <c r="I22" s="14"/>
      <c r="J22" s="3"/>
      <c r="K22" s="27">
        <f t="shared" si="0"/>
        <v>0</v>
      </c>
      <c r="L22" s="43" t="s">
        <v>39</v>
      </c>
      <c r="M22" s="22"/>
      <c r="N22" s="3"/>
      <c r="O22" s="27">
        <f t="shared" si="1"/>
        <v>0</v>
      </c>
      <c r="P22" s="43" t="s">
        <v>39</v>
      </c>
    </row>
    <row r="23" spans="1:16" x14ac:dyDescent="0.25">
      <c r="B23" s="244" t="s">
        <v>58</v>
      </c>
      <c r="C23" s="244"/>
      <c r="D23" s="244"/>
      <c r="E23" s="2"/>
      <c r="F23" s="3"/>
      <c r="G23" s="28"/>
      <c r="H23" s="43" t="s">
        <v>38</v>
      </c>
      <c r="I23" s="14"/>
      <c r="J23" s="3"/>
      <c r="K23" s="27">
        <f t="shared" si="0"/>
        <v>0</v>
      </c>
      <c r="L23" s="43" t="s">
        <v>38</v>
      </c>
      <c r="M23" s="22"/>
      <c r="N23" s="3"/>
      <c r="O23" s="27">
        <f t="shared" si="1"/>
        <v>0</v>
      </c>
      <c r="P23" s="43" t="s">
        <v>38</v>
      </c>
    </row>
    <row r="24" spans="1:16" x14ac:dyDescent="0.25">
      <c r="B24" s="244" t="s">
        <v>59</v>
      </c>
      <c r="C24" s="244"/>
      <c r="D24" s="244"/>
      <c r="E24" s="2"/>
      <c r="F24" s="3"/>
      <c r="G24" s="28"/>
      <c r="H24" s="43" t="s">
        <v>39</v>
      </c>
      <c r="I24" s="14"/>
      <c r="J24" s="3"/>
      <c r="K24" s="27">
        <f t="shared" si="0"/>
        <v>0</v>
      </c>
      <c r="L24" s="43" t="s">
        <v>39</v>
      </c>
      <c r="M24" s="22"/>
      <c r="N24" s="3"/>
      <c r="O24" s="27">
        <f t="shared" si="1"/>
        <v>0</v>
      </c>
      <c r="P24" s="43" t="s">
        <v>39</v>
      </c>
    </row>
    <row r="25" spans="1:16" x14ac:dyDescent="0.25">
      <c r="B25" s="244" t="s">
        <v>70</v>
      </c>
      <c r="C25" s="244"/>
      <c r="D25" s="244"/>
      <c r="E25" s="2"/>
      <c r="F25" s="3"/>
      <c r="G25" s="28"/>
      <c r="H25" s="43" t="s">
        <v>38</v>
      </c>
      <c r="I25" s="14"/>
      <c r="J25" s="3"/>
      <c r="K25" s="27">
        <f t="shared" si="0"/>
        <v>0</v>
      </c>
      <c r="L25" s="43" t="s">
        <v>38</v>
      </c>
      <c r="M25" s="22"/>
      <c r="N25" s="3"/>
      <c r="O25" s="27">
        <f t="shared" si="1"/>
        <v>0</v>
      </c>
      <c r="P25" s="43" t="s">
        <v>38</v>
      </c>
    </row>
    <row r="27" spans="1:16" s="6" customFormat="1" ht="15.75" customHeight="1" x14ac:dyDescent="0.3">
      <c r="A27" s="6" t="s">
        <v>12</v>
      </c>
      <c r="B27" s="245" t="s">
        <v>25</v>
      </c>
      <c r="C27" s="245"/>
      <c r="D27" s="245"/>
      <c r="M27" s="117"/>
    </row>
    <row r="28" spans="1:16" x14ac:dyDescent="0.25">
      <c r="C28" s="118" t="s">
        <v>13</v>
      </c>
      <c r="D28" s="31" t="s">
        <v>34</v>
      </c>
      <c r="E28" s="251"/>
      <c r="F28" s="251"/>
      <c r="G28" s="249" t="s">
        <v>18</v>
      </c>
      <c r="H28" s="249"/>
      <c r="I28" s="249"/>
      <c r="J28" s="250">
        <f>G16+G19-J29</f>
        <v>0</v>
      </c>
      <c r="K28" s="250"/>
      <c r="L28" s="39"/>
      <c r="M28" s="22" t="s">
        <v>19</v>
      </c>
      <c r="N28" s="250" t="s">
        <v>32</v>
      </c>
      <c r="O28" s="250"/>
    </row>
    <row r="29" spans="1:16" x14ac:dyDescent="0.25">
      <c r="C29" s="118" t="s">
        <v>14</v>
      </c>
      <c r="D29" s="31" t="s">
        <v>35</v>
      </c>
      <c r="E29" s="251"/>
      <c r="F29" s="251"/>
      <c r="G29" s="249" t="s">
        <v>18</v>
      </c>
      <c r="H29" s="249"/>
      <c r="I29" s="249"/>
      <c r="J29" s="257"/>
      <c r="K29" s="252"/>
      <c r="L29" s="120"/>
      <c r="M29" s="22" t="s">
        <v>19</v>
      </c>
      <c r="N29" s="252" t="s">
        <v>33</v>
      </c>
      <c r="O29" s="252"/>
    </row>
    <row r="30" spans="1:16" x14ac:dyDescent="0.25">
      <c r="J30" s="20"/>
      <c r="K30" s="20"/>
      <c r="L30" s="20"/>
    </row>
    <row r="31" spans="1:16" s="7" customFormat="1" ht="18.75" x14ac:dyDescent="0.3">
      <c r="A31" s="7" t="s">
        <v>15</v>
      </c>
      <c r="B31" s="8" t="s">
        <v>16</v>
      </c>
      <c r="C31" s="8"/>
      <c r="D31" s="8"/>
      <c r="E31" s="6"/>
      <c r="F31" s="6"/>
      <c r="M31" s="24"/>
    </row>
    <row r="32" spans="1:16" s="7" customFormat="1" ht="18.75" x14ac:dyDescent="0.3">
      <c r="B32" s="6" t="s">
        <v>17</v>
      </c>
      <c r="D32" s="9"/>
      <c r="E32" s="9"/>
      <c r="F32" s="9"/>
      <c r="G32" s="9"/>
      <c r="H32" s="9"/>
      <c r="I32" s="9"/>
      <c r="J32" s="9"/>
      <c r="K32" s="9"/>
      <c r="L32" s="9"/>
      <c r="M32" s="25"/>
      <c r="N32" s="9"/>
      <c r="O32" s="9"/>
      <c r="P32" s="9"/>
    </row>
    <row r="33" spans="1:16" x14ac:dyDescent="0.25">
      <c r="D33" s="1"/>
      <c r="E33" s="1"/>
      <c r="F33" s="1"/>
      <c r="G33" s="1"/>
      <c r="H33" s="1"/>
      <c r="I33" s="1"/>
      <c r="J33" s="1"/>
      <c r="K33" s="1"/>
      <c r="L33" s="1"/>
      <c r="M33" s="15"/>
      <c r="N33" s="1"/>
      <c r="O33" s="1"/>
      <c r="P33" s="1"/>
    </row>
    <row r="34" spans="1:16" x14ac:dyDescent="0.25">
      <c r="D34" s="32"/>
      <c r="E34" s="32"/>
      <c r="F34" s="32"/>
      <c r="G34" s="32"/>
      <c r="H34" s="32"/>
      <c r="I34" s="32"/>
      <c r="J34" s="32"/>
      <c r="K34" s="32"/>
      <c r="L34" s="32"/>
      <c r="M34" s="109"/>
      <c r="N34" s="32"/>
      <c r="O34" s="32"/>
      <c r="P34" s="32"/>
    </row>
    <row r="35" spans="1:16" ht="10.5" customHeight="1" x14ac:dyDescent="0.25"/>
    <row r="36" spans="1:16" x14ac:dyDescent="0.25">
      <c r="A36" s="251" t="s">
        <v>44</v>
      </c>
      <c r="B36" s="251"/>
      <c r="C36" s="251"/>
      <c r="D36" s="251"/>
      <c r="F36" s="1"/>
      <c r="G36" s="1"/>
      <c r="H36" s="1"/>
      <c r="I36" s="1"/>
      <c r="J36" s="1" t="s">
        <v>31</v>
      </c>
      <c r="M36" s="45" t="s">
        <v>42</v>
      </c>
      <c r="N36" s="45"/>
      <c r="O36" s="45"/>
      <c r="P36" s="45"/>
    </row>
    <row r="37" spans="1:16" s="4" customFormat="1" ht="15.75" x14ac:dyDescent="0.25">
      <c r="A37" s="263" t="s">
        <v>20</v>
      </c>
      <c r="B37" s="263"/>
      <c r="C37" s="263"/>
      <c r="D37" s="263"/>
      <c r="F37" s="263" t="s">
        <v>21</v>
      </c>
      <c r="G37" s="263"/>
      <c r="H37" s="263"/>
      <c r="I37" s="263"/>
      <c r="J37" s="263"/>
      <c r="M37" s="110" t="s">
        <v>43</v>
      </c>
      <c r="N37" s="38"/>
      <c r="O37" s="38"/>
      <c r="P37" s="38"/>
    </row>
    <row r="38" spans="1:16" x14ac:dyDescent="0.25">
      <c r="A38" s="264" t="s">
        <v>45</v>
      </c>
      <c r="B38" s="264"/>
      <c r="C38" s="264"/>
      <c r="D38" s="264"/>
    </row>
    <row r="39" spans="1:16" x14ac:dyDescent="0.25">
      <c r="A39" s="119"/>
      <c r="B39" s="119"/>
      <c r="C39" s="119"/>
      <c r="D39" s="119"/>
    </row>
    <row r="40" spans="1:16" x14ac:dyDescent="0.25">
      <c r="A40" t="s">
        <v>23</v>
      </c>
    </row>
    <row r="42" spans="1:16" s="4" customFormat="1" ht="18.75" x14ac:dyDescent="0.3">
      <c r="A42" s="240" t="s">
        <v>24</v>
      </c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</row>
    <row r="43" spans="1:16" s="4" customFormat="1" ht="15.75" x14ac:dyDescent="0.25">
      <c r="A43" s="241" t="s">
        <v>28</v>
      </c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</row>
    <row r="44" spans="1:16" s="4" customFormat="1" ht="15.75" x14ac:dyDescent="0.25">
      <c r="A44" s="241" t="s">
        <v>1</v>
      </c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</row>
    <row r="45" spans="1:16" s="4" customFormat="1" ht="15.75" x14ac:dyDescent="0.25">
      <c r="M45" s="121"/>
    </row>
    <row r="46" spans="1:16" s="4" customFormat="1" ht="18.75" x14ac:dyDescent="0.3">
      <c r="A46" s="240" t="s">
        <v>26</v>
      </c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</row>
    <row r="48" spans="1:16" s="2" customFormat="1" x14ac:dyDescent="0.25">
      <c r="A48" s="2" t="s">
        <v>3</v>
      </c>
      <c r="C48" s="5" t="s">
        <v>4</v>
      </c>
      <c r="D48" s="11" t="s">
        <v>11</v>
      </c>
      <c r="E48" s="11"/>
      <c r="F48" s="11"/>
      <c r="G48" s="11"/>
      <c r="H48" s="11"/>
      <c r="I48" s="11"/>
      <c r="J48" s="11"/>
      <c r="K48" s="11"/>
      <c r="L48" s="21"/>
      <c r="M48" s="22" t="s">
        <v>5</v>
      </c>
      <c r="N48" s="256"/>
      <c r="O48" s="256"/>
      <c r="P48" s="3"/>
    </row>
    <row r="49" spans="1:16" s="6" customFormat="1" ht="18.75" x14ac:dyDescent="0.3">
      <c r="A49" s="6" t="s">
        <v>6</v>
      </c>
      <c r="B49" s="248" t="s">
        <v>7</v>
      </c>
      <c r="C49" s="248"/>
      <c r="D49" s="248"/>
      <c r="F49" s="245" t="s">
        <v>8</v>
      </c>
      <c r="G49" s="245"/>
      <c r="H49" s="245"/>
      <c r="I49" s="117"/>
      <c r="J49" s="245" t="s">
        <v>9</v>
      </c>
      <c r="K49" s="245"/>
      <c r="L49" s="245"/>
      <c r="M49" s="117"/>
      <c r="N49" s="245" t="s">
        <v>10</v>
      </c>
      <c r="O49" s="245"/>
      <c r="P49" s="245"/>
    </row>
    <row r="50" spans="1:16" s="6" customFormat="1" ht="18.75" x14ac:dyDescent="0.3">
      <c r="B50" s="116"/>
      <c r="C50" s="116"/>
      <c r="D50" s="116"/>
      <c r="F50" s="115" t="s">
        <v>29</v>
      </c>
      <c r="G50" s="246" t="s">
        <v>30</v>
      </c>
      <c r="H50" s="247"/>
      <c r="I50" s="117"/>
      <c r="J50" s="115" t="s">
        <v>29</v>
      </c>
      <c r="K50" s="246" t="s">
        <v>30</v>
      </c>
      <c r="L50" s="247"/>
      <c r="M50" s="117"/>
      <c r="N50" s="115" t="s">
        <v>29</v>
      </c>
      <c r="O50" s="246" t="s">
        <v>30</v>
      </c>
      <c r="P50" s="247"/>
    </row>
    <row r="51" spans="1:16" x14ac:dyDescent="0.25">
      <c r="B51" s="244" t="s">
        <v>61</v>
      </c>
      <c r="C51" s="244"/>
      <c r="D51" s="244"/>
      <c r="E51" s="2"/>
      <c r="F51" s="49">
        <f>G51/208*25</f>
        <v>0</v>
      </c>
      <c r="G51" s="36"/>
      <c r="H51" s="43" t="s">
        <v>38</v>
      </c>
      <c r="I51" s="14"/>
      <c r="J51" s="49">
        <f>F51</f>
        <v>0</v>
      </c>
      <c r="K51" s="50">
        <f>G51</f>
        <v>0</v>
      </c>
      <c r="L51" s="43" t="s">
        <v>38</v>
      </c>
      <c r="M51" s="22"/>
      <c r="N51" s="49">
        <f>F51</f>
        <v>0</v>
      </c>
      <c r="O51" s="27">
        <f>G51</f>
        <v>0</v>
      </c>
      <c r="P51" s="43" t="s">
        <v>38</v>
      </c>
    </row>
    <row r="52" spans="1:16" x14ac:dyDescent="0.25">
      <c r="B52" s="244" t="s">
        <v>62</v>
      </c>
      <c r="C52" s="244"/>
      <c r="D52" s="244"/>
      <c r="E52" s="2"/>
      <c r="F52" s="49">
        <f>G52/132*25</f>
        <v>0</v>
      </c>
      <c r="G52" s="36"/>
      <c r="H52" s="43" t="s">
        <v>38</v>
      </c>
      <c r="I52" s="14"/>
      <c r="J52" s="49">
        <f>F52</f>
        <v>0</v>
      </c>
      <c r="K52" s="50">
        <f>G52</f>
        <v>0</v>
      </c>
      <c r="L52" s="43" t="s">
        <v>38</v>
      </c>
      <c r="M52" s="22"/>
      <c r="N52" s="49">
        <f>F52</f>
        <v>0</v>
      </c>
      <c r="O52" s="27">
        <f>G52</f>
        <v>0</v>
      </c>
      <c r="P52" s="43" t="s">
        <v>38</v>
      </c>
    </row>
    <row r="53" spans="1:16" x14ac:dyDescent="0.25">
      <c r="B53" s="244" t="s">
        <v>49</v>
      </c>
      <c r="C53" s="244"/>
      <c r="D53" s="244"/>
      <c r="E53" s="2"/>
      <c r="F53" s="49"/>
      <c r="G53" s="27"/>
      <c r="H53" s="43"/>
      <c r="I53" s="14"/>
      <c r="J53" s="49">
        <f>F53</f>
        <v>0</v>
      </c>
      <c r="K53" s="29"/>
      <c r="L53" s="43"/>
      <c r="M53" s="22"/>
      <c r="N53" s="49">
        <f>F53</f>
        <v>0</v>
      </c>
      <c r="O53" s="29"/>
      <c r="P53" s="43"/>
    </row>
    <row r="54" spans="1:16" x14ac:dyDescent="0.25">
      <c r="B54" s="244" t="s">
        <v>50</v>
      </c>
      <c r="C54" s="244"/>
      <c r="D54" s="244"/>
      <c r="E54" s="2"/>
      <c r="F54" s="3"/>
      <c r="G54" s="27"/>
      <c r="H54" s="43" t="s">
        <v>38</v>
      </c>
      <c r="I54" s="14"/>
      <c r="J54" s="3"/>
      <c r="K54" s="27">
        <f>G54</f>
        <v>0</v>
      </c>
      <c r="L54" s="43" t="s">
        <v>38</v>
      </c>
      <c r="M54" s="22"/>
      <c r="N54" s="3"/>
      <c r="O54" s="27">
        <f>G54</f>
        <v>0</v>
      </c>
      <c r="P54" s="43" t="s">
        <v>38</v>
      </c>
    </row>
    <row r="55" spans="1:16" x14ac:dyDescent="0.25">
      <c r="B55" s="244" t="s">
        <v>51</v>
      </c>
      <c r="C55" s="244"/>
      <c r="D55" s="244"/>
      <c r="E55" s="2"/>
      <c r="F55" s="3"/>
      <c r="G55" s="51">
        <f>G54*2.43</f>
        <v>0</v>
      </c>
      <c r="H55" s="43" t="s">
        <v>39</v>
      </c>
      <c r="I55" s="14"/>
      <c r="J55" s="3"/>
      <c r="K55" s="83">
        <f t="shared" ref="K55:K65" si="2">G55</f>
        <v>0</v>
      </c>
      <c r="L55" s="43" t="s">
        <v>39</v>
      </c>
      <c r="M55" s="22"/>
      <c r="N55" s="3"/>
      <c r="O55" s="83">
        <f t="shared" ref="O55:O65" si="3">G55</f>
        <v>0</v>
      </c>
      <c r="P55" s="43" t="s">
        <v>39</v>
      </c>
    </row>
    <row r="56" spans="1:16" x14ac:dyDescent="0.25">
      <c r="B56" s="244" t="s">
        <v>63</v>
      </c>
      <c r="C56" s="244"/>
      <c r="D56" s="244"/>
      <c r="E56" s="2"/>
      <c r="F56" s="3"/>
      <c r="G56" s="27"/>
      <c r="H56" s="43" t="s">
        <v>38</v>
      </c>
      <c r="I56" s="14"/>
      <c r="J56" s="3"/>
      <c r="K56" s="27">
        <f t="shared" si="2"/>
        <v>0</v>
      </c>
      <c r="L56" s="43" t="s">
        <v>38</v>
      </c>
      <c r="M56" s="22"/>
      <c r="N56" s="3"/>
      <c r="O56" s="27">
        <f t="shared" si="3"/>
        <v>0</v>
      </c>
      <c r="P56" s="43" t="s">
        <v>38</v>
      </c>
    </row>
    <row r="57" spans="1:16" x14ac:dyDescent="0.25">
      <c r="B57" s="244" t="s">
        <v>64</v>
      </c>
      <c r="C57" s="244"/>
      <c r="D57" s="244"/>
      <c r="E57" s="2"/>
      <c r="F57" s="3"/>
      <c r="G57" s="27"/>
      <c r="H57" s="43" t="s">
        <v>38</v>
      </c>
      <c r="I57" s="14"/>
      <c r="J57" s="3"/>
      <c r="K57" s="27">
        <f t="shared" si="2"/>
        <v>0</v>
      </c>
      <c r="L57" s="43" t="s">
        <v>38</v>
      </c>
      <c r="M57" s="22"/>
      <c r="N57" s="3"/>
      <c r="O57" s="27">
        <f t="shared" si="3"/>
        <v>0</v>
      </c>
      <c r="P57" s="43" t="s">
        <v>38</v>
      </c>
    </row>
    <row r="58" spans="1:16" x14ac:dyDescent="0.25">
      <c r="B58" s="244" t="s">
        <v>65</v>
      </c>
      <c r="C58" s="244"/>
      <c r="D58" s="244"/>
      <c r="E58" s="2"/>
      <c r="F58" s="3"/>
      <c r="G58" s="27"/>
      <c r="H58" s="43" t="s">
        <v>38</v>
      </c>
      <c r="I58" s="14"/>
      <c r="J58" s="3"/>
      <c r="K58" s="27">
        <f t="shared" si="2"/>
        <v>0</v>
      </c>
      <c r="L58" s="43" t="s">
        <v>38</v>
      </c>
      <c r="M58" s="22"/>
      <c r="N58" s="3"/>
      <c r="O58" s="27">
        <f t="shared" si="3"/>
        <v>0</v>
      </c>
      <c r="P58" s="43" t="s">
        <v>38</v>
      </c>
    </row>
    <row r="59" spans="1:16" x14ac:dyDescent="0.25">
      <c r="B59" s="244" t="s">
        <v>66</v>
      </c>
      <c r="C59" s="244"/>
      <c r="D59" s="244"/>
      <c r="E59" s="2"/>
      <c r="F59" s="3"/>
      <c r="G59" s="27"/>
      <c r="H59" s="43" t="s">
        <v>38</v>
      </c>
      <c r="I59" s="14"/>
      <c r="J59" s="3"/>
      <c r="K59" s="27">
        <f t="shared" si="2"/>
        <v>0</v>
      </c>
      <c r="L59" s="43" t="s">
        <v>38</v>
      </c>
      <c r="M59" s="22"/>
      <c r="N59" s="3"/>
      <c r="O59" s="27">
        <f t="shared" si="3"/>
        <v>0</v>
      </c>
      <c r="P59" s="43" t="s">
        <v>38</v>
      </c>
    </row>
    <row r="60" spans="1:16" x14ac:dyDescent="0.25">
      <c r="B60" s="244" t="s">
        <v>67</v>
      </c>
      <c r="C60" s="244"/>
      <c r="D60" s="244"/>
      <c r="E60" s="2"/>
      <c r="F60" s="3"/>
      <c r="G60" s="28"/>
      <c r="H60" s="43" t="s">
        <v>39</v>
      </c>
      <c r="I60" s="14"/>
      <c r="J60" s="3"/>
      <c r="K60" s="27">
        <f t="shared" si="2"/>
        <v>0</v>
      </c>
      <c r="L60" s="43" t="s">
        <v>39</v>
      </c>
      <c r="M60" s="22"/>
      <c r="N60" s="3"/>
      <c r="O60" s="27">
        <f t="shared" si="3"/>
        <v>0</v>
      </c>
      <c r="P60" s="43" t="s">
        <v>39</v>
      </c>
    </row>
    <row r="61" spans="1:16" x14ac:dyDescent="0.25">
      <c r="B61" s="244" t="s">
        <v>68</v>
      </c>
      <c r="C61" s="244"/>
      <c r="D61" s="244"/>
      <c r="E61" s="2"/>
      <c r="F61" s="3"/>
      <c r="G61" s="28"/>
      <c r="H61" s="43" t="s">
        <v>39</v>
      </c>
      <c r="I61" s="14"/>
      <c r="J61" s="3"/>
      <c r="K61" s="27">
        <f t="shared" si="2"/>
        <v>0</v>
      </c>
      <c r="L61" s="43" t="s">
        <v>39</v>
      </c>
      <c r="M61" s="22"/>
      <c r="N61" s="3"/>
      <c r="O61" s="27">
        <f t="shared" si="3"/>
        <v>0</v>
      </c>
      <c r="P61" s="43" t="s">
        <v>39</v>
      </c>
    </row>
    <row r="62" spans="1:16" x14ac:dyDescent="0.25">
      <c r="B62" s="244" t="s">
        <v>69</v>
      </c>
      <c r="C62" s="244"/>
      <c r="D62" s="244"/>
      <c r="E62" s="2"/>
      <c r="F62" s="3"/>
      <c r="G62" s="28"/>
      <c r="H62" s="43" t="s">
        <v>39</v>
      </c>
      <c r="I62" s="14"/>
      <c r="J62" s="3"/>
      <c r="K62" s="27">
        <f t="shared" si="2"/>
        <v>0</v>
      </c>
      <c r="L62" s="43" t="s">
        <v>39</v>
      </c>
      <c r="M62" s="22"/>
      <c r="N62" s="3"/>
      <c r="O62" s="27">
        <f t="shared" si="3"/>
        <v>0</v>
      </c>
      <c r="P62" s="43" t="s">
        <v>39</v>
      </c>
    </row>
    <row r="63" spans="1:16" x14ac:dyDescent="0.25">
      <c r="B63" s="244" t="s">
        <v>58</v>
      </c>
      <c r="C63" s="244"/>
      <c r="D63" s="244"/>
      <c r="E63" s="2"/>
      <c r="F63" s="3"/>
      <c r="G63" s="28"/>
      <c r="H63" s="43" t="s">
        <v>38</v>
      </c>
      <c r="I63" s="14"/>
      <c r="J63" s="3"/>
      <c r="K63" s="27">
        <f t="shared" si="2"/>
        <v>0</v>
      </c>
      <c r="L63" s="43" t="s">
        <v>38</v>
      </c>
      <c r="M63" s="22"/>
      <c r="N63" s="3"/>
      <c r="O63" s="27">
        <f t="shared" si="3"/>
        <v>0</v>
      </c>
      <c r="P63" s="43" t="s">
        <v>38</v>
      </c>
    </row>
    <row r="64" spans="1:16" x14ac:dyDescent="0.25">
      <c r="B64" s="244" t="s">
        <v>59</v>
      </c>
      <c r="C64" s="244"/>
      <c r="D64" s="244"/>
      <c r="E64" s="2"/>
      <c r="F64" s="3"/>
      <c r="G64" s="28"/>
      <c r="H64" s="43" t="s">
        <v>39</v>
      </c>
      <c r="I64" s="14"/>
      <c r="J64" s="3"/>
      <c r="K64" s="27">
        <f t="shared" si="2"/>
        <v>0</v>
      </c>
      <c r="L64" s="43" t="s">
        <v>39</v>
      </c>
      <c r="M64" s="22"/>
      <c r="N64" s="3"/>
      <c r="O64" s="27">
        <f t="shared" si="3"/>
        <v>0</v>
      </c>
      <c r="P64" s="43" t="s">
        <v>39</v>
      </c>
    </row>
    <row r="65" spans="1:16" x14ac:dyDescent="0.25">
      <c r="B65" s="244" t="s">
        <v>70</v>
      </c>
      <c r="C65" s="244"/>
      <c r="D65" s="244"/>
      <c r="E65" s="2"/>
      <c r="F65" s="3"/>
      <c r="G65" s="28"/>
      <c r="H65" s="43" t="s">
        <v>38</v>
      </c>
      <c r="I65" s="14"/>
      <c r="J65" s="3"/>
      <c r="K65" s="27">
        <f t="shared" si="2"/>
        <v>0</v>
      </c>
      <c r="L65" s="43" t="s">
        <v>38</v>
      </c>
      <c r="M65" s="22"/>
      <c r="N65" s="3"/>
      <c r="O65" s="27">
        <f t="shared" si="3"/>
        <v>0</v>
      </c>
      <c r="P65" s="43" t="s">
        <v>38</v>
      </c>
    </row>
    <row r="67" spans="1:16" s="6" customFormat="1" ht="18.75" x14ac:dyDescent="0.3">
      <c r="A67" s="6" t="s">
        <v>12</v>
      </c>
      <c r="B67" s="245" t="s">
        <v>25</v>
      </c>
      <c r="C67" s="245"/>
      <c r="D67" s="245"/>
      <c r="M67" s="117"/>
    </row>
    <row r="68" spans="1:16" x14ac:dyDescent="0.25">
      <c r="C68" s="118" t="s">
        <v>13</v>
      </c>
      <c r="D68" s="31" t="s">
        <v>34</v>
      </c>
      <c r="E68" s="251"/>
      <c r="F68" s="251"/>
      <c r="G68" s="249" t="s">
        <v>18</v>
      </c>
      <c r="H68" s="249"/>
      <c r="I68" s="249"/>
      <c r="J68" s="250"/>
      <c r="K68" s="250"/>
      <c r="L68" s="39"/>
      <c r="M68" s="22" t="s">
        <v>19</v>
      </c>
      <c r="N68" s="250" t="s">
        <v>32</v>
      </c>
      <c r="O68" s="250"/>
    </row>
    <row r="69" spans="1:16" x14ac:dyDescent="0.25">
      <c r="C69" s="118" t="s">
        <v>14</v>
      </c>
      <c r="D69" s="31" t="s">
        <v>35</v>
      </c>
      <c r="E69" s="251"/>
      <c r="F69" s="251"/>
      <c r="G69" s="249" t="s">
        <v>18</v>
      </c>
      <c r="H69" s="249"/>
      <c r="I69" s="249"/>
      <c r="J69" s="257"/>
      <c r="K69" s="252"/>
      <c r="L69" s="120"/>
      <c r="M69" s="22" t="s">
        <v>19</v>
      </c>
      <c r="N69" s="252" t="s">
        <v>33</v>
      </c>
      <c r="O69" s="252"/>
    </row>
    <row r="70" spans="1:16" x14ac:dyDescent="0.25">
      <c r="K70" s="20"/>
      <c r="L70" s="20"/>
    </row>
    <row r="71" spans="1:16" s="7" customFormat="1" ht="18.75" x14ac:dyDescent="0.3">
      <c r="A71" s="7" t="s">
        <v>15</v>
      </c>
      <c r="B71" s="8" t="s">
        <v>16</v>
      </c>
      <c r="C71" s="8"/>
      <c r="D71" s="8"/>
      <c r="E71" s="6"/>
      <c r="F71" s="6"/>
      <c r="M71" s="24"/>
    </row>
    <row r="72" spans="1:16" s="7" customFormat="1" ht="18.75" x14ac:dyDescent="0.3">
      <c r="B72" s="6" t="s">
        <v>17</v>
      </c>
      <c r="D72" s="9"/>
      <c r="E72" s="9"/>
      <c r="F72" s="9"/>
      <c r="G72" s="9"/>
      <c r="H72" s="9"/>
      <c r="I72" s="9"/>
      <c r="J72" s="9"/>
      <c r="K72" s="9"/>
      <c r="L72" s="9"/>
      <c r="M72" s="25"/>
      <c r="N72" s="9"/>
      <c r="O72" s="9"/>
      <c r="P72" s="9"/>
    </row>
    <row r="73" spans="1:16" x14ac:dyDescent="0.25">
      <c r="D73" s="1"/>
      <c r="E73" s="1"/>
      <c r="F73" s="1"/>
      <c r="G73" s="1"/>
      <c r="H73" s="1"/>
      <c r="I73" s="1"/>
      <c r="J73" s="1"/>
      <c r="K73" s="1"/>
      <c r="L73" s="1"/>
      <c r="M73" s="15"/>
      <c r="N73" s="1"/>
      <c r="O73" s="1"/>
      <c r="P73" s="1"/>
    </row>
    <row r="74" spans="1:16" x14ac:dyDescent="0.25">
      <c r="D74" s="32"/>
      <c r="E74" s="32"/>
      <c r="F74" s="32"/>
      <c r="G74" s="32"/>
      <c r="H74" s="32"/>
      <c r="I74" s="32"/>
      <c r="J74" s="32"/>
      <c r="K74" s="32"/>
      <c r="L74" s="32"/>
      <c r="M74" s="109"/>
      <c r="N74" s="32"/>
      <c r="O74" s="32"/>
      <c r="P74" s="32"/>
    </row>
    <row r="75" spans="1:16" x14ac:dyDescent="0.25">
      <c r="D75" s="32"/>
      <c r="E75" s="32"/>
      <c r="F75" s="32"/>
      <c r="G75" s="32"/>
      <c r="H75" s="32"/>
      <c r="I75" s="32"/>
      <c r="J75" s="32"/>
      <c r="K75" s="32"/>
      <c r="L75" s="32"/>
      <c r="M75" s="109"/>
      <c r="N75" s="32"/>
      <c r="O75" s="32"/>
      <c r="P75" s="32"/>
    </row>
    <row r="76" spans="1:16" x14ac:dyDescent="0.25">
      <c r="D76" s="32"/>
      <c r="E76" s="32"/>
      <c r="F76" s="32"/>
      <c r="G76" s="32"/>
      <c r="H76" s="32"/>
      <c r="I76" s="32"/>
      <c r="J76" s="32"/>
      <c r="K76" s="32"/>
      <c r="L76" s="32"/>
      <c r="M76" s="109"/>
      <c r="N76" s="32"/>
      <c r="O76" s="32"/>
      <c r="P76" s="32"/>
    </row>
    <row r="77" spans="1:16" x14ac:dyDescent="0.25">
      <c r="A77" s="251" t="s">
        <v>44</v>
      </c>
      <c r="B77" s="251"/>
      <c r="C77" s="251"/>
      <c r="D77" s="251"/>
      <c r="F77" s="1"/>
      <c r="G77" s="1"/>
      <c r="H77" s="1"/>
      <c r="I77" s="1"/>
      <c r="J77" s="1" t="s">
        <v>31</v>
      </c>
      <c r="M77" s="45" t="s">
        <v>42</v>
      </c>
      <c r="N77" s="45"/>
      <c r="O77" s="45"/>
      <c r="P77" s="45"/>
    </row>
    <row r="78" spans="1:16" s="4" customFormat="1" ht="15.75" x14ac:dyDescent="0.25">
      <c r="A78" s="263" t="s">
        <v>20</v>
      </c>
      <c r="B78" s="263"/>
      <c r="C78" s="263"/>
      <c r="D78" s="263"/>
      <c r="F78" s="263" t="s">
        <v>21</v>
      </c>
      <c r="G78" s="263"/>
      <c r="H78" s="263"/>
      <c r="I78" s="263"/>
      <c r="J78" s="263"/>
      <c r="M78" s="110" t="s">
        <v>43</v>
      </c>
      <c r="N78" s="38"/>
      <c r="O78" s="38"/>
      <c r="P78" s="38"/>
    </row>
    <row r="79" spans="1:16" x14ac:dyDescent="0.25">
      <c r="A79" s="264" t="s">
        <v>45</v>
      </c>
      <c r="B79" s="264"/>
      <c r="C79" s="264"/>
      <c r="D79" s="264"/>
    </row>
    <row r="81" spans="1:1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5"/>
      <c r="N81" s="1"/>
      <c r="O81" s="1"/>
      <c r="P81" s="1"/>
    </row>
  </sheetData>
  <mergeCells count="81">
    <mergeCell ref="A77:D77"/>
    <mergeCell ref="A78:D78"/>
    <mergeCell ref="F78:J78"/>
    <mergeCell ref="A79:D79"/>
    <mergeCell ref="B67:D67"/>
    <mergeCell ref="E68:F68"/>
    <mergeCell ref="G68:I68"/>
    <mergeCell ref="J68:K68"/>
    <mergeCell ref="N68:O68"/>
    <mergeCell ref="E69:F69"/>
    <mergeCell ref="G69:I69"/>
    <mergeCell ref="J69:K69"/>
    <mergeCell ref="N69:O69"/>
    <mergeCell ref="B65:D65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53:D53"/>
    <mergeCell ref="A44:O44"/>
    <mergeCell ref="A46:O46"/>
    <mergeCell ref="N48:O48"/>
    <mergeCell ref="B49:D49"/>
    <mergeCell ref="F49:H49"/>
    <mergeCell ref="J49:L49"/>
    <mergeCell ref="N49:P49"/>
    <mergeCell ref="G50:H50"/>
    <mergeCell ref="K50:L50"/>
    <mergeCell ref="O50:P50"/>
    <mergeCell ref="B51:D51"/>
    <mergeCell ref="B52:D52"/>
    <mergeCell ref="A43:O43"/>
    <mergeCell ref="J28:K28"/>
    <mergeCell ref="N28:O28"/>
    <mergeCell ref="E29:F29"/>
    <mergeCell ref="G29:I29"/>
    <mergeCell ref="J29:K29"/>
    <mergeCell ref="N29:O29"/>
    <mergeCell ref="G28:I28"/>
    <mergeCell ref="A36:D36"/>
    <mergeCell ref="A37:D37"/>
    <mergeCell ref="F37:J37"/>
    <mergeCell ref="A38:D38"/>
    <mergeCell ref="A42:O42"/>
    <mergeCell ref="B23:D23"/>
    <mergeCell ref="B24:D24"/>
    <mergeCell ref="B25:D25"/>
    <mergeCell ref="B27:D27"/>
    <mergeCell ref="E28:F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9:D9"/>
    <mergeCell ref="F9:H9"/>
    <mergeCell ref="J9:L9"/>
    <mergeCell ref="N9:P9"/>
    <mergeCell ref="G10:H10"/>
    <mergeCell ref="K10:L10"/>
    <mergeCell ref="O10:P10"/>
    <mergeCell ref="N7:P7"/>
    <mergeCell ref="A1:O1"/>
    <mergeCell ref="A2:O2"/>
    <mergeCell ref="A3:O3"/>
    <mergeCell ref="A5:O5"/>
    <mergeCell ref="N6:O6"/>
  </mergeCells>
  <pageMargins left="0.7" right="0.7" top="0.4" bottom="0.75" header="0.3" footer="0.3"/>
  <pageSetup paperSize="5" scale="7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4:D26"/>
  <sheetViews>
    <sheetView workbookViewId="0">
      <selection activeCell="C9" sqref="C9"/>
    </sheetView>
  </sheetViews>
  <sheetFormatPr defaultRowHeight="15" x14ac:dyDescent="0.25"/>
  <cols>
    <col min="2" max="2" width="28.85546875" customWidth="1"/>
    <col min="3" max="3" width="19.42578125" customWidth="1"/>
  </cols>
  <sheetData>
    <row r="4" spans="2:4" ht="12.75" customHeight="1" x14ac:dyDescent="0.25">
      <c r="B4" s="265" t="s">
        <v>7</v>
      </c>
      <c r="C4" s="265"/>
      <c r="D4" s="265"/>
    </row>
    <row r="5" spans="2:4" ht="18.75" x14ac:dyDescent="0.3">
      <c r="B5" s="150"/>
      <c r="C5" s="154" t="s">
        <v>72</v>
      </c>
      <c r="D5" s="150"/>
    </row>
    <row r="6" spans="2:4" x14ac:dyDescent="0.25">
      <c r="B6" s="57" t="s">
        <v>46</v>
      </c>
      <c r="C6" s="152">
        <f>'EXPEDITION CONSOLIDATION'!G12</f>
        <v>0</v>
      </c>
      <c r="D6" s="57"/>
    </row>
    <row r="7" spans="2:4" x14ac:dyDescent="0.25">
      <c r="B7" s="57" t="s">
        <v>47</v>
      </c>
      <c r="C7" s="152">
        <f>'EXPEDITION CONSOLIDATION'!G13</f>
        <v>0</v>
      </c>
      <c r="D7" s="57"/>
    </row>
    <row r="8" spans="2:4" x14ac:dyDescent="0.25">
      <c r="B8" s="57" t="s">
        <v>48</v>
      </c>
      <c r="C8" s="152">
        <f>'EXPEDITION CONSOLIDATION'!G14</f>
        <v>9351</v>
      </c>
      <c r="D8" s="57"/>
    </row>
    <row r="9" spans="2:4" x14ac:dyDescent="0.25">
      <c r="B9" s="151" t="s">
        <v>77</v>
      </c>
      <c r="C9" s="153">
        <f>'MT.ROCK CONSOLIDATION'!G12</f>
        <v>0</v>
      </c>
      <c r="D9" s="151"/>
    </row>
    <row r="10" spans="2:4" x14ac:dyDescent="0.25">
      <c r="B10" s="166" t="s">
        <v>61</v>
      </c>
      <c r="C10" s="153">
        <f>'MT.ROCK CONSOLIDATION'!G13</f>
        <v>11066</v>
      </c>
      <c r="D10" s="151"/>
    </row>
    <row r="11" spans="2:4" x14ac:dyDescent="0.25">
      <c r="B11" s="57" t="s">
        <v>49</v>
      </c>
      <c r="C11" s="152">
        <f>'EXPEDITION CONSOLIDATION'!F15+'MT.ROCK CONSOLIDATION'!F14</f>
        <v>7769.8</v>
      </c>
      <c r="D11" s="57"/>
    </row>
    <row r="12" spans="2:4" x14ac:dyDescent="0.25">
      <c r="B12" s="57" t="s">
        <v>50</v>
      </c>
      <c r="C12" s="152">
        <f>'EXPEDITION CONSOLIDATION'!G16+'MT.ROCK CONSOLIDATION'!G15</f>
        <v>1264</v>
      </c>
      <c r="D12" s="57"/>
    </row>
    <row r="13" spans="2:4" x14ac:dyDescent="0.25">
      <c r="B13" s="57" t="s">
        <v>51</v>
      </c>
      <c r="C13" s="152">
        <f>'EXPEDITION CONSOLIDATION'!G17+'MT.ROCK CONSOLIDATION'!G16</f>
        <v>3071.5200000000004</v>
      </c>
      <c r="D13" s="57">
        <f>C12*2.43</f>
        <v>3071.52</v>
      </c>
    </row>
    <row r="14" spans="2:4" x14ac:dyDescent="0.25">
      <c r="B14" s="57" t="s">
        <v>52</v>
      </c>
      <c r="C14" s="152">
        <f>'EXPEDITION CONSOLIDATION'!G18</f>
        <v>580</v>
      </c>
      <c r="D14" s="57"/>
    </row>
    <row r="15" spans="2:4" x14ac:dyDescent="0.25">
      <c r="B15" s="57" t="s">
        <v>53</v>
      </c>
      <c r="C15" s="152">
        <f>'EXPEDITION CONSOLIDATION'!G19</f>
        <v>10535</v>
      </c>
      <c r="D15" s="151"/>
    </row>
    <row r="16" spans="2:4" x14ac:dyDescent="0.25">
      <c r="B16" s="57" t="s">
        <v>63</v>
      </c>
      <c r="C16" s="153">
        <f>'MT.ROCK CONSOLIDATION'!G18</f>
        <v>0</v>
      </c>
      <c r="D16" s="151"/>
    </row>
    <row r="17" spans="2:4" x14ac:dyDescent="0.25">
      <c r="B17" s="57" t="s">
        <v>64</v>
      </c>
      <c r="C17" s="153">
        <f>'MT.ROCK CONSOLIDATION'!G19</f>
        <v>0</v>
      </c>
      <c r="D17" s="151"/>
    </row>
    <row r="18" spans="2:4" x14ac:dyDescent="0.25">
      <c r="B18" s="57" t="s">
        <v>65</v>
      </c>
      <c r="C18" s="153">
        <f>'MT.ROCK CONSOLIDATION'!G20</f>
        <v>0</v>
      </c>
      <c r="D18" s="151"/>
    </row>
    <row r="19" spans="2:4" x14ac:dyDescent="0.25">
      <c r="B19" s="57" t="s">
        <v>66</v>
      </c>
      <c r="C19" s="153">
        <f>'MT.ROCK CONSOLIDATION'!G21</f>
        <v>0</v>
      </c>
      <c r="D19" s="151"/>
    </row>
    <row r="20" spans="2:4" x14ac:dyDescent="0.25">
      <c r="B20" s="57" t="s">
        <v>54</v>
      </c>
      <c r="C20" s="152">
        <f>'EXPEDITION CONSOLIDATION'!G21</f>
        <v>2350</v>
      </c>
      <c r="D20" s="57"/>
    </row>
    <row r="21" spans="2:4" x14ac:dyDescent="0.25">
      <c r="B21" s="57" t="s">
        <v>55</v>
      </c>
      <c r="C21" s="153">
        <f>'MT.ROCK CONSOLIDATION'!G22</f>
        <v>0</v>
      </c>
      <c r="D21" s="57"/>
    </row>
    <row r="22" spans="2:4" x14ac:dyDescent="0.25">
      <c r="B22" s="151" t="s">
        <v>56</v>
      </c>
      <c r="C22" s="153">
        <f>'MT.ROCK CONSOLIDATION'!G23</f>
        <v>2928</v>
      </c>
      <c r="D22" s="151"/>
    </row>
    <row r="23" spans="2:4" x14ac:dyDescent="0.25">
      <c r="B23" s="57" t="s">
        <v>57</v>
      </c>
      <c r="C23" s="153">
        <f>'MT.ROCK CONSOLIDATION'!G24</f>
        <v>0</v>
      </c>
      <c r="D23" s="57"/>
    </row>
    <row r="24" spans="2:4" x14ac:dyDescent="0.25">
      <c r="B24" s="57" t="s">
        <v>58</v>
      </c>
      <c r="C24" s="152">
        <f>'EXPEDITION CONSOLIDATION'!G26+'MT.ROCK CONSOLIDATION'!G25</f>
        <v>2</v>
      </c>
      <c r="D24" s="57"/>
    </row>
    <row r="25" spans="2:4" x14ac:dyDescent="0.25">
      <c r="B25" s="151" t="s">
        <v>59</v>
      </c>
      <c r="C25" s="153">
        <f>'MT.ROCK CONSOLIDATION'!G26</f>
        <v>0</v>
      </c>
      <c r="D25" s="151"/>
    </row>
    <row r="26" spans="2:4" x14ac:dyDescent="0.25">
      <c r="B26" s="57" t="s">
        <v>60</v>
      </c>
      <c r="C26" s="153">
        <f>'MT.ROCK CONSOLIDATION'!G27</f>
        <v>0</v>
      </c>
      <c r="D26" s="57"/>
    </row>
  </sheetData>
  <mergeCells count="1">
    <mergeCell ref="B4:D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3:D30"/>
  <sheetViews>
    <sheetView topLeftCell="A13" workbookViewId="0">
      <selection activeCell="A29" sqref="A29:D29"/>
    </sheetView>
  </sheetViews>
  <sheetFormatPr defaultRowHeight="15" x14ac:dyDescent="0.25"/>
  <cols>
    <col min="1" max="1" width="10.7109375" customWidth="1"/>
  </cols>
  <sheetData>
    <row r="3" spans="1:4" x14ac:dyDescent="0.25">
      <c r="A3" s="253" t="s">
        <v>98</v>
      </c>
      <c r="B3" s="253"/>
      <c r="C3" s="253"/>
      <c r="D3" s="253"/>
    </row>
    <row r="4" spans="1:4" x14ac:dyDescent="0.25">
      <c r="A4" s="255" t="s">
        <v>20</v>
      </c>
      <c r="B4" s="255"/>
      <c r="C4" s="255"/>
      <c r="D4" s="255"/>
    </row>
    <row r="5" spans="1:4" x14ac:dyDescent="0.25">
      <c r="A5" s="254" t="s">
        <v>99</v>
      </c>
      <c r="B5" s="254"/>
      <c r="C5" s="254"/>
      <c r="D5" s="254"/>
    </row>
    <row r="8" spans="1:4" x14ac:dyDescent="0.25">
      <c r="A8" s="253" t="s">
        <v>103</v>
      </c>
      <c r="B8" s="253"/>
      <c r="C8" s="253"/>
      <c r="D8" s="253"/>
    </row>
    <row r="9" spans="1:4" x14ac:dyDescent="0.25">
      <c r="A9" s="255" t="s">
        <v>20</v>
      </c>
      <c r="B9" s="255"/>
      <c r="C9" s="255"/>
      <c r="D9" s="255"/>
    </row>
    <row r="10" spans="1:4" x14ac:dyDescent="0.25">
      <c r="A10" s="254" t="s">
        <v>104</v>
      </c>
      <c r="B10" s="254"/>
      <c r="C10" s="254"/>
      <c r="D10" s="254"/>
    </row>
    <row r="13" spans="1:4" x14ac:dyDescent="0.25">
      <c r="A13" s="253" t="s">
        <v>105</v>
      </c>
      <c r="B13" s="253"/>
      <c r="C13" s="253"/>
      <c r="D13" s="253"/>
    </row>
    <row r="14" spans="1:4" x14ac:dyDescent="0.25">
      <c r="A14" s="255" t="s">
        <v>20</v>
      </c>
      <c r="B14" s="255"/>
      <c r="C14" s="255"/>
      <c r="D14" s="255"/>
    </row>
    <row r="15" spans="1:4" x14ac:dyDescent="0.25">
      <c r="A15" s="254" t="s">
        <v>106</v>
      </c>
      <c r="B15" s="254"/>
      <c r="C15" s="254"/>
      <c r="D15" s="254"/>
    </row>
    <row r="19" spans="1:4" x14ac:dyDescent="0.25">
      <c r="A19" s="253" t="s">
        <v>107</v>
      </c>
      <c r="B19" s="253"/>
      <c r="C19" s="253"/>
      <c r="D19" s="253"/>
    </row>
    <row r="20" spans="1:4" x14ac:dyDescent="0.25">
      <c r="A20" s="172" t="s">
        <v>108</v>
      </c>
      <c r="B20" s="172"/>
      <c r="C20" s="172"/>
      <c r="D20" s="172"/>
    </row>
    <row r="23" spans="1:4" x14ac:dyDescent="0.25">
      <c r="A23" s="253" t="s">
        <v>109</v>
      </c>
      <c r="B23" s="253"/>
      <c r="C23" s="253"/>
      <c r="D23" s="253"/>
    </row>
    <row r="24" spans="1:4" x14ac:dyDescent="0.25">
      <c r="A24" s="255" t="s">
        <v>20</v>
      </c>
      <c r="B24" s="255"/>
      <c r="C24" s="255"/>
      <c r="D24" s="255"/>
    </row>
    <row r="25" spans="1:4" x14ac:dyDescent="0.25">
      <c r="A25" s="254" t="s">
        <v>110</v>
      </c>
      <c r="B25" s="254"/>
      <c r="C25" s="254"/>
      <c r="D25" s="254"/>
    </row>
    <row r="28" spans="1:4" x14ac:dyDescent="0.25">
      <c r="A28" s="253" t="s">
        <v>111</v>
      </c>
      <c r="B28" s="253"/>
      <c r="C28" s="253"/>
      <c r="D28" s="253"/>
    </row>
    <row r="29" spans="1:4" x14ac:dyDescent="0.25">
      <c r="A29" s="255" t="s">
        <v>20</v>
      </c>
      <c r="B29" s="255"/>
      <c r="C29" s="255"/>
      <c r="D29" s="255"/>
    </row>
    <row r="30" spans="1:4" x14ac:dyDescent="0.25">
      <c r="A30" s="254" t="s">
        <v>112</v>
      </c>
      <c r="B30" s="254"/>
      <c r="C30" s="254"/>
      <c r="D30" s="254"/>
    </row>
  </sheetData>
  <mergeCells count="16">
    <mergeCell ref="A3:D3"/>
    <mergeCell ref="A4:D4"/>
    <mergeCell ref="A5:D5"/>
    <mergeCell ref="A8:D8"/>
    <mergeCell ref="A9:D9"/>
    <mergeCell ref="A10:D10"/>
    <mergeCell ref="A13:D13"/>
    <mergeCell ref="A14:D14"/>
    <mergeCell ref="A15:D15"/>
    <mergeCell ref="A19:D19"/>
    <mergeCell ref="A30:D30"/>
    <mergeCell ref="A23:D23"/>
    <mergeCell ref="A24:D24"/>
    <mergeCell ref="A25:D25"/>
    <mergeCell ref="A28:D28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6</vt:i4>
      </vt:variant>
    </vt:vector>
  </HeadingPairs>
  <TitlesOfParts>
    <vt:vector size="28" baseType="lpstr">
      <vt:lpstr>EXPEDITION CONSOLIDATION</vt:lpstr>
      <vt:lpstr>1-2</vt:lpstr>
      <vt:lpstr>3-4</vt:lpstr>
      <vt:lpstr>5-6</vt:lpstr>
      <vt:lpstr>7.</vt:lpstr>
      <vt:lpstr>4</vt:lpstr>
      <vt:lpstr>MT.ROCK CONSOLIDATION</vt:lpstr>
      <vt:lpstr>8</vt:lpstr>
      <vt:lpstr>9</vt:lpstr>
      <vt:lpstr>10</vt:lpstr>
      <vt:lpstr>1-2.</vt:lpstr>
      <vt:lpstr>3-4.</vt:lpstr>
      <vt:lpstr>5-6.</vt:lpstr>
      <vt:lpstr>7</vt:lpstr>
      <vt:lpstr>12</vt:lpstr>
      <vt:lpstr>13</vt:lpstr>
      <vt:lpstr>14</vt:lpstr>
      <vt:lpstr>4.</vt:lpstr>
      <vt:lpstr>DAILY TOTAL</vt:lpstr>
      <vt:lpstr>MT. ROCK</vt:lpstr>
      <vt:lpstr>CHECKING</vt:lpstr>
      <vt:lpstr>SIGNATORIES</vt:lpstr>
      <vt:lpstr>'3-4'!Print_Area</vt:lpstr>
      <vt:lpstr>'3-4.'!Print_Area</vt:lpstr>
      <vt:lpstr>'5-6'!Print_Area</vt:lpstr>
      <vt:lpstr>'5-6.'!Print_Area</vt:lpstr>
      <vt:lpstr>'EXPEDITION CONSOLIDATION'!Print_Area</vt:lpstr>
      <vt:lpstr>'MT.ROCK CONSOLIDATION'!Print_Area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Explosives</dc:creator>
  <cp:lastModifiedBy>Franklin Donald P. Arguelles</cp:lastModifiedBy>
  <cp:lastPrinted>2024-11-25T07:48:01Z</cp:lastPrinted>
  <dcterms:created xsi:type="dcterms:W3CDTF">2013-03-18T07:44:22Z</dcterms:created>
  <dcterms:modified xsi:type="dcterms:W3CDTF">2026-06-08T07:02:20Z</dcterms:modified>
</cp:coreProperties>
</file>