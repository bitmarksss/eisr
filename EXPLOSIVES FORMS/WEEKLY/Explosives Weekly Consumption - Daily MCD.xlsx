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07.MINE EXPLOSIVES REPORTS\08.WEEKLY REPORT\2026\"/>
    </mc:Choice>
  </mc:AlternateContent>
  <bookViews>
    <workbookView xWindow="0" yWindow="0" windowWidth="28800" windowHeight="10815" firstSheet="122" activeTab="126"/>
  </bookViews>
  <sheets>
    <sheet name="12-31,2023-01-06,2024" sheetId="1" r:id="rId1"/>
    <sheet name="1-7-13,2024" sheetId="2" r:id="rId2"/>
    <sheet name="1-14-20,2024" sheetId="5" r:id="rId3"/>
    <sheet name="1-21-27,2024" sheetId="7" r:id="rId4"/>
    <sheet name="1-28-FEB.3,2024" sheetId="8" r:id="rId5"/>
    <sheet name="2-4-10,2024" sheetId="9" r:id="rId6"/>
    <sheet name="2-11-17,2024" sheetId="10" r:id="rId7"/>
    <sheet name="2-18-24,2024" sheetId="11" r:id="rId8"/>
    <sheet name="2- 25-MAR. 2,2024" sheetId="12" r:id="rId9"/>
    <sheet name="3-2-9,2024" sheetId="14" r:id="rId10"/>
    <sheet name="3-10-16,2024" sheetId="15" r:id="rId11"/>
    <sheet name="3-17-23,2024" sheetId="16" r:id="rId12"/>
    <sheet name="3-24-30-2024" sheetId="17" r:id="rId13"/>
    <sheet name="3-31, APRIL 1-6, 2024" sheetId="19" r:id="rId14"/>
    <sheet name="4-7-13,2024" sheetId="20" r:id="rId15"/>
    <sheet name="4-14-20,202" sheetId="21" r:id="rId16"/>
    <sheet name="4-21-27, 24" sheetId="22" r:id="rId17"/>
    <sheet name="4-28-MAY 4, 2024" sheetId="23" r:id="rId18"/>
    <sheet name="5-5-11-2024" sheetId="24" r:id="rId19"/>
    <sheet name="5-12-18-2024" sheetId="25" r:id="rId20"/>
    <sheet name="5-19-25-24" sheetId="26" r:id="rId21"/>
    <sheet name="5-26-JUNE 1, 2024" sheetId="27" r:id="rId22"/>
    <sheet name="6-2-8, 2024" sheetId="28" r:id="rId23"/>
    <sheet name="6-9-15-24" sheetId="29" r:id="rId24"/>
    <sheet name="6-16-22,2024" sheetId="30" r:id="rId25"/>
    <sheet name="6-23-29,2024" sheetId="31" r:id="rId26"/>
    <sheet name="6-30-7-6,2024" sheetId="32" r:id="rId27"/>
    <sheet name="7-7-13,2024" sheetId="33" r:id="rId28"/>
    <sheet name="7-14-20, 2024" sheetId="34" r:id="rId29"/>
    <sheet name="7-21-27,2024" sheetId="35" r:id="rId30"/>
    <sheet name="7-28-8-3, 2024" sheetId="36" r:id="rId31"/>
    <sheet name="8-4-10,2024" sheetId="38" r:id="rId32"/>
    <sheet name="8-11-17, 2024" sheetId="39" r:id="rId33"/>
    <sheet name="8-18-24, 2024" sheetId="40" r:id="rId34"/>
    <sheet name="8-25-31,2024" sheetId="41" r:id="rId35"/>
    <sheet name="9-1-7,2024" sheetId="42" r:id="rId36"/>
    <sheet name="9-8-14, 2024" sheetId="43" r:id="rId37"/>
    <sheet name="9-15-21, 2024" sheetId="44" r:id="rId38"/>
    <sheet name="9-22-28, 2024" sheetId="45" r:id="rId39"/>
    <sheet name="9-29-10-5,2024" sheetId="46" r:id="rId40"/>
    <sheet name="10-6-12, 2024" sheetId="47" r:id="rId41"/>
    <sheet name="10-13-19,2024" sheetId="48" r:id="rId42"/>
    <sheet name="10-20-26, 2024" sheetId="49" r:id="rId43"/>
    <sheet name="10-27-11-2, 2024" sheetId="50" r:id="rId44"/>
    <sheet name="11-3-9, 2024" sheetId="51" r:id="rId45"/>
    <sheet name="11-10-17, 2024" sheetId="52" r:id="rId46"/>
    <sheet name="11-18-24, 2024" sheetId="53" r:id="rId47"/>
    <sheet name="11-24-30, 2024" sheetId="54" r:id="rId48"/>
    <sheet name="12-1-7, 2024" sheetId="55" r:id="rId49"/>
    <sheet name="12-8-14, 2024" sheetId="56" r:id="rId50"/>
    <sheet name="12-15-22, 2024" sheetId="57" r:id="rId51"/>
    <sheet name="12-22-28, 2024" sheetId="58" r:id="rId52"/>
    <sheet name="12-29-1-4, 2025" sheetId="59" r:id="rId53"/>
    <sheet name="1-5-11,2025" sheetId="60" r:id="rId54"/>
    <sheet name="1-12-18, 2025" sheetId="61" r:id="rId55"/>
    <sheet name="1-19-25, 2025" sheetId="62" r:id="rId56"/>
    <sheet name="1-26-FEB-1,2025" sheetId="63" r:id="rId57"/>
    <sheet name="2-2-8, 2025" sheetId="64" r:id="rId58"/>
    <sheet name="2-9-15, 2025" sheetId="65" r:id="rId59"/>
    <sheet name="2-16-22, 2025" sheetId="66" r:id="rId60"/>
    <sheet name="2-23-03-1, 2025" sheetId="67" r:id="rId61"/>
    <sheet name="3-2-8, 2025" sheetId="68" r:id="rId62"/>
    <sheet name="3-9-16, 2025" sheetId="69" r:id="rId63"/>
    <sheet name="3-17-22, 2025" sheetId="70" r:id="rId64"/>
    <sheet name="3-23-29, 2025" sheetId="71" r:id="rId65"/>
    <sheet name="3-30-4-5,2025" sheetId="72" r:id="rId66"/>
    <sheet name="4-6-12, 2025" sheetId="73" r:id="rId67"/>
    <sheet name="4-13-19, 2025" sheetId="74" r:id="rId68"/>
    <sheet name="4-20-26, 2025" sheetId="75" r:id="rId69"/>
    <sheet name="4-27-MAY 3, 2025" sheetId="76" r:id="rId70"/>
    <sheet name="5-4-10, 2025" sheetId="77" r:id="rId71"/>
    <sheet name="5-11-17, 2025" sheetId="78" r:id="rId72"/>
    <sheet name="5-18-24, 2025" sheetId="79" r:id="rId73"/>
    <sheet name="5-25-31, 2025" sheetId="80" r:id="rId74"/>
    <sheet name="6-1-7, 2025" sheetId="81" r:id="rId75"/>
    <sheet name="6-8-14, 2025" sheetId="82" r:id="rId76"/>
    <sheet name="6-15-21, 2025" sheetId="83" r:id="rId77"/>
    <sheet name="6-22-28,2025" sheetId="84" r:id="rId78"/>
    <sheet name="6-29-7-5, 2025" sheetId="85" r:id="rId79"/>
    <sheet name="7-6-12, 2025" sheetId="86" r:id="rId80"/>
    <sheet name="7-13-19, 2025" sheetId="87" r:id="rId81"/>
    <sheet name="7-20-26, 2025" sheetId="88" r:id="rId82"/>
    <sheet name="7-27-8-2, 2025" sheetId="89" r:id="rId83"/>
    <sheet name="8-3-9, 2025" sheetId="90" r:id="rId84"/>
    <sheet name="8-10-16, 2025" sheetId="91" r:id="rId85"/>
    <sheet name="8-17-23,2025" sheetId="92" r:id="rId86"/>
    <sheet name="8-24-30, 2025" sheetId="93" r:id="rId87"/>
    <sheet name="8-31-9-6, 2025" sheetId="94" r:id="rId88"/>
    <sheet name="9-7-13, 2025" sheetId="95" r:id="rId89"/>
    <sheet name="9-14-20, 2025" sheetId="96" r:id="rId90"/>
    <sheet name="9-21-27, 2025" sheetId="97" r:id="rId91"/>
    <sheet name="9-28-10-4, 2025" sheetId="98" r:id="rId92"/>
    <sheet name="10-5-11, 2025" sheetId="99" r:id="rId93"/>
    <sheet name="10-12-18, 2025" sheetId="100" r:id="rId94"/>
    <sheet name="10-19-25, 2025" sheetId="101" r:id="rId95"/>
    <sheet name="10-26-11-1, 2025" sheetId="102" r:id="rId96"/>
    <sheet name="11-2-8, 2025" sheetId="103" r:id="rId97"/>
    <sheet name="11-9-15, 2025" sheetId="104" r:id="rId98"/>
    <sheet name="11-16-22, 2025" sheetId="105" r:id="rId99"/>
    <sheet name="11-23-29, 2025" sheetId="106" r:id="rId100"/>
    <sheet name="11-30-12-6, 2025" sheetId="107" r:id="rId101"/>
    <sheet name="12-7-13, 2025" sheetId="108" r:id="rId102"/>
    <sheet name="12-14-20,2025" sheetId="109" r:id="rId103"/>
    <sheet name="12-21-27, 2025" sheetId="110" r:id="rId104"/>
    <sheet name="12-28-1-3, 2026" sheetId="111" r:id="rId105"/>
    <sheet name="1-4-10, 2026" sheetId="112" r:id="rId106"/>
    <sheet name="1-11-17, 2026" sheetId="113" r:id="rId107"/>
    <sheet name="1-18-24, 2026" sheetId="114" r:id="rId108"/>
    <sheet name="1-25-31, 2026" sheetId="115" r:id="rId109"/>
    <sheet name="2-1-7, 2026" sheetId="116" r:id="rId110"/>
    <sheet name="2-8-14, 2026" sheetId="117" r:id="rId111"/>
    <sheet name="2-15-21, 2026" sheetId="118" r:id="rId112"/>
    <sheet name="2-22-28, 2026" sheetId="119" r:id="rId113"/>
    <sheet name="3-1-7, 2026" sheetId="120" r:id="rId114"/>
    <sheet name="3-8-14, 2026 " sheetId="121" r:id="rId115"/>
    <sheet name="3-15-21,2026" sheetId="122" r:id="rId116"/>
    <sheet name="3-22-28, 2026" sheetId="123" r:id="rId117"/>
    <sheet name="3-29-4-4, 2026" sheetId="124" r:id="rId118"/>
    <sheet name="4-5-11, 2026" sheetId="125" r:id="rId119"/>
    <sheet name="4-12-18, 2026" sheetId="126" r:id="rId120"/>
    <sheet name="4-19-25, 2026" sheetId="127" r:id="rId121"/>
    <sheet name="4-26-5-1-2, 2026" sheetId="128" r:id="rId122"/>
    <sheet name="5-3-9, 2026" sheetId="129" r:id="rId123"/>
    <sheet name="5-10-16, 2026" sheetId="130" r:id="rId124"/>
    <sheet name="5-17-23, 2026" sheetId="131" r:id="rId125"/>
    <sheet name="5-24-30, 2026" sheetId="132" r:id="rId126"/>
    <sheet name="5-31-6-6, 2026" sheetId="133" r:id="rId127"/>
    <sheet name="6-7-13, 2026" sheetId="134" r:id="rId128"/>
    <sheet name="WEEKLY rcsu" sheetId="6" r:id="rId129"/>
    <sheet name="16-30" sheetId="4" r:id="rId130"/>
    <sheet name="1-15" sheetId="18" r:id="rId131"/>
    <sheet name="MAY 1-31" sheetId="37" r:id="rId132"/>
  </sheets>
  <definedNames>
    <definedName name="_xlnm.Print_Area" localSheetId="131">'MAY 1-31'!$A$1:$AH$53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6" l="1"/>
  <c r="AC17" i="6"/>
  <c r="AC18" i="6"/>
  <c r="AC19" i="6"/>
  <c r="AC20" i="6"/>
  <c r="AC21" i="6"/>
  <c r="AC15" i="6"/>
  <c r="AG22" i="134" l="1"/>
  <c r="AF22" i="134"/>
  <c r="AD22" i="134"/>
  <c r="AC22" i="134"/>
  <c r="AB22" i="134"/>
  <c r="AA22" i="134"/>
  <c r="Z22" i="134"/>
  <c r="Y22" i="134"/>
  <c r="X22" i="134"/>
  <c r="W22" i="134"/>
  <c r="V22" i="134"/>
  <c r="U22" i="134"/>
  <c r="T22" i="134"/>
  <c r="S22" i="134"/>
  <c r="R22" i="134"/>
  <c r="Q22" i="134"/>
  <c r="P22" i="134"/>
  <c r="N22" i="134"/>
  <c r="M22" i="134"/>
  <c r="L22" i="134"/>
  <c r="K22" i="134"/>
  <c r="J22" i="134"/>
  <c r="H22" i="134"/>
  <c r="F22" i="134"/>
  <c r="D22" i="134"/>
  <c r="B22" i="134"/>
  <c r="AE21" i="134"/>
  <c r="G21" i="134"/>
  <c r="E21" i="134"/>
  <c r="C21" i="134"/>
  <c r="AE20" i="134"/>
  <c r="G20" i="134"/>
  <c r="E20" i="134"/>
  <c r="C20" i="134"/>
  <c r="AE19" i="134"/>
  <c r="O19" i="134"/>
  <c r="I19" i="134"/>
  <c r="G19" i="134"/>
  <c r="E19" i="134"/>
  <c r="C19" i="134"/>
  <c r="AE18" i="134"/>
  <c r="O18" i="134"/>
  <c r="I18" i="134"/>
  <c r="G18" i="134"/>
  <c r="E18" i="134"/>
  <c r="C18" i="134"/>
  <c r="AE17" i="134"/>
  <c r="O17" i="134"/>
  <c r="O22" i="134" s="1"/>
  <c r="I17" i="134"/>
  <c r="G17" i="134"/>
  <c r="E17" i="134"/>
  <c r="E22" i="134" s="1"/>
  <c r="C17" i="134"/>
  <c r="C22" i="134" s="1"/>
  <c r="AE16" i="134"/>
  <c r="O16" i="134"/>
  <c r="I16" i="134"/>
  <c r="I22" i="134" s="1"/>
  <c r="G16" i="134"/>
  <c r="E16" i="134"/>
  <c r="C16" i="134"/>
  <c r="AE15" i="134"/>
  <c r="AE22" i="134" s="1"/>
  <c r="G15" i="134"/>
  <c r="G22" i="134" s="1"/>
  <c r="E15" i="134"/>
  <c r="C15" i="134"/>
  <c r="G31" i="37" l="1"/>
  <c r="G32" i="37"/>
  <c r="G33" i="37"/>
  <c r="G34" i="37"/>
  <c r="G35" i="37"/>
  <c r="G36" i="37"/>
  <c r="G37" i="37"/>
  <c r="AE45" i="37"/>
  <c r="AE44" i="37"/>
  <c r="AE17" i="37"/>
  <c r="AE18" i="37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AE42" i="37"/>
  <c r="AE43" i="37"/>
  <c r="AE16" i="37"/>
  <c r="E16" i="37"/>
  <c r="E17" i="37"/>
  <c r="E18" i="37"/>
  <c r="E15" i="4"/>
  <c r="E15" i="133"/>
  <c r="G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30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15" i="37"/>
  <c r="R29" i="4" l="1"/>
  <c r="G29" i="4"/>
  <c r="E29" i="4"/>
  <c r="C29" i="4"/>
  <c r="R28" i="4"/>
  <c r="G28" i="4"/>
  <c r="E28" i="4"/>
  <c r="C28" i="4"/>
  <c r="R27" i="4"/>
  <c r="G27" i="4"/>
  <c r="E27" i="4"/>
  <c r="C27" i="4"/>
  <c r="R26" i="4"/>
  <c r="G26" i="4"/>
  <c r="E26" i="4"/>
  <c r="C26" i="4"/>
  <c r="R25" i="4"/>
  <c r="G25" i="4"/>
  <c r="E25" i="4"/>
  <c r="C25" i="4"/>
  <c r="R24" i="4"/>
  <c r="G24" i="4"/>
  <c r="E24" i="4"/>
  <c r="C24" i="4"/>
  <c r="R23" i="4"/>
  <c r="G23" i="4"/>
  <c r="E23" i="4"/>
  <c r="C23" i="4"/>
  <c r="R22" i="4"/>
  <c r="G22" i="4"/>
  <c r="E22" i="4"/>
  <c r="C22" i="4"/>
  <c r="R21" i="4"/>
  <c r="G21" i="4"/>
  <c r="E21" i="4"/>
  <c r="C21" i="4"/>
  <c r="R20" i="4"/>
  <c r="G20" i="4"/>
  <c r="E20" i="4"/>
  <c r="C20" i="4"/>
  <c r="R19" i="4"/>
  <c r="G19" i="4"/>
  <c r="E19" i="4"/>
  <c r="C19" i="4"/>
  <c r="R18" i="4"/>
  <c r="G18" i="4"/>
  <c r="E18" i="4"/>
  <c r="C18" i="4"/>
  <c r="R17" i="4"/>
  <c r="G17" i="4"/>
  <c r="E17" i="4"/>
  <c r="C17" i="4"/>
  <c r="R16" i="4"/>
  <c r="G16" i="4"/>
  <c r="E16" i="4"/>
  <c r="C16" i="4"/>
  <c r="R15" i="4"/>
  <c r="G15" i="4"/>
  <c r="C15" i="4"/>
  <c r="AG22" i="133" l="1"/>
  <c r="AF22" i="133"/>
  <c r="AD22" i="133"/>
  <c r="AC22" i="133"/>
  <c r="AB22" i="133"/>
  <c r="AA22" i="133"/>
  <c r="Z22" i="133"/>
  <c r="Y22" i="133"/>
  <c r="X22" i="133"/>
  <c r="W22" i="133"/>
  <c r="V22" i="133"/>
  <c r="U22" i="133"/>
  <c r="T22" i="133"/>
  <c r="S22" i="133"/>
  <c r="R22" i="133"/>
  <c r="Q22" i="133"/>
  <c r="P22" i="133"/>
  <c r="N22" i="133"/>
  <c r="M22" i="133"/>
  <c r="L22" i="133"/>
  <c r="K22" i="133"/>
  <c r="J22" i="133"/>
  <c r="H22" i="133"/>
  <c r="F22" i="133"/>
  <c r="D22" i="133"/>
  <c r="B22" i="133"/>
  <c r="AE21" i="133"/>
  <c r="G21" i="133"/>
  <c r="E21" i="133"/>
  <c r="C21" i="133"/>
  <c r="AE20" i="133"/>
  <c r="G20" i="133"/>
  <c r="E20" i="133"/>
  <c r="C20" i="133"/>
  <c r="AE19" i="133"/>
  <c r="O19" i="133"/>
  <c r="I19" i="133"/>
  <c r="G19" i="133"/>
  <c r="E19" i="133"/>
  <c r="C19" i="133"/>
  <c r="AE18" i="133"/>
  <c r="O18" i="133"/>
  <c r="I18" i="133"/>
  <c r="G18" i="133"/>
  <c r="E18" i="133"/>
  <c r="C18" i="133"/>
  <c r="AE17" i="133"/>
  <c r="O17" i="133"/>
  <c r="I17" i="133"/>
  <c r="G17" i="133"/>
  <c r="E17" i="133"/>
  <c r="C17" i="133"/>
  <c r="AE16" i="133"/>
  <c r="O16" i="133"/>
  <c r="O22" i="133" s="1"/>
  <c r="I16" i="133"/>
  <c r="I22" i="133" s="1"/>
  <c r="G16" i="133"/>
  <c r="E16" i="133"/>
  <c r="C16" i="133"/>
  <c r="AE15" i="133"/>
  <c r="G15" i="133"/>
  <c r="C15" i="133"/>
  <c r="C22" i="133" s="1"/>
  <c r="AE22" i="133" l="1"/>
  <c r="G22" i="133"/>
  <c r="E22" i="133"/>
  <c r="AG22" i="132" l="1"/>
  <c r="AF22" i="132"/>
  <c r="AD22" i="132"/>
  <c r="AC22" i="132"/>
  <c r="AB22" i="132"/>
  <c r="AA22" i="132"/>
  <c r="Z22" i="132"/>
  <c r="Y22" i="132"/>
  <c r="X22" i="132"/>
  <c r="W22" i="132"/>
  <c r="V22" i="132"/>
  <c r="U22" i="132"/>
  <c r="T22" i="132"/>
  <c r="S22" i="132"/>
  <c r="R22" i="132"/>
  <c r="Q22" i="132"/>
  <c r="P22" i="132"/>
  <c r="N22" i="132"/>
  <c r="M22" i="132"/>
  <c r="L22" i="132"/>
  <c r="K22" i="132"/>
  <c r="J22" i="132"/>
  <c r="H22" i="132"/>
  <c r="F22" i="132"/>
  <c r="D22" i="132"/>
  <c r="C22" i="132"/>
  <c r="B22" i="132"/>
  <c r="AE21" i="132"/>
  <c r="G21" i="132"/>
  <c r="E21" i="132"/>
  <c r="C21" i="132"/>
  <c r="AE20" i="132"/>
  <c r="G20" i="132"/>
  <c r="E20" i="132"/>
  <c r="C20" i="132"/>
  <c r="AE19" i="132"/>
  <c r="O19" i="132"/>
  <c r="I19" i="132"/>
  <c r="G19" i="132"/>
  <c r="E19" i="132"/>
  <c r="C19" i="132"/>
  <c r="AE18" i="132"/>
  <c r="O18" i="132"/>
  <c r="I18" i="132"/>
  <c r="G18" i="132"/>
  <c r="E18" i="132"/>
  <c r="C18" i="132"/>
  <c r="AE17" i="132"/>
  <c r="O17" i="132"/>
  <c r="I17" i="132"/>
  <c r="G17" i="132"/>
  <c r="E17" i="132"/>
  <c r="C17" i="132"/>
  <c r="AE16" i="132"/>
  <c r="O16" i="132"/>
  <c r="O22" i="132" s="1"/>
  <c r="I16" i="132"/>
  <c r="I22" i="132" s="1"/>
  <c r="G16" i="132"/>
  <c r="E16" i="132"/>
  <c r="C16" i="132"/>
  <c r="AE15" i="132"/>
  <c r="G15" i="132"/>
  <c r="E15" i="132"/>
  <c r="C15" i="132"/>
  <c r="G22" i="132" l="1"/>
  <c r="E22" i="132"/>
  <c r="AE22" i="132"/>
  <c r="AG22" i="131" l="1"/>
  <c r="AF22" i="131"/>
  <c r="AD22" i="131"/>
  <c r="AC22" i="131"/>
  <c r="AB22" i="131"/>
  <c r="AA22" i="131"/>
  <c r="Z22" i="131"/>
  <c r="Y22" i="131"/>
  <c r="X22" i="131"/>
  <c r="W22" i="131"/>
  <c r="V22" i="131"/>
  <c r="U22" i="131"/>
  <c r="T22" i="131"/>
  <c r="S22" i="131"/>
  <c r="R22" i="131"/>
  <c r="Q22" i="131"/>
  <c r="P22" i="131"/>
  <c r="N22" i="131"/>
  <c r="M22" i="131"/>
  <c r="L22" i="131"/>
  <c r="K22" i="131"/>
  <c r="J22" i="131"/>
  <c r="H22" i="131"/>
  <c r="F22" i="131"/>
  <c r="D22" i="131"/>
  <c r="B22" i="131"/>
  <c r="AE21" i="131"/>
  <c r="G21" i="131"/>
  <c r="E21" i="131"/>
  <c r="C21" i="131"/>
  <c r="AE20" i="131"/>
  <c r="G20" i="131"/>
  <c r="E20" i="131"/>
  <c r="C20" i="131"/>
  <c r="AE19" i="131"/>
  <c r="O19" i="131"/>
  <c r="I19" i="131"/>
  <c r="G19" i="131"/>
  <c r="E19" i="131"/>
  <c r="C19" i="131"/>
  <c r="AE18" i="131"/>
  <c r="O18" i="131"/>
  <c r="I18" i="131"/>
  <c r="G18" i="131"/>
  <c r="E18" i="131"/>
  <c r="C18" i="131"/>
  <c r="AE17" i="131"/>
  <c r="O17" i="131"/>
  <c r="I17" i="131"/>
  <c r="G17" i="131"/>
  <c r="E17" i="131"/>
  <c r="C17" i="131"/>
  <c r="AE16" i="131"/>
  <c r="O16" i="131"/>
  <c r="O22" i="131" s="1"/>
  <c r="I16" i="131"/>
  <c r="I22" i="131" s="1"/>
  <c r="G16" i="131"/>
  <c r="E16" i="131"/>
  <c r="C16" i="131"/>
  <c r="AE15" i="131"/>
  <c r="G15" i="131"/>
  <c r="G22" i="131" s="1"/>
  <c r="E15" i="131"/>
  <c r="C15" i="131"/>
  <c r="C22" i="131" s="1"/>
  <c r="AE22" i="131" l="1"/>
  <c r="E22" i="131"/>
  <c r="AE29" i="18" l="1"/>
  <c r="G29" i="18"/>
  <c r="E29" i="18"/>
  <c r="C29" i="18"/>
  <c r="AE28" i="18"/>
  <c r="O28" i="18"/>
  <c r="I28" i="18"/>
  <c r="G28" i="18"/>
  <c r="E28" i="18"/>
  <c r="C28" i="18"/>
  <c r="AE27" i="18"/>
  <c r="O27" i="18"/>
  <c r="I27" i="18"/>
  <c r="G27" i="18"/>
  <c r="E27" i="18"/>
  <c r="C27" i="18"/>
  <c r="AE26" i="18"/>
  <c r="O26" i="18"/>
  <c r="I26" i="18"/>
  <c r="G26" i="18"/>
  <c r="E26" i="18"/>
  <c r="C26" i="18"/>
  <c r="AE25" i="18"/>
  <c r="O25" i="18"/>
  <c r="I25" i="18"/>
  <c r="G25" i="18"/>
  <c r="E25" i="18"/>
  <c r="C25" i="18"/>
  <c r="AE24" i="18"/>
  <c r="G24" i="18"/>
  <c r="E24" i="18"/>
  <c r="C24" i="18"/>
  <c r="AE23" i="18"/>
  <c r="G23" i="18"/>
  <c r="E23" i="18"/>
  <c r="C23" i="18"/>
  <c r="AE22" i="18"/>
  <c r="G22" i="18"/>
  <c r="E22" i="18"/>
  <c r="C22" i="18"/>
  <c r="AE21" i="18"/>
  <c r="O21" i="18"/>
  <c r="I21" i="18"/>
  <c r="G21" i="18"/>
  <c r="E21" i="18"/>
  <c r="C21" i="18"/>
  <c r="AE20" i="18"/>
  <c r="O20" i="18"/>
  <c r="I20" i="18"/>
  <c r="G20" i="18"/>
  <c r="E20" i="18"/>
  <c r="C20" i="18"/>
  <c r="AE19" i="18"/>
  <c r="O19" i="18"/>
  <c r="I19" i="18"/>
  <c r="G19" i="18"/>
  <c r="E19" i="18"/>
  <c r="C19" i="18"/>
  <c r="AE18" i="18"/>
  <c r="O18" i="18"/>
  <c r="I18" i="18"/>
  <c r="G18" i="18"/>
  <c r="E18" i="18"/>
  <c r="C18" i="18"/>
  <c r="AE17" i="18"/>
  <c r="G17" i="18"/>
  <c r="E17" i="18"/>
  <c r="C17" i="18"/>
  <c r="AE16" i="18"/>
  <c r="G16" i="18"/>
  <c r="E16" i="18"/>
  <c r="C16" i="18"/>
  <c r="AE15" i="18"/>
  <c r="G15" i="18"/>
  <c r="E15" i="18"/>
  <c r="C15" i="18"/>
  <c r="AG22" i="130" l="1"/>
  <c r="AF22" i="130"/>
  <c r="AD22" i="130"/>
  <c r="AC22" i="130"/>
  <c r="AB22" i="130"/>
  <c r="AA22" i="130"/>
  <c r="Z22" i="130"/>
  <c r="Y22" i="130"/>
  <c r="X22" i="130"/>
  <c r="W22" i="130"/>
  <c r="V22" i="130"/>
  <c r="U22" i="130"/>
  <c r="T22" i="130"/>
  <c r="S22" i="130"/>
  <c r="R22" i="130"/>
  <c r="Q22" i="130"/>
  <c r="P22" i="130"/>
  <c r="N22" i="130"/>
  <c r="M22" i="130"/>
  <c r="L22" i="130"/>
  <c r="K22" i="130"/>
  <c r="J22" i="130"/>
  <c r="H22" i="130"/>
  <c r="F22" i="130"/>
  <c r="D22" i="130"/>
  <c r="C22" i="130"/>
  <c r="B22" i="130"/>
  <c r="AE21" i="130"/>
  <c r="G21" i="130"/>
  <c r="E21" i="130"/>
  <c r="C21" i="130"/>
  <c r="AE20" i="130"/>
  <c r="G20" i="130"/>
  <c r="E20" i="130"/>
  <c r="C20" i="130"/>
  <c r="AE19" i="130"/>
  <c r="O19" i="130"/>
  <c r="O22" i="130" s="1"/>
  <c r="I19" i="130"/>
  <c r="G19" i="130"/>
  <c r="E19" i="130"/>
  <c r="C19" i="130"/>
  <c r="AE18" i="130"/>
  <c r="O18" i="130"/>
  <c r="I18" i="130"/>
  <c r="G18" i="130"/>
  <c r="E18" i="130"/>
  <c r="C18" i="130"/>
  <c r="AE17" i="130"/>
  <c r="O17" i="130"/>
  <c r="I17" i="130"/>
  <c r="G17" i="130"/>
  <c r="E17" i="130"/>
  <c r="C17" i="130"/>
  <c r="AE16" i="130"/>
  <c r="O16" i="130"/>
  <c r="I16" i="130"/>
  <c r="I22" i="130" s="1"/>
  <c r="G16" i="130"/>
  <c r="E16" i="130"/>
  <c r="C16" i="130"/>
  <c r="AE15" i="130"/>
  <c r="G15" i="130"/>
  <c r="E15" i="130"/>
  <c r="C15" i="130"/>
  <c r="G22" i="130" l="1"/>
  <c r="AE22" i="130"/>
  <c r="E22" i="130"/>
  <c r="AG22" i="129" l="1"/>
  <c r="AF22" i="129"/>
  <c r="AD22" i="129"/>
  <c r="AC22" i="129"/>
  <c r="AB22" i="129"/>
  <c r="AA22" i="129"/>
  <c r="Z22" i="129"/>
  <c r="Y22" i="129"/>
  <c r="X22" i="129"/>
  <c r="W22" i="129"/>
  <c r="V22" i="129"/>
  <c r="U22" i="129"/>
  <c r="T22" i="129"/>
  <c r="S22" i="129"/>
  <c r="R22" i="129"/>
  <c r="Q22" i="129"/>
  <c r="P22" i="129"/>
  <c r="O22" i="129"/>
  <c r="N22" i="129"/>
  <c r="M22" i="129"/>
  <c r="L22" i="129"/>
  <c r="K22" i="129"/>
  <c r="J22" i="129"/>
  <c r="H22" i="129"/>
  <c r="F22" i="129"/>
  <c r="D22" i="129"/>
  <c r="C22" i="129"/>
  <c r="B22" i="129"/>
  <c r="AE21" i="129"/>
  <c r="G21" i="129"/>
  <c r="E21" i="129"/>
  <c r="C21" i="129"/>
  <c r="AE20" i="129"/>
  <c r="G20" i="129"/>
  <c r="E20" i="129"/>
  <c r="C20" i="129"/>
  <c r="AE19" i="129"/>
  <c r="O19" i="129"/>
  <c r="I19" i="129"/>
  <c r="G19" i="129"/>
  <c r="E19" i="129"/>
  <c r="C19" i="129"/>
  <c r="AE18" i="129"/>
  <c r="O18" i="129"/>
  <c r="I18" i="129"/>
  <c r="G18" i="129"/>
  <c r="E18" i="129"/>
  <c r="C18" i="129"/>
  <c r="AE17" i="129"/>
  <c r="O17" i="129"/>
  <c r="I17" i="129"/>
  <c r="G17" i="129"/>
  <c r="E17" i="129"/>
  <c r="C17" i="129"/>
  <c r="AE16" i="129"/>
  <c r="O16" i="129"/>
  <c r="I16" i="129"/>
  <c r="I22" i="129" s="1"/>
  <c r="G16" i="129"/>
  <c r="E16" i="129"/>
  <c r="C16" i="129"/>
  <c r="AE15" i="129"/>
  <c r="G15" i="129"/>
  <c r="E15" i="129"/>
  <c r="C15" i="129"/>
  <c r="G22" i="129" l="1"/>
  <c r="AE22" i="129"/>
  <c r="E22" i="129"/>
  <c r="D30" i="4" l="1"/>
  <c r="E15" i="6" l="1"/>
  <c r="E16" i="6"/>
  <c r="E17" i="6"/>
  <c r="E18" i="6"/>
  <c r="E19" i="6"/>
  <c r="E20" i="6"/>
  <c r="E21" i="6"/>
  <c r="D22" i="6"/>
  <c r="C15" i="6"/>
  <c r="G15" i="6"/>
  <c r="I15" i="6"/>
  <c r="O15" i="6"/>
  <c r="AE15" i="6"/>
  <c r="C16" i="6"/>
  <c r="G16" i="6"/>
  <c r="I16" i="6"/>
  <c r="O16" i="6"/>
  <c r="AE16" i="6"/>
  <c r="C17" i="6"/>
  <c r="G17" i="6"/>
  <c r="I17" i="6"/>
  <c r="O17" i="6"/>
  <c r="AE17" i="6"/>
  <c r="C18" i="6"/>
  <c r="G18" i="6"/>
  <c r="I18" i="6"/>
  <c r="O18" i="6"/>
  <c r="AE18" i="6"/>
  <c r="C19" i="6"/>
  <c r="G19" i="6"/>
  <c r="AE19" i="6"/>
  <c r="C20" i="6"/>
  <c r="G20" i="6"/>
  <c r="AE20" i="6"/>
  <c r="AE21" i="6"/>
  <c r="G21" i="6"/>
  <c r="C21" i="6"/>
  <c r="AG22" i="128" l="1"/>
  <c r="AF22" i="128"/>
  <c r="AD22" i="128"/>
  <c r="AC22" i="128"/>
  <c r="AB22" i="128"/>
  <c r="AA22" i="128"/>
  <c r="Z22" i="128"/>
  <c r="Y22" i="128"/>
  <c r="X22" i="128"/>
  <c r="W22" i="128"/>
  <c r="V22" i="128"/>
  <c r="U22" i="128"/>
  <c r="T22" i="128"/>
  <c r="S22" i="128"/>
  <c r="R22" i="128"/>
  <c r="Q22" i="128"/>
  <c r="P22" i="128"/>
  <c r="O22" i="128"/>
  <c r="N22" i="128"/>
  <c r="M22" i="128"/>
  <c r="L22" i="128"/>
  <c r="K22" i="128"/>
  <c r="J22" i="128"/>
  <c r="H22" i="128"/>
  <c r="F22" i="128"/>
  <c r="D22" i="128"/>
  <c r="C22" i="128"/>
  <c r="B22" i="128"/>
  <c r="AE21" i="128"/>
  <c r="G21" i="128"/>
  <c r="E21" i="128"/>
  <c r="C21" i="128"/>
  <c r="AE20" i="128"/>
  <c r="G20" i="128"/>
  <c r="E20" i="128"/>
  <c r="C20" i="128"/>
  <c r="AE19" i="128"/>
  <c r="O19" i="128"/>
  <c r="I19" i="128"/>
  <c r="G19" i="128"/>
  <c r="E19" i="128"/>
  <c r="C19" i="128"/>
  <c r="AE18" i="128"/>
  <c r="O18" i="128"/>
  <c r="I18" i="128"/>
  <c r="G18" i="128"/>
  <c r="E18" i="128"/>
  <c r="C18" i="128"/>
  <c r="AE17" i="128"/>
  <c r="O17" i="128"/>
  <c r="I17" i="128"/>
  <c r="G17" i="128"/>
  <c r="E17" i="128"/>
  <c r="C17" i="128"/>
  <c r="AE16" i="128"/>
  <c r="O16" i="128"/>
  <c r="I16" i="128"/>
  <c r="I22" i="128" s="1"/>
  <c r="G16" i="128"/>
  <c r="E16" i="128"/>
  <c r="C16" i="128"/>
  <c r="AE15" i="128"/>
  <c r="G15" i="128"/>
  <c r="E15" i="128"/>
  <c r="C15" i="128"/>
  <c r="G22" i="128" l="1"/>
  <c r="E22" i="128"/>
  <c r="AE22" i="128"/>
  <c r="AG22" i="127" l="1"/>
  <c r="AF22" i="127"/>
  <c r="AD22" i="127"/>
  <c r="AC22" i="127"/>
  <c r="AB22" i="127"/>
  <c r="AA22" i="127"/>
  <c r="Z22" i="127"/>
  <c r="Y22" i="127"/>
  <c r="X22" i="127"/>
  <c r="W22" i="127"/>
  <c r="V22" i="127"/>
  <c r="U22" i="127"/>
  <c r="T22" i="127"/>
  <c r="S22" i="127"/>
  <c r="R22" i="127"/>
  <c r="Q22" i="127"/>
  <c r="P22" i="127"/>
  <c r="N22" i="127"/>
  <c r="M22" i="127"/>
  <c r="L22" i="127"/>
  <c r="K22" i="127"/>
  <c r="J22" i="127"/>
  <c r="H22" i="127"/>
  <c r="F22" i="127"/>
  <c r="D22" i="127"/>
  <c r="B22" i="127"/>
  <c r="AE21" i="127"/>
  <c r="G21" i="127"/>
  <c r="E21" i="127"/>
  <c r="C21" i="127"/>
  <c r="AE20" i="127"/>
  <c r="G20" i="127"/>
  <c r="E20" i="127"/>
  <c r="C20" i="127"/>
  <c r="AE19" i="127"/>
  <c r="O19" i="127"/>
  <c r="I19" i="127"/>
  <c r="G19" i="127"/>
  <c r="E19" i="127"/>
  <c r="C19" i="127"/>
  <c r="AE18" i="127"/>
  <c r="O18" i="127"/>
  <c r="I18" i="127"/>
  <c r="G18" i="127"/>
  <c r="E18" i="127"/>
  <c r="C18" i="127"/>
  <c r="AE17" i="127"/>
  <c r="O17" i="127"/>
  <c r="I17" i="127"/>
  <c r="G17" i="127"/>
  <c r="E17" i="127"/>
  <c r="C17" i="127"/>
  <c r="AE16" i="127"/>
  <c r="O16" i="127"/>
  <c r="O22" i="127" s="1"/>
  <c r="I16" i="127"/>
  <c r="I22" i="127" s="1"/>
  <c r="G16" i="127"/>
  <c r="E16" i="127"/>
  <c r="C16" i="127"/>
  <c r="AE15" i="127"/>
  <c r="G15" i="127"/>
  <c r="E15" i="127"/>
  <c r="C15" i="127"/>
  <c r="C22" i="127" s="1"/>
  <c r="E22" i="127" l="1"/>
  <c r="G22" i="127"/>
  <c r="AE22" i="127"/>
  <c r="AG22" i="126" l="1"/>
  <c r="AF22" i="126"/>
  <c r="AD22" i="126"/>
  <c r="AC22" i="126"/>
  <c r="AB22" i="126"/>
  <c r="AA22" i="126"/>
  <c r="Z22" i="126"/>
  <c r="Y22" i="126"/>
  <c r="X22" i="126"/>
  <c r="W22" i="126"/>
  <c r="V22" i="126"/>
  <c r="U22" i="126"/>
  <c r="T22" i="126"/>
  <c r="S22" i="126"/>
  <c r="R22" i="126"/>
  <c r="Q22" i="126"/>
  <c r="P22" i="126"/>
  <c r="N22" i="126"/>
  <c r="M22" i="126"/>
  <c r="L22" i="126"/>
  <c r="K22" i="126"/>
  <c r="J22" i="126"/>
  <c r="H22" i="126"/>
  <c r="F22" i="126"/>
  <c r="D22" i="126"/>
  <c r="B22" i="126"/>
  <c r="AE21" i="126"/>
  <c r="G21" i="126"/>
  <c r="E21" i="126"/>
  <c r="C21" i="126"/>
  <c r="AE20" i="126"/>
  <c r="G20" i="126"/>
  <c r="E20" i="126"/>
  <c r="C20" i="126"/>
  <c r="AE19" i="126"/>
  <c r="O19" i="126"/>
  <c r="I19" i="126"/>
  <c r="G19" i="126"/>
  <c r="E19" i="126"/>
  <c r="C19" i="126"/>
  <c r="AE18" i="126"/>
  <c r="O18" i="126"/>
  <c r="I18" i="126"/>
  <c r="G18" i="126"/>
  <c r="E18" i="126"/>
  <c r="C18" i="126"/>
  <c r="AE17" i="126"/>
  <c r="O17" i="126"/>
  <c r="I17" i="126"/>
  <c r="G17" i="126"/>
  <c r="E17" i="126"/>
  <c r="C17" i="126"/>
  <c r="AE16" i="126"/>
  <c r="O16" i="126"/>
  <c r="O22" i="126" s="1"/>
  <c r="I16" i="126"/>
  <c r="I22" i="126" s="1"/>
  <c r="G16" i="126"/>
  <c r="E16" i="126"/>
  <c r="C16" i="126"/>
  <c r="AE15" i="126"/>
  <c r="G15" i="126"/>
  <c r="E15" i="126"/>
  <c r="C15" i="126"/>
  <c r="C22" i="126" s="1"/>
  <c r="AE22" i="126" l="1"/>
  <c r="E22" i="126"/>
  <c r="G22" i="126"/>
  <c r="AG22" i="125"/>
  <c r="AF22" i="125"/>
  <c r="AD22" i="125"/>
  <c r="AC22" i="125"/>
  <c r="AB22" i="125"/>
  <c r="AA22" i="125"/>
  <c r="Z22" i="125"/>
  <c r="Y22" i="125"/>
  <c r="X22" i="125"/>
  <c r="W22" i="125"/>
  <c r="V22" i="125"/>
  <c r="U22" i="125"/>
  <c r="T22" i="125"/>
  <c r="S22" i="125"/>
  <c r="R22" i="125"/>
  <c r="Q22" i="125"/>
  <c r="P22" i="125"/>
  <c r="N22" i="125"/>
  <c r="M22" i="125"/>
  <c r="L22" i="125"/>
  <c r="K22" i="125"/>
  <c r="J22" i="125"/>
  <c r="H22" i="125"/>
  <c r="F22" i="125"/>
  <c r="D22" i="125"/>
  <c r="B22" i="125"/>
  <c r="AE21" i="125"/>
  <c r="G21" i="125"/>
  <c r="E21" i="125"/>
  <c r="C21" i="125"/>
  <c r="AE20" i="125"/>
  <c r="G20" i="125"/>
  <c r="E20" i="125"/>
  <c r="C20" i="125"/>
  <c r="AE19" i="125"/>
  <c r="O19" i="125"/>
  <c r="I19" i="125"/>
  <c r="G19" i="125"/>
  <c r="E19" i="125"/>
  <c r="C19" i="125"/>
  <c r="AE18" i="125"/>
  <c r="O18" i="125"/>
  <c r="I18" i="125"/>
  <c r="G18" i="125"/>
  <c r="E18" i="125"/>
  <c r="C18" i="125"/>
  <c r="AE17" i="125"/>
  <c r="O17" i="125"/>
  <c r="I17" i="125"/>
  <c r="G17" i="125"/>
  <c r="E17" i="125"/>
  <c r="C17" i="125"/>
  <c r="AE16" i="125"/>
  <c r="O16" i="125"/>
  <c r="O22" i="125" s="1"/>
  <c r="I16" i="125"/>
  <c r="I22" i="125" s="1"/>
  <c r="G16" i="125"/>
  <c r="E16" i="125"/>
  <c r="C16" i="125"/>
  <c r="AE15" i="125"/>
  <c r="AE22" i="125" s="1"/>
  <c r="G15" i="125"/>
  <c r="E15" i="125"/>
  <c r="C15" i="125"/>
  <c r="C22" i="125" s="1"/>
  <c r="E22" i="125" l="1"/>
  <c r="G22" i="125"/>
  <c r="AG22" i="124" l="1"/>
  <c r="AF22" i="124"/>
  <c r="AD22" i="124"/>
  <c r="AC22" i="124"/>
  <c r="AB22" i="124"/>
  <c r="AA22" i="124"/>
  <c r="Z22" i="124"/>
  <c r="Y22" i="124"/>
  <c r="X22" i="124"/>
  <c r="W22" i="124"/>
  <c r="V22" i="124"/>
  <c r="U22" i="124"/>
  <c r="T22" i="124"/>
  <c r="S22" i="124"/>
  <c r="R22" i="124"/>
  <c r="Q22" i="124"/>
  <c r="P22" i="124"/>
  <c r="N22" i="124"/>
  <c r="M22" i="124"/>
  <c r="L22" i="124"/>
  <c r="K22" i="124"/>
  <c r="J22" i="124"/>
  <c r="H22" i="124"/>
  <c r="F22" i="124"/>
  <c r="D22" i="124"/>
  <c r="B22" i="124"/>
  <c r="AE21" i="124"/>
  <c r="G21" i="124"/>
  <c r="E21" i="124"/>
  <c r="C21" i="124"/>
  <c r="AE20" i="124"/>
  <c r="G20" i="124"/>
  <c r="E20" i="124"/>
  <c r="C20" i="124"/>
  <c r="AE19" i="124"/>
  <c r="O19" i="124"/>
  <c r="I19" i="124"/>
  <c r="G19" i="124"/>
  <c r="E19" i="124"/>
  <c r="C19" i="124"/>
  <c r="AE18" i="124"/>
  <c r="O18" i="124"/>
  <c r="I18" i="124"/>
  <c r="G18" i="124"/>
  <c r="E18" i="124"/>
  <c r="C18" i="124"/>
  <c r="AE17" i="124"/>
  <c r="O17" i="124"/>
  <c r="I17" i="124"/>
  <c r="G17" i="124"/>
  <c r="E17" i="124"/>
  <c r="C17" i="124"/>
  <c r="AE16" i="124"/>
  <c r="O16" i="124"/>
  <c r="O22" i="124" s="1"/>
  <c r="I16" i="124"/>
  <c r="I22" i="124" s="1"/>
  <c r="G16" i="124"/>
  <c r="E16" i="124"/>
  <c r="C16" i="124"/>
  <c r="AE15" i="124"/>
  <c r="G15" i="124"/>
  <c r="E15" i="124"/>
  <c r="C15" i="124"/>
  <c r="C22" i="124" s="1"/>
  <c r="G22" i="124" l="1"/>
  <c r="AA23" i="124"/>
  <c r="AE22" i="124"/>
  <c r="E22" i="124"/>
  <c r="AG22" i="123" l="1"/>
  <c r="AF22" i="123"/>
  <c r="AD22" i="123"/>
  <c r="AC22" i="123"/>
  <c r="AB22" i="123"/>
  <c r="AA22" i="123"/>
  <c r="AA23" i="123" s="1"/>
  <c r="Z22" i="123"/>
  <c r="Y22" i="123"/>
  <c r="X22" i="123"/>
  <c r="W22" i="123"/>
  <c r="V22" i="123"/>
  <c r="U22" i="123"/>
  <c r="T22" i="123"/>
  <c r="S22" i="123"/>
  <c r="R22" i="123"/>
  <c r="Q22" i="123"/>
  <c r="P22" i="123"/>
  <c r="N22" i="123"/>
  <c r="M22" i="123"/>
  <c r="L22" i="123"/>
  <c r="K22" i="123"/>
  <c r="J22" i="123"/>
  <c r="H22" i="123"/>
  <c r="F22" i="123"/>
  <c r="D22" i="123"/>
  <c r="B22" i="123"/>
  <c r="AE21" i="123"/>
  <c r="G21" i="123"/>
  <c r="E21" i="123"/>
  <c r="C21" i="123"/>
  <c r="AE20" i="123"/>
  <c r="G20" i="123"/>
  <c r="E20" i="123"/>
  <c r="C20" i="123"/>
  <c r="AE19" i="123"/>
  <c r="O19" i="123"/>
  <c r="I19" i="123"/>
  <c r="G19" i="123"/>
  <c r="E19" i="123"/>
  <c r="C19" i="123"/>
  <c r="AE18" i="123"/>
  <c r="O18" i="123"/>
  <c r="I18" i="123"/>
  <c r="G18" i="123"/>
  <c r="E18" i="123"/>
  <c r="C18" i="123"/>
  <c r="AE17" i="123"/>
  <c r="O17" i="123"/>
  <c r="I17" i="123"/>
  <c r="G17" i="123"/>
  <c r="E17" i="123"/>
  <c r="C17" i="123"/>
  <c r="AE16" i="123"/>
  <c r="O16" i="123"/>
  <c r="O22" i="123" s="1"/>
  <c r="I16" i="123"/>
  <c r="I22" i="123" s="1"/>
  <c r="G16" i="123"/>
  <c r="E16" i="123"/>
  <c r="C16" i="123"/>
  <c r="AE15" i="123"/>
  <c r="G15" i="123"/>
  <c r="E15" i="123"/>
  <c r="C15" i="123"/>
  <c r="C22" i="123" s="1"/>
  <c r="AE22" i="123" l="1"/>
  <c r="G22" i="123"/>
  <c r="E22" i="123"/>
  <c r="AA30" i="18"/>
  <c r="AE30" i="18"/>
  <c r="D30" i="18"/>
  <c r="F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B30" i="18"/>
  <c r="AC30" i="18"/>
  <c r="AD30" i="18"/>
  <c r="AF30" i="18"/>
  <c r="AG30" i="18"/>
  <c r="AE15" i="122" l="1"/>
  <c r="G15" i="122"/>
  <c r="E15" i="122"/>
  <c r="C15" i="122"/>
  <c r="C22" i="122" s="1"/>
  <c r="AG22" i="122"/>
  <c r="AF22" i="122"/>
  <c r="AD22" i="122"/>
  <c r="AC22" i="122"/>
  <c r="AB22" i="122"/>
  <c r="AA22" i="122"/>
  <c r="AA23" i="122" s="1"/>
  <c r="Z22" i="122"/>
  <c r="Y22" i="122"/>
  <c r="X22" i="122"/>
  <c r="W22" i="122"/>
  <c r="V22" i="122"/>
  <c r="U22" i="122"/>
  <c r="T22" i="122"/>
  <c r="S22" i="122"/>
  <c r="R22" i="122"/>
  <c r="Q22" i="122"/>
  <c r="P22" i="122"/>
  <c r="O22" i="122"/>
  <c r="N22" i="122"/>
  <c r="M22" i="122"/>
  <c r="L22" i="122"/>
  <c r="K22" i="122"/>
  <c r="J22" i="122"/>
  <c r="H22" i="122"/>
  <c r="F22" i="122"/>
  <c r="D22" i="122"/>
  <c r="B22" i="122"/>
  <c r="AE21" i="122"/>
  <c r="G21" i="122"/>
  <c r="E21" i="122"/>
  <c r="C21" i="122"/>
  <c r="AE20" i="122"/>
  <c r="G20" i="122"/>
  <c r="E20" i="122"/>
  <c r="C20" i="122"/>
  <c r="AE19" i="122"/>
  <c r="O19" i="122"/>
  <c r="I19" i="122"/>
  <c r="G19" i="122"/>
  <c r="E19" i="122"/>
  <c r="C19" i="122"/>
  <c r="AE18" i="122"/>
  <c r="O18" i="122"/>
  <c r="I18" i="122"/>
  <c r="G18" i="122"/>
  <c r="E18" i="122"/>
  <c r="C18" i="122"/>
  <c r="AE17" i="122"/>
  <c r="O17" i="122"/>
  <c r="I17" i="122"/>
  <c r="G17" i="122"/>
  <c r="E17" i="122"/>
  <c r="C17" i="122"/>
  <c r="AE16" i="122"/>
  <c r="O16" i="122"/>
  <c r="I16" i="122"/>
  <c r="I22" i="122" s="1"/>
  <c r="G16" i="122"/>
  <c r="E16" i="122"/>
  <c r="C16" i="122"/>
  <c r="AE21" i="121"/>
  <c r="G21" i="121"/>
  <c r="E21" i="121"/>
  <c r="C21" i="121"/>
  <c r="G22" i="122" l="1"/>
  <c r="AE22" i="122"/>
  <c r="E22" i="122"/>
  <c r="AG22" i="121"/>
  <c r="AF22" i="121"/>
  <c r="AD22" i="121"/>
  <c r="AC22" i="121"/>
  <c r="AB22" i="121"/>
  <c r="AA22" i="121"/>
  <c r="Z22" i="121"/>
  <c r="Y22" i="121"/>
  <c r="X22" i="121"/>
  <c r="W22" i="121"/>
  <c r="V22" i="121"/>
  <c r="U22" i="121"/>
  <c r="T22" i="121"/>
  <c r="S22" i="121"/>
  <c r="R22" i="121"/>
  <c r="Q22" i="121"/>
  <c r="P22" i="121"/>
  <c r="N22" i="121"/>
  <c r="M22" i="121"/>
  <c r="L22" i="121"/>
  <c r="K22" i="121"/>
  <c r="J22" i="121"/>
  <c r="H22" i="121"/>
  <c r="F22" i="121"/>
  <c r="D22" i="121"/>
  <c r="B22" i="121"/>
  <c r="AE20" i="121"/>
  <c r="G20" i="121"/>
  <c r="E20" i="121"/>
  <c r="C20" i="121"/>
  <c r="AE19" i="121"/>
  <c r="O19" i="121"/>
  <c r="I19" i="121"/>
  <c r="G19" i="121"/>
  <c r="E19" i="121"/>
  <c r="C19" i="121"/>
  <c r="AE18" i="121"/>
  <c r="O18" i="121"/>
  <c r="I18" i="121"/>
  <c r="G18" i="121"/>
  <c r="E18" i="121"/>
  <c r="C18" i="121"/>
  <c r="AE17" i="121"/>
  <c r="O17" i="121"/>
  <c r="I17" i="121"/>
  <c r="G17" i="121"/>
  <c r="E17" i="121"/>
  <c r="C17" i="121"/>
  <c r="AE16" i="121"/>
  <c r="O16" i="121"/>
  <c r="O22" i="121" s="1"/>
  <c r="I16" i="121"/>
  <c r="I22" i="121" s="1"/>
  <c r="G16" i="121"/>
  <c r="E16" i="121"/>
  <c r="C16" i="121"/>
  <c r="AE15" i="121"/>
  <c r="G15" i="121"/>
  <c r="E15" i="121"/>
  <c r="C15" i="121"/>
  <c r="C22" i="121" s="1"/>
  <c r="AE22" i="121" l="1"/>
  <c r="G22" i="121"/>
  <c r="E22" i="121"/>
  <c r="AA23" i="121"/>
  <c r="AD15" i="117" l="1"/>
  <c r="AG22" i="120" l="1"/>
  <c r="AF22" i="120"/>
  <c r="AD22" i="120"/>
  <c r="AC22" i="120"/>
  <c r="AB22" i="120"/>
  <c r="AA22" i="120"/>
  <c r="AA23" i="120" s="1"/>
  <c r="Z22" i="120"/>
  <c r="Y22" i="120"/>
  <c r="X22" i="120"/>
  <c r="W22" i="120"/>
  <c r="V22" i="120"/>
  <c r="U22" i="120"/>
  <c r="T22" i="120"/>
  <c r="S22" i="120"/>
  <c r="R22" i="120"/>
  <c r="Q22" i="120"/>
  <c r="P22" i="120"/>
  <c r="N22" i="120"/>
  <c r="M22" i="120"/>
  <c r="L22" i="120"/>
  <c r="K22" i="120"/>
  <c r="J22" i="120"/>
  <c r="H22" i="120"/>
  <c r="F22" i="120"/>
  <c r="D22" i="120"/>
  <c r="B22" i="120"/>
  <c r="AE21" i="120"/>
  <c r="G21" i="120"/>
  <c r="E21" i="120"/>
  <c r="C21" i="120"/>
  <c r="AE20" i="120"/>
  <c r="G20" i="120"/>
  <c r="E20" i="120"/>
  <c r="C20" i="120"/>
  <c r="AE19" i="120"/>
  <c r="O19" i="120"/>
  <c r="I19" i="120"/>
  <c r="G19" i="120"/>
  <c r="E19" i="120"/>
  <c r="C19" i="120"/>
  <c r="AE18" i="120"/>
  <c r="O18" i="120"/>
  <c r="I18" i="120"/>
  <c r="G18" i="120"/>
  <c r="E18" i="120"/>
  <c r="C18" i="120"/>
  <c r="AE17" i="120"/>
  <c r="O17" i="120"/>
  <c r="I17" i="120"/>
  <c r="G17" i="120"/>
  <c r="E17" i="120"/>
  <c r="C17" i="120"/>
  <c r="AE16" i="120"/>
  <c r="O16" i="120"/>
  <c r="O22" i="120" s="1"/>
  <c r="I16" i="120"/>
  <c r="I22" i="120" s="1"/>
  <c r="G16" i="120"/>
  <c r="E16" i="120"/>
  <c r="C16" i="120"/>
  <c r="AE15" i="120"/>
  <c r="G15" i="120"/>
  <c r="E15" i="120"/>
  <c r="C15" i="120"/>
  <c r="C22" i="120" s="1"/>
  <c r="G22" i="120" l="1"/>
  <c r="AE22" i="120"/>
  <c r="E22" i="120"/>
  <c r="AD16" i="117" l="1"/>
  <c r="AD17" i="117"/>
  <c r="AD18" i="117"/>
  <c r="AD19" i="117"/>
  <c r="AD20" i="117"/>
  <c r="AD21" i="117"/>
  <c r="AG22" i="119" l="1"/>
  <c r="AF22" i="119"/>
  <c r="AD22" i="119"/>
  <c r="AC22" i="119"/>
  <c r="AB22" i="119"/>
  <c r="AA22" i="119"/>
  <c r="Z22" i="119"/>
  <c r="Y22" i="119"/>
  <c r="X22" i="119"/>
  <c r="W22" i="119"/>
  <c r="V22" i="119"/>
  <c r="U22" i="119"/>
  <c r="T22" i="119"/>
  <c r="S22" i="119"/>
  <c r="R22" i="119"/>
  <c r="Q22" i="119"/>
  <c r="P22" i="119"/>
  <c r="N22" i="119"/>
  <c r="M22" i="119"/>
  <c r="L22" i="119"/>
  <c r="K22" i="119"/>
  <c r="J22" i="119"/>
  <c r="H22" i="119"/>
  <c r="F22" i="119"/>
  <c r="D22" i="119"/>
  <c r="B22" i="119"/>
  <c r="AE21" i="119"/>
  <c r="G21" i="119"/>
  <c r="E21" i="119"/>
  <c r="C21" i="119"/>
  <c r="AE20" i="119"/>
  <c r="G20" i="119"/>
  <c r="E20" i="119"/>
  <c r="C20" i="119"/>
  <c r="AE19" i="119"/>
  <c r="O19" i="119"/>
  <c r="I19" i="119"/>
  <c r="G19" i="119"/>
  <c r="E19" i="119"/>
  <c r="C19" i="119"/>
  <c r="AE18" i="119"/>
  <c r="O18" i="119"/>
  <c r="I18" i="119"/>
  <c r="G18" i="119"/>
  <c r="E18" i="119"/>
  <c r="C18" i="119"/>
  <c r="AE17" i="119"/>
  <c r="O17" i="119"/>
  <c r="I17" i="119"/>
  <c r="G17" i="119"/>
  <c r="E17" i="119"/>
  <c r="C17" i="119"/>
  <c r="AE16" i="119"/>
  <c r="O16" i="119"/>
  <c r="I16" i="119"/>
  <c r="I22" i="119" s="1"/>
  <c r="G16" i="119"/>
  <c r="E16" i="119"/>
  <c r="C16" i="119"/>
  <c r="AE15" i="119"/>
  <c r="G15" i="119"/>
  <c r="E15" i="119"/>
  <c r="C15" i="119"/>
  <c r="C22" i="119" l="1"/>
  <c r="O22" i="119"/>
  <c r="AE22" i="119"/>
  <c r="AA23" i="119"/>
  <c r="G22" i="119"/>
  <c r="E22" i="119"/>
  <c r="AG22" i="118" l="1"/>
  <c r="AF22" i="118"/>
  <c r="AD22" i="118"/>
  <c r="AC22" i="118"/>
  <c r="AB22" i="118"/>
  <c r="AA22" i="118"/>
  <c r="Z22" i="118"/>
  <c r="Y22" i="118"/>
  <c r="X22" i="118"/>
  <c r="W22" i="118"/>
  <c r="V22" i="118"/>
  <c r="U22" i="118"/>
  <c r="T22" i="118"/>
  <c r="S22" i="118"/>
  <c r="R22" i="118"/>
  <c r="Q22" i="118"/>
  <c r="P22" i="118"/>
  <c r="N22" i="118"/>
  <c r="M22" i="118"/>
  <c r="L22" i="118"/>
  <c r="K22" i="118"/>
  <c r="J22" i="118"/>
  <c r="H22" i="118"/>
  <c r="F22" i="118"/>
  <c r="D22" i="118"/>
  <c r="B22" i="118"/>
  <c r="AE21" i="118"/>
  <c r="G21" i="118"/>
  <c r="E21" i="118"/>
  <c r="C21" i="118"/>
  <c r="AE20" i="118"/>
  <c r="G20" i="118"/>
  <c r="E20" i="118"/>
  <c r="C20" i="118"/>
  <c r="AE19" i="118"/>
  <c r="O19" i="118"/>
  <c r="I19" i="118"/>
  <c r="G19" i="118"/>
  <c r="E19" i="118"/>
  <c r="C19" i="118"/>
  <c r="AE18" i="118"/>
  <c r="O18" i="118"/>
  <c r="I18" i="118"/>
  <c r="G18" i="118"/>
  <c r="E18" i="118"/>
  <c r="C18" i="118"/>
  <c r="AE17" i="118"/>
  <c r="O17" i="118"/>
  <c r="I17" i="118"/>
  <c r="G17" i="118"/>
  <c r="E17" i="118"/>
  <c r="C17" i="118"/>
  <c r="AE16" i="118"/>
  <c r="O16" i="118"/>
  <c r="O22" i="118" s="1"/>
  <c r="I16" i="118"/>
  <c r="I22" i="118" s="1"/>
  <c r="G16" i="118"/>
  <c r="E16" i="118"/>
  <c r="C16" i="118"/>
  <c r="AE15" i="118"/>
  <c r="G15" i="118"/>
  <c r="E15" i="118"/>
  <c r="C15" i="118"/>
  <c r="C22" i="118" s="1"/>
  <c r="E22" i="118" l="1"/>
  <c r="AE22" i="118"/>
  <c r="G22" i="118"/>
  <c r="AA23" i="118"/>
  <c r="AG22" i="117" l="1"/>
  <c r="AF22" i="117"/>
  <c r="AD22" i="117"/>
  <c r="AC22" i="117"/>
  <c r="AB22" i="117"/>
  <c r="AA22" i="117"/>
  <c r="Z22" i="117"/>
  <c r="Y22" i="117"/>
  <c r="X22" i="117"/>
  <c r="W22" i="117"/>
  <c r="V22" i="117"/>
  <c r="U22" i="117"/>
  <c r="T22" i="117"/>
  <c r="S22" i="117"/>
  <c r="R22" i="117"/>
  <c r="Q22" i="117"/>
  <c r="P22" i="117"/>
  <c r="N22" i="117"/>
  <c r="M22" i="117"/>
  <c r="L22" i="117"/>
  <c r="K22" i="117"/>
  <c r="J22" i="117"/>
  <c r="H22" i="117"/>
  <c r="F22" i="117"/>
  <c r="D22" i="117"/>
  <c r="B22" i="117"/>
  <c r="AE21" i="117"/>
  <c r="G21" i="117"/>
  <c r="E21" i="117"/>
  <c r="C21" i="117"/>
  <c r="AE20" i="117"/>
  <c r="G20" i="117"/>
  <c r="E20" i="117"/>
  <c r="C20" i="117"/>
  <c r="AE19" i="117"/>
  <c r="O19" i="117"/>
  <c r="I19" i="117"/>
  <c r="G19" i="117"/>
  <c r="E19" i="117"/>
  <c r="C19" i="117"/>
  <c r="AE18" i="117"/>
  <c r="O18" i="117"/>
  <c r="I18" i="117"/>
  <c r="G18" i="117"/>
  <c r="E18" i="117"/>
  <c r="C18" i="117"/>
  <c r="AE17" i="117"/>
  <c r="O17" i="117"/>
  <c r="I17" i="117"/>
  <c r="G17" i="117"/>
  <c r="E17" i="117"/>
  <c r="C17" i="117"/>
  <c r="AE16" i="117"/>
  <c r="O16" i="117"/>
  <c r="O22" i="117" s="1"/>
  <c r="I16" i="117"/>
  <c r="I22" i="117" s="1"/>
  <c r="G16" i="117"/>
  <c r="E16" i="117"/>
  <c r="C16" i="117"/>
  <c r="AE15" i="117"/>
  <c r="G15" i="117"/>
  <c r="E15" i="117"/>
  <c r="C15" i="117"/>
  <c r="C22" i="117" s="1"/>
  <c r="E22" i="117" l="1"/>
  <c r="G22" i="117"/>
  <c r="AE22" i="117"/>
  <c r="AA23" i="117"/>
  <c r="AE46" i="37"/>
  <c r="AG22" i="116" l="1"/>
  <c r="AF22" i="116"/>
  <c r="AD22" i="116"/>
  <c r="AC22" i="116"/>
  <c r="AB22" i="116"/>
  <c r="AA22" i="116"/>
  <c r="Z22" i="116"/>
  <c r="Y22" i="116"/>
  <c r="X22" i="116"/>
  <c r="W22" i="116"/>
  <c r="V22" i="116"/>
  <c r="U22" i="116"/>
  <c r="T22" i="116"/>
  <c r="S22" i="116"/>
  <c r="R22" i="116"/>
  <c r="Q22" i="116"/>
  <c r="P22" i="116"/>
  <c r="N22" i="116"/>
  <c r="M22" i="116"/>
  <c r="L22" i="116"/>
  <c r="K22" i="116"/>
  <c r="J22" i="116"/>
  <c r="H22" i="116"/>
  <c r="F22" i="116"/>
  <c r="D22" i="116"/>
  <c r="B22" i="116"/>
  <c r="AE21" i="116"/>
  <c r="G21" i="116"/>
  <c r="E21" i="116"/>
  <c r="C21" i="116"/>
  <c r="AE20" i="116"/>
  <c r="G20" i="116"/>
  <c r="E20" i="116"/>
  <c r="C20" i="116"/>
  <c r="AE19" i="116"/>
  <c r="O19" i="116"/>
  <c r="I19" i="116"/>
  <c r="G19" i="116"/>
  <c r="E19" i="116"/>
  <c r="C19" i="116"/>
  <c r="AE18" i="116"/>
  <c r="O18" i="116"/>
  <c r="I18" i="116"/>
  <c r="G18" i="116"/>
  <c r="E18" i="116"/>
  <c r="C18" i="116"/>
  <c r="AE17" i="116"/>
  <c r="O17" i="116"/>
  <c r="I17" i="116"/>
  <c r="G17" i="116"/>
  <c r="E17" i="116"/>
  <c r="C17" i="116"/>
  <c r="AE16" i="116"/>
  <c r="O16" i="116"/>
  <c r="I16" i="116"/>
  <c r="I22" i="116" s="1"/>
  <c r="G16" i="116"/>
  <c r="E16" i="116"/>
  <c r="C16" i="116"/>
  <c r="AE15" i="116"/>
  <c r="G15" i="116"/>
  <c r="E15" i="116"/>
  <c r="C15" i="116"/>
  <c r="C22" i="116" l="1"/>
  <c r="O22" i="116"/>
  <c r="AA23" i="116"/>
  <c r="G22" i="116"/>
  <c r="AE22" i="116"/>
  <c r="E22" i="116"/>
  <c r="AG22" i="115" l="1"/>
  <c r="AF22" i="115"/>
  <c r="AC22" i="115"/>
  <c r="AB22" i="115"/>
  <c r="AA22" i="115"/>
  <c r="Z22" i="115"/>
  <c r="Y22" i="115"/>
  <c r="X22" i="115"/>
  <c r="W22" i="115"/>
  <c r="V22" i="115"/>
  <c r="U22" i="115"/>
  <c r="T22" i="115"/>
  <c r="S22" i="115"/>
  <c r="R22" i="115"/>
  <c r="Q22" i="115"/>
  <c r="P22" i="115"/>
  <c r="N22" i="115"/>
  <c r="M22" i="115"/>
  <c r="L22" i="115"/>
  <c r="K22" i="115"/>
  <c r="J22" i="115"/>
  <c r="H22" i="115"/>
  <c r="F22" i="115"/>
  <c r="D22" i="115"/>
  <c r="B22" i="115"/>
  <c r="AE21" i="115"/>
  <c r="G21" i="115"/>
  <c r="E21" i="115"/>
  <c r="C21" i="115"/>
  <c r="AE20" i="115"/>
  <c r="G20" i="115"/>
  <c r="E20" i="115"/>
  <c r="C20" i="115"/>
  <c r="AE19" i="115"/>
  <c r="O19" i="115"/>
  <c r="I19" i="115"/>
  <c r="G19" i="115"/>
  <c r="E19" i="115"/>
  <c r="C19" i="115"/>
  <c r="AE18" i="115"/>
  <c r="O18" i="115"/>
  <c r="I18" i="115"/>
  <c r="G18" i="115"/>
  <c r="E18" i="115"/>
  <c r="C18" i="115"/>
  <c r="AE17" i="115"/>
  <c r="O17" i="115"/>
  <c r="O22" i="115" s="1"/>
  <c r="I17" i="115"/>
  <c r="G17" i="115"/>
  <c r="E17" i="115"/>
  <c r="C17" i="115"/>
  <c r="AE16" i="115"/>
  <c r="O16" i="115"/>
  <c r="I16" i="115"/>
  <c r="G16" i="115"/>
  <c r="E16" i="115"/>
  <c r="C16" i="115"/>
  <c r="AE15" i="115"/>
  <c r="G15" i="115"/>
  <c r="E15" i="115"/>
  <c r="C15" i="115"/>
  <c r="I22" i="115" l="1"/>
  <c r="C22" i="115"/>
  <c r="AA23" i="115"/>
  <c r="AE22" i="115"/>
  <c r="E22" i="115"/>
  <c r="AD22" i="115"/>
  <c r="G22" i="115"/>
  <c r="AD16" i="114"/>
  <c r="AD17" i="114"/>
  <c r="AD18" i="114"/>
  <c r="AD19" i="114"/>
  <c r="AD20" i="114"/>
  <c r="AD21" i="114"/>
  <c r="AD15" i="114"/>
  <c r="AG22" i="114" l="1"/>
  <c r="AF22" i="114"/>
  <c r="AD22" i="114"/>
  <c r="AC22" i="114"/>
  <c r="AB22" i="114"/>
  <c r="AA22" i="114"/>
  <c r="Z22" i="114"/>
  <c r="Y22" i="114"/>
  <c r="X22" i="114"/>
  <c r="W22" i="114"/>
  <c r="V22" i="114"/>
  <c r="U22" i="114"/>
  <c r="T22" i="114"/>
  <c r="S22" i="114"/>
  <c r="R22" i="114"/>
  <c r="Q22" i="114"/>
  <c r="P22" i="114"/>
  <c r="N22" i="114"/>
  <c r="M22" i="114"/>
  <c r="L22" i="114"/>
  <c r="K22" i="114"/>
  <c r="J22" i="114"/>
  <c r="H22" i="114"/>
  <c r="F22" i="114"/>
  <c r="D22" i="114"/>
  <c r="B22" i="114"/>
  <c r="AE21" i="114"/>
  <c r="G21" i="114"/>
  <c r="E21" i="114"/>
  <c r="C21" i="114"/>
  <c r="AE20" i="114"/>
  <c r="G20" i="114"/>
  <c r="E20" i="114"/>
  <c r="C20" i="114"/>
  <c r="AE19" i="114"/>
  <c r="O19" i="114"/>
  <c r="I19" i="114"/>
  <c r="G19" i="114"/>
  <c r="E19" i="114"/>
  <c r="C19" i="114"/>
  <c r="AE18" i="114"/>
  <c r="O18" i="114"/>
  <c r="I18" i="114"/>
  <c r="G18" i="114"/>
  <c r="E18" i="114"/>
  <c r="C18" i="114"/>
  <c r="AE17" i="114"/>
  <c r="O17" i="114"/>
  <c r="I17" i="114"/>
  <c r="G17" i="114"/>
  <c r="E17" i="114"/>
  <c r="C17" i="114"/>
  <c r="AE16" i="114"/>
  <c r="O16" i="114"/>
  <c r="O22" i="114" s="1"/>
  <c r="I16" i="114"/>
  <c r="I22" i="114" s="1"/>
  <c r="G16" i="114"/>
  <c r="E16" i="114"/>
  <c r="C16" i="114"/>
  <c r="AE15" i="114"/>
  <c r="G15" i="114"/>
  <c r="E15" i="114"/>
  <c r="C15" i="114"/>
  <c r="C22" i="114" s="1"/>
  <c r="AA23" i="114" l="1"/>
  <c r="G22" i="114"/>
  <c r="E22" i="114"/>
  <c r="AE22" i="114"/>
  <c r="AG22" i="113" l="1"/>
  <c r="AF22" i="113"/>
  <c r="AD22" i="113"/>
  <c r="AC22" i="113"/>
  <c r="AB22" i="113"/>
  <c r="AA22" i="113"/>
  <c r="AA23" i="113" s="1"/>
  <c r="Z22" i="113"/>
  <c r="Y22" i="113"/>
  <c r="X22" i="113"/>
  <c r="W22" i="113"/>
  <c r="V22" i="113"/>
  <c r="U22" i="113"/>
  <c r="T22" i="113"/>
  <c r="S22" i="113"/>
  <c r="R22" i="113"/>
  <c r="Q22" i="113"/>
  <c r="P22" i="113"/>
  <c r="N22" i="113"/>
  <c r="M22" i="113"/>
  <c r="L22" i="113"/>
  <c r="K22" i="113"/>
  <c r="J22" i="113"/>
  <c r="H22" i="113"/>
  <c r="F22" i="113"/>
  <c r="D22" i="113"/>
  <c r="B22" i="113"/>
  <c r="AE21" i="113"/>
  <c r="G21" i="113"/>
  <c r="E21" i="113"/>
  <c r="C21" i="113"/>
  <c r="AE20" i="113"/>
  <c r="G20" i="113"/>
  <c r="E20" i="113"/>
  <c r="C20" i="113"/>
  <c r="AE19" i="113"/>
  <c r="O19" i="113"/>
  <c r="I19" i="113"/>
  <c r="G19" i="113"/>
  <c r="E19" i="113"/>
  <c r="C19" i="113"/>
  <c r="AE18" i="113"/>
  <c r="O18" i="113"/>
  <c r="I18" i="113"/>
  <c r="G18" i="113"/>
  <c r="E18" i="113"/>
  <c r="C18" i="113"/>
  <c r="AE17" i="113"/>
  <c r="O17" i="113"/>
  <c r="I17" i="113"/>
  <c r="G17" i="113"/>
  <c r="E17" i="113"/>
  <c r="C17" i="113"/>
  <c r="AE16" i="113"/>
  <c r="O16" i="113"/>
  <c r="O22" i="113" s="1"/>
  <c r="I16" i="113"/>
  <c r="I22" i="113" s="1"/>
  <c r="G16" i="113"/>
  <c r="E16" i="113"/>
  <c r="C16" i="113"/>
  <c r="AE15" i="113"/>
  <c r="G15" i="113"/>
  <c r="E15" i="113"/>
  <c r="C15" i="113"/>
  <c r="C22" i="113" s="1"/>
  <c r="AE22" i="113" l="1"/>
  <c r="G22" i="113"/>
  <c r="E22" i="113"/>
  <c r="AG22" i="112" l="1"/>
  <c r="AF22" i="112"/>
  <c r="AD22" i="112"/>
  <c r="AC22" i="112"/>
  <c r="AB22" i="112"/>
  <c r="AA22" i="112"/>
  <c r="AA23" i="112" s="1"/>
  <c r="Z22" i="112"/>
  <c r="Y22" i="112"/>
  <c r="X22" i="112"/>
  <c r="W22" i="112"/>
  <c r="V22" i="112"/>
  <c r="U22" i="112"/>
  <c r="T22" i="112"/>
  <c r="S22" i="112"/>
  <c r="R22" i="112"/>
  <c r="Q22" i="112"/>
  <c r="P22" i="112"/>
  <c r="N22" i="112"/>
  <c r="M22" i="112"/>
  <c r="L22" i="112"/>
  <c r="K22" i="112"/>
  <c r="J22" i="112"/>
  <c r="H22" i="112"/>
  <c r="F22" i="112"/>
  <c r="D22" i="112"/>
  <c r="B22" i="112"/>
  <c r="AE21" i="112"/>
  <c r="G21" i="112"/>
  <c r="E21" i="112"/>
  <c r="C21" i="112"/>
  <c r="AE20" i="112"/>
  <c r="G20" i="112"/>
  <c r="E20" i="112"/>
  <c r="C20" i="112"/>
  <c r="AE19" i="112"/>
  <c r="O19" i="112"/>
  <c r="I19" i="112"/>
  <c r="G19" i="112"/>
  <c r="E19" i="112"/>
  <c r="C19" i="112"/>
  <c r="AE18" i="112"/>
  <c r="O18" i="112"/>
  <c r="I18" i="112"/>
  <c r="G18" i="112"/>
  <c r="E18" i="112"/>
  <c r="C18" i="112"/>
  <c r="AE17" i="112"/>
  <c r="O17" i="112"/>
  <c r="I17" i="112"/>
  <c r="G17" i="112"/>
  <c r="E17" i="112"/>
  <c r="C17" i="112"/>
  <c r="AE16" i="112"/>
  <c r="O16" i="112"/>
  <c r="I16" i="112"/>
  <c r="G16" i="112"/>
  <c r="E16" i="112"/>
  <c r="C16" i="112"/>
  <c r="AE15" i="112"/>
  <c r="G15" i="112"/>
  <c r="E15" i="112"/>
  <c r="C15" i="112"/>
  <c r="AG22" i="111"/>
  <c r="AF22" i="111"/>
  <c r="AD22" i="111"/>
  <c r="AC22" i="111"/>
  <c r="AB22" i="111"/>
  <c r="AA22" i="111"/>
  <c r="AA23" i="111" s="1"/>
  <c r="Z22" i="111"/>
  <c r="Y22" i="111"/>
  <c r="X22" i="111"/>
  <c r="W22" i="111"/>
  <c r="V22" i="111"/>
  <c r="U22" i="111"/>
  <c r="T22" i="111"/>
  <c r="S22" i="111"/>
  <c r="R22" i="111"/>
  <c r="Q22" i="111"/>
  <c r="P22" i="111"/>
  <c r="N22" i="111"/>
  <c r="M22" i="111"/>
  <c r="L22" i="111"/>
  <c r="K22" i="111"/>
  <c r="J22" i="111"/>
  <c r="H22" i="111"/>
  <c r="F22" i="111"/>
  <c r="D22" i="111"/>
  <c r="B22" i="111"/>
  <c r="AE21" i="111"/>
  <c r="G21" i="111"/>
  <c r="E21" i="111"/>
  <c r="C21" i="111"/>
  <c r="AE20" i="111"/>
  <c r="G20" i="111"/>
  <c r="E20" i="111"/>
  <c r="C20" i="111"/>
  <c r="AE19" i="111"/>
  <c r="O19" i="111"/>
  <c r="I19" i="111"/>
  <c r="G19" i="111"/>
  <c r="E19" i="111"/>
  <c r="C19" i="111"/>
  <c r="AE18" i="111"/>
  <c r="O18" i="111"/>
  <c r="I18" i="111"/>
  <c r="G18" i="111"/>
  <c r="E18" i="111"/>
  <c r="C18" i="111"/>
  <c r="AE17" i="111"/>
  <c r="O17" i="111"/>
  <c r="I17" i="111"/>
  <c r="G17" i="111"/>
  <c r="E17" i="111"/>
  <c r="C17" i="111"/>
  <c r="AE16" i="111"/>
  <c r="O16" i="111"/>
  <c r="O22" i="111" s="1"/>
  <c r="I16" i="111"/>
  <c r="I22" i="111" s="1"/>
  <c r="G16" i="111"/>
  <c r="E16" i="111"/>
  <c r="C16" i="111"/>
  <c r="AE15" i="111"/>
  <c r="G15" i="111"/>
  <c r="E15" i="111"/>
  <c r="C15" i="111"/>
  <c r="O22" i="112" l="1"/>
  <c r="I22" i="112"/>
  <c r="C22" i="111"/>
  <c r="G22" i="111"/>
  <c r="C22" i="112"/>
  <c r="AE22" i="112"/>
  <c r="G22" i="112"/>
  <c r="E22" i="112"/>
  <c r="AE22" i="111"/>
  <c r="E22" i="111"/>
  <c r="C15" i="109" l="1"/>
  <c r="E15" i="109"/>
  <c r="G15" i="109"/>
  <c r="AE15" i="109"/>
  <c r="C16" i="109"/>
  <c r="E16" i="109"/>
  <c r="G16" i="109"/>
  <c r="I16" i="109"/>
  <c r="O16" i="109"/>
  <c r="AE16" i="109"/>
  <c r="C17" i="109"/>
  <c r="E17" i="109"/>
  <c r="G17" i="109"/>
  <c r="I17" i="109"/>
  <c r="O17" i="109"/>
  <c r="AE17" i="109"/>
  <c r="C18" i="109"/>
  <c r="E18" i="109"/>
  <c r="G18" i="109"/>
  <c r="I18" i="109"/>
  <c r="O18" i="109"/>
  <c r="AE18" i="109"/>
  <c r="C19" i="109"/>
  <c r="E19" i="109"/>
  <c r="G19" i="109"/>
  <c r="I19" i="109"/>
  <c r="O19" i="109"/>
  <c r="AE19" i="109"/>
  <c r="C20" i="109"/>
  <c r="E20" i="109"/>
  <c r="G20" i="109"/>
  <c r="AE20" i="109"/>
  <c r="C21" i="109"/>
  <c r="E21" i="109"/>
  <c r="G21" i="109"/>
  <c r="AE21" i="109"/>
  <c r="AG22" i="110" l="1"/>
  <c r="AF22" i="110"/>
  <c r="AD22" i="110"/>
  <c r="AC22" i="110"/>
  <c r="AB22" i="110"/>
  <c r="AA22" i="110"/>
  <c r="AA23" i="110" s="1"/>
  <c r="Z22" i="110"/>
  <c r="Y22" i="110"/>
  <c r="X22" i="110"/>
  <c r="W22" i="110"/>
  <c r="V22" i="110"/>
  <c r="U22" i="110"/>
  <c r="T22" i="110"/>
  <c r="S22" i="110"/>
  <c r="R22" i="110"/>
  <c r="Q22" i="110"/>
  <c r="P22" i="110"/>
  <c r="N22" i="110"/>
  <c r="M22" i="110"/>
  <c r="L22" i="110"/>
  <c r="K22" i="110"/>
  <c r="J22" i="110"/>
  <c r="H22" i="110"/>
  <c r="F22" i="110"/>
  <c r="D22" i="110"/>
  <c r="B22" i="110"/>
  <c r="AE21" i="110"/>
  <c r="G21" i="110"/>
  <c r="E21" i="110"/>
  <c r="C21" i="110"/>
  <c r="AE20" i="110"/>
  <c r="G20" i="110"/>
  <c r="E20" i="110"/>
  <c r="C20" i="110"/>
  <c r="AE19" i="110"/>
  <c r="O19" i="110"/>
  <c r="I19" i="110"/>
  <c r="G19" i="110"/>
  <c r="E19" i="110"/>
  <c r="C19" i="110"/>
  <c r="AE18" i="110"/>
  <c r="O18" i="110"/>
  <c r="I18" i="110"/>
  <c r="G18" i="110"/>
  <c r="E18" i="110"/>
  <c r="C18" i="110"/>
  <c r="AE17" i="110"/>
  <c r="O17" i="110"/>
  <c r="I17" i="110"/>
  <c r="G17" i="110"/>
  <c r="E17" i="110"/>
  <c r="C17" i="110"/>
  <c r="AE16" i="110"/>
  <c r="O16" i="110"/>
  <c r="I16" i="110"/>
  <c r="I22" i="110" s="1"/>
  <c r="G16" i="110"/>
  <c r="E16" i="110"/>
  <c r="C16" i="110"/>
  <c r="AE15" i="110"/>
  <c r="G15" i="110"/>
  <c r="E15" i="110"/>
  <c r="C15" i="110"/>
  <c r="O22" i="110" l="1"/>
  <c r="C22" i="110"/>
  <c r="AE22" i="110"/>
  <c r="E22" i="110"/>
  <c r="G22" i="110"/>
  <c r="AG22" i="109" l="1"/>
  <c r="AF22" i="109"/>
  <c r="AD22" i="109"/>
  <c r="AC22" i="109"/>
  <c r="AB22" i="109"/>
  <c r="AA22" i="109"/>
  <c r="Z22" i="109"/>
  <c r="Y22" i="109"/>
  <c r="X22" i="109"/>
  <c r="W22" i="109"/>
  <c r="V22" i="109"/>
  <c r="U22" i="109"/>
  <c r="T22" i="109"/>
  <c r="S22" i="109"/>
  <c r="R22" i="109"/>
  <c r="Q22" i="109"/>
  <c r="P22" i="109"/>
  <c r="N22" i="109"/>
  <c r="M22" i="109"/>
  <c r="L22" i="109"/>
  <c r="K22" i="109"/>
  <c r="J22" i="109"/>
  <c r="H22" i="109"/>
  <c r="F22" i="109"/>
  <c r="D22" i="109"/>
  <c r="B22" i="109"/>
  <c r="O22" i="109"/>
  <c r="I22" i="109"/>
  <c r="C22" i="109"/>
  <c r="AE22" i="109" l="1"/>
  <c r="E22" i="109"/>
  <c r="G22" i="109"/>
  <c r="AG22" i="108" l="1"/>
  <c r="AF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N22" i="108"/>
  <c r="M22" i="108"/>
  <c r="L22" i="108"/>
  <c r="K22" i="108"/>
  <c r="J22" i="108"/>
  <c r="H22" i="108"/>
  <c r="F22" i="108"/>
  <c r="D22" i="108"/>
  <c r="B22" i="108"/>
  <c r="AE21" i="108"/>
  <c r="G21" i="108"/>
  <c r="E21" i="108"/>
  <c r="C21" i="108"/>
  <c r="AE20" i="108"/>
  <c r="G20" i="108"/>
  <c r="E20" i="108"/>
  <c r="C20" i="108"/>
  <c r="AE19" i="108"/>
  <c r="O19" i="108"/>
  <c r="I19" i="108"/>
  <c r="G19" i="108"/>
  <c r="E19" i="108"/>
  <c r="C19" i="108"/>
  <c r="AE18" i="108"/>
  <c r="O18" i="108"/>
  <c r="I18" i="108"/>
  <c r="G18" i="108"/>
  <c r="E18" i="108"/>
  <c r="C18" i="108"/>
  <c r="AE17" i="108"/>
  <c r="O17" i="108"/>
  <c r="I17" i="108"/>
  <c r="G17" i="108"/>
  <c r="E17" i="108"/>
  <c r="C17" i="108"/>
  <c r="AE16" i="108"/>
  <c r="O16" i="108"/>
  <c r="I16" i="108"/>
  <c r="I22" i="108" s="1"/>
  <c r="G16" i="108"/>
  <c r="E16" i="108"/>
  <c r="C16" i="108"/>
  <c r="AE15" i="108"/>
  <c r="G15" i="108"/>
  <c r="E15" i="108"/>
  <c r="C15" i="108"/>
  <c r="O22" i="108" l="1"/>
  <c r="C22" i="108"/>
  <c r="E22" i="108"/>
  <c r="G22" i="108"/>
  <c r="AA23" i="108"/>
  <c r="AE22" i="108"/>
  <c r="AG22" i="107" l="1"/>
  <c r="AF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R22" i="107"/>
  <c r="Q22" i="107"/>
  <c r="P22" i="107"/>
  <c r="N22" i="107"/>
  <c r="M22" i="107"/>
  <c r="L22" i="107"/>
  <c r="K22" i="107"/>
  <c r="J22" i="107"/>
  <c r="H22" i="107"/>
  <c r="F22" i="107"/>
  <c r="D22" i="107"/>
  <c r="B22" i="107"/>
  <c r="AE21" i="107"/>
  <c r="G21" i="107"/>
  <c r="E21" i="107"/>
  <c r="C21" i="107"/>
  <c r="AE20" i="107"/>
  <c r="G20" i="107"/>
  <c r="E20" i="107"/>
  <c r="C20" i="107"/>
  <c r="AE19" i="107"/>
  <c r="O19" i="107"/>
  <c r="I19" i="107"/>
  <c r="G19" i="107"/>
  <c r="E19" i="107"/>
  <c r="C19" i="107"/>
  <c r="AE18" i="107"/>
  <c r="O18" i="107"/>
  <c r="I18" i="107"/>
  <c r="G18" i="107"/>
  <c r="E18" i="107"/>
  <c r="C18" i="107"/>
  <c r="AE17" i="107"/>
  <c r="O17" i="107"/>
  <c r="I17" i="107"/>
  <c r="G17" i="107"/>
  <c r="E17" i="107"/>
  <c r="C17" i="107"/>
  <c r="AE16" i="107"/>
  <c r="O16" i="107"/>
  <c r="O22" i="107" s="1"/>
  <c r="I16" i="107"/>
  <c r="I22" i="107" s="1"/>
  <c r="G16" i="107"/>
  <c r="E16" i="107"/>
  <c r="C16" i="107"/>
  <c r="AE15" i="107"/>
  <c r="G15" i="107"/>
  <c r="E15" i="107"/>
  <c r="C15" i="107"/>
  <c r="C22" i="107" s="1"/>
  <c r="E22" i="107" l="1"/>
  <c r="AE22" i="107"/>
  <c r="G22" i="107"/>
  <c r="AG22" i="106" l="1"/>
  <c r="AF22" i="106"/>
  <c r="AD22" i="106"/>
  <c r="AC22" i="106"/>
  <c r="AB22" i="106"/>
  <c r="AA22" i="106"/>
  <c r="AA23" i="106" s="1"/>
  <c r="Z22" i="106"/>
  <c r="Y22" i="106"/>
  <c r="X22" i="106"/>
  <c r="W22" i="106"/>
  <c r="V22" i="106"/>
  <c r="U22" i="106"/>
  <c r="T22" i="106"/>
  <c r="S22" i="106"/>
  <c r="R22" i="106"/>
  <c r="Q22" i="106"/>
  <c r="P22" i="106"/>
  <c r="N22" i="106"/>
  <c r="M22" i="106"/>
  <c r="L22" i="106"/>
  <c r="K22" i="106"/>
  <c r="J22" i="106"/>
  <c r="H22" i="106"/>
  <c r="F22" i="106"/>
  <c r="D22" i="106"/>
  <c r="B22" i="106"/>
  <c r="AE21" i="106"/>
  <c r="G21" i="106"/>
  <c r="E21" i="106"/>
  <c r="C21" i="106"/>
  <c r="AE20" i="106"/>
  <c r="G20" i="106"/>
  <c r="E20" i="106"/>
  <c r="C20" i="106"/>
  <c r="AE19" i="106"/>
  <c r="O19" i="106"/>
  <c r="I19" i="106"/>
  <c r="G19" i="106"/>
  <c r="E19" i="106"/>
  <c r="C19" i="106"/>
  <c r="AE18" i="106"/>
  <c r="O18" i="106"/>
  <c r="I18" i="106"/>
  <c r="G18" i="106"/>
  <c r="E18" i="106"/>
  <c r="C18" i="106"/>
  <c r="AE17" i="106"/>
  <c r="O17" i="106"/>
  <c r="I17" i="106"/>
  <c r="G17" i="106"/>
  <c r="E17" i="106"/>
  <c r="C17" i="106"/>
  <c r="AE16" i="106"/>
  <c r="O16" i="106"/>
  <c r="I16" i="106"/>
  <c r="I22" i="106" s="1"/>
  <c r="G16" i="106"/>
  <c r="E16" i="106"/>
  <c r="C16" i="106"/>
  <c r="AE15" i="106"/>
  <c r="G15" i="106"/>
  <c r="E15" i="106"/>
  <c r="C15" i="106"/>
  <c r="O22" i="106" l="1"/>
  <c r="E22" i="106"/>
  <c r="C22" i="106"/>
  <c r="AE22" i="106"/>
  <c r="G22" i="106"/>
  <c r="AG22" i="105"/>
  <c r="AF22" i="105"/>
  <c r="AD22" i="105"/>
  <c r="AC22" i="105"/>
  <c r="AB22" i="105"/>
  <c r="AA22" i="105"/>
  <c r="AA23" i="105" s="1"/>
  <c r="Z22" i="105"/>
  <c r="Y22" i="105"/>
  <c r="X22" i="105"/>
  <c r="W22" i="105"/>
  <c r="V22" i="105"/>
  <c r="U22" i="105"/>
  <c r="T22" i="105"/>
  <c r="S22" i="105"/>
  <c r="R22" i="105"/>
  <c r="Q22" i="105"/>
  <c r="P22" i="105"/>
  <c r="N22" i="105"/>
  <c r="M22" i="105"/>
  <c r="L22" i="105"/>
  <c r="K22" i="105"/>
  <c r="J22" i="105"/>
  <c r="H22" i="105"/>
  <c r="F22" i="105"/>
  <c r="D22" i="105"/>
  <c r="B22" i="105"/>
  <c r="AE21" i="105"/>
  <c r="G21" i="105"/>
  <c r="E21" i="105"/>
  <c r="C21" i="105"/>
  <c r="AE20" i="105"/>
  <c r="G20" i="105"/>
  <c r="E20" i="105"/>
  <c r="C20" i="105"/>
  <c r="AE19" i="105"/>
  <c r="O19" i="105"/>
  <c r="I19" i="105"/>
  <c r="G19" i="105"/>
  <c r="E19" i="105"/>
  <c r="C19" i="105"/>
  <c r="AE18" i="105"/>
  <c r="O18" i="105"/>
  <c r="I18" i="105"/>
  <c r="G18" i="105"/>
  <c r="E18" i="105"/>
  <c r="C18" i="105"/>
  <c r="AE17" i="105"/>
  <c r="O17" i="105"/>
  <c r="I17" i="105"/>
  <c r="G17" i="105"/>
  <c r="E17" i="105"/>
  <c r="C17" i="105"/>
  <c r="AE16" i="105"/>
  <c r="O16" i="105"/>
  <c r="O22" i="105" s="1"/>
  <c r="I16" i="105"/>
  <c r="I22" i="105" s="1"/>
  <c r="G16" i="105"/>
  <c r="E16" i="105"/>
  <c r="C16" i="105"/>
  <c r="AE15" i="105"/>
  <c r="G15" i="105"/>
  <c r="E15" i="105"/>
  <c r="C15" i="105"/>
  <c r="E22" i="105" l="1"/>
  <c r="C22" i="105"/>
  <c r="AE22" i="105"/>
  <c r="G22" i="105"/>
  <c r="AG22" i="104" l="1"/>
  <c r="AF22" i="104"/>
  <c r="AD22" i="104"/>
  <c r="AC22" i="104"/>
  <c r="AB22" i="104"/>
  <c r="AA22" i="104"/>
  <c r="Z22" i="104"/>
  <c r="Y22" i="104"/>
  <c r="X22" i="104"/>
  <c r="W22" i="104"/>
  <c r="V22" i="104"/>
  <c r="U22" i="104"/>
  <c r="T22" i="104"/>
  <c r="S22" i="104"/>
  <c r="R22" i="104"/>
  <c r="Q22" i="104"/>
  <c r="P22" i="104"/>
  <c r="N22" i="104"/>
  <c r="M22" i="104"/>
  <c r="L22" i="104"/>
  <c r="K22" i="104"/>
  <c r="J22" i="104"/>
  <c r="H22" i="104"/>
  <c r="F22" i="104"/>
  <c r="D22" i="104"/>
  <c r="B22" i="104"/>
  <c r="AE21" i="104"/>
  <c r="G21" i="104"/>
  <c r="E21" i="104"/>
  <c r="C21" i="104"/>
  <c r="AE20" i="104"/>
  <c r="G20" i="104"/>
  <c r="E20" i="104"/>
  <c r="C20" i="104"/>
  <c r="AE19" i="104"/>
  <c r="O19" i="104"/>
  <c r="I19" i="104"/>
  <c r="G19" i="104"/>
  <c r="E19" i="104"/>
  <c r="C19" i="104"/>
  <c r="AE18" i="104"/>
  <c r="O18" i="104"/>
  <c r="I18" i="104"/>
  <c r="G18" i="104"/>
  <c r="E18" i="104"/>
  <c r="C18" i="104"/>
  <c r="AE17" i="104"/>
  <c r="O17" i="104"/>
  <c r="I17" i="104"/>
  <c r="G17" i="104"/>
  <c r="E17" i="104"/>
  <c r="C17" i="104"/>
  <c r="AE16" i="104"/>
  <c r="O16" i="104"/>
  <c r="I16" i="104"/>
  <c r="I22" i="104" s="1"/>
  <c r="G16" i="104"/>
  <c r="E16" i="104"/>
  <c r="C16" i="104"/>
  <c r="AE15" i="104"/>
  <c r="AE22" i="104" s="1"/>
  <c r="G15" i="104"/>
  <c r="E15" i="104"/>
  <c r="C15" i="104"/>
  <c r="O22" i="104" l="1"/>
  <c r="C22" i="104"/>
  <c r="G22" i="104"/>
  <c r="E22" i="104"/>
  <c r="AA23" i="104"/>
  <c r="B46" i="37" l="1"/>
  <c r="C46" i="37"/>
  <c r="D46" i="37"/>
  <c r="F46" i="37"/>
  <c r="H46" i="37"/>
  <c r="I46" i="37"/>
  <c r="J46" i="37"/>
  <c r="K46" i="37"/>
  <c r="L46" i="37"/>
  <c r="M46" i="37"/>
  <c r="N46" i="37"/>
  <c r="O46" i="37"/>
  <c r="P46" i="37"/>
  <c r="Q46" i="37"/>
  <c r="R46" i="37"/>
  <c r="S46" i="37"/>
  <c r="T46" i="37"/>
  <c r="U46" i="37"/>
  <c r="V46" i="37"/>
  <c r="W46" i="37"/>
  <c r="X46" i="37"/>
  <c r="Y46" i="37"/>
  <c r="Z46" i="37"/>
  <c r="AA46" i="37"/>
  <c r="AB46" i="37"/>
  <c r="AC46" i="37"/>
  <c r="AD46" i="37"/>
  <c r="AF46" i="37"/>
  <c r="AG46" i="37"/>
  <c r="AH46" i="37" l="1"/>
  <c r="AG22" i="103"/>
  <c r="AF22" i="103"/>
  <c r="AD22" i="103"/>
  <c r="AC22" i="103"/>
  <c r="AB22" i="103"/>
  <c r="AA22" i="103"/>
  <c r="AA23" i="103" s="1"/>
  <c r="Z22" i="103"/>
  <c r="Y22" i="103"/>
  <c r="X22" i="103"/>
  <c r="W22" i="103"/>
  <c r="V22" i="103"/>
  <c r="U22" i="103"/>
  <c r="T22" i="103"/>
  <c r="S22" i="103"/>
  <c r="R22" i="103"/>
  <c r="Q22" i="103"/>
  <c r="P22" i="103"/>
  <c r="N22" i="103"/>
  <c r="M22" i="103"/>
  <c r="L22" i="103"/>
  <c r="K22" i="103"/>
  <c r="J22" i="103"/>
  <c r="H22" i="103"/>
  <c r="F22" i="103"/>
  <c r="D22" i="103"/>
  <c r="B22" i="103"/>
  <c r="AE21" i="103"/>
  <c r="G21" i="103"/>
  <c r="E21" i="103"/>
  <c r="C21" i="103"/>
  <c r="AE20" i="103"/>
  <c r="G20" i="103"/>
  <c r="E20" i="103"/>
  <c r="C20" i="103"/>
  <c r="AE19" i="103"/>
  <c r="O19" i="103"/>
  <c r="I19" i="103"/>
  <c r="G19" i="103"/>
  <c r="E19" i="103"/>
  <c r="C19" i="103"/>
  <c r="AE18" i="103"/>
  <c r="O18" i="103"/>
  <c r="I18" i="103"/>
  <c r="G18" i="103"/>
  <c r="E18" i="103"/>
  <c r="C18" i="103"/>
  <c r="AE17" i="103"/>
  <c r="O17" i="103"/>
  <c r="I17" i="103"/>
  <c r="G17" i="103"/>
  <c r="E17" i="103"/>
  <c r="C17" i="103"/>
  <c r="AE16" i="103"/>
  <c r="O16" i="103"/>
  <c r="I16" i="103"/>
  <c r="I22" i="103" s="1"/>
  <c r="G16" i="103"/>
  <c r="E16" i="103"/>
  <c r="C16" i="103"/>
  <c r="AE15" i="103"/>
  <c r="G15" i="103"/>
  <c r="E15" i="103"/>
  <c r="C15" i="103"/>
  <c r="C22" i="103" l="1"/>
  <c r="O22" i="103"/>
  <c r="G22" i="103"/>
  <c r="AE22" i="103"/>
  <c r="E22" i="103"/>
  <c r="AG22" i="102" l="1"/>
  <c r="AF22" i="102"/>
  <c r="AD22" i="102"/>
  <c r="AC22" i="102"/>
  <c r="AB22" i="102"/>
  <c r="AA22" i="102"/>
  <c r="AA23" i="102" s="1"/>
  <c r="Z22" i="102"/>
  <c r="Y22" i="102"/>
  <c r="X22" i="102"/>
  <c r="W22" i="102"/>
  <c r="V22" i="102"/>
  <c r="U22" i="102"/>
  <c r="T22" i="102"/>
  <c r="S22" i="102"/>
  <c r="R22" i="102"/>
  <c r="Q22" i="102"/>
  <c r="P22" i="102"/>
  <c r="N22" i="102"/>
  <c r="M22" i="102"/>
  <c r="L22" i="102"/>
  <c r="K22" i="102"/>
  <c r="J22" i="102"/>
  <c r="H22" i="102"/>
  <c r="F22" i="102"/>
  <c r="D22" i="102"/>
  <c r="B22" i="102"/>
  <c r="AE21" i="102"/>
  <c r="G21" i="102"/>
  <c r="E21" i="102"/>
  <c r="C21" i="102"/>
  <c r="AE20" i="102"/>
  <c r="G20" i="102"/>
  <c r="E20" i="102"/>
  <c r="C20" i="102"/>
  <c r="AE19" i="102"/>
  <c r="O19" i="102"/>
  <c r="I19" i="102"/>
  <c r="G19" i="102"/>
  <c r="E19" i="102"/>
  <c r="C19" i="102"/>
  <c r="AE18" i="102"/>
  <c r="O18" i="102"/>
  <c r="I18" i="102"/>
  <c r="G18" i="102"/>
  <c r="E18" i="102"/>
  <c r="C18" i="102"/>
  <c r="AE17" i="102"/>
  <c r="O17" i="102"/>
  <c r="I17" i="102"/>
  <c r="G17" i="102"/>
  <c r="E17" i="102"/>
  <c r="C17" i="102"/>
  <c r="AE16" i="102"/>
  <c r="O16" i="102"/>
  <c r="O22" i="102" s="1"/>
  <c r="I16" i="102"/>
  <c r="I22" i="102" s="1"/>
  <c r="G16" i="102"/>
  <c r="E16" i="102"/>
  <c r="C16" i="102"/>
  <c r="AE15" i="102"/>
  <c r="G15" i="102"/>
  <c r="E15" i="102"/>
  <c r="C15" i="102"/>
  <c r="C22" i="102" s="1"/>
  <c r="AE22" i="102" l="1"/>
  <c r="G22" i="102"/>
  <c r="E22" i="102"/>
  <c r="AG22" i="101"/>
  <c r="AF22" i="101"/>
  <c r="AD22" i="101"/>
  <c r="AC22" i="101"/>
  <c r="AB22" i="101"/>
  <c r="AA22" i="101"/>
  <c r="Z22" i="101"/>
  <c r="Y22" i="101"/>
  <c r="X22" i="101"/>
  <c r="W22" i="101"/>
  <c r="V22" i="101"/>
  <c r="U22" i="101"/>
  <c r="T22" i="101"/>
  <c r="S22" i="101"/>
  <c r="R22" i="101"/>
  <c r="Q22" i="101"/>
  <c r="P22" i="101"/>
  <c r="N22" i="101"/>
  <c r="M22" i="101"/>
  <c r="L22" i="101"/>
  <c r="K22" i="101"/>
  <c r="J22" i="101"/>
  <c r="H22" i="101"/>
  <c r="F22" i="101"/>
  <c r="D22" i="101"/>
  <c r="B22" i="101"/>
  <c r="AE21" i="101"/>
  <c r="G21" i="101"/>
  <c r="E21" i="101"/>
  <c r="C21" i="101"/>
  <c r="AE20" i="101"/>
  <c r="G20" i="101"/>
  <c r="E20" i="101"/>
  <c r="C20" i="101"/>
  <c r="AE19" i="101"/>
  <c r="O19" i="101"/>
  <c r="I19" i="101"/>
  <c r="G19" i="101"/>
  <c r="E19" i="101"/>
  <c r="C19" i="101"/>
  <c r="AE18" i="101"/>
  <c r="O18" i="101"/>
  <c r="I18" i="101"/>
  <c r="G18" i="101"/>
  <c r="E18" i="101"/>
  <c r="C18" i="101"/>
  <c r="AE17" i="101"/>
  <c r="O17" i="101"/>
  <c r="I17" i="101"/>
  <c r="G17" i="101"/>
  <c r="E17" i="101"/>
  <c r="C17" i="101"/>
  <c r="AE16" i="101"/>
  <c r="O16" i="101"/>
  <c r="O22" i="101" s="1"/>
  <c r="I16" i="101"/>
  <c r="I22" i="101" s="1"/>
  <c r="G16" i="101"/>
  <c r="E16" i="101"/>
  <c r="C16" i="101"/>
  <c r="AE15" i="101"/>
  <c r="G15" i="101"/>
  <c r="E15" i="101"/>
  <c r="C15" i="101"/>
  <c r="C22" i="101" l="1"/>
  <c r="AE22" i="101"/>
  <c r="E22" i="101"/>
  <c r="G22" i="101"/>
  <c r="B30" i="18" l="1"/>
  <c r="C30" i="18" l="1"/>
  <c r="AH30" i="18" s="1"/>
  <c r="G15" i="100" l="1"/>
  <c r="AG22" i="100"/>
  <c r="AF22" i="100"/>
  <c r="AD22" i="100"/>
  <c r="AC22" i="100"/>
  <c r="AB22" i="100"/>
  <c r="AA22" i="100"/>
  <c r="Z22" i="100"/>
  <c r="Y22" i="100"/>
  <c r="X22" i="100"/>
  <c r="W22" i="100"/>
  <c r="V22" i="100"/>
  <c r="U22" i="100"/>
  <c r="T22" i="100"/>
  <c r="S22" i="100"/>
  <c r="R22" i="100"/>
  <c r="Q22" i="100"/>
  <c r="P22" i="100"/>
  <c r="N22" i="100"/>
  <c r="M22" i="100"/>
  <c r="L22" i="100"/>
  <c r="K22" i="100"/>
  <c r="J22" i="100"/>
  <c r="H22" i="100"/>
  <c r="F22" i="100"/>
  <c r="D22" i="100"/>
  <c r="B22" i="100"/>
  <c r="AE21" i="100"/>
  <c r="G21" i="100"/>
  <c r="E21" i="100"/>
  <c r="C21" i="100"/>
  <c r="AE20" i="100"/>
  <c r="G20" i="100"/>
  <c r="E20" i="100"/>
  <c r="C20" i="100"/>
  <c r="AE19" i="100"/>
  <c r="O19" i="100"/>
  <c r="I19" i="100"/>
  <c r="G19" i="100"/>
  <c r="E19" i="100"/>
  <c r="C19" i="100"/>
  <c r="AE18" i="100"/>
  <c r="O18" i="100"/>
  <c r="I18" i="100"/>
  <c r="G18" i="100"/>
  <c r="E18" i="100"/>
  <c r="C18" i="100"/>
  <c r="AE17" i="100"/>
  <c r="O17" i="100"/>
  <c r="I17" i="100"/>
  <c r="G17" i="100"/>
  <c r="E17" i="100"/>
  <c r="C17" i="100"/>
  <c r="AE16" i="100"/>
  <c r="O16" i="100"/>
  <c r="O22" i="100" s="1"/>
  <c r="I16" i="100"/>
  <c r="I22" i="100" s="1"/>
  <c r="G16" i="100"/>
  <c r="E16" i="100"/>
  <c r="C16" i="100"/>
  <c r="AE15" i="100"/>
  <c r="E15" i="100"/>
  <c r="C15" i="100"/>
  <c r="C22" i="100" l="1"/>
  <c r="G22" i="100"/>
  <c r="AA23" i="100"/>
  <c r="AE22" i="100"/>
  <c r="E22" i="100"/>
  <c r="G16" i="99"/>
  <c r="G17" i="99"/>
  <c r="G18" i="99"/>
  <c r="G19" i="99"/>
  <c r="G20" i="99"/>
  <c r="G21" i="99"/>
  <c r="AG22" i="99"/>
  <c r="AF22" i="99"/>
  <c r="AD22" i="99"/>
  <c r="AC22" i="99"/>
  <c r="AB22" i="99"/>
  <c r="AA22" i="99"/>
  <c r="Z22" i="99"/>
  <c r="Y22" i="99"/>
  <c r="X22" i="99"/>
  <c r="W22" i="99"/>
  <c r="V22" i="99"/>
  <c r="U22" i="99"/>
  <c r="T22" i="99"/>
  <c r="S22" i="99"/>
  <c r="R22" i="99"/>
  <c r="Q22" i="99"/>
  <c r="P22" i="99"/>
  <c r="N22" i="99"/>
  <c r="M22" i="99"/>
  <c r="L22" i="99"/>
  <c r="K22" i="99"/>
  <c r="J22" i="99"/>
  <c r="H22" i="99"/>
  <c r="F22" i="99"/>
  <c r="D22" i="99"/>
  <c r="B22" i="99"/>
  <c r="AE21" i="99"/>
  <c r="E21" i="99"/>
  <c r="C21" i="99"/>
  <c r="AE20" i="99"/>
  <c r="E20" i="99"/>
  <c r="C20" i="99"/>
  <c r="AE19" i="99"/>
  <c r="O19" i="99"/>
  <c r="I19" i="99"/>
  <c r="E19" i="99"/>
  <c r="C19" i="99"/>
  <c r="AE18" i="99"/>
  <c r="O18" i="99"/>
  <c r="I18" i="99"/>
  <c r="E18" i="99"/>
  <c r="C18" i="99"/>
  <c r="AE17" i="99"/>
  <c r="O17" i="99"/>
  <c r="I17" i="99"/>
  <c r="E17" i="99"/>
  <c r="C17" i="99"/>
  <c r="AE16" i="99"/>
  <c r="O16" i="99"/>
  <c r="O22" i="99" s="1"/>
  <c r="I16" i="99"/>
  <c r="E16" i="99"/>
  <c r="C16" i="99"/>
  <c r="AE15" i="99"/>
  <c r="E15" i="99"/>
  <c r="C15" i="99"/>
  <c r="C22" i="99" l="1"/>
  <c r="I22" i="99"/>
  <c r="AA23" i="99"/>
  <c r="G22" i="99"/>
  <c r="AE22" i="99"/>
  <c r="E22" i="99"/>
  <c r="AG22" i="98" l="1"/>
  <c r="AF22" i="98"/>
  <c r="AD22" i="98"/>
  <c r="AC22" i="98"/>
  <c r="AB22" i="98"/>
  <c r="AA22" i="98"/>
  <c r="Z22" i="98"/>
  <c r="Y22" i="98"/>
  <c r="X22" i="98"/>
  <c r="W22" i="98"/>
  <c r="V22" i="98"/>
  <c r="U22" i="98"/>
  <c r="T22" i="98"/>
  <c r="S22" i="98"/>
  <c r="R22" i="98"/>
  <c r="Q22" i="98"/>
  <c r="P22" i="98"/>
  <c r="N22" i="98"/>
  <c r="M22" i="98"/>
  <c r="L22" i="98"/>
  <c r="K22" i="98"/>
  <c r="J22" i="98"/>
  <c r="H22" i="98"/>
  <c r="F22" i="98"/>
  <c r="D22" i="98"/>
  <c r="B22" i="98"/>
  <c r="AE21" i="98"/>
  <c r="E21" i="98"/>
  <c r="C21" i="98"/>
  <c r="AE20" i="98"/>
  <c r="E20" i="98"/>
  <c r="C20" i="98"/>
  <c r="AE19" i="98"/>
  <c r="O19" i="98"/>
  <c r="I19" i="98"/>
  <c r="G19" i="98"/>
  <c r="E19" i="98"/>
  <c r="C19" i="98"/>
  <c r="AE18" i="98"/>
  <c r="O18" i="98"/>
  <c r="I18" i="98"/>
  <c r="G18" i="98"/>
  <c r="E18" i="98"/>
  <c r="C18" i="98"/>
  <c r="AE17" i="98"/>
  <c r="O17" i="98"/>
  <c r="I17" i="98"/>
  <c r="G17" i="98"/>
  <c r="E17" i="98"/>
  <c r="C17" i="98"/>
  <c r="AE16" i="98"/>
  <c r="O16" i="98"/>
  <c r="I16" i="98"/>
  <c r="G16" i="98"/>
  <c r="E16" i="98"/>
  <c r="C16" i="98"/>
  <c r="AE15" i="98"/>
  <c r="O15" i="98"/>
  <c r="O22" i="98" s="1"/>
  <c r="G15" i="98"/>
  <c r="E15" i="98"/>
  <c r="C15" i="98"/>
  <c r="I22" i="98" l="1"/>
  <c r="C22" i="98"/>
  <c r="G22" i="98"/>
  <c r="E22" i="98"/>
  <c r="AE22" i="98"/>
  <c r="AE15" i="97"/>
  <c r="AG22" i="97" l="1"/>
  <c r="AF22" i="97"/>
  <c r="AD22" i="97"/>
  <c r="AC22" i="97"/>
  <c r="AB22" i="97"/>
  <c r="AA22" i="97"/>
  <c r="Z22" i="97"/>
  <c r="Y22" i="97"/>
  <c r="X22" i="97"/>
  <c r="W22" i="97"/>
  <c r="V22" i="97"/>
  <c r="U22" i="97"/>
  <c r="T22" i="97"/>
  <c r="S22" i="97"/>
  <c r="R22" i="97"/>
  <c r="Q22" i="97"/>
  <c r="P22" i="97"/>
  <c r="N22" i="97"/>
  <c r="M22" i="97"/>
  <c r="L22" i="97"/>
  <c r="K22" i="97"/>
  <c r="J22" i="97"/>
  <c r="H22" i="97"/>
  <c r="F22" i="97"/>
  <c r="D22" i="97"/>
  <c r="B22" i="97"/>
  <c r="AE21" i="97"/>
  <c r="O21" i="97"/>
  <c r="G21" i="97"/>
  <c r="E21" i="97"/>
  <c r="C21" i="97"/>
  <c r="AE20" i="97"/>
  <c r="E20" i="97"/>
  <c r="C20" i="97"/>
  <c r="AE19" i="97"/>
  <c r="O19" i="97"/>
  <c r="I19" i="97"/>
  <c r="G19" i="97"/>
  <c r="E19" i="97"/>
  <c r="C19" i="97"/>
  <c r="AE18" i="97"/>
  <c r="O18" i="97"/>
  <c r="I18" i="97"/>
  <c r="G18" i="97"/>
  <c r="E18" i="97"/>
  <c r="C18" i="97"/>
  <c r="AE17" i="97"/>
  <c r="O17" i="97"/>
  <c r="I17" i="97"/>
  <c r="G17" i="97"/>
  <c r="E17" i="97"/>
  <c r="C17" i="97"/>
  <c r="AE16" i="97"/>
  <c r="O16" i="97"/>
  <c r="I16" i="97"/>
  <c r="I22" i="97" s="1"/>
  <c r="G16" i="97"/>
  <c r="E16" i="97"/>
  <c r="C16" i="97"/>
  <c r="O15" i="97"/>
  <c r="G15" i="97"/>
  <c r="E15" i="97"/>
  <c r="C15" i="97"/>
  <c r="O22" i="97" l="1"/>
  <c r="C22" i="97"/>
  <c r="AE22" i="97"/>
  <c r="G22" i="97"/>
  <c r="E22" i="97"/>
  <c r="AG22" i="96" l="1"/>
  <c r="AF22" i="96"/>
  <c r="AD22" i="96"/>
  <c r="AC22" i="96"/>
  <c r="AB22" i="96"/>
  <c r="AA22" i="96"/>
  <c r="Z22" i="96"/>
  <c r="Y22" i="96"/>
  <c r="X22" i="96"/>
  <c r="W22" i="96"/>
  <c r="V22" i="96"/>
  <c r="U22" i="96"/>
  <c r="T22" i="96"/>
  <c r="S22" i="96"/>
  <c r="R22" i="96"/>
  <c r="Q22" i="96"/>
  <c r="P22" i="96"/>
  <c r="N22" i="96"/>
  <c r="M22" i="96"/>
  <c r="L22" i="96"/>
  <c r="K22" i="96"/>
  <c r="J22" i="96"/>
  <c r="H22" i="96"/>
  <c r="F22" i="96"/>
  <c r="D22" i="96"/>
  <c r="B22" i="96"/>
  <c r="AE21" i="96"/>
  <c r="O21" i="96"/>
  <c r="G21" i="96"/>
  <c r="E21" i="96"/>
  <c r="C21" i="96"/>
  <c r="AE20" i="96"/>
  <c r="E20" i="96"/>
  <c r="C20" i="96"/>
  <c r="AE19" i="96"/>
  <c r="O19" i="96"/>
  <c r="I19" i="96"/>
  <c r="G19" i="96"/>
  <c r="E19" i="96"/>
  <c r="C19" i="96"/>
  <c r="AE18" i="96"/>
  <c r="O18" i="96"/>
  <c r="I18" i="96"/>
  <c r="G18" i="96"/>
  <c r="E18" i="96"/>
  <c r="C18" i="96"/>
  <c r="AE17" i="96"/>
  <c r="O17" i="96"/>
  <c r="I17" i="96"/>
  <c r="G17" i="96"/>
  <c r="E17" i="96"/>
  <c r="C17" i="96"/>
  <c r="AE16" i="96"/>
  <c r="O16" i="96"/>
  <c r="I16" i="96"/>
  <c r="G16" i="96"/>
  <c r="E16" i="96"/>
  <c r="C16" i="96"/>
  <c r="AE15" i="96"/>
  <c r="O15" i="96"/>
  <c r="O22" i="96" s="1"/>
  <c r="G15" i="96"/>
  <c r="E15" i="96"/>
  <c r="C15" i="96"/>
  <c r="I22" i="96" l="1"/>
  <c r="C22" i="96"/>
  <c r="G22" i="96"/>
  <c r="AE22" i="96"/>
  <c r="E22" i="96"/>
  <c r="B22" i="6" l="1"/>
  <c r="AG22" i="95" l="1"/>
  <c r="AF22" i="95"/>
  <c r="AD22" i="95"/>
  <c r="AC22" i="95"/>
  <c r="AB22" i="95"/>
  <c r="AA22" i="95"/>
  <c r="Z22" i="95"/>
  <c r="Y22" i="95"/>
  <c r="X22" i="95"/>
  <c r="W22" i="95"/>
  <c r="V22" i="95"/>
  <c r="U22" i="95"/>
  <c r="T22" i="95"/>
  <c r="S22" i="95"/>
  <c r="R22" i="95"/>
  <c r="Q22" i="95"/>
  <c r="P22" i="95"/>
  <c r="N22" i="95"/>
  <c r="M22" i="95"/>
  <c r="L22" i="95"/>
  <c r="K22" i="95"/>
  <c r="J22" i="95"/>
  <c r="H22" i="95"/>
  <c r="F22" i="95"/>
  <c r="D22" i="95"/>
  <c r="B22" i="95"/>
  <c r="AE21" i="95"/>
  <c r="O21" i="95"/>
  <c r="G21" i="95"/>
  <c r="E21" i="95"/>
  <c r="C21" i="95"/>
  <c r="AE20" i="95"/>
  <c r="E20" i="95"/>
  <c r="C20" i="95"/>
  <c r="AE19" i="95"/>
  <c r="O19" i="95"/>
  <c r="I19" i="95"/>
  <c r="G19" i="95"/>
  <c r="E19" i="95"/>
  <c r="C19" i="95"/>
  <c r="AE18" i="95"/>
  <c r="O18" i="95"/>
  <c r="I18" i="95"/>
  <c r="G18" i="95"/>
  <c r="E18" i="95"/>
  <c r="C18" i="95"/>
  <c r="AE17" i="95"/>
  <c r="O17" i="95"/>
  <c r="I17" i="95"/>
  <c r="G17" i="95"/>
  <c r="E17" i="95"/>
  <c r="C17" i="95"/>
  <c r="AE16" i="95"/>
  <c r="O16" i="95"/>
  <c r="I16" i="95"/>
  <c r="I22" i="95" s="1"/>
  <c r="G16" i="95"/>
  <c r="E16" i="95"/>
  <c r="C16" i="95"/>
  <c r="AE15" i="95"/>
  <c r="O15" i="95"/>
  <c r="O22" i="95" s="1"/>
  <c r="G15" i="95"/>
  <c r="E15" i="95"/>
  <c r="C15" i="95"/>
  <c r="C22" i="95" l="1"/>
  <c r="E22" i="95"/>
  <c r="AE22" i="95"/>
  <c r="G22" i="95"/>
  <c r="C22" i="6" l="1"/>
  <c r="G17" i="94"/>
  <c r="I17" i="94"/>
  <c r="O17" i="94"/>
  <c r="E16" i="94" l="1"/>
  <c r="E17" i="94"/>
  <c r="E18" i="94"/>
  <c r="E19" i="94"/>
  <c r="E20" i="94"/>
  <c r="E21" i="94"/>
  <c r="E15" i="94"/>
  <c r="G16" i="94"/>
  <c r="I16" i="94"/>
  <c r="O16" i="94"/>
  <c r="AG22" i="94" l="1"/>
  <c r="AF22" i="94"/>
  <c r="AD22" i="94"/>
  <c r="AC22" i="94"/>
  <c r="AB22" i="94"/>
  <c r="AA22" i="94"/>
  <c r="Z22" i="94"/>
  <c r="Y22" i="94"/>
  <c r="X22" i="94"/>
  <c r="W22" i="94"/>
  <c r="V22" i="94"/>
  <c r="U22" i="94"/>
  <c r="T22" i="94"/>
  <c r="S22" i="94"/>
  <c r="R22" i="94"/>
  <c r="Q22" i="94"/>
  <c r="P22" i="94"/>
  <c r="N22" i="94"/>
  <c r="M22" i="94"/>
  <c r="L22" i="94"/>
  <c r="K22" i="94"/>
  <c r="J22" i="94"/>
  <c r="H22" i="94"/>
  <c r="F22" i="94"/>
  <c r="D22" i="94"/>
  <c r="B22" i="94"/>
  <c r="AE21" i="94"/>
  <c r="O21" i="94"/>
  <c r="G21" i="94"/>
  <c r="C21" i="94"/>
  <c r="AE20" i="94"/>
  <c r="C20" i="94"/>
  <c r="AE19" i="94"/>
  <c r="O19" i="94"/>
  <c r="I19" i="94"/>
  <c r="I22" i="94" s="1"/>
  <c r="G19" i="94"/>
  <c r="C19" i="94"/>
  <c r="AE18" i="94"/>
  <c r="O18" i="94"/>
  <c r="I18" i="94"/>
  <c r="G18" i="94"/>
  <c r="C18" i="94"/>
  <c r="AE17" i="94"/>
  <c r="C17" i="94"/>
  <c r="AE16" i="94"/>
  <c r="O22" i="94"/>
  <c r="C16" i="94"/>
  <c r="C22" i="94" s="1"/>
  <c r="AE15" i="94"/>
  <c r="O15" i="94"/>
  <c r="G15" i="94"/>
  <c r="E22" i="94"/>
  <c r="C15" i="94"/>
  <c r="G22" i="94" l="1"/>
  <c r="AE22" i="94"/>
  <c r="AG22" i="93" l="1"/>
  <c r="AF22" i="93"/>
  <c r="AD22" i="93"/>
  <c r="AC22" i="93"/>
  <c r="AB22" i="93"/>
  <c r="AA22" i="93"/>
  <c r="Z22" i="93"/>
  <c r="Y22" i="93"/>
  <c r="X22" i="93"/>
  <c r="W22" i="93"/>
  <c r="V22" i="93"/>
  <c r="U22" i="93"/>
  <c r="T22" i="93"/>
  <c r="S22" i="93"/>
  <c r="R22" i="93"/>
  <c r="Q22" i="93"/>
  <c r="P22" i="93"/>
  <c r="N22" i="93"/>
  <c r="M22" i="93"/>
  <c r="L22" i="93"/>
  <c r="K22" i="93"/>
  <c r="J22" i="93"/>
  <c r="H22" i="93"/>
  <c r="F22" i="93"/>
  <c r="D22" i="93"/>
  <c r="B22" i="93"/>
  <c r="AE21" i="93"/>
  <c r="O21" i="93"/>
  <c r="G21" i="93"/>
  <c r="E21" i="93"/>
  <c r="C21" i="93"/>
  <c r="AE20" i="93"/>
  <c r="E20" i="93"/>
  <c r="C20" i="93"/>
  <c r="AE19" i="93"/>
  <c r="O19" i="93"/>
  <c r="I19" i="93"/>
  <c r="G19" i="93"/>
  <c r="E19" i="93"/>
  <c r="C19" i="93"/>
  <c r="AE18" i="93"/>
  <c r="O18" i="93"/>
  <c r="I18" i="93"/>
  <c r="G18" i="93"/>
  <c r="E18" i="93"/>
  <c r="C18" i="93"/>
  <c r="AE17" i="93"/>
  <c r="O17" i="93"/>
  <c r="I17" i="93"/>
  <c r="G17" i="93"/>
  <c r="E17" i="93"/>
  <c r="C17" i="93"/>
  <c r="AE16" i="93"/>
  <c r="O16" i="93"/>
  <c r="I16" i="93"/>
  <c r="I22" i="93" s="1"/>
  <c r="G16" i="93"/>
  <c r="E16" i="93"/>
  <c r="C16" i="93"/>
  <c r="AE15" i="93"/>
  <c r="O15" i="93"/>
  <c r="O22" i="93" s="1"/>
  <c r="G15" i="93"/>
  <c r="E15" i="93"/>
  <c r="C15" i="93"/>
  <c r="E22" i="93" l="1"/>
  <c r="C22" i="93"/>
  <c r="AE22" i="93"/>
  <c r="G22" i="93"/>
  <c r="AG22" i="92" l="1"/>
  <c r="AF22" i="92"/>
  <c r="AD22" i="92"/>
  <c r="AC22" i="92"/>
  <c r="AB22" i="92"/>
  <c r="AA22" i="92"/>
  <c r="Z22" i="92"/>
  <c r="Y22" i="92"/>
  <c r="W22" i="92"/>
  <c r="V22" i="92"/>
  <c r="U22" i="92"/>
  <c r="T22" i="92"/>
  <c r="S22" i="92"/>
  <c r="R22" i="92"/>
  <c r="Q22" i="92"/>
  <c r="P22" i="92"/>
  <c r="N22" i="92"/>
  <c r="M22" i="92"/>
  <c r="L22" i="92"/>
  <c r="K22" i="92"/>
  <c r="J22" i="92"/>
  <c r="H22" i="92"/>
  <c r="F22" i="92"/>
  <c r="D22" i="92"/>
  <c r="B22" i="92"/>
  <c r="AE21" i="92"/>
  <c r="O21" i="92"/>
  <c r="G21" i="92"/>
  <c r="E21" i="92"/>
  <c r="C21" i="92"/>
  <c r="AE20" i="92"/>
  <c r="X22" i="92"/>
  <c r="E20" i="92"/>
  <c r="C20" i="92"/>
  <c r="AE19" i="92"/>
  <c r="O19" i="92"/>
  <c r="I19" i="92"/>
  <c r="G19" i="92"/>
  <c r="E19" i="92"/>
  <c r="C19" i="92"/>
  <c r="AE18" i="92"/>
  <c r="O18" i="92"/>
  <c r="I18" i="92"/>
  <c r="G18" i="92"/>
  <c r="E18" i="92"/>
  <c r="C18" i="92"/>
  <c r="AE17" i="92"/>
  <c r="O17" i="92"/>
  <c r="I17" i="92"/>
  <c r="G17" i="92"/>
  <c r="E17" i="92"/>
  <c r="C17" i="92"/>
  <c r="AE16" i="92"/>
  <c r="O16" i="92"/>
  <c r="I16" i="92"/>
  <c r="I22" i="92" s="1"/>
  <c r="G16" i="92"/>
  <c r="E16" i="92"/>
  <c r="C16" i="92"/>
  <c r="AE15" i="92"/>
  <c r="O15" i="92"/>
  <c r="O22" i="92" s="1"/>
  <c r="G15" i="92"/>
  <c r="E15" i="92"/>
  <c r="C15" i="92"/>
  <c r="C22" i="92" l="1"/>
  <c r="E22" i="92"/>
  <c r="G22" i="92"/>
  <c r="AE22" i="92"/>
  <c r="AE20" i="91"/>
  <c r="E20" i="91"/>
  <c r="C20" i="91"/>
  <c r="AG22" i="91" l="1"/>
  <c r="AF22" i="91"/>
  <c r="AD22" i="91"/>
  <c r="AC22" i="91"/>
  <c r="AB22" i="91"/>
  <c r="AA22" i="91"/>
  <c r="Z22" i="91"/>
  <c r="Y22" i="91"/>
  <c r="X22" i="91"/>
  <c r="W22" i="91"/>
  <c r="V22" i="91"/>
  <c r="U22" i="91"/>
  <c r="T22" i="91"/>
  <c r="S22" i="91"/>
  <c r="R22" i="91"/>
  <c r="Q22" i="91"/>
  <c r="P22" i="91"/>
  <c r="N22" i="91"/>
  <c r="M22" i="91"/>
  <c r="L22" i="91"/>
  <c r="K22" i="91"/>
  <c r="J22" i="91"/>
  <c r="H22" i="91"/>
  <c r="F22" i="91"/>
  <c r="D22" i="91"/>
  <c r="B22" i="91"/>
  <c r="AE21" i="91"/>
  <c r="O21" i="91"/>
  <c r="G21" i="91"/>
  <c r="E21" i="91"/>
  <c r="C21" i="91"/>
  <c r="AE19" i="91"/>
  <c r="O19" i="91"/>
  <c r="I19" i="91"/>
  <c r="G19" i="91"/>
  <c r="E19" i="91"/>
  <c r="C19" i="91"/>
  <c r="AE18" i="91"/>
  <c r="O18" i="91"/>
  <c r="I18" i="91"/>
  <c r="G18" i="91"/>
  <c r="E18" i="91"/>
  <c r="C18" i="91"/>
  <c r="AE17" i="91"/>
  <c r="O17" i="91"/>
  <c r="I17" i="91"/>
  <c r="G17" i="91"/>
  <c r="E17" i="91"/>
  <c r="C17" i="91"/>
  <c r="AE16" i="91"/>
  <c r="O16" i="91"/>
  <c r="I16" i="91"/>
  <c r="G16" i="91"/>
  <c r="E16" i="91"/>
  <c r="C16" i="91"/>
  <c r="AE15" i="91"/>
  <c r="O15" i="91"/>
  <c r="O22" i="91" s="1"/>
  <c r="G15" i="91"/>
  <c r="E15" i="91"/>
  <c r="C15" i="91"/>
  <c r="C22" i="91" s="1"/>
  <c r="E22" i="91" l="1"/>
  <c r="I22" i="91"/>
  <c r="AE22" i="91"/>
  <c r="G22" i="91"/>
  <c r="AG22" i="90" l="1"/>
  <c r="AF22" i="90"/>
  <c r="AD22" i="90"/>
  <c r="AC22" i="90"/>
  <c r="AB22" i="90"/>
  <c r="AA22" i="90"/>
  <c r="Z22" i="90"/>
  <c r="Y22" i="90"/>
  <c r="X22" i="90"/>
  <c r="W22" i="90"/>
  <c r="V22" i="90"/>
  <c r="U22" i="90"/>
  <c r="T22" i="90"/>
  <c r="S22" i="90"/>
  <c r="R22" i="90"/>
  <c r="Q22" i="90"/>
  <c r="P22" i="90"/>
  <c r="N22" i="90"/>
  <c r="M22" i="90"/>
  <c r="L22" i="90"/>
  <c r="K22" i="90"/>
  <c r="J22" i="90"/>
  <c r="H22" i="90"/>
  <c r="F22" i="90"/>
  <c r="D22" i="90"/>
  <c r="B22" i="90"/>
  <c r="AE21" i="90"/>
  <c r="O21" i="90"/>
  <c r="G21" i="90"/>
  <c r="E21" i="90"/>
  <c r="C21" i="90"/>
  <c r="AE20" i="90"/>
  <c r="G20" i="90"/>
  <c r="E20" i="90"/>
  <c r="C20" i="90"/>
  <c r="AE19" i="90"/>
  <c r="O19" i="90"/>
  <c r="I19" i="90"/>
  <c r="G19" i="90"/>
  <c r="E19" i="90"/>
  <c r="C19" i="90"/>
  <c r="AE18" i="90"/>
  <c r="O18" i="90"/>
  <c r="I18" i="90"/>
  <c r="G18" i="90"/>
  <c r="E18" i="90"/>
  <c r="C18" i="90"/>
  <c r="AE17" i="90"/>
  <c r="O17" i="90"/>
  <c r="I17" i="90"/>
  <c r="G17" i="90"/>
  <c r="E17" i="90"/>
  <c r="C17" i="90"/>
  <c r="AE16" i="90"/>
  <c r="O16" i="90"/>
  <c r="I16" i="90"/>
  <c r="I22" i="90" s="1"/>
  <c r="G16" i="90"/>
  <c r="E16" i="90"/>
  <c r="C16" i="90"/>
  <c r="AE15" i="90"/>
  <c r="O15" i="90"/>
  <c r="G15" i="90"/>
  <c r="E15" i="90"/>
  <c r="C15" i="90"/>
  <c r="C22" i="90" l="1"/>
  <c r="E22" i="90"/>
  <c r="O22" i="90"/>
  <c r="AE22" i="90"/>
  <c r="G22" i="90"/>
  <c r="AG22" i="89" l="1"/>
  <c r="AF22" i="89"/>
  <c r="AD22" i="89"/>
  <c r="AC22" i="89"/>
  <c r="AB22" i="89"/>
  <c r="AA22" i="89"/>
  <c r="Z22" i="89"/>
  <c r="Y22" i="89"/>
  <c r="X22" i="89"/>
  <c r="W22" i="89"/>
  <c r="V22" i="89"/>
  <c r="U22" i="89"/>
  <c r="T22" i="89"/>
  <c r="S22" i="89"/>
  <c r="R22" i="89"/>
  <c r="Q22" i="89"/>
  <c r="P22" i="89"/>
  <c r="N22" i="89"/>
  <c r="M22" i="89"/>
  <c r="L22" i="89"/>
  <c r="K22" i="89"/>
  <c r="J22" i="89"/>
  <c r="I22" i="89"/>
  <c r="H22" i="89"/>
  <c r="F22" i="89"/>
  <c r="D22" i="89"/>
  <c r="B22" i="89"/>
  <c r="AE21" i="89"/>
  <c r="O21" i="89"/>
  <c r="G21" i="89"/>
  <c r="E21" i="89"/>
  <c r="C21" i="89"/>
  <c r="AE20" i="89"/>
  <c r="G20" i="89"/>
  <c r="E20" i="89"/>
  <c r="C20" i="89"/>
  <c r="AE19" i="89"/>
  <c r="O19" i="89"/>
  <c r="I19" i="89"/>
  <c r="G19" i="89"/>
  <c r="E19" i="89"/>
  <c r="C19" i="89"/>
  <c r="AE18" i="89"/>
  <c r="O18" i="89"/>
  <c r="I18" i="89"/>
  <c r="G18" i="89"/>
  <c r="E18" i="89"/>
  <c r="C18" i="89"/>
  <c r="AE17" i="89"/>
  <c r="O17" i="89"/>
  <c r="I17" i="89"/>
  <c r="G17" i="89"/>
  <c r="E17" i="89"/>
  <c r="C17" i="89"/>
  <c r="AE16" i="89"/>
  <c r="O16" i="89"/>
  <c r="I16" i="89"/>
  <c r="G16" i="89"/>
  <c r="E16" i="89"/>
  <c r="C16" i="89"/>
  <c r="AE15" i="89"/>
  <c r="O15" i="89"/>
  <c r="G15" i="89"/>
  <c r="E15" i="89"/>
  <c r="C15" i="89"/>
  <c r="C22" i="89" l="1"/>
  <c r="E22" i="89"/>
  <c r="O22" i="89"/>
  <c r="AE22" i="89"/>
  <c r="G22" i="89"/>
  <c r="AG22" i="88" l="1"/>
  <c r="AF22" i="88"/>
  <c r="AD22" i="88"/>
  <c r="AB22" i="88"/>
  <c r="AA22" i="88"/>
  <c r="Z22" i="88"/>
  <c r="Y22" i="88"/>
  <c r="X22" i="88"/>
  <c r="W22" i="88"/>
  <c r="V22" i="88"/>
  <c r="U22" i="88"/>
  <c r="T22" i="88"/>
  <c r="S22" i="88"/>
  <c r="R22" i="88"/>
  <c r="Q22" i="88"/>
  <c r="P22" i="88"/>
  <c r="N22" i="88"/>
  <c r="M22" i="88"/>
  <c r="L22" i="88"/>
  <c r="K22" i="88"/>
  <c r="J22" i="88"/>
  <c r="H22" i="88"/>
  <c r="F22" i="88"/>
  <c r="D22" i="88"/>
  <c r="B22" i="88"/>
  <c r="AE21" i="88"/>
  <c r="O21" i="88"/>
  <c r="G21" i="88"/>
  <c r="E21" i="88"/>
  <c r="C21" i="88"/>
  <c r="AE20" i="88"/>
  <c r="AC22" i="88"/>
  <c r="G20" i="88"/>
  <c r="E20" i="88"/>
  <c r="C20" i="88"/>
  <c r="AE19" i="88"/>
  <c r="O19" i="88"/>
  <c r="I19" i="88"/>
  <c r="G19" i="88"/>
  <c r="E19" i="88"/>
  <c r="C19" i="88"/>
  <c r="AE18" i="88"/>
  <c r="O18" i="88"/>
  <c r="I18" i="88"/>
  <c r="G18" i="88"/>
  <c r="E18" i="88"/>
  <c r="C18" i="88"/>
  <c r="AE17" i="88"/>
  <c r="O17" i="88"/>
  <c r="I17" i="88"/>
  <c r="G17" i="88"/>
  <c r="E17" i="88"/>
  <c r="C17" i="88"/>
  <c r="AE16" i="88"/>
  <c r="O16" i="88"/>
  <c r="I16" i="88"/>
  <c r="I22" i="88" s="1"/>
  <c r="G16" i="88"/>
  <c r="E16" i="88"/>
  <c r="C16" i="88"/>
  <c r="AE15" i="88"/>
  <c r="O15" i="88"/>
  <c r="G15" i="88"/>
  <c r="E15" i="88"/>
  <c r="C15" i="88"/>
  <c r="C22" i="88" l="1"/>
  <c r="E22" i="88"/>
  <c r="O22" i="88"/>
  <c r="AE22" i="88"/>
  <c r="G22" i="88"/>
  <c r="AG22" i="87" l="1"/>
  <c r="AF22" i="87"/>
  <c r="AD22" i="87"/>
  <c r="AC22" i="87"/>
  <c r="AB22" i="87"/>
  <c r="AA22" i="87"/>
  <c r="Z22" i="87"/>
  <c r="Y22" i="87"/>
  <c r="X22" i="87"/>
  <c r="W22" i="87"/>
  <c r="V22" i="87"/>
  <c r="U22" i="87"/>
  <c r="T22" i="87"/>
  <c r="S22" i="87"/>
  <c r="R22" i="87"/>
  <c r="Q22" i="87"/>
  <c r="P22" i="87"/>
  <c r="N22" i="87"/>
  <c r="M22" i="87"/>
  <c r="L22" i="87"/>
  <c r="K22" i="87"/>
  <c r="J22" i="87"/>
  <c r="H22" i="87"/>
  <c r="F22" i="87"/>
  <c r="D22" i="87"/>
  <c r="B22" i="87"/>
  <c r="AE21" i="87"/>
  <c r="O21" i="87"/>
  <c r="G21" i="87"/>
  <c r="E21" i="87"/>
  <c r="C21" i="87"/>
  <c r="AE20" i="87"/>
  <c r="G20" i="87"/>
  <c r="E20" i="87"/>
  <c r="C20" i="87"/>
  <c r="AE19" i="87"/>
  <c r="O19" i="87"/>
  <c r="I19" i="87"/>
  <c r="G19" i="87"/>
  <c r="E19" i="87"/>
  <c r="C19" i="87"/>
  <c r="AE18" i="87"/>
  <c r="O18" i="87"/>
  <c r="I18" i="87"/>
  <c r="G18" i="87"/>
  <c r="E18" i="87"/>
  <c r="C18" i="87"/>
  <c r="AE17" i="87"/>
  <c r="O17" i="87"/>
  <c r="I17" i="87"/>
  <c r="G17" i="87"/>
  <c r="E17" i="87"/>
  <c r="C17" i="87"/>
  <c r="AE16" i="87"/>
  <c r="O16" i="87"/>
  <c r="I16" i="87"/>
  <c r="I22" i="87" s="1"/>
  <c r="G16" i="87"/>
  <c r="E16" i="87"/>
  <c r="C16" i="87"/>
  <c r="AE15" i="87"/>
  <c r="O15" i="87"/>
  <c r="G15" i="87"/>
  <c r="E15" i="87"/>
  <c r="C15" i="87"/>
  <c r="E22" i="87" l="1"/>
  <c r="C22" i="87"/>
  <c r="O22" i="87"/>
  <c r="AE22" i="87"/>
  <c r="G22" i="87"/>
  <c r="AG22" i="86" l="1"/>
  <c r="AF22" i="86"/>
  <c r="AD22" i="86"/>
  <c r="AC22" i="86"/>
  <c r="AB22" i="86"/>
  <c r="AA22" i="86"/>
  <c r="Z22" i="86"/>
  <c r="Y22" i="86"/>
  <c r="X22" i="86"/>
  <c r="W22" i="86"/>
  <c r="V22" i="86"/>
  <c r="U22" i="86"/>
  <c r="T22" i="86"/>
  <c r="S22" i="86"/>
  <c r="R22" i="86"/>
  <c r="Q22" i="86"/>
  <c r="P22" i="86"/>
  <c r="N22" i="86"/>
  <c r="M22" i="86"/>
  <c r="L22" i="86"/>
  <c r="K22" i="86"/>
  <c r="J22" i="86"/>
  <c r="H22" i="86"/>
  <c r="F22" i="86"/>
  <c r="D22" i="86"/>
  <c r="B22" i="86"/>
  <c r="AE21" i="86"/>
  <c r="O21" i="86"/>
  <c r="G21" i="86"/>
  <c r="E21" i="86"/>
  <c r="C21" i="86"/>
  <c r="AE20" i="86"/>
  <c r="G20" i="86"/>
  <c r="E20" i="86"/>
  <c r="C20" i="86"/>
  <c r="AE19" i="86"/>
  <c r="O19" i="86"/>
  <c r="I19" i="86"/>
  <c r="G19" i="86"/>
  <c r="E19" i="86"/>
  <c r="C19" i="86"/>
  <c r="AE18" i="86"/>
  <c r="O18" i="86"/>
  <c r="I18" i="86"/>
  <c r="G18" i="86"/>
  <c r="E18" i="86"/>
  <c r="C18" i="86"/>
  <c r="AE17" i="86"/>
  <c r="O17" i="86"/>
  <c r="I17" i="86"/>
  <c r="G17" i="86"/>
  <c r="E17" i="86"/>
  <c r="C17" i="86"/>
  <c r="AE16" i="86"/>
  <c r="O16" i="86"/>
  <c r="I16" i="86"/>
  <c r="G16" i="86"/>
  <c r="E16" i="86"/>
  <c r="C16" i="86"/>
  <c r="AE15" i="86"/>
  <c r="O15" i="86"/>
  <c r="G15" i="86"/>
  <c r="E15" i="86"/>
  <c r="C15" i="86"/>
  <c r="I22" i="86" l="1"/>
  <c r="C22" i="86"/>
  <c r="E22" i="86"/>
  <c r="O22" i="86"/>
  <c r="AE22" i="86"/>
  <c r="G22" i="86"/>
  <c r="AE16" i="84"/>
  <c r="AE17" i="84"/>
  <c r="AE18" i="84"/>
  <c r="AE19" i="84"/>
  <c r="AE20" i="84"/>
  <c r="AE21" i="84"/>
  <c r="G16" i="84"/>
  <c r="G17" i="84"/>
  <c r="G18" i="84"/>
  <c r="G19" i="84"/>
  <c r="G20" i="84"/>
  <c r="G21" i="84"/>
  <c r="G16" i="85"/>
  <c r="G17" i="85"/>
  <c r="G18" i="85"/>
  <c r="G19" i="85"/>
  <c r="G20" i="85"/>
  <c r="G21" i="85"/>
  <c r="AE16" i="85" l="1"/>
  <c r="AE17" i="85"/>
  <c r="AE18" i="85"/>
  <c r="AE19" i="85"/>
  <c r="AE20" i="85"/>
  <c r="AE21" i="85"/>
  <c r="AG22" i="85"/>
  <c r="AF22" i="85"/>
  <c r="AD22" i="85"/>
  <c r="AC22" i="85"/>
  <c r="AB22" i="85"/>
  <c r="AA22" i="85"/>
  <c r="Z22" i="85"/>
  <c r="Y22" i="85"/>
  <c r="X22" i="85"/>
  <c r="W22" i="85"/>
  <c r="V22" i="85"/>
  <c r="U22" i="85"/>
  <c r="T22" i="85"/>
  <c r="S22" i="85"/>
  <c r="R22" i="85"/>
  <c r="Q22" i="85"/>
  <c r="P22" i="85"/>
  <c r="N22" i="85"/>
  <c r="M22" i="85"/>
  <c r="L22" i="85"/>
  <c r="K22" i="85"/>
  <c r="J22" i="85"/>
  <c r="H22" i="85"/>
  <c r="F22" i="85"/>
  <c r="D22" i="85"/>
  <c r="B22" i="85"/>
  <c r="O21" i="85"/>
  <c r="E21" i="85"/>
  <c r="C21" i="85"/>
  <c r="E20" i="85"/>
  <c r="C20" i="85"/>
  <c r="O19" i="85"/>
  <c r="I19" i="85"/>
  <c r="E19" i="85"/>
  <c r="C19" i="85"/>
  <c r="O18" i="85"/>
  <c r="I18" i="85"/>
  <c r="E18" i="85"/>
  <c r="C18" i="85"/>
  <c r="O17" i="85"/>
  <c r="I17" i="85"/>
  <c r="E17" i="85"/>
  <c r="C17" i="85"/>
  <c r="O16" i="85"/>
  <c r="I16" i="85"/>
  <c r="E16" i="85"/>
  <c r="C16" i="85"/>
  <c r="AE15" i="85"/>
  <c r="O15" i="85"/>
  <c r="G15" i="85"/>
  <c r="G22" i="85" s="1"/>
  <c r="E15" i="85"/>
  <c r="C15" i="85"/>
  <c r="C22" i="85" l="1"/>
  <c r="I22" i="85"/>
  <c r="E22" i="85"/>
  <c r="O22" i="85"/>
  <c r="AE22" i="85"/>
  <c r="AG22" i="84" l="1"/>
  <c r="AF22" i="84"/>
  <c r="AD22" i="84"/>
  <c r="AC22" i="84"/>
  <c r="AB22" i="84"/>
  <c r="AA22" i="84"/>
  <c r="Z22" i="84"/>
  <c r="Y22" i="84"/>
  <c r="X22" i="84"/>
  <c r="W22" i="84"/>
  <c r="V22" i="84"/>
  <c r="U22" i="84"/>
  <c r="T22" i="84"/>
  <c r="S22" i="84"/>
  <c r="R22" i="84"/>
  <c r="Q22" i="84"/>
  <c r="P22" i="84"/>
  <c r="N22" i="84"/>
  <c r="M22" i="84"/>
  <c r="L22" i="84"/>
  <c r="K22" i="84"/>
  <c r="J22" i="84"/>
  <c r="H22" i="84"/>
  <c r="F22" i="84"/>
  <c r="D22" i="84"/>
  <c r="B22" i="84"/>
  <c r="O21" i="84"/>
  <c r="E21" i="84"/>
  <c r="C21" i="84"/>
  <c r="E20" i="84"/>
  <c r="C20" i="84"/>
  <c r="O19" i="84"/>
  <c r="I19" i="84"/>
  <c r="E19" i="84"/>
  <c r="C19" i="84"/>
  <c r="O18" i="84"/>
  <c r="I18" i="84"/>
  <c r="E18" i="84"/>
  <c r="C18" i="84"/>
  <c r="O17" i="84"/>
  <c r="I17" i="84"/>
  <c r="E17" i="84"/>
  <c r="C17" i="84"/>
  <c r="O16" i="84"/>
  <c r="I16" i="84"/>
  <c r="I22" i="84" s="1"/>
  <c r="E16" i="84"/>
  <c r="C16" i="84"/>
  <c r="AE15" i="84"/>
  <c r="O15" i="84"/>
  <c r="G15" i="84"/>
  <c r="E15" i="84"/>
  <c r="C15" i="84"/>
  <c r="C22" i="84" l="1"/>
  <c r="E22" i="84"/>
  <c r="O22" i="84"/>
  <c r="G22" i="84"/>
  <c r="AE22" i="84"/>
  <c r="AG22" i="83" l="1"/>
  <c r="AF22" i="83"/>
  <c r="AD22" i="83"/>
  <c r="AC22" i="83"/>
  <c r="AB22" i="83"/>
  <c r="AA22" i="83"/>
  <c r="Z22" i="83"/>
  <c r="Y22" i="83"/>
  <c r="X22" i="83"/>
  <c r="W22" i="83"/>
  <c r="V22" i="83"/>
  <c r="U22" i="83"/>
  <c r="T22" i="83"/>
  <c r="S22" i="83"/>
  <c r="R22" i="83"/>
  <c r="Q22" i="83"/>
  <c r="P22" i="83"/>
  <c r="N22" i="83"/>
  <c r="M22" i="83"/>
  <c r="L22" i="83"/>
  <c r="K22" i="83"/>
  <c r="J22" i="83"/>
  <c r="H22" i="83"/>
  <c r="F22" i="83"/>
  <c r="D22" i="83"/>
  <c r="B22" i="83"/>
  <c r="AE21" i="83"/>
  <c r="O21" i="83"/>
  <c r="G21" i="83"/>
  <c r="E21" i="83"/>
  <c r="C21" i="83"/>
  <c r="AE20" i="83"/>
  <c r="O20" i="83"/>
  <c r="O22" i="83" s="1"/>
  <c r="G20" i="83"/>
  <c r="E20" i="83"/>
  <c r="C20" i="83"/>
  <c r="AE19" i="83"/>
  <c r="O19" i="83"/>
  <c r="I19" i="83"/>
  <c r="G19" i="83"/>
  <c r="E19" i="83"/>
  <c r="C19" i="83"/>
  <c r="AE18" i="83"/>
  <c r="O18" i="83"/>
  <c r="I18" i="83"/>
  <c r="G18" i="83"/>
  <c r="E18" i="83"/>
  <c r="C18" i="83"/>
  <c r="AE17" i="83"/>
  <c r="O17" i="83"/>
  <c r="I17" i="83"/>
  <c r="G17" i="83"/>
  <c r="E17" i="83"/>
  <c r="C17" i="83"/>
  <c r="AE16" i="83"/>
  <c r="O16" i="83"/>
  <c r="I16" i="83"/>
  <c r="I22" i="83" s="1"/>
  <c r="G16" i="83"/>
  <c r="E16" i="83"/>
  <c r="E22" i="83" s="1"/>
  <c r="C16" i="83"/>
  <c r="AE15" i="83"/>
  <c r="O15" i="83"/>
  <c r="G15" i="83"/>
  <c r="E15" i="83"/>
  <c r="C15" i="83"/>
  <c r="C22" i="83" l="1"/>
  <c r="G22" i="83"/>
  <c r="AE22" i="83"/>
  <c r="AG22" i="82" l="1"/>
  <c r="AF22" i="82"/>
  <c r="AD22" i="82"/>
  <c r="AC22" i="82"/>
  <c r="AB22" i="82"/>
  <c r="AA22" i="82"/>
  <c r="Z22" i="82"/>
  <c r="Y22" i="82"/>
  <c r="X22" i="82"/>
  <c r="W22" i="82"/>
  <c r="V22" i="82"/>
  <c r="U22" i="82"/>
  <c r="T22" i="82"/>
  <c r="S22" i="82"/>
  <c r="R22" i="82"/>
  <c r="Q22" i="82"/>
  <c r="P22" i="82"/>
  <c r="N22" i="82"/>
  <c r="M22" i="82"/>
  <c r="L22" i="82"/>
  <c r="K22" i="82"/>
  <c r="J22" i="82"/>
  <c r="H22" i="82"/>
  <c r="F22" i="82"/>
  <c r="D22" i="82"/>
  <c r="B22" i="82"/>
  <c r="AE21" i="82"/>
  <c r="O21" i="82"/>
  <c r="G21" i="82"/>
  <c r="E21" i="82"/>
  <c r="C21" i="82"/>
  <c r="AE20" i="82"/>
  <c r="O20" i="82"/>
  <c r="G20" i="82"/>
  <c r="E20" i="82"/>
  <c r="C20" i="82"/>
  <c r="AE19" i="82"/>
  <c r="O19" i="82"/>
  <c r="I19" i="82"/>
  <c r="G19" i="82"/>
  <c r="E19" i="82"/>
  <c r="C19" i="82"/>
  <c r="AE18" i="82"/>
  <c r="O18" i="82"/>
  <c r="I18" i="82"/>
  <c r="G18" i="82"/>
  <c r="E18" i="82"/>
  <c r="C18" i="82"/>
  <c r="AE17" i="82"/>
  <c r="O17" i="82"/>
  <c r="I17" i="82"/>
  <c r="G17" i="82"/>
  <c r="E17" i="82"/>
  <c r="C17" i="82"/>
  <c r="AE16" i="82"/>
  <c r="O16" i="82"/>
  <c r="I16" i="82"/>
  <c r="G16" i="82"/>
  <c r="E16" i="82"/>
  <c r="C16" i="82"/>
  <c r="AE15" i="82"/>
  <c r="O15" i="82"/>
  <c r="G15" i="82"/>
  <c r="E15" i="82"/>
  <c r="C15" i="82"/>
  <c r="C22" i="82" l="1"/>
  <c r="I22" i="82"/>
  <c r="E22" i="82"/>
  <c r="O22" i="82"/>
  <c r="AE22" i="82"/>
  <c r="G22" i="82"/>
  <c r="AG22" i="81"/>
  <c r="AF22" i="81"/>
  <c r="AD22" i="81"/>
  <c r="AC22" i="81"/>
  <c r="AB22" i="81"/>
  <c r="AA22" i="81"/>
  <c r="Z22" i="81"/>
  <c r="Y22" i="81"/>
  <c r="X22" i="81"/>
  <c r="W22" i="81"/>
  <c r="V22" i="81"/>
  <c r="U22" i="81"/>
  <c r="T22" i="81"/>
  <c r="S22" i="81"/>
  <c r="R22" i="81"/>
  <c r="Q22" i="81"/>
  <c r="P22" i="81"/>
  <c r="N22" i="81"/>
  <c r="M22" i="81"/>
  <c r="L22" i="81"/>
  <c r="K22" i="81"/>
  <c r="J22" i="81"/>
  <c r="H22" i="81"/>
  <c r="F22" i="81"/>
  <c r="D22" i="81"/>
  <c r="B22" i="81"/>
  <c r="AE21" i="81"/>
  <c r="O21" i="81"/>
  <c r="G21" i="81"/>
  <c r="E21" i="81"/>
  <c r="C21" i="81"/>
  <c r="AE20" i="81"/>
  <c r="O20" i="81"/>
  <c r="G20" i="81"/>
  <c r="E20" i="81"/>
  <c r="C20" i="81"/>
  <c r="AE19" i="81"/>
  <c r="O19" i="81"/>
  <c r="I19" i="81"/>
  <c r="G19" i="81"/>
  <c r="E19" i="81"/>
  <c r="C19" i="81"/>
  <c r="AE18" i="81"/>
  <c r="O18" i="81"/>
  <c r="I18" i="81"/>
  <c r="G18" i="81"/>
  <c r="E18" i="81"/>
  <c r="C18" i="81"/>
  <c r="AE17" i="81"/>
  <c r="O17" i="81"/>
  <c r="I17" i="81"/>
  <c r="I22" i="81" s="1"/>
  <c r="G17" i="81"/>
  <c r="E17" i="81"/>
  <c r="C17" i="81"/>
  <c r="AE16" i="81"/>
  <c r="O16" i="81"/>
  <c r="I16" i="81"/>
  <c r="G16" i="81"/>
  <c r="E16" i="81"/>
  <c r="C16" i="81"/>
  <c r="AE15" i="81"/>
  <c r="O15" i="81"/>
  <c r="G15" i="81"/>
  <c r="E15" i="81"/>
  <c r="C15" i="81"/>
  <c r="C22" i="81" l="1"/>
  <c r="O22" i="81"/>
  <c r="E22" i="81"/>
  <c r="AE22" i="81"/>
  <c r="G22" i="81"/>
  <c r="AG22" i="80" l="1"/>
  <c r="AF22" i="80"/>
  <c r="AD22" i="80"/>
  <c r="AC22" i="80"/>
  <c r="AB22" i="80"/>
  <c r="AA22" i="80"/>
  <c r="Z22" i="80"/>
  <c r="Y22" i="80"/>
  <c r="X22" i="80"/>
  <c r="W22" i="80"/>
  <c r="V22" i="80"/>
  <c r="U22" i="80"/>
  <c r="T22" i="80"/>
  <c r="S22" i="80"/>
  <c r="R22" i="80"/>
  <c r="Q22" i="80"/>
  <c r="P22" i="80"/>
  <c r="N22" i="80"/>
  <c r="M22" i="80"/>
  <c r="L22" i="80"/>
  <c r="K22" i="80"/>
  <c r="J22" i="80"/>
  <c r="H22" i="80"/>
  <c r="F22" i="80"/>
  <c r="D22" i="80"/>
  <c r="B22" i="80"/>
  <c r="AE21" i="80"/>
  <c r="O21" i="80"/>
  <c r="G21" i="80"/>
  <c r="E21" i="80"/>
  <c r="C21" i="80"/>
  <c r="AE20" i="80"/>
  <c r="O20" i="80"/>
  <c r="G20" i="80"/>
  <c r="E20" i="80"/>
  <c r="C20" i="80"/>
  <c r="AE19" i="80"/>
  <c r="O19" i="80"/>
  <c r="I19" i="80"/>
  <c r="G19" i="80"/>
  <c r="E19" i="80"/>
  <c r="C19" i="80"/>
  <c r="AE18" i="80"/>
  <c r="O18" i="80"/>
  <c r="I18" i="80"/>
  <c r="G18" i="80"/>
  <c r="E18" i="80"/>
  <c r="C18" i="80"/>
  <c r="AE17" i="80"/>
  <c r="O17" i="80"/>
  <c r="I17" i="80"/>
  <c r="G17" i="80"/>
  <c r="E17" i="80"/>
  <c r="C17" i="80"/>
  <c r="AE16" i="80"/>
  <c r="O16" i="80"/>
  <c r="I16" i="80"/>
  <c r="I22" i="80" s="1"/>
  <c r="G16" i="80"/>
  <c r="E16" i="80"/>
  <c r="C16" i="80"/>
  <c r="AE15" i="80"/>
  <c r="O15" i="80"/>
  <c r="G15" i="80"/>
  <c r="E15" i="80"/>
  <c r="C15" i="80"/>
  <c r="E22" i="80" l="1"/>
  <c r="O22" i="80"/>
  <c r="C22" i="80"/>
  <c r="AE22" i="80"/>
  <c r="G22" i="80"/>
  <c r="AG22" i="79"/>
  <c r="AF22" i="79"/>
  <c r="AD22" i="79"/>
  <c r="AC22" i="79"/>
  <c r="AB22" i="79"/>
  <c r="AA22" i="79"/>
  <c r="Z22" i="79"/>
  <c r="Y22" i="79"/>
  <c r="X22" i="79"/>
  <c r="W22" i="79"/>
  <c r="V22" i="79"/>
  <c r="U22" i="79"/>
  <c r="T22" i="79"/>
  <c r="S22" i="79"/>
  <c r="R22" i="79"/>
  <c r="Q22" i="79"/>
  <c r="P22" i="79"/>
  <c r="N22" i="79"/>
  <c r="M22" i="79"/>
  <c r="L22" i="79"/>
  <c r="K22" i="79"/>
  <c r="J22" i="79"/>
  <c r="H22" i="79"/>
  <c r="F22" i="79"/>
  <c r="D22" i="79"/>
  <c r="B22" i="79"/>
  <c r="AE21" i="79"/>
  <c r="O21" i="79"/>
  <c r="G21" i="79"/>
  <c r="E21" i="79"/>
  <c r="C21" i="79"/>
  <c r="AE20" i="79"/>
  <c r="O20" i="79"/>
  <c r="G20" i="79"/>
  <c r="E20" i="79"/>
  <c r="C20" i="79"/>
  <c r="AE19" i="79"/>
  <c r="O19" i="79"/>
  <c r="I19" i="79"/>
  <c r="G19" i="79"/>
  <c r="E19" i="79"/>
  <c r="C19" i="79"/>
  <c r="AE18" i="79"/>
  <c r="O18" i="79"/>
  <c r="I18" i="79"/>
  <c r="G18" i="79"/>
  <c r="E18" i="79"/>
  <c r="C18" i="79"/>
  <c r="AE17" i="79"/>
  <c r="O17" i="79"/>
  <c r="I17" i="79"/>
  <c r="I22" i="79" s="1"/>
  <c r="G17" i="79"/>
  <c r="E17" i="79"/>
  <c r="C17" i="79"/>
  <c r="AE16" i="79"/>
  <c r="O16" i="79"/>
  <c r="I16" i="79"/>
  <c r="G16" i="79"/>
  <c r="E16" i="79"/>
  <c r="C16" i="79"/>
  <c r="AE15" i="79"/>
  <c r="O15" i="79"/>
  <c r="G15" i="79"/>
  <c r="E15" i="79"/>
  <c r="C15" i="79"/>
  <c r="O22" i="79" l="1"/>
  <c r="E22" i="79"/>
  <c r="C22" i="79"/>
  <c r="G22" i="79"/>
  <c r="AE22" i="79"/>
  <c r="AE15" i="78" l="1"/>
  <c r="AG22" i="78" l="1"/>
  <c r="AF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2" i="78"/>
  <c r="N22" i="78"/>
  <c r="M22" i="78"/>
  <c r="L22" i="78"/>
  <c r="K22" i="78"/>
  <c r="J22" i="78"/>
  <c r="H22" i="78"/>
  <c r="F22" i="78"/>
  <c r="D22" i="78"/>
  <c r="B22" i="78"/>
  <c r="AE21" i="78"/>
  <c r="O21" i="78"/>
  <c r="G21" i="78"/>
  <c r="E21" i="78"/>
  <c r="C21" i="78"/>
  <c r="AE20" i="78"/>
  <c r="O20" i="78"/>
  <c r="G20" i="78"/>
  <c r="E20" i="78"/>
  <c r="C20" i="78"/>
  <c r="AE19" i="78"/>
  <c r="O19" i="78"/>
  <c r="I19" i="78"/>
  <c r="G19" i="78"/>
  <c r="E19" i="78"/>
  <c r="C19" i="78"/>
  <c r="AE18" i="78"/>
  <c r="O18" i="78"/>
  <c r="I18" i="78"/>
  <c r="G18" i="78"/>
  <c r="E18" i="78"/>
  <c r="C18" i="78"/>
  <c r="AE17" i="78"/>
  <c r="O17" i="78"/>
  <c r="I17" i="78"/>
  <c r="G17" i="78"/>
  <c r="E17" i="78"/>
  <c r="C17" i="78"/>
  <c r="AE16" i="78"/>
  <c r="O16" i="78"/>
  <c r="I16" i="78"/>
  <c r="I22" i="78" s="1"/>
  <c r="G16" i="78"/>
  <c r="E16" i="78"/>
  <c r="C16" i="78"/>
  <c r="O15" i="78"/>
  <c r="G15" i="78"/>
  <c r="E15" i="78"/>
  <c r="C15" i="78"/>
  <c r="C22" i="78" l="1"/>
  <c r="E22" i="78"/>
  <c r="O22" i="78"/>
  <c r="G22" i="78"/>
  <c r="AE22" i="78"/>
  <c r="H22" i="6" l="1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F22" i="6"/>
  <c r="AG22" i="6"/>
  <c r="F22" i="6"/>
  <c r="AE22" i="6"/>
  <c r="G22" i="6"/>
  <c r="AA24" i="6" l="1"/>
  <c r="V24" i="6"/>
  <c r="AG22" i="77"/>
  <c r="AF22" i="77"/>
  <c r="AD22" i="77"/>
  <c r="AC22" i="77"/>
  <c r="AB22" i="77"/>
  <c r="AA22" i="77"/>
  <c r="AA23" i="77" s="1"/>
  <c r="Z22" i="77"/>
  <c r="Y22" i="77"/>
  <c r="X22" i="77"/>
  <c r="W22" i="77"/>
  <c r="V22" i="77"/>
  <c r="U22" i="77"/>
  <c r="T22" i="77"/>
  <c r="S22" i="77"/>
  <c r="R22" i="77"/>
  <c r="Q22" i="77"/>
  <c r="P22" i="77"/>
  <c r="N22" i="77"/>
  <c r="M22" i="77"/>
  <c r="L22" i="77"/>
  <c r="K22" i="77"/>
  <c r="J22" i="77"/>
  <c r="H22" i="77"/>
  <c r="F22" i="77"/>
  <c r="D22" i="77"/>
  <c r="B22" i="77"/>
  <c r="AE21" i="77"/>
  <c r="O21" i="77"/>
  <c r="G21" i="77"/>
  <c r="E21" i="77"/>
  <c r="C21" i="77"/>
  <c r="AE20" i="77"/>
  <c r="O20" i="77"/>
  <c r="G20" i="77"/>
  <c r="E20" i="77"/>
  <c r="C20" i="77"/>
  <c r="AE19" i="77"/>
  <c r="O19" i="77"/>
  <c r="I19" i="77"/>
  <c r="G19" i="77"/>
  <c r="E19" i="77"/>
  <c r="C19" i="77"/>
  <c r="AE18" i="77"/>
  <c r="O18" i="77"/>
  <c r="I18" i="77"/>
  <c r="G18" i="77"/>
  <c r="E18" i="77"/>
  <c r="C18" i="77"/>
  <c r="AE17" i="77"/>
  <c r="O17" i="77"/>
  <c r="I17" i="77"/>
  <c r="G17" i="77"/>
  <c r="E17" i="77"/>
  <c r="C17" i="77"/>
  <c r="AE16" i="77"/>
  <c r="O16" i="77"/>
  <c r="I16" i="77"/>
  <c r="G16" i="77"/>
  <c r="E16" i="77"/>
  <c r="C16" i="77"/>
  <c r="AE15" i="77"/>
  <c r="O15" i="77"/>
  <c r="G15" i="77"/>
  <c r="E15" i="77"/>
  <c r="C15" i="77"/>
  <c r="I22" i="77" l="1"/>
  <c r="E22" i="77"/>
  <c r="O22" i="77"/>
  <c r="C22" i="77"/>
  <c r="V23" i="77"/>
  <c r="AE22" i="77"/>
  <c r="G22" i="77"/>
  <c r="AG22" i="76" l="1"/>
  <c r="AF22" i="76"/>
  <c r="AD22" i="76"/>
  <c r="AB22" i="76"/>
  <c r="AA22" i="76"/>
  <c r="Z22" i="76"/>
  <c r="Y22" i="76"/>
  <c r="X22" i="76"/>
  <c r="W22" i="76"/>
  <c r="V22" i="76"/>
  <c r="U22" i="76"/>
  <c r="T22" i="76"/>
  <c r="S22" i="76"/>
  <c r="R22" i="76"/>
  <c r="Q22" i="76"/>
  <c r="P22" i="76"/>
  <c r="N22" i="76"/>
  <c r="M22" i="76"/>
  <c r="L22" i="76"/>
  <c r="K22" i="76"/>
  <c r="J22" i="76"/>
  <c r="H22" i="76"/>
  <c r="F22" i="76"/>
  <c r="D22" i="76"/>
  <c r="B22" i="76"/>
  <c r="AE21" i="76"/>
  <c r="O21" i="76"/>
  <c r="G21" i="76"/>
  <c r="E21" i="76"/>
  <c r="C21" i="76"/>
  <c r="AE20" i="76"/>
  <c r="O20" i="76"/>
  <c r="G20" i="76"/>
  <c r="E20" i="76"/>
  <c r="C20" i="76"/>
  <c r="AE19" i="76"/>
  <c r="O19" i="76"/>
  <c r="I19" i="76"/>
  <c r="G19" i="76"/>
  <c r="E19" i="76"/>
  <c r="C19" i="76"/>
  <c r="AE18" i="76"/>
  <c r="O18" i="76"/>
  <c r="I18" i="76"/>
  <c r="G18" i="76"/>
  <c r="E18" i="76"/>
  <c r="C18" i="76"/>
  <c r="AE17" i="76"/>
  <c r="O17" i="76"/>
  <c r="I17" i="76"/>
  <c r="G17" i="76"/>
  <c r="E17" i="76"/>
  <c r="C17" i="76"/>
  <c r="AE16" i="76"/>
  <c r="O16" i="76"/>
  <c r="I16" i="76"/>
  <c r="I22" i="76" s="1"/>
  <c r="G16" i="76"/>
  <c r="E16" i="76"/>
  <c r="C16" i="76"/>
  <c r="C22" i="76" s="1"/>
  <c r="AE15" i="76"/>
  <c r="AC22" i="76"/>
  <c r="O15" i="76"/>
  <c r="G15" i="76"/>
  <c r="E15" i="76"/>
  <c r="C15" i="76"/>
  <c r="E22" i="76" l="1"/>
  <c r="O22" i="76"/>
  <c r="G22" i="76"/>
  <c r="AE22" i="76"/>
  <c r="X22" i="75" l="1"/>
  <c r="AG22" i="75" l="1"/>
  <c r="AF22" i="75"/>
  <c r="AD22" i="75"/>
  <c r="AC22" i="75"/>
  <c r="AB22" i="75"/>
  <c r="AA22" i="75"/>
  <c r="Z22" i="75"/>
  <c r="Y22" i="75"/>
  <c r="W22" i="75"/>
  <c r="V22" i="75"/>
  <c r="U22" i="75"/>
  <c r="T22" i="75"/>
  <c r="S22" i="75"/>
  <c r="R22" i="75"/>
  <c r="Q22" i="75"/>
  <c r="P22" i="75"/>
  <c r="N22" i="75"/>
  <c r="M22" i="75"/>
  <c r="L22" i="75"/>
  <c r="K22" i="75"/>
  <c r="J22" i="75"/>
  <c r="H22" i="75"/>
  <c r="F22" i="75"/>
  <c r="D22" i="75"/>
  <c r="B22" i="75"/>
  <c r="AE21" i="75"/>
  <c r="O21" i="75"/>
  <c r="G21" i="75"/>
  <c r="E21" i="75"/>
  <c r="C21" i="75"/>
  <c r="AE20" i="75"/>
  <c r="O20" i="75"/>
  <c r="G20" i="75"/>
  <c r="E20" i="75"/>
  <c r="C20" i="75"/>
  <c r="AE19" i="75"/>
  <c r="O19" i="75"/>
  <c r="I19" i="75"/>
  <c r="G19" i="75"/>
  <c r="E19" i="75"/>
  <c r="C19" i="75"/>
  <c r="AE18" i="75"/>
  <c r="O18" i="75"/>
  <c r="I18" i="75"/>
  <c r="G18" i="75"/>
  <c r="E18" i="75"/>
  <c r="C18" i="75"/>
  <c r="AE17" i="75"/>
  <c r="O17" i="75"/>
  <c r="I17" i="75"/>
  <c r="G17" i="75"/>
  <c r="E17" i="75"/>
  <c r="C17" i="75"/>
  <c r="AE16" i="75"/>
  <c r="O16" i="75"/>
  <c r="I16" i="75"/>
  <c r="I22" i="75" s="1"/>
  <c r="G16" i="75"/>
  <c r="E16" i="75"/>
  <c r="E22" i="75" s="1"/>
  <c r="C16" i="75"/>
  <c r="AE15" i="75"/>
  <c r="O15" i="75"/>
  <c r="G15" i="75"/>
  <c r="E15" i="75"/>
  <c r="C15" i="75"/>
  <c r="C22" i="75" l="1"/>
  <c r="O22" i="75"/>
  <c r="AE22" i="75"/>
  <c r="G22" i="75"/>
  <c r="AG22" i="74" l="1"/>
  <c r="AF22" i="74"/>
  <c r="AD22" i="74"/>
  <c r="AC22" i="74"/>
  <c r="AB22" i="74"/>
  <c r="AA22" i="74"/>
  <c r="Z22" i="74"/>
  <c r="Y22" i="74"/>
  <c r="X22" i="74"/>
  <c r="W22" i="74"/>
  <c r="V22" i="74"/>
  <c r="U22" i="74"/>
  <c r="T22" i="74"/>
  <c r="S22" i="74"/>
  <c r="R22" i="74"/>
  <c r="Q22" i="74"/>
  <c r="P22" i="74"/>
  <c r="N22" i="74"/>
  <c r="M22" i="74"/>
  <c r="L22" i="74"/>
  <c r="K22" i="74"/>
  <c r="J22" i="74"/>
  <c r="H22" i="74"/>
  <c r="F22" i="74"/>
  <c r="D22" i="74"/>
  <c r="B22" i="74"/>
  <c r="AE21" i="74"/>
  <c r="O21" i="74"/>
  <c r="G21" i="74"/>
  <c r="E21" i="74"/>
  <c r="C21" i="74"/>
  <c r="AE20" i="74"/>
  <c r="O20" i="74"/>
  <c r="G20" i="74"/>
  <c r="E20" i="74"/>
  <c r="C20" i="74"/>
  <c r="AE19" i="74"/>
  <c r="O19" i="74"/>
  <c r="I19" i="74"/>
  <c r="G19" i="74"/>
  <c r="E19" i="74"/>
  <c r="C19" i="74"/>
  <c r="AE18" i="74"/>
  <c r="O18" i="74"/>
  <c r="I18" i="74"/>
  <c r="G18" i="74"/>
  <c r="E18" i="74"/>
  <c r="C18" i="74"/>
  <c r="AE17" i="74"/>
  <c r="O17" i="74"/>
  <c r="I17" i="74"/>
  <c r="G17" i="74"/>
  <c r="E17" i="74"/>
  <c r="C17" i="74"/>
  <c r="AE16" i="74"/>
  <c r="O16" i="74"/>
  <c r="I16" i="74"/>
  <c r="G16" i="74"/>
  <c r="E16" i="74"/>
  <c r="C16" i="74"/>
  <c r="AE15" i="74"/>
  <c r="O15" i="74"/>
  <c r="G15" i="74"/>
  <c r="E15" i="74"/>
  <c r="C15" i="74"/>
  <c r="C22" i="74" l="1"/>
  <c r="E22" i="74"/>
  <c r="O22" i="74"/>
  <c r="I22" i="74"/>
  <c r="G22" i="74"/>
  <c r="AE22" i="74"/>
  <c r="AG22" i="73"/>
  <c r="AF22" i="73"/>
  <c r="AD22" i="73"/>
  <c r="AC22" i="73"/>
  <c r="AB22" i="73"/>
  <c r="AA22" i="73"/>
  <c r="Z22" i="73"/>
  <c r="Y22" i="73"/>
  <c r="X22" i="73"/>
  <c r="W22" i="73"/>
  <c r="V22" i="73"/>
  <c r="U22" i="73"/>
  <c r="T22" i="73"/>
  <c r="S22" i="73"/>
  <c r="R22" i="73"/>
  <c r="Q22" i="73"/>
  <c r="P22" i="73"/>
  <c r="N22" i="73"/>
  <c r="M22" i="73"/>
  <c r="L22" i="73"/>
  <c r="K22" i="73"/>
  <c r="J22" i="73"/>
  <c r="H22" i="73"/>
  <c r="F22" i="73"/>
  <c r="D22" i="73"/>
  <c r="B22" i="73"/>
  <c r="AE21" i="73"/>
  <c r="O21" i="73"/>
  <c r="G21" i="73"/>
  <c r="E21" i="73"/>
  <c r="C21" i="73"/>
  <c r="AE20" i="73"/>
  <c r="O20" i="73"/>
  <c r="G20" i="73"/>
  <c r="E20" i="73"/>
  <c r="C20" i="73"/>
  <c r="AE19" i="73"/>
  <c r="O19" i="73"/>
  <c r="I19" i="73"/>
  <c r="G19" i="73"/>
  <c r="E19" i="73"/>
  <c r="C19" i="73"/>
  <c r="AE18" i="73"/>
  <c r="O18" i="73"/>
  <c r="I18" i="73"/>
  <c r="G18" i="73"/>
  <c r="E18" i="73"/>
  <c r="C18" i="73"/>
  <c r="AE17" i="73"/>
  <c r="O17" i="73"/>
  <c r="I17" i="73"/>
  <c r="G17" i="73"/>
  <c r="E17" i="73"/>
  <c r="C17" i="73"/>
  <c r="AE16" i="73"/>
  <c r="O16" i="73"/>
  <c r="I16" i="73"/>
  <c r="G16" i="73"/>
  <c r="E16" i="73"/>
  <c r="C16" i="73"/>
  <c r="AE15" i="73"/>
  <c r="O15" i="73"/>
  <c r="G15" i="73"/>
  <c r="E15" i="73"/>
  <c r="C15" i="73"/>
  <c r="E22" i="73" l="1"/>
  <c r="C22" i="73"/>
  <c r="I22" i="73"/>
  <c r="O22" i="73"/>
  <c r="G22" i="73"/>
  <c r="AE22" i="73"/>
  <c r="AG22" i="72" l="1"/>
  <c r="AF22" i="72"/>
  <c r="AD22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2" i="72"/>
  <c r="N22" i="72"/>
  <c r="M22" i="72"/>
  <c r="L22" i="72"/>
  <c r="K22" i="72"/>
  <c r="J22" i="72"/>
  <c r="H22" i="72"/>
  <c r="F22" i="72"/>
  <c r="D22" i="72"/>
  <c r="B22" i="72"/>
  <c r="AE21" i="72"/>
  <c r="O21" i="72"/>
  <c r="G21" i="72"/>
  <c r="E21" i="72"/>
  <c r="C21" i="72"/>
  <c r="AE20" i="72"/>
  <c r="O20" i="72"/>
  <c r="G20" i="72"/>
  <c r="E20" i="72"/>
  <c r="C20" i="72"/>
  <c r="AE19" i="72"/>
  <c r="O19" i="72"/>
  <c r="I19" i="72"/>
  <c r="G19" i="72"/>
  <c r="E19" i="72"/>
  <c r="C19" i="72"/>
  <c r="AE18" i="72"/>
  <c r="O18" i="72"/>
  <c r="I18" i="72"/>
  <c r="G18" i="72"/>
  <c r="E18" i="72"/>
  <c r="C18" i="72"/>
  <c r="AE17" i="72"/>
  <c r="O17" i="72"/>
  <c r="I17" i="72"/>
  <c r="G17" i="72"/>
  <c r="E17" i="72"/>
  <c r="C17" i="72"/>
  <c r="AE16" i="72"/>
  <c r="AC22" i="72"/>
  <c r="O16" i="72"/>
  <c r="I16" i="72"/>
  <c r="I22" i="72" s="1"/>
  <c r="G16" i="72"/>
  <c r="E16" i="72"/>
  <c r="C16" i="72"/>
  <c r="AE15" i="72"/>
  <c r="O15" i="72"/>
  <c r="G15" i="72"/>
  <c r="E15" i="72"/>
  <c r="C15" i="72"/>
  <c r="C22" i="72" l="1"/>
  <c r="O22" i="72"/>
  <c r="E22" i="72"/>
  <c r="AE22" i="72"/>
  <c r="G22" i="72"/>
  <c r="AG22" i="71" l="1"/>
  <c r="AF22" i="71"/>
  <c r="AD22" i="71"/>
  <c r="AC22" i="71"/>
  <c r="AB22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N22" i="71"/>
  <c r="M22" i="71"/>
  <c r="L22" i="71"/>
  <c r="K22" i="71"/>
  <c r="J22" i="71"/>
  <c r="H22" i="71"/>
  <c r="F22" i="71"/>
  <c r="D22" i="71"/>
  <c r="B22" i="71"/>
  <c r="AE21" i="71"/>
  <c r="O21" i="71"/>
  <c r="G21" i="71"/>
  <c r="E21" i="71"/>
  <c r="C21" i="71"/>
  <c r="AE20" i="71"/>
  <c r="O20" i="71"/>
  <c r="G20" i="71"/>
  <c r="E20" i="71"/>
  <c r="C20" i="71"/>
  <c r="AE19" i="71"/>
  <c r="O19" i="71"/>
  <c r="I19" i="71"/>
  <c r="G19" i="71"/>
  <c r="E19" i="71"/>
  <c r="C19" i="71"/>
  <c r="AE18" i="71"/>
  <c r="O18" i="71"/>
  <c r="I18" i="71"/>
  <c r="G18" i="71"/>
  <c r="E18" i="71"/>
  <c r="C18" i="71"/>
  <c r="AE17" i="71"/>
  <c r="O17" i="71"/>
  <c r="I17" i="71"/>
  <c r="G17" i="71"/>
  <c r="E17" i="71"/>
  <c r="C17" i="71"/>
  <c r="AE16" i="71"/>
  <c r="O16" i="71"/>
  <c r="I16" i="71"/>
  <c r="I22" i="71" s="1"/>
  <c r="G16" i="71"/>
  <c r="E16" i="71"/>
  <c r="C16" i="71"/>
  <c r="AE15" i="71"/>
  <c r="O15" i="71"/>
  <c r="G15" i="71"/>
  <c r="E15" i="71"/>
  <c r="C15" i="71"/>
  <c r="E22" i="71" l="1"/>
  <c r="C22" i="71"/>
  <c r="O22" i="71"/>
  <c r="G22" i="71"/>
  <c r="AE22" i="71"/>
  <c r="AG21" i="70"/>
  <c r="AF21" i="70"/>
  <c r="AD21" i="70"/>
  <c r="AC21" i="70"/>
  <c r="AB21" i="70"/>
  <c r="AA21" i="70"/>
  <c r="Z21" i="70"/>
  <c r="Y21" i="70"/>
  <c r="X21" i="70"/>
  <c r="W21" i="70"/>
  <c r="V21" i="70"/>
  <c r="U21" i="70"/>
  <c r="T21" i="70"/>
  <c r="S21" i="70"/>
  <c r="R21" i="70"/>
  <c r="Q21" i="70"/>
  <c r="P21" i="70"/>
  <c r="N21" i="70"/>
  <c r="M21" i="70"/>
  <c r="L21" i="70"/>
  <c r="K21" i="70"/>
  <c r="J21" i="70"/>
  <c r="H21" i="70"/>
  <c r="F21" i="70"/>
  <c r="D21" i="70"/>
  <c r="B21" i="70"/>
  <c r="AE20" i="70"/>
  <c r="O20" i="70"/>
  <c r="G20" i="70"/>
  <c r="E20" i="70"/>
  <c r="C20" i="70"/>
  <c r="AE19" i="70"/>
  <c r="O19" i="70"/>
  <c r="G19" i="70"/>
  <c r="E19" i="70"/>
  <c r="C19" i="70"/>
  <c r="AE18" i="70"/>
  <c r="O18" i="70"/>
  <c r="I18" i="70"/>
  <c r="G18" i="70"/>
  <c r="E18" i="70"/>
  <c r="C18" i="70"/>
  <c r="AE17" i="70"/>
  <c r="O17" i="70"/>
  <c r="I17" i="70"/>
  <c r="G17" i="70"/>
  <c r="E17" i="70"/>
  <c r="C17" i="70"/>
  <c r="AE16" i="70"/>
  <c r="O16" i="70"/>
  <c r="I16" i="70"/>
  <c r="G16" i="70"/>
  <c r="E16" i="70"/>
  <c r="C16" i="70"/>
  <c r="AE15" i="70"/>
  <c r="O15" i="70"/>
  <c r="I15" i="70"/>
  <c r="G15" i="70"/>
  <c r="E15" i="70"/>
  <c r="C15" i="70"/>
  <c r="E21" i="70" l="1"/>
  <c r="I21" i="70"/>
  <c r="O21" i="70"/>
  <c r="G21" i="70"/>
  <c r="C21" i="70"/>
  <c r="AE21" i="70"/>
  <c r="AE21" i="69"/>
  <c r="O21" i="69"/>
  <c r="G21" i="69"/>
  <c r="E21" i="69"/>
  <c r="C21" i="69"/>
  <c r="AG23" i="69" l="1"/>
  <c r="AF23" i="69"/>
  <c r="AD23" i="69"/>
  <c r="AC23" i="69"/>
  <c r="AB23" i="69"/>
  <c r="AA23" i="69"/>
  <c r="Z23" i="69"/>
  <c r="Y23" i="69"/>
  <c r="X23" i="69"/>
  <c r="W23" i="69"/>
  <c r="V23" i="69"/>
  <c r="U23" i="69"/>
  <c r="T23" i="69"/>
  <c r="S23" i="69"/>
  <c r="R23" i="69"/>
  <c r="Q23" i="69"/>
  <c r="P23" i="69"/>
  <c r="N23" i="69"/>
  <c r="M23" i="69"/>
  <c r="L23" i="69"/>
  <c r="K23" i="69"/>
  <c r="J23" i="69"/>
  <c r="H23" i="69"/>
  <c r="F23" i="69"/>
  <c r="D23" i="69"/>
  <c r="B23" i="69"/>
  <c r="AE22" i="69"/>
  <c r="O22" i="69"/>
  <c r="G22" i="69"/>
  <c r="E22" i="69"/>
  <c r="C22" i="69"/>
  <c r="AE20" i="69"/>
  <c r="O20" i="69"/>
  <c r="G20" i="69"/>
  <c r="E20" i="69"/>
  <c r="C20" i="69"/>
  <c r="AE19" i="69"/>
  <c r="O19" i="69"/>
  <c r="I19" i="69"/>
  <c r="G19" i="69"/>
  <c r="E19" i="69"/>
  <c r="C19" i="69"/>
  <c r="AE18" i="69"/>
  <c r="O18" i="69"/>
  <c r="I18" i="69"/>
  <c r="G18" i="69"/>
  <c r="E18" i="69"/>
  <c r="C18" i="69"/>
  <c r="AE17" i="69"/>
  <c r="O17" i="69"/>
  <c r="I17" i="69"/>
  <c r="G17" i="69"/>
  <c r="E17" i="69"/>
  <c r="C17" i="69"/>
  <c r="AE16" i="69"/>
  <c r="O16" i="69"/>
  <c r="I16" i="69"/>
  <c r="G16" i="69"/>
  <c r="E16" i="69"/>
  <c r="C16" i="69"/>
  <c r="AE15" i="69"/>
  <c r="O15" i="69"/>
  <c r="G15" i="69"/>
  <c r="E15" i="69"/>
  <c r="C15" i="69"/>
  <c r="I23" i="69" l="1"/>
  <c r="O23" i="69"/>
  <c r="C23" i="69"/>
  <c r="E23" i="69"/>
  <c r="G23" i="69"/>
  <c r="AE23" i="69"/>
  <c r="AG22" i="68"/>
  <c r="AF22" i="68"/>
  <c r="AD22" i="68"/>
  <c r="AC22" i="68"/>
  <c r="AB22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N22" i="68"/>
  <c r="M22" i="68"/>
  <c r="L22" i="68"/>
  <c r="K22" i="68"/>
  <c r="J22" i="68"/>
  <c r="H22" i="68"/>
  <c r="F22" i="68"/>
  <c r="D22" i="68"/>
  <c r="B22" i="68"/>
  <c r="AE21" i="68"/>
  <c r="O21" i="68"/>
  <c r="G21" i="68"/>
  <c r="E21" i="68"/>
  <c r="C21" i="68"/>
  <c r="AE20" i="68"/>
  <c r="O20" i="68"/>
  <c r="G20" i="68"/>
  <c r="E20" i="68"/>
  <c r="C20" i="68"/>
  <c r="AE19" i="68"/>
  <c r="O19" i="68"/>
  <c r="I19" i="68"/>
  <c r="G19" i="68"/>
  <c r="E19" i="68"/>
  <c r="C19" i="68"/>
  <c r="AE18" i="68"/>
  <c r="O18" i="68"/>
  <c r="I18" i="68"/>
  <c r="G18" i="68"/>
  <c r="E18" i="68"/>
  <c r="C18" i="68"/>
  <c r="AE17" i="68"/>
  <c r="O17" i="68"/>
  <c r="I17" i="68"/>
  <c r="I22" i="68" s="1"/>
  <c r="G17" i="68"/>
  <c r="E17" i="68"/>
  <c r="C17" i="68"/>
  <c r="AE16" i="68"/>
  <c r="O16" i="68"/>
  <c r="I16" i="68"/>
  <c r="G16" i="68"/>
  <c r="E16" i="68"/>
  <c r="C16" i="68"/>
  <c r="AE15" i="68"/>
  <c r="O15" i="68"/>
  <c r="G15" i="68"/>
  <c r="E15" i="68"/>
  <c r="C15" i="68"/>
  <c r="O22" i="68" l="1"/>
  <c r="C22" i="68"/>
  <c r="E22" i="68"/>
  <c r="G22" i="68"/>
  <c r="AE22" i="68"/>
  <c r="AG22" i="67" l="1"/>
  <c r="AF22" i="67"/>
  <c r="AD22" i="67"/>
  <c r="AC22" i="67"/>
  <c r="AB22" i="67"/>
  <c r="AA22" i="67"/>
  <c r="Z22" i="67"/>
  <c r="Y22" i="67"/>
  <c r="X22" i="67"/>
  <c r="W22" i="67"/>
  <c r="V22" i="67"/>
  <c r="U22" i="67"/>
  <c r="T22" i="67"/>
  <c r="S22" i="67"/>
  <c r="R22" i="67"/>
  <c r="Q22" i="67"/>
  <c r="P22" i="67"/>
  <c r="N22" i="67"/>
  <c r="M22" i="67"/>
  <c r="L22" i="67"/>
  <c r="K22" i="67"/>
  <c r="J22" i="67"/>
  <c r="H22" i="67"/>
  <c r="F22" i="67"/>
  <c r="D22" i="67"/>
  <c r="B22" i="67"/>
  <c r="AE21" i="67"/>
  <c r="O21" i="67"/>
  <c r="G21" i="67"/>
  <c r="E21" i="67"/>
  <c r="C21" i="67"/>
  <c r="AE20" i="67"/>
  <c r="O20" i="67"/>
  <c r="G20" i="67"/>
  <c r="E20" i="67"/>
  <c r="C20" i="67"/>
  <c r="AE19" i="67"/>
  <c r="O19" i="67"/>
  <c r="I19" i="67"/>
  <c r="G19" i="67"/>
  <c r="E19" i="67"/>
  <c r="C19" i="67"/>
  <c r="AE18" i="67"/>
  <c r="O18" i="67"/>
  <c r="I18" i="67"/>
  <c r="G18" i="67"/>
  <c r="E18" i="67"/>
  <c r="C18" i="67"/>
  <c r="AE17" i="67"/>
  <c r="O17" i="67"/>
  <c r="I17" i="67"/>
  <c r="G17" i="67"/>
  <c r="E17" i="67"/>
  <c r="C17" i="67"/>
  <c r="AE16" i="67"/>
  <c r="O16" i="67"/>
  <c r="I16" i="67"/>
  <c r="G16" i="67"/>
  <c r="E16" i="67"/>
  <c r="C16" i="67"/>
  <c r="AE15" i="67"/>
  <c r="O15" i="67"/>
  <c r="G15" i="67"/>
  <c r="E15" i="67"/>
  <c r="C15" i="67"/>
  <c r="C22" i="67" l="1"/>
  <c r="O22" i="67"/>
  <c r="I22" i="67"/>
  <c r="E22" i="67"/>
  <c r="G22" i="67"/>
  <c r="AE22" i="67"/>
  <c r="AG22" i="66" l="1"/>
  <c r="AF22" i="66"/>
  <c r="AD22" i="66"/>
  <c r="AC22" i="66"/>
  <c r="AB22" i="66"/>
  <c r="AA22" i="66"/>
  <c r="Z22" i="66"/>
  <c r="Y22" i="66"/>
  <c r="X22" i="66"/>
  <c r="W22" i="66"/>
  <c r="V22" i="66"/>
  <c r="U22" i="66"/>
  <c r="T22" i="66"/>
  <c r="S22" i="66"/>
  <c r="R22" i="66"/>
  <c r="Q22" i="66"/>
  <c r="P22" i="66"/>
  <c r="N22" i="66"/>
  <c r="M22" i="66"/>
  <c r="L22" i="66"/>
  <c r="K22" i="66"/>
  <c r="J22" i="66"/>
  <c r="H22" i="66"/>
  <c r="F22" i="66"/>
  <c r="D22" i="66"/>
  <c r="B22" i="66"/>
  <c r="AE21" i="66"/>
  <c r="O21" i="66"/>
  <c r="G21" i="66"/>
  <c r="E21" i="66"/>
  <c r="C21" i="66"/>
  <c r="AE20" i="66"/>
  <c r="O20" i="66"/>
  <c r="G20" i="66"/>
  <c r="E20" i="66"/>
  <c r="C20" i="66"/>
  <c r="AE19" i="66"/>
  <c r="O19" i="66"/>
  <c r="I19" i="66"/>
  <c r="G19" i="66"/>
  <c r="E19" i="66"/>
  <c r="C19" i="66"/>
  <c r="AE18" i="66"/>
  <c r="O18" i="66"/>
  <c r="I18" i="66"/>
  <c r="G18" i="66"/>
  <c r="E18" i="66"/>
  <c r="C18" i="66"/>
  <c r="AE17" i="66"/>
  <c r="O17" i="66"/>
  <c r="I17" i="66"/>
  <c r="G17" i="66"/>
  <c r="E17" i="66"/>
  <c r="C17" i="66"/>
  <c r="AE16" i="66"/>
  <c r="O16" i="66"/>
  <c r="I16" i="66"/>
  <c r="I22" i="66" s="1"/>
  <c r="G16" i="66"/>
  <c r="E16" i="66"/>
  <c r="C16" i="66"/>
  <c r="AE15" i="66"/>
  <c r="O15" i="66"/>
  <c r="G15" i="66"/>
  <c r="E15" i="66"/>
  <c r="C15" i="66"/>
  <c r="C22" i="66" l="1"/>
  <c r="O22" i="66"/>
  <c r="E22" i="66"/>
  <c r="AE22" i="66"/>
  <c r="G22" i="66"/>
  <c r="AG22" i="65" l="1"/>
  <c r="AF22" i="65"/>
  <c r="AD22" i="65"/>
  <c r="AC22" i="65"/>
  <c r="AB22" i="65"/>
  <c r="AA22" i="65"/>
  <c r="Z22" i="65"/>
  <c r="Y22" i="65"/>
  <c r="X22" i="65"/>
  <c r="W22" i="65"/>
  <c r="V22" i="65"/>
  <c r="U22" i="65"/>
  <c r="T22" i="65"/>
  <c r="S22" i="65"/>
  <c r="R22" i="65"/>
  <c r="Q22" i="65"/>
  <c r="P22" i="65"/>
  <c r="N22" i="65"/>
  <c r="M22" i="65"/>
  <c r="L22" i="65"/>
  <c r="K22" i="65"/>
  <c r="J22" i="65"/>
  <c r="H22" i="65"/>
  <c r="F22" i="65"/>
  <c r="D22" i="65"/>
  <c r="B22" i="65"/>
  <c r="AE21" i="65"/>
  <c r="O21" i="65"/>
  <c r="G21" i="65"/>
  <c r="E21" i="65"/>
  <c r="C21" i="65"/>
  <c r="AE20" i="65"/>
  <c r="O20" i="65"/>
  <c r="G20" i="65"/>
  <c r="E20" i="65"/>
  <c r="C20" i="65"/>
  <c r="AE19" i="65"/>
  <c r="O19" i="65"/>
  <c r="I19" i="65"/>
  <c r="G19" i="65"/>
  <c r="E19" i="65"/>
  <c r="C19" i="65"/>
  <c r="AE18" i="65"/>
  <c r="O18" i="65"/>
  <c r="I18" i="65"/>
  <c r="G18" i="65"/>
  <c r="E18" i="65"/>
  <c r="C18" i="65"/>
  <c r="AE17" i="65"/>
  <c r="O17" i="65"/>
  <c r="I17" i="65"/>
  <c r="G17" i="65"/>
  <c r="E17" i="65"/>
  <c r="C17" i="65"/>
  <c r="AE16" i="65"/>
  <c r="O16" i="65"/>
  <c r="I16" i="65"/>
  <c r="G16" i="65"/>
  <c r="E16" i="65"/>
  <c r="C16" i="65"/>
  <c r="AE15" i="65"/>
  <c r="O15" i="65"/>
  <c r="G15" i="65"/>
  <c r="E15" i="65"/>
  <c r="C15" i="65"/>
  <c r="I22" i="65" l="1"/>
  <c r="C22" i="65"/>
  <c r="O22" i="65"/>
  <c r="AE22" i="65"/>
  <c r="E22" i="65"/>
  <c r="G22" i="65"/>
  <c r="AG22" i="64"/>
  <c r="AF22" i="64"/>
  <c r="AD22" i="64"/>
  <c r="AC22" i="64"/>
  <c r="AB22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N22" i="64"/>
  <c r="M22" i="64"/>
  <c r="L22" i="64"/>
  <c r="K22" i="64"/>
  <c r="J22" i="64"/>
  <c r="H22" i="64"/>
  <c r="F22" i="64"/>
  <c r="D22" i="64"/>
  <c r="B22" i="64"/>
  <c r="AE21" i="64"/>
  <c r="O21" i="64"/>
  <c r="G21" i="64"/>
  <c r="E21" i="64"/>
  <c r="C21" i="64"/>
  <c r="AE20" i="64"/>
  <c r="O20" i="64"/>
  <c r="G20" i="64"/>
  <c r="E20" i="64"/>
  <c r="C20" i="64"/>
  <c r="AE19" i="64"/>
  <c r="O19" i="64"/>
  <c r="I19" i="64"/>
  <c r="G19" i="64"/>
  <c r="E19" i="64"/>
  <c r="C19" i="64"/>
  <c r="AE18" i="64"/>
  <c r="O18" i="64"/>
  <c r="I18" i="64"/>
  <c r="G18" i="64"/>
  <c r="E18" i="64"/>
  <c r="C18" i="64"/>
  <c r="AE17" i="64"/>
  <c r="O17" i="64"/>
  <c r="I17" i="64"/>
  <c r="G17" i="64"/>
  <c r="E17" i="64"/>
  <c r="C17" i="64"/>
  <c r="AE16" i="64"/>
  <c r="O16" i="64"/>
  <c r="I16" i="64"/>
  <c r="G16" i="64"/>
  <c r="E16" i="64"/>
  <c r="C16" i="64"/>
  <c r="AE15" i="64"/>
  <c r="O15" i="64"/>
  <c r="G15" i="64"/>
  <c r="E15" i="64"/>
  <c r="C15" i="64"/>
  <c r="C22" i="64" l="1"/>
  <c r="I22" i="64"/>
  <c r="O22" i="64"/>
  <c r="AE22" i="64"/>
  <c r="E22" i="64"/>
  <c r="G22" i="64"/>
  <c r="AE16" i="63" l="1"/>
  <c r="AE17" i="63"/>
  <c r="AE18" i="63"/>
  <c r="AE19" i="63"/>
  <c r="AE20" i="63"/>
  <c r="AE21" i="63"/>
  <c r="AG22" i="63"/>
  <c r="AF22" i="63"/>
  <c r="AD22" i="63"/>
  <c r="AC22" i="63"/>
  <c r="AB22" i="63"/>
  <c r="AA22" i="63"/>
  <c r="Z22" i="63"/>
  <c r="Y22" i="63"/>
  <c r="X22" i="63"/>
  <c r="W22" i="63"/>
  <c r="V22" i="63"/>
  <c r="U22" i="63"/>
  <c r="T22" i="63"/>
  <c r="S22" i="63"/>
  <c r="R22" i="63"/>
  <c r="Q22" i="63"/>
  <c r="P22" i="63"/>
  <c r="N22" i="63"/>
  <c r="M22" i="63"/>
  <c r="L22" i="63"/>
  <c r="K22" i="63"/>
  <c r="J22" i="63"/>
  <c r="H22" i="63"/>
  <c r="F22" i="63"/>
  <c r="D22" i="63"/>
  <c r="B22" i="63"/>
  <c r="O21" i="63"/>
  <c r="G21" i="63"/>
  <c r="E21" i="63"/>
  <c r="C21" i="63"/>
  <c r="O20" i="63"/>
  <c r="G20" i="63"/>
  <c r="E20" i="63"/>
  <c r="C20" i="63"/>
  <c r="O19" i="63"/>
  <c r="I19" i="63"/>
  <c r="G19" i="63"/>
  <c r="E19" i="63"/>
  <c r="C19" i="63"/>
  <c r="O18" i="63"/>
  <c r="I18" i="63"/>
  <c r="G18" i="63"/>
  <c r="E18" i="63"/>
  <c r="C18" i="63"/>
  <c r="O17" i="63"/>
  <c r="I17" i="63"/>
  <c r="G17" i="63"/>
  <c r="E17" i="63"/>
  <c r="C17" i="63"/>
  <c r="O16" i="63"/>
  <c r="I16" i="63"/>
  <c r="G16" i="63"/>
  <c r="E16" i="63"/>
  <c r="C16" i="63"/>
  <c r="AE15" i="63"/>
  <c r="O15" i="63"/>
  <c r="G15" i="63"/>
  <c r="E15" i="63"/>
  <c r="C15" i="63"/>
  <c r="C22" i="63" l="1"/>
  <c r="O22" i="63"/>
  <c r="I22" i="63"/>
  <c r="G22" i="63"/>
  <c r="E22" i="63"/>
  <c r="AE22" i="63"/>
  <c r="AG22" i="62"/>
  <c r="AF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N22" i="62"/>
  <c r="M22" i="62"/>
  <c r="L22" i="62"/>
  <c r="K22" i="62"/>
  <c r="J22" i="62"/>
  <c r="H22" i="62"/>
  <c r="F22" i="62"/>
  <c r="D22" i="62"/>
  <c r="B22" i="62"/>
  <c r="AE21" i="62"/>
  <c r="O21" i="62"/>
  <c r="G21" i="62"/>
  <c r="E21" i="62"/>
  <c r="C21" i="62"/>
  <c r="AE20" i="62"/>
  <c r="O20" i="62"/>
  <c r="G20" i="62"/>
  <c r="E20" i="62"/>
  <c r="C20" i="62"/>
  <c r="AE19" i="62"/>
  <c r="O19" i="62"/>
  <c r="I19" i="62"/>
  <c r="G19" i="62"/>
  <c r="E19" i="62"/>
  <c r="C19" i="62"/>
  <c r="AE18" i="62"/>
  <c r="O18" i="62"/>
  <c r="I18" i="62"/>
  <c r="G18" i="62"/>
  <c r="E18" i="62"/>
  <c r="C18" i="62"/>
  <c r="AE17" i="62"/>
  <c r="O17" i="62"/>
  <c r="I17" i="62"/>
  <c r="I22" i="62" s="1"/>
  <c r="G17" i="62"/>
  <c r="E17" i="62"/>
  <c r="C17" i="62"/>
  <c r="AE16" i="62"/>
  <c r="O16" i="62"/>
  <c r="I16" i="62"/>
  <c r="G16" i="62"/>
  <c r="E16" i="62"/>
  <c r="C16" i="62"/>
  <c r="AE15" i="62"/>
  <c r="O15" i="62"/>
  <c r="G15" i="62"/>
  <c r="E15" i="62"/>
  <c r="C15" i="62"/>
  <c r="C22" i="62" l="1"/>
  <c r="O22" i="62"/>
  <c r="E22" i="62"/>
  <c r="G22" i="62"/>
  <c r="AE22" i="62"/>
  <c r="AG22" i="61" l="1"/>
  <c r="AF22" i="61"/>
  <c r="AD22" i="61"/>
  <c r="AC22" i="61"/>
  <c r="AB22" i="61"/>
  <c r="AA22" i="61"/>
  <c r="Z22" i="61"/>
  <c r="Y22" i="61"/>
  <c r="X22" i="61"/>
  <c r="W22" i="61"/>
  <c r="V22" i="61"/>
  <c r="U22" i="61"/>
  <c r="T22" i="61"/>
  <c r="S22" i="61"/>
  <c r="R22" i="61"/>
  <c r="Q22" i="61"/>
  <c r="P22" i="61"/>
  <c r="N22" i="61"/>
  <c r="M22" i="61"/>
  <c r="L22" i="61"/>
  <c r="K22" i="61"/>
  <c r="J22" i="61"/>
  <c r="H22" i="61"/>
  <c r="F22" i="61"/>
  <c r="D22" i="61"/>
  <c r="B22" i="61"/>
  <c r="AE21" i="61"/>
  <c r="O21" i="61"/>
  <c r="G21" i="61"/>
  <c r="E21" i="61"/>
  <c r="C21" i="61"/>
  <c r="AE20" i="61"/>
  <c r="O20" i="61"/>
  <c r="G20" i="61"/>
  <c r="E20" i="61"/>
  <c r="C20" i="61"/>
  <c r="AE19" i="61"/>
  <c r="O19" i="61"/>
  <c r="I19" i="61"/>
  <c r="G19" i="61"/>
  <c r="E19" i="61"/>
  <c r="C19" i="61"/>
  <c r="AE18" i="61"/>
  <c r="O18" i="61"/>
  <c r="I18" i="61"/>
  <c r="G18" i="61"/>
  <c r="E18" i="61"/>
  <c r="C18" i="61"/>
  <c r="AE17" i="61"/>
  <c r="O17" i="61"/>
  <c r="I17" i="61"/>
  <c r="G17" i="61"/>
  <c r="E17" i="61"/>
  <c r="C17" i="61"/>
  <c r="AE16" i="61"/>
  <c r="O16" i="61"/>
  <c r="I16" i="61"/>
  <c r="G16" i="61"/>
  <c r="E16" i="61"/>
  <c r="C16" i="61"/>
  <c r="AE15" i="61"/>
  <c r="O15" i="61"/>
  <c r="G15" i="61"/>
  <c r="E15" i="61"/>
  <c r="C15" i="61"/>
  <c r="C22" i="61" l="1"/>
  <c r="I22" i="61"/>
  <c r="O22" i="61"/>
  <c r="AE22" i="61"/>
  <c r="G22" i="61"/>
  <c r="E22" i="61"/>
  <c r="AG22" i="60" l="1"/>
  <c r="AF22" i="60"/>
  <c r="AD22" i="60"/>
  <c r="AC22" i="60"/>
  <c r="AB22" i="60"/>
  <c r="AA22" i="60"/>
  <c r="Z22" i="60"/>
  <c r="Y22" i="60"/>
  <c r="X22" i="60"/>
  <c r="W22" i="60"/>
  <c r="V22" i="60"/>
  <c r="U22" i="60"/>
  <c r="T22" i="60"/>
  <c r="S22" i="60"/>
  <c r="R22" i="60"/>
  <c r="Q22" i="60"/>
  <c r="P22" i="60"/>
  <c r="N22" i="60"/>
  <c r="M22" i="60"/>
  <c r="L22" i="60"/>
  <c r="K22" i="60"/>
  <c r="J22" i="60"/>
  <c r="H22" i="60"/>
  <c r="F22" i="60"/>
  <c r="D22" i="60"/>
  <c r="B22" i="60"/>
  <c r="AE21" i="60"/>
  <c r="O21" i="60"/>
  <c r="G21" i="60"/>
  <c r="E21" i="60"/>
  <c r="C21" i="60"/>
  <c r="AE20" i="60"/>
  <c r="O20" i="60"/>
  <c r="G20" i="60"/>
  <c r="E20" i="60"/>
  <c r="C20" i="60"/>
  <c r="AE19" i="60"/>
  <c r="O19" i="60"/>
  <c r="I19" i="60"/>
  <c r="G19" i="60"/>
  <c r="E19" i="60"/>
  <c r="C19" i="60"/>
  <c r="AE18" i="60"/>
  <c r="O18" i="60"/>
  <c r="I18" i="60"/>
  <c r="G18" i="60"/>
  <c r="E18" i="60"/>
  <c r="C18" i="60"/>
  <c r="AE17" i="60"/>
  <c r="O17" i="60"/>
  <c r="I17" i="60"/>
  <c r="G17" i="60"/>
  <c r="E17" i="60"/>
  <c r="C17" i="60"/>
  <c r="AE16" i="60"/>
  <c r="O16" i="60"/>
  <c r="I16" i="60"/>
  <c r="G16" i="60"/>
  <c r="E16" i="60"/>
  <c r="C16" i="60"/>
  <c r="AE15" i="60"/>
  <c r="O15" i="60"/>
  <c r="G15" i="60"/>
  <c r="E15" i="60"/>
  <c r="C15" i="60"/>
  <c r="I22" i="60" l="1"/>
  <c r="C22" i="60"/>
  <c r="O22" i="60"/>
  <c r="AE22" i="60"/>
  <c r="E22" i="60"/>
  <c r="G22" i="60"/>
  <c r="AE16" i="59"/>
  <c r="AE17" i="59"/>
  <c r="AE18" i="59"/>
  <c r="AE19" i="59"/>
  <c r="AE20" i="59"/>
  <c r="AE21" i="59"/>
  <c r="AE15" i="59" l="1"/>
  <c r="AG22" i="59" l="1"/>
  <c r="AF22" i="59"/>
  <c r="AD22" i="59"/>
  <c r="AC22" i="59"/>
  <c r="AB22" i="59"/>
  <c r="AA22" i="59"/>
  <c r="Z22" i="59"/>
  <c r="Y22" i="59"/>
  <c r="X22" i="59"/>
  <c r="W22" i="59"/>
  <c r="V22" i="59"/>
  <c r="U22" i="59"/>
  <c r="T22" i="59"/>
  <c r="S22" i="59"/>
  <c r="R22" i="59"/>
  <c r="Q22" i="59"/>
  <c r="P22" i="59"/>
  <c r="N22" i="59"/>
  <c r="M22" i="59"/>
  <c r="L22" i="59"/>
  <c r="K22" i="59"/>
  <c r="J22" i="59"/>
  <c r="H22" i="59"/>
  <c r="F22" i="59"/>
  <c r="D22" i="59"/>
  <c r="B22" i="59"/>
  <c r="O21" i="59"/>
  <c r="G21" i="59"/>
  <c r="E21" i="59"/>
  <c r="C21" i="59"/>
  <c r="O20" i="59"/>
  <c r="G20" i="59"/>
  <c r="E20" i="59"/>
  <c r="C20" i="59"/>
  <c r="O19" i="59"/>
  <c r="I19" i="59"/>
  <c r="G19" i="59"/>
  <c r="E19" i="59"/>
  <c r="C19" i="59"/>
  <c r="O18" i="59"/>
  <c r="I18" i="59"/>
  <c r="G18" i="59"/>
  <c r="E18" i="59"/>
  <c r="C18" i="59"/>
  <c r="O17" i="59"/>
  <c r="I17" i="59"/>
  <c r="G17" i="59"/>
  <c r="E17" i="59"/>
  <c r="C17" i="59"/>
  <c r="O16" i="59"/>
  <c r="I16" i="59"/>
  <c r="G16" i="59"/>
  <c r="E16" i="59"/>
  <c r="C16" i="59"/>
  <c r="AE22" i="59"/>
  <c r="O15" i="59"/>
  <c r="G15" i="59"/>
  <c r="E15" i="59"/>
  <c r="C15" i="59"/>
  <c r="C22" i="59" s="1"/>
  <c r="E22" i="59" l="1"/>
  <c r="I22" i="59"/>
  <c r="O22" i="59"/>
  <c r="G22" i="59"/>
  <c r="AG22" i="58" l="1"/>
  <c r="AF22" i="58"/>
  <c r="AD22" i="58"/>
  <c r="AC22" i="58"/>
  <c r="AB22" i="58"/>
  <c r="AA22" i="58"/>
  <c r="Z22" i="58"/>
  <c r="Y22" i="58"/>
  <c r="X22" i="58"/>
  <c r="W22" i="58"/>
  <c r="V22" i="58"/>
  <c r="U22" i="58"/>
  <c r="T22" i="58"/>
  <c r="S22" i="58"/>
  <c r="R22" i="58"/>
  <c r="Q22" i="58"/>
  <c r="P22" i="58"/>
  <c r="N22" i="58"/>
  <c r="M22" i="58"/>
  <c r="L22" i="58"/>
  <c r="K22" i="58"/>
  <c r="J22" i="58"/>
  <c r="H22" i="58"/>
  <c r="F22" i="58"/>
  <c r="D22" i="58"/>
  <c r="B22" i="58"/>
  <c r="AE21" i="58"/>
  <c r="O21" i="58"/>
  <c r="G21" i="58"/>
  <c r="E21" i="58"/>
  <c r="C21" i="58"/>
  <c r="AE20" i="58"/>
  <c r="O20" i="58"/>
  <c r="G20" i="58"/>
  <c r="E20" i="58"/>
  <c r="C20" i="58"/>
  <c r="AE19" i="58"/>
  <c r="O19" i="58"/>
  <c r="I19" i="58"/>
  <c r="G19" i="58"/>
  <c r="E19" i="58"/>
  <c r="C19" i="58"/>
  <c r="AE18" i="58"/>
  <c r="O18" i="58"/>
  <c r="I18" i="58"/>
  <c r="G18" i="58"/>
  <c r="E18" i="58"/>
  <c r="C18" i="58"/>
  <c r="AE17" i="58"/>
  <c r="O17" i="58"/>
  <c r="I17" i="58"/>
  <c r="G17" i="58"/>
  <c r="E17" i="58"/>
  <c r="C17" i="58"/>
  <c r="AE16" i="58"/>
  <c r="O16" i="58"/>
  <c r="I16" i="58"/>
  <c r="I22" i="58" s="1"/>
  <c r="G16" i="58"/>
  <c r="E16" i="58"/>
  <c r="C16" i="58"/>
  <c r="C22" i="58" s="1"/>
  <c r="AE15" i="58"/>
  <c r="O15" i="58"/>
  <c r="G15" i="58"/>
  <c r="E15" i="58"/>
  <c r="C15" i="58"/>
  <c r="E22" i="58" l="1"/>
  <c r="O22" i="58"/>
  <c r="AE22" i="58"/>
  <c r="G22" i="58"/>
  <c r="AE21" i="57"/>
  <c r="O21" i="57"/>
  <c r="G21" i="57"/>
  <c r="E21" i="57"/>
  <c r="C21" i="57"/>
  <c r="AG23" i="57" l="1"/>
  <c r="AF23" i="57"/>
  <c r="AD23" i="57"/>
  <c r="AC23" i="57"/>
  <c r="AB23" i="57"/>
  <c r="AA23" i="57"/>
  <c r="Z23" i="57"/>
  <c r="Y23" i="57"/>
  <c r="X23" i="57"/>
  <c r="W23" i="57"/>
  <c r="V23" i="57"/>
  <c r="U23" i="57"/>
  <c r="T23" i="57"/>
  <c r="S23" i="57"/>
  <c r="R23" i="57"/>
  <c r="Q23" i="57"/>
  <c r="P23" i="57"/>
  <c r="N23" i="57"/>
  <c r="M23" i="57"/>
  <c r="L23" i="57"/>
  <c r="K23" i="57"/>
  <c r="J23" i="57"/>
  <c r="H23" i="57"/>
  <c r="F23" i="57"/>
  <c r="D23" i="57"/>
  <c r="B23" i="57"/>
  <c r="AE22" i="57"/>
  <c r="O22" i="57"/>
  <c r="G22" i="57"/>
  <c r="E22" i="57"/>
  <c r="C22" i="57"/>
  <c r="AE20" i="57"/>
  <c r="O20" i="57"/>
  <c r="G20" i="57"/>
  <c r="E20" i="57"/>
  <c r="C20" i="57"/>
  <c r="AE19" i="57"/>
  <c r="O19" i="57"/>
  <c r="I19" i="57"/>
  <c r="G19" i="57"/>
  <c r="E19" i="57"/>
  <c r="C19" i="57"/>
  <c r="AE18" i="57"/>
  <c r="O18" i="57"/>
  <c r="I18" i="57"/>
  <c r="G18" i="57"/>
  <c r="E18" i="57"/>
  <c r="C18" i="57"/>
  <c r="AE17" i="57"/>
  <c r="O17" i="57"/>
  <c r="I17" i="57"/>
  <c r="G17" i="57"/>
  <c r="E17" i="57"/>
  <c r="C17" i="57"/>
  <c r="AE16" i="57"/>
  <c r="O16" i="57"/>
  <c r="I16" i="57"/>
  <c r="G16" i="57"/>
  <c r="E16" i="57"/>
  <c r="C16" i="57"/>
  <c r="AE15" i="57"/>
  <c r="O15" i="57"/>
  <c r="G15" i="57"/>
  <c r="E15" i="57"/>
  <c r="C15" i="57"/>
  <c r="E23" i="57" l="1"/>
  <c r="O23" i="57"/>
  <c r="C23" i="57"/>
  <c r="I23" i="57"/>
  <c r="AE23" i="57"/>
  <c r="G23" i="57"/>
  <c r="AG22" i="56"/>
  <c r="AF22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N22" i="56"/>
  <c r="M22" i="56"/>
  <c r="L22" i="56"/>
  <c r="K22" i="56"/>
  <c r="J22" i="56"/>
  <c r="H22" i="56"/>
  <c r="F22" i="56"/>
  <c r="D22" i="56"/>
  <c r="B22" i="56"/>
  <c r="AE21" i="56"/>
  <c r="O21" i="56"/>
  <c r="G21" i="56"/>
  <c r="E21" i="56"/>
  <c r="C21" i="56"/>
  <c r="AE20" i="56"/>
  <c r="O20" i="56"/>
  <c r="G20" i="56"/>
  <c r="E20" i="56"/>
  <c r="C20" i="56"/>
  <c r="AE19" i="56"/>
  <c r="O19" i="56"/>
  <c r="I19" i="56"/>
  <c r="G19" i="56"/>
  <c r="E19" i="56"/>
  <c r="C19" i="56"/>
  <c r="AE18" i="56"/>
  <c r="O18" i="56"/>
  <c r="I18" i="56"/>
  <c r="G18" i="56"/>
  <c r="E18" i="56"/>
  <c r="C18" i="56"/>
  <c r="AE17" i="56"/>
  <c r="O17" i="56"/>
  <c r="I17" i="56"/>
  <c r="I22" i="56" s="1"/>
  <c r="G17" i="56"/>
  <c r="E17" i="56"/>
  <c r="C17" i="56"/>
  <c r="AE16" i="56"/>
  <c r="O16" i="56"/>
  <c r="I16" i="56"/>
  <c r="G16" i="56"/>
  <c r="E16" i="56"/>
  <c r="C16" i="56"/>
  <c r="AE15" i="56"/>
  <c r="O15" i="56"/>
  <c r="G15" i="56"/>
  <c r="E15" i="56"/>
  <c r="C15" i="56"/>
  <c r="C22" i="56" l="1"/>
  <c r="O22" i="56"/>
  <c r="E22" i="56"/>
  <c r="AE22" i="56"/>
  <c r="G22" i="56"/>
  <c r="AG22" i="55"/>
  <c r="AF22" i="55"/>
  <c r="AD22" i="55"/>
  <c r="AC22" i="55"/>
  <c r="AB22" i="55"/>
  <c r="AA22" i="55"/>
  <c r="Z22" i="55"/>
  <c r="Y22" i="55"/>
  <c r="X22" i="55"/>
  <c r="W22" i="55"/>
  <c r="V22" i="55"/>
  <c r="U22" i="55"/>
  <c r="T22" i="55"/>
  <c r="S22" i="55"/>
  <c r="R22" i="55"/>
  <c r="Q22" i="55"/>
  <c r="P22" i="55"/>
  <c r="N22" i="55"/>
  <c r="M22" i="55"/>
  <c r="L22" i="55"/>
  <c r="K22" i="55"/>
  <c r="J22" i="55"/>
  <c r="H22" i="55"/>
  <c r="F22" i="55"/>
  <c r="D22" i="55"/>
  <c r="B22" i="55"/>
  <c r="AE21" i="55"/>
  <c r="O21" i="55"/>
  <c r="G21" i="55"/>
  <c r="E21" i="55"/>
  <c r="C21" i="55"/>
  <c r="AE20" i="55"/>
  <c r="O20" i="55"/>
  <c r="G20" i="55"/>
  <c r="E20" i="55"/>
  <c r="C20" i="55"/>
  <c r="AE19" i="55"/>
  <c r="O19" i="55"/>
  <c r="I19" i="55"/>
  <c r="G19" i="55"/>
  <c r="E19" i="55"/>
  <c r="C19" i="55"/>
  <c r="AE18" i="55"/>
  <c r="O18" i="55"/>
  <c r="I18" i="55"/>
  <c r="G18" i="55"/>
  <c r="E18" i="55"/>
  <c r="C18" i="55"/>
  <c r="AE17" i="55"/>
  <c r="O17" i="55"/>
  <c r="I17" i="55"/>
  <c r="G17" i="55"/>
  <c r="E17" i="55"/>
  <c r="C17" i="55"/>
  <c r="AE16" i="55"/>
  <c r="O16" i="55"/>
  <c r="I16" i="55"/>
  <c r="G16" i="55"/>
  <c r="E16" i="55"/>
  <c r="C16" i="55"/>
  <c r="AE15" i="55"/>
  <c r="O15" i="55"/>
  <c r="G15" i="55"/>
  <c r="E15" i="55"/>
  <c r="C15" i="55"/>
  <c r="O22" i="55" l="1"/>
  <c r="I22" i="55"/>
  <c r="C22" i="55"/>
  <c r="AE22" i="55"/>
  <c r="E22" i="55"/>
  <c r="G22" i="55"/>
  <c r="G16" i="54" l="1"/>
  <c r="AG22" i="54" l="1"/>
  <c r="AF22" i="54"/>
  <c r="AD22" i="54"/>
  <c r="AC22" i="54"/>
  <c r="AB22" i="54"/>
  <c r="AA22" i="54"/>
  <c r="Z22" i="54"/>
  <c r="Y22" i="54"/>
  <c r="X22" i="54"/>
  <c r="W22" i="54"/>
  <c r="V22" i="54"/>
  <c r="U22" i="54"/>
  <c r="T22" i="54"/>
  <c r="S22" i="54"/>
  <c r="R22" i="54"/>
  <c r="Q22" i="54"/>
  <c r="P22" i="54"/>
  <c r="N22" i="54"/>
  <c r="M22" i="54"/>
  <c r="L22" i="54"/>
  <c r="K22" i="54"/>
  <c r="J22" i="54"/>
  <c r="H22" i="54"/>
  <c r="F22" i="54"/>
  <c r="D22" i="54"/>
  <c r="B22" i="54"/>
  <c r="AE21" i="54"/>
  <c r="O21" i="54"/>
  <c r="G21" i="54"/>
  <c r="E21" i="54"/>
  <c r="C21" i="54"/>
  <c r="AE20" i="54"/>
  <c r="O20" i="54"/>
  <c r="G20" i="54"/>
  <c r="E20" i="54"/>
  <c r="C20" i="54"/>
  <c r="AE19" i="54"/>
  <c r="O19" i="54"/>
  <c r="I19" i="54"/>
  <c r="G19" i="54"/>
  <c r="E19" i="54"/>
  <c r="C19" i="54"/>
  <c r="AE18" i="54"/>
  <c r="O18" i="54"/>
  <c r="I18" i="54"/>
  <c r="G18" i="54"/>
  <c r="E18" i="54"/>
  <c r="C18" i="54"/>
  <c r="AE17" i="54"/>
  <c r="O17" i="54"/>
  <c r="I17" i="54"/>
  <c r="G17" i="54"/>
  <c r="E17" i="54"/>
  <c r="C17" i="54"/>
  <c r="AE16" i="54"/>
  <c r="O16" i="54"/>
  <c r="I16" i="54"/>
  <c r="E16" i="54"/>
  <c r="C16" i="54"/>
  <c r="AE15" i="54"/>
  <c r="O15" i="54"/>
  <c r="G15" i="54"/>
  <c r="E15" i="54"/>
  <c r="C15" i="54"/>
  <c r="C22" i="54" l="1"/>
  <c r="I22" i="54"/>
  <c r="O22" i="54"/>
  <c r="AE22" i="54"/>
  <c r="G22" i="54"/>
  <c r="E22" i="54"/>
  <c r="X22" i="53"/>
  <c r="AE21" i="53" l="1"/>
  <c r="O21" i="53"/>
  <c r="G21" i="53"/>
  <c r="E21" i="53"/>
  <c r="C21" i="53"/>
  <c r="AE20" i="53"/>
  <c r="O20" i="53"/>
  <c r="G20" i="53"/>
  <c r="E20" i="53"/>
  <c r="C20" i="53"/>
  <c r="AG22" i="53" l="1"/>
  <c r="AF22" i="53"/>
  <c r="AD22" i="53"/>
  <c r="AC22" i="53"/>
  <c r="AB22" i="53"/>
  <c r="AA22" i="53"/>
  <c r="Z22" i="53"/>
  <c r="Y22" i="53"/>
  <c r="W22" i="53"/>
  <c r="V22" i="53"/>
  <c r="U22" i="53"/>
  <c r="T22" i="53"/>
  <c r="S22" i="53"/>
  <c r="R22" i="53"/>
  <c r="Q22" i="53"/>
  <c r="P22" i="53"/>
  <c r="N22" i="53"/>
  <c r="M22" i="53"/>
  <c r="L22" i="53"/>
  <c r="K22" i="53"/>
  <c r="J22" i="53"/>
  <c r="H22" i="53"/>
  <c r="F22" i="53"/>
  <c r="D22" i="53"/>
  <c r="B22" i="53"/>
  <c r="AE19" i="53"/>
  <c r="O19" i="53"/>
  <c r="I19" i="53"/>
  <c r="G19" i="53"/>
  <c r="E19" i="53"/>
  <c r="C19" i="53"/>
  <c r="AE18" i="53"/>
  <c r="O18" i="53"/>
  <c r="I18" i="53"/>
  <c r="G18" i="53"/>
  <c r="E18" i="53"/>
  <c r="C18" i="53"/>
  <c r="AE17" i="53"/>
  <c r="O17" i="53"/>
  <c r="I17" i="53"/>
  <c r="G17" i="53"/>
  <c r="E17" i="53"/>
  <c r="C17" i="53"/>
  <c r="AE16" i="53"/>
  <c r="O16" i="53"/>
  <c r="I16" i="53"/>
  <c r="G16" i="53"/>
  <c r="E16" i="53"/>
  <c r="C16" i="53"/>
  <c r="AE15" i="53"/>
  <c r="O15" i="53"/>
  <c r="G15" i="53"/>
  <c r="E15" i="53"/>
  <c r="C15" i="53"/>
  <c r="I22" i="53" l="1"/>
  <c r="G22" i="53"/>
  <c r="E22" i="53"/>
  <c r="O22" i="53"/>
  <c r="C22" i="53"/>
  <c r="AE22" i="53"/>
  <c r="AE22" i="52"/>
  <c r="O22" i="52"/>
  <c r="G22" i="52"/>
  <c r="E22" i="52"/>
  <c r="C22" i="52"/>
  <c r="AE21" i="52"/>
  <c r="O21" i="52"/>
  <c r="G21" i="52"/>
  <c r="E21" i="52"/>
  <c r="C21" i="52"/>
  <c r="AG23" i="52" l="1"/>
  <c r="AF23" i="52"/>
  <c r="AD23" i="52"/>
  <c r="AC23" i="52"/>
  <c r="AB23" i="52"/>
  <c r="AA23" i="52"/>
  <c r="Z23" i="52"/>
  <c r="Y23" i="52"/>
  <c r="W23" i="52"/>
  <c r="V23" i="52"/>
  <c r="U23" i="52"/>
  <c r="T23" i="52"/>
  <c r="S23" i="52"/>
  <c r="R23" i="52"/>
  <c r="Q23" i="52"/>
  <c r="P23" i="52"/>
  <c r="N23" i="52"/>
  <c r="M23" i="52"/>
  <c r="L23" i="52"/>
  <c r="K23" i="52"/>
  <c r="J23" i="52"/>
  <c r="H23" i="52"/>
  <c r="F23" i="52"/>
  <c r="D23" i="52"/>
  <c r="B23" i="52"/>
  <c r="AE20" i="52"/>
  <c r="O20" i="52"/>
  <c r="I20" i="52"/>
  <c r="G20" i="52"/>
  <c r="E20" i="52"/>
  <c r="C20" i="52"/>
  <c r="AE19" i="52"/>
  <c r="O19" i="52"/>
  <c r="I19" i="52"/>
  <c r="G19" i="52"/>
  <c r="E19" i="52"/>
  <c r="C19" i="52"/>
  <c r="AE18" i="52"/>
  <c r="O18" i="52"/>
  <c r="I18" i="52"/>
  <c r="G18" i="52"/>
  <c r="E18" i="52"/>
  <c r="C18" i="52"/>
  <c r="AE17" i="52"/>
  <c r="O17" i="52"/>
  <c r="I17" i="52"/>
  <c r="G17" i="52"/>
  <c r="E17" i="52"/>
  <c r="C17" i="52"/>
  <c r="AE16" i="52"/>
  <c r="O16" i="52"/>
  <c r="G16" i="52"/>
  <c r="E16" i="52"/>
  <c r="C16" i="52"/>
  <c r="AE15" i="52"/>
  <c r="O15" i="52"/>
  <c r="G15" i="52"/>
  <c r="E15" i="52"/>
  <c r="C15" i="52"/>
  <c r="I23" i="52" l="1"/>
  <c r="O23" i="52"/>
  <c r="C23" i="52"/>
  <c r="G23" i="52"/>
  <c r="AE23" i="52"/>
  <c r="E23" i="52"/>
  <c r="AG22" i="51" l="1"/>
  <c r="AF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N22" i="51"/>
  <c r="M22" i="51"/>
  <c r="L22" i="51"/>
  <c r="K22" i="51"/>
  <c r="J22" i="51"/>
  <c r="H22" i="51"/>
  <c r="F22" i="51"/>
  <c r="D22" i="51"/>
  <c r="B22" i="51"/>
  <c r="AE21" i="51"/>
  <c r="O21" i="51"/>
  <c r="G21" i="51"/>
  <c r="E21" i="51"/>
  <c r="C21" i="51"/>
  <c r="AE20" i="51"/>
  <c r="O20" i="51"/>
  <c r="I20" i="51"/>
  <c r="G20" i="51"/>
  <c r="E20" i="51"/>
  <c r="C20" i="51"/>
  <c r="AE19" i="51"/>
  <c r="O19" i="51"/>
  <c r="I19" i="51"/>
  <c r="G19" i="51"/>
  <c r="E19" i="51"/>
  <c r="C19" i="51"/>
  <c r="AE18" i="51"/>
  <c r="O18" i="51"/>
  <c r="I18" i="51"/>
  <c r="I22" i="51" s="1"/>
  <c r="G18" i="51"/>
  <c r="E18" i="51"/>
  <c r="C18" i="51"/>
  <c r="AE17" i="51"/>
  <c r="O17" i="51"/>
  <c r="I17" i="51"/>
  <c r="G17" i="51"/>
  <c r="E17" i="51"/>
  <c r="C17" i="51"/>
  <c r="AE16" i="51"/>
  <c r="O16" i="51"/>
  <c r="G16" i="51"/>
  <c r="E16" i="51"/>
  <c r="C16" i="51"/>
  <c r="AE15" i="51"/>
  <c r="O15" i="51"/>
  <c r="G15" i="51"/>
  <c r="E15" i="51"/>
  <c r="C15" i="51"/>
  <c r="C22" i="51" l="1"/>
  <c r="O22" i="51"/>
  <c r="AE22" i="51"/>
  <c r="G22" i="51"/>
  <c r="E22" i="51"/>
  <c r="X22" i="50"/>
  <c r="B30" i="4" l="1"/>
  <c r="F30" i="4"/>
  <c r="H30" i="4"/>
  <c r="I30" i="4"/>
  <c r="J30" i="4"/>
  <c r="K30" i="4"/>
  <c r="L30" i="4"/>
  <c r="M30" i="4"/>
  <c r="N30" i="4"/>
  <c r="O30" i="4"/>
  <c r="P30" i="4"/>
  <c r="Q30" i="4"/>
  <c r="S30" i="4"/>
  <c r="T30" i="4"/>
  <c r="R30" i="4" l="1"/>
  <c r="C30" i="4"/>
  <c r="U30" i="4" s="1"/>
  <c r="AG22" i="50"/>
  <c r="AF22" i="50"/>
  <c r="AC22" i="50"/>
  <c r="AB22" i="50"/>
  <c r="AA22" i="50"/>
  <c r="Z22" i="50"/>
  <c r="Y22" i="50"/>
  <c r="W22" i="50"/>
  <c r="V22" i="50"/>
  <c r="U22" i="50"/>
  <c r="T22" i="50"/>
  <c r="S22" i="50"/>
  <c r="R22" i="50"/>
  <c r="Q22" i="50"/>
  <c r="P22" i="50"/>
  <c r="N22" i="50"/>
  <c r="M22" i="50"/>
  <c r="L22" i="50"/>
  <c r="K22" i="50"/>
  <c r="J22" i="50"/>
  <c r="H22" i="50"/>
  <c r="F22" i="50"/>
  <c r="D22" i="50"/>
  <c r="B22" i="50"/>
  <c r="AE21" i="50"/>
  <c r="O21" i="50"/>
  <c r="G21" i="50"/>
  <c r="E21" i="50"/>
  <c r="C21" i="50"/>
  <c r="AE20" i="50"/>
  <c r="O20" i="50"/>
  <c r="I20" i="50"/>
  <c r="G20" i="50"/>
  <c r="E20" i="50"/>
  <c r="C20" i="50"/>
  <c r="AE19" i="50"/>
  <c r="O19" i="50"/>
  <c r="I19" i="50"/>
  <c r="G19" i="50"/>
  <c r="E19" i="50"/>
  <c r="C19" i="50"/>
  <c r="AE18" i="50"/>
  <c r="O18" i="50"/>
  <c r="I18" i="50"/>
  <c r="G18" i="50"/>
  <c r="E18" i="50"/>
  <c r="C18" i="50"/>
  <c r="AE17" i="50"/>
  <c r="AD22" i="50"/>
  <c r="O17" i="50"/>
  <c r="I17" i="50"/>
  <c r="G17" i="50"/>
  <c r="E17" i="50"/>
  <c r="C17" i="50"/>
  <c r="AE16" i="50"/>
  <c r="O16" i="50"/>
  <c r="G16" i="50"/>
  <c r="E16" i="50"/>
  <c r="C16" i="50"/>
  <c r="AE15" i="50"/>
  <c r="O15" i="50"/>
  <c r="G15" i="50"/>
  <c r="E15" i="50"/>
  <c r="C15" i="50"/>
  <c r="C22" i="50" l="1"/>
  <c r="O22" i="50"/>
  <c r="I22" i="50"/>
  <c r="AE22" i="50"/>
  <c r="G22" i="50"/>
  <c r="E22" i="50"/>
  <c r="E20" i="49" l="1"/>
  <c r="G20" i="49"/>
  <c r="I20" i="49"/>
  <c r="O20" i="49"/>
  <c r="AG22" i="49" l="1"/>
  <c r="AF22" i="49"/>
  <c r="AD22" i="49"/>
  <c r="AC22" i="49"/>
  <c r="AB22" i="49"/>
  <c r="AA22" i="49"/>
  <c r="Z22" i="49"/>
  <c r="Y22" i="49"/>
  <c r="W22" i="49"/>
  <c r="V22" i="49"/>
  <c r="U22" i="49"/>
  <c r="T22" i="49"/>
  <c r="S22" i="49"/>
  <c r="R22" i="49"/>
  <c r="Q22" i="49"/>
  <c r="P22" i="49"/>
  <c r="N22" i="49"/>
  <c r="M22" i="49"/>
  <c r="L22" i="49"/>
  <c r="K22" i="49"/>
  <c r="J22" i="49"/>
  <c r="H22" i="49"/>
  <c r="F22" i="49"/>
  <c r="D22" i="49"/>
  <c r="B22" i="49"/>
  <c r="AE21" i="49"/>
  <c r="O21" i="49"/>
  <c r="G21" i="49"/>
  <c r="E21" i="49"/>
  <c r="C21" i="49"/>
  <c r="AE20" i="49"/>
  <c r="C20" i="49"/>
  <c r="AE19" i="49"/>
  <c r="O19" i="49"/>
  <c r="I19" i="49"/>
  <c r="G19" i="49"/>
  <c r="E19" i="49"/>
  <c r="C19" i="49"/>
  <c r="AE18" i="49"/>
  <c r="O18" i="49"/>
  <c r="I18" i="49"/>
  <c r="G18" i="49"/>
  <c r="E18" i="49"/>
  <c r="C18" i="49"/>
  <c r="AE17" i="49"/>
  <c r="O17" i="49"/>
  <c r="I17" i="49"/>
  <c r="I22" i="49" s="1"/>
  <c r="G17" i="49"/>
  <c r="E17" i="49"/>
  <c r="C17" i="49"/>
  <c r="AE16" i="49"/>
  <c r="O16" i="49"/>
  <c r="G16" i="49"/>
  <c r="E16" i="49"/>
  <c r="C16" i="49"/>
  <c r="AE15" i="49"/>
  <c r="O15" i="49"/>
  <c r="G15" i="49"/>
  <c r="E15" i="49"/>
  <c r="C15" i="49"/>
  <c r="C22" i="49" s="1"/>
  <c r="O22" i="49" l="1"/>
  <c r="AE22" i="49"/>
  <c r="G22" i="49"/>
  <c r="E22" i="49"/>
  <c r="AE16" i="48"/>
  <c r="O16" i="48"/>
  <c r="G16" i="48"/>
  <c r="E16" i="48"/>
  <c r="C16" i="48"/>
  <c r="AE17" i="48"/>
  <c r="O17" i="48"/>
  <c r="I17" i="48"/>
  <c r="G17" i="48"/>
  <c r="E17" i="48"/>
  <c r="C17" i="48"/>
  <c r="AG22" i="48" l="1"/>
  <c r="AF22" i="48"/>
  <c r="AD22" i="48"/>
  <c r="AC22" i="48"/>
  <c r="AB22" i="48"/>
  <c r="AA22" i="48"/>
  <c r="Z22" i="48"/>
  <c r="Y22" i="48"/>
  <c r="W22" i="48"/>
  <c r="V22" i="48"/>
  <c r="U22" i="48"/>
  <c r="T22" i="48"/>
  <c r="S22" i="48"/>
  <c r="R22" i="48"/>
  <c r="Q22" i="48"/>
  <c r="P22" i="48"/>
  <c r="N22" i="48"/>
  <c r="M22" i="48"/>
  <c r="L22" i="48"/>
  <c r="K22" i="48"/>
  <c r="J22" i="48"/>
  <c r="H22" i="48"/>
  <c r="F22" i="48"/>
  <c r="D22" i="48"/>
  <c r="B22" i="48"/>
  <c r="AE21" i="48"/>
  <c r="O21" i="48"/>
  <c r="G21" i="48"/>
  <c r="E21" i="48"/>
  <c r="C21" i="48"/>
  <c r="AE20" i="48"/>
  <c r="O20" i="48"/>
  <c r="I20" i="48"/>
  <c r="G20" i="48"/>
  <c r="E20" i="48"/>
  <c r="C20" i="48"/>
  <c r="AE19" i="48"/>
  <c r="O19" i="48"/>
  <c r="I19" i="48"/>
  <c r="G19" i="48"/>
  <c r="E19" i="48"/>
  <c r="C19" i="48"/>
  <c r="AE18" i="48"/>
  <c r="O18" i="48"/>
  <c r="I18" i="48"/>
  <c r="I22" i="48" s="1"/>
  <c r="G18" i="48"/>
  <c r="E18" i="48"/>
  <c r="C18" i="48"/>
  <c r="AE15" i="48"/>
  <c r="O15" i="48"/>
  <c r="G15" i="48"/>
  <c r="E15" i="48"/>
  <c r="C15" i="48"/>
  <c r="C22" i="48" l="1"/>
  <c r="O22" i="48"/>
  <c r="AE22" i="48"/>
  <c r="E22" i="48"/>
  <c r="G22" i="48"/>
  <c r="AG22" i="47"/>
  <c r="AF22" i="47"/>
  <c r="AD22" i="47"/>
  <c r="AC22" i="47"/>
  <c r="AB22" i="47"/>
  <c r="AA22" i="47"/>
  <c r="Z22" i="47"/>
  <c r="Y22" i="47"/>
  <c r="W22" i="47"/>
  <c r="V22" i="47"/>
  <c r="U22" i="47"/>
  <c r="T22" i="47"/>
  <c r="S22" i="47"/>
  <c r="R22" i="47"/>
  <c r="Q22" i="47"/>
  <c r="P22" i="47"/>
  <c r="N22" i="47"/>
  <c r="M22" i="47"/>
  <c r="L22" i="47"/>
  <c r="K22" i="47"/>
  <c r="J22" i="47"/>
  <c r="H22" i="47"/>
  <c r="F22" i="47"/>
  <c r="D22" i="47"/>
  <c r="B22" i="47"/>
  <c r="AE21" i="47"/>
  <c r="O21" i="47"/>
  <c r="G21" i="47"/>
  <c r="E21" i="47"/>
  <c r="C21" i="47"/>
  <c r="AE20" i="47"/>
  <c r="O20" i="47"/>
  <c r="I20" i="47"/>
  <c r="G20" i="47"/>
  <c r="E20" i="47"/>
  <c r="C20" i="47"/>
  <c r="AE19" i="47"/>
  <c r="O19" i="47"/>
  <c r="I19" i="47"/>
  <c r="G19" i="47"/>
  <c r="E19" i="47"/>
  <c r="C19" i="47"/>
  <c r="AE18" i="47"/>
  <c r="O18" i="47"/>
  <c r="I18" i="47"/>
  <c r="G18" i="47"/>
  <c r="E18" i="47"/>
  <c r="C18" i="47"/>
  <c r="AE17" i="47"/>
  <c r="O17" i="47"/>
  <c r="I17" i="47"/>
  <c r="G17" i="47"/>
  <c r="E17" i="47"/>
  <c r="C17" i="47"/>
  <c r="AE16" i="47"/>
  <c r="O16" i="47"/>
  <c r="I16" i="47"/>
  <c r="G16" i="47"/>
  <c r="E16" i="47"/>
  <c r="C16" i="47"/>
  <c r="AE15" i="47"/>
  <c r="O15" i="47"/>
  <c r="G15" i="47"/>
  <c r="E15" i="47"/>
  <c r="C15" i="47"/>
  <c r="I22" i="47" l="1"/>
  <c r="C22" i="47"/>
  <c r="O22" i="47"/>
  <c r="AE22" i="47"/>
  <c r="G22" i="47"/>
  <c r="E22" i="47"/>
  <c r="AG22" i="46" l="1"/>
  <c r="AF22" i="46"/>
  <c r="AC22" i="46"/>
  <c r="AB22" i="46"/>
  <c r="AA22" i="46"/>
  <c r="Z22" i="46"/>
  <c r="Y22" i="46"/>
  <c r="W22" i="46"/>
  <c r="V22" i="46"/>
  <c r="U22" i="46"/>
  <c r="T22" i="46"/>
  <c r="S22" i="46"/>
  <c r="R22" i="46"/>
  <c r="Q22" i="46"/>
  <c r="P22" i="46"/>
  <c r="N22" i="46"/>
  <c r="M22" i="46"/>
  <c r="L22" i="46"/>
  <c r="K22" i="46"/>
  <c r="J22" i="46"/>
  <c r="H22" i="46"/>
  <c r="F22" i="46"/>
  <c r="D22" i="46"/>
  <c r="B22" i="46"/>
  <c r="AE21" i="46"/>
  <c r="O21" i="46"/>
  <c r="G21" i="46"/>
  <c r="E21" i="46"/>
  <c r="C21" i="46"/>
  <c r="AE20" i="46"/>
  <c r="O20" i="46"/>
  <c r="I20" i="46"/>
  <c r="G20" i="46"/>
  <c r="E20" i="46"/>
  <c r="C20" i="46"/>
  <c r="AE19" i="46"/>
  <c r="O19" i="46"/>
  <c r="I19" i="46"/>
  <c r="G19" i="46"/>
  <c r="E19" i="46"/>
  <c r="C19" i="46"/>
  <c r="AE18" i="46"/>
  <c r="O18" i="46"/>
  <c r="I18" i="46"/>
  <c r="G18" i="46"/>
  <c r="E18" i="46"/>
  <c r="C18" i="46"/>
  <c r="AE17" i="46"/>
  <c r="O17" i="46"/>
  <c r="I17" i="46"/>
  <c r="G17" i="46"/>
  <c r="E17" i="46"/>
  <c r="C17" i="46"/>
  <c r="AE16" i="46"/>
  <c r="AD22" i="46"/>
  <c r="O16" i="46"/>
  <c r="I16" i="46"/>
  <c r="I22" i="46" s="1"/>
  <c r="G16" i="46"/>
  <c r="E16" i="46"/>
  <c r="C16" i="46"/>
  <c r="C22" i="46" s="1"/>
  <c r="AE15" i="46"/>
  <c r="O15" i="46"/>
  <c r="G15" i="46"/>
  <c r="E15" i="46"/>
  <c r="C15" i="46"/>
  <c r="O22" i="46" l="1"/>
  <c r="AE22" i="46"/>
  <c r="G22" i="46"/>
  <c r="E22" i="46"/>
  <c r="AG22" i="45" l="1"/>
  <c r="AF22" i="45"/>
  <c r="AC22" i="45"/>
  <c r="AB22" i="45"/>
  <c r="AA22" i="45"/>
  <c r="Z22" i="45"/>
  <c r="Y22" i="45"/>
  <c r="W22" i="45"/>
  <c r="V22" i="45"/>
  <c r="U22" i="45"/>
  <c r="T22" i="45"/>
  <c r="S22" i="45"/>
  <c r="R22" i="45"/>
  <c r="Q22" i="45"/>
  <c r="P22" i="45"/>
  <c r="N22" i="45"/>
  <c r="M22" i="45"/>
  <c r="L22" i="45"/>
  <c r="K22" i="45"/>
  <c r="J22" i="45"/>
  <c r="H22" i="45"/>
  <c r="F22" i="45"/>
  <c r="D22" i="45"/>
  <c r="B22" i="45"/>
  <c r="AE21" i="45"/>
  <c r="O21" i="45"/>
  <c r="G21" i="45"/>
  <c r="E21" i="45"/>
  <c r="C21" i="45"/>
  <c r="AE20" i="45"/>
  <c r="O20" i="45"/>
  <c r="I20" i="45"/>
  <c r="G20" i="45"/>
  <c r="E20" i="45"/>
  <c r="C20" i="45"/>
  <c r="AE19" i="45"/>
  <c r="O19" i="45"/>
  <c r="I19" i="45"/>
  <c r="G19" i="45"/>
  <c r="E19" i="45"/>
  <c r="C19" i="45"/>
  <c r="AE18" i="45"/>
  <c r="O18" i="45"/>
  <c r="I18" i="45"/>
  <c r="G18" i="45"/>
  <c r="E18" i="45"/>
  <c r="C18" i="45"/>
  <c r="AE17" i="45"/>
  <c r="AD22" i="45"/>
  <c r="O17" i="45"/>
  <c r="I17" i="45"/>
  <c r="G17" i="45"/>
  <c r="E17" i="45"/>
  <c r="C17" i="45"/>
  <c r="AE16" i="45"/>
  <c r="O16" i="45"/>
  <c r="I16" i="45"/>
  <c r="G16" i="45"/>
  <c r="E16" i="45"/>
  <c r="C16" i="45"/>
  <c r="C22" i="45" s="1"/>
  <c r="AE15" i="45"/>
  <c r="O15" i="45"/>
  <c r="G15" i="45"/>
  <c r="E15" i="45"/>
  <c r="C15" i="45"/>
  <c r="I22" i="45" l="1"/>
  <c r="O22" i="45"/>
  <c r="AE22" i="45"/>
  <c r="G22" i="45"/>
  <c r="E22" i="45"/>
  <c r="E19" i="44" l="1"/>
  <c r="G19" i="44"/>
  <c r="I19" i="44"/>
  <c r="O19" i="44"/>
  <c r="AG22" i="44" l="1"/>
  <c r="AF22" i="44"/>
  <c r="AD22" i="44"/>
  <c r="AC22" i="44"/>
  <c r="AB22" i="44"/>
  <c r="AA22" i="44"/>
  <c r="Z22" i="44"/>
  <c r="Y22" i="44"/>
  <c r="W22" i="44"/>
  <c r="V22" i="44"/>
  <c r="U22" i="44"/>
  <c r="T22" i="44"/>
  <c r="S22" i="44"/>
  <c r="R22" i="44"/>
  <c r="Q22" i="44"/>
  <c r="P22" i="44"/>
  <c r="N22" i="44"/>
  <c r="M22" i="44"/>
  <c r="L22" i="44"/>
  <c r="K22" i="44"/>
  <c r="J22" i="44"/>
  <c r="H22" i="44"/>
  <c r="F22" i="44"/>
  <c r="D22" i="44"/>
  <c r="B22" i="44"/>
  <c r="AE21" i="44"/>
  <c r="O21" i="44"/>
  <c r="G21" i="44"/>
  <c r="E21" i="44"/>
  <c r="C21" i="44"/>
  <c r="AE20" i="44"/>
  <c r="O20" i="44"/>
  <c r="I20" i="44"/>
  <c r="G20" i="44"/>
  <c r="E20" i="44"/>
  <c r="C20" i="44"/>
  <c r="AE19" i="44"/>
  <c r="C19" i="44"/>
  <c r="AE18" i="44"/>
  <c r="O18" i="44"/>
  <c r="I18" i="44"/>
  <c r="G18" i="44"/>
  <c r="E18" i="44"/>
  <c r="C18" i="44"/>
  <c r="AE17" i="44"/>
  <c r="O17" i="44"/>
  <c r="I17" i="44"/>
  <c r="I22" i="44" s="1"/>
  <c r="G17" i="44"/>
  <c r="E17" i="44"/>
  <c r="C17" i="44"/>
  <c r="AE16" i="44"/>
  <c r="O16" i="44"/>
  <c r="I16" i="44"/>
  <c r="G16" i="44"/>
  <c r="E16" i="44"/>
  <c r="C16" i="44"/>
  <c r="AE15" i="44"/>
  <c r="O15" i="44"/>
  <c r="O22" i="44" s="1"/>
  <c r="G15" i="44"/>
  <c r="E15" i="44"/>
  <c r="C15" i="44"/>
  <c r="C22" i="44" l="1"/>
  <c r="AE22" i="44"/>
  <c r="G22" i="44"/>
  <c r="E22" i="44"/>
  <c r="AG22" i="43" l="1"/>
  <c r="AF22" i="43"/>
  <c r="AD22" i="43"/>
  <c r="AC22" i="43"/>
  <c r="AB22" i="43"/>
  <c r="AA22" i="43"/>
  <c r="Z22" i="43"/>
  <c r="Y22" i="43"/>
  <c r="W22" i="43"/>
  <c r="V22" i="43"/>
  <c r="U22" i="43"/>
  <c r="T22" i="43"/>
  <c r="S22" i="43"/>
  <c r="R22" i="43"/>
  <c r="Q22" i="43"/>
  <c r="P22" i="43"/>
  <c r="N22" i="43"/>
  <c r="M22" i="43"/>
  <c r="L22" i="43"/>
  <c r="K22" i="43"/>
  <c r="J22" i="43"/>
  <c r="H22" i="43"/>
  <c r="F22" i="43"/>
  <c r="D22" i="43"/>
  <c r="B22" i="43"/>
  <c r="AE21" i="43"/>
  <c r="O21" i="43"/>
  <c r="G21" i="43"/>
  <c r="E21" i="43"/>
  <c r="C21" i="43"/>
  <c r="AE20" i="43"/>
  <c r="O20" i="43"/>
  <c r="I20" i="43"/>
  <c r="G20" i="43"/>
  <c r="E20" i="43"/>
  <c r="C20" i="43"/>
  <c r="AE19" i="43"/>
  <c r="O19" i="43"/>
  <c r="I19" i="43"/>
  <c r="G19" i="43"/>
  <c r="E19" i="43"/>
  <c r="C19" i="43"/>
  <c r="AE18" i="43"/>
  <c r="O18" i="43"/>
  <c r="I18" i="43"/>
  <c r="G18" i="43"/>
  <c r="E18" i="43"/>
  <c r="C18" i="43"/>
  <c r="AE17" i="43"/>
  <c r="O17" i="43"/>
  <c r="I17" i="43"/>
  <c r="G17" i="43"/>
  <c r="E17" i="43"/>
  <c r="C17" i="43"/>
  <c r="AE16" i="43"/>
  <c r="O16" i="43"/>
  <c r="I16" i="43"/>
  <c r="I22" i="43" s="1"/>
  <c r="G16" i="43"/>
  <c r="E16" i="43"/>
  <c r="C16" i="43"/>
  <c r="AE15" i="43"/>
  <c r="O15" i="43"/>
  <c r="G15" i="43"/>
  <c r="E15" i="43"/>
  <c r="C15" i="43"/>
  <c r="C22" i="43" l="1"/>
  <c r="E22" i="43"/>
  <c r="O22" i="43"/>
  <c r="G22" i="43"/>
  <c r="AE22" i="43"/>
  <c r="Y22" i="42"/>
  <c r="AG22" i="42"/>
  <c r="AF22" i="42"/>
  <c r="AD22" i="42"/>
  <c r="AC22" i="42"/>
  <c r="AB22" i="42"/>
  <c r="AA22" i="42"/>
  <c r="Z22" i="42"/>
  <c r="W22" i="42"/>
  <c r="V22" i="42"/>
  <c r="U22" i="42"/>
  <c r="T22" i="42"/>
  <c r="S22" i="42"/>
  <c r="R22" i="42"/>
  <c r="Q22" i="42"/>
  <c r="P22" i="42"/>
  <c r="N22" i="42"/>
  <c r="M22" i="42"/>
  <c r="L22" i="42"/>
  <c r="K22" i="42"/>
  <c r="J22" i="42"/>
  <c r="H22" i="42"/>
  <c r="F22" i="42"/>
  <c r="D22" i="42"/>
  <c r="B22" i="42"/>
  <c r="AE21" i="42"/>
  <c r="O21" i="42"/>
  <c r="G21" i="42"/>
  <c r="E21" i="42"/>
  <c r="C21" i="42"/>
  <c r="AE20" i="42"/>
  <c r="O20" i="42"/>
  <c r="I20" i="42"/>
  <c r="G20" i="42"/>
  <c r="E20" i="42"/>
  <c r="C20" i="42"/>
  <c r="AE19" i="42"/>
  <c r="O19" i="42"/>
  <c r="I19" i="42"/>
  <c r="G19" i="42"/>
  <c r="E19" i="42"/>
  <c r="C19" i="42"/>
  <c r="AE18" i="42"/>
  <c r="O18" i="42"/>
  <c r="I18" i="42"/>
  <c r="G18" i="42"/>
  <c r="E18" i="42"/>
  <c r="C18" i="42"/>
  <c r="AE17" i="42"/>
  <c r="O17" i="42"/>
  <c r="I17" i="42"/>
  <c r="G17" i="42"/>
  <c r="E17" i="42"/>
  <c r="C17" i="42"/>
  <c r="O16" i="42"/>
  <c r="I16" i="42"/>
  <c r="G16" i="42"/>
  <c r="E16" i="42"/>
  <c r="C16" i="42"/>
  <c r="AE15" i="42"/>
  <c r="O15" i="42"/>
  <c r="G15" i="42"/>
  <c r="E15" i="42"/>
  <c r="C15" i="42"/>
  <c r="I22" i="42" l="1"/>
  <c r="O22" i="42"/>
  <c r="C22" i="42"/>
  <c r="G22" i="42"/>
  <c r="E22" i="42"/>
  <c r="AE16" i="42"/>
  <c r="AE22" i="42" s="1"/>
  <c r="AD22" i="41"/>
  <c r="AG22" i="41" l="1"/>
  <c r="AF22" i="41"/>
  <c r="AC22" i="41"/>
  <c r="AB22" i="41"/>
  <c r="AA22" i="41"/>
  <c r="Z22" i="41"/>
  <c r="Y22" i="41"/>
  <c r="W22" i="41"/>
  <c r="V22" i="41"/>
  <c r="U22" i="41"/>
  <c r="T22" i="41"/>
  <c r="S22" i="41"/>
  <c r="R22" i="41"/>
  <c r="Q22" i="41"/>
  <c r="P22" i="41"/>
  <c r="N22" i="41"/>
  <c r="M22" i="41"/>
  <c r="L22" i="41"/>
  <c r="K22" i="41"/>
  <c r="J22" i="41"/>
  <c r="H22" i="41"/>
  <c r="F22" i="41"/>
  <c r="D22" i="41"/>
  <c r="B22" i="41"/>
  <c r="AE21" i="41"/>
  <c r="O21" i="41"/>
  <c r="G21" i="41"/>
  <c r="E21" i="41"/>
  <c r="C21" i="41"/>
  <c r="AE20" i="41"/>
  <c r="O20" i="41"/>
  <c r="I20" i="41"/>
  <c r="G20" i="41"/>
  <c r="E20" i="41"/>
  <c r="C20" i="41"/>
  <c r="AE19" i="41"/>
  <c r="O19" i="41"/>
  <c r="I19" i="41"/>
  <c r="G19" i="41"/>
  <c r="E19" i="41"/>
  <c r="C19" i="41"/>
  <c r="AE18" i="41"/>
  <c r="O18" i="41"/>
  <c r="I18" i="41"/>
  <c r="G18" i="41"/>
  <c r="E18" i="41"/>
  <c r="C18" i="41"/>
  <c r="AE17" i="41"/>
  <c r="O17" i="41"/>
  <c r="I17" i="41"/>
  <c r="G17" i="41"/>
  <c r="E17" i="41"/>
  <c r="C17" i="41"/>
  <c r="AE16" i="41"/>
  <c r="O16" i="41"/>
  <c r="I16" i="41"/>
  <c r="G16" i="41"/>
  <c r="E16" i="41"/>
  <c r="C16" i="41"/>
  <c r="AE15" i="41"/>
  <c r="O15" i="41"/>
  <c r="G15" i="41"/>
  <c r="E15" i="41"/>
  <c r="C15" i="41"/>
  <c r="I22" i="41" l="1"/>
  <c r="C22" i="41"/>
  <c r="O22" i="41"/>
  <c r="AE22" i="41"/>
  <c r="G22" i="41"/>
  <c r="E22" i="41"/>
  <c r="AG22" i="40"/>
  <c r="AF22" i="40"/>
  <c r="AC22" i="40"/>
  <c r="AB22" i="40"/>
  <c r="AA22" i="40"/>
  <c r="Z22" i="40"/>
  <c r="Y22" i="40"/>
  <c r="W22" i="40"/>
  <c r="V22" i="40"/>
  <c r="U22" i="40"/>
  <c r="T22" i="40"/>
  <c r="S22" i="40"/>
  <c r="R22" i="40"/>
  <c r="Q22" i="40"/>
  <c r="P22" i="40"/>
  <c r="N22" i="40"/>
  <c r="M22" i="40"/>
  <c r="L22" i="40"/>
  <c r="K22" i="40"/>
  <c r="J22" i="40"/>
  <c r="H22" i="40"/>
  <c r="F22" i="40"/>
  <c r="D22" i="40"/>
  <c r="B22" i="40"/>
  <c r="AE21" i="40"/>
  <c r="O21" i="40"/>
  <c r="G21" i="40"/>
  <c r="E21" i="40"/>
  <c r="C21" i="40"/>
  <c r="AE20" i="40"/>
  <c r="O20" i="40"/>
  <c r="I20" i="40"/>
  <c r="G20" i="40"/>
  <c r="E20" i="40"/>
  <c r="C20" i="40"/>
  <c r="AE19" i="40"/>
  <c r="O19" i="40"/>
  <c r="I19" i="40"/>
  <c r="G19" i="40"/>
  <c r="E19" i="40"/>
  <c r="C19" i="40"/>
  <c r="AE18" i="40"/>
  <c r="O18" i="40"/>
  <c r="I18" i="40"/>
  <c r="G18" i="40"/>
  <c r="E18" i="40"/>
  <c r="C18" i="40"/>
  <c r="AE17" i="40"/>
  <c r="O17" i="40"/>
  <c r="I17" i="40"/>
  <c r="I22" i="40" s="1"/>
  <c r="G17" i="40"/>
  <c r="E17" i="40"/>
  <c r="C17" i="40"/>
  <c r="AE16" i="40"/>
  <c r="O16" i="40"/>
  <c r="I16" i="40"/>
  <c r="G16" i="40"/>
  <c r="E16" i="40"/>
  <c r="C16" i="40"/>
  <c r="AE15" i="40"/>
  <c r="O15" i="40"/>
  <c r="G15" i="40"/>
  <c r="E15" i="40"/>
  <c r="C15" i="40"/>
  <c r="O22" i="40" l="1"/>
  <c r="C22" i="40"/>
  <c r="E22" i="40"/>
  <c r="AE22" i="40"/>
  <c r="G22" i="40"/>
  <c r="AG22" i="39" l="1"/>
  <c r="AF22" i="39"/>
  <c r="AD22" i="39"/>
  <c r="AC22" i="39"/>
  <c r="AB22" i="39"/>
  <c r="AA22" i="39"/>
  <c r="Z22" i="39"/>
  <c r="Y22" i="39"/>
  <c r="W22" i="39"/>
  <c r="V22" i="39"/>
  <c r="U22" i="39"/>
  <c r="T22" i="39"/>
  <c r="S22" i="39"/>
  <c r="R22" i="39"/>
  <c r="Q22" i="39"/>
  <c r="P22" i="39"/>
  <c r="N22" i="39"/>
  <c r="M22" i="39"/>
  <c r="L22" i="39"/>
  <c r="K22" i="39"/>
  <c r="J22" i="39"/>
  <c r="H22" i="39"/>
  <c r="F22" i="39"/>
  <c r="D22" i="39"/>
  <c r="B22" i="39"/>
  <c r="AE21" i="39"/>
  <c r="O21" i="39"/>
  <c r="G21" i="39"/>
  <c r="E21" i="39"/>
  <c r="C21" i="39"/>
  <c r="AE20" i="39"/>
  <c r="O20" i="39"/>
  <c r="I20" i="39"/>
  <c r="G20" i="39"/>
  <c r="E20" i="39"/>
  <c r="C20" i="39"/>
  <c r="AE19" i="39"/>
  <c r="O19" i="39"/>
  <c r="I19" i="39"/>
  <c r="G19" i="39"/>
  <c r="E19" i="39"/>
  <c r="C19" i="39"/>
  <c r="AE18" i="39"/>
  <c r="O18" i="39"/>
  <c r="I18" i="39"/>
  <c r="G18" i="39"/>
  <c r="E18" i="39"/>
  <c r="C18" i="39"/>
  <c r="AE17" i="39"/>
  <c r="O17" i="39"/>
  <c r="I17" i="39"/>
  <c r="G17" i="39"/>
  <c r="E17" i="39"/>
  <c r="C17" i="39"/>
  <c r="AE16" i="39"/>
  <c r="O16" i="39"/>
  <c r="I16" i="39"/>
  <c r="G16" i="39"/>
  <c r="E16" i="39"/>
  <c r="C16" i="39"/>
  <c r="AE15" i="39"/>
  <c r="O15" i="39"/>
  <c r="G15" i="39"/>
  <c r="E15" i="39"/>
  <c r="C15" i="39"/>
  <c r="C22" i="39" l="1"/>
  <c r="O22" i="39"/>
  <c r="I22" i="39"/>
  <c r="E22" i="39"/>
  <c r="AE22" i="39"/>
  <c r="G22" i="39"/>
  <c r="AG22" i="38"/>
  <c r="AF22" i="38"/>
  <c r="AD22" i="38"/>
  <c r="AC22" i="38"/>
  <c r="AB22" i="38"/>
  <c r="AA22" i="38"/>
  <c r="Z22" i="38"/>
  <c r="Y22" i="38"/>
  <c r="W22" i="38"/>
  <c r="V22" i="38"/>
  <c r="U22" i="38"/>
  <c r="T22" i="38"/>
  <c r="S22" i="38"/>
  <c r="R22" i="38"/>
  <c r="Q22" i="38"/>
  <c r="P22" i="38"/>
  <c r="N22" i="38"/>
  <c r="M22" i="38"/>
  <c r="L22" i="38"/>
  <c r="K22" i="38"/>
  <c r="J22" i="38"/>
  <c r="H22" i="38"/>
  <c r="F22" i="38"/>
  <c r="D22" i="38"/>
  <c r="B22" i="38"/>
  <c r="AE21" i="38"/>
  <c r="O21" i="38"/>
  <c r="G21" i="38"/>
  <c r="E21" i="38"/>
  <c r="C21" i="38"/>
  <c r="AE20" i="38"/>
  <c r="O20" i="38"/>
  <c r="I20" i="38"/>
  <c r="G20" i="38"/>
  <c r="E20" i="38"/>
  <c r="C20" i="38"/>
  <c r="AE19" i="38"/>
  <c r="O19" i="38"/>
  <c r="I19" i="38"/>
  <c r="G19" i="38"/>
  <c r="E19" i="38"/>
  <c r="C19" i="38"/>
  <c r="AE18" i="38"/>
  <c r="O18" i="38"/>
  <c r="I18" i="38"/>
  <c r="G18" i="38"/>
  <c r="E18" i="38"/>
  <c r="C18" i="38"/>
  <c r="AE17" i="38"/>
  <c r="O17" i="38"/>
  <c r="I17" i="38"/>
  <c r="G17" i="38"/>
  <c r="E17" i="38"/>
  <c r="C17" i="38"/>
  <c r="AE16" i="38"/>
  <c r="O16" i="38"/>
  <c r="I16" i="38"/>
  <c r="G16" i="38"/>
  <c r="E16" i="38"/>
  <c r="C16" i="38"/>
  <c r="AE15" i="38"/>
  <c r="O15" i="38"/>
  <c r="G15" i="38"/>
  <c r="E15" i="38"/>
  <c r="C15" i="38"/>
  <c r="C22" i="38" l="1"/>
  <c r="I22" i="38"/>
  <c r="O22" i="38"/>
  <c r="AE22" i="38"/>
  <c r="G22" i="38"/>
  <c r="E22" i="38"/>
  <c r="G15" i="36" l="1"/>
  <c r="AG22" i="36"/>
  <c r="AF22" i="36"/>
  <c r="AD22" i="36"/>
  <c r="AC22" i="36"/>
  <c r="AB22" i="36"/>
  <c r="AA22" i="36"/>
  <c r="Z22" i="36"/>
  <c r="Y22" i="36"/>
  <c r="W22" i="36"/>
  <c r="V22" i="36"/>
  <c r="U22" i="36"/>
  <c r="T22" i="36"/>
  <c r="S22" i="36"/>
  <c r="R22" i="36"/>
  <c r="Q22" i="36"/>
  <c r="P22" i="36"/>
  <c r="N22" i="36"/>
  <c r="M22" i="36"/>
  <c r="L22" i="36"/>
  <c r="K22" i="36"/>
  <c r="J22" i="36"/>
  <c r="H22" i="36"/>
  <c r="F22" i="36"/>
  <c r="D22" i="36"/>
  <c r="B22" i="36"/>
  <c r="AE21" i="36"/>
  <c r="O21" i="36"/>
  <c r="G21" i="36"/>
  <c r="E21" i="36"/>
  <c r="C21" i="36"/>
  <c r="AE20" i="36"/>
  <c r="O20" i="36"/>
  <c r="I20" i="36"/>
  <c r="G20" i="36"/>
  <c r="E20" i="36"/>
  <c r="C20" i="36"/>
  <c r="AE19" i="36"/>
  <c r="O19" i="36"/>
  <c r="I19" i="36"/>
  <c r="G19" i="36"/>
  <c r="E19" i="36"/>
  <c r="C19" i="36"/>
  <c r="AE18" i="36"/>
  <c r="O18" i="36"/>
  <c r="I18" i="36"/>
  <c r="G18" i="36"/>
  <c r="E18" i="36"/>
  <c r="C18" i="36"/>
  <c r="AE17" i="36"/>
  <c r="O17" i="36"/>
  <c r="I17" i="36"/>
  <c r="G17" i="36"/>
  <c r="E17" i="36"/>
  <c r="C17" i="36"/>
  <c r="AE16" i="36"/>
  <c r="O16" i="36"/>
  <c r="I16" i="36"/>
  <c r="I22" i="36" s="1"/>
  <c r="G16" i="36"/>
  <c r="E16" i="36"/>
  <c r="C16" i="36"/>
  <c r="AE15" i="36"/>
  <c r="O15" i="36"/>
  <c r="E15" i="36"/>
  <c r="C15" i="36"/>
  <c r="C22" i="36" l="1"/>
  <c r="O22" i="36"/>
  <c r="G22" i="36"/>
  <c r="AE22" i="36"/>
  <c r="E22" i="36"/>
  <c r="AG22" i="35"/>
  <c r="AF22" i="35"/>
  <c r="AD22" i="35"/>
  <c r="AC22" i="35"/>
  <c r="AB22" i="35"/>
  <c r="AA22" i="35"/>
  <c r="Z22" i="35"/>
  <c r="Y22" i="35"/>
  <c r="W22" i="35"/>
  <c r="V22" i="35"/>
  <c r="U22" i="35"/>
  <c r="T22" i="35"/>
  <c r="S22" i="35"/>
  <c r="R22" i="35"/>
  <c r="Q22" i="35"/>
  <c r="P22" i="35"/>
  <c r="N22" i="35"/>
  <c r="M22" i="35"/>
  <c r="L22" i="35"/>
  <c r="K22" i="35"/>
  <c r="J22" i="35"/>
  <c r="H22" i="35"/>
  <c r="F22" i="35"/>
  <c r="D22" i="35"/>
  <c r="B22" i="35"/>
  <c r="AE21" i="35"/>
  <c r="O21" i="35"/>
  <c r="G21" i="35"/>
  <c r="E21" i="35"/>
  <c r="C21" i="35"/>
  <c r="AE20" i="35"/>
  <c r="O20" i="35"/>
  <c r="I20" i="35"/>
  <c r="G20" i="35"/>
  <c r="E20" i="35"/>
  <c r="C20" i="35"/>
  <c r="AE19" i="35"/>
  <c r="O19" i="35"/>
  <c r="I19" i="35"/>
  <c r="G19" i="35"/>
  <c r="E19" i="35"/>
  <c r="C19" i="35"/>
  <c r="AE18" i="35"/>
  <c r="O18" i="35"/>
  <c r="I18" i="35"/>
  <c r="G18" i="35"/>
  <c r="E18" i="35"/>
  <c r="C18" i="35"/>
  <c r="AE17" i="35"/>
  <c r="O17" i="35"/>
  <c r="I17" i="35"/>
  <c r="G17" i="35"/>
  <c r="E17" i="35"/>
  <c r="C17" i="35"/>
  <c r="AE16" i="35"/>
  <c r="O16" i="35"/>
  <c r="I16" i="35"/>
  <c r="G16" i="35"/>
  <c r="E16" i="35"/>
  <c r="C16" i="35"/>
  <c r="AE15" i="35"/>
  <c r="O15" i="35"/>
  <c r="E15" i="35"/>
  <c r="C15" i="35"/>
  <c r="O22" i="35" l="1"/>
  <c r="I22" i="35"/>
  <c r="C22" i="35"/>
  <c r="G22" i="35"/>
  <c r="E22" i="35"/>
  <c r="AE22" i="35"/>
  <c r="AG22" i="34"/>
  <c r="AF22" i="34"/>
  <c r="AD22" i="34"/>
  <c r="AC22" i="34"/>
  <c r="AB22" i="34"/>
  <c r="AA22" i="34"/>
  <c r="Z22" i="34"/>
  <c r="Y22" i="34"/>
  <c r="W22" i="34"/>
  <c r="V22" i="34"/>
  <c r="U22" i="34"/>
  <c r="T22" i="34"/>
  <c r="S22" i="34"/>
  <c r="R22" i="34"/>
  <c r="Q22" i="34"/>
  <c r="P22" i="34"/>
  <c r="N22" i="34"/>
  <c r="M22" i="34"/>
  <c r="L22" i="34"/>
  <c r="K22" i="34"/>
  <c r="J22" i="34"/>
  <c r="H22" i="34"/>
  <c r="F22" i="34"/>
  <c r="D22" i="34"/>
  <c r="B22" i="34"/>
  <c r="AE21" i="34"/>
  <c r="O21" i="34"/>
  <c r="G21" i="34"/>
  <c r="E21" i="34"/>
  <c r="C21" i="34"/>
  <c r="AE20" i="34"/>
  <c r="O20" i="34"/>
  <c r="I20" i="34"/>
  <c r="G20" i="34"/>
  <c r="E20" i="34"/>
  <c r="C20" i="34"/>
  <c r="AE19" i="34"/>
  <c r="O19" i="34"/>
  <c r="I19" i="34"/>
  <c r="G19" i="34"/>
  <c r="E19" i="34"/>
  <c r="C19" i="34"/>
  <c r="AE18" i="34"/>
  <c r="O18" i="34"/>
  <c r="I18" i="34"/>
  <c r="G18" i="34"/>
  <c r="E18" i="34"/>
  <c r="C18" i="34"/>
  <c r="AE17" i="34"/>
  <c r="O17" i="34"/>
  <c r="I17" i="34"/>
  <c r="I22" i="34" s="1"/>
  <c r="G17" i="34"/>
  <c r="E17" i="34"/>
  <c r="C17" i="34"/>
  <c r="AE16" i="34"/>
  <c r="O16" i="34"/>
  <c r="I16" i="34"/>
  <c r="G16" i="34"/>
  <c r="E16" i="34"/>
  <c r="C16" i="34"/>
  <c r="AE15" i="34"/>
  <c r="O15" i="34"/>
  <c r="E15" i="34"/>
  <c r="C15" i="34"/>
  <c r="O22" i="34" l="1"/>
  <c r="C22" i="34"/>
  <c r="E22" i="34"/>
  <c r="AE22" i="34"/>
  <c r="G22" i="34"/>
  <c r="G17" i="33" l="1"/>
  <c r="G18" i="33"/>
  <c r="G19" i="33"/>
  <c r="G20" i="33"/>
  <c r="G21" i="33"/>
  <c r="G16" i="33"/>
  <c r="AG22" i="33" l="1"/>
  <c r="AF22" i="33"/>
  <c r="AD22" i="33"/>
  <c r="AC22" i="33"/>
  <c r="AB22" i="33"/>
  <c r="AA22" i="33"/>
  <c r="Z22" i="33"/>
  <c r="Y22" i="33"/>
  <c r="W22" i="33"/>
  <c r="V22" i="33"/>
  <c r="U22" i="33"/>
  <c r="T22" i="33"/>
  <c r="S22" i="33"/>
  <c r="R22" i="33"/>
  <c r="Q22" i="33"/>
  <c r="P22" i="33"/>
  <c r="N22" i="33"/>
  <c r="M22" i="33"/>
  <c r="L22" i="33"/>
  <c r="K22" i="33"/>
  <c r="J22" i="33"/>
  <c r="H22" i="33"/>
  <c r="F22" i="33"/>
  <c r="D22" i="33"/>
  <c r="B22" i="33"/>
  <c r="AE21" i="33"/>
  <c r="O21" i="33"/>
  <c r="E21" i="33"/>
  <c r="C21" i="33"/>
  <c r="AE20" i="33"/>
  <c r="O20" i="33"/>
  <c r="I20" i="33"/>
  <c r="E20" i="33"/>
  <c r="C20" i="33"/>
  <c r="AE19" i="33"/>
  <c r="O19" i="33"/>
  <c r="I19" i="33"/>
  <c r="E19" i="33"/>
  <c r="C19" i="33"/>
  <c r="AE18" i="33"/>
  <c r="O18" i="33"/>
  <c r="I18" i="33"/>
  <c r="E18" i="33"/>
  <c r="C18" i="33"/>
  <c r="AE17" i="33"/>
  <c r="O17" i="33"/>
  <c r="I17" i="33"/>
  <c r="I22" i="33" s="1"/>
  <c r="G22" i="33"/>
  <c r="E17" i="33"/>
  <c r="C17" i="33"/>
  <c r="AE16" i="33"/>
  <c r="O16" i="33"/>
  <c r="I16" i="33"/>
  <c r="E16" i="33"/>
  <c r="C16" i="33"/>
  <c r="AE15" i="33"/>
  <c r="O15" i="33"/>
  <c r="E15" i="33"/>
  <c r="C15" i="33"/>
  <c r="C22" i="33" s="1"/>
  <c r="O22" i="33" l="1"/>
  <c r="AE22" i="33"/>
  <c r="E22" i="33"/>
  <c r="AG22" i="32"/>
  <c r="AF22" i="32"/>
  <c r="AD22" i="32"/>
  <c r="AC22" i="32"/>
  <c r="AB22" i="32"/>
  <c r="AA22" i="32"/>
  <c r="Z22" i="32"/>
  <c r="Y22" i="32"/>
  <c r="W22" i="32"/>
  <c r="V22" i="32"/>
  <c r="U22" i="32"/>
  <c r="T22" i="32"/>
  <c r="S22" i="32"/>
  <c r="R22" i="32"/>
  <c r="Q22" i="32"/>
  <c r="P22" i="32"/>
  <c r="N22" i="32"/>
  <c r="M22" i="32"/>
  <c r="L22" i="32"/>
  <c r="K22" i="32"/>
  <c r="J22" i="32"/>
  <c r="H22" i="32"/>
  <c r="F22" i="32"/>
  <c r="D22" i="32"/>
  <c r="B22" i="32"/>
  <c r="AE21" i="32"/>
  <c r="O21" i="32"/>
  <c r="G21" i="32"/>
  <c r="E21" i="32"/>
  <c r="C21" i="32"/>
  <c r="AE20" i="32"/>
  <c r="O20" i="32"/>
  <c r="I20" i="32"/>
  <c r="G20" i="32"/>
  <c r="E20" i="32"/>
  <c r="C20" i="32"/>
  <c r="AE19" i="32"/>
  <c r="O19" i="32"/>
  <c r="I19" i="32"/>
  <c r="G19" i="32"/>
  <c r="E19" i="32"/>
  <c r="C19" i="32"/>
  <c r="AE18" i="32"/>
  <c r="O18" i="32"/>
  <c r="I18" i="32"/>
  <c r="G18" i="32"/>
  <c r="E18" i="32"/>
  <c r="C18" i="32"/>
  <c r="AE17" i="32"/>
  <c r="O17" i="32"/>
  <c r="I17" i="32"/>
  <c r="G17" i="32"/>
  <c r="E17" i="32"/>
  <c r="C17" i="32"/>
  <c r="AE16" i="32"/>
  <c r="O16" i="32"/>
  <c r="I16" i="32"/>
  <c r="I22" i="32" s="1"/>
  <c r="G16" i="32"/>
  <c r="E16" i="32"/>
  <c r="C16" i="32"/>
  <c r="AE15" i="32"/>
  <c r="O15" i="32"/>
  <c r="E15" i="32"/>
  <c r="C15" i="32"/>
  <c r="AE22" i="32" l="1"/>
  <c r="O22" i="32"/>
  <c r="C22" i="32"/>
  <c r="G22" i="32"/>
  <c r="E22" i="32"/>
  <c r="AG22" i="31" l="1"/>
  <c r="AF22" i="31"/>
  <c r="AD22" i="31"/>
  <c r="AB22" i="31"/>
  <c r="AA22" i="31"/>
  <c r="Z22" i="31"/>
  <c r="Y22" i="31"/>
  <c r="W22" i="31"/>
  <c r="V22" i="31"/>
  <c r="U22" i="31"/>
  <c r="T22" i="31"/>
  <c r="S22" i="31"/>
  <c r="R22" i="31"/>
  <c r="Q22" i="31"/>
  <c r="P22" i="31"/>
  <c r="N22" i="31"/>
  <c r="M22" i="31"/>
  <c r="L22" i="31"/>
  <c r="K22" i="31"/>
  <c r="J22" i="31"/>
  <c r="H22" i="31"/>
  <c r="F22" i="31"/>
  <c r="D22" i="31"/>
  <c r="B22" i="31"/>
  <c r="AE21" i="31"/>
  <c r="O21" i="31"/>
  <c r="G21" i="31"/>
  <c r="E21" i="31"/>
  <c r="C21" i="31"/>
  <c r="AE20" i="31"/>
  <c r="O20" i="31"/>
  <c r="I20" i="31"/>
  <c r="G20" i="31"/>
  <c r="E20" i="31"/>
  <c r="C20" i="31"/>
  <c r="AE19" i="31"/>
  <c r="O19" i="31"/>
  <c r="I19" i="31"/>
  <c r="G19" i="31"/>
  <c r="E19" i="31"/>
  <c r="C19" i="31"/>
  <c r="AE18" i="31"/>
  <c r="O18" i="31"/>
  <c r="I18" i="31"/>
  <c r="G18" i="31"/>
  <c r="E18" i="31"/>
  <c r="C18" i="31"/>
  <c r="AE17" i="31"/>
  <c r="O17" i="31"/>
  <c r="I17" i="31"/>
  <c r="G17" i="31"/>
  <c r="E17" i="31"/>
  <c r="C17" i="31"/>
  <c r="AE16" i="31"/>
  <c r="AC22" i="31"/>
  <c r="O16" i="31"/>
  <c r="I16" i="31"/>
  <c r="G16" i="31"/>
  <c r="E16" i="31"/>
  <c r="C16" i="31"/>
  <c r="AE15" i="31"/>
  <c r="O15" i="31"/>
  <c r="E15" i="31"/>
  <c r="C15" i="31"/>
  <c r="C22" i="31" l="1"/>
  <c r="I22" i="31"/>
  <c r="O22" i="31"/>
  <c r="AE22" i="31"/>
  <c r="G22" i="31"/>
  <c r="E22" i="31"/>
  <c r="AE17" i="30" l="1"/>
  <c r="AE19" i="30"/>
  <c r="AE20" i="30"/>
  <c r="O15" i="30" l="1"/>
  <c r="AE15" i="30"/>
  <c r="AG22" i="30" l="1"/>
  <c r="AF22" i="30"/>
  <c r="AD22" i="30"/>
  <c r="AC22" i="30"/>
  <c r="AB22" i="30"/>
  <c r="AA22" i="30"/>
  <c r="Z22" i="30"/>
  <c r="Y22" i="30"/>
  <c r="W22" i="30"/>
  <c r="V22" i="30"/>
  <c r="U22" i="30"/>
  <c r="T22" i="30"/>
  <c r="S22" i="30"/>
  <c r="R22" i="30"/>
  <c r="Q22" i="30"/>
  <c r="P22" i="30"/>
  <c r="N22" i="30"/>
  <c r="M22" i="30"/>
  <c r="L22" i="30"/>
  <c r="K22" i="30"/>
  <c r="J22" i="30"/>
  <c r="H22" i="30"/>
  <c r="F22" i="30"/>
  <c r="D22" i="30"/>
  <c r="B22" i="30"/>
  <c r="AE21" i="30"/>
  <c r="O21" i="30"/>
  <c r="G21" i="30"/>
  <c r="E21" i="30"/>
  <c r="C21" i="30"/>
  <c r="O20" i="30"/>
  <c r="I20" i="30"/>
  <c r="G20" i="30"/>
  <c r="E20" i="30"/>
  <c r="C20" i="30"/>
  <c r="O19" i="30"/>
  <c r="I19" i="30"/>
  <c r="G19" i="30"/>
  <c r="E19" i="30"/>
  <c r="C19" i="30"/>
  <c r="AE18" i="30"/>
  <c r="O18" i="30"/>
  <c r="I18" i="30"/>
  <c r="G18" i="30"/>
  <c r="E18" i="30"/>
  <c r="C18" i="30"/>
  <c r="O17" i="30"/>
  <c r="I17" i="30"/>
  <c r="G17" i="30"/>
  <c r="E17" i="30"/>
  <c r="C17" i="30"/>
  <c r="AE16" i="30"/>
  <c r="O16" i="30"/>
  <c r="I16" i="30"/>
  <c r="G16" i="30"/>
  <c r="E16" i="30"/>
  <c r="C16" i="30"/>
  <c r="E15" i="30"/>
  <c r="E22" i="30" s="1"/>
  <c r="C15" i="30"/>
  <c r="I22" i="30" l="1"/>
  <c r="O22" i="30"/>
  <c r="C22" i="30"/>
  <c r="G22" i="30"/>
  <c r="AE22" i="30"/>
  <c r="AG22" i="29" l="1"/>
  <c r="AF22" i="29"/>
  <c r="AD22" i="29"/>
  <c r="AB22" i="29"/>
  <c r="AA22" i="29"/>
  <c r="Z22" i="29"/>
  <c r="Y22" i="29"/>
  <c r="W22" i="29"/>
  <c r="V22" i="29"/>
  <c r="U22" i="29"/>
  <c r="T22" i="29"/>
  <c r="S22" i="29"/>
  <c r="R22" i="29"/>
  <c r="Q22" i="29"/>
  <c r="P22" i="29"/>
  <c r="N22" i="29"/>
  <c r="M22" i="29"/>
  <c r="L22" i="29"/>
  <c r="K22" i="29"/>
  <c r="J22" i="29"/>
  <c r="H22" i="29"/>
  <c r="F22" i="29"/>
  <c r="D22" i="29"/>
  <c r="B22" i="29"/>
  <c r="AE21" i="29"/>
  <c r="O21" i="29"/>
  <c r="G21" i="29"/>
  <c r="E21" i="29"/>
  <c r="C21" i="29"/>
  <c r="AE20" i="29"/>
  <c r="O20" i="29"/>
  <c r="I20" i="29"/>
  <c r="G20" i="29"/>
  <c r="E20" i="29"/>
  <c r="C20" i="29"/>
  <c r="AE19" i="29"/>
  <c r="O19" i="29"/>
  <c r="I19" i="29"/>
  <c r="G19" i="29"/>
  <c r="E19" i="29"/>
  <c r="C19" i="29"/>
  <c r="AE18" i="29"/>
  <c r="O18" i="29"/>
  <c r="I18" i="29"/>
  <c r="G18" i="29"/>
  <c r="E18" i="29"/>
  <c r="C18" i="29"/>
  <c r="AE17" i="29"/>
  <c r="O17" i="29"/>
  <c r="I17" i="29"/>
  <c r="G17" i="29"/>
  <c r="E17" i="29"/>
  <c r="C17" i="29"/>
  <c r="AE16" i="29"/>
  <c r="AC22" i="29"/>
  <c r="O16" i="29"/>
  <c r="I16" i="29"/>
  <c r="G16" i="29"/>
  <c r="E16" i="29"/>
  <c r="C16" i="29"/>
  <c r="AE15" i="29"/>
  <c r="O15" i="29"/>
  <c r="E15" i="29"/>
  <c r="C15" i="29"/>
  <c r="C22" i="29" l="1"/>
  <c r="O22" i="29"/>
  <c r="I22" i="29"/>
  <c r="AE22" i="29"/>
  <c r="G22" i="29"/>
  <c r="E22" i="29"/>
  <c r="Y22" i="28"/>
  <c r="G16" i="28" l="1"/>
  <c r="G17" i="28"/>
  <c r="G18" i="28"/>
  <c r="G19" i="28"/>
  <c r="G20" i="28"/>
  <c r="G21" i="28"/>
  <c r="AG22" i="28"/>
  <c r="AF22" i="28"/>
  <c r="AD22" i="28"/>
  <c r="AC22" i="28"/>
  <c r="AB22" i="28"/>
  <c r="AA22" i="28"/>
  <c r="Z22" i="28"/>
  <c r="W22" i="28"/>
  <c r="V22" i="28"/>
  <c r="U22" i="28"/>
  <c r="T22" i="28"/>
  <c r="S22" i="28"/>
  <c r="R22" i="28"/>
  <c r="Q22" i="28"/>
  <c r="P22" i="28"/>
  <c r="N22" i="28"/>
  <c r="M22" i="28"/>
  <c r="L22" i="28"/>
  <c r="K22" i="28"/>
  <c r="J22" i="28"/>
  <c r="H22" i="28"/>
  <c r="F22" i="28"/>
  <c r="D22" i="28"/>
  <c r="B22" i="28"/>
  <c r="AE21" i="28"/>
  <c r="O21" i="28"/>
  <c r="E21" i="28"/>
  <c r="C21" i="28"/>
  <c r="AE20" i="28"/>
  <c r="O20" i="28"/>
  <c r="I20" i="28"/>
  <c r="E20" i="28"/>
  <c r="C20" i="28"/>
  <c r="AE19" i="28"/>
  <c r="O19" i="28"/>
  <c r="I19" i="28"/>
  <c r="E19" i="28"/>
  <c r="C19" i="28"/>
  <c r="AE18" i="28"/>
  <c r="O18" i="28"/>
  <c r="I18" i="28"/>
  <c r="E18" i="28"/>
  <c r="C18" i="28"/>
  <c r="AE17" i="28"/>
  <c r="O17" i="28"/>
  <c r="I17" i="28"/>
  <c r="E17" i="28"/>
  <c r="C17" i="28"/>
  <c r="AE16" i="28"/>
  <c r="O16" i="28"/>
  <c r="I16" i="28"/>
  <c r="E16" i="28"/>
  <c r="C16" i="28"/>
  <c r="AE15" i="28"/>
  <c r="O15" i="28"/>
  <c r="E15" i="28"/>
  <c r="C15" i="28"/>
  <c r="I22" i="28" l="1"/>
  <c r="O22" i="28"/>
  <c r="C22" i="28"/>
  <c r="AE22" i="28"/>
  <c r="G22" i="28"/>
  <c r="E22" i="28"/>
  <c r="X17" i="27" l="1"/>
  <c r="X18" i="27"/>
  <c r="X19" i="27"/>
  <c r="X20" i="27"/>
  <c r="X21" i="27"/>
  <c r="X16" i="27"/>
  <c r="AG22" i="27" l="1"/>
  <c r="AF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N22" i="27"/>
  <c r="M22" i="27"/>
  <c r="L22" i="27"/>
  <c r="K22" i="27"/>
  <c r="J22" i="27"/>
  <c r="H22" i="27"/>
  <c r="F22" i="27"/>
  <c r="D22" i="27"/>
  <c r="B22" i="27"/>
  <c r="AE21" i="27"/>
  <c r="O21" i="27"/>
  <c r="G21" i="27"/>
  <c r="E21" i="27"/>
  <c r="C21" i="27"/>
  <c r="AE20" i="27"/>
  <c r="O20" i="27"/>
  <c r="I20" i="27"/>
  <c r="G20" i="27"/>
  <c r="E20" i="27"/>
  <c r="C20" i="27"/>
  <c r="AE19" i="27"/>
  <c r="O19" i="27"/>
  <c r="I19" i="27"/>
  <c r="G19" i="27"/>
  <c r="E19" i="27"/>
  <c r="C19" i="27"/>
  <c r="AE18" i="27"/>
  <c r="O18" i="27"/>
  <c r="I18" i="27"/>
  <c r="G18" i="27"/>
  <c r="E18" i="27"/>
  <c r="C18" i="27"/>
  <c r="AE17" i="27"/>
  <c r="O17" i="27"/>
  <c r="I17" i="27"/>
  <c r="G17" i="27"/>
  <c r="E17" i="27"/>
  <c r="C17" i="27"/>
  <c r="AE16" i="27"/>
  <c r="O16" i="27"/>
  <c r="O22" i="27" s="1"/>
  <c r="I16" i="27"/>
  <c r="G16" i="27"/>
  <c r="E16" i="27"/>
  <c r="C16" i="27"/>
  <c r="AE15" i="27"/>
  <c r="O15" i="27"/>
  <c r="E15" i="27"/>
  <c r="C15" i="27"/>
  <c r="I22" i="27" l="1"/>
  <c r="C22" i="27"/>
  <c r="AE22" i="27"/>
  <c r="G22" i="27"/>
  <c r="E22" i="27"/>
  <c r="G17" i="26"/>
  <c r="G16" i="26" l="1"/>
  <c r="E16" i="26"/>
  <c r="AG22" i="26" l="1"/>
  <c r="AF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N22" i="26"/>
  <c r="M22" i="26"/>
  <c r="L22" i="26"/>
  <c r="K22" i="26"/>
  <c r="J22" i="26"/>
  <c r="H22" i="26"/>
  <c r="F22" i="26"/>
  <c r="D22" i="26"/>
  <c r="B22" i="26"/>
  <c r="AE21" i="26"/>
  <c r="O21" i="26"/>
  <c r="G21" i="26"/>
  <c r="E21" i="26"/>
  <c r="C21" i="26"/>
  <c r="AE20" i="26"/>
  <c r="O20" i="26"/>
  <c r="I20" i="26"/>
  <c r="G20" i="26"/>
  <c r="E20" i="26"/>
  <c r="C20" i="26"/>
  <c r="AE19" i="26"/>
  <c r="O19" i="26"/>
  <c r="I19" i="26"/>
  <c r="G19" i="26"/>
  <c r="E19" i="26"/>
  <c r="C19" i="26"/>
  <c r="AE18" i="26"/>
  <c r="O18" i="26"/>
  <c r="I18" i="26"/>
  <c r="G18" i="26"/>
  <c r="E18" i="26"/>
  <c r="C18" i="26"/>
  <c r="AE17" i="26"/>
  <c r="O17" i="26"/>
  <c r="I17" i="26"/>
  <c r="E17" i="26"/>
  <c r="C17" i="26"/>
  <c r="AE16" i="26"/>
  <c r="O16" i="26"/>
  <c r="I16" i="26"/>
  <c r="C16" i="26"/>
  <c r="AE15" i="26"/>
  <c r="O15" i="26"/>
  <c r="O22" i="26" s="1"/>
  <c r="E15" i="26"/>
  <c r="C15" i="26"/>
  <c r="I22" i="26" l="1"/>
  <c r="C22" i="26"/>
  <c r="G22" i="26"/>
  <c r="AE22" i="26"/>
  <c r="E22" i="26"/>
  <c r="AG22" i="25" l="1"/>
  <c r="AF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N22" i="25"/>
  <c r="M22" i="25"/>
  <c r="L22" i="25"/>
  <c r="K22" i="25"/>
  <c r="J22" i="25"/>
  <c r="H22" i="25"/>
  <c r="F22" i="25"/>
  <c r="D22" i="25"/>
  <c r="B22" i="25"/>
  <c r="AE21" i="25"/>
  <c r="O21" i="25"/>
  <c r="G21" i="25"/>
  <c r="E21" i="25"/>
  <c r="C21" i="25"/>
  <c r="AE20" i="25"/>
  <c r="O20" i="25"/>
  <c r="I20" i="25"/>
  <c r="G20" i="25"/>
  <c r="E20" i="25"/>
  <c r="C20" i="25"/>
  <c r="AE19" i="25"/>
  <c r="O19" i="25"/>
  <c r="I19" i="25"/>
  <c r="G19" i="25"/>
  <c r="E19" i="25"/>
  <c r="C19" i="25"/>
  <c r="AE18" i="25"/>
  <c r="O18" i="25"/>
  <c r="I18" i="25"/>
  <c r="G18" i="25"/>
  <c r="E18" i="25"/>
  <c r="C18" i="25"/>
  <c r="AE17" i="25"/>
  <c r="O17" i="25"/>
  <c r="I17" i="25"/>
  <c r="G17" i="25"/>
  <c r="E17" i="25"/>
  <c r="C17" i="25"/>
  <c r="AE16" i="25"/>
  <c r="O16" i="25"/>
  <c r="I16" i="25"/>
  <c r="G16" i="25"/>
  <c r="E16" i="25"/>
  <c r="C16" i="25"/>
  <c r="AE15" i="25"/>
  <c r="O15" i="25"/>
  <c r="E15" i="25"/>
  <c r="C15" i="25"/>
  <c r="I22" i="25" l="1"/>
  <c r="C22" i="25"/>
  <c r="O22" i="25"/>
  <c r="G22" i="25"/>
  <c r="E22" i="25"/>
  <c r="AE22" i="25"/>
  <c r="AD26" i="21"/>
  <c r="AG22" i="24" l="1"/>
  <c r="AF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H22" i="24"/>
  <c r="F22" i="24"/>
  <c r="D22" i="24"/>
  <c r="B22" i="24"/>
  <c r="AE21" i="24"/>
  <c r="O21" i="24"/>
  <c r="G21" i="24"/>
  <c r="E21" i="24"/>
  <c r="C21" i="24"/>
  <c r="AE20" i="24"/>
  <c r="O20" i="24"/>
  <c r="I20" i="24"/>
  <c r="G20" i="24"/>
  <c r="E20" i="24"/>
  <c r="C20" i="24"/>
  <c r="AE19" i="24"/>
  <c r="O19" i="24"/>
  <c r="I19" i="24"/>
  <c r="G19" i="24"/>
  <c r="E19" i="24"/>
  <c r="C19" i="24"/>
  <c r="AE18" i="24"/>
  <c r="O18" i="24"/>
  <c r="I18" i="24"/>
  <c r="G18" i="24"/>
  <c r="E18" i="24"/>
  <c r="C18" i="24"/>
  <c r="AE17" i="24"/>
  <c r="O17" i="24"/>
  <c r="I17" i="24"/>
  <c r="G17" i="24"/>
  <c r="E17" i="24"/>
  <c r="C17" i="24"/>
  <c r="AE16" i="24"/>
  <c r="O16" i="24"/>
  <c r="I16" i="24"/>
  <c r="I22" i="24" s="1"/>
  <c r="G16" i="24"/>
  <c r="E16" i="24"/>
  <c r="C16" i="24"/>
  <c r="AE15" i="24"/>
  <c r="O15" i="24"/>
  <c r="E15" i="24"/>
  <c r="C15" i="24"/>
  <c r="C22" i="24" l="1"/>
  <c r="O22" i="24"/>
  <c r="AE22" i="24"/>
  <c r="G22" i="24"/>
  <c r="E22" i="24"/>
  <c r="AE15" i="21"/>
  <c r="O15" i="21"/>
  <c r="G15" i="21"/>
  <c r="E15" i="21"/>
  <c r="C15" i="21"/>
  <c r="G21" i="23" l="1"/>
  <c r="G20" i="23"/>
  <c r="G19" i="23"/>
  <c r="G18" i="23"/>
  <c r="G17" i="23"/>
  <c r="G16" i="23"/>
  <c r="G21" i="22"/>
  <c r="G20" i="22"/>
  <c r="G19" i="22"/>
  <c r="G18" i="22"/>
  <c r="G17" i="22"/>
  <c r="G16" i="22"/>
  <c r="G15" i="22"/>
  <c r="AG22" i="23" l="1"/>
  <c r="AF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N22" i="23"/>
  <c r="M22" i="23"/>
  <c r="L22" i="23"/>
  <c r="K22" i="23"/>
  <c r="J22" i="23"/>
  <c r="H22" i="23"/>
  <c r="G22" i="23"/>
  <c r="F22" i="23"/>
  <c r="D22" i="23"/>
  <c r="B22" i="23"/>
  <c r="AE21" i="23"/>
  <c r="O21" i="23"/>
  <c r="E21" i="23"/>
  <c r="C21" i="23"/>
  <c r="AE20" i="23"/>
  <c r="O20" i="23"/>
  <c r="I20" i="23"/>
  <c r="E20" i="23"/>
  <c r="C20" i="23"/>
  <c r="AE19" i="23"/>
  <c r="O19" i="23"/>
  <c r="I19" i="23"/>
  <c r="E19" i="23"/>
  <c r="C19" i="23"/>
  <c r="AE18" i="23"/>
  <c r="O18" i="23"/>
  <c r="I18" i="23"/>
  <c r="E18" i="23"/>
  <c r="C18" i="23"/>
  <c r="AE17" i="23"/>
  <c r="O17" i="23"/>
  <c r="I17" i="23"/>
  <c r="E17" i="23"/>
  <c r="C17" i="23"/>
  <c r="AE16" i="23"/>
  <c r="O16" i="23"/>
  <c r="I16" i="23"/>
  <c r="E16" i="23"/>
  <c r="C16" i="23"/>
  <c r="AE15" i="23"/>
  <c r="O15" i="23"/>
  <c r="E15" i="23"/>
  <c r="C15" i="23"/>
  <c r="I22" i="23" l="1"/>
  <c r="O22" i="23"/>
  <c r="C22" i="23"/>
  <c r="AE22" i="23"/>
  <c r="E22" i="23"/>
  <c r="AE15" i="22"/>
  <c r="O15" i="22"/>
  <c r="E15" i="22"/>
  <c r="C15" i="22"/>
  <c r="AG22" i="22"/>
  <c r="AF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N22" i="22"/>
  <c r="M22" i="22"/>
  <c r="L22" i="22"/>
  <c r="K22" i="22"/>
  <c r="J22" i="22"/>
  <c r="H22" i="22"/>
  <c r="F22" i="22"/>
  <c r="D22" i="22"/>
  <c r="B22" i="22"/>
  <c r="AE21" i="22"/>
  <c r="O21" i="22"/>
  <c r="E21" i="22"/>
  <c r="C21" i="22"/>
  <c r="AE20" i="22"/>
  <c r="O20" i="22"/>
  <c r="I20" i="22"/>
  <c r="E20" i="22"/>
  <c r="C20" i="22"/>
  <c r="AE19" i="22"/>
  <c r="O19" i="22"/>
  <c r="I19" i="22"/>
  <c r="E19" i="22"/>
  <c r="C19" i="22"/>
  <c r="AE18" i="22"/>
  <c r="O18" i="22"/>
  <c r="I18" i="22"/>
  <c r="E18" i="22"/>
  <c r="C18" i="22"/>
  <c r="AE17" i="22"/>
  <c r="O17" i="22"/>
  <c r="I17" i="22"/>
  <c r="E17" i="22"/>
  <c r="C17" i="22"/>
  <c r="AE16" i="22"/>
  <c r="O16" i="22"/>
  <c r="I16" i="22"/>
  <c r="G22" i="22"/>
  <c r="E16" i="22"/>
  <c r="C16" i="22"/>
  <c r="C22" i="22" l="1"/>
  <c r="I22" i="22"/>
  <c r="O22" i="22"/>
  <c r="E22" i="22"/>
  <c r="AE22" i="22"/>
  <c r="G16" i="20"/>
  <c r="G21" i="21"/>
  <c r="G20" i="21"/>
  <c r="G19" i="21"/>
  <c r="G18" i="21"/>
  <c r="G17" i="21"/>
  <c r="G16" i="21"/>
  <c r="G17" i="20"/>
  <c r="G18" i="20"/>
  <c r="G19" i="20"/>
  <c r="G20" i="20"/>
  <c r="G21" i="20"/>
  <c r="AG22" i="21" l="1"/>
  <c r="AF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N22" i="21"/>
  <c r="M22" i="21"/>
  <c r="L22" i="21"/>
  <c r="K22" i="21"/>
  <c r="J22" i="21"/>
  <c r="H22" i="21"/>
  <c r="G22" i="21"/>
  <c r="F22" i="21"/>
  <c r="D22" i="21"/>
  <c r="B22" i="21"/>
  <c r="AE21" i="21"/>
  <c r="O21" i="21"/>
  <c r="E21" i="21"/>
  <c r="C21" i="21"/>
  <c r="AE20" i="21"/>
  <c r="O20" i="21"/>
  <c r="I20" i="21"/>
  <c r="I22" i="21" s="1"/>
  <c r="E20" i="21"/>
  <c r="C20" i="21"/>
  <c r="C22" i="21" s="1"/>
  <c r="AE19" i="21"/>
  <c r="O19" i="21"/>
  <c r="I19" i="21"/>
  <c r="E19" i="21"/>
  <c r="C19" i="21"/>
  <c r="AE18" i="21"/>
  <c r="O18" i="21"/>
  <c r="I18" i="21"/>
  <c r="E18" i="21"/>
  <c r="C18" i="21"/>
  <c r="AE17" i="21"/>
  <c r="O17" i="21"/>
  <c r="I17" i="21"/>
  <c r="E17" i="21"/>
  <c r="C17" i="21"/>
  <c r="AE16" i="21"/>
  <c r="O16" i="21"/>
  <c r="I16" i="21"/>
  <c r="E16" i="21"/>
  <c r="C16" i="21"/>
  <c r="O22" i="21" l="1"/>
  <c r="AE22" i="21"/>
  <c r="E22" i="21"/>
  <c r="AG22" i="20" l="1"/>
  <c r="AF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N22" i="20"/>
  <c r="M22" i="20"/>
  <c r="L22" i="20"/>
  <c r="K22" i="20"/>
  <c r="J22" i="20"/>
  <c r="H22" i="20"/>
  <c r="F22" i="20"/>
  <c r="D22" i="20"/>
  <c r="B22" i="20"/>
  <c r="AE21" i="20"/>
  <c r="O21" i="20"/>
  <c r="E21" i="20"/>
  <c r="C21" i="20"/>
  <c r="AE20" i="20"/>
  <c r="O20" i="20"/>
  <c r="I20" i="20"/>
  <c r="E20" i="20"/>
  <c r="C20" i="20"/>
  <c r="AE19" i="20"/>
  <c r="O19" i="20"/>
  <c r="I19" i="20"/>
  <c r="E19" i="20"/>
  <c r="C19" i="20"/>
  <c r="AE18" i="20"/>
  <c r="O18" i="20"/>
  <c r="I18" i="20"/>
  <c r="E18" i="20"/>
  <c r="C18" i="20"/>
  <c r="AE17" i="20"/>
  <c r="O17" i="20"/>
  <c r="I17" i="20"/>
  <c r="E17" i="20"/>
  <c r="C17" i="20"/>
  <c r="AE16" i="20"/>
  <c r="O16" i="20"/>
  <c r="I16" i="20"/>
  <c r="E16" i="20"/>
  <c r="C16" i="20"/>
  <c r="AE15" i="20"/>
  <c r="O15" i="20"/>
  <c r="I15" i="20"/>
  <c r="G22" i="20"/>
  <c r="E15" i="20"/>
  <c r="C15" i="20"/>
  <c r="O22" i="20" l="1"/>
  <c r="I22" i="20"/>
  <c r="C22" i="20"/>
  <c r="AE22" i="20"/>
  <c r="E22" i="20"/>
  <c r="AG22" i="19" l="1"/>
  <c r="AF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N22" i="19"/>
  <c r="M22" i="19"/>
  <c r="L22" i="19"/>
  <c r="K22" i="19"/>
  <c r="J22" i="19"/>
  <c r="H22" i="19"/>
  <c r="F22" i="19"/>
  <c r="D22" i="19"/>
  <c r="B22" i="19"/>
  <c r="AE21" i="19"/>
  <c r="O21" i="19"/>
  <c r="G21" i="19"/>
  <c r="E21" i="19"/>
  <c r="C21" i="19"/>
  <c r="AE20" i="19"/>
  <c r="O20" i="19"/>
  <c r="I20" i="19"/>
  <c r="G20" i="19"/>
  <c r="E20" i="19"/>
  <c r="C20" i="19"/>
  <c r="AE19" i="19"/>
  <c r="O19" i="19"/>
  <c r="I19" i="19"/>
  <c r="G19" i="19"/>
  <c r="E19" i="19"/>
  <c r="C19" i="19"/>
  <c r="AE18" i="19"/>
  <c r="O18" i="19"/>
  <c r="I18" i="19"/>
  <c r="G18" i="19"/>
  <c r="E18" i="19"/>
  <c r="C18" i="19"/>
  <c r="AE17" i="19"/>
  <c r="O17" i="19"/>
  <c r="I17" i="19"/>
  <c r="G17" i="19"/>
  <c r="E17" i="19"/>
  <c r="C17" i="19"/>
  <c r="AE16" i="19"/>
  <c r="O16" i="19"/>
  <c r="O22" i="19" s="1"/>
  <c r="I16" i="19"/>
  <c r="G16" i="19"/>
  <c r="E16" i="19"/>
  <c r="C16" i="19"/>
  <c r="AE15" i="19"/>
  <c r="O15" i="19"/>
  <c r="I15" i="19"/>
  <c r="G15" i="19"/>
  <c r="E15" i="19"/>
  <c r="C15" i="19"/>
  <c r="I22" i="19" l="1"/>
  <c r="C22" i="19"/>
  <c r="AE22" i="19"/>
  <c r="G22" i="19"/>
  <c r="E22" i="19"/>
  <c r="C15" i="16" l="1"/>
  <c r="E15" i="16"/>
  <c r="G15" i="16"/>
  <c r="I15" i="16"/>
  <c r="O15" i="16"/>
  <c r="AE15" i="16"/>
  <c r="C16" i="16"/>
  <c r="E16" i="16"/>
  <c r="G16" i="16"/>
  <c r="I16" i="16"/>
  <c r="O16" i="16"/>
  <c r="AE16" i="16"/>
  <c r="C17" i="16"/>
  <c r="E17" i="16"/>
  <c r="G17" i="16"/>
  <c r="I17" i="16"/>
  <c r="O17" i="16"/>
  <c r="AE17" i="16"/>
  <c r="C18" i="16"/>
  <c r="E18" i="16"/>
  <c r="G18" i="16"/>
  <c r="I18" i="16"/>
  <c r="O18" i="16"/>
  <c r="AE18" i="16"/>
  <c r="C19" i="16"/>
  <c r="E19" i="16"/>
  <c r="G19" i="16"/>
  <c r="I19" i="16"/>
  <c r="O19" i="16"/>
  <c r="AE19" i="16"/>
  <c r="C20" i="16"/>
  <c r="E20" i="16"/>
  <c r="G20" i="16"/>
  <c r="I20" i="16"/>
  <c r="O20" i="16"/>
  <c r="AE20" i="16"/>
  <c r="C21" i="16"/>
  <c r="E21" i="16"/>
  <c r="G21" i="16"/>
  <c r="O21" i="16"/>
  <c r="AE21" i="16"/>
  <c r="AG22" i="17" l="1"/>
  <c r="AF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N22" i="17"/>
  <c r="M22" i="17"/>
  <c r="L22" i="17"/>
  <c r="K22" i="17"/>
  <c r="J22" i="17"/>
  <c r="H22" i="17"/>
  <c r="F22" i="17"/>
  <c r="D22" i="17"/>
  <c r="B22" i="17"/>
  <c r="AE21" i="17"/>
  <c r="O21" i="17"/>
  <c r="G21" i="17"/>
  <c r="E21" i="17"/>
  <c r="C21" i="17"/>
  <c r="AE20" i="17"/>
  <c r="O20" i="17"/>
  <c r="I20" i="17"/>
  <c r="G20" i="17"/>
  <c r="E20" i="17"/>
  <c r="C20" i="17"/>
  <c r="AE19" i="17"/>
  <c r="O19" i="17"/>
  <c r="I19" i="17"/>
  <c r="G19" i="17"/>
  <c r="E19" i="17"/>
  <c r="C19" i="17"/>
  <c r="AE18" i="17"/>
  <c r="O18" i="17"/>
  <c r="I18" i="17"/>
  <c r="G18" i="17"/>
  <c r="E18" i="17"/>
  <c r="C18" i="17"/>
  <c r="AE17" i="17"/>
  <c r="O17" i="17"/>
  <c r="I17" i="17"/>
  <c r="G17" i="17"/>
  <c r="E17" i="17"/>
  <c r="C17" i="17"/>
  <c r="AE16" i="17"/>
  <c r="O16" i="17"/>
  <c r="I16" i="17"/>
  <c r="G16" i="17"/>
  <c r="E16" i="17"/>
  <c r="C16" i="17"/>
  <c r="AE15" i="17"/>
  <c r="O15" i="17"/>
  <c r="I15" i="17"/>
  <c r="G15" i="17"/>
  <c r="E15" i="17"/>
  <c r="C15" i="17"/>
  <c r="C22" i="17" s="1"/>
  <c r="I22" i="17" l="1"/>
  <c r="O22" i="17"/>
  <c r="AE22" i="17"/>
  <c r="G22" i="17"/>
  <c r="E22" i="17"/>
  <c r="AG22" i="16"/>
  <c r="AF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N22" i="16"/>
  <c r="M22" i="16"/>
  <c r="L22" i="16"/>
  <c r="K22" i="16"/>
  <c r="J22" i="16"/>
  <c r="H22" i="16"/>
  <c r="F22" i="16"/>
  <c r="D22" i="16"/>
  <c r="B22" i="16"/>
  <c r="O22" i="16"/>
  <c r="C22" i="16"/>
  <c r="I22" i="16"/>
  <c r="G22" i="16" l="1"/>
  <c r="AE22" i="16"/>
  <c r="E22" i="16"/>
  <c r="AE21" i="15" l="1"/>
  <c r="O21" i="15"/>
  <c r="G21" i="15"/>
  <c r="E21" i="15"/>
  <c r="C21" i="15"/>
  <c r="AG22" i="15"/>
  <c r="AF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N22" i="15"/>
  <c r="M22" i="15"/>
  <c r="L22" i="15"/>
  <c r="K22" i="15"/>
  <c r="J22" i="15"/>
  <c r="H22" i="15"/>
  <c r="F22" i="15"/>
  <c r="D22" i="15"/>
  <c r="B22" i="15"/>
  <c r="AE20" i="15"/>
  <c r="O20" i="15"/>
  <c r="I20" i="15"/>
  <c r="G20" i="15"/>
  <c r="E20" i="15"/>
  <c r="C20" i="15"/>
  <c r="AE19" i="15"/>
  <c r="O19" i="15"/>
  <c r="I19" i="15"/>
  <c r="G19" i="15"/>
  <c r="E19" i="15"/>
  <c r="C19" i="15"/>
  <c r="AE18" i="15"/>
  <c r="O18" i="15"/>
  <c r="I18" i="15"/>
  <c r="G18" i="15"/>
  <c r="E18" i="15"/>
  <c r="C18" i="15"/>
  <c r="AE17" i="15"/>
  <c r="O17" i="15"/>
  <c r="I17" i="15"/>
  <c r="G17" i="15"/>
  <c r="E17" i="15"/>
  <c r="C17" i="15"/>
  <c r="AE16" i="15"/>
  <c r="O16" i="15"/>
  <c r="I16" i="15"/>
  <c r="G16" i="15"/>
  <c r="E16" i="15"/>
  <c r="C16" i="15"/>
  <c r="AE15" i="15"/>
  <c r="O15" i="15"/>
  <c r="I15" i="15"/>
  <c r="G15" i="15"/>
  <c r="E15" i="15"/>
  <c r="C15" i="15"/>
  <c r="C22" i="15" l="1"/>
  <c r="I22" i="15"/>
  <c r="O22" i="15"/>
  <c r="E22" i="15"/>
  <c r="G22" i="15"/>
  <c r="AE22" i="15"/>
  <c r="AG22" i="14" l="1"/>
  <c r="AF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N22" i="14"/>
  <c r="M22" i="14"/>
  <c r="L22" i="14"/>
  <c r="K22" i="14"/>
  <c r="J22" i="14"/>
  <c r="H22" i="14"/>
  <c r="F22" i="14"/>
  <c r="D22" i="14"/>
  <c r="B22" i="14"/>
  <c r="AE21" i="14"/>
  <c r="O21" i="14"/>
  <c r="I21" i="14"/>
  <c r="G21" i="14"/>
  <c r="E21" i="14"/>
  <c r="C21" i="14"/>
  <c r="AE20" i="14"/>
  <c r="O20" i="14"/>
  <c r="I20" i="14"/>
  <c r="G20" i="14"/>
  <c r="E20" i="14"/>
  <c r="C20" i="14"/>
  <c r="AE19" i="14"/>
  <c r="O19" i="14"/>
  <c r="I19" i="14"/>
  <c r="G19" i="14"/>
  <c r="E19" i="14"/>
  <c r="C19" i="14"/>
  <c r="AE18" i="14"/>
  <c r="O18" i="14"/>
  <c r="I18" i="14"/>
  <c r="G18" i="14"/>
  <c r="E18" i="14"/>
  <c r="C18" i="14"/>
  <c r="AE17" i="14"/>
  <c r="O17" i="14"/>
  <c r="I17" i="14"/>
  <c r="G17" i="14"/>
  <c r="E17" i="14"/>
  <c r="C17" i="14"/>
  <c r="AE16" i="14"/>
  <c r="O16" i="14"/>
  <c r="O22" i="14" s="1"/>
  <c r="I16" i="14"/>
  <c r="G16" i="14"/>
  <c r="E16" i="14"/>
  <c r="C16" i="14"/>
  <c r="AE15" i="14"/>
  <c r="O15" i="14"/>
  <c r="I15" i="14"/>
  <c r="G15" i="14"/>
  <c r="E15" i="14"/>
  <c r="C15" i="14"/>
  <c r="I22" i="14" l="1"/>
  <c r="C22" i="14"/>
  <c r="E22" i="14"/>
  <c r="AE22" i="14"/>
  <c r="G22" i="14"/>
  <c r="H22" i="12"/>
  <c r="J22" i="12"/>
  <c r="K22" i="12"/>
  <c r="L22" i="12"/>
  <c r="M22" i="12"/>
  <c r="AE20" i="12" l="1"/>
  <c r="O20" i="12"/>
  <c r="I20" i="12"/>
  <c r="G20" i="12"/>
  <c r="E20" i="12"/>
  <c r="C20" i="12"/>
  <c r="AE19" i="12"/>
  <c r="O19" i="12"/>
  <c r="I19" i="12"/>
  <c r="G19" i="12"/>
  <c r="E19" i="12"/>
  <c r="C19" i="12"/>
  <c r="AG22" i="12" l="1"/>
  <c r="AF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N22" i="12"/>
  <c r="F22" i="12"/>
  <c r="D22" i="12"/>
  <c r="B22" i="12"/>
  <c r="AE21" i="12"/>
  <c r="O21" i="12"/>
  <c r="I21" i="12"/>
  <c r="G21" i="12"/>
  <c r="E21" i="12"/>
  <c r="C21" i="12"/>
  <c r="AE18" i="12"/>
  <c r="O18" i="12"/>
  <c r="I18" i="12"/>
  <c r="G18" i="12"/>
  <c r="E18" i="12"/>
  <c r="C18" i="12"/>
  <c r="AE17" i="12"/>
  <c r="O17" i="12"/>
  <c r="I17" i="12"/>
  <c r="G17" i="12"/>
  <c r="E17" i="12"/>
  <c r="C17" i="12"/>
  <c r="AE16" i="12"/>
  <c r="O16" i="12"/>
  <c r="I16" i="12"/>
  <c r="G16" i="12"/>
  <c r="E16" i="12"/>
  <c r="C16" i="12"/>
  <c r="AE15" i="12"/>
  <c r="O15" i="12"/>
  <c r="I15" i="12"/>
  <c r="G15" i="12"/>
  <c r="E15" i="12"/>
  <c r="C15" i="12"/>
  <c r="I22" i="12" l="1"/>
  <c r="C22" i="12"/>
  <c r="E22" i="12"/>
  <c r="G22" i="12"/>
  <c r="O22" i="12"/>
  <c r="AE22" i="12"/>
  <c r="H22" i="10" l="1"/>
  <c r="J22" i="10"/>
  <c r="K22" i="10"/>
  <c r="L22" i="10"/>
  <c r="M22" i="10"/>
  <c r="AG22" i="11" l="1"/>
  <c r="AF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N22" i="11"/>
  <c r="M22" i="11"/>
  <c r="L22" i="11"/>
  <c r="K22" i="11"/>
  <c r="J22" i="11"/>
  <c r="H22" i="11"/>
  <c r="F22" i="11"/>
  <c r="D22" i="11"/>
  <c r="B22" i="11"/>
  <c r="AE21" i="11"/>
  <c r="O21" i="11"/>
  <c r="G21" i="11"/>
  <c r="E21" i="11"/>
  <c r="C21" i="11"/>
  <c r="AE20" i="11"/>
  <c r="O20" i="11"/>
  <c r="I20" i="11"/>
  <c r="G20" i="11"/>
  <c r="E20" i="11"/>
  <c r="C20" i="11"/>
  <c r="AE19" i="11"/>
  <c r="O19" i="11"/>
  <c r="I19" i="11"/>
  <c r="G19" i="11"/>
  <c r="E19" i="11"/>
  <c r="C19" i="11"/>
  <c r="AE18" i="11"/>
  <c r="O18" i="11"/>
  <c r="I18" i="11"/>
  <c r="G18" i="11"/>
  <c r="E18" i="11"/>
  <c r="C18" i="11"/>
  <c r="AE17" i="11"/>
  <c r="O17" i="11"/>
  <c r="I17" i="11"/>
  <c r="G17" i="11"/>
  <c r="E17" i="11"/>
  <c r="C17" i="11"/>
  <c r="AE16" i="11"/>
  <c r="O16" i="11"/>
  <c r="I16" i="11"/>
  <c r="G16" i="11"/>
  <c r="E16" i="11"/>
  <c r="C16" i="11"/>
  <c r="AE15" i="11"/>
  <c r="O15" i="11"/>
  <c r="I15" i="11"/>
  <c r="G15" i="11"/>
  <c r="E15" i="11"/>
  <c r="C15" i="11"/>
  <c r="C22" i="11" s="1"/>
  <c r="I22" i="11" l="1"/>
  <c r="O22" i="11"/>
  <c r="AE22" i="11"/>
  <c r="F22" i="9" l="1"/>
  <c r="H22" i="9"/>
  <c r="J22" i="9"/>
  <c r="K22" i="9"/>
  <c r="L22" i="9"/>
  <c r="M22" i="9"/>
  <c r="AG22" i="10" l="1"/>
  <c r="AF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N22" i="10"/>
  <c r="F22" i="10"/>
  <c r="D22" i="10"/>
  <c r="B22" i="10"/>
  <c r="AE21" i="10"/>
  <c r="O21" i="10"/>
  <c r="G21" i="10"/>
  <c r="E21" i="10"/>
  <c r="C21" i="10"/>
  <c r="AE20" i="10"/>
  <c r="O20" i="10"/>
  <c r="I20" i="10"/>
  <c r="G20" i="10"/>
  <c r="E20" i="10"/>
  <c r="C20" i="10"/>
  <c r="AE19" i="10"/>
  <c r="O19" i="10"/>
  <c r="I19" i="10"/>
  <c r="G19" i="10"/>
  <c r="E19" i="10"/>
  <c r="C19" i="10"/>
  <c r="AE18" i="10"/>
  <c r="O18" i="10"/>
  <c r="I18" i="10"/>
  <c r="G18" i="10"/>
  <c r="E18" i="10"/>
  <c r="C18" i="10"/>
  <c r="AE17" i="10"/>
  <c r="O17" i="10"/>
  <c r="I17" i="10"/>
  <c r="G17" i="10"/>
  <c r="E17" i="10"/>
  <c r="C17" i="10"/>
  <c r="AE16" i="10"/>
  <c r="O16" i="10"/>
  <c r="I16" i="10"/>
  <c r="G16" i="10"/>
  <c r="E16" i="10"/>
  <c r="C16" i="10"/>
  <c r="AE15" i="10"/>
  <c r="O15" i="10"/>
  <c r="I15" i="10"/>
  <c r="I22" i="10" s="1"/>
  <c r="G15" i="10"/>
  <c r="G22" i="10" s="1"/>
  <c r="E15" i="10"/>
  <c r="C15" i="10"/>
  <c r="O22" i="10" l="1"/>
  <c r="C22" i="10"/>
  <c r="E22" i="10"/>
  <c r="AE22" i="10"/>
  <c r="AE21" i="9"/>
  <c r="G21" i="9"/>
  <c r="E21" i="9"/>
  <c r="P25" i="7" l="1"/>
  <c r="AE21" i="8" l="1"/>
  <c r="O21" i="9" l="1"/>
  <c r="C21" i="9"/>
  <c r="AG22" i="9"/>
  <c r="AF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N22" i="9"/>
  <c r="D22" i="9"/>
  <c r="B22" i="9"/>
  <c r="AE20" i="9"/>
  <c r="O20" i="9"/>
  <c r="I20" i="9"/>
  <c r="G20" i="9"/>
  <c r="E20" i="9"/>
  <c r="C20" i="9"/>
  <c r="AE19" i="9"/>
  <c r="O19" i="9"/>
  <c r="I19" i="9"/>
  <c r="G19" i="9"/>
  <c r="E19" i="9"/>
  <c r="C19" i="9"/>
  <c r="AE18" i="9"/>
  <c r="O18" i="9"/>
  <c r="I18" i="9"/>
  <c r="G18" i="9"/>
  <c r="E18" i="9"/>
  <c r="C18" i="9"/>
  <c r="AE17" i="9"/>
  <c r="O17" i="9"/>
  <c r="I17" i="9"/>
  <c r="G17" i="9"/>
  <c r="E17" i="9"/>
  <c r="C17" i="9"/>
  <c r="AE16" i="9"/>
  <c r="O16" i="9"/>
  <c r="I16" i="9"/>
  <c r="G16" i="9"/>
  <c r="E16" i="9"/>
  <c r="C16" i="9"/>
  <c r="AE15" i="9"/>
  <c r="O15" i="9"/>
  <c r="I15" i="9"/>
  <c r="G15" i="9"/>
  <c r="G22" i="9" s="1"/>
  <c r="E15" i="9"/>
  <c r="E22" i="9" s="1"/>
  <c r="C15" i="9"/>
  <c r="O22" i="9" l="1"/>
  <c r="I22" i="9"/>
  <c r="AE22" i="9"/>
  <c r="C22" i="9"/>
  <c r="O21" i="8" l="1"/>
  <c r="G21" i="8"/>
  <c r="E21" i="8"/>
  <c r="C21" i="8"/>
  <c r="AG22" i="8"/>
  <c r="AF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N22" i="8"/>
  <c r="M22" i="8"/>
  <c r="L22" i="8"/>
  <c r="K22" i="8"/>
  <c r="J22" i="8"/>
  <c r="H22" i="8"/>
  <c r="F22" i="8"/>
  <c r="D22" i="8"/>
  <c r="B22" i="8"/>
  <c r="AE20" i="8"/>
  <c r="O20" i="8"/>
  <c r="I20" i="8"/>
  <c r="G20" i="8"/>
  <c r="E20" i="8"/>
  <c r="C20" i="8"/>
  <c r="AE19" i="8"/>
  <c r="O19" i="8"/>
  <c r="I19" i="8"/>
  <c r="G19" i="8"/>
  <c r="E19" i="8"/>
  <c r="C19" i="8"/>
  <c r="AE18" i="8"/>
  <c r="O18" i="8"/>
  <c r="I18" i="8"/>
  <c r="G18" i="8"/>
  <c r="E18" i="8"/>
  <c r="C18" i="8"/>
  <c r="AE17" i="8"/>
  <c r="O17" i="8"/>
  <c r="I17" i="8"/>
  <c r="G17" i="8"/>
  <c r="E17" i="8"/>
  <c r="C17" i="8"/>
  <c r="AE16" i="8"/>
  <c r="O16" i="8"/>
  <c r="I16" i="8"/>
  <c r="G16" i="8"/>
  <c r="E16" i="8"/>
  <c r="C16" i="8"/>
  <c r="AE15" i="8"/>
  <c r="O15" i="8"/>
  <c r="I15" i="8"/>
  <c r="G15" i="8"/>
  <c r="E15" i="8"/>
  <c r="C15" i="8"/>
  <c r="C22" i="8" l="1"/>
  <c r="I22" i="8"/>
  <c r="O22" i="8"/>
  <c r="G22" i="8"/>
  <c r="E22" i="8"/>
  <c r="AE22" i="8"/>
  <c r="AG22" i="7" l="1"/>
  <c r="AF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N22" i="7"/>
  <c r="M22" i="7"/>
  <c r="L22" i="7"/>
  <c r="K22" i="7"/>
  <c r="J22" i="7"/>
  <c r="H22" i="7"/>
  <c r="F22" i="7"/>
  <c r="D22" i="7"/>
  <c r="B22" i="7"/>
  <c r="AE21" i="7"/>
  <c r="O21" i="7"/>
  <c r="I21" i="7"/>
  <c r="G21" i="7"/>
  <c r="E21" i="7"/>
  <c r="C21" i="7"/>
  <c r="AE20" i="7"/>
  <c r="O20" i="7"/>
  <c r="I20" i="7"/>
  <c r="G20" i="7"/>
  <c r="E20" i="7"/>
  <c r="C20" i="7"/>
  <c r="AE19" i="7"/>
  <c r="O19" i="7"/>
  <c r="I19" i="7"/>
  <c r="G19" i="7"/>
  <c r="E19" i="7"/>
  <c r="C19" i="7"/>
  <c r="AE18" i="7"/>
  <c r="O18" i="7"/>
  <c r="I18" i="7"/>
  <c r="G18" i="7"/>
  <c r="E18" i="7"/>
  <c r="C18" i="7"/>
  <c r="AE17" i="7"/>
  <c r="O17" i="7"/>
  <c r="I17" i="7"/>
  <c r="G17" i="7"/>
  <c r="E17" i="7"/>
  <c r="C17" i="7"/>
  <c r="AE16" i="7"/>
  <c r="O16" i="7"/>
  <c r="I16" i="7"/>
  <c r="G16" i="7"/>
  <c r="E16" i="7"/>
  <c r="C16" i="7"/>
  <c r="AE15" i="7"/>
  <c r="O15" i="7"/>
  <c r="I15" i="7"/>
  <c r="G15" i="7"/>
  <c r="E15" i="7"/>
  <c r="C15" i="7"/>
  <c r="C22" i="7" s="1"/>
  <c r="I22" i="7" l="1"/>
  <c r="O22" i="7"/>
  <c r="AE22" i="7"/>
  <c r="G22" i="7"/>
  <c r="E22" i="7"/>
  <c r="AE17" i="2" l="1"/>
  <c r="AE15" i="2"/>
  <c r="AF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N22" i="5"/>
  <c r="M22" i="5"/>
  <c r="L22" i="5"/>
  <c r="K22" i="5"/>
  <c r="J22" i="5"/>
  <c r="I22" i="5"/>
  <c r="H22" i="5"/>
  <c r="F22" i="5"/>
  <c r="D22" i="5"/>
  <c r="B22" i="5"/>
  <c r="AE21" i="5"/>
  <c r="O21" i="5"/>
  <c r="I21" i="5"/>
  <c r="G21" i="5"/>
  <c r="E21" i="5"/>
  <c r="C21" i="5"/>
  <c r="AE20" i="5"/>
  <c r="O20" i="5"/>
  <c r="I20" i="5"/>
  <c r="G20" i="5"/>
  <c r="E20" i="5"/>
  <c r="C20" i="5"/>
  <c r="AE19" i="5"/>
  <c r="O19" i="5"/>
  <c r="I19" i="5"/>
  <c r="G19" i="5"/>
  <c r="E19" i="5"/>
  <c r="C19" i="5"/>
  <c r="AE18" i="5"/>
  <c r="O18" i="5"/>
  <c r="I18" i="5"/>
  <c r="G18" i="5"/>
  <c r="E18" i="5"/>
  <c r="C18" i="5"/>
  <c r="AE17" i="5"/>
  <c r="O17" i="5"/>
  <c r="I17" i="5"/>
  <c r="G17" i="5"/>
  <c r="E17" i="5"/>
  <c r="C17" i="5"/>
  <c r="AG22" i="5"/>
  <c r="AE16" i="5"/>
  <c r="O16" i="5"/>
  <c r="I16" i="5"/>
  <c r="G16" i="5"/>
  <c r="E16" i="5"/>
  <c r="C16" i="5"/>
  <c r="AE15" i="5"/>
  <c r="O15" i="5"/>
  <c r="I15" i="5"/>
  <c r="G15" i="5"/>
  <c r="E15" i="5"/>
  <c r="C15" i="5"/>
  <c r="C22" i="5" s="1"/>
  <c r="O22" i="5" l="1"/>
  <c r="G22" i="5"/>
  <c r="E22" i="5"/>
  <c r="AE22" i="5"/>
  <c r="AG22" i="2" l="1"/>
  <c r="AF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N22" i="2"/>
  <c r="M22" i="2"/>
  <c r="L22" i="2"/>
  <c r="K22" i="2"/>
  <c r="J22" i="2"/>
  <c r="H22" i="2"/>
  <c r="F22" i="2"/>
  <c r="D22" i="2"/>
  <c r="B22" i="2"/>
  <c r="AE21" i="2"/>
  <c r="O21" i="2"/>
  <c r="I21" i="2"/>
  <c r="G21" i="2"/>
  <c r="E21" i="2"/>
  <c r="C21" i="2"/>
  <c r="AE20" i="2"/>
  <c r="O20" i="2"/>
  <c r="I20" i="2"/>
  <c r="G20" i="2"/>
  <c r="E20" i="2"/>
  <c r="C20" i="2"/>
  <c r="AE19" i="2"/>
  <c r="O19" i="2"/>
  <c r="I19" i="2"/>
  <c r="G19" i="2"/>
  <c r="E19" i="2"/>
  <c r="C19" i="2"/>
  <c r="AE18" i="2"/>
  <c r="O18" i="2"/>
  <c r="I18" i="2"/>
  <c r="G18" i="2"/>
  <c r="E18" i="2"/>
  <c r="C18" i="2"/>
  <c r="O17" i="2"/>
  <c r="I17" i="2"/>
  <c r="G17" i="2"/>
  <c r="E17" i="2"/>
  <c r="C17" i="2"/>
  <c r="AE16" i="2"/>
  <c r="O16" i="2"/>
  <c r="I16" i="2"/>
  <c r="G16" i="2"/>
  <c r="E16" i="2"/>
  <c r="C16" i="2"/>
  <c r="O15" i="2"/>
  <c r="I15" i="2"/>
  <c r="G15" i="2"/>
  <c r="E15" i="2"/>
  <c r="C15" i="2"/>
  <c r="I22" i="2" l="1"/>
  <c r="C22" i="2"/>
  <c r="O22" i="2"/>
  <c r="AE22" i="2"/>
  <c r="E22" i="2"/>
  <c r="G22" i="2"/>
  <c r="AG22" i="1"/>
  <c r="AF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N22" i="1"/>
  <c r="M22" i="1"/>
  <c r="L22" i="1"/>
  <c r="K22" i="1"/>
  <c r="J22" i="1"/>
  <c r="H22" i="1"/>
  <c r="F22" i="1"/>
  <c r="D22" i="1"/>
  <c r="B22" i="1"/>
  <c r="AE21" i="1"/>
  <c r="O21" i="1"/>
  <c r="I21" i="1"/>
  <c r="G21" i="1"/>
  <c r="E21" i="1"/>
  <c r="C21" i="1"/>
  <c r="AE20" i="1"/>
  <c r="O20" i="1"/>
  <c r="I20" i="1"/>
  <c r="G20" i="1"/>
  <c r="E20" i="1"/>
  <c r="C20" i="1"/>
  <c r="AE19" i="1"/>
  <c r="O19" i="1"/>
  <c r="I19" i="1"/>
  <c r="G19" i="1"/>
  <c r="E19" i="1"/>
  <c r="C19" i="1"/>
  <c r="AE18" i="1"/>
  <c r="O18" i="1"/>
  <c r="I18" i="1"/>
  <c r="G18" i="1"/>
  <c r="E18" i="1"/>
  <c r="C18" i="1"/>
  <c r="AE17" i="1"/>
  <c r="O17" i="1"/>
  <c r="I17" i="1"/>
  <c r="G17" i="1"/>
  <c r="E17" i="1"/>
  <c r="C17" i="1"/>
  <c r="AE16" i="1"/>
  <c r="O16" i="1"/>
  <c r="I16" i="1"/>
  <c r="G16" i="1"/>
  <c r="E16" i="1"/>
  <c r="C16" i="1"/>
  <c r="AE15" i="1"/>
  <c r="O15" i="1"/>
  <c r="I15" i="1"/>
  <c r="G15" i="1"/>
  <c r="E15" i="1"/>
  <c r="C15" i="1"/>
  <c r="I22" i="1" l="1"/>
  <c r="E22" i="1"/>
  <c r="O22" i="1"/>
  <c r="C22" i="1"/>
  <c r="G22" i="1"/>
  <c r="AE22" i="1"/>
</calcChain>
</file>

<file path=xl/sharedStrings.xml><?xml version="1.0" encoding="utf-8"?>
<sst xmlns="http://schemas.openxmlformats.org/spreadsheetml/2006/main" count="12180" uniqueCount="193">
  <si>
    <t>PHILSAGA MINING CORPORATION</t>
  </si>
  <si>
    <t>Bayugan 3,Rosario Agusan del Sur</t>
  </si>
  <si>
    <t>DETAIL EXPLOSIVE WEEKLY CONSUMPTION</t>
  </si>
  <si>
    <t>SUPPLIER</t>
  </si>
  <si>
    <t>MT. ROCK</t>
  </si>
  <si>
    <t>EXPEDITION</t>
  </si>
  <si>
    <t>MT ROCK</t>
  </si>
  <si>
    <t>Date</t>
  </si>
  <si>
    <t>PACKAGE EMULSION</t>
  </si>
  <si>
    <t>Anfo</t>
  </si>
  <si>
    <t>DETONATORS</t>
  </si>
  <si>
    <t>DETONATING CORD</t>
  </si>
  <si>
    <t>NONEL</t>
  </si>
  <si>
    <t>SUPREME</t>
  </si>
  <si>
    <t>SHOCKSTAR</t>
  </si>
  <si>
    <t>EXEL</t>
  </si>
  <si>
    <t>OBC</t>
  </si>
  <si>
    <t>EBC</t>
  </si>
  <si>
    <t>Cordtex</t>
  </si>
  <si>
    <t>S/Fuse</t>
  </si>
  <si>
    <t>Billwire</t>
  </si>
  <si>
    <t xml:space="preserve">FUSE </t>
  </si>
  <si>
    <t>Austin</t>
  </si>
  <si>
    <t>Super Power</t>
  </si>
  <si>
    <t>Senatel/Pulsar</t>
  </si>
  <si>
    <t>Magnum</t>
  </si>
  <si>
    <t>LIGHTER</t>
  </si>
  <si>
    <t>Pcs</t>
  </si>
  <si>
    <t>Kls</t>
  </si>
  <si>
    <t>Mtrs</t>
  </si>
  <si>
    <t>Total Weekly Consumption</t>
  </si>
  <si>
    <t xml:space="preserve"> </t>
  </si>
  <si>
    <t>Prepared by:</t>
  </si>
  <si>
    <t>Checked by:</t>
  </si>
  <si>
    <t>Noted by:</t>
  </si>
  <si>
    <t>Approved by:</t>
  </si>
  <si>
    <t>AIHREIN T. BACLAAN</t>
  </si>
  <si>
    <t>NHOLL GREAL O. LOZADA</t>
  </si>
  <si>
    <t>ENGR. RAFFY D. TORRES</t>
  </si>
  <si>
    <t>ENGR. EARL M. SON</t>
  </si>
  <si>
    <t xml:space="preserve">Mine Explosives Dept </t>
  </si>
  <si>
    <t>Mine Explosives Inventory Supervisor</t>
  </si>
  <si>
    <t>Mine Explosives Manager</t>
  </si>
  <si>
    <t xml:space="preserve">Mines Manager </t>
  </si>
  <si>
    <t>DECEMBER 31,2023 - JANUARY 6,2024</t>
  </si>
  <si>
    <t>JANUARY 7-13,2024</t>
  </si>
  <si>
    <t>JANUARY 14-20,2024</t>
  </si>
  <si>
    <t>JANUARY 21-27,2024</t>
  </si>
  <si>
    <t>JANUARY 28-FEBRUARY 3, 2024</t>
  </si>
  <si>
    <t>ENGR. EDWIN B. BATAL</t>
  </si>
  <si>
    <t>Mine Explosives Asst. Manager</t>
  </si>
  <si>
    <t>FEBRUARY 11-17,2024</t>
  </si>
  <si>
    <t>FEBRUARY 4-10,2024</t>
  </si>
  <si>
    <t>FEBRUARY 18-24,2024</t>
  </si>
  <si>
    <t>FEBRUARY 25 - MARCH 2,2024</t>
  </si>
  <si>
    <t>Mine Explosives  Asst. Manager</t>
  </si>
  <si>
    <t>MARCH 3-9, 2024</t>
  </si>
  <si>
    <t>MARCH 10-16, 2024</t>
  </si>
  <si>
    <t>MARCH 17-23, 2024</t>
  </si>
  <si>
    <t>ENGR. JOHN PAUHL T. NAVARRO</t>
  </si>
  <si>
    <t>Tigerway Project Manager /Asst. Mines Manager</t>
  </si>
  <si>
    <t>MARCH 24-30, 2024</t>
  </si>
  <si>
    <t>MARCH 31- APRIL 6, 2024</t>
  </si>
  <si>
    <t xml:space="preserve"> APRIL 7-13, 2024</t>
  </si>
  <si>
    <t>APRIL 14-20, 2024</t>
  </si>
  <si>
    <t>APRIL 21-27, 2024</t>
  </si>
  <si>
    <t>APRIL 28-MAY 4, 2024</t>
  </si>
  <si>
    <t>MAY 5-11, 2024</t>
  </si>
  <si>
    <t>MAY 12-18, 2024</t>
  </si>
  <si>
    <t>MAY 19-25, 2024</t>
  </si>
  <si>
    <t>ENGR. RAFFY D.  TORRES</t>
  </si>
  <si>
    <t>MAY 26-JUNE 1, 2024</t>
  </si>
  <si>
    <t>JUNE 2-8, 2024</t>
  </si>
  <si>
    <t>JUNE 9-15, 2024</t>
  </si>
  <si>
    <t>JUNE 16-22, 2024</t>
  </si>
  <si>
    <t>JUNE 23-29, 2024</t>
  </si>
  <si>
    <t>JUNE 30 - JULY 6, 2024</t>
  </si>
  <si>
    <t>JULY 7-13, 2024</t>
  </si>
  <si>
    <t>JULY 14-20, 2024</t>
  </si>
  <si>
    <t>JULY 21-27, 2024</t>
  </si>
  <si>
    <t>JULY 28-AUGUST 3, 2024</t>
  </si>
  <si>
    <t>AUGUST 4-10, 2024</t>
  </si>
  <si>
    <t>AUGUST 11-17, 2024</t>
  </si>
  <si>
    <t>DCORD</t>
  </si>
  <si>
    <t>I5</t>
  </si>
  <si>
    <t>VENOS L. MANDABON</t>
  </si>
  <si>
    <t>AUGUST 18-24, 2024</t>
  </si>
  <si>
    <t>AUGUST 25-31, 2024</t>
  </si>
  <si>
    <t>ENGR. EDWIN. BATAL</t>
  </si>
  <si>
    <t>SEPTEMBER 1-7, 2024</t>
  </si>
  <si>
    <t>SEPTEMBER 8-14, 2024</t>
  </si>
  <si>
    <t>SEPTEMBER 15-21, 2024</t>
  </si>
  <si>
    <t>SEPTEMBER 22-28, 2024</t>
  </si>
  <si>
    <t>SEPTEMBER 29 - OCTOBER 5, 2024</t>
  </si>
  <si>
    <t>OCTOBER 6-12, 2024</t>
  </si>
  <si>
    <t>OCTOBER 13-19, 2024</t>
  </si>
  <si>
    <t>OCTOBER 20-26, 2024</t>
  </si>
  <si>
    <t>OCTOBER 27-NOVEMBER 2, 2024</t>
  </si>
  <si>
    <t>NOVEMBER 3-9, 2024</t>
  </si>
  <si>
    <t>NOVEMBER 10-17, 2024</t>
  </si>
  <si>
    <t>NOVEMBER 18-24, 2024</t>
  </si>
  <si>
    <t>NOVEMBER 24-30, 2024</t>
  </si>
  <si>
    <t>DECEMBER 1-7, 2024</t>
  </si>
  <si>
    <t>ENGR. EDWINB. BATAL</t>
  </si>
  <si>
    <t>DECEMBER 8-14, 2024</t>
  </si>
  <si>
    <t>DECEMBER 15-22, 2024</t>
  </si>
  <si>
    <t>DECEMBER 22-28, 2024</t>
  </si>
  <si>
    <t>JANUARY 5-11, 2025</t>
  </si>
  <si>
    <t>DECEMBER 29-JANUARY 4, 2025</t>
  </si>
  <si>
    <t>JANUARY 12-18, 2025</t>
  </si>
  <si>
    <t>JANUARY 19-25 2025</t>
  </si>
  <si>
    <t>JANUARY 26-FEBRUARY 1, 2025</t>
  </si>
  <si>
    <t>FEBRUARY 2-8, 2025</t>
  </si>
  <si>
    <t>FEBRUARY 9-15, 2025</t>
  </si>
  <si>
    <t>FEBRUARY 16-22, 2025</t>
  </si>
  <si>
    <t>Mine Explosives Clerk</t>
  </si>
  <si>
    <t>FEBRUARY 23- MARCH 1, 2025</t>
  </si>
  <si>
    <t>MARCH 2-8, 2025</t>
  </si>
  <si>
    <t>MARCH 9-16, 2025</t>
  </si>
  <si>
    <t>MARCH 23-29, 2025</t>
  </si>
  <si>
    <t>MARCH 17-22, 2025</t>
  </si>
  <si>
    <t>MARCH 30 - APRIL 5, 2025</t>
  </si>
  <si>
    <t>APRIL 6-12, 2025</t>
  </si>
  <si>
    <t>Mine Explosives  Manager</t>
  </si>
  <si>
    <t>APRIL 13-19, 2025</t>
  </si>
  <si>
    <t>APRIL 20-26, 2025</t>
  </si>
  <si>
    <t>APRIL 27-MAY 3, 2025</t>
  </si>
  <si>
    <t>MAY 4-10, 2025</t>
  </si>
  <si>
    <t>MAY 11-17, 2025</t>
  </si>
  <si>
    <t>MAY 18-24, 2025</t>
  </si>
  <si>
    <t xml:space="preserve">ENGR. RAFFY D. TORRES </t>
  </si>
  <si>
    <t>MAY 25-31, 2025</t>
  </si>
  <si>
    <t>JUNE 1-7, 2025</t>
  </si>
  <si>
    <t>JUNE 8-14, 2025</t>
  </si>
  <si>
    <t>JUNE 15-21, 2025</t>
  </si>
  <si>
    <t>JUNE 22-28, 2025</t>
  </si>
  <si>
    <t>JUNE 29-JULY 5, 2025</t>
  </si>
  <si>
    <t>JULY 6-12, 2025</t>
  </si>
  <si>
    <t>JULY 13-19, 2025</t>
  </si>
  <si>
    <t>JULY 20-26, 2025</t>
  </si>
  <si>
    <t>JULY 27-AUGUST 2, 2025</t>
  </si>
  <si>
    <t>AUGUST 3-9, 2025</t>
  </si>
  <si>
    <t>AUGUST 10-16, 2025</t>
  </si>
  <si>
    <t>AUGUST 17-23, 2025</t>
  </si>
  <si>
    <t>AUGUST 24-30, 2025</t>
  </si>
  <si>
    <t>AUGUST 31-SEPTEMBER 6, 2025</t>
  </si>
  <si>
    <t>Neogel</t>
  </si>
  <si>
    <t>SEPTEMBER 7-13, 2025</t>
  </si>
  <si>
    <t>SEPTEMBER 14-20, 2025</t>
  </si>
  <si>
    <t>NEOGEL</t>
  </si>
  <si>
    <t>SEPTEMBER 21-27, 2025</t>
  </si>
  <si>
    <t xml:space="preserve">Mine Division Manager </t>
  </si>
  <si>
    <t>SEPTEMBER 28-OCTOBER 4, 2025</t>
  </si>
  <si>
    <t>OCTOBER 5-11, 2025</t>
  </si>
  <si>
    <t>OCTOBER 12-18, 2025</t>
  </si>
  <si>
    <t>OCTOBER 19-25, 2025</t>
  </si>
  <si>
    <t>OCTOBER 26-NOVEMBER 1, 2025</t>
  </si>
  <si>
    <t>NOVEMBER 2-8, 2025</t>
  </si>
  <si>
    <t>NOVEMBER 9-15, 2025</t>
  </si>
  <si>
    <t>NOVEMBER 16-22, 2025</t>
  </si>
  <si>
    <t>NOVEMBER 23-29, 2025</t>
  </si>
  <si>
    <t>NOVEMBER 30-DECEMBER 6, 2025</t>
  </si>
  <si>
    <t>DECEMBER 7-13, 2025</t>
  </si>
  <si>
    <t>DECEMBER 14-20, 2025</t>
  </si>
  <si>
    <t>DECEMBER 21-27, 2025</t>
  </si>
  <si>
    <t>DECEMBER 28-JANUARY 3, 2026</t>
  </si>
  <si>
    <t>JANUARY 4-10, 2026</t>
  </si>
  <si>
    <t>JANUARY 11-17, 2026</t>
  </si>
  <si>
    <t>JANUARY 18-24, 2026</t>
  </si>
  <si>
    <t>JANUARY 25-31, 2026</t>
  </si>
  <si>
    <t>FEBRUARY 1-7, 2026</t>
  </si>
  <si>
    <t>FEBRUARY 8-14, 2026</t>
  </si>
  <si>
    <t>FEBRUARY 15-21, 2026</t>
  </si>
  <si>
    <t>FEBRUARY 22-28, 2026</t>
  </si>
  <si>
    <t>MARCH 1-7, 2026</t>
  </si>
  <si>
    <t>MARCH 8-14, 2026</t>
  </si>
  <si>
    <t>MARCH 15-21, 2026</t>
  </si>
  <si>
    <t>MARCH 22-28, 2026</t>
  </si>
  <si>
    <t>MARCH 29-APRIL 4, 2026</t>
  </si>
  <si>
    <t>APRIL 5-11, 2026</t>
  </si>
  <si>
    <t>APRIL 12-18, 2026</t>
  </si>
  <si>
    <t>APRIL 19-25, 2026</t>
  </si>
  <si>
    <t>APRIL 26-MAY 2, 2026</t>
  </si>
  <si>
    <t>APRIL 1-30, 2026</t>
  </si>
  <si>
    <t>MAY 3-9, 2026</t>
  </si>
  <si>
    <t>MAY 10-16, 2026</t>
  </si>
  <si>
    <t>MAY 1-15,2026</t>
  </si>
  <si>
    <t>MAY 17-23, 2026</t>
  </si>
  <si>
    <t>MAY 24-30, 2026</t>
  </si>
  <si>
    <t>MAY 31-JUNE 6, 2026</t>
  </si>
  <si>
    <t>MAY 16-30,2025</t>
  </si>
  <si>
    <t>JUNE 1-7, 2026</t>
  </si>
  <si>
    <t>JUNE 7-13,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</si>
</sst>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[$-3409]dd\-mmm\-yy;@"/>
    <numFmt numFmtId="166" formatCode="#,##0.0_);\(#,##0.0\)"/>
    <numFmt numFmtId="167" formatCode="#,##0.0;\-#,##0.0"/>
    <numFmt numFmtId="168" formatCode="#,##0.00_ ;\-#,##0.00\ "/>
    <numFmt numFmtId="169" formatCode="#,##0.0000000000000_ ;\-#,##0.0000000000000\ "/>
    <numFmt numFmtId="170" formatCode="#,##0.000;\-#,##0.000"/>
  </numFmts>
  <fonts count="17" x14ac:knownFonts="1">
    <font>
      <sz val="10"/>
      <name val="Arial"/>
    </font>
    <font>
      <b/>
      <sz val="16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b/>
      <u/>
      <sz val="15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u/>
      <sz val="1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4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37" fontId="2" fillId="0" borderId="21" xfId="1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66" fontId="2" fillId="0" borderId="21" xfId="1" applyNumberFormat="1" applyFont="1" applyBorder="1" applyAlignment="1">
      <alignment horizontal="center" vertical="center"/>
    </xf>
    <xf numFmtId="167" fontId="2" fillId="0" borderId="21" xfId="1" applyNumberFormat="1" applyFont="1" applyBorder="1" applyAlignment="1">
      <alignment horizontal="center" vertical="center"/>
    </xf>
    <xf numFmtId="39" fontId="2" fillId="0" borderId="21" xfId="1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3" fontId="2" fillId="0" borderId="21" xfId="1" applyNumberFormat="1" applyFont="1" applyBorder="1" applyAlignment="1">
      <alignment horizontal="center" vertical="center"/>
    </xf>
    <xf numFmtId="39" fontId="2" fillId="0" borderId="28" xfId="1" applyNumberFormat="1" applyFont="1" applyBorder="1" applyAlignment="1">
      <alignment horizontal="center" vertical="center"/>
    </xf>
    <xf numFmtId="0" fontId="2" fillId="0" borderId="25" xfId="1" applyNumberFormat="1" applyFont="1" applyBorder="1" applyAlignment="1">
      <alignment horizontal="center" vertical="center"/>
    </xf>
    <xf numFmtId="0" fontId="7" fillId="0" borderId="0" xfId="0" applyFont="1"/>
    <xf numFmtId="37" fontId="7" fillId="0" borderId="0" xfId="0" applyNumberFormat="1" applyFont="1"/>
    <xf numFmtId="14" fontId="5" fillId="5" borderId="29" xfId="0" applyNumberFormat="1" applyFont="1" applyFill="1" applyBorder="1" applyAlignment="1">
      <alignment horizontal="center" wrapText="1"/>
    </xf>
    <xf numFmtId="37" fontId="2" fillId="5" borderId="13" xfId="0" applyNumberFormat="1" applyFont="1" applyFill="1" applyBorder="1" applyAlignment="1">
      <alignment horizontal="center" vertical="center"/>
    </xf>
    <xf numFmtId="166" fontId="2" fillId="5" borderId="13" xfId="0" applyNumberFormat="1" applyFont="1" applyFill="1" applyBorder="1" applyAlignment="1">
      <alignment horizontal="center" vertical="center"/>
    </xf>
    <xf numFmtId="39" fontId="2" fillId="5" borderId="13" xfId="0" applyNumberFormat="1" applyFont="1" applyFill="1" applyBorder="1" applyAlignment="1">
      <alignment horizontal="center" vertical="center"/>
    </xf>
    <xf numFmtId="37" fontId="2" fillId="5" borderId="14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9" fontId="5" fillId="2" borderId="0" xfId="0" applyNumberFormat="1" applyFont="1" applyFill="1" applyAlignment="1">
      <alignment horizontal="center" vertical="center"/>
    </xf>
    <xf numFmtId="39" fontId="5" fillId="0" borderId="0" xfId="0" applyNumberFormat="1" applyFont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9" fontId="2" fillId="0" borderId="0" xfId="0" applyNumberFormat="1" applyFont="1"/>
    <xf numFmtId="167" fontId="2" fillId="5" borderId="13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4" fontId="16" fillId="5" borderId="29" xfId="0" applyNumberFormat="1" applyFont="1" applyFill="1" applyBorder="1" applyAlignment="1">
      <alignment horizontal="center" wrapText="1"/>
    </xf>
    <xf numFmtId="37" fontId="15" fillId="5" borderId="13" xfId="0" applyNumberFormat="1" applyFont="1" applyFill="1" applyBorder="1" applyAlignment="1">
      <alignment horizontal="center" vertical="center"/>
    </xf>
    <xf numFmtId="166" fontId="15" fillId="5" borderId="13" xfId="0" applyNumberFormat="1" applyFont="1" applyFill="1" applyBorder="1" applyAlignment="1">
      <alignment horizontal="center" vertical="center"/>
    </xf>
    <xf numFmtId="39" fontId="15" fillId="5" borderId="13" xfId="0" applyNumberFormat="1" applyFont="1" applyFill="1" applyBorder="1" applyAlignment="1">
      <alignment horizontal="center" vertical="center"/>
    </xf>
    <xf numFmtId="37" fontId="8" fillId="0" borderId="0" xfId="0" applyNumberFormat="1" applyFont="1"/>
    <xf numFmtId="0" fontId="15" fillId="0" borderId="0" xfId="0" applyFont="1" applyAlignment="1">
      <alignment horizontal="center" vertical="center"/>
    </xf>
    <xf numFmtId="39" fontId="15" fillId="0" borderId="0" xfId="0" applyNumberFormat="1" applyFont="1"/>
    <xf numFmtId="14" fontId="16" fillId="0" borderId="0" xfId="0" applyNumberFormat="1" applyFont="1" applyAlignment="1">
      <alignment horizontal="center" vertical="center"/>
    </xf>
    <xf numFmtId="39" fontId="16" fillId="2" borderId="0" xfId="0" applyNumberFormat="1" applyFont="1" applyFill="1" applyAlignment="1">
      <alignment horizontal="center" vertical="center"/>
    </xf>
    <xf numFmtId="39" fontId="16" fillId="0" borderId="0" xfId="0" applyNumberFormat="1" applyFont="1" applyAlignment="1">
      <alignment horizontal="center" vertical="center"/>
    </xf>
    <xf numFmtId="37" fontId="16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8" fontId="1" fillId="0" borderId="0" xfId="0" applyNumberFormat="1" applyFont="1"/>
    <xf numFmtId="169" fontId="8" fillId="0" borderId="0" xfId="0" applyNumberFormat="1" applyFont="1"/>
    <xf numFmtId="170" fontId="2" fillId="5" borderId="13" xfId="0" applyNumberFormat="1" applyFont="1" applyFill="1" applyBorder="1" applyAlignment="1">
      <alignment horizontal="center" vertical="center"/>
    </xf>
    <xf numFmtId="168" fontId="2" fillId="0" borderId="0" xfId="0" applyNumberFormat="1" applyFont="1"/>
    <xf numFmtId="3" fontId="7" fillId="0" borderId="0" xfId="0" applyNumberFormat="1" applyFont="1"/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168" fontId="15" fillId="0" borderId="0" xfId="0" applyNumberFormat="1" applyFont="1"/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" fontId="15" fillId="0" borderId="0" xfId="0" applyNumberFormat="1" applyFont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C22" sqref="C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44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45291</v>
      </c>
      <c r="B15" s="19"/>
      <c r="C15" s="20">
        <f>B15/200*25</f>
        <v>0</v>
      </c>
      <c r="D15" s="19"/>
      <c r="E15" s="21">
        <f t="shared" ref="E15" si="0">D15/208*25</f>
        <v>0</v>
      </c>
      <c r="F15" s="19"/>
      <c r="G15" s="22">
        <f t="shared" ref="G15:G21" si="1">F15/215*25</f>
        <v>0</v>
      </c>
      <c r="H15" s="19"/>
      <c r="I15" s="23">
        <f t="shared" ref="I15:I21" si="2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3"/>
      <c r="Q15" s="24"/>
      <c r="R15" s="24"/>
      <c r="S15" s="25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3">Y15*2.43</f>
        <v>0</v>
      </c>
      <c r="AF15" s="24"/>
      <c r="AG15" s="27"/>
    </row>
    <row r="16" spans="1:34" s="28" customFormat="1" ht="26.25" customHeight="1" x14ac:dyDescent="0.25">
      <c r="A16" s="18">
        <v>45292</v>
      </c>
      <c r="B16" s="19"/>
      <c r="C16" s="20">
        <f t="shared" ref="C16:C18" si="4">B16/200*25</f>
        <v>0</v>
      </c>
      <c r="D16" s="19"/>
      <c r="E16" s="21">
        <f>D16/208*25</f>
        <v>0</v>
      </c>
      <c r="F16" s="19"/>
      <c r="G16" s="22">
        <f t="shared" si="1"/>
        <v>0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ref="O16:O17" si="5">N16/38*25</f>
        <v>0</v>
      </c>
      <c r="P16" s="23"/>
      <c r="Q16" s="24"/>
      <c r="R16" s="24"/>
      <c r="S16" s="24"/>
      <c r="T16" s="24"/>
      <c r="U16" s="24"/>
      <c r="V16" s="24"/>
      <c r="W16" s="25"/>
      <c r="X16" s="25"/>
      <c r="Y16" s="24"/>
      <c r="Z16" s="24"/>
      <c r="AA16" s="24"/>
      <c r="AB16" s="24"/>
      <c r="AC16" s="24"/>
      <c r="AD16" s="24"/>
      <c r="AE16" s="26">
        <f t="shared" si="3"/>
        <v>0</v>
      </c>
      <c r="AF16" s="24"/>
      <c r="AG16" s="27"/>
      <c r="AH16" s="29"/>
    </row>
    <row r="17" spans="1:41" s="28" customFormat="1" ht="26.25" customHeight="1" x14ac:dyDescent="0.25">
      <c r="A17" s="18">
        <v>45293</v>
      </c>
      <c r="B17" s="19"/>
      <c r="C17" s="20">
        <f t="shared" si="4"/>
        <v>0</v>
      </c>
      <c r="D17" s="19"/>
      <c r="E17" s="21">
        <f>D17/208*25</f>
        <v>0</v>
      </c>
      <c r="F17" s="19"/>
      <c r="G17" s="22">
        <f t="shared" si="1"/>
        <v>0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si="5"/>
        <v>0</v>
      </c>
      <c r="P17" s="23"/>
      <c r="Q17" s="24"/>
      <c r="R17" s="24"/>
      <c r="S17" s="24"/>
      <c r="T17" s="24"/>
      <c r="U17" s="24"/>
      <c r="V17" s="24"/>
      <c r="W17" s="25"/>
      <c r="X17" s="25"/>
      <c r="Y17" s="24"/>
      <c r="Z17" s="24"/>
      <c r="AA17" s="24"/>
      <c r="AB17" s="24"/>
      <c r="AC17" s="24"/>
      <c r="AD17" s="24"/>
      <c r="AE17" s="26">
        <f t="shared" si="3"/>
        <v>0</v>
      </c>
      <c r="AF17" s="24"/>
      <c r="AG17" s="27"/>
      <c r="AH17" s="29"/>
    </row>
    <row r="18" spans="1:41" s="28" customFormat="1" ht="26.25" customHeight="1" x14ac:dyDescent="0.25">
      <c r="A18" s="18">
        <v>45294</v>
      </c>
      <c r="B18" s="19"/>
      <c r="C18" s="20">
        <f t="shared" si="4"/>
        <v>0</v>
      </c>
      <c r="D18" s="19">
        <v>121</v>
      </c>
      <c r="E18" s="21">
        <f t="shared" ref="E18:E19" si="6">D18/208*25</f>
        <v>14.543269230769232</v>
      </c>
      <c r="F18" s="19">
        <v>581</v>
      </c>
      <c r="G18" s="22">
        <f t="shared" si="1"/>
        <v>67.558139534883722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57</v>
      </c>
      <c r="Q18" s="24"/>
      <c r="R18" s="24"/>
      <c r="S18" s="25"/>
      <c r="T18" s="24"/>
      <c r="U18" s="24"/>
      <c r="V18" s="24">
        <v>0</v>
      </c>
      <c r="W18" s="25">
        <v>181</v>
      </c>
      <c r="X18" s="25"/>
      <c r="Y18" s="24">
        <v>23</v>
      </c>
      <c r="Z18" s="24">
        <v>0</v>
      </c>
      <c r="AA18" s="24">
        <v>52</v>
      </c>
      <c r="AB18" s="24">
        <v>12</v>
      </c>
      <c r="AC18" s="24"/>
      <c r="AD18" s="24"/>
      <c r="AE18" s="26">
        <f t="shared" si="3"/>
        <v>55.89</v>
      </c>
      <c r="AF18" s="24"/>
      <c r="AG18" s="27"/>
      <c r="AH18" s="29"/>
    </row>
    <row r="19" spans="1:41" s="28" customFormat="1" ht="26.25" customHeight="1" x14ac:dyDescent="0.25">
      <c r="A19" s="18">
        <v>45295</v>
      </c>
      <c r="B19" s="19"/>
      <c r="C19" s="20">
        <f>B19/200*25</f>
        <v>0</v>
      </c>
      <c r="D19" s="19">
        <v>143</v>
      </c>
      <c r="E19" s="21">
        <f t="shared" si="6"/>
        <v>17.1875</v>
      </c>
      <c r="F19" s="19">
        <v>504</v>
      </c>
      <c r="G19" s="22">
        <f t="shared" si="1"/>
        <v>58.604651162790702</v>
      </c>
      <c r="H19" s="19"/>
      <c r="I19" s="23">
        <f t="shared" si="2"/>
        <v>0</v>
      </c>
      <c r="J19" s="19"/>
      <c r="K19" s="19">
        <v>0</v>
      </c>
      <c r="L19" s="19"/>
      <c r="M19" s="19">
        <v>0</v>
      </c>
      <c r="N19" s="19"/>
      <c r="O19" s="23">
        <f>N19/38*25</f>
        <v>0</v>
      </c>
      <c r="P19" s="23">
        <v>85</v>
      </c>
      <c r="Q19" s="24"/>
      <c r="R19" s="24"/>
      <c r="S19" s="25"/>
      <c r="T19" s="24"/>
      <c r="U19" s="24"/>
      <c r="V19" s="24">
        <v>25</v>
      </c>
      <c r="W19" s="25">
        <v>174</v>
      </c>
      <c r="X19" s="25"/>
      <c r="Y19" s="24">
        <v>25</v>
      </c>
      <c r="Z19" s="24">
        <v>2</v>
      </c>
      <c r="AA19" s="24">
        <v>65</v>
      </c>
      <c r="AB19" s="24">
        <v>12</v>
      </c>
      <c r="AC19" s="24"/>
      <c r="AD19" s="24"/>
      <c r="AE19" s="26">
        <f t="shared" si="3"/>
        <v>60.750000000000007</v>
      </c>
      <c r="AF19" s="24"/>
      <c r="AG19" s="27"/>
    </row>
    <row r="20" spans="1:41" s="28" customFormat="1" ht="26.25" customHeight="1" x14ac:dyDescent="0.25">
      <c r="A20" s="18">
        <v>45296</v>
      </c>
      <c r="B20" s="19"/>
      <c r="C20" s="20">
        <f>B20/200*25</f>
        <v>0</v>
      </c>
      <c r="D20" s="19">
        <v>83</v>
      </c>
      <c r="E20" s="21">
        <f>D20/208*25</f>
        <v>9.9759615384615383</v>
      </c>
      <c r="F20" s="19">
        <v>510</v>
      </c>
      <c r="G20" s="22">
        <f t="shared" si="1"/>
        <v>59.302325581395351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ref="O20" si="7">N20/38*25</f>
        <v>0</v>
      </c>
      <c r="P20" s="23">
        <v>31</v>
      </c>
      <c r="Q20" s="24"/>
      <c r="R20" s="24"/>
      <c r="S20" s="24"/>
      <c r="T20" s="24"/>
      <c r="U20" s="24"/>
      <c r="V20" s="24">
        <v>0</v>
      </c>
      <c r="W20" s="25">
        <v>145</v>
      </c>
      <c r="X20" s="25"/>
      <c r="Y20" s="24">
        <v>15</v>
      </c>
      <c r="Z20" s="24">
        <v>0</v>
      </c>
      <c r="AA20" s="24">
        <v>47</v>
      </c>
      <c r="AB20" s="24">
        <v>12</v>
      </c>
      <c r="AC20" s="24"/>
      <c r="AD20" s="24"/>
      <c r="AE20" s="26">
        <f t="shared" si="3"/>
        <v>36.450000000000003</v>
      </c>
      <c r="AF20" s="24"/>
      <c r="AG20" s="27"/>
    </row>
    <row r="21" spans="1:41" s="28" customFormat="1" ht="26.25" customHeight="1" x14ac:dyDescent="0.25">
      <c r="A21" s="18">
        <v>45297</v>
      </c>
      <c r="B21" s="19"/>
      <c r="C21" s="20">
        <f>B21/200*25</f>
        <v>0</v>
      </c>
      <c r="D21" s="19">
        <v>138</v>
      </c>
      <c r="E21" s="21">
        <f t="shared" ref="E21" si="8">D21/208*25</f>
        <v>16.58653846153846</v>
      </c>
      <c r="F21" s="19">
        <v>0</v>
      </c>
      <c r="G21" s="22">
        <f t="shared" si="1"/>
        <v>0</v>
      </c>
      <c r="H21" s="19"/>
      <c r="I21" s="23">
        <f t="shared" si="2"/>
        <v>0</v>
      </c>
      <c r="J21" s="19"/>
      <c r="K21" s="19">
        <v>0</v>
      </c>
      <c r="L21" s="19"/>
      <c r="M21" s="19">
        <v>0</v>
      </c>
      <c r="N21" s="19"/>
      <c r="O21" s="23">
        <f>N21/38*25</f>
        <v>0</v>
      </c>
      <c r="P21" s="23">
        <v>22</v>
      </c>
      <c r="Q21" s="24"/>
      <c r="R21" s="24"/>
      <c r="S21" s="25"/>
      <c r="T21" s="24"/>
      <c r="U21" s="24"/>
      <c r="V21" s="24">
        <v>0</v>
      </c>
      <c r="W21" s="25">
        <v>33</v>
      </c>
      <c r="X21" s="25"/>
      <c r="Y21" s="24">
        <v>18</v>
      </c>
      <c r="Z21" s="24">
        <v>0</v>
      </c>
      <c r="AA21" s="24">
        <v>0</v>
      </c>
      <c r="AB21" s="24">
        <v>12</v>
      </c>
      <c r="AC21" s="24"/>
      <c r="AD21" s="24"/>
      <c r="AE21" s="26">
        <f t="shared" si="3"/>
        <v>43.74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485</v>
      </c>
      <c r="E22" s="33">
        <f t="shared" si="9"/>
        <v>58.293269230769234</v>
      </c>
      <c r="F22" s="31">
        <f t="shared" si="9"/>
        <v>1595</v>
      </c>
      <c r="G22" s="33">
        <f t="shared" si="9"/>
        <v>185.46511627906978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195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25</v>
      </c>
      <c r="W22" s="31">
        <f t="shared" si="9"/>
        <v>533</v>
      </c>
      <c r="X22" s="31">
        <f t="shared" si="9"/>
        <v>0</v>
      </c>
      <c r="Y22" s="31">
        <f t="shared" si="9"/>
        <v>81</v>
      </c>
      <c r="Z22" s="31">
        <f t="shared" si="9"/>
        <v>2</v>
      </c>
      <c r="AA22" s="31">
        <f t="shared" si="9"/>
        <v>164</v>
      </c>
      <c r="AB22" s="31">
        <f t="shared" si="9"/>
        <v>48</v>
      </c>
      <c r="AC22" s="31">
        <f t="shared" si="9"/>
        <v>0</v>
      </c>
      <c r="AD22" s="31">
        <f t="shared" si="9"/>
        <v>0</v>
      </c>
      <c r="AE22" s="33">
        <f t="shared" si="9"/>
        <v>196.83000000000004</v>
      </c>
      <c r="AF22" s="31">
        <f t="shared" si="9"/>
        <v>0</v>
      </c>
      <c r="AG22" s="34">
        <f t="shared" si="9"/>
        <v>0</v>
      </c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P24" sqref="P24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45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44933</v>
      </c>
      <c r="B15" s="19"/>
      <c r="C15" s="20">
        <f>B15/200*25</f>
        <v>0</v>
      </c>
      <c r="D15" s="19">
        <v>60</v>
      </c>
      <c r="E15" s="21">
        <f t="shared" ref="E15" si="0">D15/208*25</f>
        <v>7.2115384615384608</v>
      </c>
      <c r="F15" s="19"/>
      <c r="G15" s="22">
        <f t="shared" ref="G15:G21" si="1">F15/215*25</f>
        <v>0</v>
      </c>
      <c r="H15" s="19"/>
      <c r="I15" s="23">
        <f t="shared" ref="I15:I21" si="2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3"/>
      <c r="Q15" s="24"/>
      <c r="R15" s="24"/>
      <c r="S15" s="25"/>
      <c r="T15" s="24"/>
      <c r="U15" s="24"/>
      <c r="V15" s="24"/>
      <c r="W15" s="25"/>
      <c r="X15" s="25"/>
      <c r="Y15" s="24">
        <v>20</v>
      </c>
      <c r="Z15" s="24"/>
      <c r="AA15" s="24"/>
      <c r="AB15" s="24"/>
      <c r="AC15" s="24"/>
      <c r="AD15" s="24"/>
      <c r="AE15" s="26">
        <f>Y15*2.43</f>
        <v>48.6</v>
      </c>
      <c r="AF15" s="24"/>
      <c r="AG15" s="27"/>
    </row>
    <row r="16" spans="1:34" s="28" customFormat="1" ht="26.25" customHeight="1" x14ac:dyDescent="0.25">
      <c r="A16" s="18">
        <v>44934</v>
      </c>
      <c r="B16" s="19"/>
      <c r="C16" s="20">
        <f t="shared" ref="C16:C18" si="3">B16/200*25</f>
        <v>0</v>
      </c>
      <c r="D16" s="19">
        <v>399</v>
      </c>
      <c r="E16" s="21">
        <f>D16/208*25</f>
        <v>47.956730769230774</v>
      </c>
      <c r="F16" s="19">
        <v>1344</v>
      </c>
      <c r="G16" s="22">
        <f t="shared" si="1"/>
        <v>156.27906976744185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ref="O16:O17" si="4">N16/38*25</f>
        <v>0</v>
      </c>
      <c r="P16" s="23">
        <v>263</v>
      </c>
      <c r="Q16" s="24"/>
      <c r="R16" s="24"/>
      <c r="S16" s="24">
        <v>42</v>
      </c>
      <c r="T16" s="24"/>
      <c r="U16" s="24"/>
      <c r="V16" s="24">
        <v>35</v>
      </c>
      <c r="W16" s="25">
        <v>467</v>
      </c>
      <c r="X16" s="25"/>
      <c r="Y16" s="24">
        <v>116</v>
      </c>
      <c r="Z16" s="24">
        <v>2</v>
      </c>
      <c r="AA16" s="24">
        <v>221</v>
      </c>
      <c r="AB16" s="24">
        <v>37</v>
      </c>
      <c r="AC16" s="24"/>
      <c r="AD16" s="24"/>
      <c r="AE16" s="26">
        <f t="shared" ref="AE16:AE21" si="5">Y16*2.43</f>
        <v>281.88</v>
      </c>
      <c r="AF16" s="24"/>
      <c r="AG16" s="27">
        <v>4</v>
      </c>
      <c r="AH16" s="29"/>
    </row>
    <row r="17" spans="1:41" s="28" customFormat="1" ht="26.25" customHeight="1" x14ac:dyDescent="0.25">
      <c r="A17" s="18">
        <v>44935</v>
      </c>
      <c r="B17" s="19"/>
      <c r="C17" s="20">
        <f t="shared" si="3"/>
        <v>0</v>
      </c>
      <c r="D17" s="19">
        <v>1029</v>
      </c>
      <c r="E17" s="21">
        <f>D17/208*25</f>
        <v>123.67788461538463</v>
      </c>
      <c r="F17" s="19">
        <v>1222</v>
      </c>
      <c r="G17" s="22">
        <f t="shared" si="1"/>
        <v>142.09302325581393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si="4"/>
        <v>0</v>
      </c>
      <c r="P17" s="23">
        <v>818</v>
      </c>
      <c r="Q17" s="24"/>
      <c r="R17" s="24"/>
      <c r="S17" s="24">
        <v>146</v>
      </c>
      <c r="T17" s="24"/>
      <c r="U17" s="24"/>
      <c r="V17" s="24">
        <v>0</v>
      </c>
      <c r="W17" s="25">
        <v>1100</v>
      </c>
      <c r="X17" s="25"/>
      <c r="Y17" s="24">
        <v>182</v>
      </c>
      <c r="Z17" s="24">
        <v>0</v>
      </c>
      <c r="AA17" s="24">
        <v>337</v>
      </c>
      <c r="AB17" s="24">
        <v>145</v>
      </c>
      <c r="AC17" s="24"/>
      <c r="AD17" s="24"/>
      <c r="AE17" s="26">
        <f>Y17*2.43</f>
        <v>442.26000000000005</v>
      </c>
      <c r="AF17" s="24"/>
      <c r="AG17" s="27">
        <v>15</v>
      </c>
      <c r="AH17" s="29"/>
    </row>
    <row r="18" spans="1:41" s="28" customFormat="1" ht="26.25" customHeight="1" x14ac:dyDescent="0.25">
      <c r="A18" s="18">
        <v>44936</v>
      </c>
      <c r="B18" s="19"/>
      <c r="C18" s="20">
        <f t="shared" si="3"/>
        <v>0</v>
      </c>
      <c r="D18" s="19">
        <v>1538</v>
      </c>
      <c r="E18" s="21">
        <f t="shared" ref="E18:E19" si="6">D18/208*25</f>
        <v>184.85576923076923</v>
      </c>
      <c r="F18" s="19">
        <v>1951</v>
      </c>
      <c r="G18" s="22">
        <f t="shared" si="1"/>
        <v>226.86046511627907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1047</v>
      </c>
      <c r="Q18" s="24"/>
      <c r="R18" s="24"/>
      <c r="S18" s="25">
        <v>185</v>
      </c>
      <c r="T18" s="24"/>
      <c r="U18" s="24"/>
      <c r="V18" s="24">
        <v>34</v>
      </c>
      <c r="W18" s="25">
        <v>1498</v>
      </c>
      <c r="X18" s="25"/>
      <c r="Y18" s="24">
        <v>230</v>
      </c>
      <c r="Z18" s="24">
        <v>2</v>
      </c>
      <c r="AA18" s="24">
        <v>580</v>
      </c>
      <c r="AB18" s="24">
        <v>139</v>
      </c>
      <c r="AC18" s="24"/>
      <c r="AD18" s="24"/>
      <c r="AE18" s="26">
        <f t="shared" si="5"/>
        <v>558.90000000000009</v>
      </c>
      <c r="AF18" s="24"/>
      <c r="AG18" s="27">
        <v>15</v>
      </c>
      <c r="AH18" s="29"/>
    </row>
    <row r="19" spans="1:41" s="28" customFormat="1" ht="26.25" customHeight="1" x14ac:dyDescent="0.25">
      <c r="A19" s="18">
        <v>44937</v>
      </c>
      <c r="B19" s="19"/>
      <c r="C19" s="20">
        <f>B19/200*25</f>
        <v>0</v>
      </c>
      <c r="D19" s="19">
        <v>1356</v>
      </c>
      <c r="E19" s="21">
        <f t="shared" si="6"/>
        <v>162.98076923076923</v>
      </c>
      <c r="F19" s="19">
        <v>1591</v>
      </c>
      <c r="G19" s="22">
        <f t="shared" si="1"/>
        <v>185</v>
      </c>
      <c r="H19" s="19"/>
      <c r="I19" s="23">
        <f t="shared" si="2"/>
        <v>0</v>
      </c>
      <c r="J19" s="19"/>
      <c r="K19" s="19">
        <v>0</v>
      </c>
      <c r="L19" s="19"/>
      <c r="M19" s="19">
        <v>0</v>
      </c>
      <c r="N19" s="19"/>
      <c r="O19" s="23">
        <f>N19/38*25</f>
        <v>0</v>
      </c>
      <c r="P19" s="23">
        <v>1074</v>
      </c>
      <c r="Q19" s="24"/>
      <c r="R19" s="24"/>
      <c r="S19" s="25">
        <v>110</v>
      </c>
      <c r="T19" s="24"/>
      <c r="U19" s="24"/>
      <c r="V19" s="24">
        <v>0</v>
      </c>
      <c r="W19" s="25">
        <v>1518</v>
      </c>
      <c r="X19" s="25"/>
      <c r="Y19" s="24">
        <v>222</v>
      </c>
      <c r="Z19" s="24">
        <v>0</v>
      </c>
      <c r="AA19" s="24">
        <v>525</v>
      </c>
      <c r="AB19" s="24">
        <v>153</v>
      </c>
      <c r="AC19" s="24"/>
      <c r="AD19" s="24"/>
      <c r="AE19" s="26">
        <f t="shared" si="5"/>
        <v>539.46</v>
      </c>
      <c r="AF19" s="24"/>
      <c r="AG19" s="27">
        <v>4</v>
      </c>
    </row>
    <row r="20" spans="1:41" s="28" customFormat="1" ht="26.25" customHeight="1" x14ac:dyDescent="0.25">
      <c r="A20" s="18">
        <v>44938</v>
      </c>
      <c r="B20" s="19"/>
      <c r="C20" s="20">
        <f>B20/200*25</f>
        <v>0</v>
      </c>
      <c r="D20" s="19">
        <v>1593</v>
      </c>
      <c r="E20" s="21">
        <f>D20/208*25</f>
        <v>191.46634615384613</v>
      </c>
      <c r="F20" s="19">
        <v>2061</v>
      </c>
      <c r="G20" s="22">
        <f t="shared" si="1"/>
        <v>239.6511627906977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ref="O20" si="7">N20/38*25</f>
        <v>0</v>
      </c>
      <c r="P20" s="23">
        <v>1107</v>
      </c>
      <c r="Q20" s="24"/>
      <c r="R20" s="24"/>
      <c r="S20" s="24">
        <v>285</v>
      </c>
      <c r="T20" s="24"/>
      <c r="U20" s="24"/>
      <c r="V20" s="24">
        <v>30</v>
      </c>
      <c r="W20" s="25">
        <v>1491</v>
      </c>
      <c r="X20" s="25"/>
      <c r="Y20" s="24">
        <v>216</v>
      </c>
      <c r="Z20" s="24">
        <v>2</v>
      </c>
      <c r="AA20" s="24">
        <v>610</v>
      </c>
      <c r="AB20" s="24">
        <v>153</v>
      </c>
      <c r="AC20" s="24"/>
      <c r="AD20" s="24"/>
      <c r="AE20" s="26">
        <f t="shared" si="5"/>
        <v>524.88</v>
      </c>
      <c r="AF20" s="24"/>
      <c r="AG20" s="27">
        <v>31</v>
      </c>
    </row>
    <row r="21" spans="1:41" s="28" customFormat="1" ht="26.25" customHeight="1" x14ac:dyDescent="0.25">
      <c r="A21" s="18">
        <v>44939</v>
      </c>
      <c r="B21" s="19"/>
      <c r="C21" s="20">
        <f>B21/200*25</f>
        <v>0</v>
      </c>
      <c r="D21" s="19">
        <v>1126</v>
      </c>
      <c r="E21" s="21">
        <f t="shared" ref="E21" si="8">D21/208*25</f>
        <v>135.33653846153845</v>
      </c>
      <c r="F21" s="19">
        <v>1485</v>
      </c>
      <c r="G21" s="22">
        <f t="shared" si="1"/>
        <v>172.67441860465115</v>
      </c>
      <c r="H21" s="19"/>
      <c r="I21" s="23">
        <f t="shared" si="2"/>
        <v>0</v>
      </c>
      <c r="J21" s="19"/>
      <c r="K21" s="19">
        <v>0</v>
      </c>
      <c r="L21" s="19"/>
      <c r="M21" s="19">
        <v>0</v>
      </c>
      <c r="N21" s="19"/>
      <c r="O21" s="23">
        <f>N21/38*25</f>
        <v>0</v>
      </c>
      <c r="P21" s="23">
        <v>902</v>
      </c>
      <c r="Q21" s="24"/>
      <c r="R21" s="24"/>
      <c r="S21" s="25">
        <v>186</v>
      </c>
      <c r="T21" s="24"/>
      <c r="U21" s="24"/>
      <c r="V21" s="24">
        <v>36</v>
      </c>
      <c r="W21" s="25">
        <v>1166</v>
      </c>
      <c r="X21" s="25"/>
      <c r="Y21" s="24">
        <v>181</v>
      </c>
      <c r="Z21" s="24">
        <v>2</v>
      </c>
      <c r="AA21" s="24">
        <v>424</v>
      </c>
      <c r="AB21" s="24">
        <v>112</v>
      </c>
      <c r="AC21" s="24"/>
      <c r="AD21" s="24"/>
      <c r="AE21" s="26">
        <f t="shared" si="5"/>
        <v>439.83000000000004</v>
      </c>
      <c r="AF21" s="24"/>
      <c r="AG21" s="27">
        <v>4</v>
      </c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7101</v>
      </c>
      <c r="E22" s="33">
        <f t="shared" si="9"/>
        <v>853.48557692307702</v>
      </c>
      <c r="F22" s="31">
        <f t="shared" si="9"/>
        <v>9654</v>
      </c>
      <c r="G22" s="33">
        <f t="shared" si="9"/>
        <v>1122.5581395348838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5211</v>
      </c>
      <c r="Q22" s="31">
        <f t="shared" si="9"/>
        <v>0</v>
      </c>
      <c r="R22" s="31">
        <f t="shared" si="9"/>
        <v>0</v>
      </c>
      <c r="S22" s="31">
        <f t="shared" si="9"/>
        <v>954</v>
      </c>
      <c r="T22" s="31">
        <f t="shared" si="9"/>
        <v>0</v>
      </c>
      <c r="U22" s="31">
        <f t="shared" si="9"/>
        <v>0</v>
      </c>
      <c r="V22" s="31">
        <f t="shared" si="9"/>
        <v>135</v>
      </c>
      <c r="W22" s="31">
        <f t="shared" si="9"/>
        <v>7240</v>
      </c>
      <c r="X22" s="31">
        <f t="shared" si="9"/>
        <v>0</v>
      </c>
      <c r="Y22" s="31">
        <f t="shared" si="9"/>
        <v>1167</v>
      </c>
      <c r="Z22" s="31">
        <f t="shared" si="9"/>
        <v>8</v>
      </c>
      <c r="AA22" s="31">
        <f t="shared" si="9"/>
        <v>2697</v>
      </c>
      <c r="AB22" s="31">
        <f t="shared" si="9"/>
        <v>739</v>
      </c>
      <c r="AC22" s="31">
        <f t="shared" si="9"/>
        <v>0</v>
      </c>
      <c r="AD22" s="31">
        <f t="shared" si="9"/>
        <v>0</v>
      </c>
      <c r="AE22" s="33">
        <f t="shared" si="9"/>
        <v>2835.81</v>
      </c>
      <c r="AF22" s="31">
        <f t="shared" si="9"/>
        <v>0</v>
      </c>
      <c r="AG22" s="34">
        <f t="shared" si="9"/>
        <v>73</v>
      </c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Q23" sqref="Q23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46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44940</v>
      </c>
      <c r="B15" s="19"/>
      <c r="C15" s="20">
        <f>B15/200*25</f>
        <v>0</v>
      </c>
      <c r="D15" s="19">
        <v>276</v>
      </c>
      <c r="E15" s="21">
        <f t="shared" ref="E15" si="0">D15/208*25</f>
        <v>33.17307692307692</v>
      </c>
      <c r="F15" s="19">
        <v>150</v>
      </c>
      <c r="G15" s="22">
        <f t="shared" ref="G15:G21" si="1">F15/215*25</f>
        <v>17.441860465116278</v>
      </c>
      <c r="H15" s="19"/>
      <c r="I15" s="23">
        <f t="shared" ref="I15:I21" si="2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3"/>
      <c r="Q15" s="24"/>
      <c r="R15" s="24"/>
      <c r="S15" s="25"/>
      <c r="T15" s="24"/>
      <c r="U15" s="24"/>
      <c r="V15" s="24"/>
      <c r="W15" s="25">
        <v>76</v>
      </c>
      <c r="X15" s="25"/>
      <c r="Y15" s="24">
        <v>4</v>
      </c>
      <c r="Z15" s="24"/>
      <c r="AA15" s="24">
        <v>20</v>
      </c>
      <c r="AB15" s="24">
        <v>25</v>
      </c>
      <c r="AC15" s="24"/>
      <c r="AD15" s="24"/>
      <c r="AE15" s="26">
        <f t="shared" ref="AE15:AE21" si="3">Y15*2.43</f>
        <v>9.7200000000000006</v>
      </c>
      <c r="AF15" s="24"/>
      <c r="AG15" s="27"/>
    </row>
    <row r="16" spans="1:34" s="28" customFormat="1" ht="26.25" customHeight="1" x14ac:dyDescent="0.25">
      <c r="A16" s="18">
        <v>44941</v>
      </c>
      <c r="B16" s="19"/>
      <c r="C16" s="20">
        <f t="shared" ref="C16:C18" si="4">B16/200*25</f>
        <v>0</v>
      </c>
      <c r="D16" s="19">
        <v>917</v>
      </c>
      <c r="E16" s="21">
        <f>D16/208*25</f>
        <v>110.21634615384615</v>
      </c>
      <c r="F16" s="19">
        <v>1618</v>
      </c>
      <c r="G16" s="22">
        <f t="shared" si="1"/>
        <v>188.13953488372093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ref="O16:O17" si="5">N16/38*25</f>
        <v>0</v>
      </c>
      <c r="P16" s="23">
        <v>894</v>
      </c>
      <c r="Q16" s="24"/>
      <c r="R16" s="24"/>
      <c r="S16" s="24">
        <v>110</v>
      </c>
      <c r="T16" s="24"/>
      <c r="U16" s="24"/>
      <c r="V16" s="24"/>
      <c r="W16" s="25">
        <v>1287</v>
      </c>
      <c r="X16" s="25"/>
      <c r="Y16" s="24">
        <v>186</v>
      </c>
      <c r="Z16" s="24"/>
      <c r="AA16" s="24">
        <v>397</v>
      </c>
      <c r="AB16" s="24">
        <v>150</v>
      </c>
      <c r="AC16" s="24"/>
      <c r="AD16" s="24"/>
      <c r="AE16" s="26">
        <f t="shared" si="3"/>
        <v>451.98</v>
      </c>
      <c r="AF16" s="24"/>
      <c r="AG16" s="27">
        <v>20</v>
      </c>
      <c r="AH16" s="29"/>
    </row>
    <row r="17" spans="1:41" s="28" customFormat="1" ht="26.25" customHeight="1" x14ac:dyDescent="0.25">
      <c r="A17" s="18">
        <v>44942</v>
      </c>
      <c r="B17" s="19"/>
      <c r="C17" s="20">
        <f t="shared" si="4"/>
        <v>0</v>
      </c>
      <c r="D17" s="19">
        <v>949</v>
      </c>
      <c r="E17" s="21">
        <f>D17/208*25</f>
        <v>114.0625</v>
      </c>
      <c r="F17" s="19">
        <v>1643</v>
      </c>
      <c r="G17" s="22">
        <f t="shared" si="1"/>
        <v>191.04651162790697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si="5"/>
        <v>0</v>
      </c>
      <c r="P17" s="23">
        <v>878</v>
      </c>
      <c r="Q17" s="24"/>
      <c r="R17" s="24"/>
      <c r="S17" s="24">
        <v>109</v>
      </c>
      <c r="T17" s="24"/>
      <c r="U17" s="24"/>
      <c r="V17" s="24"/>
      <c r="W17" s="25">
        <v>1268</v>
      </c>
      <c r="X17" s="25"/>
      <c r="Y17" s="24">
        <v>174</v>
      </c>
      <c r="Z17" s="24">
        <v>2</v>
      </c>
      <c r="AA17" s="24">
        <v>306</v>
      </c>
      <c r="AB17" s="24">
        <v>221</v>
      </c>
      <c r="AC17" s="24"/>
      <c r="AD17" s="24"/>
      <c r="AE17" s="26">
        <f t="shared" si="3"/>
        <v>422.82000000000005</v>
      </c>
      <c r="AF17" s="24">
        <v>80</v>
      </c>
      <c r="AG17" s="27">
        <v>16</v>
      </c>
      <c r="AH17" s="29"/>
    </row>
    <row r="18" spans="1:41" s="28" customFormat="1" ht="26.25" customHeight="1" x14ac:dyDescent="0.25">
      <c r="A18" s="18">
        <v>44943</v>
      </c>
      <c r="B18" s="19"/>
      <c r="C18" s="20">
        <f t="shared" si="4"/>
        <v>0</v>
      </c>
      <c r="D18" s="19">
        <v>994</v>
      </c>
      <c r="E18" s="21">
        <f t="shared" ref="E18:E19" si="6">D18/208*25</f>
        <v>119.47115384615385</v>
      </c>
      <c r="F18" s="19">
        <v>1812</v>
      </c>
      <c r="G18" s="22">
        <f t="shared" si="1"/>
        <v>210.69767441860466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960</v>
      </c>
      <c r="Q18" s="24"/>
      <c r="R18" s="24"/>
      <c r="S18" s="25">
        <v>120</v>
      </c>
      <c r="T18" s="24"/>
      <c r="U18" s="24"/>
      <c r="V18" s="24">
        <v>84</v>
      </c>
      <c r="W18" s="25">
        <v>1304</v>
      </c>
      <c r="X18" s="25"/>
      <c r="Y18" s="24">
        <v>214</v>
      </c>
      <c r="Z18" s="24">
        <v>4</v>
      </c>
      <c r="AA18" s="24">
        <v>385</v>
      </c>
      <c r="AB18" s="24">
        <v>189</v>
      </c>
      <c r="AC18" s="24"/>
      <c r="AD18" s="24"/>
      <c r="AE18" s="26">
        <f t="shared" si="3"/>
        <v>520.02</v>
      </c>
      <c r="AF18" s="24"/>
      <c r="AG18" s="27">
        <v>21</v>
      </c>
      <c r="AH18" s="29"/>
    </row>
    <row r="19" spans="1:41" s="28" customFormat="1" ht="26.25" customHeight="1" x14ac:dyDescent="0.25">
      <c r="A19" s="18">
        <v>44944</v>
      </c>
      <c r="B19" s="19"/>
      <c r="C19" s="20">
        <f>B19/200*25</f>
        <v>0</v>
      </c>
      <c r="D19" s="19">
        <v>1135</v>
      </c>
      <c r="E19" s="21">
        <f t="shared" si="6"/>
        <v>136.41826923076923</v>
      </c>
      <c r="F19" s="19">
        <v>1867</v>
      </c>
      <c r="G19" s="22">
        <f t="shared" si="1"/>
        <v>217.09302325581396</v>
      </c>
      <c r="H19" s="19"/>
      <c r="I19" s="23">
        <f t="shared" si="2"/>
        <v>0</v>
      </c>
      <c r="J19" s="19"/>
      <c r="K19" s="19">
        <v>0</v>
      </c>
      <c r="L19" s="19"/>
      <c r="M19" s="19">
        <v>0</v>
      </c>
      <c r="N19" s="19"/>
      <c r="O19" s="23">
        <f>N19/38*25</f>
        <v>0</v>
      </c>
      <c r="P19" s="23">
        <v>1097</v>
      </c>
      <c r="Q19" s="24"/>
      <c r="R19" s="24"/>
      <c r="S19" s="25">
        <v>350</v>
      </c>
      <c r="T19" s="24"/>
      <c r="U19" s="24"/>
      <c r="V19" s="24"/>
      <c r="W19" s="25">
        <v>1289</v>
      </c>
      <c r="X19" s="25"/>
      <c r="Y19" s="24">
        <v>172</v>
      </c>
      <c r="Z19" s="24">
        <v>2</v>
      </c>
      <c r="AA19" s="24">
        <v>470</v>
      </c>
      <c r="AB19" s="24">
        <v>180</v>
      </c>
      <c r="AC19" s="24"/>
      <c r="AD19" s="24"/>
      <c r="AE19" s="26">
        <f t="shared" si="3"/>
        <v>417.96000000000004</v>
      </c>
      <c r="AF19" s="24"/>
      <c r="AG19" s="27">
        <v>16</v>
      </c>
    </row>
    <row r="20" spans="1:41" s="28" customFormat="1" ht="26.25" customHeight="1" x14ac:dyDescent="0.25">
      <c r="A20" s="18">
        <v>44945</v>
      </c>
      <c r="B20" s="19"/>
      <c r="C20" s="20">
        <f>B20/200*25</f>
        <v>0</v>
      </c>
      <c r="D20" s="19">
        <v>1254</v>
      </c>
      <c r="E20" s="21">
        <f>D20/208*25</f>
        <v>150.72115384615387</v>
      </c>
      <c r="F20" s="19">
        <v>2024</v>
      </c>
      <c r="G20" s="22">
        <f t="shared" si="1"/>
        <v>235.3488372093023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ref="O20" si="7">N20/38*25</f>
        <v>0</v>
      </c>
      <c r="P20" s="23">
        <v>1136</v>
      </c>
      <c r="Q20" s="24"/>
      <c r="R20" s="24"/>
      <c r="S20" s="24">
        <v>245</v>
      </c>
      <c r="T20" s="24"/>
      <c r="U20" s="24"/>
      <c r="V20" s="24">
        <v>51</v>
      </c>
      <c r="W20" s="25">
        <v>1484</v>
      </c>
      <c r="X20" s="25"/>
      <c r="Y20" s="24">
        <v>228</v>
      </c>
      <c r="Z20" s="24">
        <v>2</v>
      </c>
      <c r="AA20" s="24">
        <v>470</v>
      </c>
      <c r="AB20" s="24">
        <v>264</v>
      </c>
      <c r="AC20" s="24"/>
      <c r="AD20" s="24"/>
      <c r="AE20" s="26">
        <f t="shared" si="3"/>
        <v>554.04000000000008</v>
      </c>
      <c r="AF20" s="24"/>
      <c r="AG20" s="27">
        <v>5</v>
      </c>
    </row>
    <row r="21" spans="1:41" s="28" customFormat="1" ht="26.25" customHeight="1" x14ac:dyDescent="0.25">
      <c r="A21" s="18">
        <v>44946</v>
      </c>
      <c r="B21" s="19"/>
      <c r="C21" s="20">
        <f>B21/200*25</f>
        <v>0</v>
      </c>
      <c r="D21" s="19">
        <v>1005</v>
      </c>
      <c r="E21" s="21">
        <f t="shared" ref="E21" si="8">D21/208*25</f>
        <v>120.79326923076923</v>
      </c>
      <c r="F21" s="19">
        <v>1305</v>
      </c>
      <c r="G21" s="22">
        <f t="shared" si="1"/>
        <v>151.74418604651163</v>
      </c>
      <c r="H21" s="19"/>
      <c r="I21" s="23">
        <f t="shared" si="2"/>
        <v>0</v>
      </c>
      <c r="J21" s="19"/>
      <c r="K21" s="19">
        <v>0</v>
      </c>
      <c r="L21" s="19"/>
      <c r="M21" s="19">
        <v>0</v>
      </c>
      <c r="N21" s="19"/>
      <c r="O21" s="23">
        <f>N21/38*25</f>
        <v>0</v>
      </c>
      <c r="P21" s="23">
        <v>880</v>
      </c>
      <c r="Q21" s="24"/>
      <c r="R21" s="24"/>
      <c r="S21" s="25">
        <v>149</v>
      </c>
      <c r="T21" s="24"/>
      <c r="U21" s="24"/>
      <c r="V21" s="24"/>
      <c r="W21" s="25">
        <v>1164</v>
      </c>
      <c r="X21" s="25"/>
      <c r="Y21" s="24">
        <v>186</v>
      </c>
      <c r="Z21" s="24"/>
      <c r="AA21" s="24">
        <v>370</v>
      </c>
      <c r="AB21" s="24">
        <v>174</v>
      </c>
      <c r="AC21" s="24"/>
      <c r="AD21" s="24"/>
      <c r="AE21" s="26">
        <f t="shared" si="3"/>
        <v>451.98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6530</v>
      </c>
      <c r="E22" s="33">
        <f t="shared" si="9"/>
        <v>784.85576923076928</v>
      </c>
      <c r="F22" s="31">
        <f t="shared" si="9"/>
        <v>10419</v>
      </c>
      <c r="G22" s="33">
        <f t="shared" si="9"/>
        <v>1211.5116279069766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5845</v>
      </c>
      <c r="Q22" s="31">
        <f t="shared" si="9"/>
        <v>0</v>
      </c>
      <c r="R22" s="31">
        <f t="shared" si="9"/>
        <v>0</v>
      </c>
      <c r="S22" s="31">
        <f t="shared" si="9"/>
        <v>1083</v>
      </c>
      <c r="T22" s="31">
        <f t="shared" si="9"/>
        <v>0</v>
      </c>
      <c r="U22" s="31">
        <f t="shared" si="9"/>
        <v>0</v>
      </c>
      <c r="V22" s="31">
        <f t="shared" si="9"/>
        <v>135</v>
      </c>
      <c r="W22" s="31">
        <f t="shared" si="9"/>
        <v>7872</v>
      </c>
      <c r="X22" s="31">
        <f t="shared" si="9"/>
        <v>0</v>
      </c>
      <c r="Y22" s="31">
        <f t="shared" si="9"/>
        <v>1164</v>
      </c>
      <c r="Z22" s="31">
        <f t="shared" si="9"/>
        <v>10</v>
      </c>
      <c r="AA22" s="31">
        <f t="shared" si="9"/>
        <v>2418</v>
      </c>
      <c r="AB22" s="31">
        <f t="shared" si="9"/>
        <v>1203</v>
      </c>
      <c r="AC22" s="31">
        <f t="shared" si="9"/>
        <v>0</v>
      </c>
      <c r="AD22" s="31">
        <f t="shared" si="9"/>
        <v>0</v>
      </c>
      <c r="AE22" s="33">
        <f t="shared" si="9"/>
        <v>2828.52</v>
      </c>
      <c r="AF22" s="31">
        <f t="shared" si="9"/>
        <v>80</v>
      </c>
      <c r="AG22" s="34">
        <f t="shared" si="9"/>
        <v>79</v>
      </c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3" zoomScaleNormal="100" workbookViewId="0">
      <selection activeCell="P26" sqref="P2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47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44947</v>
      </c>
      <c r="B15" s="19"/>
      <c r="C15" s="20">
        <f>B15/200*25</f>
        <v>0</v>
      </c>
      <c r="D15" s="19">
        <v>6</v>
      </c>
      <c r="E15" s="21">
        <f t="shared" ref="E15" si="0">D15/208*25</f>
        <v>0.72115384615384615</v>
      </c>
      <c r="F15" s="19"/>
      <c r="G15" s="22">
        <f t="shared" ref="G15:G21" si="1">F15/215*25</f>
        <v>0</v>
      </c>
      <c r="H15" s="19"/>
      <c r="I15" s="23">
        <f t="shared" ref="I15:I21" si="2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3"/>
      <c r="Q15" s="24"/>
      <c r="R15" s="24"/>
      <c r="S15" s="25"/>
      <c r="T15" s="24"/>
      <c r="U15" s="24"/>
      <c r="V15" s="24"/>
      <c r="W15" s="25">
        <v>3</v>
      </c>
      <c r="X15" s="25"/>
      <c r="Y15" s="24">
        <v>2</v>
      </c>
      <c r="Z15" s="24"/>
      <c r="AA15" s="24"/>
      <c r="AB15" s="24">
        <v>5</v>
      </c>
      <c r="AC15" s="24"/>
      <c r="AD15" s="24"/>
      <c r="AE15" s="26">
        <f t="shared" ref="AE15:AE21" si="3">Y15*2.43</f>
        <v>4.8600000000000003</v>
      </c>
      <c r="AF15" s="24"/>
      <c r="AG15" s="27"/>
    </row>
    <row r="16" spans="1:34" s="28" customFormat="1" ht="26.25" customHeight="1" x14ac:dyDescent="0.25">
      <c r="A16" s="18">
        <v>44948</v>
      </c>
      <c r="B16" s="19"/>
      <c r="C16" s="20">
        <f t="shared" ref="C16:C18" si="4">B16/200*25</f>
        <v>0</v>
      </c>
      <c r="D16" s="19">
        <v>1159</v>
      </c>
      <c r="E16" s="21">
        <f>D16/208*25</f>
        <v>139.30288461538461</v>
      </c>
      <c r="F16" s="19">
        <v>2282</v>
      </c>
      <c r="G16" s="22">
        <f t="shared" si="1"/>
        <v>265.34883720930236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ref="O16:O17" si="5">N16/38*25</f>
        <v>0</v>
      </c>
      <c r="P16" s="23">
        <v>1089</v>
      </c>
      <c r="Q16" s="24"/>
      <c r="R16" s="24"/>
      <c r="S16" s="24">
        <v>162</v>
      </c>
      <c r="T16" s="24"/>
      <c r="U16" s="24"/>
      <c r="V16" s="24">
        <v>44</v>
      </c>
      <c r="W16" s="25">
        <v>1532</v>
      </c>
      <c r="X16" s="25"/>
      <c r="Y16" s="24">
        <v>176</v>
      </c>
      <c r="Z16" s="24">
        <v>4</v>
      </c>
      <c r="AA16" s="24">
        <v>419</v>
      </c>
      <c r="AB16" s="24">
        <v>279</v>
      </c>
      <c r="AC16" s="24"/>
      <c r="AD16" s="24"/>
      <c r="AE16" s="26">
        <f t="shared" si="3"/>
        <v>427.68</v>
      </c>
      <c r="AF16" s="24"/>
      <c r="AG16" s="27"/>
      <c r="AH16" s="29"/>
    </row>
    <row r="17" spans="1:41" s="28" customFormat="1" ht="26.25" customHeight="1" x14ac:dyDescent="0.25">
      <c r="A17" s="18">
        <v>44949</v>
      </c>
      <c r="B17" s="19"/>
      <c r="C17" s="20">
        <f t="shared" si="4"/>
        <v>0</v>
      </c>
      <c r="D17" s="19">
        <v>1066</v>
      </c>
      <c r="E17" s="21">
        <f>D17/208*25</f>
        <v>128.125</v>
      </c>
      <c r="F17" s="19">
        <v>1679</v>
      </c>
      <c r="G17" s="22">
        <f t="shared" si="1"/>
        <v>195.23255813953489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si="5"/>
        <v>0</v>
      </c>
      <c r="P17" s="23">
        <v>899</v>
      </c>
      <c r="Q17" s="24"/>
      <c r="R17" s="24"/>
      <c r="S17" s="24">
        <v>69</v>
      </c>
      <c r="T17" s="24"/>
      <c r="U17" s="24"/>
      <c r="V17" s="24">
        <v>40</v>
      </c>
      <c r="W17" s="25">
        <v>1350</v>
      </c>
      <c r="X17" s="25"/>
      <c r="Y17" s="24">
        <v>186</v>
      </c>
      <c r="Z17" s="24">
        <v>2</v>
      </c>
      <c r="AA17" s="24">
        <v>444</v>
      </c>
      <c r="AB17" s="24">
        <v>136</v>
      </c>
      <c r="AC17" s="24"/>
      <c r="AD17" s="24"/>
      <c r="AE17" s="26">
        <f t="shared" si="3"/>
        <v>451.98</v>
      </c>
      <c r="AF17" s="24"/>
      <c r="AG17" s="27">
        <v>12</v>
      </c>
      <c r="AH17" s="29"/>
    </row>
    <row r="18" spans="1:41" s="28" customFormat="1" ht="26.25" customHeight="1" x14ac:dyDescent="0.25">
      <c r="A18" s="18">
        <v>44950</v>
      </c>
      <c r="B18" s="19"/>
      <c r="C18" s="20">
        <f t="shared" si="4"/>
        <v>0</v>
      </c>
      <c r="D18" s="19">
        <v>1358</v>
      </c>
      <c r="E18" s="21">
        <f t="shared" ref="E18:E19" si="6">D18/208*25</f>
        <v>163.22115384615387</v>
      </c>
      <c r="F18" s="19">
        <v>2501</v>
      </c>
      <c r="G18" s="22">
        <f t="shared" si="1"/>
        <v>290.81395348837214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1228</v>
      </c>
      <c r="Q18" s="24"/>
      <c r="R18" s="24"/>
      <c r="S18" s="25">
        <v>122</v>
      </c>
      <c r="T18" s="24"/>
      <c r="U18" s="24"/>
      <c r="V18" s="24">
        <v>88</v>
      </c>
      <c r="W18" s="25">
        <v>1754</v>
      </c>
      <c r="X18" s="25"/>
      <c r="Y18" s="24">
        <v>229</v>
      </c>
      <c r="Z18" s="24">
        <v>6</v>
      </c>
      <c r="AA18" s="24">
        <v>631</v>
      </c>
      <c r="AB18" s="24">
        <v>166</v>
      </c>
      <c r="AC18" s="24"/>
      <c r="AD18" s="24"/>
      <c r="AE18" s="26">
        <f t="shared" si="3"/>
        <v>556.47</v>
      </c>
      <c r="AF18" s="24"/>
      <c r="AG18" s="27">
        <v>7</v>
      </c>
      <c r="AH18" s="29"/>
    </row>
    <row r="19" spans="1:41" s="28" customFormat="1" ht="26.25" customHeight="1" x14ac:dyDescent="0.25">
      <c r="A19" s="18">
        <v>44951</v>
      </c>
      <c r="B19" s="19"/>
      <c r="C19" s="20">
        <f>B19/200*25</f>
        <v>0</v>
      </c>
      <c r="D19" s="19">
        <v>1548</v>
      </c>
      <c r="E19" s="21">
        <f t="shared" si="6"/>
        <v>186.05769230769232</v>
      </c>
      <c r="F19" s="19">
        <v>2410</v>
      </c>
      <c r="G19" s="22">
        <f t="shared" si="1"/>
        <v>280.23255813953489</v>
      </c>
      <c r="H19" s="19"/>
      <c r="I19" s="23">
        <f t="shared" si="2"/>
        <v>0</v>
      </c>
      <c r="J19" s="19"/>
      <c r="K19" s="19">
        <v>0</v>
      </c>
      <c r="L19" s="19"/>
      <c r="M19" s="19">
        <v>0</v>
      </c>
      <c r="N19" s="19"/>
      <c r="O19" s="23">
        <f>N19/38*25</f>
        <v>0</v>
      </c>
      <c r="P19" s="23">
        <v>1307</v>
      </c>
      <c r="Q19" s="24"/>
      <c r="R19" s="24"/>
      <c r="S19" s="25">
        <v>107</v>
      </c>
      <c r="T19" s="24"/>
      <c r="U19" s="24"/>
      <c r="V19" s="24"/>
      <c r="W19" s="25">
        <v>1942</v>
      </c>
      <c r="X19" s="25"/>
      <c r="Y19" s="24">
        <v>223</v>
      </c>
      <c r="Z19" s="24"/>
      <c r="AA19" s="24">
        <v>690</v>
      </c>
      <c r="AB19" s="24">
        <v>141</v>
      </c>
      <c r="AC19" s="24"/>
      <c r="AD19" s="24"/>
      <c r="AE19" s="26">
        <f t="shared" si="3"/>
        <v>541.89</v>
      </c>
      <c r="AF19" s="24"/>
      <c r="AG19" s="27">
        <v>16</v>
      </c>
    </row>
    <row r="20" spans="1:41" s="28" customFormat="1" ht="26.25" customHeight="1" x14ac:dyDescent="0.25">
      <c r="A20" s="18">
        <v>44952</v>
      </c>
      <c r="B20" s="19"/>
      <c r="C20" s="20">
        <f>B20/200*25</f>
        <v>0</v>
      </c>
      <c r="D20" s="19">
        <v>1591</v>
      </c>
      <c r="E20" s="21">
        <f>D20/208*25</f>
        <v>191.22596153846155</v>
      </c>
      <c r="F20" s="19">
        <v>2246</v>
      </c>
      <c r="G20" s="22">
        <f t="shared" si="1"/>
        <v>261.16279069767444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ref="O20" si="7">N20/38*25</f>
        <v>0</v>
      </c>
      <c r="P20" s="23">
        <v>1089</v>
      </c>
      <c r="Q20" s="24"/>
      <c r="R20" s="24"/>
      <c r="S20" s="24">
        <v>317</v>
      </c>
      <c r="T20" s="24"/>
      <c r="U20" s="24"/>
      <c r="V20" s="24">
        <v>40</v>
      </c>
      <c r="W20" s="25">
        <v>1492</v>
      </c>
      <c r="X20" s="25"/>
      <c r="Y20" s="24">
        <v>243</v>
      </c>
      <c r="Z20" s="24">
        <v>4</v>
      </c>
      <c r="AA20" s="24">
        <v>602</v>
      </c>
      <c r="AB20" s="24">
        <v>165</v>
      </c>
      <c r="AC20" s="24"/>
      <c r="AD20" s="24"/>
      <c r="AE20" s="26">
        <f t="shared" si="3"/>
        <v>590.49</v>
      </c>
      <c r="AF20" s="24"/>
      <c r="AG20" s="27">
        <v>2</v>
      </c>
    </row>
    <row r="21" spans="1:41" s="28" customFormat="1" ht="26.25" customHeight="1" x14ac:dyDescent="0.25">
      <c r="A21" s="18">
        <v>44953</v>
      </c>
      <c r="B21" s="19"/>
      <c r="C21" s="20">
        <f>B21/200*25</f>
        <v>0</v>
      </c>
      <c r="D21" s="19">
        <v>1248</v>
      </c>
      <c r="E21" s="21">
        <f t="shared" ref="E21" si="8">D21/208*25</f>
        <v>150</v>
      </c>
      <c r="F21" s="19">
        <v>2143</v>
      </c>
      <c r="G21" s="22">
        <f t="shared" si="1"/>
        <v>249.18604651162792</v>
      </c>
      <c r="H21" s="19"/>
      <c r="I21" s="23">
        <f t="shared" si="2"/>
        <v>0</v>
      </c>
      <c r="J21" s="19"/>
      <c r="K21" s="19">
        <v>0</v>
      </c>
      <c r="L21" s="19"/>
      <c r="M21" s="19">
        <v>0</v>
      </c>
      <c r="N21" s="19"/>
      <c r="O21" s="23">
        <f>N21/38*25</f>
        <v>0</v>
      </c>
      <c r="P21" s="23">
        <v>1017</v>
      </c>
      <c r="Q21" s="24"/>
      <c r="R21" s="24"/>
      <c r="S21" s="25">
        <v>171</v>
      </c>
      <c r="T21" s="24"/>
      <c r="U21" s="24"/>
      <c r="V21" s="24">
        <v>55</v>
      </c>
      <c r="W21" s="25">
        <v>1414</v>
      </c>
      <c r="X21" s="25"/>
      <c r="Y21" s="24">
        <v>227</v>
      </c>
      <c r="Z21" s="24">
        <v>2</v>
      </c>
      <c r="AA21" s="24">
        <v>631</v>
      </c>
      <c r="AB21" s="24">
        <v>81</v>
      </c>
      <c r="AC21" s="24"/>
      <c r="AD21" s="24"/>
      <c r="AE21" s="26">
        <f t="shared" si="3"/>
        <v>551.61</v>
      </c>
      <c r="AF21" s="24"/>
      <c r="AG21" s="27">
        <v>5</v>
      </c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7976</v>
      </c>
      <c r="E22" s="33">
        <f t="shared" si="9"/>
        <v>958.65384615384619</v>
      </c>
      <c r="F22" s="31">
        <f t="shared" si="9"/>
        <v>13261</v>
      </c>
      <c r="G22" s="33">
        <f t="shared" si="9"/>
        <v>1541.9767441860465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6629</v>
      </c>
      <c r="Q22" s="31">
        <f t="shared" si="9"/>
        <v>0</v>
      </c>
      <c r="R22" s="31">
        <f t="shared" si="9"/>
        <v>0</v>
      </c>
      <c r="S22" s="31">
        <f t="shared" si="9"/>
        <v>948</v>
      </c>
      <c r="T22" s="31">
        <f t="shared" si="9"/>
        <v>0</v>
      </c>
      <c r="U22" s="31">
        <f t="shared" si="9"/>
        <v>0</v>
      </c>
      <c r="V22" s="31">
        <f t="shared" si="9"/>
        <v>267</v>
      </c>
      <c r="W22" s="31">
        <f t="shared" si="9"/>
        <v>9487</v>
      </c>
      <c r="X22" s="31">
        <f t="shared" si="9"/>
        <v>0</v>
      </c>
      <c r="Y22" s="31">
        <f t="shared" si="9"/>
        <v>1286</v>
      </c>
      <c r="Z22" s="31">
        <f t="shared" si="9"/>
        <v>18</v>
      </c>
      <c r="AA22" s="31">
        <f t="shared" si="9"/>
        <v>3417</v>
      </c>
      <c r="AB22" s="31">
        <f t="shared" si="9"/>
        <v>973</v>
      </c>
      <c r="AC22" s="31">
        <f t="shared" si="9"/>
        <v>0</v>
      </c>
      <c r="AD22" s="31">
        <f t="shared" si="9"/>
        <v>0</v>
      </c>
      <c r="AE22" s="33">
        <f t="shared" si="9"/>
        <v>3124.98</v>
      </c>
      <c r="AF22" s="31">
        <f t="shared" si="9"/>
        <v>0</v>
      </c>
      <c r="AG22" s="34">
        <f t="shared" si="9"/>
        <v>42</v>
      </c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>
        <f>6629/25</f>
        <v>265.16000000000003</v>
      </c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9" sqref="A19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48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44954</v>
      </c>
      <c r="B15" s="19"/>
      <c r="C15" s="20">
        <f t="shared" ref="C15:C17" si="0">B15/200*25</f>
        <v>0</v>
      </c>
      <c r="D15" s="19">
        <v>2</v>
      </c>
      <c r="E15" s="21">
        <f>D15/208*25</f>
        <v>0.24038461538461539</v>
      </c>
      <c r="F15" s="19"/>
      <c r="G15" s="22">
        <f t="shared" ref="G15:G20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>
        <v>2</v>
      </c>
      <c r="Z15" s="24"/>
      <c r="AA15" s="24">
        <v>4</v>
      </c>
      <c r="AB15" s="24"/>
      <c r="AC15" s="24"/>
      <c r="AD15" s="24"/>
      <c r="AE15" s="26">
        <f t="shared" ref="AE15:AE21" si="4">Y15*2.43</f>
        <v>4.8600000000000003</v>
      </c>
      <c r="AF15" s="24"/>
      <c r="AG15" s="27"/>
      <c r="AH15" s="29"/>
    </row>
    <row r="16" spans="1:34" s="28" customFormat="1" ht="26.25" customHeight="1" x14ac:dyDescent="0.25">
      <c r="A16" s="18">
        <v>44955</v>
      </c>
      <c r="B16" s="19"/>
      <c r="C16" s="20">
        <f t="shared" si="0"/>
        <v>0</v>
      </c>
      <c r="D16" s="19">
        <v>1160</v>
      </c>
      <c r="E16" s="21">
        <f>D16/208*25</f>
        <v>139.42307692307691</v>
      </c>
      <c r="F16" s="19">
        <v>2215</v>
      </c>
      <c r="G16" s="22">
        <f t="shared" si="1"/>
        <v>257.55813953488371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1222</v>
      </c>
      <c r="Q16" s="24"/>
      <c r="R16" s="24"/>
      <c r="S16" s="24">
        <v>114</v>
      </c>
      <c r="T16" s="24"/>
      <c r="U16" s="24"/>
      <c r="V16" s="24"/>
      <c r="W16" s="25">
        <v>1745</v>
      </c>
      <c r="X16" s="25"/>
      <c r="Y16" s="24">
        <v>207</v>
      </c>
      <c r="Z16" s="24">
        <v>2</v>
      </c>
      <c r="AA16" s="24">
        <v>623</v>
      </c>
      <c r="AB16" s="24">
        <v>183</v>
      </c>
      <c r="AC16" s="24"/>
      <c r="AD16" s="24"/>
      <c r="AE16" s="26">
        <f t="shared" si="4"/>
        <v>503.01000000000005</v>
      </c>
      <c r="AF16" s="24"/>
      <c r="AG16" s="27">
        <v>1</v>
      </c>
      <c r="AH16" s="29"/>
    </row>
    <row r="17" spans="1:41" s="28" customFormat="1" ht="26.25" customHeight="1" x14ac:dyDescent="0.25">
      <c r="A17" s="18">
        <v>44956</v>
      </c>
      <c r="B17" s="19"/>
      <c r="C17" s="20">
        <f t="shared" si="0"/>
        <v>0</v>
      </c>
      <c r="D17" s="19">
        <v>1942</v>
      </c>
      <c r="E17" s="21">
        <f t="shared" ref="E17:E18" si="5">D17/208*25</f>
        <v>233.41346153846155</v>
      </c>
      <c r="F17" s="19">
        <v>1700</v>
      </c>
      <c r="G17" s="22">
        <f t="shared" si="1"/>
        <v>197.67441860465115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1009</v>
      </c>
      <c r="Q17" s="24"/>
      <c r="R17" s="24"/>
      <c r="S17" s="25">
        <v>178</v>
      </c>
      <c r="T17" s="24"/>
      <c r="U17" s="24"/>
      <c r="V17" s="24">
        <v>39</v>
      </c>
      <c r="W17" s="25">
        <v>1487</v>
      </c>
      <c r="X17" s="25"/>
      <c r="Y17" s="24">
        <v>238</v>
      </c>
      <c r="Z17" s="24">
        <v>4</v>
      </c>
      <c r="AA17" s="24">
        <v>533</v>
      </c>
      <c r="AB17" s="24">
        <v>165</v>
      </c>
      <c r="AC17" s="24"/>
      <c r="AD17" s="24"/>
      <c r="AE17" s="26">
        <f t="shared" si="4"/>
        <v>578.34</v>
      </c>
      <c r="AF17" s="24"/>
      <c r="AG17" s="27">
        <v>6</v>
      </c>
      <c r="AH17" s="29"/>
    </row>
    <row r="18" spans="1:41" s="28" customFormat="1" ht="26.25" customHeight="1" x14ac:dyDescent="0.25">
      <c r="A18" s="18">
        <v>44957</v>
      </c>
      <c r="B18" s="19"/>
      <c r="C18" s="20">
        <f>B18/200*25</f>
        <v>0</v>
      </c>
      <c r="D18" s="19">
        <v>1446</v>
      </c>
      <c r="E18" s="21">
        <f t="shared" si="5"/>
        <v>173.79807692307691</v>
      </c>
      <c r="F18" s="19">
        <v>1757</v>
      </c>
      <c r="G18" s="22">
        <f t="shared" si="1"/>
        <v>204.30232558139534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886</v>
      </c>
      <c r="Q18" s="24"/>
      <c r="R18" s="24"/>
      <c r="S18" s="25">
        <v>221</v>
      </c>
      <c r="T18" s="24"/>
      <c r="U18" s="24"/>
      <c r="V18" s="24">
        <v>44</v>
      </c>
      <c r="W18" s="25">
        <v>1241</v>
      </c>
      <c r="X18" s="25"/>
      <c r="Y18" s="24">
        <v>199</v>
      </c>
      <c r="Z18" s="24">
        <v>4</v>
      </c>
      <c r="AA18" s="24">
        <v>545</v>
      </c>
      <c r="AB18" s="24">
        <v>106</v>
      </c>
      <c r="AC18" s="24"/>
      <c r="AD18" s="24"/>
      <c r="AE18" s="26">
        <f t="shared" si="4"/>
        <v>483.57000000000005</v>
      </c>
      <c r="AF18" s="24"/>
      <c r="AG18" s="27">
        <v>3</v>
      </c>
    </row>
    <row r="19" spans="1:41" s="28" customFormat="1" ht="26.25" customHeight="1" x14ac:dyDescent="0.25">
      <c r="A19" s="18">
        <v>44958</v>
      </c>
      <c r="B19" s="19"/>
      <c r="C19" s="20">
        <f>B19/200*25</f>
        <v>0</v>
      </c>
      <c r="D19" s="19">
        <v>1437</v>
      </c>
      <c r="E19" s="21">
        <f>D19/208*25</f>
        <v>172.71634615384613</v>
      </c>
      <c r="F19" s="19">
        <v>1033</v>
      </c>
      <c r="G19" s="22">
        <f t="shared" si="1"/>
        <v>120.11627906976744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ref="O19" si="6">N19/38*25</f>
        <v>0</v>
      </c>
      <c r="P19" s="23">
        <v>863</v>
      </c>
      <c r="Q19" s="24"/>
      <c r="R19" s="24"/>
      <c r="S19" s="24">
        <v>146</v>
      </c>
      <c r="T19" s="24"/>
      <c r="U19" s="24"/>
      <c r="V19" s="24"/>
      <c r="W19" s="25">
        <v>1190</v>
      </c>
      <c r="X19" s="25"/>
      <c r="Y19" s="24">
        <v>215</v>
      </c>
      <c r="Z19" s="24">
        <v>2</v>
      </c>
      <c r="AA19" s="24">
        <v>499</v>
      </c>
      <c r="AB19" s="24">
        <v>124</v>
      </c>
      <c r="AC19" s="24"/>
      <c r="AD19" s="24"/>
      <c r="AE19" s="26">
        <f t="shared" si="4"/>
        <v>522.45000000000005</v>
      </c>
      <c r="AF19" s="24"/>
      <c r="AG19" s="27">
        <v>1</v>
      </c>
    </row>
    <row r="20" spans="1:41" s="28" customFormat="1" ht="26.25" customHeight="1" x14ac:dyDescent="0.25">
      <c r="A20" s="18">
        <v>44959</v>
      </c>
      <c r="B20" s="19"/>
      <c r="C20" s="20">
        <f>B20/200*25</f>
        <v>0</v>
      </c>
      <c r="D20" s="19">
        <v>2638</v>
      </c>
      <c r="E20" s="21">
        <f t="shared" ref="E20" si="7">D20/208*25</f>
        <v>317.06730769230774</v>
      </c>
      <c r="F20" s="19">
        <v>990</v>
      </c>
      <c r="G20" s="22">
        <f t="shared" si="1"/>
        <v>115.11627906976744</v>
      </c>
      <c r="H20" s="19"/>
      <c r="I20" s="23">
        <f t="shared" si="2"/>
        <v>0</v>
      </c>
      <c r="J20" s="19"/>
      <c r="K20" s="19">
        <v>0</v>
      </c>
      <c r="L20" s="19"/>
      <c r="M20" s="19">
        <v>0</v>
      </c>
      <c r="N20" s="19"/>
      <c r="O20" s="23">
        <f>N20/38*25</f>
        <v>0</v>
      </c>
      <c r="P20" s="23">
        <v>1102</v>
      </c>
      <c r="Q20" s="24"/>
      <c r="R20" s="24"/>
      <c r="S20" s="25">
        <v>80</v>
      </c>
      <c r="T20" s="24"/>
      <c r="U20" s="24"/>
      <c r="V20" s="24"/>
      <c r="W20" s="25">
        <v>1700</v>
      </c>
      <c r="X20" s="25"/>
      <c r="Y20" s="24">
        <v>222</v>
      </c>
      <c r="Z20" s="24">
        <v>4</v>
      </c>
      <c r="AA20" s="24">
        <v>636</v>
      </c>
      <c r="AB20" s="24">
        <v>167</v>
      </c>
      <c r="AC20" s="24"/>
      <c r="AD20" s="24"/>
      <c r="AE20" s="26">
        <f t="shared" si="4"/>
        <v>539.46</v>
      </c>
      <c r="AF20" s="24"/>
      <c r="AG20" s="27">
        <v>4</v>
      </c>
    </row>
    <row r="21" spans="1:41" s="28" customFormat="1" ht="26.25" customHeight="1" x14ac:dyDescent="0.25">
      <c r="A21" s="18">
        <v>44960</v>
      </c>
      <c r="B21" s="19"/>
      <c r="C21" s="20">
        <f>B21/200*25</f>
        <v>0</v>
      </c>
      <c r="D21" s="19">
        <v>1481</v>
      </c>
      <c r="E21" s="20">
        <f>D21/200*25</f>
        <v>185.125</v>
      </c>
      <c r="F21" s="19">
        <v>843</v>
      </c>
      <c r="G21" s="20">
        <f>F21/200*25</f>
        <v>105.375</v>
      </c>
      <c r="H21" s="19"/>
      <c r="I21" s="23"/>
      <c r="J21" s="19"/>
      <c r="K21" s="19"/>
      <c r="L21" s="19"/>
      <c r="M21" s="19"/>
      <c r="N21" s="19"/>
      <c r="O21" s="20">
        <f>N21/200*25</f>
        <v>0</v>
      </c>
      <c r="P21" s="23">
        <v>859</v>
      </c>
      <c r="Q21" s="24"/>
      <c r="R21" s="24"/>
      <c r="S21" s="25">
        <v>139</v>
      </c>
      <c r="T21" s="24"/>
      <c r="U21" s="24"/>
      <c r="V21" s="24">
        <v>46</v>
      </c>
      <c r="W21" s="25">
        <v>1135</v>
      </c>
      <c r="X21" s="25"/>
      <c r="Y21" s="24">
        <v>163</v>
      </c>
      <c r="Z21" s="24">
        <v>2</v>
      </c>
      <c r="AA21" s="24">
        <v>343</v>
      </c>
      <c r="AB21" s="24">
        <v>175</v>
      </c>
      <c r="AC21" s="24"/>
      <c r="AD21" s="24"/>
      <c r="AE21" s="26">
        <f t="shared" si="4"/>
        <v>396.09000000000003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10106</v>
      </c>
      <c r="E22" s="31">
        <f t="shared" si="8"/>
        <v>1221.7836538461538</v>
      </c>
      <c r="F22" s="31">
        <f t="shared" si="8"/>
        <v>8538</v>
      </c>
      <c r="G22" s="31">
        <f t="shared" si="8"/>
        <v>1000.1424418604649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5941</v>
      </c>
      <c r="Q22" s="31">
        <f t="shared" si="9"/>
        <v>0</v>
      </c>
      <c r="R22" s="31">
        <f t="shared" si="9"/>
        <v>0</v>
      </c>
      <c r="S22" s="31">
        <f t="shared" si="9"/>
        <v>878</v>
      </c>
      <c r="T22" s="31">
        <f t="shared" si="9"/>
        <v>0</v>
      </c>
      <c r="U22" s="31">
        <f t="shared" si="9"/>
        <v>0</v>
      </c>
      <c r="V22" s="31">
        <f t="shared" si="9"/>
        <v>129</v>
      </c>
      <c r="W22" s="31">
        <f t="shared" si="9"/>
        <v>8498</v>
      </c>
      <c r="X22" s="31">
        <f t="shared" si="9"/>
        <v>0</v>
      </c>
      <c r="Y22" s="31">
        <f t="shared" si="9"/>
        <v>1246</v>
      </c>
      <c r="Z22" s="31">
        <f t="shared" si="9"/>
        <v>18</v>
      </c>
      <c r="AA22" s="31">
        <f t="shared" si="9"/>
        <v>3183</v>
      </c>
      <c r="AB22" s="31">
        <f t="shared" si="9"/>
        <v>920</v>
      </c>
      <c r="AC22" s="31">
        <f t="shared" si="9"/>
        <v>0</v>
      </c>
      <c r="AD22" s="31">
        <f t="shared" si="9"/>
        <v>0</v>
      </c>
      <c r="AE22" s="33">
        <f t="shared" si="9"/>
        <v>3027.7800000000007</v>
      </c>
      <c r="AF22" s="33">
        <f t="shared" si="9"/>
        <v>0</v>
      </c>
      <c r="AG22" s="33">
        <f t="shared" si="9"/>
        <v>17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45326</v>
      </c>
      <c r="B15" s="19"/>
      <c r="C15" s="20">
        <f t="shared" ref="C15:C17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45327</v>
      </c>
      <c r="B16" s="19"/>
      <c r="C16" s="20">
        <f t="shared" si="0"/>
        <v>0</v>
      </c>
      <c r="D16" s="19">
        <v>1800</v>
      </c>
      <c r="E16" s="21">
        <f>D16/208*25</f>
        <v>216.34615384615384</v>
      </c>
      <c r="F16" s="19">
        <v>1076</v>
      </c>
      <c r="G16" s="22">
        <f t="shared" si="1"/>
        <v>125.11627906976743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885</v>
      </c>
      <c r="Q16" s="24"/>
      <c r="R16" s="24"/>
      <c r="S16" s="24">
        <v>101</v>
      </c>
      <c r="T16" s="24"/>
      <c r="U16" s="24"/>
      <c r="V16" s="24"/>
      <c r="W16" s="25">
        <v>1347</v>
      </c>
      <c r="X16" s="25"/>
      <c r="Y16" s="24">
        <v>179</v>
      </c>
      <c r="Z16" s="24"/>
      <c r="AA16" s="24">
        <v>299</v>
      </c>
      <c r="AB16" s="24">
        <v>306</v>
      </c>
      <c r="AC16" s="24"/>
      <c r="AD16" s="24"/>
      <c r="AE16" s="26">
        <f t="shared" si="4"/>
        <v>434.97</v>
      </c>
      <c r="AF16" s="24"/>
      <c r="AG16" s="27"/>
      <c r="AH16" s="29"/>
    </row>
    <row r="17" spans="1:41" s="28" customFormat="1" ht="26.25" customHeight="1" x14ac:dyDescent="0.25">
      <c r="A17" s="18">
        <v>45328</v>
      </c>
      <c r="B17" s="19"/>
      <c r="C17" s="20">
        <f t="shared" si="0"/>
        <v>0</v>
      </c>
      <c r="D17" s="19">
        <v>1871</v>
      </c>
      <c r="E17" s="21">
        <f t="shared" ref="E17:E18" si="5">D17/208*25</f>
        <v>224.87980769230771</v>
      </c>
      <c r="F17" s="19">
        <v>1774</v>
      </c>
      <c r="G17" s="22">
        <f t="shared" si="1"/>
        <v>206.27906976744188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1118</v>
      </c>
      <c r="Q17" s="24"/>
      <c r="R17" s="24"/>
      <c r="S17" s="25">
        <v>107</v>
      </c>
      <c r="T17" s="24"/>
      <c r="U17" s="24"/>
      <c r="V17" s="24">
        <v>49</v>
      </c>
      <c r="W17" s="25">
        <v>1688</v>
      </c>
      <c r="X17" s="25"/>
      <c r="Y17" s="24">
        <v>223</v>
      </c>
      <c r="Z17" s="24">
        <v>4</v>
      </c>
      <c r="AA17" s="24">
        <v>388</v>
      </c>
      <c r="AB17" s="24">
        <v>384</v>
      </c>
      <c r="AC17" s="24"/>
      <c r="AD17" s="24"/>
      <c r="AE17" s="26">
        <f t="shared" si="4"/>
        <v>541.89</v>
      </c>
      <c r="AF17" s="24"/>
      <c r="AG17" s="27">
        <v>2</v>
      </c>
      <c r="AH17" s="29"/>
    </row>
    <row r="18" spans="1:41" s="28" customFormat="1" ht="26.25" customHeight="1" x14ac:dyDescent="0.25">
      <c r="A18" s="18">
        <v>45329</v>
      </c>
      <c r="B18" s="19"/>
      <c r="C18" s="20">
        <f>B18/200*25</f>
        <v>0</v>
      </c>
      <c r="D18" s="19">
        <v>1932</v>
      </c>
      <c r="E18" s="21">
        <f t="shared" si="5"/>
        <v>232.21153846153845</v>
      </c>
      <c r="F18" s="19">
        <v>1108</v>
      </c>
      <c r="G18" s="22">
        <f t="shared" si="1"/>
        <v>128.83720930232559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1239</v>
      </c>
      <c r="Q18" s="24"/>
      <c r="R18" s="24"/>
      <c r="S18" s="25">
        <v>96</v>
      </c>
      <c r="T18" s="24"/>
      <c r="U18" s="24"/>
      <c r="V18" s="24"/>
      <c r="W18" s="25">
        <v>1724</v>
      </c>
      <c r="X18" s="25"/>
      <c r="Y18" s="24">
        <v>222</v>
      </c>
      <c r="Z18" s="24"/>
      <c r="AA18" s="24">
        <v>300</v>
      </c>
      <c r="AB18" s="24">
        <v>460</v>
      </c>
      <c r="AC18" s="24"/>
      <c r="AD18" s="24"/>
      <c r="AE18" s="26">
        <f t="shared" si="4"/>
        <v>539.46</v>
      </c>
      <c r="AF18" s="24"/>
      <c r="AG18" s="27"/>
    </row>
    <row r="19" spans="1:41" s="28" customFormat="1" ht="26.25" customHeight="1" x14ac:dyDescent="0.25">
      <c r="A19" s="18">
        <v>45330</v>
      </c>
      <c r="B19" s="19"/>
      <c r="C19" s="20">
        <f>B19/200*25</f>
        <v>0</v>
      </c>
      <c r="D19" s="19">
        <v>1927</v>
      </c>
      <c r="E19" s="21">
        <f>D19/208*25</f>
        <v>231.61057692307691</v>
      </c>
      <c r="F19" s="19">
        <v>1256</v>
      </c>
      <c r="G19" s="22">
        <f t="shared" si="1"/>
        <v>146.04651162790699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ref="O19" si="6">N19/38*25</f>
        <v>0</v>
      </c>
      <c r="P19" s="23">
        <v>1057</v>
      </c>
      <c r="Q19" s="24"/>
      <c r="R19" s="24"/>
      <c r="S19" s="24">
        <v>136</v>
      </c>
      <c r="T19" s="24"/>
      <c r="U19" s="24"/>
      <c r="V19" s="24">
        <v>48</v>
      </c>
      <c r="W19" s="25">
        <v>1463</v>
      </c>
      <c r="X19" s="25"/>
      <c r="Y19" s="24">
        <v>213</v>
      </c>
      <c r="Z19" s="24">
        <v>4</v>
      </c>
      <c r="AA19" s="24">
        <v>307</v>
      </c>
      <c r="AB19" s="24">
        <v>429</v>
      </c>
      <c r="AC19" s="24"/>
      <c r="AD19" s="24"/>
      <c r="AE19" s="26">
        <f t="shared" si="4"/>
        <v>517.59</v>
      </c>
      <c r="AF19" s="24"/>
      <c r="AG19" s="27">
        <v>3</v>
      </c>
    </row>
    <row r="20" spans="1:41" s="28" customFormat="1" ht="26.25" customHeight="1" x14ac:dyDescent="0.25">
      <c r="A20" s="18">
        <v>45331</v>
      </c>
      <c r="B20" s="19"/>
      <c r="C20" s="20">
        <f>B20/200*25</f>
        <v>0</v>
      </c>
      <c r="D20" s="19">
        <v>2165</v>
      </c>
      <c r="E20" s="21">
        <f t="shared" ref="E20:E21" si="7">D20/208*25</f>
        <v>260.21634615384619</v>
      </c>
      <c r="F20" s="19">
        <v>1490</v>
      </c>
      <c r="G20" s="22">
        <f t="shared" si="1"/>
        <v>173.25581395348837</v>
      </c>
      <c r="H20" s="19"/>
      <c r="I20" s="23">
        <f t="shared" si="2"/>
        <v>0</v>
      </c>
      <c r="J20" s="19"/>
      <c r="K20" s="19">
        <v>0</v>
      </c>
      <c r="L20" s="19"/>
      <c r="M20" s="19">
        <v>0</v>
      </c>
      <c r="N20" s="19"/>
      <c r="O20" s="23">
        <f>N20/38*25</f>
        <v>0</v>
      </c>
      <c r="P20" s="23">
        <v>1048</v>
      </c>
      <c r="Q20" s="24"/>
      <c r="R20" s="24"/>
      <c r="S20" s="25">
        <v>160</v>
      </c>
      <c r="T20" s="24"/>
      <c r="U20" s="24"/>
      <c r="V20" s="24">
        <v>46</v>
      </c>
      <c r="W20" s="25">
        <v>1520</v>
      </c>
      <c r="X20" s="25"/>
      <c r="Y20" s="24">
        <v>217</v>
      </c>
      <c r="Z20" s="24">
        <v>4</v>
      </c>
      <c r="AA20" s="24">
        <v>411</v>
      </c>
      <c r="AB20" s="24">
        <v>304</v>
      </c>
      <c r="AC20" s="24"/>
      <c r="AD20" s="24"/>
      <c r="AE20" s="26">
        <f t="shared" si="4"/>
        <v>527.31000000000006</v>
      </c>
      <c r="AF20" s="24"/>
      <c r="AG20" s="27">
        <v>2</v>
      </c>
    </row>
    <row r="21" spans="1:41" s="28" customFormat="1" ht="26.25" customHeight="1" x14ac:dyDescent="0.25">
      <c r="A21" s="18">
        <v>45332</v>
      </c>
      <c r="B21" s="19"/>
      <c r="C21" s="20">
        <f>B21/200*25</f>
        <v>0</v>
      </c>
      <c r="D21" s="19">
        <v>1936</v>
      </c>
      <c r="E21" s="21">
        <f t="shared" si="7"/>
        <v>232.69230769230771</v>
      </c>
      <c r="F21" s="19">
        <v>957</v>
      </c>
      <c r="G21" s="22">
        <f t="shared" si="1"/>
        <v>111.27906976744187</v>
      </c>
      <c r="H21" s="19"/>
      <c r="I21" s="23"/>
      <c r="J21" s="19"/>
      <c r="K21" s="19"/>
      <c r="L21" s="19"/>
      <c r="M21" s="19"/>
      <c r="N21" s="19"/>
      <c r="O21" s="20">
        <f>N21/200*25</f>
        <v>0</v>
      </c>
      <c r="P21" s="23">
        <v>795</v>
      </c>
      <c r="Q21" s="24"/>
      <c r="R21" s="24"/>
      <c r="S21" s="25">
        <v>157</v>
      </c>
      <c r="T21" s="24"/>
      <c r="U21" s="24"/>
      <c r="V21" s="24"/>
      <c r="W21" s="25">
        <v>1186</v>
      </c>
      <c r="X21" s="25"/>
      <c r="Y21" s="24">
        <v>167</v>
      </c>
      <c r="Z21" s="24">
        <v>4</v>
      </c>
      <c r="AA21" s="24">
        <v>187</v>
      </c>
      <c r="AB21" s="24">
        <v>410</v>
      </c>
      <c r="AC21" s="24"/>
      <c r="AD21" s="24"/>
      <c r="AE21" s="26">
        <f t="shared" si="4"/>
        <v>405.81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>SUM(B15:B21)</f>
        <v>0</v>
      </c>
      <c r="C22" s="32">
        <f>SUM(C15:C21)</f>
        <v>0</v>
      </c>
      <c r="D22" s="31">
        <f>SUM(D15:D21)</f>
        <v>11631</v>
      </c>
      <c r="E22" s="31">
        <f>SUM(E15:E21)</f>
        <v>1397.9567307692307</v>
      </c>
      <c r="F22" s="31">
        <f t="shared" ref="F22:M22" si="8">SUM(F15:F21)</f>
        <v>7661</v>
      </c>
      <c r="G22" s="31">
        <f t="shared" si="8"/>
        <v>890.81395348837225</v>
      </c>
      <c r="H22" s="31">
        <f t="shared" si="8"/>
        <v>0</v>
      </c>
      <c r="I22" s="31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ref="N22:AG22" si="9">SUM(N15:N21)</f>
        <v>0</v>
      </c>
      <c r="O22" s="33">
        <f t="shared" si="9"/>
        <v>0</v>
      </c>
      <c r="P22" s="31">
        <f t="shared" si="9"/>
        <v>6142</v>
      </c>
      <c r="Q22" s="31">
        <f t="shared" si="9"/>
        <v>0</v>
      </c>
      <c r="R22" s="31">
        <f t="shared" si="9"/>
        <v>0</v>
      </c>
      <c r="S22" s="31">
        <f t="shared" si="9"/>
        <v>757</v>
      </c>
      <c r="T22" s="31">
        <f t="shared" si="9"/>
        <v>0</v>
      </c>
      <c r="U22" s="31">
        <f t="shared" si="9"/>
        <v>0</v>
      </c>
      <c r="V22" s="31">
        <f t="shared" si="9"/>
        <v>143</v>
      </c>
      <c r="W22" s="31">
        <f t="shared" si="9"/>
        <v>8928</v>
      </c>
      <c r="X22" s="31">
        <f t="shared" si="9"/>
        <v>0</v>
      </c>
      <c r="Y22" s="31">
        <f t="shared" si="9"/>
        <v>1221</v>
      </c>
      <c r="Z22" s="31">
        <f t="shared" si="9"/>
        <v>16</v>
      </c>
      <c r="AA22" s="31">
        <f t="shared" si="9"/>
        <v>1892</v>
      </c>
      <c r="AB22" s="31">
        <f t="shared" si="9"/>
        <v>2293</v>
      </c>
      <c r="AC22" s="31">
        <f t="shared" si="9"/>
        <v>0</v>
      </c>
      <c r="AD22" s="31">
        <f t="shared" si="9"/>
        <v>0</v>
      </c>
      <c r="AE22" s="33">
        <f t="shared" si="9"/>
        <v>2967.03</v>
      </c>
      <c r="AF22" s="33">
        <f t="shared" si="9"/>
        <v>0</v>
      </c>
      <c r="AG22" s="33">
        <f t="shared" si="9"/>
        <v>8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C19" sqref="C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45333</v>
      </c>
      <c r="B15" s="19"/>
      <c r="C15" s="20">
        <f t="shared" ref="C15:C17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45334</v>
      </c>
      <c r="B16" s="19"/>
      <c r="C16" s="20">
        <f t="shared" si="0"/>
        <v>0</v>
      </c>
      <c r="D16" s="19">
        <v>2218</v>
      </c>
      <c r="E16" s="21">
        <f>D16/208*25</f>
        <v>266.58653846153845</v>
      </c>
      <c r="F16" s="19">
        <v>902</v>
      </c>
      <c r="G16" s="22">
        <f t="shared" si="1"/>
        <v>104.88372093023256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913</v>
      </c>
      <c r="Q16" s="24"/>
      <c r="R16" s="24"/>
      <c r="S16" s="24">
        <v>155</v>
      </c>
      <c r="T16" s="24"/>
      <c r="U16" s="24"/>
      <c r="V16" s="24"/>
      <c r="W16" s="25">
        <v>1370</v>
      </c>
      <c r="X16" s="25"/>
      <c r="Y16" s="24">
        <v>194</v>
      </c>
      <c r="Z16" s="24"/>
      <c r="AA16" s="24">
        <v>172</v>
      </c>
      <c r="AB16" s="24">
        <v>476</v>
      </c>
      <c r="AC16" s="24"/>
      <c r="AD16" s="24"/>
      <c r="AE16" s="26">
        <f t="shared" si="4"/>
        <v>471.42</v>
      </c>
      <c r="AF16" s="24"/>
      <c r="AG16" s="27"/>
      <c r="AH16" s="29"/>
    </row>
    <row r="17" spans="1:41" s="28" customFormat="1" ht="26.25" customHeight="1" x14ac:dyDescent="0.25">
      <c r="A17" s="18">
        <v>45335</v>
      </c>
      <c r="B17" s="19"/>
      <c r="C17" s="20">
        <f t="shared" si="0"/>
        <v>0</v>
      </c>
      <c r="D17" s="19">
        <v>2449</v>
      </c>
      <c r="E17" s="21">
        <f t="shared" ref="E17:E18" si="5">D17/208*25</f>
        <v>294.35096153846155</v>
      </c>
      <c r="F17" s="19">
        <v>1141</v>
      </c>
      <c r="G17" s="22">
        <f t="shared" si="1"/>
        <v>132.67441860465118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989</v>
      </c>
      <c r="Q17" s="24"/>
      <c r="R17" s="24"/>
      <c r="S17" s="25">
        <v>164</v>
      </c>
      <c r="T17" s="24"/>
      <c r="U17" s="24"/>
      <c r="V17" s="24">
        <v>21</v>
      </c>
      <c r="W17" s="25">
        <v>1523</v>
      </c>
      <c r="X17" s="25"/>
      <c r="Y17" s="24">
        <v>236</v>
      </c>
      <c r="Z17" s="24">
        <v>2</v>
      </c>
      <c r="AA17" s="24">
        <v>253</v>
      </c>
      <c r="AB17" s="24">
        <v>486</v>
      </c>
      <c r="AC17" s="24"/>
      <c r="AD17" s="24"/>
      <c r="AE17" s="26">
        <f t="shared" si="4"/>
        <v>573.48</v>
      </c>
      <c r="AF17" s="24"/>
      <c r="AG17" s="27">
        <v>13</v>
      </c>
      <c r="AH17" s="29"/>
    </row>
    <row r="18" spans="1:41" s="28" customFormat="1" ht="26.25" customHeight="1" x14ac:dyDescent="0.25">
      <c r="A18" s="18">
        <v>45336</v>
      </c>
      <c r="B18" s="19"/>
      <c r="C18" s="20">
        <f>B18/200*25</f>
        <v>0</v>
      </c>
      <c r="D18" s="19">
        <v>2150</v>
      </c>
      <c r="E18" s="21">
        <f t="shared" si="5"/>
        <v>258.41346153846155</v>
      </c>
      <c r="F18" s="19">
        <v>1578</v>
      </c>
      <c r="G18" s="22">
        <f t="shared" si="1"/>
        <v>183.48837209302326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1133</v>
      </c>
      <c r="Q18" s="24"/>
      <c r="R18" s="24"/>
      <c r="S18" s="25">
        <v>141</v>
      </c>
      <c r="T18" s="24"/>
      <c r="U18" s="24"/>
      <c r="V18" s="24">
        <v>24</v>
      </c>
      <c r="W18" s="25">
        <v>1677</v>
      </c>
      <c r="X18" s="25"/>
      <c r="Y18" s="24">
        <v>198</v>
      </c>
      <c r="Z18" s="24">
        <v>4</v>
      </c>
      <c r="AA18" s="24">
        <v>274</v>
      </c>
      <c r="AB18" s="24">
        <v>471</v>
      </c>
      <c r="AC18" s="24"/>
      <c r="AD18" s="24"/>
      <c r="AE18" s="26">
        <f t="shared" si="4"/>
        <v>481.14000000000004</v>
      </c>
      <c r="AF18" s="24"/>
      <c r="AG18" s="27">
        <v>1</v>
      </c>
    </row>
    <row r="19" spans="1:41" s="28" customFormat="1" ht="26.25" customHeight="1" x14ac:dyDescent="0.25">
      <c r="A19" s="18">
        <v>45337</v>
      </c>
      <c r="B19" s="19"/>
      <c r="C19" s="20">
        <f>B19/200*25</f>
        <v>0</v>
      </c>
      <c r="D19" s="19">
        <v>1984</v>
      </c>
      <c r="E19" s="21">
        <f>D19/208*25</f>
        <v>238.46153846153845</v>
      </c>
      <c r="F19" s="19">
        <v>1715</v>
      </c>
      <c r="G19" s="22">
        <f t="shared" si="1"/>
        <v>199.41860465116278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ref="O19" si="6">N19/38*25</f>
        <v>0</v>
      </c>
      <c r="P19" s="23">
        <v>1068</v>
      </c>
      <c r="Q19" s="24"/>
      <c r="R19" s="24"/>
      <c r="S19" s="24">
        <v>157</v>
      </c>
      <c r="T19" s="24"/>
      <c r="U19" s="24"/>
      <c r="V19" s="24">
        <v>33</v>
      </c>
      <c r="W19" s="25">
        <v>1580</v>
      </c>
      <c r="X19" s="25"/>
      <c r="Y19" s="24">
        <v>204</v>
      </c>
      <c r="Z19" s="24">
        <v>4</v>
      </c>
      <c r="AA19" s="24">
        <v>467</v>
      </c>
      <c r="AB19" s="24">
        <v>298</v>
      </c>
      <c r="AC19" s="24"/>
      <c r="AD19" s="24"/>
      <c r="AE19" s="26">
        <f t="shared" si="4"/>
        <v>495.72</v>
      </c>
      <c r="AF19" s="24"/>
      <c r="AG19" s="27">
        <v>1</v>
      </c>
    </row>
    <row r="20" spans="1:41" s="28" customFormat="1" ht="26.25" customHeight="1" x14ac:dyDescent="0.25">
      <c r="A20" s="18">
        <v>45338</v>
      </c>
      <c r="B20" s="19"/>
      <c r="C20" s="20">
        <f>B20/200*25</f>
        <v>0</v>
      </c>
      <c r="D20" s="19">
        <v>1872</v>
      </c>
      <c r="E20" s="21">
        <f t="shared" ref="E20:E21" si="7">D20/208*25</f>
        <v>225</v>
      </c>
      <c r="F20" s="19">
        <v>1348</v>
      </c>
      <c r="G20" s="22">
        <f t="shared" si="1"/>
        <v>156.74418604651163</v>
      </c>
      <c r="H20" s="19"/>
      <c r="I20" s="23">
        <f t="shared" si="2"/>
        <v>0</v>
      </c>
      <c r="J20" s="19"/>
      <c r="K20" s="19">
        <v>0</v>
      </c>
      <c r="L20" s="19"/>
      <c r="M20" s="19">
        <v>0</v>
      </c>
      <c r="N20" s="19"/>
      <c r="O20" s="23">
        <f>N20/38*25</f>
        <v>0</v>
      </c>
      <c r="P20" s="23">
        <v>1035</v>
      </c>
      <c r="Q20" s="24"/>
      <c r="R20" s="24"/>
      <c r="S20" s="25">
        <v>145</v>
      </c>
      <c r="T20" s="24"/>
      <c r="U20" s="24"/>
      <c r="V20" s="24">
        <v>4</v>
      </c>
      <c r="W20" s="25">
        <v>1485</v>
      </c>
      <c r="X20" s="25"/>
      <c r="Y20" s="24">
        <v>201</v>
      </c>
      <c r="Z20" s="24">
        <v>2</v>
      </c>
      <c r="AA20" s="24">
        <v>542</v>
      </c>
      <c r="AB20" s="24">
        <v>163</v>
      </c>
      <c r="AC20" s="24"/>
      <c r="AD20" s="24"/>
      <c r="AE20" s="26">
        <f t="shared" si="4"/>
        <v>488.43</v>
      </c>
      <c r="AF20" s="24"/>
      <c r="AG20" s="27">
        <v>1</v>
      </c>
    </row>
    <row r="21" spans="1:41" s="28" customFormat="1" ht="26.25" customHeight="1" x14ac:dyDescent="0.25">
      <c r="A21" s="18">
        <v>45339</v>
      </c>
      <c r="B21" s="19"/>
      <c r="C21" s="20">
        <f>B21/200*25</f>
        <v>0</v>
      </c>
      <c r="D21" s="19">
        <v>1335</v>
      </c>
      <c r="E21" s="21">
        <f t="shared" si="7"/>
        <v>160.45673076923077</v>
      </c>
      <c r="F21" s="19">
        <v>1214</v>
      </c>
      <c r="G21" s="22">
        <f t="shared" si="1"/>
        <v>141.16279069767441</v>
      </c>
      <c r="H21" s="19"/>
      <c r="I21" s="23"/>
      <c r="J21" s="19"/>
      <c r="K21" s="19"/>
      <c r="L21" s="19"/>
      <c r="M21" s="19"/>
      <c r="N21" s="19"/>
      <c r="O21" s="20">
        <f>N21/200*25</f>
        <v>0</v>
      </c>
      <c r="P21" s="23">
        <v>890</v>
      </c>
      <c r="Q21" s="24"/>
      <c r="R21" s="24"/>
      <c r="S21" s="25">
        <v>149</v>
      </c>
      <c r="T21" s="24"/>
      <c r="U21" s="24"/>
      <c r="V21" s="24"/>
      <c r="W21" s="25">
        <v>1193</v>
      </c>
      <c r="X21" s="25"/>
      <c r="Y21" s="24">
        <v>172</v>
      </c>
      <c r="Z21" s="24"/>
      <c r="AA21" s="24">
        <v>392</v>
      </c>
      <c r="AB21" s="24">
        <v>129</v>
      </c>
      <c r="AC21" s="24"/>
      <c r="AD21" s="24"/>
      <c r="AE21" s="26">
        <f t="shared" si="4"/>
        <v>417.96000000000004</v>
      </c>
      <c r="AF21" s="24"/>
      <c r="AG21" s="27">
        <v>6</v>
      </c>
    </row>
    <row r="22" spans="1:41" ht="33" customHeight="1" thickBot="1" x14ac:dyDescent="0.3">
      <c r="A22" s="30" t="s">
        <v>30</v>
      </c>
      <c r="B22" s="31">
        <f>SUM(B15:B21)</f>
        <v>0</v>
      </c>
      <c r="C22" s="32">
        <f>SUM(C15:C21)</f>
        <v>0</v>
      </c>
      <c r="D22" s="31">
        <f>SUM(D15:D21)</f>
        <v>12008</v>
      </c>
      <c r="E22" s="31">
        <f>SUM(E15:E21)</f>
        <v>1443.2692307692307</v>
      </c>
      <c r="F22" s="31">
        <f>SUM(F15:F21)</f>
        <v>7898</v>
      </c>
      <c r="G22" s="31">
        <f t="shared" ref="G22:M22" si="8">SUM(G15:G21)</f>
        <v>918.37209302325573</v>
      </c>
      <c r="H22" s="31">
        <f t="shared" si="8"/>
        <v>0</v>
      </c>
      <c r="I22" s="31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ref="N22:AG22" si="9">SUM(N15:N21)</f>
        <v>0</v>
      </c>
      <c r="O22" s="33">
        <f t="shared" si="9"/>
        <v>0</v>
      </c>
      <c r="P22" s="31">
        <f t="shared" si="9"/>
        <v>6028</v>
      </c>
      <c r="Q22" s="31">
        <f t="shared" si="9"/>
        <v>0</v>
      </c>
      <c r="R22" s="31">
        <f t="shared" si="9"/>
        <v>0</v>
      </c>
      <c r="S22" s="31">
        <f t="shared" si="9"/>
        <v>911</v>
      </c>
      <c r="T22" s="31">
        <f t="shared" si="9"/>
        <v>0</v>
      </c>
      <c r="U22" s="31">
        <f t="shared" si="9"/>
        <v>0</v>
      </c>
      <c r="V22" s="31">
        <f t="shared" si="9"/>
        <v>82</v>
      </c>
      <c r="W22" s="31">
        <f t="shared" si="9"/>
        <v>8828</v>
      </c>
      <c r="X22" s="31">
        <f t="shared" si="9"/>
        <v>0</v>
      </c>
      <c r="Y22" s="31">
        <f t="shared" si="9"/>
        <v>1205</v>
      </c>
      <c r="Z22" s="31">
        <f t="shared" si="9"/>
        <v>12</v>
      </c>
      <c r="AA22" s="31">
        <f t="shared" si="9"/>
        <v>2100</v>
      </c>
      <c r="AB22" s="31">
        <f t="shared" si="9"/>
        <v>2023</v>
      </c>
      <c r="AC22" s="31">
        <f t="shared" si="9"/>
        <v>0</v>
      </c>
      <c r="AD22" s="31">
        <f t="shared" si="9"/>
        <v>0</v>
      </c>
      <c r="AE22" s="33">
        <f t="shared" si="9"/>
        <v>2928.15</v>
      </c>
      <c r="AF22" s="33">
        <f t="shared" si="9"/>
        <v>0</v>
      </c>
      <c r="AG22" s="33">
        <f t="shared" si="9"/>
        <v>22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3" zoomScaleNormal="100" workbookViewId="0">
      <selection activeCell="N39" sqref="N3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45340</v>
      </c>
      <c r="B15" s="19"/>
      <c r="C15" s="20">
        <f t="shared" ref="C15:C17" si="0">B15/200*25</f>
        <v>0</v>
      </c>
      <c r="D15" s="19">
        <v>4</v>
      </c>
      <c r="E15" s="21">
        <f>D15/208*25</f>
        <v>0.48076923076923078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>
        <v>2</v>
      </c>
      <c r="Z15" s="24"/>
      <c r="AA15" s="24">
        <v>5</v>
      </c>
      <c r="AB15" s="24"/>
      <c r="AC15" s="24"/>
      <c r="AD15" s="24"/>
      <c r="AE15" s="26">
        <f t="shared" ref="AE15:AE21" si="4">Y15*2.43</f>
        <v>4.8600000000000003</v>
      </c>
      <c r="AF15" s="24"/>
      <c r="AG15" s="27"/>
      <c r="AH15" s="29"/>
    </row>
    <row r="16" spans="1:34" s="28" customFormat="1" ht="26.25" customHeight="1" x14ac:dyDescent="0.25">
      <c r="A16" s="18">
        <v>45341</v>
      </c>
      <c r="B16" s="19"/>
      <c r="C16" s="20">
        <f t="shared" si="0"/>
        <v>0</v>
      </c>
      <c r="D16" s="19">
        <v>1798</v>
      </c>
      <c r="E16" s="21">
        <f>D16/208*25</f>
        <v>216.10576923076925</v>
      </c>
      <c r="F16" s="19">
        <v>1721</v>
      </c>
      <c r="G16" s="22">
        <f t="shared" si="1"/>
        <v>200.11627906976744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946</v>
      </c>
      <c r="Q16" s="24"/>
      <c r="R16" s="24"/>
      <c r="S16" s="24">
        <v>120</v>
      </c>
      <c r="T16" s="24"/>
      <c r="U16" s="24"/>
      <c r="V16" s="24">
        <v>30</v>
      </c>
      <c r="W16" s="25">
        <v>1452</v>
      </c>
      <c r="X16" s="25"/>
      <c r="Y16" s="24">
        <v>198</v>
      </c>
      <c r="Z16" s="24">
        <v>6</v>
      </c>
      <c r="AA16" s="24">
        <v>529</v>
      </c>
      <c r="AB16" s="24">
        <v>118</v>
      </c>
      <c r="AC16" s="24"/>
      <c r="AD16" s="24"/>
      <c r="AE16" s="26">
        <f t="shared" si="4"/>
        <v>481.14000000000004</v>
      </c>
      <c r="AF16" s="24"/>
      <c r="AG16" s="27">
        <v>4</v>
      </c>
      <c r="AH16" s="29"/>
    </row>
    <row r="17" spans="1:41" s="28" customFormat="1" ht="26.25" customHeight="1" x14ac:dyDescent="0.25">
      <c r="A17" s="18">
        <v>45342</v>
      </c>
      <c r="B17" s="19"/>
      <c r="C17" s="20">
        <f t="shared" si="0"/>
        <v>0</v>
      </c>
      <c r="D17" s="19">
        <v>1819</v>
      </c>
      <c r="E17" s="21">
        <f t="shared" ref="E17:E18" si="5">D17/208*25</f>
        <v>218.62980769230771</v>
      </c>
      <c r="F17" s="19">
        <v>1451</v>
      </c>
      <c r="G17" s="22">
        <f t="shared" si="1"/>
        <v>168.72093023255815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1083</v>
      </c>
      <c r="Q17" s="24"/>
      <c r="R17" s="24"/>
      <c r="S17" s="25">
        <v>326</v>
      </c>
      <c r="T17" s="24"/>
      <c r="U17" s="24"/>
      <c r="V17" s="24">
        <v>7</v>
      </c>
      <c r="W17" s="25">
        <v>1392</v>
      </c>
      <c r="X17" s="25"/>
      <c r="Y17" s="24">
        <v>238</v>
      </c>
      <c r="Z17" s="24">
        <v>4</v>
      </c>
      <c r="AA17" s="24">
        <v>538</v>
      </c>
      <c r="AB17" s="24">
        <v>176</v>
      </c>
      <c r="AC17" s="24"/>
      <c r="AD17" s="24"/>
      <c r="AE17" s="26">
        <f t="shared" si="4"/>
        <v>578.34</v>
      </c>
      <c r="AF17" s="24"/>
      <c r="AG17" s="27">
        <v>2</v>
      </c>
      <c r="AH17" s="29"/>
    </row>
    <row r="18" spans="1:41" s="28" customFormat="1" ht="26.25" customHeight="1" x14ac:dyDescent="0.25">
      <c r="A18" s="18">
        <v>45343</v>
      </c>
      <c r="B18" s="19"/>
      <c r="C18" s="20">
        <f>B18/200*25</f>
        <v>0</v>
      </c>
      <c r="D18" s="19">
        <v>1640</v>
      </c>
      <c r="E18" s="21">
        <f t="shared" si="5"/>
        <v>197.11538461538461</v>
      </c>
      <c r="F18" s="19">
        <v>1417</v>
      </c>
      <c r="G18" s="22">
        <f t="shared" si="1"/>
        <v>164.76744186046511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841</v>
      </c>
      <c r="Q18" s="24"/>
      <c r="R18" s="24"/>
      <c r="S18" s="25">
        <v>368</v>
      </c>
      <c r="T18" s="24"/>
      <c r="U18" s="24"/>
      <c r="V18" s="24"/>
      <c r="W18" s="25">
        <v>1039</v>
      </c>
      <c r="X18" s="25"/>
      <c r="Y18" s="24">
        <v>217</v>
      </c>
      <c r="Z18" s="24">
        <v>4</v>
      </c>
      <c r="AA18" s="24">
        <v>432</v>
      </c>
      <c r="AB18" s="24">
        <v>169</v>
      </c>
      <c r="AC18" s="24"/>
      <c r="AD18" s="24"/>
      <c r="AE18" s="26">
        <f t="shared" si="4"/>
        <v>527.31000000000006</v>
      </c>
      <c r="AF18" s="24"/>
      <c r="AG18" s="27">
        <v>3</v>
      </c>
    </row>
    <row r="19" spans="1:41" s="28" customFormat="1" ht="26.25" customHeight="1" x14ac:dyDescent="0.25">
      <c r="A19" s="18">
        <v>45344</v>
      </c>
      <c r="B19" s="19"/>
      <c r="C19" s="20">
        <f>B19/200*25</f>
        <v>0</v>
      </c>
      <c r="D19" s="19">
        <v>1754</v>
      </c>
      <c r="E19" s="21">
        <f>D19/208*25</f>
        <v>210.81730769230771</v>
      </c>
      <c r="F19" s="19">
        <v>1665</v>
      </c>
      <c r="G19" s="22">
        <f t="shared" si="1"/>
        <v>193.6046511627907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ref="O19" si="6">N19/38*25</f>
        <v>0</v>
      </c>
      <c r="P19" s="23">
        <v>930</v>
      </c>
      <c r="Q19" s="24"/>
      <c r="R19" s="24"/>
      <c r="S19" s="24">
        <v>249</v>
      </c>
      <c r="T19" s="24"/>
      <c r="U19" s="24"/>
      <c r="V19" s="24">
        <v>58</v>
      </c>
      <c r="W19" s="25">
        <v>1228</v>
      </c>
      <c r="X19" s="25"/>
      <c r="Y19" s="24">
        <v>242</v>
      </c>
      <c r="Z19" s="24">
        <v>4</v>
      </c>
      <c r="AA19" s="24">
        <v>522</v>
      </c>
      <c r="AB19" s="24">
        <v>130</v>
      </c>
      <c r="AC19" s="24"/>
      <c r="AD19" s="24"/>
      <c r="AE19" s="26">
        <f t="shared" si="4"/>
        <v>588.06000000000006</v>
      </c>
      <c r="AF19" s="24"/>
      <c r="AG19" s="27">
        <v>4</v>
      </c>
    </row>
    <row r="20" spans="1:41" s="28" customFormat="1" ht="26.25" customHeight="1" x14ac:dyDescent="0.25">
      <c r="A20" s="18">
        <v>45345</v>
      </c>
      <c r="B20" s="19"/>
      <c r="C20" s="20">
        <f>B20/200*25</f>
        <v>0</v>
      </c>
      <c r="D20" s="19">
        <v>2310</v>
      </c>
      <c r="E20" s="21">
        <f t="shared" ref="E20:E21" si="7">D20/208*25</f>
        <v>277.64423076923077</v>
      </c>
      <c r="F20" s="19">
        <v>2278</v>
      </c>
      <c r="G20" s="22">
        <f t="shared" si="1"/>
        <v>264.88372093023258</v>
      </c>
      <c r="H20" s="19"/>
      <c r="I20" s="23">
        <f t="shared" si="2"/>
        <v>0</v>
      </c>
      <c r="J20" s="19"/>
      <c r="K20" s="19">
        <v>0</v>
      </c>
      <c r="L20" s="19"/>
      <c r="M20" s="19">
        <v>0</v>
      </c>
      <c r="N20" s="19"/>
      <c r="O20" s="23">
        <f>N20/38*25</f>
        <v>0</v>
      </c>
      <c r="P20" s="23">
        <v>1126</v>
      </c>
      <c r="Q20" s="24"/>
      <c r="R20" s="24"/>
      <c r="S20" s="25">
        <v>404</v>
      </c>
      <c r="T20" s="24"/>
      <c r="U20" s="24"/>
      <c r="V20" s="24">
        <v>85</v>
      </c>
      <c r="W20" s="25">
        <v>1459</v>
      </c>
      <c r="X20" s="25"/>
      <c r="Y20" s="24">
        <v>247</v>
      </c>
      <c r="Z20" s="24">
        <v>6</v>
      </c>
      <c r="AA20" s="24">
        <v>596</v>
      </c>
      <c r="AB20" s="24">
        <v>171</v>
      </c>
      <c r="AC20" s="24"/>
      <c r="AD20" s="24"/>
      <c r="AE20" s="26">
        <f t="shared" si="4"/>
        <v>600.21</v>
      </c>
      <c r="AF20" s="24"/>
      <c r="AG20" s="27">
        <v>3</v>
      </c>
    </row>
    <row r="21" spans="1:41" s="28" customFormat="1" ht="26.25" customHeight="1" x14ac:dyDescent="0.25">
      <c r="A21" s="18">
        <v>45346</v>
      </c>
      <c r="B21" s="19"/>
      <c r="C21" s="20">
        <f>B21/200*25</f>
        <v>0</v>
      </c>
      <c r="D21" s="19">
        <v>1576</v>
      </c>
      <c r="E21" s="21">
        <f t="shared" si="7"/>
        <v>189.42307692307691</v>
      </c>
      <c r="F21" s="19">
        <v>1088</v>
      </c>
      <c r="G21" s="22">
        <f t="shared" si="1"/>
        <v>126.51162790697674</v>
      </c>
      <c r="H21" s="19"/>
      <c r="I21" s="23"/>
      <c r="J21" s="19"/>
      <c r="K21" s="19"/>
      <c r="L21" s="19"/>
      <c r="M21" s="19"/>
      <c r="N21" s="19"/>
      <c r="O21" s="20">
        <f>N21/200*25</f>
        <v>0</v>
      </c>
      <c r="P21" s="23">
        <v>863</v>
      </c>
      <c r="Q21" s="24"/>
      <c r="R21" s="24"/>
      <c r="S21" s="25">
        <v>247</v>
      </c>
      <c r="T21" s="24"/>
      <c r="U21" s="24"/>
      <c r="V21" s="24">
        <v>32</v>
      </c>
      <c r="W21" s="25">
        <v>1075</v>
      </c>
      <c r="X21" s="25"/>
      <c r="Y21" s="24">
        <v>156</v>
      </c>
      <c r="Z21" s="24">
        <v>4</v>
      </c>
      <c r="AA21" s="24">
        <v>410</v>
      </c>
      <c r="AB21" s="24">
        <v>117</v>
      </c>
      <c r="AC21" s="24"/>
      <c r="AD21" s="24"/>
      <c r="AE21" s="26">
        <f t="shared" si="4"/>
        <v>379.08000000000004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>SUM(B15:B21)</f>
        <v>0</v>
      </c>
      <c r="C22" s="32">
        <f>SUM(C15:C21)</f>
        <v>0</v>
      </c>
      <c r="D22" s="31">
        <f>SUM(D15:D21)</f>
        <v>10901</v>
      </c>
      <c r="E22" s="33"/>
      <c r="F22" s="31">
        <f>SUM(F15:F21)</f>
        <v>9620</v>
      </c>
      <c r="G22" s="33"/>
      <c r="H22" s="31">
        <f t="shared" ref="H22:AG22" si="8">SUM(H15:H21)</f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1">
        <f t="shared" si="8"/>
        <v>5789</v>
      </c>
      <c r="Q22" s="31">
        <f t="shared" si="8"/>
        <v>0</v>
      </c>
      <c r="R22" s="31">
        <f t="shared" si="8"/>
        <v>0</v>
      </c>
      <c r="S22" s="31">
        <f t="shared" si="8"/>
        <v>1714</v>
      </c>
      <c r="T22" s="31">
        <f t="shared" si="8"/>
        <v>0</v>
      </c>
      <c r="U22" s="31">
        <f t="shared" si="8"/>
        <v>0</v>
      </c>
      <c r="V22" s="31">
        <f t="shared" si="8"/>
        <v>212</v>
      </c>
      <c r="W22" s="31">
        <f t="shared" si="8"/>
        <v>7645</v>
      </c>
      <c r="X22" s="31">
        <f t="shared" si="8"/>
        <v>0</v>
      </c>
      <c r="Y22" s="31">
        <f t="shared" si="8"/>
        <v>1300</v>
      </c>
      <c r="Z22" s="31">
        <f t="shared" si="8"/>
        <v>28</v>
      </c>
      <c r="AA22" s="31">
        <f t="shared" si="8"/>
        <v>3032</v>
      </c>
      <c r="AB22" s="31">
        <f t="shared" si="8"/>
        <v>881</v>
      </c>
      <c r="AC22" s="31">
        <f t="shared" si="8"/>
        <v>0</v>
      </c>
      <c r="AD22" s="31">
        <f t="shared" si="8"/>
        <v>0</v>
      </c>
      <c r="AE22" s="33">
        <f t="shared" si="8"/>
        <v>3159</v>
      </c>
      <c r="AF22" s="33">
        <f t="shared" si="8"/>
        <v>0</v>
      </c>
      <c r="AG22" s="33">
        <f t="shared" si="8"/>
        <v>18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E19" sqref="E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45347</v>
      </c>
      <c r="B15" s="19"/>
      <c r="C15" s="20">
        <f t="shared" ref="C15:C17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1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45348</v>
      </c>
      <c r="B16" s="19"/>
      <c r="C16" s="20">
        <f t="shared" si="0"/>
        <v>0</v>
      </c>
      <c r="D16" s="19">
        <v>1858</v>
      </c>
      <c r="E16" s="21">
        <f>D16/208*25</f>
        <v>223.31730769230771</v>
      </c>
      <c r="F16" s="19">
        <v>2043</v>
      </c>
      <c r="G16" s="22">
        <f t="shared" si="1"/>
        <v>237.55813953488371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1083</v>
      </c>
      <c r="Q16" s="24"/>
      <c r="R16" s="24"/>
      <c r="S16" s="24">
        <v>394</v>
      </c>
      <c r="T16" s="24"/>
      <c r="U16" s="24"/>
      <c r="V16" s="24">
        <v>30</v>
      </c>
      <c r="W16" s="25">
        <v>1384</v>
      </c>
      <c r="X16" s="25"/>
      <c r="Y16" s="24">
        <v>246</v>
      </c>
      <c r="Z16" s="24">
        <v>6</v>
      </c>
      <c r="AA16" s="24">
        <v>599</v>
      </c>
      <c r="AB16" s="24">
        <v>159</v>
      </c>
      <c r="AC16" s="24"/>
      <c r="AD16" s="24"/>
      <c r="AE16" s="26">
        <f t="shared" si="4"/>
        <v>597.78000000000009</v>
      </c>
      <c r="AF16" s="24"/>
      <c r="AG16" s="27">
        <v>1</v>
      </c>
      <c r="AH16" s="29"/>
    </row>
    <row r="17" spans="1:41" s="28" customFormat="1" ht="26.25" customHeight="1" x14ac:dyDescent="0.25">
      <c r="A17" s="18">
        <v>45349</v>
      </c>
      <c r="B17" s="19"/>
      <c r="C17" s="20">
        <f t="shared" si="0"/>
        <v>0</v>
      </c>
      <c r="D17" s="19">
        <v>2090</v>
      </c>
      <c r="E17" s="21">
        <f t="shared" ref="E17:E20" si="5">D17/208*25</f>
        <v>251.20192307692309</v>
      </c>
      <c r="F17" s="19">
        <v>1579</v>
      </c>
      <c r="G17" s="22">
        <f t="shared" si="1"/>
        <v>183.6046511627907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1245</v>
      </c>
      <c r="Q17" s="24"/>
      <c r="R17" s="24"/>
      <c r="S17" s="25">
        <v>467</v>
      </c>
      <c r="T17" s="24"/>
      <c r="U17" s="24"/>
      <c r="V17" s="24">
        <v>30</v>
      </c>
      <c r="W17" s="25">
        <v>1456</v>
      </c>
      <c r="X17" s="25"/>
      <c r="Y17" s="24">
        <v>226</v>
      </c>
      <c r="Z17" s="24">
        <v>4</v>
      </c>
      <c r="AA17" s="24">
        <v>589</v>
      </c>
      <c r="AB17" s="24">
        <v>222</v>
      </c>
      <c r="AC17" s="24"/>
      <c r="AD17" s="24"/>
      <c r="AE17" s="26">
        <f t="shared" si="4"/>
        <v>549.18000000000006</v>
      </c>
      <c r="AF17" s="24"/>
      <c r="AG17" s="27">
        <v>1</v>
      </c>
      <c r="AH17" s="29"/>
    </row>
    <row r="18" spans="1:41" s="28" customFormat="1" ht="26.25" customHeight="1" x14ac:dyDescent="0.25">
      <c r="A18" s="18">
        <v>45350</v>
      </c>
      <c r="B18" s="19"/>
      <c r="C18" s="20">
        <f>B18/200*25</f>
        <v>0</v>
      </c>
      <c r="D18" s="19">
        <v>1974</v>
      </c>
      <c r="E18" s="21">
        <f t="shared" si="5"/>
        <v>237.25961538461539</v>
      </c>
      <c r="F18" s="19">
        <v>1924</v>
      </c>
      <c r="G18" s="22">
        <f t="shared" si="1"/>
        <v>223.72093023255815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1197</v>
      </c>
      <c r="Q18" s="24"/>
      <c r="R18" s="24"/>
      <c r="S18" s="25">
        <v>351</v>
      </c>
      <c r="T18" s="24"/>
      <c r="U18" s="24"/>
      <c r="V18" s="24"/>
      <c r="W18" s="25">
        <v>1538</v>
      </c>
      <c r="X18" s="25"/>
      <c r="Y18" s="24">
        <v>243</v>
      </c>
      <c r="Z18" s="24">
        <v>4</v>
      </c>
      <c r="AA18" s="24">
        <v>632</v>
      </c>
      <c r="AB18" s="24">
        <v>182</v>
      </c>
      <c r="AC18" s="24"/>
      <c r="AD18" s="24"/>
      <c r="AE18" s="26">
        <f t="shared" si="4"/>
        <v>590.49</v>
      </c>
      <c r="AF18" s="24"/>
      <c r="AG18" s="27">
        <v>4</v>
      </c>
    </row>
    <row r="19" spans="1:41" s="28" customFormat="1" ht="26.25" customHeight="1" x14ac:dyDescent="0.25">
      <c r="A19" s="18">
        <v>45351</v>
      </c>
      <c r="B19" s="19"/>
      <c r="C19" s="20">
        <f t="shared" ref="C19:C20" si="6">B19/200*25</f>
        <v>0</v>
      </c>
      <c r="D19" s="19">
        <v>1734</v>
      </c>
      <c r="E19" s="21">
        <f t="shared" si="5"/>
        <v>208.41346153846155</v>
      </c>
      <c r="F19" s="19">
        <v>1694</v>
      </c>
      <c r="G19" s="22">
        <f t="shared" ref="G19:G20" si="7">F19/215*25</f>
        <v>196.97674418604652</v>
      </c>
      <c r="H19" s="19"/>
      <c r="I19" s="23">
        <f t="shared" ref="I19:I20" si="8">H19/135*25</f>
        <v>0</v>
      </c>
      <c r="J19" s="19"/>
      <c r="K19" s="19"/>
      <c r="L19" s="19"/>
      <c r="M19" s="19"/>
      <c r="N19" s="19"/>
      <c r="O19" s="23">
        <f t="shared" ref="O19:O20" si="9">N19/38*25</f>
        <v>0</v>
      </c>
      <c r="P19" s="23">
        <v>1045</v>
      </c>
      <c r="Q19" s="24"/>
      <c r="R19" s="24"/>
      <c r="S19" s="24">
        <v>397</v>
      </c>
      <c r="T19" s="24"/>
      <c r="U19" s="24"/>
      <c r="V19" s="24">
        <v>5</v>
      </c>
      <c r="W19" s="25">
        <v>1284</v>
      </c>
      <c r="X19" s="25"/>
      <c r="Y19" s="24">
        <v>215</v>
      </c>
      <c r="Z19" s="24">
        <v>6</v>
      </c>
      <c r="AA19" s="24">
        <v>554</v>
      </c>
      <c r="AB19" s="24">
        <v>170</v>
      </c>
      <c r="AC19" s="24"/>
      <c r="AD19" s="24"/>
      <c r="AE19" s="26">
        <f t="shared" ref="AE19:AE20" si="10">Y19*2.43</f>
        <v>522.45000000000005</v>
      </c>
      <c r="AF19" s="24"/>
      <c r="AG19" s="27">
        <v>2</v>
      </c>
    </row>
    <row r="20" spans="1:41" s="28" customFormat="1" ht="26.25" customHeight="1" x14ac:dyDescent="0.25">
      <c r="A20" s="18">
        <v>45352</v>
      </c>
      <c r="B20" s="19"/>
      <c r="C20" s="20">
        <f t="shared" si="6"/>
        <v>0</v>
      </c>
      <c r="D20" s="19">
        <v>726</v>
      </c>
      <c r="E20" s="21">
        <f t="shared" si="5"/>
        <v>87.259615384615387</v>
      </c>
      <c r="F20" s="19">
        <v>2156</v>
      </c>
      <c r="G20" s="22">
        <f t="shared" si="7"/>
        <v>250.69767441860463</v>
      </c>
      <c r="H20" s="19"/>
      <c r="I20" s="23">
        <f t="shared" si="8"/>
        <v>0</v>
      </c>
      <c r="J20" s="19"/>
      <c r="K20" s="19"/>
      <c r="L20" s="19"/>
      <c r="M20" s="19"/>
      <c r="N20" s="19"/>
      <c r="O20" s="23">
        <f t="shared" si="9"/>
        <v>0</v>
      </c>
      <c r="P20" s="23">
        <v>668</v>
      </c>
      <c r="Q20" s="24"/>
      <c r="R20" s="24"/>
      <c r="S20" s="24">
        <v>210</v>
      </c>
      <c r="T20" s="24"/>
      <c r="U20" s="24"/>
      <c r="V20" s="24">
        <v>12</v>
      </c>
      <c r="W20" s="25">
        <v>967</v>
      </c>
      <c r="X20" s="25"/>
      <c r="Y20" s="24">
        <v>160</v>
      </c>
      <c r="Z20" s="24">
        <v>4</v>
      </c>
      <c r="AA20" s="24">
        <v>449</v>
      </c>
      <c r="AB20" s="24">
        <v>90</v>
      </c>
      <c r="AC20" s="24"/>
      <c r="AD20" s="24"/>
      <c r="AE20" s="26">
        <f t="shared" si="10"/>
        <v>388.8</v>
      </c>
      <c r="AF20" s="24"/>
      <c r="AG20" s="27">
        <v>1</v>
      </c>
    </row>
    <row r="21" spans="1:41" s="28" customFormat="1" ht="26.25" customHeight="1" x14ac:dyDescent="0.25">
      <c r="A21" s="18">
        <v>45353</v>
      </c>
      <c r="B21" s="19"/>
      <c r="C21" s="20">
        <f>B21/200*25</f>
        <v>0</v>
      </c>
      <c r="D21" s="19">
        <v>772</v>
      </c>
      <c r="E21" s="21">
        <f>D21/208*25</f>
        <v>92.788461538461547</v>
      </c>
      <c r="F21" s="19">
        <v>3012</v>
      </c>
      <c r="G21" s="22">
        <f t="shared" si="1"/>
        <v>350.23255813953489</v>
      </c>
      <c r="H21" s="19"/>
      <c r="I21" s="23">
        <f t="shared" si="2"/>
        <v>0</v>
      </c>
      <c r="J21" s="19"/>
      <c r="K21" s="19"/>
      <c r="L21" s="19"/>
      <c r="M21" s="19"/>
      <c r="N21" s="19"/>
      <c r="O21" s="23">
        <f t="shared" ref="O21" si="11">N21/38*25</f>
        <v>0</v>
      </c>
      <c r="P21" s="23">
        <v>1022</v>
      </c>
      <c r="Q21" s="24"/>
      <c r="R21" s="24"/>
      <c r="S21" s="24">
        <v>350</v>
      </c>
      <c r="T21" s="24"/>
      <c r="U21" s="24"/>
      <c r="V21" s="24">
        <v>38</v>
      </c>
      <c r="W21" s="25">
        <v>1357</v>
      </c>
      <c r="X21" s="25"/>
      <c r="Y21" s="24">
        <v>205</v>
      </c>
      <c r="Z21" s="24">
        <v>10</v>
      </c>
      <c r="AA21" s="24">
        <v>561</v>
      </c>
      <c r="AB21" s="24">
        <v>170</v>
      </c>
      <c r="AC21" s="24"/>
      <c r="AD21" s="24"/>
      <c r="AE21" s="26">
        <f t="shared" si="4"/>
        <v>498.15000000000003</v>
      </c>
      <c r="AF21" s="24"/>
      <c r="AG21" s="27">
        <v>6</v>
      </c>
    </row>
    <row r="22" spans="1:41" ht="33" customHeight="1" thickBot="1" x14ac:dyDescent="0.3">
      <c r="A22" s="30" t="s">
        <v>30</v>
      </c>
      <c r="B22" s="31">
        <f>SUM(B15:B21)</f>
        <v>0</v>
      </c>
      <c r="C22" s="32">
        <f>SUM(C15:C21)</f>
        <v>0</v>
      </c>
      <c r="D22" s="31">
        <f>SUM(D15:D21)</f>
        <v>9154</v>
      </c>
      <c r="E22" s="31">
        <f>SUM(E15:E21)</f>
        <v>1100.2403846153848</v>
      </c>
      <c r="F22" s="31">
        <f>SUM(F15:F21)</f>
        <v>12408</v>
      </c>
      <c r="G22" s="31">
        <f t="shared" ref="G22:M22" si="12">SUM(G15:G21)</f>
        <v>1442.7906976744187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ref="N22:AG22" si="13">SUM(N15:N21)</f>
        <v>0</v>
      </c>
      <c r="O22" s="33">
        <f t="shared" si="13"/>
        <v>0</v>
      </c>
      <c r="P22" s="31">
        <f t="shared" si="13"/>
        <v>6260</v>
      </c>
      <c r="Q22" s="31">
        <f t="shared" si="13"/>
        <v>0</v>
      </c>
      <c r="R22" s="31">
        <f t="shared" si="13"/>
        <v>0</v>
      </c>
      <c r="S22" s="31">
        <f t="shared" si="13"/>
        <v>2169</v>
      </c>
      <c r="T22" s="31">
        <f t="shared" si="13"/>
        <v>0</v>
      </c>
      <c r="U22" s="31">
        <f t="shared" si="13"/>
        <v>0</v>
      </c>
      <c r="V22" s="31">
        <f t="shared" si="13"/>
        <v>115</v>
      </c>
      <c r="W22" s="31">
        <f t="shared" si="13"/>
        <v>7986</v>
      </c>
      <c r="X22" s="31">
        <f t="shared" si="13"/>
        <v>0</v>
      </c>
      <c r="Y22" s="31">
        <f t="shared" si="13"/>
        <v>1295</v>
      </c>
      <c r="Z22" s="31">
        <f t="shared" si="13"/>
        <v>34</v>
      </c>
      <c r="AA22" s="31">
        <f t="shared" si="13"/>
        <v>3384</v>
      </c>
      <c r="AB22" s="31">
        <f t="shared" si="13"/>
        <v>993</v>
      </c>
      <c r="AC22" s="31">
        <f t="shared" si="13"/>
        <v>0</v>
      </c>
      <c r="AD22" s="31">
        <f t="shared" si="13"/>
        <v>0</v>
      </c>
      <c r="AE22" s="33">
        <f t="shared" si="13"/>
        <v>3146.8500000000004</v>
      </c>
      <c r="AF22" s="33">
        <f t="shared" si="13"/>
        <v>0</v>
      </c>
      <c r="AG22" s="33">
        <f t="shared" si="13"/>
        <v>15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I25" s="40"/>
      <c r="J25" s="40"/>
      <c r="K25" s="40"/>
      <c r="L25" s="40"/>
      <c r="M25" s="40"/>
      <c r="N25" s="40"/>
      <c r="Q25" s="40"/>
      <c r="R25" s="40"/>
      <c r="T25" s="42" t="s">
        <v>34</v>
      </c>
      <c r="Z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I26" s="40"/>
      <c r="J26" s="40"/>
      <c r="K26" s="40"/>
      <c r="L26" s="40"/>
      <c r="M26" s="40"/>
      <c r="N26" s="40"/>
      <c r="Q26" s="40"/>
      <c r="R26" s="40"/>
      <c r="T26" s="40"/>
      <c r="Z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I27" s="40"/>
      <c r="J27" s="40"/>
      <c r="K27" s="40"/>
      <c r="L27" s="40"/>
      <c r="M27" s="40"/>
      <c r="N27" s="40"/>
      <c r="Q27" s="40"/>
      <c r="R27" s="40"/>
      <c r="T27" s="40"/>
      <c r="Z27" s="40"/>
      <c r="AA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G28" s="45" t="s">
        <v>37</v>
      </c>
      <c r="I28" s="40"/>
      <c r="J28" s="40"/>
      <c r="K28" s="40"/>
      <c r="L28" s="40"/>
      <c r="M28" s="40"/>
      <c r="N28" s="40"/>
      <c r="Q28" s="40"/>
      <c r="R28" s="40"/>
      <c r="T28" s="45" t="s">
        <v>49</v>
      </c>
      <c r="Z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I29" s="44"/>
      <c r="J29" s="44"/>
      <c r="K29" s="44"/>
      <c r="L29" s="44"/>
      <c r="M29" s="44"/>
      <c r="N29" s="44"/>
      <c r="Q29" s="44"/>
      <c r="R29" s="44"/>
      <c r="T29" s="44" t="s">
        <v>55</v>
      </c>
      <c r="Z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N21" sqref="N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45354</v>
      </c>
      <c r="B15" s="19"/>
      <c r="C15" s="20">
        <f t="shared" ref="C15:C17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1" si="2">H15/135*25</f>
        <v>0</v>
      </c>
      <c r="J15" s="19"/>
      <c r="K15" s="19"/>
      <c r="L15" s="19"/>
      <c r="M15" s="19"/>
      <c r="N15" s="19"/>
      <c r="O15" s="23">
        <f t="shared" ref="O15:O16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45355</v>
      </c>
      <c r="B16" s="19"/>
      <c r="C16" s="20">
        <f t="shared" si="0"/>
        <v>0</v>
      </c>
      <c r="D16" s="19">
        <v>781</v>
      </c>
      <c r="E16" s="21">
        <f>D16/208*25</f>
        <v>93.870192307692307</v>
      </c>
      <c r="F16" s="19">
        <v>2139</v>
      </c>
      <c r="G16" s="22">
        <f t="shared" si="1"/>
        <v>248.72093023255815</v>
      </c>
      <c r="H16" s="19"/>
      <c r="I16" s="23">
        <f t="shared" si="2"/>
        <v>0</v>
      </c>
      <c r="J16" s="19"/>
      <c r="K16" s="19"/>
      <c r="L16" s="19"/>
      <c r="M16" s="19"/>
      <c r="N16" s="19"/>
      <c r="O16" s="23">
        <f t="shared" si="3"/>
        <v>0</v>
      </c>
      <c r="P16" s="23">
        <v>1049</v>
      </c>
      <c r="Q16" s="24"/>
      <c r="R16" s="24"/>
      <c r="S16" s="24">
        <v>366</v>
      </c>
      <c r="T16" s="24"/>
      <c r="U16" s="24"/>
      <c r="V16" s="24">
        <v>2</v>
      </c>
      <c r="W16" s="25">
        <v>1222</v>
      </c>
      <c r="X16" s="25">
        <v>11</v>
      </c>
      <c r="Y16" s="24">
        <v>208</v>
      </c>
      <c r="Z16" s="24">
        <v>4</v>
      </c>
      <c r="AA16" s="24">
        <v>525</v>
      </c>
      <c r="AB16" s="24">
        <v>171</v>
      </c>
      <c r="AC16" s="24"/>
      <c r="AD16" s="24"/>
      <c r="AE16" s="26">
        <f t="shared" si="4"/>
        <v>505.44000000000005</v>
      </c>
      <c r="AF16" s="24"/>
      <c r="AG16" s="27">
        <v>1</v>
      </c>
      <c r="AH16" s="29"/>
    </row>
    <row r="17" spans="1:41" s="28" customFormat="1" ht="26.25" customHeight="1" x14ac:dyDescent="0.25">
      <c r="A17" s="18">
        <v>45356</v>
      </c>
      <c r="B17" s="19"/>
      <c r="C17" s="20">
        <f t="shared" si="0"/>
        <v>0</v>
      </c>
      <c r="D17" s="19">
        <v>402</v>
      </c>
      <c r="E17" s="21">
        <f t="shared" ref="E17:E20" si="5">D17/208*25</f>
        <v>48.317307692307693</v>
      </c>
      <c r="F17" s="19">
        <v>2225</v>
      </c>
      <c r="G17" s="22">
        <f t="shared" si="1"/>
        <v>258.72093023255815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768</v>
      </c>
      <c r="Q17" s="24"/>
      <c r="R17" s="24"/>
      <c r="S17" s="25">
        <v>152</v>
      </c>
      <c r="T17" s="24"/>
      <c r="U17" s="24"/>
      <c r="V17" s="24"/>
      <c r="W17" s="25">
        <v>1059</v>
      </c>
      <c r="X17" s="25"/>
      <c r="Y17" s="24">
        <v>150</v>
      </c>
      <c r="Z17" s="24">
        <v>6</v>
      </c>
      <c r="AA17" s="24">
        <v>412</v>
      </c>
      <c r="AB17" s="24">
        <v>99</v>
      </c>
      <c r="AC17" s="24"/>
      <c r="AD17" s="24"/>
      <c r="AE17" s="26">
        <f t="shared" si="4"/>
        <v>364.5</v>
      </c>
      <c r="AF17" s="24"/>
      <c r="AG17" s="27"/>
      <c r="AH17" s="29"/>
    </row>
    <row r="18" spans="1:41" s="28" customFormat="1" ht="26.25" customHeight="1" x14ac:dyDescent="0.25">
      <c r="A18" s="18">
        <v>45357</v>
      </c>
      <c r="B18" s="19"/>
      <c r="C18" s="20">
        <f>B18/200*25</f>
        <v>0</v>
      </c>
      <c r="D18" s="19">
        <v>801</v>
      </c>
      <c r="E18" s="21">
        <f t="shared" si="5"/>
        <v>96.274038461538453</v>
      </c>
      <c r="F18" s="19">
        <v>2201</v>
      </c>
      <c r="G18" s="22">
        <f t="shared" si="1"/>
        <v>255.93023255813955</v>
      </c>
      <c r="H18" s="19"/>
      <c r="I18" s="23">
        <f t="shared" si="2"/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3">
        <v>660</v>
      </c>
      <c r="Q18" s="24"/>
      <c r="R18" s="24"/>
      <c r="S18" s="25">
        <v>232</v>
      </c>
      <c r="T18" s="24"/>
      <c r="U18" s="24"/>
      <c r="V18" s="24"/>
      <c r="W18" s="25">
        <v>985</v>
      </c>
      <c r="X18" s="25"/>
      <c r="Y18" s="24">
        <v>150</v>
      </c>
      <c r="Z18" s="24">
        <v>4</v>
      </c>
      <c r="AA18" s="24">
        <v>375</v>
      </c>
      <c r="AB18" s="24">
        <v>111</v>
      </c>
      <c r="AC18" s="24"/>
      <c r="AD18" s="24"/>
      <c r="AE18" s="26">
        <f t="shared" si="4"/>
        <v>364.5</v>
      </c>
      <c r="AF18" s="24"/>
      <c r="AG18" s="27"/>
    </row>
    <row r="19" spans="1:41" s="28" customFormat="1" ht="26.25" customHeight="1" x14ac:dyDescent="0.25">
      <c r="A19" s="18">
        <v>45358</v>
      </c>
      <c r="B19" s="19"/>
      <c r="C19" s="20">
        <f t="shared" ref="C19:C20" si="6">B19/200*25</f>
        <v>0</v>
      </c>
      <c r="D19" s="19">
        <v>861</v>
      </c>
      <c r="E19" s="21">
        <f t="shared" si="5"/>
        <v>103.48557692307692</v>
      </c>
      <c r="F19" s="19">
        <v>2416</v>
      </c>
      <c r="G19" s="22">
        <f t="shared" si="1"/>
        <v>280.93023255813955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ref="O19:O21" si="7">N19/38*25</f>
        <v>0</v>
      </c>
      <c r="P19" s="23">
        <v>692</v>
      </c>
      <c r="Q19" s="24"/>
      <c r="R19" s="24"/>
      <c r="S19" s="24">
        <v>379</v>
      </c>
      <c r="T19" s="24"/>
      <c r="U19" s="24"/>
      <c r="V19" s="24">
        <v>46</v>
      </c>
      <c r="W19" s="25">
        <v>859</v>
      </c>
      <c r="X19" s="25"/>
      <c r="Y19" s="24">
        <v>195</v>
      </c>
      <c r="Z19" s="24">
        <v>6</v>
      </c>
      <c r="AA19" s="24">
        <v>414</v>
      </c>
      <c r="AB19" s="24">
        <v>122</v>
      </c>
      <c r="AC19" s="24"/>
      <c r="AD19" s="24"/>
      <c r="AE19" s="26">
        <f t="shared" si="4"/>
        <v>473.85</v>
      </c>
      <c r="AF19" s="24"/>
      <c r="AG19" s="27">
        <v>1</v>
      </c>
    </row>
    <row r="20" spans="1:41" s="28" customFormat="1" ht="26.25" customHeight="1" x14ac:dyDescent="0.25">
      <c r="A20" s="18">
        <v>45359</v>
      </c>
      <c r="B20" s="19"/>
      <c r="C20" s="20">
        <f t="shared" si="6"/>
        <v>0</v>
      </c>
      <c r="D20" s="19">
        <v>1149</v>
      </c>
      <c r="E20" s="21">
        <f t="shared" si="5"/>
        <v>138.10096153846155</v>
      </c>
      <c r="F20" s="19">
        <v>3186</v>
      </c>
      <c r="G20" s="22">
        <f t="shared" si="1"/>
        <v>370.46511627906978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1156</v>
      </c>
      <c r="Q20" s="24"/>
      <c r="R20" s="24"/>
      <c r="S20" s="24">
        <v>549</v>
      </c>
      <c r="T20" s="24"/>
      <c r="U20" s="24"/>
      <c r="V20" s="24">
        <v>30</v>
      </c>
      <c r="W20" s="25">
        <v>1392</v>
      </c>
      <c r="X20" s="25"/>
      <c r="Y20" s="24">
        <v>252</v>
      </c>
      <c r="Z20" s="24">
        <v>6</v>
      </c>
      <c r="AA20" s="24">
        <v>582</v>
      </c>
      <c r="AB20" s="24">
        <v>166</v>
      </c>
      <c r="AC20" s="24"/>
      <c r="AD20" s="24"/>
      <c r="AE20" s="26">
        <f t="shared" si="4"/>
        <v>612.36</v>
      </c>
      <c r="AF20" s="24"/>
      <c r="AG20" s="27">
        <v>2</v>
      </c>
    </row>
    <row r="21" spans="1:41" s="28" customFormat="1" ht="26.25" customHeight="1" x14ac:dyDescent="0.25">
      <c r="A21" s="18">
        <v>45360</v>
      </c>
      <c r="B21" s="19"/>
      <c r="C21" s="20">
        <f>B21/200*25</f>
        <v>0</v>
      </c>
      <c r="D21" s="19">
        <v>504</v>
      </c>
      <c r="E21" s="21">
        <f>D21/208*25</f>
        <v>60.576923076923073</v>
      </c>
      <c r="F21" s="19">
        <v>1932</v>
      </c>
      <c r="G21" s="22">
        <f t="shared" si="1"/>
        <v>224.65116279069767</v>
      </c>
      <c r="H21" s="19"/>
      <c r="I21" s="23">
        <f t="shared" si="2"/>
        <v>0</v>
      </c>
      <c r="J21" s="19"/>
      <c r="K21" s="19"/>
      <c r="L21" s="19"/>
      <c r="M21" s="19"/>
      <c r="N21" s="19"/>
      <c r="O21" s="23">
        <f t="shared" si="7"/>
        <v>0</v>
      </c>
      <c r="P21" s="23">
        <v>656</v>
      </c>
      <c r="Q21" s="24"/>
      <c r="R21" s="24"/>
      <c r="S21" s="24">
        <v>310</v>
      </c>
      <c r="T21" s="24"/>
      <c r="U21" s="24"/>
      <c r="V21" s="24">
        <v>39</v>
      </c>
      <c r="W21" s="25">
        <v>743</v>
      </c>
      <c r="X21" s="25"/>
      <c r="Y21" s="24">
        <v>139</v>
      </c>
      <c r="Z21" s="24">
        <v>4</v>
      </c>
      <c r="AA21" s="24">
        <v>364</v>
      </c>
      <c r="AB21" s="24">
        <v>74</v>
      </c>
      <c r="AC21" s="24"/>
      <c r="AD21" s="24"/>
      <c r="AE21" s="26">
        <f t="shared" si="4"/>
        <v>337.77000000000004</v>
      </c>
      <c r="AF21" s="24"/>
      <c r="AG21" s="27"/>
    </row>
    <row r="22" spans="1:41" ht="33" customHeight="1" thickBot="1" x14ac:dyDescent="0.3">
      <c r="A22" s="30" t="s">
        <v>30</v>
      </c>
      <c r="B22" s="31">
        <f>SUM(B15:B21)</f>
        <v>0</v>
      </c>
      <c r="C22" s="32">
        <f>SUM(C15:C21)</f>
        <v>0</v>
      </c>
      <c r="D22" s="31">
        <f>SUM(D15:D21)</f>
        <v>4498</v>
      </c>
      <c r="E22" s="31">
        <f>SUM(E15:E21)</f>
        <v>540.625</v>
      </c>
      <c r="F22" s="31">
        <f>SUM(F15:F21)</f>
        <v>14099</v>
      </c>
      <c r="G22" s="31">
        <f t="shared" ref="G22:AG22" si="8">SUM(G15:G21)</f>
        <v>1639.4186046511629</v>
      </c>
      <c r="H22" s="31">
        <f t="shared" si="8"/>
        <v>0</v>
      </c>
      <c r="I22" s="31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1">
        <f t="shared" si="8"/>
        <v>4981</v>
      </c>
      <c r="Q22" s="31">
        <f t="shared" si="8"/>
        <v>0</v>
      </c>
      <c r="R22" s="31">
        <f t="shared" si="8"/>
        <v>0</v>
      </c>
      <c r="S22" s="31">
        <f t="shared" si="8"/>
        <v>1988</v>
      </c>
      <c r="T22" s="31">
        <f t="shared" si="8"/>
        <v>0</v>
      </c>
      <c r="U22" s="31">
        <f t="shared" si="8"/>
        <v>0</v>
      </c>
      <c r="V22" s="31">
        <f t="shared" si="8"/>
        <v>117</v>
      </c>
      <c r="W22" s="31">
        <f t="shared" si="8"/>
        <v>6260</v>
      </c>
      <c r="X22" s="31">
        <f t="shared" si="8"/>
        <v>11</v>
      </c>
      <c r="Y22" s="31">
        <f t="shared" si="8"/>
        <v>1094</v>
      </c>
      <c r="Z22" s="31">
        <f t="shared" si="8"/>
        <v>30</v>
      </c>
      <c r="AA22" s="31">
        <f t="shared" si="8"/>
        <v>2672</v>
      </c>
      <c r="AB22" s="31">
        <f t="shared" si="8"/>
        <v>743</v>
      </c>
      <c r="AC22" s="31">
        <f t="shared" si="8"/>
        <v>0</v>
      </c>
      <c r="AD22" s="31">
        <f t="shared" si="8"/>
        <v>0</v>
      </c>
      <c r="AE22" s="33">
        <f t="shared" si="8"/>
        <v>2658.42</v>
      </c>
      <c r="AF22" s="33">
        <f t="shared" si="8"/>
        <v>0</v>
      </c>
      <c r="AG22" s="33">
        <f t="shared" si="8"/>
        <v>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I25" s="40"/>
      <c r="J25" s="40"/>
      <c r="K25" s="40"/>
      <c r="L25" s="40"/>
      <c r="M25" s="40"/>
      <c r="N25" s="40"/>
      <c r="Q25" s="40"/>
      <c r="R25" s="40"/>
      <c r="T25" s="42" t="s">
        <v>34</v>
      </c>
      <c r="Z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I26" s="40"/>
      <c r="J26" s="40"/>
      <c r="K26" s="40"/>
      <c r="L26" s="40"/>
      <c r="M26" s="40"/>
      <c r="N26" s="40"/>
      <c r="Q26" s="40"/>
      <c r="R26" s="40"/>
      <c r="T26" s="40"/>
      <c r="Z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I27" s="40"/>
      <c r="J27" s="40"/>
      <c r="K27" s="40"/>
      <c r="L27" s="40"/>
      <c r="M27" s="40"/>
      <c r="N27" s="40"/>
      <c r="Q27" s="40"/>
      <c r="R27" s="40"/>
      <c r="T27" s="40"/>
      <c r="Z27" s="40"/>
      <c r="AA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G28" s="45" t="s">
        <v>37</v>
      </c>
      <c r="I28" s="40"/>
      <c r="J28" s="40"/>
      <c r="K28" s="40"/>
      <c r="L28" s="40"/>
      <c r="M28" s="40"/>
      <c r="N28" s="40"/>
      <c r="Q28" s="40"/>
      <c r="R28" s="40"/>
      <c r="T28" s="45" t="s">
        <v>49</v>
      </c>
      <c r="Z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I29" s="44"/>
      <c r="J29" s="44"/>
      <c r="K29" s="44"/>
      <c r="L29" s="44"/>
      <c r="M29" s="44"/>
      <c r="N29" s="44"/>
      <c r="Q29" s="44"/>
      <c r="R29" s="44"/>
      <c r="T29" s="44" t="s">
        <v>55</v>
      </c>
      <c r="Z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Y28" sqref="Y28:Y2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45361</v>
      </c>
      <c r="B15" s="19"/>
      <c r="C15" s="20">
        <f t="shared" ref="C15:C16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45362</v>
      </c>
      <c r="B16" s="19"/>
      <c r="C16" s="20">
        <f t="shared" si="0"/>
        <v>0</v>
      </c>
      <c r="D16" s="19">
        <v>1068</v>
      </c>
      <c r="E16" s="21">
        <f t="shared" ref="E16:E19" si="5">D16/208*25</f>
        <v>128.36538461538461</v>
      </c>
      <c r="F16" s="19">
        <v>2307</v>
      </c>
      <c r="G16" s="22">
        <f t="shared" si="1"/>
        <v>268.25581395348837</v>
      </c>
      <c r="H16" s="19"/>
      <c r="I16" s="23">
        <f t="shared" si="2"/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699</v>
      </c>
      <c r="Q16" s="24"/>
      <c r="R16" s="24"/>
      <c r="S16" s="25">
        <v>384</v>
      </c>
      <c r="T16" s="24"/>
      <c r="U16" s="24"/>
      <c r="V16" s="24"/>
      <c r="W16" s="25">
        <v>937</v>
      </c>
      <c r="X16" s="25"/>
      <c r="Y16" s="24">
        <v>209</v>
      </c>
      <c r="Z16" s="24"/>
      <c r="AA16" s="24">
        <v>383</v>
      </c>
      <c r="AB16" s="24">
        <v>158</v>
      </c>
      <c r="AC16" s="24"/>
      <c r="AD16" s="24"/>
      <c r="AE16" s="26">
        <f t="shared" si="4"/>
        <v>507.87000000000006</v>
      </c>
      <c r="AF16" s="24"/>
      <c r="AG16" s="27">
        <v>6</v>
      </c>
      <c r="AH16" s="29"/>
    </row>
    <row r="17" spans="1:41" s="28" customFormat="1" ht="26.25" customHeight="1" x14ac:dyDescent="0.25">
      <c r="A17" s="18">
        <v>45363</v>
      </c>
      <c r="B17" s="19"/>
      <c r="C17" s="20">
        <f>B17/200*25</f>
        <v>0</v>
      </c>
      <c r="D17" s="19">
        <v>798</v>
      </c>
      <c r="E17" s="21">
        <f t="shared" si="5"/>
        <v>95.913461538461547</v>
      </c>
      <c r="F17" s="19">
        <v>3130</v>
      </c>
      <c r="G17" s="22">
        <f t="shared" si="1"/>
        <v>363.95348837209298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960</v>
      </c>
      <c r="Q17" s="24"/>
      <c r="R17" s="24"/>
      <c r="S17" s="25">
        <v>412</v>
      </c>
      <c r="T17" s="24"/>
      <c r="U17" s="24"/>
      <c r="V17" s="24">
        <v>57</v>
      </c>
      <c r="W17" s="25">
        <v>1205</v>
      </c>
      <c r="X17" s="25"/>
      <c r="Y17" s="24">
        <v>193</v>
      </c>
      <c r="Z17" s="24">
        <v>6</v>
      </c>
      <c r="AA17" s="24">
        <v>546</v>
      </c>
      <c r="AB17" s="24">
        <v>122</v>
      </c>
      <c r="AC17" s="24"/>
      <c r="AD17" s="24"/>
      <c r="AE17" s="26">
        <f t="shared" si="4"/>
        <v>468.99</v>
      </c>
      <c r="AF17" s="24"/>
      <c r="AG17" s="27"/>
    </row>
    <row r="18" spans="1:41" s="28" customFormat="1" ht="26.25" customHeight="1" x14ac:dyDescent="0.25">
      <c r="A18" s="18">
        <v>45364</v>
      </c>
      <c r="B18" s="19"/>
      <c r="C18" s="20">
        <f t="shared" ref="C18:C19" si="6">B18/200*25</f>
        <v>0</v>
      </c>
      <c r="D18" s="19">
        <v>866</v>
      </c>
      <c r="E18" s="21">
        <f t="shared" si="5"/>
        <v>104.08653846153845</v>
      </c>
      <c r="F18" s="19">
        <v>2300</v>
      </c>
      <c r="G18" s="22">
        <f t="shared" si="1"/>
        <v>267.44186046511629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1103</v>
      </c>
      <c r="Q18" s="24"/>
      <c r="R18" s="24"/>
      <c r="S18" s="24">
        <v>356</v>
      </c>
      <c r="T18" s="24"/>
      <c r="U18" s="24"/>
      <c r="V18" s="24"/>
      <c r="W18" s="25">
        <v>1343</v>
      </c>
      <c r="X18" s="25"/>
      <c r="Y18" s="24">
        <v>226</v>
      </c>
      <c r="Z18" s="24"/>
      <c r="AA18" s="24">
        <v>593</v>
      </c>
      <c r="AB18" s="24">
        <v>125</v>
      </c>
      <c r="AC18" s="24"/>
      <c r="AD18" s="24"/>
      <c r="AE18" s="26">
        <f t="shared" si="4"/>
        <v>549.18000000000006</v>
      </c>
      <c r="AF18" s="24"/>
      <c r="AG18" s="27">
        <v>3</v>
      </c>
    </row>
    <row r="19" spans="1:41" s="28" customFormat="1" ht="26.25" customHeight="1" x14ac:dyDescent="0.25">
      <c r="A19" s="18">
        <v>45365</v>
      </c>
      <c r="B19" s="19"/>
      <c r="C19" s="20">
        <f t="shared" si="6"/>
        <v>0</v>
      </c>
      <c r="D19" s="19">
        <v>976</v>
      </c>
      <c r="E19" s="21">
        <f t="shared" si="5"/>
        <v>117.30769230769231</v>
      </c>
      <c r="F19" s="19">
        <v>2805</v>
      </c>
      <c r="G19" s="22">
        <f t="shared" si="1"/>
        <v>326.16279069767444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961</v>
      </c>
      <c r="Q19" s="24"/>
      <c r="R19" s="24"/>
      <c r="S19" s="24">
        <v>599</v>
      </c>
      <c r="T19" s="24"/>
      <c r="U19" s="24"/>
      <c r="V19" s="12">
        <v>41</v>
      </c>
      <c r="W19" s="24">
        <v>1052</v>
      </c>
      <c r="X19" s="25"/>
      <c r="Y19" s="24">
        <v>203</v>
      </c>
      <c r="Z19" s="24">
        <v>6</v>
      </c>
      <c r="AA19" s="24">
        <v>546</v>
      </c>
      <c r="AB19" s="24">
        <v>149</v>
      </c>
      <c r="AC19" s="24"/>
      <c r="AD19" s="24"/>
      <c r="AE19" s="26">
        <f t="shared" si="4"/>
        <v>493.29</v>
      </c>
      <c r="AF19" s="24"/>
      <c r="AG19" s="27">
        <v>2</v>
      </c>
    </row>
    <row r="20" spans="1:41" s="28" customFormat="1" ht="26.25" customHeight="1" x14ac:dyDescent="0.25">
      <c r="A20" s="18">
        <v>45366</v>
      </c>
      <c r="B20" s="19"/>
      <c r="C20" s="20">
        <f>B20/200*25</f>
        <v>0</v>
      </c>
      <c r="D20" s="19">
        <v>962</v>
      </c>
      <c r="E20" s="21">
        <f>D20/208*25</f>
        <v>115.625</v>
      </c>
      <c r="F20" s="19">
        <v>2608</v>
      </c>
      <c r="G20" s="22">
        <f t="shared" si="1"/>
        <v>303.25581395348837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1105</v>
      </c>
      <c r="Q20" s="24"/>
      <c r="R20" s="24"/>
      <c r="S20" s="24">
        <v>616</v>
      </c>
      <c r="T20" s="24"/>
      <c r="U20" s="24"/>
      <c r="V20" s="24">
        <v>10</v>
      </c>
      <c r="W20" s="25">
        <v>1173</v>
      </c>
      <c r="X20" s="25"/>
      <c r="Y20" s="24">
        <v>242</v>
      </c>
      <c r="Z20" s="24">
        <v>4</v>
      </c>
      <c r="AA20" s="24">
        <v>628</v>
      </c>
      <c r="AB20" s="24">
        <v>139</v>
      </c>
      <c r="AC20" s="24"/>
      <c r="AD20" s="24"/>
      <c r="AE20" s="26">
        <f t="shared" si="4"/>
        <v>588.06000000000006</v>
      </c>
      <c r="AF20" s="24"/>
      <c r="AG20" s="27">
        <v>6</v>
      </c>
    </row>
    <row r="21" spans="1:41" s="28" customFormat="1" ht="26.25" customHeight="1" x14ac:dyDescent="0.25">
      <c r="A21" s="18">
        <v>45367</v>
      </c>
      <c r="B21" s="19"/>
      <c r="C21" s="20">
        <f>B21/200*25</f>
        <v>0</v>
      </c>
      <c r="D21" s="19">
        <v>289</v>
      </c>
      <c r="E21" s="21">
        <f>D21/208*25</f>
        <v>34.73557692307692</v>
      </c>
      <c r="F21" s="19">
        <v>1024</v>
      </c>
      <c r="G21" s="22">
        <f t="shared" si="1"/>
        <v>119.06976744186046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434</v>
      </c>
      <c r="Q21" s="24"/>
      <c r="R21" s="24"/>
      <c r="S21" s="25">
        <v>248</v>
      </c>
      <c r="T21" s="24"/>
      <c r="U21" s="24"/>
      <c r="V21" s="24"/>
      <c r="W21" s="25">
        <v>412</v>
      </c>
      <c r="X21" s="25"/>
      <c r="Y21" s="24">
        <v>95</v>
      </c>
      <c r="Z21" s="24">
        <v>2</v>
      </c>
      <c r="AA21" s="24">
        <v>177</v>
      </c>
      <c r="AB21" s="24">
        <v>61</v>
      </c>
      <c r="AC21" s="25"/>
      <c r="AD21" s="24"/>
      <c r="AE21" s="26">
        <f t="shared" si="4"/>
        <v>230.85000000000002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4959</v>
      </c>
      <c r="E22" s="31">
        <f t="shared" si="8"/>
        <v>596.03365384615381</v>
      </c>
      <c r="F22" s="31">
        <f t="shared" si="8"/>
        <v>14174</v>
      </c>
      <c r="G22" s="31">
        <f t="shared" si="8"/>
        <v>1648.1395348837209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5262</v>
      </c>
      <c r="Q22" s="31">
        <f t="shared" si="9"/>
        <v>0</v>
      </c>
      <c r="R22" s="31">
        <f t="shared" si="9"/>
        <v>0</v>
      </c>
      <c r="S22" s="31">
        <f t="shared" si="9"/>
        <v>2615</v>
      </c>
      <c r="T22" s="31">
        <f t="shared" si="9"/>
        <v>0</v>
      </c>
      <c r="U22" s="31">
        <f t="shared" si="9"/>
        <v>0</v>
      </c>
      <c r="V22" s="31">
        <f t="shared" si="9"/>
        <v>108</v>
      </c>
      <c r="W22" s="31">
        <f t="shared" si="9"/>
        <v>6122</v>
      </c>
      <c r="X22" s="31">
        <f t="shared" si="9"/>
        <v>0</v>
      </c>
      <c r="Y22" s="31">
        <f t="shared" si="9"/>
        <v>1168</v>
      </c>
      <c r="Z22" s="31">
        <f t="shared" si="9"/>
        <v>18</v>
      </c>
      <c r="AA22" s="31">
        <f t="shared" si="9"/>
        <v>2873</v>
      </c>
      <c r="AB22" s="31">
        <f t="shared" si="9"/>
        <v>754</v>
      </c>
      <c r="AC22" s="31">
        <f t="shared" si="9"/>
        <v>0</v>
      </c>
      <c r="AD22" s="31">
        <f t="shared" si="9"/>
        <v>0</v>
      </c>
      <c r="AE22" s="33">
        <f t="shared" si="9"/>
        <v>2838.2400000000002</v>
      </c>
      <c r="AF22" s="33">
        <f t="shared" si="9"/>
        <v>0</v>
      </c>
      <c r="AG22" s="33">
        <f t="shared" si="9"/>
        <v>18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S18" sqref="S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58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45368</v>
      </c>
      <c r="B15" s="19"/>
      <c r="C15" s="20">
        <f t="shared" ref="C15:C16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45369</v>
      </c>
      <c r="B16" s="19"/>
      <c r="C16" s="20">
        <f t="shared" si="0"/>
        <v>0</v>
      </c>
      <c r="D16" s="19">
        <v>843</v>
      </c>
      <c r="E16" s="21">
        <f t="shared" ref="E16:E19" si="5">D16/208*25</f>
        <v>101.32211538461537</v>
      </c>
      <c r="F16" s="19">
        <v>2345</v>
      </c>
      <c r="G16" s="22">
        <f t="shared" si="1"/>
        <v>272.67441860465118</v>
      </c>
      <c r="H16" s="19"/>
      <c r="I16" s="23">
        <f t="shared" si="2"/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917</v>
      </c>
      <c r="Q16" s="24"/>
      <c r="R16" s="24"/>
      <c r="S16" s="25">
        <v>505</v>
      </c>
      <c r="T16" s="24"/>
      <c r="U16" s="24"/>
      <c r="V16" s="24"/>
      <c r="W16" s="25">
        <v>985</v>
      </c>
      <c r="X16" s="25"/>
      <c r="Y16" s="24">
        <v>187</v>
      </c>
      <c r="Z16" s="24">
        <v>2</v>
      </c>
      <c r="AA16" s="24">
        <v>419</v>
      </c>
      <c r="AB16" s="24">
        <v>197</v>
      </c>
      <c r="AC16" s="24"/>
      <c r="AD16" s="24"/>
      <c r="AE16" s="26">
        <f t="shared" si="4"/>
        <v>454.41</v>
      </c>
      <c r="AF16" s="24"/>
      <c r="AG16" s="27"/>
      <c r="AH16" s="29"/>
    </row>
    <row r="17" spans="1:41" s="28" customFormat="1" ht="26.25" customHeight="1" x14ac:dyDescent="0.25">
      <c r="A17" s="18">
        <v>45370</v>
      </c>
      <c r="B17" s="19"/>
      <c r="C17" s="20">
        <f>B17/200*25</f>
        <v>0</v>
      </c>
      <c r="D17" s="19">
        <v>1135</v>
      </c>
      <c r="E17" s="21">
        <f t="shared" si="5"/>
        <v>136.41826923076923</v>
      </c>
      <c r="F17" s="19">
        <v>2300</v>
      </c>
      <c r="G17" s="22">
        <f t="shared" si="1"/>
        <v>267.44186046511629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927</v>
      </c>
      <c r="Q17" s="24"/>
      <c r="R17" s="24"/>
      <c r="S17" s="25">
        <v>523</v>
      </c>
      <c r="T17" s="24"/>
      <c r="U17" s="24"/>
      <c r="V17" s="24"/>
      <c r="W17" s="25">
        <v>1031</v>
      </c>
      <c r="X17" s="25"/>
      <c r="Y17" s="24">
        <v>258</v>
      </c>
      <c r="Z17" s="24"/>
      <c r="AA17" s="24">
        <v>250</v>
      </c>
      <c r="AB17" s="24">
        <v>382</v>
      </c>
      <c r="AC17" s="24"/>
      <c r="AD17" s="24"/>
      <c r="AE17" s="26">
        <f t="shared" si="4"/>
        <v>626.94000000000005</v>
      </c>
      <c r="AF17" s="24"/>
      <c r="AG17" s="27">
        <v>1</v>
      </c>
    </row>
    <row r="18" spans="1:41" s="28" customFormat="1" ht="26.25" customHeight="1" x14ac:dyDescent="0.25">
      <c r="A18" s="18">
        <v>45371</v>
      </c>
      <c r="B18" s="19"/>
      <c r="C18" s="20">
        <f t="shared" ref="C18:C19" si="6">B18/200*25</f>
        <v>0</v>
      </c>
      <c r="D18" s="19">
        <v>586</v>
      </c>
      <c r="E18" s="21">
        <f t="shared" si="5"/>
        <v>70.432692307692307</v>
      </c>
      <c r="F18" s="19">
        <v>2125</v>
      </c>
      <c r="G18" s="22">
        <f t="shared" si="1"/>
        <v>247.09302325581396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811</v>
      </c>
      <c r="Q18" s="24"/>
      <c r="R18" s="24"/>
      <c r="S18" s="24">
        <v>424</v>
      </c>
      <c r="T18" s="24"/>
      <c r="U18" s="24"/>
      <c r="V18" s="24"/>
      <c r="W18" s="25">
        <v>885</v>
      </c>
      <c r="X18" s="25"/>
      <c r="Y18" s="24">
        <v>188</v>
      </c>
      <c r="Z18" s="24">
        <v>2</v>
      </c>
      <c r="AA18" s="24">
        <v>237</v>
      </c>
      <c r="AB18" s="24">
        <v>317</v>
      </c>
      <c r="AC18" s="24"/>
      <c r="AD18" s="24"/>
      <c r="AE18" s="26">
        <f t="shared" si="4"/>
        <v>456.84000000000003</v>
      </c>
      <c r="AF18" s="24"/>
      <c r="AG18" s="27">
        <v>3</v>
      </c>
    </row>
    <row r="19" spans="1:41" s="28" customFormat="1" ht="26.25" customHeight="1" x14ac:dyDescent="0.25">
      <c r="A19" s="18">
        <v>45372</v>
      </c>
      <c r="B19" s="19"/>
      <c r="C19" s="20">
        <f t="shared" si="6"/>
        <v>0</v>
      </c>
      <c r="D19" s="19">
        <v>893</v>
      </c>
      <c r="E19" s="21">
        <f t="shared" si="5"/>
        <v>107.33173076923077</v>
      </c>
      <c r="F19" s="19">
        <v>2149</v>
      </c>
      <c r="G19" s="22">
        <f t="shared" si="1"/>
        <v>249.88372093023256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1014</v>
      </c>
      <c r="Q19" s="24"/>
      <c r="R19" s="24"/>
      <c r="S19" s="24">
        <v>933</v>
      </c>
      <c r="T19" s="24"/>
      <c r="U19" s="24"/>
      <c r="V19" s="12">
        <v>25</v>
      </c>
      <c r="W19" s="24">
        <v>599</v>
      </c>
      <c r="X19" s="25"/>
      <c r="Y19" s="24">
        <v>196</v>
      </c>
      <c r="Z19" s="24">
        <v>2</v>
      </c>
      <c r="AA19" s="24">
        <v>273</v>
      </c>
      <c r="AB19" s="24">
        <v>356</v>
      </c>
      <c r="AC19" s="24"/>
      <c r="AD19" s="24"/>
      <c r="AE19" s="26">
        <f t="shared" si="4"/>
        <v>476.28000000000003</v>
      </c>
      <c r="AF19" s="24"/>
      <c r="AG19" s="27">
        <v>1</v>
      </c>
    </row>
    <row r="20" spans="1:41" s="28" customFormat="1" ht="26.25" customHeight="1" x14ac:dyDescent="0.25">
      <c r="A20" s="18">
        <v>45373</v>
      </c>
      <c r="B20" s="19"/>
      <c r="C20" s="20">
        <f>B20/200*25</f>
        <v>0</v>
      </c>
      <c r="D20" s="19">
        <v>2160</v>
      </c>
      <c r="E20" s="21">
        <f>D20/208*25</f>
        <v>259.61538461538464</v>
      </c>
      <c r="F20" s="19">
        <v>1227</v>
      </c>
      <c r="G20" s="22">
        <f t="shared" si="1"/>
        <v>142.67441860465115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1040</v>
      </c>
      <c r="Q20" s="24"/>
      <c r="R20" s="24"/>
      <c r="S20" s="24">
        <v>1033</v>
      </c>
      <c r="T20" s="24"/>
      <c r="U20" s="24"/>
      <c r="V20" s="24">
        <v>29</v>
      </c>
      <c r="W20" s="25">
        <v>607</v>
      </c>
      <c r="X20" s="25"/>
      <c r="Y20" s="24">
        <v>223</v>
      </c>
      <c r="Z20" s="24">
        <v>2</v>
      </c>
      <c r="AA20" s="24">
        <v>278</v>
      </c>
      <c r="AB20" s="24">
        <v>408</v>
      </c>
      <c r="AC20" s="24"/>
      <c r="AD20" s="24"/>
      <c r="AE20" s="26">
        <f t="shared" si="4"/>
        <v>541.89</v>
      </c>
      <c r="AF20" s="24"/>
      <c r="AG20" s="27">
        <v>5</v>
      </c>
    </row>
    <row r="21" spans="1:41" s="28" customFormat="1" ht="26.25" customHeight="1" x14ac:dyDescent="0.25">
      <c r="A21" s="18">
        <v>45374</v>
      </c>
      <c r="B21" s="19"/>
      <c r="C21" s="20">
        <f>B21/200*25</f>
        <v>0</v>
      </c>
      <c r="D21" s="19">
        <v>2079</v>
      </c>
      <c r="E21" s="21">
        <f>D21/208*25</f>
        <v>249.87980769230771</v>
      </c>
      <c r="F21" s="19">
        <v>788</v>
      </c>
      <c r="G21" s="22">
        <f t="shared" si="1"/>
        <v>91.627906976744185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831</v>
      </c>
      <c r="Q21" s="24"/>
      <c r="R21" s="24"/>
      <c r="S21" s="25">
        <v>957</v>
      </c>
      <c r="T21" s="24"/>
      <c r="U21" s="24"/>
      <c r="V21" s="24">
        <v>24</v>
      </c>
      <c r="W21" s="25">
        <v>387</v>
      </c>
      <c r="X21" s="25"/>
      <c r="Y21" s="24">
        <v>166</v>
      </c>
      <c r="Z21" s="24">
        <v>2</v>
      </c>
      <c r="AA21" s="24">
        <v>177</v>
      </c>
      <c r="AB21" s="24">
        <v>382</v>
      </c>
      <c r="AC21" s="25"/>
      <c r="AD21" s="24"/>
      <c r="AE21" s="26">
        <f t="shared" si="4"/>
        <v>403.38000000000005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7696</v>
      </c>
      <c r="E22" s="31">
        <f t="shared" si="8"/>
        <v>925.00000000000011</v>
      </c>
      <c r="F22" s="31">
        <f t="shared" si="8"/>
        <v>10934</v>
      </c>
      <c r="G22" s="31">
        <f t="shared" si="8"/>
        <v>1271.3953488372094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5540</v>
      </c>
      <c r="Q22" s="31">
        <f t="shared" si="9"/>
        <v>0</v>
      </c>
      <c r="R22" s="31">
        <f t="shared" si="9"/>
        <v>0</v>
      </c>
      <c r="S22" s="31">
        <f t="shared" si="9"/>
        <v>4375</v>
      </c>
      <c r="T22" s="31">
        <f t="shared" si="9"/>
        <v>0</v>
      </c>
      <c r="U22" s="31">
        <f t="shared" si="9"/>
        <v>0</v>
      </c>
      <c r="V22" s="31">
        <f t="shared" si="9"/>
        <v>78</v>
      </c>
      <c r="W22" s="31">
        <f t="shared" si="9"/>
        <v>4494</v>
      </c>
      <c r="X22" s="31">
        <f t="shared" si="9"/>
        <v>0</v>
      </c>
      <c r="Y22" s="31">
        <f t="shared" si="9"/>
        <v>1218</v>
      </c>
      <c r="Z22" s="31">
        <f t="shared" si="9"/>
        <v>10</v>
      </c>
      <c r="AA22" s="31">
        <f t="shared" si="9"/>
        <v>1634</v>
      </c>
      <c r="AB22" s="31">
        <f t="shared" si="9"/>
        <v>2042</v>
      </c>
      <c r="AC22" s="31">
        <f t="shared" si="9"/>
        <v>0</v>
      </c>
      <c r="AD22" s="31">
        <f t="shared" si="9"/>
        <v>0</v>
      </c>
      <c r="AE22" s="33">
        <f t="shared" si="9"/>
        <v>2959.7400000000002</v>
      </c>
      <c r="AF22" s="33">
        <f t="shared" si="9"/>
        <v>0</v>
      </c>
      <c r="AG22" s="33">
        <f t="shared" si="9"/>
        <v>12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59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60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5" zoomScaleNormal="100" workbookViewId="0">
      <selection activeCell="P26" sqref="P2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45375</v>
      </c>
      <c r="B15" s="19"/>
      <c r="C15" s="20">
        <f t="shared" ref="C15:C16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45376</v>
      </c>
      <c r="B16" s="19"/>
      <c r="C16" s="20">
        <f t="shared" si="0"/>
        <v>0</v>
      </c>
      <c r="D16" s="19">
        <v>2034</v>
      </c>
      <c r="E16" s="21">
        <f t="shared" ref="E16:E19" si="5">D16/208*25</f>
        <v>244.47115384615384</v>
      </c>
      <c r="F16" s="19">
        <v>960</v>
      </c>
      <c r="G16" s="22">
        <f t="shared" si="1"/>
        <v>111.62790697674419</v>
      </c>
      <c r="H16" s="19"/>
      <c r="I16" s="23">
        <f t="shared" si="2"/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761</v>
      </c>
      <c r="Q16" s="24"/>
      <c r="R16" s="24"/>
      <c r="S16" s="25">
        <v>826</v>
      </c>
      <c r="T16" s="24"/>
      <c r="U16" s="24"/>
      <c r="V16" s="24">
        <v>28</v>
      </c>
      <c r="W16" s="25">
        <v>484</v>
      </c>
      <c r="X16" s="25"/>
      <c r="Y16" s="24">
        <v>146</v>
      </c>
      <c r="Z16" s="24">
        <v>4</v>
      </c>
      <c r="AA16" s="24">
        <v>197</v>
      </c>
      <c r="AB16" s="24">
        <v>355</v>
      </c>
      <c r="AC16" s="24"/>
      <c r="AD16" s="24"/>
      <c r="AE16" s="26">
        <f t="shared" si="4"/>
        <v>354.78000000000003</v>
      </c>
      <c r="AF16" s="24"/>
      <c r="AG16" s="27">
        <v>1</v>
      </c>
      <c r="AH16" s="29"/>
    </row>
    <row r="17" spans="1:41" s="28" customFormat="1" ht="26.25" customHeight="1" x14ac:dyDescent="0.25">
      <c r="A17" s="18">
        <v>45377</v>
      </c>
      <c r="B17" s="19"/>
      <c r="C17" s="20">
        <f>B17/200*25</f>
        <v>0</v>
      </c>
      <c r="D17" s="19">
        <v>2045</v>
      </c>
      <c r="E17" s="21">
        <f t="shared" si="5"/>
        <v>245.79326923076925</v>
      </c>
      <c r="F17" s="19">
        <v>884</v>
      </c>
      <c r="G17" s="22">
        <f t="shared" si="1"/>
        <v>102.7906976744186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1010</v>
      </c>
      <c r="Q17" s="24"/>
      <c r="R17" s="24"/>
      <c r="S17" s="25">
        <v>1007</v>
      </c>
      <c r="T17" s="24"/>
      <c r="U17" s="24"/>
      <c r="V17" s="24"/>
      <c r="W17" s="25">
        <v>578</v>
      </c>
      <c r="X17" s="25"/>
      <c r="Y17" s="24">
        <v>198</v>
      </c>
      <c r="Z17" s="24"/>
      <c r="AA17" s="24">
        <v>248</v>
      </c>
      <c r="AB17" s="24">
        <v>379</v>
      </c>
      <c r="AC17" s="24"/>
      <c r="AD17" s="24"/>
      <c r="AE17" s="26">
        <f t="shared" si="4"/>
        <v>481.14000000000004</v>
      </c>
      <c r="AF17" s="24"/>
      <c r="AG17" s="27"/>
    </row>
    <row r="18" spans="1:41" s="28" customFormat="1" ht="26.25" customHeight="1" x14ac:dyDescent="0.25">
      <c r="A18" s="18">
        <v>45378</v>
      </c>
      <c r="B18" s="19"/>
      <c r="C18" s="20">
        <f t="shared" ref="C18:C19" si="6">B18/200*25</f>
        <v>0</v>
      </c>
      <c r="D18" s="19">
        <v>1525</v>
      </c>
      <c r="E18" s="21">
        <f t="shared" si="5"/>
        <v>183.29326923076923</v>
      </c>
      <c r="F18" s="19">
        <v>972</v>
      </c>
      <c r="G18" s="22">
        <f t="shared" si="1"/>
        <v>113.0232558139535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422</v>
      </c>
      <c r="Q18" s="24"/>
      <c r="R18" s="24"/>
      <c r="S18" s="24">
        <v>604</v>
      </c>
      <c r="T18" s="24"/>
      <c r="U18" s="24"/>
      <c r="V18" s="24">
        <v>89</v>
      </c>
      <c r="W18" s="25">
        <v>176</v>
      </c>
      <c r="X18" s="25"/>
      <c r="Y18" s="24">
        <v>95</v>
      </c>
      <c r="Z18" s="24">
        <v>8</v>
      </c>
      <c r="AA18" s="24">
        <v>120</v>
      </c>
      <c r="AB18" s="24">
        <v>250</v>
      </c>
      <c r="AC18" s="24"/>
      <c r="AD18" s="24"/>
      <c r="AE18" s="26">
        <f t="shared" si="4"/>
        <v>230.85000000000002</v>
      </c>
      <c r="AF18" s="24">
        <v>80</v>
      </c>
      <c r="AG18" s="27">
        <v>1</v>
      </c>
    </row>
    <row r="19" spans="1:41" s="28" customFormat="1" ht="26.25" customHeight="1" x14ac:dyDescent="0.25">
      <c r="A19" s="18">
        <v>45379</v>
      </c>
      <c r="B19" s="19"/>
      <c r="C19" s="20">
        <f t="shared" si="6"/>
        <v>0</v>
      </c>
      <c r="D19" s="19">
        <v>84</v>
      </c>
      <c r="E19" s="21">
        <f t="shared" si="5"/>
        <v>10.096153846153847</v>
      </c>
      <c r="F19" s="19">
        <v>404</v>
      </c>
      <c r="G19" s="22">
        <f t="shared" si="1"/>
        <v>46.97674418604651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14</v>
      </c>
      <c r="Q19" s="24"/>
      <c r="R19" s="24"/>
      <c r="S19" s="24">
        <v>21</v>
      </c>
      <c r="T19" s="24"/>
      <c r="U19" s="24"/>
      <c r="V19" s="12">
        <v>56</v>
      </c>
      <c r="W19" s="24">
        <v>20</v>
      </c>
      <c r="X19" s="25"/>
      <c r="Y19" s="24">
        <v>6</v>
      </c>
      <c r="Z19" s="24">
        <v>4</v>
      </c>
      <c r="AA19" s="24">
        <v>31</v>
      </c>
      <c r="AB19" s="24">
        <v>8</v>
      </c>
      <c r="AC19" s="24"/>
      <c r="AD19" s="24"/>
      <c r="AE19" s="26">
        <f t="shared" si="4"/>
        <v>14.580000000000002</v>
      </c>
      <c r="AF19" s="24"/>
      <c r="AG19" s="27"/>
    </row>
    <row r="20" spans="1:41" s="28" customFormat="1" ht="26.25" customHeight="1" x14ac:dyDescent="0.25">
      <c r="A20" s="18">
        <v>45380</v>
      </c>
      <c r="B20" s="19"/>
      <c r="C20" s="20">
        <f>B20/200*25</f>
        <v>0</v>
      </c>
      <c r="D20" s="19">
        <v>0</v>
      </c>
      <c r="E20" s="21">
        <f>D20/208*25</f>
        <v>0</v>
      </c>
      <c r="F20" s="19">
        <v>168</v>
      </c>
      <c r="G20" s="22">
        <f t="shared" si="1"/>
        <v>19.534883720930232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0</v>
      </c>
      <c r="Q20" s="24"/>
      <c r="R20" s="24"/>
      <c r="S20" s="24">
        <v>0</v>
      </c>
      <c r="T20" s="24"/>
      <c r="U20" s="24"/>
      <c r="V20" s="24">
        <v>28</v>
      </c>
      <c r="W20" s="25">
        <v>0</v>
      </c>
      <c r="X20" s="25"/>
      <c r="Y20" s="24">
        <v>0</v>
      </c>
      <c r="Z20" s="24">
        <v>2</v>
      </c>
      <c r="AA20" s="24">
        <v>9</v>
      </c>
      <c r="AB20" s="24">
        <v>0</v>
      </c>
      <c r="AC20" s="24"/>
      <c r="AD20" s="24"/>
      <c r="AE20" s="26">
        <f t="shared" si="4"/>
        <v>0</v>
      </c>
      <c r="AF20" s="24"/>
      <c r="AG20" s="27"/>
    </row>
    <row r="21" spans="1:41" s="28" customFormat="1" ht="26.25" customHeight="1" x14ac:dyDescent="0.25">
      <c r="A21" s="18">
        <v>45381</v>
      </c>
      <c r="B21" s="19"/>
      <c r="C21" s="20">
        <f>B21/200*25</f>
        <v>0</v>
      </c>
      <c r="D21" s="19">
        <v>0</v>
      </c>
      <c r="E21" s="21">
        <f>D21/208*25</f>
        <v>0</v>
      </c>
      <c r="F21" s="19">
        <v>156</v>
      </c>
      <c r="G21" s="22">
        <f t="shared" si="1"/>
        <v>18.13953488372093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0</v>
      </c>
      <c r="Q21" s="24"/>
      <c r="R21" s="24"/>
      <c r="S21" s="25">
        <v>0</v>
      </c>
      <c r="T21" s="24"/>
      <c r="U21" s="24"/>
      <c r="V21" s="24">
        <v>26</v>
      </c>
      <c r="W21" s="25">
        <v>0</v>
      </c>
      <c r="X21" s="25"/>
      <c r="Y21" s="24">
        <v>0</v>
      </c>
      <c r="Z21" s="24">
        <v>2</v>
      </c>
      <c r="AA21" s="24">
        <v>7</v>
      </c>
      <c r="AB21" s="24">
        <v>0</v>
      </c>
      <c r="AC21" s="25"/>
      <c r="AD21" s="24"/>
      <c r="AE21" s="26">
        <f t="shared" si="4"/>
        <v>0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5688</v>
      </c>
      <c r="E22" s="31">
        <f t="shared" si="8"/>
        <v>683.65384615384619</v>
      </c>
      <c r="F22" s="31">
        <f t="shared" si="8"/>
        <v>3544</v>
      </c>
      <c r="G22" s="31">
        <f t="shared" si="8"/>
        <v>412.09302325581399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2207</v>
      </c>
      <c r="Q22" s="31">
        <f t="shared" si="9"/>
        <v>0</v>
      </c>
      <c r="R22" s="31">
        <f t="shared" si="9"/>
        <v>0</v>
      </c>
      <c r="S22" s="31">
        <f t="shared" si="9"/>
        <v>2458</v>
      </c>
      <c r="T22" s="31">
        <f t="shared" si="9"/>
        <v>0</v>
      </c>
      <c r="U22" s="31">
        <f t="shared" si="9"/>
        <v>0</v>
      </c>
      <c r="V22" s="31">
        <f t="shared" si="9"/>
        <v>227</v>
      </c>
      <c r="W22" s="31">
        <f t="shared" si="9"/>
        <v>1258</v>
      </c>
      <c r="X22" s="31">
        <f t="shared" si="9"/>
        <v>0</v>
      </c>
      <c r="Y22" s="31">
        <f t="shared" si="9"/>
        <v>445</v>
      </c>
      <c r="Z22" s="31">
        <f t="shared" si="9"/>
        <v>20</v>
      </c>
      <c r="AA22" s="31">
        <f t="shared" si="9"/>
        <v>612</v>
      </c>
      <c r="AB22" s="31">
        <f t="shared" si="9"/>
        <v>992</v>
      </c>
      <c r="AC22" s="31">
        <f t="shared" si="9"/>
        <v>0</v>
      </c>
      <c r="AD22" s="31">
        <f t="shared" si="9"/>
        <v>0</v>
      </c>
      <c r="AE22" s="33">
        <f t="shared" si="9"/>
        <v>1081.3499999999999</v>
      </c>
      <c r="AF22" s="33">
        <f t="shared" si="9"/>
        <v>80</v>
      </c>
      <c r="AG22" s="33">
        <f t="shared" si="9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3" zoomScaleNormal="100" workbookViewId="0">
      <selection activeCell="V26" sqref="V2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45382</v>
      </c>
      <c r="B15" s="19"/>
      <c r="C15" s="20">
        <f t="shared" ref="C15:C16" si="0">B15/200*25</f>
        <v>0</v>
      </c>
      <c r="D15" s="19"/>
      <c r="E15" s="21">
        <f>D15/208*25</f>
        <v>0</v>
      </c>
      <c r="F15" s="19"/>
      <c r="G15" s="22">
        <f t="shared" ref="G15:G21" si="1">F15/215*25</f>
        <v>0</v>
      </c>
      <c r="H15" s="19"/>
      <c r="I15" s="23">
        <f t="shared" ref="I15:I20" si="2">H15/135*25</f>
        <v>0</v>
      </c>
      <c r="J15" s="19"/>
      <c r="K15" s="19"/>
      <c r="L15" s="19"/>
      <c r="M15" s="19"/>
      <c r="N15" s="19"/>
      <c r="O15" s="23">
        <f t="shared" ref="O15" si="3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4">Y15*2.43</f>
        <v>0</v>
      </c>
      <c r="AF15" s="24"/>
      <c r="AG15" s="27"/>
      <c r="AH15" s="29"/>
    </row>
    <row r="16" spans="1:34" s="28" customFormat="1" ht="26.25" customHeight="1" x14ac:dyDescent="0.25">
      <c r="A16" s="18">
        <v>45383</v>
      </c>
      <c r="B16" s="19"/>
      <c r="C16" s="20">
        <f t="shared" si="0"/>
        <v>0</v>
      </c>
      <c r="D16" s="19">
        <v>1224</v>
      </c>
      <c r="E16" s="21">
        <f t="shared" ref="E16:E19" si="5">D16/208*25</f>
        <v>147.11538461538461</v>
      </c>
      <c r="F16" s="19">
        <v>613</v>
      </c>
      <c r="G16" s="22">
        <f t="shared" si="1"/>
        <v>71.279069767441854</v>
      </c>
      <c r="H16" s="19"/>
      <c r="I16" s="23">
        <f t="shared" si="2"/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419</v>
      </c>
      <c r="Q16" s="24"/>
      <c r="R16" s="24"/>
      <c r="S16" s="25">
        <v>528</v>
      </c>
      <c r="T16" s="24"/>
      <c r="U16" s="24"/>
      <c r="V16" s="24">
        <v>36</v>
      </c>
      <c r="W16" s="25">
        <v>237</v>
      </c>
      <c r="X16" s="25"/>
      <c r="Y16" s="24">
        <v>111</v>
      </c>
      <c r="Z16" s="24">
        <v>2</v>
      </c>
      <c r="AA16" s="24">
        <v>121</v>
      </c>
      <c r="AB16" s="24">
        <v>196</v>
      </c>
      <c r="AC16" s="24"/>
      <c r="AD16" s="24"/>
      <c r="AE16" s="26">
        <f t="shared" si="4"/>
        <v>269.73</v>
      </c>
      <c r="AF16" s="24"/>
      <c r="AG16" s="27">
        <v>1</v>
      </c>
      <c r="AH16" s="29"/>
    </row>
    <row r="17" spans="1:41" s="28" customFormat="1" ht="26.25" customHeight="1" x14ac:dyDescent="0.25">
      <c r="A17" s="18">
        <v>45384</v>
      </c>
      <c r="B17" s="19"/>
      <c r="C17" s="20">
        <f>B17/200*25</f>
        <v>0</v>
      </c>
      <c r="D17" s="19">
        <v>1542</v>
      </c>
      <c r="E17" s="21">
        <f t="shared" si="5"/>
        <v>185.33653846153845</v>
      </c>
      <c r="F17" s="19">
        <v>949</v>
      </c>
      <c r="G17" s="22">
        <f t="shared" si="1"/>
        <v>110.34883720930233</v>
      </c>
      <c r="H17" s="19"/>
      <c r="I17" s="23">
        <f t="shared" si="2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557</v>
      </c>
      <c r="Q17" s="24"/>
      <c r="R17" s="24"/>
      <c r="S17" s="25">
        <v>604</v>
      </c>
      <c r="T17" s="24"/>
      <c r="U17" s="24"/>
      <c r="V17" s="24">
        <v>90</v>
      </c>
      <c r="W17" s="25">
        <v>306</v>
      </c>
      <c r="X17" s="25"/>
      <c r="Y17" s="24">
        <v>123</v>
      </c>
      <c r="Z17" s="24">
        <v>8</v>
      </c>
      <c r="AA17" s="24">
        <v>179</v>
      </c>
      <c r="AB17" s="24">
        <v>232</v>
      </c>
      <c r="AC17" s="24"/>
      <c r="AD17" s="24"/>
      <c r="AE17" s="26">
        <f t="shared" si="4"/>
        <v>298.89000000000004</v>
      </c>
      <c r="AF17" s="24"/>
      <c r="AG17" s="27">
        <v>4</v>
      </c>
    </row>
    <row r="18" spans="1:41" s="28" customFormat="1" ht="26.25" customHeight="1" x14ac:dyDescent="0.25">
      <c r="A18" s="18">
        <v>45385</v>
      </c>
      <c r="B18" s="19"/>
      <c r="C18" s="20">
        <f t="shared" ref="C18:C19" si="6">B18/200*25</f>
        <v>0</v>
      </c>
      <c r="D18" s="19">
        <v>1942</v>
      </c>
      <c r="E18" s="21">
        <f t="shared" si="5"/>
        <v>233.41346153846155</v>
      </c>
      <c r="F18" s="19">
        <v>798</v>
      </c>
      <c r="G18" s="22">
        <f t="shared" si="1"/>
        <v>92.79069767441861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825</v>
      </c>
      <c r="Q18" s="24"/>
      <c r="R18" s="24"/>
      <c r="S18" s="24">
        <v>897</v>
      </c>
      <c r="T18" s="24"/>
      <c r="U18" s="24"/>
      <c r="V18" s="24">
        <v>26</v>
      </c>
      <c r="W18" s="25">
        <v>451</v>
      </c>
      <c r="X18" s="25"/>
      <c r="Y18" s="24">
        <v>177</v>
      </c>
      <c r="Z18" s="24">
        <v>2</v>
      </c>
      <c r="AA18" s="24">
        <v>203</v>
      </c>
      <c r="AB18" s="24">
        <v>342</v>
      </c>
      <c r="AC18" s="24"/>
      <c r="AD18" s="24"/>
      <c r="AE18" s="26">
        <f t="shared" si="4"/>
        <v>430.11</v>
      </c>
      <c r="AF18" s="24"/>
      <c r="AG18" s="27">
        <v>2</v>
      </c>
    </row>
    <row r="19" spans="1:41" s="28" customFormat="1" ht="26.25" customHeight="1" x14ac:dyDescent="0.25">
      <c r="A19" s="18">
        <v>45386</v>
      </c>
      <c r="B19" s="19"/>
      <c r="C19" s="20">
        <f t="shared" si="6"/>
        <v>0</v>
      </c>
      <c r="D19" s="19">
        <v>2169</v>
      </c>
      <c r="E19" s="21">
        <f t="shared" si="5"/>
        <v>260.69711538461536</v>
      </c>
      <c r="F19" s="19">
        <v>1087</v>
      </c>
      <c r="G19" s="22">
        <f t="shared" si="1"/>
        <v>126.39534883720931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753</v>
      </c>
      <c r="Q19" s="24"/>
      <c r="R19" s="24"/>
      <c r="S19" s="24">
        <v>912</v>
      </c>
      <c r="T19" s="24"/>
      <c r="U19" s="24"/>
      <c r="V19" s="12">
        <v>54</v>
      </c>
      <c r="W19" s="24">
        <v>412</v>
      </c>
      <c r="X19" s="25"/>
      <c r="Y19" s="24">
        <v>185</v>
      </c>
      <c r="Z19" s="24">
        <v>4</v>
      </c>
      <c r="AA19" s="24">
        <v>157</v>
      </c>
      <c r="AB19" s="24">
        <v>373</v>
      </c>
      <c r="AC19" s="24"/>
      <c r="AD19" s="24"/>
      <c r="AE19" s="26">
        <f t="shared" si="4"/>
        <v>449.55</v>
      </c>
      <c r="AF19" s="24"/>
      <c r="AG19" s="27">
        <v>3</v>
      </c>
    </row>
    <row r="20" spans="1:41" s="28" customFormat="1" ht="26.25" customHeight="1" x14ac:dyDescent="0.25">
      <c r="A20" s="18">
        <v>45387</v>
      </c>
      <c r="B20" s="19"/>
      <c r="C20" s="20">
        <f>B20/200*25</f>
        <v>0</v>
      </c>
      <c r="D20" s="19">
        <v>1960</v>
      </c>
      <c r="E20" s="21">
        <f>D20/208*25</f>
        <v>235.57692307692309</v>
      </c>
      <c r="F20" s="19">
        <v>1330</v>
      </c>
      <c r="G20" s="22">
        <f t="shared" si="1"/>
        <v>154.6511627906977</v>
      </c>
      <c r="H20" s="19"/>
      <c r="I20" s="23">
        <f t="shared" si="2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1066</v>
      </c>
      <c r="Q20" s="24"/>
      <c r="R20" s="24"/>
      <c r="S20" s="24">
        <v>1001</v>
      </c>
      <c r="T20" s="24"/>
      <c r="U20" s="24"/>
      <c r="V20" s="24">
        <v>118</v>
      </c>
      <c r="W20" s="25">
        <v>584</v>
      </c>
      <c r="X20" s="25"/>
      <c r="Y20" s="24">
        <v>192</v>
      </c>
      <c r="Z20" s="24">
        <v>8</v>
      </c>
      <c r="AA20" s="24">
        <v>42</v>
      </c>
      <c r="AB20" s="24">
        <v>647</v>
      </c>
      <c r="AC20" s="24"/>
      <c r="AD20" s="24"/>
      <c r="AE20" s="26">
        <f t="shared" si="4"/>
        <v>466.56000000000006</v>
      </c>
      <c r="AF20" s="24"/>
      <c r="AG20" s="27"/>
    </row>
    <row r="21" spans="1:41" s="28" customFormat="1" ht="26.25" customHeight="1" x14ac:dyDescent="0.25">
      <c r="A21" s="18">
        <v>45388</v>
      </c>
      <c r="B21" s="19"/>
      <c r="C21" s="20">
        <f>B21/200*25</f>
        <v>0</v>
      </c>
      <c r="D21" s="19">
        <v>2222</v>
      </c>
      <c r="E21" s="21">
        <f>D21/208*25</f>
        <v>267.06730769230774</v>
      </c>
      <c r="F21" s="19">
        <v>840</v>
      </c>
      <c r="G21" s="22">
        <f t="shared" si="1"/>
        <v>97.674418604651152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756</v>
      </c>
      <c r="Q21" s="24"/>
      <c r="R21" s="24"/>
      <c r="S21" s="25">
        <v>855</v>
      </c>
      <c r="T21" s="24"/>
      <c r="U21" s="24"/>
      <c r="V21" s="24">
        <v>30</v>
      </c>
      <c r="W21" s="25">
        <v>439</v>
      </c>
      <c r="X21" s="25"/>
      <c r="Y21" s="24">
        <v>192</v>
      </c>
      <c r="Z21" s="24">
        <v>4</v>
      </c>
      <c r="AA21" s="24">
        <v>8</v>
      </c>
      <c r="AB21" s="24">
        <v>516</v>
      </c>
      <c r="AC21" s="25"/>
      <c r="AD21" s="24"/>
      <c r="AE21" s="26">
        <f t="shared" si="4"/>
        <v>466.56000000000006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11059</v>
      </c>
      <c r="E22" s="31">
        <f t="shared" si="8"/>
        <v>1329.2067307692309</v>
      </c>
      <c r="F22" s="31">
        <f t="shared" si="8"/>
        <v>5617</v>
      </c>
      <c r="G22" s="31">
        <f t="shared" si="8"/>
        <v>653.13953488372101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4376</v>
      </c>
      <c r="Q22" s="31">
        <f t="shared" si="9"/>
        <v>0</v>
      </c>
      <c r="R22" s="31">
        <f t="shared" si="9"/>
        <v>0</v>
      </c>
      <c r="S22" s="31">
        <f t="shared" si="9"/>
        <v>4797</v>
      </c>
      <c r="T22" s="31">
        <f t="shared" si="9"/>
        <v>0</v>
      </c>
      <c r="U22" s="31">
        <f t="shared" si="9"/>
        <v>0</v>
      </c>
      <c r="V22" s="31">
        <f t="shared" si="9"/>
        <v>354</v>
      </c>
      <c r="W22" s="31">
        <f t="shared" si="9"/>
        <v>2429</v>
      </c>
      <c r="X22" s="31">
        <f t="shared" si="9"/>
        <v>0</v>
      </c>
      <c r="Y22" s="31">
        <f t="shared" si="9"/>
        <v>980</v>
      </c>
      <c r="Z22" s="31">
        <f t="shared" si="9"/>
        <v>28</v>
      </c>
      <c r="AA22" s="31">
        <f t="shared" si="9"/>
        <v>710</v>
      </c>
      <c r="AB22" s="31">
        <f t="shared" si="9"/>
        <v>2306</v>
      </c>
      <c r="AC22" s="31">
        <f t="shared" si="9"/>
        <v>0</v>
      </c>
      <c r="AD22" s="31">
        <f t="shared" si="9"/>
        <v>0</v>
      </c>
      <c r="AE22" s="33">
        <f t="shared" si="9"/>
        <v>2381.4</v>
      </c>
      <c r="AF22" s="33">
        <f t="shared" si="9"/>
        <v>0</v>
      </c>
      <c r="AG22" s="33">
        <f t="shared" si="9"/>
        <v>11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9" zoomScaleNormal="100" workbookViewId="0">
      <selection activeCell="N31" sqref="N3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45389</v>
      </c>
      <c r="B15" s="19"/>
      <c r="C15" s="20">
        <f t="shared" ref="C15:C16" si="0">B15/200*25</f>
        <v>0</v>
      </c>
      <c r="D15" s="19"/>
      <c r="E15" s="21">
        <f>D15/208*25</f>
        <v>0</v>
      </c>
      <c r="F15" s="19"/>
      <c r="G15" s="22">
        <v>0</v>
      </c>
      <c r="H15" s="19"/>
      <c r="I15" s="23">
        <f t="shared" ref="I15:I20" si="1">H15/135*25</f>
        <v>0</v>
      </c>
      <c r="J15" s="19"/>
      <c r="K15" s="19"/>
      <c r="L15" s="19"/>
      <c r="M15" s="19"/>
      <c r="N15" s="19"/>
      <c r="O15" s="23">
        <f t="shared" ref="O15" si="2"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3">Y15*2.43</f>
        <v>0</v>
      </c>
      <c r="AF15" s="24"/>
      <c r="AG15" s="27"/>
      <c r="AH15" s="29"/>
    </row>
    <row r="16" spans="1:34" s="28" customFormat="1" ht="26.25" customHeight="1" x14ac:dyDescent="0.25">
      <c r="A16" s="18">
        <v>45390</v>
      </c>
      <c r="B16" s="19"/>
      <c r="C16" s="20">
        <f t="shared" si="0"/>
        <v>0</v>
      </c>
      <c r="D16" s="19">
        <v>1709</v>
      </c>
      <c r="E16" s="21">
        <f t="shared" ref="E16:E19" si="4">D16/208*25</f>
        <v>205.40865384615384</v>
      </c>
      <c r="F16" s="19">
        <v>1146</v>
      </c>
      <c r="G16" s="22">
        <f>F16/215*25</f>
        <v>133.25581395348837</v>
      </c>
      <c r="H16" s="19"/>
      <c r="I16" s="23">
        <f t="shared" si="1"/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808</v>
      </c>
      <c r="Q16" s="24"/>
      <c r="R16" s="24"/>
      <c r="S16" s="25">
        <v>709</v>
      </c>
      <c r="T16" s="24"/>
      <c r="U16" s="24"/>
      <c r="V16" s="24">
        <v>61</v>
      </c>
      <c r="W16" s="25">
        <v>569</v>
      </c>
      <c r="X16" s="25"/>
      <c r="Y16" s="24">
        <v>163</v>
      </c>
      <c r="Z16" s="24">
        <v>4</v>
      </c>
      <c r="AA16" s="24">
        <v>30</v>
      </c>
      <c r="AB16" s="24">
        <v>485</v>
      </c>
      <c r="AC16" s="24"/>
      <c r="AD16" s="24"/>
      <c r="AE16" s="26">
        <f t="shared" si="3"/>
        <v>396.09000000000003</v>
      </c>
      <c r="AF16" s="24"/>
      <c r="AG16" s="27">
        <v>1</v>
      </c>
      <c r="AH16" s="29"/>
    </row>
    <row r="17" spans="1:41" s="28" customFormat="1" ht="26.25" customHeight="1" x14ac:dyDescent="0.25">
      <c r="A17" s="18">
        <v>45391</v>
      </c>
      <c r="B17" s="19"/>
      <c r="C17" s="20">
        <f>B17/200*25</f>
        <v>0</v>
      </c>
      <c r="D17" s="19">
        <v>2646</v>
      </c>
      <c r="E17" s="21">
        <f t="shared" si="4"/>
        <v>318.02884615384619</v>
      </c>
      <c r="F17" s="19">
        <v>1111</v>
      </c>
      <c r="G17" s="22">
        <f t="shared" ref="G17:G21" si="5">F17/215*25</f>
        <v>129.18604651162789</v>
      </c>
      <c r="H17" s="19"/>
      <c r="I17" s="23">
        <f t="shared" si="1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1029</v>
      </c>
      <c r="Q17" s="24"/>
      <c r="R17" s="24"/>
      <c r="S17" s="25">
        <v>1068</v>
      </c>
      <c r="T17" s="24"/>
      <c r="U17" s="24"/>
      <c r="V17" s="24">
        <v>83</v>
      </c>
      <c r="W17" s="25">
        <v>607</v>
      </c>
      <c r="X17" s="25"/>
      <c r="Y17" s="24">
        <v>183</v>
      </c>
      <c r="Z17" s="24">
        <v>8</v>
      </c>
      <c r="AA17" s="24">
        <v>23</v>
      </c>
      <c r="AB17" s="24">
        <v>667</v>
      </c>
      <c r="AC17" s="24"/>
      <c r="AD17" s="24"/>
      <c r="AE17" s="26">
        <f t="shared" si="3"/>
        <v>444.69000000000005</v>
      </c>
      <c r="AF17" s="24"/>
      <c r="AG17" s="27">
        <v>1</v>
      </c>
    </row>
    <row r="18" spans="1:41" s="28" customFormat="1" ht="26.25" customHeight="1" x14ac:dyDescent="0.25">
      <c r="A18" s="18">
        <v>45392</v>
      </c>
      <c r="B18" s="19"/>
      <c r="C18" s="20">
        <f t="shared" ref="C18:C19" si="6">B18/200*25</f>
        <v>0</v>
      </c>
      <c r="D18" s="19">
        <v>1916</v>
      </c>
      <c r="E18" s="21">
        <f t="shared" si="4"/>
        <v>230.28846153846155</v>
      </c>
      <c r="F18" s="19">
        <v>1168</v>
      </c>
      <c r="G18" s="22">
        <f t="shared" si="5"/>
        <v>135.81395348837208</v>
      </c>
      <c r="H18" s="19"/>
      <c r="I18" s="23">
        <f t="shared" si="1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1067</v>
      </c>
      <c r="Q18" s="24"/>
      <c r="R18" s="24"/>
      <c r="S18" s="24">
        <v>863</v>
      </c>
      <c r="T18" s="24"/>
      <c r="U18" s="24"/>
      <c r="V18" s="24">
        <v>51</v>
      </c>
      <c r="W18" s="25">
        <v>781</v>
      </c>
      <c r="X18" s="25"/>
      <c r="Y18" s="24">
        <v>173</v>
      </c>
      <c r="Z18" s="24">
        <v>4</v>
      </c>
      <c r="AA18" s="24">
        <v>16</v>
      </c>
      <c r="AB18" s="24">
        <v>611</v>
      </c>
      <c r="AC18" s="24"/>
      <c r="AD18" s="24"/>
      <c r="AE18" s="26">
        <f t="shared" si="3"/>
        <v>420.39000000000004</v>
      </c>
      <c r="AF18" s="24"/>
      <c r="AG18" s="27">
        <v>1</v>
      </c>
    </row>
    <row r="19" spans="1:41" s="28" customFormat="1" ht="26.25" customHeight="1" x14ac:dyDescent="0.25">
      <c r="A19" s="18">
        <v>45393</v>
      </c>
      <c r="B19" s="19"/>
      <c r="C19" s="20">
        <f t="shared" si="6"/>
        <v>0</v>
      </c>
      <c r="D19" s="19">
        <v>2283</v>
      </c>
      <c r="E19" s="21">
        <f t="shared" si="4"/>
        <v>274.39903846153845</v>
      </c>
      <c r="F19" s="19">
        <v>1252</v>
      </c>
      <c r="G19" s="22">
        <f t="shared" si="5"/>
        <v>145.58139534883722</v>
      </c>
      <c r="H19" s="19"/>
      <c r="I19" s="23">
        <f t="shared" si="1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1141</v>
      </c>
      <c r="Q19" s="24"/>
      <c r="R19" s="24"/>
      <c r="S19" s="24">
        <v>1061</v>
      </c>
      <c r="T19" s="24"/>
      <c r="U19" s="24"/>
      <c r="V19" s="12"/>
      <c r="W19" s="24">
        <v>808</v>
      </c>
      <c r="X19" s="25"/>
      <c r="Y19" s="24">
        <v>201</v>
      </c>
      <c r="Z19" s="24"/>
      <c r="AA19" s="24"/>
      <c r="AB19" s="24">
        <v>715</v>
      </c>
      <c r="AC19" s="24"/>
      <c r="AD19" s="24"/>
      <c r="AE19" s="26">
        <f t="shared" si="3"/>
        <v>488.43</v>
      </c>
      <c r="AF19" s="24"/>
      <c r="AG19" s="27"/>
    </row>
    <row r="20" spans="1:41" s="28" customFormat="1" ht="26.25" customHeight="1" x14ac:dyDescent="0.25">
      <c r="A20" s="18">
        <v>45394</v>
      </c>
      <c r="B20" s="19"/>
      <c r="C20" s="20">
        <f>B20/200*25</f>
        <v>0</v>
      </c>
      <c r="D20" s="19">
        <v>1704</v>
      </c>
      <c r="E20" s="21">
        <f>D20/208*25</f>
        <v>204.80769230769229</v>
      </c>
      <c r="F20" s="19">
        <v>1049</v>
      </c>
      <c r="G20" s="22">
        <f t="shared" si="5"/>
        <v>121.97674418604652</v>
      </c>
      <c r="H20" s="19"/>
      <c r="I20" s="23">
        <f t="shared" si="1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973</v>
      </c>
      <c r="Q20" s="24"/>
      <c r="R20" s="24"/>
      <c r="S20" s="24">
        <v>736</v>
      </c>
      <c r="T20" s="24"/>
      <c r="U20" s="24"/>
      <c r="V20" s="24"/>
      <c r="W20" s="25">
        <v>799</v>
      </c>
      <c r="X20" s="25"/>
      <c r="Y20" s="24">
        <v>184</v>
      </c>
      <c r="Z20" s="24"/>
      <c r="AA20" s="24">
        <v>94</v>
      </c>
      <c r="AB20" s="24">
        <v>525</v>
      </c>
      <c r="AC20" s="24"/>
      <c r="AD20" s="24"/>
      <c r="AE20" s="26">
        <f t="shared" si="3"/>
        <v>447.12</v>
      </c>
      <c r="AF20" s="24"/>
      <c r="AG20" s="27">
        <v>2</v>
      </c>
    </row>
    <row r="21" spans="1:41" s="28" customFormat="1" ht="26.25" customHeight="1" x14ac:dyDescent="0.25">
      <c r="A21" s="18">
        <v>45395</v>
      </c>
      <c r="B21" s="19"/>
      <c r="C21" s="20">
        <f>B21/200*25</f>
        <v>0</v>
      </c>
      <c r="D21" s="19">
        <v>1615</v>
      </c>
      <c r="E21" s="21">
        <f>D21/208*25</f>
        <v>194.11057692307691</v>
      </c>
      <c r="F21" s="19">
        <v>809</v>
      </c>
      <c r="G21" s="22">
        <f t="shared" si="5"/>
        <v>94.069767441860463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777</v>
      </c>
      <c r="Q21" s="24"/>
      <c r="R21" s="24"/>
      <c r="S21" s="25">
        <v>737</v>
      </c>
      <c r="T21" s="24"/>
      <c r="U21" s="24"/>
      <c r="V21" s="24"/>
      <c r="W21" s="25">
        <v>461</v>
      </c>
      <c r="X21" s="25"/>
      <c r="Y21" s="24">
        <v>176</v>
      </c>
      <c r="Z21" s="24">
        <v>2</v>
      </c>
      <c r="AA21" s="24">
        <v>174</v>
      </c>
      <c r="AB21" s="24">
        <v>327</v>
      </c>
      <c r="AC21" s="25"/>
      <c r="AD21" s="24"/>
      <c r="AE21" s="26">
        <f t="shared" si="3"/>
        <v>427.68</v>
      </c>
      <c r="AF21" s="24"/>
      <c r="AG21" s="27">
        <v>3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11873</v>
      </c>
      <c r="E22" s="31">
        <f t="shared" si="8"/>
        <v>1427.0432692307693</v>
      </c>
      <c r="F22" s="31">
        <f t="shared" si="8"/>
        <v>6535</v>
      </c>
      <c r="G22" s="33">
        <f t="shared" si="8"/>
        <v>759.88372093023258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1">
        <f t="shared" si="9"/>
        <v>5795</v>
      </c>
      <c r="Q22" s="31">
        <f t="shared" si="9"/>
        <v>0</v>
      </c>
      <c r="R22" s="31">
        <f t="shared" si="9"/>
        <v>0</v>
      </c>
      <c r="S22" s="31">
        <f t="shared" si="9"/>
        <v>5174</v>
      </c>
      <c r="T22" s="31">
        <f t="shared" si="9"/>
        <v>0</v>
      </c>
      <c r="U22" s="31">
        <f t="shared" si="9"/>
        <v>0</v>
      </c>
      <c r="V22" s="31">
        <f t="shared" si="9"/>
        <v>195</v>
      </c>
      <c r="W22" s="31">
        <f t="shared" si="9"/>
        <v>4025</v>
      </c>
      <c r="X22" s="31">
        <f t="shared" si="9"/>
        <v>0</v>
      </c>
      <c r="Y22" s="31">
        <f t="shared" si="9"/>
        <v>1080</v>
      </c>
      <c r="Z22" s="31">
        <f t="shared" si="9"/>
        <v>18</v>
      </c>
      <c r="AA22" s="31">
        <f t="shared" si="9"/>
        <v>337</v>
      </c>
      <c r="AB22" s="31">
        <f t="shared" si="9"/>
        <v>3330</v>
      </c>
      <c r="AC22" s="31">
        <f t="shared" si="9"/>
        <v>0</v>
      </c>
      <c r="AD22" s="31">
        <f t="shared" si="9"/>
        <v>0</v>
      </c>
      <c r="AE22" s="33">
        <f t="shared" si="9"/>
        <v>2624.4</v>
      </c>
      <c r="AF22" s="33">
        <f t="shared" si="9"/>
        <v>0</v>
      </c>
      <c r="AG22" s="33">
        <f t="shared" si="9"/>
        <v>8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3" zoomScaleNormal="100" workbookViewId="0">
      <selection activeCell="P35" sqref="P35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45396</v>
      </c>
      <c r="B15" s="19"/>
      <c r="C15" s="20">
        <f t="shared" ref="C15:G16" si="0">B15/200*25</f>
        <v>0</v>
      </c>
      <c r="D15" s="20"/>
      <c r="E15" s="20">
        <f t="shared" si="0"/>
        <v>0</v>
      </c>
      <c r="F15" s="19"/>
      <c r="G15" s="20">
        <f t="shared" si="0"/>
        <v>0</v>
      </c>
      <c r="H15" s="19"/>
      <c r="I15" s="23"/>
      <c r="J15" s="19"/>
      <c r="K15" s="19"/>
      <c r="L15" s="19"/>
      <c r="M15" s="19"/>
      <c r="N15" s="19"/>
      <c r="O15" s="20">
        <f t="shared" ref="O15" si="1">N15/200*25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45397</v>
      </c>
      <c r="B16" s="19"/>
      <c r="C16" s="20">
        <f t="shared" si="0"/>
        <v>0</v>
      </c>
      <c r="D16" s="19">
        <v>2198</v>
      </c>
      <c r="E16" s="21">
        <f t="shared" ref="E16:E19" si="3">D16/208*25</f>
        <v>264.18269230769226</v>
      </c>
      <c r="F16" s="19">
        <v>704</v>
      </c>
      <c r="G16" s="22">
        <f t="shared" ref="G16:G21" si="4">F16/215*25</f>
        <v>81.860465116279073</v>
      </c>
      <c r="H16" s="19"/>
      <c r="I16" s="23">
        <f t="shared" ref="I16:I20" si="5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876.6</v>
      </c>
      <c r="Q16" s="24"/>
      <c r="R16" s="24"/>
      <c r="S16" s="25">
        <v>989</v>
      </c>
      <c r="T16" s="24"/>
      <c r="U16" s="24"/>
      <c r="V16" s="24"/>
      <c r="W16" s="25">
        <v>473</v>
      </c>
      <c r="X16" s="25"/>
      <c r="Y16" s="24">
        <v>215</v>
      </c>
      <c r="Z16" s="24"/>
      <c r="AA16" s="24">
        <v>392</v>
      </c>
      <c r="AB16" s="24">
        <v>262</v>
      </c>
      <c r="AC16" s="24"/>
      <c r="AD16" s="24"/>
      <c r="AE16" s="26">
        <f t="shared" si="2"/>
        <v>522.45000000000005</v>
      </c>
      <c r="AF16" s="24"/>
      <c r="AG16" s="27">
        <v>2</v>
      </c>
      <c r="AH16" s="29"/>
    </row>
    <row r="17" spans="1:41" s="28" customFormat="1" ht="26.25" customHeight="1" x14ac:dyDescent="0.25">
      <c r="A17" s="18">
        <v>45398</v>
      </c>
      <c r="B17" s="19"/>
      <c r="C17" s="20">
        <f>B17/200*25</f>
        <v>0</v>
      </c>
      <c r="D17" s="19">
        <v>1868</v>
      </c>
      <c r="E17" s="21">
        <f t="shared" si="3"/>
        <v>224.51923076923075</v>
      </c>
      <c r="F17" s="19">
        <v>911</v>
      </c>
      <c r="G17" s="22">
        <f t="shared" si="4"/>
        <v>105.93023255813954</v>
      </c>
      <c r="H17" s="19"/>
      <c r="I17" s="23">
        <f t="shared" si="5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1099</v>
      </c>
      <c r="Q17" s="24"/>
      <c r="R17" s="24"/>
      <c r="S17" s="25">
        <v>1007</v>
      </c>
      <c r="T17" s="24"/>
      <c r="U17" s="24"/>
      <c r="V17" s="24"/>
      <c r="W17" s="25">
        <v>632</v>
      </c>
      <c r="X17" s="25"/>
      <c r="Y17" s="24">
        <v>205</v>
      </c>
      <c r="Z17" s="24"/>
      <c r="AA17" s="24">
        <v>437</v>
      </c>
      <c r="AB17" s="24">
        <v>215</v>
      </c>
      <c r="AC17" s="24"/>
      <c r="AD17" s="24"/>
      <c r="AE17" s="26">
        <f t="shared" si="2"/>
        <v>498.15000000000003</v>
      </c>
      <c r="AF17" s="24"/>
      <c r="AG17" s="27">
        <v>2</v>
      </c>
    </row>
    <row r="18" spans="1:41" s="28" customFormat="1" ht="26.25" customHeight="1" x14ac:dyDescent="0.25">
      <c r="A18" s="18">
        <v>45399</v>
      </c>
      <c r="B18" s="19"/>
      <c r="C18" s="20">
        <f t="shared" ref="C18:C19" si="6">B18/200*25</f>
        <v>0</v>
      </c>
      <c r="D18" s="19">
        <v>2298</v>
      </c>
      <c r="E18" s="21">
        <f t="shared" si="3"/>
        <v>276.20192307692309</v>
      </c>
      <c r="F18" s="19">
        <v>1269</v>
      </c>
      <c r="G18" s="22">
        <f t="shared" si="4"/>
        <v>147.55813953488374</v>
      </c>
      <c r="H18" s="19"/>
      <c r="I18" s="23">
        <f t="shared" si="5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1077</v>
      </c>
      <c r="Q18" s="24"/>
      <c r="R18" s="24"/>
      <c r="S18" s="24">
        <v>987</v>
      </c>
      <c r="T18" s="24"/>
      <c r="U18" s="24"/>
      <c r="V18" s="24"/>
      <c r="W18" s="25">
        <v>768</v>
      </c>
      <c r="X18" s="25"/>
      <c r="Y18" s="24">
        <v>234</v>
      </c>
      <c r="Z18" s="24">
        <v>2</v>
      </c>
      <c r="AA18" s="24">
        <v>505</v>
      </c>
      <c r="AB18" s="24">
        <v>183</v>
      </c>
      <c r="AC18" s="24"/>
      <c r="AD18" s="24"/>
      <c r="AE18" s="26">
        <f t="shared" si="2"/>
        <v>568.62</v>
      </c>
      <c r="AF18" s="24"/>
      <c r="AG18" s="27">
        <v>4</v>
      </c>
    </row>
    <row r="19" spans="1:41" s="28" customFormat="1" ht="26.25" customHeight="1" x14ac:dyDescent="0.25">
      <c r="A19" s="18">
        <v>45400</v>
      </c>
      <c r="B19" s="19"/>
      <c r="C19" s="20">
        <f t="shared" si="6"/>
        <v>0</v>
      </c>
      <c r="D19" s="19">
        <v>2057</v>
      </c>
      <c r="E19" s="21">
        <f t="shared" si="3"/>
        <v>247.23557692307691</v>
      </c>
      <c r="F19" s="19">
        <v>846</v>
      </c>
      <c r="G19" s="22">
        <f t="shared" si="4"/>
        <v>98.372093023255815</v>
      </c>
      <c r="H19" s="19"/>
      <c r="I19" s="23">
        <f t="shared" si="5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931</v>
      </c>
      <c r="Q19" s="24"/>
      <c r="R19" s="24"/>
      <c r="S19" s="24">
        <v>946</v>
      </c>
      <c r="T19" s="24"/>
      <c r="U19" s="24"/>
      <c r="V19" s="12"/>
      <c r="W19" s="24">
        <v>566</v>
      </c>
      <c r="X19" s="25"/>
      <c r="Y19" s="24">
        <v>202</v>
      </c>
      <c r="Z19" s="24"/>
      <c r="AA19" s="24">
        <v>411</v>
      </c>
      <c r="AB19" s="24">
        <v>181</v>
      </c>
      <c r="AC19" s="24"/>
      <c r="AD19" s="24"/>
      <c r="AE19" s="26">
        <f t="shared" si="2"/>
        <v>490.86</v>
      </c>
      <c r="AF19" s="24"/>
      <c r="AG19" s="27">
        <v>4</v>
      </c>
    </row>
    <row r="20" spans="1:41" s="28" customFormat="1" ht="26.25" customHeight="1" x14ac:dyDescent="0.25">
      <c r="A20" s="18">
        <v>45401</v>
      </c>
      <c r="B20" s="19"/>
      <c r="C20" s="20">
        <f>B20/200*25</f>
        <v>0</v>
      </c>
      <c r="D20" s="19">
        <v>1504</v>
      </c>
      <c r="E20" s="21">
        <f>D20/208*25</f>
        <v>180.76923076923077</v>
      </c>
      <c r="F20" s="19">
        <v>1108</v>
      </c>
      <c r="G20" s="22">
        <f t="shared" si="4"/>
        <v>128.83720930232559</v>
      </c>
      <c r="H20" s="19"/>
      <c r="I20" s="23">
        <f t="shared" si="5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996</v>
      </c>
      <c r="Q20" s="24"/>
      <c r="R20" s="24"/>
      <c r="S20" s="24">
        <v>774</v>
      </c>
      <c r="T20" s="24"/>
      <c r="U20" s="24"/>
      <c r="V20" s="24"/>
      <c r="W20" s="25">
        <v>768</v>
      </c>
      <c r="X20" s="25"/>
      <c r="Y20" s="24">
        <v>193</v>
      </c>
      <c r="Z20" s="24"/>
      <c r="AA20" s="24">
        <v>431</v>
      </c>
      <c r="AB20" s="24">
        <v>201</v>
      </c>
      <c r="AC20" s="24"/>
      <c r="AD20" s="24"/>
      <c r="AE20" s="26">
        <f t="shared" si="2"/>
        <v>468.99</v>
      </c>
      <c r="AF20" s="24"/>
      <c r="AG20" s="27">
        <v>2</v>
      </c>
    </row>
    <row r="21" spans="1:41" s="28" customFormat="1" ht="26.25" customHeight="1" x14ac:dyDescent="0.25">
      <c r="A21" s="18">
        <v>45402</v>
      </c>
      <c r="B21" s="19"/>
      <c r="C21" s="20">
        <f>B21/200*25</f>
        <v>0</v>
      </c>
      <c r="D21" s="19">
        <v>1997</v>
      </c>
      <c r="E21" s="21">
        <f>D21/208*25</f>
        <v>240.02403846153845</v>
      </c>
      <c r="F21" s="19">
        <v>1170</v>
      </c>
      <c r="G21" s="22">
        <f t="shared" si="4"/>
        <v>136.04651162790697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782</v>
      </c>
      <c r="Q21" s="24"/>
      <c r="R21" s="24"/>
      <c r="S21" s="25">
        <v>737</v>
      </c>
      <c r="T21" s="24"/>
      <c r="U21" s="24"/>
      <c r="V21" s="24"/>
      <c r="W21" s="25">
        <v>657</v>
      </c>
      <c r="X21" s="25"/>
      <c r="Y21" s="24">
        <v>192</v>
      </c>
      <c r="Z21" s="24">
        <v>2</v>
      </c>
      <c r="AA21" s="24">
        <v>272</v>
      </c>
      <c r="AB21" s="24">
        <v>275</v>
      </c>
      <c r="AC21" s="24"/>
      <c r="AD21" s="24"/>
      <c r="AE21" s="26">
        <f t="shared" si="2"/>
        <v>466.56000000000006</v>
      </c>
      <c r="AF21" s="24"/>
      <c r="AG21" s="27">
        <v>3</v>
      </c>
    </row>
    <row r="22" spans="1:41" ht="33" customHeight="1" thickBot="1" x14ac:dyDescent="0.3">
      <c r="A22" s="30" t="s">
        <v>30</v>
      </c>
      <c r="B22" s="31">
        <f t="shared" ref="B22:G22" si="8">SUM(B15:B21)</f>
        <v>0</v>
      </c>
      <c r="C22" s="32">
        <f t="shared" si="8"/>
        <v>0</v>
      </c>
      <c r="D22" s="31">
        <f t="shared" si="8"/>
        <v>11922</v>
      </c>
      <c r="E22" s="33">
        <f t="shared" si="8"/>
        <v>1432.9326923076924</v>
      </c>
      <c r="F22" s="31">
        <f t="shared" si="8"/>
        <v>6008</v>
      </c>
      <c r="G22" s="33">
        <f t="shared" si="8"/>
        <v>698.60465116279079</v>
      </c>
      <c r="H22" s="31">
        <f t="shared" ref="H22:AG22" si="9">SUM(H15:H21)</f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55">
        <f t="shared" si="9"/>
        <v>5761.6</v>
      </c>
      <c r="Q22" s="31">
        <f t="shared" si="9"/>
        <v>0</v>
      </c>
      <c r="R22" s="31">
        <f t="shared" si="9"/>
        <v>0</v>
      </c>
      <c r="S22" s="31">
        <f t="shared" si="9"/>
        <v>5440</v>
      </c>
      <c r="T22" s="31">
        <f t="shared" si="9"/>
        <v>0</v>
      </c>
      <c r="U22" s="31">
        <f t="shared" si="9"/>
        <v>0</v>
      </c>
      <c r="V22" s="31">
        <f t="shared" si="9"/>
        <v>0</v>
      </c>
      <c r="W22" s="31">
        <f t="shared" si="9"/>
        <v>3864</v>
      </c>
      <c r="X22" s="31">
        <f t="shared" si="9"/>
        <v>0</v>
      </c>
      <c r="Y22" s="31">
        <f t="shared" si="9"/>
        <v>1241</v>
      </c>
      <c r="Z22" s="31">
        <f t="shared" si="9"/>
        <v>4</v>
      </c>
      <c r="AA22" s="31">
        <f t="shared" si="9"/>
        <v>2448</v>
      </c>
      <c r="AB22" s="31">
        <f t="shared" si="9"/>
        <v>1317</v>
      </c>
      <c r="AC22" s="31">
        <f t="shared" si="9"/>
        <v>0</v>
      </c>
      <c r="AD22" s="31">
        <f t="shared" si="9"/>
        <v>0</v>
      </c>
      <c r="AE22" s="33">
        <f t="shared" si="9"/>
        <v>3015.6300000000006</v>
      </c>
      <c r="AF22" s="33">
        <f t="shared" si="9"/>
        <v>0</v>
      </c>
      <c r="AG22" s="33">
        <f t="shared" si="9"/>
        <v>17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>
        <f>2448+1317</f>
        <v>3765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6" zoomScaleNormal="100" workbookViewId="0">
      <selection activeCell="Q31" sqref="Q3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45403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45404</v>
      </c>
      <c r="B16" s="19"/>
      <c r="C16" s="20">
        <f t="shared" si="0"/>
        <v>0</v>
      </c>
      <c r="D16" s="19">
        <v>1757</v>
      </c>
      <c r="E16" s="21">
        <f t="shared" si="1"/>
        <v>211.17788461538461</v>
      </c>
      <c r="F16" s="19">
        <v>752</v>
      </c>
      <c r="G16" s="22">
        <f t="shared" ref="G16:G21" si="3">F16/215*25</f>
        <v>87.441860465116278</v>
      </c>
      <c r="H16" s="19"/>
      <c r="I16" s="23">
        <f t="shared" ref="I16:I20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977</v>
      </c>
      <c r="Q16" s="24"/>
      <c r="R16" s="24"/>
      <c r="S16" s="25">
        <v>952</v>
      </c>
      <c r="T16" s="24"/>
      <c r="U16" s="24"/>
      <c r="V16" s="24"/>
      <c r="W16" s="25">
        <v>507</v>
      </c>
      <c r="X16" s="25"/>
      <c r="Y16" s="24">
        <v>248</v>
      </c>
      <c r="Z16" s="24"/>
      <c r="AA16" s="24">
        <v>376</v>
      </c>
      <c r="AB16" s="24">
        <v>191</v>
      </c>
      <c r="AC16" s="24"/>
      <c r="AD16" s="24"/>
      <c r="AE16" s="26">
        <f t="shared" si="2"/>
        <v>602.64</v>
      </c>
      <c r="AF16" s="24"/>
      <c r="AG16" s="27">
        <v>2</v>
      </c>
      <c r="AH16" s="29"/>
    </row>
    <row r="17" spans="1:41" s="28" customFormat="1" ht="26.25" customHeight="1" x14ac:dyDescent="0.25">
      <c r="A17" s="18">
        <v>45405</v>
      </c>
      <c r="B17" s="19"/>
      <c r="C17" s="20">
        <f>B17/200*25</f>
        <v>0</v>
      </c>
      <c r="D17" s="19">
        <v>1721</v>
      </c>
      <c r="E17" s="21">
        <f t="shared" si="1"/>
        <v>206.85096153846155</v>
      </c>
      <c r="F17" s="19">
        <v>1489</v>
      </c>
      <c r="G17" s="22">
        <f t="shared" si="3"/>
        <v>173.13953488372093</v>
      </c>
      <c r="H17" s="19"/>
      <c r="I17" s="23">
        <f t="shared" si="4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1055</v>
      </c>
      <c r="Q17" s="24"/>
      <c r="R17" s="24"/>
      <c r="S17" s="25">
        <v>714</v>
      </c>
      <c r="T17" s="24"/>
      <c r="U17" s="24"/>
      <c r="V17" s="24">
        <v>31</v>
      </c>
      <c r="W17" s="25">
        <v>908</v>
      </c>
      <c r="X17" s="25"/>
      <c r="Y17" s="24">
        <v>259</v>
      </c>
      <c r="Z17" s="24">
        <v>2</v>
      </c>
      <c r="AA17" s="24">
        <v>461</v>
      </c>
      <c r="AB17" s="24">
        <v>271</v>
      </c>
      <c r="AC17" s="24"/>
      <c r="AD17" s="24"/>
      <c r="AE17" s="26">
        <f t="shared" si="2"/>
        <v>629.37</v>
      </c>
      <c r="AF17" s="24"/>
      <c r="AG17" s="27">
        <v>1</v>
      </c>
    </row>
    <row r="18" spans="1:41" s="28" customFormat="1" ht="26.25" customHeight="1" x14ac:dyDescent="0.25">
      <c r="A18" s="18">
        <v>45406</v>
      </c>
      <c r="B18" s="19"/>
      <c r="C18" s="20">
        <f t="shared" ref="C18:C19" si="5">B18/200*25</f>
        <v>0</v>
      </c>
      <c r="D18" s="19">
        <v>2666</v>
      </c>
      <c r="E18" s="21">
        <f t="shared" si="1"/>
        <v>320.43269230769226</v>
      </c>
      <c r="F18" s="19">
        <v>1336</v>
      </c>
      <c r="G18" s="22">
        <f t="shared" si="3"/>
        <v>155.34883720930233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1026</v>
      </c>
      <c r="Q18" s="24"/>
      <c r="R18" s="24"/>
      <c r="S18" s="24">
        <v>960</v>
      </c>
      <c r="T18" s="24"/>
      <c r="U18" s="24"/>
      <c r="V18" s="24">
        <v>30</v>
      </c>
      <c r="W18" s="25">
        <v>803</v>
      </c>
      <c r="X18" s="25"/>
      <c r="Y18" s="24">
        <v>220</v>
      </c>
      <c r="Z18" s="24">
        <v>8</v>
      </c>
      <c r="AA18" s="24">
        <v>557</v>
      </c>
      <c r="AB18" s="24">
        <v>181</v>
      </c>
      <c r="AC18" s="24"/>
      <c r="AD18" s="24"/>
      <c r="AE18" s="26">
        <f t="shared" si="2"/>
        <v>534.6</v>
      </c>
      <c r="AF18" s="24"/>
      <c r="AG18" s="27">
        <v>1</v>
      </c>
    </row>
    <row r="19" spans="1:41" s="28" customFormat="1" ht="26.25" customHeight="1" x14ac:dyDescent="0.25">
      <c r="A19" s="18">
        <v>45407</v>
      </c>
      <c r="B19" s="19"/>
      <c r="C19" s="20">
        <f t="shared" si="5"/>
        <v>0</v>
      </c>
      <c r="D19" s="19">
        <v>1909</v>
      </c>
      <c r="E19" s="21">
        <f t="shared" si="1"/>
        <v>229.44711538461539</v>
      </c>
      <c r="F19" s="19">
        <v>1296</v>
      </c>
      <c r="G19" s="22">
        <f t="shared" si="3"/>
        <v>150.69767441860463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979</v>
      </c>
      <c r="Q19" s="24"/>
      <c r="R19" s="24"/>
      <c r="S19" s="24">
        <v>861</v>
      </c>
      <c r="T19" s="24"/>
      <c r="U19" s="24"/>
      <c r="V19" s="12">
        <v>80</v>
      </c>
      <c r="W19" s="24">
        <v>664</v>
      </c>
      <c r="X19" s="25"/>
      <c r="Y19" s="24">
        <v>185</v>
      </c>
      <c r="Z19" s="24">
        <v>8</v>
      </c>
      <c r="AA19" s="24">
        <v>438</v>
      </c>
      <c r="AB19" s="24">
        <v>224</v>
      </c>
      <c r="AC19" s="24"/>
      <c r="AD19" s="24"/>
      <c r="AE19" s="26">
        <f t="shared" si="2"/>
        <v>449.55</v>
      </c>
      <c r="AF19" s="24"/>
      <c r="AG19" s="27">
        <v>2</v>
      </c>
    </row>
    <row r="20" spans="1:41" s="28" customFormat="1" ht="26.25" customHeight="1" x14ac:dyDescent="0.25">
      <c r="A20" s="18">
        <v>45408</v>
      </c>
      <c r="B20" s="19"/>
      <c r="C20" s="20">
        <f>B20/200*25</f>
        <v>0</v>
      </c>
      <c r="D20" s="19">
        <v>2186</v>
      </c>
      <c r="E20" s="21">
        <f>D20/208*25</f>
        <v>262.74038461538464</v>
      </c>
      <c r="F20" s="19">
        <v>1797</v>
      </c>
      <c r="G20" s="22">
        <f t="shared" si="3"/>
        <v>208.95348837209303</v>
      </c>
      <c r="H20" s="19"/>
      <c r="I20" s="23">
        <f t="shared" si="4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1345.4</v>
      </c>
      <c r="Q20" s="24"/>
      <c r="R20" s="24"/>
      <c r="S20" s="24">
        <v>1136</v>
      </c>
      <c r="T20" s="24"/>
      <c r="U20" s="24"/>
      <c r="V20" s="24">
        <v>51</v>
      </c>
      <c r="W20" s="25">
        <v>942</v>
      </c>
      <c r="X20" s="25"/>
      <c r="Y20" s="24">
        <v>286</v>
      </c>
      <c r="Z20" s="24">
        <v>6</v>
      </c>
      <c r="AA20" s="24">
        <v>654</v>
      </c>
      <c r="AB20" s="24">
        <v>263</v>
      </c>
      <c r="AC20" s="24"/>
      <c r="AD20" s="24"/>
      <c r="AE20" s="26">
        <f t="shared" si="2"/>
        <v>694.98</v>
      </c>
      <c r="AF20" s="24"/>
      <c r="AG20" s="27">
        <v>6</v>
      </c>
    </row>
    <row r="21" spans="1:41" s="28" customFormat="1" ht="26.25" customHeight="1" x14ac:dyDescent="0.25">
      <c r="A21" s="18">
        <v>45409</v>
      </c>
      <c r="B21" s="19"/>
      <c r="C21" s="20">
        <f>B21/200*25</f>
        <v>0</v>
      </c>
      <c r="D21" s="19">
        <v>2540</v>
      </c>
      <c r="E21" s="21">
        <f>D21/208*25</f>
        <v>305.28846153846155</v>
      </c>
      <c r="F21" s="19">
        <v>1100</v>
      </c>
      <c r="G21" s="22">
        <f t="shared" si="3"/>
        <v>127.90697674418605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957</v>
      </c>
      <c r="Q21" s="24"/>
      <c r="R21" s="24"/>
      <c r="S21" s="25">
        <v>1012</v>
      </c>
      <c r="T21" s="24"/>
      <c r="U21" s="24"/>
      <c r="V21" s="24">
        <v>24</v>
      </c>
      <c r="W21" s="25">
        <v>624</v>
      </c>
      <c r="X21" s="25"/>
      <c r="Y21" s="24">
        <v>210</v>
      </c>
      <c r="Z21" s="24">
        <v>6</v>
      </c>
      <c r="AA21" s="24">
        <v>554</v>
      </c>
      <c r="AB21" s="24">
        <v>177</v>
      </c>
      <c r="AC21" s="24"/>
      <c r="AD21" s="24"/>
      <c r="AE21" s="26">
        <f t="shared" si="2"/>
        <v>510.3</v>
      </c>
      <c r="AF21" s="24">
        <v>300</v>
      </c>
      <c r="AG21" s="27">
        <v>2</v>
      </c>
    </row>
    <row r="22" spans="1:41" ht="33" customHeight="1" thickBot="1" x14ac:dyDescent="0.3">
      <c r="A22" s="30" t="s">
        <v>30</v>
      </c>
      <c r="B22" s="31">
        <f t="shared" ref="B22:G22" si="7">SUM(B15:B21)</f>
        <v>0</v>
      </c>
      <c r="C22" s="32">
        <f t="shared" si="7"/>
        <v>0</v>
      </c>
      <c r="D22" s="31">
        <f t="shared" si="7"/>
        <v>12779</v>
      </c>
      <c r="E22" s="33">
        <f t="shared" si="7"/>
        <v>1535.9375</v>
      </c>
      <c r="F22" s="31">
        <f t="shared" si="7"/>
        <v>7770</v>
      </c>
      <c r="G22" s="33">
        <f t="shared" si="7"/>
        <v>903.48837209302326</v>
      </c>
      <c r="H22" s="31">
        <f t="shared" ref="H22:AG22" si="8">SUM(H15:H21)</f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55">
        <f t="shared" si="8"/>
        <v>6339.4</v>
      </c>
      <c r="Q22" s="31">
        <f t="shared" si="8"/>
        <v>0</v>
      </c>
      <c r="R22" s="31">
        <f t="shared" si="8"/>
        <v>0</v>
      </c>
      <c r="S22" s="31">
        <f t="shared" si="8"/>
        <v>5635</v>
      </c>
      <c r="T22" s="31">
        <f t="shared" si="8"/>
        <v>0</v>
      </c>
      <c r="U22" s="31">
        <f t="shared" si="8"/>
        <v>0</v>
      </c>
      <c r="V22" s="31">
        <f t="shared" si="8"/>
        <v>216</v>
      </c>
      <c r="W22" s="31">
        <f t="shared" si="8"/>
        <v>4448</v>
      </c>
      <c r="X22" s="31">
        <f t="shared" si="8"/>
        <v>0</v>
      </c>
      <c r="Y22" s="31">
        <f t="shared" si="8"/>
        <v>1408</v>
      </c>
      <c r="Z22" s="31">
        <f t="shared" si="8"/>
        <v>30</v>
      </c>
      <c r="AA22" s="31">
        <f t="shared" si="8"/>
        <v>3040</v>
      </c>
      <c r="AB22" s="31">
        <f t="shared" si="8"/>
        <v>1307</v>
      </c>
      <c r="AC22" s="31">
        <f t="shared" si="8"/>
        <v>0</v>
      </c>
      <c r="AD22" s="31">
        <f t="shared" si="8"/>
        <v>0</v>
      </c>
      <c r="AE22" s="33">
        <f t="shared" si="8"/>
        <v>3421.4400000000005</v>
      </c>
      <c r="AF22" s="32">
        <f t="shared" si="8"/>
        <v>300</v>
      </c>
      <c r="AG22" s="33">
        <f t="shared" si="8"/>
        <v>14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3" zoomScaleNormal="100" workbookViewId="0">
      <selection activeCell="A18" sqref="A18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45410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45411</v>
      </c>
      <c r="B16" s="19"/>
      <c r="C16" s="20">
        <f t="shared" si="0"/>
        <v>0</v>
      </c>
      <c r="D16" s="19">
        <v>1402</v>
      </c>
      <c r="E16" s="21">
        <f t="shared" si="1"/>
        <v>168.50961538461539</v>
      </c>
      <c r="F16" s="19">
        <v>1551</v>
      </c>
      <c r="G16" s="22">
        <f t="shared" ref="G16:G21" si="3">F16/215*25</f>
        <v>180.34883720930233</v>
      </c>
      <c r="H16" s="19"/>
      <c r="I16" s="23">
        <f t="shared" ref="I16:I20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978.4</v>
      </c>
      <c r="Q16" s="24"/>
      <c r="R16" s="24"/>
      <c r="S16" s="25">
        <v>705</v>
      </c>
      <c r="T16" s="24"/>
      <c r="U16" s="24"/>
      <c r="V16" s="24">
        <v>51</v>
      </c>
      <c r="W16" s="25">
        <v>786</v>
      </c>
      <c r="X16" s="25"/>
      <c r="Y16" s="24">
        <v>196</v>
      </c>
      <c r="Z16" s="24">
        <v>6</v>
      </c>
      <c r="AA16" s="24">
        <v>488</v>
      </c>
      <c r="AB16" s="24">
        <v>173</v>
      </c>
      <c r="AC16" s="24"/>
      <c r="AD16" s="24"/>
      <c r="AE16" s="26">
        <f t="shared" si="2"/>
        <v>476.28000000000003</v>
      </c>
      <c r="AF16" s="24"/>
      <c r="AG16" s="27">
        <v>2</v>
      </c>
      <c r="AH16" s="29"/>
    </row>
    <row r="17" spans="1:41" s="28" customFormat="1" ht="26.25" customHeight="1" x14ac:dyDescent="0.25">
      <c r="A17" s="18">
        <v>45412</v>
      </c>
      <c r="B17" s="19"/>
      <c r="C17" s="20">
        <f>B17/200*25</f>
        <v>0</v>
      </c>
      <c r="D17" s="19">
        <v>1333</v>
      </c>
      <c r="E17" s="21">
        <f t="shared" si="1"/>
        <v>160.21634615384613</v>
      </c>
      <c r="F17" s="19">
        <v>765</v>
      </c>
      <c r="G17" s="22">
        <f t="shared" si="3"/>
        <v>88.95348837209302</v>
      </c>
      <c r="H17" s="19"/>
      <c r="I17" s="23">
        <f t="shared" si="4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516.79999999999995</v>
      </c>
      <c r="Q17" s="24"/>
      <c r="R17" s="24"/>
      <c r="S17" s="25">
        <v>563</v>
      </c>
      <c r="T17" s="24"/>
      <c r="U17" s="24"/>
      <c r="V17" s="24">
        <v>48</v>
      </c>
      <c r="W17" s="25">
        <v>308</v>
      </c>
      <c r="X17" s="25"/>
      <c r="Y17" s="24">
        <v>94</v>
      </c>
      <c r="Z17" s="24">
        <v>6</v>
      </c>
      <c r="AA17" s="24">
        <v>194</v>
      </c>
      <c r="AB17" s="24">
        <v>189</v>
      </c>
      <c r="AC17" s="24"/>
      <c r="AD17" s="24"/>
      <c r="AE17" s="26">
        <f t="shared" si="2"/>
        <v>228.42000000000002</v>
      </c>
      <c r="AF17" s="24"/>
      <c r="AG17" s="27"/>
    </row>
    <row r="18" spans="1:41" s="28" customFormat="1" ht="26.25" customHeight="1" x14ac:dyDescent="0.25">
      <c r="A18" s="18">
        <v>45413</v>
      </c>
      <c r="B18" s="19"/>
      <c r="C18" s="20">
        <f t="shared" ref="C18:C19" si="5">B18/200*25</f>
        <v>0</v>
      </c>
      <c r="D18" s="19"/>
      <c r="E18" s="21">
        <f t="shared" si="1"/>
        <v>0</v>
      </c>
      <c r="F18" s="19"/>
      <c r="G18" s="22">
        <f t="shared" si="3"/>
        <v>0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/>
      <c r="Q18" s="24"/>
      <c r="R18" s="24"/>
      <c r="S18" s="24"/>
      <c r="T18" s="24"/>
      <c r="U18" s="24"/>
      <c r="V18" s="24"/>
      <c r="W18" s="25"/>
      <c r="X18" s="25"/>
      <c r="Y18" s="24"/>
      <c r="Z18" s="24"/>
      <c r="AA18" s="24"/>
      <c r="AB18" s="24"/>
      <c r="AC18" s="24"/>
      <c r="AD18" s="24"/>
      <c r="AE18" s="26">
        <f t="shared" si="2"/>
        <v>0</v>
      </c>
      <c r="AF18" s="24"/>
      <c r="AG18" s="27"/>
    </row>
    <row r="19" spans="1:41" s="28" customFormat="1" ht="26.25" customHeight="1" x14ac:dyDescent="0.25">
      <c r="A19" s="18">
        <v>45414</v>
      </c>
      <c r="B19" s="19"/>
      <c r="C19" s="20">
        <f t="shared" si="5"/>
        <v>0</v>
      </c>
      <c r="D19" s="19">
        <v>551</v>
      </c>
      <c r="E19" s="21">
        <f t="shared" si="1"/>
        <v>66.225961538461547</v>
      </c>
      <c r="F19" s="19">
        <v>457</v>
      </c>
      <c r="G19" s="22">
        <f t="shared" si="3"/>
        <v>53.139534883720927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259</v>
      </c>
      <c r="Q19" s="24"/>
      <c r="R19" s="24"/>
      <c r="S19" s="24">
        <v>236</v>
      </c>
      <c r="T19" s="24"/>
      <c r="U19" s="24"/>
      <c r="V19" s="12">
        <v>52</v>
      </c>
      <c r="W19" s="24">
        <v>163</v>
      </c>
      <c r="X19" s="25"/>
      <c r="Y19" s="24">
        <v>56</v>
      </c>
      <c r="Z19" s="24">
        <v>4</v>
      </c>
      <c r="AA19" s="24">
        <v>112</v>
      </c>
      <c r="AB19" s="24">
        <v>59</v>
      </c>
      <c r="AC19" s="24"/>
      <c r="AD19" s="24"/>
      <c r="AE19" s="26">
        <f t="shared" si="2"/>
        <v>136.08000000000001</v>
      </c>
      <c r="AF19" s="24"/>
      <c r="AG19" s="27"/>
    </row>
    <row r="20" spans="1:41" s="28" customFormat="1" ht="26.25" customHeight="1" x14ac:dyDescent="0.25">
      <c r="A20" s="18">
        <v>45415</v>
      </c>
      <c r="B20" s="19"/>
      <c r="C20" s="20">
        <f>B20/200*25</f>
        <v>0</v>
      </c>
      <c r="D20" s="19">
        <v>1771</v>
      </c>
      <c r="E20" s="21">
        <f>D20/208*25</f>
        <v>212.86057692307691</v>
      </c>
      <c r="F20" s="19">
        <v>1053</v>
      </c>
      <c r="G20" s="22">
        <f t="shared" si="3"/>
        <v>122.44186046511626</v>
      </c>
      <c r="H20" s="19"/>
      <c r="I20" s="23">
        <f t="shared" si="4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888.4</v>
      </c>
      <c r="Q20" s="24"/>
      <c r="R20" s="24"/>
      <c r="S20" s="24">
        <v>744</v>
      </c>
      <c r="T20" s="24"/>
      <c r="U20" s="24"/>
      <c r="V20" s="24"/>
      <c r="W20" s="25">
        <v>649</v>
      </c>
      <c r="X20" s="25"/>
      <c r="Y20" s="24">
        <v>175</v>
      </c>
      <c r="Z20" s="24">
        <v>4</v>
      </c>
      <c r="AA20" s="24">
        <v>289</v>
      </c>
      <c r="AB20" s="24">
        <v>313</v>
      </c>
      <c r="AC20" s="24"/>
      <c r="AD20" s="24"/>
      <c r="AE20" s="26">
        <f t="shared" si="2"/>
        <v>425.25</v>
      </c>
      <c r="AF20" s="24"/>
      <c r="AG20" s="27"/>
    </row>
    <row r="21" spans="1:41" s="28" customFormat="1" ht="26.25" customHeight="1" x14ac:dyDescent="0.25">
      <c r="A21" s="18">
        <v>45416</v>
      </c>
      <c r="B21" s="19"/>
      <c r="C21" s="20">
        <f>B21/200*25</f>
        <v>0</v>
      </c>
      <c r="D21" s="19">
        <v>1304</v>
      </c>
      <c r="E21" s="21">
        <f>D21/208*25</f>
        <v>156.73076923076923</v>
      </c>
      <c r="F21" s="19">
        <v>889</v>
      </c>
      <c r="G21" s="22">
        <f t="shared" si="3"/>
        <v>103.3720930232558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712</v>
      </c>
      <c r="Q21" s="24"/>
      <c r="R21" s="24"/>
      <c r="S21" s="25">
        <v>650</v>
      </c>
      <c r="T21" s="24"/>
      <c r="U21" s="24"/>
      <c r="V21" s="24">
        <v>34</v>
      </c>
      <c r="W21" s="25">
        <v>420</v>
      </c>
      <c r="X21" s="25"/>
      <c r="Y21" s="24">
        <v>158</v>
      </c>
      <c r="Z21" s="24">
        <v>6</v>
      </c>
      <c r="AA21" s="24">
        <v>220</v>
      </c>
      <c r="AB21" s="24">
        <v>336</v>
      </c>
      <c r="AC21" s="24"/>
      <c r="AD21" s="24"/>
      <c r="AE21" s="26">
        <f t="shared" si="2"/>
        <v>383.94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 t="shared" ref="B22:G22" si="7">SUM(B15:B21)</f>
        <v>0</v>
      </c>
      <c r="C22" s="32">
        <f t="shared" si="7"/>
        <v>0</v>
      </c>
      <c r="D22" s="31">
        <f t="shared" si="7"/>
        <v>6361</v>
      </c>
      <c r="E22" s="33">
        <f t="shared" si="7"/>
        <v>764.54326923076928</v>
      </c>
      <c r="F22" s="31">
        <f t="shared" si="7"/>
        <v>4715</v>
      </c>
      <c r="G22" s="33">
        <f t="shared" si="7"/>
        <v>548.25581395348843</v>
      </c>
      <c r="H22" s="31">
        <f t="shared" ref="H22:AG22" si="8">SUM(H15:H21)</f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55">
        <f t="shared" si="8"/>
        <v>3354.6</v>
      </c>
      <c r="Q22" s="31">
        <f t="shared" si="8"/>
        <v>0</v>
      </c>
      <c r="R22" s="31">
        <f t="shared" si="8"/>
        <v>0</v>
      </c>
      <c r="S22" s="31">
        <f t="shared" si="8"/>
        <v>2898</v>
      </c>
      <c r="T22" s="31">
        <f t="shared" si="8"/>
        <v>0</v>
      </c>
      <c r="U22" s="31">
        <f t="shared" si="8"/>
        <v>0</v>
      </c>
      <c r="V22" s="31">
        <f t="shared" si="8"/>
        <v>185</v>
      </c>
      <c r="W22" s="31">
        <f t="shared" si="8"/>
        <v>2326</v>
      </c>
      <c r="X22" s="31">
        <f t="shared" si="8"/>
        <v>0</v>
      </c>
      <c r="Y22" s="31">
        <f t="shared" si="8"/>
        <v>679</v>
      </c>
      <c r="Z22" s="31">
        <f t="shared" si="8"/>
        <v>26</v>
      </c>
      <c r="AA22" s="31">
        <f t="shared" si="8"/>
        <v>1303</v>
      </c>
      <c r="AB22" s="31">
        <f t="shared" si="8"/>
        <v>1070</v>
      </c>
      <c r="AC22" s="31">
        <f t="shared" si="8"/>
        <v>0</v>
      </c>
      <c r="AD22" s="31">
        <f t="shared" si="8"/>
        <v>0</v>
      </c>
      <c r="AE22" s="33">
        <f t="shared" si="8"/>
        <v>1649.9700000000003</v>
      </c>
      <c r="AF22" s="33">
        <f t="shared" si="8"/>
        <v>0</v>
      </c>
      <c r="AG22" s="33">
        <f t="shared" si="8"/>
        <v>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38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83" right="0.39370078740157483" top="0.74803149606299213" bottom="0.31496062992125984" header="0.31496062992125984" footer="0.31496062992125984"/>
  <pageSetup paperSize="14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3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45417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45418</v>
      </c>
      <c r="B16" s="19"/>
      <c r="C16" s="20">
        <f t="shared" si="0"/>
        <v>0</v>
      </c>
      <c r="D16" s="19">
        <v>1812</v>
      </c>
      <c r="E16" s="21">
        <f t="shared" si="1"/>
        <v>217.78846153846155</v>
      </c>
      <c r="F16" s="19">
        <v>1292</v>
      </c>
      <c r="G16" s="22">
        <f t="shared" ref="G16:G21" si="3">F16/215*25</f>
        <v>150.23255813953489</v>
      </c>
      <c r="H16" s="19"/>
      <c r="I16" s="23">
        <f t="shared" ref="I16:I20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852</v>
      </c>
      <c r="Q16" s="24"/>
      <c r="R16" s="24"/>
      <c r="S16" s="25">
        <v>691</v>
      </c>
      <c r="T16" s="24"/>
      <c r="U16" s="24"/>
      <c r="V16" s="24">
        <v>16</v>
      </c>
      <c r="W16" s="25">
        <v>791</v>
      </c>
      <c r="X16" s="25"/>
      <c r="Y16" s="24">
        <v>193</v>
      </c>
      <c r="Z16" s="24">
        <v>8</v>
      </c>
      <c r="AA16" s="24">
        <v>136</v>
      </c>
      <c r="AB16" s="24">
        <v>549</v>
      </c>
      <c r="AC16" s="24"/>
      <c r="AD16" s="24"/>
      <c r="AE16" s="26">
        <f t="shared" si="2"/>
        <v>468.99</v>
      </c>
      <c r="AF16" s="24"/>
      <c r="AG16" s="27"/>
      <c r="AH16" s="29"/>
    </row>
    <row r="17" spans="1:41" s="28" customFormat="1" ht="26.25" customHeight="1" x14ac:dyDescent="0.25">
      <c r="A17" s="18">
        <v>45419</v>
      </c>
      <c r="B17" s="19"/>
      <c r="C17" s="20">
        <f>B17/200*25</f>
        <v>0</v>
      </c>
      <c r="D17" s="19">
        <v>1893</v>
      </c>
      <c r="E17" s="21">
        <f t="shared" si="1"/>
        <v>227.52403846153845</v>
      </c>
      <c r="F17" s="19">
        <v>1672</v>
      </c>
      <c r="G17" s="22">
        <f t="shared" si="3"/>
        <v>194.41860465116278</v>
      </c>
      <c r="H17" s="19"/>
      <c r="I17" s="23">
        <f t="shared" si="4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1191</v>
      </c>
      <c r="Q17" s="24"/>
      <c r="R17" s="24"/>
      <c r="S17" s="25">
        <v>936</v>
      </c>
      <c r="T17" s="24"/>
      <c r="U17" s="24"/>
      <c r="V17" s="24">
        <v>24</v>
      </c>
      <c r="W17" s="25">
        <v>954</v>
      </c>
      <c r="X17" s="25"/>
      <c r="Y17" s="24">
        <v>250</v>
      </c>
      <c r="Z17" s="24">
        <v>6</v>
      </c>
      <c r="AA17" s="24">
        <v>391</v>
      </c>
      <c r="AB17" s="24">
        <v>428</v>
      </c>
      <c r="AC17" s="24"/>
      <c r="AD17" s="24"/>
      <c r="AE17" s="26">
        <f t="shared" si="2"/>
        <v>607.5</v>
      </c>
      <c r="AF17" s="24"/>
      <c r="AG17" s="27">
        <v>2</v>
      </c>
    </row>
    <row r="18" spans="1:41" s="28" customFormat="1" ht="26.25" customHeight="1" x14ac:dyDescent="0.25">
      <c r="A18" s="18">
        <v>45420</v>
      </c>
      <c r="B18" s="19"/>
      <c r="C18" s="20">
        <f t="shared" ref="C18:C19" si="5">B18/200*25</f>
        <v>0</v>
      </c>
      <c r="D18" s="19">
        <v>2027</v>
      </c>
      <c r="E18" s="21">
        <f t="shared" si="1"/>
        <v>243.62980769230771</v>
      </c>
      <c r="F18" s="19">
        <v>1439</v>
      </c>
      <c r="G18" s="22">
        <f t="shared" si="3"/>
        <v>167.32558139534882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1067</v>
      </c>
      <c r="Q18" s="24"/>
      <c r="R18" s="24"/>
      <c r="S18" s="24">
        <v>920</v>
      </c>
      <c r="T18" s="24"/>
      <c r="U18" s="24"/>
      <c r="V18" s="24"/>
      <c r="W18" s="25">
        <v>810</v>
      </c>
      <c r="X18" s="25"/>
      <c r="Y18" s="24">
        <v>193</v>
      </c>
      <c r="Z18" s="24">
        <v>4</v>
      </c>
      <c r="AA18" s="24"/>
      <c r="AB18" s="24">
        <v>738</v>
      </c>
      <c r="AC18" s="24"/>
      <c r="AD18" s="24"/>
      <c r="AE18" s="26">
        <f t="shared" si="2"/>
        <v>468.99</v>
      </c>
      <c r="AF18" s="24"/>
      <c r="AG18" s="27"/>
    </row>
    <row r="19" spans="1:41" s="28" customFormat="1" ht="26.25" customHeight="1" x14ac:dyDescent="0.25">
      <c r="A19" s="18">
        <v>45421</v>
      </c>
      <c r="B19" s="19"/>
      <c r="C19" s="20">
        <f t="shared" si="5"/>
        <v>0</v>
      </c>
      <c r="D19" s="19">
        <v>1729</v>
      </c>
      <c r="E19" s="21">
        <f t="shared" si="1"/>
        <v>207.8125</v>
      </c>
      <c r="F19" s="19">
        <v>1322</v>
      </c>
      <c r="G19" s="22">
        <f t="shared" si="3"/>
        <v>153.72093023255815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963</v>
      </c>
      <c r="Q19" s="24"/>
      <c r="R19" s="24"/>
      <c r="S19" s="24">
        <v>721</v>
      </c>
      <c r="T19" s="24"/>
      <c r="U19" s="24"/>
      <c r="V19" s="12"/>
      <c r="W19" s="24">
        <v>828</v>
      </c>
      <c r="X19" s="25"/>
      <c r="Y19" s="24">
        <v>211</v>
      </c>
      <c r="Z19" s="24">
        <v>2</v>
      </c>
      <c r="AA19" s="24"/>
      <c r="AB19" s="24">
        <v>668</v>
      </c>
      <c r="AC19" s="24"/>
      <c r="AD19" s="24"/>
      <c r="AE19" s="26">
        <f t="shared" si="2"/>
        <v>512.73</v>
      </c>
      <c r="AF19" s="24"/>
      <c r="AG19" s="27">
        <v>2</v>
      </c>
    </row>
    <row r="20" spans="1:41" s="28" customFormat="1" ht="26.25" customHeight="1" x14ac:dyDescent="0.25">
      <c r="A20" s="18">
        <v>45422</v>
      </c>
      <c r="B20" s="19"/>
      <c r="C20" s="20">
        <f>B20/200*25</f>
        <v>0</v>
      </c>
      <c r="D20" s="19">
        <v>1599</v>
      </c>
      <c r="E20" s="21">
        <f>D20/208*25</f>
        <v>192.1875</v>
      </c>
      <c r="F20" s="19">
        <v>1078</v>
      </c>
      <c r="G20" s="22">
        <f t="shared" si="3"/>
        <v>125.34883720930232</v>
      </c>
      <c r="H20" s="19"/>
      <c r="I20" s="23">
        <f t="shared" si="4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915</v>
      </c>
      <c r="Q20" s="24"/>
      <c r="R20" s="24"/>
      <c r="S20" s="24">
        <v>779</v>
      </c>
      <c r="T20" s="24"/>
      <c r="U20" s="24"/>
      <c r="V20" s="24"/>
      <c r="W20" s="25">
        <v>657</v>
      </c>
      <c r="X20" s="25"/>
      <c r="Y20" s="24">
        <v>182</v>
      </c>
      <c r="Z20" s="24">
        <v>2</v>
      </c>
      <c r="AA20" s="24"/>
      <c r="AB20" s="24">
        <v>661</v>
      </c>
      <c r="AC20" s="24"/>
      <c r="AD20" s="24"/>
      <c r="AE20" s="26">
        <f t="shared" si="2"/>
        <v>442.26000000000005</v>
      </c>
      <c r="AF20" s="24"/>
      <c r="AG20" s="27"/>
    </row>
    <row r="21" spans="1:41" s="28" customFormat="1" ht="26.25" customHeight="1" x14ac:dyDescent="0.25">
      <c r="A21" s="18">
        <v>45423</v>
      </c>
      <c r="B21" s="19"/>
      <c r="C21" s="20">
        <f>B21/200*25</f>
        <v>0</v>
      </c>
      <c r="D21" s="19">
        <v>1610</v>
      </c>
      <c r="E21" s="21">
        <f>D21/208*25</f>
        <v>193.50961538461539</v>
      </c>
      <c r="F21" s="19">
        <v>625</v>
      </c>
      <c r="G21" s="22">
        <f t="shared" si="3"/>
        <v>72.674418604651152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770.4</v>
      </c>
      <c r="Q21" s="24"/>
      <c r="R21" s="24"/>
      <c r="S21" s="25">
        <v>841</v>
      </c>
      <c r="T21" s="24"/>
      <c r="U21" s="24"/>
      <c r="V21" s="24"/>
      <c r="W21" s="25">
        <v>376</v>
      </c>
      <c r="X21" s="25"/>
      <c r="Y21" s="24">
        <v>147</v>
      </c>
      <c r="Z21" s="24">
        <v>2</v>
      </c>
      <c r="AA21" s="24"/>
      <c r="AB21" s="24">
        <v>520</v>
      </c>
      <c r="AC21" s="24"/>
      <c r="AD21" s="24"/>
      <c r="AE21" s="26">
        <f t="shared" si="2"/>
        <v>357.21000000000004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 t="shared" ref="B22:G22" si="7">SUM(B15:B21)</f>
        <v>0</v>
      </c>
      <c r="C22" s="32">
        <f t="shared" si="7"/>
        <v>0</v>
      </c>
      <c r="D22" s="31">
        <f t="shared" si="7"/>
        <v>10670</v>
      </c>
      <c r="E22" s="33">
        <f t="shared" si="7"/>
        <v>1282.4519230769231</v>
      </c>
      <c r="F22" s="31">
        <f t="shared" si="7"/>
        <v>7428</v>
      </c>
      <c r="G22" s="33">
        <f t="shared" si="7"/>
        <v>863.72093023255809</v>
      </c>
      <c r="H22" s="31">
        <f t="shared" ref="H22:AG22" si="8">SUM(H15:H21)</f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55">
        <f t="shared" si="8"/>
        <v>5758.4</v>
      </c>
      <c r="Q22" s="31">
        <f t="shared" si="8"/>
        <v>0</v>
      </c>
      <c r="R22" s="31">
        <f t="shared" si="8"/>
        <v>0</v>
      </c>
      <c r="S22" s="31">
        <f t="shared" si="8"/>
        <v>4888</v>
      </c>
      <c r="T22" s="31">
        <f t="shared" si="8"/>
        <v>0</v>
      </c>
      <c r="U22" s="31">
        <f t="shared" si="8"/>
        <v>0</v>
      </c>
      <c r="V22" s="31">
        <f t="shared" si="8"/>
        <v>40</v>
      </c>
      <c r="W22" s="31">
        <f t="shared" si="8"/>
        <v>4416</v>
      </c>
      <c r="X22" s="31">
        <f t="shared" si="8"/>
        <v>0</v>
      </c>
      <c r="Y22" s="31">
        <f t="shared" si="8"/>
        <v>1176</v>
      </c>
      <c r="Z22" s="31">
        <f t="shared" si="8"/>
        <v>24</v>
      </c>
      <c r="AA22" s="31">
        <f t="shared" si="8"/>
        <v>527</v>
      </c>
      <c r="AB22" s="31">
        <f t="shared" si="8"/>
        <v>3564</v>
      </c>
      <c r="AC22" s="31">
        <f t="shared" si="8"/>
        <v>0</v>
      </c>
      <c r="AD22" s="31">
        <f t="shared" si="8"/>
        <v>0</v>
      </c>
      <c r="AE22" s="33">
        <f t="shared" si="8"/>
        <v>2857.6800000000003</v>
      </c>
      <c r="AF22" s="33">
        <f t="shared" si="8"/>
        <v>0</v>
      </c>
      <c r="AG22" s="33">
        <f t="shared" si="8"/>
        <v>5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45424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45425</v>
      </c>
      <c r="B16" s="19"/>
      <c r="C16" s="20">
        <f t="shared" si="0"/>
        <v>0</v>
      </c>
      <c r="D16" s="19">
        <v>1731</v>
      </c>
      <c r="E16" s="21">
        <f t="shared" si="1"/>
        <v>208.05288461538461</v>
      </c>
      <c r="F16" s="19">
        <v>1055</v>
      </c>
      <c r="G16" s="22">
        <f t="shared" ref="G16:G21" si="3">F16/215*25</f>
        <v>122.67441860465115</v>
      </c>
      <c r="H16" s="19"/>
      <c r="I16" s="23">
        <f t="shared" ref="I16:I20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1016.6</v>
      </c>
      <c r="Q16" s="24"/>
      <c r="R16" s="24"/>
      <c r="S16" s="25">
        <v>862</v>
      </c>
      <c r="T16" s="24"/>
      <c r="U16" s="24"/>
      <c r="V16" s="24"/>
      <c r="W16" s="25">
        <v>705</v>
      </c>
      <c r="X16" s="25"/>
      <c r="Y16" s="24">
        <v>197</v>
      </c>
      <c r="Z16" s="24">
        <v>2</v>
      </c>
      <c r="AA16" s="24"/>
      <c r="AB16" s="24">
        <v>640</v>
      </c>
      <c r="AC16" s="24"/>
      <c r="AD16" s="24"/>
      <c r="AE16" s="26">
        <f t="shared" si="2"/>
        <v>478.71000000000004</v>
      </c>
      <c r="AF16" s="24"/>
      <c r="AG16" s="27">
        <v>1</v>
      </c>
      <c r="AH16" s="29"/>
    </row>
    <row r="17" spans="1:41" s="28" customFormat="1" ht="26.25" customHeight="1" x14ac:dyDescent="0.25">
      <c r="A17" s="18">
        <v>45426</v>
      </c>
      <c r="B17" s="19"/>
      <c r="C17" s="20">
        <f>B17/200*25</f>
        <v>0</v>
      </c>
      <c r="D17" s="19">
        <v>1514</v>
      </c>
      <c r="E17" s="21">
        <f t="shared" si="1"/>
        <v>181.97115384615387</v>
      </c>
      <c r="F17" s="19">
        <v>1152</v>
      </c>
      <c r="G17" s="22">
        <f t="shared" si="3"/>
        <v>133.95348837209303</v>
      </c>
      <c r="H17" s="19"/>
      <c r="I17" s="23">
        <f t="shared" si="4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918.6</v>
      </c>
      <c r="Q17" s="24"/>
      <c r="R17" s="24"/>
      <c r="S17" s="25">
        <v>636</v>
      </c>
      <c r="T17" s="24"/>
      <c r="U17" s="24"/>
      <c r="V17" s="24"/>
      <c r="W17" s="25">
        <v>763</v>
      </c>
      <c r="X17" s="25"/>
      <c r="Y17" s="24">
        <v>184</v>
      </c>
      <c r="Z17" s="24">
        <v>2</v>
      </c>
      <c r="AA17" s="24"/>
      <c r="AB17" s="24">
        <v>614</v>
      </c>
      <c r="AC17" s="24"/>
      <c r="AD17" s="24"/>
      <c r="AE17" s="26">
        <f t="shared" si="2"/>
        <v>447.12</v>
      </c>
      <c r="AF17" s="24"/>
      <c r="AG17" s="27">
        <v>1</v>
      </c>
    </row>
    <row r="18" spans="1:41" s="28" customFormat="1" ht="26.25" customHeight="1" x14ac:dyDescent="0.25">
      <c r="A18" s="18">
        <v>45427</v>
      </c>
      <c r="B18" s="19"/>
      <c r="C18" s="20">
        <f t="shared" ref="C18:C19" si="5">B18/200*25</f>
        <v>0</v>
      </c>
      <c r="D18" s="19">
        <v>1811</v>
      </c>
      <c r="E18" s="21">
        <f t="shared" si="1"/>
        <v>217.66826923076925</v>
      </c>
      <c r="F18" s="19">
        <v>677</v>
      </c>
      <c r="G18" s="22">
        <f t="shared" si="3"/>
        <v>78.720930232558146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865.2</v>
      </c>
      <c r="Q18" s="24"/>
      <c r="R18" s="24"/>
      <c r="S18" s="24">
        <v>912</v>
      </c>
      <c r="T18" s="24"/>
      <c r="U18" s="24"/>
      <c r="V18" s="24"/>
      <c r="W18" s="25">
        <v>475</v>
      </c>
      <c r="X18" s="25"/>
      <c r="Y18" s="24">
        <v>163</v>
      </c>
      <c r="Z18" s="24">
        <v>2</v>
      </c>
      <c r="AA18" s="24"/>
      <c r="AB18" s="24">
        <v>548</v>
      </c>
      <c r="AC18" s="24"/>
      <c r="AD18" s="24"/>
      <c r="AE18" s="26">
        <f t="shared" si="2"/>
        <v>396.09000000000003</v>
      </c>
      <c r="AF18" s="24"/>
      <c r="AG18" s="27"/>
    </row>
    <row r="19" spans="1:41" s="28" customFormat="1" ht="26.25" customHeight="1" x14ac:dyDescent="0.25">
      <c r="A19" s="18">
        <v>45428</v>
      </c>
      <c r="B19" s="19"/>
      <c r="C19" s="20">
        <f t="shared" si="5"/>
        <v>0</v>
      </c>
      <c r="D19" s="19">
        <v>2155</v>
      </c>
      <c r="E19" s="21">
        <f t="shared" si="1"/>
        <v>259.01442307692309</v>
      </c>
      <c r="F19" s="19">
        <v>1275</v>
      </c>
      <c r="G19" s="22">
        <f t="shared" si="3"/>
        <v>148.25581395348837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1219</v>
      </c>
      <c r="Q19" s="24"/>
      <c r="R19" s="24"/>
      <c r="S19" s="24">
        <v>1071</v>
      </c>
      <c r="T19" s="24"/>
      <c r="U19" s="24"/>
      <c r="V19" s="12">
        <v>39</v>
      </c>
      <c r="W19" s="24">
        <v>811</v>
      </c>
      <c r="X19" s="25"/>
      <c r="Y19" s="24">
        <v>204</v>
      </c>
      <c r="Z19" s="24">
        <v>6</v>
      </c>
      <c r="AA19" s="24">
        <v>18</v>
      </c>
      <c r="AB19" s="24">
        <v>793</v>
      </c>
      <c r="AC19" s="24"/>
      <c r="AD19" s="24"/>
      <c r="AE19" s="26">
        <f t="shared" si="2"/>
        <v>495.72</v>
      </c>
      <c r="AF19" s="24"/>
      <c r="AG19" s="27">
        <v>1</v>
      </c>
    </row>
    <row r="20" spans="1:41" s="28" customFormat="1" ht="26.25" customHeight="1" x14ac:dyDescent="0.25">
      <c r="A20" s="18">
        <v>45429</v>
      </c>
      <c r="B20" s="19"/>
      <c r="C20" s="20">
        <f>B20/200*25</f>
        <v>0</v>
      </c>
      <c r="D20" s="19">
        <v>1580</v>
      </c>
      <c r="E20" s="21">
        <f>D20/208*25</f>
        <v>189.90384615384613</v>
      </c>
      <c r="F20" s="19">
        <v>1172</v>
      </c>
      <c r="G20" s="22">
        <f t="shared" si="3"/>
        <v>136.27906976744185</v>
      </c>
      <c r="H20" s="19"/>
      <c r="I20" s="23">
        <f t="shared" si="4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984</v>
      </c>
      <c r="Q20" s="24"/>
      <c r="R20" s="24"/>
      <c r="S20" s="24">
        <v>789</v>
      </c>
      <c r="T20" s="24"/>
      <c r="U20" s="24"/>
      <c r="V20" s="24"/>
      <c r="W20" s="25">
        <v>732</v>
      </c>
      <c r="X20" s="25"/>
      <c r="Y20" s="24">
        <v>174</v>
      </c>
      <c r="Z20" s="24">
        <v>2</v>
      </c>
      <c r="AA20" s="24"/>
      <c r="AB20" s="24">
        <v>658</v>
      </c>
      <c r="AC20" s="24"/>
      <c r="AD20" s="24"/>
      <c r="AE20" s="26">
        <f t="shared" si="2"/>
        <v>422.82000000000005</v>
      </c>
      <c r="AF20" s="24"/>
      <c r="AG20" s="27">
        <v>1</v>
      </c>
    </row>
    <row r="21" spans="1:41" s="28" customFormat="1" ht="26.25" customHeight="1" x14ac:dyDescent="0.25">
      <c r="A21" s="18">
        <v>45430</v>
      </c>
      <c r="B21" s="19"/>
      <c r="C21" s="20">
        <f>B21/200*25</f>
        <v>0</v>
      </c>
      <c r="D21" s="19">
        <v>1428</v>
      </c>
      <c r="E21" s="21">
        <f>D21/208*25</f>
        <v>171.63461538461539</v>
      </c>
      <c r="F21" s="19">
        <v>684</v>
      </c>
      <c r="G21" s="22">
        <f t="shared" si="3"/>
        <v>79.534883720930225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745</v>
      </c>
      <c r="Q21" s="24"/>
      <c r="R21" s="24"/>
      <c r="S21" s="25">
        <v>743</v>
      </c>
      <c r="T21" s="24"/>
      <c r="U21" s="24"/>
      <c r="V21" s="24">
        <v>24</v>
      </c>
      <c r="W21" s="25">
        <v>426</v>
      </c>
      <c r="X21" s="25"/>
      <c r="Y21" s="24">
        <v>108</v>
      </c>
      <c r="Z21" s="24">
        <v>6</v>
      </c>
      <c r="AA21" s="24">
        <v>8</v>
      </c>
      <c r="AB21" s="24">
        <v>497</v>
      </c>
      <c r="AC21" s="24"/>
      <c r="AD21" s="24"/>
      <c r="AE21" s="26">
        <f t="shared" si="2"/>
        <v>262.44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G22" si="7">SUM(B15:B21)</f>
        <v>0</v>
      </c>
      <c r="C22" s="32">
        <f t="shared" si="7"/>
        <v>0</v>
      </c>
      <c r="D22" s="31">
        <f t="shared" si="7"/>
        <v>10219</v>
      </c>
      <c r="E22" s="33">
        <f t="shared" si="7"/>
        <v>1228.2451923076924</v>
      </c>
      <c r="F22" s="31">
        <f t="shared" si="7"/>
        <v>6015</v>
      </c>
      <c r="G22" s="33">
        <f t="shared" si="7"/>
        <v>699.41860465116281</v>
      </c>
      <c r="H22" s="31">
        <f t="shared" ref="H22:AG22" si="8">SUM(H15:H21)</f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55">
        <f t="shared" si="8"/>
        <v>5748.4</v>
      </c>
      <c r="Q22" s="31">
        <f t="shared" si="8"/>
        <v>0</v>
      </c>
      <c r="R22" s="31">
        <f t="shared" si="8"/>
        <v>0</v>
      </c>
      <c r="S22" s="31">
        <f t="shared" si="8"/>
        <v>5013</v>
      </c>
      <c r="T22" s="31">
        <f t="shared" si="8"/>
        <v>0</v>
      </c>
      <c r="U22" s="31">
        <f t="shared" si="8"/>
        <v>0</v>
      </c>
      <c r="V22" s="31">
        <f t="shared" si="8"/>
        <v>63</v>
      </c>
      <c r="W22" s="31">
        <f t="shared" si="8"/>
        <v>3912</v>
      </c>
      <c r="X22" s="31">
        <f t="shared" si="8"/>
        <v>0</v>
      </c>
      <c r="Y22" s="31">
        <f t="shared" si="8"/>
        <v>1030</v>
      </c>
      <c r="Z22" s="31">
        <f t="shared" si="8"/>
        <v>20</v>
      </c>
      <c r="AA22" s="31">
        <f t="shared" si="8"/>
        <v>26</v>
      </c>
      <c r="AB22" s="31">
        <f t="shared" si="8"/>
        <v>3750</v>
      </c>
      <c r="AC22" s="31">
        <f t="shared" si="8"/>
        <v>0</v>
      </c>
      <c r="AD22" s="31">
        <f t="shared" si="8"/>
        <v>0</v>
      </c>
      <c r="AE22" s="33">
        <f t="shared" si="8"/>
        <v>2502.9</v>
      </c>
      <c r="AF22" s="33">
        <f t="shared" si="8"/>
        <v>0</v>
      </c>
      <c r="AG22" s="33">
        <f t="shared" si="8"/>
        <v>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49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50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F23" sqref="F23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69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45431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45432</v>
      </c>
      <c r="B16" s="19"/>
      <c r="C16" s="20">
        <f t="shared" si="0"/>
        <v>0</v>
      </c>
      <c r="D16" s="19">
        <v>1814</v>
      </c>
      <c r="E16" s="21">
        <f>D16/208*25</f>
        <v>218.02884615384616</v>
      </c>
      <c r="F16" s="19">
        <v>1282</v>
      </c>
      <c r="G16" s="22">
        <f>F16/215*25</f>
        <v>149.06976744186048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1063.2</v>
      </c>
      <c r="Q16" s="24"/>
      <c r="R16" s="24"/>
      <c r="S16" s="25">
        <v>893</v>
      </c>
      <c r="T16" s="24"/>
      <c r="U16" s="24"/>
      <c r="V16" s="24"/>
      <c r="W16" s="25">
        <v>811</v>
      </c>
      <c r="X16" s="25"/>
      <c r="Y16" s="24">
        <v>179</v>
      </c>
      <c r="Z16" s="24"/>
      <c r="AA16" s="24"/>
      <c r="AB16" s="24">
        <v>726</v>
      </c>
      <c r="AC16" s="24"/>
      <c r="AD16" s="24"/>
      <c r="AE16" s="26">
        <f t="shared" si="2"/>
        <v>434.97</v>
      </c>
      <c r="AF16" s="24"/>
      <c r="AG16" s="27">
        <v>1</v>
      </c>
      <c r="AH16" s="29"/>
    </row>
    <row r="17" spans="1:41" s="28" customFormat="1" ht="26.25" customHeight="1" x14ac:dyDescent="0.25">
      <c r="A17" s="18">
        <v>45433</v>
      </c>
      <c r="B17" s="19"/>
      <c r="C17" s="20">
        <f>B17/200*25</f>
        <v>0</v>
      </c>
      <c r="D17" s="19">
        <v>2237</v>
      </c>
      <c r="E17" s="21">
        <f t="shared" si="1"/>
        <v>268.87019230769226</v>
      </c>
      <c r="F17" s="19">
        <v>1099</v>
      </c>
      <c r="G17" s="22">
        <f>F17/215*25</f>
        <v>127.7906976744186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930</v>
      </c>
      <c r="Q17" s="24"/>
      <c r="R17" s="24"/>
      <c r="S17" s="25">
        <v>953</v>
      </c>
      <c r="T17" s="24"/>
      <c r="U17" s="24"/>
      <c r="V17" s="24">
        <v>24</v>
      </c>
      <c r="W17" s="25">
        <v>610</v>
      </c>
      <c r="X17" s="25"/>
      <c r="Y17" s="24">
        <v>183</v>
      </c>
      <c r="Z17" s="24">
        <v>6</v>
      </c>
      <c r="AA17" s="24">
        <v>6</v>
      </c>
      <c r="AB17" s="24">
        <v>674</v>
      </c>
      <c r="AC17" s="24"/>
      <c r="AD17" s="24"/>
      <c r="AE17" s="26">
        <f t="shared" si="2"/>
        <v>444.69000000000005</v>
      </c>
      <c r="AF17" s="24"/>
      <c r="AG17" s="27"/>
    </row>
    <row r="18" spans="1:41" s="28" customFormat="1" ht="26.25" customHeight="1" x14ac:dyDescent="0.25">
      <c r="A18" s="18">
        <v>45434</v>
      </c>
      <c r="B18" s="19"/>
      <c r="C18" s="20">
        <f t="shared" ref="C18:C19" si="4">B18/200*25</f>
        <v>0</v>
      </c>
      <c r="D18" s="19">
        <v>1823</v>
      </c>
      <c r="E18" s="21">
        <f t="shared" si="1"/>
        <v>219.11057692307691</v>
      </c>
      <c r="F18" s="19">
        <v>1024</v>
      </c>
      <c r="G18" s="22">
        <f t="shared" ref="G18:G21" si="5">F18/215*25</f>
        <v>119.06976744186046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1097</v>
      </c>
      <c r="Q18" s="24"/>
      <c r="R18" s="24"/>
      <c r="S18" s="24">
        <v>1006</v>
      </c>
      <c r="T18" s="24"/>
      <c r="U18" s="24"/>
      <c r="V18" s="24">
        <v>25</v>
      </c>
      <c r="W18" s="25">
        <v>642</v>
      </c>
      <c r="X18" s="25"/>
      <c r="Y18" s="24">
        <v>185</v>
      </c>
      <c r="Z18" s="24">
        <v>2</v>
      </c>
      <c r="AA18" s="24">
        <v>108</v>
      </c>
      <c r="AB18" s="24">
        <v>551</v>
      </c>
      <c r="AC18" s="24"/>
      <c r="AD18" s="24"/>
      <c r="AE18" s="26">
        <f t="shared" si="2"/>
        <v>449.55</v>
      </c>
      <c r="AF18" s="24"/>
      <c r="AG18" s="27"/>
    </row>
    <row r="19" spans="1:41" s="28" customFormat="1" ht="26.25" customHeight="1" x14ac:dyDescent="0.25">
      <c r="A19" s="18">
        <v>45435</v>
      </c>
      <c r="B19" s="19"/>
      <c r="C19" s="20">
        <f t="shared" si="4"/>
        <v>0</v>
      </c>
      <c r="D19" s="19">
        <v>1763</v>
      </c>
      <c r="E19" s="21">
        <f t="shared" si="1"/>
        <v>211.89903846153845</v>
      </c>
      <c r="F19" s="19">
        <v>1122</v>
      </c>
      <c r="G19" s="22">
        <f t="shared" si="5"/>
        <v>130.46511627906975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884</v>
      </c>
      <c r="Q19" s="24"/>
      <c r="R19" s="24"/>
      <c r="S19" s="24">
        <v>792</v>
      </c>
      <c r="T19" s="24"/>
      <c r="U19" s="24"/>
      <c r="V19" s="12"/>
      <c r="W19" s="24">
        <v>658</v>
      </c>
      <c r="X19" s="25"/>
      <c r="Y19" s="24">
        <v>191</v>
      </c>
      <c r="Z19" s="24"/>
      <c r="AA19" s="24">
        <v>277</v>
      </c>
      <c r="AB19" s="24">
        <v>318</v>
      </c>
      <c r="AC19" s="24"/>
      <c r="AD19" s="24"/>
      <c r="AE19" s="26">
        <f t="shared" si="2"/>
        <v>464.13000000000005</v>
      </c>
      <c r="AF19" s="24"/>
      <c r="AG19" s="27"/>
    </row>
    <row r="20" spans="1:41" s="28" customFormat="1" ht="26.25" customHeight="1" x14ac:dyDescent="0.25">
      <c r="A20" s="18">
        <v>45436</v>
      </c>
      <c r="B20" s="19"/>
      <c r="C20" s="20">
        <f>B20/200*25</f>
        <v>0</v>
      </c>
      <c r="D20" s="19">
        <v>1770</v>
      </c>
      <c r="E20" s="21">
        <f>D20/208*25</f>
        <v>212.74038461538461</v>
      </c>
      <c r="F20" s="19">
        <v>1111</v>
      </c>
      <c r="G20" s="22">
        <f t="shared" si="5"/>
        <v>129.18604651162789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1043</v>
      </c>
      <c r="Q20" s="24"/>
      <c r="R20" s="24"/>
      <c r="S20" s="24">
        <v>897</v>
      </c>
      <c r="T20" s="24"/>
      <c r="U20" s="24"/>
      <c r="V20" s="24">
        <v>6</v>
      </c>
      <c r="W20" s="25">
        <v>667</v>
      </c>
      <c r="X20" s="25"/>
      <c r="Y20" s="24">
        <v>193</v>
      </c>
      <c r="Z20" s="24">
        <v>4</v>
      </c>
      <c r="AA20" s="24">
        <v>271</v>
      </c>
      <c r="AB20" s="24">
        <v>402</v>
      </c>
      <c r="AC20" s="24"/>
      <c r="AD20" s="24"/>
      <c r="AE20" s="26">
        <f t="shared" si="2"/>
        <v>468.99</v>
      </c>
      <c r="AF20" s="24"/>
      <c r="AG20" s="27">
        <v>2</v>
      </c>
    </row>
    <row r="21" spans="1:41" s="28" customFormat="1" ht="26.25" customHeight="1" x14ac:dyDescent="0.25">
      <c r="A21" s="18">
        <v>45437</v>
      </c>
      <c r="B21" s="19"/>
      <c r="C21" s="20">
        <f>B21/200*25</f>
        <v>0</v>
      </c>
      <c r="D21" s="19">
        <v>1418</v>
      </c>
      <c r="E21" s="21">
        <f>D21/208*25</f>
        <v>170.43269230769232</v>
      </c>
      <c r="F21" s="19">
        <v>727</v>
      </c>
      <c r="G21" s="22">
        <f t="shared" si="5"/>
        <v>84.534883720930225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761</v>
      </c>
      <c r="Q21" s="24"/>
      <c r="R21" s="24"/>
      <c r="S21" s="25">
        <v>697</v>
      </c>
      <c r="T21" s="24"/>
      <c r="U21" s="24"/>
      <c r="V21" s="24">
        <v>27</v>
      </c>
      <c r="W21" s="25">
        <v>421</v>
      </c>
      <c r="X21" s="25"/>
      <c r="Y21" s="24">
        <v>141</v>
      </c>
      <c r="Z21" s="24">
        <v>4</v>
      </c>
      <c r="AA21" s="24">
        <v>189</v>
      </c>
      <c r="AB21" s="24">
        <v>309</v>
      </c>
      <c r="AC21" s="24"/>
      <c r="AD21" s="24"/>
      <c r="AE21" s="26">
        <f t="shared" si="2"/>
        <v>342.63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10825</v>
      </c>
      <c r="E22" s="33">
        <f t="shared" si="7"/>
        <v>1301.0817307692307</v>
      </c>
      <c r="F22" s="31">
        <f t="shared" si="7"/>
        <v>6365</v>
      </c>
      <c r="G22" s="33">
        <f t="shared" si="7"/>
        <v>740.11627906976742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55">
        <f t="shared" si="7"/>
        <v>5778.2</v>
      </c>
      <c r="Q22" s="31">
        <f t="shared" si="7"/>
        <v>0</v>
      </c>
      <c r="R22" s="31">
        <f t="shared" si="7"/>
        <v>0</v>
      </c>
      <c r="S22" s="31">
        <f t="shared" si="7"/>
        <v>5238</v>
      </c>
      <c r="T22" s="31">
        <f t="shared" si="7"/>
        <v>0</v>
      </c>
      <c r="U22" s="31">
        <f t="shared" si="7"/>
        <v>0</v>
      </c>
      <c r="V22" s="31">
        <f t="shared" si="7"/>
        <v>82</v>
      </c>
      <c r="W22" s="31">
        <f t="shared" si="7"/>
        <v>3809</v>
      </c>
      <c r="X22" s="31">
        <f t="shared" si="7"/>
        <v>0</v>
      </c>
      <c r="Y22" s="31">
        <f t="shared" si="7"/>
        <v>1072</v>
      </c>
      <c r="Z22" s="31">
        <f t="shared" si="7"/>
        <v>16</v>
      </c>
      <c r="AA22" s="31">
        <f t="shared" si="7"/>
        <v>851</v>
      </c>
      <c r="AB22" s="31">
        <f t="shared" si="7"/>
        <v>2980</v>
      </c>
      <c r="AC22" s="31">
        <f t="shared" si="7"/>
        <v>0</v>
      </c>
      <c r="AD22" s="31">
        <f t="shared" si="7"/>
        <v>0</v>
      </c>
      <c r="AE22" s="33">
        <f t="shared" si="7"/>
        <v>2604.96</v>
      </c>
      <c r="AF22" s="33">
        <f t="shared" si="7"/>
        <v>0</v>
      </c>
      <c r="AG22" s="33">
        <f t="shared" si="7"/>
        <v>3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E24" sqref="E24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45438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45439</v>
      </c>
      <c r="B16" s="19"/>
      <c r="C16" s="20">
        <f t="shared" si="0"/>
        <v>0</v>
      </c>
      <c r="D16" s="19">
        <v>1440</v>
      </c>
      <c r="E16" s="21">
        <f>D16/208*25</f>
        <v>173.07692307692309</v>
      </c>
      <c r="F16" s="19">
        <v>1365</v>
      </c>
      <c r="G16" s="22">
        <f>F16/215*25</f>
        <v>158.72093023255815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995</v>
      </c>
      <c r="Q16" s="24"/>
      <c r="R16" s="24"/>
      <c r="S16" s="25">
        <v>888</v>
      </c>
      <c r="T16" s="24"/>
      <c r="U16" s="24"/>
      <c r="V16" s="24">
        <v>29</v>
      </c>
      <c r="W16" s="25">
        <v>603</v>
      </c>
      <c r="X16" s="25">
        <f>W16+V16</f>
        <v>632</v>
      </c>
      <c r="Y16" s="24">
        <v>201</v>
      </c>
      <c r="Z16" s="24">
        <v>4</v>
      </c>
      <c r="AA16" s="24">
        <v>223</v>
      </c>
      <c r="AB16" s="24">
        <v>372</v>
      </c>
      <c r="AC16" s="24"/>
      <c r="AD16" s="24"/>
      <c r="AE16" s="26">
        <f t="shared" si="2"/>
        <v>488.43</v>
      </c>
      <c r="AF16" s="24"/>
      <c r="AG16" s="27"/>
      <c r="AH16" s="29"/>
    </row>
    <row r="17" spans="1:41" s="28" customFormat="1" ht="26.25" customHeight="1" x14ac:dyDescent="0.25">
      <c r="A17" s="18">
        <v>45440</v>
      </c>
      <c r="B17" s="19"/>
      <c r="C17" s="20">
        <f>B17/200*25</f>
        <v>0</v>
      </c>
      <c r="D17" s="19">
        <v>1766</v>
      </c>
      <c r="E17" s="21">
        <f t="shared" si="1"/>
        <v>212.25961538461539</v>
      </c>
      <c r="F17" s="19">
        <v>1376</v>
      </c>
      <c r="G17" s="22">
        <f>F17/215*25</f>
        <v>160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1132</v>
      </c>
      <c r="Q17" s="24"/>
      <c r="R17" s="24"/>
      <c r="S17" s="25">
        <v>941</v>
      </c>
      <c r="T17" s="24"/>
      <c r="U17" s="24"/>
      <c r="V17" s="24">
        <v>54</v>
      </c>
      <c r="W17" s="25">
        <v>720</v>
      </c>
      <c r="X17" s="25">
        <f t="shared" ref="X17:X21" si="4">W17+V17</f>
        <v>774</v>
      </c>
      <c r="Y17" s="24">
        <v>192</v>
      </c>
      <c r="Z17" s="24">
        <v>6</v>
      </c>
      <c r="AA17" s="24">
        <v>308</v>
      </c>
      <c r="AB17" s="24">
        <v>360</v>
      </c>
      <c r="AC17" s="24"/>
      <c r="AD17" s="24"/>
      <c r="AE17" s="26">
        <f t="shared" si="2"/>
        <v>466.56000000000006</v>
      </c>
      <c r="AF17" s="24"/>
      <c r="AG17" s="27"/>
    </row>
    <row r="18" spans="1:41" s="28" customFormat="1" ht="26.25" customHeight="1" x14ac:dyDescent="0.25">
      <c r="A18" s="18">
        <v>45441</v>
      </c>
      <c r="B18" s="19"/>
      <c r="C18" s="20">
        <f t="shared" ref="C18:C19" si="5">B18/200*25</f>
        <v>0</v>
      </c>
      <c r="D18" s="19">
        <v>1922</v>
      </c>
      <c r="E18" s="21">
        <f t="shared" si="1"/>
        <v>231.00961538461539</v>
      </c>
      <c r="F18" s="19">
        <v>1206</v>
      </c>
      <c r="G18" s="22">
        <f t="shared" ref="G18:G21" si="6">F18/215*25</f>
        <v>140.23255813953489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7">N18/38*25</f>
        <v>0</v>
      </c>
      <c r="P18" s="23">
        <v>1058</v>
      </c>
      <c r="Q18" s="24"/>
      <c r="R18" s="24"/>
      <c r="S18" s="24">
        <v>943</v>
      </c>
      <c r="T18" s="24"/>
      <c r="U18" s="24"/>
      <c r="V18" s="24">
        <v>53</v>
      </c>
      <c r="W18" s="25">
        <v>617</v>
      </c>
      <c r="X18" s="25">
        <f t="shared" si="4"/>
        <v>670</v>
      </c>
      <c r="Y18" s="24">
        <v>191</v>
      </c>
      <c r="Z18" s="24">
        <v>6</v>
      </c>
      <c r="AA18" s="24">
        <v>272</v>
      </c>
      <c r="AB18" s="24">
        <v>365</v>
      </c>
      <c r="AC18" s="24"/>
      <c r="AD18" s="24"/>
      <c r="AE18" s="26">
        <f t="shared" si="2"/>
        <v>464.13000000000005</v>
      </c>
      <c r="AF18" s="24"/>
      <c r="AG18" s="27">
        <v>1</v>
      </c>
    </row>
    <row r="19" spans="1:41" s="28" customFormat="1" ht="26.25" customHeight="1" x14ac:dyDescent="0.25">
      <c r="A19" s="18">
        <v>45442</v>
      </c>
      <c r="B19" s="19"/>
      <c r="C19" s="20">
        <f t="shared" si="5"/>
        <v>0</v>
      </c>
      <c r="D19" s="19">
        <v>1786</v>
      </c>
      <c r="E19" s="21">
        <f t="shared" si="1"/>
        <v>214.66346153846155</v>
      </c>
      <c r="F19" s="19">
        <v>965</v>
      </c>
      <c r="G19" s="22">
        <f t="shared" si="6"/>
        <v>112.20930232558139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7"/>
        <v>0</v>
      </c>
      <c r="P19" s="23">
        <v>914.4</v>
      </c>
      <c r="Q19" s="24"/>
      <c r="R19" s="24"/>
      <c r="S19" s="24">
        <v>862</v>
      </c>
      <c r="T19" s="24"/>
      <c r="U19" s="24"/>
      <c r="V19" s="12">
        <v>52</v>
      </c>
      <c r="W19" s="24">
        <v>503</v>
      </c>
      <c r="X19" s="25">
        <f t="shared" si="4"/>
        <v>555</v>
      </c>
      <c r="Y19" s="24">
        <v>176</v>
      </c>
      <c r="Z19" s="24">
        <v>4</v>
      </c>
      <c r="AA19" s="24">
        <v>219</v>
      </c>
      <c r="AB19" s="24">
        <v>314</v>
      </c>
      <c r="AC19" s="24"/>
      <c r="AD19" s="24"/>
      <c r="AE19" s="26">
        <f t="shared" si="2"/>
        <v>427.68</v>
      </c>
      <c r="AF19" s="24"/>
      <c r="AG19" s="27"/>
    </row>
    <row r="20" spans="1:41" s="28" customFormat="1" ht="26.25" customHeight="1" x14ac:dyDescent="0.25">
      <c r="A20" s="18">
        <v>45443</v>
      </c>
      <c r="B20" s="19"/>
      <c r="C20" s="20">
        <f>B20/200*25</f>
        <v>0</v>
      </c>
      <c r="D20" s="19">
        <v>1317</v>
      </c>
      <c r="E20" s="21">
        <f>D20/208*25</f>
        <v>158.29326923076923</v>
      </c>
      <c r="F20" s="19">
        <v>1036</v>
      </c>
      <c r="G20" s="22">
        <f t="shared" si="6"/>
        <v>120.46511627906978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7"/>
        <v>0</v>
      </c>
      <c r="P20" s="23">
        <v>893.6</v>
      </c>
      <c r="Q20" s="24"/>
      <c r="R20" s="24"/>
      <c r="S20" s="24">
        <v>705</v>
      </c>
      <c r="T20" s="24"/>
      <c r="U20" s="24"/>
      <c r="V20" s="24">
        <v>26</v>
      </c>
      <c r="W20" s="25">
        <v>596</v>
      </c>
      <c r="X20" s="25">
        <f t="shared" si="4"/>
        <v>622</v>
      </c>
      <c r="Y20" s="24">
        <v>185</v>
      </c>
      <c r="Z20" s="24">
        <v>2</v>
      </c>
      <c r="AA20" s="24">
        <v>239</v>
      </c>
      <c r="AB20" s="24">
        <v>266</v>
      </c>
      <c r="AC20" s="24"/>
      <c r="AD20" s="24"/>
      <c r="AE20" s="26">
        <f t="shared" si="2"/>
        <v>449.55</v>
      </c>
      <c r="AF20" s="24"/>
      <c r="AG20" s="27"/>
    </row>
    <row r="21" spans="1:41" s="28" customFormat="1" ht="26.25" customHeight="1" x14ac:dyDescent="0.25">
      <c r="A21" s="18">
        <v>45444</v>
      </c>
      <c r="B21" s="19"/>
      <c r="C21" s="20">
        <f>B21/200*25</f>
        <v>0</v>
      </c>
      <c r="D21" s="19">
        <v>1572</v>
      </c>
      <c r="E21" s="21">
        <f>D21/208*25</f>
        <v>188.94230769230768</v>
      </c>
      <c r="F21" s="19">
        <v>874</v>
      </c>
      <c r="G21" s="22">
        <f t="shared" si="6"/>
        <v>101.62790697674417</v>
      </c>
      <c r="H21" s="19"/>
      <c r="I21" s="23"/>
      <c r="J21" s="19"/>
      <c r="K21" s="19"/>
      <c r="L21" s="19"/>
      <c r="M21" s="19"/>
      <c r="N21" s="19"/>
      <c r="O21" s="23">
        <f t="shared" si="7"/>
        <v>0</v>
      </c>
      <c r="P21" s="23">
        <v>808.4</v>
      </c>
      <c r="Q21" s="24"/>
      <c r="R21" s="24"/>
      <c r="S21" s="25">
        <v>785</v>
      </c>
      <c r="T21" s="24"/>
      <c r="U21" s="24"/>
      <c r="V21" s="24"/>
      <c r="W21" s="25">
        <v>474</v>
      </c>
      <c r="X21" s="25">
        <f t="shared" si="4"/>
        <v>474</v>
      </c>
      <c r="Y21" s="24">
        <v>167</v>
      </c>
      <c r="Z21" s="24">
        <v>2</v>
      </c>
      <c r="AA21" s="24">
        <v>217</v>
      </c>
      <c r="AB21" s="24">
        <v>335</v>
      </c>
      <c r="AC21" s="24"/>
      <c r="AD21" s="24"/>
      <c r="AE21" s="26">
        <f t="shared" si="2"/>
        <v>405.81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9803</v>
      </c>
      <c r="E22" s="33">
        <f t="shared" si="8"/>
        <v>1178.2451923076922</v>
      </c>
      <c r="F22" s="31">
        <f t="shared" si="8"/>
        <v>6822</v>
      </c>
      <c r="G22" s="33">
        <f t="shared" si="8"/>
        <v>793.25581395348831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5801.4</v>
      </c>
      <c r="Q22" s="31">
        <f t="shared" si="8"/>
        <v>0</v>
      </c>
      <c r="R22" s="31">
        <f t="shared" si="8"/>
        <v>0</v>
      </c>
      <c r="S22" s="31">
        <f t="shared" si="8"/>
        <v>5124</v>
      </c>
      <c r="T22" s="31">
        <f t="shared" si="8"/>
        <v>0</v>
      </c>
      <c r="U22" s="31">
        <f t="shared" si="8"/>
        <v>0</v>
      </c>
      <c r="V22" s="31">
        <f t="shared" si="8"/>
        <v>214</v>
      </c>
      <c r="W22" s="31">
        <f t="shared" si="8"/>
        <v>3513</v>
      </c>
      <c r="X22" s="31">
        <f t="shared" si="8"/>
        <v>3727</v>
      </c>
      <c r="Y22" s="31">
        <f t="shared" si="8"/>
        <v>1112</v>
      </c>
      <c r="Z22" s="31">
        <f t="shared" si="8"/>
        <v>24</v>
      </c>
      <c r="AA22" s="31">
        <f t="shared" si="8"/>
        <v>1478</v>
      </c>
      <c r="AB22" s="31">
        <f t="shared" si="8"/>
        <v>2012</v>
      </c>
      <c r="AC22" s="31">
        <f t="shared" si="8"/>
        <v>0</v>
      </c>
      <c r="AD22" s="31">
        <f t="shared" si="8"/>
        <v>0</v>
      </c>
      <c r="AE22" s="33">
        <f t="shared" si="8"/>
        <v>2702.1600000000003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P19" sqref="P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45445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45446</v>
      </c>
      <c r="B16" s="19"/>
      <c r="C16" s="20">
        <f t="shared" si="0"/>
        <v>0</v>
      </c>
      <c r="D16" s="19">
        <v>1401</v>
      </c>
      <c r="E16" s="21">
        <f>D16/208*25</f>
        <v>168.38942307692309</v>
      </c>
      <c r="F16" s="19">
        <v>1603</v>
      </c>
      <c r="G16" s="22">
        <f>F16/215*25</f>
        <v>186.3953488372093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1018</v>
      </c>
      <c r="Q16" s="24"/>
      <c r="R16" s="24"/>
      <c r="S16" s="25">
        <v>656</v>
      </c>
      <c r="T16" s="24"/>
      <c r="U16" s="24"/>
      <c r="V16" s="24">
        <v>53</v>
      </c>
      <c r="W16" s="25">
        <v>806</v>
      </c>
      <c r="X16" s="25"/>
      <c r="Y16" s="24">
        <v>218</v>
      </c>
      <c r="Z16" s="24">
        <v>6</v>
      </c>
      <c r="AA16" s="24">
        <v>282</v>
      </c>
      <c r="AB16" s="24">
        <v>341</v>
      </c>
      <c r="AC16" s="24"/>
      <c r="AD16" s="24"/>
      <c r="AE16" s="26">
        <f t="shared" si="2"/>
        <v>529.74</v>
      </c>
      <c r="AF16" s="24"/>
      <c r="AG16" s="27"/>
      <c r="AH16" s="29"/>
    </row>
    <row r="17" spans="1:41" s="28" customFormat="1" ht="26.25" customHeight="1" x14ac:dyDescent="0.25">
      <c r="A17" s="18">
        <v>45447</v>
      </c>
      <c r="B17" s="19"/>
      <c r="C17" s="20">
        <f>B17/200*25</f>
        <v>0</v>
      </c>
      <c r="D17" s="19">
        <v>1346</v>
      </c>
      <c r="E17" s="21">
        <f t="shared" si="1"/>
        <v>161.77884615384613</v>
      </c>
      <c r="F17" s="19">
        <v>1638</v>
      </c>
      <c r="G17" s="22">
        <f>F17/215*25</f>
        <v>190.46511627906978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1058</v>
      </c>
      <c r="Q17" s="24"/>
      <c r="R17" s="24"/>
      <c r="S17" s="25">
        <v>684</v>
      </c>
      <c r="T17" s="24"/>
      <c r="U17" s="24"/>
      <c r="V17" s="24">
        <v>48</v>
      </c>
      <c r="W17" s="25">
        <v>864</v>
      </c>
      <c r="X17" s="25"/>
      <c r="Y17" s="24">
        <v>226</v>
      </c>
      <c r="Z17" s="24">
        <v>2</v>
      </c>
      <c r="AA17" s="24">
        <v>329</v>
      </c>
      <c r="AB17" s="24">
        <v>346</v>
      </c>
      <c r="AC17" s="24"/>
      <c r="AD17" s="24"/>
      <c r="AE17" s="26">
        <f t="shared" si="2"/>
        <v>549.18000000000006</v>
      </c>
      <c r="AF17" s="24"/>
      <c r="AG17" s="27">
        <v>2</v>
      </c>
    </row>
    <row r="18" spans="1:41" s="28" customFormat="1" ht="26.25" customHeight="1" x14ac:dyDescent="0.25">
      <c r="A18" s="18">
        <v>45448</v>
      </c>
      <c r="B18" s="19"/>
      <c r="C18" s="20">
        <f t="shared" ref="C18:C19" si="4">B18/200*25</f>
        <v>0</v>
      </c>
      <c r="D18" s="19">
        <v>1393</v>
      </c>
      <c r="E18" s="21">
        <f t="shared" si="1"/>
        <v>167.42788461538461</v>
      </c>
      <c r="F18" s="19">
        <v>1771</v>
      </c>
      <c r="G18" s="22">
        <f t="shared" ref="G18:G21" si="5">F18/215*25</f>
        <v>205.93023255813955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1314.4</v>
      </c>
      <c r="Q18" s="24"/>
      <c r="R18" s="24"/>
      <c r="S18" s="24">
        <v>841</v>
      </c>
      <c r="T18" s="24"/>
      <c r="U18" s="24"/>
      <c r="V18" s="24">
        <v>77</v>
      </c>
      <c r="W18" s="25">
        <v>963</v>
      </c>
      <c r="X18" s="25"/>
      <c r="Y18" s="24">
        <v>208</v>
      </c>
      <c r="Z18" s="24">
        <v>4</v>
      </c>
      <c r="AA18" s="24">
        <v>354</v>
      </c>
      <c r="AB18" s="24">
        <v>382</v>
      </c>
      <c r="AC18" s="24"/>
      <c r="AD18" s="24"/>
      <c r="AE18" s="26">
        <f t="shared" si="2"/>
        <v>505.44000000000005</v>
      </c>
      <c r="AF18" s="24"/>
      <c r="AG18" s="27">
        <v>2</v>
      </c>
    </row>
    <row r="19" spans="1:41" s="28" customFormat="1" ht="26.25" customHeight="1" x14ac:dyDescent="0.25">
      <c r="A19" s="18">
        <v>45449</v>
      </c>
      <c r="B19" s="19"/>
      <c r="C19" s="20">
        <f t="shared" si="4"/>
        <v>0</v>
      </c>
      <c r="D19" s="19">
        <v>1346</v>
      </c>
      <c r="E19" s="21">
        <f t="shared" si="1"/>
        <v>161.77884615384613</v>
      </c>
      <c r="F19" s="19">
        <v>1495</v>
      </c>
      <c r="G19" s="22">
        <f t="shared" si="5"/>
        <v>173.83720930232559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1047.4000000000001</v>
      </c>
      <c r="Q19" s="24"/>
      <c r="R19" s="24"/>
      <c r="S19" s="24">
        <v>773</v>
      </c>
      <c r="T19" s="24"/>
      <c r="U19" s="24"/>
      <c r="V19" s="12">
        <v>28</v>
      </c>
      <c r="W19" s="24">
        <v>744</v>
      </c>
      <c r="X19" s="25"/>
      <c r="Y19" s="24">
        <v>198</v>
      </c>
      <c r="Z19" s="24">
        <v>4</v>
      </c>
      <c r="AA19" s="24">
        <v>252</v>
      </c>
      <c r="AB19" s="24">
        <v>385</v>
      </c>
      <c r="AC19" s="24"/>
      <c r="AD19" s="24"/>
      <c r="AE19" s="26">
        <f t="shared" si="2"/>
        <v>481.14000000000004</v>
      </c>
      <c r="AF19" s="24"/>
      <c r="AG19" s="27">
        <v>2</v>
      </c>
    </row>
    <row r="20" spans="1:41" s="28" customFormat="1" ht="26.25" customHeight="1" x14ac:dyDescent="0.25">
      <c r="A20" s="18">
        <v>45450</v>
      </c>
      <c r="B20" s="19"/>
      <c r="C20" s="20">
        <f>B20/200*25</f>
        <v>0</v>
      </c>
      <c r="D20" s="19">
        <v>1720</v>
      </c>
      <c r="E20" s="21">
        <f>D20/208*25</f>
        <v>206.73076923076925</v>
      </c>
      <c r="F20" s="19">
        <v>1928</v>
      </c>
      <c r="G20" s="22">
        <f t="shared" si="5"/>
        <v>224.18604651162792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1299</v>
      </c>
      <c r="Q20" s="24"/>
      <c r="R20" s="24"/>
      <c r="S20" s="24">
        <v>922</v>
      </c>
      <c r="T20" s="24"/>
      <c r="U20" s="24"/>
      <c r="V20" s="24">
        <v>80</v>
      </c>
      <c r="W20" s="25">
        <v>941</v>
      </c>
      <c r="X20" s="25"/>
      <c r="Y20" s="24">
        <v>246</v>
      </c>
      <c r="Z20" s="24">
        <v>6</v>
      </c>
      <c r="AA20" s="24">
        <v>372</v>
      </c>
      <c r="AB20" s="24">
        <v>444</v>
      </c>
      <c r="AC20" s="24"/>
      <c r="AD20" s="24"/>
      <c r="AE20" s="26">
        <f t="shared" si="2"/>
        <v>597.78000000000009</v>
      </c>
      <c r="AF20" s="24"/>
      <c r="AG20" s="27"/>
    </row>
    <row r="21" spans="1:41" s="28" customFormat="1" ht="26.25" customHeight="1" x14ac:dyDescent="0.25">
      <c r="A21" s="18">
        <v>45451</v>
      </c>
      <c r="B21" s="19"/>
      <c r="C21" s="20">
        <f>B21/200*25</f>
        <v>0</v>
      </c>
      <c r="D21" s="19">
        <v>1338</v>
      </c>
      <c r="E21" s="21">
        <f>D21/208*25</f>
        <v>160.81730769230768</v>
      </c>
      <c r="F21" s="19">
        <v>2015</v>
      </c>
      <c r="G21" s="22">
        <f t="shared" si="5"/>
        <v>234.30232558139537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1048</v>
      </c>
      <c r="Q21" s="24"/>
      <c r="R21" s="24"/>
      <c r="S21" s="25">
        <v>723</v>
      </c>
      <c r="T21" s="24"/>
      <c r="U21" s="24"/>
      <c r="V21" s="24">
        <v>106</v>
      </c>
      <c r="W21" s="25">
        <v>883</v>
      </c>
      <c r="X21" s="25"/>
      <c r="Y21" s="24">
        <v>183</v>
      </c>
      <c r="Z21" s="24">
        <v>10</v>
      </c>
      <c r="AA21" s="24">
        <v>285</v>
      </c>
      <c r="AB21" s="24">
        <v>439</v>
      </c>
      <c r="AC21" s="24"/>
      <c r="AD21" s="24"/>
      <c r="AE21" s="26">
        <f t="shared" si="2"/>
        <v>444.69000000000005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8544</v>
      </c>
      <c r="E22" s="33">
        <f t="shared" si="7"/>
        <v>1026.9230769230769</v>
      </c>
      <c r="F22" s="31">
        <f t="shared" si="7"/>
        <v>10450</v>
      </c>
      <c r="G22" s="33">
        <f t="shared" si="7"/>
        <v>1215.1162790697674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6784.8</v>
      </c>
      <c r="Q22" s="31">
        <f t="shared" si="7"/>
        <v>0</v>
      </c>
      <c r="R22" s="31">
        <f t="shared" si="7"/>
        <v>0</v>
      </c>
      <c r="S22" s="31">
        <f t="shared" si="7"/>
        <v>4599</v>
      </c>
      <c r="T22" s="31">
        <f t="shared" si="7"/>
        <v>0</v>
      </c>
      <c r="U22" s="31">
        <f t="shared" si="7"/>
        <v>0</v>
      </c>
      <c r="V22" s="31">
        <f t="shared" si="7"/>
        <v>392</v>
      </c>
      <c r="W22" s="31">
        <f t="shared" si="7"/>
        <v>5201</v>
      </c>
      <c r="X22" s="31"/>
      <c r="Y22" s="31">
        <f t="shared" si="7"/>
        <v>1279</v>
      </c>
      <c r="Z22" s="31">
        <f t="shared" si="7"/>
        <v>32</v>
      </c>
      <c r="AA22" s="31">
        <f t="shared" si="7"/>
        <v>1874</v>
      </c>
      <c r="AB22" s="31">
        <f t="shared" si="7"/>
        <v>2337</v>
      </c>
      <c r="AC22" s="31">
        <f t="shared" si="7"/>
        <v>0</v>
      </c>
      <c r="AD22" s="31">
        <f t="shared" si="7"/>
        <v>0</v>
      </c>
      <c r="AE22" s="33">
        <f t="shared" si="7"/>
        <v>3107.9700000000003</v>
      </c>
      <c r="AF22" s="33">
        <f t="shared" si="7"/>
        <v>0</v>
      </c>
      <c r="AG22" s="33">
        <f t="shared" si="7"/>
        <v>6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21" sqref="A21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7.42578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45452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45453</v>
      </c>
      <c r="B16" s="19"/>
      <c r="C16" s="20">
        <f t="shared" si="0"/>
        <v>0</v>
      </c>
      <c r="D16" s="19">
        <v>1213</v>
      </c>
      <c r="E16" s="21">
        <f>D16/208*25</f>
        <v>145.79326923076923</v>
      </c>
      <c r="F16" s="19">
        <v>1182</v>
      </c>
      <c r="G16" s="22">
        <f>F16/215*25</f>
        <v>137.44186046511629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915</v>
      </c>
      <c r="Q16" s="24"/>
      <c r="R16" s="24"/>
      <c r="S16" s="25">
        <v>684</v>
      </c>
      <c r="T16" s="24"/>
      <c r="U16" s="24"/>
      <c r="V16" s="24">
        <v>52</v>
      </c>
      <c r="W16" s="25">
        <v>619</v>
      </c>
      <c r="X16" s="25"/>
      <c r="Y16" s="24">
        <v>175</v>
      </c>
      <c r="Z16" s="24">
        <v>4</v>
      </c>
      <c r="AA16" s="24">
        <v>235</v>
      </c>
      <c r="AB16" s="24">
        <v>300</v>
      </c>
      <c r="AC16" s="24"/>
      <c r="AD16" s="24"/>
      <c r="AE16" s="26">
        <f t="shared" si="2"/>
        <v>425.25</v>
      </c>
      <c r="AF16" s="24"/>
      <c r="AG16" s="27"/>
      <c r="AH16" s="29"/>
    </row>
    <row r="17" spans="1:41" s="28" customFormat="1" ht="26.25" customHeight="1" x14ac:dyDescent="0.25">
      <c r="A17" s="18">
        <v>45454</v>
      </c>
      <c r="B17" s="19"/>
      <c r="C17" s="20">
        <f>B17/200*25</f>
        <v>0</v>
      </c>
      <c r="D17" s="19">
        <v>1324</v>
      </c>
      <c r="E17" s="21">
        <f t="shared" si="1"/>
        <v>159.13461538461539</v>
      </c>
      <c r="F17" s="19">
        <v>1405</v>
      </c>
      <c r="G17" s="22">
        <f>F17/215*25</f>
        <v>163.37209302325581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1197.4000000000001</v>
      </c>
      <c r="Q17" s="24"/>
      <c r="R17" s="24"/>
      <c r="S17" s="25">
        <v>880</v>
      </c>
      <c r="T17" s="24"/>
      <c r="U17" s="24"/>
      <c r="V17" s="24">
        <v>30</v>
      </c>
      <c r="W17" s="25">
        <v>834</v>
      </c>
      <c r="X17" s="25"/>
      <c r="Y17" s="24">
        <v>205</v>
      </c>
      <c r="Z17" s="24">
        <v>2</v>
      </c>
      <c r="AA17" s="24">
        <v>305</v>
      </c>
      <c r="AB17" s="24">
        <v>403</v>
      </c>
      <c r="AC17" s="24"/>
      <c r="AD17" s="24"/>
      <c r="AE17" s="26">
        <f t="shared" si="2"/>
        <v>498.15000000000003</v>
      </c>
      <c r="AF17" s="24"/>
      <c r="AG17" s="27">
        <v>2</v>
      </c>
    </row>
    <row r="18" spans="1:41" s="28" customFormat="1" ht="26.25" customHeight="1" x14ac:dyDescent="0.25">
      <c r="A18" s="18">
        <v>45455</v>
      </c>
      <c r="B18" s="19"/>
      <c r="C18" s="20">
        <f t="shared" ref="C18:C19" si="4">B18/200*25</f>
        <v>0</v>
      </c>
      <c r="D18" s="19">
        <v>2034</v>
      </c>
      <c r="E18" s="21">
        <f t="shared" si="1"/>
        <v>244.47115384615384</v>
      </c>
      <c r="F18" s="19">
        <v>1819</v>
      </c>
      <c r="G18" s="22">
        <f t="shared" ref="G18:G21" si="5">F18/215*25</f>
        <v>211.51162790697674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1316</v>
      </c>
      <c r="Q18" s="24"/>
      <c r="R18" s="24"/>
      <c r="S18" s="24">
        <v>999</v>
      </c>
      <c r="T18" s="24"/>
      <c r="U18" s="24"/>
      <c r="V18" s="24">
        <v>52</v>
      </c>
      <c r="W18" s="25">
        <v>1004</v>
      </c>
      <c r="X18" s="25"/>
      <c r="Y18" s="24">
        <v>210</v>
      </c>
      <c r="Z18" s="24">
        <v>4</v>
      </c>
      <c r="AA18" s="24">
        <v>375</v>
      </c>
      <c r="AB18" s="24">
        <v>444</v>
      </c>
      <c r="AC18" s="24"/>
      <c r="AD18" s="24"/>
      <c r="AE18" s="26">
        <f t="shared" si="2"/>
        <v>510.3</v>
      </c>
      <c r="AF18" s="24"/>
      <c r="AG18" s="27"/>
    </row>
    <row r="19" spans="1:41" s="28" customFormat="1" ht="26.25" customHeight="1" x14ac:dyDescent="0.25">
      <c r="A19" s="18">
        <v>45456</v>
      </c>
      <c r="B19" s="19"/>
      <c r="C19" s="20">
        <f t="shared" si="4"/>
        <v>0</v>
      </c>
      <c r="D19" s="19">
        <v>1781</v>
      </c>
      <c r="E19" s="21">
        <f t="shared" si="1"/>
        <v>214.0625</v>
      </c>
      <c r="F19" s="19">
        <v>1477</v>
      </c>
      <c r="G19" s="22">
        <f t="shared" si="5"/>
        <v>171.74418604651163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1044</v>
      </c>
      <c r="Q19" s="24"/>
      <c r="R19" s="24"/>
      <c r="S19" s="24">
        <v>896</v>
      </c>
      <c r="T19" s="24"/>
      <c r="U19" s="24"/>
      <c r="V19" s="12">
        <v>49</v>
      </c>
      <c r="W19" s="24">
        <v>736</v>
      </c>
      <c r="X19" s="25"/>
      <c r="Y19" s="24">
        <v>190</v>
      </c>
      <c r="Z19" s="24">
        <v>4</v>
      </c>
      <c r="AA19" s="24">
        <v>276</v>
      </c>
      <c r="AB19" s="24">
        <v>426</v>
      </c>
      <c r="AC19" s="24"/>
      <c r="AD19" s="24"/>
      <c r="AE19" s="26">
        <f t="shared" si="2"/>
        <v>461.70000000000005</v>
      </c>
      <c r="AF19" s="24"/>
      <c r="AG19" s="27"/>
    </row>
    <row r="20" spans="1:41" s="28" customFormat="1" ht="26.25" customHeight="1" x14ac:dyDescent="0.25">
      <c r="A20" s="18">
        <v>45457</v>
      </c>
      <c r="B20" s="19"/>
      <c r="C20" s="20">
        <f>B20/200*25</f>
        <v>0</v>
      </c>
      <c r="D20" s="19">
        <v>1296</v>
      </c>
      <c r="E20" s="21">
        <f>D20/208*25</f>
        <v>155.76923076923077</v>
      </c>
      <c r="F20" s="19">
        <v>1506</v>
      </c>
      <c r="G20" s="22">
        <f t="shared" si="5"/>
        <v>175.11627906976744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968</v>
      </c>
      <c r="Q20" s="24"/>
      <c r="R20" s="24"/>
      <c r="S20" s="24">
        <v>740</v>
      </c>
      <c r="T20" s="24"/>
      <c r="U20" s="24"/>
      <c r="V20" s="24">
        <v>78</v>
      </c>
      <c r="W20" s="25">
        <v>685</v>
      </c>
      <c r="X20" s="25"/>
      <c r="Y20" s="24">
        <v>156</v>
      </c>
      <c r="Z20" s="24">
        <v>6</v>
      </c>
      <c r="AA20" s="24">
        <v>240</v>
      </c>
      <c r="AB20" s="24">
        <v>351</v>
      </c>
      <c r="AC20" s="24"/>
      <c r="AD20" s="24"/>
      <c r="AE20" s="26">
        <f t="shared" si="2"/>
        <v>379.08000000000004</v>
      </c>
      <c r="AF20" s="24"/>
      <c r="AG20" s="27"/>
    </row>
    <row r="21" spans="1:41" s="28" customFormat="1" ht="26.25" customHeight="1" x14ac:dyDescent="0.25">
      <c r="A21" s="18">
        <v>45458</v>
      </c>
      <c r="B21" s="19"/>
      <c r="C21" s="20">
        <f>B21/200*25</f>
        <v>0</v>
      </c>
      <c r="D21" s="19">
        <v>676</v>
      </c>
      <c r="E21" s="21">
        <f>D21/208*25</f>
        <v>81.25</v>
      </c>
      <c r="F21" s="19">
        <v>1991</v>
      </c>
      <c r="G21" s="22">
        <f t="shared" si="5"/>
        <v>231.51162790697674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763</v>
      </c>
      <c r="Q21" s="24"/>
      <c r="R21" s="24"/>
      <c r="S21" s="25">
        <v>699</v>
      </c>
      <c r="T21" s="24"/>
      <c r="U21" s="24"/>
      <c r="V21" s="24"/>
      <c r="W21" s="25">
        <v>541</v>
      </c>
      <c r="X21" s="25"/>
      <c r="Y21" s="24">
        <v>171</v>
      </c>
      <c r="Z21" s="24"/>
      <c r="AA21" s="24">
        <v>207</v>
      </c>
      <c r="AB21" s="24">
        <v>327</v>
      </c>
      <c r="AC21" s="24"/>
      <c r="AD21" s="24"/>
      <c r="AE21" s="26">
        <f t="shared" si="2"/>
        <v>415.53000000000003</v>
      </c>
      <c r="AF21" s="24"/>
      <c r="AG21" s="27">
        <v>3</v>
      </c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8324</v>
      </c>
      <c r="E22" s="33">
        <f t="shared" si="7"/>
        <v>1000.4807692307693</v>
      </c>
      <c r="F22" s="31">
        <f t="shared" si="7"/>
        <v>9380</v>
      </c>
      <c r="G22" s="33">
        <f t="shared" si="7"/>
        <v>1090.6976744186045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6203.4</v>
      </c>
      <c r="Q22" s="31">
        <f t="shared" si="7"/>
        <v>0</v>
      </c>
      <c r="R22" s="31">
        <f t="shared" si="7"/>
        <v>0</v>
      </c>
      <c r="S22" s="31">
        <f t="shared" si="7"/>
        <v>4898</v>
      </c>
      <c r="T22" s="31">
        <f t="shared" si="7"/>
        <v>0</v>
      </c>
      <c r="U22" s="31">
        <f t="shared" si="7"/>
        <v>0</v>
      </c>
      <c r="V22" s="31">
        <f t="shared" si="7"/>
        <v>261</v>
      </c>
      <c r="W22" s="31">
        <f t="shared" si="7"/>
        <v>4419</v>
      </c>
      <c r="X22" s="31"/>
      <c r="Y22" s="31">
        <f t="shared" si="7"/>
        <v>1107</v>
      </c>
      <c r="Z22" s="31">
        <f t="shared" si="7"/>
        <v>20</v>
      </c>
      <c r="AA22" s="31">
        <f t="shared" si="7"/>
        <v>1638</v>
      </c>
      <c r="AB22" s="31">
        <f t="shared" si="7"/>
        <v>2251</v>
      </c>
      <c r="AC22" s="31">
        <f t="shared" si="7"/>
        <v>0</v>
      </c>
      <c r="AD22" s="31">
        <f t="shared" si="7"/>
        <v>0</v>
      </c>
      <c r="AE22" s="33">
        <f t="shared" si="7"/>
        <v>2690.01</v>
      </c>
      <c r="AF22" s="33">
        <f t="shared" si="7"/>
        <v>0</v>
      </c>
      <c r="AG22" s="33">
        <f t="shared" si="7"/>
        <v>5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O18" sqref="O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13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45459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>
        <v>150</v>
      </c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>
        <v>25</v>
      </c>
      <c r="X15" s="25"/>
      <c r="Y15" s="24"/>
      <c r="Z15" s="24">
        <v>2</v>
      </c>
      <c r="AA15" s="24"/>
      <c r="AB15" s="24">
        <v>25</v>
      </c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45460</v>
      </c>
      <c r="B16" s="19"/>
      <c r="C16" s="20">
        <f t="shared" si="0"/>
        <v>0</v>
      </c>
      <c r="D16" s="19">
        <v>1116</v>
      </c>
      <c r="E16" s="21">
        <f>D16/208*25</f>
        <v>134.13461538461539</v>
      </c>
      <c r="F16" s="19">
        <v>1374</v>
      </c>
      <c r="G16" s="22">
        <f>F16/215*25</f>
        <v>159.76744186046511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996</v>
      </c>
      <c r="Q16" s="24"/>
      <c r="R16" s="24"/>
      <c r="S16" s="25">
        <v>746</v>
      </c>
      <c r="T16" s="24"/>
      <c r="U16" s="24"/>
      <c r="V16" s="24">
        <v>77</v>
      </c>
      <c r="W16" s="25">
        <v>606</v>
      </c>
      <c r="X16" s="25"/>
      <c r="Y16" s="24">
        <v>142</v>
      </c>
      <c r="Z16" s="24">
        <v>6</v>
      </c>
      <c r="AA16" s="24">
        <v>216</v>
      </c>
      <c r="AB16" s="24">
        <v>317</v>
      </c>
      <c r="AC16" s="24"/>
      <c r="AD16" s="24"/>
      <c r="AE16" s="26">
        <f t="shared" si="2"/>
        <v>345.06</v>
      </c>
      <c r="AF16" s="24"/>
      <c r="AG16" s="27"/>
      <c r="AH16" s="29"/>
    </row>
    <row r="17" spans="1:41" s="28" customFormat="1" ht="26.25" customHeight="1" x14ac:dyDescent="0.25">
      <c r="A17" s="18">
        <v>45461</v>
      </c>
      <c r="B17" s="19"/>
      <c r="C17" s="20">
        <f>B17/200*25</f>
        <v>0</v>
      </c>
      <c r="D17" s="19">
        <v>1215</v>
      </c>
      <c r="E17" s="21">
        <f t="shared" si="1"/>
        <v>146.03365384615387</v>
      </c>
      <c r="F17" s="19">
        <v>1867</v>
      </c>
      <c r="G17" s="22">
        <f>F17/215*25</f>
        <v>217.09302325581396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1089</v>
      </c>
      <c r="Q17" s="24"/>
      <c r="R17" s="24"/>
      <c r="S17" s="25">
        <v>744</v>
      </c>
      <c r="T17" s="24"/>
      <c r="U17" s="24"/>
      <c r="V17" s="24">
        <v>108</v>
      </c>
      <c r="W17" s="25">
        <v>806</v>
      </c>
      <c r="X17" s="25"/>
      <c r="Y17" s="24">
        <v>190</v>
      </c>
      <c r="Z17" s="24">
        <v>6</v>
      </c>
      <c r="AA17" s="24">
        <v>264</v>
      </c>
      <c r="AB17" s="24">
        <v>393</v>
      </c>
      <c r="AC17" s="24"/>
      <c r="AD17" s="24"/>
      <c r="AE17" s="26">
        <f>Y17*2.43</f>
        <v>461.70000000000005</v>
      </c>
      <c r="AF17" s="24"/>
      <c r="AG17" s="27">
        <v>1</v>
      </c>
    </row>
    <row r="18" spans="1:41" s="28" customFormat="1" ht="26.25" customHeight="1" x14ac:dyDescent="0.25">
      <c r="A18" s="18">
        <v>45462</v>
      </c>
      <c r="B18" s="19"/>
      <c r="C18" s="20">
        <f t="shared" ref="C18:C19" si="4">B18/200*25</f>
        <v>0</v>
      </c>
      <c r="D18" s="19">
        <v>726</v>
      </c>
      <c r="E18" s="21">
        <f t="shared" si="1"/>
        <v>87.259615384615387</v>
      </c>
      <c r="F18" s="19">
        <v>2045</v>
      </c>
      <c r="G18" s="22">
        <f t="shared" ref="G18:G21" si="5">F18/215*25</f>
        <v>237.7906976744186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1064.2</v>
      </c>
      <c r="Q18" s="24"/>
      <c r="R18" s="24"/>
      <c r="S18" s="24">
        <v>823</v>
      </c>
      <c r="T18" s="24"/>
      <c r="U18" s="24"/>
      <c r="V18" s="24">
        <v>76</v>
      </c>
      <c r="W18" s="25">
        <v>671</v>
      </c>
      <c r="X18" s="25"/>
      <c r="Y18" s="24">
        <v>169</v>
      </c>
      <c r="Z18" s="24">
        <v>4</v>
      </c>
      <c r="AA18" s="24">
        <v>240</v>
      </c>
      <c r="AB18" s="24">
        <v>365</v>
      </c>
      <c r="AC18" s="24"/>
      <c r="AD18" s="24"/>
      <c r="AE18" s="26">
        <f t="shared" si="2"/>
        <v>410.67</v>
      </c>
      <c r="AF18" s="24"/>
      <c r="AG18" s="27"/>
    </row>
    <row r="19" spans="1:41" s="28" customFormat="1" ht="26.25" customHeight="1" x14ac:dyDescent="0.25">
      <c r="A19" s="18">
        <v>45463</v>
      </c>
      <c r="B19" s="19"/>
      <c r="C19" s="20">
        <f t="shared" si="4"/>
        <v>0</v>
      </c>
      <c r="D19" s="19">
        <v>333</v>
      </c>
      <c r="E19" s="21">
        <f t="shared" si="1"/>
        <v>40.024038461538467</v>
      </c>
      <c r="F19" s="19">
        <v>2507</v>
      </c>
      <c r="G19" s="22">
        <f t="shared" si="5"/>
        <v>291.51162790697674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1219.2</v>
      </c>
      <c r="Q19" s="24"/>
      <c r="R19" s="24"/>
      <c r="S19" s="24">
        <v>663</v>
      </c>
      <c r="T19" s="24"/>
      <c r="U19" s="24"/>
      <c r="V19" s="12">
        <v>98</v>
      </c>
      <c r="W19" s="24">
        <v>954</v>
      </c>
      <c r="X19" s="25"/>
      <c r="Y19" s="24">
        <v>201</v>
      </c>
      <c r="Z19" s="24">
        <v>6</v>
      </c>
      <c r="AA19" s="24">
        <v>367</v>
      </c>
      <c r="AB19" s="24">
        <v>328</v>
      </c>
      <c r="AC19" s="24"/>
      <c r="AD19" s="24"/>
      <c r="AE19" s="26">
        <f>Y19*2.43</f>
        <v>488.43</v>
      </c>
      <c r="AF19" s="24"/>
      <c r="AG19" s="27">
        <v>1</v>
      </c>
    </row>
    <row r="20" spans="1:41" s="28" customFormat="1" ht="26.25" customHeight="1" x14ac:dyDescent="0.25">
      <c r="A20" s="18">
        <v>45464</v>
      </c>
      <c r="B20" s="19"/>
      <c r="C20" s="20">
        <f>B20/200*25</f>
        <v>0</v>
      </c>
      <c r="D20" s="19">
        <v>1330</v>
      </c>
      <c r="E20" s="21">
        <f>D20/208*25</f>
        <v>159.85576923076923</v>
      </c>
      <c r="F20" s="19">
        <v>1648</v>
      </c>
      <c r="G20" s="22">
        <f t="shared" si="5"/>
        <v>191.62790697674419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1194.4000000000001</v>
      </c>
      <c r="Q20" s="24"/>
      <c r="R20" s="24"/>
      <c r="S20" s="24">
        <v>809</v>
      </c>
      <c r="T20" s="24"/>
      <c r="U20" s="24"/>
      <c r="V20" s="24">
        <v>76</v>
      </c>
      <c r="W20" s="25">
        <v>834</v>
      </c>
      <c r="X20" s="25"/>
      <c r="Y20" s="24">
        <v>217</v>
      </c>
      <c r="Z20" s="24">
        <v>4</v>
      </c>
      <c r="AA20" s="24">
        <v>331</v>
      </c>
      <c r="AB20" s="24">
        <v>375</v>
      </c>
      <c r="AC20" s="24"/>
      <c r="AD20" s="24"/>
      <c r="AE20" s="26">
        <f>Y20*2.43</f>
        <v>527.31000000000006</v>
      </c>
      <c r="AF20" s="24"/>
      <c r="AG20" s="27"/>
    </row>
    <row r="21" spans="1:41" s="28" customFormat="1" ht="26.25" customHeight="1" x14ac:dyDescent="0.25">
      <c r="A21" s="18">
        <v>45465</v>
      </c>
      <c r="B21" s="19"/>
      <c r="C21" s="20">
        <f>B21/200*25</f>
        <v>0</v>
      </c>
      <c r="D21" s="19">
        <v>1617</v>
      </c>
      <c r="E21" s="21">
        <f>D21/208*25</f>
        <v>194.35096153846155</v>
      </c>
      <c r="F21" s="19">
        <v>1088</v>
      </c>
      <c r="G21" s="22">
        <f t="shared" si="5"/>
        <v>126.51162790697674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1160</v>
      </c>
      <c r="Q21" s="24"/>
      <c r="R21" s="24"/>
      <c r="S21" s="25">
        <v>980</v>
      </c>
      <c r="T21" s="24"/>
      <c r="U21" s="24"/>
      <c r="V21" s="24">
        <v>52</v>
      </c>
      <c r="W21" s="25">
        <v>600</v>
      </c>
      <c r="X21" s="25"/>
      <c r="Y21" s="24">
        <v>203</v>
      </c>
      <c r="Z21" s="24">
        <v>4</v>
      </c>
      <c r="AA21" s="24">
        <v>243</v>
      </c>
      <c r="AB21" s="24">
        <v>402</v>
      </c>
      <c r="AC21" s="24"/>
      <c r="AD21" s="24"/>
      <c r="AE21" s="26">
        <f t="shared" si="2"/>
        <v>493.29</v>
      </c>
      <c r="AF21" s="24"/>
      <c r="AG21" s="27">
        <v>5</v>
      </c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6337</v>
      </c>
      <c r="E22" s="33">
        <f t="shared" si="7"/>
        <v>761.65865384615392</v>
      </c>
      <c r="F22" s="31">
        <f t="shared" si="7"/>
        <v>10679</v>
      </c>
      <c r="G22" s="33">
        <f t="shared" si="7"/>
        <v>1224.3023255813955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6722.7999999999993</v>
      </c>
      <c r="Q22" s="31">
        <f t="shared" si="7"/>
        <v>0</v>
      </c>
      <c r="R22" s="31">
        <f t="shared" si="7"/>
        <v>0</v>
      </c>
      <c r="S22" s="31">
        <f t="shared" si="7"/>
        <v>4765</v>
      </c>
      <c r="T22" s="31">
        <f t="shared" si="7"/>
        <v>0</v>
      </c>
      <c r="U22" s="31">
        <f t="shared" si="7"/>
        <v>0</v>
      </c>
      <c r="V22" s="31">
        <f t="shared" si="7"/>
        <v>487</v>
      </c>
      <c r="W22" s="31">
        <f t="shared" si="7"/>
        <v>4496</v>
      </c>
      <c r="X22" s="31"/>
      <c r="Y22" s="31">
        <f t="shared" ref="Y22:AG22" si="8">SUM(Y15:Y21)</f>
        <v>1122</v>
      </c>
      <c r="Z22" s="31">
        <f t="shared" si="8"/>
        <v>32</v>
      </c>
      <c r="AA22" s="31">
        <f t="shared" si="8"/>
        <v>1661</v>
      </c>
      <c r="AB22" s="31">
        <f t="shared" si="8"/>
        <v>2205</v>
      </c>
      <c r="AC22" s="31">
        <f t="shared" si="8"/>
        <v>0</v>
      </c>
      <c r="AD22" s="31">
        <f t="shared" si="8"/>
        <v>0</v>
      </c>
      <c r="AE22" s="33">
        <f t="shared" si="8"/>
        <v>2726.46</v>
      </c>
      <c r="AF22" s="33">
        <f t="shared" si="8"/>
        <v>0</v>
      </c>
      <c r="AG22" s="33">
        <f t="shared" si="8"/>
        <v>7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V25" s="74"/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R19" sqref="R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13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45466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45467</v>
      </c>
      <c r="B16" s="19"/>
      <c r="C16" s="20">
        <f t="shared" si="0"/>
        <v>0</v>
      </c>
      <c r="D16" s="19">
        <v>1579</v>
      </c>
      <c r="E16" s="21">
        <f>D16/208*25</f>
        <v>189.78365384615387</v>
      </c>
      <c r="F16" s="19">
        <v>1280</v>
      </c>
      <c r="G16" s="22">
        <f>F16/215*25</f>
        <v>148.83720930232559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1175.5999999999999</v>
      </c>
      <c r="Q16" s="24"/>
      <c r="R16" s="24"/>
      <c r="S16" s="25">
        <v>985</v>
      </c>
      <c r="T16" s="24"/>
      <c r="U16" s="24"/>
      <c r="V16" s="24">
        <v>101</v>
      </c>
      <c r="W16" s="25">
        <v>582</v>
      </c>
      <c r="X16" s="25"/>
      <c r="Y16" s="24">
        <v>212</v>
      </c>
      <c r="Z16" s="24">
        <v>6</v>
      </c>
      <c r="AA16" s="24">
        <v>217</v>
      </c>
      <c r="AB16" s="24">
        <v>427</v>
      </c>
      <c r="AC16" s="24"/>
      <c r="AD16" s="24"/>
      <c r="AE16" s="26">
        <f t="shared" si="2"/>
        <v>515.16000000000008</v>
      </c>
      <c r="AF16" s="24"/>
      <c r="AG16" s="27">
        <v>1</v>
      </c>
      <c r="AH16" s="29"/>
    </row>
    <row r="17" spans="1:41" s="28" customFormat="1" ht="26.25" customHeight="1" x14ac:dyDescent="0.25">
      <c r="A17" s="18">
        <v>45468</v>
      </c>
      <c r="B17" s="19"/>
      <c r="C17" s="20">
        <f>B17/200*25</f>
        <v>0</v>
      </c>
      <c r="D17" s="19">
        <v>1690</v>
      </c>
      <c r="E17" s="21">
        <f t="shared" si="1"/>
        <v>203.125</v>
      </c>
      <c r="F17" s="19">
        <v>1538</v>
      </c>
      <c r="G17" s="22">
        <f>F17/215*25</f>
        <v>178.83720930232559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1260</v>
      </c>
      <c r="Q17" s="24"/>
      <c r="R17" s="24"/>
      <c r="S17" s="25">
        <v>1015</v>
      </c>
      <c r="T17" s="24"/>
      <c r="U17" s="24"/>
      <c r="V17" s="24">
        <v>47</v>
      </c>
      <c r="W17" s="25">
        <v>797</v>
      </c>
      <c r="X17" s="25"/>
      <c r="Y17" s="24">
        <v>227</v>
      </c>
      <c r="Z17" s="24">
        <v>2</v>
      </c>
      <c r="AA17" s="24">
        <v>274</v>
      </c>
      <c r="AB17" s="24">
        <v>459</v>
      </c>
      <c r="AC17" s="24"/>
      <c r="AD17" s="24"/>
      <c r="AE17" s="26">
        <f>Y17*2.43</f>
        <v>551.61</v>
      </c>
      <c r="AF17" s="24">
        <v>0</v>
      </c>
      <c r="AG17" s="27">
        <v>2</v>
      </c>
    </row>
    <row r="18" spans="1:41" s="28" customFormat="1" ht="26.25" customHeight="1" x14ac:dyDescent="0.25">
      <c r="A18" s="18">
        <v>45469</v>
      </c>
      <c r="B18" s="19"/>
      <c r="C18" s="20">
        <f t="shared" ref="C18:C19" si="4">B18/200*25</f>
        <v>0</v>
      </c>
      <c r="D18" s="19">
        <v>1837</v>
      </c>
      <c r="E18" s="21">
        <f t="shared" si="1"/>
        <v>220.79326923076925</v>
      </c>
      <c r="F18" s="19">
        <v>1478</v>
      </c>
      <c r="G18" s="22">
        <f t="shared" ref="G18:G21" si="5">F18/215*25</f>
        <v>171.86046511627907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1205</v>
      </c>
      <c r="Q18" s="24"/>
      <c r="R18" s="24"/>
      <c r="S18" s="24">
        <v>1052</v>
      </c>
      <c r="T18" s="24"/>
      <c r="U18" s="24"/>
      <c r="V18" s="24">
        <v>0</v>
      </c>
      <c r="W18" s="25">
        <v>731</v>
      </c>
      <c r="X18" s="25"/>
      <c r="Y18" s="24">
        <v>238</v>
      </c>
      <c r="Z18" s="24">
        <v>6</v>
      </c>
      <c r="AA18" s="24">
        <v>264</v>
      </c>
      <c r="AB18" s="24">
        <v>474</v>
      </c>
      <c r="AC18" s="24"/>
      <c r="AD18" s="24"/>
      <c r="AE18" s="26">
        <f t="shared" si="2"/>
        <v>578.34</v>
      </c>
      <c r="AF18" s="24">
        <v>380</v>
      </c>
      <c r="AG18" s="27">
        <v>1</v>
      </c>
    </row>
    <row r="19" spans="1:41" s="28" customFormat="1" ht="26.25" customHeight="1" x14ac:dyDescent="0.25">
      <c r="A19" s="18">
        <v>45470</v>
      </c>
      <c r="B19" s="19"/>
      <c r="C19" s="20">
        <f t="shared" si="4"/>
        <v>0</v>
      </c>
      <c r="D19" s="19">
        <v>1691</v>
      </c>
      <c r="E19" s="21">
        <f t="shared" si="1"/>
        <v>203.24519230769229</v>
      </c>
      <c r="F19" s="19">
        <v>1529</v>
      </c>
      <c r="G19" s="22">
        <f t="shared" si="5"/>
        <v>177.7906976744186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1237.4000000000001</v>
      </c>
      <c r="Q19" s="24"/>
      <c r="R19" s="24"/>
      <c r="S19" s="24">
        <v>1044</v>
      </c>
      <c r="T19" s="24"/>
      <c r="U19" s="24"/>
      <c r="V19" s="12">
        <v>54</v>
      </c>
      <c r="W19" s="24">
        <v>714</v>
      </c>
      <c r="X19" s="25"/>
      <c r="Y19" s="24">
        <v>183</v>
      </c>
      <c r="Z19" s="24">
        <v>6</v>
      </c>
      <c r="AA19" s="24">
        <v>243</v>
      </c>
      <c r="AB19" s="24">
        <v>437</v>
      </c>
      <c r="AC19" s="24"/>
      <c r="AD19" s="24"/>
      <c r="AE19" s="26">
        <f>Y19*2.43</f>
        <v>444.69000000000005</v>
      </c>
      <c r="AF19" s="24">
        <v>0</v>
      </c>
      <c r="AG19" s="27">
        <v>2</v>
      </c>
    </row>
    <row r="20" spans="1:41" s="28" customFormat="1" ht="26.25" customHeight="1" x14ac:dyDescent="0.25">
      <c r="A20" s="18">
        <v>45471</v>
      </c>
      <c r="B20" s="19"/>
      <c r="C20" s="20">
        <f>B20/200*25</f>
        <v>0</v>
      </c>
      <c r="D20" s="19">
        <v>1586</v>
      </c>
      <c r="E20" s="21">
        <f>D20/208*25</f>
        <v>190.625</v>
      </c>
      <c r="F20" s="19">
        <v>1246</v>
      </c>
      <c r="G20" s="22">
        <f t="shared" si="5"/>
        <v>144.88372093023256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1210</v>
      </c>
      <c r="Q20" s="24"/>
      <c r="R20" s="24"/>
      <c r="S20" s="24">
        <v>987</v>
      </c>
      <c r="T20" s="24"/>
      <c r="U20" s="24"/>
      <c r="V20" s="24">
        <v>8</v>
      </c>
      <c r="W20" s="25">
        <v>704</v>
      </c>
      <c r="X20" s="25"/>
      <c r="Y20" s="24">
        <v>209</v>
      </c>
      <c r="Z20" s="24">
        <v>4</v>
      </c>
      <c r="AA20" s="24">
        <v>296</v>
      </c>
      <c r="AB20" s="24">
        <v>398</v>
      </c>
      <c r="AC20" s="24"/>
      <c r="AD20" s="24"/>
      <c r="AE20" s="26">
        <f>Y20*2.43</f>
        <v>507.87000000000006</v>
      </c>
      <c r="AF20" s="24">
        <v>0</v>
      </c>
      <c r="AG20" s="27">
        <v>0</v>
      </c>
    </row>
    <row r="21" spans="1:41" s="28" customFormat="1" ht="26.25" customHeight="1" x14ac:dyDescent="0.25">
      <c r="A21" s="18">
        <v>45472</v>
      </c>
      <c r="B21" s="19"/>
      <c r="C21" s="20">
        <f>B21/200*25</f>
        <v>0</v>
      </c>
      <c r="D21" s="19">
        <v>1649</v>
      </c>
      <c r="E21" s="21">
        <f>D21/208*25</f>
        <v>198.19711538461539</v>
      </c>
      <c r="F21" s="19">
        <v>1538</v>
      </c>
      <c r="G21" s="22">
        <f t="shared" si="5"/>
        <v>178.83720930232559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1109</v>
      </c>
      <c r="Q21" s="24"/>
      <c r="R21" s="24"/>
      <c r="S21" s="25">
        <v>948</v>
      </c>
      <c r="T21" s="24"/>
      <c r="U21" s="24"/>
      <c r="V21" s="24">
        <v>50</v>
      </c>
      <c r="W21" s="25">
        <v>682</v>
      </c>
      <c r="X21" s="25"/>
      <c r="Y21" s="24">
        <v>171</v>
      </c>
      <c r="Z21" s="24">
        <v>4</v>
      </c>
      <c r="AA21" s="24">
        <v>257</v>
      </c>
      <c r="AB21" s="24">
        <v>420</v>
      </c>
      <c r="AC21" s="24"/>
      <c r="AD21" s="24"/>
      <c r="AE21" s="26">
        <f t="shared" si="2"/>
        <v>415.53000000000003</v>
      </c>
      <c r="AF21" s="24">
        <v>0</v>
      </c>
      <c r="AG21" s="27">
        <v>0</v>
      </c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10032</v>
      </c>
      <c r="E22" s="33">
        <f t="shared" si="7"/>
        <v>1205.7692307692307</v>
      </c>
      <c r="F22" s="31">
        <f t="shared" si="7"/>
        <v>8609</v>
      </c>
      <c r="G22" s="33">
        <f t="shared" si="7"/>
        <v>1001.046511627907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7197</v>
      </c>
      <c r="Q22" s="31">
        <f t="shared" si="7"/>
        <v>0</v>
      </c>
      <c r="R22" s="31">
        <f t="shared" si="7"/>
        <v>0</v>
      </c>
      <c r="S22" s="31">
        <f t="shared" si="7"/>
        <v>6031</v>
      </c>
      <c r="T22" s="31">
        <f t="shared" si="7"/>
        <v>0</v>
      </c>
      <c r="U22" s="31">
        <f t="shared" si="7"/>
        <v>0</v>
      </c>
      <c r="V22" s="31">
        <f t="shared" si="7"/>
        <v>260</v>
      </c>
      <c r="W22" s="31">
        <f t="shared" si="7"/>
        <v>4210</v>
      </c>
      <c r="X22" s="31"/>
      <c r="Y22" s="31">
        <f t="shared" ref="Y22:AG22" si="8">SUM(Y15:Y21)</f>
        <v>1240</v>
      </c>
      <c r="Z22" s="31">
        <f t="shared" si="8"/>
        <v>28</v>
      </c>
      <c r="AA22" s="31">
        <f t="shared" si="8"/>
        <v>1551</v>
      </c>
      <c r="AB22" s="31">
        <f t="shared" si="8"/>
        <v>2615</v>
      </c>
      <c r="AC22" s="31">
        <f t="shared" si="8"/>
        <v>0</v>
      </c>
      <c r="AD22" s="31">
        <f t="shared" si="8"/>
        <v>0</v>
      </c>
      <c r="AE22" s="33">
        <f t="shared" si="8"/>
        <v>3013.2000000000003</v>
      </c>
      <c r="AF22" s="33">
        <f t="shared" si="8"/>
        <v>380</v>
      </c>
      <c r="AG22" s="33">
        <f t="shared" si="8"/>
        <v>6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V25" s="74"/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6" sqref="A16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13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45473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45474</v>
      </c>
      <c r="B16" s="19"/>
      <c r="C16" s="20">
        <f t="shared" si="0"/>
        <v>0</v>
      </c>
      <c r="D16" s="19">
        <v>1047</v>
      </c>
      <c r="E16" s="21">
        <f>D16/208*25</f>
        <v>125.84134615384615</v>
      </c>
      <c r="F16" s="19">
        <v>1054</v>
      </c>
      <c r="G16" s="22">
        <f>F16/215*25</f>
        <v>122.55813953488372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868.2</v>
      </c>
      <c r="Q16" s="24"/>
      <c r="R16" s="24"/>
      <c r="S16" s="25">
        <v>640</v>
      </c>
      <c r="T16" s="24"/>
      <c r="U16" s="24"/>
      <c r="V16" s="24">
        <v>0</v>
      </c>
      <c r="W16" s="25">
        <v>611</v>
      </c>
      <c r="X16" s="25"/>
      <c r="Y16" s="24">
        <v>141</v>
      </c>
      <c r="Z16" s="24">
        <v>6</v>
      </c>
      <c r="AA16" s="24">
        <v>217</v>
      </c>
      <c r="AB16" s="24">
        <v>270</v>
      </c>
      <c r="AC16" s="24"/>
      <c r="AD16" s="24"/>
      <c r="AE16" s="26">
        <f t="shared" si="2"/>
        <v>342.63</v>
      </c>
      <c r="AF16" s="24"/>
      <c r="AG16" s="27">
        <v>2</v>
      </c>
      <c r="AH16" s="29"/>
    </row>
    <row r="17" spans="1:41" s="28" customFormat="1" ht="26.25" customHeight="1" x14ac:dyDescent="0.25">
      <c r="A17" s="18">
        <v>45475</v>
      </c>
      <c r="B17" s="19"/>
      <c r="C17" s="20">
        <f>B17/200*25</f>
        <v>0</v>
      </c>
      <c r="D17" s="19">
        <v>1670</v>
      </c>
      <c r="E17" s="21">
        <f t="shared" si="1"/>
        <v>200.72115384615384</v>
      </c>
      <c r="F17" s="19">
        <v>1595</v>
      </c>
      <c r="G17" s="22">
        <f>F17/215*25</f>
        <v>185.46511627906978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1178.2</v>
      </c>
      <c r="Q17" s="24"/>
      <c r="R17" s="24"/>
      <c r="S17" s="25">
        <v>948</v>
      </c>
      <c r="T17" s="24"/>
      <c r="U17" s="24"/>
      <c r="V17" s="24">
        <v>28</v>
      </c>
      <c r="W17" s="25">
        <v>774</v>
      </c>
      <c r="X17" s="25"/>
      <c r="Y17" s="24">
        <v>192</v>
      </c>
      <c r="Z17" s="24">
        <v>10</v>
      </c>
      <c r="AA17" s="24">
        <v>263</v>
      </c>
      <c r="AB17" s="24">
        <v>421</v>
      </c>
      <c r="AC17" s="24"/>
      <c r="AD17" s="24"/>
      <c r="AE17" s="26">
        <f>Y17*2.43</f>
        <v>466.56000000000006</v>
      </c>
      <c r="AF17" s="24"/>
      <c r="AG17" s="27">
        <v>3</v>
      </c>
    </row>
    <row r="18" spans="1:41" s="28" customFormat="1" ht="26.25" customHeight="1" x14ac:dyDescent="0.25">
      <c r="A18" s="18">
        <v>45476</v>
      </c>
      <c r="B18" s="19"/>
      <c r="C18" s="20">
        <f t="shared" ref="C18:C19" si="4">B18/200*25</f>
        <v>0</v>
      </c>
      <c r="D18" s="19">
        <v>1583</v>
      </c>
      <c r="E18" s="21">
        <f t="shared" si="1"/>
        <v>190.26442307692309</v>
      </c>
      <c r="F18" s="19">
        <v>1140</v>
      </c>
      <c r="G18" s="22">
        <f t="shared" ref="G18:G21" si="5">F18/215*25</f>
        <v>132.55813953488371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1095.2</v>
      </c>
      <c r="Q18" s="24"/>
      <c r="R18" s="24"/>
      <c r="S18" s="24">
        <v>937</v>
      </c>
      <c r="T18" s="24"/>
      <c r="U18" s="24"/>
      <c r="V18" s="24">
        <v>28</v>
      </c>
      <c r="W18" s="25">
        <v>635</v>
      </c>
      <c r="X18" s="25"/>
      <c r="Y18" s="24">
        <v>187</v>
      </c>
      <c r="Z18" s="24">
        <v>4</v>
      </c>
      <c r="AA18" s="24">
        <v>208</v>
      </c>
      <c r="AB18" s="24">
        <v>436</v>
      </c>
      <c r="AC18" s="24"/>
      <c r="AD18" s="24"/>
      <c r="AE18" s="26">
        <f t="shared" si="2"/>
        <v>454.41</v>
      </c>
      <c r="AF18" s="24"/>
      <c r="AG18" s="27">
        <v>1</v>
      </c>
    </row>
    <row r="19" spans="1:41" s="28" customFormat="1" ht="26.25" customHeight="1" x14ac:dyDescent="0.25">
      <c r="A19" s="18">
        <v>45477</v>
      </c>
      <c r="B19" s="19"/>
      <c r="C19" s="20">
        <f t="shared" si="4"/>
        <v>0</v>
      </c>
      <c r="D19" s="19">
        <v>1911</v>
      </c>
      <c r="E19" s="21">
        <f t="shared" si="1"/>
        <v>229.6875</v>
      </c>
      <c r="F19" s="19">
        <v>1555</v>
      </c>
      <c r="G19" s="22">
        <f t="shared" si="5"/>
        <v>180.81395348837211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1149.4000000000001</v>
      </c>
      <c r="Q19" s="24"/>
      <c r="R19" s="24"/>
      <c r="S19" s="24">
        <v>1045</v>
      </c>
      <c r="T19" s="24"/>
      <c r="U19" s="24"/>
      <c r="V19" s="12">
        <v>28</v>
      </c>
      <c r="W19" s="24">
        <v>663</v>
      </c>
      <c r="X19" s="25"/>
      <c r="Y19" s="24">
        <v>222</v>
      </c>
      <c r="Z19" s="24">
        <v>6</v>
      </c>
      <c r="AA19" s="24">
        <v>284</v>
      </c>
      <c r="AB19" s="24">
        <v>464</v>
      </c>
      <c r="AC19" s="24"/>
      <c r="AD19" s="24"/>
      <c r="AE19" s="26">
        <f>Y19*2.43</f>
        <v>539.46</v>
      </c>
      <c r="AF19" s="24"/>
      <c r="AG19" s="27">
        <v>3</v>
      </c>
    </row>
    <row r="20" spans="1:41" s="28" customFormat="1" ht="26.25" customHeight="1" x14ac:dyDescent="0.25">
      <c r="A20" s="18">
        <v>45478</v>
      </c>
      <c r="B20" s="19"/>
      <c r="C20" s="20">
        <f>B20/200*25</f>
        <v>0</v>
      </c>
      <c r="D20" s="19">
        <v>2131</v>
      </c>
      <c r="E20" s="21">
        <f>D20/208*25</f>
        <v>256.12980769230774</v>
      </c>
      <c r="F20" s="19">
        <v>1671</v>
      </c>
      <c r="G20" s="22">
        <f t="shared" si="5"/>
        <v>194.30232558139537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1321</v>
      </c>
      <c r="Q20" s="24"/>
      <c r="R20" s="24"/>
      <c r="S20" s="24">
        <v>1101</v>
      </c>
      <c r="T20" s="24"/>
      <c r="U20" s="24"/>
      <c r="V20" s="24">
        <v>28</v>
      </c>
      <c r="W20" s="25">
        <v>863</v>
      </c>
      <c r="X20" s="25"/>
      <c r="Y20" s="24">
        <v>221</v>
      </c>
      <c r="Z20" s="24">
        <v>2</v>
      </c>
      <c r="AA20" s="24">
        <v>319</v>
      </c>
      <c r="AB20" s="24">
        <v>509</v>
      </c>
      <c r="AC20" s="24"/>
      <c r="AD20" s="24"/>
      <c r="AE20" s="26">
        <f>Y20*2.43</f>
        <v>537.03000000000009</v>
      </c>
      <c r="AF20" s="24"/>
      <c r="AG20" s="27">
        <v>2</v>
      </c>
    </row>
    <row r="21" spans="1:41" s="28" customFormat="1" ht="26.25" customHeight="1" x14ac:dyDescent="0.25">
      <c r="A21" s="18">
        <v>45479</v>
      </c>
      <c r="B21" s="19"/>
      <c r="C21" s="20">
        <f>B21/200*25</f>
        <v>0</v>
      </c>
      <c r="D21" s="19">
        <v>1198</v>
      </c>
      <c r="E21" s="21">
        <f>D21/208*25</f>
        <v>143.99038461538461</v>
      </c>
      <c r="F21" s="19">
        <v>1289</v>
      </c>
      <c r="G21" s="22">
        <f t="shared" si="5"/>
        <v>149.88372093023256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959</v>
      </c>
      <c r="Q21" s="24"/>
      <c r="R21" s="24"/>
      <c r="S21" s="25">
        <v>734</v>
      </c>
      <c r="T21" s="24"/>
      <c r="U21" s="24"/>
      <c r="V21" s="24">
        <v>21</v>
      </c>
      <c r="W21" s="25">
        <v>666</v>
      </c>
      <c r="X21" s="25"/>
      <c r="Y21" s="24">
        <v>174</v>
      </c>
      <c r="Z21" s="24">
        <v>4</v>
      </c>
      <c r="AA21" s="24">
        <v>231</v>
      </c>
      <c r="AB21" s="24">
        <v>338</v>
      </c>
      <c r="AC21" s="24"/>
      <c r="AD21" s="24"/>
      <c r="AE21" s="26">
        <f t="shared" si="2"/>
        <v>422.82000000000005</v>
      </c>
      <c r="AF21" s="24"/>
      <c r="AG21" s="27">
        <v>3</v>
      </c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9540</v>
      </c>
      <c r="E22" s="33">
        <f t="shared" si="7"/>
        <v>1146.6346153846155</v>
      </c>
      <c r="F22" s="31">
        <f t="shared" si="7"/>
        <v>8304</v>
      </c>
      <c r="G22" s="33">
        <f t="shared" si="7"/>
        <v>965.5813953488373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6571</v>
      </c>
      <c r="Q22" s="31">
        <f t="shared" si="7"/>
        <v>0</v>
      </c>
      <c r="R22" s="31">
        <f t="shared" si="7"/>
        <v>0</v>
      </c>
      <c r="S22" s="31">
        <f t="shared" si="7"/>
        <v>5405</v>
      </c>
      <c r="T22" s="31">
        <f t="shared" si="7"/>
        <v>0</v>
      </c>
      <c r="U22" s="31">
        <f t="shared" si="7"/>
        <v>0</v>
      </c>
      <c r="V22" s="31">
        <f t="shared" si="7"/>
        <v>133</v>
      </c>
      <c r="W22" s="31">
        <f t="shared" si="7"/>
        <v>4212</v>
      </c>
      <c r="X22" s="31"/>
      <c r="Y22" s="31">
        <f t="shared" ref="Y22:AG22" si="8">SUM(Y15:Y21)</f>
        <v>1137</v>
      </c>
      <c r="Z22" s="31">
        <f t="shared" si="8"/>
        <v>32</v>
      </c>
      <c r="AA22" s="31">
        <f t="shared" si="8"/>
        <v>1522</v>
      </c>
      <c r="AB22" s="31">
        <f t="shared" si="8"/>
        <v>2438</v>
      </c>
      <c r="AC22" s="31">
        <f t="shared" si="8"/>
        <v>0</v>
      </c>
      <c r="AD22" s="31">
        <f t="shared" si="8"/>
        <v>0</v>
      </c>
      <c r="AE22" s="33">
        <f t="shared" si="8"/>
        <v>2762.9100000000003</v>
      </c>
      <c r="AF22" s="33">
        <f t="shared" si="8"/>
        <v>0</v>
      </c>
      <c r="AG22" s="33">
        <f t="shared" si="8"/>
        <v>14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V25" s="74"/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10.8554687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45480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45481</v>
      </c>
      <c r="B16" s="19"/>
      <c r="C16" s="20">
        <f t="shared" si="0"/>
        <v>0</v>
      </c>
      <c r="D16" s="19">
        <v>1735</v>
      </c>
      <c r="E16" s="21">
        <f>D16/208*25</f>
        <v>208.53365384615384</v>
      </c>
      <c r="F16" s="19">
        <v>1204</v>
      </c>
      <c r="G16" s="22">
        <f>F16/215*25</f>
        <v>140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1068</v>
      </c>
      <c r="Q16" s="24"/>
      <c r="R16" s="24"/>
      <c r="S16" s="25">
        <v>888</v>
      </c>
      <c r="T16" s="24"/>
      <c r="U16" s="24"/>
      <c r="V16" s="24">
        <v>28</v>
      </c>
      <c r="W16" s="25">
        <v>658</v>
      </c>
      <c r="X16" s="25"/>
      <c r="Y16" s="24">
        <v>190</v>
      </c>
      <c r="Z16" s="24">
        <v>10</v>
      </c>
      <c r="AA16" s="24">
        <v>258</v>
      </c>
      <c r="AB16" s="24">
        <v>372</v>
      </c>
      <c r="AC16" s="24"/>
      <c r="AD16" s="24"/>
      <c r="AE16" s="26">
        <f t="shared" si="2"/>
        <v>461.70000000000005</v>
      </c>
      <c r="AF16" s="24"/>
      <c r="AG16" s="27"/>
      <c r="AH16" s="29"/>
    </row>
    <row r="17" spans="1:41" s="28" customFormat="1" ht="26.25" customHeight="1" x14ac:dyDescent="0.25">
      <c r="A17" s="18">
        <v>45482</v>
      </c>
      <c r="B17" s="19"/>
      <c r="C17" s="20">
        <f>B17/200*25</f>
        <v>0</v>
      </c>
      <c r="D17" s="19">
        <v>1861</v>
      </c>
      <c r="E17" s="21">
        <f t="shared" si="1"/>
        <v>223.67788461538461</v>
      </c>
      <c r="F17" s="19">
        <v>1505</v>
      </c>
      <c r="G17" s="22">
        <f t="shared" ref="G17:G21" si="4">F17/215*25</f>
        <v>175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1304</v>
      </c>
      <c r="Q17" s="24"/>
      <c r="R17" s="24"/>
      <c r="S17" s="25">
        <v>706</v>
      </c>
      <c r="T17" s="24"/>
      <c r="U17" s="24"/>
      <c r="V17" s="24">
        <v>4</v>
      </c>
      <c r="W17" s="25">
        <v>1220</v>
      </c>
      <c r="X17" s="25"/>
      <c r="Y17" s="24">
        <v>233</v>
      </c>
      <c r="Z17" s="24">
        <v>6</v>
      </c>
      <c r="AA17" s="24">
        <v>358</v>
      </c>
      <c r="AB17" s="24">
        <v>406</v>
      </c>
      <c r="AC17" s="24"/>
      <c r="AD17" s="24"/>
      <c r="AE17" s="26">
        <f>Y17*2.43</f>
        <v>566.19000000000005</v>
      </c>
      <c r="AF17" s="24"/>
      <c r="AG17" s="27">
        <v>2</v>
      </c>
    </row>
    <row r="18" spans="1:41" s="28" customFormat="1" ht="26.25" customHeight="1" x14ac:dyDescent="0.25">
      <c r="A18" s="18">
        <v>45483</v>
      </c>
      <c r="B18" s="19"/>
      <c r="C18" s="20">
        <f t="shared" ref="C18:C19" si="5">B18/200*25</f>
        <v>0</v>
      </c>
      <c r="D18" s="19">
        <v>1537</v>
      </c>
      <c r="E18" s="21">
        <f t="shared" si="1"/>
        <v>184.73557692307691</v>
      </c>
      <c r="F18" s="19">
        <v>1495</v>
      </c>
      <c r="G18" s="22">
        <f t="shared" si="4"/>
        <v>173.83720930232559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1014</v>
      </c>
      <c r="Q18" s="24"/>
      <c r="R18" s="24"/>
      <c r="S18" s="24">
        <v>94</v>
      </c>
      <c r="T18" s="24"/>
      <c r="U18" s="24"/>
      <c r="V18" s="24"/>
      <c r="W18" s="25">
        <v>1458</v>
      </c>
      <c r="X18" s="25"/>
      <c r="Y18" s="24">
        <v>197</v>
      </c>
      <c r="Z18" s="24">
        <v>6</v>
      </c>
      <c r="AA18" s="24">
        <v>236</v>
      </c>
      <c r="AB18" s="24">
        <v>362</v>
      </c>
      <c r="AC18" s="24"/>
      <c r="AD18" s="24"/>
      <c r="AE18" s="26">
        <f t="shared" si="2"/>
        <v>478.71000000000004</v>
      </c>
      <c r="AF18" s="24"/>
      <c r="AG18" s="27"/>
    </row>
    <row r="19" spans="1:41" s="28" customFormat="1" ht="26.25" customHeight="1" x14ac:dyDescent="0.25">
      <c r="A19" s="18">
        <v>45484</v>
      </c>
      <c r="B19" s="19"/>
      <c r="C19" s="20">
        <f t="shared" si="5"/>
        <v>0</v>
      </c>
      <c r="D19" s="19">
        <v>1376</v>
      </c>
      <c r="E19" s="21">
        <f t="shared" si="1"/>
        <v>165.38461538461539</v>
      </c>
      <c r="F19" s="19">
        <v>1459</v>
      </c>
      <c r="G19" s="22">
        <f t="shared" si="4"/>
        <v>169.65116279069767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1097.5999999999999</v>
      </c>
      <c r="Q19" s="24"/>
      <c r="R19" s="24"/>
      <c r="S19" s="24">
        <v>148</v>
      </c>
      <c r="T19" s="24"/>
      <c r="U19" s="24"/>
      <c r="V19" s="12"/>
      <c r="W19" s="24">
        <v>1487</v>
      </c>
      <c r="X19" s="25"/>
      <c r="Y19" s="24">
        <v>216</v>
      </c>
      <c r="Z19" s="24">
        <v>4</v>
      </c>
      <c r="AA19" s="24">
        <v>369</v>
      </c>
      <c r="AB19" s="24">
        <v>322</v>
      </c>
      <c r="AC19" s="24"/>
      <c r="AD19" s="24"/>
      <c r="AE19" s="26">
        <f>Y19*2.43</f>
        <v>524.88</v>
      </c>
      <c r="AF19" s="24"/>
      <c r="AG19" s="27"/>
    </row>
    <row r="20" spans="1:41" s="28" customFormat="1" ht="26.25" customHeight="1" x14ac:dyDescent="0.25">
      <c r="A20" s="18">
        <v>45485</v>
      </c>
      <c r="B20" s="19"/>
      <c r="C20" s="20">
        <f>B20/200*25</f>
        <v>0</v>
      </c>
      <c r="D20" s="19">
        <v>1642</v>
      </c>
      <c r="E20" s="21">
        <f>D20/208*25</f>
        <v>197.35576923076923</v>
      </c>
      <c r="F20" s="19">
        <v>1299</v>
      </c>
      <c r="G20" s="22">
        <f t="shared" si="4"/>
        <v>151.04651162790699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1040.5999999999999</v>
      </c>
      <c r="Q20" s="24"/>
      <c r="R20" s="24"/>
      <c r="S20" s="24">
        <v>103</v>
      </c>
      <c r="T20" s="24"/>
      <c r="U20" s="24"/>
      <c r="V20" s="24"/>
      <c r="W20" s="25">
        <v>1486</v>
      </c>
      <c r="X20" s="25"/>
      <c r="Y20" s="24">
        <v>205</v>
      </c>
      <c r="Z20" s="24">
        <v>8</v>
      </c>
      <c r="AA20" s="24">
        <v>271</v>
      </c>
      <c r="AB20" s="24">
        <v>389</v>
      </c>
      <c r="AC20" s="24"/>
      <c r="AD20" s="24"/>
      <c r="AE20" s="26">
        <f>Y20*2.43</f>
        <v>498.15000000000003</v>
      </c>
      <c r="AF20" s="24"/>
      <c r="AG20" s="27"/>
    </row>
    <row r="21" spans="1:41" s="28" customFormat="1" ht="26.25" customHeight="1" x14ac:dyDescent="0.25">
      <c r="A21" s="18">
        <v>45486</v>
      </c>
      <c r="B21" s="19"/>
      <c r="C21" s="20">
        <f>B21/200*25</f>
        <v>0</v>
      </c>
      <c r="D21" s="19">
        <v>1208</v>
      </c>
      <c r="E21" s="21">
        <f>D21/208*25</f>
        <v>145.19230769230768</v>
      </c>
      <c r="F21" s="19">
        <v>1103</v>
      </c>
      <c r="G21" s="22">
        <f t="shared" si="4"/>
        <v>128.25581395348837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813</v>
      </c>
      <c r="Q21" s="24"/>
      <c r="R21" s="24"/>
      <c r="S21" s="25">
        <v>123</v>
      </c>
      <c r="T21" s="24"/>
      <c r="U21" s="24"/>
      <c r="V21" s="24"/>
      <c r="W21" s="25">
        <v>1113</v>
      </c>
      <c r="X21" s="25"/>
      <c r="Y21" s="24">
        <v>175</v>
      </c>
      <c r="Z21" s="24">
        <v>4</v>
      </c>
      <c r="AA21" s="24">
        <v>182</v>
      </c>
      <c r="AB21" s="24">
        <v>372</v>
      </c>
      <c r="AC21" s="24"/>
      <c r="AD21" s="24"/>
      <c r="AE21" s="26">
        <f t="shared" si="2"/>
        <v>425.25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9359</v>
      </c>
      <c r="E22" s="33">
        <f t="shared" si="7"/>
        <v>1124.8798076923076</v>
      </c>
      <c r="F22" s="31">
        <f t="shared" si="7"/>
        <v>8065</v>
      </c>
      <c r="G22" s="33">
        <f t="shared" si="7"/>
        <v>937.79069767441865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6337.2000000000007</v>
      </c>
      <c r="Q22" s="31">
        <f t="shared" si="7"/>
        <v>0</v>
      </c>
      <c r="R22" s="31">
        <f t="shared" si="7"/>
        <v>0</v>
      </c>
      <c r="S22" s="31">
        <f t="shared" si="7"/>
        <v>2062</v>
      </c>
      <c r="T22" s="31">
        <f t="shared" si="7"/>
        <v>0</v>
      </c>
      <c r="U22" s="31">
        <f t="shared" si="7"/>
        <v>0</v>
      </c>
      <c r="V22" s="31">
        <f t="shared" si="7"/>
        <v>32</v>
      </c>
      <c r="W22" s="31">
        <f t="shared" si="7"/>
        <v>7422</v>
      </c>
      <c r="X22" s="31"/>
      <c r="Y22" s="31">
        <f t="shared" ref="Y22:AG22" si="8">SUM(Y15:Y21)</f>
        <v>1216</v>
      </c>
      <c r="Z22" s="31">
        <f t="shared" si="8"/>
        <v>38</v>
      </c>
      <c r="AA22" s="31">
        <f t="shared" si="8"/>
        <v>1674</v>
      </c>
      <c r="AB22" s="31">
        <f t="shared" si="8"/>
        <v>2223</v>
      </c>
      <c r="AC22" s="31">
        <f t="shared" si="8"/>
        <v>0</v>
      </c>
      <c r="AD22" s="31">
        <f t="shared" si="8"/>
        <v>0</v>
      </c>
      <c r="AE22" s="33">
        <f t="shared" si="8"/>
        <v>2954.88</v>
      </c>
      <c r="AF22" s="33">
        <f t="shared" si="8"/>
        <v>0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V25" s="74"/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customWidth="1"/>
    <col min="3" max="3" width="7" style="1" customWidth="1"/>
    <col min="4" max="4" width="9.28515625" style="1" customWidth="1"/>
    <col min="5" max="5" width="10.5703125" style="1" customWidth="1"/>
    <col min="6" max="6" width="10.8554687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45487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45488</v>
      </c>
      <c r="B16" s="19"/>
      <c r="C16" s="20">
        <f t="shared" si="0"/>
        <v>0</v>
      </c>
      <c r="D16" s="19">
        <v>1445</v>
      </c>
      <c r="E16" s="21">
        <f>D16/208*25</f>
        <v>173.67788461538461</v>
      </c>
      <c r="F16" s="19">
        <v>1064</v>
      </c>
      <c r="G16" s="22">
        <f>F16/215*25</f>
        <v>123.72093023255815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1032.4000000000001</v>
      </c>
      <c r="Q16" s="24"/>
      <c r="R16" s="24"/>
      <c r="S16" s="25">
        <v>179</v>
      </c>
      <c r="T16" s="24"/>
      <c r="U16" s="24"/>
      <c r="V16" s="24"/>
      <c r="W16" s="25">
        <v>1323</v>
      </c>
      <c r="X16" s="25"/>
      <c r="Y16" s="24">
        <v>177</v>
      </c>
      <c r="Z16" s="24">
        <v>2</v>
      </c>
      <c r="AA16" s="24">
        <v>193</v>
      </c>
      <c r="AB16" s="24">
        <v>387</v>
      </c>
      <c r="AC16" s="24"/>
      <c r="AD16" s="24"/>
      <c r="AE16" s="26">
        <f t="shared" si="2"/>
        <v>430.11</v>
      </c>
      <c r="AF16" s="24"/>
      <c r="AG16" s="27"/>
      <c r="AH16" s="29"/>
    </row>
    <row r="17" spans="1:41" s="28" customFormat="1" ht="26.25" customHeight="1" x14ac:dyDescent="0.25">
      <c r="A17" s="18">
        <v>45489</v>
      </c>
      <c r="B17" s="19"/>
      <c r="C17" s="20">
        <f>B17/200*25</f>
        <v>0</v>
      </c>
      <c r="D17" s="19">
        <v>1424</v>
      </c>
      <c r="E17" s="21">
        <f t="shared" si="1"/>
        <v>171.15384615384613</v>
      </c>
      <c r="F17" s="19">
        <v>1686</v>
      </c>
      <c r="G17" s="22">
        <f t="shared" ref="G17:G21" si="4">F17/215*25</f>
        <v>196.04651162790699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1062</v>
      </c>
      <c r="Q17" s="24"/>
      <c r="R17" s="24"/>
      <c r="S17" s="25">
        <v>125</v>
      </c>
      <c r="T17" s="24"/>
      <c r="U17" s="24"/>
      <c r="V17" s="24"/>
      <c r="W17" s="25">
        <v>1542</v>
      </c>
      <c r="X17" s="25"/>
      <c r="Y17" s="24">
        <v>210</v>
      </c>
      <c r="Z17" s="24">
        <v>4</v>
      </c>
      <c r="AA17" s="24">
        <v>325</v>
      </c>
      <c r="AB17" s="24">
        <v>331</v>
      </c>
      <c r="AC17" s="24"/>
      <c r="AD17" s="24"/>
      <c r="AE17" s="26">
        <f>Y17*2.43</f>
        <v>510.3</v>
      </c>
      <c r="AF17" s="24"/>
      <c r="AG17" s="27"/>
    </row>
    <row r="18" spans="1:41" s="28" customFormat="1" ht="26.25" customHeight="1" x14ac:dyDescent="0.25">
      <c r="A18" s="18">
        <v>45490</v>
      </c>
      <c r="B18" s="19"/>
      <c r="C18" s="20">
        <f t="shared" ref="C18:C19" si="5">B18/200*25</f>
        <v>0</v>
      </c>
      <c r="D18" s="19">
        <v>1583</v>
      </c>
      <c r="E18" s="21">
        <f t="shared" si="1"/>
        <v>190.26442307692309</v>
      </c>
      <c r="F18" s="19">
        <v>1403</v>
      </c>
      <c r="G18" s="22">
        <f t="shared" si="4"/>
        <v>163.13953488372093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1167.4000000000001</v>
      </c>
      <c r="Q18" s="24"/>
      <c r="R18" s="24"/>
      <c r="S18" s="24">
        <v>102</v>
      </c>
      <c r="T18" s="24"/>
      <c r="U18" s="24"/>
      <c r="V18" s="24"/>
      <c r="W18" s="25">
        <v>1637</v>
      </c>
      <c r="X18" s="25"/>
      <c r="Y18" s="24">
        <v>237</v>
      </c>
      <c r="Z18" s="24">
        <v>2</v>
      </c>
      <c r="AA18" s="24">
        <v>243</v>
      </c>
      <c r="AB18" s="24">
        <v>475</v>
      </c>
      <c r="AC18" s="24"/>
      <c r="AD18" s="24"/>
      <c r="AE18" s="26">
        <f t="shared" si="2"/>
        <v>575.91000000000008</v>
      </c>
      <c r="AF18" s="24"/>
      <c r="AG18" s="27"/>
    </row>
    <row r="19" spans="1:41" s="28" customFormat="1" ht="26.25" customHeight="1" x14ac:dyDescent="0.25">
      <c r="A19" s="18">
        <v>45491</v>
      </c>
      <c r="B19" s="19"/>
      <c r="C19" s="20">
        <f t="shared" si="5"/>
        <v>0</v>
      </c>
      <c r="D19" s="19">
        <v>1116</v>
      </c>
      <c r="E19" s="21">
        <f t="shared" si="1"/>
        <v>134.13461538461539</v>
      </c>
      <c r="F19" s="19">
        <v>1746</v>
      </c>
      <c r="G19" s="22">
        <f t="shared" si="4"/>
        <v>203.02325581395348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1034.5999999999999</v>
      </c>
      <c r="Q19" s="24"/>
      <c r="R19" s="24"/>
      <c r="S19" s="24">
        <v>59</v>
      </c>
      <c r="T19" s="24"/>
      <c r="U19" s="24"/>
      <c r="V19" s="12"/>
      <c r="W19" s="24">
        <v>1494</v>
      </c>
      <c r="X19" s="25"/>
      <c r="Y19" s="24">
        <v>191</v>
      </c>
      <c r="Z19" s="24">
        <v>2</v>
      </c>
      <c r="AA19" s="24">
        <v>287</v>
      </c>
      <c r="AB19" s="24">
        <v>338</v>
      </c>
      <c r="AC19" s="24"/>
      <c r="AD19" s="24"/>
      <c r="AE19" s="26">
        <f>Y19*2.43</f>
        <v>464.13000000000005</v>
      </c>
      <c r="AF19" s="24"/>
      <c r="AG19" s="27"/>
    </row>
    <row r="20" spans="1:41" s="28" customFormat="1" ht="26.25" customHeight="1" x14ac:dyDescent="0.25">
      <c r="A20" s="18">
        <v>45492</v>
      </c>
      <c r="B20" s="19"/>
      <c r="C20" s="20">
        <f>B20/200*25</f>
        <v>0</v>
      </c>
      <c r="D20" s="19">
        <v>1622</v>
      </c>
      <c r="E20" s="21">
        <f>D20/208*25</f>
        <v>194.95192307692309</v>
      </c>
      <c r="F20" s="19">
        <v>1442</v>
      </c>
      <c r="G20" s="22">
        <f t="shared" si="4"/>
        <v>167.67441860465115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1143</v>
      </c>
      <c r="Q20" s="24"/>
      <c r="R20" s="24"/>
      <c r="S20" s="24">
        <v>92</v>
      </c>
      <c r="T20" s="24"/>
      <c r="U20" s="24"/>
      <c r="V20" s="24"/>
      <c r="W20" s="25">
        <v>1622</v>
      </c>
      <c r="X20" s="25"/>
      <c r="Y20" s="24">
        <v>208</v>
      </c>
      <c r="Z20" s="24">
        <v>2</v>
      </c>
      <c r="AA20" s="24">
        <v>262</v>
      </c>
      <c r="AB20" s="24">
        <v>453</v>
      </c>
      <c r="AC20" s="24"/>
      <c r="AD20" s="24"/>
      <c r="AE20" s="26">
        <f>Y20*2.43</f>
        <v>505.44000000000005</v>
      </c>
      <c r="AF20" s="24"/>
      <c r="AG20" s="27"/>
    </row>
    <row r="21" spans="1:41" s="28" customFormat="1" ht="26.25" customHeight="1" x14ac:dyDescent="0.25">
      <c r="A21" s="18">
        <v>45493</v>
      </c>
      <c r="B21" s="19"/>
      <c r="C21" s="20">
        <f>B21/200*25</f>
        <v>0</v>
      </c>
      <c r="D21" s="19">
        <v>1465</v>
      </c>
      <c r="E21" s="21">
        <f>D21/208*25</f>
        <v>176.08173076923077</v>
      </c>
      <c r="F21" s="19">
        <v>1383</v>
      </c>
      <c r="G21" s="22">
        <f t="shared" si="4"/>
        <v>160.81395348837208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1215</v>
      </c>
      <c r="Q21" s="24"/>
      <c r="R21" s="24"/>
      <c r="S21" s="25">
        <v>88</v>
      </c>
      <c r="T21" s="24"/>
      <c r="U21" s="24"/>
      <c r="V21" s="24">
        <v>29</v>
      </c>
      <c r="W21" s="25">
        <v>1613</v>
      </c>
      <c r="X21" s="25"/>
      <c r="Y21" s="24">
        <v>196</v>
      </c>
      <c r="Z21" s="24"/>
      <c r="AA21" s="24">
        <v>256</v>
      </c>
      <c r="AB21" s="24">
        <v>434</v>
      </c>
      <c r="AC21" s="24"/>
      <c r="AD21" s="24"/>
      <c r="AE21" s="26">
        <f t="shared" si="2"/>
        <v>476.28000000000003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8655</v>
      </c>
      <c r="E22" s="33">
        <f t="shared" si="7"/>
        <v>1040.2644230769231</v>
      </c>
      <c r="F22" s="31">
        <f t="shared" si="7"/>
        <v>8724</v>
      </c>
      <c r="G22" s="33">
        <f t="shared" si="7"/>
        <v>1014.4186046511627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6654.4</v>
      </c>
      <c r="Q22" s="31">
        <f t="shared" si="7"/>
        <v>0</v>
      </c>
      <c r="R22" s="31">
        <f t="shared" si="7"/>
        <v>0</v>
      </c>
      <c r="S22" s="31">
        <f t="shared" si="7"/>
        <v>645</v>
      </c>
      <c r="T22" s="31">
        <f t="shared" si="7"/>
        <v>0</v>
      </c>
      <c r="U22" s="31">
        <f t="shared" si="7"/>
        <v>0</v>
      </c>
      <c r="V22" s="31">
        <f t="shared" si="7"/>
        <v>29</v>
      </c>
      <c r="W22" s="31">
        <f t="shared" si="7"/>
        <v>9231</v>
      </c>
      <c r="X22" s="31"/>
      <c r="Y22" s="31">
        <f t="shared" ref="Y22:AG22" si="8">SUM(Y15:Y21)</f>
        <v>1219</v>
      </c>
      <c r="Z22" s="31">
        <f t="shared" si="8"/>
        <v>12</v>
      </c>
      <c r="AA22" s="31">
        <f t="shared" si="8"/>
        <v>1566</v>
      </c>
      <c r="AB22" s="31">
        <f t="shared" si="8"/>
        <v>2418</v>
      </c>
      <c r="AC22" s="31">
        <f t="shared" si="8"/>
        <v>0</v>
      </c>
      <c r="AD22" s="31">
        <f t="shared" si="8"/>
        <v>0</v>
      </c>
      <c r="AE22" s="33">
        <f t="shared" si="8"/>
        <v>2962.1700000000005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F25" s="40" t="s">
        <v>33</v>
      </c>
      <c r="H25" s="40"/>
      <c r="I25" s="40"/>
      <c r="J25" s="40"/>
      <c r="K25" s="40"/>
      <c r="L25" s="40"/>
      <c r="M25" s="40"/>
      <c r="P25" s="40"/>
      <c r="Q25" s="40"/>
      <c r="S25" s="42" t="s">
        <v>34</v>
      </c>
      <c r="V25" s="74"/>
      <c r="Y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F28" s="45" t="s">
        <v>37</v>
      </c>
      <c r="H28" s="40"/>
      <c r="I28" s="40"/>
      <c r="J28" s="40"/>
      <c r="K28" s="40"/>
      <c r="L28" s="40"/>
      <c r="M28" s="40"/>
      <c r="P28" s="40"/>
      <c r="Q28" s="40"/>
      <c r="S28" s="45" t="s">
        <v>70</v>
      </c>
      <c r="Y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F29" s="44" t="s">
        <v>41</v>
      </c>
      <c r="H29" s="44"/>
      <c r="I29" s="44"/>
      <c r="J29" s="44"/>
      <c r="K29" s="44"/>
      <c r="L29" s="44"/>
      <c r="M29" s="44"/>
      <c r="P29" s="44"/>
      <c r="Q29" s="44"/>
      <c r="S29" s="44" t="s">
        <v>42</v>
      </c>
      <c r="Y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9.28515625" style="1" customWidth="1"/>
    <col min="5" max="5" width="10.5703125" style="1" customWidth="1"/>
    <col min="6" max="6" width="10.8554687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79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45494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/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45495</v>
      </c>
      <c r="B16" s="19"/>
      <c r="C16" s="20">
        <f t="shared" si="0"/>
        <v>0</v>
      </c>
      <c r="D16" s="19">
        <v>1286</v>
      </c>
      <c r="E16" s="21">
        <f>D16/208*25</f>
        <v>154.56730769230768</v>
      </c>
      <c r="F16" s="19">
        <v>1360</v>
      </c>
      <c r="G16" s="22">
        <f>F16/215*25</f>
        <v>158.13953488372093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3">
        <v>1062.4000000000001</v>
      </c>
      <c r="Q16" s="24"/>
      <c r="R16" s="24"/>
      <c r="S16" s="25"/>
      <c r="T16" s="24"/>
      <c r="U16" s="24"/>
      <c r="V16" s="24"/>
      <c r="W16" s="25">
        <v>1565</v>
      </c>
      <c r="X16" s="25"/>
      <c r="Y16" s="24">
        <v>194</v>
      </c>
      <c r="Z16" s="24">
        <v>4</v>
      </c>
      <c r="AA16" s="24">
        <v>279</v>
      </c>
      <c r="AB16" s="24">
        <v>343</v>
      </c>
      <c r="AC16" s="24"/>
      <c r="AD16" s="24"/>
      <c r="AE16" s="26">
        <f t="shared" si="2"/>
        <v>471.42</v>
      </c>
      <c r="AF16" s="24"/>
      <c r="AG16" s="27"/>
      <c r="AH16" s="29"/>
    </row>
    <row r="17" spans="1:41" s="28" customFormat="1" ht="26.25" customHeight="1" x14ac:dyDescent="0.25">
      <c r="A17" s="18">
        <v>45496</v>
      </c>
      <c r="B17" s="19"/>
      <c r="C17" s="20">
        <f>B17/200*25</f>
        <v>0</v>
      </c>
      <c r="D17" s="19">
        <v>1545</v>
      </c>
      <c r="E17" s="21">
        <f t="shared" si="1"/>
        <v>185.69711538461539</v>
      </c>
      <c r="F17" s="19">
        <v>1517</v>
      </c>
      <c r="G17" s="22">
        <f t="shared" ref="G17:G21" si="4">F17/215*25</f>
        <v>176.3953488372093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1197.5999999999999</v>
      </c>
      <c r="Q17" s="24"/>
      <c r="R17" s="24"/>
      <c r="S17" s="25">
        <v>18</v>
      </c>
      <c r="T17" s="24"/>
      <c r="U17" s="24"/>
      <c r="V17" s="24"/>
      <c r="W17" s="25">
        <v>1787</v>
      </c>
      <c r="X17" s="25"/>
      <c r="Y17" s="24">
        <v>218</v>
      </c>
      <c r="Z17" s="24"/>
      <c r="AA17" s="24">
        <v>328</v>
      </c>
      <c r="AB17" s="24">
        <v>385</v>
      </c>
      <c r="AC17" s="24"/>
      <c r="AD17" s="24"/>
      <c r="AE17" s="26">
        <f>Y17*2.43</f>
        <v>529.74</v>
      </c>
      <c r="AF17" s="24"/>
      <c r="AG17" s="27"/>
    </row>
    <row r="18" spans="1:41" s="28" customFormat="1" ht="26.25" customHeight="1" x14ac:dyDescent="0.25">
      <c r="A18" s="18">
        <v>45497</v>
      </c>
      <c r="B18" s="19"/>
      <c r="C18" s="20">
        <f t="shared" ref="C18:C19" si="5">B18/200*25</f>
        <v>0</v>
      </c>
      <c r="D18" s="19">
        <v>1505</v>
      </c>
      <c r="E18" s="21">
        <f t="shared" si="1"/>
        <v>180.88942307692309</v>
      </c>
      <c r="F18" s="19">
        <v>1734</v>
      </c>
      <c r="G18" s="22">
        <f t="shared" si="4"/>
        <v>201.62790697674419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1170</v>
      </c>
      <c r="Q18" s="24"/>
      <c r="R18" s="24"/>
      <c r="S18" s="24">
        <v>18</v>
      </c>
      <c r="T18" s="24"/>
      <c r="U18" s="24"/>
      <c r="V18" s="24"/>
      <c r="W18" s="25">
        <v>1799</v>
      </c>
      <c r="X18" s="25"/>
      <c r="Y18" s="24">
        <v>197</v>
      </c>
      <c r="Z18" s="24">
        <v>2</v>
      </c>
      <c r="AA18" s="24">
        <v>400</v>
      </c>
      <c r="AB18" s="24">
        <v>354</v>
      </c>
      <c r="AC18" s="24"/>
      <c r="AD18" s="24"/>
      <c r="AE18" s="26">
        <f t="shared" si="2"/>
        <v>478.71000000000004</v>
      </c>
      <c r="AF18" s="24"/>
      <c r="AG18" s="27"/>
    </row>
    <row r="19" spans="1:41" s="28" customFormat="1" ht="26.25" customHeight="1" x14ac:dyDescent="0.25">
      <c r="A19" s="18">
        <v>45498</v>
      </c>
      <c r="B19" s="19"/>
      <c r="C19" s="20">
        <f t="shared" si="5"/>
        <v>0</v>
      </c>
      <c r="D19" s="19">
        <v>1292</v>
      </c>
      <c r="E19" s="21">
        <f t="shared" si="1"/>
        <v>155.28846153846155</v>
      </c>
      <c r="F19" s="19">
        <v>1828</v>
      </c>
      <c r="G19" s="22">
        <f t="shared" si="4"/>
        <v>212.55813953488371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1251</v>
      </c>
      <c r="Q19" s="24"/>
      <c r="R19" s="24"/>
      <c r="S19" s="24"/>
      <c r="T19" s="24"/>
      <c r="U19" s="24"/>
      <c r="V19" s="12"/>
      <c r="W19" s="24">
        <v>1839</v>
      </c>
      <c r="X19" s="25"/>
      <c r="Y19" s="24">
        <v>209</v>
      </c>
      <c r="Z19" s="24">
        <v>2</v>
      </c>
      <c r="AA19" s="24">
        <v>441</v>
      </c>
      <c r="AB19" s="24">
        <v>338</v>
      </c>
      <c r="AC19" s="24"/>
      <c r="AD19" s="24"/>
      <c r="AE19" s="26">
        <f>Y19*2.43</f>
        <v>507.87000000000006</v>
      </c>
      <c r="AF19" s="24"/>
      <c r="AG19" s="27">
        <v>1</v>
      </c>
    </row>
    <row r="20" spans="1:41" s="28" customFormat="1" ht="26.25" customHeight="1" x14ac:dyDescent="0.25">
      <c r="A20" s="18">
        <v>45499</v>
      </c>
      <c r="B20" s="19"/>
      <c r="C20" s="20">
        <f>B20/200*25</f>
        <v>0</v>
      </c>
      <c r="D20" s="19">
        <v>1397</v>
      </c>
      <c r="E20" s="21">
        <f>D20/208*25</f>
        <v>167.90865384615387</v>
      </c>
      <c r="F20" s="19">
        <v>1839</v>
      </c>
      <c r="G20" s="22">
        <f t="shared" si="4"/>
        <v>213.83720930232556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1318</v>
      </c>
      <c r="Q20" s="24"/>
      <c r="R20" s="24"/>
      <c r="S20" s="24"/>
      <c r="T20" s="24"/>
      <c r="U20" s="24"/>
      <c r="V20" s="24"/>
      <c r="W20" s="25">
        <v>1908</v>
      </c>
      <c r="X20" s="25"/>
      <c r="Y20" s="24">
        <v>201</v>
      </c>
      <c r="Z20" s="24">
        <v>4</v>
      </c>
      <c r="AA20" s="24">
        <v>441</v>
      </c>
      <c r="AB20" s="24">
        <v>329</v>
      </c>
      <c r="AC20" s="24"/>
      <c r="AD20" s="24"/>
      <c r="AE20" s="26">
        <f>Y20*2.43</f>
        <v>488.43</v>
      </c>
      <c r="AF20" s="24"/>
      <c r="AG20" s="27">
        <v>1</v>
      </c>
    </row>
    <row r="21" spans="1:41" s="28" customFormat="1" ht="26.25" customHeight="1" x14ac:dyDescent="0.25">
      <c r="A21" s="18">
        <v>45500</v>
      </c>
      <c r="B21" s="19"/>
      <c r="C21" s="20">
        <f>B21/200*25</f>
        <v>0</v>
      </c>
      <c r="D21" s="19">
        <v>1701</v>
      </c>
      <c r="E21" s="21">
        <f>D21/208*25</f>
        <v>204.44711538461539</v>
      </c>
      <c r="F21" s="19">
        <v>1473</v>
      </c>
      <c r="G21" s="22">
        <f t="shared" si="4"/>
        <v>171.27906976744185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1337</v>
      </c>
      <c r="Q21" s="24"/>
      <c r="R21" s="24"/>
      <c r="S21" s="25"/>
      <c r="T21" s="24"/>
      <c r="U21" s="24"/>
      <c r="V21" s="24"/>
      <c r="W21" s="25">
        <v>1961</v>
      </c>
      <c r="X21" s="25"/>
      <c r="Y21" s="24">
        <v>182</v>
      </c>
      <c r="Z21" s="24">
        <v>4</v>
      </c>
      <c r="AA21" s="24">
        <v>343</v>
      </c>
      <c r="AB21" s="24">
        <v>437</v>
      </c>
      <c r="AC21" s="24"/>
      <c r="AD21" s="24"/>
      <c r="AE21" s="26">
        <f t="shared" si="2"/>
        <v>442.26000000000005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8726</v>
      </c>
      <c r="E22" s="33">
        <f t="shared" si="7"/>
        <v>1048.7980769230771</v>
      </c>
      <c r="F22" s="31">
        <f t="shared" si="7"/>
        <v>9751</v>
      </c>
      <c r="G22" s="33">
        <f t="shared" si="7"/>
        <v>1133.8372093023254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7336</v>
      </c>
      <c r="Q22" s="31">
        <f t="shared" si="7"/>
        <v>0</v>
      </c>
      <c r="R22" s="31">
        <f t="shared" si="7"/>
        <v>0</v>
      </c>
      <c r="S22" s="31">
        <f t="shared" si="7"/>
        <v>36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10859</v>
      </c>
      <c r="X22" s="31"/>
      <c r="Y22" s="31">
        <f t="shared" ref="Y22:AG22" si="8">SUM(Y15:Y21)</f>
        <v>1201</v>
      </c>
      <c r="Z22" s="31">
        <f t="shared" si="8"/>
        <v>16</v>
      </c>
      <c r="AA22" s="31">
        <f t="shared" si="8"/>
        <v>2232</v>
      </c>
      <c r="AB22" s="31">
        <f t="shared" si="8"/>
        <v>2186</v>
      </c>
      <c r="AC22" s="31">
        <f t="shared" si="8"/>
        <v>0</v>
      </c>
      <c r="AD22" s="31">
        <f t="shared" si="8"/>
        <v>0</v>
      </c>
      <c r="AE22" s="33">
        <f t="shared" si="8"/>
        <v>2918.4300000000003</v>
      </c>
      <c r="AF22" s="33">
        <f t="shared" si="8"/>
        <v>0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70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9" sqref="A19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9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45501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45502</v>
      </c>
      <c r="B16" s="19"/>
      <c r="C16" s="20">
        <f t="shared" si="0"/>
        <v>0</v>
      </c>
      <c r="D16" s="19">
        <v>1928</v>
      </c>
      <c r="E16" s="21">
        <f>D16/208*25</f>
        <v>231.73076923076925</v>
      </c>
      <c r="F16" s="19">
        <v>2095</v>
      </c>
      <c r="G16" s="22">
        <f>F16/215*25</f>
        <v>243.60465116279067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1515.6</v>
      </c>
      <c r="Q16" s="24"/>
      <c r="R16" s="24"/>
      <c r="S16" s="25">
        <v>12</v>
      </c>
      <c r="T16" s="24"/>
      <c r="U16" s="24"/>
      <c r="V16" s="24"/>
      <c r="W16" s="25">
        <v>2287</v>
      </c>
      <c r="X16" s="25"/>
      <c r="Y16" s="24">
        <v>237</v>
      </c>
      <c r="Z16" s="24"/>
      <c r="AA16" s="24">
        <v>448</v>
      </c>
      <c r="AB16" s="24">
        <v>442</v>
      </c>
      <c r="AC16" s="24"/>
      <c r="AD16" s="24"/>
      <c r="AE16" s="26">
        <f t="shared" si="2"/>
        <v>575.91000000000008</v>
      </c>
      <c r="AF16" s="24"/>
      <c r="AG16" s="27">
        <v>1</v>
      </c>
      <c r="AH16" s="29"/>
    </row>
    <row r="17" spans="1:41" s="28" customFormat="1" ht="26.25" customHeight="1" x14ac:dyDescent="0.25">
      <c r="A17" s="18">
        <v>45503</v>
      </c>
      <c r="B17" s="19"/>
      <c r="C17" s="20">
        <f>B17/200*25</f>
        <v>0</v>
      </c>
      <c r="D17" s="19">
        <v>1589</v>
      </c>
      <c r="E17" s="21">
        <f t="shared" si="1"/>
        <v>190.98557692307691</v>
      </c>
      <c r="F17" s="19">
        <v>1611</v>
      </c>
      <c r="G17" s="22">
        <f t="shared" ref="G17:G21" si="4">F17/215*25</f>
        <v>187.32558139534882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1268.4000000000001</v>
      </c>
      <c r="Q17" s="24"/>
      <c r="R17" s="24"/>
      <c r="S17" s="25"/>
      <c r="T17" s="24"/>
      <c r="U17" s="24"/>
      <c r="V17" s="24"/>
      <c r="W17" s="25">
        <v>1869</v>
      </c>
      <c r="X17" s="25"/>
      <c r="Y17" s="24">
        <v>192</v>
      </c>
      <c r="Z17" s="24">
        <v>2</v>
      </c>
      <c r="AA17" s="24">
        <v>355</v>
      </c>
      <c r="AB17" s="24">
        <v>392</v>
      </c>
      <c r="AC17" s="24"/>
      <c r="AD17" s="24"/>
      <c r="AE17" s="26">
        <f>Y17*2.43</f>
        <v>466.56000000000006</v>
      </c>
      <c r="AF17" s="24"/>
      <c r="AG17" s="27"/>
    </row>
    <row r="18" spans="1:41" s="28" customFormat="1" ht="26.25" customHeight="1" x14ac:dyDescent="0.25">
      <c r="A18" s="18">
        <v>45504</v>
      </c>
      <c r="B18" s="19"/>
      <c r="C18" s="20">
        <f t="shared" ref="C18:C19" si="5">B18/200*25</f>
        <v>0</v>
      </c>
      <c r="D18" s="19">
        <v>1695</v>
      </c>
      <c r="E18" s="21">
        <f t="shared" si="1"/>
        <v>203.72596153846155</v>
      </c>
      <c r="F18" s="19">
        <v>1741</v>
      </c>
      <c r="G18" s="22">
        <f t="shared" si="4"/>
        <v>202.44186046511626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1072</v>
      </c>
      <c r="Q18" s="24"/>
      <c r="R18" s="24"/>
      <c r="S18" s="24">
        <v>7</v>
      </c>
      <c r="T18" s="24"/>
      <c r="U18" s="24"/>
      <c r="V18" s="24"/>
      <c r="W18" s="25">
        <v>1681</v>
      </c>
      <c r="X18" s="25"/>
      <c r="Y18" s="24">
        <v>200</v>
      </c>
      <c r="Z18" s="24">
        <v>6</v>
      </c>
      <c r="AA18" s="24">
        <v>337</v>
      </c>
      <c r="AB18" s="24">
        <v>354</v>
      </c>
      <c r="AC18" s="24"/>
      <c r="AD18" s="24"/>
      <c r="AE18" s="26">
        <f t="shared" si="2"/>
        <v>486.00000000000006</v>
      </c>
      <c r="AF18" s="24"/>
      <c r="AG18" s="27"/>
    </row>
    <row r="19" spans="1:41" s="28" customFormat="1" ht="26.25" customHeight="1" x14ac:dyDescent="0.25">
      <c r="A19" s="18">
        <v>45505</v>
      </c>
      <c r="B19" s="19"/>
      <c r="C19" s="20">
        <f t="shared" si="5"/>
        <v>0</v>
      </c>
      <c r="D19" s="19">
        <v>1389</v>
      </c>
      <c r="E19" s="21">
        <f t="shared" si="1"/>
        <v>166.94711538461539</v>
      </c>
      <c r="F19" s="19">
        <v>1721</v>
      </c>
      <c r="G19" s="22">
        <f t="shared" si="4"/>
        <v>200.11627906976744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1355</v>
      </c>
      <c r="Q19" s="24"/>
      <c r="R19" s="24"/>
      <c r="S19" s="24"/>
      <c r="T19" s="24"/>
      <c r="U19" s="24"/>
      <c r="V19" s="12">
        <v>30</v>
      </c>
      <c r="W19" s="24">
        <v>1935</v>
      </c>
      <c r="X19" s="25"/>
      <c r="Y19" s="24">
        <v>186</v>
      </c>
      <c r="Z19" s="24">
        <v>2</v>
      </c>
      <c r="AA19" s="24">
        <v>421</v>
      </c>
      <c r="AB19" s="24">
        <v>372</v>
      </c>
      <c r="AC19" s="24"/>
      <c r="AD19" s="24"/>
      <c r="AE19" s="26">
        <f>Y19*2.43</f>
        <v>451.98</v>
      </c>
      <c r="AF19" s="24"/>
      <c r="AG19" s="27"/>
    </row>
    <row r="20" spans="1:41" s="28" customFormat="1" ht="26.25" customHeight="1" x14ac:dyDescent="0.25">
      <c r="A20" s="18">
        <v>45506</v>
      </c>
      <c r="B20" s="19"/>
      <c r="C20" s="20">
        <f>B20/200*25</f>
        <v>0</v>
      </c>
      <c r="D20" s="19">
        <v>1980</v>
      </c>
      <c r="E20" s="21">
        <f>D20/208*25</f>
        <v>237.98076923076925</v>
      </c>
      <c r="F20" s="19">
        <v>1408</v>
      </c>
      <c r="G20" s="22">
        <f t="shared" si="4"/>
        <v>163.72093023255815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1130</v>
      </c>
      <c r="Q20" s="24"/>
      <c r="R20" s="24"/>
      <c r="S20" s="24"/>
      <c r="T20" s="24"/>
      <c r="U20" s="24"/>
      <c r="V20" s="24">
        <v>20</v>
      </c>
      <c r="W20" s="25">
        <v>1732</v>
      </c>
      <c r="X20" s="25"/>
      <c r="Y20" s="24">
        <v>213</v>
      </c>
      <c r="Z20" s="24"/>
      <c r="AA20" s="24">
        <v>273</v>
      </c>
      <c r="AB20" s="24">
        <v>442</v>
      </c>
      <c r="AC20" s="24"/>
      <c r="AD20" s="24"/>
      <c r="AE20" s="26">
        <f>Y20*2.43</f>
        <v>517.59</v>
      </c>
      <c r="AF20" s="24"/>
      <c r="AG20" s="27"/>
    </row>
    <row r="21" spans="1:41" s="28" customFormat="1" ht="26.25" customHeight="1" x14ac:dyDescent="0.25">
      <c r="A21" s="18">
        <v>45507</v>
      </c>
      <c r="B21" s="19"/>
      <c r="C21" s="20">
        <f>B21/200*25</f>
        <v>0</v>
      </c>
      <c r="D21" s="19">
        <v>1613</v>
      </c>
      <c r="E21" s="21">
        <f>D21/208*25</f>
        <v>193.87019230769232</v>
      </c>
      <c r="F21" s="19">
        <v>1641</v>
      </c>
      <c r="G21" s="22">
        <f t="shared" si="4"/>
        <v>190.81395348837208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1180</v>
      </c>
      <c r="Q21" s="24"/>
      <c r="R21" s="24"/>
      <c r="S21" s="25">
        <v>33</v>
      </c>
      <c r="T21" s="24"/>
      <c r="U21" s="24"/>
      <c r="V21" s="24">
        <v>124</v>
      </c>
      <c r="W21" s="25">
        <v>1631</v>
      </c>
      <c r="X21" s="25"/>
      <c r="Y21" s="24">
        <v>184</v>
      </c>
      <c r="Z21" s="24"/>
      <c r="AA21" s="24">
        <v>351</v>
      </c>
      <c r="AB21" s="24">
        <v>382</v>
      </c>
      <c r="AC21" s="24"/>
      <c r="AD21" s="24"/>
      <c r="AE21" s="26">
        <f t="shared" si="2"/>
        <v>447.12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10194</v>
      </c>
      <c r="E22" s="33">
        <f t="shared" si="7"/>
        <v>1225.2403846153848</v>
      </c>
      <c r="F22" s="31">
        <f t="shared" si="7"/>
        <v>10217</v>
      </c>
      <c r="G22" s="33">
        <f t="shared" si="7"/>
        <v>1188.0232558139535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7521</v>
      </c>
      <c r="Q22" s="31">
        <f t="shared" si="7"/>
        <v>0</v>
      </c>
      <c r="R22" s="31">
        <f t="shared" si="7"/>
        <v>0</v>
      </c>
      <c r="S22" s="31">
        <f t="shared" si="7"/>
        <v>52</v>
      </c>
      <c r="T22" s="31">
        <f t="shared" si="7"/>
        <v>0</v>
      </c>
      <c r="U22" s="31">
        <f t="shared" si="7"/>
        <v>0</v>
      </c>
      <c r="V22" s="31">
        <f t="shared" si="7"/>
        <v>174</v>
      </c>
      <c r="W22" s="31">
        <f t="shared" si="7"/>
        <v>11135</v>
      </c>
      <c r="X22" s="31"/>
      <c r="Y22" s="31">
        <f t="shared" ref="Y22:AG22" si="8">SUM(Y15:Y21)</f>
        <v>1212</v>
      </c>
      <c r="Z22" s="31">
        <f t="shared" si="8"/>
        <v>10</v>
      </c>
      <c r="AA22" s="31">
        <f t="shared" si="8"/>
        <v>2185</v>
      </c>
      <c r="AB22" s="31">
        <f t="shared" si="8"/>
        <v>2384</v>
      </c>
      <c r="AC22" s="31">
        <f t="shared" si="8"/>
        <v>0</v>
      </c>
      <c r="AD22" s="31">
        <f t="shared" si="8"/>
        <v>0</v>
      </c>
      <c r="AE22" s="33">
        <f t="shared" si="8"/>
        <v>2945.1600000000003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70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>
        <v>6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45508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45509</v>
      </c>
      <c r="B16" s="19"/>
      <c r="C16" s="20">
        <f t="shared" si="0"/>
        <v>0</v>
      </c>
      <c r="D16" s="19">
        <v>1909</v>
      </c>
      <c r="E16" s="21">
        <f>D16/208*25</f>
        <v>229.44711538461539</v>
      </c>
      <c r="F16" s="19">
        <v>1639</v>
      </c>
      <c r="G16" s="22">
        <f>F16/215*25</f>
        <v>190.58139534883719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1355</v>
      </c>
      <c r="Q16" s="24"/>
      <c r="R16" s="24"/>
      <c r="S16" s="25"/>
      <c r="T16" s="24"/>
      <c r="U16" s="24"/>
      <c r="V16" s="24">
        <v>44</v>
      </c>
      <c r="W16" s="25">
        <v>1987</v>
      </c>
      <c r="X16" s="25"/>
      <c r="Y16" s="24">
        <v>188</v>
      </c>
      <c r="Z16" s="24"/>
      <c r="AA16" s="24">
        <v>359</v>
      </c>
      <c r="AB16" s="24">
        <v>449</v>
      </c>
      <c r="AC16" s="24"/>
      <c r="AD16" s="24"/>
      <c r="AE16" s="26">
        <f t="shared" si="2"/>
        <v>456.84000000000003</v>
      </c>
      <c r="AF16" s="24"/>
      <c r="AG16" s="27"/>
      <c r="AH16" s="29"/>
    </row>
    <row r="17" spans="1:41" s="28" customFormat="1" ht="26.25" customHeight="1" x14ac:dyDescent="0.25">
      <c r="A17" s="18">
        <v>45510</v>
      </c>
      <c r="B17" s="19"/>
      <c r="C17" s="20">
        <f>B17/200*25</f>
        <v>0</v>
      </c>
      <c r="D17" s="19">
        <v>1359</v>
      </c>
      <c r="E17" s="21">
        <f t="shared" si="1"/>
        <v>163.34134615384613</v>
      </c>
      <c r="F17" s="19">
        <v>1571</v>
      </c>
      <c r="G17" s="22">
        <f t="shared" ref="G17:G21" si="4">F17/215*25</f>
        <v>182.67441860465118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1061</v>
      </c>
      <c r="Q17" s="24"/>
      <c r="R17" s="24"/>
      <c r="S17" s="25">
        <v>17</v>
      </c>
      <c r="T17" s="24"/>
      <c r="U17" s="24"/>
      <c r="V17" s="24">
        <v>84</v>
      </c>
      <c r="W17" s="25">
        <v>1527</v>
      </c>
      <c r="X17" s="25"/>
      <c r="Y17" s="24">
        <v>178</v>
      </c>
      <c r="Z17" s="24"/>
      <c r="AA17" s="24">
        <v>369</v>
      </c>
      <c r="AB17" s="24">
        <v>305</v>
      </c>
      <c r="AC17" s="24"/>
      <c r="AD17" s="24"/>
      <c r="AE17" s="26">
        <f>Y17*2.43</f>
        <v>432.54</v>
      </c>
      <c r="AF17" s="24"/>
      <c r="AG17" s="27"/>
    </row>
    <row r="18" spans="1:41" s="28" customFormat="1" ht="26.25" customHeight="1" x14ac:dyDescent="0.25">
      <c r="A18" s="18">
        <v>45511</v>
      </c>
      <c r="B18" s="19"/>
      <c r="C18" s="20">
        <f t="shared" ref="C18:C19" si="5">B18/200*25</f>
        <v>0</v>
      </c>
      <c r="D18" s="19">
        <v>1795</v>
      </c>
      <c r="E18" s="21">
        <f t="shared" si="1"/>
        <v>215.74519230769229</v>
      </c>
      <c r="F18" s="19">
        <v>1304</v>
      </c>
      <c r="G18" s="22">
        <f t="shared" si="4"/>
        <v>151.62790697674419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1147</v>
      </c>
      <c r="Q18" s="24"/>
      <c r="R18" s="24"/>
      <c r="S18" s="24"/>
      <c r="T18" s="24"/>
      <c r="U18" s="24"/>
      <c r="V18" s="24">
        <v>69</v>
      </c>
      <c r="W18" s="25">
        <v>1633</v>
      </c>
      <c r="X18" s="25"/>
      <c r="Y18" s="24">
        <v>177</v>
      </c>
      <c r="Z18" s="24">
        <v>2</v>
      </c>
      <c r="AA18" s="24">
        <v>287</v>
      </c>
      <c r="AB18" s="24">
        <v>408</v>
      </c>
      <c r="AC18" s="24"/>
      <c r="AD18" s="24"/>
      <c r="AE18" s="26">
        <f t="shared" si="2"/>
        <v>430.11</v>
      </c>
      <c r="AF18" s="24"/>
      <c r="AG18" s="27"/>
    </row>
    <row r="19" spans="1:41" s="28" customFormat="1" ht="26.25" customHeight="1" x14ac:dyDescent="0.25">
      <c r="A19" s="18">
        <v>45512</v>
      </c>
      <c r="B19" s="19"/>
      <c r="C19" s="20">
        <f t="shared" si="5"/>
        <v>0</v>
      </c>
      <c r="D19" s="19">
        <v>1886</v>
      </c>
      <c r="E19" s="21">
        <f t="shared" si="1"/>
        <v>226.68269230769229</v>
      </c>
      <c r="F19" s="19">
        <v>1948</v>
      </c>
      <c r="G19" s="22">
        <f t="shared" si="4"/>
        <v>226.51162790697677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1431</v>
      </c>
      <c r="Q19" s="24"/>
      <c r="R19" s="24"/>
      <c r="S19" s="24"/>
      <c r="T19" s="24"/>
      <c r="U19" s="24"/>
      <c r="V19" s="12">
        <v>102</v>
      </c>
      <c r="W19" s="24">
        <v>2072</v>
      </c>
      <c r="X19" s="25"/>
      <c r="Y19" s="24">
        <v>212</v>
      </c>
      <c r="Z19" s="24">
        <v>4</v>
      </c>
      <c r="AA19" s="24">
        <v>433</v>
      </c>
      <c r="AB19" s="24">
        <v>442</v>
      </c>
      <c r="AC19" s="24"/>
      <c r="AD19" s="24"/>
      <c r="AE19" s="26">
        <f>Y19*2.43</f>
        <v>515.16000000000008</v>
      </c>
      <c r="AF19" s="24"/>
      <c r="AG19" s="27"/>
    </row>
    <row r="20" spans="1:41" s="28" customFormat="1" ht="26.25" customHeight="1" x14ac:dyDescent="0.25">
      <c r="A20" s="18">
        <v>45513</v>
      </c>
      <c r="B20" s="19"/>
      <c r="C20" s="20">
        <f>B20/200*25</f>
        <v>0</v>
      </c>
      <c r="D20" s="19">
        <v>1634</v>
      </c>
      <c r="E20" s="21">
        <f>D20/208*25</f>
        <v>196.39423076923077</v>
      </c>
      <c r="F20" s="19">
        <v>1777</v>
      </c>
      <c r="G20" s="22">
        <f t="shared" si="4"/>
        <v>206.62790697674419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1153</v>
      </c>
      <c r="Q20" s="24"/>
      <c r="R20" s="24"/>
      <c r="S20" s="24"/>
      <c r="T20" s="24"/>
      <c r="U20" s="24"/>
      <c r="V20" s="24">
        <v>64</v>
      </c>
      <c r="W20" s="25">
        <v>1730</v>
      </c>
      <c r="X20" s="25"/>
      <c r="Y20" s="24">
        <v>179</v>
      </c>
      <c r="Z20" s="24">
        <v>4</v>
      </c>
      <c r="AA20" s="24">
        <v>329</v>
      </c>
      <c r="AB20" s="24">
        <v>416</v>
      </c>
      <c r="AC20" s="24"/>
      <c r="AD20" s="24"/>
      <c r="AE20" s="26">
        <f>Y20*2.43</f>
        <v>434.97</v>
      </c>
      <c r="AF20" s="24"/>
      <c r="AG20" s="27"/>
    </row>
    <row r="21" spans="1:41" s="28" customFormat="1" ht="26.25" customHeight="1" x14ac:dyDescent="0.25">
      <c r="A21" s="18">
        <v>45514</v>
      </c>
      <c r="B21" s="19"/>
      <c r="C21" s="20">
        <f>B21/200*25</f>
        <v>0</v>
      </c>
      <c r="D21" s="19">
        <v>1382</v>
      </c>
      <c r="E21" s="21">
        <f>D21/208*25</f>
        <v>166.10576923076923</v>
      </c>
      <c r="F21" s="19">
        <v>1343</v>
      </c>
      <c r="G21" s="22">
        <f t="shared" si="4"/>
        <v>156.16279069767444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936</v>
      </c>
      <c r="Q21" s="24"/>
      <c r="R21" s="24"/>
      <c r="S21" s="25"/>
      <c r="T21" s="24"/>
      <c r="U21" s="24"/>
      <c r="V21" s="24">
        <v>71</v>
      </c>
      <c r="W21" s="25">
        <v>1378</v>
      </c>
      <c r="X21" s="25"/>
      <c r="Y21" s="24">
        <v>163</v>
      </c>
      <c r="Z21" s="24">
        <v>2</v>
      </c>
      <c r="AA21" s="24">
        <v>250</v>
      </c>
      <c r="AB21" s="24">
        <v>302</v>
      </c>
      <c r="AC21" s="24"/>
      <c r="AD21" s="24"/>
      <c r="AE21" s="26">
        <f t="shared" si="2"/>
        <v>396.09000000000003</v>
      </c>
      <c r="AF21" s="24"/>
      <c r="AG21" s="27">
        <v>1</v>
      </c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9965</v>
      </c>
      <c r="E22" s="33">
        <f t="shared" si="7"/>
        <v>1197.7163461538462</v>
      </c>
      <c r="F22" s="31">
        <f t="shared" si="7"/>
        <v>9582</v>
      </c>
      <c r="G22" s="33">
        <f t="shared" si="7"/>
        <v>1114.1860465116279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7083</v>
      </c>
      <c r="Q22" s="31">
        <f t="shared" si="7"/>
        <v>0</v>
      </c>
      <c r="R22" s="31">
        <f t="shared" si="7"/>
        <v>0</v>
      </c>
      <c r="S22" s="31">
        <f t="shared" si="7"/>
        <v>17</v>
      </c>
      <c r="T22" s="31">
        <f t="shared" si="7"/>
        <v>0</v>
      </c>
      <c r="U22" s="31">
        <f t="shared" si="7"/>
        <v>0</v>
      </c>
      <c r="V22" s="31">
        <f t="shared" si="7"/>
        <v>434</v>
      </c>
      <c r="W22" s="31">
        <f t="shared" si="7"/>
        <v>10327</v>
      </c>
      <c r="X22" s="31"/>
      <c r="Y22" s="31">
        <f t="shared" ref="Y22:AG22" si="8">SUM(Y15:Y21)</f>
        <v>1097</v>
      </c>
      <c r="Z22" s="31">
        <f t="shared" si="8"/>
        <v>12</v>
      </c>
      <c r="AA22" s="31">
        <f t="shared" si="8"/>
        <v>2027</v>
      </c>
      <c r="AB22" s="31">
        <f t="shared" si="8"/>
        <v>2322</v>
      </c>
      <c r="AC22" s="31">
        <f t="shared" si="8"/>
        <v>0</v>
      </c>
      <c r="AD22" s="31">
        <f t="shared" si="8"/>
        <v>0</v>
      </c>
      <c r="AE22" s="33">
        <f t="shared" si="8"/>
        <v>2665.7100000000005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36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70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45515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45516</v>
      </c>
      <c r="B16" s="19"/>
      <c r="C16" s="20">
        <f t="shared" si="0"/>
        <v>0</v>
      </c>
      <c r="D16" s="19">
        <v>1585</v>
      </c>
      <c r="E16" s="21">
        <f>D16/208*25</f>
        <v>190.50480769230768</v>
      </c>
      <c r="F16" s="19">
        <v>1550</v>
      </c>
      <c r="G16" s="22">
        <f>F16/215*25</f>
        <v>180.23255813953489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1252</v>
      </c>
      <c r="Q16" s="24"/>
      <c r="R16" s="24"/>
      <c r="S16" s="25"/>
      <c r="T16" s="24"/>
      <c r="U16" s="24"/>
      <c r="V16" s="24">
        <v>50</v>
      </c>
      <c r="W16" s="25">
        <v>1769</v>
      </c>
      <c r="X16" s="25"/>
      <c r="Y16" s="24">
        <v>192</v>
      </c>
      <c r="Z16" s="24">
        <v>4</v>
      </c>
      <c r="AA16" s="24">
        <v>319</v>
      </c>
      <c r="AB16" s="24">
        <v>420</v>
      </c>
      <c r="AC16" s="24"/>
      <c r="AD16" s="24"/>
      <c r="AE16" s="26">
        <f t="shared" si="2"/>
        <v>466.56000000000006</v>
      </c>
      <c r="AF16" s="24"/>
      <c r="AG16" s="27"/>
      <c r="AH16" s="29"/>
    </row>
    <row r="17" spans="1:41" s="28" customFormat="1" ht="26.25" customHeight="1" x14ac:dyDescent="0.25">
      <c r="A17" s="18">
        <v>45517</v>
      </c>
      <c r="B17" s="19"/>
      <c r="C17" s="20">
        <f>B17/200*25</f>
        <v>0</v>
      </c>
      <c r="D17" s="19">
        <v>1381</v>
      </c>
      <c r="E17" s="21">
        <f t="shared" si="1"/>
        <v>165.98557692307691</v>
      </c>
      <c r="F17" s="19">
        <v>1736</v>
      </c>
      <c r="G17" s="22">
        <f t="shared" ref="G17:G21" si="4">F17/215*25</f>
        <v>201.86046511627907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1194</v>
      </c>
      <c r="Q17" s="24"/>
      <c r="R17" s="24"/>
      <c r="S17" s="25"/>
      <c r="T17" s="24"/>
      <c r="U17" s="24"/>
      <c r="V17" s="24">
        <v>75</v>
      </c>
      <c r="W17" s="25">
        <v>1708</v>
      </c>
      <c r="X17" s="25"/>
      <c r="Y17" s="24">
        <v>172</v>
      </c>
      <c r="Z17" s="24">
        <v>4</v>
      </c>
      <c r="AA17" s="24">
        <v>320</v>
      </c>
      <c r="AB17" s="24">
        <v>372</v>
      </c>
      <c r="AC17" s="24"/>
      <c r="AD17" s="24"/>
      <c r="AE17" s="26">
        <f>Y17*2.43</f>
        <v>417.96000000000004</v>
      </c>
      <c r="AF17" s="24"/>
      <c r="AG17" s="27"/>
    </row>
    <row r="18" spans="1:41" s="28" customFormat="1" ht="26.25" customHeight="1" x14ac:dyDescent="0.25">
      <c r="A18" s="18">
        <v>45518</v>
      </c>
      <c r="B18" s="19"/>
      <c r="C18" s="20">
        <f t="shared" ref="C18:C19" si="5">B18/200*25</f>
        <v>0</v>
      </c>
      <c r="D18" s="19">
        <v>2114</v>
      </c>
      <c r="E18" s="21">
        <f t="shared" si="1"/>
        <v>254.08653846153845</v>
      </c>
      <c r="F18" s="19">
        <v>1529</v>
      </c>
      <c r="G18" s="22">
        <f t="shared" si="4"/>
        <v>177.7906976744186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1414</v>
      </c>
      <c r="Q18" s="24"/>
      <c r="R18" s="24"/>
      <c r="S18" s="24">
        <v>4</v>
      </c>
      <c r="T18" s="24"/>
      <c r="U18" s="24"/>
      <c r="V18" s="24">
        <v>20</v>
      </c>
      <c r="W18" s="25">
        <v>2114</v>
      </c>
      <c r="X18" s="25"/>
      <c r="Y18" s="24">
        <v>194</v>
      </c>
      <c r="Z18" s="24">
        <v>2</v>
      </c>
      <c r="AA18" s="24">
        <v>266</v>
      </c>
      <c r="AB18" s="24">
        <v>505</v>
      </c>
      <c r="AC18" s="24">
        <v>115</v>
      </c>
      <c r="AD18" s="24"/>
      <c r="AE18" s="26">
        <f t="shared" si="2"/>
        <v>471.42</v>
      </c>
      <c r="AF18" s="24"/>
      <c r="AG18" s="27"/>
    </row>
    <row r="19" spans="1:41" s="28" customFormat="1" ht="26.25" customHeight="1" x14ac:dyDescent="0.25">
      <c r="A19" s="18">
        <v>45519</v>
      </c>
      <c r="B19" s="19"/>
      <c r="C19" s="20">
        <f t="shared" si="5"/>
        <v>0</v>
      </c>
      <c r="D19" s="19">
        <v>1586</v>
      </c>
      <c r="E19" s="21">
        <f t="shared" si="1"/>
        <v>190.625</v>
      </c>
      <c r="F19" s="19">
        <v>1642</v>
      </c>
      <c r="G19" s="22">
        <f t="shared" si="4"/>
        <v>190.93023255813955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1210</v>
      </c>
      <c r="Q19" s="24"/>
      <c r="R19" s="24"/>
      <c r="S19" s="24"/>
      <c r="T19" s="24"/>
      <c r="U19" s="24"/>
      <c r="V19" s="12"/>
      <c r="W19" s="24">
        <v>1811</v>
      </c>
      <c r="X19" s="25"/>
      <c r="Y19" s="24">
        <v>206</v>
      </c>
      <c r="Z19" s="24">
        <v>4</v>
      </c>
      <c r="AA19" s="24">
        <v>308</v>
      </c>
      <c r="AB19" s="24">
        <v>351</v>
      </c>
      <c r="AC19" s="24">
        <v>53</v>
      </c>
      <c r="AD19" s="24"/>
      <c r="AE19" s="26">
        <f>Y19*2.43</f>
        <v>500.58000000000004</v>
      </c>
      <c r="AF19" s="24"/>
      <c r="AG19" s="27"/>
    </row>
    <row r="20" spans="1:41" s="28" customFormat="1" ht="26.25" customHeight="1" x14ac:dyDescent="0.25">
      <c r="A20" s="18">
        <v>45520</v>
      </c>
      <c r="B20" s="19"/>
      <c r="C20" s="20">
        <f>B20/200*25</f>
        <v>0</v>
      </c>
      <c r="D20" s="19">
        <v>1722</v>
      </c>
      <c r="E20" s="21">
        <f>D20/208*25</f>
        <v>206.97115384615384</v>
      </c>
      <c r="F20" s="19">
        <v>1806</v>
      </c>
      <c r="G20" s="22">
        <f t="shared" si="4"/>
        <v>210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1247</v>
      </c>
      <c r="Q20" s="24"/>
      <c r="R20" s="24"/>
      <c r="S20" s="24">
        <v>11</v>
      </c>
      <c r="T20" s="24"/>
      <c r="U20" s="24"/>
      <c r="V20" s="24"/>
      <c r="W20" s="25">
        <v>1898</v>
      </c>
      <c r="X20" s="25"/>
      <c r="Y20" s="24">
        <v>179</v>
      </c>
      <c r="Z20" s="24">
        <v>8</v>
      </c>
      <c r="AA20" s="24">
        <v>343</v>
      </c>
      <c r="AB20" s="24">
        <v>389</v>
      </c>
      <c r="AC20" s="24">
        <v>41</v>
      </c>
      <c r="AD20" s="24"/>
      <c r="AE20" s="26">
        <f>Y20*2.43</f>
        <v>434.97</v>
      </c>
      <c r="AF20" s="24"/>
      <c r="AG20" s="27"/>
    </row>
    <row r="21" spans="1:41" s="28" customFormat="1" ht="26.25" customHeight="1" x14ac:dyDescent="0.25">
      <c r="A21" s="18">
        <v>45521</v>
      </c>
      <c r="B21" s="19"/>
      <c r="C21" s="20">
        <f>B21/200*25</f>
        <v>0</v>
      </c>
      <c r="D21" s="19">
        <v>1880</v>
      </c>
      <c r="E21" s="21">
        <f>D21/208*25</f>
        <v>225.96153846153845</v>
      </c>
      <c r="F21" s="19">
        <v>1379</v>
      </c>
      <c r="G21" s="22">
        <f t="shared" si="4"/>
        <v>160.34883720930233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1249</v>
      </c>
      <c r="Q21" s="24"/>
      <c r="R21" s="24"/>
      <c r="S21" s="25">
        <v>15</v>
      </c>
      <c r="T21" s="24"/>
      <c r="U21" s="24"/>
      <c r="V21" s="24"/>
      <c r="W21" s="25">
        <v>1814</v>
      </c>
      <c r="X21" s="25"/>
      <c r="Y21" s="24">
        <v>181</v>
      </c>
      <c r="Z21" s="24">
        <v>2</v>
      </c>
      <c r="AA21" s="24">
        <v>317</v>
      </c>
      <c r="AB21" s="24">
        <v>400</v>
      </c>
      <c r="AC21" s="24">
        <v>40</v>
      </c>
      <c r="AD21" s="24"/>
      <c r="AE21" s="26">
        <f t="shared" si="2"/>
        <v>439.83000000000004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10268</v>
      </c>
      <c r="E22" s="33">
        <f t="shared" si="7"/>
        <v>1234.1346153846152</v>
      </c>
      <c r="F22" s="31">
        <f t="shared" si="7"/>
        <v>9642</v>
      </c>
      <c r="G22" s="33">
        <f t="shared" si="7"/>
        <v>1121.1627906976744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7566</v>
      </c>
      <c r="Q22" s="31">
        <f t="shared" si="7"/>
        <v>0</v>
      </c>
      <c r="R22" s="31">
        <f t="shared" si="7"/>
        <v>0</v>
      </c>
      <c r="S22" s="31">
        <f t="shared" si="7"/>
        <v>30</v>
      </c>
      <c r="T22" s="31">
        <f t="shared" si="7"/>
        <v>0</v>
      </c>
      <c r="U22" s="31">
        <f t="shared" si="7"/>
        <v>0</v>
      </c>
      <c r="V22" s="31">
        <f t="shared" si="7"/>
        <v>145</v>
      </c>
      <c r="W22" s="31">
        <f t="shared" si="7"/>
        <v>11114</v>
      </c>
      <c r="X22" s="31"/>
      <c r="Y22" s="31">
        <f t="shared" ref="Y22:AG22" si="8">SUM(Y15:Y21)</f>
        <v>1124</v>
      </c>
      <c r="Z22" s="31">
        <f t="shared" si="8"/>
        <v>24</v>
      </c>
      <c r="AA22" s="31">
        <f t="shared" si="8"/>
        <v>1873</v>
      </c>
      <c r="AB22" s="31">
        <f t="shared" si="8"/>
        <v>2437</v>
      </c>
      <c r="AC22" s="31">
        <f t="shared" si="8"/>
        <v>249</v>
      </c>
      <c r="AD22" s="31">
        <f t="shared" si="8"/>
        <v>0</v>
      </c>
      <c r="AE22" s="33">
        <f t="shared" si="8"/>
        <v>2731.3199999999997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Q22" sqref="Q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45522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45523</v>
      </c>
      <c r="B16" s="19"/>
      <c r="C16" s="20">
        <f t="shared" si="0"/>
        <v>0</v>
      </c>
      <c r="D16" s="19">
        <v>1777</v>
      </c>
      <c r="E16" s="21">
        <f>D16/208*25</f>
        <v>213.58173076923075</v>
      </c>
      <c r="F16" s="19">
        <v>1182</v>
      </c>
      <c r="G16" s="22">
        <f>F16/215*25</f>
        <v>137.44186046511629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1268</v>
      </c>
      <c r="Q16" s="24"/>
      <c r="R16" s="24"/>
      <c r="S16" s="25"/>
      <c r="T16" s="24"/>
      <c r="U16" s="24"/>
      <c r="V16" s="24"/>
      <c r="W16" s="25">
        <v>1822</v>
      </c>
      <c r="X16" s="25"/>
      <c r="Y16" s="24">
        <v>172</v>
      </c>
      <c r="Z16" s="24">
        <v>2</v>
      </c>
      <c r="AA16" s="24">
        <v>269</v>
      </c>
      <c r="AB16" s="24">
        <v>433</v>
      </c>
      <c r="AC16" s="24">
        <v>12</v>
      </c>
      <c r="AD16" s="24"/>
      <c r="AE16" s="26">
        <f t="shared" si="2"/>
        <v>417.96000000000004</v>
      </c>
      <c r="AF16" s="24"/>
      <c r="AG16" s="27"/>
      <c r="AH16" s="29"/>
    </row>
    <row r="17" spans="1:41" s="28" customFormat="1" ht="26.25" customHeight="1" x14ac:dyDescent="0.25">
      <c r="A17" s="18">
        <v>45524</v>
      </c>
      <c r="B17" s="19"/>
      <c r="C17" s="20">
        <f>B17/200*25</f>
        <v>0</v>
      </c>
      <c r="D17" s="19">
        <v>1817</v>
      </c>
      <c r="E17" s="21">
        <f t="shared" si="1"/>
        <v>218.38942307692309</v>
      </c>
      <c r="F17" s="19">
        <v>1465</v>
      </c>
      <c r="G17" s="22">
        <f t="shared" ref="G17:G21" si="4">F17/215*25</f>
        <v>170.3488372093023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1147</v>
      </c>
      <c r="Q17" s="24"/>
      <c r="R17" s="24"/>
      <c r="S17" s="25"/>
      <c r="T17" s="24"/>
      <c r="U17" s="24"/>
      <c r="V17" s="24"/>
      <c r="W17" s="25">
        <v>1779</v>
      </c>
      <c r="X17" s="25"/>
      <c r="Y17" s="24">
        <v>197</v>
      </c>
      <c r="Z17" s="24">
        <v>2</v>
      </c>
      <c r="AA17" s="24">
        <v>284</v>
      </c>
      <c r="AB17" s="24">
        <v>383</v>
      </c>
      <c r="AC17" s="24">
        <v>57</v>
      </c>
      <c r="AD17" s="24"/>
      <c r="AE17" s="26">
        <f>Y17*2.43</f>
        <v>478.71000000000004</v>
      </c>
      <c r="AF17" s="24"/>
      <c r="AG17" s="27">
        <v>1</v>
      </c>
    </row>
    <row r="18" spans="1:41" s="28" customFormat="1" ht="26.25" customHeight="1" x14ac:dyDescent="0.25">
      <c r="A18" s="18">
        <v>45525</v>
      </c>
      <c r="B18" s="19"/>
      <c r="C18" s="20">
        <f t="shared" ref="C18:C19" si="5">B18/200*25</f>
        <v>0</v>
      </c>
      <c r="D18" s="19">
        <v>1472</v>
      </c>
      <c r="E18" s="21">
        <f t="shared" si="1"/>
        <v>176.92307692307691</v>
      </c>
      <c r="F18" s="19">
        <v>1670</v>
      </c>
      <c r="G18" s="22">
        <f t="shared" si="4"/>
        <v>194.18604651162789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1098.2</v>
      </c>
      <c r="Q18" s="24"/>
      <c r="R18" s="24"/>
      <c r="S18" s="24">
        <v>10</v>
      </c>
      <c r="T18" s="24"/>
      <c r="U18" s="24"/>
      <c r="V18" s="24"/>
      <c r="W18" s="25">
        <v>1688</v>
      </c>
      <c r="X18" s="25"/>
      <c r="Y18" s="24">
        <v>170</v>
      </c>
      <c r="Z18" s="24">
        <v>6</v>
      </c>
      <c r="AA18" s="24">
        <v>355</v>
      </c>
      <c r="AB18" s="24">
        <v>330</v>
      </c>
      <c r="AC18" s="24">
        <v>47</v>
      </c>
      <c r="AD18" s="24"/>
      <c r="AE18" s="26">
        <f t="shared" si="2"/>
        <v>413.1</v>
      </c>
      <c r="AF18" s="24"/>
      <c r="AG18" s="27"/>
    </row>
    <row r="19" spans="1:41" s="28" customFormat="1" ht="26.25" customHeight="1" x14ac:dyDescent="0.25">
      <c r="A19" s="18">
        <v>45526</v>
      </c>
      <c r="B19" s="19"/>
      <c r="C19" s="20">
        <f t="shared" si="5"/>
        <v>0</v>
      </c>
      <c r="D19" s="19">
        <v>2819</v>
      </c>
      <c r="E19" s="21">
        <f t="shared" si="1"/>
        <v>338.82211538461536</v>
      </c>
      <c r="F19" s="19">
        <v>1139</v>
      </c>
      <c r="G19" s="22">
        <f t="shared" si="4"/>
        <v>132.44186046511629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1520</v>
      </c>
      <c r="Q19" s="24"/>
      <c r="R19" s="24"/>
      <c r="S19" s="24"/>
      <c r="T19" s="24"/>
      <c r="U19" s="24"/>
      <c r="V19" s="12"/>
      <c r="W19" s="24">
        <v>2256</v>
      </c>
      <c r="X19" s="25"/>
      <c r="Y19" s="24">
        <v>227</v>
      </c>
      <c r="Z19" s="24">
        <v>2</v>
      </c>
      <c r="AA19" s="24">
        <v>239</v>
      </c>
      <c r="AB19" s="24">
        <v>648</v>
      </c>
      <c r="AC19" s="24">
        <v>43</v>
      </c>
      <c r="AD19" s="24"/>
      <c r="AE19" s="26">
        <f>Y19*2.43</f>
        <v>551.61</v>
      </c>
      <c r="AF19" s="24"/>
      <c r="AG19" s="27"/>
    </row>
    <row r="20" spans="1:41" s="28" customFormat="1" ht="26.25" customHeight="1" x14ac:dyDescent="0.25">
      <c r="A20" s="18">
        <v>45527</v>
      </c>
      <c r="B20" s="19"/>
      <c r="C20" s="20">
        <f>B20/200*25</f>
        <v>0</v>
      </c>
      <c r="D20" s="19">
        <v>1769</v>
      </c>
      <c r="E20" s="21">
        <f>D20/208*25</f>
        <v>212.62019230769229</v>
      </c>
      <c r="F20" s="19">
        <v>1335</v>
      </c>
      <c r="G20" s="22">
        <f t="shared" si="4"/>
        <v>155.23255813953489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1252</v>
      </c>
      <c r="Q20" s="24"/>
      <c r="R20" s="24"/>
      <c r="S20" s="24"/>
      <c r="T20" s="24"/>
      <c r="U20" s="24"/>
      <c r="V20" s="24"/>
      <c r="W20" s="25">
        <v>1854</v>
      </c>
      <c r="X20" s="25"/>
      <c r="Y20" s="24">
        <v>173</v>
      </c>
      <c r="Z20" s="24"/>
      <c r="AA20" s="24">
        <v>283</v>
      </c>
      <c r="AB20" s="24">
        <v>395</v>
      </c>
      <c r="AC20" s="24">
        <v>55</v>
      </c>
      <c r="AD20" s="24"/>
      <c r="AE20" s="26">
        <f>Y20*2.43</f>
        <v>420.39000000000004</v>
      </c>
      <c r="AF20" s="24"/>
      <c r="AG20" s="27"/>
    </row>
    <row r="21" spans="1:41" s="28" customFormat="1" ht="26.25" customHeight="1" x14ac:dyDescent="0.25">
      <c r="A21" s="18">
        <v>45528</v>
      </c>
      <c r="B21" s="19"/>
      <c r="C21" s="20">
        <f>B21/200*25</f>
        <v>0</v>
      </c>
      <c r="D21" s="19">
        <v>703</v>
      </c>
      <c r="E21" s="21">
        <f>D21/208*25</f>
        <v>84.495192307692307</v>
      </c>
      <c r="F21" s="19">
        <v>347</v>
      </c>
      <c r="G21" s="22">
        <f t="shared" si="4"/>
        <v>40.348837209302324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523</v>
      </c>
      <c r="Q21" s="24"/>
      <c r="R21" s="24"/>
      <c r="S21" s="25"/>
      <c r="T21" s="24"/>
      <c r="U21" s="24"/>
      <c r="V21" s="24"/>
      <c r="W21" s="25">
        <v>704</v>
      </c>
      <c r="X21" s="25"/>
      <c r="Y21" s="24">
        <v>75</v>
      </c>
      <c r="Z21" s="24"/>
      <c r="AA21" s="24">
        <v>91</v>
      </c>
      <c r="AB21" s="24">
        <v>195</v>
      </c>
      <c r="AC21" s="24"/>
      <c r="AD21" s="24"/>
      <c r="AE21" s="26">
        <f t="shared" si="2"/>
        <v>182.25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10357</v>
      </c>
      <c r="E22" s="33">
        <f t="shared" si="7"/>
        <v>1244.8317307692307</v>
      </c>
      <c r="F22" s="31">
        <f t="shared" si="7"/>
        <v>7138</v>
      </c>
      <c r="G22" s="33">
        <f t="shared" si="7"/>
        <v>830.00000000000011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6808.2</v>
      </c>
      <c r="Q22" s="31">
        <f t="shared" si="7"/>
        <v>0</v>
      </c>
      <c r="R22" s="31">
        <f t="shared" si="7"/>
        <v>0</v>
      </c>
      <c r="S22" s="31">
        <f t="shared" si="7"/>
        <v>10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10103</v>
      </c>
      <c r="X22" s="31"/>
      <c r="Y22" s="31">
        <f t="shared" ref="Y22:AG22" si="8">SUM(Y15:Y21)</f>
        <v>1014</v>
      </c>
      <c r="Z22" s="31">
        <f t="shared" si="8"/>
        <v>12</v>
      </c>
      <c r="AA22" s="31">
        <f t="shared" si="8"/>
        <v>1521</v>
      </c>
      <c r="AB22" s="31">
        <f t="shared" si="8"/>
        <v>2384</v>
      </c>
      <c r="AC22" s="31">
        <f t="shared" si="8"/>
        <v>214</v>
      </c>
      <c r="AD22" s="31"/>
      <c r="AE22" s="33">
        <f t="shared" si="8"/>
        <v>2464.02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21" sqref="A21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45529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45530</v>
      </c>
      <c r="B16" s="19"/>
      <c r="C16" s="20">
        <f t="shared" si="0"/>
        <v>0</v>
      </c>
      <c r="D16" s="19">
        <v>1596</v>
      </c>
      <c r="E16" s="21">
        <f>D16/208*25</f>
        <v>191.82692307692309</v>
      </c>
      <c r="F16" s="19">
        <v>1782</v>
      </c>
      <c r="G16" s="22">
        <f>F16/215*25</f>
        <v>207.2093023255814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1160</v>
      </c>
      <c r="Q16" s="24"/>
      <c r="R16" s="24"/>
      <c r="S16" s="25"/>
      <c r="T16" s="24"/>
      <c r="U16" s="24"/>
      <c r="V16" s="24"/>
      <c r="W16" s="25">
        <v>1796</v>
      </c>
      <c r="X16" s="25"/>
      <c r="Y16" s="24">
        <v>168</v>
      </c>
      <c r="Z16" s="24">
        <v>6</v>
      </c>
      <c r="AA16" s="24">
        <v>328</v>
      </c>
      <c r="AB16" s="24">
        <v>305</v>
      </c>
      <c r="AC16" s="24">
        <v>69</v>
      </c>
      <c r="AD16" s="24"/>
      <c r="AE16" s="26">
        <f t="shared" si="2"/>
        <v>408.24</v>
      </c>
      <c r="AF16" s="24"/>
      <c r="AG16" s="27"/>
      <c r="AH16" s="29"/>
    </row>
    <row r="17" spans="1:41" s="28" customFormat="1" ht="26.25" customHeight="1" x14ac:dyDescent="0.25">
      <c r="A17" s="18">
        <v>45531</v>
      </c>
      <c r="B17" s="19"/>
      <c r="C17" s="20">
        <f>B17/200*25</f>
        <v>0</v>
      </c>
      <c r="D17" s="19">
        <v>1682</v>
      </c>
      <c r="E17" s="21">
        <f t="shared" si="1"/>
        <v>202.16346153846155</v>
      </c>
      <c r="F17" s="19">
        <v>1388</v>
      </c>
      <c r="G17" s="22">
        <f t="shared" ref="G17:G21" si="4">F17/215*25</f>
        <v>161.3953488372093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1235.2</v>
      </c>
      <c r="Q17" s="24"/>
      <c r="R17" s="24"/>
      <c r="S17" s="25"/>
      <c r="T17" s="24"/>
      <c r="U17" s="24"/>
      <c r="V17" s="24"/>
      <c r="W17" s="25">
        <v>1838</v>
      </c>
      <c r="X17" s="25"/>
      <c r="Y17" s="24">
        <v>190</v>
      </c>
      <c r="Z17" s="24">
        <v>4</v>
      </c>
      <c r="AA17" s="24">
        <v>304</v>
      </c>
      <c r="AB17" s="24">
        <v>397</v>
      </c>
      <c r="AC17" s="24">
        <v>37</v>
      </c>
      <c r="AD17" s="24"/>
      <c r="AE17" s="26">
        <f>Y17*2.43</f>
        <v>461.70000000000005</v>
      </c>
      <c r="AF17" s="24"/>
      <c r="AG17" s="27">
        <v>1</v>
      </c>
    </row>
    <row r="18" spans="1:41" s="28" customFormat="1" ht="26.25" customHeight="1" x14ac:dyDescent="0.25">
      <c r="A18" s="18">
        <v>45532</v>
      </c>
      <c r="B18" s="19"/>
      <c r="C18" s="20">
        <f t="shared" ref="C18:C19" si="5">B18/200*25</f>
        <v>0</v>
      </c>
      <c r="D18" s="19">
        <v>2111</v>
      </c>
      <c r="E18" s="21">
        <f t="shared" si="1"/>
        <v>253.72596153846155</v>
      </c>
      <c r="F18" s="19">
        <v>1547</v>
      </c>
      <c r="G18" s="22">
        <f t="shared" si="4"/>
        <v>179.88372093023256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1403.6</v>
      </c>
      <c r="Q18" s="24"/>
      <c r="R18" s="24"/>
      <c r="S18" s="24"/>
      <c r="T18" s="24"/>
      <c r="U18" s="24"/>
      <c r="V18" s="24"/>
      <c r="W18" s="25">
        <v>2126</v>
      </c>
      <c r="X18" s="25"/>
      <c r="Y18" s="24">
        <v>192</v>
      </c>
      <c r="Z18" s="24">
        <v>4</v>
      </c>
      <c r="AA18" s="24">
        <v>317</v>
      </c>
      <c r="AB18" s="24">
        <v>476</v>
      </c>
      <c r="AC18" s="24">
        <v>39</v>
      </c>
      <c r="AD18" s="24"/>
      <c r="AE18" s="26">
        <f t="shared" si="2"/>
        <v>466.56000000000006</v>
      </c>
      <c r="AF18" s="24"/>
      <c r="AG18" s="27">
        <v>1</v>
      </c>
    </row>
    <row r="19" spans="1:41" s="28" customFormat="1" ht="26.25" customHeight="1" x14ac:dyDescent="0.25">
      <c r="A19" s="18">
        <v>45533</v>
      </c>
      <c r="B19" s="19"/>
      <c r="C19" s="20">
        <f t="shared" si="5"/>
        <v>0</v>
      </c>
      <c r="D19" s="19">
        <v>2061</v>
      </c>
      <c r="E19" s="21">
        <f t="shared" si="1"/>
        <v>247.71634615384616</v>
      </c>
      <c r="F19" s="19">
        <v>1600</v>
      </c>
      <c r="G19" s="22">
        <f t="shared" si="4"/>
        <v>186.04651162790697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1383</v>
      </c>
      <c r="Q19" s="24"/>
      <c r="R19" s="24"/>
      <c r="S19" s="24"/>
      <c r="T19" s="24"/>
      <c r="U19" s="24"/>
      <c r="V19" s="12"/>
      <c r="W19" s="24">
        <v>2094</v>
      </c>
      <c r="X19" s="25"/>
      <c r="Y19" s="24">
        <v>212</v>
      </c>
      <c r="Z19" s="24"/>
      <c r="AA19" s="24">
        <v>301</v>
      </c>
      <c r="AB19" s="24">
        <v>455</v>
      </c>
      <c r="AC19" s="24">
        <v>88</v>
      </c>
      <c r="AD19" s="24"/>
      <c r="AE19" s="26">
        <f>Y19*2.43</f>
        <v>515.16000000000008</v>
      </c>
      <c r="AF19" s="24"/>
      <c r="AG19" s="27"/>
    </row>
    <row r="20" spans="1:41" s="28" customFormat="1" ht="26.25" customHeight="1" x14ac:dyDescent="0.25">
      <c r="A20" s="18">
        <v>45534</v>
      </c>
      <c r="B20" s="19"/>
      <c r="C20" s="20">
        <f>B20/200*25</f>
        <v>0</v>
      </c>
      <c r="D20" s="19">
        <v>1733</v>
      </c>
      <c r="E20" s="21">
        <f>D20/208*25</f>
        <v>208.29326923076925</v>
      </c>
      <c r="F20" s="19">
        <v>1325</v>
      </c>
      <c r="G20" s="22">
        <f t="shared" si="4"/>
        <v>154.06976744186048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1101</v>
      </c>
      <c r="Q20" s="24"/>
      <c r="R20" s="24"/>
      <c r="S20" s="24"/>
      <c r="T20" s="24"/>
      <c r="U20" s="24"/>
      <c r="V20" s="24"/>
      <c r="W20" s="25">
        <v>1696</v>
      </c>
      <c r="X20" s="25"/>
      <c r="Y20" s="24">
        <v>183</v>
      </c>
      <c r="Z20" s="24">
        <v>2</v>
      </c>
      <c r="AA20" s="24">
        <v>269</v>
      </c>
      <c r="AB20" s="24">
        <v>383</v>
      </c>
      <c r="AC20" s="24">
        <v>49</v>
      </c>
      <c r="AD20" s="24"/>
      <c r="AE20" s="26">
        <f>Y20*2.43</f>
        <v>444.69000000000005</v>
      </c>
      <c r="AF20" s="24"/>
      <c r="AG20" s="27">
        <v>1</v>
      </c>
    </row>
    <row r="21" spans="1:41" s="28" customFormat="1" ht="26.25" customHeight="1" x14ac:dyDescent="0.25">
      <c r="A21" s="18">
        <v>45535</v>
      </c>
      <c r="B21" s="19"/>
      <c r="C21" s="20">
        <f>B21/200*25</f>
        <v>0</v>
      </c>
      <c r="D21" s="19">
        <v>1452</v>
      </c>
      <c r="E21" s="21">
        <f>D21/208*25</f>
        <v>174.51923076923077</v>
      </c>
      <c r="F21" s="19">
        <v>1164</v>
      </c>
      <c r="G21" s="22">
        <f t="shared" si="4"/>
        <v>135.34883720930233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923</v>
      </c>
      <c r="Q21" s="24"/>
      <c r="R21" s="24"/>
      <c r="S21" s="25"/>
      <c r="T21" s="24"/>
      <c r="U21" s="24"/>
      <c r="V21" s="24"/>
      <c r="W21" s="25">
        <v>1405</v>
      </c>
      <c r="X21" s="25"/>
      <c r="Y21" s="24">
        <v>150</v>
      </c>
      <c r="Z21" s="24">
        <v>2</v>
      </c>
      <c r="AA21" s="24">
        <v>217</v>
      </c>
      <c r="AB21" s="24">
        <v>271</v>
      </c>
      <c r="AC21" s="24">
        <v>47</v>
      </c>
      <c r="AD21" s="24"/>
      <c r="AE21" s="26">
        <f t="shared" si="2"/>
        <v>364.5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10635</v>
      </c>
      <c r="E22" s="33">
        <f t="shared" si="7"/>
        <v>1278.2451923076924</v>
      </c>
      <c r="F22" s="31">
        <f t="shared" si="7"/>
        <v>8806</v>
      </c>
      <c r="G22" s="33">
        <f t="shared" si="7"/>
        <v>1023.953488372093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7205.7999999999993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10955</v>
      </c>
      <c r="X22" s="31"/>
      <c r="Y22" s="31">
        <f t="shared" ref="Y22:AG22" si="8">SUM(Y15:Y21)</f>
        <v>1095</v>
      </c>
      <c r="Z22" s="31">
        <f t="shared" si="8"/>
        <v>18</v>
      </c>
      <c r="AA22" s="31">
        <f t="shared" si="8"/>
        <v>1736</v>
      </c>
      <c r="AB22" s="31">
        <f t="shared" si="8"/>
        <v>2287</v>
      </c>
      <c r="AC22" s="31">
        <f t="shared" si="8"/>
        <v>329</v>
      </c>
      <c r="AD22" s="31">
        <f t="shared" si="8"/>
        <v>0</v>
      </c>
      <c r="AE22" s="33">
        <f t="shared" si="8"/>
        <v>2660.8500000000004</v>
      </c>
      <c r="AF22" s="33">
        <f t="shared" si="8"/>
        <v>0</v>
      </c>
      <c r="AG22" s="33">
        <f t="shared" si="8"/>
        <v>5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88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89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45536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45537</v>
      </c>
      <c r="B16" s="19"/>
      <c r="C16" s="20">
        <f t="shared" si="0"/>
        <v>0</v>
      </c>
      <c r="D16" s="19">
        <v>1612</v>
      </c>
      <c r="E16" s="21">
        <f>D16/208*25</f>
        <v>193.75</v>
      </c>
      <c r="F16" s="19">
        <v>1129</v>
      </c>
      <c r="G16" s="22">
        <f>F16/215*25</f>
        <v>131.27906976744185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1162.2</v>
      </c>
      <c r="Q16" s="24"/>
      <c r="R16" s="24"/>
      <c r="S16" s="25"/>
      <c r="T16" s="24"/>
      <c r="U16" s="24"/>
      <c r="V16" s="24"/>
      <c r="W16" s="25">
        <v>1695</v>
      </c>
      <c r="X16" s="25"/>
      <c r="Y16" s="24">
        <v>169</v>
      </c>
      <c r="Z16" s="24">
        <v>2</v>
      </c>
      <c r="AA16" s="24">
        <v>304</v>
      </c>
      <c r="AB16" s="24">
        <v>334</v>
      </c>
      <c r="AC16" s="24">
        <v>52</v>
      </c>
      <c r="AD16" s="24"/>
      <c r="AE16" s="26">
        <f t="shared" si="2"/>
        <v>410.67</v>
      </c>
      <c r="AF16" s="24"/>
      <c r="AG16" s="27"/>
      <c r="AH16" s="29"/>
    </row>
    <row r="17" spans="1:41" s="28" customFormat="1" ht="26.25" customHeight="1" x14ac:dyDescent="0.25">
      <c r="A17" s="18">
        <v>45538</v>
      </c>
      <c r="B17" s="19"/>
      <c r="C17" s="20">
        <f>B17/200*25</f>
        <v>0</v>
      </c>
      <c r="D17" s="19">
        <v>2010</v>
      </c>
      <c r="E17" s="21">
        <f t="shared" si="1"/>
        <v>241.58653846153845</v>
      </c>
      <c r="F17" s="19">
        <v>1503</v>
      </c>
      <c r="G17" s="22">
        <f t="shared" ref="G17:G21" si="4">F17/215*25</f>
        <v>174.76744186046511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1110.4000000000001</v>
      </c>
      <c r="Q17" s="24"/>
      <c r="R17" s="24"/>
      <c r="S17" s="25"/>
      <c r="T17" s="24"/>
      <c r="U17" s="24"/>
      <c r="V17" s="24"/>
      <c r="W17" s="25">
        <v>1731</v>
      </c>
      <c r="X17" s="25"/>
      <c r="Y17" s="24">
        <v>185</v>
      </c>
      <c r="Z17" s="24">
        <v>6</v>
      </c>
      <c r="AA17" s="24">
        <v>196</v>
      </c>
      <c r="AB17" s="24">
        <v>390</v>
      </c>
      <c r="AC17" s="24">
        <v>74</v>
      </c>
      <c r="AD17" s="24"/>
      <c r="AE17" s="26">
        <f>Y17*2.43</f>
        <v>449.55</v>
      </c>
      <c r="AF17" s="24"/>
      <c r="AG17" s="27"/>
    </row>
    <row r="18" spans="1:41" s="28" customFormat="1" ht="26.25" customHeight="1" x14ac:dyDescent="0.25">
      <c r="A18" s="18">
        <v>45539</v>
      </c>
      <c r="B18" s="19"/>
      <c r="C18" s="20">
        <f t="shared" ref="C18:C19" si="5">B18/200*25</f>
        <v>0</v>
      </c>
      <c r="D18" s="19">
        <v>1792</v>
      </c>
      <c r="E18" s="21">
        <f t="shared" si="1"/>
        <v>215.38461538461539</v>
      </c>
      <c r="F18" s="19">
        <v>1703</v>
      </c>
      <c r="G18" s="22">
        <f t="shared" si="4"/>
        <v>198.02325581395348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1191</v>
      </c>
      <c r="Q18" s="24"/>
      <c r="R18" s="24"/>
      <c r="S18" s="24"/>
      <c r="T18" s="24"/>
      <c r="U18" s="24"/>
      <c r="V18" s="24"/>
      <c r="W18" s="25">
        <v>1800</v>
      </c>
      <c r="X18" s="25"/>
      <c r="Y18" s="24">
        <v>177</v>
      </c>
      <c r="Z18" s="24">
        <v>4</v>
      </c>
      <c r="AA18" s="24">
        <v>359</v>
      </c>
      <c r="AB18" s="24">
        <v>389</v>
      </c>
      <c r="AC18" s="24">
        <v>40</v>
      </c>
      <c r="AD18" s="24"/>
      <c r="AE18" s="26">
        <f t="shared" si="2"/>
        <v>430.11</v>
      </c>
      <c r="AF18" s="24"/>
      <c r="AG18" s="27"/>
    </row>
    <row r="19" spans="1:41" s="28" customFormat="1" ht="26.25" customHeight="1" x14ac:dyDescent="0.25">
      <c r="A19" s="18">
        <v>45540</v>
      </c>
      <c r="B19" s="19"/>
      <c r="C19" s="20">
        <f t="shared" si="5"/>
        <v>0</v>
      </c>
      <c r="D19" s="19">
        <v>2214</v>
      </c>
      <c r="E19" s="21">
        <f t="shared" si="1"/>
        <v>266.10576923076923</v>
      </c>
      <c r="F19" s="19">
        <v>1599</v>
      </c>
      <c r="G19" s="22">
        <f t="shared" si="4"/>
        <v>185.93023255813955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1240.4000000000001</v>
      </c>
      <c r="Q19" s="24"/>
      <c r="R19" s="24"/>
      <c r="S19" s="24"/>
      <c r="T19" s="24"/>
      <c r="U19" s="24"/>
      <c r="V19" s="12"/>
      <c r="W19" s="24">
        <v>1961</v>
      </c>
      <c r="X19" s="25"/>
      <c r="Y19" s="24">
        <v>193</v>
      </c>
      <c r="Z19" s="24">
        <v>2</v>
      </c>
      <c r="AA19" s="24">
        <v>309</v>
      </c>
      <c r="AB19" s="24">
        <v>424</v>
      </c>
      <c r="AC19" s="24">
        <v>40</v>
      </c>
      <c r="AD19" s="24"/>
      <c r="AE19" s="26">
        <f>Y19*2.43</f>
        <v>468.99</v>
      </c>
      <c r="AF19" s="24"/>
      <c r="AG19" s="27"/>
    </row>
    <row r="20" spans="1:41" s="28" customFormat="1" ht="26.25" customHeight="1" x14ac:dyDescent="0.25">
      <c r="A20" s="18">
        <v>45541</v>
      </c>
      <c r="B20" s="19"/>
      <c r="C20" s="20">
        <f>B20/200*25</f>
        <v>0</v>
      </c>
      <c r="D20" s="19">
        <v>2152</v>
      </c>
      <c r="E20" s="21">
        <f>D20/208*25</f>
        <v>258.65384615384619</v>
      </c>
      <c r="F20" s="19">
        <v>1139</v>
      </c>
      <c r="G20" s="22">
        <f t="shared" si="4"/>
        <v>132.44186046511629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1097.2</v>
      </c>
      <c r="Q20" s="24"/>
      <c r="R20" s="24"/>
      <c r="S20" s="24"/>
      <c r="T20" s="24"/>
      <c r="U20" s="24"/>
      <c r="V20" s="24"/>
      <c r="W20" s="25">
        <v>1696</v>
      </c>
      <c r="X20" s="25"/>
      <c r="Y20" s="24">
        <v>215</v>
      </c>
      <c r="Z20" s="24"/>
      <c r="AA20" s="24">
        <v>207</v>
      </c>
      <c r="AB20" s="24">
        <v>448</v>
      </c>
      <c r="AC20" s="24">
        <v>54</v>
      </c>
      <c r="AD20" s="24"/>
      <c r="AE20" s="26">
        <f>Y20*2.43</f>
        <v>522.45000000000005</v>
      </c>
      <c r="AF20" s="24"/>
      <c r="AG20" s="27"/>
    </row>
    <row r="21" spans="1:41" s="28" customFormat="1" ht="26.25" customHeight="1" x14ac:dyDescent="0.25">
      <c r="A21" s="18">
        <v>45542</v>
      </c>
      <c r="B21" s="19"/>
      <c r="C21" s="20">
        <f>B21/200*25</f>
        <v>0</v>
      </c>
      <c r="D21" s="19">
        <v>1652</v>
      </c>
      <c r="E21" s="21">
        <f>D21/208*25</f>
        <v>198.55769230769232</v>
      </c>
      <c r="F21" s="19">
        <v>959</v>
      </c>
      <c r="G21" s="22">
        <f t="shared" si="4"/>
        <v>111.51162790697676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825</v>
      </c>
      <c r="Q21" s="24"/>
      <c r="R21" s="24"/>
      <c r="S21" s="25"/>
      <c r="T21" s="24"/>
      <c r="U21" s="24"/>
      <c r="V21" s="24"/>
      <c r="W21" s="25">
        <v>1329</v>
      </c>
      <c r="X21" s="25"/>
      <c r="Y21" s="24">
        <v>147</v>
      </c>
      <c r="Z21" s="24">
        <v>2</v>
      </c>
      <c r="AA21" s="24">
        <v>165</v>
      </c>
      <c r="AB21" s="24">
        <v>354</v>
      </c>
      <c r="AC21" s="24">
        <v>35</v>
      </c>
      <c r="AD21" s="24"/>
      <c r="AE21" s="26">
        <f t="shared" si="2"/>
        <v>357.21000000000004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11432</v>
      </c>
      <c r="E22" s="33">
        <f t="shared" si="7"/>
        <v>1374.0384615384617</v>
      </c>
      <c r="F22" s="31">
        <f t="shared" si="7"/>
        <v>8032</v>
      </c>
      <c r="G22" s="33">
        <f t="shared" si="7"/>
        <v>933.95348837209303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6626.2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10212</v>
      </c>
      <c r="X22" s="31"/>
      <c r="Y22" s="31">
        <f t="shared" ref="Y22:AG22" si="8">SUM(Y15:Y21)</f>
        <v>1086</v>
      </c>
      <c r="Z22" s="31">
        <f t="shared" si="8"/>
        <v>16</v>
      </c>
      <c r="AA22" s="31">
        <f t="shared" si="8"/>
        <v>1540</v>
      </c>
      <c r="AB22" s="31">
        <f t="shared" si="8"/>
        <v>2339</v>
      </c>
      <c r="AC22" s="31">
        <f t="shared" si="8"/>
        <v>295</v>
      </c>
      <c r="AD22" s="31">
        <f t="shared" si="8"/>
        <v>0</v>
      </c>
      <c r="AE22" s="33">
        <f t="shared" si="8"/>
        <v>2638.98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G31" sqref="G3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45543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45544</v>
      </c>
      <c r="B16" s="19"/>
      <c r="C16" s="20">
        <f t="shared" si="0"/>
        <v>0</v>
      </c>
      <c r="D16" s="19">
        <v>2156</v>
      </c>
      <c r="E16" s="21">
        <f>D16/208*25</f>
        <v>259.13461538461536</v>
      </c>
      <c r="F16" s="19">
        <v>1137</v>
      </c>
      <c r="G16" s="22">
        <f>F16/215*25</f>
        <v>132.2093023255814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1101.5999999999999</v>
      </c>
      <c r="Q16" s="24"/>
      <c r="R16" s="24"/>
      <c r="S16" s="25"/>
      <c r="T16" s="24"/>
      <c r="U16" s="24"/>
      <c r="V16" s="24"/>
      <c r="W16" s="25">
        <v>1712</v>
      </c>
      <c r="X16" s="25"/>
      <c r="Y16" s="24">
        <v>182</v>
      </c>
      <c r="Z16" s="24"/>
      <c r="AA16" s="24">
        <v>238</v>
      </c>
      <c r="AB16" s="24">
        <v>421</v>
      </c>
      <c r="AC16" s="24">
        <v>48</v>
      </c>
      <c r="AD16" s="24"/>
      <c r="AE16" s="26">
        <f t="shared" si="2"/>
        <v>442.26000000000005</v>
      </c>
      <c r="AF16" s="24"/>
      <c r="AG16" s="27"/>
      <c r="AH16" s="29"/>
    </row>
    <row r="17" spans="1:41" s="28" customFormat="1" ht="26.25" customHeight="1" x14ac:dyDescent="0.25">
      <c r="A17" s="18">
        <v>45545</v>
      </c>
      <c r="B17" s="19"/>
      <c r="C17" s="20">
        <f>B17/200*25</f>
        <v>0</v>
      </c>
      <c r="D17" s="19">
        <v>2251</v>
      </c>
      <c r="E17" s="21">
        <f t="shared" si="1"/>
        <v>270.55288461538464</v>
      </c>
      <c r="F17" s="19">
        <v>1378</v>
      </c>
      <c r="G17" s="22">
        <f t="shared" ref="G17:G21" si="4">F17/215*25</f>
        <v>160.23255813953489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1223</v>
      </c>
      <c r="Q17" s="24"/>
      <c r="R17" s="24"/>
      <c r="S17" s="25"/>
      <c r="T17" s="24"/>
      <c r="U17" s="24"/>
      <c r="V17" s="24"/>
      <c r="W17" s="25">
        <v>1895</v>
      </c>
      <c r="X17" s="25"/>
      <c r="Y17" s="24">
        <v>183</v>
      </c>
      <c r="Z17" s="24"/>
      <c r="AA17" s="24">
        <v>196</v>
      </c>
      <c r="AB17" s="24">
        <v>480</v>
      </c>
      <c r="AC17" s="24">
        <v>79</v>
      </c>
      <c r="AD17" s="24"/>
      <c r="AE17" s="26">
        <f>Y17*2.43</f>
        <v>444.69000000000005</v>
      </c>
      <c r="AF17" s="24"/>
      <c r="AG17" s="27"/>
    </row>
    <row r="18" spans="1:41" s="28" customFormat="1" ht="26.25" customHeight="1" x14ac:dyDescent="0.25">
      <c r="A18" s="18">
        <v>45546</v>
      </c>
      <c r="B18" s="19"/>
      <c r="C18" s="20">
        <f t="shared" ref="C18:C19" si="5">B18/200*25</f>
        <v>0</v>
      </c>
      <c r="D18" s="19">
        <v>2045</v>
      </c>
      <c r="E18" s="21">
        <f t="shared" si="1"/>
        <v>245.79326923076925</v>
      </c>
      <c r="F18" s="19">
        <v>1357</v>
      </c>
      <c r="G18" s="22">
        <f t="shared" si="4"/>
        <v>157.7906976744186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1148.4000000000001</v>
      </c>
      <c r="Q18" s="24"/>
      <c r="R18" s="24"/>
      <c r="S18" s="24"/>
      <c r="T18" s="24"/>
      <c r="U18" s="24"/>
      <c r="V18" s="24"/>
      <c r="W18" s="25">
        <v>1757</v>
      </c>
      <c r="X18" s="25"/>
      <c r="Y18" s="24">
        <v>181</v>
      </c>
      <c r="Z18" s="24"/>
      <c r="AA18" s="24">
        <v>232</v>
      </c>
      <c r="AB18" s="24">
        <v>512</v>
      </c>
      <c r="AC18" s="24">
        <v>55</v>
      </c>
      <c r="AD18" s="24"/>
      <c r="AE18" s="26">
        <f t="shared" si="2"/>
        <v>439.83000000000004</v>
      </c>
      <c r="AF18" s="24"/>
      <c r="AG18" s="27"/>
    </row>
    <row r="19" spans="1:41" s="28" customFormat="1" ht="26.25" customHeight="1" x14ac:dyDescent="0.25">
      <c r="A19" s="18">
        <v>45547</v>
      </c>
      <c r="B19" s="19"/>
      <c r="C19" s="20">
        <f t="shared" si="5"/>
        <v>0</v>
      </c>
      <c r="D19" s="19">
        <v>1607</v>
      </c>
      <c r="E19" s="21">
        <f t="shared" si="1"/>
        <v>193.14903846153845</v>
      </c>
      <c r="F19" s="19">
        <v>1517</v>
      </c>
      <c r="G19" s="22">
        <f t="shared" si="4"/>
        <v>176.3953488372093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1081.5999999999999</v>
      </c>
      <c r="Q19" s="24"/>
      <c r="R19" s="24"/>
      <c r="S19" s="24"/>
      <c r="T19" s="24"/>
      <c r="U19" s="24"/>
      <c r="V19" s="12"/>
      <c r="W19" s="24">
        <v>1639</v>
      </c>
      <c r="X19" s="25"/>
      <c r="Y19" s="24">
        <v>182</v>
      </c>
      <c r="Z19" s="24"/>
      <c r="AA19" s="24">
        <v>268</v>
      </c>
      <c r="AB19" s="24">
        <v>366</v>
      </c>
      <c r="AC19" s="24">
        <v>40</v>
      </c>
      <c r="AD19" s="24"/>
      <c r="AE19" s="26">
        <f>Y19*2.43</f>
        <v>442.26000000000005</v>
      </c>
      <c r="AF19" s="24"/>
      <c r="AG19" s="27"/>
    </row>
    <row r="20" spans="1:41" s="28" customFormat="1" ht="26.25" customHeight="1" x14ac:dyDescent="0.25">
      <c r="A20" s="18">
        <v>45548</v>
      </c>
      <c r="B20" s="19"/>
      <c r="C20" s="20">
        <f>B20/200*25</f>
        <v>0</v>
      </c>
      <c r="D20" s="19">
        <v>1826</v>
      </c>
      <c r="E20" s="21">
        <f>D20/208*25</f>
        <v>219.47115384615384</v>
      </c>
      <c r="F20" s="19">
        <v>1021</v>
      </c>
      <c r="G20" s="22">
        <f t="shared" si="4"/>
        <v>118.72093023255815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997</v>
      </c>
      <c r="Q20" s="24"/>
      <c r="R20" s="24"/>
      <c r="S20" s="24"/>
      <c r="T20" s="24"/>
      <c r="U20" s="24"/>
      <c r="V20" s="24"/>
      <c r="W20" s="25">
        <v>1500</v>
      </c>
      <c r="X20" s="25"/>
      <c r="Y20" s="24">
        <v>159</v>
      </c>
      <c r="Z20" s="24"/>
      <c r="AA20" s="24">
        <v>159</v>
      </c>
      <c r="AB20" s="24">
        <v>429</v>
      </c>
      <c r="AC20" s="24">
        <v>44</v>
      </c>
      <c r="AD20" s="24"/>
      <c r="AE20" s="26">
        <f>Y20*2.43</f>
        <v>386.37</v>
      </c>
      <c r="AF20" s="24"/>
      <c r="AG20" s="27"/>
    </row>
    <row r="21" spans="1:41" s="28" customFormat="1" ht="26.25" customHeight="1" x14ac:dyDescent="0.25">
      <c r="A21" s="18">
        <v>45549</v>
      </c>
      <c r="B21" s="19"/>
      <c r="C21" s="20">
        <f>B21/200*25</f>
        <v>0</v>
      </c>
      <c r="D21" s="19">
        <v>1223</v>
      </c>
      <c r="E21" s="21">
        <f>D21/208*25</f>
        <v>146.99519230769232</v>
      </c>
      <c r="F21" s="19">
        <v>1222</v>
      </c>
      <c r="G21" s="22">
        <f t="shared" si="4"/>
        <v>142.09302325581393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839</v>
      </c>
      <c r="Q21" s="24"/>
      <c r="R21" s="24"/>
      <c r="S21" s="25"/>
      <c r="T21" s="24"/>
      <c r="U21" s="24"/>
      <c r="V21" s="24"/>
      <c r="W21" s="25">
        <v>1266</v>
      </c>
      <c r="X21" s="25"/>
      <c r="Y21" s="24">
        <v>134</v>
      </c>
      <c r="Z21" s="24"/>
      <c r="AA21" s="24">
        <v>227</v>
      </c>
      <c r="AB21" s="24">
        <v>295</v>
      </c>
      <c r="AC21" s="24">
        <v>0</v>
      </c>
      <c r="AD21" s="24"/>
      <c r="AE21" s="26">
        <f t="shared" si="2"/>
        <v>325.62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11108</v>
      </c>
      <c r="E22" s="33">
        <f t="shared" si="7"/>
        <v>1335.096153846154</v>
      </c>
      <c r="F22" s="31">
        <f t="shared" si="7"/>
        <v>7632</v>
      </c>
      <c r="G22" s="33">
        <f t="shared" si="7"/>
        <v>887.44186046511618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6390.6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9769</v>
      </c>
      <c r="X22" s="31"/>
      <c r="Y22" s="31">
        <f t="shared" ref="Y22:AG22" si="8">SUM(Y15:Y21)</f>
        <v>1021</v>
      </c>
      <c r="Z22" s="31">
        <f t="shared" si="8"/>
        <v>0</v>
      </c>
      <c r="AA22" s="31">
        <f t="shared" si="8"/>
        <v>1320</v>
      </c>
      <c r="AB22" s="31">
        <f t="shared" si="8"/>
        <v>2503</v>
      </c>
      <c r="AC22" s="31">
        <f t="shared" si="8"/>
        <v>266</v>
      </c>
      <c r="AD22" s="31">
        <f t="shared" si="8"/>
        <v>0</v>
      </c>
      <c r="AE22" s="33">
        <f t="shared" si="8"/>
        <v>2481.0300000000002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9" zoomScaleNormal="100" workbookViewId="0">
      <selection activeCell="V33" sqref="V33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45550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45551</v>
      </c>
      <c r="B16" s="19"/>
      <c r="C16" s="20">
        <f t="shared" si="0"/>
        <v>0</v>
      </c>
      <c r="D16" s="19">
        <v>1826</v>
      </c>
      <c r="E16" s="21">
        <f>D16/208*25</f>
        <v>219.47115384615384</v>
      </c>
      <c r="F16" s="19">
        <v>1743</v>
      </c>
      <c r="G16" s="22">
        <f>F16/215*25</f>
        <v>202.67441860465115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1291.8</v>
      </c>
      <c r="Q16" s="24"/>
      <c r="R16" s="24"/>
      <c r="S16" s="25"/>
      <c r="T16" s="24"/>
      <c r="U16" s="24"/>
      <c r="V16" s="24"/>
      <c r="W16" s="25">
        <v>1891</v>
      </c>
      <c r="X16" s="25"/>
      <c r="Y16" s="24">
        <v>218</v>
      </c>
      <c r="Z16" s="24"/>
      <c r="AA16" s="24">
        <v>346</v>
      </c>
      <c r="AB16" s="24">
        <v>432</v>
      </c>
      <c r="AC16" s="24">
        <v>20</v>
      </c>
      <c r="AD16" s="24"/>
      <c r="AE16" s="26">
        <f t="shared" si="2"/>
        <v>529.74</v>
      </c>
      <c r="AF16" s="24"/>
      <c r="AG16" s="27"/>
      <c r="AH16" s="29"/>
    </row>
    <row r="17" spans="1:41" s="28" customFormat="1" ht="26.25" customHeight="1" x14ac:dyDescent="0.25">
      <c r="A17" s="18">
        <v>45552</v>
      </c>
      <c r="B17" s="19"/>
      <c r="C17" s="20">
        <f>B17/200*25</f>
        <v>0</v>
      </c>
      <c r="D17" s="19">
        <v>1764</v>
      </c>
      <c r="E17" s="21">
        <f t="shared" si="1"/>
        <v>212.01923076923075</v>
      </c>
      <c r="F17" s="19">
        <v>1312</v>
      </c>
      <c r="G17" s="22">
        <f t="shared" ref="G17:G21" si="4">F17/215*25</f>
        <v>152.55813953488374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1034.2</v>
      </c>
      <c r="Q17" s="24"/>
      <c r="R17" s="24"/>
      <c r="S17" s="25"/>
      <c r="T17" s="24"/>
      <c r="U17" s="24"/>
      <c r="V17" s="24"/>
      <c r="W17" s="25">
        <v>1564</v>
      </c>
      <c r="X17" s="25"/>
      <c r="Y17" s="24">
        <v>164</v>
      </c>
      <c r="Z17" s="24"/>
      <c r="AA17" s="24">
        <v>209</v>
      </c>
      <c r="AB17" s="24">
        <v>376</v>
      </c>
      <c r="AC17" s="24">
        <v>54</v>
      </c>
      <c r="AD17" s="24"/>
      <c r="AE17" s="26">
        <f>Y17*2.43</f>
        <v>398.52000000000004</v>
      </c>
      <c r="AF17" s="24"/>
      <c r="AG17" s="27"/>
    </row>
    <row r="18" spans="1:41" s="28" customFormat="1" ht="26.25" customHeight="1" x14ac:dyDescent="0.25">
      <c r="A18" s="18">
        <v>45553</v>
      </c>
      <c r="B18" s="19"/>
      <c r="C18" s="20">
        <f t="shared" ref="C18:C19" si="5">B18/200*25</f>
        <v>0</v>
      </c>
      <c r="D18" s="19">
        <v>1851</v>
      </c>
      <c r="E18" s="21">
        <f t="shared" si="1"/>
        <v>222.47596153846155</v>
      </c>
      <c r="F18" s="19">
        <v>1293</v>
      </c>
      <c r="G18" s="22">
        <f t="shared" si="4"/>
        <v>150.34883720930233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1047.4000000000001</v>
      </c>
      <c r="Q18" s="24"/>
      <c r="R18" s="24"/>
      <c r="S18" s="24"/>
      <c r="T18" s="24"/>
      <c r="U18" s="24"/>
      <c r="V18" s="24"/>
      <c r="W18" s="25">
        <v>1612</v>
      </c>
      <c r="X18" s="25"/>
      <c r="Y18" s="24">
        <v>162</v>
      </c>
      <c r="Z18" s="24"/>
      <c r="AA18" s="24">
        <v>177</v>
      </c>
      <c r="AB18" s="24">
        <v>374</v>
      </c>
      <c r="AC18" s="24">
        <v>55</v>
      </c>
      <c r="AD18" s="24"/>
      <c r="AE18" s="26">
        <f t="shared" si="2"/>
        <v>393.66</v>
      </c>
      <c r="AF18" s="24"/>
      <c r="AG18" s="27">
        <v>2</v>
      </c>
    </row>
    <row r="19" spans="1:41" s="28" customFormat="1" ht="26.25" customHeight="1" x14ac:dyDescent="0.25">
      <c r="A19" s="18">
        <v>45554</v>
      </c>
      <c r="B19" s="19"/>
      <c r="C19" s="20">
        <f t="shared" si="5"/>
        <v>0</v>
      </c>
      <c r="D19" s="19">
        <v>2072</v>
      </c>
      <c r="E19" s="21">
        <f t="shared" si="1"/>
        <v>249.03846153846155</v>
      </c>
      <c r="F19" s="19">
        <v>1388</v>
      </c>
      <c r="G19" s="22">
        <f t="shared" si="4"/>
        <v>161.3953488372093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1146.2</v>
      </c>
      <c r="Q19" s="24"/>
      <c r="R19" s="24"/>
      <c r="S19" s="24"/>
      <c r="T19" s="24"/>
      <c r="U19" s="24"/>
      <c r="V19" s="12"/>
      <c r="W19" s="24">
        <v>1761</v>
      </c>
      <c r="X19" s="25"/>
      <c r="Y19" s="24">
        <v>190</v>
      </c>
      <c r="Z19" s="24"/>
      <c r="AA19" s="24">
        <v>178</v>
      </c>
      <c r="AB19" s="24">
        <v>480</v>
      </c>
      <c r="AC19" s="24">
        <v>71</v>
      </c>
      <c r="AD19" s="24"/>
      <c r="AE19" s="26">
        <f>Y19*2.43</f>
        <v>461.70000000000005</v>
      </c>
      <c r="AF19" s="24"/>
      <c r="AG19" s="27">
        <v>1</v>
      </c>
    </row>
    <row r="20" spans="1:41" s="28" customFormat="1" ht="26.25" customHeight="1" x14ac:dyDescent="0.25">
      <c r="A20" s="18">
        <v>45555</v>
      </c>
      <c r="B20" s="19"/>
      <c r="C20" s="20">
        <f>B20/200*25</f>
        <v>0</v>
      </c>
      <c r="D20" s="19">
        <v>1725</v>
      </c>
      <c r="E20" s="21">
        <f>D20/208*25</f>
        <v>207.33173076923075</v>
      </c>
      <c r="F20" s="19">
        <v>1145</v>
      </c>
      <c r="G20" s="22">
        <f t="shared" si="4"/>
        <v>133.13953488372093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1106</v>
      </c>
      <c r="Q20" s="24"/>
      <c r="R20" s="24"/>
      <c r="S20" s="24"/>
      <c r="T20" s="24"/>
      <c r="U20" s="24"/>
      <c r="V20" s="24"/>
      <c r="W20" s="25">
        <v>1604</v>
      </c>
      <c r="X20" s="25"/>
      <c r="Y20" s="24">
        <v>177</v>
      </c>
      <c r="Z20" s="24"/>
      <c r="AA20" s="24">
        <v>221</v>
      </c>
      <c r="AB20" s="24">
        <v>386</v>
      </c>
      <c r="AC20" s="24">
        <v>30</v>
      </c>
      <c r="AD20" s="24"/>
      <c r="AE20" s="26">
        <f>Y20*2.43</f>
        <v>430.11</v>
      </c>
      <c r="AF20" s="24"/>
      <c r="AG20" s="27">
        <v>1</v>
      </c>
    </row>
    <row r="21" spans="1:41" s="28" customFormat="1" ht="26.25" customHeight="1" x14ac:dyDescent="0.25">
      <c r="A21" s="18">
        <v>45556</v>
      </c>
      <c r="B21" s="19"/>
      <c r="C21" s="20">
        <f>B21/200*25</f>
        <v>0</v>
      </c>
      <c r="D21" s="19">
        <v>2340</v>
      </c>
      <c r="E21" s="21">
        <f>D21/208*25</f>
        <v>281.25</v>
      </c>
      <c r="F21" s="19">
        <v>1528</v>
      </c>
      <c r="G21" s="22">
        <f t="shared" si="4"/>
        <v>177.67441860465115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1308.4000000000001</v>
      </c>
      <c r="Q21" s="24"/>
      <c r="R21" s="24"/>
      <c r="S21" s="25"/>
      <c r="T21" s="24"/>
      <c r="U21" s="24"/>
      <c r="V21" s="24"/>
      <c r="W21" s="25">
        <v>2006</v>
      </c>
      <c r="X21" s="25"/>
      <c r="Y21" s="24">
        <v>203</v>
      </c>
      <c r="Z21" s="24"/>
      <c r="AA21" s="24">
        <v>258</v>
      </c>
      <c r="AB21" s="24">
        <v>492</v>
      </c>
      <c r="AC21" s="24">
        <v>60</v>
      </c>
      <c r="AD21" s="24"/>
      <c r="AE21" s="26">
        <f t="shared" si="2"/>
        <v>493.29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11578</v>
      </c>
      <c r="E22" s="33">
        <f t="shared" si="7"/>
        <v>1391.5865384615386</v>
      </c>
      <c r="F22" s="31">
        <f t="shared" si="7"/>
        <v>8409</v>
      </c>
      <c r="G22" s="33">
        <f t="shared" si="7"/>
        <v>977.79069767441854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6934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10438</v>
      </c>
      <c r="X22" s="31"/>
      <c r="Y22" s="31">
        <f t="shared" ref="Y22:AG22" si="8">SUM(Y15:Y21)</f>
        <v>1114</v>
      </c>
      <c r="Z22" s="31">
        <f t="shared" si="8"/>
        <v>0</v>
      </c>
      <c r="AA22" s="31">
        <f t="shared" si="8"/>
        <v>1389</v>
      </c>
      <c r="AB22" s="31">
        <f t="shared" si="8"/>
        <v>2540</v>
      </c>
      <c r="AC22" s="31">
        <f t="shared" si="8"/>
        <v>290</v>
      </c>
      <c r="AD22" s="31">
        <f t="shared" si="8"/>
        <v>0</v>
      </c>
      <c r="AE22" s="33">
        <f t="shared" si="8"/>
        <v>2707.02</v>
      </c>
      <c r="AF22" s="33">
        <f t="shared" si="8"/>
        <v>0</v>
      </c>
      <c r="AG22" s="33">
        <f t="shared" si="8"/>
        <v>4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A21" sqref="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45557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45558</v>
      </c>
      <c r="B16" s="19"/>
      <c r="C16" s="20">
        <f t="shared" si="0"/>
        <v>0</v>
      </c>
      <c r="D16" s="19">
        <v>2010</v>
      </c>
      <c r="E16" s="21">
        <f>D16/208*25</f>
        <v>241.58653846153845</v>
      </c>
      <c r="F16" s="19">
        <v>1382</v>
      </c>
      <c r="G16" s="22">
        <f>F16/215*25</f>
        <v>160.69767441860466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1287</v>
      </c>
      <c r="Q16" s="24"/>
      <c r="R16" s="24"/>
      <c r="S16" s="25"/>
      <c r="T16" s="24"/>
      <c r="U16" s="24"/>
      <c r="V16" s="24"/>
      <c r="W16" s="25">
        <v>1950</v>
      </c>
      <c r="X16" s="25"/>
      <c r="Y16" s="24">
        <v>190</v>
      </c>
      <c r="Z16" s="24"/>
      <c r="AA16" s="24">
        <v>248</v>
      </c>
      <c r="AB16" s="24">
        <v>478</v>
      </c>
      <c r="AC16" s="24">
        <v>62</v>
      </c>
      <c r="AD16" s="24"/>
      <c r="AE16" s="26">
        <f t="shared" si="2"/>
        <v>461.70000000000005</v>
      </c>
      <c r="AF16" s="24"/>
      <c r="AG16" s="27"/>
      <c r="AH16" s="29"/>
    </row>
    <row r="17" spans="1:41" s="28" customFormat="1" ht="26.25" customHeight="1" x14ac:dyDescent="0.25">
      <c r="A17" s="18">
        <v>45559</v>
      </c>
      <c r="B17" s="19"/>
      <c r="C17" s="20">
        <f>B17/200*25</f>
        <v>0</v>
      </c>
      <c r="D17" s="19">
        <v>1762</v>
      </c>
      <c r="E17" s="21">
        <f t="shared" si="1"/>
        <v>211.77884615384616</v>
      </c>
      <c r="F17" s="19">
        <v>2009</v>
      </c>
      <c r="G17" s="22">
        <f t="shared" ref="G17:G21" si="4">F17/215*25</f>
        <v>233.60465116279067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1267</v>
      </c>
      <c r="Q17" s="24"/>
      <c r="R17" s="24"/>
      <c r="S17" s="25"/>
      <c r="T17" s="24"/>
      <c r="U17" s="24"/>
      <c r="V17" s="24"/>
      <c r="W17" s="25">
        <v>1989</v>
      </c>
      <c r="X17" s="25"/>
      <c r="Y17" s="24">
        <v>201</v>
      </c>
      <c r="Z17" s="24"/>
      <c r="AA17" s="24">
        <v>257</v>
      </c>
      <c r="AB17" s="24">
        <v>451</v>
      </c>
      <c r="AC17" s="24">
        <v>58</v>
      </c>
      <c r="AD17" s="24"/>
      <c r="AE17" s="26">
        <f>Y17*2.43</f>
        <v>488.43</v>
      </c>
      <c r="AF17" s="24"/>
      <c r="AG17" s="27"/>
    </row>
    <row r="18" spans="1:41" s="28" customFormat="1" ht="26.25" customHeight="1" x14ac:dyDescent="0.25">
      <c r="A18" s="18">
        <v>45560</v>
      </c>
      <c r="B18" s="19"/>
      <c r="C18" s="20">
        <f t="shared" ref="C18:C19" si="5">B18/200*25</f>
        <v>0</v>
      </c>
      <c r="D18" s="19">
        <v>1688</v>
      </c>
      <c r="E18" s="21">
        <f t="shared" si="1"/>
        <v>202.88461538461539</v>
      </c>
      <c r="F18" s="19">
        <v>1651</v>
      </c>
      <c r="G18" s="22">
        <f t="shared" si="4"/>
        <v>191.97674418604652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1335.6</v>
      </c>
      <c r="Q18" s="24"/>
      <c r="R18" s="24"/>
      <c r="S18" s="24"/>
      <c r="T18" s="24"/>
      <c r="U18" s="24"/>
      <c r="V18" s="24"/>
      <c r="W18" s="25">
        <v>1932</v>
      </c>
      <c r="X18" s="25"/>
      <c r="Y18" s="24">
        <v>203</v>
      </c>
      <c r="Z18" s="24"/>
      <c r="AA18" s="24">
        <v>275</v>
      </c>
      <c r="AB18" s="24">
        <v>492</v>
      </c>
      <c r="AC18" s="24">
        <v>40</v>
      </c>
      <c r="AD18" s="24"/>
      <c r="AE18" s="26">
        <f t="shared" si="2"/>
        <v>493.29</v>
      </c>
      <c r="AF18" s="24"/>
      <c r="AG18" s="27"/>
    </row>
    <row r="19" spans="1:41" s="28" customFormat="1" ht="26.25" customHeight="1" x14ac:dyDescent="0.25">
      <c r="A19" s="18">
        <v>45561</v>
      </c>
      <c r="B19" s="19"/>
      <c r="C19" s="20">
        <f t="shared" si="5"/>
        <v>0</v>
      </c>
      <c r="D19" s="19">
        <v>1816</v>
      </c>
      <c r="E19" s="21">
        <f t="shared" si="1"/>
        <v>218.26923076923075</v>
      </c>
      <c r="F19" s="19">
        <v>1651</v>
      </c>
      <c r="G19" s="22">
        <f t="shared" si="4"/>
        <v>191.97674418604652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1223</v>
      </c>
      <c r="Q19" s="24"/>
      <c r="R19" s="24"/>
      <c r="S19" s="24"/>
      <c r="T19" s="24"/>
      <c r="U19" s="24"/>
      <c r="V19" s="12"/>
      <c r="W19" s="24">
        <v>1850</v>
      </c>
      <c r="X19" s="25"/>
      <c r="Y19" s="24">
        <v>176</v>
      </c>
      <c r="Z19" s="24"/>
      <c r="AA19" s="24">
        <v>195</v>
      </c>
      <c r="AB19" s="24">
        <v>498</v>
      </c>
      <c r="AC19" s="24">
        <v>48</v>
      </c>
      <c r="AD19" s="24"/>
      <c r="AE19" s="26">
        <f>Y19*2.43</f>
        <v>427.68</v>
      </c>
      <c r="AF19" s="24"/>
      <c r="AG19" s="27"/>
    </row>
    <row r="20" spans="1:41" s="28" customFormat="1" ht="26.25" customHeight="1" x14ac:dyDescent="0.25">
      <c r="A20" s="18">
        <v>45562</v>
      </c>
      <c r="B20" s="19"/>
      <c r="C20" s="20">
        <f>B20/200*25</f>
        <v>0</v>
      </c>
      <c r="D20" s="19">
        <v>1732</v>
      </c>
      <c r="E20" s="21">
        <f>D20/208*25</f>
        <v>208.17307692307691</v>
      </c>
      <c r="F20" s="19">
        <v>1451</v>
      </c>
      <c r="G20" s="22">
        <f t="shared" si="4"/>
        <v>168.72093023255815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1247.2</v>
      </c>
      <c r="Q20" s="24"/>
      <c r="R20" s="24"/>
      <c r="S20" s="24"/>
      <c r="T20" s="24"/>
      <c r="U20" s="24"/>
      <c r="V20" s="24"/>
      <c r="W20" s="25">
        <v>1786</v>
      </c>
      <c r="X20" s="25"/>
      <c r="Y20" s="24">
        <v>187</v>
      </c>
      <c r="Z20" s="24"/>
      <c r="AA20" s="24">
        <v>177</v>
      </c>
      <c r="AB20" s="24">
        <v>561</v>
      </c>
      <c r="AC20" s="24">
        <v>64</v>
      </c>
      <c r="AD20" s="24"/>
      <c r="AE20" s="26">
        <f>Y20*2.43</f>
        <v>454.41</v>
      </c>
      <c r="AF20" s="24"/>
      <c r="AG20" s="27"/>
    </row>
    <row r="21" spans="1:41" s="28" customFormat="1" ht="26.25" customHeight="1" x14ac:dyDescent="0.25">
      <c r="A21" s="18">
        <v>45563</v>
      </c>
      <c r="B21" s="19"/>
      <c r="C21" s="20">
        <f>B21/200*25</f>
        <v>0</v>
      </c>
      <c r="D21" s="19">
        <v>1282</v>
      </c>
      <c r="E21" s="21">
        <f>D21/208*25</f>
        <v>154.08653846153845</v>
      </c>
      <c r="F21" s="19">
        <v>1205</v>
      </c>
      <c r="G21" s="22">
        <f t="shared" si="4"/>
        <v>140.11627906976744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986</v>
      </c>
      <c r="Q21" s="24"/>
      <c r="R21" s="24"/>
      <c r="S21" s="25"/>
      <c r="T21" s="24"/>
      <c r="U21" s="24"/>
      <c r="V21" s="24"/>
      <c r="W21" s="25">
        <v>1448</v>
      </c>
      <c r="X21" s="25"/>
      <c r="Y21" s="24">
        <v>144</v>
      </c>
      <c r="Z21" s="24"/>
      <c r="AA21" s="24">
        <v>177</v>
      </c>
      <c r="AB21" s="24">
        <v>409</v>
      </c>
      <c r="AC21" s="24">
        <v>39</v>
      </c>
      <c r="AD21" s="24"/>
      <c r="AE21" s="26">
        <f t="shared" si="2"/>
        <v>349.92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10290</v>
      </c>
      <c r="E22" s="33">
        <f t="shared" si="7"/>
        <v>1236.7788461538462</v>
      </c>
      <c r="F22" s="31">
        <f t="shared" si="7"/>
        <v>9349</v>
      </c>
      <c r="G22" s="33">
        <f t="shared" si="7"/>
        <v>1087.0930232558139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7345.8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10955</v>
      </c>
      <c r="X22" s="31"/>
      <c r="Y22" s="31">
        <f t="shared" ref="Y22:AG22" si="8">SUM(Y15:Y21)</f>
        <v>1101</v>
      </c>
      <c r="Z22" s="31">
        <f t="shared" si="8"/>
        <v>0</v>
      </c>
      <c r="AA22" s="31">
        <f t="shared" si="8"/>
        <v>1329</v>
      </c>
      <c r="AB22" s="31">
        <f t="shared" si="8"/>
        <v>2889</v>
      </c>
      <c r="AC22" s="31">
        <f t="shared" si="8"/>
        <v>311</v>
      </c>
      <c r="AD22" s="31">
        <f t="shared" si="8"/>
        <v>0</v>
      </c>
      <c r="AE22" s="33">
        <f t="shared" si="8"/>
        <v>2675.4300000000003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9" zoomScaleNormal="100" workbookViewId="0">
      <selection activeCell="A17" sqref="A17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45564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45565</v>
      </c>
      <c r="B16" s="19"/>
      <c r="C16" s="20">
        <f t="shared" si="0"/>
        <v>0</v>
      </c>
      <c r="D16" s="19">
        <v>1664</v>
      </c>
      <c r="E16" s="21">
        <f>D16/208*25</f>
        <v>200</v>
      </c>
      <c r="F16" s="19">
        <v>1090</v>
      </c>
      <c r="G16" s="22">
        <f>F16/215*25</f>
        <v>126.74418604651163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916</v>
      </c>
      <c r="Q16" s="24"/>
      <c r="R16" s="24"/>
      <c r="S16" s="25"/>
      <c r="T16" s="24"/>
      <c r="U16" s="24"/>
      <c r="V16" s="24"/>
      <c r="W16" s="25">
        <v>1442</v>
      </c>
      <c r="X16" s="25"/>
      <c r="Y16" s="24">
        <v>154</v>
      </c>
      <c r="Z16" s="24"/>
      <c r="AA16" s="24">
        <v>140</v>
      </c>
      <c r="AB16" s="24">
        <v>409</v>
      </c>
      <c r="AC16" s="24">
        <v>27</v>
      </c>
      <c r="AD16" s="24"/>
      <c r="AE16" s="26">
        <f t="shared" si="2"/>
        <v>374.22</v>
      </c>
      <c r="AF16" s="24"/>
      <c r="AG16" s="27"/>
      <c r="AH16" s="29"/>
    </row>
    <row r="17" spans="1:41" s="28" customFormat="1" ht="26.25" customHeight="1" x14ac:dyDescent="0.25">
      <c r="A17" s="18">
        <v>45566</v>
      </c>
      <c r="B17" s="19"/>
      <c r="C17" s="20">
        <f>B17/200*25</f>
        <v>0</v>
      </c>
      <c r="D17" s="19">
        <v>1686</v>
      </c>
      <c r="E17" s="21">
        <f t="shared" si="1"/>
        <v>202.64423076923075</v>
      </c>
      <c r="F17" s="19">
        <v>1415</v>
      </c>
      <c r="G17" s="22">
        <f t="shared" ref="G17:G21" si="4">F17/215*25</f>
        <v>164.53488372093022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1052</v>
      </c>
      <c r="Q17" s="24"/>
      <c r="R17" s="24"/>
      <c r="S17" s="25"/>
      <c r="T17" s="24"/>
      <c r="U17" s="24"/>
      <c r="V17" s="24"/>
      <c r="W17" s="25">
        <v>1652</v>
      </c>
      <c r="X17" s="25"/>
      <c r="Y17" s="24">
        <v>186</v>
      </c>
      <c r="Z17" s="24"/>
      <c r="AA17" s="24">
        <v>148</v>
      </c>
      <c r="AB17" s="24">
        <v>396</v>
      </c>
      <c r="AC17" s="24">
        <v>46</v>
      </c>
      <c r="AD17" s="24"/>
      <c r="AE17" s="26">
        <f>Y17*2.43</f>
        <v>451.98</v>
      </c>
      <c r="AF17" s="24"/>
      <c r="AG17" s="27"/>
    </row>
    <row r="18" spans="1:41" s="28" customFormat="1" ht="26.25" customHeight="1" x14ac:dyDescent="0.25">
      <c r="A18" s="18">
        <v>45567</v>
      </c>
      <c r="B18" s="19"/>
      <c r="C18" s="20">
        <f t="shared" ref="C18:C19" si="5">B18/200*25</f>
        <v>0</v>
      </c>
      <c r="D18" s="19">
        <v>790</v>
      </c>
      <c r="E18" s="21">
        <f t="shared" si="1"/>
        <v>94.951923076923066</v>
      </c>
      <c r="F18" s="19">
        <v>2247</v>
      </c>
      <c r="G18" s="22">
        <f t="shared" si="4"/>
        <v>261.27906976744185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1183</v>
      </c>
      <c r="Q18" s="24"/>
      <c r="R18" s="24"/>
      <c r="S18" s="24"/>
      <c r="T18" s="24"/>
      <c r="U18" s="24"/>
      <c r="V18" s="24"/>
      <c r="W18" s="25">
        <v>1723</v>
      </c>
      <c r="X18" s="25"/>
      <c r="Y18" s="24">
        <v>200</v>
      </c>
      <c r="Z18" s="24"/>
      <c r="AA18" s="24">
        <v>333</v>
      </c>
      <c r="AB18" s="24">
        <v>368</v>
      </c>
      <c r="AC18" s="24"/>
      <c r="AD18" s="24"/>
      <c r="AE18" s="26">
        <f t="shared" si="2"/>
        <v>486.00000000000006</v>
      </c>
      <c r="AF18" s="24"/>
      <c r="AG18" s="27"/>
    </row>
    <row r="19" spans="1:41" s="28" customFormat="1" ht="26.25" customHeight="1" x14ac:dyDescent="0.25">
      <c r="A19" s="18">
        <v>45568</v>
      </c>
      <c r="B19" s="19"/>
      <c r="C19" s="20">
        <f t="shared" si="5"/>
        <v>0</v>
      </c>
      <c r="D19" s="19">
        <v>307</v>
      </c>
      <c r="E19" s="21">
        <f t="shared" si="1"/>
        <v>36.899038461538467</v>
      </c>
      <c r="F19" s="19">
        <v>2861</v>
      </c>
      <c r="G19" s="22">
        <f t="shared" si="4"/>
        <v>332.67441860465118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1352</v>
      </c>
      <c r="Q19" s="24"/>
      <c r="R19" s="24"/>
      <c r="S19" s="24"/>
      <c r="T19" s="24"/>
      <c r="U19" s="24"/>
      <c r="V19" s="12"/>
      <c r="W19" s="24">
        <v>1916</v>
      </c>
      <c r="X19" s="25"/>
      <c r="Y19" s="24">
        <v>212</v>
      </c>
      <c r="Z19" s="24"/>
      <c r="AA19" s="24">
        <v>347</v>
      </c>
      <c r="AB19" s="24">
        <v>460</v>
      </c>
      <c r="AC19" s="24"/>
      <c r="AD19" s="24"/>
      <c r="AE19" s="26">
        <f>Y19*2.43</f>
        <v>515.16000000000008</v>
      </c>
      <c r="AF19" s="24"/>
      <c r="AG19" s="27"/>
    </row>
    <row r="20" spans="1:41" s="28" customFormat="1" ht="26.25" customHeight="1" x14ac:dyDescent="0.25">
      <c r="A20" s="18">
        <v>45569</v>
      </c>
      <c r="B20" s="19"/>
      <c r="C20" s="20">
        <f>B20/200*25</f>
        <v>0</v>
      </c>
      <c r="D20" s="19">
        <v>74</v>
      </c>
      <c r="E20" s="21">
        <f>D20/208*25</f>
        <v>8.8942307692307701</v>
      </c>
      <c r="F20" s="19">
        <v>2801</v>
      </c>
      <c r="G20" s="22">
        <f t="shared" si="4"/>
        <v>325.69767441860466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1138</v>
      </c>
      <c r="Q20" s="24"/>
      <c r="R20" s="24"/>
      <c r="S20" s="24"/>
      <c r="T20" s="24"/>
      <c r="U20" s="24"/>
      <c r="V20" s="24"/>
      <c r="W20" s="25">
        <v>1612</v>
      </c>
      <c r="X20" s="25"/>
      <c r="Y20" s="24">
        <v>187</v>
      </c>
      <c r="Z20" s="24"/>
      <c r="AA20" s="24">
        <v>295</v>
      </c>
      <c r="AB20" s="24">
        <v>400</v>
      </c>
      <c r="AC20" s="24"/>
      <c r="AD20" s="24"/>
      <c r="AE20" s="26">
        <f>Y20*2.43</f>
        <v>454.41</v>
      </c>
      <c r="AF20" s="24"/>
      <c r="AG20" s="27"/>
    </row>
    <row r="21" spans="1:41" s="28" customFormat="1" ht="26.25" customHeight="1" x14ac:dyDescent="0.25">
      <c r="A21" s="18">
        <v>45570</v>
      </c>
      <c r="B21" s="19"/>
      <c r="C21" s="20">
        <f>B21/200*25</f>
        <v>0</v>
      </c>
      <c r="D21" s="19">
        <v>0</v>
      </c>
      <c r="E21" s="21">
        <f>D21/208*25</f>
        <v>0</v>
      </c>
      <c r="F21" s="19">
        <v>3648</v>
      </c>
      <c r="G21" s="22">
        <f t="shared" si="4"/>
        <v>424.18604651162786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1242</v>
      </c>
      <c r="Q21" s="24"/>
      <c r="R21" s="24"/>
      <c r="S21" s="25"/>
      <c r="T21" s="24"/>
      <c r="U21" s="24"/>
      <c r="V21" s="24"/>
      <c r="W21" s="25">
        <v>1810</v>
      </c>
      <c r="X21" s="25"/>
      <c r="Y21" s="24">
        <v>203</v>
      </c>
      <c r="Z21" s="24"/>
      <c r="AA21" s="24">
        <v>260</v>
      </c>
      <c r="AB21" s="24">
        <v>562</v>
      </c>
      <c r="AC21" s="24"/>
      <c r="AD21" s="24"/>
      <c r="AE21" s="26">
        <f t="shared" si="2"/>
        <v>493.29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4521</v>
      </c>
      <c r="E22" s="33">
        <f t="shared" si="7"/>
        <v>543.38942307692298</v>
      </c>
      <c r="F22" s="31">
        <f t="shared" si="7"/>
        <v>14062</v>
      </c>
      <c r="G22" s="33">
        <f t="shared" si="7"/>
        <v>1635.1162790697674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6883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10155</v>
      </c>
      <c r="X22" s="31"/>
      <c r="Y22" s="31">
        <f t="shared" ref="Y22:AG22" si="8">SUM(Y15:Y21)</f>
        <v>1142</v>
      </c>
      <c r="Z22" s="31">
        <f t="shared" si="8"/>
        <v>0</v>
      </c>
      <c r="AA22" s="31">
        <f t="shared" si="8"/>
        <v>1523</v>
      </c>
      <c r="AB22" s="31">
        <f t="shared" si="8"/>
        <v>2595</v>
      </c>
      <c r="AC22" s="31">
        <f t="shared" si="8"/>
        <v>73</v>
      </c>
      <c r="AD22" s="31">
        <f t="shared" si="8"/>
        <v>0</v>
      </c>
      <c r="AE22" s="33">
        <f t="shared" si="8"/>
        <v>2775.06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9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45571</v>
      </c>
      <c r="B15" s="19"/>
      <c r="C15" s="20">
        <f t="shared" ref="C15:C16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45572</v>
      </c>
      <c r="B16" s="19"/>
      <c r="C16" s="20">
        <f t="shared" si="0"/>
        <v>0</v>
      </c>
      <c r="D16" s="19"/>
      <c r="E16" s="21">
        <f>D16/208*25</f>
        <v>0</v>
      </c>
      <c r="F16" s="19">
        <v>3414</v>
      </c>
      <c r="G16" s="22">
        <f>F16/215*25</f>
        <v>396.97674418604652</v>
      </c>
      <c r="H16" s="19"/>
      <c r="I16" s="23">
        <f t="shared" ref="I16:I20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1340</v>
      </c>
      <c r="Q16" s="24"/>
      <c r="R16" s="24"/>
      <c r="S16" s="25"/>
      <c r="T16" s="24"/>
      <c r="U16" s="24"/>
      <c r="V16" s="24"/>
      <c r="W16" s="25">
        <v>1950</v>
      </c>
      <c r="X16" s="25"/>
      <c r="Y16" s="24">
        <v>209</v>
      </c>
      <c r="Z16" s="24"/>
      <c r="AA16" s="24">
        <v>534</v>
      </c>
      <c r="AB16" s="24">
        <v>297</v>
      </c>
      <c r="AC16" s="24"/>
      <c r="AD16" s="24"/>
      <c r="AE16" s="26">
        <f t="shared" si="2"/>
        <v>507.87000000000006</v>
      </c>
      <c r="AF16" s="24"/>
      <c r="AG16" s="27"/>
      <c r="AH16" s="29"/>
    </row>
    <row r="17" spans="1:41" s="28" customFormat="1" ht="26.25" customHeight="1" x14ac:dyDescent="0.25">
      <c r="A17" s="18">
        <v>45573</v>
      </c>
      <c r="B17" s="19"/>
      <c r="C17" s="20">
        <f>B17/200*25</f>
        <v>0</v>
      </c>
      <c r="D17" s="19"/>
      <c r="E17" s="21">
        <f t="shared" si="1"/>
        <v>0</v>
      </c>
      <c r="F17" s="19">
        <v>3367</v>
      </c>
      <c r="G17" s="22">
        <f t="shared" ref="G17:G21" si="4">F17/215*25</f>
        <v>391.51162790697674</v>
      </c>
      <c r="H17" s="19"/>
      <c r="I17" s="23">
        <f t="shared" si="3"/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3">
        <v>1211</v>
      </c>
      <c r="Q17" s="24"/>
      <c r="R17" s="24"/>
      <c r="S17" s="25"/>
      <c r="T17" s="24"/>
      <c r="U17" s="24"/>
      <c r="V17" s="24"/>
      <c r="W17" s="25">
        <v>1801</v>
      </c>
      <c r="X17" s="25"/>
      <c r="Y17" s="24">
        <v>212</v>
      </c>
      <c r="Z17" s="24"/>
      <c r="AA17" s="24">
        <v>686</v>
      </c>
      <c r="AB17" s="24">
        <v>79</v>
      </c>
      <c r="AC17" s="24"/>
      <c r="AD17" s="24"/>
      <c r="AE17" s="26">
        <f>Y17*2.43</f>
        <v>515.16000000000008</v>
      </c>
      <c r="AF17" s="24"/>
      <c r="AG17" s="27"/>
    </row>
    <row r="18" spans="1:41" s="28" customFormat="1" ht="26.25" customHeight="1" x14ac:dyDescent="0.25">
      <c r="A18" s="18">
        <v>45574</v>
      </c>
      <c r="B18" s="19"/>
      <c r="C18" s="20">
        <f t="shared" ref="C18:C19" si="5">B18/200*25</f>
        <v>0</v>
      </c>
      <c r="D18" s="19"/>
      <c r="E18" s="21">
        <f t="shared" si="1"/>
        <v>0</v>
      </c>
      <c r="F18" s="19">
        <v>3251</v>
      </c>
      <c r="G18" s="22">
        <f t="shared" si="4"/>
        <v>378.02325581395348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6">N18/38*25</f>
        <v>0</v>
      </c>
      <c r="P18" s="23">
        <v>1195</v>
      </c>
      <c r="Q18" s="24"/>
      <c r="R18" s="24"/>
      <c r="S18" s="24"/>
      <c r="T18" s="24"/>
      <c r="U18" s="24"/>
      <c r="V18" s="24"/>
      <c r="W18" s="25">
        <v>1779</v>
      </c>
      <c r="X18" s="25"/>
      <c r="Y18" s="24">
        <v>170</v>
      </c>
      <c r="Z18" s="24"/>
      <c r="AA18" s="24">
        <v>561</v>
      </c>
      <c r="AB18" s="24">
        <v>152</v>
      </c>
      <c r="AC18" s="24"/>
      <c r="AD18" s="24"/>
      <c r="AE18" s="26">
        <f t="shared" si="2"/>
        <v>413.1</v>
      </c>
      <c r="AF18" s="24"/>
      <c r="AG18" s="27"/>
    </row>
    <row r="19" spans="1:41" s="28" customFormat="1" ht="26.25" customHeight="1" x14ac:dyDescent="0.25">
      <c r="A19" s="18">
        <v>45575</v>
      </c>
      <c r="B19" s="19"/>
      <c r="C19" s="20">
        <f t="shared" si="5"/>
        <v>0</v>
      </c>
      <c r="D19" s="19"/>
      <c r="E19" s="21">
        <f t="shared" si="1"/>
        <v>0</v>
      </c>
      <c r="F19" s="19">
        <v>3302</v>
      </c>
      <c r="G19" s="22">
        <f t="shared" si="4"/>
        <v>383.95348837209303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1367</v>
      </c>
      <c r="Q19" s="24"/>
      <c r="R19" s="24"/>
      <c r="S19" s="24"/>
      <c r="T19" s="24"/>
      <c r="U19" s="24"/>
      <c r="V19" s="12"/>
      <c r="W19" s="24">
        <v>1978</v>
      </c>
      <c r="X19" s="25"/>
      <c r="Y19" s="24">
        <v>207</v>
      </c>
      <c r="Z19" s="24"/>
      <c r="AA19" s="24">
        <v>690</v>
      </c>
      <c r="AB19" s="24">
        <v>116</v>
      </c>
      <c r="AC19" s="24"/>
      <c r="AD19" s="24"/>
      <c r="AE19" s="26">
        <f>Y19*2.43</f>
        <v>503.01000000000005</v>
      </c>
      <c r="AF19" s="24"/>
      <c r="AG19" s="27"/>
    </row>
    <row r="20" spans="1:41" s="28" customFormat="1" ht="26.25" customHeight="1" x14ac:dyDescent="0.25">
      <c r="A20" s="18">
        <v>45576</v>
      </c>
      <c r="B20" s="19"/>
      <c r="C20" s="20">
        <f>B20/200*25</f>
        <v>0</v>
      </c>
      <c r="D20" s="19"/>
      <c r="E20" s="21">
        <f>D20/208*25</f>
        <v>0</v>
      </c>
      <c r="F20" s="19">
        <v>3589</v>
      </c>
      <c r="G20" s="22">
        <f t="shared" si="4"/>
        <v>417.32558139534888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6"/>
        <v>0</v>
      </c>
      <c r="P20" s="23">
        <v>1435</v>
      </c>
      <c r="Q20" s="24"/>
      <c r="R20" s="24"/>
      <c r="S20" s="24"/>
      <c r="T20" s="24"/>
      <c r="U20" s="24"/>
      <c r="V20" s="24"/>
      <c r="W20" s="25">
        <v>2047</v>
      </c>
      <c r="X20" s="25"/>
      <c r="Y20" s="24">
        <v>214</v>
      </c>
      <c r="Z20" s="24"/>
      <c r="AA20" s="24">
        <v>726</v>
      </c>
      <c r="AB20" s="24">
        <v>79</v>
      </c>
      <c r="AC20" s="24">
        <v>30</v>
      </c>
      <c r="AD20" s="24"/>
      <c r="AE20" s="26">
        <f>Y20*2.43</f>
        <v>520.02</v>
      </c>
      <c r="AF20" s="24"/>
      <c r="AG20" s="27">
        <v>2</v>
      </c>
    </row>
    <row r="21" spans="1:41" s="28" customFormat="1" ht="26.25" customHeight="1" x14ac:dyDescent="0.25">
      <c r="A21" s="18">
        <v>45577</v>
      </c>
      <c r="B21" s="19"/>
      <c r="C21" s="20">
        <f>B21/200*25</f>
        <v>0</v>
      </c>
      <c r="D21" s="19"/>
      <c r="E21" s="21">
        <f>D21/208*25</f>
        <v>0</v>
      </c>
      <c r="F21" s="19">
        <v>3003</v>
      </c>
      <c r="G21" s="22">
        <f t="shared" si="4"/>
        <v>349.18604651162792</v>
      </c>
      <c r="H21" s="19"/>
      <c r="I21" s="23"/>
      <c r="J21" s="19"/>
      <c r="K21" s="19"/>
      <c r="L21" s="19"/>
      <c r="M21" s="19"/>
      <c r="N21" s="19"/>
      <c r="O21" s="23">
        <f t="shared" si="6"/>
        <v>0</v>
      </c>
      <c r="P21" s="23">
        <v>1106</v>
      </c>
      <c r="Q21" s="24"/>
      <c r="R21" s="24"/>
      <c r="S21" s="25"/>
      <c r="T21" s="24"/>
      <c r="U21" s="24"/>
      <c r="V21" s="24"/>
      <c r="W21" s="25">
        <v>1708</v>
      </c>
      <c r="X21" s="25"/>
      <c r="Y21" s="24">
        <v>181</v>
      </c>
      <c r="Z21" s="24"/>
      <c r="AA21" s="24">
        <v>555</v>
      </c>
      <c r="AB21" s="24">
        <v>54</v>
      </c>
      <c r="AC21" s="24">
        <v>66</v>
      </c>
      <c r="AD21" s="24"/>
      <c r="AE21" s="26">
        <f t="shared" si="2"/>
        <v>439.83000000000004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7">SUM(B15:B21)</f>
        <v>0</v>
      </c>
      <c r="C22" s="32">
        <f t="shared" si="7"/>
        <v>0</v>
      </c>
      <c r="D22" s="31">
        <f t="shared" si="7"/>
        <v>0</v>
      </c>
      <c r="E22" s="33">
        <f t="shared" si="7"/>
        <v>0</v>
      </c>
      <c r="F22" s="31">
        <f t="shared" si="7"/>
        <v>19926</v>
      </c>
      <c r="G22" s="33">
        <f t="shared" si="7"/>
        <v>2316.9767441860463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7654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11263</v>
      </c>
      <c r="X22" s="31"/>
      <c r="Y22" s="31">
        <f t="shared" ref="Y22:AG22" si="8">SUM(Y15:Y21)</f>
        <v>1193</v>
      </c>
      <c r="Z22" s="31">
        <f t="shared" si="8"/>
        <v>0</v>
      </c>
      <c r="AA22" s="31">
        <f t="shared" si="8"/>
        <v>3752</v>
      </c>
      <c r="AB22" s="31">
        <f t="shared" si="8"/>
        <v>777</v>
      </c>
      <c r="AC22" s="31">
        <f t="shared" si="8"/>
        <v>96</v>
      </c>
      <c r="AD22" s="31">
        <f t="shared" si="8"/>
        <v>0</v>
      </c>
      <c r="AE22" s="33">
        <f t="shared" si="8"/>
        <v>2898.99</v>
      </c>
      <c r="AF22" s="33">
        <f t="shared" si="8"/>
        <v>0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45578</v>
      </c>
      <c r="B15" s="19"/>
      <c r="C15" s="20">
        <f t="shared" ref="C15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45579</v>
      </c>
      <c r="B16" s="19"/>
      <c r="C16" s="20">
        <f t="shared" ref="C16" si="3">B16/200*25</f>
        <v>0</v>
      </c>
      <c r="D16" s="19">
        <v>138</v>
      </c>
      <c r="E16" s="21">
        <f t="shared" ref="E16" si="4">D16/208*25</f>
        <v>16.58653846153846</v>
      </c>
      <c r="F16" s="19">
        <v>2811</v>
      </c>
      <c r="G16" s="22">
        <f>F16/215*25</f>
        <v>326.86046511627904</v>
      </c>
      <c r="H16" s="19"/>
      <c r="I16" s="23"/>
      <c r="J16" s="19"/>
      <c r="K16" s="19"/>
      <c r="L16" s="19"/>
      <c r="M16" s="19"/>
      <c r="N16" s="19"/>
      <c r="O16" s="23">
        <f>N16/38*25</f>
        <v>0</v>
      </c>
      <c r="P16" s="23">
        <v>1027</v>
      </c>
      <c r="Q16" s="24"/>
      <c r="R16" s="24"/>
      <c r="S16" s="24"/>
      <c r="T16" s="24"/>
      <c r="U16" s="24"/>
      <c r="V16" s="24"/>
      <c r="W16" s="25">
        <v>1580</v>
      </c>
      <c r="X16" s="25"/>
      <c r="Y16" s="24">
        <v>179</v>
      </c>
      <c r="Z16" s="24"/>
      <c r="AA16" s="24">
        <v>503</v>
      </c>
      <c r="AB16" s="24">
        <v>67</v>
      </c>
      <c r="AC16" s="24">
        <v>64</v>
      </c>
      <c r="AD16" s="24"/>
      <c r="AE16" s="26">
        <f t="shared" ref="AE16" si="5">Y16*2.43</f>
        <v>434.97</v>
      </c>
      <c r="AF16" s="24"/>
      <c r="AG16" s="27"/>
      <c r="AH16" s="29"/>
    </row>
    <row r="17" spans="1:41" s="28" customFormat="1" ht="26.25" customHeight="1" x14ac:dyDescent="0.25">
      <c r="A17" s="18">
        <v>45580</v>
      </c>
      <c r="B17" s="19"/>
      <c r="C17" s="20">
        <f t="shared" ref="C17" si="6">B17/200*25</f>
        <v>0</v>
      </c>
      <c r="D17" s="19">
        <v>0</v>
      </c>
      <c r="E17" s="21">
        <f>D17/208*25</f>
        <v>0</v>
      </c>
      <c r="F17" s="19">
        <v>3079</v>
      </c>
      <c r="G17" s="22">
        <f>F17/215*25</f>
        <v>358.02325581395348</v>
      </c>
      <c r="H17" s="19"/>
      <c r="I17" s="23">
        <f t="shared" ref="I17" si="7">H17/135*25</f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2">
        <v>1005</v>
      </c>
      <c r="Q17" s="24"/>
      <c r="R17" s="24"/>
      <c r="S17" s="25"/>
      <c r="T17" s="24"/>
      <c r="U17" s="24"/>
      <c r="V17" s="24"/>
      <c r="W17" s="25">
        <v>1589</v>
      </c>
      <c r="X17" s="25"/>
      <c r="Y17" s="24">
        <v>187</v>
      </c>
      <c r="Z17" s="24"/>
      <c r="AA17" s="24">
        <v>500</v>
      </c>
      <c r="AB17" s="24">
        <v>51</v>
      </c>
      <c r="AC17" s="24">
        <v>104</v>
      </c>
      <c r="AD17" s="24"/>
      <c r="AE17" s="26">
        <f t="shared" ref="AE17" si="8">Y17*2.43</f>
        <v>454.41</v>
      </c>
      <c r="AF17" s="24"/>
      <c r="AG17" s="27"/>
      <c r="AH17" s="29"/>
    </row>
    <row r="18" spans="1:41" s="28" customFormat="1" ht="26.25" customHeight="1" x14ac:dyDescent="0.25">
      <c r="A18" s="18">
        <v>45581</v>
      </c>
      <c r="B18" s="19"/>
      <c r="C18" s="20">
        <f t="shared" ref="C18:C19" si="9">B18/200*25</f>
        <v>0</v>
      </c>
      <c r="D18" s="19"/>
      <c r="E18" s="21">
        <f t="shared" si="1"/>
        <v>0</v>
      </c>
      <c r="F18" s="19">
        <v>3461</v>
      </c>
      <c r="G18" s="22">
        <f t="shared" ref="G18:G21" si="10">F18/215*25</f>
        <v>402.44186046511629</v>
      </c>
      <c r="H18" s="19"/>
      <c r="I18" s="23">
        <f t="shared" ref="I18:I20" si="11">H18/135*25</f>
        <v>0</v>
      </c>
      <c r="J18" s="19"/>
      <c r="K18" s="19"/>
      <c r="L18" s="19"/>
      <c r="M18" s="19"/>
      <c r="N18" s="19"/>
      <c r="O18" s="23">
        <f t="shared" ref="O18:O21" si="12">N18/38*25</f>
        <v>0</v>
      </c>
      <c r="P18" s="23">
        <v>1178</v>
      </c>
      <c r="Q18" s="24"/>
      <c r="R18" s="24"/>
      <c r="S18" s="24"/>
      <c r="T18" s="24"/>
      <c r="U18" s="24"/>
      <c r="V18" s="24"/>
      <c r="W18" s="25">
        <v>1782</v>
      </c>
      <c r="X18" s="25"/>
      <c r="Y18" s="24">
        <v>222</v>
      </c>
      <c r="Z18" s="24"/>
      <c r="AA18" s="24">
        <v>620</v>
      </c>
      <c r="AB18" s="24">
        <v>54</v>
      </c>
      <c r="AC18" s="24">
        <v>102</v>
      </c>
      <c r="AD18" s="24"/>
      <c r="AE18" s="26">
        <f t="shared" si="2"/>
        <v>539.46</v>
      </c>
      <c r="AF18" s="24"/>
      <c r="AG18" s="27"/>
    </row>
    <row r="19" spans="1:41" s="28" customFormat="1" ht="26.25" customHeight="1" x14ac:dyDescent="0.25">
      <c r="A19" s="18">
        <v>45582</v>
      </c>
      <c r="B19" s="19"/>
      <c r="C19" s="20">
        <f t="shared" si="9"/>
        <v>0</v>
      </c>
      <c r="D19" s="19"/>
      <c r="E19" s="21">
        <f t="shared" si="1"/>
        <v>0</v>
      </c>
      <c r="F19" s="19">
        <v>3209</v>
      </c>
      <c r="G19" s="22">
        <f t="shared" si="10"/>
        <v>373.13953488372096</v>
      </c>
      <c r="H19" s="19"/>
      <c r="I19" s="23">
        <f t="shared" si="11"/>
        <v>0</v>
      </c>
      <c r="J19" s="19"/>
      <c r="K19" s="19"/>
      <c r="L19" s="19"/>
      <c r="M19" s="19"/>
      <c r="N19" s="19"/>
      <c r="O19" s="23">
        <f t="shared" si="12"/>
        <v>0</v>
      </c>
      <c r="P19" s="23">
        <v>1102</v>
      </c>
      <c r="Q19" s="24"/>
      <c r="R19" s="24"/>
      <c r="S19" s="24"/>
      <c r="T19" s="24"/>
      <c r="U19" s="24"/>
      <c r="V19" s="12"/>
      <c r="W19" s="24">
        <v>1655</v>
      </c>
      <c r="X19" s="25"/>
      <c r="Y19" s="24">
        <v>215</v>
      </c>
      <c r="Z19" s="24"/>
      <c r="AA19" s="24">
        <v>547</v>
      </c>
      <c r="AB19" s="24">
        <v>36</v>
      </c>
      <c r="AC19" s="24">
        <v>68</v>
      </c>
      <c r="AD19" s="24"/>
      <c r="AE19" s="26">
        <f>Y19*2.43</f>
        <v>522.45000000000005</v>
      </c>
      <c r="AF19" s="24"/>
      <c r="AG19" s="27"/>
    </row>
    <row r="20" spans="1:41" s="28" customFormat="1" ht="26.25" customHeight="1" x14ac:dyDescent="0.25">
      <c r="A20" s="18">
        <v>45583</v>
      </c>
      <c r="B20" s="19"/>
      <c r="C20" s="20">
        <f>B20/200*25</f>
        <v>0</v>
      </c>
      <c r="D20" s="19"/>
      <c r="E20" s="21">
        <f>D20/208*25</f>
        <v>0</v>
      </c>
      <c r="F20" s="19">
        <v>3356</v>
      </c>
      <c r="G20" s="22">
        <f t="shared" si="10"/>
        <v>390.23255813953489</v>
      </c>
      <c r="H20" s="19"/>
      <c r="I20" s="23">
        <f t="shared" si="11"/>
        <v>0</v>
      </c>
      <c r="J20" s="19"/>
      <c r="K20" s="19"/>
      <c r="L20" s="19"/>
      <c r="M20" s="19"/>
      <c r="N20" s="19"/>
      <c r="O20" s="23">
        <f t="shared" si="12"/>
        <v>0</v>
      </c>
      <c r="P20" s="23">
        <v>1194.4000000000001</v>
      </c>
      <c r="Q20" s="24"/>
      <c r="R20" s="24"/>
      <c r="S20" s="24"/>
      <c r="T20" s="24"/>
      <c r="U20" s="24"/>
      <c r="V20" s="24"/>
      <c r="W20" s="25">
        <v>1785</v>
      </c>
      <c r="X20" s="25"/>
      <c r="Y20" s="24">
        <v>207</v>
      </c>
      <c r="Z20" s="24"/>
      <c r="AA20" s="24">
        <v>593</v>
      </c>
      <c r="AB20" s="24">
        <v>57</v>
      </c>
      <c r="AC20" s="24">
        <v>46</v>
      </c>
      <c r="AD20" s="24"/>
      <c r="AE20" s="26">
        <f>Y20*2.43</f>
        <v>503.01000000000005</v>
      </c>
      <c r="AF20" s="24"/>
      <c r="AG20" s="27"/>
    </row>
    <row r="21" spans="1:41" s="28" customFormat="1" ht="26.25" customHeight="1" x14ac:dyDescent="0.25">
      <c r="A21" s="18">
        <v>45584</v>
      </c>
      <c r="B21" s="19"/>
      <c r="C21" s="20">
        <f>B21/200*25</f>
        <v>0</v>
      </c>
      <c r="D21" s="19"/>
      <c r="E21" s="21">
        <f>D21/208*25</f>
        <v>0</v>
      </c>
      <c r="F21" s="19">
        <v>3074</v>
      </c>
      <c r="G21" s="22">
        <f t="shared" si="10"/>
        <v>357.44186046511629</v>
      </c>
      <c r="H21" s="19"/>
      <c r="I21" s="23"/>
      <c r="J21" s="19"/>
      <c r="K21" s="19"/>
      <c r="L21" s="19"/>
      <c r="M21" s="19"/>
      <c r="N21" s="19"/>
      <c r="O21" s="23">
        <f t="shared" si="12"/>
        <v>0</v>
      </c>
      <c r="P21" s="23">
        <v>1139</v>
      </c>
      <c r="Q21" s="24"/>
      <c r="R21" s="24"/>
      <c r="S21" s="25"/>
      <c r="T21" s="24"/>
      <c r="U21" s="24"/>
      <c r="V21" s="24"/>
      <c r="W21" s="25">
        <v>1665</v>
      </c>
      <c r="X21" s="25"/>
      <c r="Y21" s="24">
        <v>180</v>
      </c>
      <c r="Z21" s="24"/>
      <c r="AA21" s="24">
        <v>595</v>
      </c>
      <c r="AB21" s="24">
        <v>31</v>
      </c>
      <c r="AC21" s="24">
        <v>47</v>
      </c>
      <c r="AD21" s="24"/>
      <c r="AE21" s="26">
        <f t="shared" si="2"/>
        <v>437.40000000000003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13">SUM(B15:B21)</f>
        <v>0</v>
      </c>
      <c r="C22" s="32">
        <f t="shared" si="13"/>
        <v>0</v>
      </c>
      <c r="D22" s="31">
        <f t="shared" si="13"/>
        <v>138</v>
      </c>
      <c r="E22" s="33">
        <f t="shared" si="13"/>
        <v>16.58653846153846</v>
      </c>
      <c r="F22" s="31">
        <f t="shared" si="13"/>
        <v>18990</v>
      </c>
      <c r="G22" s="33">
        <f t="shared" si="13"/>
        <v>2208.1395348837209</v>
      </c>
      <c r="H22" s="31">
        <f t="shared" si="13"/>
        <v>0</v>
      </c>
      <c r="I22" s="33">
        <f t="shared" si="13"/>
        <v>0</v>
      </c>
      <c r="J22" s="31">
        <f t="shared" si="13"/>
        <v>0</v>
      </c>
      <c r="K22" s="31">
        <f t="shared" si="13"/>
        <v>0</v>
      </c>
      <c r="L22" s="31">
        <f t="shared" si="13"/>
        <v>0</v>
      </c>
      <c r="M22" s="31">
        <f t="shared" si="13"/>
        <v>0</v>
      </c>
      <c r="N22" s="31">
        <f t="shared" si="13"/>
        <v>0</v>
      </c>
      <c r="O22" s="33">
        <f t="shared" si="13"/>
        <v>0</v>
      </c>
      <c r="P22" s="33">
        <f t="shared" si="13"/>
        <v>6645.4</v>
      </c>
      <c r="Q22" s="31">
        <f t="shared" si="13"/>
        <v>0</v>
      </c>
      <c r="R22" s="31">
        <f t="shared" si="13"/>
        <v>0</v>
      </c>
      <c r="S22" s="31">
        <f t="shared" si="13"/>
        <v>0</v>
      </c>
      <c r="T22" s="31">
        <f t="shared" si="13"/>
        <v>0</v>
      </c>
      <c r="U22" s="31">
        <f t="shared" si="13"/>
        <v>0</v>
      </c>
      <c r="V22" s="31">
        <f t="shared" si="13"/>
        <v>0</v>
      </c>
      <c r="W22" s="31">
        <f t="shared" si="13"/>
        <v>10056</v>
      </c>
      <c r="X22" s="31"/>
      <c r="Y22" s="31">
        <f t="shared" ref="Y22:AG22" si="14">SUM(Y15:Y21)</f>
        <v>1190</v>
      </c>
      <c r="Z22" s="31">
        <f t="shared" si="14"/>
        <v>0</v>
      </c>
      <c r="AA22" s="31">
        <f t="shared" si="14"/>
        <v>3358</v>
      </c>
      <c r="AB22" s="31">
        <f t="shared" si="14"/>
        <v>296</v>
      </c>
      <c r="AC22" s="31">
        <f t="shared" si="14"/>
        <v>431</v>
      </c>
      <c r="AD22" s="31">
        <f t="shared" si="14"/>
        <v>0</v>
      </c>
      <c r="AE22" s="33">
        <f t="shared" si="14"/>
        <v>2891.7000000000003</v>
      </c>
      <c r="AF22" s="33">
        <f t="shared" si="14"/>
        <v>0</v>
      </c>
      <c r="AG22" s="33">
        <f t="shared" si="14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45585</v>
      </c>
      <c r="B15" s="19"/>
      <c r="C15" s="20">
        <f t="shared" ref="C15:C19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45586</v>
      </c>
      <c r="B16" s="19"/>
      <c r="C16" s="20">
        <f t="shared" si="0"/>
        <v>0</v>
      </c>
      <c r="D16" s="19">
        <v>44</v>
      </c>
      <c r="E16" s="21">
        <f t="shared" si="1"/>
        <v>5.2884615384615383</v>
      </c>
      <c r="F16" s="19">
        <v>3865</v>
      </c>
      <c r="G16" s="22">
        <f>F16/215*25</f>
        <v>449.41860465116281</v>
      </c>
      <c r="H16" s="19"/>
      <c r="I16" s="23"/>
      <c r="J16" s="19"/>
      <c r="K16" s="19"/>
      <c r="L16" s="19"/>
      <c r="M16" s="19"/>
      <c r="N16" s="19"/>
      <c r="O16" s="23">
        <f>N16/38*25</f>
        <v>0</v>
      </c>
      <c r="P16" s="23">
        <v>1195</v>
      </c>
      <c r="Q16" s="24"/>
      <c r="R16" s="24"/>
      <c r="S16" s="24"/>
      <c r="T16" s="24"/>
      <c r="U16" s="24"/>
      <c r="V16" s="24"/>
      <c r="W16" s="25">
        <v>1923</v>
      </c>
      <c r="X16" s="25"/>
      <c r="Y16" s="24">
        <v>205</v>
      </c>
      <c r="Z16" s="24"/>
      <c r="AA16" s="24">
        <v>604</v>
      </c>
      <c r="AB16" s="24">
        <v>67</v>
      </c>
      <c r="AC16" s="24">
        <v>70</v>
      </c>
      <c r="AD16" s="24"/>
      <c r="AE16" s="26">
        <f t="shared" si="2"/>
        <v>498.15000000000003</v>
      </c>
      <c r="AF16" s="24"/>
      <c r="AG16" s="27"/>
      <c r="AH16" s="29"/>
    </row>
    <row r="17" spans="1:41" s="28" customFormat="1" ht="26.25" customHeight="1" x14ac:dyDescent="0.25">
      <c r="A17" s="18">
        <v>45587</v>
      </c>
      <c r="B17" s="19"/>
      <c r="C17" s="20">
        <f t="shared" si="0"/>
        <v>0</v>
      </c>
      <c r="D17" s="19"/>
      <c r="E17" s="21">
        <f>D17/208*25</f>
        <v>0</v>
      </c>
      <c r="F17" s="19">
        <v>3949</v>
      </c>
      <c r="G17" s="22">
        <f>F17/215*25</f>
        <v>459.18604651162792</v>
      </c>
      <c r="H17" s="19"/>
      <c r="I17" s="23">
        <f t="shared" ref="I17:I20" si="3">H17/135*25</f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2">
        <v>1368</v>
      </c>
      <c r="Q17" s="24"/>
      <c r="R17" s="24"/>
      <c r="S17" s="25"/>
      <c r="T17" s="24"/>
      <c r="U17" s="24"/>
      <c r="V17" s="24"/>
      <c r="W17" s="25">
        <v>2065</v>
      </c>
      <c r="X17" s="25"/>
      <c r="Y17" s="24">
        <v>225</v>
      </c>
      <c r="Z17" s="24"/>
      <c r="AA17" s="24">
        <v>729</v>
      </c>
      <c r="AB17" s="24">
        <v>53</v>
      </c>
      <c r="AC17" s="24">
        <v>86</v>
      </c>
      <c r="AD17" s="24"/>
      <c r="AE17" s="26">
        <f t="shared" si="2"/>
        <v>546.75</v>
      </c>
      <c r="AF17" s="24"/>
      <c r="AG17" s="27"/>
      <c r="AH17" s="29"/>
    </row>
    <row r="18" spans="1:41" s="28" customFormat="1" ht="26.25" customHeight="1" x14ac:dyDescent="0.25">
      <c r="A18" s="18">
        <v>45588</v>
      </c>
      <c r="B18" s="19"/>
      <c r="C18" s="20">
        <f t="shared" si="0"/>
        <v>0</v>
      </c>
      <c r="D18" s="19">
        <v>321</v>
      </c>
      <c r="E18" s="21">
        <f t="shared" si="1"/>
        <v>38.581730769230774</v>
      </c>
      <c r="F18" s="19">
        <v>3870</v>
      </c>
      <c r="G18" s="22">
        <f t="shared" ref="G18:G21" si="4">F18/215*25</f>
        <v>450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5">N18/38*25</f>
        <v>0</v>
      </c>
      <c r="P18" s="23">
        <v>1238</v>
      </c>
      <c r="Q18" s="24"/>
      <c r="R18" s="24"/>
      <c r="S18" s="24"/>
      <c r="T18" s="24"/>
      <c r="U18" s="24"/>
      <c r="V18" s="24"/>
      <c r="W18" s="25">
        <v>1993</v>
      </c>
      <c r="X18" s="25"/>
      <c r="Y18" s="24">
        <v>217</v>
      </c>
      <c r="Z18" s="24"/>
      <c r="AA18" s="24">
        <v>673</v>
      </c>
      <c r="AB18" s="24">
        <v>63</v>
      </c>
      <c r="AC18" s="24">
        <v>96</v>
      </c>
      <c r="AD18" s="24"/>
      <c r="AE18" s="26">
        <f t="shared" si="2"/>
        <v>527.31000000000006</v>
      </c>
      <c r="AF18" s="24"/>
      <c r="AG18" s="27"/>
    </row>
    <row r="19" spans="1:41" s="28" customFormat="1" ht="26.25" customHeight="1" x14ac:dyDescent="0.25">
      <c r="A19" s="18">
        <v>45589</v>
      </c>
      <c r="B19" s="19"/>
      <c r="C19" s="20">
        <f t="shared" si="0"/>
        <v>0</v>
      </c>
      <c r="D19" s="19">
        <v>1223</v>
      </c>
      <c r="E19" s="21">
        <f t="shared" si="1"/>
        <v>146.99519230769232</v>
      </c>
      <c r="F19" s="19">
        <v>1978</v>
      </c>
      <c r="G19" s="22">
        <f t="shared" si="4"/>
        <v>229.99999999999997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1371</v>
      </c>
      <c r="Q19" s="24"/>
      <c r="R19" s="24"/>
      <c r="S19" s="24"/>
      <c r="T19" s="24"/>
      <c r="U19" s="24"/>
      <c r="V19" s="12"/>
      <c r="W19" s="24">
        <v>1922</v>
      </c>
      <c r="X19" s="25"/>
      <c r="Y19" s="24">
        <v>203</v>
      </c>
      <c r="Z19" s="24"/>
      <c r="AA19" s="24">
        <v>707</v>
      </c>
      <c r="AB19" s="24">
        <v>29</v>
      </c>
      <c r="AC19" s="24">
        <v>67</v>
      </c>
      <c r="AD19" s="24"/>
      <c r="AE19" s="26">
        <f>Y19*2.43</f>
        <v>493.29</v>
      </c>
      <c r="AF19" s="24"/>
      <c r="AG19" s="27"/>
    </row>
    <row r="20" spans="1:41" s="28" customFormat="1" ht="26.25" customHeight="1" x14ac:dyDescent="0.25">
      <c r="A20" s="18">
        <v>45590</v>
      </c>
      <c r="B20" s="19"/>
      <c r="C20" s="20">
        <f>B20/200*25</f>
        <v>0</v>
      </c>
      <c r="D20" s="19">
        <v>1953</v>
      </c>
      <c r="E20" s="21">
        <f>D20/208*25</f>
        <v>234.73557692307691</v>
      </c>
      <c r="F20" s="19">
        <v>2610</v>
      </c>
      <c r="G20" s="22">
        <f t="shared" si="4"/>
        <v>303.48837209302326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5"/>
        <v>0</v>
      </c>
      <c r="P20" s="23">
        <v>1538.6</v>
      </c>
      <c r="Q20" s="24"/>
      <c r="R20" s="24"/>
      <c r="S20" s="24"/>
      <c r="T20" s="24"/>
      <c r="U20" s="24"/>
      <c r="V20" s="24"/>
      <c r="W20" s="25">
        <v>2374</v>
      </c>
      <c r="X20" s="25"/>
      <c r="Y20" s="24">
        <v>265</v>
      </c>
      <c r="Z20" s="24"/>
      <c r="AA20" s="24">
        <v>870</v>
      </c>
      <c r="AB20" s="24"/>
      <c r="AC20" s="24">
        <v>113</v>
      </c>
      <c r="AD20" s="24"/>
      <c r="AE20" s="26">
        <f>Y20*2.43</f>
        <v>643.95000000000005</v>
      </c>
      <c r="AF20" s="24"/>
      <c r="AG20" s="27">
        <v>2</v>
      </c>
    </row>
    <row r="21" spans="1:41" s="28" customFormat="1" ht="26.25" customHeight="1" x14ac:dyDescent="0.25">
      <c r="A21" s="18">
        <v>45591</v>
      </c>
      <c r="B21" s="19"/>
      <c r="C21" s="20">
        <f>B21/200*25</f>
        <v>0</v>
      </c>
      <c r="D21" s="19">
        <v>1117</v>
      </c>
      <c r="E21" s="21">
        <f>D21/208*25</f>
        <v>134.25480769230768</v>
      </c>
      <c r="F21" s="19">
        <v>1733</v>
      </c>
      <c r="G21" s="22">
        <f t="shared" si="4"/>
        <v>201.51162790697677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1059</v>
      </c>
      <c r="Q21" s="24"/>
      <c r="R21" s="24"/>
      <c r="S21" s="25"/>
      <c r="T21" s="24"/>
      <c r="U21" s="24"/>
      <c r="V21" s="24"/>
      <c r="W21" s="25">
        <v>1557</v>
      </c>
      <c r="X21" s="25"/>
      <c r="Y21" s="24">
        <v>176</v>
      </c>
      <c r="Z21" s="24"/>
      <c r="AA21" s="24">
        <v>578</v>
      </c>
      <c r="AB21" s="24"/>
      <c r="AC21" s="24">
        <v>86</v>
      </c>
      <c r="AD21" s="24"/>
      <c r="AE21" s="26">
        <f t="shared" si="2"/>
        <v>427.68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W22" si="6">SUM(B15:B21)</f>
        <v>0</v>
      </c>
      <c r="C22" s="32">
        <f t="shared" si="6"/>
        <v>0</v>
      </c>
      <c r="D22" s="31">
        <f t="shared" si="6"/>
        <v>4658</v>
      </c>
      <c r="E22" s="33">
        <f t="shared" si="6"/>
        <v>559.85576923076928</v>
      </c>
      <c r="F22" s="31">
        <f t="shared" si="6"/>
        <v>18005</v>
      </c>
      <c r="G22" s="33">
        <f t="shared" si="6"/>
        <v>2093.6046511627906</v>
      </c>
      <c r="H22" s="31">
        <f t="shared" si="6"/>
        <v>0</v>
      </c>
      <c r="I22" s="33">
        <f t="shared" si="6"/>
        <v>0</v>
      </c>
      <c r="J22" s="31">
        <f t="shared" si="6"/>
        <v>0</v>
      </c>
      <c r="K22" s="31">
        <f t="shared" si="6"/>
        <v>0</v>
      </c>
      <c r="L22" s="31">
        <f t="shared" si="6"/>
        <v>0</v>
      </c>
      <c r="M22" s="31">
        <f t="shared" si="6"/>
        <v>0</v>
      </c>
      <c r="N22" s="31">
        <f t="shared" si="6"/>
        <v>0</v>
      </c>
      <c r="O22" s="33">
        <f t="shared" si="6"/>
        <v>0</v>
      </c>
      <c r="P22" s="33">
        <f t="shared" si="6"/>
        <v>7769.6</v>
      </c>
      <c r="Q22" s="31">
        <f t="shared" si="6"/>
        <v>0</v>
      </c>
      <c r="R22" s="31">
        <f t="shared" si="6"/>
        <v>0</v>
      </c>
      <c r="S22" s="31">
        <f t="shared" si="6"/>
        <v>0</v>
      </c>
      <c r="T22" s="31">
        <f t="shared" si="6"/>
        <v>0</v>
      </c>
      <c r="U22" s="31">
        <f t="shared" si="6"/>
        <v>0</v>
      </c>
      <c r="V22" s="31">
        <f t="shared" si="6"/>
        <v>0</v>
      </c>
      <c r="W22" s="31">
        <f t="shared" si="6"/>
        <v>11834</v>
      </c>
      <c r="X22" s="31"/>
      <c r="Y22" s="31">
        <f t="shared" ref="Y22:AG22" si="7">SUM(Y15:Y21)</f>
        <v>1291</v>
      </c>
      <c r="Z22" s="31">
        <f t="shared" si="7"/>
        <v>0</v>
      </c>
      <c r="AA22" s="31">
        <f t="shared" si="7"/>
        <v>4161</v>
      </c>
      <c r="AB22" s="31">
        <f t="shared" si="7"/>
        <v>212</v>
      </c>
      <c r="AC22" s="31">
        <f t="shared" si="7"/>
        <v>518</v>
      </c>
      <c r="AD22" s="31">
        <f t="shared" si="7"/>
        <v>0</v>
      </c>
      <c r="AE22" s="33">
        <f t="shared" si="7"/>
        <v>3137.1299999999997</v>
      </c>
      <c r="AF22" s="33">
        <f t="shared" si="7"/>
        <v>0</v>
      </c>
      <c r="AG22" s="33">
        <f t="shared" si="7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20" sqref="A20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45592</v>
      </c>
      <c r="B15" s="19"/>
      <c r="C15" s="20">
        <f t="shared" ref="C15:C19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45593</v>
      </c>
      <c r="B16" s="19"/>
      <c r="C16" s="20">
        <f t="shared" si="0"/>
        <v>0</v>
      </c>
      <c r="D16" s="19">
        <v>1693</v>
      </c>
      <c r="E16" s="21">
        <f t="shared" si="1"/>
        <v>203.48557692307691</v>
      </c>
      <c r="F16" s="19">
        <v>2194</v>
      </c>
      <c r="G16" s="22">
        <f>F16/215*25</f>
        <v>255.11627906976747</v>
      </c>
      <c r="H16" s="19"/>
      <c r="I16" s="23"/>
      <c r="J16" s="19"/>
      <c r="K16" s="19"/>
      <c r="L16" s="19"/>
      <c r="M16" s="19"/>
      <c r="N16" s="19"/>
      <c r="O16" s="23">
        <f>N16/38*25</f>
        <v>0</v>
      </c>
      <c r="P16" s="23">
        <v>1511</v>
      </c>
      <c r="Q16" s="24"/>
      <c r="R16" s="24"/>
      <c r="S16" s="24"/>
      <c r="T16" s="24"/>
      <c r="U16" s="24"/>
      <c r="V16" s="24"/>
      <c r="W16" s="25">
        <v>2265</v>
      </c>
      <c r="X16" s="25"/>
      <c r="Y16" s="24">
        <v>222</v>
      </c>
      <c r="Z16" s="24"/>
      <c r="AA16" s="24">
        <v>856</v>
      </c>
      <c r="AB16" s="24"/>
      <c r="AC16" s="24">
        <v>56</v>
      </c>
      <c r="AD16" s="24"/>
      <c r="AE16" s="26">
        <f t="shared" si="2"/>
        <v>539.46</v>
      </c>
      <c r="AF16" s="24"/>
      <c r="AG16" s="27"/>
      <c r="AH16" s="29"/>
    </row>
    <row r="17" spans="1:41" s="28" customFormat="1" ht="26.25" customHeight="1" x14ac:dyDescent="0.25">
      <c r="A17" s="18">
        <v>45594</v>
      </c>
      <c r="B17" s="19"/>
      <c r="C17" s="20">
        <f t="shared" si="0"/>
        <v>0</v>
      </c>
      <c r="D17" s="19">
        <v>1841</v>
      </c>
      <c r="E17" s="21">
        <f>D17/208*25</f>
        <v>221.27403846153845</v>
      </c>
      <c r="F17" s="19">
        <v>2235</v>
      </c>
      <c r="G17" s="22">
        <f>F17/215*25</f>
        <v>259.88372093023258</v>
      </c>
      <c r="H17" s="19"/>
      <c r="I17" s="23">
        <f t="shared" ref="I17:I20" si="3">H17/135*25</f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2">
        <v>1433</v>
      </c>
      <c r="Q17" s="24"/>
      <c r="R17" s="24"/>
      <c r="S17" s="25"/>
      <c r="T17" s="24"/>
      <c r="U17" s="24"/>
      <c r="V17" s="24"/>
      <c r="W17" s="25">
        <v>2168</v>
      </c>
      <c r="X17" s="25"/>
      <c r="Y17" s="24">
        <v>232</v>
      </c>
      <c r="Z17" s="24"/>
      <c r="AA17" s="24">
        <v>837</v>
      </c>
      <c r="AB17" s="24"/>
      <c r="AC17" s="24">
        <v>81</v>
      </c>
      <c r="AD17" s="24"/>
      <c r="AE17" s="26">
        <f t="shared" si="2"/>
        <v>563.76</v>
      </c>
      <c r="AF17" s="24"/>
      <c r="AG17" s="27">
        <v>2</v>
      </c>
      <c r="AH17" s="29"/>
    </row>
    <row r="18" spans="1:41" s="28" customFormat="1" ht="26.25" customHeight="1" x14ac:dyDescent="0.25">
      <c r="A18" s="18">
        <v>45595</v>
      </c>
      <c r="B18" s="19"/>
      <c r="C18" s="20">
        <f t="shared" si="0"/>
        <v>0</v>
      </c>
      <c r="D18" s="19">
        <v>1923</v>
      </c>
      <c r="E18" s="21">
        <f t="shared" si="1"/>
        <v>231.12980769230771</v>
      </c>
      <c r="F18" s="19">
        <v>1729</v>
      </c>
      <c r="G18" s="22">
        <f t="shared" ref="G18:G21" si="4">F18/215*25</f>
        <v>201.04651162790699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5">N18/38*25</f>
        <v>0</v>
      </c>
      <c r="P18" s="23">
        <v>1228</v>
      </c>
      <c r="Q18" s="24"/>
      <c r="R18" s="24"/>
      <c r="S18" s="24"/>
      <c r="T18" s="24"/>
      <c r="U18" s="24"/>
      <c r="V18" s="24">
        <v>55</v>
      </c>
      <c r="W18" s="25">
        <v>1811</v>
      </c>
      <c r="X18" s="25"/>
      <c r="Y18" s="24">
        <v>214</v>
      </c>
      <c r="Z18" s="24"/>
      <c r="AA18" s="24">
        <v>514</v>
      </c>
      <c r="AB18" s="24">
        <v>173</v>
      </c>
      <c r="AC18" s="24">
        <v>65</v>
      </c>
      <c r="AD18" s="24"/>
      <c r="AE18" s="26">
        <f t="shared" si="2"/>
        <v>520.02</v>
      </c>
      <c r="AF18" s="24"/>
      <c r="AG18" s="27"/>
    </row>
    <row r="19" spans="1:41" s="28" customFormat="1" ht="26.25" customHeight="1" x14ac:dyDescent="0.25">
      <c r="A19" s="18">
        <v>45596</v>
      </c>
      <c r="B19" s="19"/>
      <c r="C19" s="20">
        <f t="shared" si="0"/>
        <v>0</v>
      </c>
      <c r="D19" s="19">
        <v>992</v>
      </c>
      <c r="E19" s="21">
        <f t="shared" si="1"/>
        <v>119.23076923076923</v>
      </c>
      <c r="F19" s="19">
        <v>1178</v>
      </c>
      <c r="G19" s="22">
        <f t="shared" si="4"/>
        <v>136.97674418604652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769</v>
      </c>
      <c r="Q19" s="24"/>
      <c r="R19" s="24"/>
      <c r="S19" s="24"/>
      <c r="T19" s="24"/>
      <c r="U19" s="24"/>
      <c r="V19" s="12">
        <v>52</v>
      </c>
      <c r="W19" s="24">
        <v>1106</v>
      </c>
      <c r="X19" s="25"/>
      <c r="Y19" s="24">
        <v>131</v>
      </c>
      <c r="Z19" s="24"/>
      <c r="AA19" s="24">
        <v>290</v>
      </c>
      <c r="AB19" s="24">
        <v>131</v>
      </c>
      <c r="AC19" s="24">
        <v>45</v>
      </c>
      <c r="AD19" s="24"/>
      <c r="AE19" s="26">
        <f>Y19*2.43</f>
        <v>318.33000000000004</v>
      </c>
      <c r="AF19" s="24"/>
      <c r="AG19" s="27"/>
    </row>
    <row r="20" spans="1:41" s="28" customFormat="1" ht="26.25" customHeight="1" x14ac:dyDescent="0.25">
      <c r="A20" s="18">
        <v>45597</v>
      </c>
      <c r="B20" s="19"/>
      <c r="C20" s="20">
        <f>B20/200*25</f>
        <v>0</v>
      </c>
      <c r="D20" s="19">
        <v>41</v>
      </c>
      <c r="E20" s="21">
        <f>D20/208*25</f>
        <v>4.927884615384615</v>
      </c>
      <c r="F20" s="19">
        <v>102</v>
      </c>
      <c r="G20" s="22">
        <f t="shared" si="4"/>
        <v>11.86046511627907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5"/>
        <v>0</v>
      </c>
      <c r="P20" s="23">
        <v>57</v>
      </c>
      <c r="Q20" s="24"/>
      <c r="R20" s="24"/>
      <c r="S20" s="24"/>
      <c r="T20" s="24"/>
      <c r="U20" s="24"/>
      <c r="V20" s="24"/>
      <c r="W20" s="25">
        <v>78</v>
      </c>
      <c r="X20" s="25"/>
      <c r="Y20" s="24">
        <v>11</v>
      </c>
      <c r="Z20" s="24"/>
      <c r="AA20" s="24">
        <v>26</v>
      </c>
      <c r="AB20" s="24"/>
      <c r="AC20" s="24"/>
      <c r="AD20" s="24"/>
      <c r="AE20" s="26">
        <f>Y20*2.43</f>
        <v>26.73</v>
      </c>
      <c r="AF20" s="24"/>
      <c r="AG20" s="27"/>
    </row>
    <row r="21" spans="1:41" s="28" customFormat="1" ht="26.25" customHeight="1" x14ac:dyDescent="0.25">
      <c r="A21" s="18">
        <v>45598</v>
      </c>
      <c r="B21" s="19"/>
      <c r="C21" s="20">
        <f>B21/200*25</f>
        <v>0</v>
      </c>
      <c r="D21" s="19"/>
      <c r="E21" s="21">
        <f>D21/208*25</f>
        <v>0</v>
      </c>
      <c r="F21" s="19"/>
      <c r="G21" s="22">
        <f t="shared" si="4"/>
        <v>0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/>
      <c r="Q21" s="24"/>
      <c r="R21" s="24"/>
      <c r="S21" s="25"/>
      <c r="T21" s="24"/>
      <c r="U21" s="24"/>
      <c r="V21" s="24"/>
      <c r="W21" s="25"/>
      <c r="X21" s="25"/>
      <c r="Y21" s="24"/>
      <c r="Z21" s="24"/>
      <c r="AA21" s="24"/>
      <c r="AB21" s="24"/>
      <c r="AC21" s="24"/>
      <c r="AD21" s="24"/>
      <c r="AE21" s="26">
        <f t="shared" si="2"/>
        <v>0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X22" si="6">SUM(B15:B21)</f>
        <v>0</v>
      </c>
      <c r="C22" s="32">
        <f t="shared" si="6"/>
        <v>0</v>
      </c>
      <c r="D22" s="31">
        <f t="shared" si="6"/>
        <v>6490</v>
      </c>
      <c r="E22" s="33">
        <f t="shared" si="6"/>
        <v>780.04807692307702</v>
      </c>
      <c r="F22" s="31">
        <f t="shared" si="6"/>
        <v>7438</v>
      </c>
      <c r="G22" s="33">
        <f t="shared" si="6"/>
        <v>864.88372093023258</v>
      </c>
      <c r="H22" s="31">
        <f t="shared" si="6"/>
        <v>0</v>
      </c>
      <c r="I22" s="33">
        <f t="shared" si="6"/>
        <v>0</v>
      </c>
      <c r="J22" s="31">
        <f t="shared" si="6"/>
        <v>0</v>
      </c>
      <c r="K22" s="31">
        <f t="shared" si="6"/>
        <v>0</v>
      </c>
      <c r="L22" s="31">
        <f t="shared" si="6"/>
        <v>0</v>
      </c>
      <c r="M22" s="31">
        <f t="shared" si="6"/>
        <v>0</v>
      </c>
      <c r="N22" s="31">
        <f t="shared" si="6"/>
        <v>0</v>
      </c>
      <c r="O22" s="33">
        <f t="shared" si="6"/>
        <v>0</v>
      </c>
      <c r="P22" s="33">
        <f t="shared" si="6"/>
        <v>4998</v>
      </c>
      <c r="Q22" s="31">
        <f t="shared" si="6"/>
        <v>0</v>
      </c>
      <c r="R22" s="31">
        <f t="shared" si="6"/>
        <v>0</v>
      </c>
      <c r="S22" s="31">
        <f t="shared" si="6"/>
        <v>0</v>
      </c>
      <c r="T22" s="31">
        <f t="shared" si="6"/>
        <v>0</v>
      </c>
      <c r="U22" s="31">
        <f t="shared" si="6"/>
        <v>0</v>
      </c>
      <c r="V22" s="31">
        <f t="shared" si="6"/>
        <v>107</v>
      </c>
      <c r="W22" s="31">
        <f t="shared" si="6"/>
        <v>7428</v>
      </c>
      <c r="X22" s="31">
        <f t="shared" si="6"/>
        <v>0</v>
      </c>
      <c r="Y22" s="31">
        <f t="shared" ref="Y22:AG22" si="7">SUM(Y15:Y21)</f>
        <v>810</v>
      </c>
      <c r="Z22" s="31">
        <f t="shared" si="7"/>
        <v>0</v>
      </c>
      <c r="AA22" s="31">
        <f t="shared" si="7"/>
        <v>2523</v>
      </c>
      <c r="AB22" s="31">
        <f t="shared" si="7"/>
        <v>304</v>
      </c>
      <c r="AC22" s="31">
        <f t="shared" si="7"/>
        <v>247</v>
      </c>
      <c r="AD22" s="31">
        <f t="shared" si="7"/>
        <v>0</v>
      </c>
      <c r="AE22" s="33">
        <f t="shared" si="7"/>
        <v>1968.3000000000002</v>
      </c>
      <c r="AF22" s="33">
        <f t="shared" si="7"/>
        <v>0</v>
      </c>
      <c r="AG22" s="33">
        <f t="shared" si="7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45599</v>
      </c>
      <c r="B15" s="19"/>
      <c r="C15" s="20">
        <f t="shared" ref="C15:C19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45600</v>
      </c>
      <c r="B16" s="19"/>
      <c r="C16" s="20">
        <f t="shared" si="0"/>
        <v>0</v>
      </c>
      <c r="D16" s="19">
        <v>1584</v>
      </c>
      <c r="E16" s="21">
        <f t="shared" si="1"/>
        <v>190.38461538461539</v>
      </c>
      <c r="F16" s="19">
        <v>1526</v>
      </c>
      <c r="G16" s="22">
        <f>F16/215*25</f>
        <v>177.44186046511626</v>
      </c>
      <c r="H16" s="19"/>
      <c r="I16" s="23"/>
      <c r="J16" s="19"/>
      <c r="K16" s="19"/>
      <c r="L16" s="19"/>
      <c r="M16" s="19"/>
      <c r="N16" s="19"/>
      <c r="O16" s="23">
        <f>N16/38*25</f>
        <v>0</v>
      </c>
      <c r="P16" s="23">
        <v>1022</v>
      </c>
      <c r="Q16" s="24"/>
      <c r="R16" s="24"/>
      <c r="S16" s="24"/>
      <c r="T16" s="24"/>
      <c r="U16" s="24"/>
      <c r="V16" s="24">
        <v>24</v>
      </c>
      <c r="W16" s="25">
        <v>1575</v>
      </c>
      <c r="X16" s="25"/>
      <c r="Y16" s="24">
        <v>190</v>
      </c>
      <c r="Z16" s="24"/>
      <c r="AA16" s="24">
        <v>422</v>
      </c>
      <c r="AB16" s="24">
        <v>159</v>
      </c>
      <c r="AC16" s="24">
        <v>63</v>
      </c>
      <c r="AD16" s="24"/>
      <c r="AE16" s="26">
        <f t="shared" si="2"/>
        <v>461.70000000000005</v>
      </c>
      <c r="AF16" s="24"/>
      <c r="AG16" s="27"/>
      <c r="AH16" s="29"/>
    </row>
    <row r="17" spans="1:41" s="28" customFormat="1" ht="26.25" customHeight="1" x14ac:dyDescent="0.25">
      <c r="A17" s="18">
        <v>45601</v>
      </c>
      <c r="B17" s="19"/>
      <c r="C17" s="20">
        <f t="shared" si="0"/>
        <v>0</v>
      </c>
      <c r="D17" s="19">
        <v>1480</v>
      </c>
      <c r="E17" s="21">
        <f>D17/208*25</f>
        <v>177.88461538461539</v>
      </c>
      <c r="F17" s="19">
        <v>1622</v>
      </c>
      <c r="G17" s="22">
        <f>F17/215*25</f>
        <v>188.6046511627907</v>
      </c>
      <c r="H17" s="19"/>
      <c r="I17" s="23">
        <f t="shared" ref="I17:I20" si="3">H17/135*25</f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2">
        <v>1246</v>
      </c>
      <c r="Q17" s="24"/>
      <c r="R17" s="24"/>
      <c r="S17" s="25"/>
      <c r="T17" s="24"/>
      <c r="U17" s="24"/>
      <c r="V17" s="24">
        <v>82</v>
      </c>
      <c r="W17" s="25">
        <v>1749</v>
      </c>
      <c r="X17" s="25"/>
      <c r="Y17" s="24">
        <v>190</v>
      </c>
      <c r="Z17" s="24"/>
      <c r="AA17" s="24">
        <v>508</v>
      </c>
      <c r="AB17" s="24">
        <v>145</v>
      </c>
      <c r="AC17" s="24">
        <v>61</v>
      </c>
      <c r="AD17" s="24"/>
      <c r="AE17" s="26">
        <f t="shared" si="2"/>
        <v>461.70000000000005</v>
      </c>
      <c r="AF17" s="24"/>
      <c r="AG17" s="27"/>
      <c r="AH17" s="29"/>
    </row>
    <row r="18" spans="1:41" s="28" customFormat="1" ht="26.25" customHeight="1" x14ac:dyDescent="0.25">
      <c r="A18" s="18">
        <v>45602</v>
      </c>
      <c r="B18" s="19"/>
      <c r="C18" s="20">
        <f t="shared" si="0"/>
        <v>0</v>
      </c>
      <c r="D18" s="19">
        <v>1688</v>
      </c>
      <c r="E18" s="21">
        <f t="shared" si="1"/>
        <v>202.88461538461539</v>
      </c>
      <c r="F18" s="19">
        <v>1652</v>
      </c>
      <c r="G18" s="22">
        <f t="shared" ref="G18:G21" si="4">F18/215*25</f>
        <v>192.09302325581393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1" si="5">N18/38*25</f>
        <v>0</v>
      </c>
      <c r="P18" s="23">
        <v>1269</v>
      </c>
      <c r="Q18" s="24"/>
      <c r="R18" s="24"/>
      <c r="S18" s="24"/>
      <c r="T18" s="24"/>
      <c r="U18" s="24"/>
      <c r="V18" s="24">
        <v>115</v>
      </c>
      <c r="W18" s="25">
        <v>1768</v>
      </c>
      <c r="X18" s="25"/>
      <c r="Y18" s="24">
        <v>196</v>
      </c>
      <c r="Z18" s="24"/>
      <c r="AA18" s="24">
        <v>550</v>
      </c>
      <c r="AB18" s="24">
        <v>142</v>
      </c>
      <c r="AC18" s="24">
        <v>54</v>
      </c>
      <c r="AD18" s="24"/>
      <c r="AE18" s="26">
        <f t="shared" si="2"/>
        <v>476.28000000000003</v>
      </c>
      <c r="AF18" s="24"/>
      <c r="AG18" s="27">
        <v>1</v>
      </c>
    </row>
    <row r="19" spans="1:41" s="28" customFormat="1" ht="26.25" customHeight="1" x14ac:dyDescent="0.25">
      <c r="A19" s="18">
        <v>45603</v>
      </c>
      <c r="B19" s="19"/>
      <c r="C19" s="20">
        <f t="shared" si="0"/>
        <v>0</v>
      </c>
      <c r="D19" s="19">
        <v>1918</v>
      </c>
      <c r="E19" s="21">
        <f t="shared" si="1"/>
        <v>230.52884615384616</v>
      </c>
      <c r="F19" s="19">
        <v>1621</v>
      </c>
      <c r="G19" s="22">
        <f t="shared" si="4"/>
        <v>188.48837209302326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1172</v>
      </c>
      <c r="Q19" s="24"/>
      <c r="R19" s="24"/>
      <c r="S19" s="24"/>
      <c r="T19" s="24"/>
      <c r="U19" s="24"/>
      <c r="V19" s="12">
        <v>66</v>
      </c>
      <c r="W19" s="24">
        <v>1786</v>
      </c>
      <c r="X19" s="25"/>
      <c r="Y19" s="24">
        <v>203</v>
      </c>
      <c r="Z19" s="24"/>
      <c r="AA19" s="24">
        <v>514</v>
      </c>
      <c r="AB19" s="24">
        <v>146</v>
      </c>
      <c r="AC19" s="24">
        <v>66</v>
      </c>
      <c r="AD19" s="24"/>
      <c r="AE19" s="26">
        <f>Y19*2.43</f>
        <v>493.29</v>
      </c>
      <c r="AF19" s="24"/>
      <c r="AG19" s="27"/>
    </row>
    <row r="20" spans="1:41" s="28" customFormat="1" ht="26.25" customHeight="1" x14ac:dyDescent="0.25">
      <c r="A20" s="18">
        <v>45604</v>
      </c>
      <c r="B20" s="19"/>
      <c r="C20" s="20">
        <f>B20/200*25</f>
        <v>0</v>
      </c>
      <c r="D20" s="19">
        <v>1587</v>
      </c>
      <c r="E20" s="21">
        <f>D20/208*25</f>
        <v>190.74519230769232</v>
      </c>
      <c r="F20" s="19">
        <v>1471</v>
      </c>
      <c r="G20" s="22">
        <f t="shared" si="4"/>
        <v>171.04651162790699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5"/>
        <v>0</v>
      </c>
      <c r="P20" s="23">
        <v>1153</v>
      </c>
      <c r="Q20" s="24"/>
      <c r="R20" s="24"/>
      <c r="S20" s="24"/>
      <c r="T20" s="24"/>
      <c r="U20" s="24"/>
      <c r="V20" s="24">
        <v>60</v>
      </c>
      <c r="W20" s="25">
        <v>1628</v>
      </c>
      <c r="X20" s="25"/>
      <c r="Y20" s="24">
        <v>202</v>
      </c>
      <c r="Z20" s="24"/>
      <c r="AA20" s="24">
        <v>206</v>
      </c>
      <c r="AB20" s="24">
        <v>438</v>
      </c>
      <c r="AC20" s="24">
        <v>44</v>
      </c>
      <c r="AD20" s="24"/>
      <c r="AE20" s="26">
        <f>Y20*2.43</f>
        <v>490.86</v>
      </c>
      <c r="AF20" s="24"/>
      <c r="AG20" s="27"/>
    </row>
    <row r="21" spans="1:41" s="28" customFormat="1" ht="26.25" customHeight="1" x14ac:dyDescent="0.25">
      <c r="A21" s="18">
        <v>45605</v>
      </c>
      <c r="B21" s="19"/>
      <c r="C21" s="20">
        <f>B21/200*25</f>
        <v>0</v>
      </c>
      <c r="D21" s="19">
        <v>1488</v>
      </c>
      <c r="E21" s="21">
        <f>D21/208*25</f>
        <v>178.84615384615387</v>
      </c>
      <c r="F21" s="19">
        <v>1444</v>
      </c>
      <c r="G21" s="22">
        <f t="shared" si="4"/>
        <v>167.90697674418604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1108</v>
      </c>
      <c r="Q21" s="24"/>
      <c r="R21" s="24"/>
      <c r="S21" s="25"/>
      <c r="T21" s="24"/>
      <c r="U21" s="24"/>
      <c r="V21" s="24">
        <v>33</v>
      </c>
      <c r="W21" s="25">
        <v>1554</v>
      </c>
      <c r="X21" s="25"/>
      <c r="Y21" s="24">
        <v>185</v>
      </c>
      <c r="Z21" s="24"/>
      <c r="AA21" s="24">
        <v>22</v>
      </c>
      <c r="AB21" s="24">
        <v>582</v>
      </c>
      <c r="AC21" s="24">
        <v>53</v>
      </c>
      <c r="AD21" s="24"/>
      <c r="AE21" s="26">
        <f t="shared" si="2"/>
        <v>449.55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X22" si="6">SUM(B15:B21)</f>
        <v>0</v>
      </c>
      <c r="C22" s="32">
        <f t="shared" si="6"/>
        <v>0</v>
      </c>
      <c r="D22" s="31">
        <f t="shared" si="6"/>
        <v>9745</v>
      </c>
      <c r="E22" s="33">
        <f t="shared" si="6"/>
        <v>1171.2740384615386</v>
      </c>
      <c r="F22" s="31">
        <f t="shared" si="6"/>
        <v>9336</v>
      </c>
      <c r="G22" s="33">
        <f t="shared" si="6"/>
        <v>1085.5813953488371</v>
      </c>
      <c r="H22" s="31">
        <f t="shared" si="6"/>
        <v>0</v>
      </c>
      <c r="I22" s="33">
        <f t="shared" si="6"/>
        <v>0</v>
      </c>
      <c r="J22" s="31">
        <f t="shared" si="6"/>
        <v>0</v>
      </c>
      <c r="K22" s="31">
        <f t="shared" si="6"/>
        <v>0</v>
      </c>
      <c r="L22" s="31">
        <f t="shared" si="6"/>
        <v>0</v>
      </c>
      <c r="M22" s="31">
        <f t="shared" si="6"/>
        <v>0</v>
      </c>
      <c r="N22" s="31">
        <f t="shared" si="6"/>
        <v>0</v>
      </c>
      <c r="O22" s="33">
        <f t="shared" si="6"/>
        <v>0</v>
      </c>
      <c r="P22" s="33">
        <f t="shared" si="6"/>
        <v>6970</v>
      </c>
      <c r="Q22" s="31">
        <f t="shared" si="6"/>
        <v>0</v>
      </c>
      <c r="R22" s="31">
        <f t="shared" si="6"/>
        <v>0</v>
      </c>
      <c r="S22" s="31">
        <f t="shared" si="6"/>
        <v>0</v>
      </c>
      <c r="T22" s="31">
        <f t="shared" si="6"/>
        <v>0</v>
      </c>
      <c r="U22" s="31">
        <f t="shared" si="6"/>
        <v>0</v>
      </c>
      <c r="V22" s="31">
        <f t="shared" si="6"/>
        <v>380</v>
      </c>
      <c r="W22" s="31">
        <f t="shared" si="6"/>
        <v>10060</v>
      </c>
      <c r="X22" s="31">
        <f t="shared" si="6"/>
        <v>0</v>
      </c>
      <c r="Y22" s="31">
        <f t="shared" ref="Y22:AG22" si="7">SUM(Y15:Y21)</f>
        <v>1166</v>
      </c>
      <c r="Z22" s="31">
        <f t="shared" si="7"/>
        <v>0</v>
      </c>
      <c r="AA22" s="31">
        <f t="shared" si="7"/>
        <v>2222</v>
      </c>
      <c r="AB22" s="31">
        <f t="shared" si="7"/>
        <v>1612</v>
      </c>
      <c r="AC22" s="31">
        <f t="shared" si="7"/>
        <v>341</v>
      </c>
      <c r="AD22" s="31">
        <f t="shared" si="7"/>
        <v>0</v>
      </c>
      <c r="AE22" s="33">
        <f t="shared" si="7"/>
        <v>2833.38</v>
      </c>
      <c r="AF22" s="33">
        <f t="shared" si="7"/>
        <v>0</v>
      </c>
      <c r="AG22" s="33">
        <f t="shared" si="7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7"/>
  <sheetViews>
    <sheetView zoomScaleNormal="100" workbookViewId="0">
      <selection activeCell="A15" sqref="A15:XFD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99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45606</v>
      </c>
      <c r="B15" s="19"/>
      <c r="C15" s="20">
        <f t="shared" ref="C15:C19" si="0">B15/200*25</f>
        <v>0</v>
      </c>
      <c r="D15" s="19"/>
      <c r="E15" s="21">
        <f t="shared" ref="E15:E19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8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45607</v>
      </c>
      <c r="B16" s="19"/>
      <c r="C16" s="20">
        <f t="shared" si="0"/>
        <v>0</v>
      </c>
      <c r="D16" s="19">
        <v>934</v>
      </c>
      <c r="E16" s="21">
        <f t="shared" si="1"/>
        <v>112.25961538461537</v>
      </c>
      <c r="F16" s="19">
        <v>1955</v>
      </c>
      <c r="G16" s="22">
        <f>F16/215*25</f>
        <v>227.32558139534885</v>
      </c>
      <c r="H16" s="19"/>
      <c r="I16" s="23"/>
      <c r="J16" s="19"/>
      <c r="K16" s="19"/>
      <c r="L16" s="19"/>
      <c r="M16" s="19"/>
      <c r="N16" s="19"/>
      <c r="O16" s="23">
        <f>N16/38*25</f>
        <v>0</v>
      </c>
      <c r="P16" s="23">
        <v>1151.2</v>
      </c>
      <c r="Q16" s="24"/>
      <c r="R16" s="24"/>
      <c r="S16" s="24"/>
      <c r="T16" s="24"/>
      <c r="U16" s="24"/>
      <c r="V16" s="24">
        <v>17</v>
      </c>
      <c r="W16" s="25">
        <v>1626</v>
      </c>
      <c r="X16" s="25"/>
      <c r="Y16" s="24">
        <v>200</v>
      </c>
      <c r="Z16" s="24"/>
      <c r="AA16" s="24">
        <v>22</v>
      </c>
      <c r="AB16" s="24">
        <v>568</v>
      </c>
      <c r="AC16" s="24">
        <v>57</v>
      </c>
      <c r="AD16" s="24"/>
      <c r="AE16" s="26">
        <f t="shared" si="2"/>
        <v>486.00000000000006</v>
      </c>
      <c r="AF16" s="24"/>
      <c r="AG16" s="27"/>
      <c r="AH16" s="29"/>
    </row>
    <row r="17" spans="1:41" s="28" customFormat="1" ht="26.25" customHeight="1" x14ac:dyDescent="0.25">
      <c r="A17" s="18">
        <v>45608</v>
      </c>
      <c r="B17" s="19"/>
      <c r="C17" s="20">
        <f t="shared" si="0"/>
        <v>0</v>
      </c>
      <c r="D17" s="19">
        <v>1654</v>
      </c>
      <c r="E17" s="21">
        <f>D17/208*25</f>
        <v>198.79807692307691</v>
      </c>
      <c r="F17" s="19">
        <v>2019</v>
      </c>
      <c r="G17" s="22">
        <f>F17/215*25</f>
        <v>234.76744186046511</v>
      </c>
      <c r="H17" s="19"/>
      <c r="I17" s="23">
        <f t="shared" ref="I17:I20" si="3">H17/135*25</f>
        <v>0</v>
      </c>
      <c r="J17" s="19"/>
      <c r="K17" s="19">
        <v>0</v>
      </c>
      <c r="L17" s="19"/>
      <c r="M17" s="19">
        <v>0</v>
      </c>
      <c r="N17" s="19"/>
      <c r="O17" s="23">
        <f>N17/38*25</f>
        <v>0</v>
      </c>
      <c r="P17" s="22">
        <v>1381.8</v>
      </c>
      <c r="Q17" s="24"/>
      <c r="R17" s="24"/>
      <c r="S17" s="25"/>
      <c r="T17" s="24"/>
      <c r="U17" s="24"/>
      <c r="V17" s="24">
        <v>29</v>
      </c>
      <c r="W17" s="25">
        <v>2050</v>
      </c>
      <c r="X17" s="25"/>
      <c r="Y17" s="24">
        <v>221</v>
      </c>
      <c r="Z17" s="24"/>
      <c r="AA17" s="24">
        <v>27</v>
      </c>
      <c r="AB17" s="24">
        <v>741</v>
      </c>
      <c r="AC17" s="24">
        <v>57</v>
      </c>
      <c r="AD17" s="24"/>
      <c r="AE17" s="26">
        <f t="shared" si="2"/>
        <v>537.03000000000009</v>
      </c>
      <c r="AF17" s="24"/>
      <c r="AG17" s="27"/>
      <c r="AH17" s="29"/>
    </row>
    <row r="18" spans="1:41" s="28" customFormat="1" ht="26.25" customHeight="1" x14ac:dyDescent="0.25">
      <c r="A18" s="18">
        <v>45609</v>
      </c>
      <c r="B18" s="19"/>
      <c r="C18" s="20">
        <f t="shared" si="0"/>
        <v>0</v>
      </c>
      <c r="D18" s="19">
        <v>1623</v>
      </c>
      <c r="E18" s="21">
        <f t="shared" si="1"/>
        <v>195.07211538461539</v>
      </c>
      <c r="F18" s="19">
        <v>1937</v>
      </c>
      <c r="G18" s="22">
        <f t="shared" ref="G18:G20" si="4">F18/215*25</f>
        <v>225.23255813953486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ref="O18:O20" si="5">N18/38*25</f>
        <v>0</v>
      </c>
      <c r="P18" s="23">
        <v>1363</v>
      </c>
      <c r="Q18" s="24"/>
      <c r="R18" s="24"/>
      <c r="S18" s="24"/>
      <c r="T18" s="24"/>
      <c r="U18" s="24"/>
      <c r="V18" s="24">
        <v>23</v>
      </c>
      <c r="W18" s="25">
        <v>1934</v>
      </c>
      <c r="X18" s="25"/>
      <c r="Y18" s="24">
        <v>240</v>
      </c>
      <c r="Z18" s="24"/>
      <c r="AA18" s="24">
        <v>30</v>
      </c>
      <c r="AB18" s="24">
        <v>675</v>
      </c>
      <c r="AC18" s="24">
        <v>73</v>
      </c>
      <c r="AD18" s="24"/>
      <c r="AE18" s="26">
        <f t="shared" si="2"/>
        <v>583.20000000000005</v>
      </c>
      <c r="AF18" s="24"/>
      <c r="AG18" s="27"/>
    </row>
    <row r="19" spans="1:41" s="28" customFormat="1" ht="26.25" customHeight="1" x14ac:dyDescent="0.25">
      <c r="A19" s="18">
        <v>45610</v>
      </c>
      <c r="B19" s="19"/>
      <c r="C19" s="20">
        <f t="shared" si="0"/>
        <v>0</v>
      </c>
      <c r="D19" s="19">
        <v>1542</v>
      </c>
      <c r="E19" s="21">
        <f t="shared" si="1"/>
        <v>185.33653846153845</v>
      </c>
      <c r="F19" s="19">
        <v>1506</v>
      </c>
      <c r="G19" s="22">
        <f t="shared" si="4"/>
        <v>175.11627906976744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1186.2</v>
      </c>
      <c r="Q19" s="24"/>
      <c r="R19" s="24"/>
      <c r="S19" s="24"/>
      <c r="T19" s="24"/>
      <c r="U19" s="24"/>
      <c r="V19" s="12">
        <v>13</v>
      </c>
      <c r="W19" s="24">
        <v>1734</v>
      </c>
      <c r="X19" s="25"/>
      <c r="Y19" s="24">
        <v>195</v>
      </c>
      <c r="Z19" s="24"/>
      <c r="AA19" s="24">
        <v>219</v>
      </c>
      <c r="AB19" s="24">
        <v>477</v>
      </c>
      <c r="AC19" s="24">
        <v>16</v>
      </c>
      <c r="AD19" s="24"/>
      <c r="AE19" s="26">
        <f>Y19*2.43</f>
        <v>473.85</v>
      </c>
      <c r="AF19" s="24"/>
      <c r="AG19" s="27"/>
    </row>
    <row r="20" spans="1:41" s="28" customFormat="1" ht="26.25" customHeight="1" x14ac:dyDescent="0.25">
      <c r="A20" s="18">
        <v>45611</v>
      </c>
      <c r="B20" s="19"/>
      <c r="C20" s="20">
        <f>B20/200*25</f>
        <v>0</v>
      </c>
      <c r="D20" s="19">
        <v>1513</v>
      </c>
      <c r="E20" s="21">
        <f>D20/208*25</f>
        <v>181.85096153846155</v>
      </c>
      <c r="F20" s="19">
        <v>1596</v>
      </c>
      <c r="G20" s="22">
        <f t="shared" si="4"/>
        <v>185.58139534883722</v>
      </c>
      <c r="H20" s="19"/>
      <c r="I20" s="23">
        <f t="shared" si="3"/>
        <v>0</v>
      </c>
      <c r="J20" s="19"/>
      <c r="K20" s="19"/>
      <c r="L20" s="19"/>
      <c r="M20" s="19"/>
      <c r="N20" s="19"/>
      <c r="O20" s="23">
        <f t="shared" si="5"/>
        <v>0</v>
      </c>
      <c r="P20" s="23">
        <v>990.6</v>
      </c>
      <c r="Q20" s="24"/>
      <c r="R20" s="24"/>
      <c r="S20" s="24"/>
      <c r="T20" s="24"/>
      <c r="U20" s="24"/>
      <c r="V20" s="24">
        <v>7</v>
      </c>
      <c r="W20" s="25">
        <v>1506</v>
      </c>
      <c r="X20" s="25"/>
      <c r="Y20" s="24">
        <v>204</v>
      </c>
      <c r="Z20" s="24"/>
      <c r="AA20" s="24">
        <v>168</v>
      </c>
      <c r="AB20" s="24">
        <v>354</v>
      </c>
      <c r="AC20" s="24">
        <v>87</v>
      </c>
      <c r="AD20" s="24"/>
      <c r="AE20" s="26">
        <f>Y20*2.43</f>
        <v>495.72</v>
      </c>
      <c r="AF20" s="24"/>
      <c r="AG20" s="27"/>
    </row>
    <row r="21" spans="1:41" s="28" customFormat="1" ht="26.25" customHeight="1" x14ac:dyDescent="0.25">
      <c r="A21" s="18">
        <v>45612</v>
      </c>
      <c r="B21" s="19"/>
      <c r="C21" s="20">
        <f t="shared" ref="C21:C22" si="6">B21/200*25</f>
        <v>0</v>
      </c>
      <c r="D21" s="19">
        <v>1639</v>
      </c>
      <c r="E21" s="21">
        <f t="shared" ref="E21:E22" si="7">D21/208*25</f>
        <v>196.99519230769232</v>
      </c>
      <c r="F21" s="19">
        <v>1105</v>
      </c>
      <c r="G21" s="22">
        <f t="shared" ref="G21:G22" si="8">F21/215*25</f>
        <v>128.48837209302326</v>
      </c>
      <c r="H21" s="19"/>
      <c r="I21" s="23"/>
      <c r="J21" s="19"/>
      <c r="K21" s="19"/>
      <c r="L21" s="19"/>
      <c r="M21" s="19"/>
      <c r="N21" s="19"/>
      <c r="O21" s="23">
        <f t="shared" ref="O21:O22" si="9">N21/38*25</f>
        <v>0</v>
      </c>
      <c r="P21" s="23">
        <v>946</v>
      </c>
      <c r="Q21" s="24"/>
      <c r="R21" s="24"/>
      <c r="S21" s="25"/>
      <c r="T21" s="24"/>
      <c r="U21" s="24"/>
      <c r="V21" s="24">
        <v>2</v>
      </c>
      <c r="W21" s="25">
        <v>1378</v>
      </c>
      <c r="X21" s="25"/>
      <c r="Y21" s="24">
        <v>156</v>
      </c>
      <c r="Z21" s="24"/>
      <c r="AA21" s="24">
        <v>140</v>
      </c>
      <c r="AB21" s="24">
        <v>382</v>
      </c>
      <c r="AC21" s="24">
        <v>63</v>
      </c>
      <c r="AD21" s="24"/>
      <c r="AE21" s="26">
        <f t="shared" ref="AE21:AE22" si="10">Y21*2.43</f>
        <v>379.08000000000004</v>
      </c>
      <c r="AF21" s="24"/>
      <c r="AG21" s="27"/>
    </row>
    <row r="22" spans="1:41" s="28" customFormat="1" ht="26.25" customHeight="1" x14ac:dyDescent="0.25">
      <c r="A22" s="18">
        <v>45613</v>
      </c>
      <c r="B22" s="19"/>
      <c r="C22" s="20">
        <f t="shared" si="6"/>
        <v>0</v>
      </c>
      <c r="D22" s="19"/>
      <c r="E22" s="21">
        <f t="shared" si="7"/>
        <v>0</v>
      </c>
      <c r="F22" s="19">
        <v>44</v>
      </c>
      <c r="G22" s="22">
        <f t="shared" si="8"/>
        <v>5.1162790697674421</v>
      </c>
      <c r="H22" s="19"/>
      <c r="I22" s="23"/>
      <c r="J22" s="19"/>
      <c r="K22" s="19"/>
      <c r="L22" s="19"/>
      <c r="M22" s="19"/>
      <c r="N22" s="19"/>
      <c r="O22" s="23">
        <f t="shared" si="9"/>
        <v>0</v>
      </c>
      <c r="P22" s="23">
        <v>16</v>
      </c>
      <c r="Q22" s="24"/>
      <c r="R22" s="24"/>
      <c r="S22" s="25"/>
      <c r="T22" s="24"/>
      <c r="U22" s="24"/>
      <c r="V22" s="24"/>
      <c r="W22" s="25">
        <v>24</v>
      </c>
      <c r="X22" s="25"/>
      <c r="Y22" s="24">
        <v>2</v>
      </c>
      <c r="Z22" s="24"/>
      <c r="AA22" s="24">
        <v>8</v>
      </c>
      <c r="AB22" s="24"/>
      <c r="AC22" s="24"/>
      <c r="AD22" s="24"/>
      <c r="AE22" s="26">
        <f t="shared" si="10"/>
        <v>4.8600000000000003</v>
      </c>
      <c r="AF22" s="24"/>
      <c r="AG22" s="27"/>
    </row>
    <row r="23" spans="1:41" ht="33" customHeight="1" thickBot="1" x14ac:dyDescent="0.3">
      <c r="A23" s="30" t="s">
        <v>30</v>
      </c>
      <c r="B23" s="31">
        <f t="shared" ref="B23:W23" si="11">SUM(B15:B22)</f>
        <v>0</v>
      </c>
      <c r="C23" s="32">
        <f t="shared" si="11"/>
        <v>0</v>
      </c>
      <c r="D23" s="31">
        <f t="shared" si="11"/>
        <v>8905</v>
      </c>
      <c r="E23" s="33">
        <f t="shared" si="11"/>
        <v>1070.3125</v>
      </c>
      <c r="F23" s="31">
        <f t="shared" si="11"/>
        <v>10162</v>
      </c>
      <c r="G23" s="33">
        <f t="shared" si="11"/>
        <v>1181.627906976744</v>
      </c>
      <c r="H23" s="31">
        <f t="shared" si="11"/>
        <v>0</v>
      </c>
      <c r="I23" s="33">
        <f t="shared" si="11"/>
        <v>0</v>
      </c>
      <c r="J23" s="31">
        <f t="shared" si="11"/>
        <v>0</v>
      </c>
      <c r="K23" s="31">
        <f t="shared" si="11"/>
        <v>0</v>
      </c>
      <c r="L23" s="31">
        <f t="shared" si="11"/>
        <v>0</v>
      </c>
      <c r="M23" s="31">
        <f t="shared" si="11"/>
        <v>0</v>
      </c>
      <c r="N23" s="31">
        <f t="shared" si="11"/>
        <v>0</v>
      </c>
      <c r="O23" s="33">
        <f t="shared" si="11"/>
        <v>0</v>
      </c>
      <c r="P23" s="33">
        <f t="shared" si="11"/>
        <v>7034.8</v>
      </c>
      <c r="Q23" s="31">
        <f t="shared" si="11"/>
        <v>0</v>
      </c>
      <c r="R23" s="31">
        <f t="shared" si="11"/>
        <v>0</v>
      </c>
      <c r="S23" s="31">
        <f t="shared" si="11"/>
        <v>0</v>
      </c>
      <c r="T23" s="31">
        <f t="shared" si="11"/>
        <v>0</v>
      </c>
      <c r="U23" s="31">
        <f t="shared" si="11"/>
        <v>0</v>
      </c>
      <c r="V23" s="31">
        <f t="shared" si="11"/>
        <v>91</v>
      </c>
      <c r="W23" s="31">
        <f t="shared" si="11"/>
        <v>10252</v>
      </c>
      <c r="X23" s="31"/>
      <c r="Y23" s="31">
        <f t="shared" ref="Y23:AG23" si="12">SUM(Y15:Y22)</f>
        <v>1218</v>
      </c>
      <c r="Z23" s="31">
        <f t="shared" si="12"/>
        <v>0</v>
      </c>
      <c r="AA23" s="31">
        <f t="shared" si="12"/>
        <v>614</v>
      </c>
      <c r="AB23" s="31">
        <f t="shared" si="12"/>
        <v>3197</v>
      </c>
      <c r="AC23" s="31">
        <f t="shared" si="12"/>
        <v>353</v>
      </c>
      <c r="AD23" s="31">
        <f t="shared" si="12"/>
        <v>0</v>
      </c>
      <c r="AE23" s="33">
        <f t="shared" si="12"/>
        <v>2959.7400000000002</v>
      </c>
      <c r="AF23" s="33">
        <f t="shared" si="12"/>
        <v>0</v>
      </c>
      <c r="AG23" s="33">
        <f t="shared" si="12"/>
        <v>0</v>
      </c>
      <c r="AH23" s="54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H24" s="37"/>
      <c r="I24" s="37"/>
      <c r="J24" s="38"/>
      <c r="K24" s="37" t="s">
        <v>31</v>
      </c>
      <c r="L24" s="37"/>
      <c r="M24" s="37"/>
      <c r="N24" s="37"/>
      <c r="O24" s="37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ht="15.75" customHeight="1" x14ac:dyDescent="0.2">
      <c r="A25" s="35"/>
      <c r="B25" s="35"/>
      <c r="C25" s="35"/>
      <c r="D25" s="36"/>
      <c r="E25" s="36"/>
      <c r="F25" s="37"/>
      <c r="G25" s="37"/>
      <c r="J25" s="38"/>
      <c r="P25" s="39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7"/>
      <c r="AF25" s="38"/>
      <c r="AG25" s="38"/>
    </row>
    <row r="26" spans="1:41" s="41" customFormat="1" ht="21" customHeight="1" x14ac:dyDescent="0.3">
      <c r="A26" s="40" t="s">
        <v>32</v>
      </c>
      <c r="B26" s="40"/>
      <c r="C26" s="40"/>
      <c r="D26" s="40"/>
      <c r="E26" s="40"/>
      <c r="G26" s="40" t="s">
        <v>33</v>
      </c>
      <c r="H26" s="40"/>
      <c r="I26" s="40"/>
      <c r="J26" s="40"/>
      <c r="K26" s="40"/>
      <c r="L26" s="40"/>
      <c r="M26" s="40"/>
      <c r="P26" s="40"/>
      <c r="Q26" s="40"/>
      <c r="U26" s="42" t="s">
        <v>34</v>
      </c>
      <c r="AA26" s="40" t="s">
        <v>35</v>
      </c>
      <c r="AD26" s="74"/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  <c r="AD27" s="41" t="s">
        <v>31</v>
      </c>
      <c r="AJ27" s="43"/>
      <c r="AK27" s="43"/>
      <c r="AL27" s="43"/>
      <c r="AM27" s="43"/>
      <c r="AN27" s="43"/>
      <c r="AO27" s="43"/>
    </row>
    <row r="28" spans="1:41" s="41" customFormat="1" ht="21" customHeight="1" x14ac:dyDescent="0.3">
      <c r="A28" s="44"/>
      <c r="B28" s="44"/>
      <c r="C28" s="44"/>
      <c r="D28" s="40"/>
      <c r="E28" s="40"/>
      <c r="G28" s="40"/>
      <c r="H28" s="40"/>
      <c r="I28" s="40"/>
      <c r="J28" s="40"/>
      <c r="K28" s="40"/>
      <c r="L28" s="40"/>
      <c r="M28" s="40"/>
      <c r="P28" s="40"/>
      <c r="Q28" s="40"/>
      <c r="U28" s="40"/>
      <c r="AA28" s="40"/>
    </row>
    <row r="29" spans="1:41" s="41" customFormat="1" ht="21" customHeight="1" x14ac:dyDescent="0.3">
      <c r="A29" s="45" t="s">
        <v>85</v>
      </c>
      <c r="B29" s="45"/>
      <c r="C29" s="45"/>
      <c r="D29" s="40"/>
      <c r="E29" s="40"/>
      <c r="G29" s="45" t="s">
        <v>37</v>
      </c>
      <c r="H29" s="40"/>
      <c r="I29" s="40"/>
      <c r="J29" s="40"/>
      <c r="K29" s="40"/>
      <c r="L29" s="40"/>
      <c r="M29" s="40"/>
      <c r="P29" s="40"/>
      <c r="Q29" s="40"/>
      <c r="U29" s="45" t="s">
        <v>49</v>
      </c>
      <c r="AA29" s="46" t="s">
        <v>39</v>
      </c>
    </row>
    <row r="30" spans="1:41" s="43" customFormat="1" ht="17.25" customHeight="1" x14ac:dyDescent="0.3">
      <c r="A30" s="44" t="s">
        <v>40</v>
      </c>
      <c r="B30" s="44"/>
      <c r="C30" s="44"/>
      <c r="D30" s="44"/>
      <c r="E30" s="44"/>
      <c r="G30" s="44" t="s">
        <v>41</v>
      </c>
      <c r="H30" s="44"/>
      <c r="I30" s="44"/>
      <c r="J30" s="44"/>
      <c r="K30" s="44"/>
      <c r="L30" s="44"/>
      <c r="M30" s="44"/>
      <c r="P30" s="44"/>
      <c r="Q30" s="44"/>
      <c r="U30" s="44" t="s">
        <v>50</v>
      </c>
      <c r="AA30" s="47" t="s">
        <v>43</v>
      </c>
      <c r="AL30" s="48"/>
      <c r="AM30" s="48"/>
      <c r="AN30" s="48"/>
      <c r="AO30" s="48"/>
    </row>
    <row r="31" spans="1:41" s="49" customFormat="1" ht="15.75" customHeight="1" x14ac:dyDescent="0.3"/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J32" s="50"/>
      <c r="K32" s="50"/>
      <c r="L32" s="49"/>
      <c r="M32" s="49"/>
      <c r="N32" s="49"/>
      <c r="O32" s="49"/>
    </row>
    <row r="33" spans="1:33" s="51" customFormat="1" ht="15.75" customHeight="1" x14ac:dyDescent="0.3">
      <c r="A33" s="50"/>
      <c r="B33" s="50"/>
      <c r="C33" s="50"/>
      <c r="D33" s="50"/>
      <c r="E33" s="50"/>
      <c r="H33" s="49"/>
      <c r="I33" s="49"/>
      <c r="L33" s="49"/>
      <c r="M33" s="49"/>
      <c r="N33" s="49"/>
      <c r="O33" s="49"/>
    </row>
    <row r="34" spans="1:33" s="49" customFormat="1" ht="15.75" customHeight="1" x14ac:dyDescent="0.3">
      <c r="F34" s="82"/>
    </row>
    <row r="35" spans="1:33" ht="15.75" customHeight="1" x14ac:dyDescent="0.2">
      <c r="F35" s="52"/>
      <c r="G35" s="52"/>
    </row>
    <row r="37" spans="1:33" ht="15.75" customHeight="1" x14ac:dyDescent="0.2">
      <c r="D37" s="53"/>
      <c r="E37" s="53"/>
      <c r="F37" s="53"/>
      <c r="G37" s="53"/>
      <c r="J37" s="53"/>
      <c r="K37" s="53"/>
      <c r="AG37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45614</v>
      </c>
      <c r="B15" s="19"/>
      <c r="C15" s="20">
        <f t="shared" ref="C15:C18" si="0">B15/200*25</f>
        <v>0</v>
      </c>
      <c r="D15" s="19">
        <v>1598</v>
      </c>
      <c r="E15" s="21">
        <f t="shared" ref="E15:E18" si="1">D15/208*25</f>
        <v>192.06730769230768</v>
      </c>
      <c r="F15" s="19">
        <v>1597</v>
      </c>
      <c r="G15" s="22">
        <f>F15/215*25</f>
        <v>185.69767441860466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1306</v>
      </c>
      <c r="Q15" s="24"/>
      <c r="R15" s="24"/>
      <c r="S15" s="24"/>
      <c r="T15" s="24"/>
      <c r="U15" s="24"/>
      <c r="V15" s="24">
        <v>3</v>
      </c>
      <c r="W15" s="25">
        <v>1821</v>
      </c>
      <c r="X15" s="25"/>
      <c r="Y15" s="24">
        <v>212</v>
      </c>
      <c r="Z15" s="24"/>
      <c r="AA15" s="24">
        <v>184</v>
      </c>
      <c r="AB15" s="24">
        <v>553</v>
      </c>
      <c r="AC15" s="24">
        <v>48</v>
      </c>
      <c r="AD15" s="24"/>
      <c r="AE15" s="26">
        <f t="shared" ref="AE15:AE17" si="2">Y15*2.43</f>
        <v>515.16000000000008</v>
      </c>
      <c r="AF15" s="24"/>
      <c r="AG15" s="27"/>
      <c r="AH15" s="29"/>
    </row>
    <row r="16" spans="1:34" s="28" customFormat="1" ht="26.25" customHeight="1" x14ac:dyDescent="0.25">
      <c r="A16" s="18">
        <v>45615</v>
      </c>
      <c r="B16" s="19"/>
      <c r="C16" s="20">
        <f t="shared" si="0"/>
        <v>0</v>
      </c>
      <c r="D16" s="19">
        <v>1924</v>
      </c>
      <c r="E16" s="21">
        <f>D16/208*25</f>
        <v>231.25</v>
      </c>
      <c r="F16" s="19">
        <v>1359</v>
      </c>
      <c r="G16" s="22">
        <f>F16/215*25</f>
        <v>158.02325581395348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1192</v>
      </c>
      <c r="Q16" s="24"/>
      <c r="R16" s="24"/>
      <c r="S16" s="25"/>
      <c r="T16" s="24"/>
      <c r="U16" s="24"/>
      <c r="V16" s="24">
        <v>2</v>
      </c>
      <c r="W16" s="25">
        <v>1691</v>
      </c>
      <c r="X16" s="25"/>
      <c r="Y16" s="24">
        <v>218</v>
      </c>
      <c r="Z16" s="24"/>
      <c r="AA16" s="24">
        <v>197</v>
      </c>
      <c r="AB16" s="24">
        <v>514</v>
      </c>
      <c r="AC16" s="24">
        <v>37</v>
      </c>
      <c r="AD16" s="24"/>
      <c r="AE16" s="26">
        <f t="shared" si="2"/>
        <v>529.74</v>
      </c>
      <c r="AF16" s="24"/>
      <c r="AG16" s="27"/>
      <c r="AH16" s="29"/>
    </row>
    <row r="17" spans="1:41" s="28" customFormat="1" ht="26.25" customHeight="1" x14ac:dyDescent="0.25">
      <c r="A17" s="18">
        <v>45616</v>
      </c>
      <c r="B17" s="19"/>
      <c r="C17" s="20">
        <f t="shared" si="0"/>
        <v>0</v>
      </c>
      <c r="D17" s="19">
        <v>1364</v>
      </c>
      <c r="E17" s="21">
        <f t="shared" si="1"/>
        <v>163.94230769230768</v>
      </c>
      <c r="F17" s="19">
        <v>1667</v>
      </c>
      <c r="G17" s="22">
        <f t="shared" ref="G17:G19" si="4">F17/215*25</f>
        <v>193.83720930232556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1093</v>
      </c>
      <c r="Q17" s="24"/>
      <c r="R17" s="24"/>
      <c r="S17" s="24"/>
      <c r="T17" s="24"/>
      <c r="U17" s="24"/>
      <c r="V17" s="24"/>
      <c r="W17" s="25">
        <v>1596</v>
      </c>
      <c r="X17" s="25"/>
      <c r="Y17" s="24">
        <v>175</v>
      </c>
      <c r="Z17" s="24"/>
      <c r="AA17" s="24">
        <v>240</v>
      </c>
      <c r="AB17" s="24">
        <v>432</v>
      </c>
      <c r="AC17" s="24">
        <v>25</v>
      </c>
      <c r="AD17" s="24"/>
      <c r="AE17" s="26">
        <f t="shared" si="2"/>
        <v>425.25</v>
      </c>
      <c r="AF17" s="24"/>
      <c r="AG17" s="27"/>
    </row>
    <row r="18" spans="1:41" s="28" customFormat="1" ht="26.25" customHeight="1" x14ac:dyDescent="0.25">
      <c r="A18" s="18">
        <v>45617</v>
      </c>
      <c r="B18" s="19"/>
      <c r="C18" s="20">
        <f t="shared" si="0"/>
        <v>0</v>
      </c>
      <c r="D18" s="19">
        <v>1740</v>
      </c>
      <c r="E18" s="21">
        <f t="shared" si="1"/>
        <v>209.13461538461539</v>
      </c>
      <c r="F18" s="19">
        <v>1324</v>
      </c>
      <c r="G18" s="22">
        <f t="shared" si="4"/>
        <v>153.95348837209301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1097</v>
      </c>
      <c r="Q18" s="24"/>
      <c r="R18" s="24"/>
      <c r="S18" s="24"/>
      <c r="T18" s="24"/>
      <c r="U18" s="24"/>
      <c r="V18" s="12"/>
      <c r="W18" s="24">
        <v>1611</v>
      </c>
      <c r="X18" s="25"/>
      <c r="Y18" s="24">
        <v>169</v>
      </c>
      <c r="Z18" s="24"/>
      <c r="AA18" s="24">
        <v>203</v>
      </c>
      <c r="AB18" s="24">
        <v>422</v>
      </c>
      <c r="AC18" s="24">
        <v>27</v>
      </c>
      <c r="AD18" s="24"/>
      <c r="AE18" s="26">
        <f>Y18*2.43</f>
        <v>410.67</v>
      </c>
      <c r="AF18" s="24"/>
      <c r="AG18" s="27"/>
    </row>
    <row r="19" spans="1:41" s="28" customFormat="1" ht="26.25" customHeight="1" x14ac:dyDescent="0.25">
      <c r="A19" s="18">
        <v>45618</v>
      </c>
      <c r="B19" s="19"/>
      <c r="C19" s="20">
        <f>B19/200*25</f>
        <v>0</v>
      </c>
      <c r="D19" s="19">
        <v>1845</v>
      </c>
      <c r="E19" s="21">
        <f>D19/208*25</f>
        <v>221.75480769230771</v>
      </c>
      <c r="F19" s="19">
        <v>1756</v>
      </c>
      <c r="G19" s="22">
        <f t="shared" si="4"/>
        <v>204.18604651162789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1438</v>
      </c>
      <c r="Q19" s="24"/>
      <c r="R19" s="24"/>
      <c r="S19" s="24"/>
      <c r="T19" s="24"/>
      <c r="U19" s="24"/>
      <c r="V19" s="24"/>
      <c r="W19" s="25">
        <v>2053</v>
      </c>
      <c r="X19" s="25"/>
      <c r="Y19" s="24">
        <v>229</v>
      </c>
      <c r="Z19" s="24"/>
      <c r="AA19" s="24">
        <v>251</v>
      </c>
      <c r="AB19" s="24">
        <v>565</v>
      </c>
      <c r="AC19" s="24">
        <v>29</v>
      </c>
      <c r="AD19" s="24"/>
      <c r="AE19" s="26">
        <f>Y19*2.43</f>
        <v>556.47</v>
      </c>
      <c r="AF19" s="24"/>
      <c r="AG19" s="27"/>
    </row>
    <row r="20" spans="1:41" s="28" customFormat="1" ht="26.25" customHeight="1" x14ac:dyDescent="0.25">
      <c r="A20" s="18">
        <v>45619</v>
      </c>
      <c r="B20" s="19"/>
      <c r="C20" s="20">
        <f t="shared" ref="C20:C21" si="6">B20/200*25</f>
        <v>0</v>
      </c>
      <c r="D20" s="19">
        <v>1197</v>
      </c>
      <c r="E20" s="21">
        <f t="shared" ref="E20:E21" si="7">D20/208*25</f>
        <v>143.87019230769232</v>
      </c>
      <c r="F20" s="19">
        <v>1681</v>
      </c>
      <c r="G20" s="22">
        <f t="shared" ref="G20:G21" si="8">F20/215*25</f>
        <v>195.46511627906978</v>
      </c>
      <c r="H20" s="19"/>
      <c r="I20" s="23"/>
      <c r="J20" s="19"/>
      <c r="K20" s="19"/>
      <c r="L20" s="19"/>
      <c r="M20" s="19"/>
      <c r="N20" s="19"/>
      <c r="O20" s="23">
        <f t="shared" ref="O20:O21" si="9">N20/38*25</f>
        <v>0</v>
      </c>
      <c r="P20" s="23">
        <v>1009</v>
      </c>
      <c r="Q20" s="24"/>
      <c r="R20" s="24"/>
      <c r="S20" s="25"/>
      <c r="T20" s="24"/>
      <c r="U20" s="24"/>
      <c r="V20" s="24"/>
      <c r="W20" s="25">
        <v>1456</v>
      </c>
      <c r="X20" s="25"/>
      <c r="Y20" s="24">
        <v>163</v>
      </c>
      <c r="Z20" s="24"/>
      <c r="AA20" s="24">
        <v>157</v>
      </c>
      <c r="AB20" s="24">
        <v>421</v>
      </c>
      <c r="AC20" s="24">
        <v>34</v>
      </c>
      <c r="AD20" s="24"/>
      <c r="AE20" s="26">
        <f t="shared" ref="AE20:AE21" si="10">Y20*2.43</f>
        <v>396.09000000000003</v>
      </c>
      <c r="AF20" s="24"/>
      <c r="AG20" s="27"/>
    </row>
    <row r="21" spans="1:41" s="28" customFormat="1" ht="26.25" customHeight="1" x14ac:dyDescent="0.25">
      <c r="A21" s="18">
        <v>45620</v>
      </c>
      <c r="B21" s="19"/>
      <c r="C21" s="20">
        <f t="shared" si="6"/>
        <v>0</v>
      </c>
      <c r="D21" s="19"/>
      <c r="E21" s="21">
        <f t="shared" si="7"/>
        <v>0</v>
      </c>
      <c r="F21" s="19">
        <v>138</v>
      </c>
      <c r="G21" s="22">
        <f t="shared" si="8"/>
        <v>16.046511627906977</v>
      </c>
      <c r="H21" s="19"/>
      <c r="I21" s="23"/>
      <c r="J21" s="19"/>
      <c r="K21" s="19"/>
      <c r="L21" s="19"/>
      <c r="M21" s="19"/>
      <c r="N21" s="19"/>
      <c r="O21" s="23">
        <f t="shared" si="9"/>
        <v>0</v>
      </c>
      <c r="P21" s="23"/>
      <c r="Q21" s="24"/>
      <c r="R21" s="24"/>
      <c r="S21" s="25"/>
      <c r="T21" s="24"/>
      <c r="U21" s="24"/>
      <c r="V21" s="24"/>
      <c r="W21" s="25">
        <v>23</v>
      </c>
      <c r="X21" s="25"/>
      <c r="Y21" s="24">
        <v>2</v>
      </c>
      <c r="Z21" s="24"/>
      <c r="AA21" s="24">
        <v>8</v>
      </c>
      <c r="AB21" s="24"/>
      <c r="AC21" s="24"/>
      <c r="AD21" s="24"/>
      <c r="AE21" s="26">
        <f t="shared" si="10"/>
        <v>4.8600000000000003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11">SUM(B15:B21)</f>
        <v>0</v>
      </c>
      <c r="C22" s="32">
        <f t="shared" si="11"/>
        <v>0</v>
      </c>
      <c r="D22" s="31">
        <f t="shared" si="11"/>
        <v>9668</v>
      </c>
      <c r="E22" s="33">
        <f t="shared" si="11"/>
        <v>1162.0192307692307</v>
      </c>
      <c r="F22" s="31">
        <f t="shared" si="11"/>
        <v>9522</v>
      </c>
      <c r="G22" s="33">
        <f t="shared" si="11"/>
        <v>1107.2093023255813</v>
      </c>
      <c r="H22" s="31">
        <f t="shared" si="11"/>
        <v>0</v>
      </c>
      <c r="I22" s="33">
        <f t="shared" si="11"/>
        <v>0</v>
      </c>
      <c r="J22" s="31">
        <f t="shared" si="11"/>
        <v>0</v>
      </c>
      <c r="K22" s="31">
        <f t="shared" si="11"/>
        <v>0</v>
      </c>
      <c r="L22" s="31">
        <f t="shared" si="11"/>
        <v>0</v>
      </c>
      <c r="M22" s="31">
        <f t="shared" si="11"/>
        <v>0</v>
      </c>
      <c r="N22" s="31">
        <f t="shared" si="11"/>
        <v>0</v>
      </c>
      <c r="O22" s="33">
        <f t="shared" si="11"/>
        <v>0</v>
      </c>
      <c r="P22" s="33">
        <f t="shared" si="11"/>
        <v>7135</v>
      </c>
      <c r="Q22" s="31">
        <f t="shared" si="11"/>
        <v>0</v>
      </c>
      <c r="R22" s="31">
        <f t="shared" si="11"/>
        <v>0</v>
      </c>
      <c r="S22" s="31">
        <f t="shared" si="11"/>
        <v>0</v>
      </c>
      <c r="T22" s="31">
        <f t="shared" si="11"/>
        <v>0</v>
      </c>
      <c r="U22" s="31">
        <f t="shared" si="11"/>
        <v>0</v>
      </c>
      <c r="V22" s="31">
        <f t="shared" si="11"/>
        <v>5</v>
      </c>
      <c r="W22" s="31">
        <f t="shared" si="11"/>
        <v>10251</v>
      </c>
      <c r="X22" s="31">
        <f t="shared" si="11"/>
        <v>0</v>
      </c>
      <c r="Y22" s="31">
        <f t="shared" si="11"/>
        <v>1168</v>
      </c>
      <c r="Z22" s="31">
        <f t="shared" si="11"/>
        <v>0</v>
      </c>
      <c r="AA22" s="31">
        <f t="shared" si="11"/>
        <v>1240</v>
      </c>
      <c r="AB22" s="31">
        <f t="shared" si="11"/>
        <v>2907</v>
      </c>
      <c r="AC22" s="31">
        <f t="shared" si="11"/>
        <v>200</v>
      </c>
      <c r="AD22" s="31">
        <f t="shared" si="11"/>
        <v>0</v>
      </c>
      <c r="AE22" s="33">
        <f t="shared" si="11"/>
        <v>2838.2400000000002</v>
      </c>
      <c r="AF22" s="33">
        <f t="shared" si="11"/>
        <v>0</v>
      </c>
      <c r="AG22" s="33">
        <f t="shared" si="11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21" sqref="A21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45620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7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45621</v>
      </c>
      <c r="B16" s="19"/>
      <c r="C16" s="20">
        <f t="shared" si="0"/>
        <v>0</v>
      </c>
      <c r="D16" s="19">
        <v>485</v>
      </c>
      <c r="E16" s="21">
        <f>D16/208*25</f>
        <v>58.293269230769226</v>
      </c>
      <c r="F16" s="19">
        <v>2512</v>
      </c>
      <c r="G16" s="22">
        <f>F16/215*25</f>
        <v>292.09302325581399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1246</v>
      </c>
      <c r="Q16" s="24"/>
      <c r="R16" s="24"/>
      <c r="S16" s="25"/>
      <c r="T16" s="24"/>
      <c r="U16" s="24"/>
      <c r="V16" s="24"/>
      <c r="W16" s="25">
        <v>1756</v>
      </c>
      <c r="X16" s="25"/>
      <c r="Y16" s="24">
        <v>192</v>
      </c>
      <c r="Z16" s="24"/>
      <c r="AA16" s="24">
        <v>199</v>
      </c>
      <c r="AB16" s="24">
        <v>514</v>
      </c>
      <c r="AC16" s="24">
        <v>34</v>
      </c>
      <c r="AD16" s="24"/>
      <c r="AE16" s="26">
        <f t="shared" si="2"/>
        <v>466.56000000000006</v>
      </c>
      <c r="AF16" s="24"/>
      <c r="AG16" s="27"/>
      <c r="AH16" s="29"/>
    </row>
    <row r="17" spans="1:41" s="28" customFormat="1" ht="26.25" customHeight="1" x14ac:dyDescent="0.25">
      <c r="A17" s="18">
        <v>45622</v>
      </c>
      <c r="B17" s="19"/>
      <c r="C17" s="20">
        <f t="shared" si="0"/>
        <v>0</v>
      </c>
      <c r="D17" s="19">
        <v>407</v>
      </c>
      <c r="E17" s="21">
        <f t="shared" si="1"/>
        <v>48.918269230769226</v>
      </c>
      <c r="F17" s="19">
        <v>2728</v>
      </c>
      <c r="G17" s="22">
        <f t="shared" ref="G17:G21" si="4">F17/215*25</f>
        <v>317.2093023255814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1249</v>
      </c>
      <c r="Q17" s="24"/>
      <c r="R17" s="24"/>
      <c r="S17" s="24"/>
      <c r="T17" s="24"/>
      <c r="U17" s="24"/>
      <c r="V17" s="24"/>
      <c r="W17" s="25">
        <v>1803</v>
      </c>
      <c r="X17" s="25"/>
      <c r="Y17" s="24">
        <v>196</v>
      </c>
      <c r="Z17" s="24"/>
      <c r="AA17" s="24">
        <v>208</v>
      </c>
      <c r="AB17" s="24">
        <v>486</v>
      </c>
      <c r="AC17" s="24">
        <v>41</v>
      </c>
      <c r="AD17" s="24"/>
      <c r="AE17" s="26">
        <f t="shared" si="2"/>
        <v>476.28000000000003</v>
      </c>
      <c r="AF17" s="24"/>
      <c r="AG17" s="27"/>
    </row>
    <row r="18" spans="1:41" s="28" customFormat="1" ht="26.25" customHeight="1" x14ac:dyDescent="0.25">
      <c r="A18" s="18">
        <v>45623</v>
      </c>
      <c r="B18" s="19"/>
      <c r="C18" s="20">
        <f t="shared" si="0"/>
        <v>0</v>
      </c>
      <c r="D18" s="19">
        <v>613</v>
      </c>
      <c r="E18" s="21">
        <f t="shared" si="1"/>
        <v>73.677884615384613</v>
      </c>
      <c r="F18" s="19">
        <v>2846</v>
      </c>
      <c r="G18" s="22">
        <f t="shared" si="4"/>
        <v>330.93023255813955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1316.2</v>
      </c>
      <c r="Q18" s="24"/>
      <c r="R18" s="24"/>
      <c r="S18" s="24"/>
      <c r="T18" s="24"/>
      <c r="U18" s="24"/>
      <c r="V18" s="12"/>
      <c r="W18" s="24">
        <v>1886</v>
      </c>
      <c r="X18" s="25"/>
      <c r="Y18" s="24">
        <v>219</v>
      </c>
      <c r="Z18" s="24"/>
      <c r="AA18" s="24">
        <v>216</v>
      </c>
      <c r="AB18" s="24">
        <v>522</v>
      </c>
      <c r="AC18" s="24">
        <v>59</v>
      </c>
      <c r="AD18" s="24"/>
      <c r="AE18" s="26">
        <f>Y18*2.43</f>
        <v>532.17000000000007</v>
      </c>
      <c r="AF18" s="24"/>
      <c r="AG18" s="27">
        <v>2</v>
      </c>
    </row>
    <row r="19" spans="1:41" s="28" customFormat="1" ht="26.25" customHeight="1" x14ac:dyDescent="0.25">
      <c r="A19" s="18">
        <v>45624</v>
      </c>
      <c r="B19" s="19"/>
      <c r="C19" s="20">
        <f>B19/200*25</f>
        <v>0</v>
      </c>
      <c r="D19" s="19">
        <v>559</v>
      </c>
      <c r="E19" s="21">
        <f>D19/208*25</f>
        <v>67.1875</v>
      </c>
      <c r="F19" s="19">
        <v>2996</v>
      </c>
      <c r="G19" s="22">
        <f t="shared" si="4"/>
        <v>348.37209302325579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1167.4000000000001</v>
      </c>
      <c r="Q19" s="24"/>
      <c r="R19" s="24"/>
      <c r="S19" s="24"/>
      <c r="T19" s="24"/>
      <c r="U19" s="24"/>
      <c r="V19" s="24"/>
      <c r="W19" s="25">
        <v>1784</v>
      </c>
      <c r="X19" s="25"/>
      <c r="Y19" s="24">
        <v>214</v>
      </c>
      <c r="Z19" s="24"/>
      <c r="AA19" s="24">
        <v>223</v>
      </c>
      <c r="AB19" s="24">
        <v>488</v>
      </c>
      <c r="AC19" s="24">
        <v>3</v>
      </c>
      <c r="AD19" s="24"/>
      <c r="AE19" s="26">
        <f>Y19*2.43</f>
        <v>520.02</v>
      </c>
      <c r="AF19" s="24"/>
      <c r="AG19" s="27"/>
    </row>
    <row r="20" spans="1:41" s="28" customFormat="1" ht="26.25" customHeight="1" x14ac:dyDescent="0.25">
      <c r="A20" s="18">
        <v>45625</v>
      </c>
      <c r="B20" s="19"/>
      <c r="C20" s="20">
        <f t="shared" ref="C20:C21" si="6">B20/200*25</f>
        <v>0</v>
      </c>
      <c r="D20" s="19">
        <v>569</v>
      </c>
      <c r="E20" s="21">
        <f t="shared" ref="E20:E21" si="7">D20/208*25</f>
        <v>68.389423076923066</v>
      </c>
      <c r="F20" s="19">
        <v>2637</v>
      </c>
      <c r="G20" s="22">
        <f t="shared" si="4"/>
        <v>306.62790697674416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1201</v>
      </c>
      <c r="Q20" s="24"/>
      <c r="R20" s="24"/>
      <c r="S20" s="25"/>
      <c r="T20" s="24"/>
      <c r="U20" s="24"/>
      <c r="V20" s="24"/>
      <c r="W20" s="25">
        <v>1767</v>
      </c>
      <c r="X20" s="25"/>
      <c r="Y20" s="24">
        <v>195</v>
      </c>
      <c r="Z20" s="24"/>
      <c r="AA20" s="24">
        <v>340</v>
      </c>
      <c r="AB20" s="24">
        <v>443</v>
      </c>
      <c r="AC20" s="24"/>
      <c r="AD20" s="24"/>
      <c r="AE20" s="26">
        <f t="shared" ref="AE20:AE21" si="8">Y20*2.43</f>
        <v>473.85</v>
      </c>
      <c r="AF20" s="24"/>
      <c r="AG20" s="27">
        <v>1</v>
      </c>
    </row>
    <row r="21" spans="1:41" s="28" customFormat="1" ht="26.25" customHeight="1" x14ac:dyDescent="0.25">
      <c r="A21" s="18">
        <v>45626</v>
      </c>
      <c r="B21" s="19"/>
      <c r="C21" s="20">
        <f t="shared" si="6"/>
        <v>0</v>
      </c>
      <c r="D21" s="19">
        <v>551</v>
      </c>
      <c r="E21" s="21">
        <f t="shared" si="7"/>
        <v>66.225961538461547</v>
      </c>
      <c r="F21" s="19">
        <v>2618</v>
      </c>
      <c r="G21" s="22">
        <f t="shared" si="4"/>
        <v>304.41860465116275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862</v>
      </c>
      <c r="Q21" s="24"/>
      <c r="R21" s="24"/>
      <c r="S21" s="25"/>
      <c r="T21" s="24"/>
      <c r="U21" s="24"/>
      <c r="V21" s="24"/>
      <c r="W21" s="25">
        <v>1439</v>
      </c>
      <c r="X21" s="25"/>
      <c r="Y21" s="24">
        <v>177</v>
      </c>
      <c r="Z21" s="24"/>
      <c r="AA21" s="24">
        <v>185</v>
      </c>
      <c r="AB21" s="24">
        <v>385</v>
      </c>
      <c r="AC21" s="24"/>
      <c r="AD21" s="24"/>
      <c r="AE21" s="26">
        <f t="shared" si="8"/>
        <v>430.11</v>
      </c>
      <c r="AF21" s="24"/>
      <c r="AG21" s="27">
        <v>2</v>
      </c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3184</v>
      </c>
      <c r="E22" s="33">
        <f t="shared" si="9"/>
        <v>382.69230769230768</v>
      </c>
      <c r="F22" s="31">
        <f t="shared" si="9"/>
        <v>16337</v>
      </c>
      <c r="G22" s="33">
        <f t="shared" si="9"/>
        <v>1899.6511627906975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7041.6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0</v>
      </c>
      <c r="W22" s="31">
        <f t="shared" si="9"/>
        <v>10435</v>
      </c>
      <c r="X22" s="31">
        <f t="shared" si="9"/>
        <v>0</v>
      </c>
      <c r="Y22" s="31">
        <f t="shared" si="9"/>
        <v>1193</v>
      </c>
      <c r="Z22" s="31">
        <f t="shared" si="9"/>
        <v>0</v>
      </c>
      <c r="AA22" s="31">
        <f t="shared" si="9"/>
        <v>1371</v>
      </c>
      <c r="AB22" s="31">
        <f t="shared" si="9"/>
        <v>2838</v>
      </c>
      <c r="AC22" s="31">
        <f t="shared" si="9"/>
        <v>137</v>
      </c>
      <c r="AD22" s="31">
        <f t="shared" si="9"/>
        <v>0</v>
      </c>
      <c r="AE22" s="33">
        <f t="shared" si="9"/>
        <v>2898.9900000000002</v>
      </c>
      <c r="AF22" s="33">
        <f t="shared" si="9"/>
        <v>0</v>
      </c>
      <c r="AG22" s="33">
        <f t="shared" si="9"/>
        <v>5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AG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45627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7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45628</v>
      </c>
      <c r="B16" s="19"/>
      <c r="C16" s="20">
        <f t="shared" si="0"/>
        <v>0</v>
      </c>
      <c r="D16" s="19">
        <v>305</v>
      </c>
      <c r="E16" s="21">
        <f>D16/208*25</f>
        <v>36.658653846153847</v>
      </c>
      <c r="F16" s="19">
        <v>3043</v>
      </c>
      <c r="G16" s="22">
        <f>F16/215*25</f>
        <v>353.83720930232556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1275</v>
      </c>
      <c r="Q16" s="24"/>
      <c r="R16" s="24"/>
      <c r="S16" s="25"/>
      <c r="T16" s="24"/>
      <c r="U16" s="24"/>
      <c r="V16" s="24"/>
      <c r="W16" s="25">
        <v>1899</v>
      </c>
      <c r="X16" s="25"/>
      <c r="Y16" s="24">
        <v>211</v>
      </c>
      <c r="Z16" s="24"/>
      <c r="AA16" s="24">
        <v>285</v>
      </c>
      <c r="AB16" s="24">
        <v>459</v>
      </c>
      <c r="AC16" s="24"/>
      <c r="AD16" s="24"/>
      <c r="AE16" s="26">
        <f t="shared" si="2"/>
        <v>512.73</v>
      </c>
      <c r="AF16" s="24"/>
      <c r="AG16" s="27"/>
      <c r="AH16" s="29"/>
    </row>
    <row r="17" spans="1:41" s="28" customFormat="1" ht="26.25" customHeight="1" x14ac:dyDescent="0.25">
      <c r="A17" s="18">
        <v>45629</v>
      </c>
      <c r="B17" s="19"/>
      <c r="C17" s="20">
        <f t="shared" si="0"/>
        <v>0</v>
      </c>
      <c r="D17" s="19"/>
      <c r="E17" s="21">
        <f t="shared" si="1"/>
        <v>0</v>
      </c>
      <c r="F17" s="19">
        <v>3647</v>
      </c>
      <c r="G17" s="22">
        <f t="shared" ref="G17:G21" si="4">F17/215*25</f>
        <v>424.06976744186045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1345.2</v>
      </c>
      <c r="Q17" s="24"/>
      <c r="R17" s="24"/>
      <c r="S17" s="24"/>
      <c r="T17" s="24"/>
      <c r="U17" s="24"/>
      <c r="V17" s="24"/>
      <c r="W17" s="25">
        <v>2020</v>
      </c>
      <c r="X17" s="25"/>
      <c r="Y17" s="24">
        <v>220</v>
      </c>
      <c r="Z17" s="24"/>
      <c r="AA17" s="24">
        <v>305</v>
      </c>
      <c r="AB17" s="24">
        <v>468</v>
      </c>
      <c r="AC17" s="24"/>
      <c r="AD17" s="24"/>
      <c r="AE17" s="26">
        <f t="shared" si="2"/>
        <v>534.6</v>
      </c>
      <c r="AF17" s="24"/>
      <c r="AG17" s="27"/>
    </row>
    <row r="18" spans="1:41" s="28" customFormat="1" ht="26.25" customHeight="1" x14ac:dyDescent="0.25">
      <c r="A18" s="18">
        <v>45630</v>
      </c>
      <c r="B18" s="19"/>
      <c r="C18" s="20">
        <f t="shared" si="0"/>
        <v>0</v>
      </c>
      <c r="D18" s="19"/>
      <c r="E18" s="21">
        <f t="shared" si="1"/>
        <v>0</v>
      </c>
      <c r="F18" s="19">
        <v>3479</v>
      </c>
      <c r="G18" s="22">
        <f t="shared" si="4"/>
        <v>404.53488372093022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1287</v>
      </c>
      <c r="Q18" s="24"/>
      <c r="R18" s="24"/>
      <c r="S18" s="24"/>
      <c r="T18" s="24"/>
      <c r="U18" s="24"/>
      <c r="V18" s="12">
        <v>33</v>
      </c>
      <c r="W18" s="24">
        <v>1883</v>
      </c>
      <c r="X18" s="25"/>
      <c r="Y18" s="24">
        <v>229</v>
      </c>
      <c r="Z18" s="24"/>
      <c r="AA18" s="24">
        <v>334</v>
      </c>
      <c r="AB18" s="24">
        <v>395</v>
      </c>
      <c r="AC18" s="24"/>
      <c r="AD18" s="24"/>
      <c r="AE18" s="26">
        <f>Y18*2.43</f>
        <v>556.47</v>
      </c>
      <c r="AF18" s="24"/>
      <c r="AG18" s="27"/>
    </row>
    <row r="19" spans="1:41" s="28" customFormat="1" ht="26.25" customHeight="1" x14ac:dyDescent="0.25">
      <c r="A19" s="18">
        <v>45631</v>
      </c>
      <c r="B19" s="19"/>
      <c r="C19" s="20">
        <f>B19/200*25</f>
        <v>0</v>
      </c>
      <c r="D19" s="19"/>
      <c r="E19" s="21">
        <f>D19/208*25</f>
        <v>0</v>
      </c>
      <c r="F19" s="19">
        <v>3183</v>
      </c>
      <c r="G19" s="22">
        <f t="shared" si="4"/>
        <v>370.11627906976747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1146.4000000000001</v>
      </c>
      <c r="Q19" s="24"/>
      <c r="R19" s="24"/>
      <c r="S19" s="24"/>
      <c r="T19" s="24"/>
      <c r="U19" s="24"/>
      <c r="V19" s="24">
        <v>61</v>
      </c>
      <c r="W19" s="25">
        <v>1685</v>
      </c>
      <c r="X19" s="25"/>
      <c r="Y19" s="24">
        <v>194</v>
      </c>
      <c r="Z19" s="24"/>
      <c r="AA19" s="24">
        <v>336</v>
      </c>
      <c r="AB19" s="24">
        <v>368</v>
      </c>
      <c r="AC19" s="24"/>
      <c r="AD19" s="24"/>
      <c r="AE19" s="26">
        <f>Y19*2.43</f>
        <v>471.42</v>
      </c>
      <c r="AF19" s="24"/>
      <c r="AG19" s="27"/>
    </row>
    <row r="20" spans="1:41" s="28" customFormat="1" ht="26.25" customHeight="1" x14ac:dyDescent="0.25">
      <c r="A20" s="18">
        <v>45632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2858</v>
      </c>
      <c r="G20" s="22">
        <f t="shared" si="4"/>
        <v>332.32558139534882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1040</v>
      </c>
      <c r="Q20" s="24"/>
      <c r="R20" s="24"/>
      <c r="S20" s="25"/>
      <c r="T20" s="24"/>
      <c r="U20" s="24"/>
      <c r="V20" s="24">
        <v>56</v>
      </c>
      <c r="W20" s="25">
        <v>1502</v>
      </c>
      <c r="X20" s="25"/>
      <c r="Y20" s="24">
        <v>172</v>
      </c>
      <c r="Z20" s="24"/>
      <c r="AA20" s="24">
        <v>278</v>
      </c>
      <c r="AB20" s="24">
        <v>372</v>
      </c>
      <c r="AC20" s="24"/>
      <c r="AD20" s="24"/>
      <c r="AE20" s="26">
        <f t="shared" ref="AE20:AE21" si="8">Y20*2.43</f>
        <v>417.96000000000004</v>
      </c>
      <c r="AF20" s="24"/>
      <c r="AG20" s="27"/>
    </row>
    <row r="21" spans="1:41" s="28" customFormat="1" ht="26.25" customHeight="1" x14ac:dyDescent="0.25">
      <c r="A21" s="18">
        <v>45633</v>
      </c>
      <c r="B21" s="19"/>
      <c r="C21" s="20">
        <f t="shared" si="6"/>
        <v>0</v>
      </c>
      <c r="D21" s="19"/>
      <c r="E21" s="21">
        <f t="shared" si="7"/>
        <v>0</v>
      </c>
      <c r="F21" s="19">
        <v>3218</v>
      </c>
      <c r="G21" s="22">
        <f t="shared" si="4"/>
        <v>374.18604651162792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1139</v>
      </c>
      <c r="Q21" s="24"/>
      <c r="R21" s="24"/>
      <c r="S21" s="25"/>
      <c r="T21" s="24"/>
      <c r="U21" s="24"/>
      <c r="V21" s="24">
        <v>62</v>
      </c>
      <c r="W21" s="25">
        <v>1663</v>
      </c>
      <c r="X21" s="25"/>
      <c r="Y21" s="24">
        <v>178</v>
      </c>
      <c r="Z21" s="24"/>
      <c r="AA21" s="24">
        <v>267</v>
      </c>
      <c r="AB21" s="24">
        <v>358</v>
      </c>
      <c r="AC21" s="24"/>
      <c r="AD21" s="24"/>
      <c r="AE21" s="26">
        <f t="shared" si="8"/>
        <v>432.54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305</v>
      </c>
      <c r="E22" s="33">
        <f t="shared" si="9"/>
        <v>36.658653846153847</v>
      </c>
      <c r="F22" s="31">
        <f t="shared" si="9"/>
        <v>19428</v>
      </c>
      <c r="G22" s="33">
        <f t="shared" si="9"/>
        <v>2259.0697674418607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7232.6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212</v>
      </c>
      <c r="W22" s="31">
        <f t="shared" si="9"/>
        <v>10652</v>
      </c>
      <c r="X22" s="31">
        <f t="shared" si="9"/>
        <v>0</v>
      </c>
      <c r="Y22" s="31">
        <f t="shared" si="9"/>
        <v>1204</v>
      </c>
      <c r="Z22" s="31">
        <f t="shared" si="9"/>
        <v>0</v>
      </c>
      <c r="AA22" s="31">
        <f t="shared" si="9"/>
        <v>1805</v>
      </c>
      <c r="AB22" s="31">
        <f t="shared" si="9"/>
        <v>2420</v>
      </c>
      <c r="AC22" s="31">
        <f t="shared" si="9"/>
        <v>0</v>
      </c>
      <c r="AD22" s="31">
        <f t="shared" si="9"/>
        <v>0</v>
      </c>
      <c r="AE22" s="33">
        <f t="shared" si="9"/>
        <v>2925.72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103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AG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45634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7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45635</v>
      </c>
      <c r="B16" s="19"/>
      <c r="C16" s="20">
        <f t="shared" si="0"/>
        <v>0</v>
      </c>
      <c r="D16" s="19"/>
      <c r="E16" s="21">
        <f>D16/208*25</f>
        <v>0</v>
      </c>
      <c r="F16" s="19">
        <v>3098</v>
      </c>
      <c r="G16" s="22">
        <f>F16/215*25</f>
        <v>360.23255813953489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1218</v>
      </c>
      <c r="Q16" s="24"/>
      <c r="R16" s="24"/>
      <c r="S16" s="25"/>
      <c r="T16" s="24"/>
      <c r="U16" s="24"/>
      <c r="V16" s="24">
        <v>66</v>
      </c>
      <c r="W16" s="25">
        <v>1726</v>
      </c>
      <c r="X16" s="25"/>
      <c r="Y16" s="24">
        <v>188</v>
      </c>
      <c r="Z16" s="24"/>
      <c r="AA16" s="24">
        <v>298</v>
      </c>
      <c r="AB16" s="24">
        <v>392</v>
      </c>
      <c r="AC16" s="24"/>
      <c r="AD16" s="24"/>
      <c r="AE16" s="26">
        <f t="shared" si="2"/>
        <v>456.84000000000003</v>
      </c>
      <c r="AF16" s="24"/>
      <c r="AG16" s="27"/>
      <c r="AH16" s="29"/>
    </row>
    <row r="17" spans="1:41" s="28" customFormat="1" ht="26.25" customHeight="1" x14ac:dyDescent="0.25">
      <c r="A17" s="18">
        <v>45636</v>
      </c>
      <c r="B17" s="19"/>
      <c r="C17" s="20">
        <f t="shared" si="0"/>
        <v>0</v>
      </c>
      <c r="D17" s="19"/>
      <c r="E17" s="21">
        <f t="shared" si="1"/>
        <v>0</v>
      </c>
      <c r="F17" s="19">
        <v>3907</v>
      </c>
      <c r="G17" s="22">
        <f t="shared" ref="G17:G21" si="4">F17/215*25</f>
        <v>454.30232558139539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1453</v>
      </c>
      <c r="Q17" s="24"/>
      <c r="R17" s="24"/>
      <c r="S17" s="24"/>
      <c r="T17" s="24"/>
      <c r="U17" s="24"/>
      <c r="V17" s="24">
        <v>82</v>
      </c>
      <c r="W17" s="25">
        <v>2100</v>
      </c>
      <c r="X17" s="25"/>
      <c r="Y17" s="24">
        <v>218</v>
      </c>
      <c r="Z17" s="24"/>
      <c r="AA17" s="24">
        <v>328</v>
      </c>
      <c r="AB17" s="24">
        <v>509</v>
      </c>
      <c r="AC17" s="24"/>
      <c r="AD17" s="24"/>
      <c r="AE17" s="26">
        <f t="shared" si="2"/>
        <v>529.74</v>
      </c>
      <c r="AF17" s="24"/>
      <c r="AG17" s="27"/>
    </row>
    <row r="18" spans="1:41" s="28" customFormat="1" ht="26.25" customHeight="1" x14ac:dyDescent="0.25">
      <c r="A18" s="18">
        <v>45637</v>
      </c>
      <c r="B18" s="19"/>
      <c r="C18" s="20">
        <f t="shared" si="0"/>
        <v>0</v>
      </c>
      <c r="D18" s="19"/>
      <c r="E18" s="21">
        <f t="shared" si="1"/>
        <v>0</v>
      </c>
      <c r="F18" s="19">
        <v>3564</v>
      </c>
      <c r="G18" s="22">
        <f t="shared" si="4"/>
        <v>414.41860465116281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1223</v>
      </c>
      <c r="Q18" s="24"/>
      <c r="R18" s="24"/>
      <c r="S18" s="24"/>
      <c r="T18" s="24"/>
      <c r="U18" s="24"/>
      <c r="V18" s="12">
        <v>68</v>
      </c>
      <c r="W18" s="24">
        <v>1811</v>
      </c>
      <c r="X18" s="25"/>
      <c r="Y18" s="24">
        <v>200</v>
      </c>
      <c r="Z18" s="24"/>
      <c r="AA18" s="24">
        <v>330</v>
      </c>
      <c r="AB18" s="24">
        <v>401</v>
      </c>
      <c r="AC18" s="24"/>
      <c r="AD18" s="24"/>
      <c r="AE18" s="26">
        <f>Y18*2.43</f>
        <v>486.00000000000006</v>
      </c>
      <c r="AF18" s="24"/>
      <c r="AG18" s="27"/>
    </row>
    <row r="19" spans="1:41" s="28" customFormat="1" ht="26.25" customHeight="1" x14ac:dyDescent="0.25">
      <c r="A19" s="18">
        <v>45638</v>
      </c>
      <c r="B19" s="19"/>
      <c r="C19" s="20">
        <f>B19/200*25</f>
        <v>0</v>
      </c>
      <c r="D19" s="19"/>
      <c r="E19" s="21">
        <f>D19/208*25</f>
        <v>0</v>
      </c>
      <c r="F19" s="19">
        <v>3791</v>
      </c>
      <c r="G19" s="22">
        <f t="shared" si="4"/>
        <v>440.81395348837208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1144</v>
      </c>
      <c r="Q19" s="24"/>
      <c r="R19" s="24"/>
      <c r="S19" s="24"/>
      <c r="T19" s="24"/>
      <c r="U19" s="24"/>
      <c r="V19" s="24">
        <v>12</v>
      </c>
      <c r="W19" s="25">
        <v>1824</v>
      </c>
      <c r="X19" s="25"/>
      <c r="Y19" s="24">
        <v>204</v>
      </c>
      <c r="Z19" s="24"/>
      <c r="AA19" s="24">
        <v>302</v>
      </c>
      <c r="AB19" s="24">
        <v>410</v>
      </c>
      <c r="AC19" s="24"/>
      <c r="AD19" s="24"/>
      <c r="AE19" s="26">
        <f>Y19*2.43</f>
        <v>495.72</v>
      </c>
      <c r="AF19" s="24"/>
      <c r="AG19" s="27"/>
    </row>
    <row r="20" spans="1:41" s="28" customFormat="1" ht="26.25" customHeight="1" x14ac:dyDescent="0.25">
      <c r="A20" s="18">
        <v>45639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3365</v>
      </c>
      <c r="G20" s="22">
        <f t="shared" si="4"/>
        <v>391.27906976744185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1185</v>
      </c>
      <c r="Q20" s="24"/>
      <c r="R20" s="24"/>
      <c r="S20" s="25"/>
      <c r="T20" s="24"/>
      <c r="U20" s="24"/>
      <c r="V20" s="24"/>
      <c r="W20" s="25">
        <v>1788</v>
      </c>
      <c r="X20" s="25"/>
      <c r="Y20" s="24">
        <v>203</v>
      </c>
      <c r="Z20" s="24"/>
      <c r="AA20" s="24">
        <v>263</v>
      </c>
      <c r="AB20" s="24">
        <v>421</v>
      </c>
      <c r="AC20" s="24"/>
      <c r="AD20" s="24"/>
      <c r="AE20" s="26">
        <f t="shared" ref="AE20:AE21" si="8">Y20*2.43</f>
        <v>493.29</v>
      </c>
      <c r="AF20" s="24"/>
      <c r="AG20" s="27"/>
    </row>
    <row r="21" spans="1:41" s="28" customFormat="1" ht="26.25" customHeight="1" x14ac:dyDescent="0.25">
      <c r="A21" s="18">
        <v>45640</v>
      </c>
      <c r="B21" s="19"/>
      <c r="C21" s="20">
        <f t="shared" si="6"/>
        <v>0</v>
      </c>
      <c r="D21" s="19"/>
      <c r="E21" s="21">
        <f t="shared" si="7"/>
        <v>0</v>
      </c>
      <c r="F21" s="19">
        <v>2603</v>
      </c>
      <c r="G21" s="22">
        <f t="shared" si="4"/>
        <v>302.67441860465112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1082</v>
      </c>
      <c r="Q21" s="24"/>
      <c r="R21" s="24"/>
      <c r="S21" s="25"/>
      <c r="T21" s="24"/>
      <c r="U21" s="24"/>
      <c r="V21" s="24"/>
      <c r="W21" s="25">
        <v>1583</v>
      </c>
      <c r="X21" s="25"/>
      <c r="Y21" s="24">
        <v>170</v>
      </c>
      <c r="Z21" s="24"/>
      <c r="AA21" s="24">
        <v>322</v>
      </c>
      <c r="AB21" s="24">
        <v>311</v>
      </c>
      <c r="AC21" s="24"/>
      <c r="AD21" s="24"/>
      <c r="AE21" s="26">
        <f t="shared" si="8"/>
        <v>413.1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0</v>
      </c>
      <c r="E22" s="33">
        <f t="shared" si="9"/>
        <v>0</v>
      </c>
      <c r="F22" s="31">
        <f t="shared" si="9"/>
        <v>20328</v>
      </c>
      <c r="G22" s="33">
        <f t="shared" si="9"/>
        <v>2363.7209302325582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7305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228</v>
      </c>
      <c r="W22" s="31">
        <f t="shared" si="9"/>
        <v>10832</v>
      </c>
      <c r="X22" s="31">
        <f t="shared" si="9"/>
        <v>0</v>
      </c>
      <c r="Y22" s="31">
        <f t="shared" si="9"/>
        <v>1183</v>
      </c>
      <c r="Z22" s="31">
        <f t="shared" si="9"/>
        <v>0</v>
      </c>
      <c r="AA22" s="31">
        <f t="shared" si="9"/>
        <v>1843</v>
      </c>
      <c r="AB22" s="31">
        <f t="shared" si="9"/>
        <v>2444</v>
      </c>
      <c r="AC22" s="31">
        <f t="shared" si="9"/>
        <v>0</v>
      </c>
      <c r="AD22" s="31">
        <f t="shared" si="9"/>
        <v>0</v>
      </c>
      <c r="AE22" s="33">
        <f t="shared" si="9"/>
        <v>2874.69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103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7"/>
  <sheetViews>
    <sheetView zoomScaleNormal="100" workbookViewId="0">
      <selection activeCell="A15" sqref="A15:XFD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45641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7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45642</v>
      </c>
      <c r="B16" s="19"/>
      <c r="C16" s="20">
        <f t="shared" si="0"/>
        <v>0</v>
      </c>
      <c r="D16" s="19"/>
      <c r="E16" s="21">
        <f>D16/208*25</f>
        <v>0</v>
      </c>
      <c r="F16" s="19">
        <v>3555</v>
      </c>
      <c r="G16" s="22">
        <f>F16/215*25</f>
        <v>413.37209302325579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1228.5999999999999</v>
      </c>
      <c r="Q16" s="24"/>
      <c r="R16" s="24"/>
      <c r="S16" s="25"/>
      <c r="T16" s="24"/>
      <c r="U16" s="24"/>
      <c r="V16" s="24"/>
      <c r="W16" s="25">
        <v>1876</v>
      </c>
      <c r="X16" s="25"/>
      <c r="Y16" s="24">
        <v>197</v>
      </c>
      <c r="Z16" s="24"/>
      <c r="AA16" s="24">
        <v>319</v>
      </c>
      <c r="AB16" s="24">
        <v>461</v>
      </c>
      <c r="AC16" s="24"/>
      <c r="AD16" s="24"/>
      <c r="AE16" s="26">
        <f t="shared" si="2"/>
        <v>478.71000000000004</v>
      </c>
      <c r="AF16" s="24"/>
      <c r="AG16" s="27"/>
      <c r="AH16" s="29"/>
    </row>
    <row r="17" spans="1:41" s="28" customFormat="1" ht="26.25" customHeight="1" x14ac:dyDescent="0.25">
      <c r="A17" s="18">
        <v>45643</v>
      </c>
      <c r="B17" s="19"/>
      <c r="C17" s="20">
        <f t="shared" si="0"/>
        <v>0</v>
      </c>
      <c r="D17" s="19"/>
      <c r="E17" s="21">
        <f t="shared" si="1"/>
        <v>0</v>
      </c>
      <c r="F17" s="19">
        <v>3810</v>
      </c>
      <c r="G17" s="22">
        <f t="shared" ref="G17:G22" si="4">F17/215*25</f>
        <v>443.02325581395348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2" si="5">N17/38*25</f>
        <v>0</v>
      </c>
      <c r="P17" s="23">
        <v>1321</v>
      </c>
      <c r="Q17" s="24"/>
      <c r="R17" s="24"/>
      <c r="S17" s="24"/>
      <c r="T17" s="24"/>
      <c r="U17" s="24"/>
      <c r="V17" s="24"/>
      <c r="W17" s="25">
        <v>2030</v>
      </c>
      <c r="X17" s="25"/>
      <c r="Y17" s="24">
        <v>206</v>
      </c>
      <c r="Z17" s="24"/>
      <c r="AA17" s="24">
        <v>338</v>
      </c>
      <c r="AB17" s="24">
        <v>428</v>
      </c>
      <c r="AC17" s="24"/>
      <c r="AD17" s="24"/>
      <c r="AE17" s="26">
        <f t="shared" si="2"/>
        <v>500.58000000000004</v>
      </c>
      <c r="AF17" s="24"/>
      <c r="AG17" s="27"/>
    </row>
    <row r="18" spans="1:41" s="28" customFormat="1" ht="26.25" customHeight="1" x14ac:dyDescent="0.25">
      <c r="A18" s="18">
        <v>45644</v>
      </c>
      <c r="B18" s="19"/>
      <c r="C18" s="20">
        <f t="shared" si="0"/>
        <v>0</v>
      </c>
      <c r="D18" s="19"/>
      <c r="E18" s="21">
        <f t="shared" si="1"/>
        <v>0</v>
      </c>
      <c r="F18" s="19">
        <v>3798</v>
      </c>
      <c r="G18" s="22">
        <f t="shared" si="4"/>
        <v>441.62790697674421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1410.4</v>
      </c>
      <c r="Q18" s="24"/>
      <c r="R18" s="24"/>
      <c r="S18" s="24"/>
      <c r="T18" s="24"/>
      <c r="U18" s="24"/>
      <c r="V18" s="12"/>
      <c r="W18" s="24">
        <v>2143</v>
      </c>
      <c r="X18" s="25"/>
      <c r="Y18" s="24">
        <v>212</v>
      </c>
      <c r="Z18" s="24"/>
      <c r="AA18" s="24">
        <v>356</v>
      </c>
      <c r="AB18" s="24">
        <v>514</v>
      </c>
      <c r="AC18" s="24"/>
      <c r="AD18" s="24"/>
      <c r="AE18" s="26">
        <f>Y18*2.43</f>
        <v>515.16000000000008</v>
      </c>
      <c r="AF18" s="24"/>
      <c r="AG18" s="27"/>
    </row>
    <row r="19" spans="1:41" s="28" customFormat="1" ht="26.25" customHeight="1" x14ac:dyDescent="0.25">
      <c r="A19" s="18">
        <v>45645</v>
      </c>
      <c r="B19" s="19"/>
      <c r="C19" s="20">
        <f>B19/200*25</f>
        <v>0</v>
      </c>
      <c r="D19" s="19"/>
      <c r="E19" s="21">
        <f>D19/208*25</f>
        <v>0</v>
      </c>
      <c r="F19" s="19">
        <v>3264</v>
      </c>
      <c r="G19" s="22">
        <f t="shared" si="4"/>
        <v>379.53488372093022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1236.2</v>
      </c>
      <c r="Q19" s="24"/>
      <c r="R19" s="24"/>
      <c r="S19" s="24"/>
      <c r="T19" s="24"/>
      <c r="U19" s="24"/>
      <c r="V19" s="24"/>
      <c r="W19" s="25">
        <v>1856</v>
      </c>
      <c r="X19" s="25"/>
      <c r="Y19" s="24">
        <v>193</v>
      </c>
      <c r="Z19" s="24"/>
      <c r="AA19" s="24">
        <v>260</v>
      </c>
      <c r="AB19" s="24">
        <v>445</v>
      </c>
      <c r="AC19" s="24"/>
      <c r="AD19" s="24"/>
      <c r="AE19" s="26">
        <f>Y19*2.43</f>
        <v>468.99</v>
      </c>
      <c r="AF19" s="24"/>
      <c r="AG19" s="27"/>
    </row>
    <row r="20" spans="1:41" s="28" customFormat="1" ht="26.25" customHeight="1" x14ac:dyDescent="0.25">
      <c r="A20" s="18">
        <v>45646</v>
      </c>
      <c r="B20" s="19"/>
      <c r="C20" s="20">
        <f t="shared" ref="C20:C22" si="6">B20/200*25</f>
        <v>0</v>
      </c>
      <c r="D20" s="19"/>
      <c r="E20" s="21">
        <f t="shared" ref="E20:E22" si="7">D20/208*25</f>
        <v>0</v>
      </c>
      <c r="F20" s="19">
        <v>3535</v>
      </c>
      <c r="G20" s="22">
        <f t="shared" si="4"/>
        <v>411.04651162790697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1321.6</v>
      </c>
      <c r="Q20" s="24"/>
      <c r="R20" s="24"/>
      <c r="S20" s="25"/>
      <c r="T20" s="24"/>
      <c r="U20" s="24"/>
      <c r="V20" s="24"/>
      <c r="W20" s="25">
        <v>1984</v>
      </c>
      <c r="X20" s="25"/>
      <c r="Y20" s="24">
        <v>195</v>
      </c>
      <c r="Z20" s="24"/>
      <c r="AA20" s="24">
        <v>257</v>
      </c>
      <c r="AB20" s="24">
        <v>508</v>
      </c>
      <c r="AC20" s="24"/>
      <c r="AD20" s="24"/>
      <c r="AE20" s="26">
        <f t="shared" ref="AE20:AE22" si="8">Y20*2.43</f>
        <v>473.85</v>
      </c>
      <c r="AF20" s="24"/>
      <c r="AG20" s="27"/>
    </row>
    <row r="21" spans="1:41" s="28" customFormat="1" ht="26.25" customHeight="1" x14ac:dyDescent="0.25">
      <c r="A21" s="18">
        <v>45647</v>
      </c>
      <c r="B21" s="19"/>
      <c r="C21" s="20">
        <f t="shared" ref="C21" si="9">B21/200*25</f>
        <v>0</v>
      </c>
      <c r="D21" s="19"/>
      <c r="E21" s="21">
        <f t="shared" ref="E21" si="10">D21/208*25</f>
        <v>0</v>
      </c>
      <c r="F21" s="19">
        <v>3592</v>
      </c>
      <c r="G21" s="22">
        <f t="shared" ref="G21" si="11">F21/215*25</f>
        <v>417.67441860465118</v>
      </c>
      <c r="H21" s="19"/>
      <c r="I21" s="23"/>
      <c r="J21" s="19"/>
      <c r="K21" s="19"/>
      <c r="L21" s="19"/>
      <c r="M21" s="19"/>
      <c r="N21" s="19"/>
      <c r="O21" s="23">
        <f t="shared" ref="O21" si="12">N21/38*25</f>
        <v>0</v>
      </c>
      <c r="P21" s="23">
        <v>1291</v>
      </c>
      <c r="Q21" s="24"/>
      <c r="R21" s="24"/>
      <c r="S21" s="25"/>
      <c r="T21" s="24"/>
      <c r="U21" s="24"/>
      <c r="V21" s="24"/>
      <c r="W21" s="25">
        <v>1935</v>
      </c>
      <c r="X21" s="25"/>
      <c r="Y21" s="24">
        <v>203</v>
      </c>
      <c r="Z21" s="24"/>
      <c r="AA21" s="24">
        <v>315</v>
      </c>
      <c r="AB21" s="24">
        <v>461</v>
      </c>
      <c r="AC21" s="24"/>
      <c r="AD21" s="24"/>
      <c r="AE21" s="26">
        <f t="shared" ref="AE21" si="13">Y21*2.43</f>
        <v>493.29</v>
      </c>
      <c r="AF21" s="24"/>
      <c r="AG21" s="27"/>
    </row>
    <row r="22" spans="1:41" s="28" customFormat="1" ht="26.25" customHeight="1" x14ac:dyDescent="0.25">
      <c r="A22" s="18">
        <v>45648</v>
      </c>
      <c r="B22" s="19"/>
      <c r="C22" s="20">
        <f t="shared" si="6"/>
        <v>0</v>
      </c>
      <c r="D22" s="19"/>
      <c r="E22" s="21">
        <f t="shared" si="7"/>
        <v>0</v>
      </c>
      <c r="F22" s="19">
        <v>2595</v>
      </c>
      <c r="G22" s="22">
        <f t="shared" si="4"/>
        <v>301.74418604651163</v>
      </c>
      <c r="H22" s="19"/>
      <c r="I22" s="23"/>
      <c r="J22" s="19"/>
      <c r="K22" s="19"/>
      <c r="L22" s="19"/>
      <c r="M22" s="19"/>
      <c r="N22" s="19"/>
      <c r="O22" s="23">
        <f t="shared" si="5"/>
        <v>0</v>
      </c>
      <c r="P22" s="23">
        <v>1124.4000000000001</v>
      </c>
      <c r="Q22" s="24"/>
      <c r="R22" s="24"/>
      <c r="S22" s="25"/>
      <c r="T22" s="24"/>
      <c r="U22" s="24"/>
      <c r="V22" s="24"/>
      <c r="W22" s="25">
        <v>1651</v>
      </c>
      <c r="X22" s="25"/>
      <c r="Y22" s="24">
        <v>174</v>
      </c>
      <c r="Z22" s="24"/>
      <c r="AA22" s="24">
        <v>224</v>
      </c>
      <c r="AB22" s="24">
        <v>413</v>
      </c>
      <c r="AC22" s="24"/>
      <c r="AD22" s="24"/>
      <c r="AE22" s="26">
        <f t="shared" si="8"/>
        <v>422.82000000000005</v>
      </c>
      <c r="AF22" s="24"/>
      <c r="AG22" s="27"/>
    </row>
    <row r="23" spans="1:41" ht="33" customHeight="1" thickBot="1" x14ac:dyDescent="0.3">
      <c r="A23" s="30" t="s">
        <v>30</v>
      </c>
      <c r="B23" s="31">
        <f t="shared" ref="B23:AG23" si="14">SUM(B15:B22)</f>
        <v>0</v>
      </c>
      <c r="C23" s="32">
        <f t="shared" si="14"/>
        <v>0</v>
      </c>
      <c r="D23" s="31">
        <f t="shared" si="14"/>
        <v>0</v>
      </c>
      <c r="E23" s="33">
        <f t="shared" si="14"/>
        <v>0</v>
      </c>
      <c r="F23" s="31">
        <f t="shared" si="14"/>
        <v>24149</v>
      </c>
      <c r="G23" s="33">
        <f t="shared" si="14"/>
        <v>2808.0232558139533</v>
      </c>
      <c r="H23" s="31">
        <f t="shared" si="14"/>
        <v>0</v>
      </c>
      <c r="I23" s="33">
        <f t="shared" si="14"/>
        <v>0</v>
      </c>
      <c r="J23" s="31">
        <f t="shared" si="14"/>
        <v>0</v>
      </c>
      <c r="K23" s="31">
        <f t="shared" si="14"/>
        <v>0</v>
      </c>
      <c r="L23" s="31">
        <f t="shared" si="14"/>
        <v>0</v>
      </c>
      <c r="M23" s="31">
        <f t="shared" si="14"/>
        <v>0</v>
      </c>
      <c r="N23" s="31">
        <f t="shared" si="14"/>
        <v>0</v>
      </c>
      <c r="O23" s="33">
        <f t="shared" si="14"/>
        <v>0</v>
      </c>
      <c r="P23" s="33">
        <f t="shared" si="14"/>
        <v>8933.1999999999989</v>
      </c>
      <c r="Q23" s="31">
        <f t="shared" si="14"/>
        <v>0</v>
      </c>
      <c r="R23" s="31">
        <f t="shared" si="14"/>
        <v>0</v>
      </c>
      <c r="S23" s="31">
        <f t="shared" si="14"/>
        <v>0</v>
      </c>
      <c r="T23" s="31">
        <f t="shared" si="14"/>
        <v>0</v>
      </c>
      <c r="U23" s="31">
        <f t="shared" si="14"/>
        <v>0</v>
      </c>
      <c r="V23" s="31">
        <f t="shared" si="14"/>
        <v>0</v>
      </c>
      <c r="W23" s="31">
        <f t="shared" si="14"/>
        <v>13475</v>
      </c>
      <c r="X23" s="31">
        <f t="shared" si="14"/>
        <v>0</v>
      </c>
      <c r="Y23" s="31">
        <f t="shared" si="14"/>
        <v>1380</v>
      </c>
      <c r="Z23" s="31">
        <f t="shared" si="14"/>
        <v>0</v>
      </c>
      <c r="AA23" s="31">
        <f t="shared" si="14"/>
        <v>2069</v>
      </c>
      <c r="AB23" s="31">
        <f t="shared" si="14"/>
        <v>3230</v>
      </c>
      <c r="AC23" s="31">
        <f t="shared" si="14"/>
        <v>0</v>
      </c>
      <c r="AD23" s="31">
        <f t="shared" si="14"/>
        <v>0</v>
      </c>
      <c r="AE23" s="33">
        <f t="shared" si="14"/>
        <v>3353.4000000000005</v>
      </c>
      <c r="AF23" s="33">
        <f t="shared" si="14"/>
        <v>0</v>
      </c>
      <c r="AG23" s="33">
        <f t="shared" si="14"/>
        <v>0</v>
      </c>
      <c r="AH23" s="54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H24" s="37"/>
      <c r="I24" s="37"/>
      <c r="J24" s="38"/>
      <c r="K24" s="37" t="s">
        <v>31</v>
      </c>
      <c r="L24" s="37"/>
      <c r="M24" s="37"/>
      <c r="N24" s="37"/>
      <c r="O24" s="37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ht="15.75" customHeight="1" x14ac:dyDescent="0.2">
      <c r="A25" s="35"/>
      <c r="B25" s="35"/>
      <c r="C25" s="35"/>
      <c r="D25" s="36"/>
      <c r="E25" s="36"/>
      <c r="F25" s="37"/>
      <c r="G25" s="37"/>
      <c r="J25" s="38"/>
      <c r="P25" s="39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7"/>
      <c r="AF25" s="38"/>
      <c r="AG25" s="38"/>
    </row>
    <row r="26" spans="1:41" s="41" customFormat="1" ht="21" customHeight="1" x14ac:dyDescent="0.3">
      <c r="A26" s="40" t="s">
        <v>32</v>
      </c>
      <c r="B26" s="40"/>
      <c r="C26" s="40"/>
      <c r="D26" s="40"/>
      <c r="E26" s="40"/>
      <c r="G26" s="40" t="s">
        <v>33</v>
      </c>
      <c r="H26" s="40"/>
      <c r="I26" s="40"/>
      <c r="J26" s="40"/>
      <c r="K26" s="40"/>
      <c r="L26" s="40"/>
      <c r="M26" s="40"/>
      <c r="P26" s="40"/>
      <c r="Q26" s="40"/>
      <c r="U26" s="42" t="s">
        <v>34</v>
      </c>
      <c r="AA26" s="40" t="s">
        <v>35</v>
      </c>
      <c r="AD26" s="74"/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  <c r="AD27" s="41" t="s">
        <v>31</v>
      </c>
      <c r="AJ27" s="43"/>
      <c r="AK27" s="43"/>
      <c r="AL27" s="43"/>
      <c r="AM27" s="43"/>
      <c r="AN27" s="43"/>
      <c r="AO27" s="43"/>
    </row>
    <row r="28" spans="1:41" s="41" customFormat="1" ht="21" customHeight="1" x14ac:dyDescent="0.3">
      <c r="A28" s="44"/>
      <c r="B28" s="44"/>
      <c r="C28" s="44"/>
      <c r="D28" s="40"/>
      <c r="E28" s="40"/>
      <c r="G28" s="40"/>
      <c r="H28" s="40"/>
      <c r="I28" s="40"/>
      <c r="J28" s="40"/>
      <c r="K28" s="40"/>
      <c r="L28" s="40"/>
      <c r="M28" s="40"/>
      <c r="P28" s="40"/>
      <c r="Q28" s="40"/>
      <c r="U28" s="40"/>
      <c r="AA28" s="40"/>
    </row>
    <row r="29" spans="1:41" s="41" customFormat="1" ht="21" customHeight="1" x14ac:dyDescent="0.3">
      <c r="A29" s="45" t="s">
        <v>85</v>
      </c>
      <c r="B29" s="45"/>
      <c r="C29" s="45"/>
      <c r="D29" s="40"/>
      <c r="E29" s="40"/>
      <c r="G29" s="45" t="s">
        <v>37</v>
      </c>
      <c r="H29" s="40"/>
      <c r="I29" s="40"/>
      <c r="J29" s="40"/>
      <c r="K29" s="40"/>
      <c r="L29" s="40"/>
      <c r="M29" s="40"/>
      <c r="P29" s="40"/>
      <c r="Q29" s="40"/>
      <c r="U29" s="45" t="s">
        <v>103</v>
      </c>
      <c r="AA29" s="46" t="s">
        <v>39</v>
      </c>
    </row>
    <row r="30" spans="1:41" s="43" customFormat="1" ht="17.25" customHeight="1" x14ac:dyDescent="0.3">
      <c r="A30" s="44" t="s">
        <v>40</v>
      </c>
      <c r="B30" s="44"/>
      <c r="C30" s="44"/>
      <c r="D30" s="44"/>
      <c r="E30" s="44"/>
      <c r="G30" s="44" t="s">
        <v>41</v>
      </c>
      <c r="H30" s="44"/>
      <c r="I30" s="44"/>
      <c r="J30" s="44"/>
      <c r="K30" s="44"/>
      <c r="L30" s="44"/>
      <c r="M30" s="44"/>
      <c r="P30" s="44"/>
      <c r="Q30" s="44"/>
      <c r="U30" s="44" t="s">
        <v>50</v>
      </c>
      <c r="AA30" s="47" t="s">
        <v>43</v>
      </c>
      <c r="AL30" s="48"/>
      <c r="AM30" s="48"/>
      <c r="AN30" s="48"/>
      <c r="AO30" s="48"/>
    </row>
    <row r="31" spans="1:41" s="49" customFormat="1" ht="15.75" customHeight="1" x14ac:dyDescent="0.3"/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J32" s="50"/>
      <c r="K32" s="50"/>
      <c r="L32" s="49"/>
      <c r="M32" s="49"/>
      <c r="N32" s="49"/>
      <c r="O32" s="49"/>
    </row>
    <row r="33" spans="1:33" s="51" customFormat="1" ht="15.75" customHeight="1" x14ac:dyDescent="0.3">
      <c r="A33" s="50"/>
      <c r="B33" s="50"/>
      <c r="C33" s="50"/>
      <c r="D33" s="50"/>
      <c r="E33" s="50"/>
      <c r="H33" s="49"/>
      <c r="I33" s="49"/>
      <c r="L33" s="49"/>
      <c r="M33" s="49"/>
      <c r="N33" s="49"/>
      <c r="O33" s="49"/>
    </row>
    <row r="34" spans="1:33" s="49" customFormat="1" ht="15.75" customHeight="1" x14ac:dyDescent="0.3">
      <c r="F34" s="82"/>
    </row>
    <row r="35" spans="1:33" ht="15.75" customHeight="1" x14ac:dyDescent="0.2">
      <c r="F35" s="52"/>
      <c r="G35" s="52"/>
    </row>
    <row r="37" spans="1:33" ht="15.75" customHeight="1" x14ac:dyDescent="0.2">
      <c r="D37" s="53"/>
      <c r="E37" s="53"/>
      <c r="F37" s="53"/>
      <c r="G37" s="53"/>
      <c r="J37" s="53"/>
      <c r="K37" s="53"/>
      <c r="AG37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8" sqref="A18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45648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17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45649</v>
      </c>
      <c r="B16" s="19"/>
      <c r="C16" s="20">
        <f t="shared" si="0"/>
        <v>0</v>
      </c>
      <c r="D16" s="19"/>
      <c r="E16" s="21">
        <f>D16/208*25</f>
        <v>0</v>
      </c>
      <c r="F16" s="19">
        <v>2621</v>
      </c>
      <c r="G16" s="22">
        <f>F16/215*25</f>
        <v>304.76744186046511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1005</v>
      </c>
      <c r="Q16" s="24"/>
      <c r="R16" s="24"/>
      <c r="S16" s="25"/>
      <c r="T16" s="24"/>
      <c r="U16" s="24"/>
      <c r="V16" s="24">
        <v>49</v>
      </c>
      <c r="W16" s="25">
        <v>1465</v>
      </c>
      <c r="X16" s="25"/>
      <c r="Y16" s="24">
        <v>175</v>
      </c>
      <c r="Z16" s="24"/>
      <c r="AA16" s="24">
        <v>238</v>
      </c>
      <c r="AB16" s="24">
        <v>378</v>
      </c>
      <c r="AC16" s="24"/>
      <c r="AD16" s="24"/>
      <c r="AE16" s="26">
        <f t="shared" si="2"/>
        <v>425.25</v>
      </c>
      <c r="AF16" s="24"/>
      <c r="AG16" s="27"/>
      <c r="AH16" s="29"/>
    </row>
    <row r="17" spans="1:41" s="28" customFormat="1" ht="26.25" customHeight="1" x14ac:dyDescent="0.25">
      <c r="A17" s="18">
        <v>45650</v>
      </c>
      <c r="B17" s="19"/>
      <c r="C17" s="20">
        <f t="shared" si="0"/>
        <v>0</v>
      </c>
      <c r="D17" s="19"/>
      <c r="E17" s="21">
        <f t="shared" si="1"/>
        <v>0</v>
      </c>
      <c r="F17" s="19">
        <v>462</v>
      </c>
      <c r="G17" s="22">
        <f t="shared" ref="G17:G21" si="4">F17/215*25</f>
        <v>53.720930232558139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165</v>
      </c>
      <c r="Q17" s="24"/>
      <c r="R17" s="24"/>
      <c r="S17" s="24"/>
      <c r="T17" s="24"/>
      <c r="U17" s="24"/>
      <c r="V17" s="24"/>
      <c r="W17" s="25">
        <v>253</v>
      </c>
      <c r="X17" s="25"/>
      <c r="Y17" s="24">
        <v>42</v>
      </c>
      <c r="Z17" s="24"/>
      <c r="AA17" s="24">
        <v>48</v>
      </c>
      <c r="AB17" s="24">
        <v>57</v>
      </c>
      <c r="AC17" s="24"/>
      <c r="AD17" s="24"/>
      <c r="AE17" s="26">
        <f t="shared" si="2"/>
        <v>102.06</v>
      </c>
      <c r="AF17" s="24"/>
      <c r="AG17" s="27"/>
    </row>
    <row r="18" spans="1:41" s="28" customFormat="1" ht="26.25" customHeight="1" x14ac:dyDescent="0.25">
      <c r="A18" s="18">
        <v>45651</v>
      </c>
      <c r="B18" s="19"/>
      <c r="C18" s="20">
        <f t="shared" si="0"/>
        <v>0</v>
      </c>
      <c r="D18" s="19"/>
      <c r="E18" s="21">
        <f t="shared" si="1"/>
        <v>0</v>
      </c>
      <c r="F18" s="19"/>
      <c r="G18" s="22">
        <f t="shared" si="4"/>
        <v>0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/>
      <c r="Q18" s="24"/>
      <c r="R18" s="24"/>
      <c r="S18" s="24"/>
      <c r="T18" s="24"/>
      <c r="U18" s="24"/>
      <c r="V18" s="12"/>
      <c r="W18" s="24"/>
      <c r="X18" s="25"/>
      <c r="Y18" s="24"/>
      <c r="Z18" s="24"/>
      <c r="AA18" s="24"/>
      <c r="AB18" s="24"/>
      <c r="AC18" s="24"/>
      <c r="AD18" s="24"/>
      <c r="AE18" s="26">
        <f>Y18*2.43</f>
        <v>0</v>
      </c>
      <c r="AF18" s="24"/>
      <c r="AG18" s="27"/>
    </row>
    <row r="19" spans="1:41" s="28" customFormat="1" ht="26.25" customHeight="1" x14ac:dyDescent="0.25">
      <c r="A19" s="18">
        <v>45652</v>
      </c>
      <c r="B19" s="19"/>
      <c r="C19" s="20">
        <f>B19/200*25</f>
        <v>0</v>
      </c>
      <c r="D19" s="19"/>
      <c r="E19" s="21">
        <f>D19/208*25</f>
        <v>0</v>
      </c>
      <c r="F19" s="19">
        <v>521</v>
      </c>
      <c r="G19" s="22">
        <f t="shared" si="4"/>
        <v>60.581395348837205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63</v>
      </c>
      <c r="Q19" s="24"/>
      <c r="R19" s="24"/>
      <c r="S19" s="24"/>
      <c r="T19" s="24"/>
      <c r="U19" s="24"/>
      <c r="V19" s="24"/>
      <c r="W19" s="25">
        <v>151</v>
      </c>
      <c r="X19" s="25"/>
      <c r="Y19" s="24">
        <v>14</v>
      </c>
      <c r="Z19" s="24"/>
      <c r="AA19" s="24">
        <v>51</v>
      </c>
      <c r="AB19" s="24"/>
      <c r="AC19" s="24"/>
      <c r="AD19" s="24"/>
      <c r="AE19" s="26">
        <f>Y19*2.43</f>
        <v>34.020000000000003</v>
      </c>
      <c r="AF19" s="24"/>
      <c r="AG19" s="27"/>
    </row>
    <row r="20" spans="1:41" s="28" customFormat="1" ht="26.25" customHeight="1" x14ac:dyDescent="0.25">
      <c r="A20" s="18">
        <v>45653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165</v>
      </c>
      <c r="G20" s="22">
        <f t="shared" si="4"/>
        <v>19.186046511627907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62</v>
      </c>
      <c r="Q20" s="24"/>
      <c r="R20" s="24"/>
      <c r="S20" s="25"/>
      <c r="T20" s="24"/>
      <c r="U20" s="24"/>
      <c r="V20" s="24"/>
      <c r="W20" s="25">
        <v>98</v>
      </c>
      <c r="X20" s="25"/>
      <c r="Y20" s="24">
        <v>8</v>
      </c>
      <c r="Z20" s="24"/>
      <c r="AA20" s="24">
        <v>14</v>
      </c>
      <c r="AB20" s="24">
        <v>30</v>
      </c>
      <c r="AC20" s="24"/>
      <c r="AD20" s="24"/>
      <c r="AE20" s="26">
        <f t="shared" ref="AE20:AE21" si="8">Y20*2.43</f>
        <v>19.440000000000001</v>
      </c>
      <c r="AF20" s="24"/>
      <c r="AG20" s="27"/>
    </row>
    <row r="21" spans="1:41" s="28" customFormat="1" ht="26.25" customHeight="1" x14ac:dyDescent="0.25">
      <c r="A21" s="18">
        <v>45654</v>
      </c>
      <c r="B21" s="19"/>
      <c r="C21" s="20">
        <f t="shared" si="6"/>
        <v>0</v>
      </c>
      <c r="D21" s="19"/>
      <c r="E21" s="21">
        <f t="shared" si="7"/>
        <v>0</v>
      </c>
      <c r="F21" s="19">
        <v>147</v>
      </c>
      <c r="G21" s="22">
        <f t="shared" si="4"/>
        <v>17.093023255813954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36</v>
      </c>
      <c r="Q21" s="24"/>
      <c r="R21" s="24"/>
      <c r="S21" s="25"/>
      <c r="T21" s="24"/>
      <c r="U21" s="24"/>
      <c r="V21" s="24"/>
      <c r="W21" s="25">
        <v>62</v>
      </c>
      <c r="X21" s="25"/>
      <c r="Y21" s="24">
        <v>6</v>
      </c>
      <c r="Z21" s="24"/>
      <c r="AA21" s="24">
        <v>26</v>
      </c>
      <c r="AB21" s="24"/>
      <c r="AC21" s="24"/>
      <c r="AD21" s="24"/>
      <c r="AE21" s="26">
        <f t="shared" si="8"/>
        <v>14.580000000000002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9">SUM(B15:B21)</f>
        <v>0</v>
      </c>
      <c r="C22" s="32">
        <f t="shared" si="9"/>
        <v>0</v>
      </c>
      <c r="D22" s="31">
        <f t="shared" si="9"/>
        <v>0</v>
      </c>
      <c r="E22" s="33">
        <f t="shared" si="9"/>
        <v>0</v>
      </c>
      <c r="F22" s="31">
        <f t="shared" si="9"/>
        <v>3916</v>
      </c>
      <c r="G22" s="33">
        <f t="shared" si="9"/>
        <v>455.3488372093023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1331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49</v>
      </c>
      <c r="W22" s="31">
        <f t="shared" si="9"/>
        <v>2029</v>
      </c>
      <c r="X22" s="31">
        <f t="shared" si="9"/>
        <v>0</v>
      </c>
      <c r="Y22" s="31">
        <f t="shared" si="9"/>
        <v>245</v>
      </c>
      <c r="Z22" s="31">
        <f t="shared" si="9"/>
        <v>0</v>
      </c>
      <c r="AA22" s="31">
        <f t="shared" si="9"/>
        <v>377</v>
      </c>
      <c r="AB22" s="31">
        <f t="shared" si="9"/>
        <v>465</v>
      </c>
      <c r="AC22" s="31">
        <f t="shared" si="9"/>
        <v>0</v>
      </c>
      <c r="AD22" s="31">
        <f t="shared" si="9"/>
        <v>0</v>
      </c>
      <c r="AE22" s="33">
        <f t="shared" si="9"/>
        <v>595.35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103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20" sqref="A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45655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45656</v>
      </c>
      <c r="B16" s="19"/>
      <c r="C16" s="20">
        <f t="shared" si="0"/>
        <v>0</v>
      </c>
      <c r="D16" s="19"/>
      <c r="E16" s="21">
        <f>D16/208*25</f>
        <v>0</v>
      </c>
      <c r="F16" s="19">
        <v>282</v>
      </c>
      <c r="G16" s="22">
        <f>F16/215*25</f>
        <v>32.79069767441861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</v>
      </c>
      <c r="Q16" s="24"/>
      <c r="R16" s="24"/>
      <c r="S16" s="25"/>
      <c r="T16" s="24"/>
      <c r="U16" s="24"/>
      <c r="V16" s="24"/>
      <c r="W16" s="25">
        <v>62</v>
      </c>
      <c r="X16" s="25"/>
      <c r="Y16" s="24">
        <v>9</v>
      </c>
      <c r="Z16" s="24"/>
      <c r="AA16" s="24">
        <v>19</v>
      </c>
      <c r="AB16" s="24"/>
      <c r="AC16" s="24"/>
      <c r="AD16" s="24"/>
      <c r="AE16" s="26">
        <f t="shared" ref="AE16:AE21" si="3">Y16*2.43</f>
        <v>21.87</v>
      </c>
      <c r="AF16" s="24"/>
      <c r="AG16" s="27"/>
      <c r="AH16" s="29"/>
    </row>
    <row r="17" spans="1:41" s="28" customFormat="1" ht="26.25" customHeight="1" x14ac:dyDescent="0.25">
      <c r="A17" s="18">
        <v>45657</v>
      </c>
      <c r="B17" s="19"/>
      <c r="C17" s="20">
        <f t="shared" si="0"/>
        <v>0</v>
      </c>
      <c r="D17" s="19"/>
      <c r="E17" s="21">
        <f t="shared" si="1"/>
        <v>0</v>
      </c>
      <c r="F17" s="19"/>
      <c r="G17" s="22">
        <f t="shared" ref="G17:G21" si="4">F17/215*25</f>
        <v>0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/>
      <c r="Q17" s="24"/>
      <c r="R17" s="24"/>
      <c r="S17" s="24"/>
      <c r="T17" s="24"/>
      <c r="U17" s="24"/>
      <c r="V17" s="24"/>
      <c r="W17" s="25"/>
      <c r="X17" s="25"/>
      <c r="Y17" s="24"/>
      <c r="Z17" s="24"/>
      <c r="AA17" s="24"/>
      <c r="AB17" s="24"/>
      <c r="AC17" s="24"/>
      <c r="AD17" s="24"/>
      <c r="AE17" s="26">
        <f t="shared" si="3"/>
        <v>0</v>
      </c>
      <c r="AF17" s="24"/>
      <c r="AG17" s="27"/>
    </row>
    <row r="18" spans="1:41" s="28" customFormat="1" ht="26.25" customHeight="1" x14ac:dyDescent="0.25">
      <c r="A18" s="18">
        <v>45658</v>
      </c>
      <c r="B18" s="19"/>
      <c r="C18" s="20">
        <f t="shared" si="0"/>
        <v>0</v>
      </c>
      <c r="D18" s="19"/>
      <c r="E18" s="21">
        <f t="shared" si="1"/>
        <v>0</v>
      </c>
      <c r="F18" s="19"/>
      <c r="G18" s="22">
        <f t="shared" si="4"/>
        <v>0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/>
      <c r="Q18" s="24"/>
      <c r="R18" s="24"/>
      <c r="S18" s="24"/>
      <c r="T18" s="24"/>
      <c r="U18" s="24"/>
      <c r="V18" s="12"/>
      <c r="W18" s="24"/>
      <c r="X18" s="25"/>
      <c r="Y18" s="24"/>
      <c r="Z18" s="24"/>
      <c r="AA18" s="24"/>
      <c r="AB18" s="24"/>
      <c r="AC18" s="24"/>
      <c r="AD18" s="24"/>
      <c r="AE18" s="26">
        <f t="shared" si="3"/>
        <v>0</v>
      </c>
      <c r="AF18" s="24"/>
      <c r="AG18" s="27"/>
    </row>
    <row r="19" spans="1:41" s="28" customFormat="1" ht="26.25" customHeight="1" x14ac:dyDescent="0.25">
      <c r="A19" s="18">
        <v>45659</v>
      </c>
      <c r="B19" s="19"/>
      <c r="C19" s="20">
        <f>B19/200*25</f>
        <v>0</v>
      </c>
      <c r="D19" s="19"/>
      <c r="E19" s="21">
        <f>D19/208*25</f>
        <v>0</v>
      </c>
      <c r="F19" s="19">
        <v>908</v>
      </c>
      <c r="G19" s="22">
        <f t="shared" si="4"/>
        <v>105.58139534883722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267</v>
      </c>
      <c r="Q19" s="24"/>
      <c r="R19" s="24"/>
      <c r="S19" s="24"/>
      <c r="T19" s="24"/>
      <c r="U19" s="24"/>
      <c r="V19" s="24">
        <v>49</v>
      </c>
      <c r="W19" s="25">
        <v>385</v>
      </c>
      <c r="X19" s="25"/>
      <c r="Y19" s="24">
        <v>51</v>
      </c>
      <c r="Z19" s="24"/>
      <c r="AA19" s="24">
        <v>68</v>
      </c>
      <c r="AB19" s="24">
        <v>88</v>
      </c>
      <c r="AC19" s="24"/>
      <c r="AD19" s="24"/>
      <c r="AE19" s="26">
        <f t="shared" si="3"/>
        <v>123.93</v>
      </c>
      <c r="AF19" s="24"/>
      <c r="AG19" s="27"/>
    </row>
    <row r="20" spans="1:41" s="28" customFormat="1" ht="26.25" customHeight="1" x14ac:dyDescent="0.25">
      <c r="A20" s="18">
        <v>45660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1876</v>
      </c>
      <c r="G20" s="22">
        <f t="shared" si="4"/>
        <v>218.1395348837209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639.20000000000005</v>
      </c>
      <c r="Q20" s="24"/>
      <c r="R20" s="24"/>
      <c r="S20" s="25"/>
      <c r="T20" s="24"/>
      <c r="U20" s="24"/>
      <c r="V20" s="24">
        <v>116</v>
      </c>
      <c r="W20" s="25">
        <v>873</v>
      </c>
      <c r="X20" s="25"/>
      <c r="Y20" s="24">
        <v>117</v>
      </c>
      <c r="Z20" s="24"/>
      <c r="AA20" s="24">
        <v>195</v>
      </c>
      <c r="AB20" s="24">
        <v>191</v>
      </c>
      <c r="AC20" s="24"/>
      <c r="AD20" s="24"/>
      <c r="AE20" s="26">
        <f t="shared" si="3"/>
        <v>284.31</v>
      </c>
      <c r="AF20" s="24"/>
      <c r="AG20" s="27"/>
    </row>
    <row r="21" spans="1:41" s="28" customFormat="1" ht="26.25" customHeight="1" x14ac:dyDescent="0.25">
      <c r="A21" s="18">
        <v>45661</v>
      </c>
      <c r="B21" s="19"/>
      <c r="C21" s="20">
        <f t="shared" si="6"/>
        <v>0</v>
      </c>
      <c r="D21" s="19"/>
      <c r="E21" s="21">
        <f t="shared" si="7"/>
        <v>0</v>
      </c>
      <c r="F21" s="19">
        <v>1905</v>
      </c>
      <c r="G21" s="22">
        <f t="shared" si="4"/>
        <v>221.51162790697674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763</v>
      </c>
      <c r="Q21" s="24"/>
      <c r="R21" s="24"/>
      <c r="S21" s="25"/>
      <c r="T21" s="24"/>
      <c r="U21" s="24"/>
      <c r="V21" s="24">
        <v>92</v>
      </c>
      <c r="W21" s="25">
        <v>1024</v>
      </c>
      <c r="X21" s="25"/>
      <c r="Y21" s="24">
        <v>134</v>
      </c>
      <c r="Z21" s="24"/>
      <c r="AA21" s="24">
        <v>198</v>
      </c>
      <c r="AB21" s="24">
        <v>236</v>
      </c>
      <c r="AC21" s="24"/>
      <c r="AD21" s="24"/>
      <c r="AE21" s="26">
        <f t="shared" si="3"/>
        <v>325.62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4971</v>
      </c>
      <c r="G22" s="33">
        <f t="shared" si="8"/>
        <v>578.02325581395348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1681.2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257</v>
      </c>
      <c r="W22" s="31">
        <f t="shared" si="8"/>
        <v>2344</v>
      </c>
      <c r="X22" s="31">
        <f t="shared" si="8"/>
        <v>0</v>
      </c>
      <c r="Y22" s="31">
        <f t="shared" si="8"/>
        <v>311</v>
      </c>
      <c r="Z22" s="31">
        <f t="shared" si="8"/>
        <v>0</v>
      </c>
      <c r="AA22" s="31">
        <f t="shared" si="8"/>
        <v>480</v>
      </c>
      <c r="AB22" s="31">
        <f t="shared" si="8"/>
        <v>515</v>
      </c>
      <c r="AC22" s="31">
        <f t="shared" si="8"/>
        <v>0</v>
      </c>
      <c r="AD22" s="31">
        <f t="shared" si="8"/>
        <v>0</v>
      </c>
      <c r="AE22" s="33">
        <f t="shared" si="8"/>
        <v>755.73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21" sqref="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45662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45663</v>
      </c>
      <c r="B16" s="19"/>
      <c r="C16" s="20">
        <f t="shared" si="0"/>
        <v>0</v>
      </c>
      <c r="D16" s="19">
        <v>470</v>
      </c>
      <c r="E16" s="21">
        <f>D16/208*25</f>
        <v>56.490384615384613</v>
      </c>
      <c r="F16" s="19">
        <v>1712</v>
      </c>
      <c r="G16" s="22">
        <f>F16/215*25</f>
        <v>199.06976744186048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921</v>
      </c>
      <c r="Q16" s="24"/>
      <c r="R16" s="24"/>
      <c r="S16" s="25">
        <v>446</v>
      </c>
      <c r="T16" s="24"/>
      <c r="U16" s="24"/>
      <c r="V16" s="24">
        <v>84</v>
      </c>
      <c r="W16" s="25">
        <v>745</v>
      </c>
      <c r="X16" s="25"/>
      <c r="Y16" s="24">
        <v>157</v>
      </c>
      <c r="Z16" s="24"/>
      <c r="AA16" s="24">
        <v>290</v>
      </c>
      <c r="AB16" s="24">
        <v>275</v>
      </c>
      <c r="AC16" s="24"/>
      <c r="AD16" s="24"/>
      <c r="AE16" s="26">
        <f t="shared" ref="AE16:AE21" si="3">Y16*2.43</f>
        <v>381.51000000000005</v>
      </c>
      <c r="AF16" s="24"/>
      <c r="AG16" s="27"/>
      <c r="AH16" s="29"/>
    </row>
    <row r="17" spans="1:41" s="28" customFormat="1" ht="26.25" customHeight="1" x14ac:dyDescent="0.25">
      <c r="A17" s="18">
        <v>45664</v>
      </c>
      <c r="B17" s="19"/>
      <c r="C17" s="20">
        <f t="shared" si="0"/>
        <v>0</v>
      </c>
      <c r="D17" s="19">
        <v>1302</v>
      </c>
      <c r="E17" s="21">
        <f t="shared" si="1"/>
        <v>156.49038461538461</v>
      </c>
      <c r="F17" s="19">
        <v>1989</v>
      </c>
      <c r="G17" s="22">
        <f t="shared" ref="G17:G21" si="4">F17/215*25</f>
        <v>231.27906976744188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1087.8</v>
      </c>
      <c r="Q17" s="24"/>
      <c r="R17" s="24"/>
      <c r="S17" s="24">
        <v>706</v>
      </c>
      <c r="T17" s="24"/>
      <c r="U17" s="24"/>
      <c r="V17" s="24">
        <v>147</v>
      </c>
      <c r="W17" s="25">
        <v>819</v>
      </c>
      <c r="X17" s="25"/>
      <c r="Y17" s="24">
        <v>219</v>
      </c>
      <c r="Z17" s="24"/>
      <c r="AA17" s="24">
        <v>314</v>
      </c>
      <c r="AB17" s="24">
        <v>382</v>
      </c>
      <c r="AC17" s="24"/>
      <c r="AD17" s="24"/>
      <c r="AE17" s="26">
        <f t="shared" si="3"/>
        <v>532.17000000000007</v>
      </c>
      <c r="AF17" s="24"/>
      <c r="AG17" s="27"/>
    </row>
    <row r="18" spans="1:41" s="28" customFormat="1" ht="26.25" customHeight="1" x14ac:dyDescent="0.25">
      <c r="A18" s="18">
        <v>45665</v>
      </c>
      <c r="B18" s="19"/>
      <c r="C18" s="20">
        <f t="shared" si="0"/>
        <v>0</v>
      </c>
      <c r="D18" s="19">
        <v>1346</v>
      </c>
      <c r="E18" s="21">
        <f t="shared" si="1"/>
        <v>161.77884615384613</v>
      </c>
      <c r="F18" s="19">
        <v>1754</v>
      </c>
      <c r="G18" s="22">
        <f t="shared" si="4"/>
        <v>203.95348837209303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1188</v>
      </c>
      <c r="Q18" s="24"/>
      <c r="R18" s="24"/>
      <c r="S18" s="24">
        <v>797</v>
      </c>
      <c r="T18" s="24"/>
      <c r="U18" s="24"/>
      <c r="V18" s="12">
        <v>115</v>
      </c>
      <c r="W18" s="24">
        <v>753</v>
      </c>
      <c r="X18" s="25"/>
      <c r="Y18" s="24">
        <v>221</v>
      </c>
      <c r="Z18" s="24"/>
      <c r="AA18" s="24">
        <v>303</v>
      </c>
      <c r="AB18" s="24">
        <v>456</v>
      </c>
      <c r="AC18" s="24"/>
      <c r="AD18" s="24"/>
      <c r="AE18" s="26">
        <f t="shared" si="3"/>
        <v>537.03000000000009</v>
      </c>
      <c r="AF18" s="24"/>
      <c r="AG18" s="27"/>
    </row>
    <row r="19" spans="1:41" s="28" customFormat="1" ht="26.25" customHeight="1" x14ac:dyDescent="0.25">
      <c r="A19" s="18">
        <v>45666</v>
      </c>
      <c r="B19" s="19"/>
      <c r="C19" s="20">
        <f>B19/200*25</f>
        <v>0</v>
      </c>
      <c r="D19" s="19">
        <v>1375</v>
      </c>
      <c r="E19" s="21">
        <f>D19/208*25</f>
        <v>165.26442307692309</v>
      </c>
      <c r="F19" s="19">
        <v>2142</v>
      </c>
      <c r="G19" s="22">
        <f t="shared" si="4"/>
        <v>249.06976744186045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1253</v>
      </c>
      <c r="Q19" s="24"/>
      <c r="R19" s="24"/>
      <c r="S19" s="24">
        <v>761</v>
      </c>
      <c r="T19" s="24"/>
      <c r="U19" s="24"/>
      <c r="V19" s="24">
        <v>154</v>
      </c>
      <c r="W19" s="25">
        <v>966</v>
      </c>
      <c r="X19" s="25"/>
      <c r="Y19" s="24">
        <v>215</v>
      </c>
      <c r="Z19" s="24"/>
      <c r="AA19" s="24">
        <v>373</v>
      </c>
      <c r="AB19" s="24">
        <v>385</v>
      </c>
      <c r="AC19" s="24"/>
      <c r="AD19" s="24"/>
      <c r="AE19" s="26">
        <f t="shared" si="3"/>
        <v>522.45000000000005</v>
      </c>
      <c r="AF19" s="24"/>
      <c r="AG19" s="27"/>
    </row>
    <row r="20" spans="1:41" s="28" customFormat="1" ht="26.25" customHeight="1" x14ac:dyDescent="0.25">
      <c r="A20" s="18">
        <v>45667</v>
      </c>
      <c r="B20" s="19"/>
      <c r="C20" s="20">
        <f t="shared" ref="C20:C21" si="6">B20/200*25</f>
        <v>0</v>
      </c>
      <c r="D20" s="19">
        <v>1470</v>
      </c>
      <c r="E20" s="21">
        <f t="shared" ref="E20:E21" si="7">D20/208*25</f>
        <v>176.68269230769232</v>
      </c>
      <c r="F20" s="19">
        <v>1945</v>
      </c>
      <c r="G20" s="22">
        <f t="shared" si="4"/>
        <v>226.16279069767441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1301</v>
      </c>
      <c r="Q20" s="24"/>
      <c r="R20" s="24"/>
      <c r="S20" s="25">
        <v>831</v>
      </c>
      <c r="T20" s="24"/>
      <c r="U20" s="24"/>
      <c r="V20" s="24">
        <v>97</v>
      </c>
      <c r="W20" s="25">
        <v>950</v>
      </c>
      <c r="X20" s="25"/>
      <c r="Y20" s="24">
        <v>192</v>
      </c>
      <c r="Z20" s="24"/>
      <c r="AA20" s="24">
        <v>349</v>
      </c>
      <c r="AB20" s="24">
        <v>476</v>
      </c>
      <c r="AC20" s="24"/>
      <c r="AD20" s="24"/>
      <c r="AE20" s="26">
        <f t="shared" si="3"/>
        <v>466.56000000000006</v>
      </c>
      <c r="AF20" s="24"/>
      <c r="AG20" s="27"/>
    </row>
    <row r="21" spans="1:41" s="28" customFormat="1" ht="26.25" customHeight="1" x14ac:dyDescent="0.25">
      <c r="A21" s="18">
        <v>45668</v>
      </c>
      <c r="B21" s="19"/>
      <c r="C21" s="20">
        <f t="shared" si="6"/>
        <v>0</v>
      </c>
      <c r="D21" s="19">
        <v>1409</v>
      </c>
      <c r="E21" s="21">
        <f t="shared" si="7"/>
        <v>169.35096153846155</v>
      </c>
      <c r="F21" s="19">
        <v>2252</v>
      </c>
      <c r="G21" s="22">
        <f t="shared" si="4"/>
        <v>261.8604651162791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1074.2</v>
      </c>
      <c r="Q21" s="24"/>
      <c r="R21" s="24"/>
      <c r="S21" s="25">
        <v>765</v>
      </c>
      <c r="T21" s="24"/>
      <c r="U21" s="24"/>
      <c r="V21" s="24">
        <v>99</v>
      </c>
      <c r="W21" s="25">
        <v>844</v>
      </c>
      <c r="X21" s="25"/>
      <c r="Y21" s="24">
        <v>201</v>
      </c>
      <c r="Z21" s="24"/>
      <c r="AA21" s="24">
        <v>307</v>
      </c>
      <c r="AB21" s="24">
        <v>412</v>
      </c>
      <c r="AC21" s="24"/>
      <c r="AD21" s="24"/>
      <c r="AE21" s="26">
        <f t="shared" si="3"/>
        <v>488.43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7372</v>
      </c>
      <c r="E22" s="33">
        <f t="shared" si="8"/>
        <v>886.05769230769226</v>
      </c>
      <c r="F22" s="31">
        <f t="shared" si="8"/>
        <v>11794</v>
      </c>
      <c r="G22" s="33">
        <f t="shared" si="8"/>
        <v>1371.3953488372094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6825</v>
      </c>
      <c r="Q22" s="31">
        <f t="shared" si="8"/>
        <v>0</v>
      </c>
      <c r="R22" s="31">
        <f t="shared" si="8"/>
        <v>0</v>
      </c>
      <c r="S22" s="31">
        <f t="shared" si="8"/>
        <v>4306</v>
      </c>
      <c r="T22" s="31">
        <f t="shared" si="8"/>
        <v>0</v>
      </c>
      <c r="U22" s="31">
        <f t="shared" si="8"/>
        <v>0</v>
      </c>
      <c r="V22" s="31">
        <f t="shared" si="8"/>
        <v>696</v>
      </c>
      <c r="W22" s="31">
        <f t="shared" si="8"/>
        <v>5077</v>
      </c>
      <c r="X22" s="31">
        <f t="shared" si="8"/>
        <v>0</v>
      </c>
      <c r="Y22" s="31">
        <f t="shared" si="8"/>
        <v>1205</v>
      </c>
      <c r="Z22" s="31">
        <f t="shared" si="8"/>
        <v>0</v>
      </c>
      <c r="AA22" s="31">
        <f t="shared" si="8"/>
        <v>1936</v>
      </c>
      <c r="AB22" s="31">
        <f t="shared" si="8"/>
        <v>2386</v>
      </c>
      <c r="AC22" s="31">
        <f t="shared" si="8"/>
        <v>0</v>
      </c>
      <c r="AD22" s="31">
        <f t="shared" si="8"/>
        <v>0</v>
      </c>
      <c r="AE22" s="33">
        <f t="shared" si="8"/>
        <v>2928.15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20" sqref="A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109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45669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45670</v>
      </c>
      <c r="B16" s="19"/>
      <c r="C16" s="20">
        <f t="shared" si="0"/>
        <v>0</v>
      </c>
      <c r="D16" s="19">
        <v>1299</v>
      </c>
      <c r="E16" s="21">
        <f>D16/208*25</f>
        <v>156.12980769230768</v>
      </c>
      <c r="F16" s="19">
        <v>1796</v>
      </c>
      <c r="G16" s="22">
        <f>F16/215*25</f>
        <v>208.83720930232559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1211</v>
      </c>
      <c r="Q16" s="24"/>
      <c r="R16" s="24"/>
      <c r="S16" s="25">
        <v>746</v>
      </c>
      <c r="T16" s="24"/>
      <c r="U16" s="24"/>
      <c r="V16" s="24">
        <v>92</v>
      </c>
      <c r="W16" s="25">
        <v>916</v>
      </c>
      <c r="X16" s="25"/>
      <c r="Y16" s="24">
        <v>195</v>
      </c>
      <c r="Z16" s="24"/>
      <c r="AA16" s="24">
        <v>358</v>
      </c>
      <c r="AB16" s="24">
        <v>409</v>
      </c>
      <c r="AC16" s="24"/>
      <c r="AD16" s="24"/>
      <c r="AE16" s="26">
        <f t="shared" ref="AE16:AE21" si="3">Y16*2.43</f>
        <v>473.85</v>
      </c>
      <c r="AF16" s="24"/>
      <c r="AG16" s="27"/>
      <c r="AH16" s="29"/>
    </row>
    <row r="17" spans="1:41" s="28" customFormat="1" ht="26.25" customHeight="1" x14ac:dyDescent="0.25">
      <c r="A17" s="18">
        <v>45671</v>
      </c>
      <c r="B17" s="19"/>
      <c r="C17" s="20">
        <f t="shared" si="0"/>
        <v>0</v>
      </c>
      <c r="D17" s="19">
        <v>1376</v>
      </c>
      <c r="E17" s="21">
        <f t="shared" si="1"/>
        <v>165.38461538461539</v>
      </c>
      <c r="F17" s="19">
        <v>1904</v>
      </c>
      <c r="G17" s="22">
        <f t="shared" ref="G17:G21" si="4">F17/215*25</f>
        <v>221.3953488372093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1008.8</v>
      </c>
      <c r="Q17" s="24"/>
      <c r="R17" s="24"/>
      <c r="S17" s="24">
        <v>699</v>
      </c>
      <c r="T17" s="24"/>
      <c r="U17" s="24"/>
      <c r="V17" s="24">
        <v>58</v>
      </c>
      <c r="W17" s="25">
        <v>778</v>
      </c>
      <c r="X17" s="25"/>
      <c r="Y17" s="24">
        <v>217</v>
      </c>
      <c r="Z17" s="24"/>
      <c r="AA17" s="24">
        <v>292</v>
      </c>
      <c r="AB17" s="24">
        <v>410</v>
      </c>
      <c r="AC17" s="24"/>
      <c r="AD17" s="24"/>
      <c r="AE17" s="26">
        <f t="shared" si="3"/>
        <v>527.31000000000006</v>
      </c>
      <c r="AF17" s="24"/>
      <c r="AG17" s="27"/>
    </row>
    <row r="18" spans="1:41" s="28" customFormat="1" ht="26.25" customHeight="1" x14ac:dyDescent="0.25">
      <c r="A18" s="18">
        <v>45672</v>
      </c>
      <c r="B18" s="19"/>
      <c r="C18" s="20">
        <f t="shared" si="0"/>
        <v>0</v>
      </c>
      <c r="D18" s="19">
        <v>1360</v>
      </c>
      <c r="E18" s="21">
        <f t="shared" si="1"/>
        <v>163.46153846153845</v>
      </c>
      <c r="F18" s="19">
        <v>2652</v>
      </c>
      <c r="G18" s="22">
        <f t="shared" si="4"/>
        <v>308.37209302325579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1048</v>
      </c>
      <c r="Q18" s="24"/>
      <c r="R18" s="24"/>
      <c r="S18" s="24">
        <v>760</v>
      </c>
      <c r="T18" s="24"/>
      <c r="U18" s="24"/>
      <c r="V18" s="12">
        <v>77</v>
      </c>
      <c r="W18" s="24">
        <v>980</v>
      </c>
      <c r="X18" s="25"/>
      <c r="Y18" s="24">
        <v>216</v>
      </c>
      <c r="Z18" s="24"/>
      <c r="AA18" s="24">
        <v>322</v>
      </c>
      <c r="AB18" s="24">
        <v>426</v>
      </c>
      <c r="AC18" s="24"/>
      <c r="AD18" s="24"/>
      <c r="AE18" s="26">
        <f t="shared" si="3"/>
        <v>524.88</v>
      </c>
      <c r="AF18" s="24"/>
      <c r="AG18" s="27"/>
    </row>
    <row r="19" spans="1:41" s="28" customFormat="1" ht="26.25" customHeight="1" x14ac:dyDescent="0.25">
      <c r="A19" s="18">
        <v>45673</v>
      </c>
      <c r="B19" s="19"/>
      <c r="C19" s="20">
        <f>B19/200*25</f>
        <v>0</v>
      </c>
      <c r="D19" s="19">
        <v>1478</v>
      </c>
      <c r="E19" s="21">
        <f>D19/208*25</f>
        <v>177.64423076923077</v>
      </c>
      <c r="F19" s="19">
        <v>2040</v>
      </c>
      <c r="G19" s="22">
        <f t="shared" si="4"/>
        <v>237.2093023255814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1194</v>
      </c>
      <c r="Q19" s="24"/>
      <c r="R19" s="24"/>
      <c r="S19" s="24">
        <v>790</v>
      </c>
      <c r="T19" s="24"/>
      <c r="U19" s="24"/>
      <c r="V19" s="24">
        <v>102</v>
      </c>
      <c r="W19" s="25">
        <v>899</v>
      </c>
      <c r="X19" s="25"/>
      <c r="Y19" s="24">
        <v>223</v>
      </c>
      <c r="Z19" s="24"/>
      <c r="AA19" s="24">
        <v>306</v>
      </c>
      <c r="AB19" s="24">
        <v>479</v>
      </c>
      <c r="AC19" s="24"/>
      <c r="AD19" s="24"/>
      <c r="AE19" s="26">
        <f t="shared" si="3"/>
        <v>541.89</v>
      </c>
      <c r="AF19" s="24"/>
      <c r="AG19" s="27"/>
    </row>
    <row r="20" spans="1:41" s="28" customFormat="1" ht="26.25" customHeight="1" x14ac:dyDescent="0.25">
      <c r="A20" s="18">
        <v>45674</v>
      </c>
      <c r="B20" s="19"/>
      <c r="C20" s="20">
        <f t="shared" ref="C20:C21" si="6">B20/200*25</f>
        <v>0</v>
      </c>
      <c r="D20" s="19">
        <v>1706</v>
      </c>
      <c r="E20" s="21">
        <f t="shared" ref="E20:E21" si="7">D20/208*25</f>
        <v>205.04807692307691</v>
      </c>
      <c r="F20" s="19">
        <v>1726</v>
      </c>
      <c r="G20" s="22">
        <f t="shared" si="4"/>
        <v>200.69767441860463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1287</v>
      </c>
      <c r="Q20" s="24"/>
      <c r="R20" s="24"/>
      <c r="S20" s="25">
        <v>958</v>
      </c>
      <c r="T20" s="24"/>
      <c r="U20" s="24"/>
      <c r="V20" s="24">
        <v>61</v>
      </c>
      <c r="W20" s="25">
        <v>845</v>
      </c>
      <c r="X20" s="25"/>
      <c r="Y20" s="24">
        <v>222</v>
      </c>
      <c r="Z20" s="24"/>
      <c r="AA20" s="24">
        <v>357</v>
      </c>
      <c r="AB20" s="24">
        <v>480</v>
      </c>
      <c r="AC20" s="24"/>
      <c r="AD20" s="24"/>
      <c r="AE20" s="26">
        <f t="shared" si="3"/>
        <v>539.46</v>
      </c>
      <c r="AF20" s="24"/>
      <c r="AG20" s="27"/>
    </row>
    <row r="21" spans="1:41" s="28" customFormat="1" ht="26.25" customHeight="1" x14ac:dyDescent="0.25">
      <c r="A21" s="18">
        <v>45675</v>
      </c>
      <c r="B21" s="19"/>
      <c r="C21" s="20">
        <f t="shared" si="6"/>
        <v>0</v>
      </c>
      <c r="D21" s="19">
        <v>1456</v>
      </c>
      <c r="E21" s="21">
        <f t="shared" si="7"/>
        <v>175</v>
      </c>
      <c r="F21" s="19">
        <v>1756</v>
      </c>
      <c r="G21" s="22">
        <f t="shared" si="4"/>
        <v>204.18604651162789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1293.4000000000001</v>
      </c>
      <c r="Q21" s="24"/>
      <c r="R21" s="24"/>
      <c r="S21" s="25">
        <v>835</v>
      </c>
      <c r="T21" s="24"/>
      <c r="U21" s="24"/>
      <c r="V21" s="24">
        <v>40</v>
      </c>
      <c r="W21" s="25">
        <v>908</v>
      </c>
      <c r="X21" s="25"/>
      <c r="Y21" s="24">
        <v>206</v>
      </c>
      <c r="Z21" s="24"/>
      <c r="AA21" s="24">
        <v>400</v>
      </c>
      <c r="AB21" s="24">
        <v>356</v>
      </c>
      <c r="AC21" s="24"/>
      <c r="AD21" s="24"/>
      <c r="AE21" s="26">
        <f t="shared" si="3"/>
        <v>500.58000000000004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8675</v>
      </c>
      <c r="E22" s="33">
        <f t="shared" si="8"/>
        <v>1042.6682692307693</v>
      </c>
      <c r="F22" s="31">
        <f t="shared" si="8"/>
        <v>11874</v>
      </c>
      <c r="G22" s="33">
        <f t="shared" si="8"/>
        <v>1380.6976744186047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7042.2000000000007</v>
      </c>
      <c r="Q22" s="31">
        <f t="shared" si="8"/>
        <v>0</v>
      </c>
      <c r="R22" s="31">
        <f t="shared" si="8"/>
        <v>0</v>
      </c>
      <c r="S22" s="31">
        <f t="shared" si="8"/>
        <v>4788</v>
      </c>
      <c r="T22" s="31">
        <f t="shared" si="8"/>
        <v>0</v>
      </c>
      <c r="U22" s="31">
        <f t="shared" si="8"/>
        <v>0</v>
      </c>
      <c r="V22" s="31">
        <f t="shared" si="8"/>
        <v>430</v>
      </c>
      <c r="W22" s="31">
        <f t="shared" si="8"/>
        <v>5326</v>
      </c>
      <c r="X22" s="31">
        <f t="shared" si="8"/>
        <v>0</v>
      </c>
      <c r="Y22" s="31">
        <f t="shared" si="8"/>
        <v>1279</v>
      </c>
      <c r="Z22" s="31">
        <f t="shared" si="8"/>
        <v>0</v>
      </c>
      <c r="AA22" s="31">
        <f t="shared" si="8"/>
        <v>2035</v>
      </c>
      <c r="AB22" s="31">
        <f t="shared" si="8"/>
        <v>2560</v>
      </c>
      <c r="AC22" s="31">
        <f t="shared" si="8"/>
        <v>0</v>
      </c>
      <c r="AD22" s="31">
        <f t="shared" si="8"/>
        <v>0</v>
      </c>
      <c r="AE22" s="33">
        <f t="shared" si="8"/>
        <v>3107.97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21" sqref="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45676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45677</v>
      </c>
      <c r="B16" s="19"/>
      <c r="C16" s="20">
        <f t="shared" si="0"/>
        <v>0</v>
      </c>
      <c r="D16" s="19">
        <v>2057</v>
      </c>
      <c r="E16" s="21">
        <f>D16/208*25</f>
        <v>247.23557692307691</v>
      </c>
      <c r="F16" s="19">
        <v>1556</v>
      </c>
      <c r="G16" s="22">
        <f>F16/215*25</f>
        <v>180.93023255813955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1411</v>
      </c>
      <c r="Q16" s="24"/>
      <c r="R16" s="24"/>
      <c r="S16" s="25">
        <v>1244</v>
      </c>
      <c r="T16" s="24"/>
      <c r="U16" s="24"/>
      <c r="V16" s="24">
        <v>86</v>
      </c>
      <c r="W16" s="25">
        <v>687</v>
      </c>
      <c r="X16" s="25"/>
      <c r="Y16" s="24">
        <v>199</v>
      </c>
      <c r="Z16" s="24"/>
      <c r="AA16" s="24">
        <v>315</v>
      </c>
      <c r="AB16" s="24">
        <v>537</v>
      </c>
      <c r="AC16" s="24"/>
      <c r="AD16" s="24"/>
      <c r="AE16" s="26">
        <f t="shared" ref="AE16:AE21" si="3">Y16*2.43</f>
        <v>483.57000000000005</v>
      </c>
      <c r="AF16" s="24"/>
      <c r="AG16" s="27">
        <v>1</v>
      </c>
      <c r="AH16" s="29"/>
    </row>
    <row r="17" spans="1:41" s="28" customFormat="1" ht="26.25" customHeight="1" x14ac:dyDescent="0.25">
      <c r="A17" s="18">
        <v>45678</v>
      </c>
      <c r="B17" s="19"/>
      <c r="C17" s="20">
        <f t="shared" si="0"/>
        <v>0</v>
      </c>
      <c r="D17" s="19">
        <v>1787</v>
      </c>
      <c r="E17" s="21">
        <f t="shared" si="1"/>
        <v>214.78365384615384</v>
      </c>
      <c r="F17" s="19">
        <v>2628</v>
      </c>
      <c r="G17" s="22">
        <f t="shared" ref="G17:G21" si="4">F17/215*25</f>
        <v>305.58139534883719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1412</v>
      </c>
      <c r="Q17" s="24"/>
      <c r="R17" s="24"/>
      <c r="S17" s="24">
        <v>973</v>
      </c>
      <c r="T17" s="24"/>
      <c r="U17" s="24"/>
      <c r="V17" s="24">
        <v>161</v>
      </c>
      <c r="W17" s="25">
        <v>1077</v>
      </c>
      <c r="X17" s="25"/>
      <c r="Y17" s="24">
        <v>263</v>
      </c>
      <c r="Z17" s="24"/>
      <c r="AA17" s="24">
        <v>506</v>
      </c>
      <c r="AB17" s="24">
        <v>407</v>
      </c>
      <c r="AC17" s="24"/>
      <c r="AD17" s="24"/>
      <c r="AE17" s="26">
        <f t="shared" si="3"/>
        <v>639.09</v>
      </c>
      <c r="AF17" s="24"/>
      <c r="AG17" s="27"/>
    </row>
    <row r="18" spans="1:41" s="28" customFormat="1" ht="26.25" customHeight="1" x14ac:dyDescent="0.25">
      <c r="A18" s="18">
        <v>45679</v>
      </c>
      <c r="B18" s="19"/>
      <c r="C18" s="20">
        <f t="shared" si="0"/>
        <v>0</v>
      </c>
      <c r="D18" s="19">
        <v>1623</v>
      </c>
      <c r="E18" s="21">
        <f t="shared" si="1"/>
        <v>195.07211538461539</v>
      </c>
      <c r="F18" s="19">
        <v>2091</v>
      </c>
      <c r="G18" s="22">
        <f t="shared" si="4"/>
        <v>243.1395348837209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1357</v>
      </c>
      <c r="Q18" s="24"/>
      <c r="R18" s="24"/>
      <c r="S18" s="24">
        <v>1012</v>
      </c>
      <c r="T18" s="24"/>
      <c r="U18" s="24"/>
      <c r="V18" s="12">
        <v>93</v>
      </c>
      <c r="W18" s="24">
        <v>883</v>
      </c>
      <c r="X18" s="25"/>
      <c r="Y18" s="24">
        <v>237</v>
      </c>
      <c r="Z18" s="24"/>
      <c r="AA18" s="24">
        <v>372</v>
      </c>
      <c r="AB18" s="24">
        <v>420</v>
      </c>
      <c r="AC18" s="24"/>
      <c r="AD18" s="24"/>
      <c r="AE18" s="26">
        <f t="shared" si="3"/>
        <v>575.91000000000008</v>
      </c>
      <c r="AF18" s="24"/>
      <c r="AG18" s="27"/>
    </row>
    <row r="19" spans="1:41" s="28" customFormat="1" ht="26.25" customHeight="1" x14ac:dyDescent="0.25">
      <c r="A19" s="18">
        <v>45680</v>
      </c>
      <c r="B19" s="19"/>
      <c r="C19" s="20">
        <f>B19/200*25</f>
        <v>0</v>
      </c>
      <c r="D19" s="19">
        <v>1728</v>
      </c>
      <c r="E19" s="21">
        <f>D19/208*25</f>
        <v>207.69230769230771</v>
      </c>
      <c r="F19" s="19">
        <v>2347</v>
      </c>
      <c r="G19" s="22">
        <f t="shared" si="4"/>
        <v>272.90697674418601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1135</v>
      </c>
      <c r="Q19" s="24"/>
      <c r="R19" s="24"/>
      <c r="S19" s="24">
        <v>890</v>
      </c>
      <c r="T19" s="24"/>
      <c r="U19" s="24"/>
      <c r="V19" s="24">
        <v>79</v>
      </c>
      <c r="W19" s="25">
        <v>893</v>
      </c>
      <c r="X19" s="25"/>
      <c r="Y19" s="24">
        <v>234</v>
      </c>
      <c r="Z19" s="24">
        <v>2</v>
      </c>
      <c r="AA19" s="24">
        <v>364</v>
      </c>
      <c r="AB19" s="24">
        <v>343</v>
      </c>
      <c r="AC19" s="24"/>
      <c r="AD19" s="24"/>
      <c r="AE19" s="26">
        <f t="shared" si="3"/>
        <v>568.62</v>
      </c>
      <c r="AF19" s="24"/>
      <c r="AG19" s="27"/>
    </row>
    <row r="20" spans="1:41" s="28" customFormat="1" ht="26.25" customHeight="1" x14ac:dyDescent="0.25">
      <c r="A20" s="18">
        <v>45681</v>
      </c>
      <c r="B20" s="19"/>
      <c r="C20" s="20">
        <f t="shared" ref="C20:C21" si="6">B20/200*25</f>
        <v>0</v>
      </c>
      <c r="D20" s="19">
        <v>1665</v>
      </c>
      <c r="E20" s="21">
        <f t="shared" ref="E20:E21" si="7">D20/208*25</f>
        <v>200.12019230769229</v>
      </c>
      <c r="F20" s="19">
        <v>1997</v>
      </c>
      <c r="G20" s="22">
        <f t="shared" si="4"/>
        <v>232.2093023255814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1227.5999999999999</v>
      </c>
      <c r="Q20" s="24"/>
      <c r="R20" s="24"/>
      <c r="S20" s="25">
        <v>914</v>
      </c>
      <c r="T20" s="24"/>
      <c r="U20" s="24"/>
      <c r="V20" s="24">
        <v>127</v>
      </c>
      <c r="W20" s="25">
        <v>771</v>
      </c>
      <c r="X20" s="25"/>
      <c r="Y20" s="24">
        <v>224</v>
      </c>
      <c r="Z20" s="24"/>
      <c r="AA20" s="24">
        <v>439</v>
      </c>
      <c r="AB20" s="24">
        <v>334</v>
      </c>
      <c r="AC20" s="24"/>
      <c r="AD20" s="24"/>
      <c r="AE20" s="26">
        <f t="shared" si="3"/>
        <v>544.32000000000005</v>
      </c>
      <c r="AF20" s="24"/>
      <c r="AG20" s="27"/>
    </row>
    <row r="21" spans="1:41" s="28" customFormat="1" ht="26.25" customHeight="1" x14ac:dyDescent="0.25">
      <c r="A21" s="18">
        <v>45682</v>
      </c>
      <c r="B21" s="19"/>
      <c r="C21" s="20">
        <f t="shared" si="6"/>
        <v>0</v>
      </c>
      <c r="D21" s="19">
        <v>1456</v>
      </c>
      <c r="E21" s="21">
        <f t="shared" si="7"/>
        <v>175</v>
      </c>
      <c r="F21" s="19">
        <v>2051</v>
      </c>
      <c r="G21" s="22">
        <f t="shared" si="4"/>
        <v>238.48837209302326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1075.4000000000001</v>
      </c>
      <c r="Q21" s="24"/>
      <c r="R21" s="24"/>
      <c r="S21" s="25">
        <v>808</v>
      </c>
      <c r="T21" s="24"/>
      <c r="U21" s="24"/>
      <c r="V21" s="24">
        <v>59</v>
      </c>
      <c r="W21" s="25">
        <v>810</v>
      </c>
      <c r="X21" s="25"/>
      <c r="Y21" s="24">
        <v>225</v>
      </c>
      <c r="Z21" s="24">
        <v>2</v>
      </c>
      <c r="AA21" s="24">
        <v>655</v>
      </c>
      <c r="AB21" s="24"/>
      <c r="AC21" s="24"/>
      <c r="AD21" s="24"/>
      <c r="AE21" s="26">
        <f t="shared" si="3"/>
        <v>546.75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10316</v>
      </c>
      <c r="E22" s="33">
        <f t="shared" si="8"/>
        <v>1239.9038461538462</v>
      </c>
      <c r="F22" s="31">
        <f t="shared" si="8"/>
        <v>12670</v>
      </c>
      <c r="G22" s="33">
        <f t="shared" si="8"/>
        <v>1473.2558139534881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7618</v>
      </c>
      <c r="Q22" s="31">
        <f t="shared" si="8"/>
        <v>0</v>
      </c>
      <c r="R22" s="31">
        <f t="shared" si="8"/>
        <v>0</v>
      </c>
      <c r="S22" s="31">
        <f t="shared" si="8"/>
        <v>5841</v>
      </c>
      <c r="T22" s="31">
        <f t="shared" si="8"/>
        <v>0</v>
      </c>
      <c r="U22" s="31">
        <f t="shared" si="8"/>
        <v>0</v>
      </c>
      <c r="V22" s="31">
        <f t="shared" si="8"/>
        <v>605</v>
      </c>
      <c r="W22" s="31">
        <f t="shared" si="8"/>
        <v>5121</v>
      </c>
      <c r="X22" s="31">
        <f t="shared" si="8"/>
        <v>0</v>
      </c>
      <c r="Y22" s="31">
        <f t="shared" si="8"/>
        <v>1382</v>
      </c>
      <c r="Z22" s="31">
        <f t="shared" si="8"/>
        <v>4</v>
      </c>
      <c r="AA22" s="31">
        <f t="shared" si="8"/>
        <v>2651</v>
      </c>
      <c r="AB22" s="31">
        <f t="shared" si="8"/>
        <v>2041</v>
      </c>
      <c r="AC22" s="31">
        <f t="shared" si="8"/>
        <v>0</v>
      </c>
      <c r="AD22" s="31">
        <f t="shared" si="8"/>
        <v>0</v>
      </c>
      <c r="AE22" s="33">
        <f t="shared" si="8"/>
        <v>3358.26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45683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45684</v>
      </c>
      <c r="B16" s="19"/>
      <c r="C16" s="20">
        <f t="shared" si="0"/>
        <v>0</v>
      </c>
      <c r="D16" s="19">
        <v>714</v>
      </c>
      <c r="E16" s="21">
        <f>D16/208*25</f>
        <v>85.817307692307693</v>
      </c>
      <c r="F16" s="19">
        <v>1414</v>
      </c>
      <c r="G16" s="22">
        <f>F16/215*25</f>
        <v>164.41860465116278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659</v>
      </c>
      <c r="Q16" s="24"/>
      <c r="R16" s="24"/>
      <c r="S16" s="25">
        <v>419</v>
      </c>
      <c r="T16" s="24"/>
      <c r="U16" s="24"/>
      <c r="V16" s="24">
        <v>65</v>
      </c>
      <c r="W16" s="25">
        <v>548</v>
      </c>
      <c r="X16" s="25"/>
      <c r="Y16" s="24">
        <v>147</v>
      </c>
      <c r="Z16" s="24"/>
      <c r="AA16" s="24">
        <v>470</v>
      </c>
      <c r="AB16" s="24"/>
      <c r="AC16" s="24"/>
      <c r="AD16" s="24"/>
      <c r="AE16" s="26">
        <f t="shared" ref="AE16:AE21" si="3">Y16*2.43</f>
        <v>357.21000000000004</v>
      </c>
      <c r="AF16" s="24"/>
      <c r="AG16" s="27"/>
      <c r="AH16" s="29"/>
    </row>
    <row r="17" spans="1:41" s="28" customFormat="1" ht="26.25" customHeight="1" x14ac:dyDescent="0.25">
      <c r="A17" s="18">
        <v>45685</v>
      </c>
      <c r="B17" s="19"/>
      <c r="C17" s="20">
        <f t="shared" si="0"/>
        <v>0</v>
      </c>
      <c r="D17" s="19">
        <v>1495</v>
      </c>
      <c r="E17" s="21">
        <f t="shared" si="1"/>
        <v>179.6875</v>
      </c>
      <c r="F17" s="19">
        <v>1954</v>
      </c>
      <c r="G17" s="22">
        <f t="shared" ref="G17:G21" si="4">F17/215*25</f>
        <v>227.2093023255814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1164.2</v>
      </c>
      <c r="Q17" s="24"/>
      <c r="R17" s="24"/>
      <c r="S17" s="24">
        <v>876</v>
      </c>
      <c r="T17" s="24"/>
      <c r="U17" s="24"/>
      <c r="V17" s="24">
        <v>35</v>
      </c>
      <c r="W17" s="25">
        <v>885</v>
      </c>
      <c r="X17" s="25"/>
      <c r="Y17" s="24">
        <v>210</v>
      </c>
      <c r="Z17" s="24">
        <v>2</v>
      </c>
      <c r="AA17" s="24">
        <v>743</v>
      </c>
      <c r="AB17" s="24"/>
      <c r="AC17" s="24"/>
      <c r="AD17" s="24"/>
      <c r="AE17" s="26">
        <f t="shared" si="3"/>
        <v>510.3</v>
      </c>
      <c r="AF17" s="24"/>
      <c r="AG17" s="27">
        <v>1</v>
      </c>
    </row>
    <row r="18" spans="1:41" s="28" customFormat="1" ht="26.25" customHeight="1" x14ac:dyDescent="0.25">
      <c r="A18" s="18">
        <v>45686</v>
      </c>
      <c r="B18" s="19"/>
      <c r="C18" s="20">
        <f t="shared" si="0"/>
        <v>0</v>
      </c>
      <c r="D18" s="19">
        <v>1381</v>
      </c>
      <c r="E18" s="21">
        <f t="shared" si="1"/>
        <v>165.98557692307691</v>
      </c>
      <c r="F18" s="19">
        <v>2109</v>
      </c>
      <c r="G18" s="22">
        <f t="shared" si="4"/>
        <v>245.23255813953489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1143.5999999999999</v>
      </c>
      <c r="Q18" s="24"/>
      <c r="R18" s="24"/>
      <c r="S18" s="24">
        <v>778</v>
      </c>
      <c r="T18" s="24"/>
      <c r="U18" s="24"/>
      <c r="V18" s="12">
        <v>56</v>
      </c>
      <c r="W18" s="24">
        <v>965</v>
      </c>
      <c r="X18" s="25"/>
      <c r="Y18" s="24">
        <v>202</v>
      </c>
      <c r="Z18" s="24">
        <v>2</v>
      </c>
      <c r="AA18" s="24">
        <v>425</v>
      </c>
      <c r="AB18" s="24">
        <v>287</v>
      </c>
      <c r="AC18" s="24"/>
      <c r="AD18" s="24"/>
      <c r="AE18" s="26">
        <f t="shared" si="3"/>
        <v>490.86</v>
      </c>
      <c r="AF18" s="24"/>
      <c r="AG18" s="27"/>
    </row>
    <row r="19" spans="1:41" s="28" customFormat="1" ht="26.25" customHeight="1" x14ac:dyDescent="0.25">
      <c r="A19" s="18">
        <v>45687</v>
      </c>
      <c r="B19" s="19"/>
      <c r="C19" s="20">
        <f>B19/200*25</f>
        <v>0</v>
      </c>
      <c r="D19" s="19">
        <v>1098</v>
      </c>
      <c r="E19" s="21">
        <f>D19/208*25</f>
        <v>131.97115384615387</v>
      </c>
      <c r="F19" s="19">
        <v>1482</v>
      </c>
      <c r="G19" s="22">
        <f t="shared" si="4"/>
        <v>172.32558139534885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988</v>
      </c>
      <c r="Q19" s="24"/>
      <c r="R19" s="24"/>
      <c r="S19" s="24">
        <v>631</v>
      </c>
      <c r="T19" s="24"/>
      <c r="U19" s="24"/>
      <c r="V19" s="24">
        <v>25</v>
      </c>
      <c r="W19" s="25">
        <v>773</v>
      </c>
      <c r="X19" s="25"/>
      <c r="Y19" s="24">
        <v>178</v>
      </c>
      <c r="Z19" s="24"/>
      <c r="AA19" s="24">
        <v>333</v>
      </c>
      <c r="AB19" s="24">
        <v>256</v>
      </c>
      <c r="AC19" s="24"/>
      <c r="AD19" s="24"/>
      <c r="AE19" s="26">
        <f t="shared" si="3"/>
        <v>432.54</v>
      </c>
      <c r="AF19" s="24"/>
      <c r="AG19" s="27"/>
    </row>
    <row r="20" spans="1:41" s="28" customFormat="1" ht="26.25" customHeight="1" x14ac:dyDescent="0.25">
      <c r="A20" s="18">
        <v>45688</v>
      </c>
      <c r="B20" s="19"/>
      <c r="C20" s="20">
        <f t="shared" ref="C20:C21" si="6">B20/200*25</f>
        <v>0</v>
      </c>
      <c r="D20" s="19">
        <v>1475</v>
      </c>
      <c r="E20" s="21">
        <f t="shared" ref="E20:E21" si="7">D20/208*25</f>
        <v>177.28365384615387</v>
      </c>
      <c r="F20" s="19">
        <v>1796</v>
      </c>
      <c r="G20" s="22">
        <f t="shared" si="4"/>
        <v>208.83720930232559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1012.2</v>
      </c>
      <c r="Q20" s="24"/>
      <c r="R20" s="24"/>
      <c r="S20" s="25">
        <v>805</v>
      </c>
      <c r="T20" s="24"/>
      <c r="U20" s="24"/>
      <c r="V20" s="24">
        <v>53</v>
      </c>
      <c r="W20" s="25">
        <v>750</v>
      </c>
      <c r="X20" s="25"/>
      <c r="Y20" s="24">
        <v>183</v>
      </c>
      <c r="Z20" s="24">
        <v>2</v>
      </c>
      <c r="AA20" s="24">
        <v>371</v>
      </c>
      <c r="AB20" s="24">
        <v>302</v>
      </c>
      <c r="AC20" s="24"/>
      <c r="AD20" s="24"/>
      <c r="AE20" s="26">
        <f t="shared" si="3"/>
        <v>444.69000000000005</v>
      </c>
      <c r="AF20" s="24"/>
      <c r="AG20" s="27">
        <v>1</v>
      </c>
    </row>
    <row r="21" spans="1:41" s="28" customFormat="1" ht="26.25" customHeight="1" x14ac:dyDescent="0.25">
      <c r="A21" s="18">
        <v>45689</v>
      </c>
      <c r="B21" s="19"/>
      <c r="C21" s="20">
        <f t="shared" si="6"/>
        <v>0</v>
      </c>
      <c r="D21" s="19">
        <v>1511</v>
      </c>
      <c r="E21" s="21">
        <f t="shared" si="7"/>
        <v>181.61057692307691</v>
      </c>
      <c r="F21" s="19">
        <v>1433</v>
      </c>
      <c r="G21" s="22">
        <f t="shared" si="4"/>
        <v>166.62790697674419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852.2</v>
      </c>
      <c r="Q21" s="24"/>
      <c r="R21" s="24"/>
      <c r="S21" s="25">
        <v>643</v>
      </c>
      <c r="T21" s="24"/>
      <c r="U21" s="24"/>
      <c r="V21" s="24">
        <v>105</v>
      </c>
      <c r="W21" s="25">
        <v>640</v>
      </c>
      <c r="X21" s="25"/>
      <c r="Y21" s="24">
        <v>196</v>
      </c>
      <c r="Z21" s="24"/>
      <c r="AA21" s="24">
        <v>324</v>
      </c>
      <c r="AB21" s="24">
        <v>276</v>
      </c>
      <c r="AC21" s="24"/>
      <c r="AD21" s="24"/>
      <c r="AE21" s="26">
        <f t="shared" si="3"/>
        <v>476.28000000000003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7674</v>
      </c>
      <c r="E22" s="33">
        <f t="shared" si="8"/>
        <v>922.35576923076928</v>
      </c>
      <c r="F22" s="31">
        <f t="shared" si="8"/>
        <v>10188</v>
      </c>
      <c r="G22" s="33">
        <f t="shared" si="8"/>
        <v>1184.6511627906978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5819.2</v>
      </c>
      <c r="Q22" s="31">
        <f t="shared" si="8"/>
        <v>0</v>
      </c>
      <c r="R22" s="31">
        <f t="shared" si="8"/>
        <v>0</v>
      </c>
      <c r="S22" s="31">
        <f t="shared" si="8"/>
        <v>4152</v>
      </c>
      <c r="T22" s="31">
        <f t="shared" si="8"/>
        <v>0</v>
      </c>
      <c r="U22" s="31">
        <f t="shared" si="8"/>
        <v>0</v>
      </c>
      <c r="V22" s="31">
        <f t="shared" si="8"/>
        <v>339</v>
      </c>
      <c r="W22" s="31">
        <f t="shared" si="8"/>
        <v>4561</v>
      </c>
      <c r="X22" s="31">
        <f t="shared" si="8"/>
        <v>0</v>
      </c>
      <c r="Y22" s="31">
        <f t="shared" si="8"/>
        <v>1116</v>
      </c>
      <c r="Z22" s="31">
        <f t="shared" si="8"/>
        <v>6</v>
      </c>
      <c r="AA22" s="31">
        <f t="shared" si="8"/>
        <v>2666</v>
      </c>
      <c r="AB22" s="31">
        <f t="shared" si="8"/>
        <v>1121</v>
      </c>
      <c r="AC22" s="31">
        <f t="shared" si="8"/>
        <v>0</v>
      </c>
      <c r="AD22" s="31">
        <f t="shared" si="8"/>
        <v>0</v>
      </c>
      <c r="AE22" s="33">
        <f t="shared" si="8"/>
        <v>2711.88</v>
      </c>
      <c r="AF22" s="33">
        <f t="shared" si="8"/>
        <v>0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45690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45691</v>
      </c>
      <c r="B16" s="19"/>
      <c r="C16" s="20">
        <f t="shared" si="0"/>
        <v>0</v>
      </c>
      <c r="D16" s="19">
        <v>1560</v>
      </c>
      <c r="E16" s="21">
        <f>D16/208*25</f>
        <v>187.5</v>
      </c>
      <c r="F16" s="19">
        <v>1827</v>
      </c>
      <c r="G16" s="22">
        <f>F16/215*25</f>
        <v>212.44186046511629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1032</v>
      </c>
      <c r="Q16" s="24"/>
      <c r="R16" s="24"/>
      <c r="S16" s="25">
        <v>733</v>
      </c>
      <c r="T16" s="24"/>
      <c r="U16" s="24"/>
      <c r="V16" s="24">
        <v>60</v>
      </c>
      <c r="W16" s="25">
        <v>831</v>
      </c>
      <c r="X16" s="25"/>
      <c r="Y16" s="24">
        <v>206</v>
      </c>
      <c r="Z16" s="24">
        <v>2</v>
      </c>
      <c r="AA16" s="24">
        <v>383</v>
      </c>
      <c r="AB16" s="24">
        <v>285</v>
      </c>
      <c r="AC16" s="24"/>
      <c r="AD16" s="24"/>
      <c r="AE16" s="26">
        <f t="shared" ref="AE16:AE21" si="3">Y16*2.43</f>
        <v>500.58000000000004</v>
      </c>
      <c r="AF16" s="24"/>
      <c r="AG16" s="27"/>
      <c r="AH16" s="29"/>
    </row>
    <row r="17" spans="1:41" s="28" customFormat="1" ht="26.25" customHeight="1" x14ac:dyDescent="0.25">
      <c r="A17" s="18">
        <v>45692</v>
      </c>
      <c r="B17" s="19"/>
      <c r="C17" s="20">
        <f t="shared" si="0"/>
        <v>0</v>
      </c>
      <c r="D17" s="19">
        <v>2018</v>
      </c>
      <c r="E17" s="21">
        <f t="shared" si="1"/>
        <v>242.54807692307691</v>
      </c>
      <c r="F17" s="19">
        <v>1548</v>
      </c>
      <c r="G17" s="22">
        <f t="shared" ref="G17:G21" si="4">F17/215*25</f>
        <v>180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1294</v>
      </c>
      <c r="Q17" s="24"/>
      <c r="R17" s="24"/>
      <c r="S17" s="24">
        <v>1057</v>
      </c>
      <c r="T17" s="24"/>
      <c r="U17" s="24"/>
      <c r="V17" s="24">
        <v>33</v>
      </c>
      <c r="W17" s="25">
        <v>824</v>
      </c>
      <c r="X17" s="25"/>
      <c r="Y17" s="24">
        <v>231</v>
      </c>
      <c r="Z17" s="24"/>
      <c r="AA17" s="24">
        <v>369</v>
      </c>
      <c r="AB17" s="24">
        <v>406</v>
      </c>
      <c r="AC17" s="24"/>
      <c r="AD17" s="24"/>
      <c r="AE17" s="26">
        <f t="shared" si="3"/>
        <v>561.33000000000004</v>
      </c>
      <c r="AF17" s="24"/>
      <c r="AG17" s="27"/>
    </row>
    <row r="18" spans="1:41" s="28" customFormat="1" ht="26.25" customHeight="1" x14ac:dyDescent="0.25">
      <c r="A18" s="18">
        <v>45693</v>
      </c>
      <c r="B18" s="19"/>
      <c r="C18" s="20">
        <f t="shared" si="0"/>
        <v>0</v>
      </c>
      <c r="D18" s="19">
        <v>2162</v>
      </c>
      <c r="E18" s="21">
        <f t="shared" si="1"/>
        <v>259.85576923076923</v>
      </c>
      <c r="F18" s="19">
        <v>1718</v>
      </c>
      <c r="G18" s="22">
        <f t="shared" si="4"/>
        <v>199.76744186046511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1268</v>
      </c>
      <c r="Q18" s="24"/>
      <c r="R18" s="24"/>
      <c r="S18" s="24">
        <v>1103</v>
      </c>
      <c r="T18" s="24"/>
      <c r="U18" s="24"/>
      <c r="V18" s="12">
        <v>44</v>
      </c>
      <c r="W18" s="24">
        <v>775</v>
      </c>
      <c r="X18" s="25"/>
      <c r="Y18" s="24">
        <v>214</v>
      </c>
      <c r="Z18" s="24">
        <v>2</v>
      </c>
      <c r="AA18" s="24">
        <v>359</v>
      </c>
      <c r="AB18" s="24">
        <v>463</v>
      </c>
      <c r="AC18" s="24"/>
      <c r="AD18" s="24"/>
      <c r="AE18" s="26">
        <f t="shared" si="3"/>
        <v>520.02</v>
      </c>
      <c r="AF18" s="24"/>
      <c r="AG18" s="27"/>
    </row>
    <row r="19" spans="1:41" s="28" customFormat="1" ht="26.25" customHeight="1" x14ac:dyDescent="0.25">
      <c r="A19" s="18">
        <v>45694</v>
      </c>
      <c r="B19" s="19"/>
      <c r="C19" s="20">
        <f>B19/200*25</f>
        <v>0</v>
      </c>
      <c r="D19" s="19">
        <v>1633</v>
      </c>
      <c r="E19" s="21">
        <f>D19/208*25</f>
        <v>196.27403846153845</v>
      </c>
      <c r="F19" s="19">
        <v>1502</v>
      </c>
      <c r="G19" s="22">
        <f t="shared" si="4"/>
        <v>174.65116279069767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1098</v>
      </c>
      <c r="Q19" s="24"/>
      <c r="R19" s="24"/>
      <c r="S19" s="24">
        <v>898</v>
      </c>
      <c r="T19" s="24"/>
      <c r="U19" s="24"/>
      <c r="V19" s="24">
        <v>48</v>
      </c>
      <c r="W19" s="25">
        <v>688</v>
      </c>
      <c r="X19" s="25"/>
      <c r="Y19" s="24">
        <v>208</v>
      </c>
      <c r="Z19" s="24"/>
      <c r="AA19" s="24">
        <v>356</v>
      </c>
      <c r="AB19" s="24">
        <v>395</v>
      </c>
      <c r="AC19" s="24"/>
      <c r="AD19" s="24"/>
      <c r="AE19" s="26">
        <f t="shared" si="3"/>
        <v>505.44000000000005</v>
      </c>
      <c r="AF19" s="24"/>
      <c r="AG19" s="27"/>
    </row>
    <row r="20" spans="1:41" s="28" customFormat="1" ht="26.25" customHeight="1" x14ac:dyDescent="0.25">
      <c r="A20" s="18">
        <v>45695</v>
      </c>
      <c r="B20" s="19"/>
      <c r="C20" s="20">
        <f t="shared" ref="C20:C21" si="6">B20/200*25</f>
        <v>0</v>
      </c>
      <c r="D20" s="19">
        <v>2313</v>
      </c>
      <c r="E20" s="21">
        <f t="shared" ref="E20:E21" si="7">D20/208*25</f>
        <v>278.00480769230774</v>
      </c>
      <c r="F20" s="19">
        <v>1570</v>
      </c>
      <c r="G20" s="22">
        <f t="shared" si="4"/>
        <v>182.55813953488371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1256</v>
      </c>
      <c r="Q20" s="24"/>
      <c r="R20" s="24"/>
      <c r="S20" s="25">
        <v>1156</v>
      </c>
      <c r="T20" s="24"/>
      <c r="U20" s="24"/>
      <c r="V20" s="24">
        <v>35</v>
      </c>
      <c r="W20" s="25">
        <v>716</v>
      </c>
      <c r="X20" s="25"/>
      <c r="Y20" s="24">
        <v>249</v>
      </c>
      <c r="Z20" s="24"/>
      <c r="AA20" s="24">
        <v>348</v>
      </c>
      <c r="AB20" s="24">
        <v>479</v>
      </c>
      <c r="AC20" s="24"/>
      <c r="AD20" s="24"/>
      <c r="AE20" s="26">
        <f t="shared" si="3"/>
        <v>605.07000000000005</v>
      </c>
      <c r="AF20" s="24"/>
      <c r="AG20" s="27"/>
    </row>
    <row r="21" spans="1:41" s="28" customFormat="1" ht="26.25" customHeight="1" x14ac:dyDescent="0.25">
      <c r="A21" s="18">
        <v>45696</v>
      </c>
      <c r="B21" s="19"/>
      <c r="C21" s="20">
        <f t="shared" si="6"/>
        <v>0</v>
      </c>
      <c r="D21" s="19">
        <v>1197</v>
      </c>
      <c r="E21" s="21">
        <f t="shared" si="7"/>
        <v>143.87019230769232</v>
      </c>
      <c r="F21" s="19">
        <v>1463</v>
      </c>
      <c r="G21" s="22">
        <f t="shared" si="4"/>
        <v>170.11627906976744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912</v>
      </c>
      <c r="Q21" s="24"/>
      <c r="R21" s="24"/>
      <c r="S21" s="25">
        <v>645</v>
      </c>
      <c r="T21" s="24"/>
      <c r="U21" s="24"/>
      <c r="V21" s="24">
        <v>47</v>
      </c>
      <c r="W21" s="25">
        <v>667</v>
      </c>
      <c r="X21" s="25"/>
      <c r="Y21" s="24">
        <v>176</v>
      </c>
      <c r="Z21" s="24"/>
      <c r="AA21" s="24">
        <v>341</v>
      </c>
      <c r="AB21" s="24">
        <v>258</v>
      </c>
      <c r="AC21" s="24"/>
      <c r="AD21" s="24"/>
      <c r="AE21" s="26">
        <f t="shared" si="3"/>
        <v>427.68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10883</v>
      </c>
      <c r="E22" s="33">
        <f t="shared" si="8"/>
        <v>1308.0528846153848</v>
      </c>
      <c r="F22" s="31">
        <f t="shared" si="8"/>
        <v>9628</v>
      </c>
      <c r="G22" s="33">
        <f t="shared" si="8"/>
        <v>1119.5348837209301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6860</v>
      </c>
      <c r="Q22" s="31">
        <f t="shared" si="8"/>
        <v>0</v>
      </c>
      <c r="R22" s="31">
        <f t="shared" si="8"/>
        <v>0</v>
      </c>
      <c r="S22" s="31">
        <f t="shared" si="8"/>
        <v>5592</v>
      </c>
      <c r="T22" s="31">
        <f t="shared" si="8"/>
        <v>0</v>
      </c>
      <c r="U22" s="31">
        <f t="shared" si="8"/>
        <v>0</v>
      </c>
      <c r="V22" s="31">
        <f t="shared" si="8"/>
        <v>267</v>
      </c>
      <c r="W22" s="31">
        <f t="shared" si="8"/>
        <v>4501</v>
      </c>
      <c r="X22" s="31">
        <f t="shared" si="8"/>
        <v>0</v>
      </c>
      <c r="Y22" s="31">
        <f t="shared" si="8"/>
        <v>1284</v>
      </c>
      <c r="Z22" s="31">
        <f t="shared" si="8"/>
        <v>4</v>
      </c>
      <c r="AA22" s="31">
        <f t="shared" si="8"/>
        <v>2156</v>
      </c>
      <c r="AB22" s="31">
        <f t="shared" si="8"/>
        <v>2286</v>
      </c>
      <c r="AC22" s="31">
        <f t="shared" si="8"/>
        <v>0</v>
      </c>
      <c r="AD22" s="31">
        <f t="shared" si="8"/>
        <v>0</v>
      </c>
      <c r="AE22" s="33">
        <f t="shared" si="8"/>
        <v>3120.12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38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42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45697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45698</v>
      </c>
      <c r="B16" s="19"/>
      <c r="C16" s="20">
        <f t="shared" si="0"/>
        <v>0</v>
      </c>
      <c r="D16" s="19">
        <v>1631</v>
      </c>
      <c r="E16" s="21">
        <f>D16/208*25</f>
        <v>196.03365384615387</v>
      </c>
      <c r="F16" s="19">
        <v>1889</v>
      </c>
      <c r="G16" s="22">
        <f>F16/215*25</f>
        <v>219.65116279069767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1073.4000000000001</v>
      </c>
      <c r="Q16" s="24"/>
      <c r="R16" s="24"/>
      <c r="S16" s="25">
        <v>799</v>
      </c>
      <c r="T16" s="24"/>
      <c r="U16" s="24"/>
      <c r="V16" s="24">
        <v>31</v>
      </c>
      <c r="W16" s="25">
        <v>919</v>
      </c>
      <c r="X16" s="25"/>
      <c r="Y16" s="24">
        <v>197</v>
      </c>
      <c r="Z16" s="24">
        <v>2</v>
      </c>
      <c r="AA16" s="24">
        <v>396</v>
      </c>
      <c r="AB16" s="24">
        <v>287</v>
      </c>
      <c r="AC16" s="24"/>
      <c r="AD16" s="24"/>
      <c r="AE16" s="26">
        <f t="shared" ref="AE16:AE21" si="3">Y16*2.43</f>
        <v>478.71000000000004</v>
      </c>
      <c r="AF16" s="24"/>
      <c r="AG16" s="27"/>
      <c r="AH16" s="29"/>
    </row>
    <row r="17" spans="1:41" s="28" customFormat="1" ht="26.25" customHeight="1" x14ac:dyDescent="0.25">
      <c r="A17" s="18">
        <v>45699</v>
      </c>
      <c r="B17" s="19"/>
      <c r="C17" s="20">
        <f t="shared" si="0"/>
        <v>0</v>
      </c>
      <c r="D17" s="19">
        <v>2142</v>
      </c>
      <c r="E17" s="21">
        <f t="shared" si="1"/>
        <v>257.45192307692309</v>
      </c>
      <c r="F17" s="19">
        <v>2189</v>
      </c>
      <c r="G17" s="22">
        <f t="shared" ref="G17:G21" si="4">F17/215*25</f>
        <v>254.53488372093025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1481</v>
      </c>
      <c r="Q17" s="24"/>
      <c r="R17" s="24"/>
      <c r="S17" s="24">
        <v>1169</v>
      </c>
      <c r="T17" s="24"/>
      <c r="U17" s="24"/>
      <c r="V17" s="24">
        <v>63</v>
      </c>
      <c r="W17" s="25">
        <v>1039</v>
      </c>
      <c r="X17" s="25"/>
      <c r="Y17" s="24">
        <v>225</v>
      </c>
      <c r="Z17" s="24">
        <v>2</v>
      </c>
      <c r="AA17" s="24">
        <v>450</v>
      </c>
      <c r="AB17" s="24">
        <v>477</v>
      </c>
      <c r="AC17" s="24"/>
      <c r="AD17" s="24"/>
      <c r="AE17" s="26">
        <f t="shared" si="3"/>
        <v>546.75</v>
      </c>
      <c r="AF17" s="24"/>
      <c r="AG17" s="27"/>
    </row>
    <row r="18" spans="1:41" s="28" customFormat="1" ht="26.25" customHeight="1" x14ac:dyDescent="0.25">
      <c r="A18" s="18">
        <v>45700</v>
      </c>
      <c r="B18" s="19"/>
      <c r="C18" s="20">
        <f t="shared" si="0"/>
        <v>0</v>
      </c>
      <c r="D18" s="19">
        <v>2340</v>
      </c>
      <c r="E18" s="21">
        <f t="shared" si="1"/>
        <v>281.25</v>
      </c>
      <c r="F18" s="19">
        <v>1990</v>
      </c>
      <c r="G18" s="22">
        <f t="shared" si="4"/>
        <v>231.39534883720933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1505</v>
      </c>
      <c r="Q18" s="24"/>
      <c r="R18" s="24"/>
      <c r="S18" s="24">
        <v>1255</v>
      </c>
      <c r="T18" s="24"/>
      <c r="U18" s="24"/>
      <c r="V18" s="12">
        <v>83</v>
      </c>
      <c r="W18" s="24">
        <v>911</v>
      </c>
      <c r="X18" s="25"/>
      <c r="Y18" s="24">
        <v>233</v>
      </c>
      <c r="Z18" s="24">
        <v>2</v>
      </c>
      <c r="AA18" s="24">
        <v>405</v>
      </c>
      <c r="AB18" s="24">
        <v>537</v>
      </c>
      <c r="AC18" s="24"/>
      <c r="AD18" s="24"/>
      <c r="AE18" s="26">
        <f t="shared" si="3"/>
        <v>566.19000000000005</v>
      </c>
      <c r="AF18" s="24"/>
      <c r="AG18" s="27"/>
    </row>
    <row r="19" spans="1:41" s="28" customFormat="1" ht="26.25" customHeight="1" x14ac:dyDescent="0.25">
      <c r="A19" s="18">
        <v>45701</v>
      </c>
      <c r="B19" s="19"/>
      <c r="C19" s="20">
        <f>B19/200*25</f>
        <v>0</v>
      </c>
      <c r="D19" s="19">
        <v>1911</v>
      </c>
      <c r="E19" s="21">
        <f>D19/208*25</f>
        <v>229.6875</v>
      </c>
      <c r="F19" s="19">
        <v>1555</v>
      </c>
      <c r="G19" s="22">
        <f t="shared" si="4"/>
        <v>180.81395348837211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1134</v>
      </c>
      <c r="Q19" s="24"/>
      <c r="R19" s="24"/>
      <c r="S19" s="24">
        <v>937</v>
      </c>
      <c r="T19" s="24"/>
      <c r="U19" s="24"/>
      <c r="V19" s="24">
        <v>131</v>
      </c>
      <c r="W19" s="25">
        <v>687</v>
      </c>
      <c r="X19" s="25"/>
      <c r="Y19" s="24">
        <v>187</v>
      </c>
      <c r="Z19" s="24"/>
      <c r="AA19" s="24">
        <v>303</v>
      </c>
      <c r="AB19" s="24">
        <v>382</v>
      </c>
      <c r="AC19" s="24"/>
      <c r="AD19" s="24"/>
      <c r="AE19" s="26">
        <f t="shared" si="3"/>
        <v>454.41</v>
      </c>
      <c r="AF19" s="24"/>
      <c r="AG19" s="27"/>
    </row>
    <row r="20" spans="1:41" s="28" customFormat="1" ht="26.25" customHeight="1" x14ac:dyDescent="0.25">
      <c r="A20" s="18">
        <v>45702</v>
      </c>
      <c r="B20" s="19"/>
      <c r="C20" s="20">
        <f t="shared" ref="C20:C21" si="6">B20/200*25</f>
        <v>0</v>
      </c>
      <c r="D20" s="19">
        <v>2086</v>
      </c>
      <c r="E20" s="21">
        <f t="shared" ref="E20:E21" si="7">D20/208*25</f>
        <v>250.72115384615384</v>
      </c>
      <c r="F20" s="19">
        <v>2217</v>
      </c>
      <c r="G20" s="22">
        <f t="shared" si="4"/>
        <v>257.7906976744186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1360</v>
      </c>
      <c r="Q20" s="24"/>
      <c r="R20" s="24"/>
      <c r="S20" s="25">
        <v>1013</v>
      </c>
      <c r="T20" s="24"/>
      <c r="U20" s="24"/>
      <c r="V20" s="24">
        <v>189</v>
      </c>
      <c r="W20" s="25">
        <v>915</v>
      </c>
      <c r="X20" s="25"/>
      <c r="Y20" s="24">
        <v>228</v>
      </c>
      <c r="Z20" s="24">
        <v>2</v>
      </c>
      <c r="AA20" s="24">
        <v>481</v>
      </c>
      <c r="AB20" s="24">
        <v>390</v>
      </c>
      <c r="AC20" s="24"/>
      <c r="AD20" s="24"/>
      <c r="AE20" s="26">
        <f t="shared" si="3"/>
        <v>554.04000000000008</v>
      </c>
      <c r="AF20" s="24"/>
      <c r="AG20" s="27">
        <v>2</v>
      </c>
    </row>
    <row r="21" spans="1:41" s="28" customFormat="1" ht="26.25" customHeight="1" x14ac:dyDescent="0.25">
      <c r="A21" s="18">
        <v>45703</v>
      </c>
      <c r="B21" s="19"/>
      <c r="C21" s="20">
        <f t="shared" si="6"/>
        <v>0</v>
      </c>
      <c r="D21" s="19">
        <v>1710</v>
      </c>
      <c r="E21" s="21">
        <f t="shared" si="7"/>
        <v>205.52884615384616</v>
      </c>
      <c r="F21" s="19">
        <v>1444</v>
      </c>
      <c r="G21" s="22">
        <f t="shared" si="4"/>
        <v>167.90697674418604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908</v>
      </c>
      <c r="Q21" s="24"/>
      <c r="R21" s="24"/>
      <c r="S21" s="25">
        <v>670</v>
      </c>
      <c r="T21" s="24"/>
      <c r="U21" s="24"/>
      <c r="V21" s="24">
        <v>100</v>
      </c>
      <c r="W21" s="25">
        <v>699</v>
      </c>
      <c r="X21" s="25"/>
      <c r="Y21" s="24">
        <v>176</v>
      </c>
      <c r="Z21" s="24"/>
      <c r="AA21" s="24">
        <v>310</v>
      </c>
      <c r="AB21" s="24">
        <v>261</v>
      </c>
      <c r="AC21" s="24"/>
      <c r="AD21" s="24"/>
      <c r="AE21" s="26">
        <f t="shared" si="3"/>
        <v>427.68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11820</v>
      </c>
      <c r="E22" s="33">
        <f t="shared" si="8"/>
        <v>1420.6730769230769</v>
      </c>
      <c r="F22" s="31">
        <f t="shared" si="8"/>
        <v>11284</v>
      </c>
      <c r="G22" s="33">
        <f t="shared" si="8"/>
        <v>1312.0930232558142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7461.4</v>
      </c>
      <c r="Q22" s="31">
        <f t="shared" si="8"/>
        <v>0</v>
      </c>
      <c r="R22" s="31">
        <f t="shared" si="8"/>
        <v>0</v>
      </c>
      <c r="S22" s="31">
        <f t="shared" si="8"/>
        <v>5843</v>
      </c>
      <c r="T22" s="31">
        <f t="shared" si="8"/>
        <v>0</v>
      </c>
      <c r="U22" s="31">
        <f t="shared" si="8"/>
        <v>0</v>
      </c>
      <c r="V22" s="31">
        <f t="shared" si="8"/>
        <v>597</v>
      </c>
      <c r="W22" s="31">
        <f t="shared" si="8"/>
        <v>5170</v>
      </c>
      <c r="X22" s="31">
        <f t="shared" si="8"/>
        <v>0</v>
      </c>
      <c r="Y22" s="31">
        <f t="shared" si="8"/>
        <v>1246</v>
      </c>
      <c r="Z22" s="31">
        <f t="shared" si="8"/>
        <v>8</v>
      </c>
      <c r="AA22" s="31">
        <f t="shared" si="8"/>
        <v>2345</v>
      </c>
      <c r="AB22" s="31">
        <f t="shared" si="8"/>
        <v>2334</v>
      </c>
      <c r="AC22" s="31">
        <f t="shared" si="8"/>
        <v>0</v>
      </c>
      <c r="AD22" s="31">
        <f t="shared" si="8"/>
        <v>0</v>
      </c>
      <c r="AE22" s="33">
        <f t="shared" si="8"/>
        <v>3027.78</v>
      </c>
      <c r="AF22" s="33">
        <f t="shared" si="8"/>
        <v>0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U25" s="42" t="s">
        <v>34</v>
      </c>
      <c r="AA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U26" s="40"/>
      <c r="AA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U27" s="40"/>
      <c r="AA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U28" s="45" t="s">
        <v>49</v>
      </c>
      <c r="AA28" s="46" t="s">
        <v>39</v>
      </c>
    </row>
    <row r="29" spans="1:41" s="43" customFormat="1" ht="17.25" customHeight="1" x14ac:dyDescent="0.3">
      <c r="A29" s="44" t="s">
        <v>40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U29" s="44" t="s">
        <v>50</v>
      </c>
      <c r="AA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T21" sqref="T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45704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45705</v>
      </c>
      <c r="B16" s="19"/>
      <c r="C16" s="20">
        <f t="shared" si="0"/>
        <v>0</v>
      </c>
      <c r="D16" s="19">
        <v>1200</v>
      </c>
      <c r="E16" s="21">
        <f>D16/208*25</f>
        <v>144.23076923076923</v>
      </c>
      <c r="F16" s="19">
        <v>1868</v>
      </c>
      <c r="G16" s="22">
        <f>F16/215*25</f>
        <v>217.2093023255814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910.4</v>
      </c>
      <c r="Q16" s="24"/>
      <c r="R16" s="24"/>
      <c r="S16" s="25">
        <v>606</v>
      </c>
      <c r="T16" s="24"/>
      <c r="U16" s="24"/>
      <c r="V16" s="24">
        <v>124</v>
      </c>
      <c r="W16" s="25">
        <v>720</v>
      </c>
      <c r="X16" s="25"/>
      <c r="Y16" s="24">
        <v>149</v>
      </c>
      <c r="Z16" s="24">
        <v>2</v>
      </c>
      <c r="AA16" s="24">
        <v>320</v>
      </c>
      <c r="AB16" s="24">
        <v>248</v>
      </c>
      <c r="AC16" s="24"/>
      <c r="AD16" s="24"/>
      <c r="AE16" s="26">
        <f t="shared" ref="AE16:AE21" si="3">Y16*2.43</f>
        <v>362.07000000000005</v>
      </c>
      <c r="AF16" s="24"/>
      <c r="AG16" s="27"/>
      <c r="AH16" s="29"/>
    </row>
    <row r="17" spans="1:41" s="28" customFormat="1" ht="26.25" customHeight="1" x14ac:dyDescent="0.25">
      <c r="A17" s="18">
        <v>45706</v>
      </c>
      <c r="B17" s="19"/>
      <c r="C17" s="20">
        <f t="shared" si="0"/>
        <v>0</v>
      </c>
      <c r="D17" s="19">
        <v>2061</v>
      </c>
      <c r="E17" s="21">
        <f t="shared" si="1"/>
        <v>247.71634615384616</v>
      </c>
      <c r="F17" s="19">
        <v>2088</v>
      </c>
      <c r="G17" s="22">
        <f t="shared" ref="G17:G21" si="4">F17/215*25</f>
        <v>242.7906976744186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1163.2</v>
      </c>
      <c r="Q17" s="24"/>
      <c r="R17" s="24"/>
      <c r="S17" s="24">
        <v>864</v>
      </c>
      <c r="T17" s="24"/>
      <c r="U17" s="24"/>
      <c r="V17" s="24">
        <v>102</v>
      </c>
      <c r="W17" s="25">
        <v>908</v>
      </c>
      <c r="X17" s="25"/>
      <c r="Y17" s="24">
        <v>211</v>
      </c>
      <c r="Z17" s="24">
        <v>4</v>
      </c>
      <c r="AA17" s="24">
        <v>420</v>
      </c>
      <c r="AB17" s="24">
        <v>316</v>
      </c>
      <c r="AC17" s="24"/>
      <c r="AD17" s="24"/>
      <c r="AE17" s="26">
        <f t="shared" si="3"/>
        <v>512.73</v>
      </c>
      <c r="AF17" s="24"/>
      <c r="AG17" s="27"/>
    </row>
    <row r="18" spans="1:41" s="28" customFormat="1" ht="26.25" customHeight="1" x14ac:dyDescent="0.25">
      <c r="A18" s="18">
        <v>45707</v>
      </c>
      <c r="B18" s="19"/>
      <c r="C18" s="20">
        <f t="shared" si="0"/>
        <v>0</v>
      </c>
      <c r="D18" s="19">
        <v>1423</v>
      </c>
      <c r="E18" s="21">
        <f t="shared" si="1"/>
        <v>171.03365384615387</v>
      </c>
      <c r="F18" s="19">
        <v>1887</v>
      </c>
      <c r="G18" s="22">
        <f t="shared" si="4"/>
        <v>219.41860465116281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842.2</v>
      </c>
      <c r="Q18" s="24"/>
      <c r="R18" s="24"/>
      <c r="S18" s="24">
        <v>663</v>
      </c>
      <c r="T18" s="24"/>
      <c r="U18" s="24"/>
      <c r="V18" s="12">
        <v>106</v>
      </c>
      <c r="W18" s="24">
        <v>690</v>
      </c>
      <c r="X18" s="25"/>
      <c r="Y18" s="24">
        <v>173</v>
      </c>
      <c r="Z18" s="24"/>
      <c r="AA18" s="24">
        <v>331</v>
      </c>
      <c r="AB18" s="24">
        <v>263</v>
      </c>
      <c r="AC18" s="24"/>
      <c r="AD18" s="24"/>
      <c r="AE18" s="26">
        <f t="shared" si="3"/>
        <v>420.39000000000004</v>
      </c>
      <c r="AF18" s="24"/>
      <c r="AG18" s="27"/>
    </row>
    <row r="19" spans="1:41" s="28" customFormat="1" ht="26.25" customHeight="1" x14ac:dyDescent="0.25">
      <c r="A19" s="18">
        <v>45708</v>
      </c>
      <c r="B19" s="19"/>
      <c r="C19" s="20">
        <f>B19/200*25</f>
        <v>0</v>
      </c>
      <c r="D19" s="19">
        <v>1431</v>
      </c>
      <c r="E19" s="21">
        <f>D19/208*25</f>
        <v>171.99519230769232</v>
      </c>
      <c r="F19" s="19">
        <v>1622</v>
      </c>
      <c r="G19" s="22">
        <f t="shared" si="4"/>
        <v>188.6046511627907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1066</v>
      </c>
      <c r="Q19" s="24"/>
      <c r="R19" s="24"/>
      <c r="S19" s="24">
        <v>731</v>
      </c>
      <c r="T19" s="24"/>
      <c r="U19" s="24"/>
      <c r="V19" s="24">
        <v>80</v>
      </c>
      <c r="W19" s="25">
        <v>743</v>
      </c>
      <c r="X19" s="25"/>
      <c r="Y19" s="24">
        <v>174</v>
      </c>
      <c r="Z19" s="24"/>
      <c r="AA19" s="24">
        <v>345</v>
      </c>
      <c r="AB19" s="24">
        <v>302</v>
      </c>
      <c r="AC19" s="24"/>
      <c r="AD19" s="24"/>
      <c r="AE19" s="26">
        <f t="shared" si="3"/>
        <v>422.82000000000005</v>
      </c>
      <c r="AF19" s="24"/>
      <c r="AG19" s="27"/>
    </row>
    <row r="20" spans="1:41" s="28" customFormat="1" ht="26.25" customHeight="1" x14ac:dyDescent="0.25">
      <c r="A20" s="18">
        <v>45709</v>
      </c>
      <c r="B20" s="19"/>
      <c r="C20" s="20">
        <f t="shared" ref="C20:C21" si="6">B20/200*25</f>
        <v>0</v>
      </c>
      <c r="D20" s="19">
        <v>2172</v>
      </c>
      <c r="E20" s="21">
        <f t="shared" ref="E20:E21" si="7">D20/208*25</f>
        <v>261.05769230769226</v>
      </c>
      <c r="F20" s="19">
        <v>1384</v>
      </c>
      <c r="G20" s="22">
        <f t="shared" si="4"/>
        <v>160.93023255813955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1033.4000000000001</v>
      </c>
      <c r="Q20" s="24"/>
      <c r="R20" s="24"/>
      <c r="S20" s="25">
        <v>1039</v>
      </c>
      <c r="T20" s="24"/>
      <c r="U20" s="24"/>
      <c r="V20" s="24">
        <v>54</v>
      </c>
      <c r="W20" s="25">
        <v>606</v>
      </c>
      <c r="X20" s="25"/>
      <c r="Y20" s="24">
        <v>194</v>
      </c>
      <c r="Z20" s="24"/>
      <c r="AA20" s="24">
        <v>294</v>
      </c>
      <c r="AB20" s="24">
        <v>395</v>
      </c>
      <c r="AC20" s="24"/>
      <c r="AD20" s="24"/>
      <c r="AE20" s="26">
        <f t="shared" si="3"/>
        <v>471.42</v>
      </c>
      <c r="AF20" s="24"/>
      <c r="AG20" s="27"/>
    </row>
    <row r="21" spans="1:41" s="28" customFormat="1" ht="26.25" customHeight="1" x14ac:dyDescent="0.25">
      <c r="A21" s="18">
        <v>45710</v>
      </c>
      <c r="B21" s="19"/>
      <c r="C21" s="20">
        <f t="shared" si="6"/>
        <v>0</v>
      </c>
      <c r="D21" s="19">
        <v>1817</v>
      </c>
      <c r="E21" s="21">
        <f t="shared" si="7"/>
        <v>218.38942307692309</v>
      </c>
      <c r="F21" s="19">
        <v>2090</v>
      </c>
      <c r="G21" s="22">
        <f t="shared" si="4"/>
        <v>243.02325581395348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1267</v>
      </c>
      <c r="Q21" s="24"/>
      <c r="R21" s="24"/>
      <c r="S21" s="25">
        <v>970</v>
      </c>
      <c r="T21" s="24"/>
      <c r="U21" s="24"/>
      <c r="V21" s="24">
        <v>131</v>
      </c>
      <c r="W21" s="25">
        <v>802</v>
      </c>
      <c r="X21" s="25"/>
      <c r="Y21" s="24">
        <v>174</v>
      </c>
      <c r="Z21" s="24">
        <v>2</v>
      </c>
      <c r="AA21" s="24">
        <v>381</v>
      </c>
      <c r="AB21" s="24">
        <v>399</v>
      </c>
      <c r="AC21" s="24"/>
      <c r="AD21" s="24"/>
      <c r="AE21" s="26">
        <f t="shared" si="3"/>
        <v>422.82000000000005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10104</v>
      </c>
      <c r="E22" s="33">
        <f t="shared" si="8"/>
        <v>1214.4230769230771</v>
      </c>
      <c r="F22" s="31">
        <f t="shared" si="8"/>
        <v>10939</v>
      </c>
      <c r="G22" s="33">
        <f t="shared" si="8"/>
        <v>1271.9767441860465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6282.2000000000007</v>
      </c>
      <c r="Q22" s="31">
        <f t="shared" si="8"/>
        <v>0</v>
      </c>
      <c r="R22" s="31">
        <f t="shared" si="8"/>
        <v>0</v>
      </c>
      <c r="S22" s="31">
        <f t="shared" si="8"/>
        <v>4873</v>
      </c>
      <c r="T22" s="31">
        <f t="shared" si="8"/>
        <v>0</v>
      </c>
      <c r="U22" s="31">
        <f t="shared" si="8"/>
        <v>0</v>
      </c>
      <c r="V22" s="31">
        <f t="shared" si="8"/>
        <v>597</v>
      </c>
      <c r="W22" s="31">
        <f t="shared" si="8"/>
        <v>4469</v>
      </c>
      <c r="X22" s="31">
        <f t="shared" si="8"/>
        <v>0</v>
      </c>
      <c r="Y22" s="31">
        <f t="shared" si="8"/>
        <v>1075</v>
      </c>
      <c r="Z22" s="31">
        <f t="shared" si="8"/>
        <v>8</v>
      </c>
      <c r="AA22" s="31">
        <f t="shared" si="8"/>
        <v>2091</v>
      </c>
      <c r="AB22" s="31">
        <f t="shared" si="8"/>
        <v>1923</v>
      </c>
      <c r="AC22" s="31">
        <f t="shared" si="8"/>
        <v>0</v>
      </c>
      <c r="AD22" s="31">
        <f t="shared" si="8"/>
        <v>0</v>
      </c>
      <c r="AE22" s="33">
        <f t="shared" si="8"/>
        <v>2612.2500000000005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E20" sqref="E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45711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45712</v>
      </c>
      <c r="B16" s="19"/>
      <c r="C16" s="20">
        <f t="shared" si="0"/>
        <v>0</v>
      </c>
      <c r="D16" s="19">
        <v>2083</v>
      </c>
      <c r="E16" s="21">
        <f>D16/208*25</f>
        <v>250.36057692307691</v>
      </c>
      <c r="F16" s="19">
        <v>1917</v>
      </c>
      <c r="G16" s="22">
        <f>F16/215*25</f>
        <v>222.90697674418601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1064.4000000000001</v>
      </c>
      <c r="Q16" s="24"/>
      <c r="R16" s="24"/>
      <c r="S16" s="25">
        <v>960</v>
      </c>
      <c r="T16" s="24"/>
      <c r="U16" s="24"/>
      <c r="V16" s="24">
        <v>50</v>
      </c>
      <c r="W16" s="25">
        <v>763</v>
      </c>
      <c r="X16" s="25"/>
      <c r="Y16" s="24">
        <v>204</v>
      </c>
      <c r="Z16" s="24">
        <v>2</v>
      </c>
      <c r="AA16" s="24">
        <v>350</v>
      </c>
      <c r="AB16" s="24">
        <v>394</v>
      </c>
      <c r="AC16" s="24"/>
      <c r="AD16" s="24"/>
      <c r="AE16" s="26">
        <f t="shared" ref="AE16:AE21" si="3">Y16*2.43</f>
        <v>495.72</v>
      </c>
      <c r="AF16" s="24"/>
      <c r="AG16" s="27"/>
      <c r="AH16" s="29"/>
    </row>
    <row r="17" spans="1:41" s="28" customFormat="1" ht="26.25" customHeight="1" x14ac:dyDescent="0.25">
      <c r="A17" s="18">
        <v>45713</v>
      </c>
      <c r="B17" s="19"/>
      <c r="C17" s="20">
        <f t="shared" si="0"/>
        <v>0</v>
      </c>
      <c r="D17" s="19">
        <v>1172</v>
      </c>
      <c r="E17" s="21">
        <f t="shared" si="1"/>
        <v>140.86538461538461</v>
      </c>
      <c r="F17" s="19">
        <v>2378</v>
      </c>
      <c r="G17" s="22">
        <f t="shared" ref="G17:G21" si="4">F17/215*25</f>
        <v>276.51162790697674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972.8</v>
      </c>
      <c r="Q17" s="24"/>
      <c r="R17" s="24"/>
      <c r="S17" s="24">
        <v>657</v>
      </c>
      <c r="T17" s="24"/>
      <c r="U17" s="24"/>
      <c r="V17" s="24">
        <v>42</v>
      </c>
      <c r="W17" s="25">
        <v>915</v>
      </c>
      <c r="X17" s="25"/>
      <c r="Y17" s="24">
        <v>170</v>
      </c>
      <c r="Z17" s="24">
        <v>2</v>
      </c>
      <c r="AA17" s="24">
        <v>407</v>
      </c>
      <c r="AB17" s="24">
        <v>254</v>
      </c>
      <c r="AC17" s="24"/>
      <c r="AD17" s="24"/>
      <c r="AE17" s="26">
        <f t="shared" si="3"/>
        <v>413.1</v>
      </c>
      <c r="AF17" s="24"/>
      <c r="AG17" s="27"/>
    </row>
    <row r="18" spans="1:41" s="28" customFormat="1" ht="26.25" customHeight="1" x14ac:dyDescent="0.25">
      <c r="A18" s="18">
        <v>45714</v>
      </c>
      <c r="B18" s="19"/>
      <c r="C18" s="20">
        <f t="shared" si="0"/>
        <v>0</v>
      </c>
      <c r="D18" s="19">
        <v>1494</v>
      </c>
      <c r="E18" s="21">
        <f t="shared" si="1"/>
        <v>179.56730769230768</v>
      </c>
      <c r="F18" s="19">
        <v>1584</v>
      </c>
      <c r="G18" s="22">
        <f t="shared" si="4"/>
        <v>184.18604651162792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1013</v>
      </c>
      <c r="Q18" s="24"/>
      <c r="R18" s="24"/>
      <c r="S18" s="24">
        <v>733</v>
      </c>
      <c r="T18" s="24"/>
      <c r="U18" s="24"/>
      <c r="V18" s="12">
        <v>101</v>
      </c>
      <c r="W18" s="24">
        <v>705</v>
      </c>
      <c r="X18" s="25"/>
      <c r="Y18" s="24">
        <v>170</v>
      </c>
      <c r="Z18" s="24"/>
      <c r="AA18" s="24">
        <v>356</v>
      </c>
      <c r="AB18" s="24">
        <v>286</v>
      </c>
      <c r="AC18" s="24"/>
      <c r="AD18" s="24"/>
      <c r="AE18" s="26">
        <f t="shared" si="3"/>
        <v>413.1</v>
      </c>
      <c r="AF18" s="24"/>
      <c r="AG18" s="27"/>
    </row>
    <row r="19" spans="1:41" s="28" customFormat="1" ht="26.25" customHeight="1" x14ac:dyDescent="0.25">
      <c r="A19" s="18">
        <v>45715</v>
      </c>
      <c r="B19" s="19"/>
      <c r="C19" s="20">
        <f>B19/200*25</f>
        <v>0</v>
      </c>
      <c r="D19" s="19">
        <v>1730</v>
      </c>
      <c r="E19" s="21">
        <f>D19/208*25</f>
        <v>207.93269230769229</v>
      </c>
      <c r="F19" s="19">
        <v>1960</v>
      </c>
      <c r="G19" s="22">
        <f t="shared" si="4"/>
        <v>227.90697674418604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1062.5999999999999</v>
      </c>
      <c r="Q19" s="24"/>
      <c r="R19" s="24"/>
      <c r="S19" s="24">
        <v>838</v>
      </c>
      <c r="T19" s="24"/>
      <c r="U19" s="24"/>
      <c r="V19" s="24">
        <v>102</v>
      </c>
      <c r="W19" s="25">
        <v>817</v>
      </c>
      <c r="X19" s="25"/>
      <c r="Y19" s="24">
        <v>180</v>
      </c>
      <c r="Z19" s="24">
        <v>2</v>
      </c>
      <c r="AA19" s="24">
        <v>363</v>
      </c>
      <c r="AB19" s="24">
        <v>300</v>
      </c>
      <c r="AC19" s="24"/>
      <c r="AD19" s="24"/>
      <c r="AE19" s="26">
        <f t="shared" si="3"/>
        <v>437.40000000000003</v>
      </c>
      <c r="AF19" s="24"/>
      <c r="AG19" s="27"/>
    </row>
    <row r="20" spans="1:41" s="28" customFormat="1" ht="26.25" customHeight="1" x14ac:dyDescent="0.25">
      <c r="A20" s="18">
        <v>45716</v>
      </c>
      <c r="B20" s="19"/>
      <c r="C20" s="20">
        <f t="shared" ref="C20:C21" si="6">B20/200*25</f>
        <v>0</v>
      </c>
      <c r="D20" s="19">
        <v>1298</v>
      </c>
      <c r="E20" s="21">
        <f t="shared" ref="E20:E21" si="7">D20/208*25</f>
        <v>156.00961538461539</v>
      </c>
      <c r="F20" s="19">
        <v>1698</v>
      </c>
      <c r="G20" s="22">
        <f t="shared" si="4"/>
        <v>197.44186046511626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753</v>
      </c>
      <c r="Q20" s="24"/>
      <c r="R20" s="24"/>
      <c r="S20" s="25">
        <v>590</v>
      </c>
      <c r="T20" s="24"/>
      <c r="U20" s="24"/>
      <c r="V20" s="24">
        <v>73</v>
      </c>
      <c r="W20" s="25">
        <v>649</v>
      </c>
      <c r="X20" s="25"/>
      <c r="Y20" s="24">
        <v>165</v>
      </c>
      <c r="Z20" s="24">
        <v>2</v>
      </c>
      <c r="AA20" s="24">
        <v>308</v>
      </c>
      <c r="AB20" s="24">
        <v>218</v>
      </c>
      <c r="AC20" s="24"/>
      <c r="AD20" s="24"/>
      <c r="AE20" s="26">
        <f t="shared" si="3"/>
        <v>400.95000000000005</v>
      </c>
      <c r="AF20" s="24"/>
      <c r="AG20" s="27"/>
    </row>
    <row r="21" spans="1:41" s="28" customFormat="1" ht="26.25" customHeight="1" x14ac:dyDescent="0.25">
      <c r="A21" s="18">
        <v>45717</v>
      </c>
      <c r="B21" s="19"/>
      <c r="C21" s="20">
        <f t="shared" si="6"/>
        <v>0</v>
      </c>
      <c r="D21" s="19">
        <v>1423</v>
      </c>
      <c r="E21" s="21">
        <f t="shared" si="7"/>
        <v>171.03365384615387</v>
      </c>
      <c r="F21" s="19">
        <v>1642</v>
      </c>
      <c r="G21" s="22">
        <f t="shared" si="4"/>
        <v>190.93023255813955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1003</v>
      </c>
      <c r="Q21" s="24"/>
      <c r="R21" s="24"/>
      <c r="S21" s="25">
        <v>734</v>
      </c>
      <c r="T21" s="24"/>
      <c r="U21" s="24"/>
      <c r="V21" s="24">
        <v>67</v>
      </c>
      <c r="W21" s="25">
        <v>712</v>
      </c>
      <c r="X21" s="25"/>
      <c r="Y21" s="24">
        <v>186</v>
      </c>
      <c r="Z21" s="24"/>
      <c r="AA21" s="24">
        <v>335</v>
      </c>
      <c r="AB21" s="24">
        <v>264</v>
      </c>
      <c r="AC21" s="24"/>
      <c r="AD21" s="24"/>
      <c r="AE21" s="26">
        <f t="shared" si="3"/>
        <v>451.98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9200</v>
      </c>
      <c r="E22" s="33">
        <f t="shared" si="8"/>
        <v>1105.7692307692307</v>
      </c>
      <c r="F22" s="31">
        <f t="shared" si="8"/>
        <v>11179</v>
      </c>
      <c r="G22" s="33">
        <f t="shared" si="8"/>
        <v>1299.8837209302326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5868.7999999999993</v>
      </c>
      <c r="Q22" s="31">
        <f t="shared" si="8"/>
        <v>0</v>
      </c>
      <c r="R22" s="31">
        <f t="shared" si="8"/>
        <v>0</v>
      </c>
      <c r="S22" s="31">
        <f t="shared" si="8"/>
        <v>4512</v>
      </c>
      <c r="T22" s="31">
        <f t="shared" si="8"/>
        <v>0</v>
      </c>
      <c r="U22" s="31">
        <f t="shared" si="8"/>
        <v>0</v>
      </c>
      <c r="V22" s="31">
        <f t="shared" si="8"/>
        <v>435</v>
      </c>
      <c r="W22" s="31">
        <f t="shared" si="8"/>
        <v>4561</v>
      </c>
      <c r="X22" s="31">
        <f t="shared" si="8"/>
        <v>0</v>
      </c>
      <c r="Y22" s="31">
        <f t="shared" si="8"/>
        <v>1075</v>
      </c>
      <c r="Z22" s="31">
        <f t="shared" si="8"/>
        <v>8</v>
      </c>
      <c r="AA22" s="31">
        <f t="shared" si="8"/>
        <v>2119</v>
      </c>
      <c r="AB22" s="31">
        <f t="shared" si="8"/>
        <v>1716</v>
      </c>
      <c r="AC22" s="31">
        <f t="shared" si="8"/>
        <v>0</v>
      </c>
      <c r="AD22" s="31">
        <f t="shared" si="8"/>
        <v>0</v>
      </c>
      <c r="AE22" s="33">
        <f t="shared" si="8"/>
        <v>2612.2500000000005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E19" sqref="E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45718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45719</v>
      </c>
      <c r="B16" s="19"/>
      <c r="C16" s="20">
        <f t="shared" si="0"/>
        <v>0</v>
      </c>
      <c r="D16" s="19">
        <v>1594</v>
      </c>
      <c r="E16" s="21">
        <f>D16/208*25</f>
        <v>191.58653846153845</v>
      </c>
      <c r="F16" s="19">
        <v>1502</v>
      </c>
      <c r="G16" s="22">
        <f>F16/215*25</f>
        <v>174.65116279069767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1084</v>
      </c>
      <c r="Q16" s="24"/>
      <c r="R16" s="24"/>
      <c r="S16" s="25">
        <v>848</v>
      </c>
      <c r="T16" s="24"/>
      <c r="U16" s="24"/>
      <c r="V16" s="24">
        <v>121</v>
      </c>
      <c r="W16" s="25">
        <v>693</v>
      </c>
      <c r="X16" s="25"/>
      <c r="Y16" s="24">
        <v>189</v>
      </c>
      <c r="Z16" s="24"/>
      <c r="AA16" s="24">
        <v>355</v>
      </c>
      <c r="AB16" s="24">
        <v>322</v>
      </c>
      <c r="AC16" s="24"/>
      <c r="AD16" s="24"/>
      <c r="AE16" s="26">
        <f t="shared" ref="AE16:AE21" si="3">Y16*2.43</f>
        <v>459.27000000000004</v>
      </c>
      <c r="AF16" s="24"/>
      <c r="AG16" s="27"/>
      <c r="AH16" s="29"/>
    </row>
    <row r="17" spans="1:41" s="28" customFormat="1" ht="26.25" customHeight="1" x14ac:dyDescent="0.25">
      <c r="A17" s="18">
        <v>45720</v>
      </c>
      <c r="B17" s="19"/>
      <c r="C17" s="20">
        <f t="shared" si="0"/>
        <v>0</v>
      </c>
      <c r="D17" s="19">
        <v>1716</v>
      </c>
      <c r="E17" s="21">
        <f t="shared" si="1"/>
        <v>206.25</v>
      </c>
      <c r="F17" s="19">
        <v>3238</v>
      </c>
      <c r="G17" s="22">
        <f t="shared" ref="G17:G21" si="4">F17/215*25</f>
        <v>376.51162790697674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1143.2</v>
      </c>
      <c r="Q17" s="24"/>
      <c r="R17" s="24"/>
      <c r="S17" s="24">
        <v>815</v>
      </c>
      <c r="T17" s="24"/>
      <c r="U17" s="24"/>
      <c r="V17" s="24">
        <v>106</v>
      </c>
      <c r="W17" s="25">
        <v>1073</v>
      </c>
      <c r="X17" s="25"/>
      <c r="Y17" s="24">
        <v>198</v>
      </c>
      <c r="Z17" s="24">
        <v>2</v>
      </c>
      <c r="AA17" s="24">
        <v>478</v>
      </c>
      <c r="AB17" s="24">
        <v>313</v>
      </c>
      <c r="AC17" s="24"/>
      <c r="AD17" s="24"/>
      <c r="AE17" s="26">
        <f t="shared" si="3"/>
        <v>481.14000000000004</v>
      </c>
      <c r="AF17" s="24"/>
      <c r="AG17" s="27"/>
    </row>
    <row r="18" spans="1:41" s="28" customFormat="1" ht="26.25" customHeight="1" x14ac:dyDescent="0.25">
      <c r="A18" s="18">
        <v>45721</v>
      </c>
      <c r="B18" s="19"/>
      <c r="C18" s="20">
        <f t="shared" si="0"/>
        <v>0</v>
      </c>
      <c r="D18" s="19">
        <v>1394</v>
      </c>
      <c r="E18" s="21">
        <f t="shared" si="1"/>
        <v>167.54807692307691</v>
      </c>
      <c r="F18" s="19">
        <v>1175</v>
      </c>
      <c r="G18" s="22">
        <f t="shared" si="4"/>
        <v>136.62790697674419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811.8</v>
      </c>
      <c r="Q18" s="24"/>
      <c r="R18" s="24"/>
      <c r="S18" s="24">
        <v>713</v>
      </c>
      <c r="T18" s="24"/>
      <c r="U18" s="24"/>
      <c r="V18" s="12">
        <v>41</v>
      </c>
      <c r="W18" s="24">
        <v>532</v>
      </c>
      <c r="X18" s="25"/>
      <c r="Y18" s="24">
        <v>162</v>
      </c>
      <c r="Z18" s="24">
        <v>2</v>
      </c>
      <c r="AA18" s="24">
        <v>236</v>
      </c>
      <c r="AB18" s="24">
        <v>299</v>
      </c>
      <c r="AC18" s="24"/>
      <c r="AD18" s="24"/>
      <c r="AE18" s="26">
        <f t="shared" si="3"/>
        <v>393.66</v>
      </c>
      <c r="AF18" s="24"/>
      <c r="AG18" s="27"/>
    </row>
    <row r="19" spans="1:41" s="28" customFormat="1" ht="26.25" customHeight="1" x14ac:dyDescent="0.25">
      <c r="A19" s="18">
        <v>45722</v>
      </c>
      <c r="B19" s="19"/>
      <c r="C19" s="20">
        <f>B19/200*25</f>
        <v>0</v>
      </c>
      <c r="D19" s="19">
        <v>1269</v>
      </c>
      <c r="E19" s="21">
        <f>D19/208*25</f>
        <v>152.52403846153845</v>
      </c>
      <c r="F19" s="19">
        <v>1847</v>
      </c>
      <c r="G19" s="22">
        <f t="shared" si="4"/>
        <v>214.76744186046511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1117.2</v>
      </c>
      <c r="Q19" s="24"/>
      <c r="R19" s="24"/>
      <c r="S19" s="24">
        <v>677</v>
      </c>
      <c r="T19" s="24"/>
      <c r="U19" s="24"/>
      <c r="V19" s="24">
        <v>68</v>
      </c>
      <c r="W19" s="25">
        <v>952</v>
      </c>
      <c r="X19" s="25"/>
      <c r="Y19" s="24">
        <v>211</v>
      </c>
      <c r="Z19" s="24"/>
      <c r="AA19" s="24">
        <v>445</v>
      </c>
      <c r="AB19" s="24">
        <v>252</v>
      </c>
      <c r="AC19" s="24"/>
      <c r="AD19" s="24"/>
      <c r="AE19" s="26">
        <f t="shared" si="3"/>
        <v>512.73</v>
      </c>
      <c r="AF19" s="24"/>
      <c r="AG19" s="27"/>
    </row>
    <row r="20" spans="1:41" s="28" customFormat="1" ht="26.25" customHeight="1" x14ac:dyDescent="0.25">
      <c r="A20" s="18">
        <v>45723</v>
      </c>
      <c r="B20" s="19"/>
      <c r="C20" s="20">
        <f t="shared" ref="C20:C21" si="6">B20/200*25</f>
        <v>0</v>
      </c>
      <c r="D20" s="19">
        <v>2214</v>
      </c>
      <c r="E20" s="21">
        <f t="shared" ref="E20:E21" si="7">D20/208*25</f>
        <v>266.10576923076923</v>
      </c>
      <c r="F20" s="19">
        <v>1619</v>
      </c>
      <c r="G20" s="22">
        <f t="shared" si="4"/>
        <v>188.25581395348837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1183.2</v>
      </c>
      <c r="Q20" s="24"/>
      <c r="R20" s="24"/>
      <c r="S20" s="25">
        <v>1087</v>
      </c>
      <c r="T20" s="24"/>
      <c r="U20" s="24"/>
      <c r="V20" s="24">
        <v>46</v>
      </c>
      <c r="W20" s="25">
        <v>740</v>
      </c>
      <c r="X20" s="25"/>
      <c r="Y20" s="24">
        <v>203</v>
      </c>
      <c r="Z20" s="24">
        <v>2</v>
      </c>
      <c r="AA20" s="24">
        <v>349</v>
      </c>
      <c r="AB20" s="24">
        <v>377</v>
      </c>
      <c r="AC20" s="24"/>
      <c r="AD20" s="24"/>
      <c r="AE20" s="26">
        <f t="shared" si="3"/>
        <v>493.29</v>
      </c>
      <c r="AF20" s="24"/>
      <c r="AG20" s="27"/>
    </row>
    <row r="21" spans="1:41" s="28" customFormat="1" ht="26.25" customHeight="1" x14ac:dyDescent="0.25">
      <c r="A21" s="18">
        <v>45724</v>
      </c>
      <c r="B21" s="19"/>
      <c r="C21" s="20">
        <f t="shared" si="6"/>
        <v>0</v>
      </c>
      <c r="D21" s="19">
        <v>1901</v>
      </c>
      <c r="E21" s="21">
        <f t="shared" si="7"/>
        <v>228.48557692307691</v>
      </c>
      <c r="F21" s="19">
        <v>3008</v>
      </c>
      <c r="G21" s="22">
        <f t="shared" si="4"/>
        <v>349.76744186046511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1213.3799999999999</v>
      </c>
      <c r="Q21" s="24"/>
      <c r="R21" s="24"/>
      <c r="S21" s="25">
        <v>1013</v>
      </c>
      <c r="T21" s="24"/>
      <c r="U21" s="24"/>
      <c r="V21" s="24">
        <v>82</v>
      </c>
      <c r="W21" s="25">
        <v>963</v>
      </c>
      <c r="X21" s="25"/>
      <c r="Y21" s="24">
        <v>186</v>
      </c>
      <c r="Z21" s="24">
        <v>2</v>
      </c>
      <c r="AA21" s="24">
        <v>452</v>
      </c>
      <c r="AB21" s="24">
        <v>353</v>
      </c>
      <c r="AC21" s="24"/>
      <c r="AD21" s="24"/>
      <c r="AE21" s="26">
        <f t="shared" si="3"/>
        <v>451.98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10088</v>
      </c>
      <c r="E22" s="33">
        <f t="shared" si="8"/>
        <v>1212.5</v>
      </c>
      <c r="F22" s="31">
        <f t="shared" si="8"/>
        <v>12389</v>
      </c>
      <c r="G22" s="33">
        <f t="shared" si="8"/>
        <v>1440.5813953488371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6552.78</v>
      </c>
      <c r="Q22" s="31">
        <f t="shared" si="8"/>
        <v>0</v>
      </c>
      <c r="R22" s="31">
        <f t="shared" si="8"/>
        <v>0</v>
      </c>
      <c r="S22" s="31">
        <f t="shared" si="8"/>
        <v>5153</v>
      </c>
      <c r="T22" s="31">
        <f t="shared" si="8"/>
        <v>0</v>
      </c>
      <c r="U22" s="31">
        <f t="shared" si="8"/>
        <v>0</v>
      </c>
      <c r="V22" s="31">
        <f t="shared" si="8"/>
        <v>464</v>
      </c>
      <c r="W22" s="31">
        <f t="shared" si="8"/>
        <v>4953</v>
      </c>
      <c r="X22" s="31">
        <f t="shared" si="8"/>
        <v>0</v>
      </c>
      <c r="Y22" s="31">
        <f t="shared" si="8"/>
        <v>1149</v>
      </c>
      <c r="Z22" s="31">
        <f t="shared" si="8"/>
        <v>8</v>
      </c>
      <c r="AA22" s="31">
        <f t="shared" si="8"/>
        <v>2315</v>
      </c>
      <c r="AB22" s="31">
        <f t="shared" si="8"/>
        <v>1916</v>
      </c>
      <c r="AC22" s="31">
        <f t="shared" si="8"/>
        <v>0</v>
      </c>
      <c r="AD22" s="31">
        <f t="shared" si="8"/>
        <v>0</v>
      </c>
      <c r="AE22" s="33">
        <f t="shared" si="8"/>
        <v>2792.07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7"/>
  <sheetViews>
    <sheetView topLeftCell="A4" zoomScaleNormal="100" workbookViewId="0">
      <selection activeCell="A21" sqref="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45725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45726</v>
      </c>
      <c r="B16" s="19"/>
      <c r="C16" s="20">
        <f t="shared" si="0"/>
        <v>0</v>
      </c>
      <c r="D16" s="19">
        <v>1431</v>
      </c>
      <c r="E16" s="21">
        <f>D16/208*25</f>
        <v>171.99519230769232</v>
      </c>
      <c r="F16" s="19">
        <v>1388</v>
      </c>
      <c r="G16" s="22">
        <f>F16/215*25</f>
        <v>161.3953488372093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1070.1999999999998</v>
      </c>
      <c r="Q16" s="24"/>
      <c r="R16" s="24"/>
      <c r="S16" s="25">
        <v>785</v>
      </c>
      <c r="T16" s="24"/>
      <c r="U16" s="24"/>
      <c r="V16" s="24">
        <v>40</v>
      </c>
      <c r="W16" s="25">
        <v>771</v>
      </c>
      <c r="X16" s="25"/>
      <c r="Y16" s="24">
        <v>162</v>
      </c>
      <c r="Z16" s="24"/>
      <c r="AA16" s="24">
        <v>309</v>
      </c>
      <c r="AB16" s="24">
        <v>282</v>
      </c>
      <c r="AC16" s="24"/>
      <c r="AD16" s="24"/>
      <c r="AE16" s="26">
        <f t="shared" ref="AE16:AE22" si="3">Y16*2.43</f>
        <v>393.66</v>
      </c>
      <c r="AF16" s="24"/>
      <c r="AG16" s="27"/>
      <c r="AH16" s="29"/>
    </row>
    <row r="17" spans="1:41" s="28" customFormat="1" ht="26.25" customHeight="1" x14ac:dyDescent="0.25">
      <c r="A17" s="18">
        <v>45727</v>
      </c>
      <c r="B17" s="19"/>
      <c r="C17" s="20">
        <f t="shared" si="0"/>
        <v>0</v>
      </c>
      <c r="D17" s="19">
        <v>2275</v>
      </c>
      <c r="E17" s="21">
        <f t="shared" si="1"/>
        <v>273.4375</v>
      </c>
      <c r="F17" s="19">
        <v>2040</v>
      </c>
      <c r="G17" s="22">
        <f t="shared" ref="G17:G22" si="4">F17/215*25</f>
        <v>237.2093023255814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2" si="5">N17/38*25</f>
        <v>0</v>
      </c>
      <c r="P17" s="23">
        <v>1352.2</v>
      </c>
      <c r="Q17" s="24"/>
      <c r="R17" s="24"/>
      <c r="S17" s="24">
        <v>1064</v>
      </c>
      <c r="T17" s="24"/>
      <c r="U17" s="24"/>
      <c r="V17" s="24">
        <v>78</v>
      </c>
      <c r="W17" s="25">
        <v>1041</v>
      </c>
      <c r="X17" s="25"/>
      <c r="Y17" s="24">
        <v>248</v>
      </c>
      <c r="Z17" s="24">
        <v>4</v>
      </c>
      <c r="AA17" s="24">
        <v>452</v>
      </c>
      <c r="AB17" s="24">
        <v>410</v>
      </c>
      <c r="AC17" s="24"/>
      <c r="AD17" s="24"/>
      <c r="AE17" s="26">
        <f t="shared" si="3"/>
        <v>602.64</v>
      </c>
      <c r="AF17" s="24"/>
      <c r="AG17" s="27"/>
    </row>
    <row r="18" spans="1:41" s="28" customFormat="1" ht="26.25" customHeight="1" x14ac:dyDescent="0.25">
      <c r="A18" s="18">
        <v>45728</v>
      </c>
      <c r="B18" s="19"/>
      <c r="C18" s="20">
        <f t="shared" si="0"/>
        <v>0</v>
      </c>
      <c r="D18" s="19">
        <v>2028</v>
      </c>
      <c r="E18" s="21">
        <f t="shared" si="1"/>
        <v>243.75</v>
      </c>
      <c r="F18" s="19">
        <v>3193</v>
      </c>
      <c r="G18" s="22">
        <f t="shared" si="4"/>
        <v>371.27906976744185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1209.4000000000001</v>
      </c>
      <c r="Q18" s="24"/>
      <c r="R18" s="24"/>
      <c r="S18" s="24">
        <v>982</v>
      </c>
      <c r="T18" s="24"/>
      <c r="U18" s="24"/>
      <c r="V18" s="12">
        <v>84</v>
      </c>
      <c r="W18" s="24">
        <v>1072</v>
      </c>
      <c r="X18" s="25"/>
      <c r="Y18" s="24">
        <v>244</v>
      </c>
      <c r="Z18" s="24"/>
      <c r="AA18" s="24">
        <v>471</v>
      </c>
      <c r="AB18" s="24">
        <v>378</v>
      </c>
      <c r="AC18" s="24"/>
      <c r="AD18" s="24"/>
      <c r="AE18" s="26">
        <f t="shared" si="3"/>
        <v>592.92000000000007</v>
      </c>
      <c r="AF18" s="24"/>
      <c r="AG18" s="27"/>
    </row>
    <row r="19" spans="1:41" s="28" customFormat="1" ht="26.25" customHeight="1" x14ac:dyDescent="0.25">
      <c r="A19" s="18">
        <v>45729</v>
      </c>
      <c r="B19" s="19"/>
      <c r="C19" s="20">
        <f>B19/200*25</f>
        <v>0</v>
      </c>
      <c r="D19" s="19">
        <v>1481</v>
      </c>
      <c r="E19" s="21">
        <f>D19/208*25</f>
        <v>178.00480769230768</v>
      </c>
      <c r="F19" s="19">
        <v>1856</v>
      </c>
      <c r="G19" s="22">
        <f t="shared" si="4"/>
        <v>215.81395348837211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1216.8000000000002</v>
      </c>
      <c r="Q19" s="24"/>
      <c r="R19" s="24"/>
      <c r="S19" s="24">
        <v>842</v>
      </c>
      <c r="T19" s="24"/>
      <c r="U19" s="24"/>
      <c r="V19" s="24">
        <v>65</v>
      </c>
      <c r="W19" s="25">
        <v>914</v>
      </c>
      <c r="X19" s="25"/>
      <c r="Y19" s="24">
        <v>212</v>
      </c>
      <c r="Z19" s="24">
        <v>2</v>
      </c>
      <c r="AA19" s="24">
        <v>387</v>
      </c>
      <c r="AB19" s="24">
        <v>315</v>
      </c>
      <c r="AC19" s="24"/>
      <c r="AD19" s="24"/>
      <c r="AE19" s="26">
        <f t="shared" si="3"/>
        <v>515.16000000000008</v>
      </c>
      <c r="AF19" s="24"/>
      <c r="AG19" s="27">
        <v>1</v>
      </c>
    </row>
    <row r="20" spans="1:41" s="28" customFormat="1" ht="26.25" customHeight="1" x14ac:dyDescent="0.25">
      <c r="A20" s="18">
        <v>45730</v>
      </c>
      <c r="B20" s="19"/>
      <c r="C20" s="20">
        <f t="shared" ref="C20:C22" si="6">B20/200*25</f>
        <v>0</v>
      </c>
      <c r="D20" s="19"/>
      <c r="E20" s="21">
        <f t="shared" ref="E20:E22" si="7">D20/208*25</f>
        <v>0</v>
      </c>
      <c r="F20" s="19">
        <v>2838</v>
      </c>
      <c r="G20" s="22">
        <f t="shared" si="4"/>
        <v>330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1018.4000000000001</v>
      </c>
      <c r="Q20" s="24"/>
      <c r="R20" s="24"/>
      <c r="S20" s="25">
        <v>613</v>
      </c>
      <c r="T20" s="24"/>
      <c r="U20" s="24"/>
      <c r="V20" s="24">
        <v>61</v>
      </c>
      <c r="W20" s="25">
        <v>847</v>
      </c>
      <c r="X20" s="25"/>
      <c r="Y20" s="24">
        <v>229</v>
      </c>
      <c r="Z20" s="24"/>
      <c r="AA20" s="24">
        <v>374</v>
      </c>
      <c r="AB20" s="24">
        <v>217</v>
      </c>
      <c r="AC20" s="24"/>
      <c r="AD20" s="24"/>
      <c r="AE20" s="26">
        <f t="shared" si="3"/>
        <v>556.47</v>
      </c>
      <c r="AF20" s="24"/>
      <c r="AG20" s="27"/>
    </row>
    <row r="21" spans="1:41" s="28" customFormat="1" ht="26.25" customHeight="1" x14ac:dyDescent="0.25">
      <c r="A21" s="18">
        <v>45731</v>
      </c>
      <c r="B21" s="19"/>
      <c r="C21" s="20">
        <f t="shared" ref="C21" si="8">B21/200*25</f>
        <v>0</v>
      </c>
      <c r="D21" s="19"/>
      <c r="E21" s="21">
        <f t="shared" ref="E21" si="9">D21/208*25</f>
        <v>0</v>
      </c>
      <c r="F21" s="19">
        <v>3615</v>
      </c>
      <c r="G21" s="22">
        <f t="shared" ref="G21" si="10">F21/215*25</f>
        <v>420.3488372093023</v>
      </c>
      <c r="H21" s="19"/>
      <c r="I21" s="23"/>
      <c r="J21" s="19"/>
      <c r="K21" s="19"/>
      <c r="L21" s="19"/>
      <c r="M21" s="19"/>
      <c r="N21" s="19"/>
      <c r="O21" s="23">
        <f t="shared" ref="O21" si="11">N21/38*25</f>
        <v>0</v>
      </c>
      <c r="P21" s="23">
        <v>1214.1999999999998</v>
      </c>
      <c r="Q21" s="24"/>
      <c r="R21" s="24"/>
      <c r="S21" s="25">
        <v>930</v>
      </c>
      <c r="T21" s="24"/>
      <c r="U21" s="24"/>
      <c r="V21" s="24">
        <v>21</v>
      </c>
      <c r="W21" s="25">
        <v>891</v>
      </c>
      <c r="X21" s="25"/>
      <c r="Y21" s="24">
        <v>214</v>
      </c>
      <c r="Z21" s="24">
        <v>2</v>
      </c>
      <c r="AA21" s="24">
        <v>380</v>
      </c>
      <c r="AB21" s="24">
        <v>343</v>
      </c>
      <c r="AC21" s="24"/>
      <c r="AD21" s="24"/>
      <c r="AE21" s="26">
        <f t="shared" ref="AE21" si="12">Y21*2.43</f>
        <v>520.02</v>
      </c>
      <c r="AF21" s="24"/>
      <c r="AG21" s="27"/>
    </row>
    <row r="22" spans="1:41" s="28" customFormat="1" ht="26.25" customHeight="1" x14ac:dyDescent="0.25">
      <c r="A22" s="18">
        <v>45732</v>
      </c>
      <c r="B22" s="19"/>
      <c r="C22" s="20">
        <f t="shared" si="6"/>
        <v>0</v>
      </c>
      <c r="D22" s="19"/>
      <c r="E22" s="21">
        <f t="shared" si="7"/>
        <v>0</v>
      </c>
      <c r="F22" s="19">
        <v>1193</v>
      </c>
      <c r="G22" s="22">
        <f t="shared" si="4"/>
        <v>138.72093023255815</v>
      </c>
      <c r="H22" s="19"/>
      <c r="I22" s="23"/>
      <c r="J22" s="19"/>
      <c r="K22" s="19"/>
      <c r="L22" s="19"/>
      <c r="M22" s="19"/>
      <c r="N22" s="19"/>
      <c r="O22" s="23">
        <f t="shared" si="5"/>
        <v>0</v>
      </c>
      <c r="P22" s="23">
        <v>372.00000000000006</v>
      </c>
      <c r="Q22" s="24"/>
      <c r="R22" s="24"/>
      <c r="S22" s="25">
        <v>277</v>
      </c>
      <c r="T22" s="24"/>
      <c r="U22" s="24"/>
      <c r="V22" s="24"/>
      <c r="W22" s="25">
        <v>314</v>
      </c>
      <c r="X22" s="25"/>
      <c r="Y22" s="24">
        <v>76</v>
      </c>
      <c r="Z22" s="24"/>
      <c r="AA22" s="24">
        <v>137</v>
      </c>
      <c r="AB22" s="24">
        <v>115</v>
      </c>
      <c r="AC22" s="24"/>
      <c r="AD22" s="24"/>
      <c r="AE22" s="26">
        <f t="shared" si="3"/>
        <v>184.68</v>
      </c>
      <c r="AF22" s="24"/>
      <c r="AG22" s="27"/>
    </row>
    <row r="23" spans="1:41" ht="33" customHeight="1" thickBot="1" x14ac:dyDescent="0.3">
      <c r="A23" s="30" t="s">
        <v>30</v>
      </c>
      <c r="B23" s="31">
        <f t="shared" ref="B23:AG23" si="13">SUM(B15:B22)</f>
        <v>0</v>
      </c>
      <c r="C23" s="32">
        <f t="shared" si="13"/>
        <v>0</v>
      </c>
      <c r="D23" s="31">
        <f t="shared" si="13"/>
        <v>7215</v>
      </c>
      <c r="E23" s="33">
        <f t="shared" si="13"/>
        <v>867.1875</v>
      </c>
      <c r="F23" s="31">
        <f t="shared" si="13"/>
        <v>16123</v>
      </c>
      <c r="G23" s="33">
        <f t="shared" si="13"/>
        <v>1874.7674418604652</v>
      </c>
      <c r="H23" s="31">
        <f t="shared" si="13"/>
        <v>0</v>
      </c>
      <c r="I23" s="33">
        <f t="shared" si="13"/>
        <v>0</v>
      </c>
      <c r="J23" s="31">
        <f t="shared" si="13"/>
        <v>0</v>
      </c>
      <c r="K23" s="31">
        <f t="shared" si="13"/>
        <v>0</v>
      </c>
      <c r="L23" s="31">
        <f t="shared" si="13"/>
        <v>0</v>
      </c>
      <c r="M23" s="31">
        <f t="shared" si="13"/>
        <v>0</v>
      </c>
      <c r="N23" s="31">
        <f t="shared" si="13"/>
        <v>0</v>
      </c>
      <c r="O23" s="33">
        <f t="shared" si="13"/>
        <v>0</v>
      </c>
      <c r="P23" s="33">
        <f t="shared" si="13"/>
        <v>7453.2</v>
      </c>
      <c r="Q23" s="31">
        <f t="shared" si="13"/>
        <v>0</v>
      </c>
      <c r="R23" s="31">
        <f t="shared" si="13"/>
        <v>0</v>
      </c>
      <c r="S23" s="31">
        <f t="shared" si="13"/>
        <v>5493</v>
      </c>
      <c r="T23" s="31">
        <f t="shared" si="13"/>
        <v>0</v>
      </c>
      <c r="U23" s="31">
        <f t="shared" si="13"/>
        <v>0</v>
      </c>
      <c r="V23" s="31">
        <f t="shared" si="13"/>
        <v>349</v>
      </c>
      <c r="W23" s="31">
        <f t="shared" si="13"/>
        <v>5850</v>
      </c>
      <c r="X23" s="31">
        <f t="shared" si="13"/>
        <v>0</v>
      </c>
      <c r="Y23" s="31">
        <f t="shared" si="13"/>
        <v>1385</v>
      </c>
      <c r="Z23" s="31">
        <f t="shared" si="13"/>
        <v>8</v>
      </c>
      <c r="AA23" s="31">
        <f t="shared" si="13"/>
        <v>2510</v>
      </c>
      <c r="AB23" s="31">
        <f t="shared" si="13"/>
        <v>2060</v>
      </c>
      <c r="AC23" s="31">
        <f t="shared" si="13"/>
        <v>0</v>
      </c>
      <c r="AD23" s="31">
        <f t="shared" si="13"/>
        <v>0</v>
      </c>
      <c r="AE23" s="33">
        <f t="shared" si="13"/>
        <v>3365.55</v>
      </c>
      <c r="AF23" s="33">
        <f t="shared" si="13"/>
        <v>0</v>
      </c>
      <c r="AG23" s="33">
        <f t="shared" si="13"/>
        <v>1</v>
      </c>
      <c r="AH23" s="54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H24" s="37"/>
      <c r="I24" s="37"/>
      <c r="J24" s="38"/>
      <c r="K24" s="37" t="s">
        <v>31</v>
      </c>
      <c r="L24" s="37"/>
      <c r="M24" s="37"/>
      <c r="N24" s="37"/>
      <c r="O24" s="37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ht="15.75" customHeight="1" x14ac:dyDescent="0.2">
      <c r="A25" s="35"/>
      <c r="B25" s="35"/>
      <c r="C25" s="35"/>
      <c r="D25" s="36"/>
      <c r="E25" s="36"/>
      <c r="F25" s="37"/>
      <c r="G25" s="37"/>
      <c r="J25" s="38"/>
      <c r="P25" s="39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7"/>
      <c r="AF25" s="38"/>
      <c r="AG25" s="38"/>
    </row>
    <row r="26" spans="1:41" s="41" customFormat="1" ht="21" customHeight="1" x14ac:dyDescent="0.3">
      <c r="A26" s="40" t="s">
        <v>32</v>
      </c>
      <c r="B26" s="40"/>
      <c r="C26" s="40"/>
      <c r="D26" s="40"/>
      <c r="E26" s="40"/>
      <c r="G26" s="40" t="s">
        <v>33</v>
      </c>
      <c r="H26" s="40"/>
      <c r="I26" s="40"/>
      <c r="J26" s="40"/>
      <c r="K26" s="40"/>
      <c r="L26" s="40"/>
      <c r="M26" s="40"/>
      <c r="P26" s="40"/>
      <c r="Q26" s="40"/>
      <c r="V26" s="42" t="s">
        <v>34</v>
      </c>
      <c r="AB26" s="40" t="s">
        <v>35</v>
      </c>
      <c r="AD26" s="74"/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  <c r="AD27" s="41" t="s">
        <v>31</v>
      </c>
      <c r="AJ27" s="43"/>
      <c r="AK27" s="43"/>
      <c r="AL27" s="43"/>
      <c r="AM27" s="43"/>
      <c r="AN27" s="43"/>
      <c r="AO27" s="43"/>
    </row>
    <row r="28" spans="1:41" s="41" customFormat="1" ht="21" customHeight="1" x14ac:dyDescent="0.3">
      <c r="A28" s="44"/>
      <c r="B28" s="44"/>
      <c r="C28" s="44"/>
      <c r="D28" s="40"/>
      <c r="E28" s="40"/>
      <c r="G28" s="40"/>
      <c r="H28" s="40"/>
      <c r="I28" s="40"/>
      <c r="J28" s="40"/>
      <c r="K28" s="40"/>
      <c r="L28" s="40"/>
      <c r="M28" s="40"/>
      <c r="P28" s="40"/>
      <c r="Q28" s="40"/>
      <c r="V28" s="40"/>
      <c r="AB28" s="40"/>
    </row>
    <row r="29" spans="1:41" s="41" customFormat="1" ht="21" customHeight="1" x14ac:dyDescent="0.3">
      <c r="A29" s="45" t="s">
        <v>85</v>
      </c>
      <c r="B29" s="45"/>
      <c r="C29" s="45"/>
      <c r="D29" s="40"/>
      <c r="E29" s="40"/>
      <c r="G29" s="45" t="s">
        <v>37</v>
      </c>
      <c r="H29" s="40"/>
      <c r="I29" s="40"/>
      <c r="J29" s="40"/>
      <c r="K29" s="40"/>
      <c r="L29" s="40"/>
      <c r="M29" s="40"/>
      <c r="P29" s="40"/>
      <c r="Q29" s="40"/>
      <c r="V29" s="45" t="s">
        <v>38</v>
      </c>
      <c r="AB29" s="46" t="s">
        <v>39</v>
      </c>
    </row>
    <row r="30" spans="1:41" s="43" customFormat="1" ht="17.25" customHeight="1" x14ac:dyDescent="0.3">
      <c r="A30" s="44" t="s">
        <v>115</v>
      </c>
      <c r="B30" s="44"/>
      <c r="C30" s="44"/>
      <c r="D30" s="44"/>
      <c r="E30" s="44"/>
      <c r="G30" s="44" t="s">
        <v>41</v>
      </c>
      <c r="H30" s="44"/>
      <c r="I30" s="44"/>
      <c r="J30" s="44"/>
      <c r="K30" s="44"/>
      <c r="L30" s="44"/>
      <c r="M30" s="44"/>
      <c r="P30" s="44"/>
      <c r="Q30" s="44"/>
      <c r="V30" s="44" t="s">
        <v>42</v>
      </c>
      <c r="AB30" s="47" t="s">
        <v>43</v>
      </c>
      <c r="AL30" s="48"/>
      <c r="AM30" s="48"/>
      <c r="AN30" s="48"/>
      <c r="AO30" s="48"/>
    </row>
    <row r="31" spans="1:41" s="49" customFormat="1" ht="15.75" customHeight="1" x14ac:dyDescent="0.3"/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J32" s="50"/>
      <c r="K32" s="50"/>
      <c r="L32" s="49"/>
      <c r="M32" s="49"/>
      <c r="N32" s="49"/>
      <c r="O32" s="49"/>
    </row>
    <row r="33" spans="1:33" s="51" customFormat="1" ht="15.75" customHeight="1" x14ac:dyDescent="0.3">
      <c r="A33" s="50"/>
      <c r="B33" s="50"/>
      <c r="C33" s="50"/>
      <c r="D33" s="50"/>
      <c r="E33" s="50"/>
      <c r="H33" s="49"/>
      <c r="I33" s="49"/>
      <c r="L33" s="49"/>
      <c r="M33" s="49"/>
      <c r="N33" s="49"/>
      <c r="O33" s="49"/>
    </row>
    <row r="34" spans="1:33" s="49" customFormat="1" ht="15.75" customHeight="1" x14ac:dyDescent="0.3">
      <c r="F34" s="82"/>
    </row>
    <row r="35" spans="1:33" ht="15.75" customHeight="1" x14ac:dyDescent="0.2">
      <c r="F35" s="52"/>
      <c r="G35" s="52"/>
    </row>
    <row r="37" spans="1:33" ht="15.75" customHeight="1" x14ac:dyDescent="0.2">
      <c r="D37" s="53"/>
      <c r="E37" s="53"/>
      <c r="F37" s="53"/>
      <c r="G37" s="53"/>
      <c r="J37" s="53"/>
      <c r="K37" s="53"/>
      <c r="AG37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5"/>
  <sheetViews>
    <sheetView zoomScaleNormal="100" workbookViewId="0">
      <selection activeCell="A19" sqref="A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45733</v>
      </c>
      <c r="B15" s="19"/>
      <c r="C15" s="20">
        <f t="shared" ref="C15:C17" si="0">B15/200*25</f>
        <v>0</v>
      </c>
      <c r="D15" s="19"/>
      <c r="E15" s="21">
        <f>D15/208*25</f>
        <v>0</v>
      </c>
      <c r="F15" s="19">
        <v>2711</v>
      </c>
      <c r="G15" s="22">
        <f>F15/215*25</f>
        <v>315.23255813953489</v>
      </c>
      <c r="H15" s="19"/>
      <c r="I15" s="23">
        <f t="shared" ref="I15:I18" si="1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2">
        <v>1054</v>
      </c>
      <c r="Q15" s="24"/>
      <c r="R15" s="24"/>
      <c r="S15" s="25">
        <v>709</v>
      </c>
      <c r="T15" s="24"/>
      <c r="U15" s="24"/>
      <c r="V15" s="24">
        <v>26</v>
      </c>
      <c r="W15" s="25">
        <v>839</v>
      </c>
      <c r="X15" s="25"/>
      <c r="Y15" s="24">
        <v>184</v>
      </c>
      <c r="Z15" s="24"/>
      <c r="AA15" s="24">
        <v>365</v>
      </c>
      <c r="AB15" s="24">
        <v>277</v>
      </c>
      <c r="AC15" s="24"/>
      <c r="AD15" s="24"/>
      <c r="AE15" s="26">
        <f t="shared" ref="AE15:AE20" si="2">Y15*2.43</f>
        <v>447.12</v>
      </c>
      <c r="AF15" s="24"/>
      <c r="AG15" s="27"/>
      <c r="AH15" s="29"/>
    </row>
    <row r="16" spans="1:34" s="28" customFormat="1" ht="26.25" customHeight="1" x14ac:dyDescent="0.25">
      <c r="A16" s="18">
        <v>45734</v>
      </c>
      <c r="B16" s="19"/>
      <c r="C16" s="20">
        <f t="shared" si="0"/>
        <v>0</v>
      </c>
      <c r="D16" s="19"/>
      <c r="E16" s="21">
        <f t="shared" ref="E16:E17" si="3">D16/208*25</f>
        <v>0</v>
      </c>
      <c r="F16" s="19">
        <v>4934</v>
      </c>
      <c r="G16" s="22">
        <f t="shared" ref="G16:G20" si="4">F16/215*25</f>
        <v>573.7209302325582</v>
      </c>
      <c r="H16" s="19"/>
      <c r="I16" s="23">
        <f t="shared" si="1"/>
        <v>0</v>
      </c>
      <c r="J16" s="19"/>
      <c r="K16" s="19"/>
      <c r="L16" s="19"/>
      <c r="M16" s="19"/>
      <c r="N16" s="19"/>
      <c r="O16" s="23">
        <f t="shared" ref="O16:O20" si="5">N16/38*25</f>
        <v>0</v>
      </c>
      <c r="P16" s="23">
        <v>1230.6000000000001</v>
      </c>
      <c r="Q16" s="24"/>
      <c r="R16" s="24"/>
      <c r="S16" s="24">
        <v>808</v>
      </c>
      <c r="T16" s="24"/>
      <c r="U16" s="24"/>
      <c r="V16" s="24">
        <v>26</v>
      </c>
      <c r="W16" s="25">
        <v>1263</v>
      </c>
      <c r="X16" s="25"/>
      <c r="Y16" s="24">
        <v>235</v>
      </c>
      <c r="Z16" s="24">
        <v>2</v>
      </c>
      <c r="AA16" s="24">
        <v>509</v>
      </c>
      <c r="AB16" s="24">
        <v>302</v>
      </c>
      <c r="AC16" s="24"/>
      <c r="AD16" s="24"/>
      <c r="AE16" s="26">
        <f t="shared" si="2"/>
        <v>571.05000000000007</v>
      </c>
      <c r="AF16" s="24"/>
      <c r="AG16" s="27"/>
    </row>
    <row r="17" spans="1:41" s="28" customFormat="1" ht="26.25" customHeight="1" x14ac:dyDescent="0.25">
      <c r="A17" s="18">
        <v>45735</v>
      </c>
      <c r="B17" s="19"/>
      <c r="C17" s="20">
        <f t="shared" si="0"/>
        <v>0</v>
      </c>
      <c r="D17" s="19"/>
      <c r="E17" s="21">
        <f t="shared" si="3"/>
        <v>0</v>
      </c>
      <c r="F17" s="19">
        <v>3150</v>
      </c>
      <c r="G17" s="22">
        <f t="shared" si="4"/>
        <v>366.27906976744185</v>
      </c>
      <c r="H17" s="19"/>
      <c r="I17" s="23">
        <f t="shared" si="1"/>
        <v>0</v>
      </c>
      <c r="J17" s="19"/>
      <c r="K17" s="19"/>
      <c r="L17" s="19"/>
      <c r="M17" s="19"/>
      <c r="N17" s="19"/>
      <c r="O17" s="23">
        <f t="shared" si="5"/>
        <v>0</v>
      </c>
      <c r="P17" s="23">
        <v>1300.7</v>
      </c>
      <c r="Q17" s="24"/>
      <c r="R17" s="24"/>
      <c r="S17" s="24">
        <v>887</v>
      </c>
      <c r="T17" s="24"/>
      <c r="U17" s="24"/>
      <c r="V17" s="12">
        <v>33</v>
      </c>
      <c r="W17" s="24">
        <v>935</v>
      </c>
      <c r="X17" s="25"/>
      <c r="Y17" s="24">
        <v>182</v>
      </c>
      <c r="Z17" s="24">
        <v>2</v>
      </c>
      <c r="AA17" s="24">
        <v>417</v>
      </c>
      <c r="AB17" s="24">
        <v>328</v>
      </c>
      <c r="AC17" s="24"/>
      <c r="AD17" s="24"/>
      <c r="AE17" s="26">
        <f t="shared" si="2"/>
        <v>442.26000000000005</v>
      </c>
      <c r="AF17" s="24"/>
      <c r="AG17" s="27"/>
      <c r="AH17" s="29"/>
    </row>
    <row r="18" spans="1:41" s="28" customFormat="1" ht="26.25" customHeight="1" x14ac:dyDescent="0.25">
      <c r="A18" s="18">
        <v>45736</v>
      </c>
      <c r="B18" s="19"/>
      <c r="C18" s="20">
        <f>B18/200*25</f>
        <v>0</v>
      </c>
      <c r="D18" s="19"/>
      <c r="E18" s="21">
        <f>D18/208*25</f>
        <v>0</v>
      </c>
      <c r="F18" s="19">
        <v>3634</v>
      </c>
      <c r="G18" s="22">
        <f t="shared" si="4"/>
        <v>422.55813953488371</v>
      </c>
      <c r="H18" s="19"/>
      <c r="I18" s="23">
        <f t="shared" si="1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1387.6000000000001</v>
      </c>
      <c r="Q18" s="24"/>
      <c r="R18" s="24"/>
      <c r="S18" s="24">
        <v>983</v>
      </c>
      <c r="T18" s="24"/>
      <c r="U18" s="24"/>
      <c r="V18" s="24">
        <v>3</v>
      </c>
      <c r="W18" s="25">
        <v>1088</v>
      </c>
      <c r="X18" s="25"/>
      <c r="Y18" s="24">
        <v>194</v>
      </c>
      <c r="Z18" s="24"/>
      <c r="AA18" s="24">
        <v>459</v>
      </c>
      <c r="AB18" s="24">
        <v>391</v>
      </c>
      <c r="AC18" s="24"/>
      <c r="AD18" s="24"/>
      <c r="AE18" s="26">
        <f t="shared" si="2"/>
        <v>471.42</v>
      </c>
      <c r="AF18" s="24"/>
      <c r="AG18" s="27"/>
    </row>
    <row r="19" spans="1:41" s="28" customFormat="1" ht="26.25" customHeight="1" x14ac:dyDescent="0.25">
      <c r="A19" s="18">
        <v>45737</v>
      </c>
      <c r="B19" s="19"/>
      <c r="C19" s="20">
        <f t="shared" ref="C19:C20" si="6">B19/200*25</f>
        <v>0</v>
      </c>
      <c r="D19" s="19"/>
      <c r="E19" s="21">
        <f t="shared" ref="E19:E20" si="7">D19/208*25</f>
        <v>0</v>
      </c>
      <c r="F19" s="19">
        <v>3945</v>
      </c>
      <c r="G19" s="22">
        <f t="shared" si="4"/>
        <v>458.72093023255809</v>
      </c>
      <c r="H19" s="19"/>
      <c r="I19" s="23"/>
      <c r="J19" s="19"/>
      <c r="K19" s="19"/>
      <c r="L19" s="19"/>
      <c r="M19" s="19"/>
      <c r="N19" s="19"/>
      <c r="O19" s="23">
        <f t="shared" si="5"/>
        <v>0</v>
      </c>
      <c r="P19" s="23">
        <v>1089.8</v>
      </c>
      <c r="Q19" s="24"/>
      <c r="R19" s="24"/>
      <c r="S19" s="25">
        <v>884</v>
      </c>
      <c r="T19" s="24"/>
      <c r="U19" s="24"/>
      <c r="V19" s="24">
        <v>25</v>
      </c>
      <c r="W19" s="25">
        <v>942</v>
      </c>
      <c r="X19" s="25"/>
      <c r="Y19" s="24">
        <v>186</v>
      </c>
      <c r="Z19" s="24">
        <v>2</v>
      </c>
      <c r="AA19" s="24">
        <v>407</v>
      </c>
      <c r="AB19" s="24">
        <v>323</v>
      </c>
      <c r="AC19" s="24"/>
      <c r="AD19" s="24"/>
      <c r="AE19" s="26">
        <f t="shared" si="2"/>
        <v>451.98</v>
      </c>
      <c r="AF19" s="24"/>
      <c r="AG19" s="27"/>
    </row>
    <row r="20" spans="1:41" s="28" customFormat="1" ht="26.25" customHeight="1" x14ac:dyDescent="0.25">
      <c r="A20" s="18">
        <v>45738</v>
      </c>
      <c r="B20" s="19"/>
      <c r="C20" s="20">
        <f t="shared" si="6"/>
        <v>0</v>
      </c>
      <c r="D20" s="19"/>
      <c r="E20" s="21">
        <f t="shared" si="7"/>
        <v>0</v>
      </c>
      <c r="F20" s="19">
        <v>3110</v>
      </c>
      <c r="G20" s="22">
        <f t="shared" si="4"/>
        <v>361.62790697674421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956.80000000000007</v>
      </c>
      <c r="Q20" s="24"/>
      <c r="R20" s="24"/>
      <c r="S20" s="25">
        <v>918</v>
      </c>
      <c r="T20" s="24"/>
      <c r="U20" s="24"/>
      <c r="V20" s="24">
        <v>6</v>
      </c>
      <c r="W20" s="25">
        <v>615</v>
      </c>
      <c r="X20" s="25"/>
      <c r="Y20" s="24">
        <v>153</v>
      </c>
      <c r="Z20" s="24">
        <v>2</v>
      </c>
      <c r="AA20" s="24">
        <v>234</v>
      </c>
      <c r="AB20" s="24">
        <v>330</v>
      </c>
      <c r="AC20" s="24"/>
      <c r="AD20" s="24"/>
      <c r="AE20" s="26">
        <f t="shared" si="2"/>
        <v>371.79</v>
      </c>
      <c r="AF20" s="24"/>
      <c r="AG20" s="27"/>
    </row>
    <row r="21" spans="1:41" ht="33" customHeight="1" thickBot="1" x14ac:dyDescent="0.3">
      <c r="A21" s="30" t="s">
        <v>30</v>
      </c>
      <c r="B21" s="31">
        <f t="shared" ref="B21:AG21" si="8">SUM(B15:B20)</f>
        <v>0</v>
      </c>
      <c r="C21" s="32">
        <f t="shared" si="8"/>
        <v>0</v>
      </c>
      <c r="D21" s="31">
        <f t="shared" si="8"/>
        <v>0</v>
      </c>
      <c r="E21" s="33">
        <f t="shared" si="8"/>
        <v>0</v>
      </c>
      <c r="F21" s="31">
        <f t="shared" si="8"/>
        <v>21484</v>
      </c>
      <c r="G21" s="33">
        <f t="shared" si="8"/>
        <v>2498.1395348837209</v>
      </c>
      <c r="H21" s="31">
        <f t="shared" si="8"/>
        <v>0</v>
      </c>
      <c r="I21" s="33">
        <f t="shared" si="8"/>
        <v>0</v>
      </c>
      <c r="J21" s="31">
        <f t="shared" si="8"/>
        <v>0</v>
      </c>
      <c r="K21" s="31">
        <f t="shared" si="8"/>
        <v>0</v>
      </c>
      <c r="L21" s="31">
        <f t="shared" si="8"/>
        <v>0</v>
      </c>
      <c r="M21" s="31">
        <f t="shared" si="8"/>
        <v>0</v>
      </c>
      <c r="N21" s="31">
        <f t="shared" si="8"/>
        <v>0</v>
      </c>
      <c r="O21" s="33">
        <f t="shared" si="8"/>
        <v>0</v>
      </c>
      <c r="P21" s="33">
        <f t="shared" si="8"/>
        <v>7019.5000000000009</v>
      </c>
      <c r="Q21" s="31">
        <f t="shared" si="8"/>
        <v>0</v>
      </c>
      <c r="R21" s="31">
        <f t="shared" si="8"/>
        <v>0</v>
      </c>
      <c r="S21" s="31">
        <f t="shared" si="8"/>
        <v>5189</v>
      </c>
      <c r="T21" s="31">
        <f t="shared" si="8"/>
        <v>0</v>
      </c>
      <c r="U21" s="31">
        <f t="shared" si="8"/>
        <v>0</v>
      </c>
      <c r="V21" s="31">
        <f t="shared" si="8"/>
        <v>119</v>
      </c>
      <c r="W21" s="31">
        <f t="shared" si="8"/>
        <v>5682</v>
      </c>
      <c r="X21" s="31">
        <f t="shared" si="8"/>
        <v>0</v>
      </c>
      <c r="Y21" s="31">
        <f t="shared" si="8"/>
        <v>1134</v>
      </c>
      <c r="Z21" s="31">
        <f t="shared" si="8"/>
        <v>8</v>
      </c>
      <c r="AA21" s="31">
        <f t="shared" si="8"/>
        <v>2391</v>
      </c>
      <c r="AB21" s="31">
        <f t="shared" si="8"/>
        <v>1951</v>
      </c>
      <c r="AC21" s="31">
        <f t="shared" si="8"/>
        <v>0</v>
      </c>
      <c r="AD21" s="31">
        <f t="shared" si="8"/>
        <v>0</v>
      </c>
      <c r="AE21" s="33">
        <f t="shared" si="8"/>
        <v>2755.62</v>
      </c>
      <c r="AF21" s="33">
        <f t="shared" si="8"/>
        <v>0</v>
      </c>
      <c r="AG21" s="33">
        <f t="shared" si="8"/>
        <v>0</v>
      </c>
      <c r="AH21" s="54"/>
    </row>
    <row r="22" spans="1:41" ht="15.75" customHeight="1" x14ac:dyDescent="0.2">
      <c r="A22" s="35"/>
      <c r="B22" s="35"/>
      <c r="C22" s="35"/>
      <c r="D22" s="36"/>
      <c r="E22" s="36"/>
      <c r="F22" s="37"/>
      <c r="G22" s="37"/>
      <c r="H22" s="37"/>
      <c r="I22" s="37"/>
      <c r="J22" s="38"/>
      <c r="K22" s="37" t="s">
        <v>31</v>
      </c>
      <c r="L22" s="37"/>
      <c r="M22" s="37"/>
      <c r="N22" s="37"/>
      <c r="O22" s="37"/>
      <c r="P22" s="39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7"/>
      <c r="AF22" s="38"/>
      <c r="AG22" s="38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J23" s="38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s="41" customFormat="1" ht="21" customHeight="1" x14ac:dyDescent="0.3">
      <c r="A24" s="40" t="s">
        <v>32</v>
      </c>
      <c r="B24" s="40"/>
      <c r="C24" s="40"/>
      <c r="D24" s="40"/>
      <c r="E24" s="40"/>
      <c r="G24" s="40" t="s">
        <v>33</v>
      </c>
      <c r="H24" s="40"/>
      <c r="I24" s="40"/>
      <c r="J24" s="40"/>
      <c r="K24" s="40"/>
      <c r="L24" s="40"/>
      <c r="M24" s="40"/>
      <c r="P24" s="40"/>
      <c r="Q24" s="40"/>
      <c r="V24" s="42" t="s">
        <v>34</v>
      </c>
      <c r="AB24" s="40" t="s">
        <v>35</v>
      </c>
      <c r="AD24" s="74"/>
      <c r="AJ24" s="43"/>
      <c r="AK24" s="43"/>
      <c r="AL24" s="43"/>
      <c r="AM24" s="43"/>
      <c r="AN24" s="43"/>
      <c r="AO24" s="43"/>
    </row>
    <row r="25" spans="1:41" s="41" customFormat="1" ht="21" customHeight="1" x14ac:dyDescent="0.3">
      <c r="A25" s="44"/>
      <c r="B25" s="44"/>
      <c r="C25" s="44"/>
      <c r="D25" s="40"/>
      <c r="E25" s="40"/>
      <c r="G25" s="40"/>
      <c r="H25" s="40"/>
      <c r="I25" s="40"/>
      <c r="J25" s="40"/>
      <c r="K25" s="40"/>
      <c r="L25" s="40"/>
      <c r="M25" s="40"/>
      <c r="P25" s="40"/>
      <c r="Q25" s="40"/>
      <c r="V25" s="40"/>
      <c r="AB25" s="40"/>
      <c r="AD25" s="41" t="s">
        <v>31</v>
      </c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</row>
    <row r="27" spans="1:41" s="41" customFormat="1" ht="21" customHeight="1" x14ac:dyDescent="0.3">
      <c r="A27" s="45" t="s">
        <v>85</v>
      </c>
      <c r="B27" s="45"/>
      <c r="C27" s="45"/>
      <c r="D27" s="40"/>
      <c r="E27" s="40"/>
      <c r="G27" s="45" t="s">
        <v>37</v>
      </c>
      <c r="H27" s="40"/>
      <c r="I27" s="40"/>
      <c r="J27" s="40"/>
      <c r="K27" s="40"/>
      <c r="L27" s="40"/>
      <c r="M27" s="40"/>
      <c r="P27" s="40"/>
      <c r="Q27" s="40"/>
      <c r="V27" s="45" t="s">
        <v>38</v>
      </c>
      <c r="AB27" s="46" t="s">
        <v>39</v>
      </c>
    </row>
    <row r="28" spans="1:41" s="43" customFormat="1" ht="17.25" customHeight="1" x14ac:dyDescent="0.3">
      <c r="A28" s="44" t="s">
        <v>115</v>
      </c>
      <c r="B28" s="44"/>
      <c r="C28" s="44"/>
      <c r="D28" s="44"/>
      <c r="E28" s="44"/>
      <c r="G28" s="44" t="s">
        <v>41</v>
      </c>
      <c r="H28" s="44"/>
      <c r="I28" s="44"/>
      <c r="J28" s="44"/>
      <c r="K28" s="44"/>
      <c r="L28" s="44"/>
      <c r="M28" s="44"/>
      <c r="P28" s="44"/>
      <c r="Q28" s="44"/>
      <c r="V28" s="44" t="s">
        <v>42</v>
      </c>
      <c r="AB28" s="47" t="s">
        <v>43</v>
      </c>
      <c r="AL28" s="48"/>
      <c r="AM28" s="48"/>
      <c r="AN28" s="48"/>
      <c r="AO28" s="48"/>
    </row>
    <row r="29" spans="1:41" s="49" customFormat="1" ht="15.75" customHeight="1" x14ac:dyDescent="0.3"/>
    <row r="30" spans="1:41" s="51" customFormat="1" ht="15.75" customHeight="1" x14ac:dyDescent="0.3">
      <c r="A30" s="50"/>
      <c r="B30" s="50"/>
      <c r="C30" s="50"/>
      <c r="D30" s="50"/>
      <c r="E30" s="50"/>
      <c r="H30" s="49"/>
      <c r="I30" s="49"/>
      <c r="J30" s="50"/>
      <c r="K30" s="50"/>
      <c r="L30" s="49"/>
      <c r="M30" s="49"/>
      <c r="N30" s="49"/>
      <c r="O30" s="49"/>
    </row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L31" s="49"/>
      <c r="M31" s="49"/>
      <c r="N31" s="49"/>
      <c r="O31" s="49"/>
    </row>
    <row r="32" spans="1:41" s="49" customFormat="1" ht="15.75" customHeight="1" x14ac:dyDescent="0.3">
      <c r="F32" s="82"/>
    </row>
    <row r="33" spans="4:33" ht="15.75" customHeight="1" x14ac:dyDescent="0.2">
      <c r="F33" s="52"/>
      <c r="G33" s="52"/>
    </row>
    <row r="35" spans="4:33" ht="15.75" customHeight="1" x14ac:dyDescent="0.2">
      <c r="D35" s="53"/>
      <c r="E35" s="53"/>
      <c r="F35" s="53"/>
      <c r="G35" s="53"/>
      <c r="J35" s="53"/>
      <c r="K35" s="53"/>
      <c r="AG35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9" sqref="A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119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45739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45740</v>
      </c>
      <c r="B16" s="19"/>
      <c r="C16" s="20">
        <f t="shared" si="0"/>
        <v>0</v>
      </c>
      <c r="D16" s="19"/>
      <c r="E16" s="21">
        <f>D16/208*25</f>
        <v>0</v>
      </c>
      <c r="F16" s="19">
        <v>3683</v>
      </c>
      <c r="G16" s="22">
        <f>F16/215*25</f>
        <v>428.25581395348837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947.40000000000009</v>
      </c>
      <c r="Q16" s="24"/>
      <c r="R16" s="24"/>
      <c r="S16" s="25">
        <v>933</v>
      </c>
      <c r="T16" s="24"/>
      <c r="U16" s="24"/>
      <c r="V16" s="24">
        <v>4</v>
      </c>
      <c r="W16" s="25">
        <v>696</v>
      </c>
      <c r="X16" s="25"/>
      <c r="Y16" s="24">
        <v>200</v>
      </c>
      <c r="Z16" s="24">
        <v>2</v>
      </c>
      <c r="AA16" s="24">
        <v>266</v>
      </c>
      <c r="AB16" s="24">
        <v>353</v>
      </c>
      <c r="AC16" s="24"/>
      <c r="AD16" s="24"/>
      <c r="AE16" s="26">
        <f t="shared" ref="AE16:AE21" si="3">Y16*2.43</f>
        <v>486.00000000000006</v>
      </c>
      <c r="AF16" s="24"/>
      <c r="AG16" s="27"/>
      <c r="AH16" s="29"/>
    </row>
    <row r="17" spans="1:41" s="28" customFormat="1" ht="26.25" customHeight="1" x14ac:dyDescent="0.25">
      <c r="A17" s="18">
        <v>45741</v>
      </c>
      <c r="B17" s="19"/>
      <c r="C17" s="20">
        <f t="shared" si="0"/>
        <v>0</v>
      </c>
      <c r="D17" s="19"/>
      <c r="E17" s="21">
        <f t="shared" si="1"/>
        <v>0</v>
      </c>
      <c r="F17" s="19">
        <v>3495</v>
      </c>
      <c r="G17" s="22">
        <f t="shared" ref="G17:G21" si="4">F17/215*25</f>
        <v>406.39534883720927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1147.4000000000001</v>
      </c>
      <c r="Q17" s="24"/>
      <c r="R17" s="24"/>
      <c r="S17" s="24">
        <v>933</v>
      </c>
      <c r="T17" s="24"/>
      <c r="U17" s="24"/>
      <c r="V17" s="24">
        <v>5</v>
      </c>
      <c r="W17" s="25">
        <v>829</v>
      </c>
      <c r="X17" s="25"/>
      <c r="Y17" s="24">
        <v>207</v>
      </c>
      <c r="Z17" s="24">
        <v>2</v>
      </c>
      <c r="AA17" s="24">
        <v>336</v>
      </c>
      <c r="AB17" s="24">
        <v>349</v>
      </c>
      <c r="AC17" s="24"/>
      <c r="AD17" s="24"/>
      <c r="AE17" s="26">
        <f t="shared" si="3"/>
        <v>503.01000000000005</v>
      </c>
      <c r="AF17" s="24"/>
      <c r="AG17" s="27"/>
    </row>
    <row r="18" spans="1:41" s="28" customFormat="1" ht="26.25" customHeight="1" x14ac:dyDescent="0.25">
      <c r="A18" s="18">
        <v>45742</v>
      </c>
      <c r="B18" s="19"/>
      <c r="C18" s="20">
        <f t="shared" si="0"/>
        <v>0</v>
      </c>
      <c r="D18" s="19"/>
      <c r="E18" s="21">
        <f t="shared" si="1"/>
        <v>0</v>
      </c>
      <c r="F18" s="19">
        <v>4014</v>
      </c>
      <c r="G18" s="22">
        <f t="shared" si="4"/>
        <v>466.74418604651163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1226</v>
      </c>
      <c r="Q18" s="24"/>
      <c r="R18" s="24"/>
      <c r="S18" s="24">
        <v>1177</v>
      </c>
      <c r="T18" s="24"/>
      <c r="U18" s="24"/>
      <c r="V18" s="12">
        <v>5</v>
      </c>
      <c r="W18" s="24">
        <v>894</v>
      </c>
      <c r="X18" s="25"/>
      <c r="Y18" s="24">
        <v>191</v>
      </c>
      <c r="Z18" s="24">
        <v>2</v>
      </c>
      <c r="AA18" s="24">
        <v>359</v>
      </c>
      <c r="AB18" s="24">
        <v>418</v>
      </c>
      <c r="AC18" s="24"/>
      <c r="AD18" s="24"/>
      <c r="AE18" s="26">
        <f t="shared" si="3"/>
        <v>464.13000000000005</v>
      </c>
      <c r="AF18" s="24"/>
      <c r="AG18" s="27"/>
      <c r="AH18" s="29"/>
    </row>
    <row r="19" spans="1:41" s="28" customFormat="1" ht="26.25" customHeight="1" x14ac:dyDescent="0.25">
      <c r="A19" s="18">
        <v>45743</v>
      </c>
      <c r="B19" s="19"/>
      <c r="C19" s="20">
        <f>B19/200*25</f>
        <v>0</v>
      </c>
      <c r="D19" s="19"/>
      <c r="E19" s="21">
        <f>D19/208*25</f>
        <v>0</v>
      </c>
      <c r="F19" s="19">
        <v>3737</v>
      </c>
      <c r="G19" s="22">
        <f t="shared" si="4"/>
        <v>434.53488372093022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1368.1999999999998</v>
      </c>
      <c r="Q19" s="24"/>
      <c r="R19" s="24"/>
      <c r="S19" s="24">
        <v>1042</v>
      </c>
      <c r="T19" s="24"/>
      <c r="U19" s="24"/>
      <c r="V19" s="24">
        <v>8</v>
      </c>
      <c r="W19" s="25">
        <v>1027</v>
      </c>
      <c r="X19" s="25"/>
      <c r="Y19" s="24">
        <v>204</v>
      </c>
      <c r="Z19" s="24">
        <v>2</v>
      </c>
      <c r="AA19" s="24">
        <v>399</v>
      </c>
      <c r="AB19" s="24">
        <v>402</v>
      </c>
      <c r="AC19" s="24"/>
      <c r="AD19" s="24"/>
      <c r="AE19" s="26">
        <f t="shared" si="3"/>
        <v>495.72</v>
      </c>
      <c r="AF19" s="24"/>
      <c r="AG19" s="27"/>
    </row>
    <row r="20" spans="1:41" s="28" customFormat="1" ht="26.25" customHeight="1" x14ac:dyDescent="0.25">
      <c r="A20" s="18">
        <v>45744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3823</v>
      </c>
      <c r="G20" s="22">
        <f t="shared" si="4"/>
        <v>444.53488372093022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1351.8000000000002</v>
      </c>
      <c r="Q20" s="24"/>
      <c r="R20" s="24"/>
      <c r="S20" s="25">
        <v>1132</v>
      </c>
      <c r="T20" s="24"/>
      <c r="U20" s="24"/>
      <c r="V20" s="24">
        <v>4</v>
      </c>
      <c r="W20" s="25">
        <v>951</v>
      </c>
      <c r="X20" s="25"/>
      <c r="Y20" s="24">
        <v>202</v>
      </c>
      <c r="Z20" s="24">
        <v>2</v>
      </c>
      <c r="AA20" s="24">
        <v>371</v>
      </c>
      <c r="AB20" s="24">
        <v>418</v>
      </c>
      <c r="AC20" s="24"/>
      <c r="AD20" s="24"/>
      <c r="AE20" s="26">
        <f t="shared" si="3"/>
        <v>490.86</v>
      </c>
      <c r="AF20" s="24"/>
      <c r="AG20" s="27"/>
    </row>
    <row r="21" spans="1:41" s="28" customFormat="1" ht="26.25" customHeight="1" x14ac:dyDescent="0.25">
      <c r="A21" s="18">
        <v>45745</v>
      </c>
      <c r="B21" s="19"/>
      <c r="C21" s="20">
        <f t="shared" si="6"/>
        <v>0</v>
      </c>
      <c r="D21" s="19"/>
      <c r="E21" s="21">
        <f t="shared" si="7"/>
        <v>0</v>
      </c>
      <c r="F21" s="19">
        <v>4817</v>
      </c>
      <c r="G21" s="22">
        <f t="shared" si="4"/>
        <v>560.11627906976742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1146.3999999999999</v>
      </c>
      <c r="Q21" s="24"/>
      <c r="R21" s="24"/>
      <c r="S21" s="25">
        <v>845</v>
      </c>
      <c r="T21" s="24"/>
      <c r="U21" s="24"/>
      <c r="V21" s="24">
        <v>23</v>
      </c>
      <c r="W21" s="25">
        <v>1179</v>
      </c>
      <c r="X21" s="25"/>
      <c r="Y21" s="24">
        <v>192</v>
      </c>
      <c r="Z21" s="24"/>
      <c r="AA21" s="24">
        <v>473</v>
      </c>
      <c r="AB21" s="24">
        <v>335</v>
      </c>
      <c r="AC21" s="24"/>
      <c r="AD21" s="24"/>
      <c r="AE21" s="26">
        <f t="shared" si="3"/>
        <v>466.56000000000006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23569</v>
      </c>
      <c r="G22" s="33">
        <f t="shared" si="8"/>
        <v>2740.5813953488368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7187.2</v>
      </c>
      <c r="Q22" s="31">
        <f t="shared" si="8"/>
        <v>0</v>
      </c>
      <c r="R22" s="31">
        <f t="shared" si="8"/>
        <v>0</v>
      </c>
      <c r="S22" s="31">
        <f t="shared" si="8"/>
        <v>6062</v>
      </c>
      <c r="T22" s="31">
        <f t="shared" si="8"/>
        <v>0</v>
      </c>
      <c r="U22" s="31">
        <f t="shared" si="8"/>
        <v>0</v>
      </c>
      <c r="V22" s="31">
        <f t="shared" si="8"/>
        <v>49</v>
      </c>
      <c r="W22" s="31">
        <f t="shared" si="8"/>
        <v>5576</v>
      </c>
      <c r="X22" s="31">
        <f t="shared" si="8"/>
        <v>0</v>
      </c>
      <c r="Y22" s="31">
        <f t="shared" si="8"/>
        <v>1196</v>
      </c>
      <c r="Z22" s="31">
        <f t="shared" si="8"/>
        <v>10</v>
      </c>
      <c r="AA22" s="31">
        <f t="shared" si="8"/>
        <v>2204</v>
      </c>
      <c r="AB22" s="31">
        <f t="shared" si="8"/>
        <v>2275</v>
      </c>
      <c r="AC22" s="31">
        <f t="shared" si="8"/>
        <v>0</v>
      </c>
      <c r="AD22" s="31">
        <f t="shared" si="8"/>
        <v>0</v>
      </c>
      <c r="AE22" s="33">
        <f t="shared" si="8"/>
        <v>2906.28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7" sqref="A17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45746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310</v>
      </c>
      <c r="G15" s="22">
        <f>F15/215*25</f>
        <v>36.046511627906973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115.19999999999999</v>
      </c>
      <c r="Q15" s="24"/>
      <c r="R15" s="24"/>
      <c r="S15" s="24">
        <v>92</v>
      </c>
      <c r="T15" s="24"/>
      <c r="U15" s="24"/>
      <c r="V15" s="24"/>
      <c r="W15" s="25">
        <v>83</v>
      </c>
      <c r="X15" s="25"/>
      <c r="Y15" s="24">
        <v>17</v>
      </c>
      <c r="Z15" s="24"/>
      <c r="AA15" s="24">
        <v>36</v>
      </c>
      <c r="AB15" s="24">
        <v>30</v>
      </c>
      <c r="AC15" s="24"/>
      <c r="AD15" s="24"/>
      <c r="AE15" s="26">
        <f>Y15*2.43</f>
        <v>41.31</v>
      </c>
      <c r="AF15" s="24"/>
      <c r="AG15" s="27"/>
      <c r="AH15" s="29"/>
    </row>
    <row r="16" spans="1:34" s="28" customFormat="1" ht="26.25" customHeight="1" x14ac:dyDescent="0.25">
      <c r="A16" s="18">
        <v>45747</v>
      </c>
      <c r="B16" s="19"/>
      <c r="C16" s="20">
        <f t="shared" si="0"/>
        <v>0</v>
      </c>
      <c r="D16" s="19"/>
      <c r="E16" s="21">
        <f>D16/208*25</f>
        <v>0</v>
      </c>
      <c r="F16" s="19">
        <v>3891</v>
      </c>
      <c r="G16" s="22">
        <f>F16/215*25</f>
        <v>452.44186046511629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1218.8000000000002</v>
      </c>
      <c r="Q16" s="24"/>
      <c r="R16" s="24"/>
      <c r="S16" s="25">
        <v>1061</v>
      </c>
      <c r="T16" s="24"/>
      <c r="U16" s="24"/>
      <c r="V16" s="24">
        <v>1</v>
      </c>
      <c r="W16" s="25">
        <v>899</v>
      </c>
      <c r="X16" s="25"/>
      <c r="Y16" s="24">
        <v>213</v>
      </c>
      <c r="Z16" s="24">
        <v>2</v>
      </c>
      <c r="AA16" s="24">
        <v>340</v>
      </c>
      <c r="AB16" s="24">
        <v>417</v>
      </c>
      <c r="AC16" s="24"/>
      <c r="AD16" s="24"/>
      <c r="AE16" s="26">
        <f t="shared" ref="AE16:AE21" si="3">Y16*2.43</f>
        <v>517.59</v>
      </c>
      <c r="AF16" s="24"/>
      <c r="AG16" s="27"/>
      <c r="AH16" s="29"/>
    </row>
    <row r="17" spans="1:41" s="28" customFormat="1" ht="26.25" customHeight="1" x14ac:dyDescent="0.25">
      <c r="A17" s="18">
        <v>45748</v>
      </c>
      <c r="B17" s="19"/>
      <c r="C17" s="20">
        <f t="shared" si="0"/>
        <v>0</v>
      </c>
      <c r="D17" s="19"/>
      <c r="E17" s="21">
        <f t="shared" si="1"/>
        <v>0</v>
      </c>
      <c r="F17" s="19">
        <v>3708</v>
      </c>
      <c r="G17" s="22">
        <f t="shared" ref="G17:G21" si="4">F17/215*25</f>
        <v>431.16279069767438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1159.1999999999998</v>
      </c>
      <c r="Q17" s="24"/>
      <c r="R17" s="24"/>
      <c r="S17" s="24">
        <v>996</v>
      </c>
      <c r="T17" s="24"/>
      <c r="U17" s="24"/>
      <c r="V17" s="24">
        <v>13</v>
      </c>
      <c r="W17" s="25">
        <v>851</v>
      </c>
      <c r="X17" s="25"/>
      <c r="Y17" s="24">
        <v>213</v>
      </c>
      <c r="Z17" s="24">
        <v>2</v>
      </c>
      <c r="AA17" s="24">
        <v>366</v>
      </c>
      <c r="AB17" s="24">
        <v>405</v>
      </c>
      <c r="AC17" s="24"/>
      <c r="AD17" s="24"/>
      <c r="AE17" s="26">
        <f t="shared" si="3"/>
        <v>517.59</v>
      </c>
      <c r="AF17" s="24"/>
      <c r="AG17" s="27"/>
    </row>
    <row r="18" spans="1:41" s="28" customFormat="1" ht="26.25" customHeight="1" x14ac:dyDescent="0.25">
      <c r="A18" s="18">
        <v>45749</v>
      </c>
      <c r="B18" s="19"/>
      <c r="C18" s="20">
        <f t="shared" si="0"/>
        <v>0</v>
      </c>
      <c r="D18" s="19"/>
      <c r="E18" s="21">
        <f t="shared" si="1"/>
        <v>0</v>
      </c>
      <c r="F18" s="19">
        <v>4153</v>
      </c>
      <c r="G18" s="22">
        <f t="shared" si="4"/>
        <v>482.90697674418607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1198.2</v>
      </c>
      <c r="Q18" s="24"/>
      <c r="R18" s="24"/>
      <c r="S18" s="24">
        <v>1095</v>
      </c>
      <c r="T18" s="24"/>
      <c r="U18" s="24"/>
      <c r="V18" s="12">
        <v>7</v>
      </c>
      <c r="W18" s="24">
        <v>867</v>
      </c>
      <c r="X18" s="25"/>
      <c r="Y18" s="24">
        <v>220</v>
      </c>
      <c r="Z18" s="24">
        <v>2</v>
      </c>
      <c r="AA18" s="24">
        <v>359</v>
      </c>
      <c r="AB18" s="24">
        <v>433</v>
      </c>
      <c r="AC18" s="24"/>
      <c r="AD18" s="24"/>
      <c r="AE18" s="26">
        <f t="shared" si="3"/>
        <v>534.6</v>
      </c>
      <c r="AF18" s="24"/>
      <c r="AG18" s="27"/>
      <c r="AH18" s="29"/>
    </row>
    <row r="19" spans="1:41" s="28" customFormat="1" ht="26.25" customHeight="1" x14ac:dyDescent="0.25">
      <c r="A19" s="18">
        <v>45750</v>
      </c>
      <c r="B19" s="19"/>
      <c r="C19" s="20">
        <f>B19/200*25</f>
        <v>0</v>
      </c>
      <c r="D19" s="19"/>
      <c r="E19" s="21">
        <f>D19/208*25</f>
        <v>0</v>
      </c>
      <c r="F19" s="19">
        <v>2456</v>
      </c>
      <c r="G19" s="22">
        <f t="shared" si="4"/>
        <v>285.58139534883719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972.59999999999991</v>
      </c>
      <c r="Q19" s="24"/>
      <c r="R19" s="24"/>
      <c r="S19" s="24">
        <v>698</v>
      </c>
      <c r="T19" s="24"/>
      <c r="U19" s="24"/>
      <c r="V19" s="24">
        <v>4</v>
      </c>
      <c r="W19" s="25">
        <v>727</v>
      </c>
      <c r="X19" s="25"/>
      <c r="Y19" s="24">
        <v>165</v>
      </c>
      <c r="Z19" s="24"/>
      <c r="AA19" s="24">
        <v>326</v>
      </c>
      <c r="AB19" s="24">
        <v>276</v>
      </c>
      <c r="AC19" s="24"/>
      <c r="AD19" s="24"/>
      <c r="AE19" s="26">
        <f t="shared" si="3"/>
        <v>400.95000000000005</v>
      </c>
      <c r="AF19" s="24"/>
      <c r="AG19" s="27"/>
    </row>
    <row r="20" spans="1:41" s="28" customFormat="1" ht="26.25" customHeight="1" x14ac:dyDescent="0.25">
      <c r="A20" s="18">
        <v>45751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3764</v>
      </c>
      <c r="G20" s="22">
        <f t="shared" si="4"/>
        <v>437.67441860465118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1054.8</v>
      </c>
      <c r="Q20" s="24"/>
      <c r="R20" s="24"/>
      <c r="S20" s="25">
        <v>1010</v>
      </c>
      <c r="T20" s="24"/>
      <c r="U20" s="24"/>
      <c r="V20" s="24">
        <v>6</v>
      </c>
      <c r="W20" s="25">
        <v>750</v>
      </c>
      <c r="X20" s="25"/>
      <c r="Y20" s="24">
        <v>192</v>
      </c>
      <c r="Z20" s="24">
        <v>2</v>
      </c>
      <c r="AA20" s="24">
        <v>310</v>
      </c>
      <c r="AB20" s="24">
        <v>406</v>
      </c>
      <c r="AC20" s="24"/>
      <c r="AD20" s="24"/>
      <c r="AE20" s="26">
        <f t="shared" si="3"/>
        <v>466.56000000000006</v>
      </c>
      <c r="AF20" s="24"/>
      <c r="AG20" s="27"/>
    </row>
    <row r="21" spans="1:41" s="28" customFormat="1" ht="26.25" customHeight="1" x14ac:dyDescent="0.25">
      <c r="A21" s="18">
        <v>45752</v>
      </c>
      <c r="B21" s="19"/>
      <c r="C21" s="20">
        <f t="shared" si="6"/>
        <v>0</v>
      </c>
      <c r="D21" s="19"/>
      <c r="E21" s="21">
        <f t="shared" si="7"/>
        <v>0</v>
      </c>
      <c r="F21" s="19">
        <v>3497</v>
      </c>
      <c r="G21" s="22">
        <f t="shared" si="4"/>
        <v>406.62790697674421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1199.5999999999999</v>
      </c>
      <c r="Q21" s="24"/>
      <c r="R21" s="24"/>
      <c r="S21" s="25">
        <v>1112</v>
      </c>
      <c r="T21" s="24"/>
      <c r="U21" s="24"/>
      <c r="V21" s="24">
        <v>3</v>
      </c>
      <c r="W21" s="25">
        <v>761</v>
      </c>
      <c r="X21" s="25"/>
      <c r="Y21" s="24">
        <v>182</v>
      </c>
      <c r="Z21" s="24">
        <v>2</v>
      </c>
      <c r="AA21" s="24">
        <v>273</v>
      </c>
      <c r="AB21" s="24">
        <v>416</v>
      </c>
      <c r="AC21" s="24"/>
      <c r="AD21" s="24"/>
      <c r="AE21" s="26">
        <f t="shared" si="3"/>
        <v>442.26000000000005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21779</v>
      </c>
      <c r="G22" s="33">
        <f t="shared" si="8"/>
        <v>2532.4418604651164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6918.4</v>
      </c>
      <c r="Q22" s="31">
        <f t="shared" si="8"/>
        <v>0</v>
      </c>
      <c r="R22" s="31">
        <f t="shared" si="8"/>
        <v>0</v>
      </c>
      <c r="S22" s="31">
        <f t="shared" si="8"/>
        <v>6064</v>
      </c>
      <c r="T22" s="31">
        <f t="shared" si="8"/>
        <v>0</v>
      </c>
      <c r="U22" s="31">
        <f t="shared" si="8"/>
        <v>0</v>
      </c>
      <c r="V22" s="31">
        <f t="shared" si="8"/>
        <v>34</v>
      </c>
      <c r="W22" s="31">
        <f t="shared" si="8"/>
        <v>4938</v>
      </c>
      <c r="X22" s="31">
        <f t="shared" si="8"/>
        <v>0</v>
      </c>
      <c r="Y22" s="31">
        <f t="shared" si="8"/>
        <v>1202</v>
      </c>
      <c r="Z22" s="31">
        <f t="shared" si="8"/>
        <v>10</v>
      </c>
      <c r="AA22" s="31">
        <f t="shared" si="8"/>
        <v>2010</v>
      </c>
      <c r="AB22" s="31">
        <f t="shared" si="8"/>
        <v>2383</v>
      </c>
      <c r="AC22" s="31">
        <f t="shared" si="8"/>
        <v>0</v>
      </c>
      <c r="AD22" s="31">
        <f t="shared" si="8"/>
        <v>0</v>
      </c>
      <c r="AE22" s="33">
        <f t="shared" si="8"/>
        <v>2920.8600000000006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45753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45754</v>
      </c>
      <c r="B16" s="19"/>
      <c r="C16" s="20">
        <f t="shared" si="0"/>
        <v>0</v>
      </c>
      <c r="D16" s="19"/>
      <c r="E16" s="21">
        <f>D16/208*25</f>
        <v>0</v>
      </c>
      <c r="F16" s="19">
        <v>3370</v>
      </c>
      <c r="G16" s="22">
        <f>F16/215*25</f>
        <v>391.86046511627904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1267.2</v>
      </c>
      <c r="Q16" s="24"/>
      <c r="R16" s="24"/>
      <c r="S16" s="25">
        <v>1076</v>
      </c>
      <c r="T16" s="24"/>
      <c r="U16" s="24"/>
      <c r="V16" s="24">
        <v>34</v>
      </c>
      <c r="W16" s="25">
        <v>788</v>
      </c>
      <c r="X16" s="25"/>
      <c r="Y16" s="24">
        <v>197</v>
      </c>
      <c r="Z16" s="24"/>
      <c r="AA16" s="24">
        <v>337</v>
      </c>
      <c r="AB16" s="24">
        <v>408</v>
      </c>
      <c r="AC16" s="24"/>
      <c r="AD16" s="24"/>
      <c r="AE16" s="26">
        <f t="shared" ref="AE16:AE21" si="3">Y16*2.43</f>
        <v>478.71000000000004</v>
      </c>
      <c r="AF16" s="24"/>
      <c r="AG16" s="27"/>
      <c r="AH16" s="29"/>
    </row>
    <row r="17" spans="1:41" s="28" customFormat="1" ht="26.25" customHeight="1" x14ac:dyDescent="0.25">
      <c r="A17" s="18">
        <v>45755</v>
      </c>
      <c r="B17" s="19"/>
      <c r="C17" s="20">
        <f t="shared" si="0"/>
        <v>0</v>
      </c>
      <c r="D17" s="19"/>
      <c r="E17" s="21">
        <f t="shared" si="1"/>
        <v>0</v>
      </c>
      <c r="F17" s="19">
        <v>4121</v>
      </c>
      <c r="G17" s="22">
        <f t="shared" ref="G17:G21" si="4">F17/215*25</f>
        <v>479.18604651162798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1399.4</v>
      </c>
      <c r="Q17" s="24"/>
      <c r="R17" s="24"/>
      <c r="S17" s="24">
        <v>1196</v>
      </c>
      <c r="T17" s="24"/>
      <c r="U17" s="24"/>
      <c r="V17" s="24">
        <v>67</v>
      </c>
      <c r="W17" s="25">
        <v>908</v>
      </c>
      <c r="X17" s="25"/>
      <c r="Y17" s="24">
        <v>224</v>
      </c>
      <c r="Z17" s="24">
        <v>4</v>
      </c>
      <c r="AA17" s="24">
        <v>410</v>
      </c>
      <c r="AB17" s="24">
        <v>471</v>
      </c>
      <c r="AC17" s="24"/>
      <c r="AD17" s="24"/>
      <c r="AE17" s="26">
        <f t="shared" si="3"/>
        <v>544.32000000000005</v>
      </c>
      <c r="AF17" s="24"/>
      <c r="AG17" s="27">
        <v>1</v>
      </c>
    </row>
    <row r="18" spans="1:41" s="28" customFormat="1" ht="26.25" customHeight="1" x14ac:dyDescent="0.25">
      <c r="A18" s="18">
        <v>45756</v>
      </c>
      <c r="B18" s="19"/>
      <c r="C18" s="20">
        <f t="shared" si="0"/>
        <v>0</v>
      </c>
      <c r="D18" s="19"/>
      <c r="E18" s="21">
        <f t="shared" si="1"/>
        <v>0</v>
      </c>
      <c r="F18" s="19">
        <v>3617</v>
      </c>
      <c r="G18" s="22">
        <f t="shared" si="4"/>
        <v>420.58139534883719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1200.6000000000001</v>
      </c>
      <c r="Q18" s="24"/>
      <c r="R18" s="24"/>
      <c r="S18" s="24">
        <v>940</v>
      </c>
      <c r="T18" s="24"/>
      <c r="U18" s="24"/>
      <c r="V18" s="12">
        <v>35</v>
      </c>
      <c r="W18" s="24">
        <v>888</v>
      </c>
      <c r="X18" s="25"/>
      <c r="Y18" s="24">
        <v>198</v>
      </c>
      <c r="Z18" s="24">
        <v>2</v>
      </c>
      <c r="AA18" s="24">
        <v>418</v>
      </c>
      <c r="AB18" s="24">
        <v>384</v>
      </c>
      <c r="AC18" s="24"/>
      <c r="AD18" s="24"/>
      <c r="AE18" s="26">
        <f t="shared" si="3"/>
        <v>481.14000000000004</v>
      </c>
      <c r="AF18" s="24"/>
      <c r="AG18" s="27"/>
      <c r="AH18" s="29"/>
    </row>
    <row r="19" spans="1:41" s="28" customFormat="1" ht="26.25" customHeight="1" x14ac:dyDescent="0.25">
      <c r="A19" s="18">
        <v>45757</v>
      </c>
      <c r="B19" s="19"/>
      <c r="C19" s="20">
        <f>B19/200*25</f>
        <v>0</v>
      </c>
      <c r="D19" s="19"/>
      <c r="E19" s="21">
        <f>D19/208*25</f>
        <v>0</v>
      </c>
      <c r="F19" s="19">
        <v>3822</v>
      </c>
      <c r="G19" s="22">
        <f t="shared" si="4"/>
        <v>444.41860465116275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1232.2</v>
      </c>
      <c r="Q19" s="24"/>
      <c r="R19" s="24"/>
      <c r="S19" s="24">
        <v>1138</v>
      </c>
      <c r="T19" s="24"/>
      <c r="U19" s="24"/>
      <c r="V19" s="24">
        <v>61</v>
      </c>
      <c r="W19" s="25">
        <v>730</v>
      </c>
      <c r="X19" s="25"/>
      <c r="Y19" s="24">
        <v>208</v>
      </c>
      <c r="Z19" s="24"/>
      <c r="AA19" s="24">
        <v>332</v>
      </c>
      <c r="AB19" s="24">
        <v>447</v>
      </c>
      <c r="AC19" s="24"/>
      <c r="AD19" s="24"/>
      <c r="AE19" s="26">
        <f t="shared" si="3"/>
        <v>505.44000000000005</v>
      </c>
      <c r="AF19" s="24"/>
      <c r="AG19" s="27"/>
    </row>
    <row r="20" spans="1:41" s="28" customFormat="1" ht="26.25" customHeight="1" x14ac:dyDescent="0.25">
      <c r="A20" s="18">
        <v>45758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3795</v>
      </c>
      <c r="G20" s="22">
        <f t="shared" si="4"/>
        <v>441.27906976744191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1257.2</v>
      </c>
      <c r="Q20" s="24"/>
      <c r="R20" s="24"/>
      <c r="S20" s="25">
        <v>966</v>
      </c>
      <c r="T20" s="24"/>
      <c r="U20" s="24"/>
      <c r="V20" s="24">
        <v>57</v>
      </c>
      <c r="W20" s="25">
        <v>946</v>
      </c>
      <c r="X20" s="25"/>
      <c r="Y20" s="24">
        <v>201</v>
      </c>
      <c r="Z20" s="24">
        <v>2</v>
      </c>
      <c r="AA20" s="24">
        <v>374</v>
      </c>
      <c r="AB20" s="24">
        <v>398</v>
      </c>
      <c r="AC20" s="24"/>
      <c r="AD20" s="24"/>
      <c r="AE20" s="26">
        <f t="shared" si="3"/>
        <v>488.43</v>
      </c>
      <c r="AF20" s="24"/>
      <c r="AG20" s="27"/>
    </row>
    <row r="21" spans="1:41" s="28" customFormat="1" ht="26.25" customHeight="1" x14ac:dyDescent="0.25">
      <c r="A21" s="18">
        <v>45759</v>
      </c>
      <c r="B21" s="19"/>
      <c r="C21" s="20">
        <f t="shared" si="6"/>
        <v>0</v>
      </c>
      <c r="D21" s="19"/>
      <c r="E21" s="21">
        <f t="shared" si="7"/>
        <v>0</v>
      </c>
      <c r="F21" s="19">
        <v>3827</v>
      </c>
      <c r="G21" s="22">
        <f t="shared" si="4"/>
        <v>445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1229.5999999999999</v>
      </c>
      <c r="Q21" s="24"/>
      <c r="R21" s="24"/>
      <c r="S21" s="25">
        <v>1045</v>
      </c>
      <c r="T21" s="24"/>
      <c r="U21" s="24"/>
      <c r="V21" s="24">
        <v>63</v>
      </c>
      <c r="W21" s="25">
        <v>842</v>
      </c>
      <c r="X21" s="25"/>
      <c r="Y21" s="24">
        <v>199</v>
      </c>
      <c r="Z21" s="24">
        <v>2</v>
      </c>
      <c r="AA21" s="24">
        <v>371</v>
      </c>
      <c r="AB21" s="24">
        <v>391</v>
      </c>
      <c r="AC21" s="24"/>
      <c r="AD21" s="24"/>
      <c r="AE21" s="26">
        <f t="shared" si="3"/>
        <v>483.57000000000005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22552</v>
      </c>
      <c r="G22" s="33">
        <f t="shared" si="8"/>
        <v>2622.3255813953488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7586.2000000000007</v>
      </c>
      <c r="Q22" s="31">
        <f t="shared" si="8"/>
        <v>0</v>
      </c>
      <c r="R22" s="31">
        <f t="shared" si="8"/>
        <v>0</v>
      </c>
      <c r="S22" s="31">
        <f t="shared" si="8"/>
        <v>6361</v>
      </c>
      <c r="T22" s="31">
        <f t="shared" si="8"/>
        <v>0</v>
      </c>
      <c r="U22" s="31">
        <f t="shared" si="8"/>
        <v>0</v>
      </c>
      <c r="V22" s="31">
        <f t="shared" si="8"/>
        <v>317</v>
      </c>
      <c r="W22" s="31">
        <f t="shared" si="8"/>
        <v>5102</v>
      </c>
      <c r="X22" s="31">
        <f t="shared" si="8"/>
        <v>0</v>
      </c>
      <c r="Y22" s="31">
        <f t="shared" si="8"/>
        <v>1227</v>
      </c>
      <c r="Z22" s="31">
        <f t="shared" si="8"/>
        <v>10</v>
      </c>
      <c r="AA22" s="31">
        <f t="shared" si="8"/>
        <v>2242</v>
      </c>
      <c r="AB22" s="31">
        <f t="shared" si="8"/>
        <v>2499</v>
      </c>
      <c r="AC22" s="31">
        <f t="shared" si="8"/>
        <v>0</v>
      </c>
      <c r="AD22" s="31">
        <f t="shared" si="8"/>
        <v>0</v>
      </c>
      <c r="AE22" s="33">
        <f t="shared" si="8"/>
        <v>2981.61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123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1.57031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45760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45761</v>
      </c>
      <c r="B16" s="19"/>
      <c r="C16" s="20">
        <f t="shared" si="0"/>
        <v>0</v>
      </c>
      <c r="D16" s="19"/>
      <c r="E16" s="21">
        <f>D16/208*25</f>
        <v>0</v>
      </c>
      <c r="F16" s="19">
        <v>3319</v>
      </c>
      <c r="G16" s="22">
        <f>F16/215*25</f>
        <v>385.93023255813949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1096.6000000000001</v>
      </c>
      <c r="Q16" s="24"/>
      <c r="R16" s="24"/>
      <c r="S16" s="25">
        <v>1129</v>
      </c>
      <c r="T16" s="24"/>
      <c r="U16" s="24"/>
      <c r="V16" s="24">
        <v>33</v>
      </c>
      <c r="W16" s="25">
        <v>542</v>
      </c>
      <c r="X16" s="25"/>
      <c r="Y16" s="24">
        <v>199</v>
      </c>
      <c r="Z16" s="24"/>
      <c r="AA16" s="24">
        <v>247</v>
      </c>
      <c r="AB16" s="24">
        <v>432</v>
      </c>
      <c r="AC16" s="24"/>
      <c r="AD16" s="24"/>
      <c r="AE16" s="26">
        <f t="shared" ref="AE16:AE21" si="3">Y16*2.43</f>
        <v>483.57000000000005</v>
      </c>
      <c r="AF16" s="24"/>
      <c r="AG16" s="27"/>
      <c r="AH16" s="29"/>
    </row>
    <row r="17" spans="1:41" s="28" customFormat="1" ht="26.25" customHeight="1" x14ac:dyDescent="0.25">
      <c r="A17" s="18">
        <v>45762</v>
      </c>
      <c r="B17" s="19"/>
      <c r="C17" s="20">
        <f t="shared" si="0"/>
        <v>0</v>
      </c>
      <c r="D17" s="19"/>
      <c r="E17" s="21">
        <f t="shared" si="1"/>
        <v>0</v>
      </c>
      <c r="F17" s="19">
        <v>3999</v>
      </c>
      <c r="G17" s="22">
        <f t="shared" ref="G17:G21" si="4">F17/215*25</f>
        <v>465.00000000000006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1409</v>
      </c>
      <c r="Q17" s="24"/>
      <c r="R17" s="24"/>
      <c r="S17" s="24">
        <v>1220</v>
      </c>
      <c r="T17" s="24"/>
      <c r="U17" s="24"/>
      <c r="V17" s="24">
        <v>34</v>
      </c>
      <c r="W17" s="25">
        <v>923</v>
      </c>
      <c r="X17" s="25"/>
      <c r="Y17" s="24">
        <v>191</v>
      </c>
      <c r="Z17" s="24">
        <v>6</v>
      </c>
      <c r="AA17" s="24">
        <v>374</v>
      </c>
      <c r="AB17" s="24">
        <v>473</v>
      </c>
      <c r="AC17" s="24"/>
      <c r="AD17" s="24"/>
      <c r="AE17" s="26">
        <f t="shared" si="3"/>
        <v>464.13000000000005</v>
      </c>
      <c r="AF17" s="24"/>
      <c r="AG17" s="27"/>
    </row>
    <row r="18" spans="1:41" s="28" customFormat="1" ht="26.25" customHeight="1" x14ac:dyDescent="0.25">
      <c r="A18" s="18">
        <v>45763</v>
      </c>
      <c r="B18" s="19"/>
      <c r="C18" s="20">
        <f t="shared" si="0"/>
        <v>0</v>
      </c>
      <c r="D18" s="19"/>
      <c r="E18" s="21">
        <f t="shared" si="1"/>
        <v>0</v>
      </c>
      <c r="F18" s="19">
        <v>3816</v>
      </c>
      <c r="G18" s="22">
        <f t="shared" si="4"/>
        <v>443.72093023255815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1195.2</v>
      </c>
      <c r="Q18" s="24"/>
      <c r="R18" s="24"/>
      <c r="S18" s="24">
        <v>1088</v>
      </c>
      <c r="T18" s="24"/>
      <c r="U18" s="24"/>
      <c r="V18" s="12">
        <v>59</v>
      </c>
      <c r="W18" s="24">
        <v>735</v>
      </c>
      <c r="X18" s="25"/>
      <c r="Y18" s="24">
        <v>203</v>
      </c>
      <c r="Z18" s="24">
        <v>2</v>
      </c>
      <c r="AA18" s="24">
        <v>338</v>
      </c>
      <c r="AB18" s="24">
        <v>434</v>
      </c>
      <c r="AC18" s="24"/>
      <c r="AD18" s="24"/>
      <c r="AE18" s="26">
        <f t="shared" si="3"/>
        <v>493.29</v>
      </c>
      <c r="AF18" s="24"/>
      <c r="AG18" s="27"/>
      <c r="AH18" s="29"/>
    </row>
    <row r="19" spans="1:41" s="28" customFormat="1" ht="26.25" customHeight="1" x14ac:dyDescent="0.25">
      <c r="A19" s="18">
        <v>45764</v>
      </c>
      <c r="B19" s="19"/>
      <c r="C19" s="20">
        <f>B19/200*25</f>
        <v>0</v>
      </c>
      <c r="D19" s="19"/>
      <c r="E19" s="21">
        <f>D19/208*25</f>
        <v>0</v>
      </c>
      <c r="F19" s="19">
        <v>2683</v>
      </c>
      <c r="G19" s="22">
        <f t="shared" si="4"/>
        <v>311.97674418604652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936</v>
      </c>
      <c r="Q19" s="24"/>
      <c r="R19" s="24"/>
      <c r="S19" s="24">
        <v>872</v>
      </c>
      <c r="T19" s="24"/>
      <c r="U19" s="24"/>
      <c r="V19" s="24">
        <v>33</v>
      </c>
      <c r="W19" s="25">
        <v>542</v>
      </c>
      <c r="X19" s="25"/>
      <c r="Y19" s="24">
        <v>151</v>
      </c>
      <c r="Z19" s="24">
        <v>2</v>
      </c>
      <c r="AA19" s="24">
        <v>212</v>
      </c>
      <c r="AB19" s="24">
        <v>336</v>
      </c>
      <c r="AC19" s="24"/>
      <c r="AD19" s="24"/>
      <c r="AE19" s="26">
        <f t="shared" si="3"/>
        <v>366.93</v>
      </c>
      <c r="AF19" s="24"/>
      <c r="AG19" s="27"/>
    </row>
    <row r="20" spans="1:41" s="28" customFormat="1" ht="26.25" customHeight="1" x14ac:dyDescent="0.25">
      <c r="A20" s="18">
        <v>45765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0</v>
      </c>
      <c r="G20" s="22">
        <f t="shared" si="4"/>
        <v>0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0</v>
      </c>
      <c r="Q20" s="24"/>
      <c r="R20" s="24"/>
      <c r="S20" s="25">
        <v>0</v>
      </c>
      <c r="T20" s="24"/>
      <c r="U20" s="24"/>
      <c r="V20" s="24">
        <v>0</v>
      </c>
      <c r="W20" s="25">
        <v>0</v>
      </c>
      <c r="X20" s="25"/>
      <c r="Y20" s="24">
        <v>0</v>
      </c>
      <c r="Z20" s="24">
        <v>0</v>
      </c>
      <c r="AA20" s="24">
        <v>0</v>
      </c>
      <c r="AB20" s="24">
        <v>0</v>
      </c>
      <c r="AC20" s="24"/>
      <c r="AD20" s="24"/>
      <c r="AE20" s="26">
        <f t="shared" si="3"/>
        <v>0</v>
      </c>
      <c r="AF20" s="24"/>
      <c r="AG20" s="27"/>
    </row>
    <row r="21" spans="1:41" s="28" customFormat="1" ht="26.25" customHeight="1" x14ac:dyDescent="0.25">
      <c r="A21" s="18">
        <v>45766</v>
      </c>
      <c r="B21" s="19"/>
      <c r="C21" s="20">
        <f t="shared" si="6"/>
        <v>0</v>
      </c>
      <c r="D21" s="19"/>
      <c r="E21" s="21">
        <f t="shared" si="7"/>
        <v>0</v>
      </c>
      <c r="F21" s="19">
        <v>2891</v>
      </c>
      <c r="G21" s="22">
        <f t="shared" si="4"/>
        <v>336.16279069767444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917.50000000000011</v>
      </c>
      <c r="Q21" s="24"/>
      <c r="R21" s="24"/>
      <c r="S21" s="25">
        <v>1096</v>
      </c>
      <c r="T21" s="24"/>
      <c r="U21" s="24"/>
      <c r="V21" s="24"/>
      <c r="W21" s="25">
        <v>354</v>
      </c>
      <c r="X21" s="25"/>
      <c r="Y21" s="24">
        <v>135</v>
      </c>
      <c r="Z21" s="24"/>
      <c r="AA21" s="24">
        <v>302</v>
      </c>
      <c r="AB21" s="24">
        <v>239</v>
      </c>
      <c r="AC21" s="24"/>
      <c r="AD21" s="24"/>
      <c r="AE21" s="26">
        <f t="shared" si="3"/>
        <v>328.05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16708</v>
      </c>
      <c r="G22" s="33">
        <f t="shared" si="8"/>
        <v>1942.7906976744187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5554.3</v>
      </c>
      <c r="Q22" s="31">
        <f t="shared" si="8"/>
        <v>0</v>
      </c>
      <c r="R22" s="31">
        <f t="shared" si="8"/>
        <v>0</v>
      </c>
      <c r="S22" s="31">
        <f t="shared" si="8"/>
        <v>5405</v>
      </c>
      <c r="T22" s="31">
        <f t="shared" si="8"/>
        <v>0</v>
      </c>
      <c r="U22" s="31">
        <f t="shared" si="8"/>
        <v>0</v>
      </c>
      <c r="V22" s="31">
        <f t="shared" si="8"/>
        <v>159</v>
      </c>
      <c r="W22" s="31">
        <f t="shared" si="8"/>
        <v>3096</v>
      </c>
      <c r="X22" s="31">
        <f t="shared" si="8"/>
        <v>0</v>
      </c>
      <c r="Y22" s="31">
        <f t="shared" si="8"/>
        <v>879</v>
      </c>
      <c r="Z22" s="31">
        <f t="shared" si="8"/>
        <v>10</v>
      </c>
      <c r="AA22" s="31">
        <f t="shared" si="8"/>
        <v>1473</v>
      </c>
      <c r="AB22" s="31">
        <f t="shared" si="8"/>
        <v>1914</v>
      </c>
      <c r="AC22" s="31">
        <f t="shared" si="8"/>
        <v>0</v>
      </c>
      <c r="AD22" s="31">
        <f t="shared" si="8"/>
        <v>0</v>
      </c>
      <c r="AE22" s="33">
        <f t="shared" si="8"/>
        <v>2135.9700000000003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123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Q18" sqref="Q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45767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1482</v>
      </c>
      <c r="G15" s="22">
        <f>F15/215*25</f>
        <v>172.32558139534885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542.79999999999995</v>
      </c>
      <c r="Q15" s="24"/>
      <c r="R15" s="24"/>
      <c r="S15" s="24">
        <v>548</v>
      </c>
      <c r="T15" s="24"/>
      <c r="U15" s="24"/>
      <c r="V15" s="24"/>
      <c r="W15" s="25">
        <v>281</v>
      </c>
      <c r="X15" s="25"/>
      <c r="Y15" s="24">
        <v>91</v>
      </c>
      <c r="Z15" s="24"/>
      <c r="AA15" s="24">
        <v>330</v>
      </c>
      <c r="AB15" s="24"/>
      <c r="AC15" s="24"/>
      <c r="AD15" s="24"/>
      <c r="AE15" s="26">
        <f>Y15*2.43</f>
        <v>221.13000000000002</v>
      </c>
      <c r="AF15" s="24"/>
      <c r="AG15" s="27"/>
      <c r="AH15" s="29"/>
    </row>
    <row r="16" spans="1:34" s="28" customFormat="1" ht="26.25" customHeight="1" x14ac:dyDescent="0.25">
      <c r="A16" s="18">
        <v>45768</v>
      </c>
      <c r="B16" s="19"/>
      <c r="C16" s="20">
        <f t="shared" si="0"/>
        <v>0</v>
      </c>
      <c r="D16" s="19"/>
      <c r="E16" s="21">
        <f>D16/208*25</f>
        <v>0</v>
      </c>
      <c r="F16" s="19">
        <v>3053</v>
      </c>
      <c r="G16" s="22">
        <f>F16/215*25</f>
        <v>355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1247.8</v>
      </c>
      <c r="Q16" s="24"/>
      <c r="R16" s="24"/>
      <c r="S16" s="25">
        <v>1032</v>
      </c>
      <c r="T16" s="24"/>
      <c r="U16" s="24"/>
      <c r="V16" s="24">
        <v>30</v>
      </c>
      <c r="W16" s="25">
        <v>764</v>
      </c>
      <c r="X16" s="25"/>
      <c r="Y16" s="24">
        <v>170</v>
      </c>
      <c r="Z16" s="24">
        <v>2</v>
      </c>
      <c r="AA16" s="24">
        <v>700</v>
      </c>
      <c r="AB16" s="24"/>
      <c r="AC16" s="24"/>
      <c r="AD16" s="24"/>
      <c r="AE16" s="26">
        <f t="shared" ref="AE16:AE21" si="3">Y16*2.43</f>
        <v>413.1</v>
      </c>
      <c r="AF16" s="24"/>
      <c r="AG16" s="27"/>
      <c r="AH16" s="29"/>
    </row>
    <row r="17" spans="1:41" s="28" customFormat="1" ht="26.25" customHeight="1" x14ac:dyDescent="0.25">
      <c r="A17" s="18">
        <v>45769</v>
      </c>
      <c r="B17" s="19"/>
      <c r="C17" s="20">
        <f t="shared" si="0"/>
        <v>0</v>
      </c>
      <c r="D17" s="19"/>
      <c r="E17" s="21">
        <f t="shared" si="1"/>
        <v>0</v>
      </c>
      <c r="F17" s="19">
        <v>3453</v>
      </c>
      <c r="G17" s="22">
        <f t="shared" ref="G17:G21" si="4">F17/215*25</f>
        <v>401.51162790697674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1436.4</v>
      </c>
      <c r="Q17" s="24"/>
      <c r="R17" s="24"/>
      <c r="S17" s="24">
        <v>1251</v>
      </c>
      <c r="T17" s="24"/>
      <c r="U17" s="24"/>
      <c r="V17" s="24">
        <v>32</v>
      </c>
      <c r="W17" s="25">
        <v>807</v>
      </c>
      <c r="X17" s="25"/>
      <c r="Y17" s="24">
        <v>230</v>
      </c>
      <c r="Z17" s="24"/>
      <c r="AA17" s="24">
        <v>813</v>
      </c>
      <c r="AB17" s="24"/>
      <c r="AC17" s="24"/>
      <c r="AD17" s="24"/>
      <c r="AE17" s="26">
        <f t="shared" si="3"/>
        <v>558.90000000000009</v>
      </c>
      <c r="AF17" s="24"/>
      <c r="AG17" s="27"/>
    </row>
    <row r="18" spans="1:41" s="28" customFormat="1" ht="26.25" customHeight="1" x14ac:dyDescent="0.25">
      <c r="A18" s="18">
        <v>45770</v>
      </c>
      <c r="B18" s="19"/>
      <c r="C18" s="20">
        <f t="shared" si="0"/>
        <v>0</v>
      </c>
      <c r="D18" s="19"/>
      <c r="E18" s="21">
        <f t="shared" si="1"/>
        <v>0</v>
      </c>
      <c r="F18" s="19">
        <v>3804</v>
      </c>
      <c r="G18" s="22">
        <f t="shared" si="4"/>
        <v>442.32558139534888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1377</v>
      </c>
      <c r="Q18" s="24"/>
      <c r="R18" s="24"/>
      <c r="S18" s="24">
        <v>1321</v>
      </c>
      <c r="T18" s="24"/>
      <c r="U18" s="24"/>
      <c r="V18" s="12">
        <v>35</v>
      </c>
      <c r="W18" s="24">
        <v>821</v>
      </c>
      <c r="X18" s="25"/>
      <c r="Y18" s="24">
        <v>238</v>
      </c>
      <c r="Z18" s="24">
        <v>2</v>
      </c>
      <c r="AA18" s="24">
        <v>403</v>
      </c>
      <c r="AB18" s="24">
        <v>445</v>
      </c>
      <c r="AC18" s="24"/>
      <c r="AD18" s="24"/>
      <c r="AE18" s="26">
        <f t="shared" si="3"/>
        <v>578.34</v>
      </c>
      <c r="AF18" s="24"/>
      <c r="AG18" s="27"/>
      <c r="AH18" s="29"/>
    </row>
    <row r="19" spans="1:41" s="28" customFormat="1" ht="26.25" customHeight="1" x14ac:dyDescent="0.25">
      <c r="A19" s="18">
        <v>45771</v>
      </c>
      <c r="B19" s="19"/>
      <c r="C19" s="20">
        <f>B19/200*25</f>
        <v>0</v>
      </c>
      <c r="D19" s="19"/>
      <c r="E19" s="21">
        <f>D19/208*25</f>
        <v>0</v>
      </c>
      <c r="F19" s="19">
        <v>3443</v>
      </c>
      <c r="G19" s="22">
        <f t="shared" si="4"/>
        <v>400.3488372093023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1322.6</v>
      </c>
      <c r="Q19" s="24"/>
      <c r="R19" s="24"/>
      <c r="S19" s="24">
        <v>1128</v>
      </c>
      <c r="T19" s="24"/>
      <c r="U19" s="24"/>
      <c r="V19" s="24">
        <v>63</v>
      </c>
      <c r="W19" s="25">
        <v>784</v>
      </c>
      <c r="X19" s="25"/>
      <c r="Y19" s="24">
        <v>206</v>
      </c>
      <c r="Z19" s="24">
        <v>2</v>
      </c>
      <c r="AA19" s="24">
        <v>354</v>
      </c>
      <c r="AB19" s="24">
        <v>418</v>
      </c>
      <c r="AC19" s="24"/>
      <c r="AD19" s="24"/>
      <c r="AE19" s="26">
        <f t="shared" si="3"/>
        <v>500.58000000000004</v>
      </c>
      <c r="AF19" s="24"/>
      <c r="AG19" s="27"/>
    </row>
    <row r="20" spans="1:41" s="28" customFormat="1" ht="26.25" customHeight="1" x14ac:dyDescent="0.25">
      <c r="A20" s="18">
        <v>45772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4163</v>
      </c>
      <c r="G20" s="22">
        <f t="shared" si="4"/>
        <v>484.06976744186051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1490.6</v>
      </c>
      <c r="Q20" s="24"/>
      <c r="R20" s="24"/>
      <c r="S20" s="25">
        <v>1342</v>
      </c>
      <c r="T20" s="24"/>
      <c r="U20" s="24"/>
      <c r="V20" s="24">
        <v>51</v>
      </c>
      <c r="W20" s="25">
        <v>852</v>
      </c>
      <c r="X20" s="25"/>
      <c r="Y20" s="24">
        <v>270</v>
      </c>
      <c r="Z20" s="24">
        <v>2</v>
      </c>
      <c r="AA20" s="24">
        <v>382</v>
      </c>
      <c r="AB20" s="24">
        <v>544</v>
      </c>
      <c r="AC20" s="24"/>
      <c r="AD20" s="24"/>
      <c r="AE20" s="26">
        <f t="shared" si="3"/>
        <v>656.1</v>
      </c>
      <c r="AF20" s="24"/>
      <c r="AG20" s="27"/>
    </row>
    <row r="21" spans="1:41" s="28" customFormat="1" ht="26.25" customHeight="1" x14ac:dyDescent="0.25">
      <c r="A21" s="18">
        <v>45773</v>
      </c>
      <c r="B21" s="19"/>
      <c r="C21" s="20">
        <f t="shared" si="6"/>
        <v>0</v>
      </c>
      <c r="D21" s="19"/>
      <c r="E21" s="21">
        <f t="shared" si="7"/>
        <v>0</v>
      </c>
      <c r="F21" s="19">
        <v>4311</v>
      </c>
      <c r="G21" s="22">
        <f t="shared" si="4"/>
        <v>501.27906976744185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1215</v>
      </c>
      <c r="Q21" s="24"/>
      <c r="R21" s="24"/>
      <c r="S21" s="25">
        <v>1179</v>
      </c>
      <c r="T21" s="24"/>
      <c r="U21" s="24"/>
      <c r="V21" s="24">
        <v>53</v>
      </c>
      <c r="W21" s="25">
        <v>850</v>
      </c>
      <c r="X21" s="25"/>
      <c r="Y21" s="24">
        <v>198</v>
      </c>
      <c r="Z21" s="24">
        <v>2</v>
      </c>
      <c r="AA21" s="24">
        <v>375</v>
      </c>
      <c r="AB21" s="24">
        <v>440</v>
      </c>
      <c r="AC21" s="24"/>
      <c r="AD21" s="24"/>
      <c r="AE21" s="26">
        <f t="shared" si="3"/>
        <v>481.14000000000004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23709</v>
      </c>
      <c r="G22" s="33">
        <f t="shared" si="8"/>
        <v>2756.8604651162791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8632.2000000000007</v>
      </c>
      <c r="Q22" s="31">
        <f t="shared" si="8"/>
        <v>0</v>
      </c>
      <c r="R22" s="31">
        <f t="shared" si="8"/>
        <v>0</v>
      </c>
      <c r="S22" s="31">
        <f t="shared" si="8"/>
        <v>7801</v>
      </c>
      <c r="T22" s="31">
        <f t="shared" si="8"/>
        <v>0</v>
      </c>
      <c r="U22" s="31">
        <f t="shared" si="8"/>
        <v>0</v>
      </c>
      <c r="V22" s="31">
        <f t="shared" si="8"/>
        <v>264</v>
      </c>
      <c r="W22" s="31">
        <f t="shared" si="8"/>
        <v>5159</v>
      </c>
      <c r="X22" s="31">
        <f t="shared" si="8"/>
        <v>0</v>
      </c>
      <c r="Y22" s="31">
        <f t="shared" si="8"/>
        <v>1403</v>
      </c>
      <c r="Z22" s="31">
        <f t="shared" si="8"/>
        <v>10</v>
      </c>
      <c r="AA22" s="31">
        <f t="shared" si="8"/>
        <v>3357</v>
      </c>
      <c r="AB22" s="31">
        <f t="shared" si="8"/>
        <v>1847</v>
      </c>
      <c r="AC22" s="31">
        <f t="shared" si="8"/>
        <v>0</v>
      </c>
      <c r="AD22" s="31">
        <f t="shared" si="8"/>
        <v>0</v>
      </c>
      <c r="AE22" s="33">
        <f t="shared" si="8"/>
        <v>3409.29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9" sqref="A19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45774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45775</v>
      </c>
      <c r="B16" s="19"/>
      <c r="C16" s="20">
        <f t="shared" si="0"/>
        <v>0</v>
      </c>
      <c r="D16" s="19"/>
      <c r="E16" s="21">
        <f>D16/208*25</f>
        <v>0</v>
      </c>
      <c r="F16" s="19">
        <v>3166</v>
      </c>
      <c r="G16" s="22">
        <f>F16/215*25</f>
        <v>368.1395348837209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1294.2</v>
      </c>
      <c r="Q16" s="24"/>
      <c r="R16" s="24"/>
      <c r="S16" s="25">
        <v>1034</v>
      </c>
      <c r="T16" s="24"/>
      <c r="U16" s="24"/>
      <c r="V16" s="24">
        <v>56</v>
      </c>
      <c r="W16" s="25">
        <v>832</v>
      </c>
      <c r="X16" s="25"/>
      <c r="Y16" s="24">
        <v>188</v>
      </c>
      <c r="Z16" s="24">
        <v>2</v>
      </c>
      <c r="AA16" s="24">
        <v>347</v>
      </c>
      <c r="AB16" s="24">
        <v>412</v>
      </c>
      <c r="AC16" s="24"/>
      <c r="AD16" s="24"/>
      <c r="AE16" s="26">
        <f t="shared" ref="AE16:AE21" si="3">Y16*2.43</f>
        <v>456.84000000000003</v>
      </c>
      <c r="AF16" s="24"/>
      <c r="AG16" s="27"/>
      <c r="AH16" s="29"/>
    </row>
    <row r="17" spans="1:41" s="28" customFormat="1" ht="26.25" customHeight="1" x14ac:dyDescent="0.25">
      <c r="A17" s="18">
        <v>45776</v>
      </c>
      <c r="B17" s="19"/>
      <c r="C17" s="20">
        <f t="shared" si="0"/>
        <v>0</v>
      </c>
      <c r="D17" s="19"/>
      <c r="E17" s="21">
        <f t="shared" si="1"/>
        <v>0</v>
      </c>
      <c r="F17" s="19">
        <v>3825</v>
      </c>
      <c r="G17" s="22">
        <f t="shared" ref="G17:G21" si="4">F17/215*25</f>
        <v>444.76744186046517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1290.0999999999999</v>
      </c>
      <c r="Q17" s="24"/>
      <c r="R17" s="24"/>
      <c r="S17" s="24">
        <v>1092</v>
      </c>
      <c r="T17" s="24"/>
      <c r="U17" s="24"/>
      <c r="V17" s="24">
        <v>111</v>
      </c>
      <c r="W17" s="25">
        <v>808</v>
      </c>
      <c r="X17" s="25"/>
      <c r="Y17" s="24">
        <v>194</v>
      </c>
      <c r="Z17" s="24">
        <v>2</v>
      </c>
      <c r="AA17" s="24">
        <v>389</v>
      </c>
      <c r="AB17" s="24">
        <v>422</v>
      </c>
      <c r="AC17" s="24"/>
      <c r="AD17" s="24"/>
      <c r="AE17" s="26">
        <f t="shared" si="3"/>
        <v>471.42</v>
      </c>
      <c r="AF17" s="24"/>
      <c r="AG17" s="27"/>
    </row>
    <row r="18" spans="1:41" s="28" customFormat="1" ht="26.25" customHeight="1" x14ac:dyDescent="0.25">
      <c r="A18" s="18">
        <v>45777</v>
      </c>
      <c r="B18" s="19"/>
      <c r="C18" s="20">
        <f t="shared" si="0"/>
        <v>0</v>
      </c>
      <c r="D18" s="19"/>
      <c r="E18" s="21">
        <f t="shared" si="1"/>
        <v>0</v>
      </c>
      <c r="F18" s="19">
        <v>2814</v>
      </c>
      <c r="G18" s="22">
        <f t="shared" si="4"/>
        <v>327.2093023255814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1020.8999999999999</v>
      </c>
      <c r="Q18" s="24"/>
      <c r="R18" s="24"/>
      <c r="S18" s="24"/>
      <c r="T18" s="24"/>
      <c r="U18" s="24"/>
      <c r="V18" s="12">
        <v>60</v>
      </c>
      <c r="W18" s="24">
        <v>1486</v>
      </c>
      <c r="X18" s="25"/>
      <c r="Y18" s="24">
        <v>177</v>
      </c>
      <c r="Z18" s="24">
        <v>2</v>
      </c>
      <c r="AA18" s="24">
        <v>258</v>
      </c>
      <c r="AB18" s="24">
        <v>337</v>
      </c>
      <c r="AC18" s="24"/>
      <c r="AD18" s="24"/>
      <c r="AE18" s="26">
        <f t="shared" si="3"/>
        <v>430.11</v>
      </c>
      <c r="AF18" s="24"/>
      <c r="AG18" s="27"/>
      <c r="AH18" s="29"/>
    </row>
    <row r="19" spans="1:41" s="28" customFormat="1" ht="26.25" customHeight="1" x14ac:dyDescent="0.25">
      <c r="A19" s="18">
        <v>45778</v>
      </c>
      <c r="B19" s="19"/>
      <c r="C19" s="20">
        <f>B19/200*25</f>
        <v>0</v>
      </c>
      <c r="D19" s="19"/>
      <c r="E19" s="21">
        <f>D19/208*25</f>
        <v>0</v>
      </c>
      <c r="F19" s="19">
        <v>214</v>
      </c>
      <c r="G19" s="22">
        <f t="shared" si="4"/>
        <v>24.88372093023256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84.4</v>
      </c>
      <c r="Q19" s="24"/>
      <c r="R19" s="24"/>
      <c r="S19" s="24"/>
      <c r="T19" s="24"/>
      <c r="U19" s="24"/>
      <c r="V19" s="24"/>
      <c r="W19" s="25">
        <v>124</v>
      </c>
      <c r="X19" s="25"/>
      <c r="Y19" s="24">
        <v>20</v>
      </c>
      <c r="Z19" s="24"/>
      <c r="AA19" s="24">
        <v>24</v>
      </c>
      <c r="AB19" s="24">
        <v>25</v>
      </c>
      <c r="AC19" s="24"/>
      <c r="AD19" s="24"/>
      <c r="AE19" s="26">
        <f t="shared" si="3"/>
        <v>48.6</v>
      </c>
      <c r="AF19" s="24"/>
      <c r="AG19" s="27"/>
    </row>
    <row r="20" spans="1:41" s="28" customFormat="1" ht="26.25" customHeight="1" x14ac:dyDescent="0.25">
      <c r="A20" s="18">
        <v>45779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3389</v>
      </c>
      <c r="G20" s="22">
        <f t="shared" si="4"/>
        <v>394.06976744186045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1264.5999999999999</v>
      </c>
      <c r="Q20" s="24"/>
      <c r="R20" s="24"/>
      <c r="S20" s="25"/>
      <c r="T20" s="24"/>
      <c r="U20" s="24"/>
      <c r="V20" s="24">
        <v>32</v>
      </c>
      <c r="W20" s="25">
        <v>1864</v>
      </c>
      <c r="X20" s="25"/>
      <c r="Y20" s="24">
        <v>228</v>
      </c>
      <c r="Z20" s="24"/>
      <c r="AA20" s="24">
        <v>346</v>
      </c>
      <c r="AB20" s="24">
        <v>443</v>
      </c>
      <c r="AC20" s="24"/>
      <c r="AD20" s="24"/>
      <c r="AE20" s="26">
        <f t="shared" si="3"/>
        <v>554.04000000000008</v>
      </c>
      <c r="AF20" s="24"/>
      <c r="AG20" s="27"/>
    </row>
    <row r="21" spans="1:41" s="28" customFormat="1" ht="26.25" customHeight="1" x14ac:dyDescent="0.25">
      <c r="A21" s="18">
        <v>45780</v>
      </c>
      <c r="B21" s="19"/>
      <c r="C21" s="20">
        <f t="shared" si="6"/>
        <v>0</v>
      </c>
      <c r="D21" s="19"/>
      <c r="E21" s="21">
        <f t="shared" si="7"/>
        <v>0</v>
      </c>
      <c r="F21" s="19">
        <v>3569</v>
      </c>
      <c r="G21" s="22">
        <f t="shared" si="4"/>
        <v>415.00000000000006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1273.9000000000001</v>
      </c>
      <c r="Q21" s="24"/>
      <c r="R21" s="24"/>
      <c r="S21" s="25"/>
      <c r="T21" s="24"/>
      <c r="U21" s="24"/>
      <c r="V21" s="24">
        <v>102</v>
      </c>
      <c r="W21" s="25">
        <v>1842</v>
      </c>
      <c r="X21" s="25"/>
      <c r="Y21" s="24">
        <v>228</v>
      </c>
      <c r="Z21" s="24">
        <v>2</v>
      </c>
      <c r="AA21" s="24">
        <v>409</v>
      </c>
      <c r="AB21" s="24">
        <v>388</v>
      </c>
      <c r="AC21" s="24"/>
      <c r="AD21" s="24"/>
      <c r="AE21" s="26">
        <f t="shared" si="3"/>
        <v>554.04000000000008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16977</v>
      </c>
      <c r="G22" s="33">
        <f t="shared" si="8"/>
        <v>1974.0697674418604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6228.1</v>
      </c>
      <c r="Q22" s="31">
        <f t="shared" si="8"/>
        <v>0</v>
      </c>
      <c r="R22" s="31">
        <f t="shared" si="8"/>
        <v>0</v>
      </c>
      <c r="S22" s="31">
        <f t="shared" si="8"/>
        <v>2126</v>
      </c>
      <c r="T22" s="31">
        <f t="shared" si="8"/>
        <v>0</v>
      </c>
      <c r="U22" s="31">
        <f t="shared" si="8"/>
        <v>0</v>
      </c>
      <c r="V22" s="31">
        <f t="shared" si="8"/>
        <v>361</v>
      </c>
      <c r="W22" s="31">
        <f t="shared" si="8"/>
        <v>6956</v>
      </c>
      <c r="X22" s="31">
        <f t="shared" si="8"/>
        <v>0</v>
      </c>
      <c r="Y22" s="31">
        <f t="shared" si="8"/>
        <v>1035</v>
      </c>
      <c r="Z22" s="31">
        <f t="shared" si="8"/>
        <v>8</v>
      </c>
      <c r="AA22" s="31">
        <f t="shared" si="8"/>
        <v>1773</v>
      </c>
      <c r="AB22" s="31">
        <f t="shared" si="8"/>
        <v>2027</v>
      </c>
      <c r="AC22" s="31">
        <f t="shared" si="8"/>
        <v>0</v>
      </c>
      <c r="AD22" s="31">
        <f t="shared" si="8"/>
        <v>0</v>
      </c>
      <c r="AE22" s="33">
        <f t="shared" si="8"/>
        <v>2515.0499999999997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45781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640</v>
      </c>
      <c r="G15" s="22">
        <f>F15/215*25</f>
        <v>74.418604651162795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156.80000000000001</v>
      </c>
      <c r="Q15" s="24"/>
      <c r="R15" s="24"/>
      <c r="S15" s="24"/>
      <c r="T15" s="24"/>
      <c r="U15" s="24"/>
      <c r="V15" s="24">
        <v>4</v>
      </c>
      <c r="W15" s="25">
        <v>266</v>
      </c>
      <c r="X15" s="25"/>
      <c r="Y15" s="24">
        <v>40</v>
      </c>
      <c r="Z15" s="24"/>
      <c r="AA15" s="24">
        <v>40</v>
      </c>
      <c r="AB15" s="24">
        <v>61</v>
      </c>
      <c r="AC15" s="24"/>
      <c r="AD15" s="24"/>
      <c r="AE15" s="26">
        <f>Y15*2.43</f>
        <v>97.2</v>
      </c>
      <c r="AF15" s="24"/>
      <c r="AG15" s="27"/>
      <c r="AH15" s="29"/>
    </row>
    <row r="16" spans="1:34" s="28" customFormat="1" ht="26.25" customHeight="1" x14ac:dyDescent="0.25">
      <c r="A16" s="18">
        <v>45782</v>
      </c>
      <c r="B16" s="19"/>
      <c r="C16" s="20">
        <f t="shared" si="0"/>
        <v>0</v>
      </c>
      <c r="D16" s="19"/>
      <c r="E16" s="21">
        <f>D16/208*25</f>
        <v>0</v>
      </c>
      <c r="F16" s="19">
        <v>3515</v>
      </c>
      <c r="G16" s="22">
        <f>F16/215*25</f>
        <v>408.72093023255809</v>
      </c>
      <c r="H16" s="19"/>
      <c r="I16" s="23">
        <f t="shared" ref="I16:I19" si="2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1139.6000000000001</v>
      </c>
      <c r="Q16" s="24"/>
      <c r="R16" s="24"/>
      <c r="S16" s="25">
        <v>661</v>
      </c>
      <c r="T16" s="24"/>
      <c r="U16" s="24"/>
      <c r="V16" s="24">
        <v>35</v>
      </c>
      <c r="W16" s="25">
        <v>1108</v>
      </c>
      <c r="X16" s="25"/>
      <c r="Y16" s="24">
        <v>224</v>
      </c>
      <c r="Z16" s="24">
        <v>2</v>
      </c>
      <c r="AA16" s="24">
        <v>393</v>
      </c>
      <c r="AB16" s="24">
        <v>327</v>
      </c>
      <c r="AC16" s="24"/>
      <c r="AD16" s="24"/>
      <c r="AE16" s="26">
        <f t="shared" ref="AE16:AE21" si="3">Y16*2.43</f>
        <v>544.32000000000005</v>
      </c>
      <c r="AF16" s="24"/>
      <c r="AG16" s="27"/>
      <c r="AH16" s="29"/>
    </row>
    <row r="17" spans="1:41" s="28" customFormat="1" ht="26.25" customHeight="1" x14ac:dyDescent="0.25">
      <c r="A17" s="18">
        <v>45783</v>
      </c>
      <c r="B17" s="19"/>
      <c r="C17" s="20">
        <f t="shared" si="0"/>
        <v>0</v>
      </c>
      <c r="D17" s="19"/>
      <c r="E17" s="21">
        <f t="shared" si="1"/>
        <v>0</v>
      </c>
      <c r="F17" s="19">
        <v>3075</v>
      </c>
      <c r="G17" s="22">
        <f t="shared" ref="G17:G21" si="4">F17/215*25</f>
        <v>357.55813953488371</v>
      </c>
      <c r="H17" s="19"/>
      <c r="I17" s="23">
        <f t="shared" si="2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1172.1999999999998</v>
      </c>
      <c r="Q17" s="24"/>
      <c r="R17" s="24"/>
      <c r="S17" s="24">
        <v>897</v>
      </c>
      <c r="T17" s="24"/>
      <c r="U17" s="24"/>
      <c r="V17" s="24">
        <v>54</v>
      </c>
      <c r="W17" s="25">
        <v>784</v>
      </c>
      <c r="X17" s="25"/>
      <c r="Y17" s="24">
        <v>199</v>
      </c>
      <c r="Z17" s="24"/>
      <c r="AA17" s="24">
        <v>359</v>
      </c>
      <c r="AB17" s="24">
        <v>342</v>
      </c>
      <c r="AC17" s="24"/>
      <c r="AD17" s="24"/>
      <c r="AE17" s="26">
        <f t="shared" si="3"/>
        <v>483.57000000000005</v>
      </c>
      <c r="AF17" s="24"/>
      <c r="AG17" s="27"/>
    </row>
    <row r="18" spans="1:41" s="28" customFormat="1" ht="26.25" customHeight="1" x14ac:dyDescent="0.25">
      <c r="A18" s="18">
        <v>45784</v>
      </c>
      <c r="B18" s="19"/>
      <c r="C18" s="20">
        <f t="shared" si="0"/>
        <v>0</v>
      </c>
      <c r="D18" s="19"/>
      <c r="E18" s="21">
        <f t="shared" si="1"/>
        <v>0</v>
      </c>
      <c r="F18" s="19">
        <v>3376</v>
      </c>
      <c r="G18" s="22">
        <f t="shared" si="4"/>
        <v>392.55813953488371</v>
      </c>
      <c r="H18" s="19"/>
      <c r="I18" s="23">
        <f t="shared" si="2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1322.2</v>
      </c>
      <c r="Q18" s="24"/>
      <c r="R18" s="24"/>
      <c r="S18" s="24">
        <v>1097</v>
      </c>
      <c r="T18" s="24"/>
      <c r="U18" s="24"/>
      <c r="V18" s="12">
        <v>43</v>
      </c>
      <c r="W18" s="24">
        <v>824</v>
      </c>
      <c r="X18" s="25"/>
      <c r="Y18" s="24">
        <v>236</v>
      </c>
      <c r="Z18" s="24"/>
      <c r="AA18" s="24">
        <v>374</v>
      </c>
      <c r="AB18" s="24">
        <v>412</v>
      </c>
      <c r="AC18" s="24"/>
      <c r="AD18" s="24"/>
      <c r="AE18" s="26">
        <f t="shared" si="3"/>
        <v>573.48</v>
      </c>
      <c r="AF18" s="24"/>
      <c r="AG18" s="27"/>
      <c r="AH18" s="29"/>
    </row>
    <row r="19" spans="1:41" s="28" customFormat="1" ht="26.25" customHeight="1" x14ac:dyDescent="0.25">
      <c r="A19" s="18">
        <v>45785</v>
      </c>
      <c r="B19" s="19"/>
      <c r="C19" s="20">
        <f>B19/200*25</f>
        <v>0</v>
      </c>
      <c r="D19" s="19"/>
      <c r="E19" s="21">
        <f>D19/208*25</f>
        <v>0</v>
      </c>
      <c r="F19" s="19">
        <v>3216</v>
      </c>
      <c r="G19" s="22">
        <f t="shared" si="4"/>
        <v>373.95348837209303</v>
      </c>
      <c r="H19" s="19"/>
      <c r="I19" s="23">
        <f t="shared" si="2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1111.5999999999999</v>
      </c>
      <c r="Q19" s="24"/>
      <c r="R19" s="24"/>
      <c r="S19" s="24">
        <v>809</v>
      </c>
      <c r="T19" s="24"/>
      <c r="U19" s="24"/>
      <c r="V19" s="24">
        <v>40</v>
      </c>
      <c r="W19" s="25">
        <v>879</v>
      </c>
      <c r="X19" s="25"/>
      <c r="Y19" s="24">
        <v>198</v>
      </c>
      <c r="Z19" s="24">
        <v>2</v>
      </c>
      <c r="AA19" s="24">
        <v>386</v>
      </c>
      <c r="AB19" s="24">
        <v>312</v>
      </c>
      <c r="AC19" s="24"/>
      <c r="AD19" s="24"/>
      <c r="AE19" s="26">
        <f t="shared" si="3"/>
        <v>481.14000000000004</v>
      </c>
      <c r="AF19" s="24"/>
      <c r="AG19" s="27"/>
    </row>
    <row r="20" spans="1:41" s="28" customFormat="1" ht="26.25" customHeight="1" x14ac:dyDescent="0.25">
      <c r="A20" s="18">
        <v>45786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3154</v>
      </c>
      <c r="G20" s="22">
        <f t="shared" si="4"/>
        <v>366.74418604651163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1387.6</v>
      </c>
      <c r="Q20" s="24"/>
      <c r="R20" s="24"/>
      <c r="S20" s="25">
        <v>1062</v>
      </c>
      <c r="T20" s="24"/>
      <c r="U20" s="24"/>
      <c r="V20" s="24">
        <v>4</v>
      </c>
      <c r="W20" s="25">
        <v>895</v>
      </c>
      <c r="X20" s="25"/>
      <c r="Y20" s="24">
        <v>215</v>
      </c>
      <c r="Z20" s="24"/>
      <c r="AA20" s="24">
        <v>403</v>
      </c>
      <c r="AB20" s="24">
        <v>400</v>
      </c>
      <c r="AC20" s="24"/>
      <c r="AD20" s="24"/>
      <c r="AE20" s="26">
        <f t="shared" si="3"/>
        <v>522.45000000000005</v>
      </c>
      <c r="AF20" s="24"/>
      <c r="AG20" s="27"/>
    </row>
    <row r="21" spans="1:41" s="28" customFormat="1" ht="26.25" customHeight="1" x14ac:dyDescent="0.25">
      <c r="A21" s="18">
        <v>45787</v>
      </c>
      <c r="B21" s="19"/>
      <c r="C21" s="20">
        <f t="shared" si="6"/>
        <v>0</v>
      </c>
      <c r="D21" s="19"/>
      <c r="E21" s="21">
        <f t="shared" si="7"/>
        <v>0</v>
      </c>
      <c r="F21" s="19">
        <v>2583</v>
      </c>
      <c r="G21" s="22">
        <f t="shared" si="4"/>
        <v>300.34883720930236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1068.4000000000001</v>
      </c>
      <c r="Q21" s="24"/>
      <c r="R21" s="24"/>
      <c r="S21" s="25">
        <v>822</v>
      </c>
      <c r="T21" s="24"/>
      <c r="U21" s="24"/>
      <c r="V21" s="24">
        <v>2</v>
      </c>
      <c r="W21" s="25">
        <v>733</v>
      </c>
      <c r="X21" s="25"/>
      <c r="Y21" s="24">
        <v>187</v>
      </c>
      <c r="Z21" s="24">
        <v>2</v>
      </c>
      <c r="AA21" s="24">
        <v>321</v>
      </c>
      <c r="AB21" s="24">
        <v>319</v>
      </c>
      <c r="AC21" s="24"/>
      <c r="AD21" s="24"/>
      <c r="AE21" s="26">
        <f t="shared" si="3"/>
        <v>454.41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19559</v>
      </c>
      <c r="G22" s="33">
        <f t="shared" si="8"/>
        <v>2274.3023255813955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7358.4</v>
      </c>
      <c r="Q22" s="31">
        <f t="shared" si="8"/>
        <v>0</v>
      </c>
      <c r="R22" s="31">
        <f t="shared" si="8"/>
        <v>0</v>
      </c>
      <c r="S22" s="31">
        <f t="shared" si="8"/>
        <v>5348</v>
      </c>
      <c r="T22" s="31">
        <f t="shared" si="8"/>
        <v>0</v>
      </c>
      <c r="U22" s="31">
        <f t="shared" si="8"/>
        <v>0</v>
      </c>
      <c r="V22" s="31">
        <f t="shared" si="8"/>
        <v>182</v>
      </c>
      <c r="W22" s="31">
        <f t="shared" si="8"/>
        <v>5489</v>
      </c>
      <c r="X22" s="31">
        <f t="shared" si="8"/>
        <v>0</v>
      </c>
      <c r="Y22" s="31">
        <f t="shared" si="8"/>
        <v>1299</v>
      </c>
      <c r="Z22" s="31">
        <f t="shared" si="8"/>
        <v>6</v>
      </c>
      <c r="AA22" s="31">
        <f t="shared" si="8"/>
        <v>2276</v>
      </c>
      <c r="AB22" s="31">
        <f t="shared" si="8"/>
        <v>2173</v>
      </c>
      <c r="AC22" s="31">
        <f t="shared" si="8"/>
        <v>0</v>
      </c>
      <c r="AD22" s="31">
        <f t="shared" si="8"/>
        <v>0</v>
      </c>
      <c r="AE22" s="33">
        <f t="shared" si="8"/>
        <v>3156.5699999999997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>
        <f>V22+W22</f>
        <v>5671</v>
      </c>
      <c r="W23" s="38"/>
      <c r="X23" s="38"/>
      <c r="Y23" s="38"/>
      <c r="Z23" s="38"/>
      <c r="AA23" s="38">
        <f>AA22+AB22</f>
        <v>4449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45788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220</v>
      </c>
      <c r="G15" s="22">
        <f>F15/215*25</f>
        <v>25.581395348837212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132.80000000000001</v>
      </c>
      <c r="Q15" s="24"/>
      <c r="R15" s="24"/>
      <c r="S15" s="24">
        <v>46</v>
      </c>
      <c r="T15" s="24"/>
      <c r="U15" s="24"/>
      <c r="V15" s="24">
        <v>3</v>
      </c>
      <c r="W15" s="25">
        <v>132</v>
      </c>
      <c r="X15" s="25"/>
      <c r="Y15" s="24">
        <v>20</v>
      </c>
      <c r="Z15" s="24"/>
      <c r="AA15" s="24">
        <v>62</v>
      </c>
      <c r="AB15" s="24">
        <v>18</v>
      </c>
      <c r="AC15" s="24"/>
      <c r="AD15" s="24"/>
      <c r="AE15" s="26">
        <f t="shared" ref="AE15:AE21" si="2">Y15*2.43</f>
        <v>48.6</v>
      </c>
      <c r="AF15" s="24"/>
      <c r="AG15" s="27"/>
      <c r="AH15" s="29"/>
    </row>
    <row r="16" spans="1:34" s="28" customFormat="1" ht="26.25" customHeight="1" x14ac:dyDescent="0.25">
      <c r="A16" s="18">
        <v>45789</v>
      </c>
      <c r="B16" s="19"/>
      <c r="C16" s="20">
        <f t="shared" si="0"/>
        <v>0</v>
      </c>
      <c r="D16" s="19"/>
      <c r="E16" s="21">
        <f>D16/208*25</f>
        <v>0</v>
      </c>
      <c r="F16" s="19"/>
      <c r="G16" s="22">
        <f>F16/215*25</f>
        <v>0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/>
      <c r="Q16" s="24"/>
      <c r="R16" s="24"/>
      <c r="S16" s="25"/>
      <c r="T16" s="24"/>
      <c r="U16" s="24"/>
      <c r="V16" s="24"/>
      <c r="W16" s="25"/>
      <c r="X16" s="25"/>
      <c r="Y16" s="24"/>
      <c r="Z16" s="24"/>
      <c r="AA16" s="24"/>
      <c r="AB16" s="24"/>
      <c r="AC16" s="24"/>
      <c r="AD16" s="24"/>
      <c r="AE16" s="26">
        <f t="shared" si="2"/>
        <v>0</v>
      </c>
      <c r="AF16" s="24"/>
      <c r="AG16" s="27"/>
      <c r="AH16" s="29"/>
    </row>
    <row r="17" spans="1:41" s="28" customFormat="1" ht="26.25" customHeight="1" x14ac:dyDescent="0.25">
      <c r="A17" s="18">
        <v>45790</v>
      </c>
      <c r="B17" s="19"/>
      <c r="C17" s="20">
        <f t="shared" si="0"/>
        <v>0</v>
      </c>
      <c r="D17" s="19"/>
      <c r="E17" s="21">
        <f t="shared" si="1"/>
        <v>0</v>
      </c>
      <c r="F17" s="19">
        <v>2085</v>
      </c>
      <c r="G17" s="22">
        <f t="shared" ref="G17:G21" si="4">F17/215*25</f>
        <v>242.44186046511626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825.4</v>
      </c>
      <c r="Q17" s="24"/>
      <c r="R17" s="24"/>
      <c r="S17" s="24">
        <v>640</v>
      </c>
      <c r="T17" s="24"/>
      <c r="U17" s="24"/>
      <c r="V17" s="24">
        <v>76</v>
      </c>
      <c r="W17" s="25">
        <v>470</v>
      </c>
      <c r="X17" s="25"/>
      <c r="Y17" s="24">
        <v>121</v>
      </c>
      <c r="Z17" s="24"/>
      <c r="AA17" s="24">
        <v>249</v>
      </c>
      <c r="AB17" s="24">
        <v>261</v>
      </c>
      <c r="AC17" s="24"/>
      <c r="AD17" s="24"/>
      <c r="AE17" s="26">
        <f t="shared" si="2"/>
        <v>294.03000000000003</v>
      </c>
      <c r="AF17" s="24"/>
      <c r="AG17" s="27"/>
    </row>
    <row r="18" spans="1:41" s="28" customFormat="1" ht="26.25" customHeight="1" x14ac:dyDescent="0.25">
      <c r="A18" s="18">
        <v>45791</v>
      </c>
      <c r="B18" s="19"/>
      <c r="C18" s="20">
        <f t="shared" si="0"/>
        <v>0</v>
      </c>
      <c r="D18" s="19"/>
      <c r="E18" s="21">
        <f t="shared" si="1"/>
        <v>0</v>
      </c>
      <c r="F18" s="19">
        <v>2514</v>
      </c>
      <c r="G18" s="22">
        <f t="shared" si="4"/>
        <v>292.32558139534882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853.4</v>
      </c>
      <c r="Q18" s="24"/>
      <c r="R18" s="24"/>
      <c r="S18" s="24">
        <v>690</v>
      </c>
      <c r="T18" s="24"/>
      <c r="U18" s="24"/>
      <c r="V18" s="12">
        <v>78</v>
      </c>
      <c r="W18" s="24">
        <v>566</v>
      </c>
      <c r="X18" s="25"/>
      <c r="Y18" s="24">
        <v>160</v>
      </c>
      <c r="Z18" s="24"/>
      <c r="AA18" s="24">
        <v>278</v>
      </c>
      <c r="AB18" s="24">
        <v>260</v>
      </c>
      <c r="AC18" s="24"/>
      <c r="AD18" s="24"/>
      <c r="AE18" s="26">
        <f t="shared" si="2"/>
        <v>388.8</v>
      </c>
      <c r="AF18" s="24"/>
      <c r="AG18" s="27"/>
      <c r="AH18" s="29"/>
    </row>
    <row r="19" spans="1:41" s="28" customFormat="1" ht="26.25" customHeight="1" x14ac:dyDescent="0.25">
      <c r="A19" s="18">
        <v>45792</v>
      </c>
      <c r="B19" s="19"/>
      <c r="C19" s="20">
        <f>B19/200*25</f>
        <v>0</v>
      </c>
      <c r="D19" s="19"/>
      <c r="E19" s="21">
        <f>D19/208*25</f>
        <v>0</v>
      </c>
      <c r="F19" s="19">
        <v>3158</v>
      </c>
      <c r="G19" s="22">
        <f t="shared" si="4"/>
        <v>367.2093023255814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1024</v>
      </c>
      <c r="Q19" s="24"/>
      <c r="R19" s="24"/>
      <c r="S19" s="24">
        <v>869</v>
      </c>
      <c r="T19" s="24"/>
      <c r="U19" s="24"/>
      <c r="V19" s="24">
        <v>81</v>
      </c>
      <c r="W19" s="25">
        <v>690</v>
      </c>
      <c r="X19" s="25"/>
      <c r="Y19" s="24">
        <v>172</v>
      </c>
      <c r="Z19" s="24"/>
      <c r="AA19" s="24">
        <v>303</v>
      </c>
      <c r="AB19" s="24">
        <v>333</v>
      </c>
      <c r="AC19" s="24"/>
      <c r="AD19" s="24"/>
      <c r="AE19" s="26">
        <f t="shared" si="2"/>
        <v>417.96000000000004</v>
      </c>
      <c r="AF19" s="24"/>
      <c r="AG19" s="27"/>
    </row>
    <row r="20" spans="1:41" s="28" customFormat="1" ht="26.25" customHeight="1" x14ac:dyDescent="0.25">
      <c r="A20" s="18">
        <v>45793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4063</v>
      </c>
      <c r="G20" s="22">
        <f t="shared" si="4"/>
        <v>472.44186046511629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1315.2</v>
      </c>
      <c r="Q20" s="24"/>
      <c r="R20" s="24"/>
      <c r="S20" s="25">
        <v>1055</v>
      </c>
      <c r="T20" s="24"/>
      <c r="U20" s="24"/>
      <c r="V20" s="24">
        <v>49</v>
      </c>
      <c r="W20" s="25">
        <v>1005</v>
      </c>
      <c r="X20" s="25"/>
      <c r="Y20" s="24">
        <v>216</v>
      </c>
      <c r="Z20" s="24"/>
      <c r="AA20" s="24">
        <v>433</v>
      </c>
      <c r="AB20" s="24">
        <v>418</v>
      </c>
      <c r="AC20" s="24"/>
      <c r="AD20" s="24"/>
      <c r="AE20" s="26">
        <f t="shared" si="2"/>
        <v>524.88</v>
      </c>
      <c r="AF20" s="24"/>
      <c r="AG20" s="27"/>
    </row>
    <row r="21" spans="1:41" s="28" customFormat="1" ht="26.25" customHeight="1" x14ac:dyDescent="0.25">
      <c r="A21" s="18">
        <v>45794</v>
      </c>
      <c r="B21" s="19"/>
      <c r="C21" s="20">
        <f t="shared" si="6"/>
        <v>0</v>
      </c>
      <c r="D21" s="19"/>
      <c r="E21" s="21">
        <f t="shared" si="7"/>
        <v>0</v>
      </c>
      <c r="F21" s="19">
        <v>2937</v>
      </c>
      <c r="G21" s="22">
        <f t="shared" si="4"/>
        <v>341.51162790697674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1077.1999999999998</v>
      </c>
      <c r="Q21" s="24"/>
      <c r="R21" s="24"/>
      <c r="S21" s="25">
        <v>945</v>
      </c>
      <c r="T21" s="24"/>
      <c r="U21" s="24"/>
      <c r="V21" s="24"/>
      <c r="W21" s="25">
        <v>697</v>
      </c>
      <c r="X21" s="25"/>
      <c r="Y21" s="24">
        <v>175</v>
      </c>
      <c r="Z21" s="24"/>
      <c r="AA21" s="24">
        <v>272</v>
      </c>
      <c r="AB21" s="24">
        <v>363</v>
      </c>
      <c r="AC21" s="24"/>
      <c r="AD21" s="24"/>
      <c r="AE21" s="26">
        <f t="shared" si="2"/>
        <v>425.25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14977</v>
      </c>
      <c r="G22" s="33">
        <f t="shared" si="8"/>
        <v>1741.5116279069766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5228</v>
      </c>
      <c r="Q22" s="31">
        <f t="shared" si="8"/>
        <v>0</v>
      </c>
      <c r="R22" s="31">
        <f t="shared" si="8"/>
        <v>0</v>
      </c>
      <c r="S22" s="31">
        <f t="shared" si="8"/>
        <v>4245</v>
      </c>
      <c r="T22" s="31">
        <f t="shared" si="8"/>
        <v>0</v>
      </c>
      <c r="U22" s="31">
        <f t="shared" si="8"/>
        <v>0</v>
      </c>
      <c r="V22" s="31">
        <f t="shared" si="8"/>
        <v>287</v>
      </c>
      <c r="W22" s="31">
        <f t="shared" si="8"/>
        <v>3560</v>
      </c>
      <c r="X22" s="31">
        <f t="shared" si="8"/>
        <v>0</v>
      </c>
      <c r="Y22" s="31">
        <f t="shared" si="8"/>
        <v>864</v>
      </c>
      <c r="Z22" s="31">
        <f t="shared" si="8"/>
        <v>0</v>
      </c>
      <c r="AA22" s="31">
        <f t="shared" si="8"/>
        <v>1597</v>
      </c>
      <c r="AB22" s="31">
        <f t="shared" si="8"/>
        <v>1653</v>
      </c>
      <c r="AC22" s="31">
        <f t="shared" si="8"/>
        <v>0</v>
      </c>
      <c r="AD22" s="31">
        <f t="shared" si="8"/>
        <v>0</v>
      </c>
      <c r="AE22" s="33">
        <f t="shared" si="8"/>
        <v>2099.52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130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129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45795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698</v>
      </c>
      <c r="G15" s="22">
        <f>F15/215*25</f>
        <v>81.16279069767441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231.79999999999998</v>
      </c>
      <c r="Q15" s="24"/>
      <c r="R15" s="24"/>
      <c r="S15" s="24">
        <v>147</v>
      </c>
      <c r="T15" s="24"/>
      <c r="U15" s="24"/>
      <c r="V15" s="24"/>
      <c r="W15" s="25">
        <v>202</v>
      </c>
      <c r="X15" s="25"/>
      <c r="Y15" s="24">
        <v>59</v>
      </c>
      <c r="Z15" s="24"/>
      <c r="AA15" s="24">
        <v>107</v>
      </c>
      <c r="AB15" s="24">
        <v>58</v>
      </c>
      <c r="AC15" s="24"/>
      <c r="AD15" s="24"/>
      <c r="AE15" s="26">
        <f t="shared" ref="AE15:AE21" si="2">Y15*2.43</f>
        <v>143.37</v>
      </c>
      <c r="AF15" s="24"/>
      <c r="AG15" s="27"/>
      <c r="AH15" s="29"/>
    </row>
    <row r="16" spans="1:34" s="28" customFormat="1" ht="26.25" customHeight="1" x14ac:dyDescent="0.25">
      <c r="A16" s="18">
        <v>45796</v>
      </c>
      <c r="B16" s="19"/>
      <c r="C16" s="20">
        <f t="shared" si="0"/>
        <v>0</v>
      </c>
      <c r="D16" s="19"/>
      <c r="E16" s="21">
        <f>D16/208*25</f>
        <v>0</v>
      </c>
      <c r="F16" s="19">
        <v>3188</v>
      </c>
      <c r="G16" s="22">
        <f>F16/215*25</f>
        <v>370.69767441860466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1233.8</v>
      </c>
      <c r="Q16" s="24"/>
      <c r="R16" s="24"/>
      <c r="S16" s="25">
        <v>925</v>
      </c>
      <c r="T16" s="24"/>
      <c r="U16" s="24"/>
      <c r="V16" s="24">
        <v>27</v>
      </c>
      <c r="W16" s="25">
        <v>887</v>
      </c>
      <c r="X16" s="25"/>
      <c r="Y16" s="24">
        <v>209</v>
      </c>
      <c r="Z16" s="24"/>
      <c r="AA16" s="24">
        <v>366</v>
      </c>
      <c r="AB16" s="24">
        <v>344</v>
      </c>
      <c r="AC16" s="24"/>
      <c r="AD16" s="24"/>
      <c r="AE16" s="26">
        <f t="shared" si="2"/>
        <v>507.87000000000006</v>
      </c>
      <c r="AF16" s="24"/>
      <c r="AG16" s="27"/>
      <c r="AH16" s="29"/>
    </row>
    <row r="17" spans="1:41" s="28" customFormat="1" ht="26.25" customHeight="1" x14ac:dyDescent="0.25">
      <c r="A17" s="18">
        <v>45797</v>
      </c>
      <c r="B17" s="19"/>
      <c r="C17" s="20">
        <f t="shared" si="0"/>
        <v>0</v>
      </c>
      <c r="D17" s="19"/>
      <c r="E17" s="21">
        <f t="shared" si="1"/>
        <v>0</v>
      </c>
      <c r="F17" s="19">
        <v>3843</v>
      </c>
      <c r="G17" s="22">
        <f t="shared" ref="G17:G21" si="4">F17/215*25</f>
        <v>446.86046511627904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1382.6</v>
      </c>
      <c r="Q17" s="24"/>
      <c r="R17" s="24"/>
      <c r="S17" s="24">
        <v>1032</v>
      </c>
      <c r="T17" s="24"/>
      <c r="U17" s="24"/>
      <c r="V17" s="24">
        <v>81</v>
      </c>
      <c r="W17" s="25">
        <v>992</v>
      </c>
      <c r="X17" s="25"/>
      <c r="Y17" s="24">
        <v>234</v>
      </c>
      <c r="Z17" s="24"/>
      <c r="AA17" s="24">
        <v>417</v>
      </c>
      <c r="AB17" s="24">
        <v>381</v>
      </c>
      <c r="AC17" s="24"/>
      <c r="AD17" s="24"/>
      <c r="AE17" s="26">
        <f t="shared" si="2"/>
        <v>568.62</v>
      </c>
      <c r="AF17" s="24"/>
      <c r="AG17" s="27"/>
    </row>
    <row r="18" spans="1:41" s="28" customFormat="1" ht="26.25" customHeight="1" x14ac:dyDescent="0.25">
      <c r="A18" s="18">
        <v>45798</v>
      </c>
      <c r="B18" s="19"/>
      <c r="C18" s="20">
        <f t="shared" si="0"/>
        <v>0</v>
      </c>
      <c r="D18" s="19"/>
      <c r="E18" s="21">
        <f t="shared" si="1"/>
        <v>0</v>
      </c>
      <c r="F18" s="19">
        <v>4034</v>
      </c>
      <c r="G18" s="22">
        <f t="shared" si="4"/>
        <v>469.06976744186045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1559.1999999999998</v>
      </c>
      <c r="Q18" s="24"/>
      <c r="R18" s="24"/>
      <c r="S18" s="24">
        <v>400</v>
      </c>
      <c r="T18" s="24"/>
      <c r="U18" s="24"/>
      <c r="V18" s="12">
        <v>89</v>
      </c>
      <c r="W18" s="24">
        <v>1834</v>
      </c>
      <c r="X18" s="25"/>
      <c r="Y18" s="24">
        <v>231</v>
      </c>
      <c r="Z18" s="24"/>
      <c r="AA18" s="24">
        <v>448</v>
      </c>
      <c r="AB18" s="24">
        <v>438</v>
      </c>
      <c r="AC18" s="24"/>
      <c r="AD18" s="24"/>
      <c r="AE18" s="26">
        <f t="shared" si="2"/>
        <v>561.33000000000004</v>
      </c>
      <c r="AF18" s="24"/>
      <c r="AG18" s="27"/>
      <c r="AH18" s="29"/>
    </row>
    <row r="19" spans="1:41" s="28" customFormat="1" ht="26.25" customHeight="1" x14ac:dyDescent="0.25">
      <c r="A19" s="18">
        <v>45799</v>
      </c>
      <c r="B19" s="19"/>
      <c r="C19" s="20">
        <f>B19/200*25</f>
        <v>0</v>
      </c>
      <c r="D19" s="19"/>
      <c r="E19" s="21">
        <f>D19/208*25</f>
        <v>0</v>
      </c>
      <c r="F19" s="19">
        <v>3979</v>
      </c>
      <c r="G19" s="22">
        <f t="shared" si="4"/>
        <v>462.67441860465118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1268</v>
      </c>
      <c r="Q19" s="24"/>
      <c r="R19" s="24"/>
      <c r="S19" s="24"/>
      <c r="T19" s="24"/>
      <c r="U19" s="24"/>
      <c r="V19" s="24">
        <v>63</v>
      </c>
      <c r="W19" s="25">
        <v>1954</v>
      </c>
      <c r="X19" s="25"/>
      <c r="Y19" s="24">
        <v>233</v>
      </c>
      <c r="Z19" s="24"/>
      <c r="AA19" s="24">
        <v>389</v>
      </c>
      <c r="AB19" s="24">
        <v>436</v>
      </c>
      <c r="AC19" s="24"/>
      <c r="AD19" s="24"/>
      <c r="AE19" s="26">
        <f t="shared" si="2"/>
        <v>566.19000000000005</v>
      </c>
      <c r="AF19" s="24"/>
      <c r="AG19" s="27"/>
    </row>
    <row r="20" spans="1:41" s="28" customFormat="1" ht="26.25" customHeight="1" x14ac:dyDescent="0.25">
      <c r="A20" s="18">
        <v>45800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3741</v>
      </c>
      <c r="G20" s="22">
        <f t="shared" si="4"/>
        <v>434.99999999999994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1477.2000000000003</v>
      </c>
      <c r="Q20" s="24"/>
      <c r="R20" s="24"/>
      <c r="S20" s="25"/>
      <c r="T20" s="24"/>
      <c r="U20" s="24"/>
      <c r="V20" s="24">
        <v>81</v>
      </c>
      <c r="W20" s="25">
        <v>2102</v>
      </c>
      <c r="X20" s="25"/>
      <c r="Y20" s="24">
        <v>232</v>
      </c>
      <c r="Z20" s="24"/>
      <c r="AA20" s="24">
        <v>415</v>
      </c>
      <c r="AB20" s="24">
        <v>410</v>
      </c>
      <c r="AC20" s="24"/>
      <c r="AD20" s="24"/>
      <c r="AE20" s="26">
        <f t="shared" si="2"/>
        <v>563.76</v>
      </c>
      <c r="AF20" s="24"/>
      <c r="AG20" s="27"/>
    </row>
    <row r="21" spans="1:41" s="28" customFormat="1" ht="26.25" customHeight="1" x14ac:dyDescent="0.25">
      <c r="A21" s="18">
        <v>45801</v>
      </c>
      <c r="B21" s="19"/>
      <c r="C21" s="20">
        <f t="shared" si="6"/>
        <v>0</v>
      </c>
      <c r="D21" s="19"/>
      <c r="E21" s="21">
        <f t="shared" si="7"/>
        <v>0</v>
      </c>
      <c r="F21" s="19">
        <v>3373</v>
      </c>
      <c r="G21" s="22">
        <f t="shared" si="4"/>
        <v>392.2093023255814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1180.5999999999999</v>
      </c>
      <c r="Q21" s="24"/>
      <c r="R21" s="24"/>
      <c r="S21" s="25"/>
      <c r="T21" s="24"/>
      <c r="U21" s="24"/>
      <c r="V21" s="24">
        <v>23</v>
      </c>
      <c r="W21" s="25">
        <v>1748</v>
      </c>
      <c r="X21" s="25"/>
      <c r="Y21" s="24">
        <v>216</v>
      </c>
      <c r="Z21" s="24"/>
      <c r="AA21" s="24">
        <v>400</v>
      </c>
      <c r="AB21" s="24">
        <v>366</v>
      </c>
      <c r="AC21" s="24"/>
      <c r="AD21" s="24"/>
      <c r="AE21" s="26">
        <f t="shared" si="2"/>
        <v>524.88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22856</v>
      </c>
      <c r="G22" s="33">
        <f t="shared" si="8"/>
        <v>2657.6744186046512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8333.2000000000007</v>
      </c>
      <c r="Q22" s="31">
        <f t="shared" si="8"/>
        <v>0</v>
      </c>
      <c r="R22" s="31">
        <f t="shared" si="8"/>
        <v>0</v>
      </c>
      <c r="S22" s="31">
        <f t="shared" si="8"/>
        <v>2504</v>
      </c>
      <c r="T22" s="31">
        <f t="shared" si="8"/>
        <v>0</v>
      </c>
      <c r="U22" s="31">
        <f t="shared" si="8"/>
        <v>0</v>
      </c>
      <c r="V22" s="31">
        <f t="shared" si="8"/>
        <v>364</v>
      </c>
      <c r="W22" s="31">
        <f t="shared" si="8"/>
        <v>9719</v>
      </c>
      <c r="X22" s="31">
        <f t="shared" si="8"/>
        <v>0</v>
      </c>
      <c r="Y22" s="31">
        <f t="shared" si="8"/>
        <v>1414</v>
      </c>
      <c r="Z22" s="31">
        <f t="shared" si="8"/>
        <v>0</v>
      </c>
      <c r="AA22" s="31">
        <f t="shared" si="8"/>
        <v>2542</v>
      </c>
      <c r="AB22" s="31">
        <f t="shared" si="8"/>
        <v>2433</v>
      </c>
      <c r="AC22" s="31">
        <f t="shared" si="8"/>
        <v>0</v>
      </c>
      <c r="AD22" s="31">
        <f t="shared" si="8"/>
        <v>0</v>
      </c>
      <c r="AE22" s="33">
        <f t="shared" si="8"/>
        <v>3436.0200000000004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X18" sqref="X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45802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45803</v>
      </c>
      <c r="B16" s="19"/>
      <c r="C16" s="20">
        <f t="shared" si="0"/>
        <v>0</v>
      </c>
      <c r="D16" s="19"/>
      <c r="E16" s="21">
        <f>D16/208*25</f>
        <v>0</v>
      </c>
      <c r="F16" s="19">
        <v>4137</v>
      </c>
      <c r="G16" s="22">
        <f>F16/215*25</f>
        <v>481.04651162790697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1532.6</v>
      </c>
      <c r="Q16" s="24"/>
      <c r="R16" s="24"/>
      <c r="S16" s="25"/>
      <c r="T16" s="24"/>
      <c r="U16" s="24"/>
      <c r="V16" s="24">
        <v>30</v>
      </c>
      <c r="W16" s="25">
        <v>2286</v>
      </c>
      <c r="X16" s="25"/>
      <c r="Y16" s="24">
        <v>235</v>
      </c>
      <c r="Z16" s="24"/>
      <c r="AA16" s="24">
        <v>473</v>
      </c>
      <c r="AB16" s="24">
        <v>472</v>
      </c>
      <c r="AC16" s="24"/>
      <c r="AD16" s="24"/>
      <c r="AE16" s="26">
        <f t="shared" si="2"/>
        <v>571.05000000000007</v>
      </c>
      <c r="AF16" s="24"/>
      <c r="AG16" s="27">
        <v>1</v>
      </c>
      <c r="AH16" s="29"/>
    </row>
    <row r="17" spans="1:41" s="28" customFormat="1" ht="26.25" customHeight="1" x14ac:dyDescent="0.25">
      <c r="A17" s="18">
        <v>45804</v>
      </c>
      <c r="B17" s="19"/>
      <c r="C17" s="20">
        <f t="shared" si="0"/>
        <v>0</v>
      </c>
      <c r="D17" s="19"/>
      <c r="E17" s="21">
        <f t="shared" si="1"/>
        <v>0</v>
      </c>
      <c r="F17" s="19">
        <v>3763</v>
      </c>
      <c r="G17" s="22">
        <f t="shared" ref="G17:G21" si="4">F17/215*25</f>
        <v>437.55813953488376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1402.6</v>
      </c>
      <c r="Q17" s="24"/>
      <c r="R17" s="24"/>
      <c r="S17" s="24"/>
      <c r="T17" s="24"/>
      <c r="U17" s="24"/>
      <c r="V17" s="24">
        <v>67</v>
      </c>
      <c r="W17" s="25">
        <v>2027</v>
      </c>
      <c r="X17" s="25"/>
      <c r="Y17" s="24">
        <v>206</v>
      </c>
      <c r="Z17" s="24"/>
      <c r="AA17" s="24">
        <v>492</v>
      </c>
      <c r="AB17" s="24">
        <v>411</v>
      </c>
      <c r="AC17" s="24"/>
      <c r="AD17" s="24"/>
      <c r="AE17" s="26">
        <f t="shared" si="2"/>
        <v>500.58000000000004</v>
      </c>
      <c r="AF17" s="24"/>
      <c r="AG17" s="27"/>
    </row>
    <row r="18" spans="1:41" s="28" customFormat="1" ht="26.25" customHeight="1" x14ac:dyDescent="0.25">
      <c r="A18" s="18">
        <v>45805</v>
      </c>
      <c r="B18" s="19"/>
      <c r="C18" s="20">
        <f t="shared" si="0"/>
        <v>0</v>
      </c>
      <c r="D18" s="19"/>
      <c r="E18" s="21">
        <f t="shared" si="1"/>
        <v>0</v>
      </c>
      <c r="F18" s="19">
        <v>3692</v>
      </c>
      <c r="G18" s="22">
        <f t="shared" si="4"/>
        <v>429.30232558139539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1534.6</v>
      </c>
      <c r="Q18" s="24"/>
      <c r="R18" s="24"/>
      <c r="S18" s="24"/>
      <c r="T18" s="24"/>
      <c r="U18" s="24"/>
      <c r="V18" s="12">
        <v>91</v>
      </c>
      <c r="W18" s="24">
        <v>2118</v>
      </c>
      <c r="X18" s="25"/>
      <c r="Y18" s="24">
        <v>244</v>
      </c>
      <c r="Z18" s="24"/>
      <c r="AA18" s="24">
        <v>446</v>
      </c>
      <c r="AB18" s="24">
        <v>465</v>
      </c>
      <c r="AC18" s="24"/>
      <c r="AD18" s="24"/>
      <c r="AE18" s="26">
        <f t="shared" si="2"/>
        <v>592.92000000000007</v>
      </c>
      <c r="AF18" s="24"/>
      <c r="AG18" s="27"/>
      <c r="AH18" s="29"/>
    </row>
    <row r="19" spans="1:41" s="28" customFormat="1" ht="26.25" customHeight="1" x14ac:dyDescent="0.25">
      <c r="A19" s="18">
        <v>45806</v>
      </c>
      <c r="B19" s="19"/>
      <c r="C19" s="20">
        <f>B19/200*25</f>
        <v>0</v>
      </c>
      <c r="D19" s="19"/>
      <c r="E19" s="21">
        <f>D19/208*25</f>
        <v>0</v>
      </c>
      <c r="F19" s="19">
        <v>3390</v>
      </c>
      <c r="G19" s="22">
        <f t="shared" si="4"/>
        <v>394.18604651162792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1142.3999999999999</v>
      </c>
      <c r="Q19" s="24"/>
      <c r="R19" s="24"/>
      <c r="S19" s="24"/>
      <c r="T19" s="24"/>
      <c r="U19" s="24"/>
      <c r="V19" s="24">
        <v>32</v>
      </c>
      <c r="W19" s="25">
        <v>1706</v>
      </c>
      <c r="X19" s="25"/>
      <c r="Y19" s="24">
        <v>213</v>
      </c>
      <c r="Z19" s="24">
        <v>2</v>
      </c>
      <c r="AA19" s="24">
        <v>363</v>
      </c>
      <c r="AB19" s="24">
        <v>384</v>
      </c>
      <c r="AC19" s="24"/>
      <c r="AD19" s="24"/>
      <c r="AE19" s="26">
        <f t="shared" si="2"/>
        <v>517.59</v>
      </c>
      <c r="AF19" s="24"/>
      <c r="AG19" s="27"/>
    </row>
    <row r="20" spans="1:41" s="28" customFormat="1" ht="26.25" customHeight="1" x14ac:dyDescent="0.25">
      <c r="A20" s="18">
        <v>45807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3528</v>
      </c>
      <c r="G20" s="22">
        <f t="shared" si="4"/>
        <v>410.23255813953494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1287</v>
      </c>
      <c r="Q20" s="24"/>
      <c r="R20" s="24"/>
      <c r="S20" s="25"/>
      <c r="T20" s="24"/>
      <c r="U20" s="24"/>
      <c r="V20" s="24">
        <v>73</v>
      </c>
      <c r="W20" s="25">
        <v>1881</v>
      </c>
      <c r="X20" s="25"/>
      <c r="Y20" s="24">
        <v>214</v>
      </c>
      <c r="Z20" s="24"/>
      <c r="AA20" s="24">
        <v>401</v>
      </c>
      <c r="AB20" s="24">
        <v>393</v>
      </c>
      <c r="AC20" s="24"/>
      <c r="AD20" s="24"/>
      <c r="AE20" s="26">
        <f t="shared" si="2"/>
        <v>520.02</v>
      </c>
      <c r="AF20" s="24"/>
      <c r="AG20" s="27"/>
    </row>
    <row r="21" spans="1:41" s="28" customFormat="1" ht="26.25" customHeight="1" x14ac:dyDescent="0.25">
      <c r="A21" s="18">
        <v>45808</v>
      </c>
      <c r="B21" s="19"/>
      <c r="C21" s="20">
        <f t="shared" si="6"/>
        <v>0</v>
      </c>
      <c r="D21" s="19"/>
      <c r="E21" s="21">
        <f t="shared" si="7"/>
        <v>0</v>
      </c>
      <c r="F21" s="19">
        <v>880</v>
      </c>
      <c r="G21" s="22">
        <f t="shared" si="4"/>
        <v>102.32558139534885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424</v>
      </c>
      <c r="Q21" s="24"/>
      <c r="R21" s="24"/>
      <c r="S21" s="25"/>
      <c r="T21" s="24"/>
      <c r="U21" s="24"/>
      <c r="V21" s="24">
        <v>65</v>
      </c>
      <c r="W21" s="25">
        <v>507</v>
      </c>
      <c r="X21" s="25"/>
      <c r="Y21" s="24">
        <v>75</v>
      </c>
      <c r="Z21" s="24"/>
      <c r="AA21" s="24">
        <v>143</v>
      </c>
      <c r="AB21" s="24">
        <v>104</v>
      </c>
      <c r="AC21" s="24"/>
      <c r="AD21" s="24"/>
      <c r="AE21" s="26">
        <f t="shared" si="2"/>
        <v>182.25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19390</v>
      </c>
      <c r="G22" s="33">
        <f t="shared" si="8"/>
        <v>2254.6511627906975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7323.1999999999989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358</v>
      </c>
      <c r="W22" s="31">
        <f t="shared" si="8"/>
        <v>10525</v>
      </c>
      <c r="X22" s="31">
        <f t="shared" si="8"/>
        <v>0</v>
      </c>
      <c r="Y22" s="31">
        <f t="shared" si="8"/>
        <v>1187</v>
      </c>
      <c r="Z22" s="31">
        <f t="shared" si="8"/>
        <v>2</v>
      </c>
      <c r="AA22" s="31">
        <f t="shared" si="8"/>
        <v>2318</v>
      </c>
      <c r="AB22" s="31">
        <f t="shared" si="8"/>
        <v>2229</v>
      </c>
      <c r="AC22" s="31">
        <f t="shared" si="8"/>
        <v>0</v>
      </c>
      <c r="AD22" s="31">
        <f t="shared" si="8"/>
        <v>0</v>
      </c>
      <c r="AE22" s="33">
        <f t="shared" si="8"/>
        <v>2884.4100000000003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45809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45810</v>
      </c>
      <c r="B16" s="19"/>
      <c r="C16" s="20">
        <f t="shared" si="0"/>
        <v>0</v>
      </c>
      <c r="D16" s="19"/>
      <c r="E16" s="21">
        <f>D16/208*25</f>
        <v>0</v>
      </c>
      <c r="F16" s="19">
        <v>3294</v>
      </c>
      <c r="G16" s="22">
        <f>F16/215*25</f>
        <v>383.02325581395348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1197.5999999999999</v>
      </c>
      <c r="Q16" s="24"/>
      <c r="R16" s="24"/>
      <c r="S16" s="25"/>
      <c r="T16" s="24"/>
      <c r="U16" s="24"/>
      <c r="V16" s="24">
        <v>80</v>
      </c>
      <c r="W16" s="25">
        <v>1671</v>
      </c>
      <c r="X16" s="25"/>
      <c r="Y16" s="24">
        <v>183</v>
      </c>
      <c r="Z16" s="24">
        <v>2</v>
      </c>
      <c r="AA16" s="24">
        <v>318</v>
      </c>
      <c r="AB16" s="24">
        <v>389</v>
      </c>
      <c r="AC16" s="24"/>
      <c r="AD16" s="24"/>
      <c r="AE16" s="26">
        <f t="shared" si="2"/>
        <v>444.69000000000005</v>
      </c>
      <c r="AF16" s="24"/>
      <c r="AG16" s="27"/>
      <c r="AH16" s="29"/>
    </row>
    <row r="17" spans="1:41" s="28" customFormat="1" ht="26.25" customHeight="1" x14ac:dyDescent="0.25">
      <c r="A17" s="18">
        <v>45811</v>
      </c>
      <c r="B17" s="19"/>
      <c r="C17" s="20">
        <f t="shared" si="0"/>
        <v>0</v>
      </c>
      <c r="D17" s="19"/>
      <c r="E17" s="21">
        <f t="shared" si="1"/>
        <v>0</v>
      </c>
      <c r="F17" s="19">
        <v>3727</v>
      </c>
      <c r="G17" s="22">
        <f t="shared" ref="G17:G21" si="4">F17/215*25</f>
        <v>433.37209302325579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1397.8000000000002</v>
      </c>
      <c r="Q17" s="24"/>
      <c r="R17" s="24"/>
      <c r="S17" s="24"/>
      <c r="T17" s="24"/>
      <c r="U17" s="24"/>
      <c r="V17" s="24">
        <v>76</v>
      </c>
      <c r="W17" s="25">
        <v>1945</v>
      </c>
      <c r="X17" s="25"/>
      <c r="Y17" s="24">
        <v>233</v>
      </c>
      <c r="Z17" s="24"/>
      <c r="AA17" s="24">
        <v>473</v>
      </c>
      <c r="AB17" s="24">
        <v>416</v>
      </c>
      <c r="AC17" s="24"/>
      <c r="AD17" s="24"/>
      <c r="AE17" s="26">
        <f t="shared" si="2"/>
        <v>566.19000000000005</v>
      </c>
      <c r="AF17" s="24"/>
      <c r="AG17" s="27">
        <v>1</v>
      </c>
    </row>
    <row r="18" spans="1:41" s="28" customFormat="1" ht="26.25" customHeight="1" x14ac:dyDescent="0.25">
      <c r="A18" s="18">
        <v>45812</v>
      </c>
      <c r="B18" s="19"/>
      <c r="C18" s="20">
        <f t="shared" si="0"/>
        <v>0</v>
      </c>
      <c r="D18" s="19"/>
      <c r="E18" s="21">
        <f t="shared" si="1"/>
        <v>0</v>
      </c>
      <c r="F18" s="19">
        <v>3635</v>
      </c>
      <c r="G18" s="22">
        <f t="shared" si="4"/>
        <v>422.67441860465118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1158.8</v>
      </c>
      <c r="Q18" s="24"/>
      <c r="R18" s="24"/>
      <c r="S18" s="24"/>
      <c r="T18" s="24"/>
      <c r="U18" s="24"/>
      <c r="V18" s="12">
        <v>78</v>
      </c>
      <c r="W18" s="24">
        <v>1702</v>
      </c>
      <c r="X18" s="25"/>
      <c r="Y18" s="24">
        <v>224</v>
      </c>
      <c r="Z18" s="24">
        <v>2</v>
      </c>
      <c r="AA18" s="24">
        <v>326</v>
      </c>
      <c r="AB18" s="24">
        <v>438</v>
      </c>
      <c r="AC18" s="24"/>
      <c r="AD18" s="24"/>
      <c r="AE18" s="26">
        <f t="shared" si="2"/>
        <v>544.32000000000005</v>
      </c>
      <c r="AF18" s="24"/>
      <c r="AG18" s="27"/>
      <c r="AH18" s="29"/>
    </row>
    <row r="19" spans="1:41" s="28" customFormat="1" ht="26.25" customHeight="1" x14ac:dyDescent="0.25">
      <c r="A19" s="18">
        <v>45813</v>
      </c>
      <c r="B19" s="19"/>
      <c r="C19" s="20">
        <f>B19/200*25</f>
        <v>0</v>
      </c>
      <c r="D19" s="19"/>
      <c r="E19" s="21">
        <f>D19/208*25</f>
        <v>0</v>
      </c>
      <c r="F19" s="19">
        <v>3140</v>
      </c>
      <c r="G19" s="22">
        <f t="shared" si="4"/>
        <v>365.11627906976742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1109.8000000000002</v>
      </c>
      <c r="Q19" s="24"/>
      <c r="R19" s="24"/>
      <c r="S19" s="24"/>
      <c r="T19" s="24"/>
      <c r="U19" s="24"/>
      <c r="V19" s="24">
        <v>53</v>
      </c>
      <c r="W19" s="25">
        <v>1652</v>
      </c>
      <c r="X19" s="25"/>
      <c r="Y19" s="24">
        <v>166</v>
      </c>
      <c r="Z19" s="24"/>
      <c r="AA19" s="24">
        <v>334</v>
      </c>
      <c r="AB19" s="24">
        <v>350</v>
      </c>
      <c r="AC19" s="24"/>
      <c r="AD19" s="24"/>
      <c r="AE19" s="26">
        <f t="shared" si="2"/>
        <v>403.38000000000005</v>
      </c>
      <c r="AF19" s="24"/>
      <c r="AG19" s="27"/>
    </row>
    <row r="20" spans="1:41" s="28" customFormat="1" ht="26.25" customHeight="1" x14ac:dyDescent="0.25">
      <c r="A20" s="18">
        <v>45814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3613</v>
      </c>
      <c r="G20" s="22">
        <f t="shared" si="4"/>
        <v>420.11627906976747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1172.8</v>
      </c>
      <c r="Q20" s="24"/>
      <c r="R20" s="24"/>
      <c r="S20" s="25"/>
      <c r="T20" s="24"/>
      <c r="U20" s="24"/>
      <c r="V20" s="24">
        <v>81</v>
      </c>
      <c r="W20" s="25">
        <v>1757</v>
      </c>
      <c r="X20" s="25"/>
      <c r="Y20" s="24">
        <v>203</v>
      </c>
      <c r="Z20" s="24"/>
      <c r="AA20" s="24">
        <v>333</v>
      </c>
      <c r="AB20" s="24">
        <v>429</v>
      </c>
      <c r="AC20" s="24"/>
      <c r="AD20" s="24"/>
      <c r="AE20" s="26">
        <f t="shared" si="2"/>
        <v>493.29</v>
      </c>
      <c r="AF20" s="24"/>
      <c r="AG20" s="27"/>
    </row>
    <row r="21" spans="1:41" s="28" customFormat="1" ht="26.25" customHeight="1" x14ac:dyDescent="0.25">
      <c r="A21" s="18">
        <v>45815</v>
      </c>
      <c r="B21" s="19"/>
      <c r="C21" s="20">
        <f t="shared" si="6"/>
        <v>0</v>
      </c>
      <c r="D21" s="19"/>
      <c r="E21" s="21">
        <f t="shared" si="7"/>
        <v>0</v>
      </c>
      <c r="F21" s="19">
        <v>3582</v>
      </c>
      <c r="G21" s="22">
        <f t="shared" si="4"/>
        <v>416.51162790697674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1308.2</v>
      </c>
      <c r="Q21" s="24"/>
      <c r="R21" s="24"/>
      <c r="S21" s="25"/>
      <c r="T21" s="24"/>
      <c r="U21" s="24"/>
      <c r="V21" s="24">
        <v>64</v>
      </c>
      <c r="W21" s="25">
        <v>1964</v>
      </c>
      <c r="X21" s="25"/>
      <c r="Y21" s="24">
        <v>229</v>
      </c>
      <c r="Z21" s="24">
        <v>2</v>
      </c>
      <c r="AA21" s="24">
        <v>396</v>
      </c>
      <c r="AB21" s="24">
        <v>424</v>
      </c>
      <c r="AC21" s="24"/>
      <c r="AD21" s="24"/>
      <c r="AE21" s="26">
        <f t="shared" si="2"/>
        <v>556.47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20991</v>
      </c>
      <c r="G22" s="33">
        <f t="shared" si="8"/>
        <v>2440.8139534883721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7345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432</v>
      </c>
      <c r="W22" s="31">
        <f t="shared" si="8"/>
        <v>10691</v>
      </c>
      <c r="X22" s="31">
        <f t="shared" si="8"/>
        <v>0</v>
      </c>
      <c r="Y22" s="31">
        <f t="shared" si="8"/>
        <v>1238</v>
      </c>
      <c r="Z22" s="31">
        <f t="shared" si="8"/>
        <v>6</v>
      </c>
      <c r="AA22" s="31">
        <f t="shared" si="8"/>
        <v>2180</v>
      </c>
      <c r="AB22" s="31">
        <f t="shared" si="8"/>
        <v>2446</v>
      </c>
      <c r="AC22" s="31">
        <f t="shared" si="8"/>
        <v>0</v>
      </c>
      <c r="AD22" s="31">
        <f t="shared" si="8"/>
        <v>0</v>
      </c>
      <c r="AE22" s="33">
        <f t="shared" si="8"/>
        <v>3008.34</v>
      </c>
      <c r="AF22" s="33">
        <f t="shared" si="8"/>
        <v>0</v>
      </c>
      <c r="AG22" s="33">
        <f t="shared" si="8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2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45816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45817</v>
      </c>
      <c r="B16" s="19"/>
      <c r="C16" s="20">
        <f t="shared" si="0"/>
        <v>0</v>
      </c>
      <c r="D16" s="19"/>
      <c r="E16" s="21">
        <f>D16/208*25</f>
        <v>0</v>
      </c>
      <c r="F16" s="19">
        <v>1308</v>
      </c>
      <c r="G16" s="22">
        <f>F16/215*25</f>
        <v>152.09302325581396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1201.5999999999999</v>
      </c>
      <c r="Q16" s="24"/>
      <c r="R16" s="24"/>
      <c r="S16" s="25"/>
      <c r="T16" s="24"/>
      <c r="U16" s="24"/>
      <c r="V16" s="24">
        <v>83</v>
      </c>
      <c r="W16" s="25">
        <v>1662</v>
      </c>
      <c r="X16" s="25"/>
      <c r="Y16" s="24">
        <v>188</v>
      </c>
      <c r="Z16" s="24"/>
      <c r="AA16" s="24">
        <v>315</v>
      </c>
      <c r="AB16" s="24">
        <v>403</v>
      </c>
      <c r="AC16" s="24"/>
      <c r="AD16" s="24"/>
      <c r="AE16" s="26">
        <f t="shared" si="2"/>
        <v>456.84000000000003</v>
      </c>
      <c r="AF16" s="24"/>
      <c r="AG16" s="27"/>
      <c r="AH16" s="29"/>
    </row>
    <row r="17" spans="1:41" s="28" customFormat="1" ht="26.25" customHeight="1" x14ac:dyDescent="0.25">
      <c r="A17" s="18">
        <v>45818</v>
      </c>
      <c r="B17" s="19"/>
      <c r="C17" s="20">
        <f t="shared" si="0"/>
        <v>0</v>
      </c>
      <c r="D17" s="19"/>
      <c r="E17" s="21">
        <f t="shared" si="1"/>
        <v>0</v>
      </c>
      <c r="F17" s="19">
        <v>145</v>
      </c>
      <c r="G17" s="22">
        <f t="shared" ref="G17:G21" si="4">F17/215*25</f>
        <v>16.86046511627907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29.4</v>
      </c>
      <c r="Q17" s="24"/>
      <c r="R17" s="24"/>
      <c r="S17" s="24"/>
      <c r="T17" s="24"/>
      <c r="U17" s="24"/>
      <c r="V17" s="24">
        <v>55</v>
      </c>
      <c r="W17" s="25"/>
      <c r="X17" s="25"/>
      <c r="Y17" s="24">
        <v>4</v>
      </c>
      <c r="Z17" s="24"/>
      <c r="AA17" s="24">
        <v>16</v>
      </c>
      <c r="AB17" s="24"/>
      <c r="AC17" s="24"/>
      <c r="AD17" s="24"/>
      <c r="AE17" s="26">
        <f t="shared" si="2"/>
        <v>9.7200000000000006</v>
      </c>
      <c r="AF17" s="24"/>
      <c r="AG17" s="27"/>
    </row>
    <row r="18" spans="1:41" s="28" customFormat="1" ht="26.25" customHeight="1" x14ac:dyDescent="0.25">
      <c r="A18" s="18">
        <v>45819</v>
      </c>
      <c r="B18" s="19"/>
      <c r="C18" s="20">
        <f t="shared" si="0"/>
        <v>0</v>
      </c>
      <c r="D18" s="19"/>
      <c r="E18" s="21">
        <f t="shared" si="1"/>
        <v>0</v>
      </c>
      <c r="F18" s="19">
        <v>1301</v>
      </c>
      <c r="G18" s="22">
        <f t="shared" si="4"/>
        <v>151.27906976744185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989</v>
      </c>
      <c r="Q18" s="24"/>
      <c r="R18" s="24"/>
      <c r="S18" s="24"/>
      <c r="T18" s="24"/>
      <c r="U18" s="24"/>
      <c r="V18" s="12">
        <v>51</v>
      </c>
      <c r="W18" s="24">
        <v>1564</v>
      </c>
      <c r="X18" s="25"/>
      <c r="Y18" s="24">
        <v>158</v>
      </c>
      <c r="Z18" s="24">
        <v>2</v>
      </c>
      <c r="AA18" s="24">
        <v>310</v>
      </c>
      <c r="AB18" s="24">
        <v>321</v>
      </c>
      <c r="AC18" s="24"/>
      <c r="AD18" s="24"/>
      <c r="AE18" s="26">
        <f t="shared" si="2"/>
        <v>383.94</v>
      </c>
      <c r="AF18" s="24"/>
      <c r="AG18" s="27"/>
      <c r="AH18" s="29"/>
    </row>
    <row r="19" spans="1:41" s="28" customFormat="1" ht="26.25" customHeight="1" x14ac:dyDescent="0.25">
      <c r="A19" s="18">
        <v>45820</v>
      </c>
      <c r="B19" s="19"/>
      <c r="C19" s="20">
        <f>B19/200*25</f>
        <v>0</v>
      </c>
      <c r="D19" s="19"/>
      <c r="E19" s="21">
        <f>D19/208*25</f>
        <v>0</v>
      </c>
      <c r="F19" s="19">
        <v>1366</v>
      </c>
      <c r="G19" s="22">
        <f t="shared" si="4"/>
        <v>158.83720930232559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1200.5999999999999</v>
      </c>
      <c r="Q19" s="24"/>
      <c r="R19" s="24"/>
      <c r="S19" s="24"/>
      <c r="T19" s="24"/>
      <c r="U19" s="24"/>
      <c r="V19" s="24"/>
      <c r="W19" s="25">
        <v>1774</v>
      </c>
      <c r="X19" s="25"/>
      <c r="Y19" s="24">
        <v>176</v>
      </c>
      <c r="Z19" s="24">
        <v>2</v>
      </c>
      <c r="AA19" s="24">
        <v>368</v>
      </c>
      <c r="AB19" s="24">
        <v>370</v>
      </c>
      <c r="AC19" s="24"/>
      <c r="AD19" s="24"/>
      <c r="AE19" s="26">
        <f t="shared" si="2"/>
        <v>427.68</v>
      </c>
      <c r="AF19" s="24"/>
      <c r="AG19" s="27"/>
    </row>
    <row r="20" spans="1:41" s="28" customFormat="1" ht="26.25" customHeight="1" x14ac:dyDescent="0.25">
      <c r="A20" s="18">
        <v>45821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1357</v>
      </c>
      <c r="G20" s="22">
        <f t="shared" si="4"/>
        <v>157.7906976744186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1154</v>
      </c>
      <c r="Q20" s="24"/>
      <c r="R20" s="24"/>
      <c r="S20" s="25"/>
      <c r="T20" s="24"/>
      <c r="U20" s="24"/>
      <c r="V20" s="24">
        <v>54</v>
      </c>
      <c r="W20" s="25">
        <v>1671</v>
      </c>
      <c r="X20" s="25"/>
      <c r="Y20" s="24">
        <v>212</v>
      </c>
      <c r="Z20" s="24"/>
      <c r="AA20" s="24">
        <v>377</v>
      </c>
      <c r="AB20" s="24">
        <v>363</v>
      </c>
      <c r="AC20" s="24"/>
      <c r="AD20" s="24"/>
      <c r="AE20" s="26">
        <f t="shared" si="2"/>
        <v>515.16000000000008</v>
      </c>
      <c r="AF20" s="24"/>
      <c r="AG20" s="27"/>
    </row>
    <row r="21" spans="1:41" s="28" customFormat="1" ht="26.25" customHeight="1" x14ac:dyDescent="0.25">
      <c r="A21" s="18">
        <v>45822</v>
      </c>
      <c r="B21" s="19"/>
      <c r="C21" s="20">
        <f t="shared" si="6"/>
        <v>0</v>
      </c>
      <c r="D21" s="19"/>
      <c r="E21" s="21">
        <f t="shared" si="7"/>
        <v>0</v>
      </c>
      <c r="F21" s="19">
        <v>829</v>
      </c>
      <c r="G21" s="22">
        <f t="shared" si="4"/>
        <v>96.395348837209298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833.8</v>
      </c>
      <c r="Q21" s="24"/>
      <c r="R21" s="24"/>
      <c r="S21" s="25"/>
      <c r="T21" s="24"/>
      <c r="U21" s="24"/>
      <c r="V21" s="24">
        <v>1</v>
      </c>
      <c r="W21" s="25">
        <v>1350</v>
      </c>
      <c r="X21" s="25"/>
      <c r="Y21" s="24">
        <v>185</v>
      </c>
      <c r="Z21" s="24"/>
      <c r="AA21" s="24">
        <v>268</v>
      </c>
      <c r="AB21" s="24">
        <v>354</v>
      </c>
      <c r="AC21" s="24"/>
      <c r="AD21" s="24"/>
      <c r="AE21" s="26">
        <f t="shared" si="2"/>
        <v>449.55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6306</v>
      </c>
      <c r="G22" s="33">
        <f t="shared" si="8"/>
        <v>733.25581395348843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5408.4000000000005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244</v>
      </c>
      <c r="W22" s="31">
        <f t="shared" si="8"/>
        <v>8021</v>
      </c>
      <c r="X22" s="31">
        <f t="shared" si="8"/>
        <v>0</v>
      </c>
      <c r="Y22" s="31">
        <f t="shared" si="8"/>
        <v>923</v>
      </c>
      <c r="Z22" s="31">
        <f t="shared" si="8"/>
        <v>4</v>
      </c>
      <c r="AA22" s="31">
        <f t="shared" si="8"/>
        <v>1654</v>
      </c>
      <c r="AB22" s="31">
        <f t="shared" si="8"/>
        <v>1811</v>
      </c>
      <c r="AC22" s="31">
        <f t="shared" si="8"/>
        <v>0</v>
      </c>
      <c r="AD22" s="31">
        <f t="shared" si="8"/>
        <v>0</v>
      </c>
      <c r="AE22" s="33">
        <f t="shared" si="8"/>
        <v>2242.8900000000003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Y36" sqref="Y3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45823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/>
      <c r="G15" s="22">
        <f>F15/215*25</f>
        <v>0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:AE21" si="2">Y15*2.43</f>
        <v>0</v>
      </c>
      <c r="AF15" s="24"/>
      <c r="AG15" s="27"/>
      <c r="AH15" s="29"/>
    </row>
    <row r="16" spans="1:34" s="28" customFormat="1" ht="26.25" customHeight="1" x14ac:dyDescent="0.25">
      <c r="A16" s="18">
        <v>45824</v>
      </c>
      <c r="B16" s="19"/>
      <c r="C16" s="20">
        <f t="shared" si="0"/>
        <v>0</v>
      </c>
      <c r="D16" s="19"/>
      <c r="E16" s="21">
        <f>D16/208*25</f>
        <v>0</v>
      </c>
      <c r="F16" s="19">
        <v>1242</v>
      </c>
      <c r="G16" s="22">
        <f>F16/215*25</f>
        <v>144.41860465116278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1060.4000000000001</v>
      </c>
      <c r="Q16" s="24"/>
      <c r="R16" s="24"/>
      <c r="S16" s="25"/>
      <c r="T16" s="24"/>
      <c r="U16" s="24"/>
      <c r="V16" s="24">
        <v>23</v>
      </c>
      <c r="W16" s="25">
        <v>1655</v>
      </c>
      <c r="X16" s="25"/>
      <c r="Y16" s="24">
        <v>178</v>
      </c>
      <c r="Z16" s="24">
        <v>2</v>
      </c>
      <c r="AA16" s="24">
        <v>321</v>
      </c>
      <c r="AB16" s="24">
        <v>343</v>
      </c>
      <c r="AC16" s="24"/>
      <c r="AD16" s="24"/>
      <c r="AE16" s="26">
        <f t="shared" si="2"/>
        <v>432.54</v>
      </c>
      <c r="AF16" s="24"/>
      <c r="AG16" s="27"/>
      <c r="AH16" s="29"/>
    </row>
    <row r="17" spans="1:41" s="28" customFormat="1" ht="26.25" customHeight="1" x14ac:dyDescent="0.25">
      <c r="A17" s="18">
        <v>45825</v>
      </c>
      <c r="B17" s="19"/>
      <c r="C17" s="20">
        <f t="shared" si="0"/>
        <v>0</v>
      </c>
      <c r="D17" s="19"/>
      <c r="E17" s="21">
        <f t="shared" si="1"/>
        <v>0</v>
      </c>
      <c r="F17" s="19">
        <v>1341</v>
      </c>
      <c r="G17" s="22">
        <f t="shared" ref="G17:G21" si="4">F17/215*25</f>
        <v>155.93023255813955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1017.1</v>
      </c>
      <c r="Q17" s="24"/>
      <c r="R17" s="24"/>
      <c r="S17" s="24"/>
      <c r="T17" s="24"/>
      <c r="U17" s="24"/>
      <c r="V17" s="24">
        <v>79</v>
      </c>
      <c r="W17" s="25">
        <v>1499</v>
      </c>
      <c r="X17" s="25"/>
      <c r="Y17" s="24">
        <v>195</v>
      </c>
      <c r="Z17" s="24"/>
      <c r="AA17" s="24">
        <v>333</v>
      </c>
      <c r="AB17" s="24">
        <v>352</v>
      </c>
      <c r="AC17" s="24"/>
      <c r="AD17" s="24"/>
      <c r="AE17" s="26">
        <f t="shared" si="2"/>
        <v>473.85</v>
      </c>
      <c r="AF17" s="24"/>
      <c r="AG17" s="27"/>
    </row>
    <row r="18" spans="1:41" s="28" customFormat="1" ht="26.25" customHeight="1" x14ac:dyDescent="0.25">
      <c r="A18" s="18">
        <v>45826</v>
      </c>
      <c r="B18" s="19"/>
      <c r="C18" s="20">
        <f t="shared" si="0"/>
        <v>0</v>
      </c>
      <c r="D18" s="19"/>
      <c r="E18" s="21">
        <f t="shared" si="1"/>
        <v>0</v>
      </c>
      <c r="F18" s="19">
        <v>1317</v>
      </c>
      <c r="G18" s="22">
        <f t="shared" si="4"/>
        <v>153.13953488372093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1042.5999999999999</v>
      </c>
      <c r="Q18" s="24"/>
      <c r="R18" s="24"/>
      <c r="S18" s="24"/>
      <c r="T18" s="24"/>
      <c r="U18" s="24"/>
      <c r="V18" s="12">
        <v>85</v>
      </c>
      <c r="W18" s="24">
        <v>1572</v>
      </c>
      <c r="X18" s="25"/>
      <c r="Y18" s="24">
        <v>192</v>
      </c>
      <c r="Z18" s="24">
        <v>2</v>
      </c>
      <c r="AA18" s="24">
        <v>323</v>
      </c>
      <c r="AB18" s="24">
        <v>346</v>
      </c>
      <c r="AC18" s="24"/>
      <c r="AD18" s="24"/>
      <c r="AE18" s="26">
        <f t="shared" si="2"/>
        <v>466.56000000000006</v>
      </c>
      <c r="AF18" s="24"/>
      <c r="AG18" s="27"/>
      <c r="AH18" s="29"/>
    </row>
    <row r="19" spans="1:41" s="28" customFormat="1" ht="26.25" customHeight="1" x14ac:dyDescent="0.25">
      <c r="A19" s="18">
        <v>45827</v>
      </c>
      <c r="B19" s="19"/>
      <c r="C19" s="20">
        <f>B19/200*25</f>
        <v>0</v>
      </c>
      <c r="D19" s="19"/>
      <c r="E19" s="21">
        <f>D19/208*25</f>
        <v>0</v>
      </c>
      <c r="F19" s="19">
        <v>4130</v>
      </c>
      <c r="G19" s="22">
        <f t="shared" si="4"/>
        <v>480.23255813953483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1162</v>
      </c>
      <c r="Q19" s="24"/>
      <c r="R19" s="24"/>
      <c r="S19" s="24"/>
      <c r="T19" s="24"/>
      <c r="U19" s="24"/>
      <c r="V19" s="24">
        <v>74</v>
      </c>
      <c r="W19" s="25">
        <v>1858</v>
      </c>
      <c r="X19" s="25"/>
      <c r="Y19" s="24">
        <v>198</v>
      </c>
      <c r="Z19" s="24"/>
      <c r="AA19" s="24">
        <v>362</v>
      </c>
      <c r="AB19" s="24">
        <v>414</v>
      </c>
      <c r="AC19" s="24"/>
      <c r="AD19" s="24"/>
      <c r="AE19" s="26">
        <f t="shared" si="2"/>
        <v>481.14000000000004</v>
      </c>
      <c r="AF19" s="24"/>
      <c r="AG19" s="27"/>
    </row>
    <row r="20" spans="1:41" s="28" customFormat="1" ht="26.25" customHeight="1" x14ac:dyDescent="0.25">
      <c r="A20" s="18">
        <v>45828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4145</v>
      </c>
      <c r="G20" s="22">
        <f t="shared" si="4"/>
        <v>481.97674418604652</v>
      </c>
      <c r="H20" s="19"/>
      <c r="I20" s="23"/>
      <c r="J20" s="19"/>
      <c r="K20" s="19"/>
      <c r="L20" s="19"/>
      <c r="M20" s="19"/>
      <c r="N20" s="19"/>
      <c r="O20" s="23">
        <f t="shared" si="5"/>
        <v>0</v>
      </c>
      <c r="P20" s="23">
        <v>1036.8</v>
      </c>
      <c r="Q20" s="24"/>
      <c r="R20" s="24"/>
      <c r="S20" s="25"/>
      <c r="T20" s="24"/>
      <c r="U20" s="24"/>
      <c r="V20" s="24">
        <v>63</v>
      </c>
      <c r="W20" s="25">
        <v>1708</v>
      </c>
      <c r="X20" s="25"/>
      <c r="Y20" s="24">
        <v>180</v>
      </c>
      <c r="Z20" s="24">
        <v>2</v>
      </c>
      <c r="AA20" s="24">
        <v>349</v>
      </c>
      <c r="AB20" s="24">
        <v>407</v>
      </c>
      <c r="AC20" s="24"/>
      <c r="AD20" s="24"/>
      <c r="AE20" s="26">
        <f t="shared" si="2"/>
        <v>437.40000000000003</v>
      </c>
      <c r="AF20" s="24"/>
      <c r="AG20" s="27"/>
    </row>
    <row r="21" spans="1:41" s="28" customFormat="1" ht="26.25" customHeight="1" x14ac:dyDescent="0.25">
      <c r="A21" s="18">
        <v>45829</v>
      </c>
      <c r="B21" s="19"/>
      <c r="C21" s="20">
        <f t="shared" si="6"/>
        <v>0</v>
      </c>
      <c r="D21" s="19"/>
      <c r="E21" s="21">
        <f t="shared" si="7"/>
        <v>0</v>
      </c>
      <c r="F21" s="19">
        <v>2529</v>
      </c>
      <c r="G21" s="22">
        <f t="shared" si="4"/>
        <v>294.06976744186045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655.4</v>
      </c>
      <c r="Q21" s="24"/>
      <c r="R21" s="24"/>
      <c r="S21" s="25"/>
      <c r="T21" s="24"/>
      <c r="U21" s="24"/>
      <c r="V21" s="24">
        <v>40</v>
      </c>
      <c r="W21" s="25">
        <v>1066</v>
      </c>
      <c r="X21" s="25"/>
      <c r="Y21" s="24">
        <v>146</v>
      </c>
      <c r="Z21" s="24">
        <v>0</v>
      </c>
      <c r="AA21" s="24">
        <v>173</v>
      </c>
      <c r="AB21" s="24">
        <v>281</v>
      </c>
      <c r="AC21" s="24"/>
      <c r="AD21" s="24"/>
      <c r="AE21" s="26">
        <f t="shared" si="2"/>
        <v>354.78000000000003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14704</v>
      </c>
      <c r="G22" s="33">
        <f t="shared" si="8"/>
        <v>1709.7674418604649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5974.3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364</v>
      </c>
      <c r="W22" s="31">
        <f t="shared" si="8"/>
        <v>9358</v>
      </c>
      <c r="X22" s="31">
        <f t="shared" si="8"/>
        <v>0</v>
      </c>
      <c r="Y22" s="31">
        <f t="shared" si="8"/>
        <v>1089</v>
      </c>
      <c r="Z22" s="31">
        <f t="shared" si="8"/>
        <v>6</v>
      </c>
      <c r="AA22" s="31">
        <f t="shared" si="8"/>
        <v>1861</v>
      </c>
      <c r="AB22" s="31">
        <f t="shared" si="8"/>
        <v>2143</v>
      </c>
      <c r="AC22" s="31">
        <f t="shared" si="8"/>
        <v>0</v>
      </c>
      <c r="AD22" s="31">
        <f t="shared" si="8"/>
        <v>0</v>
      </c>
      <c r="AE22" s="33">
        <f t="shared" si="8"/>
        <v>2646.2700000000004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S21" sqref="S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45830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2745</v>
      </c>
      <c r="G15" s="22">
        <f>F15/215*25</f>
        <v>319.18604651162792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810.2</v>
      </c>
      <c r="Q15" s="24"/>
      <c r="R15" s="24"/>
      <c r="S15" s="24"/>
      <c r="T15" s="24"/>
      <c r="U15" s="24"/>
      <c r="V15" s="24">
        <v>3</v>
      </c>
      <c r="W15" s="25">
        <v>1274</v>
      </c>
      <c r="X15" s="25"/>
      <c r="Y15" s="24">
        <v>148</v>
      </c>
      <c r="Z15" s="24"/>
      <c r="AA15" s="24">
        <v>265</v>
      </c>
      <c r="AB15" s="24">
        <v>269</v>
      </c>
      <c r="AC15" s="24"/>
      <c r="AD15" s="24"/>
      <c r="AE15" s="26">
        <f t="shared" ref="AE15:AE21" si="2">Y15*2.43</f>
        <v>359.64000000000004</v>
      </c>
      <c r="AF15" s="24"/>
      <c r="AG15" s="27"/>
      <c r="AH15" s="29"/>
    </row>
    <row r="16" spans="1:34" s="28" customFormat="1" ht="26.25" customHeight="1" x14ac:dyDescent="0.25">
      <c r="A16" s="18">
        <v>45831</v>
      </c>
      <c r="B16" s="19"/>
      <c r="C16" s="20">
        <f t="shared" si="0"/>
        <v>0</v>
      </c>
      <c r="D16" s="19"/>
      <c r="E16" s="21">
        <f>D16/208*25</f>
        <v>0</v>
      </c>
      <c r="F16" s="19">
        <v>2643</v>
      </c>
      <c r="G16" s="22">
        <f t="shared" ref="G16:G21" si="3">F16/215*25</f>
        <v>307.32558139534882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850.8</v>
      </c>
      <c r="Q16" s="24"/>
      <c r="R16" s="24"/>
      <c r="S16" s="25"/>
      <c r="T16" s="24"/>
      <c r="U16" s="24"/>
      <c r="V16" s="24">
        <v>44</v>
      </c>
      <c r="W16" s="25">
        <v>1262</v>
      </c>
      <c r="X16" s="25"/>
      <c r="Y16" s="24">
        <v>171</v>
      </c>
      <c r="Z16" s="24"/>
      <c r="AA16" s="24">
        <v>246</v>
      </c>
      <c r="AB16" s="24">
        <v>281</v>
      </c>
      <c r="AC16" s="24"/>
      <c r="AD16" s="24"/>
      <c r="AE16" s="26">
        <f t="shared" si="2"/>
        <v>415.53000000000003</v>
      </c>
      <c r="AF16" s="24"/>
      <c r="AG16" s="27"/>
      <c r="AH16" s="29"/>
    </row>
    <row r="17" spans="1:41" s="28" customFormat="1" ht="26.25" customHeight="1" x14ac:dyDescent="0.25">
      <c r="A17" s="18">
        <v>45832</v>
      </c>
      <c r="B17" s="19"/>
      <c r="C17" s="20">
        <f t="shared" si="0"/>
        <v>0</v>
      </c>
      <c r="D17" s="19"/>
      <c r="E17" s="21">
        <f t="shared" si="1"/>
        <v>0</v>
      </c>
      <c r="F17" s="19">
        <v>4142</v>
      </c>
      <c r="G17" s="22">
        <f t="shared" si="3"/>
        <v>481.62790697674421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993.6</v>
      </c>
      <c r="Q17" s="24"/>
      <c r="R17" s="24"/>
      <c r="S17" s="24"/>
      <c r="T17" s="24"/>
      <c r="U17" s="24"/>
      <c r="V17" s="24">
        <v>57</v>
      </c>
      <c r="W17" s="25">
        <v>1659</v>
      </c>
      <c r="X17" s="25"/>
      <c r="Y17" s="24">
        <v>201</v>
      </c>
      <c r="Z17" s="24">
        <v>2</v>
      </c>
      <c r="AA17" s="24">
        <v>339</v>
      </c>
      <c r="AB17" s="24">
        <v>380</v>
      </c>
      <c r="AC17" s="24"/>
      <c r="AD17" s="24"/>
      <c r="AE17" s="26">
        <f t="shared" si="2"/>
        <v>488.43</v>
      </c>
      <c r="AF17" s="24"/>
      <c r="AG17" s="27"/>
    </row>
    <row r="18" spans="1:41" s="28" customFormat="1" ht="26.25" customHeight="1" x14ac:dyDescent="0.25">
      <c r="A18" s="18">
        <v>45833</v>
      </c>
      <c r="B18" s="19"/>
      <c r="C18" s="20">
        <f t="shared" si="0"/>
        <v>0</v>
      </c>
      <c r="D18" s="19"/>
      <c r="E18" s="21">
        <f t="shared" si="1"/>
        <v>0</v>
      </c>
      <c r="F18" s="19">
        <v>3533</v>
      </c>
      <c r="G18" s="22">
        <f t="shared" si="3"/>
        <v>410.81395348837208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989.2</v>
      </c>
      <c r="Q18" s="24"/>
      <c r="R18" s="24"/>
      <c r="S18" s="24"/>
      <c r="T18" s="24"/>
      <c r="U18" s="24"/>
      <c r="V18" s="12">
        <v>62</v>
      </c>
      <c r="W18" s="24">
        <v>1603</v>
      </c>
      <c r="X18" s="25"/>
      <c r="Y18" s="24">
        <v>196</v>
      </c>
      <c r="Z18" s="24"/>
      <c r="AA18" s="24">
        <v>301</v>
      </c>
      <c r="AB18" s="24">
        <v>348</v>
      </c>
      <c r="AC18" s="24"/>
      <c r="AD18" s="24"/>
      <c r="AE18" s="26">
        <f t="shared" si="2"/>
        <v>476.28000000000003</v>
      </c>
      <c r="AF18" s="24"/>
      <c r="AG18" s="27"/>
      <c r="AH18" s="29"/>
    </row>
    <row r="19" spans="1:41" s="28" customFormat="1" ht="26.25" customHeight="1" x14ac:dyDescent="0.25">
      <c r="A19" s="18">
        <v>45834</v>
      </c>
      <c r="B19" s="19"/>
      <c r="C19" s="20">
        <f>B19/200*25</f>
        <v>0</v>
      </c>
      <c r="D19" s="19"/>
      <c r="E19" s="21">
        <f>D19/208*25</f>
        <v>0</v>
      </c>
      <c r="F19" s="19">
        <v>3607</v>
      </c>
      <c r="G19" s="22">
        <f t="shared" si="3"/>
        <v>419.41860465116275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1208.1999999999998</v>
      </c>
      <c r="Q19" s="24"/>
      <c r="R19" s="24"/>
      <c r="S19" s="24"/>
      <c r="T19" s="24"/>
      <c r="U19" s="24"/>
      <c r="V19" s="24">
        <v>90</v>
      </c>
      <c r="W19" s="25">
        <v>1753</v>
      </c>
      <c r="X19" s="25"/>
      <c r="Y19" s="24">
        <v>196</v>
      </c>
      <c r="Z19" s="24"/>
      <c r="AA19" s="24">
        <v>354</v>
      </c>
      <c r="AB19" s="24">
        <v>366</v>
      </c>
      <c r="AC19" s="24"/>
      <c r="AD19" s="24"/>
      <c r="AE19" s="26">
        <f t="shared" si="2"/>
        <v>476.28000000000003</v>
      </c>
      <c r="AF19" s="24"/>
      <c r="AG19" s="27"/>
    </row>
    <row r="20" spans="1:41" s="28" customFormat="1" ht="26.25" customHeight="1" x14ac:dyDescent="0.25">
      <c r="A20" s="18">
        <v>45835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3772</v>
      </c>
      <c r="G20" s="22">
        <f t="shared" si="3"/>
        <v>438.60465116279067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968.60000000000014</v>
      </c>
      <c r="Q20" s="24"/>
      <c r="R20" s="24"/>
      <c r="S20" s="25"/>
      <c r="T20" s="24"/>
      <c r="U20" s="24"/>
      <c r="V20" s="24">
        <v>53</v>
      </c>
      <c r="W20" s="25">
        <v>1608</v>
      </c>
      <c r="X20" s="25"/>
      <c r="Y20" s="24">
        <v>168</v>
      </c>
      <c r="Z20" s="24">
        <v>2</v>
      </c>
      <c r="AA20" s="24">
        <v>260</v>
      </c>
      <c r="AB20" s="24">
        <v>373</v>
      </c>
      <c r="AC20" s="24"/>
      <c r="AD20" s="24"/>
      <c r="AE20" s="26">
        <f t="shared" si="2"/>
        <v>408.24</v>
      </c>
      <c r="AF20" s="24"/>
      <c r="AG20" s="27"/>
    </row>
    <row r="21" spans="1:41" s="28" customFormat="1" ht="26.25" customHeight="1" x14ac:dyDescent="0.25">
      <c r="A21" s="18">
        <v>45836</v>
      </c>
      <c r="B21" s="19"/>
      <c r="C21" s="20">
        <f t="shared" si="6"/>
        <v>0</v>
      </c>
      <c r="D21" s="19"/>
      <c r="E21" s="21">
        <f t="shared" si="7"/>
        <v>0</v>
      </c>
      <c r="F21" s="19">
        <v>3896</v>
      </c>
      <c r="G21" s="22">
        <f t="shared" si="3"/>
        <v>453.02325581395354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877.8</v>
      </c>
      <c r="Q21" s="24"/>
      <c r="R21" s="24"/>
      <c r="S21" s="25"/>
      <c r="T21" s="24"/>
      <c r="U21" s="24"/>
      <c r="V21" s="24">
        <v>77</v>
      </c>
      <c r="W21" s="25">
        <v>1465</v>
      </c>
      <c r="X21" s="25"/>
      <c r="Y21" s="24">
        <v>174</v>
      </c>
      <c r="Z21" s="24"/>
      <c r="AA21" s="24">
        <v>298</v>
      </c>
      <c r="AB21" s="24">
        <v>328</v>
      </c>
      <c r="AC21" s="24"/>
      <c r="AD21" s="24"/>
      <c r="AE21" s="26">
        <f t="shared" si="2"/>
        <v>422.82000000000005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24338</v>
      </c>
      <c r="G22" s="33">
        <f t="shared" si="8"/>
        <v>2830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6698.4000000000005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386</v>
      </c>
      <c r="W22" s="31">
        <f t="shared" si="8"/>
        <v>10624</v>
      </c>
      <c r="X22" s="31">
        <f t="shared" si="8"/>
        <v>0</v>
      </c>
      <c r="Y22" s="31">
        <f t="shared" si="8"/>
        <v>1254</v>
      </c>
      <c r="Z22" s="31">
        <f t="shared" si="8"/>
        <v>4</v>
      </c>
      <c r="AA22" s="31">
        <f t="shared" si="8"/>
        <v>2063</v>
      </c>
      <c r="AB22" s="31">
        <f t="shared" si="8"/>
        <v>2345</v>
      </c>
      <c r="AC22" s="31">
        <f t="shared" si="8"/>
        <v>0</v>
      </c>
      <c r="AD22" s="31">
        <f t="shared" si="8"/>
        <v>0</v>
      </c>
      <c r="AE22" s="33">
        <f t="shared" si="8"/>
        <v>3047.2200000000007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7" sqref="A17:AG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45837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2331</v>
      </c>
      <c r="G15" s="22">
        <f>F15/215*25</f>
        <v>271.04651162790697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667.00000000000011</v>
      </c>
      <c r="Q15" s="24"/>
      <c r="R15" s="24"/>
      <c r="S15" s="24"/>
      <c r="T15" s="24"/>
      <c r="U15" s="24"/>
      <c r="V15" s="24">
        <v>20</v>
      </c>
      <c r="W15" s="25">
        <v>1054</v>
      </c>
      <c r="X15" s="25"/>
      <c r="Y15" s="24">
        <v>134</v>
      </c>
      <c r="Z15" s="24"/>
      <c r="AA15" s="24">
        <v>247</v>
      </c>
      <c r="AB15" s="24">
        <v>227</v>
      </c>
      <c r="AC15" s="24"/>
      <c r="AD15" s="24"/>
      <c r="AE15" s="26">
        <f t="shared" ref="AE15:AE21" si="2">Y15*2.43</f>
        <v>325.62</v>
      </c>
      <c r="AF15" s="24"/>
      <c r="AG15" s="27"/>
      <c r="AH15" s="29"/>
    </row>
    <row r="16" spans="1:34" s="28" customFormat="1" ht="26.25" customHeight="1" x14ac:dyDescent="0.25">
      <c r="A16" s="18">
        <v>45838</v>
      </c>
      <c r="B16" s="19"/>
      <c r="C16" s="20">
        <f t="shared" si="0"/>
        <v>0</v>
      </c>
      <c r="D16" s="19"/>
      <c r="E16" s="21">
        <f>D16/208*25</f>
        <v>0</v>
      </c>
      <c r="F16" s="19">
        <v>2993</v>
      </c>
      <c r="G16" s="22">
        <f t="shared" ref="G16:G21" si="3">F16/215*25</f>
        <v>348.02325581395348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766.6</v>
      </c>
      <c r="Q16" s="24"/>
      <c r="R16" s="24"/>
      <c r="S16" s="25"/>
      <c r="T16" s="24"/>
      <c r="U16" s="24"/>
      <c r="V16" s="24">
        <v>30</v>
      </c>
      <c r="W16" s="25">
        <v>1254</v>
      </c>
      <c r="X16" s="25"/>
      <c r="Y16" s="24">
        <v>153</v>
      </c>
      <c r="Z16" s="24"/>
      <c r="AA16" s="24">
        <v>287</v>
      </c>
      <c r="AB16" s="24">
        <v>255</v>
      </c>
      <c r="AC16" s="24"/>
      <c r="AD16" s="24"/>
      <c r="AE16" s="26">
        <f t="shared" si="2"/>
        <v>371.79</v>
      </c>
      <c r="AF16" s="24"/>
      <c r="AG16" s="27"/>
      <c r="AH16" s="29"/>
    </row>
    <row r="17" spans="1:41" s="28" customFormat="1" ht="26.25" customHeight="1" x14ac:dyDescent="0.25">
      <c r="A17" s="18">
        <v>45839</v>
      </c>
      <c r="B17" s="19"/>
      <c r="C17" s="20">
        <f t="shared" si="0"/>
        <v>0</v>
      </c>
      <c r="D17" s="19"/>
      <c r="E17" s="21">
        <f t="shared" si="1"/>
        <v>0</v>
      </c>
      <c r="F17" s="19">
        <v>3229</v>
      </c>
      <c r="G17" s="22">
        <f t="shared" si="3"/>
        <v>375.46511627906978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1039.5999999999999</v>
      </c>
      <c r="Q17" s="24"/>
      <c r="R17" s="24"/>
      <c r="S17" s="24"/>
      <c r="T17" s="24"/>
      <c r="U17" s="24"/>
      <c r="V17" s="24">
        <v>54</v>
      </c>
      <c r="W17" s="25">
        <v>1594</v>
      </c>
      <c r="X17" s="25"/>
      <c r="Y17" s="24">
        <v>183</v>
      </c>
      <c r="Z17" s="24"/>
      <c r="AA17" s="24">
        <v>274</v>
      </c>
      <c r="AB17" s="24">
        <v>373</v>
      </c>
      <c r="AC17" s="24"/>
      <c r="AD17" s="24"/>
      <c r="AE17" s="26">
        <f t="shared" si="2"/>
        <v>444.69000000000005</v>
      </c>
      <c r="AF17" s="24"/>
      <c r="AG17" s="27"/>
    </row>
    <row r="18" spans="1:41" s="28" customFormat="1" ht="26.25" customHeight="1" x14ac:dyDescent="0.25">
      <c r="A18" s="18">
        <v>45840</v>
      </c>
      <c r="B18" s="19"/>
      <c r="C18" s="20">
        <f t="shared" si="0"/>
        <v>0</v>
      </c>
      <c r="D18" s="19"/>
      <c r="E18" s="21">
        <f t="shared" si="1"/>
        <v>0</v>
      </c>
      <c r="F18" s="19">
        <v>3324</v>
      </c>
      <c r="G18" s="22">
        <f t="shared" si="3"/>
        <v>386.51162790697674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857</v>
      </c>
      <c r="Q18" s="24"/>
      <c r="R18" s="24"/>
      <c r="S18" s="24"/>
      <c r="T18" s="24"/>
      <c r="U18" s="24"/>
      <c r="V18" s="12">
        <v>35</v>
      </c>
      <c r="W18" s="24">
        <v>1485</v>
      </c>
      <c r="X18" s="25"/>
      <c r="Y18" s="24">
        <v>150</v>
      </c>
      <c r="Z18" s="24">
        <v>2</v>
      </c>
      <c r="AA18" s="24">
        <v>259</v>
      </c>
      <c r="AB18" s="24">
        <v>308</v>
      </c>
      <c r="AC18" s="24"/>
      <c r="AD18" s="24"/>
      <c r="AE18" s="26">
        <f t="shared" si="2"/>
        <v>364.5</v>
      </c>
      <c r="AF18" s="24"/>
      <c r="AG18" s="27"/>
      <c r="AH18" s="29"/>
    </row>
    <row r="19" spans="1:41" s="28" customFormat="1" ht="26.25" customHeight="1" x14ac:dyDescent="0.25">
      <c r="A19" s="18">
        <v>45841</v>
      </c>
      <c r="B19" s="19"/>
      <c r="C19" s="20">
        <f>B19/200*25</f>
        <v>0</v>
      </c>
      <c r="D19" s="19"/>
      <c r="E19" s="21">
        <f>D19/208*25</f>
        <v>0</v>
      </c>
      <c r="F19" s="19">
        <v>3001</v>
      </c>
      <c r="G19" s="22">
        <f t="shared" si="3"/>
        <v>348.95348837209303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864.4</v>
      </c>
      <c r="Q19" s="24"/>
      <c r="R19" s="24"/>
      <c r="S19" s="24"/>
      <c r="T19" s="24"/>
      <c r="U19" s="24"/>
      <c r="V19" s="24">
        <v>105</v>
      </c>
      <c r="W19" s="25">
        <v>1313</v>
      </c>
      <c r="X19" s="25"/>
      <c r="Y19" s="24">
        <v>136</v>
      </c>
      <c r="Z19" s="24"/>
      <c r="AA19" s="24">
        <v>290</v>
      </c>
      <c r="AB19" s="24">
        <v>294</v>
      </c>
      <c r="AC19" s="24"/>
      <c r="AD19" s="24"/>
      <c r="AE19" s="26">
        <f t="shared" si="2"/>
        <v>330.48</v>
      </c>
      <c r="AF19" s="24"/>
      <c r="AG19" s="27"/>
    </row>
    <row r="20" spans="1:41" s="28" customFormat="1" ht="26.25" customHeight="1" x14ac:dyDescent="0.25">
      <c r="A20" s="18">
        <v>45842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3428</v>
      </c>
      <c r="G20" s="22">
        <f t="shared" si="3"/>
        <v>398.60465116279073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938.19999999999993</v>
      </c>
      <c r="Q20" s="24"/>
      <c r="R20" s="24"/>
      <c r="S20" s="25"/>
      <c r="T20" s="24"/>
      <c r="U20" s="24"/>
      <c r="V20" s="24">
        <v>148</v>
      </c>
      <c r="W20" s="25">
        <v>1406</v>
      </c>
      <c r="X20" s="25"/>
      <c r="Y20" s="24">
        <v>188</v>
      </c>
      <c r="Z20" s="24"/>
      <c r="AA20" s="24">
        <v>317</v>
      </c>
      <c r="AB20" s="24">
        <v>299</v>
      </c>
      <c r="AC20" s="24"/>
      <c r="AD20" s="24"/>
      <c r="AE20" s="26">
        <f t="shared" si="2"/>
        <v>456.84000000000003</v>
      </c>
      <c r="AF20" s="24"/>
      <c r="AG20" s="27"/>
    </row>
    <row r="21" spans="1:41" s="28" customFormat="1" ht="26.25" customHeight="1" x14ac:dyDescent="0.25">
      <c r="A21" s="18">
        <v>45843</v>
      </c>
      <c r="B21" s="19"/>
      <c r="C21" s="20">
        <f t="shared" si="6"/>
        <v>0</v>
      </c>
      <c r="D21" s="19"/>
      <c r="E21" s="21">
        <f t="shared" si="7"/>
        <v>0</v>
      </c>
      <c r="F21" s="19">
        <v>3417</v>
      </c>
      <c r="G21" s="22">
        <f t="shared" si="3"/>
        <v>397.32558139534888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896</v>
      </c>
      <c r="Q21" s="24"/>
      <c r="R21" s="24"/>
      <c r="S21" s="25"/>
      <c r="T21" s="24"/>
      <c r="U21" s="24"/>
      <c r="V21" s="24">
        <v>54</v>
      </c>
      <c r="W21" s="25">
        <v>1518</v>
      </c>
      <c r="X21" s="25"/>
      <c r="Y21" s="24">
        <v>152</v>
      </c>
      <c r="Z21" s="24"/>
      <c r="AA21" s="24">
        <v>257</v>
      </c>
      <c r="AB21" s="24">
        <v>318</v>
      </c>
      <c r="AC21" s="24"/>
      <c r="AD21" s="24"/>
      <c r="AE21" s="26">
        <f t="shared" si="2"/>
        <v>369.36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21723</v>
      </c>
      <c r="G22" s="33">
        <f t="shared" si="8"/>
        <v>2525.9302325581393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6028.7999999999993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446</v>
      </c>
      <c r="W22" s="31">
        <f t="shared" si="8"/>
        <v>9624</v>
      </c>
      <c r="X22" s="31">
        <f t="shared" si="8"/>
        <v>0</v>
      </c>
      <c r="Y22" s="31">
        <f t="shared" si="8"/>
        <v>1096</v>
      </c>
      <c r="Z22" s="31">
        <f t="shared" si="8"/>
        <v>2</v>
      </c>
      <c r="AA22" s="31">
        <f t="shared" si="8"/>
        <v>1931</v>
      </c>
      <c r="AB22" s="31">
        <f t="shared" si="8"/>
        <v>2074</v>
      </c>
      <c r="AC22" s="31">
        <f t="shared" si="8"/>
        <v>0</v>
      </c>
      <c r="AD22" s="31">
        <f t="shared" si="8"/>
        <v>0</v>
      </c>
      <c r="AE22" s="33">
        <f t="shared" si="8"/>
        <v>2663.28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45844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2977</v>
      </c>
      <c r="G15" s="22">
        <f>F15/215*25</f>
        <v>346.16279069767444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839.80000000000007</v>
      </c>
      <c r="Q15" s="24"/>
      <c r="R15" s="24"/>
      <c r="S15" s="24"/>
      <c r="T15" s="24"/>
      <c r="U15" s="24"/>
      <c r="V15" s="24">
        <v>44</v>
      </c>
      <c r="W15" s="25">
        <v>1344</v>
      </c>
      <c r="X15" s="25"/>
      <c r="Y15" s="24">
        <v>141</v>
      </c>
      <c r="Z15" s="24"/>
      <c r="AA15" s="24">
        <v>227</v>
      </c>
      <c r="AB15" s="24">
        <v>312</v>
      </c>
      <c r="AC15" s="24"/>
      <c r="AD15" s="24"/>
      <c r="AE15" s="26">
        <f t="shared" ref="AE15:AE21" si="2">Y15*2.43</f>
        <v>342.63</v>
      </c>
      <c r="AF15" s="24"/>
      <c r="AG15" s="27"/>
      <c r="AH15" s="29"/>
    </row>
    <row r="16" spans="1:34" s="28" customFormat="1" ht="26.25" customHeight="1" x14ac:dyDescent="0.25">
      <c r="A16" s="18">
        <v>45845</v>
      </c>
      <c r="B16" s="19"/>
      <c r="C16" s="20">
        <f t="shared" si="0"/>
        <v>0</v>
      </c>
      <c r="D16" s="19"/>
      <c r="E16" s="21">
        <f>D16/208*25</f>
        <v>0</v>
      </c>
      <c r="F16" s="19">
        <v>3593</v>
      </c>
      <c r="G16" s="22">
        <f t="shared" ref="G16:G21" si="3">F16/215*25</f>
        <v>417.7906976744186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986.6</v>
      </c>
      <c r="Q16" s="24"/>
      <c r="R16" s="24"/>
      <c r="S16" s="25"/>
      <c r="T16" s="24"/>
      <c r="U16" s="24"/>
      <c r="V16" s="24">
        <v>74</v>
      </c>
      <c r="W16" s="25">
        <v>1573</v>
      </c>
      <c r="X16" s="25"/>
      <c r="Y16" s="24">
        <v>182</v>
      </c>
      <c r="Z16" s="24"/>
      <c r="AA16" s="24">
        <v>353</v>
      </c>
      <c r="AB16" s="24">
        <v>325</v>
      </c>
      <c r="AC16" s="24"/>
      <c r="AD16" s="24"/>
      <c r="AE16" s="26">
        <f t="shared" si="2"/>
        <v>442.26000000000005</v>
      </c>
      <c r="AF16" s="24"/>
      <c r="AG16" s="27"/>
      <c r="AH16" s="29"/>
    </row>
    <row r="17" spans="1:41" s="28" customFormat="1" ht="26.25" customHeight="1" x14ac:dyDescent="0.25">
      <c r="A17" s="18">
        <v>45846</v>
      </c>
      <c r="B17" s="19"/>
      <c r="C17" s="20">
        <f t="shared" si="0"/>
        <v>0</v>
      </c>
      <c r="D17" s="19"/>
      <c r="E17" s="21">
        <f t="shared" si="1"/>
        <v>0</v>
      </c>
      <c r="F17" s="19">
        <v>4113</v>
      </c>
      <c r="G17" s="22">
        <f t="shared" si="3"/>
        <v>478.25581395348837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965.59999999999991</v>
      </c>
      <c r="Q17" s="24"/>
      <c r="R17" s="24"/>
      <c r="S17" s="24"/>
      <c r="T17" s="24"/>
      <c r="U17" s="24"/>
      <c r="V17" s="24">
        <v>61</v>
      </c>
      <c r="W17" s="25">
        <v>1623</v>
      </c>
      <c r="X17" s="25"/>
      <c r="Y17" s="24">
        <v>173</v>
      </c>
      <c r="Z17" s="24"/>
      <c r="AA17" s="24">
        <v>350</v>
      </c>
      <c r="AB17" s="24">
        <v>347</v>
      </c>
      <c r="AC17" s="24"/>
      <c r="AD17" s="24"/>
      <c r="AE17" s="26">
        <f t="shared" si="2"/>
        <v>420.39000000000004</v>
      </c>
      <c r="AF17" s="24"/>
      <c r="AG17" s="27"/>
    </row>
    <row r="18" spans="1:41" s="28" customFormat="1" ht="26.25" customHeight="1" x14ac:dyDescent="0.25">
      <c r="A18" s="18">
        <v>45847</v>
      </c>
      <c r="B18" s="19"/>
      <c r="C18" s="20">
        <f t="shared" si="0"/>
        <v>0</v>
      </c>
      <c r="D18" s="19"/>
      <c r="E18" s="21">
        <f t="shared" si="1"/>
        <v>0</v>
      </c>
      <c r="F18" s="19">
        <v>3723</v>
      </c>
      <c r="G18" s="22">
        <f t="shared" si="3"/>
        <v>432.90697674418607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1020</v>
      </c>
      <c r="Q18" s="24"/>
      <c r="R18" s="24"/>
      <c r="S18" s="24"/>
      <c r="T18" s="24"/>
      <c r="U18" s="24"/>
      <c r="V18" s="12">
        <v>86</v>
      </c>
      <c r="W18" s="24">
        <v>1620</v>
      </c>
      <c r="X18" s="25"/>
      <c r="Y18" s="24">
        <v>170</v>
      </c>
      <c r="Z18" s="24"/>
      <c r="AA18" s="24">
        <v>326</v>
      </c>
      <c r="AB18" s="24">
        <v>355</v>
      </c>
      <c r="AC18" s="24"/>
      <c r="AD18" s="24"/>
      <c r="AE18" s="26">
        <f t="shared" si="2"/>
        <v>413.1</v>
      </c>
      <c r="AF18" s="24"/>
      <c r="AG18" s="27"/>
      <c r="AH18" s="29"/>
    </row>
    <row r="19" spans="1:41" s="28" customFormat="1" ht="26.25" customHeight="1" x14ac:dyDescent="0.25">
      <c r="A19" s="18">
        <v>45848</v>
      </c>
      <c r="B19" s="19"/>
      <c r="C19" s="20">
        <f>B19/200*25</f>
        <v>0</v>
      </c>
      <c r="D19" s="19"/>
      <c r="E19" s="21">
        <f>D19/208*25</f>
        <v>0</v>
      </c>
      <c r="F19" s="19">
        <v>3481</v>
      </c>
      <c r="G19" s="22">
        <f t="shared" si="3"/>
        <v>404.76744186046511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986.8</v>
      </c>
      <c r="Q19" s="24"/>
      <c r="R19" s="24"/>
      <c r="S19" s="24"/>
      <c r="T19" s="24"/>
      <c r="U19" s="24"/>
      <c r="V19" s="24">
        <v>7</v>
      </c>
      <c r="W19" s="25">
        <v>1650</v>
      </c>
      <c r="X19" s="25"/>
      <c r="Y19" s="24">
        <v>167</v>
      </c>
      <c r="Z19" s="24"/>
      <c r="AA19" s="24">
        <v>252</v>
      </c>
      <c r="AB19" s="24">
        <v>369</v>
      </c>
      <c r="AC19" s="24"/>
      <c r="AD19" s="24"/>
      <c r="AE19" s="26">
        <f t="shared" si="2"/>
        <v>405.81</v>
      </c>
      <c r="AF19" s="24"/>
      <c r="AG19" s="27"/>
    </row>
    <row r="20" spans="1:41" s="28" customFormat="1" ht="26.25" customHeight="1" x14ac:dyDescent="0.25">
      <c r="A20" s="18">
        <v>45849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3812</v>
      </c>
      <c r="G20" s="22">
        <f t="shared" si="3"/>
        <v>443.25581395348831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1063</v>
      </c>
      <c r="Q20" s="24"/>
      <c r="R20" s="24"/>
      <c r="S20" s="25"/>
      <c r="T20" s="24"/>
      <c r="U20" s="24"/>
      <c r="V20" s="24">
        <v>12</v>
      </c>
      <c r="W20" s="25">
        <v>1792</v>
      </c>
      <c r="X20" s="25"/>
      <c r="Y20" s="24">
        <v>167</v>
      </c>
      <c r="Z20" s="24"/>
      <c r="AA20" s="24">
        <v>268</v>
      </c>
      <c r="AB20" s="24">
        <v>405</v>
      </c>
      <c r="AC20" s="24"/>
      <c r="AD20" s="24"/>
      <c r="AE20" s="26">
        <f t="shared" si="2"/>
        <v>405.81</v>
      </c>
      <c r="AF20" s="24"/>
      <c r="AG20" s="27"/>
    </row>
    <row r="21" spans="1:41" s="28" customFormat="1" ht="26.25" customHeight="1" x14ac:dyDescent="0.25">
      <c r="A21" s="18">
        <v>45850</v>
      </c>
      <c r="B21" s="19"/>
      <c r="C21" s="20">
        <f t="shared" si="6"/>
        <v>0</v>
      </c>
      <c r="D21" s="19"/>
      <c r="E21" s="21">
        <f t="shared" si="7"/>
        <v>0</v>
      </c>
      <c r="F21" s="19">
        <v>3604</v>
      </c>
      <c r="G21" s="22">
        <f t="shared" si="3"/>
        <v>419.06976744186045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1099</v>
      </c>
      <c r="Q21" s="24"/>
      <c r="R21" s="24"/>
      <c r="S21" s="25"/>
      <c r="T21" s="24"/>
      <c r="U21" s="24"/>
      <c r="V21" s="24"/>
      <c r="W21" s="25">
        <v>1760</v>
      </c>
      <c r="X21" s="25"/>
      <c r="Y21" s="24">
        <v>169</v>
      </c>
      <c r="Z21" s="24"/>
      <c r="AA21" s="24">
        <v>278</v>
      </c>
      <c r="AB21" s="24">
        <v>391</v>
      </c>
      <c r="AC21" s="24"/>
      <c r="AD21" s="24"/>
      <c r="AE21" s="26">
        <f t="shared" si="2"/>
        <v>410.67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25303</v>
      </c>
      <c r="G22" s="33">
        <f t="shared" si="8"/>
        <v>2942.2093023255811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6960.8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284</v>
      </c>
      <c r="W22" s="31">
        <f t="shared" si="8"/>
        <v>11362</v>
      </c>
      <c r="X22" s="31">
        <f t="shared" si="8"/>
        <v>0</v>
      </c>
      <c r="Y22" s="31">
        <f t="shared" si="8"/>
        <v>1169</v>
      </c>
      <c r="Z22" s="31">
        <f t="shared" si="8"/>
        <v>0</v>
      </c>
      <c r="AA22" s="31">
        <f t="shared" si="8"/>
        <v>2054</v>
      </c>
      <c r="AB22" s="31">
        <f t="shared" si="8"/>
        <v>2504</v>
      </c>
      <c r="AC22" s="31">
        <f t="shared" si="8"/>
        <v>0</v>
      </c>
      <c r="AD22" s="31">
        <f t="shared" si="8"/>
        <v>0</v>
      </c>
      <c r="AE22" s="33">
        <f t="shared" si="8"/>
        <v>2840.67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45851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3218</v>
      </c>
      <c r="G15" s="22">
        <f>F15/215*25</f>
        <v>374.18604651162792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787</v>
      </c>
      <c r="Q15" s="24"/>
      <c r="R15" s="24"/>
      <c r="S15" s="24"/>
      <c r="T15" s="24"/>
      <c r="U15" s="24"/>
      <c r="V15" s="24"/>
      <c r="W15" s="25">
        <v>1373</v>
      </c>
      <c r="X15" s="25"/>
      <c r="Y15" s="24">
        <v>138</v>
      </c>
      <c r="Z15" s="24"/>
      <c r="AA15" s="24">
        <v>217</v>
      </c>
      <c r="AB15" s="24">
        <v>291</v>
      </c>
      <c r="AC15" s="24"/>
      <c r="AD15" s="24"/>
      <c r="AE15" s="26">
        <f t="shared" ref="AE15:AE21" si="2">Y15*2.43</f>
        <v>335.34000000000003</v>
      </c>
      <c r="AF15" s="24"/>
      <c r="AG15" s="27"/>
      <c r="AH15" s="29"/>
    </row>
    <row r="16" spans="1:34" s="28" customFormat="1" ht="26.25" customHeight="1" x14ac:dyDescent="0.25">
      <c r="A16" s="18">
        <v>45852</v>
      </c>
      <c r="B16" s="19"/>
      <c r="C16" s="20">
        <f t="shared" si="0"/>
        <v>0</v>
      </c>
      <c r="D16" s="19"/>
      <c r="E16" s="21">
        <f>D16/208*25</f>
        <v>0</v>
      </c>
      <c r="F16" s="19">
        <v>3173</v>
      </c>
      <c r="G16" s="22">
        <f t="shared" ref="G16:G21" si="3">F16/215*25</f>
        <v>368.95348837209303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1016.2</v>
      </c>
      <c r="Q16" s="24"/>
      <c r="R16" s="24"/>
      <c r="S16" s="25"/>
      <c r="T16" s="24"/>
      <c r="U16" s="24"/>
      <c r="V16" s="24">
        <v>12</v>
      </c>
      <c r="W16" s="25">
        <v>1570</v>
      </c>
      <c r="X16" s="25"/>
      <c r="Y16" s="24">
        <v>161</v>
      </c>
      <c r="Z16" s="24"/>
      <c r="AA16" s="24">
        <v>290</v>
      </c>
      <c r="AB16" s="24">
        <v>360</v>
      </c>
      <c r="AC16" s="24"/>
      <c r="AD16" s="24"/>
      <c r="AE16" s="26">
        <f t="shared" si="2"/>
        <v>391.23</v>
      </c>
      <c r="AF16" s="24"/>
      <c r="AG16" s="27"/>
      <c r="AH16" s="29"/>
    </row>
    <row r="17" spans="1:41" s="28" customFormat="1" ht="26.25" customHeight="1" x14ac:dyDescent="0.25">
      <c r="A17" s="18">
        <v>45853</v>
      </c>
      <c r="B17" s="19"/>
      <c r="C17" s="20">
        <f t="shared" si="0"/>
        <v>0</v>
      </c>
      <c r="D17" s="19"/>
      <c r="E17" s="21">
        <f t="shared" si="1"/>
        <v>0</v>
      </c>
      <c r="F17" s="19">
        <v>2722</v>
      </c>
      <c r="G17" s="22">
        <f t="shared" si="3"/>
        <v>316.51162790697674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736.8</v>
      </c>
      <c r="Q17" s="24"/>
      <c r="R17" s="24"/>
      <c r="S17" s="24"/>
      <c r="T17" s="24"/>
      <c r="U17" s="24"/>
      <c r="V17" s="24">
        <v>30</v>
      </c>
      <c r="W17" s="25">
        <v>1175</v>
      </c>
      <c r="X17" s="25"/>
      <c r="Y17" s="24">
        <v>152</v>
      </c>
      <c r="Z17" s="24"/>
      <c r="AA17" s="24">
        <v>268</v>
      </c>
      <c r="AB17" s="24">
        <v>242</v>
      </c>
      <c r="AC17" s="24"/>
      <c r="AD17" s="24"/>
      <c r="AE17" s="26">
        <f t="shared" si="2"/>
        <v>369.36</v>
      </c>
      <c r="AF17" s="24"/>
      <c r="AG17" s="27"/>
    </row>
    <row r="18" spans="1:41" s="28" customFormat="1" ht="26.25" customHeight="1" x14ac:dyDescent="0.25">
      <c r="A18" s="18">
        <v>45854</v>
      </c>
      <c r="B18" s="19"/>
      <c r="C18" s="20">
        <f t="shared" si="0"/>
        <v>0</v>
      </c>
      <c r="D18" s="19"/>
      <c r="E18" s="21">
        <f t="shared" si="1"/>
        <v>0</v>
      </c>
      <c r="F18" s="19">
        <v>3971</v>
      </c>
      <c r="G18" s="22">
        <f t="shared" si="3"/>
        <v>461.74418604651163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1106.3000000000002</v>
      </c>
      <c r="Q18" s="24"/>
      <c r="R18" s="24"/>
      <c r="S18" s="24"/>
      <c r="T18" s="24"/>
      <c r="U18" s="24"/>
      <c r="V18" s="12">
        <v>14</v>
      </c>
      <c r="W18" s="24">
        <v>1795</v>
      </c>
      <c r="X18" s="25"/>
      <c r="Y18" s="24">
        <v>183</v>
      </c>
      <c r="Z18" s="24"/>
      <c r="AA18" s="24">
        <v>580</v>
      </c>
      <c r="AB18" s="24">
        <v>146</v>
      </c>
      <c r="AC18" s="24"/>
      <c r="AD18" s="24"/>
      <c r="AE18" s="26">
        <f t="shared" si="2"/>
        <v>444.69000000000005</v>
      </c>
      <c r="AF18" s="24"/>
      <c r="AG18" s="27"/>
      <c r="AH18" s="29"/>
    </row>
    <row r="19" spans="1:41" s="28" customFormat="1" ht="26.25" customHeight="1" x14ac:dyDescent="0.25">
      <c r="A19" s="18">
        <v>45855</v>
      </c>
      <c r="B19" s="19"/>
      <c r="C19" s="20">
        <f>B19/200*25</f>
        <v>0</v>
      </c>
      <c r="D19" s="19"/>
      <c r="E19" s="21">
        <f>D19/208*25</f>
        <v>0</v>
      </c>
      <c r="F19" s="19">
        <v>3629</v>
      </c>
      <c r="G19" s="22">
        <f t="shared" si="3"/>
        <v>421.97674418604646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1051.8</v>
      </c>
      <c r="Q19" s="24"/>
      <c r="R19" s="24"/>
      <c r="S19" s="24"/>
      <c r="T19" s="24"/>
      <c r="U19" s="24"/>
      <c r="V19" s="24">
        <v>41</v>
      </c>
      <c r="W19" s="25">
        <v>1662</v>
      </c>
      <c r="X19" s="25"/>
      <c r="Y19" s="24">
        <v>178</v>
      </c>
      <c r="Z19" s="24"/>
      <c r="AA19" s="24">
        <v>507</v>
      </c>
      <c r="AB19" s="24">
        <v>179</v>
      </c>
      <c r="AC19" s="24"/>
      <c r="AD19" s="24"/>
      <c r="AE19" s="26">
        <f t="shared" si="2"/>
        <v>432.54</v>
      </c>
      <c r="AF19" s="24"/>
      <c r="AG19" s="27"/>
    </row>
    <row r="20" spans="1:41" s="28" customFormat="1" ht="26.25" customHeight="1" x14ac:dyDescent="0.25">
      <c r="A20" s="18">
        <v>45856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2830</v>
      </c>
      <c r="G20" s="22">
        <f t="shared" si="3"/>
        <v>329.06976744186045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960.40000000000009</v>
      </c>
      <c r="Q20" s="24"/>
      <c r="R20" s="24"/>
      <c r="S20" s="25"/>
      <c r="T20" s="24"/>
      <c r="U20" s="24"/>
      <c r="V20" s="24"/>
      <c r="W20" s="25">
        <v>1499</v>
      </c>
      <c r="X20" s="25"/>
      <c r="Y20" s="24">
        <v>154</v>
      </c>
      <c r="Z20" s="24"/>
      <c r="AA20" s="24">
        <v>436</v>
      </c>
      <c r="AB20" s="24">
        <v>134</v>
      </c>
      <c r="AC20" s="24"/>
      <c r="AD20" s="24"/>
      <c r="AE20" s="26">
        <f t="shared" si="2"/>
        <v>374.22</v>
      </c>
      <c r="AF20" s="24"/>
      <c r="AG20" s="27"/>
    </row>
    <row r="21" spans="1:41" s="28" customFormat="1" ht="26.25" customHeight="1" x14ac:dyDescent="0.25">
      <c r="A21" s="18">
        <v>45857</v>
      </c>
      <c r="B21" s="19"/>
      <c r="C21" s="20">
        <f t="shared" si="6"/>
        <v>0</v>
      </c>
      <c r="D21" s="19"/>
      <c r="E21" s="21">
        <f t="shared" si="7"/>
        <v>0</v>
      </c>
      <c r="F21" s="19">
        <v>3483</v>
      </c>
      <c r="G21" s="22">
        <f t="shared" si="3"/>
        <v>405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987.80000000000007</v>
      </c>
      <c r="Q21" s="24"/>
      <c r="R21" s="24"/>
      <c r="S21" s="25"/>
      <c r="T21" s="24"/>
      <c r="U21" s="24"/>
      <c r="V21" s="24"/>
      <c r="W21" s="25">
        <v>1629</v>
      </c>
      <c r="X21" s="25"/>
      <c r="Y21" s="24">
        <v>186</v>
      </c>
      <c r="Z21" s="24"/>
      <c r="AA21" s="24">
        <v>421</v>
      </c>
      <c r="AB21" s="24">
        <v>169</v>
      </c>
      <c r="AC21" s="24"/>
      <c r="AD21" s="24"/>
      <c r="AE21" s="26">
        <f t="shared" si="2"/>
        <v>451.98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23026</v>
      </c>
      <c r="G22" s="33">
        <f t="shared" si="8"/>
        <v>2677.4418604651164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6646.3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97</v>
      </c>
      <c r="W22" s="31">
        <f t="shared" si="8"/>
        <v>10703</v>
      </c>
      <c r="X22" s="31">
        <f t="shared" si="8"/>
        <v>0</v>
      </c>
      <c r="Y22" s="31">
        <f t="shared" si="8"/>
        <v>1152</v>
      </c>
      <c r="Z22" s="31">
        <f t="shared" si="8"/>
        <v>0</v>
      </c>
      <c r="AA22" s="31">
        <f t="shared" si="8"/>
        <v>2719</v>
      </c>
      <c r="AB22" s="31">
        <f t="shared" si="8"/>
        <v>1521</v>
      </c>
      <c r="AC22" s="31">
        <f t="shared" si="8"/>
        <v>0</v>
      </c>
      <c r="AD22" s="31">
        <f t="shared" si="8"/>
        <v>0</v>
      </c>
      <c r="AE22" s="33">
        <f t="shared" si="8"/>
        <v>2799.36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R18" sqref="R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139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45858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2652</v>
      </c>
      <c r="G15" s="22">
        <f>F15/215*25</f>
        <v>308.37209302325579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875.2</v>
      </c>
      <c r="Q15" s="24"/>
      <c r="R15" s="24"/>
      <c r="S15" s="24"/>
      <c r="T15" s="24"/>
      <c r="U15" s="24"/>
      <c r="V15" s="24"/>
      <c r="W15" s="25">
        <v>1368</v>
      </c>
      <c r="X15" s="25"/>
      <c r="Y15" s="24">
        <v>143</v>
      </c>
      <c r="Z15" s="24"/>
      <c r="AA15" s="24">
        <v>380</v>
      </c>
      <c r="AB15" s="24">
        <v>130</v>
      </c>
      <c r="AC15" s="24"/>
      <c r="AD15" s="24"/>
      <c r="AE15" s="26">
        <f t="shared" ref="AE15:AE21" si="2">Y15*2.43</f>
        <v>347.49</v>
      </c>
      <c r="AF15" s="24"/>
      <c r="AG15" s="27"/>
      <c r="AH15" s="29"/>
    </row>
    <row r="16" spans="1:34" s="28" customFormat="1" ht="26.25" customHeight="1" x14ac:dyDescent="0.25">
      <c r="A16" s="18">
        <v>45859</v>
      </c>
      <c r="B16" s="19"/>
      <c r="C16" s="20">
        <f t="shared" si="0"/>
        <v>0</v>
      </c>
      <c r="D16" s="19"/>
      <c r="E16" s="21">
        <f>D16/208*25</f>
        <v>0</v>
      </c>
      <c r="F16" s="19">
        <v>3497</v>
      </c>
      <c r="G16" s="22">
        <f t="shared" ref="G16:G21" si="3">F16/215*25</f>
        <v>406.62790697674421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999.99999999999989</v>
      </c>
      <c r="Q16" s="24"/>
      <c r="R16" s="24"/>
      <c r="S16" s="25"/>
      <c r="T16" s="24"/>
      <c r="U16" s="24"/>
      <c r="V16" s="24">
        <v>58</v>
      </c>
      <c r="W16" s="25">
        <v>1561</v>
      </c>
      <c r="X16" s="25"/>
      <c r="Y16" s="24">
        <v>179</v>
      </c>
      <c r="Z16" s="24"/>
      <c r="AA16" s="24">
        <v>514</v>
      </c>
      <c r="AB16" s="24">
        <v>116</v>
      </c>
      <c r="AC16" s="24"/>
      <c r="AD16" s="24"/>
      <c r="AE16" s="26">
        <f t="shared" si="2"/>
        <v>434.97</v>
      </c>
      <c r="AF16" s="24"/>
      <c r="AG16" s="27"/>
      <c r="AH16" s="29"/>
    </row>
    <row r="17" spans="1:41" s="28" customFormat="1" ht="26.25" customHeight="1" x14ac:dyDescent="0.25">
      <c r="A17" s="18">
        <v>45860</v>
      </c>
      <c r="B17" s="19"/>
      <c r="C17" s="20">
        <f t="shared" si="0"/>
        <v>0</v>
      </c>
      <c r="D17" s="19"/>
      <c r="E17" s="21">
        <f t="shared" si="1"/>
        <v>0</v>
      </c>
      <c r="F17" s="19">
        <v>2967</v>
      </c>
      <c r="G17" s="22">
        <f t="shared" si="3"/>
        <v>345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1013.6000000000001</v>
      </c>
      <c r="Q17" s="24"/>
      <c r="R17" s="24"/>
      <c r="S17" s="24"/>
      <c r="T17" s="24"/>
      <c r="U17" s="24"/>
      <c r="V17" s="24">
        <v>58</v>
      </c>
      <c r="W17" s="25">
        <v>1503</v>
      </c>
      <c r="X17" s="25"/>
      <c r="Y17" s="24">
        <v>182</v>
      </c>
      <c r="Z17" s="24"/>
      <c r="AA17" s="24">
        <v>471</v>
      </c>
      <c r="AB17" s="24">
        <v>157</v>
      </c>
      <c r="AC17" s="24"/>
      <c r="AD17" s="24"/>
      <c r="AE17" s="26">
        <f t="shared" si="2"/>
        <v>442.26000000000005</v>
      </c>
      <c r="AF17" s="24"/>
      <c r="AG17" s="27"/>
    </row>
    <row r="18" spans="1:41" s="28" customFormat="1" ht="26.25" customHeight="1" x14ac:dyDescent="0.25">
      <c r="A18" s="18">
        <v>45861</v>
      </c>
      <c r="B18" s="19"/>
      <c r="C18" s="20">
        <f t="shared" si="0"/>
        <v>0</v>
      </c>
      <c r="D18" s="19"/>
      <c r="E18" s="21">
        <f t="shared" si="1"/>
        <v>0</v>
      </c>
      <c r="F18" s="19">
        <v>3036</v>
      </c>
      <c r="G18" s="22">
        <f t="shared" si="3"/>
        <v>353.02325581395348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999.19999999999993</v>
      </c>
      <c r="Q18" s="24"/>
      <c r="R18" s="24"/>
      <c r="S18" s="24"/>
      <c r="T18" s="24"/>
      <c r="U18" s="24"/>
      <c r="V18" s="12">
        <v>124</v>
      </c>
      <c r="W18" s="24">
        <v>1449</v>
      </c>
      <c r="X18" s="25"/>
      <c r="Y18" s="24">
        <v>180</v>
      </c>
      <c r="Z18" s="24"/>
      <c r="AA18" s="24">
        <v>478</v>
      </c>
      <c r="AB18" s="24">
        <v>151</v>
      </c>
      <c r="AC18" s="24"/>
      <c r="AD18" s="24"/>
      <c r="AE18" s="26">
        <f t="shared" si="2"/>
        <v>437.40000000000003</v>
      </c>
      <c r="AF18" s="24"/>
      <c r="AG18" s="27"/>
      <c r="AH18" s="29"/>
    </row>
    <row r="19" spans="1:41" s="28" customFormat="1" ht="26.25" customHeight="1" x14ac:dyDescent="0.25">
      <c r="A19" s="18">
        <v>45862</v>
      </c>
      <c r="B19" s="19"/>
      <c r="C19" s="20">
        <f>B19/200*25</f>
        <v>0</v>
      </c>
      <c r="D19" s="19"/>
      <c r="E19" s="21">
        <f>D19/208*25</f>
        <v>0</v>
      </c>
      <c r="F19" s="19">
        <v>3698</v>
      </c>
      <c r="G19" s="22">
        <f t="shared" si="3"/>
        <v>430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1129.2</v>
      </c>
      <c r="Q19" s="24"/>
      <c r="R19" s="24"/>
      <c r="S19" s="24"/>
      <c r="T19" s="24"/>
      <c r="U19" s="24"/>
      <c r="V19" s="24">
        <v>122</v>
      </c>
      <c r="W19" s="25">
        <v>1692</v>
      </c>
      <c r="X19" s="25"/>
      <c r="Y19" s="24">
        <v>234</v>
      </c>
      <c r="Z19" s="24"/>
      <c r="AA19" s="24">
        <v>532</v>
      </c>
      <c r="AB19" s="24">
        <v>181</v>
      </c>
      <c r="AC19" s="24"/>
      <c r="AD19" s="24"/>
      <c r="AE19" s="26">
        <f t="shared" si="2"/>
        <v>568.62</v>
      </c>
      <c r="AF19" s="24"/>
      <c r="AG19" s="27"/>
    </row>
    <row r="20" spans="1:41" s="28" customFormat="1" ht="26.25" customHeight="1" x14ac:dyDescent="0.25">
      <c r="A20" s="18">
        <v>45863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3169</v>
      </c>
      <c r="G20" s="22">
        <f t="shared" si="3"/>
        <v>368.48837209302326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888.40000000000009</v>
      </c>
      <c r="Q20" s="24"/>
      <c r="R20" s="24"/>
      <c r="S20" s="25"/>
      <c r="T20" s="24"/>
      <c r="U20" s="24"/>
      <c r="V20" s="24">
        <v>112</v>
      </c>
      <c r="W20" s="25">
        <v>1360</v>
      </c>
      <c r="X20" s="25"/>
      <c r="Y20" s="24">
        <v>175</v>
      </c>
      <c r="Z20" s="24"/>
      <c r="AA20" s="24">
        <v>476</v>
      </c>
      <c r="AB20" s="24">
        <v>120</v>
      </c>
      <c r="AC20" s="24"/>
      <c r="AD20" s="24"/>
      <c r="AE20" s="26">
        <f t="shared" si="2"/>
        <v>425.25</v>
      </c>
      <c r="AF20" s="24"/>
      <c r="AG20" s="27"/>
    </row>
    <row r="21" spans="1:41" s="28" customFormat="1" ht="26.25" customHeight="1" x14ac:dyDescent="0.25">
      <c r="A21" s="18">
        <v>45864</v>
      </c>
      <c r="B21" s="19"/>
      <c r="C21" s="20">
        <f t="shared" si="6"/>
        <v>0</v>
      </c>
      <c r="D21" s="19"/>
      <c r="E21" s="21">
        <f t="shared" si="7"/>
        <v>0</v>
      </c>
      <c r="F21" s="19">
        <v>2894</v>
      </c>
      <c r="G21" s="22">
        <f t="shared" si="3"/>
        <v>336.51162790697674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790.80000000000007</v>
      </c>
      <c r="Q21" s="24"/>
      <c r="R21" s="24"/>
      <c r="S21" s="25"/>
      <c r="T21" s="24"/>
      <c r="U21" s="24"/>
      <c r="V21" s="24">
        <v>92</v>
      </c>
      <c r="W21" s="25">
        <v>1235</v>
      </c>
      <c r="X21" s="25"/>
      <c r="Y21" s="24">
        <v>160</v>
      </c>
      <c r="Z21" s="24"/>
      <c r="AA21" s="24">
        <v>401</v>
      </c>
      <c r="AB21" s="24">
        <v>122</v>
      </c>
      <c r="AC21" s="24"/>
      <c r="AD21" s="24"/>
      <c r="AE21" s="26">
        <f t="shared" si="2"/>
        <v>388.8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21913</v>
      </c>
      <c r="G22" s="33">
        <f t="shared" si="8"/>
        <v>2548.0232558139533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6696.4000000000005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566</v>
      </c>
      <c r="W22" s="31">
        <f t="shared" si="8"/>
        <v>10168</v>
      </c>
      <c r="X22" s="31">
        <f t="shared" si="8"/>
        <v>0</v>
      </c>
      <c r="Y22" s="31">
        <f t="shared" si="8"/>
        <v>1253</v>
      </c>
      <c r="Z22" s="31">
        <f t="shared" si="8"/>
        <v>0</v>
      </c>
      <c r="AA22" s="31">
        <f t="shared" si="8"/>
        <v>3252</v>
      </c>
      <c r="AB22" s="31">
        <f t="shared" si="8"/>
        <v>977</v>
      </c>
      <c r="AC22" s="31">
        <f t="shared" si="8"/>
        <v>0</v>
      </c>
      <c r="AD22" s="31">
        <f t="shared" si="8"/>
        <v>0</v>
      </c>
      <c r="AE22" s="33">
        <f t="shared" si="8"/>
        <v>3044.7900000000004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20" sqref="A20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45865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3062</v>
      </c>
      <c r="G15" s="22">
        <f>F15/215*25</f>
        <v>356.04651162790697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831.40000000000009</v>
      </c>
      <c r="Q15" s="24"/>
      <c r="R15" s="24"/>
      <c r="S15" s="24"/>
      <c r="T15" s="24"/>
      <c r="U15" s="24"/>
      <c r="V15" s="24">
        <v>190</v>
      </c>
      <c r="W15" s="25">
        <v>1190</v>
      </c>
      <c r="X15" s="25"/>
      <c r="Y15" s="24">
        <v>177</v>
      </c>
      <c r="Z15" s="24"/>
      <c r="AA15" s="24">
        <v>390</v>
      </c>
      <c r="AB15" s="24">
        <v>168</v>
      </c>
      <c r="AC15" s="24"/>
      <c r="AD15" s="24"/>
      <c r="AE15" s="26">
        <f t="shared" ref="AE15:AE21" si="2">Y15*2.43</f>
        <v>430.11</v>
      </c>
      <c r="AF15" s="24"/>
      <c r="AG15" s="27"/>
      <c r="AH15" s="29"/>
    </row>
    <row r="16" spans="1:34" s="28" customFormat="1" ht="26.25" customHeight="1" x14ac:dyDescent="0.25">
      <c r="A16" s="18">
        <v>45866</v>
      </c>
      <c r="B16" s="19"/>
      <c r="C16" s="20">
        <f t="shared" si="0"/>
        <v>0</v>
      </c>
      <c r="D16" s="19"/>
      <c r="E16" s="21">
        <f>D16/208*25</f>
        <v>0</v>
      </c>
      <c r="F16" s="19">
        <v>3384</v>
      </c>
      <c r="G16" s="22">
        <f t="shared" ref="G16:G21" si="3">F16/215*25</f>
        <v>393.48837209302326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893.8</v>
      </c>
      <c r="Q16" s="24"/>
      <c r="R16" s="24"/>
      <c r="S16" s="25"/>
      <c r="T16" s="24"/>
      <c r="U16" s="24"/>
      <c r="V16" s="24">
        <v>199</v>
      </c>
      <c r="W16" s="25">
        <v>1277</v>
      </c>
      <c r="X16" s="25"/>
      <c r="Y16" s="24">
        <v>178</v>
      </c>
      <c r="Z16" s="24"/>
      <c r="AA16" s="24">
        <v>453</v>
      </c>
      <c r="AB16" s="24">
        <v>164</v>
      </c>
      <c r="AC16" s="24"/>
      <c r="AD16" s="24"/>
      <c r="AE16" s="26">
        <f t="shared" si="2"/>
        <v>432.54</v>
      </c>
      <c r="AF16" s="24"/>
      <c r="AG16" s="27"/>
      <c r="AH16" s="29"/>
    </row>
    <row r="17" spans="1:41" s="28" customFormat="1" ht="26.25" customHeight="1" x14ac:dyDescent="0.25">
      <c r="A17" s="18">
        <v>45867</v>
      </c>
      <c r="B17" s="19"/>
      <c r="C17" s="20">
        <f t="shared" si="0"/>
        <v>0</v>
      </c>
      <c r="D17" s="19"/>
      <c r="E17" s="21">
        <f t="shared" si="1"/>
        <v>0</v>
      </c>
      <c r="F17" s="19">
        <v>3152</v>
      </c>
      <c r="G17" s="22">
        <f t="shared" si="3"/>
        <v>366.51162790697674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860.99999999999989</v>
      </c>
      <c r="Q17" s="24"/>
      <c r="R17" s="24"/>
      <c r="S17" s="24"/>
      <c r="T17" s="24"/>
      <c r="U17" s="24"/>
      <c r="V17" s="24">
        <v>230</v>
      </c>
      <c r="W17" s="25">
        <v>1183</v>
      </c>
      <c r="X17" s="25"/>
      <c r="Y17" s="24">
        <v>176</v>
      </c>
      <c r="Z17" s="24"/>
      <c r="AA17" s="24">
        <v>481</v>
      </c>
      <c r="AB17" s="24">
        <v>126</v>
      </c>
      <c r="AC17" s="24"/>
      <c r="AD17" s="24"/>
      <c r="AE17" s="26">
        <f t="shared" si="2"/>
        <v>427.68</v>
      </c>
      <c r="AF17" s="24"/>
      <c r="AG17" s="27"/>
    </row>
    <row r="18" spans="1:41" s="28" customFormat="1" ht="26.25" customHeight="1" x14ac:dyDescent="0.25">
      <c r="A18" s="18">
        <v>45868</v>
      </c>
      <c r="B18" s="19"/>
      <c r="C18" s="20">
        <f t="shared" si="0"/>
        <v>0</v>
      </c>
      <c r="D18" s="19"/>
      <c r="E18" s="21">
        <f t="shared" si="1"/>
        <v>0</v>
      </c>
      <c r="F18" s="19">
        <v>3360</v>
      </c>
      <c r="G18" s="22">
        <f t="shared" si="3"/>
        <v>390.69767441860461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810.59999999999991</v>
      </c>
      <c r="Q18" s="24"/>
      <c r="R18" s="24"/>
      <c r="S18" s="24"/>
      <c r="T18" s="24"/>
      <c r="U18" s="24"/>
      <c r="V18" s="12">
        <v>207</v>
      </c>
      <c r="W18" s="24">
        <v>1246</v>
      </c>
      <c r="X18" s="25"/>
      <c r="Y18" s="24">
        <v>158</v>
      </c>
      <c r="Z18" s="24"/>
      <c r="AA18" s="24">
        <v>423</v>
      </c>
      <c r="AB18" s="24">
        <v>129</v>
      </c>
      <c r="AC18" s="24"/>
      <c r="AD18" s="24"/>
      <c r="AE18" s="26">
        <f t="shared" si="2"/>
        <v>383.94</v>
      </c>
      <c r="AF18" s="24"/>
      <c r="AG18" s="27"/>
      <c r="AH18" s="29"/>
    </row>
    <row r="19" spans="1:41" s="28" customFormat="1" ht="26.25" customHeight="1" x14ac:dyDescent="0.25">
      <c r="A19" s="18">
        <v>45869</v>
      </c>
      <c r="B19" s="19"/>
      <c r="C19" s="20">
        <f>B19/200*25</f>
        <v>0</v>
      </c>
      <c r="D19" s="19"/>
      <c r="E19" s="21">
        <f>D19/208*25</f>
        <v>0</v>
      </c>
      <c r="F19" s="19">
        <v>2232</v>
      </c>
      <c r="G19" s="22">
        <f t="shared" si="3"/>
        <v>259.53488372093022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658.2</v>
      </c>
      <c r="Q19" s="24"/>
      <c r="R19" s="24"/>
      <c r="S19" s="24"/>
      <c r="T19" s="24"/>
      <c r="U19" s="24"/>
      <c r="V19" s="24">
        <v>182</v>
      </c>
      <c r="W19" s="25">
        <v>867</v>
      </c>
      <c r="X19" s="25"/>
      <c r="Y19" s="24">
        <v>150</v>
      </c>
      <c r="Z19" s="24"/>
      <c r="AA19" s="24">
        <v>300</v>
      </c>
      <c r="AB19" s="24">
        <v>139</v>
      </c>
      <c r="AC19" s="24"/>
      <c r="AD19" s="24"/>
      <c r="AE19" s="26">
        <f t="shared" si="2"/>
        <v>364.5</v>
      </c>
      <c r="AF19" s="24"/>
      <c r="AG19" s="27"/>
    </row>
    <row r="20" spans="1:41" s="28" customFormat="1" ht="26.25" customHeight="1" x14ac:dyDescent="0.25">
      <c r="A20" s="18">
        <v>45870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3612</v>
      </c>
      <c r="G20" s="22">
        <f t="shared" si="3"/>
        <v>420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1030.2</v>
      </c>
      <c r="Q20" s="24"/>
      <c r="R20" s="24"/>
      <c r="S20" s="25"/>
      <c r="T20" s="24"/>
      <c r="U20" s="24"/>
      <c r="V20" s="24">
        <v>255</v>
      </c>
      <c r="W20" s="25">
        <v>1411</v>
      </c>
      <c r="X20" s="25"/>
      <c r="Y20" s="24">
        <v>211</v>
      </c>
      <c r="Z20" s="24"/>
      <c r="AA20" s="24">
        <v>497</v>
      </c>
      <c r="AB20" s="24">
        <v>179</v>
      </c>
      <c r="AC20" s="24"/>
      <c r="AD20" s="24"/>
      <c r="AE20" s="26">
        <f t="shared" si="2"/>
        <v>512.73</v>
      </c>
      <c r="AF20" s="24"/>
      <c r="AG20" s="27"/>
    </row>
    <row r="21" spans="1:41" s="28" customFormat="1" ht="26.25" customHeight="1" x14ac:dyDescent="0.25">
      <c r="A21" s="18">
        <v>45871</v>
      </c>
      <c r="B21" s="19"/>
      <c r="C21" s="20">
        <f t="shared" si="6"/>
        <v>0</v>
      </c>
      <c r="D21" s="19"/>
      <c r="E21" s="21">
        <f t="shared" si="7"/>
        <v>0</v>
      </c>
      <c r="F21" s="19">
        <v>3433</v>
      </c>
      <c r="G21" s="22">
        <f t="shared" si="3"/>
        <v>399.18604651162792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807.6</v>
      </c>
      <c r="Q21" s="24"/>
      <c r="R21" s="24"/>
      <c r="S21" s="25"/>
      <c r="T21" s="24"/>
      <c r="U21" s="24"/>
      <c r="V21" s="24">
        <v>155</v>
      </c>
      <c r="W21" s="25">
        <v>1263</v>
      </c>
      <c r="X21" s="25"/>
      <c r="Y21" s="24">
        <v>171</v>
      </c>
      <c r="Z21" s="24"/>
      <c r="AA21" s="24">
        <v>443</v>
      </c>
      <c r="AB21" s="24">
        <v>135</v>
      </c>
      <c r="AC21" s="24"/>
      <c r="AD21" s="24"/>
      <c r="AE21" s="26">
        <f t="shared" si="2"/>
        <v>415.53000000000003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22235</v>
      </c>
      <c r="G22" s="33">
        <f t="shared" si="8"/>
        <v>2585.4651162790697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5892.8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1418</v>
      </c>
      <c r="W22" s="31">
        <f t="shared" si="8"/>
        <v>8437</v>
      </c>
      <c r="X22" s="31">
        <f t="shared" si="8"/>
        <v>0</v>
      </c>
      <c r="Y22" s="31">
        <f t="shared" si="8"/>
        <v>1221</v>
      </c>
      <c r="Z22" s="31">
        <f t="shared" si="8"/>
        <v>0</v>
      </c>
      <c r="AA22" s="31">
        <f t="shared" si="8"/>
        <v>2987</v>
      </c>
      <c r="AB22" s="31">
        <f t="shared" si="8"/>
        <v>1040</v>
      </c>
      <c r="AC22" s="31">
        <f t="shared" si="8"/>
        <v>0</v>
      </c>
      <c r="AD22" s="31">
        <f t="shared" si="8"/>
        <v>0</v>
      </c>
      <c r="AE22" s="33">
        <f t="shared" si="8"/>
        <v>2967.03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45872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2966</v>
      </c>
      <c r="G15" s="22">
        <f>F15/215*25</f>
        <v>344.88372093023253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798.19999999999993</v>
      </c>
      <c r="Q15" s="24"/>
      <c r="R15" s="24"/>
      <c r="S15" s="24"/>
      <c r="T15" s="24"/>
      <c r="U15" s="24"/>
      <c r="V15" s="24">
        <v>114</v>
      </c>
      <c r="W15" s="25">
        <v>1245</v>
      </c>
      <c r="X15" s="25"/>
      <c r="Y15" s="24">
        <v>148</v>
      </c>
      <c r="Z15" s="24"/>
      <c r="AA15" s="24">
        <v>406</v>
      </c>
      <c r="AB15" s="24">
        <v>139</v>
      </c>
      <c r="AC15" s="24"/>
      <c r="AD15" s="24"/>
      <c r="AE15" s="26">
        <f t="shared" ref="AE15:AE21" si="2">Y15*2.43</f>
        <v>359.64000000000004</v>
      </c>
      <c r="AF15" s="24"/>
      <c r="AG15" s="27"/>
      <c r="AH15" s="29"/>
    </row>
    <row r="16" spans="1:34" s="28" customFormat="1" ht="26.25" customHeight="1" x14ac:dyDescent="0.25">
      <c r="A16" s="18">
        <v>45873</v>
      </c>
      <c r="B16" s="19"/>
      <c r="C16" s="20">
        <f t="shared" si="0"/>
        <v>0</v>
      </c>
      <c r="D16" s="19"/>
      <c r="E16" s="21">
        <f>D16/208*25</f>
        <v>0</v>
      </c>
      <c r="F16" s="19">
        <v>3026</v>
      </c>
      <c r="G16" s="22">
        <f t="shared" ref="G16:G21" si="3">F16/215*25</f>
        <v>351.86046511627904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792.00000000000011</v>
      </c>
      <c r="Q16" s="24"/>
      <c r="R16" s="24"/>
      <c r="S16" s="25"/>
      <c r="T16" s="24"/>
      <c r="U16" s="24"/>
      <c r="V16" s="24">
        <v>122</v>
      </c>
      <c r="W16" s="25">
        <v>1235</v>
      </c>
      <c r="X16" s="25"/>
      <c r="Y16" s="24">
        <v>155</v>
      </c>
      <c r="Z16" s="24"/>
      <c r="AA16" s="24">
        <v>394</v>
      </c>
      <c r="AB16" s="24">
        <v>166</v>
      </c>
      <c r="AC16" s="24"/>
      <c r="AD16" s="24"/>
      <c r="AE16" s="26">
        <f t="shared" si="2"/>
        <v>376.65000000000003</v>
      </c>
      <c r="AF16" s="24"/>
      <c r="AG16" s="27"/>
      <c r="AH16" s="29"/>
    </row>
    <row r="17" spans="1:41" s="28" customFormat="1" ht="26.25" customHeight="1" x14ac:dyDescent="0.25">
      <c r="A17" s="18">
        <v>45874</v>
      </c>
      <c r="B17" s="19"/>
      <c r="C17" s="20">
        <f t="shared" si="0"/>
        <v>0</v>
      </c>
      <c r="D17" s="19"/>
      <c r="E17" s="21">
        <f t="shared" si="1"/>
        <v>0</v>
      </c>
      <c r="F17" s="19">
        <v>3414</v>
      </c>
      <c r="G17" s="22">
        <f t="shared" si="3"/>
        <v>396.97674418604652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1059</v>
      </c>
      <c r="Q17" s="24"/>
      <c r="R17" s="24"/>
      <c r="S17" s="24"/>
      <c r="T17" s="24"/>
      <c r="U17" s="24"/>
      <c r="V17" s="24">
        <v>146</v>
      </c>
      <c r="W17" s="25">
        <v>1514</v>
      </c>
      <c r="X17" s="25"/>
      <c r="Y17" s="24">
        <v>184</v>
      </c>
      <c r="Z17" s="24"/>
      <c r="AA17" s="24">
        <v>459</v>
      </c>
      <c r="AB17" s="24">
        <v>189</v>
      </c>
      <c r="AC17" s="24"/>
      <c r="AD17" s="24"/>
      <c r="AE17" s="26">
        <f t="shared" si="2"/>
        <v>447.12</v>
      </c>
      <c r="AF17" s="24"/>
      <c r="AG17" s="27"/>
    </row>
    <row r="18" spans="1:41" s="28" customFormat="1" ht="26.25" customHeight="1" x14ac:dyDescent="0.25">
      <c r="A18" s="18">
        <v>45875</v>
      </c>
      <c r="B18" s="19"/>
      <c r="C18" s="20">
        <f t="shared" si="0"/>
        <v>0</v>
      </c>
      <c r="D18" s="19"/>
      <c r="E18" s="21">
        <f t="shared" si="1"/>
        <v>0</v>
      </c>
      <c r="F18" s="19">
        <v>3578</v>
      </c>
      <c r="G18" s="22">
        <f t="shared" si="3"/>
        <v>416.04651162790691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1022.9999999999999</v>
      </c>
      <c r="Q18" s="24"/>
      <c r="R18" s="24"/>
      <c r="S18" s="24"/>
      <c r="T18" s="24"/>
      <c r="U18" s="24"/>
      <c r="V18" s="12">
        <v>168</v>
      </c>
      <c r="W18" s="24">
        <v>1514</v>
      </c>
      <c r="X18" s="25"/>
      <c r="Y18" s="24">
        <v>181</v>
      </c>
      <c r="Z18" s="24"/>
      <c r="AA18" s="24">
        <v>559</v>
      </c>
      <c r="AB18" s="24">
        <v>109</v>
      </c>
      <c r="AC18" s="24"/>
      <c r="AD18" s="24"/>
      <c r="AE18" s="26">
        <f t="shared" si="2"/>
        <v>439.83000000000004</v>
      </c>
      <c r="AF18" s="24"/>
      <c r="AG18" s="27"/>
      <c r="AH18" s="29"/>
    </row>
    <row r="19" spans="1:41" s="28" customFormat="1" ht="26.25" customHeight="1" x14ac:dyDescent="0.25">
      <c r="A19" s="18">
        <v>45876</v>
      </c>
      <c r="B19" s="19"/>
      <c r="C19" s="20">
        <f>B19/200*25</f>
        <v>0</v>
      </c>
      <c r="D19" s="19"/>
      <c r="E19" s="21">
        <f>D19/208*25</f>
        <v>0</v>
      </c>
      <c r="F19" s="19">
        <v>4197</v>
      </c>
      <c r="G19" s="22">
        <f t="shared" si="3"/>
        <v>488.02325581395348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1141.5999999999999</v>
      </c>
      <c r="Q19" s="24"/>
      <c r="R19" s="24"/>
      <c r="S19" s="24"/>
      <c r="T19" s="24"/>
      <c r="U19" s="24"/>
      <c r="V19" s="24">
        <v>172</v>
      </c>
      <c r="W19" s="25">
        <v>1778</v>
      </c>
      <c r="X19" s="25"/>
      <c r="Y19" s="24">
        <v>204</v>
      </c>
      <c r="Z19" s="24"/>
      <c r="AA19" s="24">
        <v>769</v>
      </c>
      <c r="AB19" s="24"/>
      <c r="AC19" s="24"/>
      <c r="AD19" s="24"/>
      <c r="AE19" s="26">
        <f t="shared" si="2"/>
        <v>495.72</v>
      </c>
      <c r="AF19" s="24"/>
      <c r="AG19" s="27"/>
    </row>
    <row r="20" spans="1:41" s="28" customFormat="1" ht="26.25" customHeight="1" x14ac:dyDescent="0.25">
      <c r="A20" s="18">
        <v>45877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4309</v>
      </c>
      <c r="G20" s="22">
        <f t="shared" si="3"/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1215.8</v>
      </c>
      <c r="Q20" s="24"/>
      <c r="R20" s="24"/>
      <c r="S20" s="25"/>
      <c r="T20" s="24"/>
      <c r="U20" s="24"/>
      <c r="V20" s="24">
        <v>134</v>
      </c>
      <c r="W20" s="25">
        <v>1870</v>
      </c>
      <c r="X20" s="25"/>
      <c r="Y20" s="24">
        <v>242</v>
      </c>
      <c r="Z20" s="24"/>
      <c r="AA20" s="24">
        <v>887</v>
      </c>
      <c r="AB20" s="24"/>
      <c r="AC20" s="24"/>
      <c r="AD20" s="24"/>
      <c r="AE20" s="26">
        <f t="shared" si="2"/>
        <v>588.06000000000006</v>
      </c>
      <c r="AF20" s="24"/>
      <c r="AG20" s="27"/>
    </row>
    <row r="21" spans="1:41" s="28" customFormat="1" ht="26.25" customHeight="1" x14ac:dyDescent="0.25">
      <c r="A21" s="18">
        <v>45878</v>
      </c>
      <c r="B21" s="19"/>
      <c r="C21" s="20">
        <f t="shared" si="6"/>
        <v>0</v>
      </c>
      <c r="D21" s="19"/>
      <c r="E21" s="21">
        <f t="shared" si="7"/>
        <v>0</v>
      </c>
      <c r="F21" s="19">
        <v>3845</v>
      </c>
      <c r="G21" s="22">
        <f t="shared" si="3"/>
        <v>447.09302325581399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1143.8</v>
      </c>
      <c r="Q21" s="24"/>
      <c r="R21" s="24"/>
      <c r="S21" s="25"/>
      <c r="T21" s="24"/>
      <c r="U21" s="24"/>
      <c r="V21" s="24">
        <v>34</v>
      </c>
      <c r="W21" s="25">
        <v>1827</v>
      </c>
      <c r="X21" s="25"/>
      <c r="Y21" s="24">
        <v>187</v>
      </c>
      <c r="Z21" s="24"/>
      <c r="AA21" s="24">
        <v>736</v>
      </c>
      <c r="AB21" s="24"/>
      <c r="AC21" s="24"/>
      <c r="AD21" s="24"/>
      <c r="AE21" s="26">
        <f t="shared" si="2"/>
        <v>454.41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25335</v>
      </c>
      <c r="G22" s="33">
        <f t="shared" si="8"/>
        <v>2945.9302325581393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7173.4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890</v>
      </c>
      <c r="W22" s="31">
        <f t="shared" si="8"/>
        <v>10983</v>
      </c>
      <c r="X22" s="31">
        <f t="shared" si="8"/>
        <v>0</v>
      </c>
      <c r="Y22" s="31">
        <f t="shared" si="8"/>
        <v>1301</v>
      </c>
      <c r="Z22" s="31">
        <f t="shared" si="8"/>
        <v>0</v>
      </c>
      <c r="AA22" s="31">
        <f t="shared" si="8"/>
        <v>4210</v>
      </c>
      <c r="AB22" s="31">
        <f t="shared" si="8"/>
        <v>603</v>
      </c>
      <c r="AC22" s="31">
        <f t="shared" si="8"/>
        <v>0</v>
      </c>
      <c r="AD22" s="31">
        <f t="shared" si="8"/>
        <v>0</v>
      </c>
      <c r="AE22" s="33">
        <f t="shared" si="8"/>
        <v>3161.43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E22" sqref="E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45879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3201</v>
      </c>
      <c r="G15" s="22">
        <f>F15/215*25</f>
        <v>372.2093023255814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900.4</v>
      </c>
      <c r="Q15" s="24"/>
      <c r="R15" s="24"/>
      <c r="S15" s="24"/>
      <c r="T15" s="24"/>
      <c r="U15" s="24"/>
      <c r="V15" s="24">
        <v>2</v>
      </c>
      <c r="W15" s="25">
        <v>1477</v>
      </c>
      <c r="X15" s="25"/>
      <c r="Y15" s="24">
        <v>171</v>
      </c>
      <c r="Z15" s="24"/>
      <c r="AA15" s="24">
        <v>614</v>
      </c>
      <c r="AB15" s="24"/>
      <c r="AC15" s="24"/>
      <c r="AD15" s="24"/>
      <c r="AE15" s="26">
        <f t="shared" ref="AE15:AE21" si="2">Y15*2.43</f>
        <v>415.53000000000003</v>
      </c>
      <c r="AF15" s="24"/>
      <c r="AG15" s="27"/>
      <c r="AH15" s="29"/>
    </row>
    <row r="16" spans="1:34" s="28" customFormat="1" ht="26.25" customHeight="1" x14ac:dyDescent="0.25">
      <c r="A16" s="18">
        <v>45880</v>
      </c>
      <c r="B16" s="19"/>
      <c r="C16" s="20">
        <f t="shared" si="0"/>
        <v>0</v>
      </c>
      <c r="D16" s="19"/>
      <c r="E16" s="21">
        <f>D16/208*25</f>
        <v>0</v>
      </c>
      <c r="F16" s="19">
        <v>3882</v>
      </c>
      <c r="G16" s="22">
        <f t="shared" ref="G16:G21" si="3">F16/215*25</f>
        <v>451.39534883720927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1064.4000000000001</v>
      </c>
      <c r="Q16" s="24"/>
      <c r="R16" s="24"/>
      <c r="S16" s="25"/>
      <c r="T16" s="24"/>
      <c r="U16" s="24"/>
      <c r="V16" s="24">
        <v>72</v>
      </c>
      <c r="W16" s="25">
        <v>1694</v>
      </c>
      <c r="X16" s="25"/>
      <c r="Y16" s="24">
        <v>182</v>
      </c>
      <c r="Z16" s="24"/>
      <c r="AA16" s="24">
        <v>660</v>
      </c>
      <c r="AB16" s="24"/>
      <c r="AC16" s="24"/>
      <c r="AD16" s="24"/>
      <c r="AE16" s="26">
        <f t="shared" si="2"/>
        <v>442.26000000000005</v>
      </c>
      <c r="AF16" s="24"/>
      <c r="AG16" s="27"/>
      <c r="AH16" s="29"/>
    </row>
    <row r="17" spans="1:41" s="28" customFormat="1" ht="26.25" customHeight="1" x14ac:dyDescent="0.25">
      <c r="A17" s="18">
        <v>45881</v>
      </c>
      <c r="B17" s="19"/>
      <c r="C17" s="20">
        <f t="shared" si="0"/>
        <v>0</v>
      </c>
      <c r="D17" s="19"/>
      <c r="E17" s="21">
        <f t="shared" si="1"/>
        <v>0</v>
      </c>
      <c r="F17" s="19">
        <v>4065</v>
      </c>
      <c r="G17" s="22">
        <f t="shared" si="3"/>
        <v>472.67441860465118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1280.0999999999999</v>
      </c>
      <c r="Q17" s="24"/>
      <c r="R17" s="24"/>
      <c r="S17" s="24"/>
      <c r="T17" s="24"/>
      <c r="U17" s="24"/>
      <c r="V17" s="24">
        <v>74</v>
      </c>
      <c r="W17" s="25">
        <v>1965</v>
      </c>
      <c r="X17" s="25"/>
      <c r="Y17" s="24">
        <v>226</v>
      </c>
      <c r="Z17" s="24"/>
      <c r="AA17" s="24">
        <v>836</v>
      </c>
      <c r="AB17" s="24"/>
      <c r="AC17" s="24"/>
      <c r="AD17" s="24"/>
      <c r="AE17" s="26">
        <f t="shared" si="2"/>
        <v>549.18000000000006</v>
      </c>
      <c r="AF17" s="24"/>
      <c r="AG17" s="27"/>
    </row>
    <row r="18" spans="1:41" s="28" customFormat="1" ht="26.25" customHeight="1" x14ac:dyDescent="0.25">
      <c r="A18" s="18">
        <v>45882</v>
      </c>
      <c r="B18" s="19"/>
      <c r="C18" s="20">
        <f t="shared" si="0"/>
        <v>0</v>
      </c>
      <c r="D18" s="19"/>
      <c r="E18" s="21">
        <f t="shared" si="1"/>
        <v>0</v>
      </c>
      <c r="F18" s="19">
        <v>3939</v>
      </c>
      <c r="G18" s="22">
        <f t="shared" si="3"/>
        <v>458.02325581395348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1227.5999999999999</v>
      </c>
      <c r="Q18" s="24"/>
      <c r="R18" s="24"/>
      <c r="S18" s="24"/>
      <c r="T18" s="24"/>
      <c r="U18" s="24"/>
      <c r="V18" s="12">
        <v>49</v>
      </c>
      <c r="W18" s="24">
        <v>1863</v>
      </c>
      <c r="X18" s="25"/>
      <c r="Y18" s="24">
        <v>236</v>
      </c>
      <c r="Z18" s="24"/>
      <c r="AA18" s="24">
        <v>777</v>
      </c>
      <c r="AB18" s="24"/>
      <c r="AC18" s="24"/>
      <c r="AD18" s="24"/>
      <c r="AE18" s="26">
        <f t="shared" si="2"/>
        <v>573.48</v>
      </c>
      <c r="AF18" s="24"/>
      <c r="AG18" s="27"/>
      <c r="AH18" s="29"/>
    </row>
    <row r="19" spans="1:41" s="28" customFormat="1" ht="26.25" customHeight="1" x14ac:dyDescent="0.25">
      <c r="A19" s="18">
        <v>45883</v>
      </c>
      <c r="B19" s="19"/>
      <c r="C19" s="20">
        <f>B19/200*25</f>
        <v>0</v>
      </c>
      <c r="D19" s="19"/>
      <c r="E19" s="21">
        <f>D19/208*25</f>
        <v>0</v>
      </c>
      <c r="F19" s="19">
        <v>3390</v>
      </c>
      <c r="G19" s="22">
        <f t="shared" si="3"/>
        <v>394.18604651162792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1038.2</v>
      </c>
      <c r="Q19" s="24"/>
      <c r="R19" s="24"/>
      <c r="S19" s="24"/>
      <c r="T19" s="24"/>
      <c r="U19" s="24"/>
      <c r="V19" s="24">
        <v>77</v>
      </c>
      <c r="W19" s="25">
        <v>1554</v>
      </c>
      <c r="X19" s="25"/>
      <c r="Y19" s="24">
        <v>193</v>
      </c>
      <c r="Z19" s="24"/>
      <c r="AA19" s="24">
        <v>659</v>
      </c>
      <c r="AB19" s="24"/>
      <c r="AC19" s="24"/>
      <c r="AD19" s="24"/>
      <c r="AE19" s="26">
        <f t="shared" si="2"/>
        <v>468.99</v>
      </c>
      <c r="AF19" s="24"/>
      <c r="AG19" s="27"/>
    </row>
    <row r="20" spans="1:41" s="28" customFormat="1" ht="26.25" customHeight="1" x14ac:dyDescent="0.25">
      <c r="A20" s="18">
        <v>45884</v>
      </c>
      <c r="B20" s="19"/>
      <c r="C20" s="20">
        <f t="shared" ref="C20" si="6">B20/200*25</f>
        <v>0</v>
      </c>
      <c r="D20" s="19"/>
      <c r="E20" s="21">
        <f t="shared" ref="E20" si="7">D20/208*25</f>
        <v>0</v>
      </c>
      <c r="F20" s="19">
        <v>3173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946.6</v>
      </c>
      <c r="Q20" s="24"/>
      <c r="R20" s="24"/>
      <c r="S20" s="25"/>
      <c r="T20" s="24"/>
      <c r="U20" s="24"/>
      <c r="V20" s="24">
        <v>78</v>
      </c>
      <c r="W20" s="25">
        <v>1452</v>
      </c>
      <c r="X20" s="25"/>
      <c r="Y20" s="24">
        <v>186</v>
      </c>
      <c r="Z20" s="24"/>
      <c r="AA20" s="24">
        <v>618</v>
      </c>
      <c r="AB20" s="24"/>
      <c r="AC20" s="24"/>
      <c r="AD20" s="24"/>
      <c r="AE20" s="26">
        <f t="shared" si="2"/>
        <v>451.98</v>
      </c>
      <c r="AF20" s="24"/>
      <c r="AG20" s="27"/>
    </row>
    <row r="21" spans="1:41" s="28" customFormat="1" ht="26.25" customHeight="1" x14ac:dyDescent="0.25">
      <c r="A21" s="18">
        <v>45885</v>
      </c>
      <c r="B21" s="19"/>
      <c r="C21" s="20">
        <f t="shared" ref="C21" si="8">B21/200*25</f>
        <v>0</v>
      </c>
      <c r="D21" s="19"/>
      <c r="E21" s="21">
        <f t="shared" ref="E21" si="9">D21/208*25</f>
        <v>0</v>
      </c>
      <c r="F21" s="19">
        <v>3591</v>
      </c>
      <c r="G21" s="22">
        <f t="shared" si="3"/>
        <v>417.55813953488376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1157.4000000000001</v>
      </c>
      <c r="Q21" s="24"/>
      <c r="R21" s="24"/>
      <c r="S21" s="25"/>
      <c r="T21" s="24"/>
      <c r="U21" s="24"/>
      <c r="V21" s="24"/>
      <c r="W21" s="25">
        <v>1820</v>
      </c>
      <c r="X21" s="25"/>
      <c r="Y21" s="24">
        <v>202</v>
      </c>
      <c r="Z21" s="24"/>
      <c r="AA21" s="24">
        <v>695</v>
      </c>
      <c r="AB21" s="24"/>
      <c r="AC21" s="24"/>
      <c r="AD21" s="24"/>
      <c r="AE21" s="26">
        <f t="shared" si="2"/>
        <v>490.86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10">SUM(B15:B21)</f>
        <v>0</v>
      </c>
      <c r="C22" s="32">
        <f t="shared" si="10"/>
        <v>0</v>
      </c>
      <c r="D22" s="31">
        <f t="shared" si="10"/>
        <v>0</v>
      </c>
      <c r="E22" s="33">
        <f t="shared" si="10"/>
        <v>0</v>
      </c>
      <c r="F22" s="31">
        <f t="shared" si="10"/>
        <v>25241</v>
      </c>
      <c r="G22" s="33">
        <f t="shared" si="10"/>
        <v>3067.0930232558139</v>
      </c>
      <c r="H22" s="31">
        <f t="shared" si="10"/>
        <v>0</v>
      </c>
      <c r="I22" s="33">
        <f t="shared" si="10"/>
        <v>0</v>
      </c>
      <c r="J22" s="31">
        <f t="shared" si="10"/>
        <v>0</v>
      </c>
      <c r="K22" s="31">
        <f t="shared" si="10"/>
        <v>0</v>
      </c>
      <c r="L22" s="31">
        <f t="shared" si="10"/>
        <v>0</v>
      </c>
      <c r="M22" s="31">
        <f t="shared" si="10"/>
        <v>0</v>
      </c>
      <c r="N22" s="31">
        <f t="shared" si="10"/>
        <v>0</v>
      </c>
      <c r="O22" s="33">
        <f t="shared" si="10"/>
        <v>0</v>
      </c>
      <c r="P22" s="33">
        <f t="shared" si="10"/>
        <v>7614.7000000000007</v>
      </c>
      <c r="Q22" s="31">
        <f t="shared" si="10"/>
        <v>0</v>
      </c>
      <c r="R22" s="31">
        <f t="shared" si="10"/>
        <v>0</v>
      </c>
      <c r="S22" s="31">
        <f t="shared" si="10"/>
        <v>0</v>
      </c>
      <c r="T22" s="31">
        <f t="shared" si="10"/>
        <v>0</v>
      </c>
      <c r="U22" s="31">
        <f t="shared" si="10"/>
        <v>0</v>
      </c>
      <c r="V22" s="31">
        <f t="shared" si="10"/>
        <v>352</v>
      </c>
      <c r="W22" s="31">
        <f t="shared" si="10"/>
        <v>11825</v>
      </c>
      <c r="X22" s="31">
        <f t="shared" si="10"/>
        <v>0</v>
      </c>
      <c r="Y22" s="31">
        <f t="shared" si="10"/>
        <v>1396</v>
      </c>
      <c r="Z22" s="31">
        <f t="shared" si="10"/>
        <v>0</v>
      </c>
      <c r="AA22" s="31">
        <f t="shared" si="10"/>
        <v>4859</v>
      </c>
      <c r="AB22" s="31">
        <f t="shared" si="10"/>
        <v>0</v>
      </c>
      <c r="AC22" s="31">
        <f t="shared" si="10"/>
        <v>0</v>
      </c>
      <c r="AD22" s="31">
        <f t="shared" si="10"/>
        <v>0</v>
      </c>
      <c r="AE22" s="33">
        <f t="shared" si="10"/>
        <v>3392.2800000000007</v>
      </c>
      <c r="AF22" s="33">
        <f t="shared" si="10"/>
        <v>0</v>
      </c>
      <c r="AG22" s="33">
        <f t="shared" si="10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Q19" sqref="Q19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45886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3328</v>
      </c>
      <c r="G15" s="22">
        <f>F15/215*25</f>
        <v>386.97674418604652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1075.2</v>
      </c>
      <c r="Q15" s="24"/>
      <c r="R15" s="24"/>
      <c r="S15" s="24"/>
      <c r="T15" s="24"/>
      <c r="U15" s="24"/>
      <c r="V15" s="24"/>
      <c r="W15" s="25">
        <v>1691</v>
      </c>
      <c r="X15" s="25"/>
      <c r="Y15" s="24">
        <v>173</v>
      </c>
      <c r="Z15" s="24"/>
      <c r="AA15" s="24">
        <v>668</v>
      </c>
      <c r="AB15" s="24"/>
      <c r="AC15" s="24"/>
      <c r="AD15" s="24"/>
      <c r="AE15" s="26">
        <f t="shared" ref="AE15:AE21" si="2">Y15*2.43</f>
        <v>420.39000000000004</v>
      </c>
      <c r="AF15" s="24"/>
      <c r="AG15" s="27"/>
      <c r="AH15" s="29"/>
    </row>
    <row r="16" spans="1:34" s="28" customFormat="1" ht="26.25" customHeight="1" x14ac:dyDescent="0.25">
      <c r="A16" s="18">
        <v>45887</v>
      </c>
      <c r="B16" s="19"/>
      <c r="C16" s="20">
        <f t="shared" si="0"/>
        <v>0</v>
      </c>
      <c r="D16" s="19"/>
      <c r="E16" s="21">
        <f>D16/208*25</f>
        <v>0</v>
      </c>
      <c r="F16" s="19">
        <v>3196</v>
      </c>
      <c r="G16" s="22">
        <f t="shared" ref="G16:G21" si="3">F16/215*25</f>
        <v>371.62790697674416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958.4</v>
      </c>
      <c r="Q16" s="24"/>
      <c r="R16" s="24"/>
      <c r="S16" s="25"/>
      <c r="T16" s="24"/>
      <c r="U16" s="24"/>
      <c r="V16" s="24">
        <v>26</v>
      </c>
      <c r="W16" s="25">
        <v>1527</v>
      </c>
      <c r="X16" s="25"/>
      <c r="Y16" s="24">
        <v>162</v>
      </c>
      <c r="Z16" s="24"/>
      <c r="AA16" s="24">
        <v>582</v>
      </c>
      <c r="AB16" s="24"/>
      <c r="AC16" s="24"/>
      <c r="AD16" s="24"/>
      <c r="AE16" s="26">
        <f t="shared" si="2"/>
        <v>393.66</v>
      </c>
      <c r="AF16" s="24"/>
      <c r="AG16" s="27"/>
      <c r="AH16" s="29"/>
    </row>
    <row r="17" spans="1:41" s="28" customFormat="1" ht="26.25" customHeight="1" x14ac:dyDescent="0.25">
      <c r="A17" s="18">
        <v>45888</v>
      </c>
      <c r="B17" s="19"/>
      <c r="C17" s="20">
        <f t="shared" si="0"/>
        <v>0</v>
      </c>
      <c r="D17" s="19"/>
      <c r="E17" s="21">
        <f t="shared" si="1"/>
        <v>0</v>
      </c>
      <c r="F17" s="19">
        <v>3791</v>
      </c>
      <c r="G17" s="22">
        <f t="shared" si="3"/>
        <v>440.81395348837208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1255.5999999999999</v>
      </c>
      <c r="Q17" s="24"/>
      <c r="R17" s="24"/>
      <c r="S17" s="24"/>
      <c r="T17" s="24"/>
      <c r="U17" s="24"/>
      <c r="V17" s="24">
        <v>78</v>
      </c>
      <c r="W17" s="25">
        <v>1839</v>
      </c>
      <c r="X17" s="25"/>
      <c r="Y17" s="24">
        <v>193</v>
      </c>
      <c r="Z17" s="24"/>
      <c r="AA17" s="24">
        <v>778</v>
      </c>
      <c r="AB17" s="24"/>
      <c r="AC17" s="24"/>
      <c r="AD17" s="24"/>
      <c r="AE17" s="26">
        <f t="shared" si="2"/>
        <v>468.99</v>
      </c>
      <c r="AF17" s="24"/>
      <c r="AG17" s="27"/>
    </row>
    <row r="18" spans="1:41" s="28" customFormat="1" ht="26.25" customHeight="1" x14ac:dyDescent="0.25">
      <c r="A18" s="18">
        <v>45889</v>
      </c>
      <c r="B18" s="19"/>
      <c r="C18" s="20">
        <f t="shared" si="0"/>
        <v>0</v>
      </c>
      <c r="D18" s="19"/>
      <c r="E18" s="21">
        <f t="shared" si="1"/>
        <v>0</v>
      </c>
      <c r="F18" s="19">
        <v>3234</v>
      </c>
      <c r="G18" s="22">
        <f t="shared" si="3"/>
        <v>376.04651162790697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1019.8</v>
      </c>
      <c r="Q18" s="24"/>
      <c r="R18" s="24"/>
      <c r="S18" s="24"/>
      <c r="T18" s="24"/>
      <c r="U18" s="24"/>
      <c r="V18" s="12"/>
      <c r="W18" s="24">
        <v>1632</v>
      </c>
      <c r="X18" s="25"/>
      <c r="Y18" s="24">
        <v>187</v>
      </c>
      <c r="Z18" s="24"/>
      <c r="AA18" s="24">
        <v>653</v>
      </c>
      <c r="AB18" s="24"/>
      <c r="AC18" s="24"/>
      <c r="AD18" s="24"/>
      <c r="AE18" s="26">
        <f t="shared" si="2"/>
        <v>454.41</v>
      </c>
      <c r="AF18" s="24"/>
      <c r="AG18" s="27"/>
      <c r="AH18" s="29"/>
    </row>
    <row r="19" spans="1:41" s="28" customFormat="1" ht="26.25" customHeight="1" x14ac:dyDescent="0.25">
      <c r="A19" s="18">
        <v>45890</v>
      </c>
      <c r="B19" s="19"/>
      <c r="C19" s="20">
        <f>B19/200*25</f>
        <v>0</v>
      </c>
      <c r="D19" s="19"/>
      <c r="E19" s="21">
        <f>D19/208*25</f>
        <v>0</v>
      </c>
      <c r="F19" s="19">
        <v>3530</v>
      </c>
      <c r="G19" s="22">
        <f t="shared" si="3"/>
        <v>410.46511627906978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953.8</v>
      </c>
      <c r="Q19" s="24"/>
      <c r="R19" s="24"/>
      <c r="S19" s="24"/>
      <c r="T19" s="24"/>
      <c r="U19" s="24"/>
      <c r="V19" s="24">
        <v>51</v>
      </c>
      <c r="W19" s="25">
        <v>1577</v>
      </c>
      <c r="X19" s="25"/>
      <c r="Y19" s="24">
        <v>179</v>
      </c>
      <c r="Z19" s="24"/>
      <c r="AA19" s="24">
        <v>650</v>
      </c>
      <c r="AB19" s="24"/>
      <c r="AC19" s="24"/>
      <c r="AD19" s="24"/>
      <c r="AE19" s="26">
        <f t="shared" si="2"/>
        <v>434.97</v>
      </c>
      <c r="AF19" s="24"/>
      <c r="AG19" s="27"/>
    </row>
    <row r="20" spans="1:41" s="28" customFormat="1" ht="26.25" customHeight="1" x14ac:dyDescent="0.25">
      <c r="A20" s="18">
        <v>45891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3801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1207.8</v>
      </c>
      <c r="Q20" s="24"/>
      <c r="R20" s="24"/>
      <c r="S20" s="25"/>
      <c r="T20" s="24"/>
      <c r="U20" s="24"/>
      <c r="V20" s="24">
        <v>52</v>
      </c>
      <c r="W20" s="25">
        <v>1828</v>
      </c>
      <c r="X20" s="25"/>
      <c r="Y20" s="24">
        <v>214</v>
      </c>
      <c r="Z20" s="24"/>
      <c r="AA20" s="24">
        <v>783</v>
      </c>
      <c r="AB20" s="24"/>
      <c r="AC20" s="24"/>
      <c r="AD20" s="24"/>
      <c r="AE20" s="26">
        <f t="shared" si="2"/>
        <v>520.02</v>
      </c>
      <c r="AF20" s="24"/>
      <c r="AG20" s="27"/>
    </row>
    <row r="21" spans="1:41" s="28" customFormat="1" ht="26.25" customHeight="1" x14ac:dyDescent="0.25">
      <c r="A21" s="18">
        <v>45892</v>
      </c>
      <c r="B21" s="19"/>
      <c r="C21" s="20">
        <f t="shared" si="6"/>
        <v>0</v>
      </c>
      <c r="D21" s="19"/>
      <c r="E21" s="21">
        <f t="shared" si="7"/>
        <v>0</v>
      </c>
      <c r="F21" s="19">
        <v>2998</v>
      </c>
      <c r="G21" s="22">
        <f t="shared" si="3"/>
        <v>348.60465116279073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1018.5999999999999</v>
      </c>
      <c r="Q21" s="24"/>
      <c r="R21" s="24"/>
      <c r="S21" s="25"/>
      <c r="T21" s="24"/>
      <c r="U21" s="24"/>
      <c r="V21" s="24">
        <v>26</v>
      </c>
      <c r="W21" s="25">
        <v>1526</v>
      </c>
      <c r="X21" s="25"/>
      <c r="Y21" s="24">
        <v>182</v>
      </c>
      <c r="Z21" s="24"/>
      <c r="AA21" s="24">
        <v>638</v>
      </c>
      <c r="AB21" s="24"/>
      <c r="AC21" s="24"/>
      <c r="AD21" s="24"/>
      <c r="AE21" s="26">
        <f t="shared" si="2"/>
        <v>442.26000000000005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23878</v>
      </c>
      <c r="G22" s="33">
        <f t="shared" si="8"/>
        <v>2835.5813953488368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7489.2000000000007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233</v>
      </c>
      <c r="W22" s="31">
        <f t="shared" si="8"/>
        <v>11620</v>
      </c>
      <c r="X22" s="31">
        <f t="shared" si="8"/>
        <v>0</v>
      </c>
      <c r="Y22" s="31">
        <f t="shared" si="8"/>
        <v>1290</v>
      </c>
      <c r="Z22" s="31">
        <f t="shared" si="8"/>
        <v>0</v>
      </c>
      <c r="AA22" s="31">
        <f t="shared" si="8"/>
        <v>4752</v>
      </c>
      <c r="AB22" s="31">
        <f t="shared" si="8"/>
        <v>0</v>
      </c>
      <c r="AC22" s="31">
        <f t="shared" si="8"/>
        <v>0</v>
      </c>
      <c r="AD22" s="31">
        <f t="shared" si="8"/>
        <v>0</v>
      </c>
      <c r="AE22" s="33">
        <f t="shared" si="8"/>
        <v>3134.7000000000003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Q20" sqref="Q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208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17457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45893</v>
      </c>
      <c r="B15" s="19"/>
      <c r="C15" s="20">
        <f t="shared" ref="C15:C18" si="0">B15/200*25</f>
        <v>0</v>
      </c>
      <c r="D15" s="19"/>
      <c r="E15" s="21">
        <f t="shared" ref="E15:E18" si="1">D15/208*25</f>
        <v>0</v>
      </c>
      <c r="F15" s="19">
        <v>2890</v>
      </c>
      <c r="G15" s="22">
        <f>F15/215*25</f>
        <v>336.04651162790702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829.19999999999993</v>
      </c>
      <c r="Q15" s="24"/>
      <c r="R15" s="24"/>
      <c r="S15" s="24"/>
      <c r="T15" s="24"/>
      <c r="U15" s="24"/>
      <c r="V15" s="24"/>
      <c r="W15" s="25">
        <v>1386</v>
      </c>
      <c r="X15" s="25"/>
      <c r="Y15" s="24">
        <v>148</v>
      </c>
      <c r="Z15" s="24"/>
      <c r="AA15" s="24">
        <v>520</v>
      </c>
      <c r="AB15" s="24"/>
      <c r="AC15" s="24"/>
      <c r="AD15" s="24"/>
      <c r="AE15" s="26">
        <f t="shared" ref="AE15:AE21" si="2">Y15*2.43</f>
        <v>359.64000000000004</v>
      </c>
      <c r="AF15" s="24"/>
      <c r="AG15" s="27"/>
      <c r="AH15" s="29"/>
    </row>
    <row r="16" spans="1:34" s="28" customFormat="1" ht="26.25" customHeight="1" x14ac:dyDescent="0.25">
      <c r="A16" s="18">
        <v>45894</v>
      </c>
      <c r="B16" s="19"/>
      <c r="C16" s="20">
        <f t="shared" si="0"/>
        <v>0</v>
      </c>
      <c r="D16" s="19"/>
      <c r="E16" s="21">
        <f>D16/208*25</f>
        <v>0</v>
      </c>
      <c r="F16" s="19">
        <v>3346</v>
      </c>
      <c r="G16" s="22">
        <f t="shared" ref="G16:G21" si="3">F16/215*25</f>
        <v>389.06976744186051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997.40000000000009</v>
      </c>
      <c r="Q16" s="24"/>
      <c r="R16" s="24"/>
      <c r="S16" s="25"/>
      <c r="T16" s="24"/>
      <c r="U16" s="24"/>
      <c r="V16" s="24">
        <v>78</v>
      </c>
      <c r="W16" s="25">
        <v>1522</v>
      </c>
      <c r="X16" s="25"/>
      <c r="Y16" s="24">
        <v>170</v>
      </c>
      <c r="Z16" s="24"/>
      <c r="AA16" s="24">
        <v>650</v>
      </c>
      <c r="AB16" s="24"/>
      <c r="AC16" s="24"/>
      <c r="AD16" s="24"/>
      <c r="AE16" s="26">
        <f t="shared" si="2"/>
        <v>413.1</v>
      </c>
      <c r="AF16" s="24"/>
      <c r="AG16" s="27"/>
      <c r="AH16" s="29"/>
    </row>
    <row r="17" spans="1:41" s="28" customFormat="1" ht="26.25" customHeight="1" x14ac:dyDescent="0.25">
      <c r="A17" s="18">
        <v>45895</v>
      </c>
      <c r="B17" s="19"/>
      <c r="C17" s="20">
        <f t="shared" si="0"/>
        <v>0</v>
      </c>
      <c r="D17" s="19"/>
      <c r="E17" s="21">
        <f t="shared" si="1"/>
        <v>0</v>
      </c>
      <c r="F17" s="19">
        <v>3833</v>
      </c>
      <c r="G17" s="22">
        <f t="shared" si="3"/>
        <v>445.69767441860461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1257.5999999999999</v>
      </c>
      <c r="Q17" s="24"/>
      <c r="R17" s="24"/>
      <c r="S17" s="24"/>
      <c r="T17" s="24"/>
      <c r="U17" s="24"/>
      <c r="V17" s="24">
        <v>76</v>
      </c>
      <c r="W17" s="25">
        <v>1875</v>
      </c>
      <c r="X17" s="25"/>
      <c r="Y17" s="24">
        <v>219</v>
      </c>
      <c r="Z17" s="24"/>
      <c r="AA17" s="24">
        <v>789</v>
      </c>
      <c r="AB17" s="24"/>
      <c r="AC17" s="24"/>
      <c r="AD17" s="24"/>
      <c r="AE17" s="26">
        <f t="shared" si="2"/>
        <v>532.17000000000007</v>
      </c>
      <c r="AF17" s="24"/>
      <c r="AG17" s="27"/>
    </row>
    <row r="18" spans="1:41" s="28" customFormat="1" ht="26.25" customHeight="1" x14ac:dyDescent="0.25">
      <c r="A18" s="18">
        <v>45896</v>
      </c>
      <c r="B18" s="19"/>
      <c r="C18" s="20">
        <f t="shared" si="0"/>
        <v>0</v>
      </c>
      <c r="D18" s="19"/>
      <c r="E18" s="21">
        <f t="shared" si="1"/>
        <v>0</v>
      </c>
      <c r="F18" s="19">
        <v>4123</v>
      </c>
      <c r="G18" s="22">
        <f t="shared" si="3"/>
        <v>479.41860465116281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1201</v>
      </c>
      <c r="Q18" s="24"/>
      <c r="R18" s="24"/>
      <c r="S18" s="24"/>
      <c r="T18" s="24"/>
      <c r="U18" s="24"/>
      <c r="V18" s="12">
        <v>75</v>
      </c>
      <c r="W18" s="25">
        <v>1920</v>
      </c>
      <c r="X18" s="25"/>
      <c r="Y18" s="24">
        <v>218</v>
      </c>
      <c r="Z18" s="24"/>
      <c r="AA18" s="24">
        <v>769</v>
      </c>
      <c r="AB18" s="24"/>
      <c r="AC18" s="24"/>
      <c r="AD18" s="24"/>
      <c r="AE18" s="26">
        <f t="shared" si="2"/>
        <v>529.74</v>
      </c>
      <c r="AF18" s="24"/>
      <c r="AG18" s="27"/>
      <c r="AH18" s="29"/>
    </row>
    <row r="19" spans="1:41" s="28" customFormat="1" ht="26.25" customHeight="1" x14ac:dyDescent="0.25">
      <c r="A19" s="18">
        <v>45897</v>
      </c>
      <c r="B19" s="19"/>
      <c r="C19" s="20">
        <f>B19/200*25</f>
        <v>0</v>
      </c>
      <c r="D19" s="19"/>
      <c r="E19" s="21">
        <f>D19/208*25</f>
        <v>0</v>
      </c>
      <c r="F19" s="19">
        <v>3831</v>
      </c>
      <c r="G19" s="22">
        <f t="shared" si="3"/>
        <v>445.46511627906978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1225.1999999999998</v>
      </c>
      <c r="Q19" s="24"/>
      <c r="R19" s="24"/>
      <c r="S19" s="24"/>
      <c r="T19" s="24"/>
      <c r="U19" s="24"/>
      <c r="V19" s="24">
        <v>81</v>
      </c>
      <c r="W19" s="25">
        <v>1793</v>
      </c>
      <c r="X19" s="25"/>
      <c r="Y19" s="24">
        <v>221</v>
      </c>
      <c r="Z19" s="24"/>
      <c r="AA19" s="24">
        <v>823</v>
      </c>
      <c r="AB19" s="24"/>
      <c r="AC19" s="24"/>
      <c r="AD19" s="24"/>
      <c r="AE19" s="26">
        <f t="shared" si="2"/>
        <v>537.03000000000009</v>
      </c>
      <c r="AF19" s="24"/>
      <c r="AG19" s="27"/>
    </row>
    <row r="20" spans="1:41" s="28" customFormat="1" ht="26.25" customHeight="1" x14ac:dyDescent="0.25">
      <c r="A20" s="18">
        <v>45898</v>
      </c>
      <c r="B20" s="19"/>
      <c r="C20" s="20">
        <f t="shared" ref="C20:C21" si="6">B20/200*25</f>
        <v>0</v>
      </c>
      <c r="D20" s="19"/>
      <c r="E20" s="21">
        <f t="shared" ref="E20:E21" si="7">D20/208*25</f>
        <v>0</v>
      </c>
      <c r="F20" s="19">
        <v>3498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1153.4000000000001</v>
      </c>
      <c r="Q20" s="24"/>
      <c r="R20" s="24"/>
      <c r="S20" s="25"/>
      <c r="T20" s="24"/>
      <c r="U20" s="24"/>
      <c r="V20" s="24">
        <v>27</v>
      </c>
      <c r="W20" s="25">
        <v>1774</v>
      </c>
      <c r="X20" s="25"/>
      <c r="Y20" s="24">
        <v>193</v>
      </c>
      <c r="Z20" s="24"/>
      <c r="AA20" s="24">
        <v>736</v>
      </c>
      <c r="AB20" s="24"/>
      <c r="AC20" s="24"/>
      <c r="AD20" s="24"/>
      <c r="AE20" s="26">
        <f t="shared" si="2"/>
        <v>468.99</v>
      </c>
      <c r="AF20" s="24"/>
      <c r="AG20" s="27"/>
    </row>
    <row r="21" spans="1:41" s="28" customFormat="1" ht="26.25" customHeight="1" x14ac:dyDescent="0.25">
      <c r="A21" s="18">
        <v>45899</v>
      </c>
      <c r="B21" s="19"/>
      <c r="C21" s="20">
        <f t="shared" si="6"/>
        <v>0</v>
      </c>
      <c r="D21" s="19"/>
      <c r="E21" s="21">
        <f t="shared" si="7"/>
        <v>0</v>
      </c>
      <c r="F21" s="19">
        <v>3260</v>
      </c>
      <c r="G21" s="22">
        <f t="shared" si="3"/>
        <v>379.06976744186045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1021.7999999999998</v>
      </c>
      <c r="Q21" s="24"/>
      <c r="R21" s="24"/>
      <c r="S21" s="25"/>
      <c r="T21" s="24"/>
      <c r="U21" s="24"/>
      <c r="V21" s="24">
        <v>26</v>
      </c>
      <c r="W21" s="25">
        <v>1573</v>
      </c>
      <c r="X21" s="25"/>
      <c r="Y21" s="24">
        <v>194</v>
      </c>
      <c r="Z21" s="24"/>
      <c r="AA21" s="24">
        <v>617</v>
      </c>
      <c r="AB21" s="24"/>
      <c r="AC21" s="24"/>
      <c r="AD21" s="24"/>
      <c r="AE21" s="26">
        <f t="shared" si="2"/>
        <v>471.42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0</v>
      </c>
      <c r="E22" s="33">
        <f t="shared" si="8"/>
        <v>0</v>
      </c>
      <c r="F22" s="31">
        <f t="shared" si="8"/>
        <v>24781</v>
      </c>
      <c r="G22" s="33">
        <f t="shared" si="8"/>
        <v>2975.8139534883721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7685.5999999999995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363</v>
      </c>
      <c r="W22" s="31">
        <f t="shared" si="8"/>
        <v>11843</v>
      </c>
      <c r="X22" s="31">
        <f t="shared" si="8"/>
        <v>0</v>
      </c>
      <c r="Y22" s="31">
        <f t="shared" si="8"/>
        <v>1363</v>
      </c>
      <c r="Z22" s="31">
        <f t="shared" si="8"/>
        <v>0</v>
      </c>
      <c r="AA22" s="31">
        <f t="shared" si="8"/>
        <v>4904</v>
      </c>
      <c r="AB22" s="31">
        <f t="shared" si="8"/>
        <v>0</v>
      </c>
      <c r="AC22" s="31">
        <f t="shared" si="8"/>
        <v>0</v>
      </c>
      <c r="AD22" s="31">
        <f t="shared" si="8"/>
        <v>0</v>
      </c>
      <c r="AE22" s="33">
        <f t="shared" si="8"/>
        <v>3312.09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A21" sqref="A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9.8554687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45900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>
        <v>3192</v>
      </c>
      <c r="G15" s="22">
        <f>F15/215*25</f>
        <v>371.16279069767444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891</v>
      </c>
      <c r="Q15" s="24"/>
      <c r="R15" s="24"/>
      <c r="S15" s="24"/>
      <c r="T15" s="24"/>
      <c r="U15" s="24"/>
      <c r="V15" s="24"/>
      <c r="W15" s="25">
        <v>1515</v>
      </c>
      <c r="X15" s="25"/>
      <c r="Y15" s="24">
        <v>147</v>
      </c>
      <c r="Z15" s="24"/>
      <c r="AA15" s="24">
        <v>595</v>
      </c>
      <c r="AB15" s="24"/>
      <c r="AC15" s="24"/>
      <c r="AD15" s="24"/>
      <c r="AE15" s="26">
        <f t="shared" ref="AE15:AE21" si="1">Y15*2.43</f>
        <v>357.21000000000004</v>
      </c>
      <c r="AF15" s="24"/>
      <c r="AG15" s="27"/>
      <c r="AH15" s="29"/>
    </row>
    <row r="16" spans="1:34" s="28" customFormat="1" ht="26.25" customHeight="1" x14ac:dyDescent="0.25">
      <c r="A16" s="18">
        <v>45901</v>
      </c>
      <c r="B16" s="19"/>
      <c r="C16" s="20">
        <f t="shared" si="0"/>
        <v>0</v>
      </c>
      <c r="D16" s="19">
        <v>2088</v>
      </c>
      <c r="E16" s="21">
        <f t="shared" ref="E16:E21" si="2">D16/200*25</f>
        <v>261</v>
      </c>
      <c r="F16" s="19">
        <v>3591</v>
      </c>
      <c r="G16" s="22">
        <f t="shared" ref="G16:G21" si="3">F16/215*25</f>
        <v>417.55813953488376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962.40000000000009</v>
      </c>
      <c r="Q16" s="24"/>
      <c r="R16" s="24"/>
      <c r="S16" s="25"/>
      <c r="T16" s="24"/>
      <c r="U16" s="24"/>
      <c r="V16" s="24">
        <v>102</v>
      </c>
      <c r="W16" s="25">
        <v>1514</v>
      </c>
      <c r="X16" s="25"/>
      <c r="Y16" s="24">
        <v>184</v>
      </c>
      <c r="Z16" s="24"/>
      <c r="AA16" s="24">
        <v>650</v>
      </c>
      <c r="AB16" s="24"/>
      <c r="AC16" s="24"/>
      <c r="AD16" s="24"/>
      <c r="AE16" s="26">
        <f t="shared" si="1"/>
        <v>447.12</v>
      </c>
      <c r="AF16" s="24"/>
      <c r="AG16" s="27"/>
      <c r="AH16" s="29"/>
    </row>
    <row r="17" spans="1:41" s="28" customFormat="1" ht="26.25" customHeight="1" x14ac:dyDescent="0.25">
      <c r="A17" s="18">
        <v>45902</v>
      </c>
      <c r="B17" s="19"/>
      <c r="C17" s="20">
        <f t="shared" si="0"/>
        <v>0</v>
      </c>
      <c r="D17" s="19">
        <v>2344</v>
      </c>
      <c r="E17" s="21">
        <f t="shared" si="2"/>
        <v>293</v>
      </c>
      <c r="F17" s="19">
        <v>3953</v>
      </c>
      <c r="G17" s="22">
        <f t="shared" si="3"/>
        <v>459.65116279069764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1105.0000000000002</v>
      </c>
      <c r="Q17" s="24"/>
      <c r="R17" s="24"/>
      <c r="S17" s="24"/>
      <c r="T17" s="24"/>
      <c r="U17" s="24"/>
      <c r="V17" s="24">
        <v>107</v>
      </c>
      <c r="W17" s="25">
        <v>1729</v>
      </c>
      <c r="X17" s="25"/>
      <c r="Y17" s="24">
        <v>187</v>
      </c>
      <c r="Z17" s="24">
        <v>2</v>
      </c>
      <c r="AA17" s="24">
        <v>744</v>
      </c>
      <c r="AB17" s="24"/>
      <c r="AC17" s="24"/>
      <c r="AD17" s="24"/>
      <c r="AE17" s="26">
        <f t="shared" si="1"/>
        <v>454.41</v>
      </c>
      <c r="AF17" s="24"/>
      <c r="AG17" s="27"/>
    </row>
    <row r="18" spans="1:41" s="28" customFormat="1" ht="26.25" customHeight="1" x14ac:dyDescent="0.25">
      <c r="A18" s="18">
        <v>45903</v>
      </c>
      <c r="B18" s="19"/>
      <c r="C18" s="20">
        <f t="shared" si="0"/>
        <v>0</v>
      </c>
      <c r="D18" s="19"/>
      <c r="E18" s="21">
        <f t="shared" si="2"/>
        <v>0</v>
      </c>
      <c r="F18" s="19">
        <v>3336</v>
      </c>
      <c r="G18" s="22">
        <f t="shared" si="3"/>
        <v>387.90697674418607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1028.8</v>
      </c>
      <c r="Q18" s="24"/>
      <c r="R18" s="24"/>
      <c r="S18" s="24"/>
      <c r="T18" s="24"/>
      <c r="U18" s="24"/>
      <c r="V18" s="12">
        <v>79</v>
      </c>
      <c r="W18" s="25">
        <v>1552</v>
      </c>
      <c r="X18" s="25"/>
      <c r="Y18" s="24">
        <v>189</v>
      </c>
      <c r="Z18" s="24">
        <v>2</v>
      </c>
      <c r="AA18" s="24">
        <v>651</v>
      </c>
      <c r="AB18" s="24"/>
      <c r="AC18" s="24"/>
      <c r="AD18" s="24"/>
      <c r="AE18" s="26">
        <f t="shared" si="1"/>
        <v>459.27000000000004</v>
      </c>
      <c r="AF18" s="24"/>
      <c r="AG18" s="27"/>
      <c r="AH18" s="29"/>
    </row>
    <row r="19" spans="1:41" s="28" customFormat="1" ht="26.25" customHeight="1" x14ac:dyDescent="0.25">
      <c r="A19" s="18">
        <v>45904</v>
      </c>
      <c r="B19" s="19"/>
      <c r="C19" s="20">
        <f>B19/200*25</f>
        <v>0</v>
      </c>
      <c r="D19" s="19">
        <v>1956</v>
      </c>
      <c r="E19" s="21">
        <f t="shared" si="2"/>
        <v>244.49999999999997</v>
      </c>
      <c r="F19" s="19">
        <v>4086</v>
      </c>
      <c r="G19" s="22">
        <f t="shared" si="3"/>
        <v>475.11627906976742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1200.8000000000002</v>
      </c>
      <c r="Q19" s="24"/>
      <c r="R19" s="24"/>
      <c r="S19" s="24"/>
      <c r="T19" s="24"/>
      <c r="U19" s="24"/>
      <c r="V19" s="24">
        <v>78</v>
      </c>
      <c r="W19" s="25">
        <v>1904</v>
      </c>
      <c r="X19" s="25"/>
      <c r="Y19" s="24">
        <v>200</v>
      </c>
      <c r="Z19" s="24"/>
      <c r="AA19" s="24">
        <v>763</v>
      </c>
      <c r="AB19" s="24"/>
      <c r="AC19" s="24"/>
      <c r="AD19" s="24"/>
      <c r="AE19" s="26">
        <f t="shared" si="1"/>
        <v>486.00000000000006</v>
      </c>
      <c r="AF19" s="24"/>
      <c r="AG19" s="27"/>
    </row>
    <row r="20" spans="1:41" s="28" customFormat="1" ht="26.25" customHeight="1" x14ac:dyDescent="0.25">
      <c r="A20" s="18">
        <v>45905</v>
      </c>
      <c r="B20" s="19"/>
      <c r="C20" s="20">
        <f t="shared" ref="C20:C21" si="6">B20/200*25</f>
        <v>0</v>
      </c>
      <c r="D20" s="19">
        <v>2037</v>
      </c>
      <c r="E20" s="21">
        <f t="shared" si="2"/>
        <v>254.625</v>
      </c>
      <c r="F20" s="19">
        <v>3871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1082.8</v>
      </c>
      <c r="Q20" s="24"/>
      <c r="R20" s="24"/>
      <c r="S20" s="25"/>
      <c r="T20" s="24"/>
      <c r="U20" s="24"/>
      <c r="V20" s="24">
        <v>52</v>
      </c>
      <c r="W20" s="25">
        <v>1755</v>
      </c>
      <c r="X20" s="25"/>
      <c r="Y20" s="24">
        <v>192</v>
      </c>
      <c r="Z20" s="24">
        <v>2</v>
      </c>
      <c r="AA20" s="24">
        <v>718</v>
      </c>
      <c r="AB20" s="24"/>
      <c r="AC20" s="24"/>
      <c r="AD20" s="24"/>
      <c r="AE20" s="26">
        <f t="shared" si="1"/>
        <v>466.56000000000006</v>
      </c>
      <c r="AF20" s="24"/>
      <c r="AG20" s="27"/>
    </row>
    <row r="21" spans="1:41" s="28" customFormat="1" ht="26.25" customHeight="1" x14ac:dyDescent="0.25">
      <c r="A21" s="18">
        <v>45906</v>
      </c>
      <c r="B21" s="19"/>
      <c r="C21" s="20">
        <f t="shared" si="6"/>
        <v>0</v>
      </c>
      <c r="D21" s="19">
        <v>2225</v>
      </c>
      <c r="E21" s="21">
        <f t="shared" si="2"/>
        <v>278.125</v>
      </c>
      <c r="F21" s="19">
        <v>3412</v>
      </c>
      <c r="G21" s="22">
        <f t="shared" si="3"/>
        <v>396.74418604651163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1059.4000000000001</v>
      </c>
      <c r="Q21" s="24"/>
      <c r="R21" s="24"/>
      <c r="S21" s="25"/>
      <c r="T21" s="24"/>
      <c r="U21" s="24"/>
      <c r="V21" s="24"/>
      <c r="W21" s="25">
        <v>1680</v>
      </c>
      <c r="X21" s="25"/>
      <c r="Y21" s="24">
        <v>196</v>
      </c>
      <c r="Z21" s="24">
        <v>2</v>
      </c>
      <c r="AA21" s="24">
        <v>683</v>
      </c>
      <c r="AB21" s="24"/>
      <c r="AC21" s="24"/>
      <c r="AD21" s="24"/>
      <c r="AE21" s="26">
        <f t="shared" si="1"/>
        <v>476.28000000000003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10650</v>
      </c>
      <c r="E22" s="33">
        <f t="shared" si="7"/>
        <v>1331.25</v>
      </c>
      <c r="F22" s="31">
        <f t="shared" si="7"/>
        <v>25441</v>
      </c>
      <c r="G22" s="33">
        <f t="shared" si="7"/>
        <v>3009.1860465116274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7330.2000000000007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418</v>
      </c>
      <c r="W22" s="31">
        <f t="shared" si="7"/>
        <v>11649</v>
      </c>
      <c r="X22" s="31">
        <f t="shared" si="7"/>
        <v>0</v>
      </c>
      <c r="Y22" s="31">
        <f t="shared" si="7"/>
        <v>1295</v>
      </c>
      <c r="Z22" s="31">
        <f t="shared" si="7"/>
        <v>8</v>
      </c>
      <c r="AA22" s="31">
        <f t="shared" si="7"/>
        <v>4804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3146.8500000000004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F28" sqref="F2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45907</v>
      </c>
      <c r="B15" s="19"/>
      <c r="C15" s="20">
        <f t="shared" ref="C15:C18" si="0">B15/200*25</f>
        <v>0</v>
      </c>
      <c r="D15" s="19">
        <v>2233</v>
      </c>
      <c r="E15" s="21">
        <f>D15/200*25</f>
        <v>279.125</v>
      </c>
      <c r="F15" s="19">
        <v>3077</v>
      </c>
      <c r="G15" s="22">
        <f>F15/215*25</f>
        <v>357.7906976744186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893.40000000000009</v>
      </c>
      <c r="Q15" s="24"/>
      <c r="R15" s="24"/>
      <c r="S15" s="24"/>
      <c r="T15" s="24"/>
      <c r="U15" s="24"/>
      <c r="V15" s="24"/>
      <c r="W15" s="25">
        <v>1477</v>
      </c>
      <c r="X15" s="25"/>
      <c r="Y15" s="24">
        <v>159</v>
      </c>
      <c r="Z15" s="24">
        <v>2</v>
      </c>
      <c r="AA15" s="24">
        <v>580</v>
      </c>
      <c r="AB15" s="24"/>
      <c r="AC15" s="24"/>
      <c r="AD15" s="24"/>
      <c r="AE15" s="26">
        <f t="shared" ref="AE15:AE21" si="1">Y15*2.43</f>
        <v>386.37</v>
      </c>
      <c r="AF15" s="24"/>
      <c r="AG15" s="27"/>
      <c r="AH15" s="29"/>
    </row>
    <row r="16" spans="1:34" s="28" customFormat="1" ht="26.25" customHeight="1" x14ac:dyDescent="0.25">
      <c r="A16" s="18">
        <v>45908</v>
      </c>
      <c r="B16" s="19"/>
      <c r="C16" s="20">
        <f t="shared" si="0"/>
        <v>0</v>
      </c>
      <c r="D16" s="19">
        <v>1775</v>
      </c>
      <c r="E16" s="21">
        <f t="shared" ref="E16:E21" si="2">D16/200*25</f>
        <v>221.875</v>
      </c>
      <c r="F16" s="19">
        <v>3473</v>
      </c>
      <c r="G16" s="22">
        <f t="shared" ref="G16:G21" si="3">F16/215*25</f>
        <v>403.83720930232556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935</v>
      </c>
      <c r="Q16" s="24"/>
      <c r="R16" s="24"/>
      <c r="S16" s="25"/>
      <c r="T16" s="24"/>
      <c r="U16" s="24"/>
      <c r="V16" s="24">
        <v>78</v>
      </c>
      <c r="W16" s="25">
        <v>1489</v>
      </c>
      <c r="X16" s="25"/>
      <c r="Y16" s="24">
        <v>175</v>
      </c>
      <c r="Z16" s="24"/>
      <c r="AA16" s="24">
        <v>600</v>
      </c>
      <c r="AB16" s="24"/>
      <c r="AC16" s="24"/>
      <c r="AD16" s="24"/>
      <c r="AE16" s="26">
        <f t="shared" si="1"/>
        <v>425.25</v>
      </c>
      <c r="AF16" s="24"/>
      <c r="AG16" s="27"/>
      <c r="AH16" s="29"/>
    </row>
    <row r="17" spans="1:41" s="28" customFormat="1" ht="26.25" customHeight="1" x14ac:dyDescent="0.25">
      <c r="A17" s="18">
        <v>45909</v>
      </c>
      <c r="B17" s="19"/>
      <c r="C17" s="20">
        <f t="shared" si="0"/>
        <v>0</v>
      </c>
      <c r="D17" s="19">
        <v>1512</v>
      </c>
      <c r="E17" s="21">
        <f t="shared" si="2"/>
        <v>189</v>
      </c>
      <c r="F17" s="19">
        <v>4047</v>
      </c>
      <c r="G17" s="22">
        <f t="shared" si="3"/>
        <v>470.58139534883719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1220.4000000000001</v>
      </c>
      <c r="Q17" s="24"/>
      <c r="R17" s="24"/>
      <c r="S17" s="24"/>
      <c r="T17" s="24"/>
      <c r="U17" s="24"/>
      <c r="V17" s="24">
        <v>52</v>
      </c>
      <c r="W17" s="25">
        <v>1902</v>
      </c>
      <c r="X17" s="25"/>
      <c r="Y17" s="24">
        <v>209</v>
      </c>
      <c r="Z17" s="24">
        <v>2</v>
      </c>
      <c r="AA17" s="24">
        <v>629</v>
      </c>
      <c r="AB17" s="24">
        <v>167</v>
      </c>
      <c r="AC17" s="24"/>
      <c r="AD17" s="24"/>
      <c r="AE17" s="26">
        <f t="shared" si="1"/>
        <v>507.87000000000006</v>
      </c>
      <c r="AF17" s="24"/>
      <c r="AG17" s="27"/>
    </row>
    <row r="18" spans="1:41" s="28" customFormat="1" ht="26.25" customHeight="1" x14ac:dyDescent="0.25">
      <c r="A18" s="18">
        <v>45910</v>
      </c>
      <c r="B18" s="19"/>
      <c r="C18" s="20">
        <f t="shared" si="0"/>
        <v>0</v>
      </c>
      <c r="D18" s="19"/>
      <c r="E18" s="21">
        <f t="shared" si="2"/>
        <v>0</v>
      </c>
      <c r="F18" s="19">
        <v>3089</v>
      </c>
      <c r="G18" s="22">
        <f t="shared" si="3"/>
        <v>359.18604651162786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855.8</v>
      </c>
      <c r="Q18" s="24"/>
      <c r="R18" s="24"/>
      <c r="S18" s="24"/>
      <c r="T18" s="24"/>
      <c r="U18" s="24"/>
      <c r="V18" s="12">
        <v>76</v>
      </c>
      <c r="W18" s="25">
        <v>1340</v>
      </c>
      <c r="X18" s="25"/>
      <c r="Y18" s="24">
        <v>171</v>
      </c>
      <c r="Z18" s="24"/>
      <c r="AA18" s="24">
        <v>427</v>
      </c>
      <c r="AB18" s="24">
        <v>178</v>
      </c>
      <c r="AC18" s="24"/>
      <c r="AD18" s="24"/>
      <c r="AE18" s="26">
        <f t="shared" si="1"/>
        <v>415.53000000000003</v>
      </c>
      <c r="AF18" s="24"/>
      <c r="AG18" s="27"/>
      <c r="AH18" s="29"/>
    </row>
    <row r="19" spans="1:41" s="28" customFormat="1" ht="26.25" customHeight="1" x14ac:dyDescent="0.25">
      <c r="A19" s="18">
        <v>45911</v>
      </c>
      <c r="B19" s="19"/>
      <c r="C19" s="20">
        <f>B19/200*25</f>
        <v>0</v>
      </c>
      <c r="D19" s="19">
        <v>131</v>
      </c>
      <c r="E19" s="21">
        <f t="shared" si="2"/>
        <v>16.375</v>
      </c>
      <c r="F19" s="19">
        <v>3176</v>
      </c>
      <c r="G19" s="22">
        <f t="shared" si="3"/>
        <v>369.30232558139534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2813</v>
      </c>
      <c r="Q19" s="24"/>
      <c r="R19" s="24"/>
      <c r="S19" s="24"/>
      <c r="T19" s="24"/>
      <c r="U19" s="24"/>
      <c r="V19" s="24">
        <v>24</v>
      </c>
      <c r="W19" s="25">
        <v>1617</v>
      </c>
      <c r="X19" s="25"/>
      <c r="Y19" s="24">
        <v>176</v>
      </c>
      <c r="Z19" s="24"/>
      <c r="AA19" s="24">
        <v>474</v>
      </c>
      <c r="AB19" s="24">
        <v>214</v>
      </c>
      <c r="AC19" s="24"/>
      <c r="AD19" s="24"/>
      <c r="AE19" s="26">
        <f t="shared" si="1"/>
        <v>427.68</v>
      </c>
      <c r="AF19" s="24"/>
      <c r="AG19" s="27"/>
    </row>
    <row r="20" spans="1:41" s="28" customFormat="1" ht="26.25" customHeight="1" x14ac:dyDescent="0.25">
      <c r="A20" s="18">
        <v>45912</v>
      </c>
      <c r="B20" s="19"/>
      <c r="C20" s="20">
        <f t="shared" ref="C20:C21" si="6">B20/200*25</f>
        <v>0</v>
      </c>
      <c r="D20" s="19">
        <v>722</v>
      </c>
      <c r="E20" s="21">
        <f t="shared" si="2"/>
        <v>90.25</v>
      </c>
      <c r="F20" s="19">
        <v>3302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1287.8000000000002</v>
      </c>
      <c r="Q20" s="24"/>
      <c r="R20" s="24"/>
      <c r="S20" s="25"/>
      <c r="T20" s="24"/>
      <c r="U20" s="24"/>
      <c r="V20" s="24">
        <v>69</v>
      </c>
      <c r="W20" s="25">
        <v>1933</v>
      </c>
      <c r="X20" s="25"/>
      <c r="Y20" s="24">
        <v>212</v>
      </c>
      <c r="Z20" s="24">
        <v>2</v>
      </c>
      <c r="AA20" s="24">
        <v>586</v>
      </c>
      <c r="AB20" s="24">
        <v>258</v>
      </c>
      <c r="AC20" s="24"/>
      <c r="AD20" s="24"/>
      <c r="AE20" s="26">
        <f t="shared" si="1"/>
        <v>515.16000000000008</v>
      </c>
      <c r="AF20" s="24">
        <v>50</v>
      </c>
      <c r="AG20" s="27"/>
    </row>
    <row r="21" spans="1:41" s="28" customFormat="1" ht="26.25" customHeight="1" x14ac:dyDescent="0.25">
      <c r="A21" s="18">
        <v>45913</v>
      </c>
      <c r="B21" s="19"/>
      <c r="C21" s="20">
        <f t="shared" si="6"/>
        <v>0</v>
      </c>
      <c r="D21" s="19">
        <v>648</v>
      </c>
      <c r="E21" s="21">
        <f t="shared" si="2"/>
        <v>81</v>
      </c>
      <c r="F21" s="19">
        <v>3151</v>
      </c>
      <c r="G21" s="22">
        <f t="shared" si="3"/>
        <v>366.39534883720933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1247.1999999999998</v>
      </c>
      <c r="Q21" s="24"/>
      <c r="R21" s="24"/>
      <c r="S21" s="25"/>
      <c r="T21" s="24"/>
      <c r="U21" s="24"/>
      <c r="V21" s="24">
        <v>40</v>
      </c>
      <c r="W21" s="25">
        <v>1908</v>
      </c>
      <c r="X21" s="25"/>
      <c r="Y21" s="24">
        <v>207</v>
      </c>
      <c r="Z21" s="24">
        <v>2</v>
      </c>
      <c r="AA21" s="24">
        <v>557</v>
      </c>
      <c r="AB21" s="24">
        <v>265</v>
      </c>
      <c r="AC21" s="24"/>
      <c r="AD21" s="24"/>
      <c r="AE21" s="26">
        <f t="shared" si="1"/>
        <v>503.01000000000005</v>
      </c>
      <c r="AF21" s="24">
        <v>50</v>
      </c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7021</v>
      </c>
      <c r="E22" s="33">
        <f t="shared" si="7"/>
        <v>877.625</v>
      </c>
      <c r="F22" s="31">
        <f t="shared" si="7"/>
        <v>23315</v>
      </c>
      <c r="G22" s="33">
        <f t="shared" si="7"/>
        <v>2828.1395348837209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9252.6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339</v>
      </c>
      <c r="W22" s="31">
        <f t="shared" si="7"/>
        <v>11666</v>
      </c>
      <c r="X22" s="31">
        <f t="shared" si="7"/>
        <v>0</v>
      </c>
      <c r="Y22" s="31">
        <f t="shared" si="7"/>
        <v>1309</v>
      </c>
      <c r="Z22" s="31">
        <f t="shared" si="7"/>
        <v>8</v>
      </c>
      <c r="AA22" s="31">
        <f t="shared" si="7"/>
        <v>3853</v>
      </c>
      <c r="AB22" s="31">
        <f t="shared" si="7"/>
        <v>1082</v>
      </c>
      <c r="AC22" s="31">
        <f t="shared" si="7"/>
        <v>0</v>
      </c>
      <c r="AD22" s="31">
        <f t="shared" si="7"/>
        <v>0</v>
      </c>
      <c r="AE22" s="33">
        <f t="shared" si="7"/>
        <v>3180.87</v>
      </c>
      <c r="AF22" s="33">
        <f t="shared" si="7"/>
        <v>100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43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F23" sqref="F23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148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45914</v>
      </c>
      <c r="B15" s="19"/>
      <c r="C15" s="20">
        <f t="shared" ref="C15:C18" si="0">B15/200*25</f>
        <v>0</v>
      </c>
      <c r="D15" s="19">
        <v>766</v>
      </c>
      <c r="E15" s="21">
        <f>D15/200*25</f>
        <v>95.75</v>
      </c>
      <c r="F15" s="19">
        <v>2128</v>
      </c>
      <c r="G15" s="22">
        <f>F15/215*25</f>
        <v>247.44186046511629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846.60000000000014</v>
      </c>
      <c r="Q15" s="24"/>
      <c r="R15" s="24"/>
      <c r="S15" s="24"/>
      <c r="T15" s="24"/>
      <c r="U15" s="24"/>
      <c r="V15" s="24"/>
      <c r="W15" s="25">
        <v>1371</v>
      </c>
      <c r="X15" s="25"/>
      <c r="Y15" s="24">
        <v>158</v>
      </c>
      <c r="Z15" s="24">
        <v>2</v>
      </c>
      <c r="AA15" s="24">
        <v>279</v>
      </c>
      <c r="AB15" s="24">
        <v>290</v>
      </c>
      <c r="AC15" s="24"/>
      <c r="AD15" s="24"/>
      <c r="AE15" s="26">
        <f t="shared" ref="AE15:AE21" si="1">Y15*2.43</f>
        <v>383.94</v>
      </c>
      <c r="AF15" s="24"/>
      <c r="AG15" s="27"/>
      <c r="AH15" s="29"/>
    </row>
    <row r="16" spans="1:34" s="28" customFormat="1" ht="26.25" customHeight="1" x14ac:dyDescent="0.25">
      <c r="A16" s="18">
        <v>45915</v>
      </c>
      <c r="B16" s="19"/>
      <c r="C16" s="20">
        <f t="shared" si="0"/>
        <v>0</v>
      </c>
      <c r="D16" s="19">
        <v>629</v>
      </c>
      <c r="E16" s="21">
        <f t="shared" ref="E16:E21" si="2">D16/200*25</f>
        <v>78.625</v>
      </c>
      <c r="F16" s="19">
        <v>2189</v>
      </c>
      <c r="G16" s="22">
        <f t="shared" ref="G16:G21" si="3">F16/215*25</f>
        <v>254.53488372093025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1050</v>
      </c>
      <c r="Q16" s="24"/>
      <c r="R16" s="24"/>
      <c r="S16" s="25"/>
      <c r="T16" s="24"/>
      <c r="U16" s="24"/>
      <c r="V16" s="24">
        <v>40</v>
      </c>
      <c r="W16" s="25">
        <v>1502</v>
      </c>
      <c r="X16" s="25"/>
      <c r="Y16" s="24">
        <v>194</v>
      </c>
      <c r="Z16" s="24">
        <v>2</v>
      </c>
      <c r="AA16" s="24">
        <v>313</v>
      </c>
      <c r="AB16" s="24">
        <v>331</v>
      </c>
      <c r="AC16" s="24"/>
      <c r="AD16" s="24"/>
      <c r="AE16" s="26">
        <f t="shared" si="1"/>
        <v>471.42</v>
      </c>
      <c r="AF16" s="24"/>
      <c r="AG16" s="27">
        <v>3</v>
      </c>
      <c r="AH16" s="29"/>
    </row>
    <row r="17" spans="1:41" s="28" customFormat="1" ht="26.25" customHeight="1" x14ac:dyDescent="0.25">
      <c r="A17" s="18">
        <v>45916</v>
      </c>
      <c r="B17" s="19"/>
      <c r="C17" s="20">
        <f t="shared" si="0"/>
        <v>0</v>
      </c>
      <c r="D17" s="19">
        <v>547</v>
      </c>
      <c r="E17" s="21">
        <f t="shared" si="2"/>
        <v>68.375</v>
      </c>
      <c r="F17" s="19">
        <v>2534</v>
      </c>
      <c r="G17" s="22">
        <f t="shared" si="3"/>
        <v>294.6511627906977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909</v>
      </c>
      <c r="Q17" s="24"/>
      <c r="R17" s="24"/>
      <c r="S17" s="24"/>
      <c r="T17" s="24"/>
      <c r="U17" s="24"/>
      <c r="V17" s="24">
        <v>40</v>
      </c>
      <c r="W17" s="25">
        <v>1461</v>
      </c>
      <c r="X17" s="25"/>
      <c r="Y17" s="24">
        <v>184</v>
      </c>
      <c r="Z17" s="24">
        <v>2</v>
      </c>
      <c r="AA17" s="24">
        <v>184</v>
      </c>
      <c r="AB17" s="24">
        <v>415</v>
      </c>
      <c r="AC17" s="24"/>
      <c r="AD17" s="24"/>
      <c r="AE17" s="26">
        <f t="shared" si="1"/>
        <v>447.12</v>
      </c>
      <c r="AF17" s="24"/>
      <c r="AG17" s="27"/>
    </row>
    <row r="18" spans="1:41" s="28" customFormat="1" ht="26.25" customHeight="1" x14ac:dyDescent="0.25">
      <c r="A18" s="18">
        <v>45917</v>
      </c>
      <c r="B18" s="19"/>
      <c r="C18" s="20">
        <f t="shared" si="0"/>
        <v>0</v>
      </c>
      <c r="D18" s="19">
        <v>844</v>
      </c>
      <c r="E18" s="21">
        <f t="shared" si="2"/>
        <v>105.5</v>
      </c>
      <c r="F18" s="19">
        <v>1999</v>
      </c>
      <c r="G18" s="22">
        <f t="shared" si="3"/>
        <v>232.44186046511629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916.80000000000007</v>
      </c>
      <c r="Q18" s="24"/>
      <c r="R18" s="24"/>
      <c r="S18" s="24"/>
      <c r="T18" s="24"/>
      <c r="U18" s="24"/>
      <c r="V18" s="12">
        <v>60</v>
      </c>
      <c r="W18" s="25">
        <v>1361</v>
      </c>
      <c r="X18" s="25"/>
      <c r="Y18" s="24">
        <v>152</v>
      </c>
      <c r="Z18" s="24">
        <v>2</v>
      </c>
      <c r="AA18" s="24">
        <v>173</v>
      </c>
      <c r="AB18" s="24">
        <v>432</v>
      </c>
      <c r="AC18" s="24"/>
      <c r="AD18" s="24"/>
      <c r="AE18" s="26">
        <f t="shared" si="1"/>
        <v>369.36</v>
      </c>
      <c r="AF18" s="24"/>
      <c r="AG18" s="27"/>
      <c r="AH18" s="29"/>
    </row>
    <row r="19" spans="1:41" s="28" customFormat="1" ht="26.25" customHeight="1" x14ac:dyDescent="0.25">
      <c r="A19" s="18">
        <v>45918</v>
      </c>
      <c r="B19" s="19"/>
      <c r="C19" s="20">
        <f>B19/200*25</f>
        <v>0</v>
      </c>
      <c r="D19" s="19">
        <v>718</v>
      </c>
      <c r="E19" s="21">
        <f t="shared" si="2"/>
        <v>89.75</v>
      </c>
      <c r="F19" s="19">
        <v>2762</v>
      </c>
      <c r="G19" s="22">
        <f t="shared" si="3"/>
        <v>321.16279069767444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1090.2</v>
      </c>
      <c r="Q19" s="24"/>
      <c r="R19" s="24"/>
      <c r="S19" s="24"/>
      <c r="T19" s="24"/>
      <c r="U19" s="24"/>
      <c r="V19" s="24"/>
      <c r="W19" s="25">
        <v>1706</v>
      </c>
      <c r="X19" s="25"/>
      <c r="Y19" s="24">
        <v>196</v>
      </c>
      <c r="Z19" s="24">
        <v>2</v>
      </c>
      <c r="AA19" s="24">
        <v>244</v>
      </c>
      <c r="AB19" s="24">
        <v>461</v>
      </c>
      <c r="AC19" s="24"/>
      <c r="AD19" s="24"/>
      <c r="AE19" s="26">
        <f t="shared" si="1"/>
        <v>476.28000000000003</v>
      </c>
      <c r="AF19" s="24">
        <v>150</v>
      </c>
      <c r="AG19" s="27"/>
    </row>
    <row r="20" spans="1:41" s="28" customFormat="1" ht="26.25" customHeight="1" x14ac:dyDescent="0.25">
      <c r="A20" s="18">
        <v>45919</v>
      </c>
      <c r="B20" s="19"/>
      <c r="C20" s="20">
        <f t="shared" ref="C20:C21" si="6">B20/200*25</f>
        <v>0</v>
      </c>
      <c r="D20" s="19">
        <v>1022</v>
      </c>
      <c r="E20" s="21">
        <f t="shared" si="2"/>
        <v>127.75000000000001</v>
      </c>
      <c r="F20" s="19">
        <v>2946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1175.4000000000001</v>
      </c>
      <c r="Q20" s="24"/>
      <c r="R20" s="24"/>
      <c r="S20" s="25"/>
      <c r="T20" s="24"/>
      <c r="U20" s="24"/>
      <c r="V20" s="24">
        <v>60</v>
      </c>
      <c r="W20" s="25">
        <v>1853</v>
      </c>
      <c r="X20" s="25"/>
      <c r="Y20" s="24">
        <v>227</v>
      </c>
      <c r="Z20" s="24">
        <v>4</v>
      </c>
      <c r="AA20" s="24">
        <v>329</v>
      </c>
      <c r="AB20" s="24">
        <v>512</v>
      </c>
      <c r="AC20" s="24"/>
      <c r="AD20" s="24"/>
      <c r="AE20" s="26">
        <f t="shared" si="1"/>
        <v>551.61</v>
      </c>
      <c r="AF20" s="24"/>
      <c r="AG20" s="27"/>
    </row>
    <row r="21" spans="1:41" s="28" customFormat="1" ht="26.25" customHeight="1" x14ac:dyDescent="0.25">
      <c r="A21" s="18">
        <v>45920</v>
      </c>
      <c r="B21" s="19"/>
      <c r="C21" s="20">
        <f t="shared" si="6"/>
        <v>0</v>
      </c>
      <c r="D21" s="19">
        <v>2624</v>
      </c>
      <c r="E21" s="21">
        <f t="shared" si="2"/>
        <v>328</v>
      </c>
      <c r="F21" s="19">
        <v>1595</v>
      </c>
      <c r="G21" s="22">
        <f t="shared" si="3"/>
        <v>185.46511627906978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1206.3</v>
      </c>
      <c r="Q21" s="24"/>
      <c r="R21" s="24"/>
      <c r="S21" s="25"/>
      <c r="T21" s="24"/>
      <c r="U21" s="24"/>
      <c r="V21" s="24">
        <v>40</v>
      </c>
      <c r="W21" s="25">
        <v>1909</v>
      </c>
      <c r="X21" s="25"/>
      <c r="Y21" s="24">
        <v>222</v>
      </c>
      <c r="Z21" s="24">
        <v>4</v>
      </c>
      <c r="AA21" s="24">
        <v>213</v>
      </c>
      <c r="AB21" s="24">
        <v>563</v>
      </c>
      <c r="AC21" s="24"/>
      <c r="AD21" s="24"/>
      <c r="AE21" s="26">
        <f t="shared" si="1"/>
        <v>539.46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7150</v>
      </c>
      <c r="E22" s="33">
        <f t="shared" si="7"/>
        <v>893.75</v>
      </c>
      <c r="F22" s="31">
        <f t="shared" si="7"/>
        <v>16153</v>
      </c>
      <c r="G22" s="33">
        <f t="shared" si="7"/>
        <v>2036.7441860465119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7194.3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240</v>
      </c>
      <c r="W22" s="31">
        <f t="shared" si="7"/>
        <v>11163</v>
      </c>
      <c r="X22" s="31">
        <f t="shared" si="7"/>
        <v>0</v>
      </c>
      <c r="Y22" s="31">
        <f t="shared" si="7"/>
        <v>1333</v>
      </c>
      <c r="Z22" s="31">
        <f t="shared" si="7"/>
        <v>18</v>
      </c>
      <c r="AA22" s="31">
        <f t="shared" si="7"/>
        <v>1735</v>
      </c>
      <c r="AB22" s="31">
        <f t="shared" si="7"/>
        <v>3004</v>
      </c>
      <c r="AC22" s="31">
        <f t="shared" si="7"/>
        <v>0</v>
      </c>
      <c r="AD22" s="31">
        <f t="shared" si="7"/>
        <v>0</v>
      </c>
      <c r="AE22" s="33">
        <f t="shared" si="7"/>
        <v>3239.1900000000005</v>
      </c>
      <c r="AF22" s="33">
        <f t="shared" si="7"/>
        <v>150</v>
      </c>
      <c r="AG22" s="33">
        <f t="shared" si="7"/>
        <v>3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Q26" sqref="Q2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45921</v>
      </c>
      <c r="B15" s="19"/>
      <c r="C15" s="20">
        <f t="shared" ref="C15:C18" si="0">B15/200*25</f>
        <v>0</v>
      </c>
      <c r="D15" s="19">
        <v>1601</v>
      </c>
      <c r="E15" s="21">
        <f>D15/200*25</f>
        <v>200.12500000000003</v>
      </c>
      <c r="F15" s="19">
        <v>1169</v>
      </c>
      <c r="G15" s="22">
        <f>F15/215*25</f>
        <v>135.93023255813955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956.40000000000009</v>
      </c>
      <c r="Q15" s="24"/>
      <c r="R15" s="24"/>
      <c r="S15" s="24"/>
      <c r="T15" s="24"/>
      <c r="U15" s="24"/>
      <c r="V15" s="24"/>
      <c r="W15" s="25">
        <v>1466</v>
      </c>
      <c r="X15" s="25"/>
      <c r="Y15" s="24">
        <v>167</v>
      </c>
      <c r="Z15" s="24">
        <v>2</v>
      </c>
      <c r="AA15" s="24">
        <v>189</v>
      </c>
      <c r="AB15" s="24">
        <v>399</v>
      </c>
      <c r="AC15" s="24"/>
      <c r="AD15" s="24"/>
      <c r="AE15" s="26">
        <f>Y15*2.43</f>
        <v>405.81</v>
      </c>
      <c r="AF15" s="24"/>
      <c r="AG15" s="27"/>
      <c r="AH15" s="29"/>
    </row>
    <row r="16" spans="1:34" s="28" customFormat="1" ht="26.25" customHeight="1" x14ac:dyDescent="0.25">
      <c r="A16" s="18">
        <v>45922</v>
      </c>
      <c r="B16" s="19"/>
      <c r="C16" s="20">
        <f t="shared" si="0"/>
        <v>0</v>
      </c>
      <c r="D16" s="19">
        <v>2016</v>
      </c>
      <c r="E16" s="21">
        <f t="shared" ref="E16:E21" si="1">D16/200*25</f>
        <v>252</v>
      </c>
      <c r="F16" s="19">
        <v>1864</v>
      </c>
      <c r="G16" s="22">
        <f t="shared" ref="G16:G21" si="2">F16/215*25</f>
        <v>216.74418604651163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1165.2</v>
      </c>
      <c r="Q16" s="24"/>
      <c r="R16" s="24"/>
      <c r="S16" s="25"/>
      <c r="T16" s="24"/>
      <c r="U16" s="24"/>
      <c r="V16" s="24">
        <v>60</v>
      </c>
      <c r="W16" s="25">
        <v>1782</v>
      </c>
      <c r="X16" s="25"/>
      <c r="Y16" s="24">
        <v>206</v>
      </c>
      <c r="Z16" s="24">
        <v>8</v>
      </c>
      <c r="AA16" s="24">
        <v>289</v>
      </c>
      <c r="AB16" s="24">
        <v>487</v>
      </c>
      <c r="AC16" s="24"/>
      <c r="AD16" s="24"/>
      <c r="AE16" s="26">
        <f t="shared" ref="AE16:AE21" si="4">Y16*2.43</f>
        <v>500.58000000000004</v>
      </c>
      <c r="AF16" s="24"/>
      <c r="AG16" s="27">
        <v>1</v>
      </c>
      <c r="AH16" s="29"/>
    </row>
    <row r="17" spans="1:41" s="28" customFormat="1" ht="26.25" customHeight="1" x14ac:dyDescent="0.25">
      <c r="A17" s="18">
        <v>45923</v>
      </c>
      <c r="B17" s="19"/>
      <c r="C17" s="20">
        <f t="shared" si="0"/>
        <v>0</v>
      </c>
      <c r="D17" s="19">
        <v>1930</v>
      </c>
      <c r="E17" s="21">
        <f t="shared" si="1"/>
        <v>241.25</v>
      </c>
      <c r="F17" s="19">
        <v>1659</v>
      </c>
      <c r="G17" s="22">
        <f t="shared" si="2"/>
        <v>192.90697674418604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21" si="5">N17/38*25</f>
        <v>0</v>
      </c>
      <c r="P17" s="23">
        <v>1011.6000000000001</v>
      </c>
      <c r="Q17" s="24"/>
      <c r="R17" s="24"/>
      <c r="S17" s="24"/>
      <c r="T17" s="24"/>
      <c r="U17" s="24"/>
      <c r="V17" s="24">
        <v>68</v>
      </c>
      <c r="W17" s="25">
        <v>1598</v>
      </c>
      <c r="X17" s="25"/>
      <c r="Y17" s="24">
        <v>189</v>
      </c>
      <c r="Z17" s="24">
        <v>2</v>
      </c>
      <c r="AA17" s="24">
        <v>228</v>
      </c>
      <c r="AB17" s="24">
        <v>490</v>
      </c>
      <c r="AC17" s="24"/>
      <c r="AD17" s="24"/>
      <c r="AE17" s="26">
        <f t="shared" si="4"/>
        <v>459.27000000000004</v>
      </c>
      <c r="AF17" s="24">
        <v>150</v>
      </c>
      <c r="AG17" s="27"/>
    </row>
    <row r="18" spans="1:41" s="28" customFormat="1" ht="26.25" customHeight="1" x14ac:dyDescent="0.25">
      <c r="A18" s="18">
        <v>45924</v>
      </c>
      <c r="B18" s="19"/>
      <c r="C18" s="20">
        <f t="shared" si="0"/>
        <v>0</v>
      </c>
      <c r="D18" s="19">
        <v>2239</v>
      </c>
      <c r="E18" s="21">
        <f t="shared" si="1"/>
        <v>279.875</v>
      </c>
      <c r="F18" s="19">
        <v>2365</v>
      </c>
      <c r="G18" s="22">
        <f t="shared" si="2"/>
        <v>275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1242</v>
      </c>
      <c r="Q18" s="24"/>
      <c r="R18" s="24"/>
      <c r="S18" s="24"/>
      <c r="T18" s="24"/>
      <c r="U18" s="24"/>
      <c r="V18" s="12">
        <v>142</v>
      </c>
      <c r="W18" s="25">
        <v>1969</v>
      </c>
      <c r="X18" s="25"/>
      <c r="Y18" s="24">
        <v>243</v>
      </c>
      <c r="Z18" s="24">
        <v>6</v>
      </c>
      <c r="AA18" s="24">
        <v>280</v>
      </c>
      <c r="AB18" s="24">
        <v>531</v>
      </c>
      <c r="AC18" s="24"/>
      <c r="AD18" s="24"/>
      <c r="AE18" s="26">
        <f t="shared" si="4"/>
        <v>590.49</v>
      </c>
      <c r="AF18" s="24"/>
      <c r="AG18" s="27"/>
      <c r="AH18" s="29"/>
    </row>
    <row r="19" spans="1:41" s="28" customFormat="1" ht="26.25" customHeight="1" x14ac:dyDescent="0.25">
      <c r="A19" s="18">
        <v>45925</v>
      </c>
      <c r="B19" s="19"/>
      <c r="C19" s="20">
        <f>B19/200*25</f>
        <v>0</v>
      </c>
      <c r="D19" s="19">
        <v>1667</v>
      </c>
      <c r="E19" s="21">
        <f t="shared" si="1"/>
        <v>208.37500000000003</v>
      </c>
      <c r="F19" s="19">
        <v>1844</v>
      </c>
      <c r="G19" s="22">
        <f t="shared" si="2"/>
        <v>214.41860465116278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1162.6000000000001</v>
      </c>
      <c r="Q19" s="24"/>
      <c r="R19" s="24"/>
      <c r="S19" s="24"/>
      <c r="T19" s="24"/>
      <c r="U19" s="24"/>
      <c r="V19" s="24">
        <v>84</v>
      </c>
      <c r="W19" s="25">
        <v>1739</v>
      </c>
      <c r="X19" s="25"/>
      <c r="Y19" s="24">
        <v>202</v>
      </c>
      <c r="Z19" s="24">
        <v>4</v>
      </c>
      <c r="AA19" s="24">
        <v>307</v>
      </c>
      <c r="AB19" s="24">
        <v>407</v>
      </c>
      <c r="AC19" s="24"/>
      <c r="AD19" s="24"/>
      <c r="AE19" s="26">
        <f t="shared" si="4"/>
        <v>490.86</v>
      </c>
      <c r="AF19" s="24"/>
      <c r="AG19" s="27"/>
    </row>
    <row r="20" spans="1:41" s="28" customFormat="1" ht="26.25" customHeight="1" x14ac:dyDescent="0.25">
      <c r="A20" s="18">
        <v>45926</v>
      </c>
      <c r="B20" s="19"/>
      <c r="C20" s="20">
        <f t="shared" ref="C20:C21" si="6">B20/200*25</f>
        <v>0</v>
      </c>
      <c r="D20" s="19">
        <v>1989</v>
      </c>
      <c r="E20" s="21">
        <f t="shared" si="1"/>
        <v>248.625</v>
      </c>
      <c r="F20" s="19">
        <v>2114</v>
      </c>
      <c r="G20" s="22">
        <v>501.04651162790697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3720</v>
      </c>
      <c r="Q20" s="24"/>
      <c r="R20" s="24"/>
      <c r="S20" s="25"/>
      <c r="T20" s="24"/>
      <c r="U20" s="24"/>
      <c r="V20" s="24">
        <v>102</v>
      </c>
      <c r="W20" s="25">
        <v>1909</v>
      </c>
      <c r="X20" s="25"/>
      <c r="Y20" s="24">
        <v>219</v>
      </c>
      <c r="Z20" s="24">
        <v>2</v>
      </c>
      <c r="AA20" s="24">
        <v>503</v>
      </c>
      <c r="AB20" s="24">
        <v>281</v>
      </c>
      <c r="AC20" s="24"/>
      <c r="AD20" s="24"/>
      <c r="AE20" s="26">
        <f t="shared" si="4"/>
        <v>532.17000000000007</v>
      </c>
      <c r="AF20" s="24"/>
      <c r="AG20" s="27"/>
    </row>
    <row r="21" spans="1:41" s="28" customFormat="1" ht="26.25" customHeight="1" x14ac:dyDescent="0.25">
      <c r="A21" s="18">
        <v>45927</v>
      </c>
      <c r="B21" s="19"/>
      <c r="C21" s="20">
        <f t="shared" si="6"/>
        <v>0</v>
      </c>
      <c r="D21" s="19">
        <v>1838</v>
      </c>
      <c r="E21" s="21">
        <f t="shared" si="1"/>
        <v>229.75</v>
      </c>
      <c r="F21" s="19">
        <v>1655</v>
      </c>
      <c r="G21" s="22">
        <f t="shared" si="2"/>
        <v>192.44186046511629</v>
      </c>
      <c r="H21" s="19"/>
      <c r="I21" s="23"/>
      <c r="J21" s="19"/>
      <c r="K21" s="19"/>
      <c r="L21" s="19"/>
      <c r="M21" s="19"/>
      <c r="N21" s="19"/>
      <c r="O21" s="23">
        <f t="shared" si="5"/>
        <v>0</v>
      </c>
      <c r="P21" s="23">
        <v>1000.8000000000001</v>
      </c>
      <c r="Q21" s="24"/>
      <c r="R21" s="24"/>
      <c r="S21" s="25"/>
      <c r="T21" s="24"/>
      <c r="U21" s="24"/>
      <c r="V21" s="24">
        <v>36</v>
      </c>
      <c r="W21" s="25">
        <v>1638</v>
      </c>
      <c r="X21" s="25"/>
      <c r="Y21" s="24">
        <v>168</v>
      </c>
      <c r="Z21" s="24">
        <v>6</v>
      </c>
      <c r="AA21" s="24">
        <v>415</v>
      </c>
      <c r="AB21" s="24">
        <v>232</v>
      </c>
      <c r="AC21" s="24"/>
      <c r="AD21" s="24"/>
      <c r="AE21" s="26">
        <f t="shared" si="4"/>
        <v>408.24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13280</v>
      </c>
      <c r="E22" s="33">
        <f t="shared" si="7"/>
        <v>1660</v>
      </c>
      <c r="F22" s="31">
        <f t="shared" si="7"/>
        <v>12670</v>
      </c>
      <c r="G22" s="33">
        <f t="shared" si="7"/>
        <v>1728.4883720930234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10258.6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492</v>
      </c>
      <c r="W22" s="31">
        <f t="shared" si="7"/>
        <v>12101</v>
      </c>
      <c r="X22" s="31">
        <f t="shared" si="7"/>
        <v>0</v>
      </c>
      <c r="Y22" s="31">
        <f t="shared" si="7"/>
        <v>1394</v>
      </c>
      <c r="Z22" s="31">
        <f t="shared" si="7"/>
        <v>30</v>
      </c>
      <c r="AA22" s="31">
        <f t="shared" si="7"/>
        <v>2211</v>
      </c>
      <c r="AB22" s="31">
        <f t="shared" si="7"/>
        <v>2827</v>
      </c>
      <c r="AC22" s="31">
        <f t="shared" si="7"/>
        <v>0</v>
      </c>
      <c r="AD22" s="31">
        <f t="shared" si="7"/>
        <v>0</v>
      </c>
      <c r="AE22" s="33">
        <f t="shared" si="7"/>
        <v>3387.42</v>
      </c>
      <c r="AF22" s="33">
        <f t="shared" si="7"/>
        <v>150</v>
      </c>
      <c r="AG22" s="33">
        <f t="shared" si="7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8" sqref="A18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45928</v>
      </c>
      <c r="B15" s="19"/>
      <c r="C15" s="20">
        <f t="shared" ref="C15:C18" si="0">B15/200*25</f>
        <v>0</v>
      </c>
      <c r="D15" s="19">
        <v>1360</v>
      </c>
      <c r="E15" s="21">
        <f>D15/200*25</f>
        <v>170</v>
      </c>
      <c r="F15" s="19">
        <v>1463</v>
      </c>
      <c r="G15" s="22">
        <f>F15/215*25</f>
        <v>170.11627906976744</v>
      </c>
      <c r="H15" s="19"/>
      <c r="I15" s="23"/>
      <c r="J15" s="19"/>
      <c r="K15" s="19"/>
      <c r="L15" s="19"/>
      <c r="M15" s="19"/>
      <c r="N15" s="19"/>
      <c r="O15" s="23">
        <f>N15/38*25</f>
        <v>0</v>
      </c>
      <c r="P15" s="23">
        <v>942.4</v>
      </c>
      <c r="Q15" s="24"/>
      <c r="R15" s="24"/>
      <c r="S15" s="24"/>
      <c r="T15" s="24"/>
      <c r="U15" s="24"/>
      <c r="V15" s="24">
        <v>62</v>
      </c>
      <c r="W15" s="25">
        <v>1446</v>
      </c>
      <c r="X15" s="25"/>
      <c r="Y15" s="24">
        <v>144</v>
      </c>
      <c r="Z15" s="24">
        <v>2</v>
      </c>
      <c r="AA15" s="24">
        <v>313</v>
      </c>
      <c r="AB15" s="24">
        <v>267</v>
      </c>
      <c r="AC15" s="24"/>
      <c r="AD15" s="24"/>
      <c r="AE15" s="26">
        <f>Y15*2.43</f>
        <v>349.92</v>
      </c>
      <c r="AF15" s="24"/>
      <c r="AG15" s="27"/>
      <c r="AH15" s="29"/>
    </row>
    <row r="16" spans="1:34" s="28" customFormat="1" ht="26.25" customHeight="1" x14ac:dyDescent="0.25">
      <c r="A16" s="18">
        <v>45929</v>
      </c>
      <c r="B16" s="19"/>
      <c r="C16" s="20">
        <f t="shared" si="0"/>
        <v>0</v>
      </c>
      <c r="D16" s="19">
        <v>1812</v>
      </c>
      <c r="E16" s="21">
        <f t="shared" ref="E16:E21" si="1">D16/200*25</f>
        <v>226.5</v>
      </c>
      <c r="F16" s="19">
        <v>1881</v>
      </c>
      <c r="G16" s="22">
        <f t="shared" ref="G16:G19" si="2">F16/215*25</f>
        <v>218.72093023255812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1019</v>
      </c>
      <c r="Q16" s="24"/>
      <c r="R16" s="24"/>
      <c r="S16" s="25"/>
      <c r="T16" s="24"/>
      <c r="U16" s="24"/>
      <c r="V16" s="24">
        <v>114</v>
      </c>
      <c r="W16" s="25">
        <v>1600</v>
      </c>
      <c r="X16" s="25"/>
      <c r="Y16" s="24">
        <v>170</v>
      </c>
      <c r="Z16" s="24">
        <v>2</v>
      </c>
      <c r="AA16" s="24">
        <v>378</v>
      </c>
      <c r="AB16" s="24">
        <v>264</v>
      </c>
      <c r="AC16" s="24"/>
      <c r="AD16" s="24"/>
      <c r="AE16" s="26">
        <f t="shared" ref="AE16:AE21" si="4">Y16*2.43</f>
        <v>413.1</v>
      </c>
      <c r="AF16" s="24"/>
      <c r="AG16" s="27">
        <v>1</v>
      </c>
      <c r="AH16" s="29"/>
    </row>
    <row r="17" spans="1:41" s="28" customFormat="1" ht="26.25" customHeight="1" x14ac:dyDescent="0.25">
      <c r="A17" s="18">
        <v>45930</v>
      </c>
      <c r="B17" s="19"/>
      <c r="C17" s="20">
        <f t="shared" si="0"/>
        <v>0</v>
      </c>
      <c r="D17" s="19">
        <v>1137</v>
      </c>
      <c r="E17" s="21">
        <f t="shared" si="1"/>
        <v>142.125</v>
      </c>
      <c r="F17" s="19">
        <v>1424</v>
      </c>
      <c r="G17" s="22">
        <f t="shared" si="2"/>
        <v>165.58139534883719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696.4</v>
      </c>
      <c r="Q17" s="24"/>
      <c r="R17" s="24"/>
      <c r="S17" s="24"/>
      <c r="T17" s="24"/>
      <c r="U17" s="24"/>
      <c r="V17" s="24">
        <v>126</v>
      </c>
      <c r="W17" s="25">
        <v>1028</v>
      </c>
      <c r="X17" s="25"/>
      <c r="Y17" s="24">
        <v>157</v>
      </c>
      <c r="Z17" s="24"/>
      <c r="AA17" s="24">
        <v>270</v>
      </c>
      <c r="AB17" s="24">
        <v>158</v>
      </c>
      <c r="AC17" s="24"/>
      <c r="AD17" s="24"/>
      <c r="AE17" s="26">
        <f t="shared" si="4"/>
        <v>381.51000000000005</v>
      </c>
      <c r="AF17" s="24"/>
      <c r="AG17" s="27"/>
    </row>
    <row r="18" spans="1:41" s="28" customFormat="1" ht="26.25" customHeight="1" x14ac:dyDescent="0.25">
      <c r="A18" s="18">
        <v>45931</v>
      </c>
      <c r="B18" s="19"/>
      <c r="C18" s="20">
        <f t="shared" si="0"/>
        <v>0</v>
      </c>
      <c r="D18" s="19">
        <v>1493</v>
      </c>
      <c r="E18" s="21">
        <f t="shared" si="1"/>
        <v>186.625</v>
      </c>
      <c r="F18" s="19">
        <v>1867</v>
      </c>
      <c r="G18" s="22">
        <f t="shared" si="2"/>
        <v>217.09302325581396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1056.4000000000001</v>
      </c>
      <c r="Q18" s="24"/>
      <c r="R18" s="24"/>
      <c r="S18" s="24"/>
      <c r="T18" s="24"/>
      <c r="U18" s="24"/>
      <c r="V18" s="12">
        <v>130</v>
      </c>
      <c r="W18" s="25">
        <v>1590</v>
      </c>
      <c r="X18" s="25"/>
      <c r="Y18" s="24">
        <v>180</v>
      </c>
      <c r="Z18" s="24">
        <v>4</v>
      </c>
      <c r="AA18" s="24">
        <v>412</v>
      </c>
      <c r="AB18" s="24">
        <v>293</v>
      </c>
      <c r="AC18" s="24"/>
      <c r="AD18" s="24"/>
      <c r="AE18" s="26">
        <f t="shared" si="4"/>
        <v>437.40000000000003</v>
      </c>
      <c r="AF18" s="24"/>
      <c r="AG18" s="27"/>
      <c r="AH18" s="29"/>
    </row>
    <row r="19" spans="1:41" s="28" customFormat="1" ht="26.25" customHeight="1" x14ac:dyDescent="0.25">
      <c r="A19" s="18">
        <v>45932</v>
      </c>
      <c r="B19" s="19"/>
      <c r="C19" s="20">
        <f>B19/200*25</f>
        <v>0</v>
      </c>
      <c r="D19" s="19">
        <v>1431</v>
      </c>
      <c r="E19" s="21">
        <f t="shared" si="1"/>
        <v>178.875</v>
      </c>
      <c r="F19" s="19">
        <v>1897</v>
      </c>
      <c r="G19" s="22">
        <f t="shared" si="2"/>
        <v>220.58139534883722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1248.1999999999998</v>
      </c>
      <c r="Q19" s="24"/>
      <c r="R19" s="24"/>
      <c r="S19" s="24"/>
      <c r="T19" s="24"/>
      <c r="U19" s="24"/>
      <c r="V19" s="24">
        <v>167</v>
      </c>
      <c r="W19" s="25">
        <v>1694</v>
      </c>
      <c r="X19" s="25"/>
      <c r="Y19" s="24">
        <v>193</v>
      </c>
      <c r="Z19" s="24">
        <v>4</v>
      </c>
      <c r="AA19" s="24">
        <v>464</v>
      </c>
      <c r="AB19" s="24">
        <v>299</v>
      </c>
      <c r="AC19" s="24"/>
      <c r="AD19" s="24"/>
      <c r="AE19" s="26">
        <f t="shared" si="4"/>
        <v>468.99</v>
      </c>
      <c r="AF19" s="24"/>
      <c r="AG19" s="27"/>
    </row>
    <row r="20" spans="1:41" s="28" customFormat="1" ht="26.25" customHeight="1" x14ac:dyDescent="0.25">
      <c r="A20" s="18">
        <v>45933</v>
      </c>
      <c r="B20" s="19"/>
      <c r="C20" s="20">
        <f t="shared" ref="C20:C21" si="6">B20/200*25</f>
        <v>0</v>
      </c>
      <c r="D20" s="19">
        <v>1859</v>
      </c>
      <c r="E20" s="21">
        <f t="shared" si="1"/>
        <v>232.375</v>
      </c>
      <c r="F20" s="19">
        <v>1948</v>
      </c>
      <c r="G20" s="22">
        <v>231.16279069767441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1067.2</v>
      </c>
      <c r="Q20" s="24"/>
      <c r="R20" s="24"/>
      <c r="S20" s="25"/>
      <c r="T20" s="24"/>
      <c r="U20" s="24"/>
      <c r="V20" s="24">
        <v>239</v>
      </c>
      <c r="W20" s="25">
        <v>1563</v>
      </c>
      <c r="X20" s="25"/>
      <c r="Y20" s="24">
        <v>173</v>
      </c>
      <c r="Z20" s="24">
        <v>4</v>
      </c>
      <c r="AA20" s="24">
        <v>364</v>
      </c>
      <c r="AB20" s="24">
        <v>333</v>
      </c>
      <c r="AC20" s="24"/>
      <c r="AD20" s="24"/>
      <c r="AE20" s="26">
        <f t="shared" si="4"/>
        <v>420.39000000000004</v>
      </c>
      <c r="AF20" s="24"/>
      <c r="AG20" s="27"/>
    </row>
    <row r="21" spans="1:41" s="28" customFormat="1" ht="26.25" customHeight="1" x14ac:dyDescent="0.25">
      <c r="A21" s="18">
        <v>45934</v>
      </c>
      <c r="B21" s="19"/>
      <c r="C21" s="20">
        <f t="shared" si="6"/>
        <v>0</v>
      </c>
      <c r="D21" s="19">
        <v>1662</v>
      </c>
      <c r="E21" s="21">
        <f t="shared" si="1"/>
        <v>207.75</v>
      </c>
      <c r="F21" s="19">
        <v>1988</v>
      </c>
      <c r="G21" s="22">
        <v>122.79069767441861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1133</v>
      </c>
      <c r="Q21" s="24"/>
      <c r="R21" s="24"/>
      <c r="S21" s="25"/>
      <c r="T21" s="24"/>
      <c r="U21" s="24"/>
      <c r="V21" s="24">
        <v>245</v>
      </c>
      <c r="W21" s="25">
        <v>1558</v>
      </c>
      <c r="X21" s="25"/>
      <c r="Y21" s="24">
        <v>191</v>
      </c>
      <c r="Z21" s="24"/>
      <c r="AA21" s="24">
        <v>493</v>
      </c>
      <c r="AB21" s="24">
        <v>233</v>
      </c>
      <c r="AC21" s="24"/>
      <c r="AD21" s="24"/>
      <c r="AE21" s="26">
        <f t="shared" si="4"/>
        <v>464.13000000000005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10754</v>
      </c>
      <c r="E22" s="33">
        <f t="shared" si="7"/>
        <v>1344.25</v>
      </c>
      <c r="F22" s="31">
        <f t="shared" si="7"/>
        <v>12468</v>
      </c>
      <c r="G22" s="33">
        <f t="shared" si="7"/>
        <v>1346.046511627907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7162.5999999999995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1083</v>
      </c>
      <c r="W22" s="31">
        <f t="shared" si="7"/>
        <v>10479</v>
      </c>
      <c r="X22" s="31">
        <f t="shared" si="7"/>
        <v>0</v>
      </c>
      <c r="Y22" s="31">
        <f t="shared" si="7"/>
        <v>1208</v>
      </c>
      <c r="Z22" s="31">
        <f t="shared" si="7"/>
        <v>16</v>
      </c>
      <c r="AA22" s="31">
        <f t="shared" si="7"/>
        <v>2694</v>
      </c>
      <c r="AB22" s="31">
        <f t="shared" si="7"/>
        <v>1847</v>
      </c>
      <c r="AC22" s="31">
        <f t="shared" si="7"/>
        <v>0</v>
      </c>
      <c r="AD22" s="31">
        <f t="shared" si="7"/>
        <v>0</v>
      </c>
      <c r="AE22" s="33">
        <f t="shared" si="7"/>
        <v>2935.44</v>
      </c>
      <c r="AF22" s="33">
        <f t="shared" si="7"/>
        <v>0</v>
      </c>
      <c r="AG22" s="33">
        <f t="shared" si="7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45935</v>
      </c>
      <c r="B15" s="19"/>
      <c r="C15" s="20">
        <f t="shared" ref="C15:C18" si="0">B15/200*25</f>
        <v>0</v>
      </c>
      <c r="D15" s="19">
        <v>1134</v>
      </c>
      <c r="E15" s="21">
        <f>D15/200*25</f>
        <v>141.75</v>
      </c>
      <c r="F15" s="19">
        <v>1056</v>
      </c>
      <c r="G15" s="22">
        <v>122.79069767441861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869.59999999999991</v>
      </c>
      <c r="Q15" s="24"/>
      <c r="R15" s="24"/>
      <c r="S15" s="24"/>
      <c r="T15" s="24"/>
      <c r="U15" s="24"/>
      <c r="V15" s="24">
        <v>190</v>
      </c>
      <c r="W15" s="25">
        <v>1085</v>
      </c>
      <c r="X15" s="25"/>
      <c r="Y15" s="24">
        <v>157</v>
      </c>
      <c r="Z15" s="24"/>
      <c r="AA15" s="24">
        <v>390</v>
      </c>
      <c r="AB15" s="24">
        <v>114</v>
      </c>
      <c r="AC15" s="24"/>
      <c r="AD15" s="24"/>
      <c r="AE15" s="26">
        <f>Y15*2.43</f>
        <v>381.51000000000005</v>
      </c>
      <c r="AF15" s="24"/>
      <c r="AG15" s="27"/>
      <c r="AH15" s="29"/>
    </row>
    <row r="16" spans="1:34" s="28" customFormat="1" ht="26.25" customHeight="1" x14ac:dyDescent="0.25">
      <c r="A16" s="18">
        <v>45936</v>
      </c>
      <c r="B16" s="19"/>
      <c r="C16" s="20">
        <f t="shared" si="0"/>
        <v>0</v>
      </c>
      <c r="D16" s="19">
        <v>1795</v>
      </c>
      <c r="E16" s="21">
        <f t="shared" ref="E16:E21" si="1">D16/200*25</f>
        <v>224.375</v>
      </c>
      <c r="F16" s="19">
        <v>1732</v>
      </c>
      <c r="G16" s="22">
        <f t="shared" ref="G16:G21" si="2">F16/215*25</f>
        <v>201.3953488372093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1102.4000000000001</v>
      </c>
      <c r="Q16" s="24"/>
      <c r="R16" s="24"/>
      <c r="S16" s="25"/>
      <c r="T16" s="24"/>
      <c r="U16" s="24"/>
      <c r="V16" s="24">
        <v>294</v>
      </c>
      <c r="W16" s="25">
        <v>1471</v>
      </c>
      <c r="X16" s="25"/>
      <c r="Y16" s="24">
        <v>196</v>
      </c>
      <c r="Z16" s="24">
        <v>6</v>
      </c>
      <c r="AA16" s="24">
        <v>572</v>
      </c>
      <c r="AB16" s="24">
        <v>142</v>
      </c>
      <c r="AC16" s="24"/>
      <c r="AD16" s="24"/>
      <c r="AE16" s="26">
        <f t="shared" ref="AE16:AE21" si="4">Y16*2.43</f>
        <v>476.28000000000003</v>
      </c>
      <c r="AF16" s="24"/>
      <c r="AG16" s="27"/>
      <c r="AH16" s="29"/>
    </row>
    <row r="17" spans="1:41" s="28" customFormat="1" ht="26.25" customHeight="1" x14ac:dyDescent="0.25">
      <c r="A17" s="18">
        <v>45937</v>
      </c>
      <c r="B17" s="19"/>
      <c r="C17" s="20">
        <f t="shared" si="0"/>
        <v>0</v>
      </c>
      <c r="D17" s="19">
        <v>2063</v>
      </c>
      <c r="E17" s="21">
        <f t="shared" si="1"/>
        <v>257.875</v>
      </c>
      <c r="F17" s="19">
        <v>2151</v>
      </c>
      <c r="G17" s="22">
        <f t="shared" si="2"/>
        <v>250.11627906976744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1133.2</v>
      </c>
      <c r="Q17" s="24"/>
      <c r="R17" s="24"/>
      <c r="S17" s="24"/>
      <c r="T17" s="24"/>
      <c r="U17" s="24"/>
      <c r="V17" s="24">
        <v>418</v>
      </c>
      <c r="W17" s="25">
        <v>1532</v>
      </c>
      <c r="X17" s="25"/>
      <c r="Y17" s="24">
        <v>215</v>
      </c>
      <c r="Z17" s="24">
        <v>4</v>
      </c>
      <c r="AA17" s="24">
        <v>659</v>
      </c>
      <c r="AB17" s="24">
        <v>121</v>
      </c>
      <c r="AC17" s="24"/>
      <c r="AD17" s="24"/>
      <c r="AE17" s="26">
        <f t="shared" si="4"/>
        <v>522.45000000000005</v>
      </c>
      <c r="AF17" s="24"/>
      <c r="AG17" s="27"/>
    </row>
    <row r="18" spans="1:41" s="28" customFormat="1" ht="26.25" customHeight="1" x14ac:dyDescent="0.25">
      <c r="A18" s="18">
        <v>45938</v>
      </c>
      <c r="B18" s="19"/>
      <c r="C18" s="20">
        <f t="shared" si="0"/>
        <v>0</v>
      </c>
      <c r="D18" s="19">
        <v>2068</v>
      </c>
      <c r="E18" s="21">
        <f t="shared" si="1"/>
        <v>258.5</v>
      </c>
      <c r="F18" s="19">
        <v>2082</v>
      </c>
      <c r="G18" s="22">
        <f t="shared" si="2"/>
        <v>242.09302325581396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1229.5999999999999</v>
      </c>
      <c r="Q18" s="24"/>
      <c r="R18" s="24"/>
      <c r="S18" s="24"/>
      <c r="T18" s="24"/>
      <c r="U18" s="24"/>
      <c r="V18" s="12">
        <v>490</v>
      </c>
      <c r="W18" s="25">
        <v>1535</v>
      </c>
      <c r="X18" s="25"/>
      <c r="Y18" s="24">
        <v>196</v>
      </c>
      <c r="Z18" s="24">
        <v>4</v>
      </c>
      <c r="AA18" s="24">
        <v>649</v>
      </c>
      <c r="AB18" s="24">
        <v>134</v>
      </c>
      <c r="AC18" s="24"/>
      <c r="AD18" s="24"/>
      <c r="AE18" s="26">
        <f t="shared" si="4"/>
        <v>476.28000000000003</v>
      </c>
      <c r="AF18" s="24"/>
      <c r="AG18" s="27"/>
      <c r="AH18" s="29"/>
    </row>
    <row r="19" spans="1:41" s="28" customFormat="1" ht="26.25" customHeight="1" x14ac:dyDescent="0.25">
      <c r="A19" s="18">
        <v>45939</v>
      </c>
      <c r="B19" s="19"/>
      <c r="C19" s="20">
        <f>B19/200*25</f>
        <v>0</v>
      </c>
      <c r="D19" s="19">
        <v>1707</v>
      </c>
      <c r="E19" s="21">
        <f t="shared" si="1"/>
        <v>213.375</v>
      </c>
      <c r="F19" s="19">
        <v>2202</v>
      </c>
      <c r="G19" s="22">
        <f t="shared" si="2"/>
        <v>256.04651162790697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1178.5999999999999</v>
      </c>
      <c r="Q19" s="24"/>
      <c r="R19" s="24"/>
      <c r="S19" s="24"/>
      <c r="T19" s="24"/>
      <c r="U19" s="24"/>
      <c r="V19" s="24">
        <v>631</v>
      </c>
      <c r="W19" s="25">
        <v>1262</v>
      </c>
      <c r="X19" s="25"/>
      <c r="Y19" s="24">
        <v>189</v>
      </c>
      <c r="Z19" s="24"/>
      <c r="AA19" s="24">
        <v>632</v>
      </c>
      <c r="AB19" s="24">
        <v>106</v>
      </c>
      <c r="AC19" s="24"/>
      <c r="AD19" s="24"/>
      <c r="AE19" s="26">
        <f t="shared" si="4"/>
        <v>459.27000000000004</v>
      </c>
      <c r="AF19" s="24"/>
      <c r="AG19" s="27"/>
    </row>
    <row r="20" spans="1:41" s="28" customFormat="1" ht="26.25" customHeight="1" x14ac:dyDescent="0.25">
      <c r="A20" s="18">
        <v>45940</v>
      </c>
      <c r="B20" s="19"/>
      <c r="C20" s="20">
        <f t="shared" ref="C20:C21" si="6">B20/200*25</f>
        <v>0</v>
      </c>
      <c r="D20" s="19">
        <v>5</v>
      </c>
      <c r="E20" s="21">
        <f t="shared" si="1"/>
        <v>0.625</v>
      </c>
      <c r="F20" s="19">
        <v>100</v>
      </c>
      <c r="G20" s="22">
        <f t="shared" si="2"/>
        <v>11.627906976744185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10.4</v>
      </c>
      <c r="Q20" s="24"/>
      <c r="R20" s="24"/>
      <c r="S20" s="25"/>
      <c r="T20" s="24"/>
      <c r="U20" s="24"/>
      <c r="V20" s="24">
        <v>22</v>
      </c>
      <c r="W20" s="25">
        <v>4</v>
      </c>
      <c r="X20" s="25"/>
      <c r="Y20" s="24">
        <v>5</v>
      </c>
      <c r="Z20" s="24"/>
      <c r="AA20" s="24">
        <v>8</v>
      </c>
      <c r="AB20" s="24"/>
      <c r="AC20" s="24"/>
      <c r="AD20" s="24"/>
      <c r="AE20" s="26">
        <f t="shared" si="4"/>
        <v>12.15</v>
      </c>
      <c r="AF20" s="24"/>
      <c r="AG20" s="27"/>
    </row>
    <row r="21" spans="1:41" s="28" customFormat="1" ht="26.25" customHeight="1" x14ac:dyDescent="0.25">
      <c r="A21" s="18">
        <v>45941</v>
      </c>
      <c r="B21" s="19"/>
      <c r="C21" s="20">
        <f t="shared" si="6"/>
        <v>0</v>
      </c>
      <c r="D21" s="19">
        <v>311</v>
      </c>
      <c r="E21" s="21">
        <f t="shared" si="1"/>
        <v>38.875</v>
      </c>
      <c r="F21" s="19">
        <v>323</v>
      </c>
      <c r="G21" s="22">
        <f t="shared" si="2"/>
        <v>37.558139534883722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286.39999999999998</v>
      </c>
      <c r="Q21" s="24"/>
      <c r="R21" s="24"/>
      <c r="S21" s="25"/>
      <c r="T21" s="24"/>
      <c r="U21" s="24"/>
      <c r="V21" s="24">
        <v>116</v>
      </c>
      <c r="W21" s="25">
        <v>288</v>
      </c>
      <c r="X21" s="25"/>
      <c r="Y21" s="24">
        <v>34</v>
      </c>
      <c r="Z21" s="24"/>
      <c r="AA21" s="24">
        <v>93</v>
      </c>
      <c r="AB21" s="24">
        <v>56</v>
      </c>
      <c r="AC21" s="24"/>
      <c r="AD21" s="24"/>
      <c r="AE21" s="26">
        <f t="shared" si="4"/>
        <v>82.62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9083</v>
      </c>
      <c r="E22" s="33">
        <f t="shared" si="7"/>
        <v>1135.375</v>
      </c>
      <c r="F22" s="31">
        <f t="shared" si="7"/>
        <v>9646</v>
      </c>
      <c r="G22" s="33">
        <f t="shared" si="7"/>
        <v>1121.6279069767445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5810.1999999999989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2161</v>
      </c>
      <c r="W22" s="31">
        <f t="shared" si="7"/>
        <v>7177</v>
      </c>
      <c r="X22" s="31">
        <f t="shared" si="7"/>
        <v>0</v>
      </c>
      <c r="Y22" s="31">
        <f t="shared" si="7"/>
        <v>992</v>
      </c>
      <c r="Z22" s="31">
        <f t="shared" si="7"/>
        <v>14</v>
      </c>
      <c r="AA22" s="31">
        <f t="shared" si="7"/>
        <v>3003</v>
      </c>
      <c r="AB22" s="31">
        <f t="shared" si="7"/>
        <v>673</v>
      </c>
      <c r="AC22" s="31">
        <f t="shared" si="7"/>
        <v>0</v>
      </c>
      <c r="AD22" s="31">
        <f t="shared" si="7"/>
        <v>0</v>
      </c>
      <c r="AE22" s="33">
        <f t="shared" si="7"/>
        <v>2410.5600000000004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3676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45942</v>
      </c>
      <c r="B15" s="19"/>
      <c r="C15" s="20">
        <f t="shared" ref="C15:C18" si="0">B15/200*25</f>
        <v>0</v>
      </c>
      <c r="D15" s="19">
        <v>996</v>
      </c>
      <c r="E15" s="21">
        <f>D15/200*25</f>
        <v>124.50000000000001</v>
      </c>
      <c r="F15" s="19">
        <v>762</v>
      </c>
      <c r="G15" s="22">
        <f t="shared" ref="G15:G21" si="1">F15/215*25</f>
        <v>88.604651162790688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666.00000000000011</v>
      </c>
      <c r="Q15" s="24"/>
      <c r="R15" s="24"/>
      <c r="S15" s="24"/>
      <c r="T15" s="24"/>
      <c r="U15" s="24"/>
      <c r="V15" s="24">
        <v>308</v>
      </c>
      <c r="W15" s="25">
        <v>710</v>
      </c>
      <c r="X15" s="25"/>
      <c r="Y15" s="24">
        <v>99</v>
      </c>
      <c r="Z15" s="24">
        <v>2</v>
      </c>
      <c r="AA15" s="24">
        <v>327</v>
      </c>
      <c r="AB15" s="24">
        <v>62</v>
      </c>
      <c r="AC15" s="24"/>
      <c r="AD15" s="24"/>
      <c r="AE15" s="26">
        <f>Y15*2.43</f>
        <v>240.57000000000002</v>
      </c>
      <c r="AF15" s="24"/>
      <c r="AG15" s="27"/>
      <c r="AH15" s="29"/>
    </row>
    <row r="16" spans="1:34" s="28" customFormat="1" ht="26.25" customHeight="1" x14ac:dyDescent="0.25">
      <c r="A16" s="18">
        <v>45943</v>
      </c>
      <c r="B16" s="19"/>
      <c r="C16" s="20">
        <f t="shared" si="0"/>
        <v>0</v>
      </c>
      <c r="D16" s="19">
        <v>2219</v>
      </c>
      <c r="E16" s="21">
        <f t="shared" ref="E16:E21" si="2">D16/200*25</f>
        <v>277.375</v>
      </c>
      <c r="F16" s="19">
        <v>1866</v>
      </c>
      <c r="G16" s="22">
        <f t="shared" si="1"/>
        <v>216.97674418604655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1220.5999999999999</v>
      </c>
      <c r="Q16" s="24"/>
      <c r="R16" s="24"/>
      <c r="S16" s="25"/>
      <c r="T16" s="24"/>
      <c r="U16" s="24"/>
      <c r="V16" s="24">
        <v>597</v>
      </c>
      <c r="W16" s="25">
        <v>1437</v>
      </c>
      <c r="X16" s="25"/>
      <c r="Y16" s="24">
        <v>186</v>
      </c>
      <c r="Z16" s="24">
        <v>2</v>
      </c>
      <c r="AA16" s="24">
        <v>681</v>
      </c>
      <c r="AB16" s="24">
        <v>99</v>
      </c>
      <c r="AC16" s="24"/>
      <c r="AD16" s="24"/>
      <c r="AE16" s="26">
        <f t="shared" ref="AE16:AE21" si="4">Y16*2.43</f>
        <v>451.98</v>
      </c>
      <c r="AF16" s="24"/>
      <c r="AG16" s="27"/>
      <c r="AH16" s="29"/>
    </row>
    <row r="17" spans="1:41" s="28" customFormat="1" ht="26.25" customHeight="1" x14ac:dyDescent="0.25">
      <c r="A17" s="18">
        <v>45944</v>
      </c>
      <c r="B17" s="19"/>
      <c r="C17" s="20">
        <f t="shared" si="0"/>
        <v>0</v>
      </c>
      <c r="D17" s="19">
        <v>1716</v>
      </c>
      <c r="E17" s="21">
        <f t="shared" si="2"/>
        <v>214.5</v>
      </c>
      <c r="F17" s="19">
        <v>1985</v>
      </c>
      <c r="G17" s="22">
        <f t="shared" si="1"/>
        <v>230.81395348837211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1161</v>
      </c>
      <c r="Q17" s="24"/>
      <c r="R17" s="24"/>
      <c r="S17" s="24"/>
      <c r="T17" s="24"/>
      <c r="U17" s="24"/>
      <c r="V17" s="24">
        <v>703</v>
      </c>
      <c r="W17" s="25">
        <v>1218</v>
      </c>
      <c r="X17" s="25"/>
      <c r="Y17" s="24">
        <v>193</v>
      </c>
      <c r="Z17" s="24">
        <v>4</v>
      </c>
      <c r="AA17" s="24">
        <v>750</v>
      </c>
      <c r="AB17" s="24">
        <v>10</v>
      </c>
      <c r="AC17" s="24"/>
      <c r="AD17" s="24"/>
      <c r="AE17" s="26">
        <f t="shared" si="4"/>
        <v>468.99</v>
      </c>
      <c r="AF17" s="24"/>
      <c r="AG17" s="27"/>
    </row>
    <row r="18" spans="1:41" s="28" customFormat="1" ht="26.25" customHeight="1" x14ac:dyDescent="0.25">
      <c r="A18" s="18">
        <v>45945</v>
      </c>
      <c r="B18" s="19"/>
      <c r="C18" s="20">
        <f t="shared" si="0"/>
        <v>0</v>
      </c>
      <c r="D18" s="19">
        <v>1640</v>
      </c>
      <c r="E18" s="21">
        <f t="shared" si="2"/>
        <v>204.99999999999997</v>
      </c>
      <c r="F18" s="19">
        <v>1245</v>
      </c>
      <c r="G18" s="22">
        <f t="shared" si="1"/>
        <v>144.76744186046511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949.80000000000007</v>
      </c>
      <c r="Q18" s="24"/>
      <c r="R18" s="24"/>
      <c r="S18" s="24"/>
      <c r="T18" s="24"/>
      <c r="U18" s="24"/>
      <c r="V18" s="12">
        <v>574</v>
      </c>
      <c r="W18" s="25">
        <v>966</v>
      </c>
      <c r="X18" s="25"/>
      <c r="Y18" s="24">
        <v>155</v>
      </c>
      <c r="Z18" s="24">
        <v>2</v>
      </c>
      <c r="AA18" s="24">
        <v>613</v>
      </c>
      <c r="AB18" s="24"/>
      <c r="AC18" s="24"/>
      <c r="AD18" s="24"/>
      <c r="AE18" s="26">
        <f t="shared" si="4"/>
        <v>376.65000000000003</v>
      </c>
      <c r="AF18" s="24"/>
      <c r="AG18" s="27"/>
      <c r="AH18" s="29"/>
    </row>
    <row r="19" spans="1:41" s="28" customFormat="1" ht="26.25" customHeight="1" x14ac:dyDescent="0.25">
      <c r="A19" s="18">
        <v>45946</v>
      </c>
      <c r="B19" s="19"/>
      <c r="C19" s="20">
        <f>B19/200*25</f>
        <v>0</v>
      </c>
      <c r="D19" s="19">
        <v>2022</v>
      </c>
      <c r="E19" s="21">
        <f t="shared" si="2"/>
        <v>252.75</v>
      </c>
      <c r="F19" s="19">
        <v>1370</v>
      </c>
      <c r="G19" s="22">
        <f t="shared" si="1"/>
        <v>159.30232558139534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1108.1999999999998</v>
      </c>
      <c r="Q19" s="24"/>
      <c r="R19" s="24"/>
      <c r="S19" s="24"/>
      <c r="T19" s="24"/>
      <c r="U19" s="24"/>
      <c r="V19" s="24">
        <v>904</v>
      </c>
      <c r="W19" s="25">
        <v>848</v>
      </c>
      <c r="X19" s="25"/>
      <c r="Y19" s="24">
        <v>168</v>
      </c>
      <c r="Z19" s="24"/>
      <c r="AA19" s="24">
        <v>688</v>
      </c>
      <c r="AB19" s="24"/>
      <c r="AC19" s="24"/>
      <c r="AD19" s="24"/>
      <c r="AE19" s="26">
        <f t="shared" si="4"/>
        <v>408.24</v>
      </c>
      <c r="AF19" s="24"/>
      <c r="AG19" s="27"/>
    </row>
    <row r="20" spans="1:41" s="28" customFormat="1" ht="26.25" customHeight="1" x14ac:dyDescent="0.25">
      <c r="A20" s="18">
        <v>45947</v>
      </c>
      <c r="B20" s="19"/>
      <c r="C20" s="20">
        <f t="shared" ref="C20:C21" si="6">B20/200*25</f>
        <v>0</v>
      </c>
      <c r="D20" s="19">
        <v>1488</v>
      </c>
      <c r="E20" s="21">
        <f t="shared" si="2"/>
        <v>186</v>
      </c>
      <c r="F20" s="19">
        <v>1866</v>
      </c>
      <c r="G20" s="22">
        <f t="shared" si="1"/>
        <v>216.97674418604655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1060.1999999999998</v>
      </c>
      <c r="Q20" s="24"/>
      <c r="R20" s="24"/>
      <c r="S20" s="25"/>
      <c r="T20" s="24"/>
      <c r="U20" s="24"/>
      <c r="V20" s="24">
        <v>818</v>
      </c>
      <c r="W20" s="25">
        <v>912</v>
      </c>
      <c r="X20" s="25"/>
      <c r="Y20" s="24">
        <v>170</v>
      </c>
      <c r="Z20" s="24"/>
      <c r="AA20" s="24">
        <v>675</v>
      </c>
      <c r="AB20" s="24"/>
      <c r="AC20" s="24"/>
      <c r="AD20" s="24"/>
      <c r="AE20" s="26">
        <f t="shared" si="4"/>
        <v>413.1</v>
      </c>
      <c r="AF20" s="24"/>
      <c r="AG20" s="27"/>
    </row>
    <row r="21" spans="1:41" s="28" customFormat="1" ht="26.25" customHeight="1" x14ac:dyDescent="0.25">
      <c r="A21" s="18">
        <v>45948</v>
      </c>
      <c r="B21" s="19"/>
      <c r="C21" s="20">
        <f t="shared" si="6"/>
        <v>0</v>
      </c>
      <c r="D21" s="19">
        <v>1336</v>
      </c>
      <c r="E21" s="21">
        <f t="shared" si="2"/>
        <v>167</v>
      </c>
      <c r="F21" s="19">
        <v>1084</v>
      </c>
      <c r="G21" s="22">
        <f t="shared" si="1"/>
        <v>126.04651162790699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944.2</v>
      </c>
      <c r="Q21" s="24"/>
      <c r="R21" s="24"/>
      <c r="S21" s="25"/>
      <c r="T21" s="24"/>
      <c r="U21" s="24"/>
      <c r="V21" s="24">
        <v>825</v>
      </c>
      <c r="W21" s="25">
        <v>582</v>
      </c>
      <c r="X21" s="25"/>
      <c r="Y21" s="24">
        <v>156</v>
      </c>
      <c r="Z21" s="24">
        <v>4</v>
      </c>
      <c r="AA21" s="24">
        <v>475</v>
      </c>
      <c r="AB21" s="24">
        <v>80</v>
      </c>
      <c r="AC21" s="24"/>
      <c r="AD21" s="24"/>
      <c r="AE21" s="26">
        <f t="shared" si="4"/>
        <v>379.08000000000004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11417</v>
      </c>
      <c r="E22" s="33">
        <f t="shared" si="7"/>
        <v>1427.125</v>
      </c>
      <c r="F22" s="31">
        <f t="shared" si="7"/>
        <v>10178</v>
      </c>
      <c r="G22" s="33">
        <f t="shared" si="7"/>
        <v>1183.4883720930231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7110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4729</v>
      </c>
      <c r="W22" s="31">
        <f t="shared" si="7"/>
        <v>6673</v>
      </c>
      <c r="X22" s="31">
        <f t="shared" si="7"/>
        <v>0</v>
      </c>
      <c r="Y22" s="31">
        <f t="shared" si="7"/>
        <v>1127</v>
      </c>
      <c r="Z22" s="31">
        <f t="shared" si="7"/>
        <v>14</v>
      </c>
      <c r="AA22" s="31">
        <f t="shared" si="7"/>
        <v>4209</v>
      </c>
      <c r="AB22" s="31">
        <f t="shared" si="7"/>
        <v>251</v>
      </c>
      <c r="AC22" s="31">
        <f t="shared" si="7"/>
        <v>0</v>
      </c>
      <c r="AD22" s="31">
        <f t="shared" si="7"/>
        <v>0</v>
      </c>
      <c r="AE22" s="33">
        <f t="shared" si="7"/>
        <v>2738.61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4460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45949</v>
      </c>
      <c r="B15" s="19"/>
      <c r="C15" s="20">
        <f t="shared" ref="C15:C18" si="0">B15/200*25</f>
        <v>0</v>
      </c>
      <c r="D15" s="19">
        <v>1761</v>
      </c>
      <c r="E15" s="21">
        <f>D15/200*25</f>
        <v>220.125</v>
      </c>
      <c r="F15" s="19">
        <v>958</v>
      </c>
      <c r="G15" s="22">
        <f t="shared" ref="G15:G21" si="1">F15/215*25</f>
        <v>111.3953488372093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995.40000000000009</v>
      </c>
      <c r="Q15" s="24"/>
      <c r="R15" s="24"/>
      <c r="S15" s="24"/>
      <c r="T15" s="24"/>
      <c r="U15" s="24"/>
      <c r="V15" s="24">
        <v>886</v>
      </c>
      <c r="W15" s="25">
        <v>665</v>
      </c>
      <c r="X15" s="25"/>
      <c r="Y15" s="24">
        <v>156</v>
      </c>
      <c r="Z15" s="24">
        <v>2</v>
      </c>
      <c r="AA15" s="24">
        <v>515</v>
      </c>
      <c r="AB15" s="24">
        <v>87</v>
      </c>
      <c r="AC15" s="24"/>
      <c r="AD15" s="24"/>
      <c r="AE15" s="26">
        <f>Y15*2.43</f>
        <v>379.08000000000004</v>
      </c>
      <c r="AF15" s="24"/>
      <c r="AG15" s="27"/>
      <c r="AH15" s="29"/>
    </row>
    <row r="16" spans="1:34" s="28" customFormat="1" ht="26.25" customHeight="1" x14ac:dyDescent="0.25">
      <c r="A16" s="18">
        <v>45950</v>
      </c>
      <c r="B16" s="19"/>
      <c r="C16" s="20">
        <f t="shared" si="0"/>
        <v>0</v>
      </c>
      <c r="D16" s="19">
        <v>1163</v>
      </c>
      <c r="E16" s="21">
        <f t="shared" ref="E16:E21" si="2">D16/200*25</f>
        <v>145.375</v>
      </c>
      <c r="F16" s="19">
        <v>2242</v>
      </c>
      <c r="G16" s="22">
        <f t="shared" si="1"/>
        <v>260.69767441860466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950.8</v>
      </c>
      <c r="Q16" s="24"/>
      <c r="R16" s="24"/>
      <c r="S16" s="25"/>
      <c r="T16" s="24"/>
      <c r="U16" s="24"/>
      <c r="V16" s="24">
        <v>787</v>
      </c>
      <c r="W16" s="25">
        <v>790</v>
      </c>
      <c r="X16" s="25"/>
      <c r="Y16" s="24">
        <v>174</v>
      </c>
      <c r="Z16" s="24">
        <v>2</v>
      </c>
      <c r="AA16" s="24">
        <v>612</v>
      </c>
      <c r="AB16" s="24"/>
      <c r="AC16" s="24"/>
      <c r="AD16" s="24"/>
      <c r="AE16" s="26">
        <f t="shared" ref="AE16:AE21" si="4">Y16*2.43</f>
        <v>422.82000000000005</v>
      </c>
      <c r="AF16" s="24"/>
      <c r="AG16" s="27"/>
      <c r="AH16" s="29"/>
    </row>
    <row r="17" spans="1:41" s="28" customFormat="1" ht="26.25" customHeight="1" x14ac:dyDescent="0.25">
      <c r="A17" s="18">
        <v>45951</v>
      </c>
      <c r="B17" s="19"/>
      <c r="C17" s="20">
        <f t="shared" si="0"/>
        <v>0</v>
      </c>
      <c r="D17" s="19">
        <v>1757</v>
      </c>
      <c r="E17" s="21">
        <f t="shared" si="2"/>
        <v>219.625</v>
      </c>
      <c r="F17" s="19">
        <v>1660</v>
      </c>
      <c r="G17" s="22">
        <f t="shared" si="1"/>
        <v>193.02325581395351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998.2</v>
      </c>
      <c r="Q17" s="24"/>
      <c r="R17" s="24"/>
      <c r="S17" s="24"/>
      <c r="T17" s="24"/>
      <c r="U17" s="24"/>
      <c r="V17" s="24">
        <v>1000</v>
      </c>
      <c r="W17" s="25">
        <v>670</v>
      </c>
      <c r="X17" s="25"/>
      <c r="Y17" s="24">
        <v>178</v>
      </c>
      <c r="Z17" s="24">
        <v>2</v>
      </c>
      <c r="AA17" s="24">
        <v>674</v>
      </c>
      <c r="AB17" s="24"/>
      <c r="AC17" s="24"/>
      <c r="AD17" s="24"/>
      <c r="AE17" s="26">
        <f t="shared" si="4"/>
        <v>432.54</v>
      </c>
      <c r="AF17" s="24"/>
      <c r="AG17" s="27"/>
    </row>
    <row r="18" spans="1:41" s="28" customFormat="1" ht="26.25" customHeight="1" x14ac:dyDescent="0.25">
      <c r="A18" s="18">
        <v>45952</v>
      </c>
      <c r="B18" s="19"/>
      <c r="C18" s="20">
        <f t="shared" si="0"/>
        <v>0</v>
      </c>
      <c r="D18" s="19">
        <v>1314</v>
      </c>
      <c r="E18" s="21">
        <f t="shared" si="2"/>
        <v>164.25</v>
      </c>
      <c r="F18" s="19">
        <v>1707</v>
      </c>
      <c r="G18" s="22">
        <f t="shared" si="1"/>
        <v>198.48837209302326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866.8</v>
      </c>
      <c r="Q18" s="24"/>
      <c r="R18" s="24"/>
      <c r="S18" s="24"/>
      <c r="T18" s="24"/>
      <c r="U18" s="24"/>
      <c r="V18" s="12">
        <v>809</v>
      </c>
      <c r="W18" s="25">
        <v>622</v>
      </c>
      <c r="X18" s="25"/>
      <c r="Y18" s="24">
        <v>171</v>
      </c>
      <c r="Z18" s="24"/>
      <c r="AA18" s="24">
        <v>557</v>
      </c>
      <c r="AB18" s="24"/>
      <c r="AC18" s="24"/>
      <c r="AD18" s="24"/>
      <c r="AE18" s="26">
        <f t="shared" si="4"/>
        <v>415.53000000000003</v>
      </c>
      <c r="AF18" s="24"/>
      <c r="AG18" s="27"/>
      <c r="AH18" s="29"/>
    </row>
    <row r="19" spans="1:41" s="28" customFormat="1" ht="26.25" customHeight="1" x14ac:dyDescent="0.25">
      <c r="A19" s="18">
        <v>45953</v>
      </c>
      <c r="B19" s="19"/>
      <c r="C19" s="20">
        <f>B19/200*25</f>
        <v>0</v>
      </c>
      <c r="D19" s="19">
        <v>2290</v>
      </c>
      <c r="E19" s="21">
        <f t="shared" si="2"/>
        <v>286.25</v>
      </c>
      <c r="F19" s="19">
        <v>2006</v>
      </c>
      <c r="G19" s="22">
        <f t="shared" si="1"/>
        <v>233.25581395348837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1353.6000000000001</v>
      </c>
      <c r="Q19" s="24"/>
      <c r="R19" s="24"/>
      <c r="S19" s="24"/>
      <c r="T19" s="24"/>
      <c r="U19" s="24"/>
      <c r="V19" s="24">
        <v>1222</v>
      </c>
      <c r="W19" s="25">
        <v>990</v>
      </c>
      <c r="X19" s="25"/>
      <c r="Y19" s="24">
        <v>209</v>
      </c>
      <c r="Z19" s="24">
        <v>4</v>
      </c>
      <c r="AA19" s="24">
        <v>839</v>
      </c>
      <c r="AB19" s="24"/>
      <c r="AC19" s="24"/>
      <c r="AD19" s="24"/>
      <c r="AE19" s="26">
        <f t="shared" si="4"/>
        <v>507.87000000000006</v>
      </c>
      <c r="AF19" s="24"/>
      <c r="AG19" s="27"/>
    </row>
    <row r="20" spans="1:41" s="28" customFormat="1" ht="26.25" customHeight="1" x14ac:dyDescent="0.25">
      <c r="A20" s="18">
        <v>45954</v>
      </c>
      <c r="B20" s="19"/>
      <c r="C20" s="20">
        <f t="shared" ref="C20:C21" si="6">B20/200*25</f>
        <v>0</v>
      </c>
      <c r="D20" s="19">
        <v>1999</v>
      </c>
      <c r="E20" s="21">
        <f t="shared" si="2"/>
        <v>249.87499999999997</v>
      </c>
      <c r="F20" s="19">
        <v>1740</v>
      </c>
      <c r="G20" s="22">
        <f t="shared" si="1"/>
        <v>202.32558139534885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1016</v>
      </c>
      <c r="Q20" s="24"/>
      <c r="R20" s="24"/>
      <c r="S20" s="25"/>
      <c r="T20" s="24"/>
      <c r="U20" s="24"/>
      <c r="V20" s="24">
        <v>833</v>
      </c>
      <c r="W20" s="25">
        <v>928</v>
      </c>
      <c r="X20" s="25"/>
      <c r="Y20" s="24">
        <v>173</v>
      </c>
      <c r="Z20" s="24">
        <v>4</v>
      </c>
      <c r="AA20" s="24">
        <v>676</v>
      </c>
      <c r="AB20" s="24"/>
      <c r="AC20" s="24"/>
      <c r="AD20" s="24"/>
      <c r="AE20" s="26">
        <f t="shared" si="4"/>
        <v>420.39000000000004</v>
      </c>
      <c r="AF20" s="24"/>
      <c r="AG20" s="27"/>
    </row>
    <row r="21" spans="1:41" s="28" customFormat="1" ht="26.25" customHeight="1" x14ac:dyDescent="0.25">
      <c r="A21" s="18">
        <v>45955</v>
      </c>
      <c r="B21" s="19"/>
      <c r="C21" s="20">
        <f t="shared" si="6"/>
        <v>0</v>
      </c>
      <c r="D21" s="19">
        <v>1077</v>
      </c>
      <c r="E21" s="21">
        <f t="shared" si="2"/>
        <v>134.625</v>
      </c>
      <c r="F21" s="19">
        <v>1628</v>
      </c>
      <c r="G21" s="22">
        <f t="shared" si="1"/>
        <v>189.30232558139534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921.60000000000014</v>
      </c>
      <c r="Q21" s="24"/>
      <c r="R21" s="24"/>
      <c r="S21" s="25"/>
      <c r="T21" s="24"/>
      <c r="U21" s="24"/>
      <c r="V21" s="24">
        <v>579</v>
      </c>
      <c r="W21" s="25">
        <v>887</v>
      </c>
      <c r="X21" s="25"/>
      <c r="Y21" s="24">
        <v>149</v>
      </c>
      <c r="Z21" s="24">
        <v>2</v>
      </c>
      <c r="AA21" s="24">
        <v>587</v>
      </c>
      <c r="AB21" s="24"/>
      <c r="AC21" s="24"/>
      <c r="AD21" s="24"/>
      <c r="AE21" s="26">
        <f t="shared" si="4"/>
        <v>362.07000000000005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11361</v>
      </c>
      <c r="E22" s="33">
        <f t="shared" si="7"/>
        <v>1420.125</v>
      </c>
      <c r="F22" s="31">
        <f t="shared" si="7"/>
        <v>11941</v>
      </c>
      <c r="G22" s="33">
        <f t="shared" si="7"/>
        <v>1388.4883720930231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7102.4000000000005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6116</v>
      </c>
      <c r="W22" s="31">
        <f t="shared" si="7"/>
        <v>5552</v>
      </c>
      <c r="X22" s="31">
        <f t="shared" si="7"/>
        <v>0</v>
      </c>
      <c r="Y22" s="31">
        <f t="shared" si="7"/>
        <v>1210</v>
      </c>
      <c r="Z22" s="31">
        <f t="shared" si="7"/>
        <v>16</v>
      </c>
      <c r="AA22" s="31">
        <f t="shared" si="7"/>
        <v>4460</v>
      </c>
      <c r="AB22" s="31">
        <f t="shared" si="7"/>
        <v>87</v>
      </c>
      <c r="AC22" s="31">
        <f t="shared" si="7"/>
        <v>0</v>
      </c>
      <c r="AD22" s="31">
        <f t="shared" si="7"/>
        <v>0</v>
      </c>
      <c r="AE22" s="33">
        <f t="shared" si="7"/>
        <v>2940.3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F21" sqref="F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45956</v>
      </c>
      <c r="B15" s="19"/>
      <c r="C15" s="20">
        <f t="shared" ref="C15:C18" si="0">B15/200*25</f>
        <v>0</v>
      </c>
      <c r="D15" s="19">
        <v>548</v>
      </c>
      <c r="E15" s="21">
        <f>D15/200*25</f>
        <v>68.5</v>
      </c>
      <c r="F15" s="19">
        <v>2347</v>
      </c>
      <c r="G15" s="22">
        <f t="shared" ref="G15:G21" si="1">F15/215*25</f>
        <v>272.90697674418601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869.40000000000009</v>
      </c>
      <c r="Q15" s="24"/>
      <c r="R15" s="24"/>
      <c r="S15" s="24"/>
      <c r="T15" s="24"/>
      <c r="U15" s="24"/>
      <c r="V15" s="24">
        <v>620</v>
      </c>
      <c r="W15" s="25">
        <v>805</v>
      </c>
      <c r="X15" s="25"/>
      <c r="Y15" s="24">
        <v>148</v>
      </c>
      <c r="Z15" s="24">
        <v>2</v>
      </c>
      <c r="AA15" s="24">
        <v>567</v>
      </c>
      <c r="AB15" s="24"/>
      <c r="AC15" s="24"/>
      <c r="AD15" s="24"/>
      <c r="AE15" s="26">
        <f>Y15*2.43</f>
        <v>359.64000000000004</v>
      </c>
      <c r="AF15" s="24"/>
      <c r="AG15" s="27"/>
      <c r="AH15" s="29"/>
    </row>
    <row r="16" spans="1:34" s="28" customFormat="1" ht="26.25" customHeight="1" x14ac:dyDescent="0.25">
      <c r="A16" s="18">
        <v>45957</v>
      </c>
      <c r="B16" s="19"/>
      <c r="C16" s="20">
        <f t="shared" si="0"/>
        <v>0</v>
      </c>
      <c r="D16" s="19">
        <v>614</v>
      </c>
      <c r="E16" s="21">
        <f t="shared" ref="E16:E21" si="2">D16/200*25</f>
        <v>76.75</v>
      </c>
      <c r="F16" s="19">
        <v>3130</v>
      </c>
      <c r="G16" s="22">
        <f t="shared" si="1"/>
        <v>363.95348837209298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1076.1999999999998</v>
      </c>
      <c r="Q16" s="24"/>
      <c r="R16" s="24"/>
      <c r="S16" s="25"/>
      <c r="T16" s="24"/>
      <c r="U16" s="24"/>
      <c r="V16" s="24">
        <v>730</v>
      </c>
      <c r="W16" s="25">
        <v>1065</v>
      </c>
      <c r="X16" s="25"/>
      <c r="Y16" s="24">
        <v>195</v>
      </c>
      <c r="Z16" s="24">
        <v>4</v>
      </c>
      <c r="AA16" s="24">
        <v>723</v>
      </c>
      <c r="AB16" s="24"/>
      <c r="AC16" s="24"/>
      <c r="AD16" s="24"/>
      <c r="AE16" s="26">
        <f t="shared" ref="AE16:AE21" si="4">Y16*2.43</f>
        <v>473.85</v>
      </c>
      <c r="AF16" s="24"/>
      <c r="AG16" s="27"/>
      <c r="AH16" s="29"/>
    </row>
    <row r="17" spans="1:41" s="28" customFormat="1" ht="26.25" customHeight="1" x14ac:dyDescent="0.25">
      <c r="A17" s="18">
        <v>45958</v>
      </c>
      <c r="B17" s="19"/>
      <c r="C17" s="20">
        <f t="shared" si="0"/>
        <v>0</v>
      </c>
      <c r="D17" s="19">
        <v>788</v>
      </c>
      <c r="E17" s="21">
        <f t="shared" si="2"/>
        <v>98.5</v>
      </c>
      <c r="F17" s="19">
        <v>3643</v>
      </c>
      <c r="G17" s="22">
        <f t="shared" si="1"/>
        <v>423.60465116279073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1201.8</v>
      </c>
      <c r="Q17" s="24"/>
      <c r="R17" s="24"/>
      <c r="S17" s="24"/>
      <c r="T17" s="24"/>
      <c r="U17" s="24"/>
      <c r="V17" s="24">
        <v>883</v>
      </c>
      <c r="W17" s="25">
        <v>1177</v>
      </c>
      <c r="X17" s="25"/>
      <c r="Y17" s="24">
        <v>219</v>
      </c>
      <c r="Z17" s="24">
        <v>4</v>
      </c>
      <c r="AA17" s="24">
        <v>837</v>
      </c>
      <c r="AB17" s="24"/>
      <c r="AC17" s="24"/>
      <c r="AD17" s="24"/>
      <c r="AE17" s="26">
        <f t="shared" si="4"/>
        <v>532.17000000000007</v>
      </c>
      <c r="AF17" s="24"/>
      <c r="AG17" s="27">
        <v>2</v>
      </c>
    </row>
    <row r="18" spans="1:41" s="28" customFormat="1" ht="26.25" customHeight="1" x14ac:dyDescent="0.25">
      <c r="A18" s="18">
        <v>45959</v>
      </c>
      <c r="B18" s="19"/>
      <c r="C18" s="20">
        <f t="shared" si="0"/>
        <v>0</v>
      </c>
      <c r="D18" s="19">
        <v>608</v>
      </c>
      <c r="E18" s="21">
        <f t="shared" si="2"/>
        <v>76</v>
      </c>
      <c r="F18" s="19">
        <v>3340</v>
      </c>
      <c r="G18" s="22">
        <f t="shared" si="1"/>
        <v>388.37209302325579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1090</v>
      </c>
      <c r="Q18" s="24"/>
      <c r="R18" s="24"/>
      <c r="S18" s="24"/>
      <c r="T18" s="24"/>
      <c r="U18" s="24"/>
      <c r="V18" s="12">
        <v>814</v>
      </c>
      <c r="W18" s="25">
        <v>1060</v>
      </c>
      <c r="X18" s="25"/>
      <c r="Y18" s="24">
        <v>193</v>
      </c>
      <c r="Z18" s="24">
        <v>4</v>
      </c>
      <c r="AA18" s="24">
        <v>737</v>
      </c>
      <c r="AB18" s="24"/>
      <c r="AC18" s="24"/>
      <c r="AD18" s="24"/>
      <c r="AE18" s="26">
        <f t="shared" si="4"/>
        <v>468.99</v>
      </c>
      <c r="AF18" s="24"/>
      <c r="AG18" s="27"/>
      <c r="AH18" s="29"/>
    </row>
    <row r="19" spans="1:41" s="28" customFormat="1" ht="26.25" customHeight="1" x14ac:dyDescent="0.25">
      <c r="A19" s="18">
        <v>45960</v>
      </c>
      <c r="B19" s="19"/>
      <c r="C19" s="20">
        <f>B19/200*25</f>
        <v>0</v>
      </c>
      <c r="D19" s="19">
        <v>690</v>
      </c>
      <c r="E19" s="21">
        <f t="shared" si="2"/>
        <v>86.25</v>
      </c>
      <c r="F19" s="19">
        <v>2859</v>
      </c>
      <c r="G19" s="22">
        <f t="shared" si="1"/>
        <v>332.44186046511629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1024.4000000000001</v>
      </c>
      <c r="Q19" s="24"/>
      <c r="R19" s="24"/>
      <c r="S19" s="24"/>
      <c r="T19" s="24"/>
      <c r="U19" s="24"/>
      <c r="V19" s="24">
        <v>847</v>
      </c>
      <c r="W19" s="25">
        <v>900</v>
      </c>
      <c r="X19" s="25"/>
      <c r="Y19" s="24">
        <v>184</v>
      </c>
      <c r="Z19" s="24">
        <v>2</v>
      </c>
      <c r="AA19" s="24">
        <v>689</v>
      </c>
      <c r="AB19" s="24"/>
      <c r="AC19" s="24"/>
      <c r="AD19" s="24"/>
      <c r="AE19" s="26">
        <f t="shared" si="4"/>
        <v>447.12</v>
      </c>
      <c r="AF19" s="24"/>
      <c r="AG19" s="27"/>
    </row>
    <row r="20" spans="1:41" s="28" customFormat="1" ht="26.25" customHeight="1" x14ac:dyDescent="0.25">
      <c r="A20" s="18">
        <v>45961</v>
      </c>
      <c r="B20" s="19"/>
      <c r="C20" s="20">
        <f t="shared" ref="C20:C21" si="6">B20/200*25</f>
        <v>0</v>
      </c>
      <c r="D20" s="19">
        <v>650</v>
      </c>
      <c r="E20" s="21">
        <f t="shared" si="2"/>
        <v>81.25</v>
      </c>
      <c r="F20" s="19">
        <v>2257</v>
      </c>
      <c r="G20" s="22">
        <f t="shared" si="1"/>
        <v>262.44186046511629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878.80000000000007</v>
      </c>
      <c r="Q20" s="24"/>
      <c r="R20" s="24"/>
      <c r="S20" s="25"/>
      <c r="T20" s="24"/>
      <c r="U20" s="24"/>
      <c r="V20" s="24">
        <v>675</v>
      </c>
      <c r="W20" s="25">
        <v>781</v>
      </c>
      <c r="X20" s="25"/>
      <c r="Y20" s="24">
        <v>143</v>
      </c>
      <c r="Z20" s="24">
        <v>2</v>
      </c>
      <c r="AA20" s="24">
        <v>592</v>
      </c>
      <c r="AB20" s="24"/>
      <c r="AC20" s="24"/>
      <c r="AD20" s="24"/>
      <c r="AE20" s="26">
        <f t="shared" si="4"/>
        <v>347.49</v>
      </c>
      <c r="AF20" s="24"/>
      <c r="AG20" s="27"/>
    </row>
    <row r="21" spans="1:41" s="28" customFormat="1" ht="26.25" customHeight="1" x14ac:dyDescent="0.25">
      <c r="A21" s="18">
        <v>45962</v>
      </c>
      <c r="B21" s="19"/>
      <c r="C21" s="20">
        <f t="shared" si="6"/>
        <v>0</v>
      </c>
      <c r="D21" s="19"/>
      <c r="E21" s="21">
        <f t="shared" si="2"/>
        <v>0</v>
      </c>
      <c r="F21" s="19"/>
      <c r="G21" s="22">
        <f t="shared" si="1"/>
        <v>0</v>
      </c>
      <c r="H21" s="19"/>
      <c r="I21" s="23"/>
      <c r="J21" s="19"/>
      <c r="K21" s="19"/>
      <c r="L21" s="19"/>
      <c r="M21" s="19"/>
      <c r="N21" s="19"/>
      <c r="O21" s="23">
        <v>0</v>
      </c>
      <c r="P21" s="23"/>
      <c r="Q21" s="24"/>
      <c r="R21" s="24"/>
      <c r="S21" s="25"/>
      <c r="T21" s="24"/>
      <c r="U21" s="24"/>
      <c r="V21" s="24"/>
      <c r="W21" s="25"/>
      <c r="X21" s="25"/>
      <c r="Y21" s="24"/>
      <c r="Z21" s="24"/>
      <c r="AA21" s="24"/>
      <c r="AB21" s="24"/>
      <c r="AC21" s="24"/>
      <c r="AD21" s="24"/>
      <c r="AE21" s="26">
        <f t="shared" si="4"/>
        <v>0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3898</v>
      </c>
      <c r="E22" s="33">
        <f t="shared" si="7"/>
        <v>487.25</v>
      </c>
      <c r="F22" s="31">
        <f t="shared" si="7"/>
        <v>17576</v>
      </c>
      <c r="G22" s="33">
        <f t="shared" si="7"/>
        <v>2043.7209302325582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6140.5999999999995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4569</v>
      </c>
      <c r="W22" s="31">
        <f t="shared" si="7"/>
        <v>5788</v>
      </c>
      <c r="X22" s="31">
        <f t="shared" si="7"/>
        <v>0</v>
      </c>
      <c r="Y22" s="31">
        <f t="shared" si="7"/>
        <v>1082</v>
      </c>
      <c r="Z22" s="31">
        <f t="shared" si="7"/>
        <v>18</v>
      </c>
      <c r="AA22" s="31">
        <f t="shared" si="7"/>
        <v>4145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2629.26</v>
      </c>
      <c r="AF22" s="33">
        <f t="shared" si="7"/>
        <v>0</v>
      </c>
      <c r="AG22" s="33">
        <f t="shared" si="7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4145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6" sqref="A16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45963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/>
      <c r="G15" s="22">
        <f t="shared" ref="G15:G21" si="1">F15/215*25</f>
        <v>0</v>
      </c>
      <c r="H15" s="19"/>
      <c r="I15" s="23"/>
      <c r="J15" s="19"/>
      <c r="K15" s="19"/>
      <c r="L15" s="19"/>
      <c r="M15" s="19"/>
      <c r="N15" s="19"/>
      <c r="O15" s="23"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45964</v>
      </c>
      <c r="B16" s="19"/>
      <c r="C16" s="20">
        <f t="shared" si="0"/>
        <v>0</v>
      </c>
      <c r="D16" s="19">
        <v>393</v>
      </c>
      <c r="E16" s="21">
        <f t="shared" ref="E16:E21" si="2">D16/200*25</f>
        <v>49.125</v>
      </c>
      <c r="F16" s="19">
        <v>2325</v>
      </c>
      <c r="G16" s="22">
        <f t="shared" si="1"/>
        <v>270.3488372093023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872.59999999999991</v>
      </c>
      <c r="Q16" s="24"/>
      <c r="R16" s="24"/>
      <c r="S16" s="25"/>
      <c r="T16" s="24"/>
      <c r="U16" s="24"/>
      <c r="V16" s="24">
        <v>635</v>
      </c>
      <c r="W16" s="25">
        <v>744</v>
      </c>
      <c r="X16" s="25"/>
      <c r="Y16" s="24">
        <v>150</v>
      </c>
      <c r="Z16" s="24">
        <v>2</v>
      </c>
      <c r="AA16" s="24">
        <v>544</v>
      </c>
      <c r="AB16" s="24"/>
      <c r="AC16" s="24"/>
      <c r="AD16" s="24"/>
      <c r="AE16" s="26">
        <f t="shared" ref="AE16:AE21" si="4">Y16*2.43</f>
        <v>364.5</v>
      </c>
      <c r="AF16" s="24"/>
      <c r="AG16" s="27"/>
      <c r="AH16" s="29"/>
    </row>
    <row r="17" spans="1:41" s="28" customFormat="1" ht="26.25" customHeight="1" x14ac:dyDescent="0.25">
      <c r="A17" s="18">
        <v>45965</v>
      </c>
      <c r="B17" s="19"/>
      <c r="C17" s="20">
        <f t="shared" si="0"/>
        <v>0</v>
      </c>
      <c r="D17" s="19">
        <v>537</v>
      </c>
      <c r="E17" s="21">
        <f t="shared" si="2"/>
        <v>67.125</v>
      </c>
      <c r="F17" s="19">
        <v>3299</v>
      </c>
      <c r="G17" s="22">
        <f t="shared" si="1"/>
        <v>383.60465116279067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1104</v>
      </c>
      <c r="Q17" s="24"/>
      <c r="R17" s="24"/>
      <c r="S17" s="24"/>
      <c r="T17" s="24"/>
      <c r="U17" s="24"/>
      <c r="V17" s="24">
        <v>845</v>
      </c>
      <c r="W17" s="25">
        <v>1035</v>
      </c>
      <c r="X17" s="25"/>
      <c r="Y17" s="24">
        <v>201</v>
      </c>
      <c r="Z17" s="24">
        <v>6</v>
      </c>
      <c r="AA17" s="24">
        <v>833</v>
      </c>
      <c r="AB17" s="24"/>
      <c r="AC17" s="24"/>
      <c r="AD17" s="24"/>
      <c r="AE17" s="26">
        <f t="shared" si="4"/>
        <v>488.43</v>
      </c>
      <c r="AF17" s="24"/>
      <c r="AG17" s="27"/>
    </row>
    <row r="18" spans="1:41" s="28" customFormat="1" ht="26.25" customHeight="1" x14ac:dyDescent="0.25">
      <c r="A18" s="18">
        <v>45966</v>
      </c>
      <c r="B18" s="19"/>
      <c r="C18" s="20">
        <f t="shared" si="0"/>
        <v>0</v>
      </c>
      <c r="D18" s="19">
        <v>700</v>
      </c>
      <c r="E18" s="21">
        <f t="shared" si="2"/>
        <v>87.5</v>
      </c>
      <c r="F18" s="19">
        <v>2845</v>
      </c>
      <c r="G18" s="22">
        <f t="shared" si="1"/>
        <v>330.81395348837208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1104.5</v>
      </c>
      <c r="Q18" s="24"/>
      <c r="R18" s="24"/>
      <c r="S18" s="24"/>
      <c r="T18" s="24"/>
      <c r="U18" s="24"/>
      <c r="V18" s="12">
        <v>831</v>
      </c>
      <c r="W18" s="25">
        <v>977</v>
      </c>
      <c r="X18" s="25"/>
      <c r="Y18" s="24">
        <v>207</v>
      </c>
      <c r="Z18" s="24"/>
      <c r="AA18" s="24">
        <v>796</v>
      </c>
      <c r="AB18" s="24"/>
      <c r="AC18" s="24"/>
      <c r="AD18" s="24"/>
      <c r="AE18" s="26">
        <f t="shared" si="4"/>
        <v>503.01000000000005</v>
      </c>
      <c r="AF18" s="24"/>
      <c r="AG18" s="27"/>
      <c r="AH18" s="29"/>
    </row>
    <row r="19" spans="1:41" s="28" customFormat="1" ht="26.25" customHeight="1" x14ac:dyDescent="0.25">
      <c r="A19" s="18">
        <v>45967</v>
      </c>
      <c r="B19" s="19"/>
      <c r="C19" s="20">
        <f>B19/200*25</f>
        <v>0</v>
      </c>
      <c r="D19" s="19">
        <v>467</v>
      </c>
      <c r="E19" s="21">
        <f t="shared" si="2"/>
        <v>58.375</v>
      </c>
      <c r="F19" s="19">
        <v>3059</v>
      </c>
      <c r="G19" s="22">
        <f t="shared" si="1"/>
        <v>355.69767441860466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1035.5999999999999</v>
      </c>
      <c r="Q19" s="24"/>
      <c r="R19" s="24"/>
      <c r="S19" s="24"/>
      <c r="T19" s="24"/>
      <c r="U19" s="24"/>
      <c r="V19" s="24">
        <v>793</v>
      </c>
      <c r="W19" s="25">
        <v>936</v>
      </c>
      <c r="X19" s="25"/>
      <c r="Y19" s="24">
        <v>214</v>
      </c>
      <c r="Z19" s="24">
        <v>2</v>
      </c>
      <c r="AA19" s="24">
        <v>692</v>
      </c>
      <c r="AB19" s="24"/>
      <c r="AC19" s="24"/>
      <c r="AD19" s="24"/>
      <c r="AE19" s="26">
        <f t="shared" si="4"/>
        <v>520.02</v>
      </c>
      <c r="AF19" s="24"/>
      <c r="AG19" s="27"/>
    </row>
    <row r="20" spans="1:41" s="28" customFormat="1" ht="26.25" customHeight="1" x14ac:dyDescent="0.25">
      <c r="A20" s="18">
        <v>45968</v>
      </c>
      <c r="B20" s="19"/>
      <c r="C20" s="20">
        <f t="shared" ref="C20:C21" si="6">B20/200*25</f>
        <v>0</v>
      </c>
      <c r="D20" s="19">
        <v>640</v>
      </c>
      <c r="E20" s="21">
        <f t="shared" si="2"/>
        <v>80</v>
      </c>
      <c r="F20" s="19">
        <v>2846</v>
      </c>
      <c r="G20" s="22">
        <f t="shared" si="1"/>
        <v>330.93023255813955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1200.6000000000001</v>
      </c>
      <c r="Q20" s="24"/>
      <c r="R20" s="24"/>
      <c r="S20" s="25"/>
      <c r="T20" s="24"/>
      <c r="U20" s="24"/>
      <c r="V20" s="24">
        <v>667</v>
      </c>
      <c r="W20" s="25">
        <v>1163</v>
      </c>
      <c r="X20" s="25"/>
      <c r="Y20" s="24">
        <v>226</v>
      </c>
      <c r="Z20" s="24"/>
      <c r="AA20" s="24">
        <v>786</v>
      </c>
      <c r="AB20" s="24"/>
      <c r="AC20" s="24"/>
      <c r="AD20" s="24"/>
      <c r="AE20" s="26">
        <f t="shared" si="4"/>
        <v>549.18000000000006</v>
      </c>
      <c r="AF20" s="24"/>
      <c r="AG20" s="27"/>
    </row>
    <row r="21" spans="1:41" s="28" customFormat="1" ht="26.25" customHeight="1" x14ac:dyDescent="0.25">
      <c r="A21" s="18">
        <v>45969</v>
      </c>
      <c r="B21" s="19"/>
      <c r="C21" s="20">
        <f t="shared" si="6"/>
        <v>0</v>
      </c>
      <c r="D21" s="19">
        <v>724</v>
      </c>
      <c r="E21" s="21">
        <f t="shared" si="2"/>
        <v>90.5</v>
      </c>
      <c r="F21" s="19">
        <v>3169</v>
      </c>
      <c r="G21" s="22">
        <f t="shared" si="1"/>
        <v>368.48837209302326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1164.0000000000002</v>
      </c>
      <c r="Q21" s="24"/>
      <c r="R21" s="24"/>
      <c r="S21" s="25"/>
      <c r="T21" s="24"/>
      <c r="U21" s="24"/>
      <c r="V21" s="24">
        <v>697</v>
      </c>
      <c r="W21" s="25">
        <v>1210</v>
      </c>
      <c r="X21" s="25"/>
      <c r="Y21" s="24">
        <v>220</v>
      </c>
      <c r="Z21" s="24"/>
      <c r="AA21" s="24">
        <v>834</v>
      </c>
      <c r="AB21" s="24"/>
      <c r="AC21" s="24"/>
      <c r="AD21" s="24"/>
      <c r="AE21" s="26">
        <f t="shared" si="4"/>
        <v>534.6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3461</v>
      </c>
      <c r="E22" s="33">
        <f t="shared" si="7"/>
        <v>432.625</v>
      </c>
      <c r="F22" s="31">
        <f t="shared" si="7"/>
        <v>17543</v>
      </c>
      <c r="G22" s="33">
        <f t="shared" si="7"/>
        <v>2039.8837209302328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6481.3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4468</v>
      </c>
      <c r="W22" s="31">
        <f t="shared" si="7"/>
        <v>6065</v>
      </c>
      <c r="X22" s="31">
        <f t="shared" si="7"/>
        <v>0</v>
      </c>
      <c r="Y22" s="31">
        <f t="shared" si="7"/>
        <v>1218</v>
      </c>
      <c r="Z22" s="31">
        <f t="shared" si="7"/>
        <v>10</v>
      </c>
      <c r="AA22" s="31">
        <f t="shared" si="7"/>
        <v>4485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2959.7400000000002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4485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45970</v>
      </c>
      <c r="B15" s="19"/>
      <c r="C15" s="20">
        <f t="shared" ref="C15:C18" si="0">B15/200*25</f>
        <v>0</v>
      </c>
      <c r="D15" s="19">
        <v>300</v>
      </c>
      <c r="E15" s="21">
        <f>D15/200*25</f>
        <v>37.5</v>
      </c>
      <c r="F15" s="19">
        <v>2790</v>
      </c>
      <c r="G15" s="22">
        <f t="shared" ref="G15:G21" si="1">F15/215*25</f>
        <v>324.41860465116281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1021.6</v>
      </c>
      <c r="Q15" s="24"/>
      <c r="R15" s="24"/>
      <c r="S15" s="24"/>
      <c r="T15" s="24"/>
      <c r="U15" s="24"/>
      <c r="V15" s="24">
        <v>580</v>
      </c>
      <c r="W15" s="25">
        <v>1040</v>
      </c>
      <c r="X15" s="25"/>
      <c r="Y15" s="24">
        <v>167</v>
      </c>
      <c r="Z15" s="24">
        <v>4</v>
      </c>
      <c r="AA15" s="24">
        <v>737</v>
      </c>
      <c r="AB15" s="24"/>
      <c r="AC15" s="24"/>
      <c r="AD15" s="24"/>
      <c r="AE15" s="26">
        <f>Y15*2.43</f>
        <v>405.81</v>
      </c>
      <c r="AF15" s="24"/>
      <c r="AG15" s="27"/>
      <c r="AH15" s="29"/>
    </row>
    <row r="16" spans="1:34" s="28" customFormat="1" ht="26.25" customHeight="1" x14ac:dyDescent="0.25">
      <c r="A16" s="18">
        <v>45971</v>
      </c>
      <c r="B16" s="19"/>
      <c r="C16" s="20">
        <f t="shared" si="0"/>
        <v>0</v>
      </c>
      <c r="D16" s="19">
        <v>649</v>
      </c>
      <c r="E16" s="21">
        <f t="shared" ref="E16:E21" si="2">D16/200*25</f>
        <v>81.125</v>
      </c>
      <c r="F16" s="19">
        <v>2881</v>
      </c>
      <c r="G16" s="22">
        <f t="shared" si="1"/>
        <v>335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1082</v>
      </c>
      <c r="Q16" s="24"/>
      <c r="R16" s="24"/>
      <c r="S16" s="25"/>
      <c r="T16" s="24"/>
      <c r="U16" s="24"/>
      <c r="V16" s="24">
        <v>584</v>
      </c>
      <c r="W16" s="25">
        <v>1233</v>
      </c>
      <c r="X16" s="25"/>
      <c r="Y16" s="24">
        <v>186</v>
      </c>
      <c r="Z16" s="24">
        <v>2</v>
      </c>
      <c r="AA16" s="24">
        <v>760</v>
      </c>
      <c r="AB16" s="24"/>
      <c r="AC16" s="24"/>
      <c r="AD16" s="24"/>
      <c r="AE16" s="26">
        <f t="shared" ref="AE16:AE21" si="4">Y16*2.43</f>
        <v>451.98</v>
      </c>
      <c r="AF16" s="24"/>
      <c r="AG16" s="27"/>
      <c r="AH16" s="29"/>
    </row>
    <row r="17" spans="1:41" s="28" customFormat="1" ht="26.25" customHeight="1" x14ac:dyDescent="0.25">
      <c r="A17" s="18">
        <v>45972</v>
      </c>
      <c r="B17" s="19"/>
      <c r="C17" s="20">
        <f t="shared" si="0"/>
        <v>0</v>
      </c>
      <c r="D17" s="19">
        <v>804</v>
      </c>
      <c r="E17" s="21">
        <f t="shared" si="2"/>
        <v>100.49999999999999</v>
      </c>
      <c r="F17" s="19">
        <v>3108</v>
      </c>
      <c r="G17" s="22">
        <f t="shared" si="1"/>
        <v>361.39534883720927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1425.1999999999998</v>
      </c>
      <c r="Q17" s="24"/>
      <c r="R17" s="24"/>
      <c r="S17" s="24"/>
      <c r="T17" s="24"/>
      <c r="U17" s="24"/>
      <c r="V17" s="24">
        <v>624</v>
      </c>
      <c r="W17" s="25">
        <v>1507</v>
      </c>
      <c r="X17" s="25"/>
      <c r="Y17" s="24">
        <v>252</v>
      </c>
      <c r="Z17" s="24">
        <v>2</v>
      </c>
      <c r="AA17" s="24">
        <v>940</v>
      </c>
      <c r="AB17" s="24"/>
      <c r="AC17" s="24"/>
      <c r="AD17" s="24"/>
      <c r="AE17" s="26">
        <f t="shared" si="4"/>
        <v>612.36</v>
      </c>
      <c r="AF17" s="24"/>
      <c r="AG17" s="27"/>
    </row>
    <row r="18" spans="1:41" s="28" customFormat="1" ht="26.25" customHeight="1" x14ac:dyDescent="0.25">
      <c r="A18" s="18">
        <v>45973</v>
      </c>
      <c r="B18" s="19"/>
      <c r="C18" s="20">
        <f t="shared" si="0"/>
        <v>0</v>
      </c>
      <c r="D18" s="19">
        <v>172</v>
      </c>
      <c r="E18" s="21">
        <f t="shared" si="2"/>
        <v>21.5</v>
      </c>
      <c r="F18" s="19">
        <v>4113</v>
      </c>
      <c r="G18" s="22">
        <f t="shared" si="1"/>
        <v>478.25581395348837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1316.1999999999998</v>
      </c>
      <c r="Q18" s="24"/>
      <c r="R18" s="24"/>
      <c r="S18" s="24"/>
      <c r="T18" s="24"/>
      <c r="U18" s="24"/>
      <c r="V18" s="12">
        <v>512</v>
      </c>
      <c r="W18" s="25">
        <v>1631</v>
      </c>
      <c r="X18" s="25"/>
      <c r="Y18" s="24">
        <v>249</v>
      </c>
      <c r="Z18" s="24">
        <v>2</v>
      </c>
      <c r="AA18" s="24">
        <v>981</v>
      </c>
      <c r="AB18" s="24"/>
      <c r="AC18" s="24"/>
      <c r="AD18" s="24"/>
      <c r="AE18" s="26">
        <f t="shared" si="4"/>
        <v>605.07000000000005</v>
      </c>
      <c r="AF18" s="24"/>
      <c r="AG18" s="27"/>
      <c r="AH18" s="29"/>
    </row>
    <row r="19" spans="1:41" s="28" customFormat="1" ht="26.25" customHeight="1" x14ac:dyDescent="0.25">
      <c r="A19" s="18">
        <v>45974</v>
      </c>
      <c r="B19" s="19"/>
      <c r="C19" s="20">
        <f>B19/200*25</f>
        <v>0</v>
      </c>
      <c r="D19" s="19"/>
      <c r="E19" s="21">
        <f t="shared" si="2"/>
        <v>0</v>
      </c>
      <c r="F19" s="19">
        <v>4202</v>
      </c>
      <c r="G19" s="22">
        <f t="shared" si="1"/>
        <v>488.60465116279067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1490.4</v>
      </c>
      <c r="Q19" s="24"/>
      <c r="R19" s="24"/>
      <c r="S19" s="24"/>
      <c r="T19" s="24"/>
      <c r="U19" s="24"/>
      <c r="V19" s="24">
        <v>557</v>
      </c>
      <c r="W19" s="25">
        <v>1743</v>
      </c>
      <c r="X19" s="25"/>
      <c r="Y19" s="24">
        <v>276</v>
      </c>
      <c r="Z19" s="24">
        <v>2</v>
      </c>
      <c r="AA19" s="24">
        <v>1039</v>
      </c>
      <c r="AB19" s="24"/>
      <c r="AC19" s="24"/>
      <c r="AD19" s="24"/>
      <c r="AE19" s="26">
        <f t="shared" si="4"/>
        <v>670.68000000000006</v>
      </c>
      <c r="AF19" s="24"/>
      <c r="AG19" s="27"/>
    </row>
    <row r="20" spans="1:41" s="28" customFormat="1" ht="26.25" customHeight="1" x14ac:dyDescent="0.25">
      <c r="A20" s="18">
        <v>45975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>
        <v>3393</v>
      </c>
      <c r="G20" s="22">
        <f t="shared" si="1"/>
        <v>394.53488372093022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1001.61</v>
      </c>
      <c r="Q20" s="24"/>
      <c r="R20" s="24"/>
      <c r="S20" s="25"/>
      <c r="T20" s="24"/>
      <c r="U20" s="24"/>
      <c r="V20" s="24">
        <v>281</v>
      </c>
      <c r="W20" s="25">
        <v>1354</v>
      </c>
      <c r="X20" s="25"/>
      <c r="Y20" s="24">
        <v>204</v>
      </c>
      <c r="Z20" s="24"/>
      <c r="AA20" s="24">
        <v>785</v>
      </c>
      <c r="AB20" s="24"/>
      <c r="AC20" s="24"/>
      <c r="AD20" s="24"/>
      <c r="AE20" s="26">
        <f t="shared" si="4"/>
        <v>495.72</v>
      </c>
      <c r="AF20" s="24"/>
      <c r="AG20" s="27"/>
    </row>
    <row r="21" spans="1:41" s="28" customFormat="1" ht="26.25" customHeight="1" x14ac:dyDescent="0.25">
      <c r="A21" s="18">
        <v>45976</v>
      </c>
      <c r="B21" s="19"/>
      <c r="C21" s="20">
        <f t="shared" si="6"/>
        <v>0</v>
      </c>
      <c r="D21" s="19"/>
      <c r="E21" s="21">
        <f t="shared" si="2"/>
        <v>0</v>
      </c>
      <c r="F21" s="19">
        <v>3360</v>
      </c>
      <c r="G21" s="22">
        <f t="shared" si="1"/>
        <v>390.69767441860461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1145.5999999999999</v>
      </c>
      <c r="Q21" s="24"/>
      <c r="R21" s="24"/>
      <c r="S21" s="25"/>
      <c r="T21" s="24"/>
      <c r="U21" s="24"/>
      <c r="V21" s="24">
        <v>257</v>
      </c>
      <c r="W21" s="25">
        <v>1528</v>
      </c>
      <c r="X21" s="25"/>
      <c r="Y21" s="24">
        <v>206</v>
      </c>
      <c r="Z21" s="24">
        <v>2</v>
      </c>
      <c r="AA21" s="24">
        <v>821</v>
      </c>
      <c r="AB21" s="24"/>
      <c r="AC21" s="24"/>
      <c r="AD21" s="24"/>
      <c r="AE21" s="26">
        <f t="shared" si="4"/>
        <v>500.58000000000004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1925</v>
      </c>
      <c r="E22" s="33">
        <f t="shared" si="7"/>
        <v>240.625</v>
      </c>
      <c r="F22" s="31">
        <f t="shared" si="7"/>
        <v>23847</v>
      </c>
      <c r="G22" s="33">
        <f t="shared" si="7"/>
        <v>2772.9069767441861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8482.6099999999988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3395</v>
      </c>
      <c r="W22" s="31">
        <f t="shared" si="7"/>
        <v>10036</v>
      </c>
      <c r="X22" s="31">
        <f t="shared" si="7"/>
        <v>0</v>
      </c>
      <c r="Y22" s="31">
        <f t="shared" si="7"/>
        <v>1540</v>
      </c>
      <c r="Z22" s="31">
        <f t="shared" si="7"/>
        <v>14</v>
      </c>
      <c r="AA22" s="31">
        <f t="shared" si="7"/>
        <v>6063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3742.2000000000007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6063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159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45977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>
        <v>2441</v>
      </c>
      <c r="G15" s="22">
        <f t="shared" ref="G15:G21" si="1">F15/215*25</f>
        <v>283.83720930232556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1000.6</v>
      </c>
      <c r="Q15" s="24"/>
      <c r="R15" s="24"/>
      <c r="S15" s="24"/>
      <c r="T15" s="24"/>
      <c r="U15" s="24"/>
      <c r="V15" s="24">
        <v>210</v>
      </c>
      <c r="W15" s="25">
        <v>1246</v>
      </c>
      <c r="X15" s="25"/>
      <c r="Y15" s="24">
        <v>180</v>
      </c>
      <c r="Z15" s="24"/>
      <c r="AA15" s="24">
        <v>719</v>
      </c>
      <c r="AB15" s="24"/>
      <c r="AC15" s="24"/>
      <c r="AD15" s="24"/>
      <c r="AE15" s="26">
        <f>Y15*2.43</f>
        <v>437.40000000000003</v>
      </c>
      <c r="AF15" s="24"/>
      <c r="AG15" s="27"/>
      <c r="AH15" s="29"/>
    </row>
    <row r="16" spans="1:34" s="28" customFormat="1" ht="26.25" customHeight="1" x14ac:dyDescent="0.25">
      <c r="A16" s="18">
        <v>45978</v>
      </c>
      <c r="B16" s="19"/>
      <c r="C16" s="20">
        <f t="shared" si="0"/>
        <v>0</v>
      </c>
      <c r="D16" s="19"/>
      <c r="E16" s="21">
        <f t="shared" ref="E16:E21" si="2">D16/200*25</f>
        <v>0</v>
      </c>
      <c r="F16" s="19">
        <v>3961</v>
      </c>
      <c r="G16" s="22">
        <f t="shared" si="1"/>
        <v>460.58139534883719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1349.6</v>
      </c>
      <c r="Q16" s="24"/>
      <c r="R16" s="24"/>
      <c r="S16" s="25"/>
      <c r="T16" s="24"/>
      <c r="U16" s="24"/>
      <c r="V16" s="24">
        <v>228</v>
      </c>
      <c r="W16" s="25">
        <v>1859</v>
      </c>
      <c r="X16" s="25"/>
      <c r="Y16" s="24">
        <v>212</v>
      </c>
      <c r="Z16" s="24">
        <v>4</v>
      </c>
      <c r="AA16" s="24">
        <v>936</v>
      </c>
      <c r="AB16" s="24"/>
      <c r="AC16" s="24"/>
      <c r="AD16" s="24"/>
      <c r="AE16" s="26">
        <f t="shared" ref="AE16:AE21" si="4">Y16*2.43</f>
        <v>515.16000000000008</v>
      </c>
      <c r="AF16" s="24"/>
      <c r="AG16" s="27"/>
      <c r="AH16" s="29"/>
    </row>
    <row r="17" spans="1:41" s="28" customFormat="1" ht="26.25" customHeight="1" x14ac:dyDescent="0.25">
      <c r="A17" s="18">
        <v>45979</v>
      </c>
      <c r="B17" s="19"/>
      <c r="C17" s="20">
        <f t="shared" si="0"/>
        <v>0</v>
      </c>
      <c r="D17" s="19"/>
      <c r="E17" s="21">
        <f t="shared" si="2"/>
        <v>0</v>
      </c>
      <c r="F17" s="19">
        <v>3511</v>
      </c>
      <c r="G17" s="22">
        <f t="shared" si="1"/>
        <v>408.25581395348837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986.40000000000009</v>
      </c>
      <c r="Q17" s="24"/>
      <c r="R17" s="24"/>
      <c r="S17" s="24"/>
      <c r="T17" s="24"/>
      <c r="U17" s="24"/>
      <c r="V17" s="24">
        <v>197</v>
      </c>
      <c r="W17" s="25">
        <v>1456</v>
      </c>
      <c r="X17" s="25"/>
      <c r="Y17" s="24">
        <v>183</v>
      </c>
      <c r="Z17" s="24">
        <v>2</v>
      </c>
      <c r="AA17" s="24">
        <v>727</v>
      </c>
      <c r="AB17" s="24"/>
      <c r="AC17" s="24"/>
      <c r="AD17" s="24"/>
      <c r="AE17" s="26">
        <f t="shared" si="4"/>
        <v>444.69000000000005</v>
      </c>
      <c r="AF17" s="24"/>
      <c r="AG17" s="27"/>
    </row>
    <row r="18" spans="1:41" s="28" customFormat="1" ht="26.25" customHeight="1" x14ac:dyDescent="0.25">
      <c r="A18" s="18">
        <v>45980</v>
      </c>
      <c r="B18" s="19"/>
      <c r="C18" s="20">
        <f t="shared" si="0"/>
        <v>0</v>
      </c>
      <c r="D18" s="19"/>
      <c r="E18" s="21">
        <f t="shared" si="2"/>
        <v>0</v>
      </c>
      <c r="F18" s="19">
        <v>4372</v>
      </c>
      <c r="G18" s="22">
        <f t="shared" si="1"/>
        <v>508.37209302325579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1300</v>
      </c>
      <c r="Q18" s="24"/>
      <c r="R18" s="24"/>
      <c r="S18" s="24"/>
      <c r="T18" s="24"/>
      <c r="U18" s="24"/>
      <c r="V18" s="12">
        <v>319</v>
      </c>
      <c r="W18" s="25">
        <v>1773</v>
      </c>
      <c r="X18" s="25"/>
      <c r="Y18" s="24">
        <v>234</v>
      </c>
      <c r="Z18" s="24">
        <v>4</v>
      </c>
      <c r="AA18" s="24">
        <v>977</v>
      </c>
      <c r="AB18" s="24"/>
      <c r="AC18" s="24"/>
      <c r="AD18" s="24"/>
      <c r="AE18" s="26">
        <f t="shared" si="4"/>
        <v>568.62</v>
      </c>
      <c r="AF18" s="24"/>
      <c r="AG18" s="27"/>
      <c r="AH18" s="29"/>
    </row>
    <row r="19" spans="1:41" s="28" customFormat="1" ht="26.25" customHeight="1" x14ac:dyDescent="0.25">
      <c r="A19" s="18">
        <v>45981</v>
      </c>
      <c r="B19" s="19"/>
      <c r="C19" s="20">
        <f>B19/200*25</f>
        <v>0</v>
      </c>
      <c r="D19" s="19"/>
      <c r="E19" s="21">
        <f t="shared" si="2"/>
        <v>0</v>
      </c>
      <c r="F19" s="19">
        <v>3751</v>
      </c>
      <c r="G19" s="22">
        <f t="shared" si="1"/>
        <v>436.16279069767438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1281.6000000000001</v>
      </c>
      <c r="Q19" s="24"/>
      <c r="R19" s="24"/>
      <c r="S19" s="24"/>
      <c r="T19" s="24"/>
      <c r="U19" s="24"/>
      <c r="V19" s="24">
        <v>235</v>
      </c>
      <c r="W19" s="25">
        <v>1756</v>
      </c>
      <c r="X19" s="25"/>
      <c r="Y19" s="24">
        <v>206</v>
      </c>
      <c r="Z19" s="24">
        <v>4</v>
      </c>
      <c r="AA19" s="24">
        <v>848</v>
      </c>
      <c r="AB19" s="24"/>
      <c r="AC19" s="24"/>
      <c r="AD19" s="24"/>
      <c r="AE19" s="26">
        <f t="shared" si="4"/>
        <v>500.58000000000004</v>
      </c>
      <c r="AF19" s="24"/>
      <c r="AG19" s="27"/>
    </row>
    <row r="20" spans="1:41" s="28" customFormat="1" ht="26.25" customHeight="1" x14ac:dyDescent="0.25">
      <c r="A20" s="18">
        <v>45982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>
        <v>3661</v>
      </c>
      <c r="G20" s="22">
        <f t="shared" si="1"/>
        <v>425.69767441860466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1415.4</v>
      </c>
      <c r="Q20" s="24"/>
      <c r="R20" s="24"/>
      <c r="S20" s="25"/>
      <c r="T20" s="24"/>
      <c r="U20" s="24"/>
      <c r="V20" s="24">
        <v>275</v>
      </c>
      <c r="W20" s="25">
        <v>1860</v>
      </c>
      <c r="X20" s="25"/>
      <c r="Y20" s="24">
        <v>219</v>
      </c>
      <c r="Z20" s="24">
        <v>2</v>
      </c>
      <c r="AA20" s="24">
        <v>917</v>
      </c>
      <c r="AB20" s="24"/>
      <c r="AC20" s="24"/>
      <c r="AD20" s="24"/>
      <c r="AE20" s="26">
        <f t="shared" si="4"/>
        <v>532.17000000000007</v>
      </c>
      <c r="AF20" s="24"/>
      <c r="AG20" s="27"/>
    </row>
    <row r="21" spans="1:41" s="28" customFormat="1" ht="26.25" customHeight="1" x14ac:dyDescent="0.25">
      <c r="A21" s="18">
        <v>45983</v>
      </c>
      <c r="B21" s="19"/>
      <c r="C21" s="20">
        <f t="shared" si="6"/>
        <v>0</v>
      </c>
      <c r="D21" s="19"/>
      <c r="E21" s="21">
        <f t="shared" si="2"/>
        <v>0</v>
      </c>
      <c r="F21" s="19">
        <v>3386</v>
      </c>
      <c r="G21" s="22">
        <f t="shared" si="1"/>
        <v>393.72093023255815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1261.4000000000001</v>
      </c>
      <c r="Q21" s="24"/>
      <c r="R21" s="24"/>
      <c r="S21" s="25"/>
      <c r="T21" s="24"/>
      <c r="U21" s="24"/>
      <c r="V21" s="24">
        <v>240</v>
      </c>
      <c r="W21" s="25">
        <v>1624</v>
      </c>
      <c r="X21" s="25"/>
      <c r="Y21" s="24">
        <v>217</v>
      </c>
      <c r="Z21" s="24">
        <v>2</v>
      </c>
      <c r="AA21" s="24">
        <v>849</v>
      </c>
      <c r="AB21" s="24"/>
      <c r="AC21" s="24"/>
      <c r="AD21" s="24"/>
      <c r="AE21" s="26">
        <f t="shared" si="4"/>
        <v>527.31000000000006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0</v>
      </c>
      <c r="E22" s="33">
        <f t="shared" si="7"/>
        <v>0</v>
      </c>
      <c r="F22" s="31">
        <f t="shared" si="7"/>
        <v>25083</v>
      </c>
      <c r="G22" s="33">
        <f t="shared" si="7"/>
        <v>2916.6279069767438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8595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1704</v>
      </c>
      <c r="W22" s="31">
        <f t="shared" si="7"/>
        <v>11574</v>
      </c>
      <c r="X22" s="31">
        <f t="shared" si="7"/>
        <v>0</v>
      </c>
      <c r="Y22" s="31">
        <f t="shared" si="7"/>
        <v>1451</v>
      </c>
      <c r="Z22" s="31">
        <f t="shared" si="7"/>
        <v>18</v>
      </c>
      <c r="AA22" s="31">
        <f t="shared" si="7"/>
        <v>5973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3525.9300000000003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5973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P22" sqref="P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45984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>
        <v>3354</v>
      </c>
      <c r="G15" s="22">
        <f t="shared" ref="G15:G21" si="1">F15/215*25</f>
        <v>390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1247.2</v>
      </c>
      <c r="Q15" s="24"/>
      <c r="R15" s="24"/>
      <c r="S15" s="24"/>
      <c r="T15" s="24"/>
      <c r="U15" s="24"/>
      <c r="V15" s="24">
        <v>202</v>
      </c>
      <c r="W15" s="25">
        <v>1660</v>
      </c>
      <c r="X15" s="25"/>
      <c r="Y15" s="24">
        <v>201</v>
      </c>
      <c r="Z15" s="24">
        <v>2</v>
      </c>
      <c r="AA15" s="24">
        <v>883</v>
      </c>
      <c r="AB15" s="24"/>
      <c r="AC15" s="24"/>
      <c r="AD15" s="24"/>
      <c r="AE15" s="26">
        <f>Y15*2.43</f>
        <v>488.43</v>
      </c>
      <c r="AF15" s="24"/>
      <c r="AG15" s="27"/>
      <c r="AH15" s="29"/>
    </row>
    <row r="16" spans="1:34" s="28" customFormat="1" ht="26.25" customHeight="1" x14ac:dyDescent="0.25">
      <c r="A16" s="18">
        <v>45985</v>
      </c>
      <c r="B16" s="19"/>
      <c r="C16" s="20">
        <f t="shared" si="0"/>
        <v>0</v>
      </c>
      <c r="D16" s="19"/>
      <c r="E16" s="21">
        <f t="shared" ref="E16:E21" si="2">D16/200*25</f>
        <v>0</v>
      </c>
      <c r="F16" s="19">
        <v>4502</v>
      </c>
      <c r="G16" s="22">
        <f t="shared" si="1"/>
        <v>523.48837209302326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1395.3999999999999</v>
      </c>
      <c r="Q16" s="24"/>
      <c r="R16" s="24"/>
      <c r="S16" s="25"/>
      <c r="T16" s="24"/>
      <c r="U16" s="24"/>
      <c r="V16" s="24">
        <v>267</v>
      </c>
      <c r="W16" s="25">
        <v>1889</v>
      </c>
      <c r="X16" s="25"/>
      <c r="Y16" s="24">
        <v>256</v>
      </c>
      <c r="Z16" s="24">
        <v>4</v>
      </c>
      <c r="AA16" s="24">
        <v>1055</v>
      </c>
      <c r="AB16" s="24"/>
      <c r="AC16" s="24"/>
      <c r="AD16" s="24"/>
      <c r="AE16" s="26">
        <f t="shared" ref="AE16:AE21" si="4">Y16*2.43</f>
        <v>622.08000000000004</v>
      </c>
      <c r="AF16" s="24"/>
      <c r="AG16" s="27"/>
      <c r="AH16" s="29"/>
    </row>
    <row r="17" spans="1:41" s="28" customFormat="1" ht="26.25" customHeight="1" x14ac:dyDescent="0.25">
      <c r="A17" s="18">
        <v>45986</v>
      </c>
      <c r="B17" s="19"/>
      <c r="C17" s="20">
        <f t="shared" si="0"/>
        <v>0</v>
      </c>
      <c r="D17" s="19"/>
      <c r="E17" s="21">
        <f t="shared" si="2"/>
        <v>0</v>
      </c>
      <c r="F17" s="19">
        <v>3600</v>
      </c>
      <c r="G17" s="22">
        <f t="shared" si="1"/>
        <v>418.60465116279073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1184.4000000000001</v>
      </c>
      <c r="Q17" s="24"/>
      <c r="R17" s="24"/>
      <c r="S17" s="24"/>
      <c r="T17" s="24"/>
      <c r="U17" s="24"/>
      <c r="V17" s="24">
        <v>241</v>
      </c>
      <c r="W17" s="25">
        <v>1606</v>
      </c>
      <c r="X17" s="25"/>
      <c r="Y17" s="24">
        <v>214</v>
      </c>
      <c r="Z17" s="24">
        <v>2</v>
      </c>
      <c r="AA17" s="24">
        <v>805</v>
      </c>
      <c r="AB17" s="24"/>
      <c r="AC17" s="24"/>
      <c r="AD17" s="24"/>
      <c r="AE17" s="26">
        <f t="shared" si="4"/>
        <v>520.02</v>
      </c>
      <c r="AF17" s="24"/>
      <c r="AG17" s="27"/>
    </row>
    <row r="18" spans="1:41" s="28" customFormat="1" ht="26.25" customHeight="1" x14ac:dyDescent="0.25">
      <c r="A18" s="18">
        <v>45987</v>
      </c>
      <c r="B18" s="19"/>
      <c r="C18" s="20">
        <f t="shared" si="0"/>
        <v>0</v>
      </c>
      <c r="D18" s="19"/>
      <c r="E18" s="21">
        <f t="shared" si="2"/>
        <v>0</v>
      </c>
      <c r="F18" s="19">
        <v>4790</v>
      </c>
      <c r="G18" s="22">
        <f t="shared" si="1"/>
        <v>556.97674418604652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1369.4</v>
      </c>
      <c r="Q18" s="24"/>
      <c r="R18" s="24"/>
      <c r="S18" s="24"/>
      <c r="T18" s="24"/>
      <c r="U18" s="24"/>
      <c r="V18" s="12">
        <v>206</v>
      </c>
      <c r="W18" s="25">
        <v>1994</v>
      </c>
      <c r="X18" s="25"/>
      <c r="Y18" s="24">
        <v>245</v>
      </c>
      <c r="Z18" s="24"/>
      <c r="AA18" s="24">
        <v>1021</v>
      </c>
      <c r="AB18" s="24"/>
      <c r="AC18" s="24"/>
      <c r="AD18" s="24"/>
      <c r="AE18" s="26">
        <f t="shared" si="4"/>
        <v>595.35</v>
      </c>
      <c r="AF18" s="24"/>
      <c r="AG18" s="27"/>
      <c r="AH18" s="29"/>
    </row>
    <row r="19" spans="1:41" s="28" customFormat="1" ht="26.25" customHeight="1" x14ac:dyDescent="0.25">
      <c r="A19" s="18">
        <v>45988</v>
      </c>
      <c r="B19" s="19"/>
      <c r="C19" s="20">
        <f>B19/200*25</f>
        <v>0</v>
      </c>
      <c r="D19" s="19"/>
      <c r="E19" s="21">
        <f t="shared" si="2"/>
        <v>0</v>
      </c>
      <c r="F19" s="19">
        <v>3883</v>
      </c>
      <c r="G19" s="22">
        <f t="shared" si="1"/>
        <v>451.51162790697674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1560.6000000000001</v>
      </c>
      <c r="Q19" s="24"/>
      <c r="R19" s="24"/>
      <c r="S19" s="24"/>
      <c r="T19" s="24"/>
      <c r="U19" s="24"/>
      <c r="V19" s="24">
        <v>246</v>
      </c>
      <c r="W19" s="25">
        <v>2011</v>
      </c>
      <c r="X19" s="25"/>
      <c r="Y19" s="24">
        <v>248</v>
      </c>
      <c r="Z19" s="24">
        <v>2</v>
      </c>
      <c r="AA19" s="24">
        <v>1059</v>
      </c>
      <c r="AB19" s="24"/>
      <c r="AC19" s="24"/>
      <c r="AD19" s="24"/>
      <c r="AE19" s="26">
        <f t="shared" si="4"/>
        <v>602.64</v>
      </c>
      <c r="AF19" s="24"/>
      <c r="AG19" s="27"/>
    </row>
    <row r="20" spans="1:41" s="28" customFormat="1" ht="26.25" customHeight="1" x14ac:dyDescent="0.25">
      <c r="A20" s="18">
        <v>45989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>
        <v>3719</v>
      </c>
      <c r="G20" s="22">
        <f t="shared" si="1"/>
        <v>432.44186046511624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1243</v>
      </c>
      <c r="Q20" s="24"/>
      <c r="R20" s="24"/>
      <c r="S20" s="25"/>
      <c r="T20" s="24"/>
      <c r="U20" s="24"/>
      <c r="V20" s="24">
        <v>213</v>
      </c>
      <c r="W20" s="25">
        <v>1714</v>
      </c>
      <c r="X20" s="25"/>
      <c r="Y20" s="24">
        <v>216</v>
      </c>
      <c r="Z20" s="24">
        <v>4</v>
      </c>
      <c r="AA20" s="24">
        <v>885</v>
      </c>
      <c r="AB20" s="24"/>
      <c r="AC20" s="24"/>
      <c r="AD20" s="24"/>
      <c r="AE20" s="26">
        <f t="shared" si="4"/>
        <v>524.88</v>
      </c>
      <c r="AF20" s="24"/>
      <c r="AG20" s="27"/>
    </row>
    <row r="21" spans="1:41" s="28" customFormat="1" ht="26.25" customHeight="1" x14ac:dyDescent="0.25">
      <c r="A21" s="18">
        <v>45990</v>
      </c>
      <c r="B21" s="19"/>
      <c r="C21" s="20">
        <f t="shared" si="6"/>
        <v>0</v>
      </c>
      <c r="D21" s="19"/>
      <c r="E21" s="21">
        <f t="shared" si="2"/>
        <v>0</v>
      </c>
      <c r="F21" s="19">
        <v>3018</v>
      </c>
      <c r="G21" s="22">
        <f t="shared" si="1"/>
        <v>350.93023255813955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1252.1999999999998</v>
      </c>
      <c r="Q21" s="24"/>
      <c r="R21" s="24"/>
      <c r="S21" s="25"/>
      <c r="T21" s="24"/>
      <c r="U21" s="24"/>
      <c r="V21" s="24">
        <v>146</v>
      </c>
      <c r="W21" s="25">
        <v>1681</v>
      </c>
      <c r="X21" s="25"/>
      <c r="Y21" s="24">
        <v>194</v>
      </c>
      <c r="Z21" s="24">
        <v>2</v>
      </c>
      <c r="AA21" s="24">
        <v>821</v>
      </c>
      <c r="AB21" s="24"/>
      <c r="AC21" s="24"/>
      <c r="AD21" s="24"/>
      <c r="AE21" s="26">
        <f t="shared" si="4"/>
        <v>471.42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0</v>
      </c>
      <c r="E22" s="33">
        <f t="shared" si="7"/>
        <v>0</v>
      </c>
      <c r="F22" s="31">
        <f t="shared" si="7"/>
        <v>26866</v>
      </c>
      <c r="G22" s="33">
        <f t="shared" si="7"/>
        <v>3123.9534883720935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9252.2000000000007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1521</v>
      </c>
      <c r="W22" s="31">
        <f t="shared" si="7"/>
        <v>12555</v>
      </c>
      <c r="X22" s="31">
        <f t="shared" si="7"/>
        <v>0</v>
      </c>
      <c r="Y22" s="31">
        <f t="shared" si="7"/>
        <v>1574</v>
      </c>
      <c r="Z22" s="31">
        <f t="shared" si="7"/>
        <v>16</v>
      </c>
      <c r="AA22" s="31">
        <f t="shared" si="7"/>
        <v>6529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3824.82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6529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16" sqref="A16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45991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>
        <v>2370</v>
      </c>
      <c r="G15" s="22">
        <f t="shared" ref="G15:G21" si="1">F15/215*25</f>
        <v>275.58139534883719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1052.5999999999999</v>
      </c>
      <c r="Q15" s="24"/>
      <c r="R15" s="24"/>
      <c r="S15" s="24"/>
      <c r="T15" s="24"/>
      <c r="U15" s="24"/>
      <c r="V15" s="24">
        <v>103</v>
      </c>
      <c r="W15" s="25">
        <v>1330</v>
      </c>
      <c r="X15" s="25"/>
      <c r="Y15" s="24">
        <v>183</v>
      </c>
      <c r="Z15" s="24">
        <v>2</v>
      </c>
      <c r="AA15" s="24">
        <v>745</v>
      </c>
      <c r="AB15" s="24"/>
      <c r="AC15" s="24"/>
      <c r="AD15" s="24"/>
      <c r="AE15" s="26">
        <f>Y15*2.43</f>
        <v>444.69000000000005</v>
      </c>
      <c r="AF15" s="24"/>
      <c r="AG15" s="27"/>
      <c r="AH15" s="29"/>
    </row>
    <row r="16" spans="1:34" s="28" customFormat="1" ht="26.25" customHeight="1" x14ac:dyDescent="0.25">
      <c r="A16" s="18">
        <v>45992</v>
      </c>
      <c r="B16" s="19"/>
      <c r="C16" s="20">
        <f t="shared" si="0"/>
        <v>0</v>
      </c>
      <c r="D16" s="19"/>
      <c r="E16" s="21">
        <f t="shared" ref="E16:E21" si="2">D16/200*25</f>
        <v>0</v>
      </c>
      <c r="F16" s="19">
        <v>3524</v>
      </c>
      <c r="G16" s="22">
        <f t="shared" si="1"/>
        <v>409.76744186046511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1174.2</v>
      </c>
      <c r="Q16" s="24"/>
      <c r="R16" s="24"/>
      <c r="S16" s="25"/>
      <c r="T16" s="24"/>
      <c r="U16" s="24"/>
      <c r="V16" s="24">
        <v>131</v>
      </c>
      <c r="W16" s="25">
        <v>1665</v>
      </c>
      <c r="X16" s="25"/>
      <c r="Y16" s="24">
        <v>212</v>
      </c>
      <c r="Z16" s="24">
        <v>4</v>
      </c>
      <c r="AA16" s="24">
        <v>899</v>
      </c>
      <c r="AB16" s="24"/>
      <c r="AC16" s="24"/>
      <c r="AD16" s="24"/>
      <c r="AE16" s="26">
        <f t="shared" ref="AE16:AE21" si="4">Y16*2.43</f>
        <v>515.16000000000008</v>
      </c>
      <c r="AF16" s="24"/>
      <c r="AG16" s="27"/>
      <c r="AH16" s="29"/>
    </row>
    <row r="17" spans="1:41" s="28" customFormat="1" ht="26.25" customHeight="1" x14ac:dyDescent="0.25">
      <c r="A17" s="18">
        <v>45993</v>
      </c>
      <c r="B17" s="19"/>
      <c r="C17" s="20">
        <f t="shared" si="0"/>
        <v>0</v>
      </c>
      <c r="D17" s="19"/>
      <c r="E17" s="21">
        <f t="shared" si="2"/>
        <v>0</v>
      </c>
      <c r="F17" s="19">
        <v>3251</v>
      </c>
      <c r="G17" s="22">
        <f t="shared" si="1"/>
        <v>378.02325581395348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1094</v>
      </c>
      <c r="Q17" s="24"/>
      <c r="R17" s="24"/>
      <c r="S17" s="24"/>
      <c r="T17" s="24"/>
      <c r="U17" s="24"/>
      <c r="V17" s="24">
        <v>126</v>
      </c>
      <c r="W17" s="25">
        <v>1584</v>
      </c>
      <c r="X17" s="25"/>
      <c r="Y17" s="24">
        <v>197</v>
      </c>
      <c r="Z17" s="24"/>
      <c r="AA17" s="24">
        <v>775</v>
      </c>
      <c r="AB17" s="24"/>
      <c r="AC17" s="24"/>
      <c r="AD17" s="24"/>
      <c r="AE17" s="26">
        <f t="shared" si="4"/>
        <v>478.71000000000004</v>
      </c>
      <c r="AF17" s="24"/>
      <c r="AG17" s="27"/>
    </row>
    <row r="18" spans="1:41" s="28" customFormat="1" ht="26.25" customHeight="1" x14ac:dyDescent="0.25">
      <c r="A18" s="18">
        <v>45994</v>
      </c>
      <c r="B18" s="19"/>
      <c r="C18" s="20">
        <f t="shared" si="0"/>
        <v>0</v>
      </c>
      <c r="D18" s="19"/>
      <c r="E18" s="21">
        <f t="shared" si="2"/>
        <v>0</v>
      </c>
      <c r="F18" s="19">
        <v>4396</v>
      </c>
      <c r="G18" s="22">
        <f t="shared" si="1"/>
        <v>511.16279069767438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1350.1999999999998</v>
      </c>
      <c r="Q18" s="24"/>
      <c r="R18" s="24"/>
      <c r="S18" s="24"/>
      <c r="T18" s="24"/>
      <c r="U18" s="24"/>
      <c r="V18" s="12">
        <v>159</v>
      </c>
      <c r="W18" s="25">
        <v>1953</v>
      </c>
      <c r="X18" s="25"/>
      <c r="Y18" s="24">
        <v>242</v>
      </c>
      <c r="Z18" s="24">
        <v>2</v>
      </c>
      <c r="AA18" s="24">
        <v>1032</v>
      </c>
      <c r="AB18" s="24"/>
      <c r="AC18" s="24"/>
      <c r="AD18" s="24"/>
      <c r="AE18" s="26">
        <f t="shared" si="4"/>
        <v>588.06000000000006</v>
      </c>
      <c r="AF18" s="24"/>
      <c r="AG18" s="27"/>
      <c r="AH18" s="29"/>
    </row>
    <row r="19" spans="1:41" s="28" customFormat="1" ht="26.25" customHeight="1" x14ac:dyDescent="0.25">
      <c r="A19" s="18">
        <v>45995</v>
      </c>
      <c r="B19" s="19"/>
      <c r="C19" s="20">
        <f>B19/200*25</f>
        <v>0</v>
      </c>
      <c r="D19" s="19"/>
      <c r="E19" s="21">
        <f t="shared" si="2"/>
        <v>0</v>
      </c>
      <c r="F19" s="19">
        <v>3980</v>
      </c>
      <c r="G19" s="22">
        <f t="shared" si="1"/>
        <v>462.79069767441865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1342.2</v>
      </c>
      <c r="Q19" s="24"/>
      <c r="R19" s="24"/>
      <c r="S19" s="24"/>
      <c r="T19" s="24"/>
      <c r="U19" s="24"/>
      <c r="V19" s="24">
        <v>227</v>
      </c>
      <c r="W19" s="25">
        <v>1756</v>
      </c>
      <c r="X19" s="25"/>
      <c r="Y19" s="24">
        <v>228</v>
      </c>
      <c r="Z19" s="24">
        <v>6</v>
      </c>
      <c r="AA19" s="24">
        <v>968</v>
      </c>
      <c r="AB19" s="24"/>
      <c r="AC19" s="24"/>
      <c r="AD19" s="24"/>
      <c r="AE19" s="26">
        <f t="shared" si="4"/>
        <v>554.04000000000008</v>
      </c>
      <c r="AF19" s="24"/>
      <c r="AG19" s="27"/>
    </row>
    <row r="20" spans="1:41" s="28" customFormat="1" ht="26.25" customHeight="1" x14ac:dyDescent="0.25">
      <c r="A20" s="18">
        <v>45996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>
        <v>3666</v>
      </c>
      <c r="G20" s="22">
        <f t="shared" si="1"/>
        <v>426.27906976744185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1302.2</v>
      </c>
      <c r="Q20" s="24"/>
      <c r="R20" s="24"/>
      <c r="S20" s="25"/>
      <c r="T20" s="24"/>
      <c r="U20" s="24"/>
      <c r="V20" s="24">
        <v>209</v>
      </c>
      <c r="W20" s="25">
        <v>1741</v>
      </c>
      <c r="X20" s="25"/>
      <c r="Y20" s="24">
        <v>210</v>
      </c>
      <c r="Z20" s="24">
        <v>4</v>
      </c>
      <c r="AA20" s="24">
        <v>919</v>
      </c>
      <c r="AB20" s="24"/>
      <c r="AC20" s="24"/>
      <c r="AD20" s="24"/>
      <c r="AE20" s="26">
        <f t="shared" si="4"/>
        <v>510.3</v>
      </c>
      <c r="AF20" s="24"/>
      <c r="AG20" s="27"/>
    </row>
    <row r="21" spans="1:41" s="28" customFormat="1" ht="26.25" customHeight="1" x14ac:dyDescent="0.25">
      <c r="A21" s="18">
        <v>45997</v>
      </c>
      <c r="B21" s="19"/>
      <c r="C21" s="20">
        <f t="shared" si="6"/>
        <v>0</v>
      </c>
      <c r="D21" s="19"/>
      <c r="E21" s="21">
        <f t="shared" si="2"/>
        <v>0</v>
      </c>
      <c r="F21" s="19">
        <v>3451</v>
      </c>
      <c r="G21" s="22">
        <f t="shared" si="1"/>
        <v>401.27906976744185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1414.4</v>
      </c>
      <c r="Q21" s="24"/>
      <c r="R21" s="24"/>
      <c r="S21" s="25"/>
      <c r="T21" s="24"/>
      <c r="U21" s="24"/>
      <c r="V21" s="24">
        <v>139</v>
      </c>
      <c r="W21" s="25">
        <v>1892</v>
      </c>
      <c r="X21" s="25"/>
      <c r="Y21" s="24">
        <v>229</v>
      </c>
      <c r="Z21" s="24">
        <v>2</v>
      </c>
      <c r="AA21" s="24">
        <v>983</v>
      </c>
      <c r="AB21" s="24"/>
      <c r="AC21" s="24"/>
      <c r="AD21" s="24"/>
      <c r="AE21" s="26">
        <f t="shared" si="4"/>
        <v>556.47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0</v>
      </c>
      <c r="E22" s="33">
        <f t="shared" si="7"/>
        <v>0</v>
      </c>
      <c r="F22" s="31">
        <f t="shared" si="7"/>
        <v>24638</v>
      </c>
      <c r="G22" s="33">
        <f t="shared" si="7"/>
        <v>2864.8837209302324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8729.7999999999993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1094</v>
      </c>
      <c r="W22" s="31">
        <f t="shared" si="7"/>
        <v>11921</v>
      </c>
      <c r="X22" s="31">
        <f t="shared" si="7"/>
        <v>0</v>
      </c>
      <c r="Y22" s="31">
        <f t="shared" si="7"/>
        <v>1501</v>
      </c>
      <c r="Z22" s="31">
        <f t="shared" si="7"/>
        <v>20</v>
      </c>
      <c r="AA22" s="31">
        <f t="shared" si="7"/>
        <v>6321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3647.4300000000003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F20" sqref="F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45998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>
        <v>3788</v>
      </c>
      <c r="G15" s="22">
        <f t="shared" ref="G15:G21" si="1">F15/215*25</f>
        <v>440.46511627906978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1289.2</v>
      </c>
      <c r="Q15" s="24"/>
      <c r="R15" s="24"/>
      <c r="S15" s="24"/>
      <c r="T15" s="24"/>
      <c r="U15" s="24"/>
      <c r="V15" s="24">
        <v>144</v>
      </c>
      <c r="W15" s="25">
        <v>1789</v>
      </c>
      <c r="X15" s="25"/>
      <c r="Y15" s="24">
        <v>242</v>
      </c>
      <c r="Z15" s="24">
        <v>2</v>
      </c>
      <c r="AA15" s="24">
        <v>911</v>
      </c>
      <c r="AB15" s="24"/>
      <c r="AC15" s="24"/>
      <c r="AD15" s="24"/>
      <c r="AE15" s="26">
        <f>Y15*2.43</f>
        <v>588.06000000000006</v>
      </c>
      <c r="AF15" s="24"/>
      <c r="AG15" s="27"/>
      <c r="AH15" s="29"/>
    </row>
    <row r="16" spans="1:34" s="28" customFormat="1" ht="26.25" customHeight="1" x14ac:dyDescent="0.25">
      <c r="A16" s="18">
        <v>45999</v>
      </c>
      <c r="B16" s="19"/>
      <c r="C16" s="20">
        <f t="shared" si="0"/>
        <v>0</v>
      </c>
      <c r="D16" s="19"/>
      <c r="E16" s="21">
        <f t="shared" ref="E16:E21" si="2">D16/200*25</f>
        <v>0</v>
      </c>
      <c r="F16" s="19">
        <v>3707</v>
      </c>
      <c r="G16" s="22">
        <f t="shared" si="1"/>
        <v>431.04651162790697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1002.6</v>
      </c>
      <c r="Q16" s="24"/>
      <c r="R16" s="24"/>
      <c r="S16" s="25"/>
      <c r="T16" s="24"/>
      <c r="U16" s="24"/>
      <c r="V16" s="24">
        <v>109</v>
      </c>
      <c r="W16" s="25">
        <v>1521</v>
      </c>
      <c r="X16" s="25"/>
      <c r="Y16" s="24">
        <v>211</v>
      </c>
      <c r="Z16" s="24">
        <v>4</v>
      </c>
      <c r="AA16" s="24">
        <v>790</v>
      </c>
      <c r="AB16" s="24"/>
      <c r="AC16" s="24"/>
      <c r="AD16" s="24"/>
      <c r="AE16" s="26">
        <f t="shared" ref="AE16:AE21" si="4">Y16*2.43</f>
        <v>512.73</v>
      </c>
      <c r="AF16" s="24"/>
      <c r="AG16" s="27"/>
      <c r="AH16" s="29"/>
    </row>
    <row r="17" spans="1:41" s="28" customFormat="1" ht="26.25" customHeight="1" x14ac:dyDescent="0.25">
      <c r="A17" s="18">
        <v>46000</v>
      </c>
      <c r="B17" s="19"/>
      <c r="C17" s="20">
        <f t="shared" si="0"/>
        <v>0</v>
      </c>
      <c r="D17" s="19"/>
      <c r="E17" s="21">
        <f t="shared" si="2"/>
        <v>0</v>
      </c>
      <c r="F17" s="19">
        <v>3757</v>
      </c>
      <c r="G17" s="22">
        <f t="shared" si="1"/>
        <v>436.8604651162791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1330.1999999999998</v>
      </c>
      <c r="Q17" s="24"/>
      <c r="R17" s="24"/>
      <c r="S17" s="24"/>
      <c r="T17" s="24"/>
      <c r="U17" s="24"/>
      <c r="V17" s="24">
        <v>189</v>
      </c>
      <c r="W17" s="25">
        <v>1765</v>
      </c>
      <c r="X17" s="25"/>
      <c r="Y17" s="24">
        <v>222</v>
      </c>
      <c r="Z17" s="24">
        <v>2</v>
      </c>
      <c r="AA17" s="24">
        <v>847</v>
      </c>
      <c r="AB17" s="24"/>
      <c r="AC17" s="24"/>
      <c r="AD17" s="24"/>
      <c r="AE17" s="26">
        <f t="shared" si="4"/>
        <v>539.46</v>
      </c>
      <c r="AF17" s="24"/>
      <c r="AG17" s="27">
        <v>2</v>
      </c>
    </row>
    <row r="18" spans="1:41" s="28" customFormat="1" ht="26.25" customHeight="1" x14ac:dyDescent="0.25">
      <c r="A18" s="18">
        <v>46001</v>
      </c>
      <c r="B18" s="19"/>
      <c r="C18" s="20">
        <f t="shared" si="0"/>
        <v>0</v>
      </c>
      <c r="D18" s="19"/>
      <c r="E18" s="21">
        <f t="shared" si="2"/>
        <v>0</v>
      </c>
      <c r="F18" s="19">
        <v>3897</v>
      </c>
      <c r="G18" s="22">
        <f t="shared" si="1"/>
        <v>453.13953488372096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1296</v>
      </c>
      <c r="Q18" s="24"/>
      <c r="R18" s="24"/>
      <c r="S18" s="24"/>
      <c r="T18" s="24"/>
      <c r="U18" s="24"/>
      <c r="V18" s="12">
        <v>213</v>
      </c>
      <c r="W18" s="25">
        <v>1770</v>
      </c>
      <c r="X18" s="25"/>
      <c r="Y18" s="24">
        <v>242</v>
      </c>
      <c r="Z18" s="24">
        <v>6</v>
      </c>
      <c r="AA18" s="24">
        <v>774</v>
      </c>
      <c r="AB18" s="24"/>
      <c r="AC18" s="24">
        <v>389</v>
      </c>
      <c r="AD18" s="24"/>
      <c r="AE18" s="26">
        <f t="shared" si="4"/>
        <v>588.06000000000006</v>
      </c>
      <c r="AF18" s="24"/>
      <c r="AG18" s="27"/>
      <c r="AH18" s="29"/>
    </row>
    <row r="19" spans="1:41" s="28" customFormat="1" ht="26.25" customHeight="1" x14ac:dyDescent="0.25">
      <c r="A19" s="18">
        <v>46002</v>
      </c>
      <c r="B19" s="19"/>
      <c r="C19" s="20">
        <f>B19/200*25</f>
        <v>0</v>
      </c>
      <c r="D19" s="19"/>
      <c r="E19" s="21">
        <f t="shared" si="2"/>
        <v>0</v>
      </c>
      <c r="F19" s="19">
        <v>4742</v>
      </c>
      <c r="G19" s="22">
        <f t="shared" si="1"/>
        <v>551.39534883720933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1539.8000000000002</v>
      </c>
      <c r="Q19" s="24"/>
      <c r="R19" s="24"/>
      <c r="S19" s="24"/>
      <c r="T19" s="24"/>
      <c r="U19" s="24"/>
      <c r="V19" s="24">
        <v>249</v>
      </c>
      <c r="W19" s="25">
        <v>2159</v>
      </c>
      <c r="X19" s="25"/>
      <c r="Y19" s="24">
        <v>258</v>
      </c>
      <c r="Z19" s="24">
        <v>4</v>
      </c>
      <c r="AA19" s="24">
        <v>915</v>
      </c>
      <c r="AB19" s="24"/>
      <c r="AC19" s="24">
        <v>224</v>
      </c>
      <c r="AD19" s="24"/>
      <c r="AE19" s="26">
        <f t="shared" si="4"/>
        <v>626.94000000000005</v>
      </c>
      <c r="AF19" s="24"/>
      <c r="AG19" s="27"/>
    </row>
    <row r="20" spans="1:41" s="28" customFormat="1" ht="26.25" customHeight="1" x14ac:dyDescent="0.25">
      <c r="A20" s="18">
        <v>46003</v>
      </c>
      <c r="B20" s="19"/>
      <c r="C20" s="20">
        <f t="shared" ref="C20:C21" si="6">B20/200*25</f>
        <v>0</v>
      </c>
      <c r="D20" s="19">
        <v>632</v>
      </c>
      <c r="E20" s="21">
        <f t="shared" si="2"/>
        <v>79</v>
      </c>
      <c r="F20" s="19">
        <v>3467</v>
      </c>
      <c r="G20" s="22">
        <f t="shared" si="1"/>
        <v>403.13953488372096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1272.4000000000001</v>
      </c>
      <c r="Q20" s="24"/>
      <c r="R20" s="24"/>
      <c r="S20" s="25"/>
      <c r="T20" s="24"/>
      <c r="U20" s="24"/>
      <c r="V20" s="24">
        <v>148</v>
      </c>
      <c r="W20" s="25">
        <v>1901</v>
      </c>
      <c r="X20" s="25"/>
      <c r="Y20" s="24">
        <v>223</v>
      </c>
      <c r="Z20" s="24">
        <v>4</v>
      </c>
      <c r="AA20" s="24">
        <v>667</v>
      </c>
      <c r="AB20" s="24"/>
      <c r="AC20" s="24">
        <v>303</v>
      </c>
      <c r="AD20" s="24"/>
      <c r="AE20" s="26">
        <f t="shared" si="4"/>
        <v>541.89</v>
      </c>
      <c r="AF20" s="24"/>
      <c r="AG20" s="27"/>
    </row>
    <row r="21" spans="1:41" s="28" customFormat="1" ht="26.25" customHeight="1" x14ac:dyDescent="0.25">
      <c r="A21" s="18">
        <v>46004</v>
      </c>
      <c r="B21" s="19"/>
      <c r="C21" s="20">
        <f t="shared" si="6"/>
        <v>0</v>
      </c>
      <c r="D21" s="19">
        <v>1797</v>
      </c>
      <c r="E21" s="21">
        <f t="shared" si="2"/>
        <v>224.625</v>
      </c>
      <c r="F21" s="19">
        <v>2100</v>
      </c>
      <c r="G21" s="22">
        <f t="shared" si="1"/>
        <v>244.18604651162789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1175.2</v>
      </c>
      <c r="Q21" s="24"/>
      <c r="R21" s="24"/>
      <c r="S21" s="25"/>
      <c r="T21" s="24"/>
      <c r="U21" s="24"/>
      <c r="V21" s="24">
        <v>146</v>
      </c>
      <c r="W21" s="25">
        <v>1688</v>
      </c>
      <c r="X21" s="25"/>
      <c r="Y21" s="24">
        <v>205</v>
      </c>
      <c r="Z21" s="24">
        <v>2</v>
      </c>
      <c r="AA21" s="24">
        <v>633</v>
      </c>
      <c r="AB21" s="24"/>
      <c r="AC21" s="24">
        <v>236</v>
      </c>
      <c r="AD21" s="24"/>
      <c r="AE21" s="26">
        <f t="shared" si="4"/>
        <v>498.15000000000003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2429</v>
      </c>
      <c r="E22" s="33">
        <f t="shared" si="7"/>
        <v>303.625</v>
      </c>
      <c r="F22" s="31">
        <f t="shared" si="7"/>
        <v>25458</v>
      </c>
      <c r="G22" s="33">
        <f t="shared" si="7"/>
        <v>2960.2325581395348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8905.4000000000015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1198</v>
      </c>
      <c r="W22" s="31">
        <f t="shared" si="7"/>
        <v>12593</v>
      </c>
      <c r="X22" s="31">
        <f t="shared" si="7"/>
        <v>0</v>
      </c>
      <c r="Y22" s="31">
        <f t="shared" si="7"/>
        <v>1603</v>
      </c>
      <c r="Z22" s="31">
        <f t="shared" si="7"/>
        <v>24</v>
      </c>
      <c r="AA22" s="31">
        <f t="shared" si="7"/>
        <v>5537</v>
      </c>
      <c r="AB22" s="31">
        <f t="shared" si="7"/>
        <v>0</v>
      </c>
      <c r="AC22" s="31">
        <f t="shared" si="7"/>
        <v>1152</v>
      </c>
      <c r="AD22" s="31">
        <f t="shared" si="7"/>
        <v>0</v>
      </c>
      <c r="AE22" s="33">
        <f t="shared" si="7"/>
        <v>3895.29</v>
      </c>
      <c r="AF22" s="33">
        <f t="shared" si="7"/>
        <v>0</v>
      </c>
      <c r="AG22" s="33">
        <f t="shared" si="7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5537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46005</v>
      </c>
      <c r="B15" s="19"/>
      <c r="C15" s="20">
        <f t="shared" ref="C15:C18" si="0">B15/200*25</f>
        <v>0</v>
      </c>
      <c r="D15" s="19">
        <v>1276</v>
      </c>
      <c r="E15" s="21">
        <f>D15/200*25</f>
        <v>159.5</v>
      </c>
      <c r="F15" s="19">
        <v>2208</v>
      </c>
      <c r="G15" s="22">
        <f t="shared" ref="G15:G21" si="1">F15/215*25</f>
        <v>256.74418604651163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1025.5999999999999</v>
      </c>
      <c r="Q15" s="24"/>
      <c r="R15" s="24"/>
      <c r="S15" s="24"/>
      <c r="T15" s="24"/>
      <c r="U15" s="24"/>
      <c r="V15" s="24">
        <v>162</v>
      </c>
      <c r="W15" s="25">
        <v>1530</v>
      </c>
      <c r="X15" s="25"/>
      <c r="Y15" s="24">
        <v>168</v>
      </c>
      <c r="Z15" s="24"/>
      <c r="AA15" s="24">
        <v>598</v>
      </c>
      <c r="AB15" s="24"/>
      <c r="AC15" s="24">
        <v>187</v>
      </c>
      <c r="AD15" s="24"/>
      <c r="AE15" s="26">
        <f>Y15*2.43</f>
        <v>408.24</v>
      </c>
      <c r="AF15" s="24"/>
      <c r="AG15" s="27"/>
      <c r="AH15" s="29"/>
    </row>
    <row r="16" spans="1:34" s="28" customFormat="1" ht="26.25" customHeight="1" x14ac:dyDescent="0.25">
      <c r="A16" s="18">
        <v>46006</v>
      </c>
      <c r="B16" s="19"/>
      <c r="C16" s="20">
        <f t="shared" si="0"/>
        <v>0</v>
      </c>
      <c r="D16" s="19">
        <v>1213</v>
      </c>
      <c r="E16" s="21">
        <f t="shared" ref="E16:E21" si="2">D16/200*25</f>
        <v>151.625</v>
      </c>
      <c r="F16" s="19">
        <v>1735</v>
      </c>
      <c r="G16" s="22">
        <f t="shared" si="1"/>
        <v>201.74418604651163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667.6</v>
      </c>
      <c r="Q16" s="24"/>
      <c r="R16" s="24"/>
      <c r="S16" s="25"/>
      <c r="T16" s="24"/>
      <c r="U16" s="24"/>
      <c r="V16" s="24">
        <v>132</v>
      </c>
      <c r="W16" s="25">
        <v>1027</v>
      </c>
      <c r="X16" s="25"/>
      <c r="Y16" s="24">
        <v>151</v>
      </c>
      <c r="Z16" s="24">
        <v>2</v>
      </c>
      <c r="AA16" s="24">
        <v>383</v>
      </c>
      <c r="AB16" s="24"/>
      <c r="AC16" s="24">
        <v>162</v>
      </c>
      <c r="AD16" s="24"/>
      <c r="AE16" s="26">
        <f t="shared" ref="AE16:AE21" si="4">Y16*2.43</f>
        <v>366.93</v>
      </c>
      <c r="AF16" s="24"/>
      <c r="AG16" s="27"/>
      <c r="AH16" s="29"/>
    </row>
    <row r="17" spans="1:41" s="28" customFormat="1" ht="26.25" customHeight="1" x14ac:dyDescent="0.25">
      <c r="A17" s="18">
        <v>46007</v>
      </c>
      <c r="B17" s="19"/>
      <c r="C17" s="20">
        <f t="shared" si="0"/>
        <v>0</v>
      </c>
      <c r="D17" s="19">
        <v>1024</v>
      </c>
      <c r="E17" s="21">
        <f t="shared" si="2"/>
        <v>128</v>
      </c>
      <c r="F17" s="19">
        <v>1839</v>
      </c>
      <c r="G17" s="22">
        <f t="shared" si="1"/>
        <v>213.83720930232556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901.80000000000007</v>
      </c>
      <c r="Q17" s="24"/>
      <c r="R17" s="24"/>
      <c r="S17" s="24"/>
      <c r="T17" s="24"/>
      <c r="U17" s="24"/>
      <c r="V17" s="24">
        <v>141</v>
      </c>
      <c r="W17" s="25">
        <v>1309</v>
      </c>
      <c r="X17" s="25"/>
      <c r="Y17" s="24">
        <v>171</v>
      </c>
      <c r="Z17" s="24">
        <v>2</v>
      </c>
      <c r="AA17" s="24">
        <v>455</v>
      </c>
      <c r="AB17" s="24"/>
      <c r="AC17" s="24">
        <v>150</v>
      </c>
      <c r="AD17" s="24"/>
      <c r="AE17" s="26">
        <f t="shared" si="4"/>
        <v>415.53000000000003</v>
      </c>
      <c r="AF17" s="24"/>
      <c r="AG17" s="27"/>
    </row>
    <row r="18" spans="1:41" s="28" customFormat="1" ht="26.25" customHeight="1" x14ac:dyDescent="0.25">
      <c r="A18" s="18">
        <v>46008</v>
      </c>
      <c r="B18" s="19"/>
      <c r="C18" s="20">
        <f t="shared" si="0"/>
        <v>0</v>
      </c>
      <c r="D18" s="19">
        <v>1353</v>
      </c>
      <c r="E18" s="21">
        <f t="shared" si="2"/>
        <v>169.125</v>
      </c>
      <c r="F18" s="19">
        <v>2273</v>
      </c>
      <c r="G18" s="22">
        <f t="shared" si="1"/>
        <v>264.30232558139534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1343.1999999999998</v>
      </c>
      <c r="Q18" s="24"/>
      <c r="R18" s="24"/>
      <c r="S18" s="24"/>
      <c r="T18" s="24"/>
      <c r="U18" s="24"/>
      <c r="V18" s="12">
        <v>220</v>
      </c>
      <c r="W18" s="25">
        <v>1811</v>
      </c>
      <c r="X18" s="25"/>
      <c r="Y18" s="24">
        <v>204</v>
      </c>
      <c r="Z18" s="24">
        <v>2</v>
      </c>
      <c r="AA18" s="24">
        <v>646</v>
      </c>
      <c r="AB18" s="24"/>
      <c r="AC18" s="24">
        <v>218</v>
      </c>
      <c r="AD18" s="24"/>
      <c r="AE18" s="26">
        <f t="shared" si="4"/>
        <v>495.72</v>
      </c>
      <c r="AF18" s="24"/>
      <c r="AG18" s="27"/>
      <c r="AH18" s="29"/>
    </row>
    <row r="19" spans="1:41" s="28" customFormat="1" ht="26.25" customHeight="1" x14ac:dyDescent="0.25">
      <c r="A19" s="18">
        <v>46009</v>
      </c>
      <c r="B19" s="19"/>
      <c r="C19" s="20">
        <f>B19/200*25</f>
        <v>0</v>
      </c>
      <c r="D19" s="19">
        <v>695</v>
      </c>
      <c r="E19" s="21">
        <f t="shared" si="2"/>
        <v>86.875</v>
      </c>
      <c r="F19" s="19">
        <v>1710</v>
      </c>
      <c r="G19" s="22">
        <f t="shared" si="1"/>
        <v>198.83720930232559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752</v>
      </c>
      <c r="Q19" s="24"/>
      <c r="R19" s="24"/>
      <c r="S19" s="24"/>
      <c r="T19" s="24"/>
      <c r="U19" s="24"/>
      <c r="V19" s="24">
        <v>107</v>
      </c>
      <c r="W19" s="25">
        <v>1073</v>
      </c>
      <c r="X19" s="25"/>
      <c r="Y19" s="24">
        <v>152</v>
      </c>
      <c r="Z19" s="24">
        <v>2</v>
      </c>
      <c r="AA19" s="24">
        <v>420</v>
      </c>
      <c r="AB19" s="24"/>
      <c r="AC19" s="24">
        <v>218</v>
      </c>
      <c r="AD19" s="24"/>
      <c r="AE19" s="26">
        <f t="shared" si="4"/>
        <v>369.36</v>
      </c>
      <c r="AF19" s="24"/>
      <c r="AG19" s="27"/>
    </row>
    <row r="20" spans="1:41" s="28" customFormat="1" ht="26.25" customHeight="1" x14ac:dyDescent="0.25">
      <c r="A20" s="18">
        <v>46010</v>
      </c>
      <c r="B20" s="19"/>
      <c r="C20" s="20">
        <f t="shared" ref="C20:C21" si="6">B20/200*25</f>
        <v>0</v>
      </c>
      <c r="D20" s="19">
        <v>1092</v>
      </c>
      <c r="E20" s="21">
        <f t="shared" si="2"/>
        <v>136.5</v>
      </c>
      <c r="F20" s="19">
        <v>2443</v>
      </c>
      <c r="G20" s="22">
        <f t="shared" si="1"/>
        <v>284.06976744186045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1102.1999999999998</v>
      </c>
      <c r="Q20" s="24"/>
      <c r="R20" s="24"/>
      <c r="S20" s="25"/>
      <c r="T20" s="24"/>
      <c r="U20" s="24"/>
      <c r="V20" s="24">
        <v>154</v>
      </c>
      <c r="W20" s="25">
        <v>1637</v>
      </c>
      <c r="X20" s="25"/>
      <c r="Y20" s="24">
        <v>205</v>
      </c>
      <c r="Z20" s="24">
        <v>2</v>
      </c>
      <c r="AA20" s="24">
        <v>573</v>
      </c>
      <c r="AB20" s="24"/>
      <c r="AC20" s="24">
        <v>232</v>
      </c>
      <c r="AD20" s="24"/>
      <c r="AE20" s="26">
        <f t="shared" si="4"/>
        <v>498.15000000000003</v>
      </c>
      <c r="AF20" s="24"/>
      <c r="AG20" s="27"/>
    </row>
    <row r="21" spans="1:41" s="28" customFormat="1" ht="26.25" customHeight="1" x14ac:dyDescent="0.25">
      <c r="A21" s="18">
        <v>46011</v>
      </c>
      <c r="B21" s="19"/>
      <c r="C21" s="20">
        <f t="shared" si="6"/>
        <v>0</v>
      </c>
      <c r="D21" s="19">
        <v>1532</v>
      </c>
      <c r="E21" s="21">
        <f t="shared" si="2"/>
        <v>191.5</v>
      </c>
      <c r="F21" s="19">
        <v>1965</v>
      </c>
      <c r="G21" s="22">
        <f t="shared" si="1"/>
        <v>228.48837209302326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1252.5999999999999</v>
      </c>
      <c r="Q21" s="24"/>
      <c r="R21" s="24"/>
      <c r="S21" s="25"/>
      <c r="T21" s="24"/>
      <c r="U21" s="24"/>
      <c r="V21" s="24">
        <v>123</v>
      </c>
      <c r="W21" s="25">
        <v>1746</v>
      </c>
      <c r="X21" s="25"/>
      <c r="Y21" s="24">
        <v>215</v>
      </c>
      <c r="Z21" s="24"/>
      <c r="AA21" s="24">
        <v>654</v>
      </c>
      <c r="AB21" s="24"/>
      <c r="AC21" s="24">
        <v>187</v>
      </c>
      <c r="AD21" s="24"/>
      <c r="AE21" s="26">
        <f t="shared" si="4"/>
        <v>522.45000000000005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8185</v>
      </c>
      <c r="E22" s="33">
        <f t="shared" si="7"/>
        <v>1023.125</v>
      </c>
      <c r="F22" s="31">
        <f t="shared" si="7"/>
        <v>14173</v>
      </c>
      <c r="G22" s="33">
        <f t="shared" si="7"/>
        <v>1648.0232558139533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7045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1039</v>
      </c>
      <c r="W22" s="31">
        <f t="shared" si="7"/>
        <v>10133</v>
      </c>
      <c r="X22" s="31">
        <f t="shared" si="7"/>
        <v>0</v>
      </c>
      <c r="Y22" s="31">
        <f t="shared" si="7"/>
        <v>1266</v>
      </c>
      <c r="Z22" s="31">
        <f t="shared" si="7"/>
        <v>10</v>
      </c>
      <c r="AA22" s="31">
        <f t="shared" si="7"/>
        <v>3729</v>
      </c>
      <c r="AB22" s="31">
        <f t="shared" si="7"/>
        <v>0</v>
      </c>
      <c r="AC22" s="31">
        <f t="shared" si="7"/>
        <v>1354</v>
      </c>
      <c r="AD22" s="31">
        <f t="shared" si="7"/>
        <v>0</v>
      </c>
      <c r="AE22" s="33">
        <f t="shared" si="7"/>
        <v>3076.38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R26" sqref="R2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46012</v>
      </c>
      <c r="B15" s="19"/>
      <c r="C15" s="20">
        <f t="shared" ref="C15:C18" si="0">B15/200*25</f>
        <v>0</v>
      </c>
      <c r="D15" s="19">
        <v>1066</v>
      </c>
      <c r="E15" s="21">
        <f>D15/200*25</f>
        <v>133.25</v>
      </c>
      <c r="F15" s="19">
        <v>1430</v>
      </c>
      <c r="G15" s="22">
        <f t="shared" ref="G15:G21" si="1">F15/215*25</f>
        <v>166.27906976744185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793</v>
      </c>
      <c r="Q15" s="24"/>
      <c r="R15" s="24"/>
      <c r="S15" s="24"/>
      <c r="T15" s="24"/>
      <c r="U15" s="24"/>
      <c r="V15" s="24">
        <v>55</v>
      </c>
      <c r="W15" s="25">
        <v>1156</v>
      </c>
      <c r="X15" s="25"/>
      <c r="Y15" s="24">
        <v>144</v>
      </c>
      <c r="Z15" s="24"/>
      <c r="AA15" s="24">
        <v>395</v>
      </c>
      <c r="AB15" s="24"/>
      <c r="AC15" s="24">
        <v>173</v>
      </c>
      <c r="AD15" s="24"/>
      <c r="AE15" s="26">
        <f>Y15*2.43</f>
        <v>349.92</v>
      </c>
      <c r="AF15" s="24"/>
      <c r="AG15" s="27"/>
      <c r="AH15" s="29"/>
    </row>
    <row r="16" spans="1:34" s="28" customFormat="1" ht="26.25" customHeight="1" x14ac:dyDescent="0.25">
      <c r="A16" s="18">
        <v>46013</v>
      </c>
      <c r="B16" s="19"/>
      <c r="C16" s="20">
        <f t="shared" si="0"/>
        <v>0</v>
      </c>
      <c r="D16" s="19">
        <v>761</v>
      </c>
      <c r="E16" s="21">
        <f t="shared" ref="E16:E21" si="2">D16/200*25</f>
        <v>95.125</v>
      </c>
      <c r="F16" s="19">
        <v>2109</v>
      </c>
      <c r="G16" s="22">
        <f t="shared" si="1"/>
        <v>245.23255813953489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1030.8000000000002</v>
      </c>
      <c r="Q16" s="24"/>
      <c r="R16" s="24"/>
      <c r="S16" s="25"/>
      <c r="T16" s="24"/>
      <c r="U16" s="24"/>
      <c r="V16" s="24">
        <v>65</v>
      </c>
      <c r="W16" s="25">
        <v>1489</v>
      </c>
      <c r="X16" s="25"/>
      <c r="Y16" s="24">
        <v>181</v>
      </c>
      <c r="Z16" s="24"/>
      <c r="AA16" s="24">
        <v>472</v>
      </c>
      <c r="AB16" s="24"/>
      <c r="AC16" s="24">
        <v>278</v>
      </c>
      <c r="AD16" s="24"/>
      <c r="AE16" s="26">
        <f t="shared" ref="AE16:AE21" si="4">Y16*2.43</f>
        <v>439.83000000000004</v>
      </c>
      <c r="AF16" s="24"/>
      <c r="AG16" s="27">
        <v>2</v>
      </c>
      <c r="AH16" s="29"/>
    </row>
    <row r="17" spans="1:41" s="28" customFormat="1" ht="26.25" customHeight="1" x14ac:dyDescent="0.25">
      <c r="A17" s="18">
        <v>46014</v>
      </c>
      <c r="B17" s="19"/>
      <c r="C17" s="20">
        <f t="shared" si="0"/>
        <v>0</v>
      </c>
      <c r="D17" s="19">
        <v>458</v>
      </c>
      <c r="E17" s="21">
        <f t="shared" si="2"/>
        <v>57.25</v>
      </c>
      <c r="F17" s="19">
        <v>903</v>
      </c>
      <c r="G17" s="22">
        <f t="shared" si="1"/>
        <v>105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240.8</v>
      </c>
      <c r="Q17" s="24"/>
      <c r="R17" s="24"/>
      <c r="S17" s="24"/>
      <c r="T17" s="24"/>
      <c r="U17" s="24"/>
      <c r="V17" s="24">
        <v>8</v>
      </c>
      <c r="W17" s="25">
        <v>463</v>
      </c>
      <c r="X17" s="25"/>
      <c r="Y17" s="24">
        <v>54</v>
      </c>
      <c r="Z17" s="24"/>
      <c r="AA17" s="24">
        <v>133</v>
      </c>
      <c r="AB17" s="24"/>
      <c r="AC17" s="24">
        <v>70</v>
      </c>
      <c r="AD17" s="24"/>
      <c r="AE17" s="26">
        <f t="shared" si="4"/>
        <v>131.22</v>
      </c>
      <c r="AF17" s="24"/>
      <c r="AG17" s="27"/>
    </row>
    <row r="18" spans="1:41" s="28" customFormat="1" ht="26.25" customHeight="1" x14ac:dyDescent="0.25">
      <c r="A18" s="18">
        <v>46015</v>
      </c>
      <c r="B18" s="19"/>
      <c r="C18" s="20">
        <f t="shared" si="0"/>
        <v>0</v>
      </c>
      <c r="D18" s="19"/>
      <c r="E18" s="21">
        <f t="shared" si="2"/>
        <v>0</v>
      </c>
      <c r="F18" s="19"/>
      <c r="G18" s="22">
        <f t="shared" si="1"/>
        <v>0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/>
      <c r="Q18" s="24"/>
      <c r="R18" s="24"/>
      <c r="S18" s="24"/>
      <c r="T18" s="24"/>
      <c r="U18" s="24"/>
      <c r="V18" s="12"/>
      <c r="W18" s="25"/>
      <c r="X18" s="25"/>
      <c r="Y18" s="24"/>
      <c r="Z18" s="24"/>
      <c r="AA18" s="24"/>
      <c r="AB18" s="24"/>
      <c r="AC18" s="24"/>
      <c r="AD18" s="24"/>
      <c r="AE18" s="26">
        <f t="shared" si="4"/>
        <v>0</v>
      </c>
      <c r="AF18" s="24"/>
      <c r="AG18" s="27"/>
      <c r="AH18" s="29"/>
    </row>
    <row r="19" spans="1:41" s="28" customFormat="1" ht="26.25" customHeight="1" x14ac:dyDescent="0.25">
      <c r="A19" s="18">
        <v>46016</v>
      </c>
      <c r="B19" s="19"/>
      <c r="C19" s="20">
        <f>B19/200*25</f>
        <v>0</v>
      </c>
      <c r="D19" s="19"/>
      <c r="E19" s="21">
        <f t="shared" si="2"/>
        <v>0</v>
      </c>
      <c r="F19" s="19"/>
      <c r="G19" s="22">
        <f t="shared" si="1"/>
        <v>0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/>
      <c r="Q19" s="24"/>
      <c r="R19" s="24"/>
      <c r="S19" s="24"/>
      <c r="T19" s="24"/>
      <c r="U19" s="24"/>
      <c r="V19" s="24"/>
      <c r="W19" s="25"/>
      <c r="X19" s="25"/>
      <c r="Y19" s="24"/>
      <c r="Z19" s="24"/>
      <c r="AA19" s="24"/>
      <c r="AB19" s="24"/>
      <c r="AC19" s="24"/>
      <c r="AD19" s="24"/>
      <c r="AE19" s="26">
        <f t="shared" si="4"/>
        <v>0</v>
      </c>
      <c r="AF19" s="24"/>
      <c r="AG19" s="27"/>
    </row>
    <row r="20" spans="1:41" s="28" customFormat="1" ht="26.25" customHeight="1" x14ac:dyDescent="0.25">
      <c r="A20" s="18">
        <v>46017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/>
      <c r="G20" s="22">
        <f t="shared" si="1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4"/>
        <v>0</v>
      </c>
      <c r="AF20" s="24"/>
      <c r="AG20" s="27"/>
    </row>
    <row r="21" spans="1:41" s="28" customFormat="1" ht="26.25" customHeight="1" x14ac:dyDescent="0.25">
      <c r="A21" s="18">
        <v>46018</v>
      </c>
      <c r="B21" s="19"/>
      <c r="C21" s="20">
        <f t="shared" si="6"/>
        <v>0</v>
      </c>
      <c r="D21" s="19"/>
      <c r="E21" s="21">
        <f t="shared" si="2"/>
        <v>0</v>
      </c>
      <c r="F21" s="19"/>
      <c r="G21" s="22">
        <f t="shared" si="1"/>
        <v>0</v>
      </c>
      <c r="H21" s="19"/>
      <c r="I21" s="23"/>
      <c r="J21" s="19"/>
      <c r="K21" s="19"/>
      <c r="L21" s="19"/>
      <c r="M21" s="19"/>
      <c r="N21" s="19"/>
      <c r="O21" s="23">
        <v>0</v>
      </c>
      <c r="P21" s="23"/>
      <c r="Q21" s="24"/>
      <c r="R21" s="24"/>
      <c r="S21" s="25"/>
      <c r="T21" s="24"/>
      <c r="U21" s="24"/>
      <c r="V21" s="24"/>
      <c r="W21" s="25"/>
      <c r="X21" s="25"/>
      <c r="Y21" s="24"/>
      <c r="Z21" s="24"/>
      <c r="AA21" s="24"/>
      <c r="AB21" s="24"/>
      <c r="AC21" s="24"/>
      <c r="AD21" s="24"/>
      <c r="AE21" s="26">
        <f t="shared" si="4"/>
        <v>0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2285</v>
      </c>
      <c r="E22" s="33">
        <f t="shared" si="7"/>
        <v>285.625</v>
      </c>
      <c r="F22" s="31">
        <f t="shared" si="7"/>
        <v>4442</v>
      </c>
      <c r="G22" s="33">
        <f t="shared" si="7"/>
        <v>516.51162790697674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2064.6000000000004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128</v>
      </c>
      <c r="W22" s="31">
        <f t="shared" si="7"/>
        <v>3108</v>
      </c>
      <c r="X22" s="31">
        <f t="shared" si="7"/>
        <v>0</v>
      </c>
      <c r="Y22" s="31">
        <f t="shared" si="7"/>
        <v>379</v>
      </c>
      <c r="Z22" s="31">
        <f t="shared" si="7"/>
        <v>0</v>
      </c>
      <c r="AA22" s="31">
        <f t="shared" si="7"/>
        <v>1000</v>
      </c>
      <c r="AB22" s="31">
        <f t="shared" si="7"/>
        <v>0</v>
      </c>
      <c r="AC22" s="31">
        <f t="shared" si="7"/>
        <v>521</v>
      </c>
      <c r="AD22" s="31">
        <f t="shared" si="7"/>
        <v>0</v>
      </c>
      <c r="AE22" s="33">
        <f t="shared" si="7"/>
        <v>920.97</v>
      </c>
      <c r="AF22" s="33">
        <f t="shared" si="7"/>
        <v>0</v>
      </c>
      <c r="AG22" s="33">
        <f t="shared" si="7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1000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9" sqref="A19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46019</v>
      </c>
      <c r="B15" s="19"/>
      <c r="C15" s="20">
        <f t="shared" ref="C15:C18" si="0">B15/200*25</f>
        <v>0</v>
      </c>
      <c r="D15" s="19"/>
      <c r="E15" s="21">
        <f>D15/200*25</f>
        <v>0</v>
      </c>
      <c r="F15" s="19"/>
      <c r="G15" s="22">
        <f t="shared" ref="G15:G21" si="1">F15/215*25</f>
        <v>0</v>
      </c>
      <c r="H15" s="19"/>
      <c r="I15" s="23"/>
      <c r="J15" s="19"/>
      <c r="K15" s="19"/>
      <c r="L15" s="19"/>
      <c r="M15" s="19"/>
      <c r="N15" s="19"/>
      <c r="O15" s="23">
        <v>0</v>
      </c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>Y15*2.43</f>
        <v>0</v>
      </c>
      <c r="AF15" s="24"/>
      <c r="AG15" s="27"/>
      <c r="AH15" s="29"/>
    </row>
    <row r="16" spans="1:34" s="28" customFormat="1" ht="26.25" customHeight="1" x14ac:dyDescent="0.25">
      <c r="A16" s="18">
        <v>46020</v>
      </c>
      <c r="B16" s="19"/>
      <c r="C16" s="20">
        <f t="shared" si="0"/>
        <v>0</v>
      </c>
      <c r="D16" s="19"/>
      <c r="E16" s="21">
        <f t="shared" ref="E16:E21" si="2">D16/200*25</f>
        <v>0</v>
      </c>
      <c r="F16" s="19"/>
      <c r="G16" s="22">
        <f t="shared" si="1"/>
        <v>0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/>
      <c r="Q16" s="24"/>
      <c r="R16" s="24"/>
      <c r="S16" s="25"/>
      <c r="T16" s="24"/>
      <c r="U16" s="24"/>
      <c r="V16" s="24"/>
      <c r="W16" s="25"/>
      <c r="X16" s="25"/>
      <c r="Y16" s="24"/>
      <c r="Z16" s="24"/>
      <c r="AA16" s="24"/>
      <c r="AB16" s="24"/>
      <c r="AC16" s="24"/>
      <c r="AD16" s="24"/>
      <c r="AE16" s="26">
        <f t="shared" ref="AE16:AE21" si="4">Y16*2.43</f>
        <v>0</v>
      </c>
      <c r="AF16" s="24"/>
      <c r="AG16" s="27"/>
      <c r="AH16" s="29"/>
    </row>
    <row r="17" spans="1:41" s="28" customFormat="1" ht="26.25" customHeight="1" x14ac:dyDescent="0.25">
      <c r="A17" s="18">
        <v>46021</v>
      </c>
      <c r="B17" s="19"/>
      <c r="C17" s="20">
        <f t="shared" si="0"/>
        <v>0</v>
      </c>
      <c r="D17" s="19"/>
      <c r="E17" s="21">
        <f t="shared" si="2"/>
        <v>0</v>
      </c>
      <c r="F17" s="19"/>
      <c r="G17" s="22">
        <f t="shared" si="1"/>
        <v>0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/>
      <c r="Q17" s="24"/>
      <c r="R17" s="24"/>
      <c r="S17" s="24"/>
      <c r="T17" s="24"/>
      <c r="U17" s="24"/>
      <c r="V17" s="24"/>
      <c r="W17" s="25"/>
      <c r="X17" s="25"/>
      <c r="Y17" s="24"/>
      <c r="Z17" s="24"/>
      <c r="AA17" s="24"/>
      <c r="AB17" s="24"/>
      <c r="AC17" s="24"/>
      <c r="AD17" s="24"/>
      <c r="AE17" s="26">
        <f t="shared" si="4"/>
        <v>0</v>
      </c>
      <c r="AF17" s="24"/>
      <c r="AG17" s="27"/>
    </row>
    <row r="18" spans="1:41" s="28" customFormat="1" ht="26.25" customHeight="1" x14ac:dyDescent="0.25">
      <c r="A18" s="18">
        <v>46022</v>
      </c>
      <c r="B18" s="19"/>
      <c r="C18" s="20">
        <f t="shared" si="0"/>
        <v>0</v>
      </c>
      <c r="D18" s="19"/>
      <c r="E18" s="21">
        <f t="shared" si="2"/>
        <v>0</v>
      </c>
      <c r="F18" s="19"/>
      <c r="G18" s="22">
        <f t="shared" si="1"/>
        <v>0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/>
      <c r="Q18" s="24"/>
      <c r="R18" s="24"/>
      <c r="S18" s="24"/>
      <c r="T18" s="24"/>
      <c r="U18" s="24"/>
      <c r="V18" s="12"/>
      <c r="W18" s="25"/>
      <c r="X18" s="25"/>
      <c r="Y18" s="24"/>
      <c r="Z18" s="24"/>
      <c r="AA18" s="24"/>
      <c r="AB18" s="24"/>
      <c r="AC18" s="24"/>
      <c r="AD18" s="24"/>
      <c r="AE18" s="26">
        <f t="shared" si="4"/>
        <v>0</v>
      </c>
      <c r="AF18" s="24"/>
      <c r="AG18" s="27"/>
      <c r="AH18" s="29"/>
    </row>
    <row r="19" spans="1:41" s="28" customFormat="1" ht="26.25" customHeight="1" x14ac:dyDescent="0.25">
      <c r="A19" s="18">
        <v>46023</v>
      </c>
      <c r="B19" s="19"/>
      <c r="C19" s="20">
        <f>B19/200*25</f>
        <v>0</v>
      </c>
      <c r="D19" s="19"/>
      <c r="E19" s="21">
        <f t="shared" si="2"/>
        <v>0</v>
      </c>
      <c r="F19" s="19"/>
      <c r="G19" s="22">
        <f t="shared" si="1"/>
        <v>0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/>
      <c r="Q19" s="24"/>
      <c r="R19" s="24"/>
      <c r="S19" s="24"/>
      <c r="T19" s="24"/>
      <c r="U19" s="24"/>
      <c r="V19" s="24"/>
      <c r="W19" s="25"/>
      <c r="X19" s="25"/>
      <c r="Y19" s="24"/>
      <c r="Z19" s="24"/>
      <c r="AA19" s="24"/>
      <c r="AB19" s="24"/>
      <c r="AC19" s="24"/>
      <c r="AD19" s="24"/>
      <c r="AE19" s="26">
        <f t="shared" si="4"/>
        <v>0</v>
      </c>
      <c r="AF19" s="24"/>
      <c r="AG19" s="27"/>
    </row>
    <row r="20" spans="1:41" s="28" customFormat="1" ht="26.25" customHeight="1" x14ac:dyDescent="0.25">
      <c r="A20" s="18">
        <v>46024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/>
      <c r="G20" s="22">
        <f t="shared" si="1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4"/>
        <v>0</v>
      </c>
      <c r="AF20" s="24"/>
      <c r="AG20" s="27"/>
    </row>
    <row r="21" spans="1:41" s="28" customFormat="1" ht="26.25" customHeight="1" x14ac:dyDescent="0.25">
      <c r="A21" s="18">
        <v>46025</v>
      </c>
      <c r="B21" s="19"/>
      <c r="C21" s="20">
        <f t="shared" si="6"/>
        <v>0</v>
      </c>
      <c r="D21" s="19">
        <v>586</v>
      </c>
      <c r="E21" s="21">
        <f t="shared" si="2"/>
        <v>73.25</v>
      </c>
      <c r="F21" s="19">
        <v>1121</v>
      </c>
      <c r="G21" s="22">
        <f t="shared" si="1"/>
        <v>130.34883720930233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642.70000000000005</v>
      </c>
      <c r="Q21" s="24"/>
      <c r="R21" s="24"/>
      <c r="S21" s="25"/>
      <c r="T21" s="24"/>
      <c r="U21" s="24"/>
      <c r="V21" s="24">
        <v>48</v>
      </c>
      <c r="W21" s="25">
        <v>871</v>
      </c>
      <c r="X21" s="25"/>
      <c r="Y21" s="24">
        <v>125</v>
      </c>
      <c r="Z21" s="24"/>
      <c r="AA21" s="24">
        <v>416</v>
      </c>
      <c r="AB21" s="24"/>
      <c r="AC21" s="24">
        <v>30</v>
      </c>
      <c r="AD21" s="24"/>
      <c r="AE21" s="26">
        <f t="shared" si="4"/>
        <v>303.75</v>
      </c>
      <c r="AF21" s="24">
        <v>150</v>
      </c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586</v>
      </c>
      <c r="E22" s="33">
        <f t="shared" si="7"/>
        <v>73.25</v>
      </c>
      <c r="F22" s="31">
        <f t="shared" si="7"/>
        <v>1121</v>
      </c>
      <c r="G22" s="33">
        <f t="shared" si="7"/>
        <v>130.34883720930233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642.70000000000005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48</v>
      </c>
      <c r="W22" s="31">
        <f t="shared" si="7"/>
        <v>871</v>
      </c>
      <c r="X22" s="31">
        <f t="shared" si="7"/>
        <v>0</v>
      </c>
      <c r="Y22" s="31">
        <f t="shared" si="7"/>
        <v>125</v>
      </c>
      <c r="Z22" s="31">
        <f t="shared" si="7"/>
        <v>0</v>
      </c>
      <c r="AA22" s="31">
        <f t="shared" si="7"/>
        <v>416</v>
      </c>
      <c r="AB22" s="31">
        <f t="shared" si="7"/>
        <v>0</v>
      </c>
      <c r="AC22" s="31">
        <f t="shared" si="7"/>
        <v>30</v>
      </c>
      <c r="AD22" s="31">
        <f t="shared" si="7"/>
        <v>0</v>
      </c>
      <c r="AE22" s="33">
        <f t="shared" si="7"/>
        <v>303.75</v>
      </c>
      <c r="AF22" s="33">
        <f t="shared" si="7"/>
        <v>150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446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46026</v>
      </c>
      <c r="B15" s="19"/>
      <c r="C15" s="20">
        <f t="shared" ref="C15:C18" si="0">B15/200*25</f>
        <v>0</v>
      </c>
      <c r="D15" s="19">
        <v>991</v>
      </c>
      <c r="E15" s="21">
        <f>D15/200*25</f>
        <v>123.875</v>
      </c>
      <c r="F15" s="19">
        <v>1421</v>
      </c>
      <c r="G15" s="22">
        <f t="shared" ref="G15:G21" si="1">F15/215*25</f>
        <v>165.23255813953489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925.4</v>
      </c>
      <c r="Q15" s="24"/>
      <c r="R15" s="24"/>
      <c r="S15" s="24"/>
      <c r="T15" s="24"/>
      <c r="U15" s="24"/>
      <c r="V15" s="24">
        <v>39</v>
      </c>
      <c r="W15" s="25">
        <v>1275</v>
      </c>
      <c r="X15" s="25"/>
      <c r="Y15" s="24">
        <v>175</v>
      </c>
      <c r="Z15" s="24"/>
      <c r="AA15" s="24">
        <v>615</v>
      </c>
      <c r="AB15" s="24"/>
      <c r="AC15" s="24">
        <v>24</v>
      </c>
      <c r="AD15" s="24"/>
      <c r="AE15" s="26">
        <f>Y15*2.43</f>
        <v>425.25</v>
      </c>
      <c r="AF15" s="24"/>
      <c r="AG15" s="27"/>
      <c r="AH15" s="29"/>
    </row>
    <row r="16" spans="1:34" s="28" customFormat="1" ht="26.25" customHeight="1" x14ac:dyDescent="0.25">
      <c r="A16" s="18">
        <v>46027</v>
      </c>
      <c r="B16" s="19"/>
      <c r="C16" s="20">
        <f t="shared" si="0"/>
        <v>0</v>
      </c>
      <c r="D16" s="19">
        <v>830</v>
      </c>
      <c r="E16" s="21">
        <f t="shared" ref="E16:E21" si="2">D16/200*25</f>
        <v>103.75000000000001</v>
      </c>
      <c r="F16" s="19">
        <v>2135</v>
      </c>
      <c r="G16" s="22">
        <f t="shared" si="1"/>
        <v>248.25581395348837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935.8</v>
      </c>
      <c r="Q16" s="24"/>
      <c r="R16" s="24"/>
      <c r="S16" s="25"/>
      <c r="T16" s="24"/>
      <c r="U16" s="24"/>
      <c r="V16" s="24">
        <v>76</v>
      </c>
      <c r="W16" s="25">
        <v>1381</v>
      </c>
      <c r="X16" s="25"/>
      <c r="Y16" s="24">
        <v>231</v>
      </c>
      <c r="Z16" s="24"/>
      <c r="AA16" s="24">
        <v>611</v>
      </c>
      <c r="AB16" s="24"/>
      <c r="AC16" s="24">
        <v>55</v>
      </c>
      <c r="AD16" s="24"/>
      <c r="AE16" s="26">
        <f t="shared" ref="AE16:AE21" si="4">Y16*2.43</f>
        <v>561.33000000000004</v>
      </c>
      <c r="AF16" s="24"/>
      <c r="AG16" s="27"/>
      <c r="AH16" s="29"/>
    </row>
    <row r="17" spans="1:41" s="28" customFormat="1" ht="26.25" customHeight="1" x14ac:dyDescent="0.25">
      <c r="A17" s="18">
        <v>46028</v>
      </c>
      <c r="B17" s="19"/>
      <c r="C17" s="20">
        <f t="shared" si="0"/>
        <v>0</v>
      </c>
      <c r="D17" s="19">
        <v>1151</v>
      </c>
      <c r="E17" s="21">
        <f t="shared" si="2"/>
        <v>143.875</v>
      </c>
      <c r="F17" s="19">
        <v>2195</v>
      </c>
      <c r="G17" s="22">
        <f t="shared" si="1"/>
        <v>255.23255813953489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1117.8</v>
      </c>
      <c r="Q17" s="24"/>
      <c r="R17" s="24"/>
      <c r="S17" s="24"/>
      <c r="T17" s="24"/>
      <c r="U17" s="24"/>
      <c r="V17" s="24">
        <v>138</v>
      </c>
      <c r="W17" s="25">
        <v>1531</v>
      </c>
      <c r="X17" s="25"/>
      <c r="Y17" s="24">
        <v>193</v>
      </c>
      <c r="Z17" s="24">
        <v>2</v>
      </c>
      <c r="AA17" s="24">
        <v>740</v>
      </c>
      <c r="AB17" s="24"/>
      <c r="AC17" s="24">
        <v>73</v>
      </c>
      <c r="AD17" s="24"/>
      <c r="AE17" s="26">
        <f t="shared" si="4"/>
        <v>468.99</v>
      </c>
      <c r="AF17" s="24"/>
      <c r="AG17" s="27"/>
    </row>
    <row r="18" spans="1:41" s="28" customFormat="1" ht="26.25" customHeight="1" x14ac:dyDescent="0.25">
      <c r="A18" s="18">
        <v>46029</v>
      </c>
      <c r="B18" s="19"/>
      <c r="C18" s="20">
        <f t="shared" si="0"/>
        <v>0</v>
      </c>
      <c r="D18" s="19">
        <v>1156</v>
      </c>
      <c r="E18" s="21">
        <f t="shared" si="2"/>
        <v>144.5</v>
      </c>
      <c r="F18" s="19">
        <v>2307</v>
      </c>
      <c r="G18" s="22">
        <f t="shared" si="1"/>
        <v>268.25581395348837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1157.5999999999999</v>
      </c>
      <c r="Q18" s="24"/>
      <c r="R18" s="24"/>
      <c r="S18" s="24"/>
      <c r="T18" s="24"/>
      <c r="U18" s="24"/>
      <c r="V18" s="12">
        <v>117</v>
      </c>
      <c r="W18" s="25">
        <v>1557</v>
      </c>
      <c r="X18" s="25"/>
      <c r="Y18" s="24">
        <v>210</v>
      </c>
      <c r="Z18" s="24">
        <v>2</v>
      </c>
      <c r="AA18" s="24">
        <v>701</v>
      </c>
      <c r="AB18" s="24"/>
      <c r="AC18" s="24">
        <v>111</v>
      </c>
      <c r="AD18" s="24"/>
      <c r="AE18" s="26">
        <f t="shared" si="4"/>
        <v>510.3</v>
      </c>
      <c r="AF18" s="24"/>
      <c r="AG18" s="27"/>
      <c r="AH18" s="29"/>
    </row>
    <row r="19" spans="1:41" s="28" customFormat="1" ht="26.25" customHeight="1" x14ac:dyDescent="0.25">
      <c r="A19" s="18">
        <v>46030</v>
      </c>
      <c r="B19" s="19"/>
      <c r="C19" s="20">
        <f>B19/200*25</f>
        <v>0</v>
      </c>
      <c r="D19" s="19">
        <v>1416</v>
      </c>
      <c r="E19" s="21">
        <f t="shared" si="2"/>
        <v>177</v>
      </c>
      <c r="F19" s="19">
        <v>2757</v>
      </c>
      <c r="G19" s="22">
        <f t="shared" si="1"/>
        <v>320.58139534883725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1270.2</v>
      </c>
      <c r="Q19" s="24"/>
      <c r="R19" s="24"/>
      <c r="S19" s="24"/>
      <c r="T19" s="24"/>
      <c r="U19" s="24"/>
      <c r="V19" s="24">
        <v>109</v>
      </c>
      <c r="W19" s="25">
        <v>1812</v>
      </c>
      <c r="X19" s="25"/>
      <c r="Y19" s="24">
        <v>210</v>
      </c>
      <c r="Z19" s="24">
        <v>6</v>
      </c>
      <c r="AA19" s="24">
        <v>852</v>
      </c>
      <c r="AB19" s="24"/>
      <c r="AC19" s="24">
        <v>58</v>
      </c>
      <c r="AD19" s="24"/>
      <c r="AE19" s="26">
        <f t="shared" si="4"/>
        <v>510.3</v>
      </c>
      <c r="AF19" s="24"/>
      <c r="AG19" s="27"/>
    </row>
    <row r="20" spans="1:41" s="28" customFormat="1" ht="26.25" customHeight="1" x14ac:dyDescent="0.25">
      <c r="A20" s="18">
        <v>46031</v>
      </c>
      <c r="B20" s="19"/>
      <c r="C20" s="20">
        <f t="shared" ref="C20:C21" si="6">B20/200*25</f>
        <v>0</v>
      </c>
      <c r="D20" s="19">
        <v>1458</v>
      </c>
      <c r="E20" s="21">
        <f t="shared" si="2"/>
        <v>182.25</v>
      </c>
      <c r="F20" s="19">
        <v>1975</v>
      </c>
      <c r="G20" s="22">
        <f t="shared" si="1"/>
        <v>229.6511627906977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1093.5999999999999</v>
      </c>
      <c r="Q20" s="24"/>
      <c r="R20" s="24"/>
      <c r="S20" s="25"/>
      <c r="T20" s="24"/>
      <c r="U20" s="24"/>
      <c r="V20" s="24">
        <v>64</v>
      </c>
      <c r="W20" s="25">
        <v>1571</v>
      </c>
      <c r="X20" s="25"/>
      <c r="Y20" s="24">
        <v>213</v>
      </c>
      <c r="Z20" s="24">
        <v>2</v>
      </c>
      <c r="AA20" s="24">
        <v>757</v>
      </c>
      <c r="AB20" s="24"/>
      <c r="AC20" s="24">
        <v>60</v>
      </c>
      <c r="AD20" s="24"/>
      <c r="AE20" s="26">
        <f t="shared" si="4"/>
        <v>517.59</v>
      </c>
      <c r="AF20" s="24"/>
      <c r="AG20" s="27"/>
    </row>
    <row r="21" spans="1:41" s="28" customFormat="1" ht="26.25" customHeight="1" x14ac:dyDescent="0.25">
      <c r="A21" s="18">
        <v>46032</v>
      </c>
      <c r="B21" s="19"/>
      <c r="C21" s="20">
        <f t="shared" si="6"/>
        <v>0</v>
      </c>
      <c r="D21" s="19">
        <v>905</v>
      </c>
      <c r="E21" s="21">
        <f t="shared" si="2"/>
        <v>113.12500000000001</v>
      </c>
      <c r="F21" s="19">
        <v>2195</v>
      </c>
      <c r="G21" s="22">
        <f t="shared" si="1"/>
        <v>255.23255813953489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1166.5999999999999</v>
      </c>
      <c r="Q21" s="24"/>
      <c r="R21" s="24"/>
      <c r="S21" s="25"/>
      <c r="T21" s="24"/>
      <c r="U21" s="24"/>
      <c r="V21" s="24">
        <v>62</v>
      </c>
      <c r="W21" s="25">
        <v>1534</v>
      </c>
      <c r="X21" s="25"/>
      <c r="Y21" s="24">
        <v>185</v>
      </c>
      <c r="Z21" s="24">
        <v>6</v>
      </c>
      <c r="AA21" s="24">
        <v>697</v>
      </c>
      <c r="AB21" s="24"/>
      <c r="AC21" s="24">
        <v>81</v>
      </c>
      <c r="AD21" s="24"/>
      <c r="AE21" s="26">
        <f t="shared" si="4"/>
        <v>449.55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7907</v>
      </c>
      <c r="E22" s="33">
        <f t="shared" si="7"/>
        <v>988.375</v>
      </c>
      <c r="F22" s="31">
        <f t="shared" si="7"/>
        <v>14985</v>
      </c>
      <c r="G22" s="33">
        <f t="shared" si="7"/>
        <v>1742.4418604651164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7667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605</v>
      </c>
      <c r="W22" s="31">
        <f t="shared" si="7"/>
        <v>10661</v>
      </c>
      <c r="X22" s="31">
        <f t="shared" si="7"/>
        <v>0</v>
      </c>
      <c r="Y22" s="31">
        <f t="shared" si="7"/>
        <v>1417</v>
      </c>
      <c r="Z22" s="31">
        <f t="shared" si="7"/>
        <v>18</v>
      </c>
      <c r="AA22" s="31">
        <f t="shared" si="7"/>
        <v>4973</v>
      </c>
      <c r="AB22" s="31">
        <f t="shared" si="7"/>
        <v>0</v>
      </c>
      <c r="AC22" s="31">
        <f t="shared" si="7"/>
        <v>462</v>
      </c>
      <c r="AD22" s="31">
        <f t="shared" si="7"/>
        <v>0</v>
      </c>
      <c r="AE22" s="33">
        <f t="shared" si="7"/>
        <v>3443.3100000000004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4973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46033</v>
      </c>
      <c r="B15" s="19"/>
      <c r="C15" s="20">
        <f t="shared" ref="C15:C18" si="0">B15/200*25</f>
        <v>0</v>
      </c>
      <c r="D15" s="19">
        <v>927</v>
      </c>
      <c r="E15" s="21">
        <f>D15/200*25</f>
        <v>115.875</v>
      </c>
      <c r="F15" s="19">
        <v>1868</v>
      </c>
      <c r="G15" s="22">
        <f t="shared" ref="G15:G21" si="1">F15/215*25</f>
        <v>217.2093023255814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890.60000000000014</v>
      </c>
      <c r="Q15" s="24"/>
      <c r="R15" s="24"/>
      <c r="S15" s="24"/>
      <c r="T15" s="24"/>
      <c r="U15" s="24"/>
      <c r="V15" s="24">
        <v>61</v>
      </c>
      <c r="W15" s="25">
        <v>1291</v>
      </c>
      <c r="X15" s="25"/>
      <c r="Y15" s="24">
        <v>154</v>
      </c>
      <c r="Z15" s="24">
        <v>2</v>
      </c>
      <c r="AA15" s="24">
        <v>603</v>
      </c>
      <c r="AB15" s="24"/>
      <c r="AC15" s="24">
        <v>70</v>
      </c>
      <c r="AD15" s="24"/>
      <c r="AE15" s="26">
        <f>Y15*2.43</f>
        <v>374.22</v>
      </c>
      <c r="AF15" s="24"/>
      <c r="AG15" s="27"/>
      <c r="AH15" s="29"/>
    </row>
    <row r="16" spans="1:34" s="28" customFormat="1" ht="26.25" customHeight="1" x14ac:dyDescent="0.25">
      <c r="A16" s="18">
        <v>46034</v>
      </c>
      <c r="B16" s="19"/>
      <c r="C16" s="20">
        <f t="shared" si="0"/>
        <v>0</v>
      </c>
      <c r="D16" s="19">
        <v>1515</v>
      </c>
      <c r="E16" s="21">
        <f t="shared" ref="E16:E21" si="2">D16/200*25</f>
        <v>189.375</v>
      </c>
      <c r="F16" s="19">
        <v>2005</v>
      </c>
      <c r="G16" s="22">
        <f t="shared" si="1"/>
        <v>233.13953488372096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989</v>
      </c>
      <c r="Q16" s="24"/>
      <c r="R16" s="24"/>
      <c r="S16" s="25"/>
      <c r="T16" s="24"/>
      <c r="U16" s="24"/>
      <c r="V16" s="24">
        <v>113</v>
      </c>
      <c r="W16" s="25">
        <v>1481</v>
      </c>
      <c r="X16" s="25"/>
      <c r="Y16" s="24">
        <v>169</v>
      </c>
      <c r="Z16" s="24">
        <v>4</v>
      </c>
      <c r="AA16" s="24">
        <v>686</v>
      </c>
      <c r="AB16" s="24"/>
      <c r="AC16" s="24">
        <v>44</v>
      </c>
      <c r="AD16" s="24"/>
      <c r="AE16" s="26">
        <f t="shared" ref="AE16:AE21" si="4">Y16*2.43</f>
        <v>410.67</v>
      </c>
      <c r="AF16" s="24"/>
      <c r="AG16" s="27"/>
      <c r="AH16" s="29"/>
    </row>
    <row r="17" spans="1:41" s="28" customFormat="1" ht="26.25" customHeight="1" x14ac:dyDescent="0.25">
      <c r="A17" s="18">
        <v>46035</v>
      </c>
      <c r="B17" s="19"/>
      <c r="C17" s="20">
        <f t="shared" si="0"/>
        <v>0</v>
      </c>
      <c r="D17" s="19">
        <v>1741</v>
      </c>
      <c r="E17" s="21">
        <f t="shared" si="2"/>
        <v>217.625</v>
      </c>
      <c r="F17" s="19">
        <v>1617</v>
      </c>
      <c r="G17" s="22">
        <f t="shared" si="1"/>
        <v>188.02325581395348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1142.6000000000001</v>
      </c>
      <c r="Q17" s="24"/>
      <c r="R17" s="24"/>
      <c r="S17" s="24"/>
      <c r="T17" s="24"/>
      <c r="U17" s="24"/>
      <c r="V17" s="24">
        <v>97</v>
      </c>
      <c r="W17" s="25">
        <v>1609</v>
      </c>
      <c r="X17" s="25"/>
      <c r="Y17" s="24">
        <v>196</v>
      </c>
      <c r="Z17" s="24">
        <v>4</v>
      </c>
      <c r="AA17" s="24">
        <v>724</v>
      </c>
      <c r="AB17" s="24"/>
      <c r="AC17" s="24">
        <v>62</v>
      </c>
      <c r="AD17" s="24"/>
      <c r="AE17" s="26">
        <f t="shared" si="4"/>
        <v>476.28000000000003</v>
      </c>
      <c r="AF17" s="24"/>
      <c r="AG17" s="27"/>
    </row>
    <row r="18" spans="1:41" s="28" customFormat="1" ht="26.25" customHeight="1" x14ac:dyDescent="0.25">
      <c r="A18" s="18">
        <v>46036</v>
      </c>
      <c r="B18" s="19"/>
      <c r="C18" s="20">
        <f t="shared" si="0"/>
        <v>0</v>
      </c>
      <c r="D18" s="19">
        <v>1833</v>
      </c>
      <c r="E18" s="21">
        <f t="shared" si="2"/>
        <v>229.12499999999997</v>
      </c>
      <c r="F18" s="19">
        <v>2155</v>
      </c>
      <c r="G18" s="22">
        <f t="shared" si="1"/>
        <v>250.58139534883722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1079.4000000000001</v>
      </c>
      <c r="Q18" s="24"/>
      <c r="R18" s="24"/>
      <c r="S18" s="24"/>
      <c r="T18" s="24"/>
      <c r="U18" s="24"/>
      <c r="V18" s="12">
        <v>79</v>
      </c>
      <c r="W18" s="25">
        <v>1720</v>
      </c>
      <c r="X18" s="25"/>
      <c r="Y18" s="24">
        <v>191</v>
      </c>
      <c r="Z18" s="24">
        <v>4</v>
      </c>
      <c r="AA18" s="24">
        <v>704</v>
      </c>
      <c r="AB18" s="24"/>
      <c r="AC18" s="24">
        <v>66</v>
      </c>
      <c r="AD18" s="24"/>
      <c r="AE18" s="26">
        <f t="shared" si="4"/>
        <v>464.13000000000005</v>
      </c>
      <c r="AF18" s="24"/>
      <c r="AG18" s="27"/>
      <c r="AH18" s="29"/>
    </row>
    <row r="19" spans="1:41" s="28" customFormat="1" ht="26.25" customHeight="1" x14ac:dyDescent="0.25">
      <c r="A19" s="18">
        <v>46037</v>
      </c>
      <c r="B19" s="19"/>
      <c r="C19" s="20">
        <f>B19/200*25</f>
        <v>0</v>
      </c>
      <c r="D19" s="19">
        <v>1552</v>
      </c>
      <c r="E19" s="21">
        <f t="shared" si="2"/>
        <v>194</v>
      </c>
      <c r="F19" s="19">
        <v>1315</v>
      </c>
      <c r="G19" s="22">
        <f t="shared" si="1"/>
        <v>152.90697674418604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1016.2</v>
      </c>
      <c r="Q19" s="24"/>
      <c r="R19" s="24"/>
      <c r="S19" s="24"/>
      <c r="T19" s="24"/>
      <c r="U19" s="24"/>
      <c r="V19" s="24">
        <v>78</v>
      </c>
      <c r="W19" s="25">
        <v>1430</v>
      </c>
      <c r="X19" s="25"/>
      <c r="Y19" s="24">
        <v>178</v>
      </c>
      <c r="Z19" s="24">
        <v>2</v>
      </c>
      <c r="AA19" s="24">
        <v>642</v>
      </c>
      <c r="AB19" s="24"/>
      <c r="AC19" s="24">
        <v>35</v>
      </c>
      <c r="AD19" s="24"/>
      <c r="AE19" s="26">
        <f t="shared" si="4"/>
        <v>432.54</v>
      </c>
      <c r="AF19" s="24"/>
      <c r="AG19" s="27"/>
    </row>
    <row r="20" spans="1:41" s="28" customFormat="1" ht="26.25" customHeight="1" x14ac:dyDescent="0.25">
      <c r="A20" s="18">
        <v>46038</v>
      </c>
      <c r="B20" s="19"/>
      <c r="C20" s="20">
        <f t="shared" ref="C20:C21" si="6">B20/200*25</f>
        <v>0</v>
      </c>
      <c r="D20" s="19">
        <v>1862</v>
      </c>
      <c r="E20" s="21">
        <f t="shared" si="2"/>
        <v>232.75</v>
      </c>
      <c r="F20" s="19">
        <v>1764</v>
      </c>
      <c r="G20" s="22">
        <f t="shared" si="1"/>
        <v>205.11627906976747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1006.0000000000001</v>
      </c>
      <c r="Q20" s="24"/>
      <c r="R20" s="24"/>
      <c r="S20" s="25"/>
      <c r="T20" s="24"/>
      <c r="U20" s="24"/>
      <c r="V20" s="24">
        <v>87</v>
      </c>
      <c r="W20" s="25">
        <v>1594</v>
      </c>
      <c r="X20" s="25"/>
      <c r="Y20" s="24">
        <v>169</v>
      </c>
      <c r="Z20" s="24">
        <v>6</v>
      </c>
      <c r="AA20" s="24">
        <v>641</v>
      </c>
      <c r="AB20" s="24"/>
      <c r="AC20" s="24">
        <v>68</v>
      </c>
      <c r="AD20" s="24"/>
      <c r="AE20" s="26">
        <f t="shared" si="4"/>
        <v>410.67</v>
      </c>
      <c r="AF20" s="24"/>
      <c r="AG20" s="27"/>
    </row>
    <row r="21" spans="1:41" s="28" customFormat="1" ht="26.25" customHeight="1" x14ac:dyDescent="0.25">
      <c r="A21" s="18">
        <v>46039</v>
      </c>
      <c r="B21" s="19"/>
      <c r="C21" s="20">
        <f t="shared" si="6"/>
        <v>0</v>
      </c>
      <c r="D21" s="19">
        <v>1762</v>
      </c>
      <c r="E21" s="21">
        <f t="shared" si="2"/>
        <v>220.25</v>
      </c>
      <c r="F21" s="19">
        <v>1642</v>
      </c>
      <c r="G21" s="22">
        <f t="shared" si="1"/>
        <v>190.93023255813955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1127</v>
      </c>
      <c r="Q21" s="24"/>
      <c r="R21" s="24"/>
      <c r="S21" s="25"/>
      <c r="T21" s="24"/>
      <c r="U21" s="24"/>
      <c r="V21" s="24">
        <v>26</v>
      </c>
      <c r="W21" s="25">
        <v>1664</v>
      </c>
      <c r="X21" s="25"/>
      <c r="Y21" s="24">
        <v>234</v>
      </c>
      <c r="Z21" s="24">
        <v>2</v>
      </c>
      <c r="AA21" s="24">
        <v>688</v>
      </c>
      <c r="AB21" s="24"/>
      <c r="AC21" s="24">
        <v>80</v>
      </c>
      <c r="AD21" s="24"/>
      <c r="AE21" s="26">
        <f t="shared" si="4"/>
        <v>568.62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11192</v>
      </c>
      <c r="E22" s="33">
        <f t="shared" si="7"/>
        <v>1399</v>
      </c>
      <c r="F22" s="31">
        <f t="shared" si="7"/>
        <v>12366</v>
      </c>
      <c r="G22" s="33">
        <f t="shared" si="7"/>
        <v>1437.9069767441861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7250.8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541</v>
      </c>
      <c r="W22" s="31">
        <f t="shared" si="7"/>
        <v>10789</v>
      </c>
      <c r="X22" s="31">
        <f t="shared" si="7"/>
        <v>0</v>
      </c>
      <c r="Y22" s="31">
        <f t="shared" si="7"/>
        <v>1291</v>
      </c>
      <c r="Z22" s="31">
        <f t="shared" si="7"/>
        <v>24</v>
      </c>
      <c r="AA22" s="31">
        <f t="shared" si="7"/>
        <v>4688</v>
      </c>
      <c r="AB22" s="31">
        <f t="shared" si="7"/>
        <v>0</v>
      </c>
      <c r="AC22" s="31">
        <f t="shared" si="7"/>
        <v>425</v>
      </c>
      <c r="AD22" s="31">
        <f t="shared" si="7"/>
        <v>0</v>
      </c>
      <c r="AE22" s="33">
        <f t="shared" si="7"/>
        <v>3137.13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</f>
        <v>4688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46040</v>
      </c>
      <c r="B15" s="19"/>
      <c r="C15" s="20">
        <f t="shared" ref="C15:C18" si="0">B15/200*25</f>
        <v>0</v>
      </c>
      <c r="D15" s="19">
        <v>1638</v>
      </c>
      <c r="E15" s="21">
        <f>D15/200*25</f>
        <v>204.75</v>
      </c>
      <c r="F15" s="19">
        <v>1076</v>
      </c>
      <c r="G15" s="22">
        <f t="shared" ref="G15:G21" si="1">F15/215*25</f>
        <v>125.11627906976743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909.4</v>
      </c>
      <c r="Q15" s="24"/>
      <c r="R15" s="24"/>
      <c r="S15" s="24"/>
      <c r="T15" s="24"/>
      <c r="U15" s="24"/>
      <c r="V15" s="24">
        <v>11</v>
      </c>
      <c r="W15" s="25">
        <v>1319</v>
      </c>
      <c r="X15" s="25"/>
      <c r="Y15" s="24">
        <v>173</v>
      </c>
      <c r="Z15" s="24"/>
      <c r="AA15" s="24">
        <v>599</v>
      </c>
      <c r="AB15" s="24"/>
      <c r="AC15" s="24">
        <v>33</v>
      </c>
      <c r="AD15" s="24">
        <f>AC15+AB15+AA15</f>
        <v>632</v>
      </c>
      <c r="AE15" s="26">
        <f>Y15*2.43</f>
        <v>420.39000000000004</v>
      </c>
      <c r="AF15" s="24"/>
      <c r="AG15" s="27"/>
      <c r="AH15" s="29"/>
    </row>
    <row r="16" spans="1:34" s="28" customFormat="1" ht="26.25" customHeight="1" x14ac:dyDescent="0.25">
      <c r="A16" s="18">
        <v>46041</v>
      </c>
      <c r="B16" s="19"/>
      <c r="C16" s="20">
        <f t="shared" si="0"/>
        <v>0</v>
      </c>
      <c r="D16" s="19">
        <v>1769</v>
      </c>
      <c r="E16" s="21">
        <f t="shared" ref="E16:E21" si="2">D16/200*25</f>
        <v>221.12500000000003</v>
      </c>
      <c r="F16" s="19">
        <v>1943</v>
      </c>
      <c r="G16" s="22">
        <f t="shared" si="1"/>
        <v>225.93023255813955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1272.4000000000001</v>
      </c>
      <c r="Q16" s="24"/>
      <c r="R16" s="24"/>
      <c r="S16" s="25"/>
      <c r="T16" s="24"/>
      <c r="U16" s="24"/>
      <c r="V16" s="24">
        <v>76</v>
      </c>
      <c r="W16" s="25">
        <v>1764</v>
      </c>
      <c r="X16" s="25"/>
      <c r="Y16" s="24">
        <v>209</v>
      </c>
      <c r="Z16" s="24">
        <v>2</v>
      </c>
      <c r="AA16" s="24">
        <v>771</v>
      </c>
      <c r="AB16" s="24"/>
      <c r="AC16" s="24">
        <v>79</v>
      </c>
      <c r="AD16" s="24">
        <f t="shared" ref="AD16:AD21" si="4">AC16+AB16+AA16</f>
        <v>850</v>
      </c>
      <c r="AE16" s="26">
        <f t="shared" ref="AE16:AE21" si="5">Y16*2.43</f>
        <v>507.87000000000006</v>
      </c>
      <c r="AF16" s="24"/>
      <c r="AG16" s="27"/>
      <c r="AH16" s="29"/>
    </row>
    <row r="17" spans="1:41" s="28" customFormat="1" ht="26.25" customHeight="1" x14ac:dyDescent="0.25">
      <c r="A17" s="18">
        <v>46042</v>
      </c>
      <c r="B17" s="19"/>
      <c r="C17" s="20">
        <f t="shared" si="0"/>
        <v>0</v>
      </c>
      <c r="D17" s="19">
        <v>1920</v>
      </c>
      <c r="E17" s="21">
        <f t="shared" si="2"/>
        <v>240</v>
      </c>
      <c r="F17" s="19">
        <v>996</v>
      </c>
      <c r="G17" s="22">
        <f t="shared" si="1"/>
        <v>115.81395348837209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1008</v>
      </c>
      <c r="Q17" s="24"/>
      <c r="R17" s="24"/>
      <c r="S17" s="24"/>
      <c r="T17" s="24"/>
      <c r="U17" s="24"/>
      <c r="V17" s="24">
        <v>23</v>
      </c>
      <c r="W17" s="25">
        <v>1428</v>
      </c>
      <c r="X17" s="25"/>
      <c r="Y17" s="24">
        <v>188</v>
      </c>
      <c r="Z17" s="24">
        <v>4</v>
      </c>
      <c r="AA17" s="24">
        <v>665</v>
      </c>
      <c r="AB17" s="24"/>
      <c r="AC17" s="24">
        <v>44</v>
      </c>
      <c r="AD17" s="24">
        <f t="shared" si="4"/>
        <v>709</v>
      </c>
      <c r="AE17" s="26">
        <f t="shared" si="5"/>
        <v>456.84000000000003</v>
      </c>
      <c r="AF17" s="24"/>
      <c r="AG17" s="27"/>
    </row>
    <row r="18" spans="1:41" s="28" customFormat="1" ht="26.25" customHeight="1" x14ac:dyDescent="0.25">
      <c r="A18" s="18">
        <v>46043</v>
      </c>
      <c r="B18" s="19"/>
      <c r="C18" s="20">
        <f t="shared" si="0"/>
        <v>0</v>
      </c>
      <c r="D18" s="19">
        <v>1810</v>
      </c>
      <c r="E18" s="21">
        <f t="shared" si="2"/>
        <v>226.25000000000003</v>
      </c>
      <c r="F18" s="19">
        <v>1905</v>
      </c>
      <c r="G18" s="22">
        <f t="shared" si="1"/>
        <v>221.51162790697674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1218.3999999999999</v>
      </c>
      <c r="Q18" s="24"/>
      <c r="R18" s="24"/>
      <c r="S18" s="24"/>
      <c r="T18" s="24"/>
      <c r="U18" s="24"/>
      <c r="V18" s="12">
        <v>71</v>
      </c>
      <c r="W18" s="25">
        <v>1781</v>
      </c>
      <c r="X18" s="25"/>
      <c r="Y18" s="24">
        <v>223</v>
      </c>
      <c r="Z18" s="24">
        <v>4</v>
      </c>
      <c r="AA18" s="24">
        <v>836</v>
      </c>
      <c r="AB18" s="24"/>
      <c r="AC18" s="24">
        <v>77</v>
      </c>
      <c r="AD18" s="24">
        <f t="shared" si="4"/>
        <v>913</v>
      </c>
      <c r="AE18" s="26">
        <f t="shared" si="5"/>
        <v>541.89</v>
      </c>
      <c r="AF18" s="24"/>
      <c r="AG18" s="27">
        <v>1</v>
      </c>
      <c r="AH18" s="29"/>
    </row>
    <row r="19" spans="1:41" s="28" customFormat="1" ht="26.25" customHeight="1" x14ac:dyDescent="0.25">
      <c r="A19" s="18">
        <v>46044</v>
      </c>
      <c r="B19" s="19"/>
      <c r="C19" s="20">
        <f>B19/200*25</f>
        <v>0</v>
      </c>
      <c r="D19" s="19">
        <v>2174</v>
      </c>
      <c r="E19" s="21">
        <f t="shared" si="2"/>
        <v>271.75</v>
      </c>
      <c r="F19" s="19">
        <v>1686</v>
      </c>
      <c r="G19" s="22">
        <f t="shared" si="1"/>
        <v>196.04651162790699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1228.5999999999999</v>
      </c>
      <c r="Q19" s="24"/>
      <c r="R19" s="24"/>
      <c r="S19" s="24"/>
      <c r="T19" s="24"/>
      <c r="U19" s="24"/>
      <c r="V19" s="24">
        <v>61</v>
      </c>
      <c r="W19" s="25">
        <v>1795</v>
      </c>
      <c r="X19" s="25"/>
      <c r="Y19" s="24">
        <v>219</v>
      </c>
      <c r="Z19" s="24">
        <v>6</v>
      </c>
      <c r="AA19" s="24">
        <v>844</v>
      </c>
      <c r="AB19" s="24"/>
      <c r="AC19" s="24">
        <v>33</v>
      </c>
      <c r="AD19" s="24">
        <f t="shared" si="4"/>
        <v>877</v>
      </c>
      <c r="AE19" s="26">
        <f t="shared" si="5"/>
        <v>532.17000000000007</v>
      </c>
      <c r="AF19" s="24">
        <v>150</v>
      </c>
      <c r="AG19" s="27">
        <v>1</v>
      </c>
    </row>
    <row r="20" spans="1:41" s="28" customFormat="1" ht="26.25" customHeight="1" x14ac:dyDescent="0.25">
      <c r="A20" s="18">
        <v>46045</v>
      </c>
      <c r="B20" s="19"/>
      <c r="C20" s="20">
        <f t="shared" ref="C20:C21" si="7">B20/200*25</f>
        <v>0</v>
      </c>
      <c r="D20" s="19">
        <v>1918</v>
      </c>
      <c r="E20" s="21">
        <f t="shared" si="2"/>
        <v>239.75</v>
      </c>
      <c r="F20" s="19">
        <v>1889</v>
      </c>
      <c r="G20" s="22">
        <f t="shared" si="1"/>
        <v>219.65116279069767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1143.4000000000001</v>
      </c>
      <c r="Q20" s="24"/>
      <c r="R20" s="24"/>
      <c r="S20" s="25"/>
      <c r="T20" s="24"/>
      <c r="U20" s="24"/>
      <c r="V20" s="24">
        <v>65</v>
      </c>
      <c r="W20" s="25">
        <v>1775</v>
      </c>
      <c r="X20" s="25"/>
      <c r="Y20" s="24">
        <v>197</v>
      </c>
      <c r="Z20" s="24">
        <v>6</v>
      </c>
      <c r="AA20" s="24">
        <v>741</v>
      </c>
      <c r="AB20" s="24"/>
      <c r="AC20" s="24">
        <v>57</v>
      </c>
      <c r="AD20" s="24">
        <f t="shared" si="4"/>
        <v>798</v>
      </c>
      <c r="AE20" s="26">
        <f t="shared" si="5"/>
        <v>478.71000000000004</v>
      </c>
      <c r="AF20" s="24"/>
      <c r="AG20" s="27">
        <v>1</v>
      </c>
    </row>
    <row r="21" spans="1:41" s="28" customFormat="1" ht="26.25" customHeight="1" x14ac:dyDescent="0.25">
      <c r="A21" s="18">
        <v>46046</v>
      </c>
      <c r="B21" s="19"/>
      <c r="C21" s="20">
        <f t="shared" si="7"/>
        <v>0</v>
      </c>
      <c r="D21" s="19">
        <v>1771</v>
      </c>
      <c r="E21" s="21">
        <f t="shared" si="2"/>
        <v>221.375</v>
      </c>
      <c r="F21" s="19">
        <v>1892</v>
      </c>
      <c r="G21" s="22">
        <f t="shared" si="1"/>
        <v>220.00000000000003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1249.8000000000002</v>
      </c>
      <c r="Q21" s="24"/>
      <c r="R21" s="24"/>
      <c r="S21" s="25"/>
      <c r="T21" s="24"/>
      <c r="U21" s="24"/>
      <c r="V21" s="24">
        <v>21</v>
      </c>
      <c r="W21" s="25">
        <v>1840</v>
      </c>
      <c r="X21" s="25"/>
      <c r="Y21" s="24">
        <v>202</v>
      </c>
      <c r="Z21" s="24">
        <v>4</v>
      </c>
      <c r="AA21" s="24">
        <v>800</v>
      </c>
      <c r="AB21" s="24"/>
      <c r="AC21" s="24">
        <v>61</v>
      </c>
      <c r="AD21" s="24">
        <f t="shared" si="4"/>
        <v>861</v>
      </c>
      <c r="AE21" s="26">
        <f t="shared" si="5"/>
        <v>490.86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13000</v>
      </c>
      <c r="E22" s="33">
        <f t="shared" si="8"/>
        <v>1625</v>
      </c>
      <c r="F22" s="31">
        <f t="shared" si="8"/>
        <v>11387</v>
      </c>
      <c r="G22" s="33">
        <f t="shared" si="8"/>
        <v>1324.0697674418604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8029.9999999999991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328</v>
      </c>
      <c r="W22" s="31">
        <f t="shared" si="8"/>
        <v>11702</v>
      </c>
      <c r="X22" s="31">
        <f t="shared" si="8"/>
        <v>0</v>
      </c>
      <c r="Y22" s="31">
        <f t="shared" si="8"/>
        <v>1411</v>
      </c>
      <c r="Z22" s="31">
        <f t="shared" si="8"/>
        <v>26</v>
      </c>
      <c r="AA22" s="31">
        <f t="shared" si="8"/>
        <v>5256</v>
      </c>
      <c r="AB22" s="31">
        <f t="shared" si="8"/>
        <v>0</v>
      </c>
      <c r="AC22" s="31">
        <f t="shared" si="8"/>
        <v>384</v>
      </c>
      <c r="AD22" s="31">
        <f t="shared" si="8"/>
        <v>5640</v>
      </c>
      <c r="AE22" s="33">
        <f t="shared" si="8"/>
        <v>3428.7300000000005</v>
      </c>
      <c r="AF22" s="33">
        <f t="shared" si="8"/>
        <v>150</v>
      </c>
      <c r="AG22" s="33">
        <f t="shared" si="8"/>
        <v>3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5640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P22" sqref="P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169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46047</v>
      </c>
      <c r="B15" s="19"/>
      <c r="C15" s="20">
        <f t="shared" ref="C15:C18" si="0">B15/200*25</f>
        <v>0</v>
      </c>
      <c r="D15" s="19">
        <v>1263</v>
      </c>
      <c r="E15" s="21">
        <f>D15/200*25</f>
        <v>157.875</v>
      </c>
      <c r="F15" s="19">
        <v>1061</v>
      </c>
      <c r="G15" s="22">
        <f t="shared" ref="G15:G21" si="1">F15/215*25</f>
        <v>123.37209302325583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782.2</v>
      </c>
      <c r="Q15" s="24"/>
      <c r="R15" s="24"/>
      <c r="S15" s="24"/>
      <c r="T15" s="24"/>
      <c r="U15" s="24"/>
      <c r="V15" s="24"/>
      <c r="W15" s="25">
        <v>1144</v>
      </c>
      <c r="X15" s="25"/>
      <c r="Y15" s="24">
        <v>133</v>
      </c>
      <c r="Z15" s="24">
        <v>2</v>
      </c>
      <c r="AA15" s="24">
        <v>503</v>
      </c>
      <c r="AB15" s="24"/>
      <c r="AC15" s="24">
        <v>55</v>
      </c>
      <c r="AD15" s="24"/>
      <c r="AE15" s="26">
        <f>Y15*2.43</f>
        <v>323.19</v>
      </c>
      <c r="AF15" s="24"/>
      <c r="AG15" s="27"/>
      <c r="AH15" s="29"/>
    </row>
    <row r="16" spans="1:34" s="28" customFormat="1" ht="26.25" customHeight="1" x14ac:dyDescent="0.25">
      <c r="A16" s="18">
        <v>46048</v>
      </c>
      <c r="B16" s="19"/>
      <c r="C16" s="20">
        <f t="shared" si="0"/>
        <v>0</v>
      </c>
      <c r="D16" s="19">
        <v>1866</v>
      </c>
      <c r="E16" s="21">
        <f t="shared" ref="E16:E21" si="2">D16/200*25</f>
        <v>233.25</v>
      </c>
      <c r="F16" s="19">
        <v>1463</v>
      </c>
      <c r="G16" s="22">
        <f t="shared" si="1"/>
        <v>170.11627906976744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1237.4000000000001</v>
      </c>
      <c r="Q16" s="24"/>
      <c r="R16" s="24"/>
      <c r="S16" s="25"/>
      <c r="T16" s="24"/>
      <c r="U16" s="24"/>
      <c r="V16" s="24">
        <v>45</v>
      </c>
      <c r="W16" s="25">
        <v>1694</v>
      </c>
      <c r="X16" s="25"/>
      <c r="Y16" s="24">
        <v>218</v>
      </c>
      <c r="Z16" s="24">
        <v>2</v>
      </c>
      <c r="AA16" s="24">
        <v>819</v>
      </c>
      <c r="AB16" s="24"/>
      <c r="AC16" s="24">
        <v>85</v>
      </c>
      <c r="AD16" s="24"/>
      <c r="AE16" s="26">
        <f t="shared" ref="AE16:AE21" si="4">Y16*2.43</f>
        <v>529.74</v>
      </c>
      <c r="AF16" s="24"/>
      <c r="AG16" s="27"/>
      <c r="AH16" s="29"/>
    </row>
    <row r="17" spans="1:41" s="28" customFormat="1" ht="26.25" customHeight="1" x14ac:dyDescent="0.25">
      <c r="A17" s="18">
        <v>46049</v>
      </c>
      <c r="B17" s="19"/>
      <c r="C17" s="20">
        <f t="shared" si="0"/>
        <v>0</v>
      </c>
      <c r="D17" s="19">
        <v>1920</v>
      </c>
      <c r="E17" s="21">
        <f t="shared" si="2"/>
        <v>240</v>
      </c>
      <c r="F17" s="19">
        <v>1633</v>
      </c>
      <c r="G17" s="22">
        <f t="shared" si="1"/>
        <v>189.88372093023256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1202.2</v>
      </c>
      <c r="Q17" s="24"/>
      <c r="R17" s="24"/>
      <c r="S17" s="24"/>
      <c r="T17" s="24"/>
      <c r="U17" s="24"/>
      <c r="V17" s="24">
        <v>21</v>
      </c>
      <c r="W17" s="25">
        <v>1756</v>
      </c>
      <c r="X17" s="25"/>
      <c r="Y17" s="24">
        <v>195</v>
      </c>
      <c r="Z17" s="24">
        <v>4</v>
      </c>
      <c r="AA17" s="24">
        <v>845</v>
      </c>
      <c r="AB17" s="24"/>
      <c r="AC17" s="24">
        <v>26</v>
      </c>
      <c r="AD17" s="24"/>
      <c r="AE17" s="26">
        <f t="shared" si="4"/>
        <v>473.85</v>
      </c>
      <c r="AF17" s="24"/>
      <c r="AG17" s="27"/>
    </row>
    <row r="18" spans="1:41" s="28" customFormat="1" ht="26.25" customHeight="1" x14ac:dyDescent="0.25">
      <c r="A18" s="18">
        <v>46050</v>
      </c>
      <c r="B18" s="19"/>
      <c r="C18" s="20">
        <f t="shared" si="0"/>
        <v>0</v>
      </c>
      <c r="D18" s="19">
        <v>2165</v>
      </c>
      <c r="E18" s="21">
        <f t="shared" si="2"/>
        <v>270.625</v>
      </c>
      <c r="F18" s="19">
        <v>1437</v>
      </c>
      <c r="G18" s="22">
        <f t="shared" si="1"/>
        <v>167.09302325581393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1175.1999999999998</v>
      </c>
      <c r="Q18" s="24"/>
      <c r="R18" s="24"/>
      <c r="S18" s="24"/>
      <c r="T18" s="24"/>
      <c r="U18" s="24"/>
      <c r="V18" s="12">
        <v>6</v>
      </c>
      <c r="W18" s="25">
        <v>1817</v>
      </c>
      <c r="X18" s="25"/>
      <c r="Y18" s="24">
        <v>194</v>
      </c>
      <c r="Z18" s="24">
        <v>2</v>
      </c>
      <c r="AA18" s="24">
        <v>791</v>
      </c>
      <c r="AB18" s="24"/>
      <c r="AC18" s="24">
        <v>45</v>
      </c>
      <c r="AD18" s="24"/>
      <c r="AE18" s="26">
        <f t="shared" si="4"/>
        <v>471.42</v>
      </c>
      <c r="AF18" s="24"/>
      <c r="AG18" s="27"/>
      <c r="AH18" s="29"/>
    </row>
    <row r="19" spans="1:41" s="28" customFormat="1" ht="26.25" customHeight="1" x14ac:dyDescent="0.25">
      <c r="A19" s="18">
        <v>46051</v>
      </c>
      <c r="B19" s="19"/>
      <c r="C19" s="20">
        <f>B19/200*25</f>
        <v>0</v>
      </c>
      <c r="D19" s="19">
        <v>1741</v>
      </c>
      <c r="E19" s="21">
        <f t="shared" si="2"/>
        <v>217.625</v>
      </c>
      <c r="F19" s="19">
        <v>1415</v>
      </c>
      <c r="G19" s="22">
        <f t="shared" si="1"/>
        <v>164.53488372093022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1085</v>
      </c>
      <c r="Q19" s="24"/>
      <c r="R19" s="24"/>
      <c r="S19" s="24"/>
      <c r="T19" s="24"/>
      <c r="U19" s="24"/>
      <c r="V19" s="24">
        <v>3</v>
      </c>
      <c r="W19" s="25">
        <v>1584</v>
      </c>
      <c r="X19" s="25"/>
      <c r="Y19" s="24">
        <v>172</v>
      </c>
      <c r="Z19" s="24">
        <v>6</v>
      </c>
      <c r="AA19" s="24">
        <v>741</v>
      </c>
      <c r="AB19" s="24"/>
      <c r="AC19" s="24">
        <v>63</v>
      </c>
      <c r="AD19" s="24"/>
      <c r="AE19" s="26">
        <f t="shared" si="4"/>
        <v>417.96000000000004</v>
      </c>
      <c r="AF19" s="24">
        <v>10</v>
      </c>
      <c r="AG19" s="27"/>
    </row>
    <row r="20" spans="1:41" s="28" customFormat="1" ht="26.25" customHeight="1" x14ac:dyDescent="0.25">
      <c r="A20" s="18">
        <v>46052</v>
      </c>
      <c r="B20" s="19"/>
      <c r="C20" s="20">
        <f t="shared" ref="C20:C21" si="6">B20/200*25</f>
        <v>0</v>
      </c>
      <c r="D20" s="19">
        <v>1526</v>
      </c>
      <c r="E20" s="21">
        <f t="shared" si="2"/>
        <v>190.75</v>
      </c>
      <c r="F20" s="19">
        <v>1072</v>
      </c>
      <c r="G20" s="22">
        <f t="shared" si="1"/>
        <v>124.65116279069768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828.6</v>
      </c>
      <c r="Q20" s="24"/>
      <c r="R20" s="24"/>
      <c r="S20" s="25"/>
      <c r="T20" s="24"/>
      <c r="U20" s="24"/>
      <c r="V20" s="24">
        <v>2</v>
      </c>
      <c r="W20" s="25">
        <v>1270</v>
      </c>
      <c r="X20" s="25"/>
      <c r="Y20" s="24">
        <v>180</v>
      </c>
      <c r="Z20" s="24">
        <v>2</v>
      </c>
      <c r="AA20" s="24">
        <v>533</v>
      </c>
      <c r="AB20" s="24"/>
      <c r="AC20" s="24">
        <v>54</v>
      </c>
      <c r="AD20" s="24"/>
      <c r="AE20" s="26">
        <f t="shared" si="4"/>
        <v>437.40000000000003</v>
      </c>
      <c r="AF20" s="24"/>
      <c r="AG20" s="27"/>
    </row>
    <row r="21" spans="1:41" s="28" customFormat="1" ht="26.25" customHeight="1" x14ac:dyDescent="0.25">
      <c r="A21" s="18">
        <v>46053</v>
      </c>
      <c r="B21" s="19"/>
      <c r="C21" s="20">
        <f t="shared" si="6"/>
        <v>0</v>
      </c>
      <c r="D21" s="19">
        <v>1906</v>
      </c>
      <c r="E21" s="21">
        <f t="shared" si="2"/>
        <v>238.24999999999997</v>
      </c>
      <c r="F21" s="19">
        <v>1099</v>
      </c>
      <c r="G21" s="22">
        <f t="shared" si="1"/>
        <v>127.7906976744186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915</v>
      </c>
      <c r="Q21" s="24"/>
      <c r="R21" s="24"/>
      <c r="S21" s="25"/>
      <c r="T21" s="24"/>
      <c r="U21" s="24"/>
      <c r="V21" s="24">
        <v>10</v>
      </c>
      <c r="W21" s="25">
        <v>1462</v>
      </c>
      <c r="X21" s="25"/>
      <c r="Y21" s="24">
        <v>161</v>
      </c>
      <c r="Z21" s="24">
        <v>6</v>
      </c>
      <c r="AA21" s="24">
        <v>564</v>
      </c>
      <c r="AB21" s="24"/>
      <c r="AC21" s="24">
        <v>47</v>
      </c>
      <c r="AD21" s="24"/>
      <c r="AE21" s="26">
        <f t="shared" si="4"/>
        <v>391.23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12387</v>
      </c>
      <c r="E22" s="33">
        <f t="shared" si="7"/>
        <v>1548.375</v>
      </c>
      <c r="F22" s="31">
        <f t="shared" si="7"/>
        <v>9180</v>
      </c>
      <c r="G22" s="33">
        <f t="shared" si="7"/>
        <v>1067.4418604651162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7225.6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87</v>
      </c>
      <c r="W22" s="31">
        <f t="shared" si="7"/>
        <v>10727</v>
      </c>
      <c r="X22" s="31">
        <f t="shared" si="7"/>
        <v>0</v>
      </c>
      <c r="Y22" s="31">
        <f t="shared" si="7"/>
        <v>1253</v>
      </c>
      <c r="Z22" s="31">
        <f t="shared" si="7"/>
        <v>24</v>
      </c>
      <c r="AA22" s="31">
        <f t="shared" si="7"/>
        <v>4796</v>
      </c>
      <c r="AB22" s="31">
        <f t="shared" si="7"/>
        <v>0</v>
      </c>
      <c r="AC22" s="31">
        <f t="shared" si="7"/>
        <v>375</v>
      </c>
      <c r="AD22" s="31">
        <f t="shared" si="7"/>
        <v>0</v>
      </c>
      <c r="AE22" s="33">
        <f t="shared" si="7"/>
        <v>3044.7900000000004</v>
      </c>
      <c r="AF22" s="33">
        <f t="shared" si="7"/>
        <v>10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5171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46054</v>
      </c>
      <c r="B15" s="19"/>
      <c r="C15" s="20">
        <f t="shared" ref="C15:C18" si="0">B15/200*25</f>
        <v>0</v>
      </c>
      <c r="D15" s="19">
        <v>1357</v>
      </c>
      <c r="E15" s="21">
        <f>D15/200*25</f>
        <v>169.625</v>
      </c>
      <c r="F15" s="19">
        <v>642</v>
      </c>
      <c r="G15" s="22">
        <f t="shared" ref="G15:G21" si="1">F15/215*25</f>
        <v>74.651162790697683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595</v>
      </c>
      <c r="Q15" s="24"/>
      <c r="R15" s="24"/>
      <c r="S15" s="24"/>
      <c r="T15" s="24"/>
      <c r="U15" s="24"/>
      <c r="V15" s="24">
        <v>8</v>
      </c>
      <c r="W15" s="25">
        <v>925</v>
      </c>
      <c r="X15" s="25"/>
      <c r="Y15" s="24">
        <v>113</v>
      </c>
      <c r="Z15" s="24">
        <v>2</v>
      </c>
      <c r="AA15" s="24">
        <v>398</v>
      </c>
      <c r="AB15" s="24"/>
      <c r="AC15" s="24">
        <v>19</v>
      </c>
      <c r="AD15" s="24"/>
      <c r="AE15" s="26">
        <f>Y15*2.43</f>
        <v>274.59000000000003</v>
      </c>
      <c r="AF15" s="24"/>
      <c r="AG15" s="27"/>
      <c r="AH15" s="29"/>
    </row>
    <row r="16" spans="1:34" s="28" customFormat="1" ht="26.25" customHeight="1" x14ac:dyDescent="0.25">
      <c r="A16" s="18">
        <v>46055</v>
      </c>
      <c r="B16" s="19"/>
      <c r="C16" s="20">
        <f t="shared" si="0"/>
        <v>0</v>
      </c>
      <c r="D16" s="19">
        <v>1451</v>
      </c>
      <c r="E16" s="21">
        <f t="shared" ref="E16:E21" si="2">D16/200*25</f>
        <v>181.375</v>
      </c>
      <c r="F16" s="19">
        <v>1714</v>
      </c>
      <c r="G16" s="22">
        <f t="shared" si="1"/>
        <v>199.30232558139537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877</v>
      </c>
      <c r="Q16" s="24"/>
      <c r="R16" s="24"/>
      <c r="S16" s="25"/>
      <c r="T16" s="24"/>
      <c r="U16" s="24"/>
      <c r="V16" s="24">
        <v>40</v>
      </c>
      <c r="W16" s="25">
        <v>1405</v>
      </c>
      <c r="X16" s="25"/>
      <c r="Y16" s="24">
        <v>164</v>
      </c>
      <c r="Z16" s="24">
        <v>4</v>
      </c>
      <c r="AA16" s="24">
        <v>554</v>
      </c>
      <c r="AB16" s="24"/>
      <c r="AC16" s="24">
        <v>83</v>
      </c>
      <c r="AD16" s="24"/>
      <c r="AE16" s="26">
        <f t="shared" ref="AE16:AE21" si="4">Y16*2.43</f>
        <v>398.52000000000004</v>
      </c>
      <c r="AF16" s="24">
        <v>150</v>
      </c>
      <c r="AG16" s="27"/>
      <c r="AH16" s="29"/>
    </row>
    <row r="17" spans="1:41" s="28" customFormat="1" ht="26.25" customHeight="1" x14ac:dyDescent="0.25">
      <c r="A17" s="18">
        <v>46056</v>
      </c>
      <c r="B17" s="19"/>
      <c r="C17" s="20">
        <f t="shared" si="0"/>
        <v>0</v>
      </c>
      <c r="D17" s="19">
        <v>1801</v>
      </c>
      <c r="E17" s="21">
        <f t="shared" si="2"/>
        <v>225.12500000000003</v>
      </c>
      <c r="F17" s="19">
        <v>1296</v>
      </c>
      <c r="G17" s="22">
        <f t="shared" si="1"/>
        <v>150.69767441860463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1102.2</v>
      </c>
      <c r="Q17" s="24"/>
      <c r="R17" s="24"/>
      <c r="S17" s="24"/>
      <c r="T17" s="24"/>
      <c r="U17" s="24"/>
      <c r="V17" s="24">
        <v>14</v>
      </c>
      <c r="W17" s="25">
        <v>1615</v>
      </c>
      <c r="X17" s="25"/>
      <c r="Y17" s="24">
        <v>194</v>
      </c>
      <c r="Z17" s="24">
        <v>4</v>
      </c>
      <c r="AA17" s="24">
        <v>704</v>
      </c>
      <c r="AB17" s="24"/>
      <c r="AC17" s="24">
        <v>77</v>
      </c>
      <c r="AD17" s="24"/>
      <c r="AE17" s="26">
        <f t="shared" si="4"/>
        <v>471.42</v>
      </c>
      <c r="AF17" s="24"/>
      <c r="AG17" s="27"/>
    </row>
    <row r="18" spans="1:41" s="28" customFormat="1" ht="26.25" customHeight="1" x14ac:dyDescent="0.25">
      <c r="A18" s="18">
        <v>46057</v>
      </c>
      <c r="B18" s="19"/>
      <c r="C18" s="20">
        <f t="shared" si="0"/>
        <v>0</v>
      </c>
      <c r="D18" s="19">
        <v>1650</v>
      </c>
      <c r="E18" s="21">
        <f t="shared" si="2"/>
        <v>206.25</v>
      </c>
      <c r="F18" s="19">
        <v>2133</v>
      </c>
      <c r="G18" s="22">
        <f t="shared" si="1"/>
        <v>248.02325581395351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1085</v>
      </c>
      <c r="Q18" s="24"/>
      <c r="R18" s="24"/>
      <c r="S18" s="24"/>
      <c r="T18" s="24"/>
      <c r="U18" s="24"/>
      <c r="V18" s="12">
        <v>37</v>
      </c>
      <c r="W18" s="25">
        <v>1664</v>
      </c>
      <c r="X18" s="25"/>
      <c r="Y18" s="24">
        <v>218</v>
      </c>
      <c r="Z18" s="24">
        <v>8</v>
      </c>
      <c r="AA18" s="24">
        <v>726</v>
      </c>
      <c r="AB18" s="24"/>
      <c r="AC18" s="24">
        <v>108</v>
      </c>
      <c r="AD18" s="24"/>
      <c r="AE18" s="26">
        <f t="shared" si="4"/>
        <v>529.74</v>
      </c>
      <c r="AF18" s="24"/>
      <c r="AG18" s="27"/>
      <c r="AH18" s="29"/>
    </row>
    <row r="19" spans="1:41" s="28" customFormat="1" ht="26.25" customHeight="1" x14ac:dyDescent="0.25">
      <c r="A19" s="18">
        <v>46058</v>
      </c>
      <c r="B19" s="19"/>
      <c r="C19" s="20">
        <f>B19/200*25</f>
        <v>0</v>
      </c>
      <c r="D19" s="19">
        <v>489</v>
      </c>
      <c r="E19" s="21">
        <f t="shared" si="2"/>
        <v>61.124999999999993</v>
      </c>
      <c r="F19" s="19">
        <v>437</v>
      </c>
      <c r="G19" s="22">
        <f t="shared" si="1"/>
        <v>50.813953488372086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437.40000000000003</v>
      </c>
      <c r="Q19" s="24"/>
      <c r="R19" s="24"/>
      <c r="S19" s="24"/>
      <c r="T19" s="24"/>
      <c r="U19" s="24"/>
      <c r="V19" s="24">
        <v>2</v>
      </c>
      <c r="W19" s="25">
        <v>579</v>
      </c>
      <c r="X19" s="25"/>
      <c r="Y19" s="24">
        <v>69</v>
      </c>
      <c r="Z19" s="24"/>
      <c r="AA19" s="24">
        <v>248</v>
      </c>
      <c r="AB19" s="24"/>
      <c r="AC19" s="24">
        <v>20</v>
      </c>
      <c r="AD19" s="24"/>
      <c r="AE19" s="26">
        <f t="shared" si="4"/>
        <v>167.67000000000002</v>
      </c>
      <c r="AF19" s="24"/>
      <c r="AG19" s="27"/>
    </row>
    <row r="20" spans="1:41" s="28" customFormat="1" ht="26.25" customHeight="1" x14ac:dyDescent="0.25">
      <c r="A20" s="18">
        <v>46059</v>
      </c>
      <c r="B20" s="19"/>
      <c r="C20" s="20">
        <f t="shared" ref="C20:C21" si="6">B20/200*25</f>
        <v>0</v>
      </c>
      <c r="D20" s="19">
        <v>1720</v>
      </c>
      <c r="E20" s="21">
        <f t="shared" si="2"/>
        <v>215</v>
      </c>
      <c r="F20" s="19">
        <v>2337</v>
      </c>
      <c r="G20" s="22">
        <f t="shared" si="1"/>
        <v>271.74418604651163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1421</v>
      </c>
      <c r="Q20" s="24"/>
      <c r="R20" s="24"/>
      <c r="S20" s="25"/>
      <c r="T20" s="24"/>
      <c r="U20" s="24"/>
      <c r="V20" s="24">
        <v>51</v>
      </c>
      <c r="W20" s="25">
        <v>2072</v>
      </c>
      <c r="X20" s="25"/>
      <c r="Y20" s="24">
        <v>222</v>
      </c>
      <c r="Z20" s="24">
        <v>14</v>
      </c>
      <c r="AA20" s="24">
        <v>869</v>
      </c>
      <c r="AB20" s="24"/>
      <c r="AC20" s="24">
        <v>85</v>
      </c>
      <c r="AD20" s="24"/>
      <c r="AE20" s="26">
        <f t="shared" si="4"/>
        <v>539.46</v>
      </c>
      <c r="AF20" s="24"/>
      <c r="AG20" s="27"/>
    </row>
    <row r="21" spans="1:41" s="28" customFormat="1" ht="26.25" customHeight="1" x14ac:dyDescent="0.25">
      <c r="A21" s="18">
        <v>46060</v>
      </c>
      <c r="B21" s="19"/>
      <c r="C21" s="20">
        <f t="shared" si="6"/>
        <v>0</v>
      </c>
      <c r="D21" s="19">
        <v>1608</v>
      </c>
      <c r="E21" s="21">
        <f t="shared" si="2"/>
        <v>200.99999999999997</v>
      </c>
      <c r="F21" s="19">
        <v>999</v>
      </c>
      <c r="G21" s="22">
        <f t="shared" si="1"/>
        <v>116.16279069767441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1095.8000000000002</v>
      </c>
      <c r="Q21" s="24"/>
      <c r="R21" s="24"/>
      <c r="S21" s="25"/>
      <c r="T21" s="24"/>
      <c r="U21" s="24"/>
      <c r="V21" s="24">
        <v>13</v>
      </c>
      <c r="W21" s="25">
        <v>1519</v>
      </c>
      <c r="X21" s="25"/>
      <c r="Y21" s="24">
        <v>167</v>
      </c>
      <c r="Z21" s="24">
        <v>4</v>
      </c>
      <c r="AA21" s="24">
        <v>675</v>
      </c>
      <c r="AB21" s="24"/>
      <c r="AC21" s="24">
        <v>49</v>
      </c>
      <c r="AD21" s="24"/>
      <c r="AE21" s="26">
        <f t="shared" si="4"/>
        <v>405.81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10076</v>
      </c>
      <c r="E22" s="33">
        <f t="shared" si="7"/>
        <v>1259.5</v>
      </c>
      <c r="F22" s="31">
        <f t="shared" si="7"/>
        <v>9558</v>
      </c>
      <c r="G22" s="33">
        <f t="shared" si="7"/>
        <v>1111.3953488372092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6613.4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165</v>
      </c>
      <c r="W22" s="31">
        <f t="shared" si="7"/>
        <v>9779</v>
      </c>
      <c r="X22" s="31">
        <f t="shared" si="7"/>
        <v>0</v>
      </c>
      <c r="Y22" s="31">
        <f t="shared" si="7"/>
        <v>1147</v>
      </c>
      <c r="Z22" s="31">
        <f t="shared" si="7"/>
        <v>36</v>
      </c>
      <c r="AA22" s="31">
        <f t="shared" si="7"/>
        <v>4174</v>
      </c>
      <c r="AB22" s="31">
        <f t="shared" si="7"/>
        <v>0</v>
      </c>
      <c r="AC22" s="31">
        <f t="shared" si="7"/>
        <v>441</v>
      </c>
      <c r="AD22" s="31">
        <f t="shared" si="7"/>
        <v>0</v>
      </c>
      <c r="AE22" s="33">
        <f t="shared" si="7"/>
        <v>2787.2100000000005</v>
      </c>
      <c r="AF22" s="33">
        <f t="shared" si="7"/>
        <v>150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4615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D16" sqref="AD1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46061</v>
      </c>
      <c r="B15" s="19"/>
      <c r="C15" s="20">
        <f t="shared" ref="C15:C18" si="0">B15/200*25</f>
        <v>0</v>
      </c>
      <c r="D15" s="19">
        <v>1088</v>
      </c>
      <c r="E15" s="21">
        <f>D15/200*25</f>
        <v>136</v>
      </c>
      <c r="F15" s="19">
        <v>967</v>
      </c>
      <c r="G15" s="22">
        <f t="shared" ref="G15:G21" si="1">F15/215*25</f>
        <v>112.44186046511628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622</v>
      </c>
      <c r="Q15" s="24"/>
      <c r="R15" s="24"/>
      <c r="S15" s="24"/>
      <c r="T15" s="24"/>
      <c r="U15" s="24"/>
      <c r="V15" s="24"/>
      <c r="W15" s="25">
        <v>980</v>
      </c>
      <c r="X15" s="25"/>
      <c r="Y15" s="24">
        <v>110</v>
      </c>
      <c r="Z15" s="24">
        <v>4</v>
      </c>
      <c r="AA15" s="24">
        <v>420</v>
      </c>
      <c r="AB15" s="24"/>
      <c r="AC15" s="24">
        <v>50</v>
      </c>
      <c r="AD15" s="24">
        <f>AC15+AB15+AA15</f>
        <v>470</v>
      </c>
      <c r="AE15" s="26">
        <f>Y15*2.43</f>
        <v>267.3</v>
      </c>
      <c r="AF15" s="24">
        <v>40</v>
      </c>
      <c r="AG15" s="27"/>
      <c r="AH15" s="29"/>
    </row>
    <row r="16" spans="1:34" s="28" customFormat="1" ht="26.25" customHeight="1" x14ac:dyDescent="0.25">
      <c r="A16" s="18">
        <v>46062</v>
      </c>
      <c r="B16" s="19"/>
      <c r="C16" s="20">
        <f t="shared" si="0"/>
        <v>0</v>
      </c>
      <c r="D16" s="19">
        <v>1233</v>
      </c>
      <c r="E16" s="21">
        <f t="shared" ref="E16:E21" si="2">D16/200*25</f>
        <v>154.125</v>
      </c>
      <c r="F16" s="19">
        <v>1814</v>
      </c>
      <c r="G16" s="22">
        <f t="shared" si="1"/>
        <v>210.93023255813952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1220.8</v>
      </c>
      <c r="Q16" s="24"/>
      <c r="R16" s="24"/>
      <c r="S16" s="25"/>
      <c r="T16" s="24"/>
      <c r="U16" s="24"/>
      <c r="V16" s="24">
        <v>23</v>
      </c>
      <c r="W16" s="25">
        <v>1584</v>
      </c>
      <c r="X16" s="25"/>
      <c r="Y16" s="24">
        <v>208</v>
      </c>
      <c r="Z16" s="24">
        <v>6</v>
      </c>
      <c r="AA16" s="24">
        <v>787</v>
      </c>
      <c r="AB16" s="24"/>
      <c r="AC16" s="24">
        <v>64</v>
      </c>
      <c r="AD16" s="24">
        <f t="shared" ref="AD16:AD21" si="4">AC16+AB16+AA16</f>
        <v>851</v>
      </c>
      <c r="AE16" s="26">
        <f t="shared" ref="AE16:AE21" si="5">Y16*2.43</f>
        <v>505.44000000000005</v>
      </c>
      <c r="AF16" s="24"/>
      <c r="AG16" s="27"/>
      <c r="AH16" s="29"/>
    </row>
    <row r="17" spans="1:41" s="28" customFormat="1" ht="26.25" customHeight="1" x14ac:dyDescent="0.25">
      <c r="A17" s="18">
        <v>46063</v>
      </c>
      <c r="B17" s="19"/>
      <c r="C17" s="20">
        <f t="shared" si="0"/>
        <v>0</v>
      </c>
      <c r="D17" s="19">
        <v>1617</v>
      </c>
      <c r="E17" s="21">
        <f t="shared" si="2"/>
        <v>202.12500000000003</v>
      </c>
      <c r="F17" s="19">
        <v>1522</v>
      </c>
      <c r="G17" s="22">
        <f t="shared" si="1"/>
        <v>176.97674418604652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1028.0999999999999</v>
      </c>
      <c r="Q17" s="24"/>
      <c r="R17" s="24"/>
      <c r="S17" s="24"/>
      <c r="T17" s="24"/>
      <c r="U17" s="24"/>
      <c r="V17" s="24">
        <v>8</v>
      </c>
      <c r="W17" s="25">
        <v>1506</v>
      </c>
      <c r="X17" s="25"/>
      <c r="Y17" s="24">
        <v>179</v>
      </c>
      <c r="Z17" s="24">
        <v>4</v>
      </c>
      <c r="AA17" s="24">
        <v>707</v>
      </c>
      <c r="AB17" s="24"/>
      <c r="AC17" s="24">
        <v>24</v>
      </c>
      <c r="AD17" s="24">
        <f t="shared" si="4"/>
        <v>731</v>
      </c>
      <c r="AE17" s="26">
        <f t="shared" si="5"/>
        <v>434.97</v>
      </c>
      <c r="AF17" s="24">
        <v>150</v>
      </c>
      <c r="AG17" s="27"/>
    </row>
    <row r="18" spans="1:41" s="28" customFormat="1" ht="26.25" customHeight="1" x14ac:dyDescent="0.25">
      <c r="A18" s="18">
        <v>46064</v>
      </c>
      <c r="B18" s="19"/>
      <c r="C18" s="20">
        <f t="shared" si="0"/>
        <v>0</v>
      </c>
      <c r="D18" s="19">
        <v>1454</v>
      </c>
      <c r="E18" s="21">
        <f t="shared" si="2"/>
        <v>181.75</v>
      </c>
      <c r="F18" s="19">
        <v>1572</v>
      </c>
      <c r="G18" s="22">
        <f t="shared" si="1"/>
        <v>182.7906976744186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1234.6000000000001</v>
      </c>
      <c r="Q18" s="24"/>
      <c r="R18" s="24"/>
      <c r="S18" s="24"/>
      <c r="T18" s="24"/>
      <c r="U18" s="24"/>
      <c r="V18" s="12">
        <v>18</v>
      </c>
      <c r="W18" s="25">
        <v>1691</v>
      </c>
      <c r="X18" s="25"/>
      <c r="Y18" s="24">
        <v>186</v>
      </c>
      <c r="Z18" s="24">
        <v>6</v>
      </c>
      <c r="AA18" s="24">
        <v>805</v>
      </c>
      <c r="AB18" s="24"/>
      <c r="AC18" s="24">
        <v>85</v>
      </c>
      <c r="AD18" s="24">
        <f t="shared" si="4"/>
        <v>890</v>
      </c>
      <c r="AE18" s="26">
        <f t="shared" si="5"/>
        <v>451.98</v>
      </c>
      <c r="AF18" s="24"/>
      <c r="AG18" s="27"/>
      <c r="AH18" s="29"/>
    </row>
    <row r="19" spans="1:41" s="28" customFormat="1" ht="26.25" customHeight="1" x14ac:dyDescent="0.25">
      <c r="A19" s="18">
        <v>46065</v>
      </c>
      <c r="B19" s="19"/>
      <c r="C19" s="20">
        <f>B19/200*25</f>
        <v>0</v>
      </c>
      <c r="D19" s="19">
        <v>1852</v>
      </c>
      <c r="E19" s="21">
        <f t="shared" si="2"/>
        <v>231.5</v>
      </c>
      <c r="F19" s="19">
        <v>2260</v>
      </c>
      <c r="G19" s="22">
        <f t="shared" si="1"/>
        <v>262.7906976744186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1323.3999999999999</v>
      </c>
      <c r="Q19" s="24"/>
      <c r="R19" s="24"/>
      <c r="S19" s="24"/>
      <c r="T19" s="24"/>
      <c r="U19" s="24"/>
      <c r="V19" s="24">
        <v>66</v>
      </c>
      <c r="W19" s="25">
        <v>1894</v>
      </c>
      <c r="X19" s="25"/>
      <c r="Y19" s="24">
        <v>208</v>
      </c>
      <c r="Z19" s="24">
        <v>8</v>
      </c>
      <c r="AA19" s="24">
        <v>917</v>
      </c>
      <c r="AB19" s="24"/>
      <c r="AC19" s="24">
        <v>58</v>
      </c>
      <c r="AD19" s="24">
        <f t="shared" si="4"/>
        <v>975</v>
      </c>
      <c r="AE19" s="26">
        <f t="shared" si="5"/>
        <v>505.44000000000005</v>
      </c>
      <c r="AF19" s="24"/>
      <c r="AG19" s="27"/>
    </row>
    <row r="20" spans="1:41" s="28" customFormat="1" ht="26.25" customHeight="1" x14ac:dyDescent="0.25">
      <c r="A20" s="18">
        <v>46066</v>
      </c>
      <c r="B20" s="19"/>
      <c r="C20" s="20">
        <f t="shared" ref="C20:C21" si="7">B20/200*25</f>
        <v>0</v>
      </c>
      <c r="D20" s="19">
        <v>1617</v>
      </c>
      <c r="E20" s="21">
        <f t="shared" si="2"/>
        <v>202.12500000000003</v>
      </c>
      <c r="F20" s="19">
        <v>1522</v>
      </c>
      <c r="G20" s="22">
        <f t="shared" si="1"/>
        <v>176.97674418604652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1162</v>
      </c>
      <c r="Q20" s="24"/>
      <c r="R20" s="24"/>
      <c r="S20" s="25"/>
      <c r="T20" s="24"/>
      <c r="U20" s="24"/>
      <c r="V20" s="24">
        <v>52</v>
      </c>
      <c r="W20" s="25">
        <v>1619</v>
      </c>
      <c r="X20" s="25"/>
      <c r="Y20" s="24">
        <v>181</v>
      </c>
      <c r="Z20" s="24">
        <v>6</v>
      </c>
      <c r="AA20" s="24">
        <v>783</v>
      </c>
      <c r="AB20" s="24"/>
      <c r="AC20" s="24">
        <v>24</v>
      </c>
      <c r="AD20" s="24">
        <f t="shared" si="4"/>
        <v>807</v>
      </c>
      <c r="AE20" s="26">
        <f t="shared" si="5"/>
        <v>439.83000000000004</v>
      </c>
      <c r="AF20" s="24"/>
      <c r="AG20" s="27"/>
    </row>
    <row r="21" spans="1:41" s="28" customFormat="1" ht="26.25" customHeight="1" x14ac:dyDescent="0.25">
      <c r="A21" s="18">
        <v>46067</v>
      </c>
      <c r="B21" s="19"/>
      <c r="C21" s="20">
        <f t="shared" si="7"/>
        <v>0</v>
      </c>
      <c r="D21" s="19">
        <v>1488</v>
      </c>
      <c r="E21" s="21">
        <f t="shared" si="2"/>
        <v>186</v>
      </c>
      <c r="F21" s="19">
        <v>1470</v>
      </c>
      <c r="G21" s="22">
        <f t="shared" si="1"/>
        <v>170.93023255813952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1014.4</v>
      </c>
      <c r="Q21" s="24"/>
      <c r="R21" s="24"/>
      <c r="S21" s="25"/>
      <c r="T21" s="24"/>
      <c r="U21" s="24"/>
      <c r="V21" s="24">
        <v>26</v>
      </c>
      <c r="W21" s="25">
        <v>1436</v>
      </c>
      <c r="X21" s="25"/>
      <c r="Y21" s="24">
        <v>150</v>
      </c>
      <c r="Z21" s="24">
        <v>8</v>
      </c>
      <c r="AA21" s="24">
        <v>659</v>
      </c>
      <c r="AB21" s="24"/>
      <c r="AC21" s="24">
        <v>29</v>
      </c>
      <c r="AD21" s="24">
        <f t="shared" si="4"/>
        <v>688</v>
      </c>
      <c r="AE21" s="26">
        <f t="shared" si="5"/>
        <v>364.5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8">SUM(B15:B21)</f>
        <v>0</v>
      </c>
      <c r="C22" s="32">
        <f t="shared" si="8"/>
        <v>0</v>
      </c>
      <c r="D22" s="31">
        <f t="shared" si="8"/>
        <v>10349</v>
      </c>
      <c r="E22" s="33">
        <f t="shared" si="8"/>
        <v>1293.625</v>
      </c>
      <c r="F22" s="31">
        <f t="shared" si="8"/>
        <v>11127</v>
      </c>
      <c r="G22" s="33">
        <f t="shared" si="8"/>
        <v>1293.8372093023256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7605.2999999999993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193</v>
      </c>
      <c r="W22" s="31">
        <f t="shared" si="8"/>
        <v>10710</v>
      </c>
      <c r="X22" s="31">
        <f t="shared" si="8"/>
        <v>0</v>
      </c>
      <c r="Y22" s="31">
        <f t="shared" si="8"/>
        <v>1222</v>
      </c>
      <c r="Z22" s="31">
        <f t="shared" si="8"/>
        <v>42</v>
      </c>
      <c r="AA22" s="31">
        <f t="shared" si="8"/>
        <v>5078</v>
      </c>
      <c r="AB22" s="31">
        <f t="shared" si="8"/>
        <v>0</v>
      </c>
      <c r="AC22" s="31">
        <f t="shared" si="8"/>
        <v>334</v>
      </c>
      <c r="AD22" s="31">
        <f t="shared" si="8"/>
        <v>5412</v>
      </c>
      <c r="AE22" s="33">
        <f t="shared" si="8"/>
        <v>2969.46</v>
      </c>
      <c r="AF22" s="33">
        <f t="shared" si="8"/>
        <v>190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5412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15" sqref="A15:XFD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46068</v>
      </c>
      <c r="B15" s="19"/>
      <c r="C15" s="20">
        <f t="shared" ref="C15:C18" si="0">B15/200*25</f>
        <v>0</v>
      </c>
      <c r="D15" s="19">
        <v>1135</v>
      </c>
      <c r="E15" s="21">
        <f>D15/200*25</f>
        <v>141.875</v>
      </c>
      <c r="F15" s="19">
        <v>1174</v>
      </c>
      <c r="G15" s="22">
        <f t="shared" ref="G15:G21" si="1">F15/215*25</f>
        <v>136.51162790697674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832.6</v>
      </c>
      <c r="Q15" s="24"/>
      <c r="R15" s="24"/>
      <c r="S15" s="24"/>
      <c r="T15" s="24"/>
      <c r="U15" s="24"/>
      <c r="V15" s="24">
        <v>12</v>
      </c>
      <c r="W15" s="25">
        <v>1149</v>
      </c>
      <c r="X15" s="25"/>
      <c r="Y15" s="24">
        <v>165</v>
      </c>
      <c r="Z15" s="24">
        <v>2</v>
      </c>
      <c r="AA15" s="24">
        <v>588</v>
      </c>
      <c r="AB15" s="24"/>
      <c r="AC15" s="24">
        <v>10</v>
      </c>
      <c r="AD15" s="24"/>
      <c r="AE15" s="26">
        <f>Y15*2.43</f>
        <v>400.95000000000005</v>
      </c>
      <c r="AF15" s="24"/>
      <c r="AG15" s="27"/>
      <c r="AH15" s="29"/>
    </row>
    <row r="16" spans="1:34" s="28" customFormat="1" ht="26.25" customHeight="1" x14ac:dyDescent="0.25">
      <c r="A16" s="18">
        <v>46069</v>
      </c>
      <c r="B16" s="19"/>
      <c r="C16" s="20">
        <f t="shared" si="0"/>
        <v>0</v>
      </c>
      <c r="D16" s="19">
        <v>1434</v>
      </c>
      <c r="E16" s="21">
        <f t="shared" ref="E16:E21" si="2">D16/200*25</f>
        <v>179.25</v>
      </c>
      <c r="F16" s="19">
        <v>1274</v>
      </c>
      <c r="G16" s="22">
        <f t="shared" si="1"/>
        <v>148.13953488372093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954.8</v>
      </c>
      <c r="Q16" s="24"/>
      <c r="R16" s="24"/>
      <c r="S16" s="25"/>
      <c r="T16" s="24"/>
      <c r="U16" s="24"/>
      <c r="V16" s="24">
        <v>18</v>
      </c>
      <c r="W16" s="25">
        <v>1329</v>
      </c>
      <c r="X16" s="25"/>
      <c r="Y16" s="24">
        <v>151</v>
      </c>
      <c r="Z16" s="24">
        <v>6</v>
      </c>
      <c r="AA16" s="24">
        <v>729</v>
      </c>
      <c r="AB16" s="24"/>
      <c r="AC16" s="24"/>
      <c r="AD16" s="24"/>
      <c r="AE16" s="26">
        <f t="shared" ref="AE16:AE21" si="4">Y16*2.43</f>
        <v>366.93</v>
      </c>
      <c r="AF16" s="24"/>
      <c r="AG16" s="27"/>
      <c r="AH16" s="29"/>
    </row>
    <row r="17" spans="1:41" s="28" customFormat="1" ht="26.25" customHeight="1" x14ac:dyDescent="0.25">
      <c r="A17" s="18">
        <v>46070</v>
      </c>
      <c r="B17" s="19"/>
      <c r="C17" s="20">
        <f t="shared" si="0"/>
        <v>0</v>
      </c>
      <c r="D17" s="19">
        <v>1895</v>
      </c>
      <c r="E17" s="21">
        <f t="shared" si="2"/>
        <v>236.875</v>
      </c>
      <c r="F17" s="19">
        <v>1434</v>
      </c>
      <c r="G17" s="22">
        <f t="shared" si="1"/>
        <v>166.74418604651163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1100.8</v>
      </c>
      <c r="Q17" s="24"/>
      <c r="R17" s="24"/>
      <c r="S17" s="24"/>
      <c r="T17" s="24"/>
      <c r="U17" s="24"/>
      <c r="V17" s="24">
        <v>46</v>
      </c>
      <c r="W17" s="25">
        <v>1604</v>
      </c>
      <c r="X17" s="25"/>
      <c r="Y17" s="24">
        <v>173</v>
      </c>
      <c r="Z17" s="24">
        <v>4</v>
      </c>
      <c r="AA17" s="24">
        <v>777</v>
      </c>
      <c r="AB17" s="24"/>
      <c r="AC17" s="24"/>
      <c r="AD17" s="24"/>
      <c r="AE17" s="26">
        <f t="shared" si="4"/>
        <v>420.39000000000004</v>
      </c>
      <c r="AF17" s="24"/>
      <c r="AG17" s="27"/>
    </row>
    <row r="18" spans="1:41" s="28" customFormat="1" ht="26.25" customHeight="1" x14ac:dyDescent="0.25">
      <c r="A18" s="18">
        <v>46071</v>
      </c>
      <c r="B18" s="19"/>
      <c r="C18" s="20">
        <f t="shared" si="0"/>
        <v>0</v>
      </c>
      <c r="D18" s="19">
        <v>2016</v>
      </c>
      <c r="E18" s="21">
        <f t="shared" si="2"/>
        <v>252</v>
      </c>
      <c r="F18" s="19">
        <v>1257</v>
      </c>
      <c r="G18" s="22">
        <f t="shared" si="1"/>
        <v>146.16279069767441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1009.8000000000001</v>
      </c>
      <c r="Q18" s="24"/>
      <c r="R18" s="24"/>
      <c r="S18" s="24"/>
      <c r="T18" s="24"/>
      <c r="U18" s="24"/>
      <c r="V18" s="12">
        <v>32</v>
      </c>
      <c r="W18" s="25">
        <v>1473</v>
      </c>
      <c r="X18" s="25"/>
      <c r="Y18" s="24">
        <v>179</v>
      </c>
      <c r="Z18" s="24">
        <v>10</v>
      </c>
      <c r="AA18" s="24">
        <v>757</v>
      </c>
      <c r="AB18" s="24"/>
      <c r="AC18" s="24"/>
      <c r="AD18" s="24"/>
      <c r="AE18" s="26">
        <f t="shared" si="4"/>
        <v>434.97</v>
      </c>
      <c r="AF18" s="24"/>
      <c r="AG18" s="27">
        <v>1</v>
      </c>
      <c r="AH18" s="29"/>
    </row>
    <row r="19" spans="1:41" s="28" customFormat="1" ht="26.25" customHeight="1" x14ac:dyDescent="0.25">
      <c r="A19" s="18">
        <v>46072</v>
      </c>
      <c r="B19" s="19"/>
      <c r="C19" s="20">
        <f>B19/200*25</f>
        <v>0</v>
      </c>
      <c r="D19" s="19">
        <v>1406</v>
      </c>
      <c r="E19" s="21">
        <f t="shared" si="2"/>
        <v>175.75</v>
      </c>
      <c r="F19" s="19">
        <v>1380</v>
      </c>
      <c r="G19" s="22">
        <f t="shared" si="1"/>
        <v>160.46511627906978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906</v>
      </c>
      <c r="Q19" s="24"/>
      <c r="R19" s="24"/>
      <c r="S19" s="24"/>
      <c r="T19" s="24"/>
      <c r="U19" s="24"/>
      <c r="V19" s="24">
        <v>22</v>
      </c>
      <c r="W19" s="25">
        <v>1268</v>
      </c>
      <c r="X19" s="25"/>
      <c r="Y19" s="24">
        <v>163</v>
      </c>
      <c r="Z19" s="24">
        <v>2</v>
      </c>
      <c r="AA19" s="24">
        <v>657</v>
      </c>
      <c r="AB19" s="24"/>
      <c r="AC19" s="24"/>
      <c r="AD19" s="24"/>
      <c r="AE19" s="26">
        <f t="shared" si="4"/>
        <v>396.09000000000003</v>
      </c>
      <c r="AF19" s="24"/>
      <c r="AG19" s="27"/>
    </row>
    <row r="20" spans="1:41" s="28" customFormat="1" ht="26.25" customHeight="1" x14ac:dyDescent="0.25">
      <c r="A20" s="18">
        <v>46073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/>
      <c r="G20" s="22">
        <f t="shared" si="1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4"/>
        <v>0</v>
      </c>
      <c r="AF20" s="24"/>
      <c r="AG20" s="27"/>
    </row>
    <row r="21" spans="1:41" s="28" customFormat="1" ht="26.25" customHeight="1" x14ac:dyDescent="0.25">
      <c r="A21" s="18">
        <v>46074</v>
      </c>
      <c r="B21" s="19"/>
      <c r="C21" s="20">
        <f t="shared" si="6"/>
        <v>0</v>
      </c>
      <c r="D21" s="19">
        <v>2039</v>
      </c>
      <c r="E21" s="21">
        <f t="shared" si="2"/>
        <v>254.875</v>
      </c>
      <c r="F21" s="19">
        <v>1647</v>
      </c>
      <c r="G21" s="22">
        <f t="shared" si="1"/>
        <v>191.51162790697674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3362</v>
      </c>
      <c r="Q21" s="24"/>
      <c r="R21" s="24"/>
      <c r="S21" s="25"/>
      <c r="T21" s="24"/>
      <c r="U21" s="24"/>
      <c r="V21" s="24">
        <v>33</v>
      </c>
      <c r="W21" s="25">
        <v>1890</v>
      </c>
      <c r="X21" s="25"/>
      <c r="Y21" s="24">
        <v>214</v>
      </c>
      <c r="Z21" s="24">
        <v>6</v>
      </c>
      <c r="AA21" s="24">
        <v>949</v>
      </c>
      <c r="AB21" s="24"/>
      <c r="AC21" s="24"/>
      <c r="AD21" s="24"/>
      <c r="AE21" s="26">
        <f t="shared" si="4"/>
        <v>520.02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9925</v>
      </c>
      <c r="E22" s="33">
        <f t="shared" si="7"/>
        <v>1240.625</v>
      </c>
      <c r="F22" s="31">
        <f t="shared" si="7"/>
        <v>8166</v>
      </c>
      <c r="G22" s="33">
        <f t="shared" si="7"/>
        <v>949.53488372093022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8166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163</v>
      </c>
      <c r="W22" s="31">
        <f t="shared" si="7"/>
        <v>8713</v>
      </c>
      <c r="X22" s="31">
        <f t="shared" si="7"/>
        <v>0</v>
      </c>
      <c r="Y22" s="31">
        <f t="shared" si="7"/>
        <v>1045</v>
      </c>
      <c r="Z22" s="31">
        <f t="shared" si="7"/>
        <v>30</v>
      </c>
      <c r="AA22" s="31">
        <f t="shared" si="7"/>
        <v>4457</v>
      </c>
      <c r="AB22" s="31">
        <f t="shared" si="7"/>
        <v>0</v>
      </c>
      <c r="AC22" s="31">
        <f t="shared" si="7"/>
        <v>10</v>
      </c>
      <c r="AD22" s="31">
        <f t="shared" si="7"/>
        <v>0</v>
      </c>
      <c r="AE22" s="33">
        <f t="shared" si="7"/>
        <v>2539.3500000000004</v>
      </c>
      <c r="AF22" s="33">
        <f t="shared" si="7"/>
        <v>0</v>
      </c>
      <c r="AG22" s="33">
        <f t="shared" si="7"/>
        <v>1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4467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P27" sqref="P27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173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83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33442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46075</v>
      </c>
      <c r="B15" s="19"/>
      <c r="C15" s="20">
        <f t="shared" ref="C15:C18" si="0">B15/200*25</f>
        <v>0</v>
      </c>
      <c r="D15" s="19">
        <v>1560</v>
      </c>
      <c r="E15" s="21">
        <f>D15/200*25</f>
        <v>195</v>
      </c>
      <c r="F15" s="19">
        <v>1531</v>
      </c>
      <c r="G15" s="22">
        <f t="shared" ref="G15:G21" si="1">F15/215*25</f>
        <v>178.02325581395348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859.2</v>
      </c>
      <c r="Q15" s="24"/>
      <c r="R15" s="24"/>
      <c r="S15" s="24"/>
      <c r="T15" s="24"/>
      <c r="U15" s="24"/>
      <c r="V15" s="24">
        <v>24</v>
      </c>
      <c r="W15" s="25">
        <v>1333</v>
      </c>
      <c r="X15" s="25"/>
      <c r="Y15" s="24">
        <v>156</v>
      </c>
      <c r="Z15" s="24">
        <v>8</v>
      </c>
      <c r="AA15" s="24">
        <v>656</v>
      </c>
      <c r="AB15" s="24"/>
      <c r="AC15" s="24"/>
      <c r="AD15" s="24"/>
      <c r="AE15" s="26">
        <f>Y15*2.43</f>
        <v>379.08000000000004</v>
      </c>
      <c r="AF15" s="24"/>
      <c r="AG15" s="27"/>
      <c r="AH15" s="29"/>
    </row>
    <row r="16" spans="1:34" s="28" customFormat="1" ht="26.25" customHeight="1" x14ac:dyDescent="0.25">
      <c r="A16" s="18">
        <v>46076</v>
      </c>
      <c r="B16" s="19"/>
      <c r="C16" s="20">
        <f t="shared" si="0"/>
        <v>0</v>
      </c>
      <c r="D16" s="19">
        <v>1341</v>
      </c>
      <c r="E16" s="21">
        <f t="shared" ref="E16:E21" si="2">D16/200*25</f>
        <v>167.625</v>
      </c>
      <c r="F16" s="19">
        <v>1614</v>
      </c>
      <c r="G16" s="22">
        <f t="shared" si="1"/>
        <v>187.67441860465118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1015.4</v>
      </c>
      <c r="Q16" s="24"/>
      <c r="R16" s="24"/>
      <c r="S16" s="25"/>
      <c r="T16" s="24"/>
      <c r="U16" s="24"/>
      <c r="V16" s="24">
        <v>22</v>
      </c>
      <c r="W16" s="25">
        <v>1448</v>
      </c>
      <c r="X16" s="25"/>
      <c r="Y16" s="24">
        <v>175</v>
      </c>
      <c r="Z16" s="24">
        <v>10</v>
      </c>
      <c r="AA16" s="24">
        <v>683</v>
      </c>
      <c r="AB16" s="24"/>
      <c r="AC16" s="24">
        <v>12</v>
      </c>
      <c r="AD16" s="24"/>
      <c r="AE16" s="26">
        <f t="shared" ref="AE16:AE21" si="4">Y16*2.43</f>
        <v>425.25</v>
      </c>
      <c r="AF16" s="24"/>
      <c r="AG16" s="27"/>
      <c r="AH16" s="29"/>
    </row>
    <row r="17" spans="1:41" s="28" customFormat="1" ht="26.25" customHeight="1" x14ac:dyDescent="0.25">
      <c r="A17" s="18">
        <v>46077</v>
      </c>
      <c r="B17" s="19"/>
      <c r="C17" s="20">
        <f t="shared" si="0"/>
        <v>0</v>
      </c>
      <c r="D17" s="19">
        <v>1426</v>
      </c>
      <c r="E17" s="21">
        <f t="shared" si="2"/>
        <v>178.25</v>
      </c>
      <c r="F17" s="19">
        <v>1540</v>
      </c>
      <c r="G17" s="22">
        <f t="shared" si="1"/>
        <v>179.06976744186048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993.6</v>
      </c>
      <c r="Q17" s="24"/>
      <c r="R17" s="24"/>
      <c r="S17" s="24"/>
      <c r="T17" s="24"/>
      <c r="U17" s="24"/>
      <c r="V17" s="24">
        <v>20</v>
      </c>
      <c r="W17" s="25">
        <v>1449</v>
      </c>
      <c r="X17" s="25"/>
      <c r="Y17" s="24">
        <v>176</v>
      </c>
      <c r="Z17" s="24">
        <v>4</v>
      </c>
      <c r="AA17" s="24">
        <v>691</v>
      </c>
      <c r="AB17" s="24"/>
      <c r="AC17" s="24"/>
      <c r="AD17" s="24"/>
      <c r="AE17" s="26">
        <f t="shared" si="4"/>
        <v>427.68</v>
      </c>
      <c r="AF17" s="24"/>
      <c r="AG17" s="27"/>
    </row>
    <row r="18" spans="1:41" s="28" customFormat="1" ht="26.25" customHeight="1" x14ac:dyDescent="0.25">
      <c r="A18" s="18">
        <v>46078</v>
      </c>
      <c r="B18" s="19"/>
      <c r="C18" s="20">
        <f t="shared" si="0"/>
        <v>0</v>
      </c>
      <c r="D18" s="19">
        <v>1872</v>
      </c>
      <c r="E18" s="21">
        <f t="shared" si="2"/>
        <v>234</v>
      </c>
      <c r="F18" s="19">
        <v>1619</v>
      </c>
      <c r="G18" s="22">
        <f t="shared" si="1"/>
        <v>188.25581395348837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1143.4000000000001</v>
      </c>
      <c r="Q18" s="24"/>
      <c r="R18" s="24"/>
      <c r="S18" s="24"/>
      <c r="T18" s="24"/>
      <c r="U18" s="24"/>
      <c r="V18" s="12"/>
      <c r="W18" s="25">
        <v>1709</v>
      </c>
      <c r="X18" s="25"/>
      <c r="Y18" s="24">
        <v>210</v>
      </c>
      <c r="Z18" s="24">
        <v>2</v>
      </c>
      <c r="AA18" s="24">
        <v>785</v>
      </c>
      <c r="AB18" s="24"/>
      <c r="AC18" s="24"/>
      <c r="AD18" s="24"/>
      <c r="AE18" s="26">
        <f t="shared" si="4"/>
        <v>510.3</v>
      </c>
      <c r="AF18" s="24"/>
      <c r="AG18" s="27"/>
      <c r="AH18" s="29"/>
    </row>
    <row r="19" spans="1:41" s="28" customFormat="1" ht="26.25" customHeight="1" x14ac:dyDescent="0.25">
      <c r="A19" s="18">
        <v>46079</v>
      </c>
      <c r="B19" s="19"/>
      <c r="C19" s="20">
        <f>B19/200*25</f>
        <v>0</v>
      </c>
      <c r="D19" s="19">
        <v>1684</v>
      </c>
      <c r="E19" s="21">
        <f t="shared" si="2"/>
        <v>210.5</v>
      </c>
      <c r="F19" s="19">
        <v>1827</v>
      </c>
      <c r="G19" s="22">
        <f t="shared" si="1"/>
        <v>212.44186046511629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1064.4000000000001</v>
      </c>
      <c r="Q19" s="24"/>
      <c r="R19" s="24"/>
      <c r="S19" s="24"/>
      <c r="T19" s="24"/>
      <c r="U19" s="24"/>
      <c r="V19" s="24"/>
      <c r="W19" s="25">
        <v>1645</v>
      </c>
      <c r="X19" s="25"/>
      <c r="Y19" s="24">
        <v>183</v>
      </c>
      <c r="Z19" s="24">
        <v>6</v>
      </c>
      <c r="AA19" s="24">
        <v>798</v>
      </c>
      <c r="AB19" s="24"/>
      <c r="AC19" s="24"/>
      <c r="AD19" s="24"/>
      <c r="AE19" s="26">
        <f t="shared" si="4"/>
        <v>444.69000000000005</v>
      </c>
      <c r="AF19" s="24"/>
      <c r="AG19" s="27"/>
    </row>
    <row r="20" spans="1:41" s="28" customFormat="1" ht="26.25" customHeight="1" x14ac:dyDescent="0.25">
      <c r="A20" s="18">
        <v>46080</v>
      </c>
      <c r="B20" s="19"/>
      <c r="C20" s="20">
        <f t="shared" ref="C20:C21" si="6">B20/200*25</f>
        <v>0</v>
      </c>
      <c r="D20" s="19">
        <v>1731</v>
      </c>
      <c r="E20" s="21">
        <f t="shared" si="2"/>
        <v>216.37499999999997</v>
      </c>
      <c r="F20" s="19">
        <v>2434</v>
      </c>
      <c r="G20" s="22">
        <f t="shared" si="1"/>
        <v>283.02325581395348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1206.2</v>
      </c>
      <c r="Q20" s="24"/>
      <c r="R20" s="24"/>
      <c r="S20" s="25"/>
      <c r="T20" s="24"/>
      <c r="U20" s="24"/>
      <c r="V20" s="24"/>
      <c r="W20" s="25">
        <v>1880</v>
      </c>
      <c r="X20" s="25"/>
      <c r="Y20" s="24">
        <v>196</v>
      </c>
      <c r="Z20" s="24">
        <v>14</v>
      </c>
      <c r="AA20" s="24">
        <v>921</v>
      </c>
      <c r="AB20" s="24"/>
      <c r="AC20" s="24"/>
      <c r="AD20" s="24"/>
      <c r="AE20" s="26">
        <f t="shared" si="4"/>
        <v>476.28000000000003</v>
      </c>
      <c r="AF20" s="24"/>
      <c r="AG20" s="27"/>
    </row>
    <row r="21" spans="1:41" s="28" customFormat="1" ht="26.25" customHeight="1" x14ac:dyDescent="0.25">
      <c r="A21" s="18">
        <v>46081</v>
      </c>
      <c r="B21" s="19"/>
      <c r="C21" s="20">
        <f t="shared" si="6"/>
        <v>0</v>
      </c>
      <c r="D21" s="19">
        <v>1338</v>
      </c>
      <c r="E21" s="21">
        <f t="shared" si="2"/>
        <v>167.25</v>
      </c>
      <c r="F21" s="19">
        <v>1234</v>
      </c>
      <c r="G21" s="22">
        <f t="shared" si="1"/>
        <v>143.48837209302326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874.59999999999991</v>
      </c>
      <c r="Q21" s="24"/>
      <c r="R21" s="24"/>
      <c r="S21" s="25"/>
      <c r="T21" s="24"/>
      <c r="U21" s="24"/>
      <c r="V21" s="24"/>
      <c r="W21" s="25">
        <v>1212</v>
      </c>
      <c r="X21" s="25"/>
      <c r="Y21" s="24">
        <v>140</v>
      </c>
      <c r="Z21" s="24">
        <v>6</v>
      </c>
      <c r="AA21" s="24">
        <v>619</v>
      </c>
      <c r="AB21" s="24">
        <v>20</v>
      </c>
      <c r="AC21" s="24"/>
      <c r="AD21" s="24"/>
      <c r="AE21" s="26">
        <f t="shared" si="4"/>
        <v>340.20000000000005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10952</v>
      </c>
      <c r="E22" s="33">
        <f t="shared" si="7"/>
        <v>1369</v>
      </c>
      <c r="F22" s="31">
        <f t="shared" si="7"/>
        <v>11799</v>
      </c>
      <c r="G22" s="33">
        <f t="shared" si="7"/>
        <v>1371.9767441860467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7156.7999999999993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66</v>
      </c>
      <c r="W22" s="31">
        <f t="shared" si="7"/>
        <v>10676</v>
      </c>
      <c r="X22" s="31">
        <f t="shared" si="7"/>
        <v>0</v>
      </c>
      <c r="Y22" s="31">
        <f t="shared" si="7"/>
        <v>1236</v>
      </c>
      <c r="Z22" s="31">
        <f t="shared" si="7"/>
        <v>50</v>
      </c>
      <c r="AA22" s="31">
        <f t="shared" si="7"/>
        <v>5153</v>
      </c>
      <c r="AB22" s="31">
        <f t="shared" si="7"/>
        <v>20</v>
      </c>
      <c r="AC22" s="31">
        <f t="shared" si="7"/>
        <v>12</v>
      </c>
      <c r="AD22" s="31">
        <f t="shared" si="7"/>
        <v>0</v>
      </c>
      <c r="AE22" s="33">
        <f t="shared" si="7"/>
        <v>3003.4800000000005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5185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P15" sqref="P15:A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91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91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91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89" t="s">
        <v>5</v>
      </c>
      <c r="Q9" s="197"/>
      <c r="R9" s="194"/>
      <c r="S9" s="194"/>
      <c r="T9" s="194"/>
      <c r="U9" s="195"/>
      <c r="V9" s="168"/>
      <c r="W9" s="168"/>
      <c r="X9" s="89"/>
      <c r="Y9" s="168" t="s">
        <v>5</v>
      </c>
      <c r="Z9" s="168"/>
      <c r="AA9" s="200"/>
      <c r="AB9" s="168"/>
      <c r="AC9" s="168"/>
      <c r="AD9" s="168"/>
      <c r="AE9" s="89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87" t="s">
        <v>16</v>
      </c>
      <c r="Z11" s="87" t="s">
        <v>17</v>
      </c>
      <c r="AA11" s="87" t="s">
        <v>18</v>
      </c>
      <c r="AB11" s="87" t="s">
        <v>18</v>
      </c>
      <c r="AC11" s="87" t="s">
        <v>83</v>
      </c>
      <c r="AD11" s="87" t="s">
        <v>18</v>
      </c>
      <c r="AE11" s="87" t="s">
        <v>19</v>
      </c>
      <c r="AF11" s="87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87">
        <v>2.4</v>
      </c>
      <c r="R12" s="87">
        <v>3.6</v>
      </c>
      <c r="S12" s="87">
        <v>2.4</v>
      </c>
      <c r="T12" s="87">
        <v>3.6</v>
      </c>
      <c r="U12" s="87">
        <v>2.4</v>
      </c>
      <c r="V12" s="87">
        <v>3.6</v>
      </c>
      <c r="W12" s="87">
        <v>2.4</v>
      </c>
      <c r="X12" s="87">
        <v>4.9000000000000004</v>
      </c>
      <c r="Y12" s="87"/>
      <c r="Z12" s="87"/>
      <c r="AA12" s="87">
        <v>5</v>
      </c>
      <c r="AB12" s="87">
        <v>10</v>
      </c>
      <c r="AC12" s="87" t="s">
        <v>84</v>
      </c>
      <c r="AD12" s="87">
        <v>40</v>
      </c>
      <c r="AE12" s="87"/>
      <c r="AF12" s="87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88">
        <v>10128</v>
      </c>
      <c r="Q13" s="88">
        <v>10962</v>
      </c>
      <c r="R13" s="88">
        <v>15427</v>
      </c>
      <c r="S13" s="88">
        <v>16623</v>
      </c>
      <c r="T13" s="88">
        <v>16967</v>
      </c>
      <c r="U13" s="88">
        <v>28230</v>
      </c>
      <c r="V13" s="88">
        <v>10966</v>
      </c>
      <c r="W13" s="88">
        <v>10965</v>
      </c>
      <c r="X13" s="88">
        <v>21809</v>
      </c>
      <c r="Y13" s="88">
        <v>11966</v>
      </c>
      <c r="Z13" s="88">
        <v>11089</v>
      </c>
      <c r="AA13" s="88">
        <v>10960</v>
      </c>
      <c r="AB13" s="88">
        <v>10961</v>
      </c>
      <c r="AC13" s="88">
        <v>33442</v>
      </c>
      <c r="AD13" s="88">
        <v>10959</v>
      </c>
      <c r="AE13" s="88">
        <v>12487</v>
      </c>
      <c r="AF13" s="88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46082</v>
      </c>
      <c r="B15" s="19"/>
      <c r="C15" s="20">
        <f t="shared" ref="C15:C18" si="0">B15/200*25</f>
        <v>0</v>
      </c>
      <c r="D15" s="19">
        <v>800</v>
      </c>
      <c r="E15" s="21">
        <f>D15/200*25</f>
        <v>100</v>
      </c>
      <c r="F15" s="19">
        <v>777</v>
      </c>
      <c r="G15" s="22">
        <f t="shared" ref="G15:G21" si="1">F15/215*25</f>
        <v>90.348837209302317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662.25</v>
      </c>
      <c r="Q15" s="24"/>
      <c r="R15" s="24"/>
      <c r="S15" s="24"/>
      <c r="T15" s="24"/>
      <c r="U15" s="24"/>
      <c r="V15" s="24"/>
      <c r="W15" s="25">
        <v>832</v>
      </c>
      <c r="X15" s="25"/>
      <c r="Y15" s="24">
        <v>118</v>
      </c>
      <c r="Z15" s="24">
        <v>4</v>
      </c>
      <c r="AA15" s="24">
        <v>416</v>
      </c>
      <c r="AB15" s="24"/>
      <c r="AC15" s="24"/>
      <c r="AD15" s="24"/>
      <c r="AE15" s="26">
        <f>Y15*2.43</f>
        <v>286.74</v>
      </c>
      <c r="AF15" s="24"/>
      <c r="AG15" s="27"/>
      <c r="AH15" s="29"/>
    </row>
    <row r="16" spans="1:34" s="28" customFormat="1" ht="26.25" customHeight="1" x14ac:dyDescent="0.25">
      <c r="A16" s="18">
        <v>46083</v>
      </c>
      <c r="B16" s="19"/>
      <c r="C16" s="20">
        <f t="shared" si="0"/>
        <v>0</v>
      </c>
      <c r="D16" s="19">
        <v>1723</v>
      </c>
      <c r="E16" s="21">
        <f t="shared" ref="E16:E21" si="2">D16/200*25</f>
        <v>215.375</v>
      </c>
      <c r="F16" s="19">
        <v>1685</v>
      </c>
      <c r="G16" s="22">
        <f t="shared" si="1"/>
        <v>195.93023255813952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995.2</v>
      </c>
      <c r="Q16" s="24"/>
      <c r="R16" s="24"/>
      <c r="S16" s="25"/>
      <c r="T16" s="24"/>
      <c r="U16" s="24"/>
      <c r="V16" s="24"/>
      <c r="W16" s="25">
        <v>1568</v>
      </c>
      <c r="X16" s="25"/>
      <c r="Y16" s="24">
        <v>186</v>
      </c>
      <c r="Z16" s="24">
        <v>8</v>
      </c>
      <c r="AA16" s="24">
        <v>742</v>
      </c>
      <c r="AB16" s="24"/>
      <c r="AC16" s="24"/>
      <c r="AD16" s="24"/>
      <c r="AE16" s="26">
        <f t="shared" ref="AE16:AE21" si="4">Y16*2.43</f>
        <v>451.98</v>
      </c>
      <c r="AF16" s="24"/>
      <c r="AG16" s="27"/>
      <c r="AH16" s="29"/>
    </row>
    <row r="17" spans="1:41" s="28" customFormat="1" ht="26.25" customHeight="1" x14ac:dyDescent="0.25">
      <c r="A17" s="18">
        <v>46084</v>
      </c>
      <c r="B17" s="19"/>
      <c r="C17" s="20">
        <f t="shared" si="0"/>
        <v>0</v>
      </c>
      <c r="D17" s="19">
        <v>2031</v>
      </c>
      <c r="E17" s="21">
        <f t="shared" si="2"/>
        <v>253.87499999999997</v>
      </c>
      <c r="F17" s="19">
        <v>1595</v>
      </c>
      <c r="G17" s="22">
        <f t="shared" si="1"/>
        <v>185.46511627906978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1145.5999999999999</v>
      </c>
      <c r="Q17" s="24"/>
      <c r="R17" s="24"/>
      <c r="S17" s="24"/>
      <c r="T17" s="24"/>
      <c r="U17" s="24"/>
      <c r="V17" s="24"/>
      <c r="W17" s="25">
        <v>1699</v>
      </c>
      <c r="X17" s="25"/>
      <c r="Y17" s="24">
        <v>205</v>
      </c>
      <c r="Z17" s="24">
        <v>6</v>
      </c>
      <c r="AA17" s="24">
        <v>782</v>
      </c>
      <c r="AB17" s="24"/>
      <c r="AC17" s="24"/>
      <c r="AD17" s="24"/>
      <c r="AE17" s="26">
        <f t="shared" si="4"/>
        <v>498.15000000000003</v>
      </c>
      <c r="AF17" s="24"/>
      <c r="AG17" s="27"/>
    </row>
    <row r="18" spans="1:41" s="28" customFormat="1" ht="26.25" customHeight="1" x14ac:dyDescent="0.25">
      <c r="A18" s="18">
        <v>46085</v>
      </c>
      <c r="B18" s="19"/>
      <c r="C18" s="20">
        <f t="shared" si="0"/>
        <v>0</v>
      </c>
      <c r="D18" s="19">
        <v>1932</v>
      </c>
      <c r="E18" s="21">
        <f t="shared" si="2"/>
        <v>241.5</v>
      </c>
      <c r="F18" s="19">
        <v>1943</v>
      </c>
      <c r="G18" s="22">
        <f t="shared" si="1"/>
        <v>225.93023255813955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1145</v>
      </c>
      <c r="Q18" s="24"/>
      <c r="R18" s="24"/>
      <c r="S18" s="24"/>
      <c r="T18" s="24"/>
      <c r="U18" s="24"/>
      <c r="V18" s="12"/>
      <c r="W18" s="25">
        <v>1829</v>
      </c>
      <c r="X18" s="25"/>
      <c r="Y18" s="24">
        <v>221</v>
      </c>
      <c r="Z18" s="24">
        <v>6</v>
      </c>
      <c r="AA18" s="24">
        <v>841</v>
      </c>
      <c r="AB18" s="24"/>
      <c r="AC18" s="24"/>
      <c r="AD18" s="24"/>
      <c r="AE18" s="26">
        <f t="shared" si="4"/>
        <v>537.03000000000009</v>
      </c>
      <c r="AF18" s="24"/>
      <c r="AG18" s="27"/>
      <c r="AH18" s="29"/>
    </row>
    <row r="19" spans="1:41" s="28" customFormat="1" ht="26.25" customHeight="1" x14ac:dyDescent="0.25">
      <c r="A19" s="18">
        <v>46086</v>
      </c>
      <c r="B19" s="19"/>
      <c r="C19" s="20">
        <f>B19/200*25</f>
        <v>0</v>
      </c>
      <c r="D19" s="19">
        <v>1576</v>
      </c>
      <c r="E19" s="21">
        <f t="shared" si="2"/>
        <v>197</v>
      </c>
      <c r="F19" s="19">
        <v>1695</v>
      </c>
      <c r="G19" s="22">
        <f t="shared" si="1"/>
        <v>197.09302325581396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1152.2</v>
      </c>
      <c r="Q19" s="24"/>
      <c r="R19" s="24"/>
      <c r="S19" s="24"/>
      <c r="T19" s="24"/>
      <c r="U19" s="24"/>
      <c r="V19" s="24"/>
      <c r="W19" s="25">
        <v>1752</v>
      </c>
      <c r="X19" s="25"/>
      <c r="Y19" s="24">
        <v>190</v>
      </c>
      <c r="Z19" s="24">
        <v>4</v>
      </c>
      <c r="AA19" s="24">
        <v>778</v>
      </c>
      <c r="AB19" s="24"/>
      <c r="AC19" s="24"/>
      <c r="AD19" s="24"/>
      <c r="AE19" s="26">
        <f t="shared" si="4"/>
        <v>461.70000000000005</v>
      </c>
      <c r="AF19" s="24"/>
      <c r="AG19" s="27"/>
    </row>
    <row r="20" spans="1:41" s="28" customFormat="1" ht="26.25" customHeight="1" x14ac:dyDescent="0.25">
      <c r="A20" s="18">
        <v>46087</v>
      </c>
      <c r="B20" s="19"/>
      <c r="C20" s="20">
        <f t="shared" ref="C20:C21" si="6">B20/200*25</f>
        <v>0</v>
      </c>
      <c r="D20" s="19">
        <v>2096</v>
      </c>
      <c r="E20" s="21">
        <f t="shared" si="2"/>
        <v>262</v>
      </c>
      <c r="F20" s="19">
        <v>1278</v>
      </c>
      <c r="G20" s="22">
        <f t="shared" si="1"/>
        <v>148.6046511627907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1156</v>
      </c>
      <c r="Q20" s="24"/>
      <c r="R20" s="24"/>
      <c r="S20" s="25"/>
      <c r="T20" s="24"/>
      <c r="U20" s="24"/>
      <c r="V20" s="24"/>
      <c r="W20" s="25">
        <v>1723</v>
      </c>
      <c r="X20" s="25"/>
      <c r="Y20" s="24">
        <v>221</v>
      </c>
      <c r="Z20" s="24"/>
      <c r="AA20" s="24">
        <v>779</v>
      </c>
      <c r="AB20" s="24"/>
      <c r="AC20" s="24"/>
      <c r="AD20" s="24"/>
      <c r="AE20" s="26">
        <f t="shared" si="4"/>
        <v>537.03000000000009</v>
      </c>
      <c r="AF20" s="24"/>
      <c r="AG20" s="27"/>
    </row>
    <row r="21" spans="1:41" s="28" customFormat="1" ht="26.25" customHeight="1" x14ac:dyDescent="0.25">
      <c r="A21" s="18">
        <v>46088</v>
      </c>
      <c r="B21" s="19"/>
      <c r="C21" s="20">
        <f t="shared" si="6"/>
        <v>0</v>
      </c>
      <c r="D21" s="19">
        <v>2170</v>
      </c>
      <c r="E21" s="21">
        <f t="shared" si="2"/>
        <v>271.25</v>
      </c>
      <c r="F21" s="19">
        <v>1361</v>
      </c>
      <c r="G21" s="22">
        <f t="shared" si="1"/>
        <v>158.25581395348837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1208.8</v>
      </c>
      <c r="Q21" s="24"/>
      <c r="R21" s="24"/>
      <c r="S21" s="25"/>
      <c r="T21" s="24"/>
      <c r="U21" s="24"/>
      <c r="V21" s="24"/>
      <c r="W21" s="25">
        <v>1808</v>
      </c>
      <c r="X21" s="25"/>
      <c r="Y21" s="24">
        <v>181</v>
      </c>
      <c r="Z21" s="24">
        <v>4</v>
      </c>
      <c r="AA21" s="24">
        <v>837</v>
      </c>
      <c r="AB21" s="24"/>
      <c r="AC21" s="24"/>
      <c r="AD21" s="24"/>
      <c r="AE21" s="26">
        <f t="shared" si="4"/>
        <v>439.83000000000004</v>
      </c>
      <c r="AF21" s="24"/>
      <c r="AG21" s="27"/>
    </row>
    <row r="22" spans="1:41" ht="33" customHeight="1" thickBot="1" x14ac:dyDescent="0.3">
      <c r="A22" s="30" t="s">
        <v>30</v>
      </c>
      <c r="B22" s="31">
        <f t="shared" ref="B22:AG22" si="7">SUM(B15:B21)</f>
        <v>0</v>
      </c>
      <c r="C22" s="32">
        <f t="shared" si="7"/>
        <v>0</v>
      </c>
      <c r="D22" s="31">
        <f t="shared" si="7"/>
        <v>12328</v>
      </c>
      <c r="E22" s="33">
        <f t="shared" si="7"/>
        <v>1541</v>
      </c>
      <c r="F22" s="31">
        <f t="shared" si="7"/>
        <v>10334</v>
      </c>
      <c r="G22" s="33">
        <f t="shared" si="7"/>
        <v>1201.6279069767443</v>
      </c>
      <c r="H22" s="31">
        <f t="shared" si="7"/>
        <v>0</v>
      </c>
      <c r="I22" s="33">
        <f t="shared" si="7"/>
        <v>0</v>
      </c>
      <c r="J22" s="31">
        <f t="shared" si="7"/>
        <v>0</v>
      </c>
      <c r="K22" s="31">
        <f t="shared" si="7"/>
        <v>0</v>
      </c>
      <c r="L22" s="31">
        <f t="shared" si="7"/>
        <v>0</v>
      </c>
      <c r="M22" s="31">
        <f t="shared" si="7"/>
        <v>0</v>
      </c>
      <c r="N22" s="31">
        <f t="shared" si="7"/>
        <v>0</v>
      </c>
      <c r="O22" s="33">
        <f t="shared" si="7"/>
        <v>0</v>
      </c>
      <c r="P22" s="33">
        <f t="shared" si="7"/>
        <v>7465.05</v>
      </c>
      <c r="Q22" s="31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1">
        <f t="shared" si="7"/>
        <v>0</v>
      </c>
      <c r="W22" s="31">
        <f t="shared" si="7"/>
        <v>11211</v>
      </c>
      <c r="X22" s="31">
        <f t="shared" si="7"/>
        <v>0</v>
      </c>
      <c r="Y22" s="31">
        <f t="shared" si="7"/>
        <v>1322</v>
      </c>
      <c r="Z22" s="31">
        <f t="shared" si="7"/>
        <v>32</v>
      </c>
      <c r="AA22" s="31">
        <f t="shared" si="7"/>
        <v>5175</v>
      </c>
      <c r="AB22" s="31">
        <f t="shared" si="7"/>
        <v>0</v>
      </c>
      <c r="AC22" s="31">
        <f t="shared" si="7"/>
        <v>0</v>
      </c>
      <c r="AD22" s="31">
        <f t="shared" si="7"/>
        <v>0</v>
      </c>
      <c r="AE22" s="33">
        <f t="shared" si="7"/>
        <v>3212.4600000000005</v>
      </c>
      <c r="AF22" s="33">
        <f t="shared" si="7"/>
        <v>0</v>
      </c>
      <c r="AG22" s="33">
        <f t="shared" si="7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5175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P15" sqref="P15:AA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96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96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96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94" t="s">
        <v>5</v>
      </c>
      <c r="Q9" s="197"/>
      <c r="R9" s="194"/>
      <c r="S9" s="194"/>
      <c r="T9" s="194"/>
      <c r="U9" s="195"/>
      <c r="V9" s="168"/>
      <c r="W9" s="168"/>
      <c r="X9" s="94"/>
      <c r="Y9" s="168" t="s">
        <v>5</v>
      </c>
      <c r="Z9" s="168"/>
      <c r="AA9" s="200"/>
      <c r="AB9" s="168"/>
      <c r="AC9" s="168"/>
      <c r="AD9" s="168"/>
      <c r="AE9" s="94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92" t="s">
        <v>16</v>
      </c>
      <c r="Z11" s="92" t="s">
        <v>17</v>
      </c>
      <c r="AA11" s="92" t="s">
        <v>18</v>
      </c>
      <c r="AB11" s="92" t="s">
        <v>18</v>
      </c>
      <c r="AC11" s="92" t="s">
        <v>83</v>
      </c>
      <c r="AD11" s="92" t="s">
        <v>18</v>
      </c>
      <c r="AE11" s="92" t="s">
        <v>19</v>
      </c>
      <c r="AF11" s="92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92">
        <v>2.4</v>
      </c>
      <c r="R12" s="92">
        <v>3.6</v>
      </c>
      <c r="S12" s="92">
        <v>2.4</v>
      </c>
      <c r="T12" s="92">
        <v>3.6</v>
      </c>
      <c r="U12" s="92">
        <v>2.4</v>
      </c>
      <c r="V12" s="92">
        <v>3.6</v>
      </c>
      <c r="W12" s="92">
        <v>2.4</v>
      </c>
      <c r="X12" s="92">
        <v>4.9000000000000004</v>
      </c>
      <c r="Y12" s="92"/>
      <c r="Z12" s="92"/>
      <c r="AA12" s="92">
        <v>5</v>
      </c>
      <c r="AB12" s="92">
        <v>10</v>
      </c>
      <c r="AC12" s="92" t="s">
        <v>84</v>
      </c>
      <c r="AD12" s="92">
        <v>40</v>
      </c>
      <c r="AE12" s="92"/>
      <c r="AF12" s="92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93">
        <v>10128</v>
      </c>
      <c r="Q13" s="93">
        <v>10962</v>
      </c>
      <c r="R13" s="93">
        <v>15427</v>
      </c>
      <c r="S13" s="93">
        <v>16623</v>
      </c>
      <c r="T13" s="93">
        <v>16967</v>
      </c>
      <c r="U13" s="93">
        <v>28230</v>
      </c>
      <c r="V13" s="93">
        <v>10966</v>
      </c>
      <c r="W13" s="93">
        <v>10965</v>
      </c>
      <c r="X13" s="93">
        <v>21809</v>
      </c>
      <c r="Y13" s="93">
        <v>11966</v>
      </c>
      <c r="Z13" s="93">
        <v>11089</v>
      </c>
      <c r="AA13" s="93">
        <v>10960</v>
      </c>
      <c r="AB13" s="93">
        <v>10961</v>
      </c>
      <c r="AC13" s="93">
        <v>33442</v>
      </c>
      <c r="AD13" s="93">
        <v>10959</v>
      </c>
      <c r="AE13" s="93">
        <v>12487</v>
      </c>
      <c r="AF13" s="9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46089</v>
      </c>
      <c r="B15" s="19"/>
      <c r="C15" s="20">
        <f t="shared" ref="C15:C18" si="0">B15/200*25</f>
        <v>0</v>
      </c>
      <c r="D15" s="19">
        <v>2032</v>
      </c>
      <c r="E15" s="21">
        <f>D15/200*25</f>
        <v>254</v>
      </c>
      <c r="F15" s="19">
        <v>992</v>
      </c>
      <c r="G15" s="22">
        <f t="shared" ref="G15:G21" si="1">F15/215*25</f>
        <v>115.34883720930233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901.6</v>
      </c>
      <c r="Q15" s="24"/>
      <c r="R15" s="24"/>
      <c r="S15" s="24"/>
      <c r="T15" s="24"/>
      <c r="U15" s="24"/>
      <c r="V15" s="24"/>
      <c r="W15" s="25">
        <v>1421</v>
      </c>
      <c r="X15" s="25"/>
      <c r="Y15" s="24">
        <v>157</v>
      </c>
      <c r="Z15" s="24">
        <v>2</v>
      </c>
      <c r="AA15" s="24">
        <v>625</v>
      </c>
      <c r="AB15" s="24"/>
      <c r="AC15" s="24"/>
      <c r="AD15" s="24"/>
      <c r="AE15" s="26">
        <f>Y15*2.43</f>
        <v>381.51000000000005</v>
      </c>
      <c r="AF15" s="24"/>
      <c r="AG15" s="27"/>
      <c r="AH15" s="29"/>
    </row>
    <row r="16" spans="1:34" s="28" customFormat="1" ht="26.25" customHeight="1" x14ac:dyDescent="0.25">
      <c r="A16" s="18">
        <v>46090</v>
      </c>
      <c r="B16" s="19"/>
      <c r="C16" s="20">
        <f t="shared" si="0"/>
        <v>0</v>
      </c>
      <c r="D16" s="19">
        <v>1631</v>
      </c>
      <c r="E16" s="21">
        <f t="shared" ref="E16:E20" si="2">D16/200*25</f>
        <v>203.87499999999997</v>
      </c>
      <c r="F16" s="19">
        <v>1043</v>
      </c>
      <c r="G16" s="22">
        <f t="shared" si="1"/>
        <v>121.27906976744185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1022.3999999999999</v>
      </c>
      <c r="Q16" s="24"/>
      <c r="R16" s="24"/>
      <c r="S16" s="25"/>
      <c r="T16" s="24"/>
      <c r="U16" s="24"/>
      <c r="V16" s="24"/>
      <c r="W16" s="25">
        <v>1505</v>
      </c>
      <c r="X16" s="25"/>
      <c r="Y16" s="24">
        <v>170</v>
      </c>
      <c r="Z16" s="24">
        <v>4</v>
      </c>
      <c r="AA16" s="24">
        <v>675</v>
      </c>
      <c r="AB16" s="24"/>
      <c r="AC16" s="24"/>
      <c r="AD16" s="24"/>
      <c r="AE16" s="26">
        <f t="shared" ref="AE16:AE20" si="4">Y16*2.43</f>
        <v>413.1</v>
      </c>
      <c r="AF16" s="24"/>
      <c r="AG16" s="27"/>
      <c r="AH16" s="29"/>
    </row>
    <row r="17" spans="1:41" s="28" customFormat="1" ht="26.25" customHeight="1" x14ac:dyDescent="0.25">
      <c r="A17" s="18">
        <v>46091</v>
      </c>
      <c r="B17" s="19"/>
      <c r="C17" s="20">
        <f t="shared" si="0"/>
        <v>0</v>
      </c>
      <c r="D17" s="19">
        <v>1476</v>
      </c>
      <c r="E17" s="21">
        <f t="shared" si="2"/>
        <v>184.5</v>
      </c>
      <c r="F17" s="19">
        <v>1375</v>
      </c>
      <c r="G17" s="22">
        <f t="shared" si="1"/>
        <v>159.88372093023256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1042.4000000000001</v>
      </c>
      <c r="Q17" s="24"/>
      <c r="R17" s="24"/>
      <c r="S17" s="24"/>
      <c r="T17" s="24"/>
      <c r="U17" s="24"/>
      <c r="V17" s="24"/>
      <c r="W17" s="25">
        <v>1484</v>
      </c>
      <c r="X17" s="25"/>
      <c r="Y17" s="24">
        <v>194</v>
      </c>
      <c r="Z17" s="24">
        <v>4</v>
      </c>
      <c r="AA17" s="24">
        <v>701</v>
      </c>
      <c r="AB17" s="24"/>
      <c r="AC17" s="24"/>
      <c r="AD17" s="24"/>
      <c r="AE17" s="26">
        <f t="shared" si="4"/>
        <v>471.42</v>
      </c>
      <c r="AF17" s="24"/>
      <c r="AG17" s="27"/>
    </row>
    <row r="18" spans="1:41" s="28" customFormat="1" ht="26.25" customHeight="1" x14ac:dyDescent="0.25">
      <c r="A18" s="18">
        <v>46092</v>
      </c>
      <c r="B18" s="19"/>
      <c r="C18" s="20">
        <f t="shared" si="0"/>
        <v>0</v>
      </c>
      <c r="D18" s="19">
        <v>2531</v>
      </c>
      <c r="E18" s="21">
        <f t="shared" si="2"/>
        <v>316.375</v>
      </c>
      <c r="F18" s="19">
        <v>1517</v>
      </c>
      <c r="G18" s="22">
        <f t="shared" si="1"/>
        <v>176.3953488372093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1291.5999999999999</v>
      </c>
      <c r="Q18" s="24"/>
      <c r="R18" s="24"/>
      <c r="S18" s="24"/>
      <c r="T18" s="24"/>
      <c r="U18" s="24"/>
      <c r="V18" s="12"/>
      <c r="W18" s="25">
        <v>2026</v>
      </c>
      <c r="X18" s="25"/>
      <c r="Y18" s="24">
        <v>195</v>
      </c>
      <c r="Z18" s="24">
        <v>6</v>
      </c>
      <c r="AA18" s="24">
        <v>859</v>
      </c>
      <c r="AB18" s="24"/>
      <c r="AC18" s="24"/>
      <c r="AD18" s="24"/>
      <c r="AE18" s="26">
        <f t="shared" si="4"/>
        <v>473.85</v>
      </c>
      <c r="AF18" s="24"/>
      <c r="AG18" s="27"/>
      <c r="AH18" s="29"/>
    </row>
    <row r="19" spans="1:41" s="28" customFormat="1" ht="26.25" customHeight="1" x14ac:dyDescent="0.25">
      <c r="A19" s="18">
        <v>46093</v>
      </c>
      <c r="B19" s="19"/>
      <c r="C19" s="20">
        <f>B19/200*25</f>
        <v>0</v>
      </c>
      <c r="D19" s="19">
        <v>2379</v>
      </c>
      <c r="E19" s="21">
        <f t="shared" si="2"/>
        <v>297.375</v>
      </c>
      <c r="F19" s="19">
        <v>1776</v>
      </c>
      <c r="G19" s="22">
        <f t="shared" si="1"/>
        <v>206.51162790697674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1401.32</v>
      </c>
      <c r="Q19" s="24"/>
      <c r="R19" s="24"/>
      <c r="S19" s="24"/>
      <c r="T19" s="24"/>
      <c r="U19" s="24"/>
      <c r="V19" s="24"/>
      <c r="W19" s="25">
        <v>2104</v>
      </c>
      <c r="X19" s="25"/>
      <c r="Y19" s="24">
        <v>231</v>
      </c>
      <c r="Z19" s="24">
        <v>4</v>
      </c>
      <c r="AA19" s="24">
        <v>983</v>
      </c>
      <c r="AB19" s="24"/>
      <c r="AC19" s="24"/>
      <c r="AD19" s="24"/>
      <c r="AE19" s="26">
        <f t="shared" si="4"/>
        <v>561.33000000000004</v>
      </c>
      <c r="AF19" s="24"/>
      <c r="AG19" s="27"/>
    </row>
    <row r="20" spans="1:41" s="28" customFormat="1" ht="26.25" customHeight="1" x14ac:dyDescent="0.25">
      <c r="A20" s="18">
        <v>46094</v>
      </c>
      <c r="B20" s="19"/>
      <c r="C20" s="20">
        <f t="shared" ref="C20:C21" si="6">B20/200*25</f>
        <v>0</v>
      </c>
      <c r="D20" s="19">
        <v>2091</v>
      </c>
      <c r="E20" s="21">
        <f t="shared" si="2"/>
        <v>261.375</v>
      </c>
      <c r="F20" s="19">
        <v>1755</v>
      </c>
      <c r="G20" s="22">
        <f t="shared" si="1"/>
        <v>204.06976744186048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1164.2</v>
      </c>
      <c r="Q20" s="24"/>
      <c r="R20" s="24"/>
      <c r="S20" s="25"/>
      <c r="T20" s="24"/>
      <c r="U20" s="24"/>
      <c r="V20" s="24"/>
      <c r="W20" s="25">
        <v>1802</v>
      </c>
      <c r="X20" s="25"/>
      <c r="Y20" s="24">
        <v>189</v>
      </c>
      <c r="Z20" s="24">
        <v>2</v>
      </c>
      <c r="AA20" s="24">
        <v>886</v>
      </c>
      <c r="AB20" s="24"/>
      <c r="AC20" s="24"/>
      <c r="AD20" s="24"/>
      <c r="AE20" s="26">
        <f t="shared" si="4"/>
        <v>459.27000000000004</v>
      </c>
      <c r="AF20" s="24"/>
      <c r="AG20" s="27"/>
    </row>
    <row r="21" spans="1:41" s="28" customFormat="1" ht="26.25" customHeight="1" x14ac:dyDescent="0.25">
      <c r="A21" s="18">
        <v>46095</v>
      </c>
      <c r="B21" s="19">
        <v>1470</v>
      </c>
      <c r="C21" s="21">
        <f t="shared" si="6"/>
        <v>183.75</v>
      </c>
      <c r="D21" s="19">
        <v>1470</v>
      </c>
      <c r="E21" s="21">
        <f t="shared" ref="E21" si="7">D21/208*25</f>
        <v>176.68269230769232</v>
      </c>
      <c r="F21" s="19">
        <v>1750</v>
      </c>
      <c r="G21" s="21">
        <f t="shared" si="1"/>
        <v>203.48837209302326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912.29999999999984</v>
      </c>
      <c r="Q21" s="24"/>
      <c r="R21" s="24"/>
      <c r="S21" s="25"/>
      <c r="T21" s="25"/>
      <c r="U21" s="24"/>
      <c r="V21" s="24"/>
      <c r="W21" s="25">
        <v>1467</v>
      </c>
      <c r="X21" s="25"/>
      <c r="Y21" s="24">
        <v>180</v>
      </c>
      <c r="Z21" s="24">
        <v>4</v>
      </c>
      <c r="AA21" s="24">
        <v>677</v>
      </c>
      <c r="AB21" s="24"/>
      <c r="AC21" s="24"/>
      <c r="AD21" s="24"/>
      <c r="AE21" s="26">
        <f>Y21*2.43</f>
        <v>437.40000000000003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8">SUM(B15:B21)</f>
        <v>1470</v>
      </c>
      <c r="C22" s="32">
        <f t="shared" si="8"/>
        <v>183.75</v>
      </c>
      <c r="D22" s="31">
        <f t="shared" si="8"/>
        <v>13610</v>
      </c>
      <c r="E22" s="33">
        <f t="shared" si="8"/>
        <v>1694.1826923076924</v>
      </c>
      <c r="F22" s="31">
        <f t="shared" si="8"/>
        <v>10208</v>
      </c>
      <c r="G22" s="33">
        <f t="shared" si="8"/>
        <v>1186.9767441860465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7735.82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0</v>
      </c>
      <c r="W22" s="31">
        <f t="shared" si="8"/>
        <v>11809</v>
      </c>
      <c r="X22" s="31">
        <f t="shared" si="8"/>
        <v>0</v>
      </c>
      <c r="Y22" s="31">
        <f t="shared" si="8"/>
        <v>1316</v>
      </c>
      <c r="Z22" s="31">
        <f t="shared" si="8"/>
        <v>26</v>
      </c>
      <c r="AA22" s="31">
        <f t="shared" si="8"/>
        <v>5406</v>
      </c>
      <c r="AB22" s="31">
        <f t="shared" si="8"/>
        <v>0</v>
      </c>
      <c r="AC22" s="31">
        <f t="shared" si="8"/>
        <v>0</v>
      </c>
      <c r="AD22" s="31">
        <f t="shared" si="8"/>
        <v>0</v>
      </c>
      <c r="AE22" s="33">
        <f t="shared" si="8"/>
        <v>3197.88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5406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AF20" sqref="AF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176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01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01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01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99" t="s">
        <v>5</v>
      </c>
      <c r="Q9" s="197"/>
      <c r="R9" s="194"/>
      <c r="S9" s="194"/>
      <c r="T9" s="194"/>
      <c r="U9" s="195"/>
      <c r="V9" s="168"/>
      <c r="W9" s="168"/>
      <c r="X9" s="99"/>
      <c r="Y9" s="168" t="s">
        <v>5</v>
      </c>
      <c r="Z9" s="168"/>
      <c r="AA9" s="200"/>
      <c r="AB9" s="168"/>
      <c r="AC9" s="168"/>
      <c r="AD9" s="168"/>
      <c r="AE9" s="99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97" t="s">
        <v>16</v>
      </c>
      <c r="Z11" s="97" t="s">
        <v>17</v>
      </c>
      <c r="AA11" s="97" t="s">
        <v>18</v>
      </c>
      <c r="AB11" s="97" t="s">
        <v>18</v>
      </c>
      <c r="AC11" s="97" t="s">
        <v>83</v>
      </c>
      <c r="AD11" s="97" t="s">
        <v>18</v>
      </c>
      <c r="AE11" s="97" t="s">
        <v>19</v>
      </c>
      <c r="AF11" s="97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97">
        <v>2.4</v>
      </c>
      <c r="R12" s="97">
        <v>3.6</v>
      </c>
      <c r="S12" s="97">
        <v>2.4</v>
      </c>
      <c r="T12" s="97">
        <v>3.6</v>
      </c>
      <c r="U12" s="97">
        <v>2.4</v>
      </c>
      <c r="V12" s="97">
        <v>3.6</v>
      </c>
      <c r="W12" s="97">
        <v>2.4</v>
      </c>
      <c r="X12" s="97">
        <v>4.9000000000000004</v>
      </c>
      <c r="Y12" s="97"/>
      <c r="Z12" s="97"/>
      <c r="AA12" s="97">
        <v>5</v>
      </c>
      <c r="AB12" s="97">
        <v>10</v>
      </c>
      <c r="AC12" s="97" t="s">
        <v>84</v>
      </c>
      <c r="AD12" s="97">
        <v>40</v>
      </c>
      <c r="AE12" s="97"/>
      <c r="AF12" s="97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98">
        <v>10128</v>
      </c>
      <c r="Q13" s="98">
        <v>10962</v>
      </c>
      <c r="R13" s="98">
        <v>15427</v>
      </c>
      <c r="S13" s="98">
        <v>16623</v>
      </c>
      <c r="T13" s="98">
        <v>16967</v>
      </c>
      <c r="U13" s="98">
        <v>28230</v>
      </c>
      <c r="V13" s="98">
        <v>10966</v>
      </c>
      <c r="W13" s="98">
        <v>10965</v>
      </c>
      <c r="X13" s="98">
        <v>21809</v>
      </c>
      <c r="Y13" s="98">
        <v>11966</v>
      </c>
      <c r="Z13" s="98">
        <v>11089</v>
      </c>
      <c r="AA13" s="98">
        <v>10960</v>
      </c>
      <c r="AB13" s="98">
        <v>10961</v>
      </c>
      <c r="AC13" s="98">
        <v>33442</v>
      </c>
      <c r="AD13" s="98">
        <v>10959</v>
      </c>
      <c r="AE13" s="98">
        <v>12487</v>
      </c>
      <c r="AF13" s="98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46096</v>
      </c>
      <c r="B15" s="19">
        <v>1037</v>
      </c>
      <c r="C15" s="21">
        <f t="shared" ref="C15" si="0">B15/200*25</f>
        <v>129.625</v>
      </c>
      <c r="D15" s="19">
        <v>1037</v>
      </c>
      <c r="E15" s="21">
        <f t="shared" ref="E15" si="1">D15/208*25</f>
        <v>124.63942307692308</v>
      </c>
      <c r="F15" s="19">
        <v>819</v>
      </c>
      <c r="G15" s="21">
        <f t="shared" ref="G15" si="2">F15/215*25</f>
        <v>95.232558139534888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737.8</v>
      </c>
      <c r="Q15" s="24"/>
      <c r="R15" s="24"/>
      <c r="S15" s="24"/>
      <c r="T15" s="24"/>
      <c r="U15" s="24"/>
      <c r="V15" s="24"/>
      <c r="W15" s="25">
        <v>1030</v>
      </c>
      <c r="X15" s="25"/>
      <c r="Y15" s="24">
        <v>133</v>
      </c>
      <c r="Z15" s="24">
        <v>4</v>
      </c>
      <c r="AA15" s="24">
        <v>509</v>
      </c>
      <c r="AB15" s="24"/>
      <c r="AC15" s="24"/>
      <c r="AD15" s="24"/>
      <c r="AE15" s="26">
        <f>Y15*2.43</f>
        <v>323.19</v>
      </c>
      <c r="AF15" s="24"/>
      <c r="AG15" s="27"/>
      <c r="AH15" s="86"/>
    </row>
    <row r="16" spans="1:34" s="28" customFormat="1" ht="26.25" customHeight="1" x14ac:dyDescent="0.25">
      <c r="A16" s="18">
        <v>46097</v>
      </c>
      <c r="B16" s="19"/>
      <c r="C16" s="20">
        <f t="shared" ref="C16:C18" si="3">B16/200*25</f>
        <v>0</v>
      </c>
      <c r="D16" s="19">
        <v>1641</v>
      </c>
      <c r="E16" s="21">
        <f t="shared" ref="E16:E20" si="4">D16/200*25</f>
        <v>205.125</v>
      </c>
      <c r="F16" s="19">
        <v>1609</v>
      </c>
      <c r="G16" s="22">
        <f t="shared" ref="G16:G21" si="5">F16/215*25</f>
        <v>187.09302325581396</v>
      </c>
      <c r="H16" s="19"/>
      <c r="I16" s="23">
        <f t="shared" ref="I16:I19" si="6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1125.5999999999999</v>
      </c>
      <c r="Q16" s="24"/>
      <c r="R16" s="24"/>
      <c r="S16" s="25"/>
      <c r="T16" s="24"/>
      <c r="U16" s="24"/>
      <c r="V16" s="24"/>
      <c r="W16" s="25">
        <v>1672</v>
      </c>
      <c r="X16" s="25"/>
      <c r="Y16" s="24">
        <v>190</v>
      </c>
      <c r="Z16" s="24">
        <v>6</v>
      </c>
      <c r="AA16" s="24">
        <v>800</v>
      </c>
      <c r="AB16" s="24"/>
      <c r="AC16" s="24"/>
      <c r="AD16" s="24"/>
      <c r="AE16" s="26">
        <f t="shared" ref="AE16:AE20" si="7">Y16*2.43</f>
        <v>461.70000000000005</v>
      </c>
      <c r="AF16" s="24"/>
      <c r="AG16" s="27"/>
      <c r="AH16" s="29"/>
    </row>
    <row r="17" spans="1:41" s="28" customFormat="1" ht="26.25" customHeight="1" x14ac:dyDescent="0.25">
      <c r="A17" s="18">
        <v>46098</v>
      </c>
      <c r="B17" s="19"/>
      <c r="C17" s="20">
        <f t="shared" si="3"/>
        <v>0</v>
      </c>
      <c r="D17" s="19">
        <v>2088</v>
      </c>
      <c r="E17" s="21">
        <f t="shared" si="4"/>
        <v>261</v>
      </c>
      <c r="F17" s="19">
        <v>1357</v>
      </c>
      <c r="G17" s="22">
        <f t="shared" si="5"/>
        <v>157.7906976744186</v>
      </c>
      <c r="H17" s="19"/>
      <c r="I17" s="23">
        <f t="shared" si="6"/>
        <v>0</v>
      </c>
      <c r="J17" s="19"/>
      <c r="K17" s="19"/>
      <c r="L17" s="19"/>
      <c r="M17" s="19"/>
      <c r="N17" s="19"/>
      <c r="O17" s="23">
        <f t="shared" ref="O17:O19" si="8">N17/38*25</f>
        <v>0</v>
      </c>
      <c r="P17" s="23">
        <v>1197.2</v>
      </c>
      <c r="Q17" s="24"/>
      <c r="R17" s="24"/>
      <c r="S17" s="24"/>
      <c r="T17" s="24"/>
      <c r="U17" s="24"/>
      <c r="V17" s="24"/>
      <c r="W17" s="25">
        <v>1757</v>
      </c>
      <c r="X17" s="25"/>
      <c r="Y17" s="24">
        <v>207</v>
      </c>
      <c r="Z17" s="24">
        <v>4</v>
      </c>
      <c r="AA17" s="24">
        <v>857</v>
      </c>
      <c r="AB17" s="24"/>
      <c r="AC17" s="24"/>
      <c r="AD17" s="24"/>
      <c r="AE17" s="26">
        <f t="shared" si="7"/>
        <v>503.01000000000005</v>
      </c>
      <c r="AF17" s="24">
        <v>60</v>
      </c>
      <c r="AG17" s="27"/>
    </row>
    <row r="18" spans="1:41" s="28" customFormat="1" ht="26.25" customHeight="1" x14ac:dyDescent="0.25">
      <c r="A18" s="18">
        <v>46099</v>
      </c>
      <c r="B18" s="19"/>
      <c r="C18" s="20">
        <f t="shared" si="3"/>
        <v>0</v>
      </c>
      <c r="D18" s="19">
        <v>1889</v>
      </c>
      <c r="E18" s="21">
        <f t="shared" si="4"/>
        <v>236.125</v>
      </c>
      <c r="F18" s="19">
        <v>1567</v>
      </c>
      <c r="G18" s="22">
        <f t="shared" si="5"/>
        <v>182.2093023255814</v>
      </c>
      <c r="H18" s="19"/>
      <c r="I18" s="23">
        <f t="shared" si="6"/>
        <v>0</v>
      </c>
      <c r="J18" s="19"/>
      <c r="K18" s="19"/>
      <c r="L18" s="19"/>
      <c r="M18" s="19"/>
      <c r="N18" s="19"/>
      <c r="O18" s="23">
        <f t="shared" si="8"/>
        <v>0</v>
      </c>
      <c r="P18" s="23">
        <v>3161.2000000000003</v>
      </c>
      <c r="Q18" s="24"/>
      <c r="R18" s="24"/>
      <c r="S18" s="24"/>
      <c r="T18" s="24"/>
      <c r="U18" s="24"/>
      <c r="V18" s="12"/>
      <c r="W18" s="25">
        <v>1709</v>
      </c>
      <c r="X18" s="25"/>
      <c r="Y18" s="24">
        <v>189</v>
      </c>
      <c r="Z18" s="24">
        <v>4</v>
      </c>
      <c r="AA18" s="24">
        <v>871</v>
      </c>
      <c r="AB18" s="24"/>
      <c r="AC18" s="24"/>
      <c r="AD18" s="24"/>
      <c r="AE18" s="26">
        <f t="shared" si="7"/>
        <v>459.27000000000004</v>
      </c>
      <c r="AF18" s="24"/>
      <c r="AG18" s="27"/>
      <c r="AH18" s="29"/>
    </row>
    <row r="19" spans="1:41" s="28" customFormat="1" ht="26.25" customHeight="1" x14ac:dyDescent="0.25">
      <c r="A19" s="18">
        <v>46100</v>
      </c>
      <c r="B19" s="19"/>
      <c r="C19" s="20">
        <f>B19/200*25</f>
        <v>0</v>
      </c>
      <c r="D19" s="19">
        <v>1696</v>
      </c>
      <c r="E19" s="21">
        <f t="shared" si="4"/>
        <v>212</v>
      </c>
      <c r="F19" s="19">
        <v>1163</v>
      </c>
      <c r="G19" s="22">
        <f t="shared" si="5"/>
        <v>135.23255813953489</v>
      </c>
      <c r="H19" s="19"/>
      <c r="I19" s="23">
        <f t="shared" si="6"/>
        <v>0</v>
      </c>
      <c r="J19" s="19"/>
      <c r="K19" s="19"/>
      <c r="L19" s="19"/>
      <c r="M19" s="19"/>
      <c r="N19" s="19"/>
      <c r="O19" s="23">
        <f t="shared" si="8"/>
        <v>0</v>
      </c>
      <c r="P19" s="23">
        <v>1129.8000000000002</v>
      </c>
      <c r="Q19" s="24"/>
      <c r="R19" s="24"/>
      <c r="S19" s="24"/>
      <c r="T19" s="24"/>
      <c r="U19" s="24"/>
      <c r="V19" s="24"/>
      <c r="W19" s="25">
        <v>1616</v>
      </c>
      <c r="X19" s="25"/>
      <c r="Y19" s="24">
        <v>197</v>
      </c>
      <c r="Z19" s="24">
        <v>2</v>
      </c>
      <c r="AA19" s="24">
        <v>775</v>
      </c>
      <c r="AB19" s="24"/>
      <c r="AC19" s="24"/>
      <c r="AD19" s="24"/>
      <c r="AE19" s="26">
        <f t="shared" si="7"/>
        <v>478.71000000000004</v>
      </c>
      <c r="AF19" s="24"/>
      <c r="AG19" s="27"/>
    </row>
    <row r="20" spans="1:41" s="28" customFormat="1" ht="26.25" customHeight="1" x14ac:dyDescent="0.25">
      <c r="A20" s="18">
        <v>46101</v>
      </c>
      <c r="B20" s="19"/>
      <c r="C20" s="20">
        <f t="shared" ref="C20:C21" si="9">B20/200*25</f>
        <v>0</v>
      </c>
      <c r="D20" s="19">
        <v>1578</v>
      </c>
      <c r="E20" s="21">
        <f t="shared" si="4"/>
        <v>197.25</v>
      </c>
      <c r="F20" s="19">
        <v>1685</v>
      </c>
      <c r="G20" s="22">
        <f t="shared" si="5"/>
        <v>195.93023255813952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1161</v>
      </c>
      <c r="Q20" s="24"/>
      <c r="R20" s="24"/>
      <c r="S20" s="25"/>
      <c r="T20" s="24"/>
      <c r="U20" s="24"/>
      <c r="V20" s="24"/>
      <c r="W20" s="25">
        <v>1687</v>
      </c>
      <c r="X20" s="25"/>
      <c r="Y20" s="24">
        <v>188</v>
      </c>
      <c r="Z20" s="24">
        <v>12</v>
      </c>
      <c r="AA20" s="24">
        <v>860</v>
      </c>
      <c r="AB20" s="24"/>
      <c r="AC20" s="24"/>
      <c r="AD20" s="24"/>
      <c r="AE20" s="26">
        <f t="shared" si="7"/>
        <v>456.84000000000003</v>
      </c>
      <c r="AF20" s="24">
        <v>30</v>
      </c>
      <c r="AG20" s="27"/>
    </row>
    <row r="21" spans="1:41" s="28" customFormat="1" ht="26.25" customHeight="1" x14ac:dyDescent="0.25">
      <c r="A21" s="18">
        <v>46102</v>
      </c>
      <c r="B21" s="19">
        <v>1470</v>
      </c>
      <c r="C21" s="21">
        <f t="shared" si="9"/>
        <v>183.75</v>
      </c>
      <c r="D21" s="19">
        <v>1947</v>
      </c>
      <c r="E21" s="21">
        <f t="shared" ref="E21" si="10">D21/208*25</f>
        <v>234.01442307692309</v>
      </c>
      <c r="F21" s="19">
        <v>1193</v>
      </c>
      <c r="G21" s="21">
        <f t="shared" si="5"/>
        <v>138.72093023255815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1201.4000000000001</v>
      </c>
      <c r="Q21" s="24"/>
      <c r="R21" s="24"/>
      <c r="S21" s="25"/>
      <c r="T21" s="25"/>
      <c r="U21" s="24"/>
      <c r="V21" s="24"/>
      <c r="W21" s="25">
        <v>1659</v>
      </c>
      <c r="X21" s="25"/>
      <c r="Y21" s="24">
        <v>206</v>
      </c>
      <c r="Z21" s="24">
        <v>4</v>
      </c>
      <c r="AA21" s="24">
        <v>855</v>
      </c>
      <c r="AB21" s="24"/>
      <c r="AC21" s="24"/>
      <c r="AD21" s="24"/>
      <c r="AE21" s="26">
        <f>Y21*2.43</f>
        <v>500.58000000000004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11">SUM(B15:B21)</f>
        <v>2507</v>
      </c>
      <c r="C22" s="32">
        <f t="shared" si="11"/>
        <v>313.375</v>
      </c>
      <c r="D22" s="31">
        <f t="shared" si="11"/>
        <v>11876</v>
      </c>
      <c r="E22" s="33">
        <f t="shared" si="11"/>
        <v>1470.1538461538462</v>
      </c>
      <c r="F22" s="31">
        <f t="shared" si="11"/>
        <v>9393</v>
      </c>
      <c r="G22" s="33">
        <f t="shared" si="11"/>
        <v>1092.2093023255816</v>
      </c>
      <c r="H22" s="31">
        <f t="shared" si="11"/>
        <v>0</v>
      </c>
      <c r="I22" s="33">
        <f t="shared" si="11"/>
        <v>0</v>
      </c>
      <c r="J22" s="31">
        <f t="shared" si="11"/>
        <v>0</v>
      </c>
      <c r="K22" s="31">
        <f t="shared" si="11"/>
        <v>0</v>
      </c>
      <c r="L22" s="31">
        <f t="shared" si="11"/>
        <v>0</v>
      </c>
      <c r="M22" s="31">
        <f t="shared" si="11"/>
        <v>0</v>
      </c>
      <c r="N22" s="31">
        <f t="shared" si="11"/>
        <v>0</v>
      </c>
      <c r="O22" s="33">
        <f t="shared" si="11"/>
        <v>0</v>
      </c>
      <c r="P22" s="33">
        <f t="shared" si="11"/>
        <v>9714</v>
      </c>
      <c r="Q22" s="31">
        <f t="shared" si="11"/>
        <v>0</v>
      </c>
      <c r="R22" s="31">
        <f t="shared" si="11"/>
        <v>0</v>
      </c>
      <c r="S22" s="31">
        <f t="shared" si="11"/>
        <v>0</v>
      </c>
      <c r="T22" s="31">
        <f t="shared" si="11"/>
        <v>0</v>
      </c>
      <c r="U22" s="31">
        <f t="shared" si="11"/>
        <v>0</v>
      </c>
      <c r="V22" s="31">
        <f t="shared" si="11"/>
        <v>0</v>
      </c>
      <c r="W22" s="31">
        <f t="shared" si="11"/>
        <v>11130</v>
      </c>
      <c r="X22" s="31">
        <f t="shared" si="11"/>
        <v>0</v>
      </c>
      <c r="Y22" s="31">
        <f t="shared" si="11"/>
        <v>1310</v>
      </c>
      <c r="Z22" s="31">
        <f t="shared" si="11"/>
        <v>36</v>
      </c>
      <c r="AA22" s="31">
        <f t="shared" si="11"/>
        <v>5527</v>
      </c>
      <c r="AB22" s="31">
        <f t="shared" si="11"/>
        <v>0</v>
      </c>
      <c r="AC22" s="31">
        <f t="shared" si="11"/>
        <v>0</v>
      </c>
      <c r="AD22" s="31">
        <f t="shared" si="11"/>
        <v>0</v>
      </c>
      <c r="AE22" s="33">
        <f t="shared" si="11"/>
        <v>3183.3</v>
      </c>
      <c r="AF22" s="33">
        <f t="shared" si="11"/>
        <v>90</v>
      </c>
      <c r="AG22" s="33">
        <f t="shared" si="11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5527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G22" sqref="G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03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03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03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04" t="s">
        <v>5</v>
      </c>
      <c r="Q9" s="197"/>
      <c r="R9" s="194"/>
      <c r="S9" s="194"/>
      <c r="T9" s="194"/>
      <c r="U9" s="195"/>
      <c r="V9" s="168"/>
      <c r="W9" s="168"/>
      <c r="X9" s="104"/>
      <c r="Y9" s="168" t="s">
        <v>5</v>
      </c>
      <c r="Z9" s="168"/>
      <c r="AA9" s="200"/>
      <c r="AB9" s="168"/>
      <c r="AC9" s="168"/>
      <c r="AD9" s="168"/>
      <c r="AE9" s="104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5" t="s">
        <v>16</v>
      </c>
      <c r="Z11" s="105" t="s">
        <v>17</v>
      </c>
      <c r="AA11" s="105" t="s">
        <v>18</v>
      </c>
      <c r="AB11" s="105" t="s">
        <v>18</v>
      </c>
      <c r="AC11" s="105" t="s">
        <v>83</v>
      </c>
      <c r="AD11" s="105" t="s">
        <v>18</v>
      </c>
      <c r="AE11" s="105" t="s">
        <v>19</v>
      </c>
      <c r="AF11" s="105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5">
        <v>2.4</v>
      </c>
      <c r="R12" s="105">
        <v>3.6</v>
      </c>
      <c r="S12" s="105">
        <v>2.4</v>
      </c>
      <c r="T12" s="105">
        <v>3.6</v>
      </c>
      <c r="U12" s="105">
        <v>2.4</v>
      </c>
      <c r="V12" s="105">
        <v>3.6</v>
      </c>
      <c r="W12" s="105">
        <v>2.4</v>
      </c>
      <c r="X12" s="105">
        <v>4.9000000000000004</v>
      </c>
      <c r="Y12" s="105"/>
      <c r="Z12" s="105"/>
      <c r="AA12" s="105">
        <v>5</v>
      </c>
      <c r="AB12" s="105">
        <v>10</v>
      </c>
      <c r="AC12" s="105" t="s">
        <v>84</v>
      </c>
      <c r="AD12" s="105">
        <v>40</v>
      </c>
      <c r="AE12" s="105"/>
      <c r="AF12" s="105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06">
        <v>10128</v>
      </c>
      <c r="Q13" s="106">
        <v>10962</v>
      </c>
      <c r="R13" s="106">
        <v>15427</v>
      </c>
      <c r="S13" s="106">
        <v>16623</v>
      </c>
      <c r="T13" s="106">
        <v>16967</v>
      </c>
      <c r="U13" s="106">
        <v>28230</v>
      </c>
      <c r="V13" s="106">
        <v>10966</v>
      </c>
      <c r="W13" s="106">
        <v>10965</v>
      </c>
      <c r="X13" s="106">
        <v>21809</v>
      </c>
      <c r="Y13" s="106">
        <v>11966</v>
      </c>
      <c r="Z13" s="106">
        <v>11089</v>
      </c>
      <c r="AA13" s="106">
        <v>10960</v>
      </c>
      <c r="AB13" s="106">
        <v>10961</v>
      </c>
      <c r="AC13" s="106">
        <v>33442</v>
      </c>
      <c r="AD13" s="106">
        <v>10959</v>
      </c>
      <c r="AE13" s="106">
        <v>12487</v>
      </c>
      <c r="AF13" s="106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46103</v>
      </c>
      <c r="B15" s="19">
        <v>1037</v>
      </c>
      <c r="C15" s="21">
        <f t="shared" ref="C15:C18" si="0">B15/200*25</f>
        <v>129.625</v>
      </c>
      <c r="D15" s="19">
        <v>2141</v>
      </c>
      <c r="E15" s="21">
        <f t="shared" ref="E15" si="1">D15/208*25</f>
        <v>257.33173076923077</v>
      </c>
      <c r="F15" s="19">
        <v>1765</v>
      </c>
      <c r="G15" s="21">
        <f t="shared" ref="G15:G21" si="2">F15/215*25</f>
        <v>205.23255813953489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1185.5999999999999</v>
      </c>
      <c r="Q15" s="24"/>
      <c r="R15" s="24"/>
      <c r="S15" s="24"/>
      <c r="T15" s="24"/>
      <c r="U15" s="24"/>
      <c r="V15" s="24">
        <v>29</v>
      </c>
      <c r="W15" s="25">
        <v>1754</v>
      </c>
      <c r="X15" s="25"/>
      <c r="Y15" s="24">
        <v>194</v>
      </c>
      <c r="Z15" s="24">
        <v>8</v>
      </c>
      <c r="AA15" s="24">
        <v>888</v>
      </c>
      <c r="AB15" s="24"/>
      <c r="AC15" s="24"/>
      <c r="AD15" s="24"/>
      <c r="AE15" s="26">
        <f>Y15*2.43</f>
        <v>471.42</v>
      </c>
      <c r="AF15" s="24"/>
      <c r="AG15" s="27"/>
      <c r="AH15" s="86"/>
    </row>
    <row r="16" spans="1:34" s="28" customFormat="1" ht="26.25" customHeight="1" x14ac:dyDescent="0.25">
      <c r="A16" s="18">
        <v>46104</v>
      </c>
      <c r="B16" s="19"/>
      <c r="C16" s="20">
        <f t="shared" si="0"/>
        <v>0</v>
      </c>
      <c r="D16" s="19">
        <v>1611</v>
      </c>
      <c r="E16" s="21">
        <f t="shared" ref="E16:E20" si="3">D16/200*25</f>
        <v>201.375</v>
      </c>
      <c r="F16" s="19">
        <v>1857</v>
      </c>
      <c r="G16" s="22">
        <f t="shared" si="2"/>
        <v>215.93023255813955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1110</v>
      </c>
      <c r="Q16" s="24"/>
      <c r="R16" s="24"/>
      <c r="S16" s="25"/>
      <c r="T16" s="24"/>
      <c r="U16" s="24"/>
      <c r="V16" s="24">
        <v>29</v>
      </c>
      <c r="W16" s="25">
        <v>1558</v>
      </c>
      <c r="X16" s="25"/>
      <c r="Y16" s="24">
        <v>218</v>
      </c>
      <c r="Z16" s="24">
        <v>6</v>
      </c>
      <c r="AA16" s="24">
        <v>847</v>
      </c>
      <c r="AB16" s="24"/>
      <c r="AC16" s="24"/>
      <c r="AD16" s="24"/>
      <c r="AE16" s="26">
        <f t="shared" ref="AE16:AE20" si="5">Y16*2.43</f>
        <v>529.74</v>
      </c>
      <c r="AF16" s="24"/>
      <c r="AG16" s="27"/>
      <c r="AH16" s="29"/>
    </row>
    <row r="17" spans="1:41" s="28" customFormat="1" ht="26.25" customHeight="1" x14ac:dyDescent="0.25">
      <c r="A17" s="18">
        <v>46105</v>
      </c>
      <c r="B17" s="19"/>
      <c r="C17" s="20">
        <f t="shared" si="0"/>
        <v>0</v>
      </c>
      <c r="D17" s="19">
        <v>2225</v>
      </c>
      <c r="E17" s="21">
        <f t="shared" si="3"/>
        <v>278.125</v>
      </c>
      <c r="F17" s="19">
        <v>1496</v>
      </c>
      <c r="G17" s="22">
        <f t="shared" si="2"/>
        <v>173.95348837209301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1029.5999999999999</v>
      </c>
      <c r="Q17" s="24"/>
      <c r="R17" s="24"/>
      <c r="S17" s="24"/>
      <c r="T17" s="24"/>
      <c r="U17" s="24"/>
      <c r="V17" s="24">
        <v>33</v>
      </c>
      <c r="W17" s="25">
        <v>1602</v>
      </c>
      <c r="X17" s="25"/>
      <c r="Y17" s="24">
        <v>189</v>
      </c>
      <c r="Z17" s="24">
        <v>8</v>
      </c>
      <c r="AA17" s="24">
        <v>905</v>
      </c>
      <c r="AB17" s="24"/>
      <c r="AC17" s="24"/>
      <c r="AD17" s="24"/>
      <c r="AE17" s="26">
        <f t="shared" si="5"/>
        <v>459.27000000000004</v>
      </c>
      <c r="AF17" s="24"/>
      <c r="AG17" s="27"/>
    </row>
    <row r="18" spans="1:41" s="28" customFormat="1" ht="26.25" customHeight="1" x14ac:dyDescent="0.25">
      <c r="A18" s="18">
        <v>46106</v>
      </c>
      <c r="B18" s="19"/>
      <c r="C18" s="20">
        <f t="shared" si="0"/>
        <v>0</v>
      </c>
      <c r="D18" s="19">
        <v>1906</v>
      </c>
      <c r="E18" s="21">
        <f t="shared" si="3"/>
        <v>238.24999999999997</v>
      </c>
      <c r="F18" s="19">
        <v>1498</v>
      </c>
      <c r="G18" s="22">
        <f t="shared" si="2"/>
        <v>174.18604651162789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1138.1999999999998</v>
      </c>
      <c r="Q18" s="24"/>
      <c r="R18" s="24"/>
      <c r="S18" s="24"/>
      <c r="T18" s="24"/>
      <c r="U18" s="24"/>
      <c r="V18" s="12">
        <v>49</v>
      </c>
      <c r="W18" s="25">
        <v>1558</v>
      </c>
      <c r="X18" s="25"/>
      <c r="Y18" s="24">
        <v>215</v>
      </c>
      <c r="Z18" s="24">
        <v>8</v>
      </c>
      <c r="AA18" s="24">
        <v>881</v>
      </c>
      <c r="AB18" s="24"/>
      <c r="AC18" s="24"/>
      <c r="AD18" s="24"/>
      <c r="AE18" s="26">
        <f t="shared" si="5"/>
        <v>522.45000000000005</v>
      </c>
      <c r="AF18" s="24"/>
      <c r="AG18" s="27"/>
      <c r="AH18" s="29"/>
    </row>
    <row r="19" spans="1:41" s="28" customFormat="1" ht="26.25" customHeight="1" x14ac:dyDescent="0.25">
      <c r="A19" s="18">
        <v>46107</v>
      </c>
      <c r="B19" s="19"/>
      <c r="C19" s="20">
        <f>B19/200*25</f>
        <v>0</v>
      </c>
      <c r="D19" s="19">
        <v>1901</v>
      </c>
      <c r="E19" s="21">
        <f t="shared" si="3"/>
        <v>237.62500000000003</v>
      </c>
      <c r="F19" s="19">
        <v>2195</v>
      </c>
      <c r="G19" s="22">
        <f t="shared" si="2"/>
        <v>255.23255813953489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1138.0000000000002</v>
      </c>
      <c r="Q19" s="24"/>
      <c r="R19" s="24"/>
      <c r="S19" s="24"/>
      <c r="T19" s="24"/>
      <c r="U19" s="24"/>
      <c r="V19" s="24">
        <v>43</v>
      </c>
      <c r="W19" s="25">
        <v>1772</v>
      </c>
      <c r="X19" s="25"/>
      <c r="Y19" s="24">
        <v>215</v>
      </c>
      <c r="Z19" s="24">
        <v>10</v>
      </c>
      <c r="AA19" s="24">
        <v>951</v>
      </c>
      <c r="AB19" s="24"/>
      <c r="AC19" s="24"/>
      <c r="AD19" s="24"/>
      <c r="AE19" s="26">
        <f t="shared" si="5"/>
        <v>522.45000000000005</v>
      </c>
      <c r="AF19" s="24"/>
      <c r="AG19" s="27"/>
    </row>
    <row r="20" spans="1:41" s="28" customFormat="1" ht="26.25" customHeight="1" x14ac:dyDescent="0.25">
      <c r="A20" s="18">
        <v>46108</v>
      </c>
      <c r="B20" s="19"/>
      <c r="C20" s="20">
        <f t="shared" ref="C20:C21" si="7">B20/200*25</f>
        <v>0</v>
      </c>
      <c r="D20" s="19">
        <v>2312</v>
      </c>
      <c r="E20" s="21">
        <f t="shared" si="3"/>
        <v>289</v>
      </c>
      <c r="F20" s="19">
        <v>1815</v>
      </c>
      <c r="G20" s="22">
        <f t="shared" si="2"/>
        <v>211.04651162790699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1116</v>
      </c>
      <c r="Q20" s="24"/>
      <c r="R20" s="24"/>
      <c r="S20" s="25"/>
      <c r="T20" s="24"/>
      <c r="U20" s="24"/>
      <c r="V20" s="24">
        <v>141</v>
      </c>
      <c r="W20" s="25">
        <v>1694</v>
      </c>
      <c r="X20" s="25"/>
      <c r="Y20" s="24">
        <v>196</v>
      </c>
      <c r="Z20" s="24">
        <v>4</v>
      </c>
      <c r="AA20" s="24">
        <v>888</v>
      </c>
      <c r="AB20" s="24"/>
      <c r="AC20" s="24"/>
      <c r="AD20" s="24"/>
      <c r="AE20" s="26">
        <f t="shared" si="5"/>
        <v>476.28000000000003</v>
      </c>
      <c r="AF20" s="24"/>
      <c r="AG20" s="27"/>
    </row>
    <row r="21" spans="1:41" s="28" customFormat="1" ht="26.25" customHeight="1" x14ac:dyDescent="0.25">
      <c r="A21" s="18">
        <v>46109</v>
      </c>
      <c r="B21" s="19">
        <v>1470</v>
      </c>
      <c r="C21" s="21">
        <f t="shared" si="7"/>
        <v>183.75</v>
      </c>
      <c r="D21" s="19">
        <v>1163</v>
      </c>
      <c r="E21" s="21">
        <f t="shared" ref="E21" si="8">D21/208*25</f>
        <v>139.78365384615387</v>
      </c>
      <c r="F21" s="19">
        <v>1260</v>
      </c>
      <c r="G21" s="21">
        <f t="shared" si="2"/>
        <v>146.51162790697674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820.99999999999989</v>
      </c>
      <c r="Q21" s="24"/>
      <c r="R21" s="24"/>
      <c r="S21" s="25"/>
      <c r="T21" s="25"/>
      <c r="U21" s="24"/>
      <c r="V21" s="24"/>
      <c r="W21" s="25">
        <v>1176</v>
      </c>
      <c r="X21" s="25"/>
      <c r="Y21" s="24">
        <v>165</v>
      </c>
      <c r="Z21" s="24">
        <v>4</v>
      </c>
      <c r="AA21" s="24">
        <v>661</v>
      </c>
      <c r="AB21" s="24"/>
      <c r="AC21" s="24"/>
      <c r="AD21" s="24"/>
      <c r="AE21" s="26">
        <f>Y21*2.43</f>
        <v>400.95000000000005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13259</v>
      </c>
      <c r="E22" s="33">
        <f t="shared" si="9"/>
        <v>1641.4903846153845</v>
      </c>
      <c r="F22" s="31">
        <f t="shared" si="9"/>
        <v>11886</v>
      </c>
      <c r="G22" s="33">
        <f t="shared" si="9"/>
        <v>1382.0930232558139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7538.4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324</v>
      </c>
      <c r="W22" s="31">
        <f t="shared" si="9"/>
        <v>11114</v>
      </c>
      <c r="X22" s="31">
        <f t="shared" si="9"/>
        <v>0</v>
      </c>
      <c r="Y22" s="31">
        <f t="shared" si="9"/>
        <v>1392</v>
      </c>
      <c r="Z22" s="31">
        <f t="shared" si="9"/>
        <v>48</v>
      </c>
      <c r="AA22" s="31">
        <f t="shared" si="9"/>
        <v>6021</v>
      </c>
      <c r="AB22" s="31">
        <f t="shared" si="9"/>
        <v>0</v>
      </c>
      <c r="AC22" s="31">
        <f t="shared" si="9"/>
        <v>0</v>
      </c>
      <c r="AD22" s="31">
        <f t="shared" si="9"/>
        <v>0</v>
      </c>
      <c r="AE22" s="33">
        <f t="shared" si="9"/>
        <v>3382.5600000000004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6021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D20" sqref="D20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11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11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11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09" t="s">
        <v>5</v>
      </c>
      <c r="Q9" s="197"/>
      <c r="R9" s="194"/>
      <c r="S9" s="194"/>
      <c r="T9" s="194"/>
      <c r="U9" s="195"/>
      <c r="V9" s="168"/>
      <c r="W9" s="168"/>
      <c r="X9" s="109"/>
      <c r="Y9" s="168" t="s">
        <v>5</v>
      </c>
      <c r="Z9" s="168"/>
      <c r="AA9" s="200"/>
      <c r="AB9" s="168"/>
      <c r="AC9" s="168"/>
      <c r="AD9" s="168"/>
      <c r="AE9" s="109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7" t="s">
        <v>16</v>
      </c>
      <c r="Z11" s="107" t="s">
        <v>17</v>
      </c>
      <c r="AA11" s="107" t="s">
        <v>18</v>
      </c>
      <c r="AB11" s="107" t="s">
        <v>18</v>
      </c>
      <c r="AC11" s="107" t="s">
        <v>83</v>
      </c>
      <c r="AD11" s="107" t="s">
        <v>18</v>
      </c>
      <c r="AE11" s="107" t="s">
        <v>19</v>
      </c>
      <c r="AF11" s="107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7">
        <v>2.4</v>
      </c>
      <c r="R12" s="107">
        <v>3.6</v>
      </c>
      <c r="S12" s="107">
        <v>2.4</v>
      </c>
      <c r="T12" s="107">
        <v>3.6</v>
      </c>
      <c r="U12" s="107">
        <v>2.4</v>
      </c>
      <c r="V12" s="107">
        <v>3.6</v>
      </c>
      <c r="W12" s="107">
        <v>2.4</v>
      </c>
      <c r="X12" s="107">
        <v>4.9000000000000004</v>
      </c>
      <c r="Y12" s="107"/>
      <c r="Z12" s="107"/>
      <c r="AA12" s="107">
        <v>5</v>
      </c>
      <c r="AB12" s="107">
        <v>10</v>
      </c>
      <c r="AC12" s="107" t="s">
        <v>84</v>
      </c>
      <c r="AD12" s="107">
        <v>40</v>
      </c>
      <c r="AE12" s="107"/>
      <c r="AF12" s="107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08">
        <v>10128</v>
      </c>
      <c r="Q13" s="108">
        <v>10962</v>
      </c>
      <c r="R13" s="108">
        <v>15427</v>
      </c>
      <c r="S13" s="108">
        <v>16623</v>
      </c>
      <c r="T13" s="108">
        <v>16967</v>
      </c>
      <c r="U13" s="108">
        <v>28230</v>
      </c>
      <c r="V13" s="108">
        <v>10966</v>
      </c>
      <c r="W13" s="108">
        <v>10965</v>
      </c>
      <c r="X13" s="108">
        <v>21809</v>
      </c>
      <c r="Y13" s="108">
        <v>11966</v>
      </c>
      <c r="Z13" s="108">
        <v>11089</v>
      </c>
      <c r="AA13" s="108">
        <v>10960</v>
      </c>
      <c r="AB13" s="108">
        <v>10961</v>
      </c>
      <c r="AC13" s="108">
        <v>33442</v>
      </c>
      <c r="AD13" s="108">
        <v>10959</v>
      </c>
      <c r="AE13" s="108">
        <v>12487</v>
      </c>
      <c r="AF13" s="108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46110</v>
      </c>
      <c r="B15" s="19">
        <v>1037</v>
      </c>
      <c r="C15" s="21">
        <f t="shared" ref="C15:C18" si="0">B15/200*25</f>
        <v>129.625</v>
      </c>
      <c r="D15" s="19">
        <v>1394</v>
      </c>
      <c r="E15" s="21">
        <f t="shared" ref="E15" si="1">D15/208*25</f>
        <v>167.54807692307691</v>
      </c>
      <c r="F15" s="19">
        <v>1383</v>
      </c>
      <c r="G15" s="21">
        <f t="shared" ref="G15:G21" si="2">F15/215*25</f>
        <v>160.81395348837208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943.4</v>
      </c>
      <c r="Q15" s="24"/>
      <c r="R15" s="24"/>
      <c r="S15" s="24"/>
      <c r="T15" s="24"/>
      <c r="U15" s="24"/>
      <c r="V15" s="24">
        <v>19</v>
      </c>
      <c r="W15" s="25">
        <v>1351</v>
      </c>
      <c r="X15" s="25"/>
      <c r="Y15" s="24">
        <v>155</v>
      </c>
      <c r="Z15" s="24">
        <v>2</v>
      </c>
      <c r="AA15" s="24">
        <v>782</v>
      </c>
      <c r="AB15" s="24"/>
      <c r="AC15" s="24"/>
      <c r="AD15" s="24"/>
      <c r="AE15" s="26">
        <f>Y15*2.43</f>
        <v>376.65000000000003</v>
      </c>
      <c r="AF15" s="24"/>
      <c r="AG15" s="27"/>
      <c r="AH15" s="86"/>
    </row>
    <row r="16" spans="1:34" s="28" customFormat="1" ht="26.25" customHeight="1" x14ac:dyDescent="0.25">
      <c r="A16" s="18">
        <v>46111</v>
      </c>
      <c r="B16" s="19"/>
      <c r="C16" s="20">
        <f t="shared" si="0"/>
        <v>0</v>
      </c>
      <c r="D16" s="19">
        <v>2024</v>
      </c>
      <c r="E16" s="21">
        <f t="shared" ref="E16:E20" si="3">D16/200*25</f>
        <v>252.99999999999997</v>
      </c>
      <c r="F16" s="19">
        <v>1471</v>
      </c>
      <c r="G16" s="22">
        <f t="shared" si="2"/>
        <v>171.04651162790699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1101.8</v>
      </c>
      <c r="Q16" s="24"/>
      <c r="R16" s="24"/>
      <c r="S16" s="25"/>
      <c r="T16" s="24"/>
      <c r="U16" s="24"/>
      <c r="V16" s="24">
        <v>12</v>
      </c>
      <c r="W16" s="25">
        <v>1672</v>
      </c>
      <c r="X16" s="25"/>
      <c r="Y16" s="24">
        <v>216</v>
      </c>
      <c r="Z16" s="24">
        <v>8</v>
      </c>
      <c r="AA16" s="24">
        <v>882</v>
      </c>
      <c r="AB16" s="24"/>
      <c r="AC16" s="24"/>
      <c r="AD16" s="24"/>
      <c r="AE16" s="26">
        <f t="shared" ref="AE16:AE20" si="5">Y16*2.43</f>
        <v>524.88</v>
      </c>
      <c r="AF16" s="24"/>
      <c r="AG16" s="27"/>
      <c r="AH16" s="29"/>
    </row>
    <row r="17" spans="1:41" s="28" customFormat="1" ht="26.25" customHeight="1" x14ac:dyDescent="0.25">
      <c r="A17" s="18">
        <v>46112</v>
      </c>
      <c r="B17" s="19"/>
      <c r="C17" s="20">
        <f t="shared" si="0"/>
        <v>0</v>
      </c>
      <c r="D17" s="19">
        <v>734</v>
      </c>
      <c r="E17" s="21">
        <f t="shared" si="3"/>
        <v>91.75</v>
      </c>
      <c r="F17" s="19">
        <v>1574</v>
      </c>
      <c r="G17" s="22">
        <f t="shared" si="2"/>
        <v>183.02325581395348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642.6</v>
      </c>
      <c r="Q17" s="24"/>
      <c r="R17" s="24"/>
      <c r="S17" s="24"/>
      <c r="T17" s="24"/>
      <c r="U17" s="24"/>
      <c r="V17" s="24">
        <v>13</v>
      </c>
      <c r="W17" s="25">
        <v>1025</v>
      </c>
      <c r="X17" s="25"/>
      <c r="Y17" s="24">
        <v>117</v>
      </c>
      <c r="Z17" s="24">
        <v>4</v>
      </c>
      <c r="AA17" s="24">
        <v>540</v>
      </c>
      <c r="AB17" s="24"/>
      <c r="AC17" s="24"/>
      <c r="AD17" s="24"/>
      <c r="AE17" s="26">
        <f t="shared" si="5"/>
        <v>284.31</v>
      </c>
      <c r="AF17" s="24"/>
      <c r="AG17" s="27"/>
    </row>
    <row r="18" spans="1:41" s="28" customFormat="1" ht="26.25" customHeight="1" x14ac:dyDescent="0.25">
      <c r="A18" s="18">
        <v>46113</v>
      </c>
      <c r="B18" s="19"/>
      <c r="C18" s="20">
        <f t="shared" si="0"/>
        <v>0</v>
      </c>
      <c r="D18" s="19"/>
      <c r="E18" s="21">
        <f t="shared" si="3"/>
        <v>0</v>
      </c>
      <c r="F18" s="19"/>
      <c r="G18" s="22">
        <f t="shared" si="2"/>
        <v>0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/>
      <c r="Q18" s="24"/>
      <c r="R18" s="24"/>
      <c r="S18" s="24"/>
      <c r="T18" s="24"/>
      <c r="U18" s="24"/>
      <c r="V18" s="12"/>
      <c r="W18" s="25"/>
      <c r="X18" s="25"/>
      <c r="Y18" s="24"/>
      <c r="Z18" s="24"/>
      <c r="AA18" s="24"/>
      <c r="AB18" s="24"/>
      <c r="AC18" s="24"/>
      <c r="AD18" s="24"/>
      <c r="AE18" s="26">
        <f t="shared" si="5"/>
        <v>0</v>
      </c>
      <c r="AF18" s="24"/>
      <c r="AG18" s="27"/>
      <c r="AH18" s="29"/>
    </row>
    <row r="19" spans="1:41" s="28" customFormat="1" ht="26.25" customHeight="1" x14ac:dyDescent="0.25">
      <c r="A19" s="18">
        <v>46114</v>
      </c>
      <c r="B19" s="19"/>
      <c r="C19" s="20">
        <f>B19/200*25</f>
        <v>0</v>
      </c>
      <c r="D19" s="19"/>
      <c r="E19" s="21">
        <f t="shared" si="3"/>
        <v>0</v>
      </c>
      <c r="F19" s="19"/>
      <c r="G19" s="22">
        <f t="shared" si="2"/>
        <v>0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/>
      <c r="Q19" s="24"/>
      <c r="R19" s="24"/>
      <c r="S19" s="24"/>
      <c r="T19" s="24"/>
      <c r="U19" s="24"/>
      <c r="V19" s="24"/>
      <c r="W19" s="25"/>
      <c r="X19" s="25"/>
      <c r="Y19" s="24"/>
      <c r="Z19" s="24"/>
      <c r="AA19" s="24"/>
      <c r="AB19" s="24"/>
      <c r="AC19" s="24"/>
      <c r="AD19" s="24"/>
      <c r="AE19" s="26">
        <f t="shared" si="5"/>
        <v>0</v>
      </c>
      <c r="AF19" s="24"/>
      <c r="AG19" s="27"/>
    </row>
    <row r="20" spans="1:41" s="28" customFormat="1" ht="26.25" customHeight="1" x14ac:dyDescent="0.25">
      <c r="A20" s="18">
        <v>46115</v>
      </c>
      <c r="B20" s="19"/>
      <c r="C20" s="20">
        <f t="shared" ref="C20:C21" si="7">B20/200*25</f>
        <v>0</v>
      </c>
      <c r="D20" s="19"/>
      <c r="E20" s="21">
        <f t="shared" si="3"/>
        <v>0</v>
      </c>
      <c r="F20" s="19"/>
      <c r="G20" s="22">
        <f t="shared" si="2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5"/>
        <v>0</v>
      </c>
      <c r="AF20" s="24"/>
      <c r="AG20" s="27"/>
    </row>
    <row r="21" spans="1:41" s="28" customFormat="1" ht="26.25" customHeight="1" x14ac:dyDescent="0.25">
      <c r="A21" s="18">
        <v>46116</v>
      </c>
      <c r="B21" s="19">
        <v>1470</v>
      </c>
      <c r="C21" s="21">
        <f t="shared" si="7"/>
        <v>183.75</v>
      </c>
      <c r="D21" s="19"/>
      <c r="E21" s="21">
        <f t="shared" ref="E21" si="8">D21/208*25</f>
        <v>0</v>
      </c>
      <c r="F21" s="19"/>
      <c r="G21" s="21">
        <f t="shared" si="2"/>
        <v>0</v>
      </c>
      <c r="H21" s="19"/>
      <c r="I21" s="23"/>
      <c r="J21" s="19"/>
      <c r="K21" s="19"/>
      <c r="L21" s="19"/>
      <c r="M21" s="19"/>
      <c r="N21" s="19"/>
      <c r="O21" s="23">
        <v>0</v>
      </c>
      <c r="P21" s="23"/>
      <c r="Q21" s="24"/>
      <c r="R21" s="24"/>
      <c r="S21" s="25"/>
      <c r="T21" s="25"/>
      <c r="U21" s="24"/>
      <c r="V21" s="24"/>
      <c r="W21" s="25"/>
      <c r="X21" s="25"/>
      <c r="Y21" s="24"/>
      <c r="Z21" s="24"/>
      <c r="AA21" s="24"/>
      <c r="AB21" s="24"/>
      <c r="AC21" s="24"/>
      <c r="AD21" s="24"/>
      <c r="AE21" s="26">
        <f>Y21*2.43</f>
        <v>0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4152</v>
      </c>
      <c r="E22" s="33">
        <f t="shared" si="9"/>
        <v>512.29807692307691</v>
      </c>
      <c r="F22" s="31">
        <f t="shared" si="9"/>
        <v>4428</v>
      </c>
      <c r="G22" s="33">
        <f t="shared" si="9"/>
        <v>514.88372093023258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2687.7999999999997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44</v>
      </c>
      <c r="W22" s="31">
        <f t="shared" si="9"/>
        <v>4048</v>
      </c>
      <c r="X22" s="31">
        <f t="shared" si="9"/>
        <v>0</v>
      </c>
      <c r="Y22" s="31">
        <f t="shared" si="9"/>
        <v>488</v>
      </c>
      <c r="Z22" s="31">
        <f t="shared" si="9"/>
        <v>14</v>
      </c>
      <c r="AA22" s="31">
        <f t="shared" si="9"/>
        <v>2204</v>
      </c>
      <c r="AB22" s="31">
        <f t="shared" si="9"/>
        <v>0</v>
      </c>
      <c r="AC22" s="31">
        <f t="shared" si="9"/>
        <v>0</v>
      </c>
      <c r="AD22" s="31">
        <f t="shared" si="9"/>
        <v>0</v>
      </c>
      <c r="AE22" s="33">
        <f t="shared" si="9"/>
        <v>1185.8399999999999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>
        <f>AA22+AB22+AC22</f>
        <v>2204</v>
      </c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F17" sqref="AF17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179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16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16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16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14" t="s">
        <v>5</v>
      </c>
      <c r="Q9" s="197"/>
      <c r="R9" s="194"/>
      <c r="S9" s="194"/>
      <c r="T9" s="194"/>
      <c r="U9" s="195"/>
      <c r="V9" s="168"/>
      <c r="W9" s="168"/>
      <c r="X9" s="114"/>
      <c r="Y9" s="168" t="s">
        <v>5</v>
      </c>
      <c r="Z9" s="168"/>
      <c r="AA9" s="200"/>
      <c r="AB9" s="168"/>
      <c r="AC9" s="168"/>
      <c r="AD9" s="168"/>
      <c r="AE9" s="114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12" t="s">
        <v>16</v>
      </c>
      <c r="Z11" s="112" t="s">
        <v>17</v>
      </c>
      <c r="AA11" s="112" t="s">
        <v>18</v>
      </c>
      <c r="AB11" s="112" t="s">
        <v>18</v>
      </c>
      <c r="AC11" s="112" t="s">
        <v>83</v>
      </c>
      <c r="AD11" s="112" t="s">
        <v>18</v>
      </c>
      <c r="AE11" s="112" t="s">
        <v>19</v>
      </c>
      <c r="AF11" s="112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12">
        <v>2.4</v>
      </c>
      <c r="R12" s="112">
        <v>3.6</v>
      </c>
      <c r="S12" s="112">
        <v>2.4</v>
      </c>
      <c r="T12" s="112">
        <v>3.6</v>
      </c>
      <c r="U12" s="112">
        <v>2.4</v>
      </c>
      <c r="V12" s="112">
        <v>3.6</v>
      </c>
      <c r="W12" s="112">
        <v>2.4</v>
      </c>
      <c r="X12" s="112">
        <v>4.9000000000000004</v>
      </c>
      <c r="Y12" s="112"/>
      <c r="Z12" s="112"/>
      <c r="AA12" s="112">
        <v>5</v>
      </c>
      <c r="AB12" s="112">
        <v>10</v>
      </c>
      <c r="AC12" s="112" t="s">
        <v>84</v>
      </c>
      <c r="AD12" s="112">
        <v>40</v>
      </c>
      <c r="AE12" s="112"/>
      <c r="AF12" s="112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13">
        <v>10128</v>
      </c>
      <c r="Q13" s="113">
        <v>10962</v>
      </c>
      <c r="R13" s="113">
        <v>15427</v>
      </c>
      <c r="S13" s="113">
        <v>16623</v>
      </c>
      <c r="T13" s="113">
        <v>16967</v>
      </c>
      <c r="U13" s="113">
        <v>28230</v>
      </c>
      <c r="V13" s="113">
        <v>10966</v>
      </c>
      <c r="W13" s="113">
        <v>10965</v>
      </c>
      <c r="X13" s="113">
        <v>21809</v>
      </c>
      <c r="Y13" s="113">
        <v>11966</v>
      </c>
      <c r="Z13" s="113">
        <v>11089</v>
      </c>
      <c r="AA13" s="113">
        <v>10960</v>
      </c>
      <c r="AB13" s="113">
        <v>10961</v>
      </c>
      <c r="AC13" s="113">
        <v>33442</v>
      </c>
      <c r="AD13" s="113">
        <v>10959</v>
      </c>
      <c r="AE13" s="113">
        <v>12487</v>
      </c>
      <c r="AF13" s="1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46117</v>
      </c>
      <c r="B15" s="19">
        <v>1037</v>
      </c>
      <c r="C15" s="21">
        <f t="shared" ref="C15:C18" si="0">B15/200*25</f>
        <v>129.625</v>
      </c>
      <c r="D15" s="19">
        <v>176</v>
      </c>
      <c r="E15" s="21">
        <f t="shared" ref="E15" si="1">D15/208*25</f>
        <v>21.153846153846153</v>
      </c>
      <c r="F15" s="19">
        <v>1291</v>
      </c>
      <c r="G15" s="21">
        <f t="shared" ref="G15:G21" si="2">F15/215*25</f>
        <v>150.11627906976744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595</v>
      </c>
      <c r="Q15" s="24"/>
      <c r="R15" s="24"/>
      <c r="S15" s="24"/>
      <c r="T15" s="24"/>
      <c r="U15" s="24"/>
      <c r="V15" s="24">
        <v>6</v>
      </c>
      <c r="W15" s="25">
        <v>759</v>
      </c>
      <c r="X15" s="25"/>
      <c r="Y15" s="24">
        <v>119</v>
      </c>
      <c r="Z15" s="24">
        <v>2</v>
      </c>
      <c r="AA15" s="24">
        <v>490</v>
      </c>
      <c r="AB15" s="24"/>
      <c r="AC15" s="24"/>
      <c r="AD15" s="24"/>
      <c r="AE15" s="26">
        <f>Y15*2.43</f>
        <v>289.17</v>
      </c>
      <c r="AF15" s="24"/>
      <c r="AG15" s="27"/>
      <c r="AH15" s="86"/>
    </row>
    <row r="16" spans="1:34" s="28" customFormat="1" ht="26.25" customHeight="1" x14ac:dyDescent="0.25">
      <c r="A16" s="18">
        <v>46118</v>
      </c>
      <c r="B16" s="19"/>
      <c r="C16" s="20">
        <f t="shared" si="0"/>
        <v>0</v>
      </c>
      <c r="D16" s="19">
        <v>442</v>
      </c>
      <c r="E16" s="21">
        <f t="shared" ref="E16:E20" si="3">D16/200*25</f>
        <v>55.25</v>
      </c>
      <c r="F16" s="19">
        <v>2852</v>
      </c>
      <c r="G16" s="22">
        <f t="shared" si="2"/>
        <v>331.62790697674416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1052.6000000000001</v>
      </c>
      <c r="Q16" s="24"/>
      <c r="R16" s="24"/>
      <c r="S16" s="25"/>
      <c r="T16" s="24"/>
      <c r="U16" s="24"/>
      <c r="V16" s="24">
        <v>15</v>
      </c>
      <c r="W16" s="25">
        <v>1552</v>
      </c>
      <c r="X16" s="25"/>
      <c r="Y16" s="24">
        <v>181</v>
      </c>
      <c r="Z16" s="24">
        <v>6</v>
      </c>
      <c r="AA16" s="24">
        <v>560</v>
      </c>
      <c r="AB16" s="24">
        <v>192</v>
      </c>
      <c r="AC16" s="24"/>
      <c r="AD16" s="24"/>
      <c r="AE16" s="26">
        <f t="shared" ref="AE16:AE20" si="5">Y16*2.43</f>
        <v>439.83000000000004</v>
      </c>
      <c r="AF16" s="24"/>
      <c r="AG16" s="27"/>
      <c r="AH16" s="29"/>
    </row>
    <row r="17" spans="1:41" s="28" customFormat="1" ht="26.25" customHeight="1" x14ac:dyDescent="0.25">
      <c r="A17" s="18">
        <v>46119</v>
      </c>
      <c r="B17" s="19"/>
      <c r="C17" s="20">
        <f t="shared" si="0"/>
        <v>0</v>
      </c>
      <c r="D17" s="19">
        <v>581</v>
      </c>
      <c r="E17" s="21">
        <f t="shared" si="3"/>
        <v>72.625</v>
      </c>
      <c r="F17" s="19">
        <v>3573</v>
      </c>
      <c r="G17" s="22">
        <f t="shared" si="2"/>
        <v>415.46511627906978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1282.0000000000002</v>
      </c>
      <c r="Q17" s="24"/>
      <c r="R17" s="24"/>
      <c r="S17" s="24"/>
      <c r="T17" s="24"/>
      <c r="U17" s="24"/>
      <c r="V17" s="24">
        <v>21</v>
      </c>
      <c r="W17" s="25">
        <v>1960</v>
      </c>
      <c r="X17" s="25"/>
      <c r="Y17" s="24">
        <v>211</v>
      </c>
      <c r="Z17" s="24">
        <v>10</v>
      </c>
      <c r="AA17" s="24">
        <v>635</v>
      </c>
      <c r="AB17" s="24">
        <v>331</v>
      </c>
      <c r="AC17" s="24"/>
      <c r="AD17" s="24"/>
      <c r="AE17" s="26">
        <f t="shared" si="5"/>
        <v>512.73</v>
      </c>
      <c r="AF17" s="24">
        <v>30</v>
      </c>
      <c r="AG17" s="27"/>
    </row>
    <row r="18" spans="1:41" s="28" customFormat="1" ht="26.25" customHeight="1" x14ac:dyDescent="0.25">
      <c r="A18" s="18">
        <v>46120</v>
      </c>
      <c r="B18" s="19"/>
      <c r="C18" s="20">
        <f t="shared" si="0"/>
        <v>0</v>
      </c>
      <c r="D18" s="19">
        <v>522</v>
      </c>
      <c r="E18" s="21">
        <f t="shared" si="3"/>
        <v>65.25</v>
      </c>
      <c r="F18" s="19">
        <v>2686</v>
      </c>
      <c r="G18" s="22">
        <f t="shared" si="2"/>
        <v>312.32558139534888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1010.8000000000001</v>
      </c>
      <c r="Q18" s="24"/>
      <c r="R18" s="24"/>
      <c r="S18" s="24"/>
      <c r="T18" s="24"/>
      <c r="U18" s="24"/>
      <c r="V18" s="12">
        <v>13</v>
      </c>
      <c r="W18" s="25">
        <v>1563</v>
      </c>
      <c r="X18" s="25"/>
      <c r="Y18" s="24">
        <v>159</v>
      </c>
      <c r="Z18" s="24">
        <v>4</v>
      </c>
      <c r="AA18" s="24">
        <v>433</v>
      </c>
      <c r="AB18" s="24">
        <v>273</v>
      </c>
      <c r="AC18" s="24"/>
      <c r="AD18" s="24"/>
      <c r="AE18" s="26">
        <f t="shared" si="5"/>
        <v>386.37</v>
      </c>
      <c r="AF18" s="24"/>
      <c r="AG18" s="27"/>
      <c r="AH18" s="29"/>
    </row>
    <row r="19" spans="1:41" s="28" customFormat="1" ht="26.25" customHeight="1" x14ac:dyDescent="0.25">
      <c r="A19" s="18">
        <v>46121</v>
      </c>
      <c r="B19" s="19"/>
      <c r="C19" s="20">
        <f>B19/200*25</f>
        <v>0</v>
      </c>
      <c r="D19" s="19">
        <v>562</v>
      </c>
      <c r="E19" s="21">
        <f t="shared" si="3"/>
        <v>70.25</v>
      </c>
      <c r="F19" s="19">
        <v>2905</v>
      </c>
      <c r="G19" s="22">
        <f t="shared" si="2"/>
        <v>337.7906976744186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1058.8</v>
      </c>
      <c r="Q19" s="24"/>
      <c r="R19" s="24"/>
      <c r="S19" s="24"/>
      <c r="T19" s="24"/>
      <c r="U19" s="24"/>
      <c r="V19" s="24">
        <v>14</v>
      </c>
      <c r="W19" s="25">
        <v>1651</v>
      </c>
      <c r="X19" s="25"/>
      <c r="Y19" s="24">
        <v>180</v>
      </c>
      <c r="Z19" s="24">
        <v>6</v>
      </c>
      <c r="AA19" s="24">
        <v>500</v>
      </c>
      <c r="AB19" s="24">
        <v>298</v>
      </c>
      <c r="AC19" s="24"/>
      <c r="AD19" s="24"/>
      <c r="AE19" s="26">
        <f t="shared" si="5"/>
        <v>437.40000000000003</v>
      </c>
      <c r="AF19" s="24"/>
      <c r="AG19" s="27"/>
    </row>
    <row r="20" spans="1:41" s="28" customFormat="1" ht="26.25" customHeight="1" x14ac:dyDescent="0.25">
      <c r="A20" s="18">
        <v>46122</v>
      </c>
      <c r="B20" s="19"/>
      <c r="C20" s="20">
        <f t="shared" ref="C20:C21" si="7">B20/200*25</f>
        <v>0</v>
      </c>
      <c r="D20" s="19">
        <v>539</v>
      </c>
      <c r="E20" s="21">
        <f t="shared" si="3"/>
        <v>67.375</v>
      </c>
      <c r="F20" s="19">
        <v>3086</v>
      </c>
      <c r="G20" s="22">
        <f t="shared" si="2"/>
        <v>358.83720930232556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1149.8000000000002</v>
      </c>
      <c r="Q20" s="24"/>
      <c r="R20" s="24"/>
      <c r="S20" s="25"/>
      <c r="T20" s="24"/>
      <c r="U20" s="24"/>
      <c r="V20" s="24">
        <v>24</v>
      </c>
      <c r="W20" s="25">
        <v>1699</v>
      </c>
      <c r="X20" s="25"/>
      <c r="Y20" s="24">
        <v>196</v>
      </c>
      <c r="Z20" s="24">
        <v>6</v>
      </c>
      <c r="AA20" s="24">
        <v>645</v>
      </c>
      <c r="AB20" s="24">
        <v>209</v>
      </c>
      <c r="AC20" s="24"/>
      <c r="AD20" s="24"/>
      <c r="AE20" s="26">
        <f t="shared" si="5"/>
        <v>476.28000000000003</v>
      </c>
      <c r="AF20" s="24"/>
      <c r="AG20" s="27"/>
    </row>
    <row r="21" spans="1:41" s="28" customFormat="1" ht="26.25" customHeight="1" x14ac:dyDescent="0.25">
      <c r="A21" s="18">
        <v>46123</v>
      </c>
      <c r="B21" s="19">
        <v>1470</v>
      </c>
      <c r="C21" s="21">
        <f t="shared" si="7"/>
        <v>183.75</v>
      </c>
      <c r="D21" s="19">
        <v>379</v>
      </c>
      <c r="E21" s="21">
        <f t="shared" ref="E21" si="8">D21/208*25</f>
        <v>45.552884615384613</v>
      </c>
      <c r="F21" s="19">
        <v>3046</v>
      </c>
      <c r="G21" s="21">
        <f t="shared" si="2"/>
        <v>354.18604651162792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1042.5999999999999</v>
      </c>
      <c r="Q21" s="24"/>
      <c r="R21" s="24"/>
      <c r="S21" s="25"/>
      <c r="T21" s="25"/>
      <c r="U21" s="24"/>
      <c r="V21" s="24">
        <v>12</v>
      </c>
      <c r="W21" s="25">
        <v>1626</v>
      </c>
      <c r="X21" s="25"/>
      <c r="Y21" s="24">
        <v>159</v>
      </c>
      <c r="Z21" s="24">
        <v>4</v>
      </c>
      <c r="AA21" s="24">
        <v>457</v>
      </c>
      <c r="AB21" s="24">
        <v>307</v>
      </c>
      <c r="AC21" s="24"/>
      <c r="AD21" s="24"/>
      <c r="AE21" s="26">
        <f>Y21*2.43</f>
        <v>386.37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3201</v>
      </c>
      <c r="E22" s="33">
        <f t="shared" si="9"/>
        <v>397.45673076923083</v>
      </c>
      <c r="F22" s="31">
        <f t="shared" si="9"/>
        <v>19439</v>
      </c>
      <c r="G22" s="33">
        <f t="shared" si="9"/>
        <v>2260.3488372093025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7191.6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105</v>
      </c>
      <c r="W22" s="31">
        <f t="shared" si="9"/>
        <v>10810</v>
      </c>
      <c r="X22" s="31">
        <f t="shared" si="9"/>
        <v>0</v>
      </c>
      <c r="Y22" s="31">
        <f t="shared" si="9"/>
        <v>1205</v>
      </c>
      <c r="Z22" s="31">
        <f t="shared" si="9"/>
        <v>38</v>
      </c>
      <c r="AA22" s="31">
        <f t="shared" si="9"/>
        <v>3720</v>
      </c>
      <c r="AB22" s="31">
        <f t="shared" si="9"/>
        <v>1610</v>
      </c>
      <c r="AC22" s="31">
        <f t="shared" si="9"/>
        <v>0</v>
      </c>
      <c r="AD22" s="31">
        <f t="shared" si="9"/>
        <v>0</v>
      </c>
      <c r="AE22" s="33">
        <f t="shared" si="9"/>
        <v>2928.15</v>
      </c>
      <c r="AF22" s="33">
        <f t="shared" si="9"/>
        <v>30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P15" sqref="P15:AB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21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21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21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19" t="s">
        <v>5</v>
      </c>
      <c r="Q9" s="197"/>
      <c r="R9" s="194"/>
      <c r="S9" s="194"/>
      <c r="T9" s="194"/>
      <c r="U9" s="195"/>
      <c r="V9" s="168"/>
      <c r="W9" s="168"/>
      <c r="X9" s="119"/>
      <c r="Y9" s="168" t="s">
        <v>5</v>
      </c>
      <c r="Z9" s="168"/>
      <c r="AA9" s="200"/>
      <c r="AB9" s="168"/>
      <c r="AC9" s="168"/>
      <c r="AD9" s="168"/>
      <c r="AE9" s="119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17" t="s">
        <v>16</v>
      </c>
      <c r="Z11" s="117" t="s">
        <v>17</v>
      </c>
      <c r="AA11" s="117" t="s">
        <v>18</v>
      </c>
      <c r="AB11" s="117" t="s">
        <v>18</v>
      </c>
      <c r="AC11" s="117" t="s">
        <v>83</v>
      </c>
      <c r="AD11" s="117" t="s">
        <v>18</v>
      </c>
      <c r="AE11" s="117" t="s">
        <v>19</v>
      </c>
      <c r="AF11" s="117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17">
        <v>2.4</v>
      </c>
      <c r="R12" s="117">
        <v>3.6</v>
      </c>
      <c r="S12" s="117">
        <v>2.4</v>
      </c>
      <c r="T12" s="117">
        <v>3.6</v>
      </c>
      <c r="U12" s="117">
        <v>2.4</v>
      </c>
      <c r="V12" s="117">
        <v>3.6</v>
      </c>
      <c r="W12" s="117">
        <v>2.4</v>
      </c>
      <c r="X12" s="117">
        <v>4.9000000000000004</v>
      </c>
      <c r="Y12" s="117"/>
      <c r="Z12" s="117"/>
      <c r="AA12" s="117">
        <v>5</v>
      </c>
      <c r="AB12" s="117">
        <v>10</v>
      </c>
      <c r="AC12" s="117" t="s">
        <v>84</v>
      </c>
      <c r="AD12" s="117">
        <v>40</v>
      </c>
      <c r="AE12" s="117"/>
      <c r="AF12" s="117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18">
        <v>10128</v>
      </c>
      <c r="Q13" s="118">
        <v>10962</v>
      </c>
      <c r="R13" s="118">
        <v>15427</v>
      </c>
      <c r="S13" s="118">
        <v>16623</v>
      </c>
      <c r="T13" s="118">
        <v>16967</v>
      </c>
      <c r="U13" s="118">
        <v>28230</v>
      </c>
      <c r="V13" s="118">
        <v>10966</v>
      </c>
      <c r="W13" s="118">
        <v>10965</v>
      </c>
      <c r="X13" s="118">
        <v>21809</v>
      </c>
      <c r="Y13" s="118">
        <v>11966</v>
      </c>
      <c r="Z13" s="118">
        <v>11089</v>
      </c>
      <c r="AA13" s="118">
        <v>10960</v>
      </c>
      <c r="AB13" s="118">
        <v>10961</v>
      </c>
      <c r="AC13" s="118">
        <v>33442</v>
      </c>
      <c r="AD13" s="118">
        <v>10959</v>
      </c>
      <c r="AE13" s="118">
        <v>12487</v>
      </c>
      <c r="AF13" s="118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46124</v>
      </c>
      <c r="B15" s="19">
        <v>1037</v>
      </c>
      <c r="C15" s="21">
        <f t="shared" ref="C15:C18" si="0">B15/200*25</f>
        <v>129.625</v>
      </c>
      <c r="D15" s="19">
        <v>335</v>
      </c>
      <c r="E15" s="21">
        <f t="shared" ref="E15" si="1">D15/208*25</f>
        <v>40.26442307692308</v>
      </c>
      <c r="F15" s="19">
        <v>3039</v>
      </c>
      <c r="G15" s="21">
        <f t="shared" ref="G15:G21" si="2">F15/215*25</f>
        <v>353.37209302325584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1067.8000000000002</v>
      </c>
      <c r="Q15" s="24"/>
      <c r="R15" s="24"/>
      <c r="S15" s="24"/>
      <c r="T15" s="24"/>
      <c r="U15" s="24"/>
      <c r="V15" s="24">
        <v>14</v>
      </c>
      <c r="W15" s="25">
        <v>1591</v>
      </c>
      <c r="X15" s="25"/>
      <c r="Y15" s="24">
        <v>191</v>
      </c>
      <c r="Z15" s="24">
        <v>6</v>
      </c>
      <c r="AA15" s="24">
        <v>453</v>
      </c>
      <c r="AB15" s="24">
        <v>368</v>
      </c>
      <c r="AC15" s="24"/>
      <c r="AD15" s="24"/>
      <c r="AE15" s="26">
        <f>Y15*2.43</f>
        <v>464.13000000000005</v>
      </c>
      <c r="AF15" s="24"/>
      <c r="AG15" s="27"/>
      <c r="AH15" s="86"/>
    </row>
    <row r="16" spans="1:34" s="28" customFormat="1" ht="26.25" customHeight="1" x14ac:dyDescent="0.25">
      <c r="A16" s="18">
        <v>46125</v>
      </c>
      <c r="B16" s="19"/>
      <c r="C16" s="20">
        <f t="shared" si="0"/>
        <v>0</v>
      </c>
      <c r="D16" s="19">
        <v>724</v>
      </c>
      <c r="E16" s="21">
        <f t="shared" ref="E16:E20" si="3">D16/200*25</f>
        <v>90.5</v>
      </c>
      <c r="F16" s="19">
        <v>2838</v>
      </c>
      <c r="G16" s="22">
        <f t="shared" si="2"/>
        <v>330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1279.4000000000001</v>
      </c>
      <c r="Q16" s="24"/>
      <c r="R16" s="24"/>
      <c r="S16" s="25"/>
      <c r="T16" s="24"/>
      <c r="U16" s="24"/>
      <c r="V16" s="24">
        <v>23</v>
      </c>
      <c r="W16" s="25">
        <v>1805</v>
      </c>
      <c r="X16" s="25"/>
      <c r="Y16" s="24">
        <v>207</v>
      </c>
      <c r="Z16" s="24">
        <v>4</v>
      </c>
      <c r="AA16" s="24">
        <v>472</v>
      </c>
      <c r="AB16" s="24">
        <v>404</v>
      </c>
      <c r="AC16" s="24"/>
      <c r="AD16" s="24"/>
      <c r="AE16" s="26">
        <f t="shared" ref="AE16:AE20" si="5">Y16*2.43</f>
        <v>503.01000000000005</v>
      </c>
      <c r="AF16" s="24"/>
      <c r="AG16" s="27"/>
      <c r="AH16" s="29"/>
    </row>
    <row r="17" spans="1:41" s="28" customFormat="1" ht="26.25" customHeight="1" x14ac:dyDescent="0.25">
      <c r="A17" s="18">
        <v>46126</v>
      </c>
      <c r="B17" s="19"/>
      <c r="C17" s="20">
        <f t="shared" si="0"/>
        <v>0</v>
      </c>
      <c r="D17" s="19">
        <v>408</v>
      </c>
      <c r="E17" s="21">
        <f t="shared" si="3"/>
        <v>51</v>
      </c>
      <c r="F17" s="19">
        <v>2589</v>
      </c>
      <c r="G17" s="22">
        <f t="shared" si="2"/>
        <v>301.04651162790697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806.19999999999993</v>
      </c>
      <c r="Q17" s="24"/>
      <c r="R17" s="24"/>
      <c r="S17" s="24"/>
      <c r="T17" s="24"/>
      <c r="U17" s="24"/>
      <c r="V17" s="24">
        <v>11</v>
      </c>
      <c r="W17" s="25">
        <v>1239</v>
      </c>
      <c r="X17" s="25"/>
      <c r="Y17" s="24">
        <v>190</v>
      </c>
      <c r="Z17" s="24">
        <v>6</v>
      </c>
      <c r="AA17" s="24">
        <v>313</v>
      </c>
      <c r="AB17" s="24">
        <v>323</v>
      </c>
      <c r="AC17" s="24"/>
      <c r="AD17" s="24"/>
      <c r="AE17" s="26">
        <f t="shared" si="5"/>
        <v>461.70000000000005</v>
      </c>
      <c r="AF17" s="24"/>
      <c r="AG17" s="27"/>
    </row>
    <row r="18" spans="1:41" s="28" customFormat="1" ht="26.25" customHeight="1" x14ac:dyDescent="0.25">
      <c r="A18" s="18">
        <v>46127</v>
      </c>
      <c r="B18" s="19"/>
      <c r="C18" s="20">
        <f t="shared" si="0"/>
        <v>0</v>
      </c>
      <c r="D18" s="19">
        <v>513</v>
      </c>
      <c r="E18" s="21">
        <f t="shared" si="3"/>
        <v>64.125</v>
      </c>
      <c r="F18" s="19">
        <v>2627</v>
      </c>
      <c r="G18" s="22">
        <f t="shared" si="2"/>
        <v>305.46511627906978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908</v>
      </c>
      <c r="Q18" s="24"/>
      <c r="R18" s="24"/>
      <c r="S18" s="24"/>
      <c r="T18" s="24"/>
      <c r="U18" s="24"/>
      <c r="V18" s="12">
        <v>16</v>
      </c>
      <c r="W18" s="25">
        <v>1399</v>
      </c>
      <c r="X18" s="25"/>
      <c r="Y18" s="24">
        <v>161</v>
      </c>
      <c r="Z18" s="24">
        <v>6</v>
      </c>
      <c r="AA18" s="24">
        <v>372</v>
      </c>
      <c r="AB18" s="24">
        <v>335</v>
      </c>
      <c r="AC18" s="24"/>
      <c r="AD18" s="24"/>
      <c r="AE18" s="26">
        <f t="shared" si="5"/>
        <v>391.23</v>
      </c>
      <c r="AF18" s="24"/>
      <c r="AG18" s="27"/>
      <c r="AH18" s="29"/>
    </row>
    <row r="19" spans="1:41" s="28" customFormat="1" ht="26.25" customHeight="1" x14ac:dyDescent="0.25">
      <c r="A19" s="18">
        <v>46128</v>
      </c>
      <c r="B19" s="19"/>
      <c r="C19" s="20">
        <f>B19/200*25</f>
        <v>0</v>
      </c>
      <c r="D19" s="19">
        <v>412</v>
      </c>
      <c r="E19" s="21">
        <f t="shared" si="3"/>
        <v>51.5</v>
      </c>
      <c r="F19" s="19">
        <v>2562</v>
      </c>
      <c r="G19" s="22">
        <f t="shared" si="2"/>
        <v>297.90697674418601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829.2</v>
      </c>
      <c r="Q19" s="24"/>
      <c r="R19" s="24"/>
      <c r="S19" s="24"/>
      <c r="T19" s="24"/>
      <c r="U19" s="24"/>
      <c r="V19" s="24">
        <v>16</v>
      </c>
      <c r="W19" s="25">
        <v>1332</v>
      </c>
      <c r="X19" s="25"/>
      <c r="Y19" s="24">
        <v>127</v>
      </c>
      <c r="Z19" s="24">
        <v>6</v>
      </c>
      <c r="AA19" s="24">
        <v>306</v>
      </c>
      <c r="AB19" s="24">
        <v>317</v>
      </c>
      <c r="AC19" s="24"/>
      <c r="AD19" s="24"/>
      <c r="AE19" s="26">
        <f t="shared" si="5"/>
        <v>308.61</v>
      </c>
      <c r="AF19" s="24"/>
      <c r="AG19" s="27"/>
    </row>
    <row r="20" spans="1:41" s="28" customFormat="1" ht="26.25" customHeight="1" x14ac:dyDescent="0.25">
      <c r="A20" s="18">
        <v>46129</v>
      </c>
      <c r="B20" s="19"/>
      <c r="C20" s="20">
        <f t="shared" ref="C20:C21" si="7">B20/200*25</f>
        <v>0</v>
      </c>
      <c r="D20" s="19">
        <v>632</v>
      </c>
      <c r="E20" s="21">
        <f t="shared" si="3"/>
        <v>79</v>
      </c>
      <c r="F20" s="19">
        <v>2257</v>
      </c>
      <c r="G20" s="22">
        <f t="shared" si="2"/>
        <v>262.44186046511629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1060.8</v>
      </c>
      <c r="Q20" s="24"/>
      <c r="R20" s="24"/>
      <c r="S20" s="25"/>
      <c r="T20" s="24"/>
      <c r="U20" s="24"/>
      <c r="V20" s="24">
        <v>22</v>
      </c>
      <c r="W20" s="25">
        <v>1552</v>
      </c>
      <c r="X20" s="25"/>
      <c r="Y20" s="24">
        <v>180</v>
      </c>
      <c r="Z20" s="24">
        <v>4</v>
      </c>
      <c r="AA20" s="24">
        <v>283</v>
      </c>
      <c r="AB20" s="24">
        <v>429</v>
      </c>
      <c r="AC20" s="24"/>
      <c r="AD20" s="24"/>
      <c r="AE20" s="26">
        <f t="shared" si="5"/>
        <v>437.40000000000003</v>
      </c>
      <c r="AF20" s="24"/>
      <c r="AG20" s="27"/>
    </row>
    <row r="21" spans="1:41" s="28" customFormat="1" ht="26.25" customHeight="1" x14ac:dyDescent="0.25">
      <c r="A21" s="18">
        <v>46130</v>
      </c>
      <c r="B21" s="19">
        <v>1470</v>
      </c>
      <c r="C21" s="21">
        <f t="shared" si="7"/>
        <v>183.75</v>
      </c>
      <c r="D21" s="19">
        <v>267</v>
      </c>
      <c r="E21" s="21">
        <f t="shared" ref="E21" si="8">D21/208*25</f>
        <v>32.091346153846153</v>
      </c>
      <c r="F21" s="19">
        <v>2411</v>
      </c>
      <c r="G21" s="21">
        <f t="shared" si="2"/>
        <v>280.3488372093023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899.8</v>
      </c>
      <c r="Q21" s="24"/>
      <c r="R21" s="24"/>
      <c r="S21" s="25"/>
      <c r="T21" s="25"/>
      <c r="U21" s="24"/>
      <c r="V21" s="24">
        <v>19</v>
      </c>
      <c r="W21" s="25">
        <v>1371</v>
      </c>
      <c r="X21" s="25"/>
      <c r="Y21" s="24">
        <v>191</v>
      </c>
      <c r="Z21" s="24">
        <v>4</v>
      </c>
      <c r="AA21" s="24">
        <v>443</v>
      </c>
      <c r="AB21" s="24">
        <v>270</v>
      </c>
      <c r="AC21" s="24"/>
      <c r="AD21" s="24"/>
      <c r="AE21" s="26">
        <f>Y21*2.43</f>
        <v>464.13000000000005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3291</v>
      </c>
      <c r="E22" s="33">
        <f t="shared" si="9"/>
        <v>408.48076923076923</v>
      </c>
      <c r="F22" s="31">
        <f t="shared" si="9"/>
        <v>18323</v>
      </c>
      <c r="G22" s="33">
        <f t="shared" si="9"/>
        <v>2130.5813953488373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6851.2000000000007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121</v>
      </c>
      <c r="W22" s="31">
        <f t="shared" si="9"/>
        <v>10289</v>
      </c>
      <c r="X22" s="31">
        <f t="shared" si="9"/>
        <v>0</v>
      </c>
      <c r="Y22" s="31">
        <f t="shared" si="9"/>
        <v>1247</v>
      </c>
      <c r="Z22" s="31">
        <f t="shared" si="9"/>
        <v>36</v>
      </c>
      <c r="AA22" s="31">
        <f t="shared" si="9"/>
        <v>2642</v>
      </c>
      <c r="AB22" s="31">
        <f t="shared" si="9"/>
        <v>2446</v>
      </c>
      <c r="AC22" s="31">
        <f t="shared" si="9"/>
        <v>0</v>
      </c>
      <c r="AD22" s="31">
        <f t="shared" si="9"/>
        <v>0</v>
      </c>
      <c r="AE22" s="33">
        <f t="shared" si="9"/>
        <v>3030.2100000000005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R24" sqref="R24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23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23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23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24" t="s">
        <v>5</v>
      </c>
      <c r="Q9" s="197"/>
      <c r="R9" s="194"/>
      <c r="S9" s="194"/>
      <c r="T9" s="194"/>
      <c r="U9" s="195"/>
      <c r="V9" s="168"/>
      <c r="W9" s="168"/>
      <c r="X9" s="124"/>
      <c r="Y9" s="168" t="s">
        <v>5</v>
      </c>
      <c r="Z9" s="168"/>
      <c r="AA9" s="200"/>
      <c r="AB9" s="168"/>
      <c r="AC9" s="168"/>
      <c r="AD9" s="168"/>
      <c r="AE9" s="124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25" t="s">
        <v>16</v>
      </c>
      <c r="Z11" s="125" t="s">
        <v>17</v>
      </c>
      <c r="AA11" s="125" t="s">
        <v>18</v>
      </c>
      <c r="AB11" s="125" t="s">
        <v>18</v>
      </c>
      <c r="AC11" s="125" t="s">
        <v>83</v>
      </c>
      <c r="AD11" s="125" t="s">
        <v>18</v>
      </c>
      <c r="AE11" s="125" t="s">
        <v>19</v>
      </c>
      <c r="AF11" s="125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25">
        <v>2.4</v>
      </c>
      <c r="R12" s="125">
        <v>3.6</v>
      </c>
      <c r="S12" s="125">
        <v>2.4</v>
      </c>
      <c r="T12" s="125">
        <v>3.6</v>
      </c>
      <c r="U12" s="125">
        <v>2.4</v>
      </c>
      <c r="V12" s="125">
        <v>3.6</v>
      </c>
      <c r="W12" s="125">
        <v>2.4</v>
      </c>
      <c r="X12" s="125">
        <v>4.9000000000000004</v>
      </c>
      <c r="Y12" s="125"/>
      <c r="Z12" s="125"/>
      <c r="AA12" s="125">
        <v>5</v>
      </c>
      <c r="AB12" s="125">
        <v>10</v>
      </c>
      <c r="AC12" s="125" t="s">
        <v>84</v>
      </c>
      <c r="AD12" s="125">
        <v>40</v>
      </c>
      <c r="AE12" s="125"/>
      <c r="AF12" s="125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26">
        <v>10128</v>
      </c>
      <c r="Q13" s="126">
        <v>10962</v>
      </c>
      <c r="R13" s="126">
        <v>15427</v>
      </c>
      <c r="S13" s="126">
        <v>16623</v>
      </c>
      <c r="T13" s="126">
        <v>16967</v>
      </c>
      <c r="U13" s="126">
        <v>28230</v>
      </c>
      <c r="V13" s="126">
        <v>10966</v>
      </c>
      <c r="W13" s="126">
        <v>10965</v>
      </c>
      <c r="X13" s="126">
        <v>21809</v>
      </c>
      <c r="Y13" s="126">
        <v>11966</v>
      </c>
      <c r="Z13" s="126">
        <v>11089</v>
      </c>
      <c r="AA13" s="126">
        <v>10960</v>
      </c>
      <c r="AB13" s="126">
        <v>10961</v>
      </c>
      <c r="AC13" s="126">
        <v>33442</v>
      </c>
      <c r="AD13" s="126">
        <v>10959</v>
      </c>
      <c r="AE13" s="126">
        <v>12487</v>
      </c>
      <c r="AF13" s="126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46131</v>
      </c>
      <c r="B15" s="19">
        <v>1037</v>
      </c>
      <c r="C15" s="21">
        <f t="shared" ref="C15:C18" si="0">B15/200*25</f>
        <v>129.625</v>
      </c>
      <c r="D15" s="19"/>
      <c r="E15" s="21">
        <f t="shared" ref="E15" si="1">D15/208*25</f>
        <v>0</v>
      </c>
      <c r="F15" s="19">
        <v>2417</v>
      </c>
      <c r="G15" s="21">
        <f t="shared" ref="G15:G21" si="2">F15/215*25</f>
        <v>281.04651162790697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977.60000000000014</v>
      </c>
      <c r="Q15" s="24"/>
      <c r="R15" s="24"/>
      <c r="S15" s="24"/>
      <c r="T15" s="24"/>
      <c r="U15" s="24"/>
      <c r="V15" s="24">
        <v>31</v>
      </c>
      <c r="W15" s="25">
        <v>1405</v>
      </c>
      <c r="X15" s="25"/>
      <c r="Y15" s="24">
        <v>159</v>
      </c>
      <c r="Z15" s="24">
        <v>6</v>
      </c>
      <c r="AA15" s="24">
        <v>310</v>
      </c>
      <c r="AB15" s="24">
        <v>374</v>
      </c>
      <c r="AC15" s="24"/>
      <c r="AD15" s="24"/>
      <c r="AE15" s="26">
        <f>Y15*2.43</f>
        <v>386.37</v>
      </c>
      <c r="AF15" s="24"/>
      <c r="AG15" s="27"/>
      <c r="AH15" s="86"/>
    </row>
    <row r="16" spans="1:34" s="28" customFormat="1" ht="26.25" customHeight="1" x14ac:dyDescent="0.25">
      <c r="A16" s="18">
        <v>46132</v>
      </c>
      <c r="B16" s="19"/>
      <c r="C16" s="20">
        <f t="shared" si="0"/>
        <v>0</v>
      </c>
      <c r="D16" s="19"/>
      <c r="E16" s="21">
        <f t="shared" ref="E16:E20" si="3">D16/200*25</f>
        <v>0</v>
      </c>
      <c r="F16" s="19">
        <v>3684</v>
      </c>
      <c r="G16" s="22">
        <f t="shared" si="2"/>
        <v>428.37209302325584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1184.6000000000001</v>
      </c>
      <c r="Q16" s="24"/>
      <c r="R16" s="24"/>
      <c r="S16" s="25"/>
      <c r="T16" s="24"/>
      <c r="U16" s="24"/>
      <c r="V16" s="24">
        <v>32</v>
      </c>
      <c r="W16" s="25">
        <v>1810</v>
      </c>
      <c r="X16" s="25"/>
      <c r="Y16" s="24">
        <v>217</v>
      </c>
      <c r="Z16" s="24">
        <v>8</v>
      </c>
      <c r="AA16" s="24">
        <v>425</v>
      </c>
      <c r="AB16" s="24">
        <v>440</v>
      </c>
      <c r="AC16" s="24"/>
      <c r="AD16" s="24"/>
      <c r="AE16" s="26">
        <f t="shared" ref="AE16:AE20" si="5">Y16*2.43</f>
        <v>527.31000000000006</v>
      </c>
      <c r="AF16" s="24"/>
      <c r="AG16" s="27"/>
      <c r="AH16" s="29"/>
    </row>
    <row r="17" spans="1:41" s="28" customFormat="1" ht="26.25" customHeight="1" x14ac:dyDescent="0.25">
      <c r="A17" s="18">
        <v>46133</v>
      </c>
      <c r="B17" s="19"/>
      <c r="C17" s="20">
        <f t="shared" si="0"/>
        <v>0</v>
      </c>
      <c r="D17" s="19"/>
      <c r="E17" s="21">
        <f t="shared" si="3"/>
        <v>0</v>
      </c>
      <c r="F17" s="19">
        <v>3237</v>
      </c>
      <c r="G17" s="22">
        <f t="shared" si="2"/>
        <v>376.39534883720927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1121.4000000000001</v>
      </c>
      <c r="Q17" s="24"/>
      <c r="R17" s="24"/>
      <c r="S17" s="24"/>
      <c r="T17" s="24"/>
      <c r="U17" s="24"/>
      <c r="V17" s="24">
        <v>41</v>
      </c>
      <c r="W17" s="25">
        <v>1665</v>
      </c>
      <c r="X17" s="25"/>
      <c r="Y17" s="24">
        <v>191</v>
      </c>
      <c r="Z17" s="24">
        <v>8</v>
      </c>
      <c r="AA17" s="24">
        <v>393</v>
      </c>
      <c r="AB17" s="24">
        <v>359</v>
      </c>
      <c r="AC17" s="24"/>
      <c r="AD17" s="24"/>
      <c r="AE17" s="26">
        <f t="shared" si="5"/>
        <v>464.13000000000005</v>
      </c>
      <c r="AF17" s="24"/>
      <c r="AG17" s="27"/>
    </row>
    <row r="18" spans="1:41" s="28" customFormat="1" ht="26.25" customHeight="1" x14ac:dyDescent="0.25">
      <c r="A18" s="18">
        <v>46134</v>
      </c>
      <c r="B18" s="19"/>
      <c r="C18" s="20">
        <f t="shared" si="0"/>
        <v>0</v>
      </c>
      <c r="D18" s="19">
        <v>470</v>
      </c>
      <c r="E18" s="21">
        <f t="shared" si="3"/>
        <v>58.75</v>
      </c>
      <c r="F18" s="19">
        <v>2684</v>
      </c>
      <c r="G18" s="22">
        <f t="shared" si="2"/>
        <v>312.09302325581393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1082.4000000000001</v>
      </c>
      <c r="Q18" s="24"/>
      <c r="R18" s="24"/>
      <c r="S18" s="24"/>
      <c r="T18" s="24"/>
      <c r="U18" s="24"/>
      <c r="V18" s="12">
        <v>28</v>
      </c>
      <c r="W18" s="25">
        <v>1650</v>
      </c>
      <c r="X18" s="25"/>
      <c r="Y18" s="24">
        <v>189</v>
      </c>
      <c r="Z18" s="24">
        <v>8</v>
      </c>
      <c r="AA18" s="24">
        <v>358</v>
      </c>
      <c r="AB18" s="24">
        <v>381</v>
      </c>
      <c r="AC18" s="24"/>
      <c r="AD18" s="24"/>
      <c r="AE18" s="26">
        <f t="shared" si="5"/>
        <v>459.27000000000004</v>
      </c>
      <c r="AF18" s="24"/>
      <c r="AG18" s="27"/>
      <c r="AH18" s="29"/>
    </row>
    <row r="19" spans="1:41" s="28" customFormat="1" ht="26.25" customHeight="1" x14ac:dyDescent="0.25">
      <c r="A19" s="18">
        <v>46135</v>
      </c>
      <c r="B19" s="19"/>
      <c r="C19" s="20">
        <f>B19/200*25</f>
        <v>0</v>
      </c>
      <c r="D19" s="19">
        <v>1494</v>
      </c>
      <c r="E19" s="21">
        <f t="shared" si="3"/>
        <v>186.75</v>
      </c>
      <c r="F19" s="19">
        <v>2174</v>
      </c>
      <c r="G19" s="22">
        <f t="shared" si="2"/>
        <v>252.79069767441862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1145.6000000000001</v>
      </c>
      <c r="Q19" s="24"/>
      <c r="R19" s="24"/>
      <c r="S19" s="24"/>
      <c r="T19" s="24"/>
      <c r="U19" s="24"/>
      <c r="V19" s="24">
        <v>25</v>
      </c>
      <c r="W19" s="25">
        <v>1812</v>
      </c>
      <c r="X19" s="25"/>
      <c r="Y19" s="24">
        <v>207</v>
      </c>
      <c r="Z19" s="24">
        <v>8</v>
      </c>
      <c r="AA19" s="24">
        <v>425</v>
      </c>
      <c r="AB19" s="24">
        <v>448</v>
      </c>
      <c r="AC19" s="24"/>
      <c r="AD19" s="24"/>
      <c r="AE19" s="26">
        <f t="shared" si="5"/>
        <v>503.01000000000005</v>
      </c>
      <c r="AF19" s="24"/>
      <c r="AG19" s="27"/>
    </row>
    <row r="20" spans="1:41" s="28" customFormat="1" ht="26.25" customHeight="1" x14ac:dyDescent="0.25">
      <c r="A20" s="18">
        <v>46136</v>
      </c>
      <c r="B20" s="19"/>
      <c r="C20" s="20">
        <f t="shared" ref="C20:C21" si="7">B20/200*25</f>
        <v>0</v>
      </c>
      <c r="D20" s="19">
        <v>1202</v>
      </c>
      <c r="E20" s="21">
        <f t="shared" si="3"/>
        <v>150.25</v>
      </c>
      <c r="F20" s="19">
        <v>1854</v>
      </c>
      <c r="G20" s="22">
        <f t="shared" si="2"/>
        <v>215.58139534883719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1001</v>
      </c>
      <c r="Q20" s="24"/>
      <c r="R20" s="24"/>
      <c r="S20" s="25"/>
      <c r="T20" s="24"/>
      <c r="U20" s="24"/>
      <c r="V20" s="24">
        <v>6</v>
      </c>
      <c r="W20" s="25">
        <v>1506</v>
      </c>
      <c r="X20" s="25"/>
      <c r="Y20" s="24">
        <v>168</v>
      </c>
      <c r="Z20" s="24">
        <v>8</v>
      </c>
      <c r="AA20" s="24">
        <v>466</v>
      </c>
      <c r="AB20" s="24">
        <v>313</v>
      </c>
      <c r="AC20" s="24"/>
      <c r="AD20" s="24"/>
      <c r="AE20" s="26">
        <f t="shared" si="5"/>
        <v>408.24</v>
      </c>
      <c r="AF20" s="24"/>
      <c r="AG20" s="27"/>
    </row>
    <row r="21" spans="1:41" s="28" customFormat="1" ht="26.25" customHeight="1" x14ac:dyDescent="0.25">
      <c r="A21" s="18">
        <v>46137</v>
      </c>
      <c r="B21" s="19">
        <v>1470</v>
      </c>
      <c r="C21" s="21">
        <f t="shared" si="7"/>
        <v>183.75</v>
      </c>
      <c r="D21" s="19">
        <v>1076</v>
      </c>
      <c r="E21" s="21">
        <f t="shared" ref="E21" si="8">D21/208*25</f>
        <v>129.32692307692309</v>
      </c>
      <c r="F21" s="19">
        <v>1276</v>
      </c>
      <c r="G21" s="21">
        <f t="shared" si="2"/>
        <v>148.37209302325581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993.40000000000009</v>
      </c>
      <c r="Q21" s="24"/>
      <c r="R21" s="24"/>
      <c r="S21" s="25"/>
      <c r="T21" s="25"/>
      <c r="U21" s="24"/>
      <c r="V21" s="24">
        <v>19</v>
      </c>
      <c r="W21" s="25">
        <v>1358</v>
      </c>
      <c r="X21" s="25"/>
      <c r="Y21" s="24">
        <v>169</v>
      </c>
      <c r="Z21" s="24">
        <v>4</v>
      </c>
      <c r="AA21" s="24">
        <v>278</v>
      </c>
      <c r="AB21" s="24">
        <v>395</v>
      </c>
      <c r="AC21" s="24"/>
      <c r="AD21" s="24"/>
      <c r="AE21" s="26">
        <f>Y21*2.43</f>
        <v>410.67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4242</v>
      </c>
      <c r="E22" s="33">
        <f t="shared" si="9"/>
        <v>525.07692307692309</v>
      </c>
      <c r="F22" s="31">
        <f t="shared" si="9"/>
        <v>17326</v>
      </c>
      <c r="G22" s="33">
        <f t="shared" si="9"/>
        <v>2014.6511627906975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7506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182</v>
      </c>
      <c r="W22" s="31">
        <f t="shared" si="9"/>
        <v>11206</v>
      </c>
      <c r="X22" s="31">
        <f t="shared" si="9"/>
        <v>0</v>
      </c>
      <c r="Y22" s="31">
        <f t="shared" si="9"/>
        <v>1300</v>
      </c>
      <c r="Z22" s="31">
        <f t="shared" si="9"/>
        <v>50</v>
      </c>
      <c r="AA22" s="31">
        <f t="shared" si="9"/>
        <v>2655</v>
      </c>
      <c r="AB22" s="31">
        <f t="shared" si="9"/>
        <v>2710</v>
      </c>
      <c r="AC22" s="31">
        <f t="shared" si="9"/>
        <v>0</v>
      </c>
      <c r="AD22" s="31">
        <f t="shared" si="9"/>
        <v>0</v>
      </c>
      <c r="AE22" s="33">
        <f t="shared" si="9"/>
        <v>3159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7" zoomScaleNormal="100" workbookViewId="0">
      <selection activeCell="AE21" sqref="AE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31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31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31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29" t="s">
        <v>5</v>
      </c>
      <c r="Q9" s="197"/>
      <c r="R9" s="194"/>
      <c r="S9" s="194"/>
      <c r="T9" s="194"/>
      <c r="U9" s="195"/>
      <c r="V9" s="168"/>
      <c r="W9" s="168"/>
      <c r="X9" s="129"/>
      <c r="Y9" s="168" t="s">
        <v>5</v>
      </c>
      <c r="Z9" s="168"/>
      <c r="AA9" s="200"/>
      <c r="AB9" s="168"/>
      <c r="AC9" s="168"/>
      <c r="AD9" s="168"/>
      <c r="AE9" s="129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27" t="s">
        <v>16</v>
      </c>
      <c r="Z11" s="127" t="s">
        <v>17</v>
      </c>
      <c r="AA11" s="127" t="s">
        <v>18</v>
      </c>
      <c r="AB11" s="127" t="s">
        <v>18</v>
      </c>
      <c r="AC11" s="127" t="s">
        <v>83</v>
      </c>
      <c r="AD11" s="127" t="s">
        <v>18</v>
      </c>
      <c r="AE11" s="127" t="s">
        <v>19</v>
      </c>
      <c r="AF11" s="127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27">
        <v>2.4</v>
      </c>
      <c r="R12" s="127">
        <v>3.6</v>
      </c>
      <c r="S12" s="127">
        <v>2.4</v>
      </c>
      <c r="T12" s="127">
        <v>3.6</v>
      </c>
      <c r="U12" s="127">
        <v>2.4</v>
      </c>
      <c r="V12" s="127">
        <v>3.6</v>
      </c>
      <c r="W12" s="127">
        <v>2.4</v>
      </c>
      <c r="X12" s="127">
        <v>4.9000000000000004</v>
      </c>
      <c r="Y12" s="127"/>
      <c r="Z12" s="127"/>
      <c r="AA12" s="127">
        <v>5</v>
      </c>
      <c r="AB12" s="127">
        <v>10</v>
      </c>
      <c r="AC12" s="127" t="s">
        <v>84</v>
      </c>
      <c r="AD12" s="127">
        <v>40</v>
      </c>
      <c r="AE12" s="127"/>
      <c r="AF12" s="127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28">
        <v>10128</v>
      </c>
      <c r="Q13" s="128">
        <v>10962</v>
      </c>
      <c r="R13" s="128">
        <v>15427</v>
      </c>
      <c r="S13" s="128">
        <v>16623</v>
      </c>
      <c r="T13" s="128">
        <v>16967</v>
      </c>
      <c r="U13" s="128">
        <v>28230</v>
      </c>
      <c r="V13" s="128">
        <v>10966</v>
      </c>
      <c r="W13" s="128">
        <v>10965</v>
      </c>
      <c r="X13" s="128">
        <v>21809</v>
      </c>
      <c r="Y13" s="128">
        <v>11966</v>
      </c>
      <c r="Z13" s="128">
        <v>11089</v>
      </c>
      <c r="AA13" s="128">
        <v>10960</v>
      </c>
      <c r="AB13" s="128">
        <v>10961</v>
      </c>
      <c r="AC13" s="128">
        <v>33442</v>
      </c>
      <c r="AD13" s="128">
        <v>10959</v>
      </c>
      <c r="AE13" s="128">
        <v>12487</v>
      </c>
      <c r="AF13" s="128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46138</v>
      </c>
      <c r="B15" s="19">
        <v>1037</v>
      </c>
      <c r="C15" s="21">
        <f t="shared" ref="C15:C18" si="0">B15/200*25</f>
        <v>129.625</v>
      </c>
      <c r="D15" s="19">
        <v>1040</v>
      </c>
      <c r="E15" s="21">
        <f t="shared" ref="E15" si="1">D15/208*25</f>
        <v>125</v>
      </c>
      <c r="F15" s="19">
        <v>1196</v>
      </c>
      <c r="G15" s="21">
        <f t="shared" ref="G15:G21" si="2">F15/215*25</f>
        <v>139.06976744186045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903.19999999999993</v>
      </c>
      <c r="Q15" s="24"/>
      <c r="R15" s="24"/>
      <c r="S15" s="24"/>
      <c r="T15" s="24"/>
      <c r="U15" s="24"/>
      <c r="V15" s="24">
        <v>16</v>
      </c>
      <c r="W15" s="25">
        <v>1309</v>
      </c>
      <c r="X15" s="25"/>
      <c r="Y15" s="24">
        <v>124</v>
      </c>
      <c r="Z15" s="24">
        <v>4</v>
      </c>
      <c r="AA15" s="24">
        <v>271</v>
      </c>
      <c r="AB15" s="24">
        <v>307</v>
      </c>
      <c r="AC15" s="24"/>
      <c r="AD15" s="24"/>
      <c r="AE15" s="26">
        <f>Y15*2.43</f>
        <v>301.32</v>
      </c>
      <c r="AF15" s="24"/>
      <c r="AG15" s="27"/>
      <c r="AH15" s="86"/>
    </row>
    <row r="16" spans="1:34" s="28" customFormat="1" ht="26.25" customHeight="1" x14ac:dyDescent="0.25">
      <c r="A16" s="18">
        <v>46139</v>
      </c>
      <c r="B16" s="19"/>
      <c r="C16" s="20">
        <f t="shared" si="0"/>
        <v>0</v>
      </c>
      <c r="D16" s="19">
        <v>1393</v>
      </c>
      <c r="E16" s="21">
        <f t="shared" ref="E16:E20" si="3">D16/200*25</f>
        <v>174.125</v>
      </c>
      <c r="F16" s="19">
        <v>1962</v>
      </c>
      <c r="G16" s="22">
        <f t="shared" si="2"/>
        <v>228.13953488372093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1030.3999999999999</v>
      </c>
      <c r="Q16" s="24"/>
      <c r="R16" s="24"/>
      <c r="S16" s="25"/>
      <c r="T16" s="24"/>
      <c r="U16" s="24"/>
      <c r="V16" s="24">
        <v>35</v>
      </c>
      <c r="W16" s="25">
        <v>1609</v>
      </c>
      <c r="X16" s="25"/>
      <c r="Y16" s="24">
        <v>200</v>
      </c>
      <c r="Z16" s="24">
        <v>4</v>
      </c>
      <c r="AA16" s="24">
        <v>438</v>
      </c>
      <c r="AB16" s="24">
        <v>346</v>
      </c>
      <c r="AC16" s="24"/>
      <c r="AD16" s="24"/>
      <c r="AE16" s="26">
        <f t="shared" ref="AE16:AE20" si="5">Y16*2.43</f>
        <v>486.00000000000006</v>
      </c>
      <c r="AF16" s="24"/>
      <c r="AG16" s="27"/>
      <c r="AH16" s="29"/>
    </row>
    <row r="17" spans="1:41" s="28" customFormat="1" ht="26.25" customHeight="1" x14ac:dyDescent="0.25">
      <c r="A17" s="18">
        <v>46140</v>
      </c>
      <c r="B17" s="19"/>
      <c r="C17" s="20">
        <f t="shared" si="0"/>
        <v>0</v>
      </c>
      <c r="D17" s="19">
        <v>1172</v>
      </c>
      <c r="E17" s="21">
        <f t="shared" si="3"/>
        <v>146.5</v>
      </c>
      <c r="F17" s="19">
        <v>1916</v>
      </c>
      <c r="G17" s="22">
        <f t="shared" si="2"/>
        <v>222.7906976744186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1005.5999999999999</v>
      </c>
      <c r="Q17" s="24"/>
      <c r="R17" s="24"/>
      <c r="S17" s="24"/>
      <c r="T17" s="24"/>
      <c r="U17" s="24"/>
      <c r="V17" s="24">
        <v>53</v>
      </c>
      <c r="W17" s="25">
        <v>1550</v>
      </c>
      <c r="X17" s="25"/>
      <c r="Y17" s="24">
        <v>162</v>
      </c>
      <c r="Z17" s="24">
        <v>6</v>
      </c>
      <c r="AA17" s="24">
        <v>408</v>
      </c>
      <c r="AB17" s="24">
        <v>332</v>
      </c>
      <c r="AC17" s="24"/>
      <c r="AD17" s="24"/>
      <c r="AE17" s="26">
        <f t="shared" si="5"/>
        <v>393.66</v>
      </c>
      <c r="AF17" s="24"/>
      <c r="AG17" s="27"/>
    </row>
    <row r="18" spans="1:41" s="28" customFormat="1" ht="26.25" customHeight="1" x14ac:dyDescent="0.25">
      <c r="A18" s="18">
        <v>46141</v>
      </c>
      <c r="B18" s="19"/>
      <c r="C18" s="20">
        <f t="shared" si="0"/>
        <v>0</v>
      </c>
      <c r="D18" s="19">
        <v>1289</v>
      </c>
      <c r="E18" s="21">
        <f t="shared" si="3"/>
        <v>161.125</v>
      </c>
      <c r="F18" s="19">
        <v>1811</v>
      </c>
      <c r="G18" s="22">
        <f t="shared" si="2"/>
        <v>210.58139534883722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984.6</v>
      </c>
      <c r="Q18" s="24"/>
      <c r="R18" s="24"/>
      <c r="S18" s="24"/>
      <c r="T18" s="24"/>
      <c r="U18" s="24"/>
      <c r="V18" s="12">
        <v>31</v>
      </c>
      <c r="W18" s="25">
        <v>1521</v>
      </c>
      <c r="X18" s="25"/>
      <c r="Y18" s="24">
        <v>194</v>
      </c>
      <c r="Z18" s="24">
        <v>4</v>
      </c>
      <c r="AA18" s="24">
        <v>349</v>
      </c>
      <c r="AB18" s="24">
        <v>350</v>
      </c>
      <c r="AC18" s="24"/>
      <c r="AD18" s="24"/>
      <c r="AE18" s="26">
        <f t="shared" si="5"/>
        <v>471.42</v>
      </c>
      <c r="AF18" s="24"/>
      <c r="AG18" s="27"/>
      <c r="AH18" s="29"/>
    </row>
    <row r="19" spans="1:41" s="28" customFormat="1" ht="26.25" customHeight="1" x14ac:dyDescent="0.25">
      <c r="A19" s="18">
        <v>46142</v>
      </c>
      <c r="B19" s="19"/>
      <c r="C19" s="20">
        <f>B19/200*25</f>
        <v>0</v>
      </c>
      <c r="D19" s="19">
        <v>1160</v>
      </c>
      <c r="E19" s="21">
        <f t="shared" si="3"/>
        <v>145</v>
      </c>
      <c r="F19" s="19">
        <v>1524</v>
      </c>
      <c r="G19" s="22">
        <f t="shared" si="2"/>
        <v>177.20930232558138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779.6</v>
      </c>
      <c r="Q19" s="24"/>
      <c r="R19" s="24"/>
      <c r="S19" s="24"/>
      <c r="T19" s="24"/>
      <c r="U19" s="24"/>
      <c r="V19" s="24">
        <v>27</v>
      </c>
      <c r="W19" s="25">
        <v>1232</v>
      </c>
      <c r="X19" s="25"/>
      <c r="Y19" s="24">
        <v>167</v>
      </c>
      <c r="Z19" s="24">
        <v>6</v>
      </c>
      <c r="AA19" s="24">
        <v>336</v>
      </c>
      <c r="AB19" s="24">
        <v>288</v>
      </c>
      <c r="AC19" s="24"/>
      <c r="AD19" s="24"/>
      <c r="AE19" s="26">
        <f t="shared" si="5"/>
        <v>405.81</v>
      </c>
      <c r="AF19" s="24"/>
      <c r="AG19" s="27"/>
    </row>
    <row r="20" spans="1:41" s="28" customFormat="1" ht="26.25" customHeight="1" x14ac:dyDescent="0.25">
      <c r="A20" s="18">
        <v>46143</v>
      </c>
      <c r="B20" s="19"/>
      <c r="C20" s="20">
        <f t="shared" ref="C20:C21" si="7">B20/200*25</f>
        <v>0</v>
      </c>
      <c r="D20" s="19"/>
      <c r="E20" s="21">
        <f t="shared" si="3"/>
        <v>0</v>
      </c>
      <c r="F20" s="19"/>
      <c r="G20" s="22">
        <f t="shared" si="2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5"/>
        <v>0</v>
      </c>
      <c r="AF20" s="24"/>
      <c r="AG20" s="27"/>
    </row>
    <row r="21" spans="1:41" s="28" customFormat="1" ht="26.25" customHeight="1" x14ac:dyDescent="0.25">
      <c r="A21" s="18">
        <v>46144</v>
      </c>
      <c r="B21" s="19">
        <v>1470</v>
      </c>
      <c r="C21" s="21">
        <f t="shared" si="7"/>
        <v>183.75</v>
      </c>
      <c r="D21" s="19">
        <v>1307</v>
      </c>
      <c r="E21" s="21">
        <f t="shared" ref="E21" si="8">D21/208*25</f>
        <v>157.09134615384613</v>
      </c>
      <c r="F21" s="19">
        <v>822</v>
      </c>
      <c r="G21" s="21">
        <f t="shared" si="2"/>
        <v>95.581395348837205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667</v>
      </c>
      <c r="Q21" s="24"/>
      <c r="R21" s="24"/>
      <c r="S21" s="25"/>
      <c r="T21" s="25"/>
      <c r="U21" s="24"/>
      <c r="V21" s="24">
        <v>13</v>
      </c>
      <c r="W21" s="25">
        <v>1057</v>
      </c>
      <c r="X21" s="25"/>
      <c r="Y21" s="24">
        <v>99</v>
      </c>
      <c r="Z21" s="24">
        <v>4</v>
      </c>
      <c r="AA21" s="24">
        <v>187</v>
      </c>
      <c r="AB21" s="24">
        <v>290</v>
      </c>
      <c r="AC21" s="24"/>
      <c r="AD21" s="24"/>
      <c r="AE21" s="26">
        <f>Y21*2.43</f>
        <v>240.57000000000002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7361</v>
      </c>
      <c r="E22" s="33">
        <f t="shared" si="9"/>
        <v>908.84134615384619</v>
      </c>
      <c r="F22" s="31">
        <f t="shared" si="9"/>
        <v>9231</v>
      </c>
      <c r="G22" s="33">
        <f t="shared" si="9"/>
        <v>1073.3720930232557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5370.4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175</v>
      </c>
      <c r="W22" s="31">
        <f t="shared" si="9"/>
        <v>8278</v>
      </c>
      <c r="X22" s="31">
        <f t="shared" si="9"/>
        <v>0</v>
      </c>
      <c r="Y22" s="31">
        <f t="shared" si="9"/>
        <v>946</v>
      </c>
      <c r="Z22" s="31">
        <f t="shared" si="9"/>
        <v>28</v>
      </c>
      <c r="AA22" s="31">
        <f t="shared" si="9"/>
        <v>1989</v>
      </c>
      <c r="AB22" s="31">
        <f t="shared" si="9"/>
        <v>1913</v>
      </c>
      <c r="AC22" s="31">
        <f t="shared" si="9"/>
        <v>0</v>
      </c>
      <c r="AD22" s="31">
        <f t="shared" si="9"/>
        <v>0</v>
      </c>
      <c r="AE22" s="33">
        <f t="shared" si="9"/>
        <v>2298.7800000000002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R22" sqref="R22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184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37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37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37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35" t="s">
        <v>5</v>
      </c>
      <c r="Q9" s="197"/>
      <c r="R9" s="194"/>
      <c r="S9" s="194"/>
      <c r="T9" s="194"/>
      <c r="U9" s="195"/>
      <c r="V9" s="168"/>
      <c r="W9" s="168"/>
      <c r="X9" s="135"/>
      <c r="Y9" s="168" t="s">
        <v>5</v>
      </c>
      <c r="Z9" s="168"/>
      <c r="AA9" s="200"/>
      <c r="AB9" s="168"/>
      <c r="AC9" s="168"/>
      <c r="AD9" s="168"/>
      <c r="AE9" s="135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33" t="s">
        <v>16</v>
      </c>
      <c r="Z11" s="133" t="s">
        <v>17</v>
      </c>
      <c r="AA11" s="133" t="s">
        <v>18</v>
      </c>
      <c r="AB11" s="133" t="s">
        <v>18</v>
      </c>
      <c r="AC11" s="133" t="s">
        <v>83</v>
      </c>
      <c r="AD11" s="133" t="s">
        <v>18</v>
      </c>
      <c r="AE11" s="133" t="s">
        <v>19</v>
      </c>
      <c r="AF11" s="133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33">
        <v>2.4</v>
      </c>
      <c r="R12" s="133">
        <v>3.6</v>
      </c>
      <c r="S12" s="133">
        <v>2.4</v>
      </c>
      <c r="T12" s="133">
        <v>3.6</v>
      </c>
      <c r="U12" s="133">
        <v>2.4</v>
      </c>
      <c r="V12" s="133">
        <v>3.6</v>
      </c>
      <c r="W12" s="133">
        <v>2.4</v>
      </c>
      <c r="X12" s="133">
        <v>4.9000000000000004</v>
      </c>
      <c r="Y12" s="133"/>
      <c r="Z12" s="133"/>
      <c r="AA12" s="133">
        <v>5</v>
      </c>
      <c r="AB12" s="133">
        <v>10</v>
      </c>
      <c r="AC12" s="133" t="s">
        <v>84</v>
      </c>
      <c r="AD12" s="133">
        <v>40</v>
      </c>
      <c r="AE12" s="133"/>
      <c r="AF12" s="133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4">
        <v>10128</v>
      </c>
      <c r="Q13" s="134">
        <v>10962</v>
      </c>
      <c r="R13" s="134">
        <v>15427</v>
      </c>
      <c r="S13" s="134">
        <v>16623</v>
      </c>
      <c r="T13" s="134">
        <v>16967</v>
      </c>
      <c r="U13" s="134">
        <v>28230</v>
      </c>
      <c r="V13" s="134">
        <v>10966</v>
      </c>
      <c r="W13" s="134">
        <v>10965</v>
      </c>
      <c r="X13" s="134">
        <v>21809</v>
      </c>
      <c r="Y13" s="134">
        <v>11966</v>
      </c>
      <c r="Z13" s="134">
        <v>11089</v>
      </c>
      <c r="AA13" s="134">
        <v>10960</v>
      </c>
      <c r="AB13" s="134">
        <v>10961</v>
      </c>
      <c r="AC13" s="134">
        <v>33442</v>
      </c>
      <c r="AD13" s="134">
        <v>10959</v>
      </c>
      <c r="AE13" s="134">
        <v>12487</v>
      </c>
      <c r="AF13" s="134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46145</v>
      </c>
      <c r="B15" s="19">
        <v>1037</v>
      </c>
      <c r="C15" s="21">
        <f t="shared" ref="C15:C18" si="0">B15/200*25</f>
        <v>129.625</v>
      </c>
      <c r="D15" s="19">
        <v>1453</v>
      </c>
      <c r="E15" s="21">
        <f t="shared" ref="E15" si="1">D15/208*25</f>
        <v>174.63942307692309</v>
      </c>
      <c r="F15" s="19">
        <v>1065</v>
      </c>
      <c r="G15" s="21">
        <f t="shared" ref="G15:G21" si="2">F15/215*25</f>
        <v>123.83720930232558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757.00000000000011</v>
      </c>
      <c r="Q15" s="24"/>
      <c r="R15" s="24"/>
      <c r="S15" s="24"/>
      <c r="T15" s="24"/>
      <c r="U15" s="24"/>
      <c r="V15" s="24">
        <v>19</v>
      </c>
      <c r="W15" s="25">
        <v>1226</v>
      </c>
      <c r="X15" s="25"/>
      <c r="Y15" s="24">
        <v>133</v>
      </c>
      <c r="Z15" s="24">
        <v>8</v>
      </c>
      <c r="AA15" s="24">
        <v>313</v>
      </c>
      <c r="AB15" s="24">
        <v>239</v>
      </c>
      <c r="AC15" s="24"/>
      <c r="AD15" s="24"/>
      <c r="AE15" s="26">
        <f>Y15*2.43</f>
        <v>323.19</v>
      </c>
      <c r="AF15" s="24"/>
      <c r="AG15" s="27"/>
      <c r="AH15" s="86"/>
    </row>
    <row r="16" spans="1:34" s="28" customFormat="1" ht="26.25" customHeight="1" x14ac:dyDescent="0.25">
      <c r="A16" s="18">
        <v>46146</v>
      </c>
      <c r="B16" s="19"/>
      <c r="C16" s="20">
        <f t="shared" si="0"/>
        <v>0</v>
      </c>
      <c r="D16" s="19">
        <v>1895</v>
      </c>
      <c r="E16" s="21">
        <f t="shared" ref="E16:E20" si="3">D16/200*25</f>
        <v>236.875</v>
      </c>
      <c r="F16" s="19">
        <v>1552</v>
      </c>
      <c r="G16" s="22">
        <f t="shared" si="2"/>
        <v>180.46511627906975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1183</v>
      </c>
      <c r="Q16" s="24"/>
      <c r="R16" s="24"/>
      <c r="S16" s="25"/>
      <c r="T16" s="24"/>
      <c r="U16" s="24"/>
      <c r="V16" s="24">
        <v>28</v>
      </c>
      <c r="W16" s="25">
        <v>1840</v>
      </c>
      <c r="X16" s="25"/>
      <c r="Y16" s="24">
        <v>184</v>
      </c>
      <c r="Z16" s="24">
        <v>4</v>
      </c>
      <c r="AA16" s="24">
        <v>418</v>
      </c>
      <c r="AB16" s="24">
        <v>412</v>
      </c>
      <c r="AC16" s="24"/>
      <c r="AD16" s="24"/>
      <c r="AE16" s="26">
        <f t="shared" ref="AE16:AE20" si="5">Y16*2.43</f>
        <v>447.12</v>
      </c>
      <c r="AF16" s="24"/>
      <c r="AG16" s="27"/>
      <c r="AH16" s="29"/>
    </row>
    <row r="17" spans="1:41" s="28" customFormat="1" ht="26.25" customHeight="1" x14ac:dyDescent="0.25">
      <c r="A17" s="18">
        <v>46147</v>
      </c>
      <c r="B17" s="19"/>
      <c r="C17" s="20">
        <f t="shared" si="0"/>
        <v>0</v>
      </c>
      <c r="D17" s="19">
        <v>1665</v>
      </c>
      <c r="E17" s="21">
        <f t="shared" si="3"/>
        <v>208.12499999999997</v>
      </c>
      <c r="F17" s="19">
        <v>1323</v>
      </c>
      <c r="G17" s="22">
        <f t="shared" si="2"/>
        <v>153.83720930232559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1201.2</v>
      </c>
      <c r="Q17" s="24"/>
      <c r="R17" s="24"/>
      <c r="S17" s="24"/>
      <c r="T17" s="24"/>
      <c r="U17" s="24"/>
      <c r="V17" s="24">
        <v>48</v>
      </c>
      <c r="W17" s="25">
        <v>1733</v>
      </c>
      <c r="X17" s="25"/>
      <c r="Y17" s="24">
        <v>179</v>
      </c>
      <c r="Z17" s="24">
        <v>8</v>
      </c>
      <c r="AA17" s="24">
        <v>396</v>
      </c>
      <c r="AB17" s="24">
        <v>358</v>
      </c>
      <c r="AC17" s="24"/>
      <c r="AD17" s="24"/>
      <c r="AE17" s="26">
        <f t="shared" si="5"/>
        <v>434.97</v>
      </c>
      <c r="AF17" s="24"/>
      <c r="AG17" s="27"/>
    </row>
    <row r="18" spans="1:41" s="28" customFormat="1" ht="26.25" customHeight="1" x14ac:dyDescent="0.25">
      <c r="A18" s="18">
        <v>46148</v>
      </c>
      <c r="B18" s="19"/>
      <c r="C18" s="20">
        <f t="shared" si="0"/>
        <v>0</v>
      </c>
      <c r="D18" s="19">
        <v>2165</v>
      </c>
      <c r="E18" s="21">
        <f t="shared" si="3"/>
        <v>270.625</v>
      </c>
      <c r="F18" s="19">
        <v>1186</v>
      </c>
      <c r="G18" s="22">
        <f t="shared" si="2"/>
        <v>137.90697674418604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1224</v>
      </c>
      <c r="Q18" s="24"/>
      <c r="R18" s="24"/>
      <c r="S18" s="24"/>
      <c r="T18" s="24"/>
      <c r="U18" s="24"/>
      <c r="V18" s="12">
        <v>65</v>
      </c>
      <c r="W18" s="25">
        <v>1820</v>
      </c>
      <c r="X18" s="25"/>
      <c r="Y18" s="24">
        <v>175</v>
      </c>
      <c r="Z18" s="24">
        <v>6</v>
      </c>
      <c r="AA18" s="24">
        <v>318</v>
      </c>
      <c r="AB18" s="24">
        <v>454</v>
      </c>
      <c r="AC18" s="24"/>
      <c r="AD18" s="24"/>
      <c r="AE18" s="26">
        <f t="shared" si="5"/>
        <v>425.25</v>
      </c>
      <c r="AF18" s="24"/>
      <c r="AG18" s="27"/>
      <c r="AH18" s="29"/>
    </row>
    <row r="19" spans="1:41" s="28" customFormat="1" ht="26.25" customHeight="1" x14ac:dyDescent="0.25">
      <c r="A19" s="18">
        <v>46149</v>
      </c>
      <c r="B19" s="19"/>
      <c r="C19" s="20">
        <f>B19/200*25</f>
        <v>0</v>
      </c>
      <c r="D19" s="19">
        <v>1665</v>
      </c>
      <c r="E19" s="21">
        <f t="shared" si="3"/>
        <v>208.12499999999997</v>
      </c>
      <c r="F19" s="19">
        <v>1103</v>
      </c>
      <c r="G19" s="22">
        <f t="shared" si="2"/>
        <v>128.25581395348837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1035.2</v>
      </c>
      <c r="Q19" s="24"/>
      <c r="R19" s="24"/>
      <c r="S19" s="24"/>
      <c r="T19" s="24"/>
      <c r="U19" s="24"/>
      <c r="V19" s="24">
        <v>45</v>
      </c>
      <c r="W19" s="25">
        <v>1531</v>
      </c>
      <c r="X19" s="25"/>
      <c r="Y19" s="24">
        <v>160</v>
      </c>
      <c r="Z19" s="24">
        <v>8</v>
      </c>
      <c r="AA19" s="24">
        <v>257</v>
      </c>
      <c r="AB19" s="24">
        <v>422</v>
      </c>
      <c r="AC19" s="24"/>
      <c r="AD19" s="24"/>
      <c r="AE19" s="26">
        <f t="shared" si="5"/>
        <v>388.8</v>
      </c>
      <c r="AF19" s="24"/>
      <c r="AG19" s="27"/>
    </row>
    <row r="20" spans="1:41" s="28" customFormat="1" ht="26.25" customHeight="1" x14ac:dyDescent="0.25">
      <c r="A20" s="18">
        <v>46150</v>
      </c>
      <c r="B20" s="19"/>
      <c r="C20" s="20">
        <f t="shared" ref="C20:C21" si="7">B20/200*25</f>
        <v>0</v>
      </c>
      <c r="D20" s="19">
        <v>1983</v>
      </c>
      <c r="E20" s="21">
        <f t="shared" si="3"/>
        <v>247.87499999999997</v>
      </c>
      <c r="F20" s="19">
        <v>956</v>
      </c>
      <c r="G20" s="22">
        <f t="shared" si="2"/>
        <v>111.16279069767442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1041.2</v>
      </c>
      <c r="Q20" s="24"/>
      <c r="R20" s="24"/>
      <c r="S20" s="25"/>
      <c r="T20" s="24"/>
      <c r="U20" s="24"/>
      <c r="V20" s="24">
        <v>51</v>
      </c>
      <c r="W20" s="25">
        <v>1548</v>
      </c>
      <c r="X20" s="25"/>
      <c r="Y20" s="24">
        <v>161</v>
      </c>
      <c r="Z20" s="24">
        <v>2</v>
      </c>
      <c r="AA20" s="24">
        <v>271</v>
      </c>
      <c r="AB20" s="24">
        <v>413</v>
      </c>
      <c r="AC20" s="24"/>
      <c r="AD20" s="24"/>
      <c r="AE20" s="26">
        <f t="shared" si="5"/>
        <v>391.23</v>
      </c>
      <c r="AF20" s="24"/>
      <c r="AG20" s="27"/>
    </row>
    <row r="21" spans="1:41" s="28" customFormat="1" ht="26.25" customHeight="1" x14ac:dyDescent="0.25">
      <c r="A21" s="18">
        <v>46151</v>
      </c>
      <c r="B21" s="19">
        <v>1470</v>
      </c>
      <c r="C21" s="21">
        <f t="shared" si="7"/>
        <v>183.75</v>
      </c>
      <c r="D21" s="19">
        <v>1996</v>
      </c>
      <c r="E21" s="21">
        <f t="shared" ref="E21" si="8">D21/208*25</f>
        <v>239.90384615384616</v>
      </c>
      <c r="F21" s="19">
        <v>1172</v>
      </c>
      <c r="G21" s="21">
        <f t="shared" si="2"/>
        <v>136.27906976744185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1028.8000000000002</v>
      </c>
      <c r="Q21" s="24"/>
      <c r="R21" s="24"/>
      <c r="S21" s="25"/>
      <c r="T21" s="25"/>
      <c r="U21" s="24"/>
      <c r="V21" s="24">
        <v>55</v>
      </c>
      <c r="W21" s="25">
        <v>1597</v>
      </c>
      <c r="X21" s="25"/>
      <c r="Y21" s="24">
        <v>170</v>
      </c>
      <c r="Z21" s="24">
        <v>6</v>
      </c>
      <c r="AA21" s="24">
        <v>373</v>
      </c>
      <c r="AB21" s="24">
        <v>324</v>
      </c>
      <c r="AC21" s="24"/>
      <c r="AD21" s="24"/>
      <c r="AE21" s="26">
        <f>Y21*2.43</f>
        <v>413.1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12822</v>
      </c>
      <c r="E22" s="33">
        <f t="shared" si="9"/>
        <v>1586.1682692307693</v>
      </c>
      <c r="F22" s="31">
        <f t="shared" si="9"/>
        <v>8357</v>
      </c>
      <c r="G22" s="33">
        <f t="shared" si="9"/>
        <v>971.74418604651146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7470.4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311</v>
      </c>
      <c r="W22" s="31">
        <f t="shared" si="9"/>
        <v>11295</v>
      </c>
      <c r="X22" s="31">
        <f t="shared" si="9"/>
        <v>0</v>
      </c>
      <c r="Y22" s="31">
        <f t="shared" si="9"/>
        <v>1162</v>
      </c>
      <c r="Z22" s="31">
        <f t="shared" si="9"/>
        <v>42</v>
      </c>
      <c r="AA22" s="31">
        <f t="shared" si="9"/>
        <v>2346</v>
      </c>
      <c r="AB22" s="31">
        <f t="shared" si="9"/>
        <v>2622</v>
      </c>
      <c r="AC22" s="31">
        <f t="shared" si="9"/>
        <v>0</v>
      </c>
      <c r="AD22" s="31">
        <f t="shared" si="9"/>
        <v>0</v>
      </c>
      <c r="AE22" s="33">
        <f t="shared" si="9"/>
        <v>2823.66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AF16" sqref="AF1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185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39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39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39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40" t="s">
        <v>5</v>
      </c>
      <c r="Q9" s="197"/>
      <c r="R9" s="194"/>
      <c r="S9" s="194"/>
      <c r="T9" s="194"/>
      <c r="U9" s="195"/>
      <c r="V9" s="168"/>
      <c r="W9" s="168"/>
      <c r="X9" s="140"/>
      <c r="Y9" s="168" t="s">
        <v>5</v>
      </c>
      <c r="Z9" s="168"/>
      <c r="AA9" s="200"/>
      <c r="AB9" s="168"/>
      <c r="AC9" s="168"/>
      <c r="AD9" s="168"/>
      <c r="AE9" s="140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41" t="s">
        <v>16</v>
      </c>
      <c r="Z11" s="141" t="s">
        <v>17</v>
      </c>
      <c r="AA11" s="141" t="s">
        <v>18</v>
      </c>
      <c r="AB11" s="141" t="s">
        <v>18</v>
      </c>
      <c r="AC11" s="141" t="s">
        <v>83</v>
      </c>
      <c r="AD11" s="141" t="s">
        <v>18</v>
      </c>
      <c r="AE11" s="141" t="s">
        <v>19</v>
      </c>
      <c r="AF11" s="141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41">
        <v>2.4</v>
      </c>
      <c r="R12" s="141">
        <v>3.6</v>
      </c>
      <c r="S12" s="141">
        <v>2.4</v>
      </c>
      <c r="T12" s="141">
        <v>3.6</v>
      </c>
      <c r="U12" s="141">
        <v>2.4</v>
      </c>
      <c r="V12" s="141">
        <v>3.6</v>
      </c>
      <c r="W12" s="141">
        <v>2.4</v>
      </c>
      <c r="X12" s="141">
        <v>4.9000000000000004</v>
      </c>
      <c r="Y12" s="141"/>
      <c r="Z12" s="141"/>
      <c r="AA12" s="141">
        <v>5</v>
      </c>
      <c r="AB12" s="141">
        <v>10</v>
      </c>
      <c r="AC12" s="141" t="s">
        <v>84</v>
      </c>
      <c r="AD12" s="141">
        <v>40</v>
      </c>
      <c r="AE12" s="141"/>
      <c r="AF12" s="141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42">
        <v>10128</v>
      </c>
      <c r="Q13" s="142">
        <v>10962</v>
      </c>
      <c r="R13" s="142">
        <v>15427</v>
      </c>
      <c r="S13" s="142">
        <v>16623</v>
      </c>
      <c r="T13" s="142">
        <v>16967</v>
      </c>
      <c r="U13" s="142">
        <v>28230</v>
      </c>
      <c r="V13" s="142">
        <v>10966</v>
      </c>
      <c r="W13" s="142">
        <v>10965</v>
      </c>
      <c r="X13" s="142">
        <v>21809</v>
      </c>
      <c r="Y13" s="142">
        <v>11966</v>
      </c>
      <c r="Z13" s="142">
        <v>11089</v>
      </c>
      <c r="AA13" s="142">
        <v>10960</v>
      </c>
      <c r="AB13" s="142">
        <v>10961</v>
      </c>
      <c r="AC13" s="142">
        <v>33442</v>
      </c>
      <c r="AD13" s="142">
        <v>10959</v>
      </c>
      <c r="AE13" s="142">
        <v>12487</v>
      </c>
      <c r="AF13" s="142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46152</v>
      </c>
      <c r="B15" s="19">
        <v>1037</v>
      </c>
      <c r="C15" s="21">
        <f t="shared" ref="C15:C18" si="0">B15/200*25</f>
        <v>129.625</v>
      </c>
      <c r="D15" s="19">
        <v>1611</v>
      </c>
      <c r="E15" s="21">
        <f t="shared" ref="E15" si="1">D15/208*25</f>
        <v>193.62980769230768</v>
      </c>
      <c r="F15" s="19">
        <v>811</v>
      </c>
      <c r="G15" s="21">
        <f t="shared" ref="G15:G21" si="2">F15/215*25</f>
        <v>94.302325581395351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897.59999999999991</v>
      </c>
      <c r="Q15" s="24"/>
      <c r="R15" s="24"/>
      <c r="S15" s="24"/>
      <c r="T15" s="24"/>
      <c r="U15" s="24"/>
      <c r="V15" s="24">
        <v>26</v>
      </c>
      <c r="W15" s="25">
        <v>1328</v>
      </c>
      <c r="X15" s="25"/>
      <c r="Y15" s="24">
        <v>136</v>
      </c>
      <c r="Z15" s="24">
        <v>4</v>
      </c>
      <c r="AA15" s="24">
        <v>509</v>
      </c>
      <c r="AB15" s="24">
        <v>85</v>
      </c>
      <c r="AC15" s="24"/>
      <c r="AD15" s="24"/>
      <c r="AE15" s="26">
        <f>Y15*2.43</f>
        <v>330.48</v>
      </c>
      <c r="AF15" s="24"/>
      <c r="AG15" s="27"/>
      <c r="AH15" s="86"/>
    </row>
    <row r="16" spans="1:34" s="28" customFormat="1" ht="26.25" customHeight="1" x14ac:dyDescent="0.25">
      <c r="A16" s="18">
        <v>46153</v>
      </c>
      <c r="B16" s="19"/>
      <c r="C16" s="20">
        <f t="shared" si="0"/>
        <v>0</v>
      </c>
      <c r="D16" s="19">
        <v>1697</v>
      </c>
      <c r="E16" s="21">
        <f t="shared" ref="E16:E20" si="3">D16/200*25</f>
        <v>212.125</v>
      </c>
      <c r="F16" s="19">
        <v>1404</v>
      </c>
      <c r="G16" s="22">
        <f t="shared" si="2"/>
        <v>163.25581395348837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1179.0000000000002</v>
      </c>
      <c r="Q16" s="24"/>
      <c r="R16" s="24"/>
      <c r="S16" s="25"/>
      <c r="T16" s="24"/>
      <c r="U16" s="24"/>
      <c r="V16" s="24">
        <v>39</v>
      </c>
      <c r="W16" s="25">
        <v>1731</v>
      </c>
      <c r="X16" s="25"/>
      <c r="Y16" s="24">
        <v>191</v>
      </c>
      <c r="Z16" s="24">
        <v>2</v>
      </c>
      <c r="AA16" s="24">
        <v>692</v>
      </c>
      <c r="AB16" s="24">
        <v>88</v>
      </c>
      <c r="AC16" s="24"/>
      <c r="AD16" s="24"/>
      <c r="AE16" s="26">
        <f t="shared" ref="AE16:AE20" si="5">Y16*2.43</f>
        <v>464.13000000000005</v>
      </c>
      <c r="AF16" s="24">
        <v>30</v>
      </c>
      <c r="AG16" s="27"/>
      <c r="AH16" s="29"/>
    </row>
    <row r="17" spans="1:41" s="28" customFormat="1" ht="26.25" customHeight="1" x14ac:dyDescent="0.25">
      <c r="A17" s="18">
        <v>46154</v>
      </c>
      <c r="B17" s="19"/>
      <c r="C17" s="20">
        <f t="shared" si="0"/>
        <v>0</v>
      </c>
      <c r="D17" s="19">
        <v>1731</v>
      </c>
      <c r="E17" s="21">
        <f t="shared" si="3"/>
        <v>216.37499999999997</v>
      </c>
      <c r="F17" s="19">
        <v>1752</v>
      </c>
      <c r="G17" s="22">
        <f t="shared" si="2"/>
        <v>203.72093023255812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1151.2</v>
      </c>
      <c r="Q17" s="24"/>
      <c r="R17" s="24"/>
      <c r="S17" s="24"/>
      <c r="T17" s="24"/>
      <c r="U17" s="24"/>
      <c r="V17" s="24">
        <v>51</v>
      </c>
      <c r="W17" s="25">
        <v>1779</v>
      </c>
      <c r="X17" s="25"/>
      <c r="Y17" s="24">
        <v>174</v>
      </c>
      <c r="Z17" s="24">
        <v>6</v>
      </c>
      <c r="AA17" s="24">
        <v>646</v>
      </c>
      <c r="AB17" s="24">
        <v>104</v>
      </c>
      <c r="AC17" s="24"/>
      <c r="AD17" s="24"/>
      <c r="AE17" s="26">
        <f t="shared" si="5"/>
        <v>422.82000000000005</v>
      </c>
      <c r="AF17" s="24"/>
      <c r="AG17" s="27"/>
    </row>
    <row r="18" spans="1:41" s="28" customFormat="1" ht="26.25" customHeight="1" x14ac:dyDescent="0.25">
      <c r="A18" s="18">
        <v>46155</v>
      </c>
      <c r="B18" s="19"/>
      <c r="C18" s="20">
        <f t="shared" si="0"/>
        <v>0</v>
      </c>
      <c r="D18" s="19">
        <v>1811</v>
      </c>
      <c r="E18" s="21">
        <f t="shared" si="3"/>
        <v>226.375</v>
      </c>
      <c r="F18" s="19">
        <v>1617</v>
      </c>
      <c r="G18" s="22">
        <f t="shared" si="2"/>
        <v>188.02325581395348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1137.2000000000003</v>
      </c>
      <c r="Q18" s="24"/>
      <c r="R18" s="24"/>
      <c r="S18" s="24"/>
      <c r="T18" s="24"/>
      <c r="U18" s="24"/>
      <c r="V18" s="12">
        <v>59</v>
      </c>
      <c r="W18" s="25">
        <v>1743</v>
      </c>
      <c r="X18" s="25"/>
      <c r="Y18" s="24">
        <v>188</v>
      </c>
      <c r="Z18" s="24">
        <v>4</v>
      </c>
      <c r="AA18" s="24">
        <v>680</v>
      </c>
      <c r="AB18" s="24">
        <v>86</v>
      </c>
      <c r="AC18" s="24"/>
      <c r="AD18" s="24"/>
      <c r="AE18" s="26">
        <f t="shared" si="5"/>
        <v>456.84000000000003</v>
      </c>
      <c r="AF18" s="24"/>
      <c r="AG18" s="27"/>
      <c r="AH18" s="29"/>
    </row>
    <row r="19" spans="1:41" s="28" customFormat="1" ht="26.25" customHeight="1" x14ac:dyDescent="0.25">
      <c r="A19" s="18">
        <v>46156</v>
      </c>
      <c r="B19" s="19"/>
      <c r="C19" s="20">
        <f>B19/200*25</f>
        <v>0</v>
      </c>
      <c r="D19" s="19">
        <v>1339</v>
      </c>
      <c r="E19" s="21">
        <f t="shared" si="3"/>
        <v>167.375</v>
      </c>
      <c r="F19" s="19">
        <v>1490</v>
      </c>
      <c r="G19" s="22">
        <f t="shared" si="2"/>
        <v>173.25581395348837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974.6</v>
      </c>
      <c r="Q19" s="24"/>
      <c r="R19" s="24"/>
      <c r="S19" s="24"/>
      <c r="T19" s="24"/>
      <c r="U19" s="24"/>
      <c r="V19" s="24">
        <v>40</v>
      </c>
      <c r="W19" s="25">
        <v>1490</v>
      </c>
      <c r="X19" s="25"/>
      <c r="Y19" s="24">
        <v>144</v>
      </c>
      <c r="Z19" s="24">
        <v>6</v>
      </c>
      <c r="AA19" s="24">
        <v>591</v>
      </c>
      <c r="AB19" s="24">
        <v>90</v>
      </c>
      <c r="AC19" s="24"/>
      <c r="AD19" s="24"/>
      <c r="AE19" s="26">
        <f t="shared" si="5"/>
        <v>349.92</v>
      </c>
      <c r="AF19" s="24"/>
      <c r="AG19" s="27"/>
    </row>
    <row r="20" spans="1:41" s="28" customFormat="1" ht="26.25" customHeight="1" x14ac:dyDescent="0.25">
      <c r="A20" s="18">
        <v>46157</v>
      </c>
      <c r="B20" s="19"/>
      <c r="C20" s="20">
        <f t="shared" ref="C20:C21" si="7">B20/200*25</f>
        <v>0</v>
      </c>
      <c r="D20" s="19">
        <v>1513</v>
      </c>
      <c r="E20" s="21">
        <f t="shared" si="3"/>
        <v>189.125</v>
      </c>
      <c r="F20" s="19">
        <v>926</v>
      </c>
      <c r="G20" s="22">
        <f t="shared" si="2"/>
        <v>107.67441860465117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826.59999999999991</v>
      </c>
      <c r="Q20" s="24"/>
      <c r="R20" s="24"/>
      <c r="S20" s="25"/>
      <c r="T20" s="24"/>
      <c r="U20" s="24"/>
      <c r="V20" s="24">
        <v>26</v>
      </c>
      <c r="W20" s="25">
        <v>1298</v>
      </c>
      <c r="X20" s="25"/>
      <c r="Y20" s="24">
        <v>137</v>
      </c>
      <c r="Z20" s="24">
        <v>4</v>
      </c>
      <c r="AA20" s="24">
        <v>481</v>
      </c>
      <c r="AB20" s="24">
        <v>77</v>
      </c>
      <c r="AC20" s="24"/>
      <c r="AD20" s="24"/>
      <c r="AE20" s="26">
        <f t="shared" si="5"/>
        <v>332.91</v>
      </c>
      <c r="AF20" s="24"/>
      <c r="AG20" s="27"/>
    </row>
    <row r="21" spans="1:41" s="28" customFormat="1" ht="26.25" customHeight="1" x14ac:dyDescent="0.25">
      <c r="A21" s="18">
        <v>46158</v>
      </c>
      <c r="B21" s="19">
        <v>1470</v>
      </c>
      <c r="C21" s="21">
        <f t="shared" si="7"/>
        <v>183.75</v>
      </c>
      <c r="D21" s="19">
        <v>1192</v>
      </c>
      <c r="E21" s="21">
        <f t="shared" ref="E21" si="8">D21/208*25</f>
        <v>143.26923076923077</v>
      </c>
      <c r="F21" s="19">
        <v>1081</v>
      </c>
      <c r="G21" s="21">
        <f t="shared" si="2"/>
        <v>125.69767441860465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757.4</v>
      </c>
      <c r="Q21" s="24"/>
      <c r="R21" s="24"/>
      <c r="S21" s="25"/>
      <c r="T21" s="25"/>
      <c r="U21" s="24"/>
      <c r="V21" s="24">
        <v>29</v>
      </c>
      <c r="W21" s="25">
        <v>1201</v>
      </c>
      <c r="X21" s="25"/>
      <c r="Y21" s="24">
        <v>129</v>
      </c>
      <c r="Z21" s="24">
        <v>2</v>
      </c>
      <c r="AA21" s="24">
        <v>430</v>
      </c>
      <c r="AB21" s="24">
        <v>85</v>
      </c>
      <c r="AC21" s="24"/>
      <c r="AD21" s="24"/>
      <c r="AE21" s="26">
        <f>Y21*2.43</f>
        <v>313.47000000000003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10894</v>
      </c>
      <c r="E22" s="33">
        <f t="shared" si="9"/>
        <v>1348.2740384615383</v>
      </c>
      <c r="F22" s="31">
        <f t="shared" si="9"/>
        <v>9081</v>
      </c>
      <c r="G22" s="33">
        <f t="shared" si="9"/>
        <v>1055.9302325581393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6923.6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270</v>
      </c>
      <c r="W22" s="31">
        <f t="shared" si="9"/>
        <v>10570</v>
      </c>
      <c r="X22" s="31">
        <f t="shared" si="9"/>
        <v>0</v>
      </c>
      <c r="Y22" s="31">
        <f t="shared" si="9"/>
        <v>1099</v>
      </c>
      <c r="Z22" s="31">
        <f t="shared" si="9"/>
        <v>28</v>
      </c>
      <c r="AA22" s="31">
        <f t="shared" si="9"/>
        <v>4029</v>
      </c>
      <c r="AB22" s="31">
        <f t="shared" si="9"/>
        <v>615</v>
      </c>
      <c r="AC22" s="31">
        <f t="shared" si="9"/>
        <v>0</v>
      </c>
      <c r="AD22" s="31">
        <f t="shared" si="9"/>
        <v>0</v>
      </c>
      <c r="AE22" s="33">
        <f t="shared" si="9"/>
        <v>2670.5700000000006</v>
      </c>
      <c r="AF22" s="33">
        <f t="shared" si="9"/>
        <v>30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R21" sqref="R21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187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44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44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44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45" t="s">
        <v>5</v>
      </c>
      <c r="Q9" s="197"/>
      <c r="R9" s="194"/>
      <c r="S9" s="194"/>
      <c r="T9" s="194"/>
      <c r="U9" s="195"/>
      <c r="V9" s="168"/>
      <c r="W9" s="168"/>
      <c r="X9" s="145"/>
      <c r="Y9" s="168" t="s">
        <v>5</v>
      </c>
      <c r="Z9" s="168"/>
      <c r="AA9" s="200"/>
      <c r="AB9" s="168"/>
      <c r="AC9" s="168"/>
      <c r="AD9" s="168"/>
      <c r="AE9" s="145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46" t="s">
        <v>16</v>
      </c>
      <c r="Z11" s="146" t="s">
        <v>17</v>
      </c>
      <c r="AA11" s="146" t="s">
        <v>18</v>
      </c>
      <c r="AB11" s="146" t="s">
        <v>18</v>
      </c>
      <c r="AC11" s="146" t="s">
        <v>83</v>
      </c>
      <c r="AD11" s="146" t="s">
        <v>18</v>
      </c>
      <c r="AE11" s="146" t="s">
        <v>19</v>
      </c>
      <c r="AF11" s="146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46">
        <v>2.4</v>
      </c>
      <c r="R12" s="146">
        <v>3.6</v>
      </c>
      <c r="S12" s="146">
        <v>2.4</v>
      </c>
      <c r="T12" s="146">
        <v>3.6</v>
      </c>
      <c r="U12" s="146">
        <v>2.4</v>
      </c>
      <c r="V12" s="146">
        <v>3.6</v>
      </c>
      <c r="W12" s="146">
        <v>2.4</v>
      </c>
      <c r="X12" s="146">
        <v>4.9000000000000004</v>
      </c>
      <c r="Y12" s="146"/>
      <c r="Z12" s="146"/>
      <c r="AA12" s="146">
        <v>5</v>
      </c>
      <c r="AB12" s="146">
        <v>10</v>
      </c>
      <c r="AC12" s="146" t="s">
        <v>84</v>
      </c>
      <c r="AD12" s="146">
        <v>40</v>
      </c>
      <c r="AE12" s="146"/>
      <c r="AF12" s="146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47">
        <v>10128</v>
      </c>
      <c r="Q13" s="147">
        <v>10962</v>
      </c>
      <c r="R13" s="147">
        <v>15427</v>
      </c>
      <c r="S13" s="147">
        <v>16623</v>
      </c>
      <c r="T13" s="147">
        <v>16967</v>
      </c>
      <c r="U13" s="147">
        <v>28230</v>
      </c>
      <c r="V13" s="147">
        <v>10966</v>
      </c>
      <c r="W13" s="147">
        <v>10965</v>
      </c>
      <c r="X13" s="147">
        <v>21809</v>
      </c>
      <c r="Y13" s="147">
        <v>11966</v>
      </c>
      <c r="Z13" s="147">
        <v>11089</v>
      </c>
      <c r="AA13" s="147">
        <v>10960</v>
      </c>
      <c r="AB13" s="147">
        <v>10961</v>
      </c>
      <c r="AC13" s="147">
        <v>33442</v>
      </c>
      <c r="AD13" s="147">
        <v>10959</v>
      </c>
      <c r="AE13" s="147">
        <v>12487</v>
      </c>
      <c r="AF13" s="147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46159</v>
      </c>
      <c r="B15" s="19">
        <v>1037</v>
      </c>
      <c r="C15" s="21">
        <f t="shared" ref="C15:C18" si="0">B15/200*25</f>
        <v>129.625</v>
      </c>
      <c r="D15" s="19">
        <v>1434</v>
      </c>
      <c r="E15" s="21">
        <f t="shared" ref="E15" si="1">D15/208*25</f>
        <v>172.35576923076923</v>
      </c>
      <c r="F15" s="19">
        <v>1084</v>
      </c>
      <c r="G15" s="21">
        <f t="shared" ref="G15:G21" si="2">F15/215*25</f>
        <v>126.04651162790699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799.5</v>
      </c>
      <c r="Q15" s="24"/>
      <c r="R15" s="24"/>
      <c r="S15" s="24"/>
      <c r="T15" s="24"/>
      <c r="U15" s="24"/>
      <c r="V15" s="24">
        <v>27</v>
      </c>
      <c r="W15" s="25">
        <v>1266</v>
      </c>
      <c r="X15" s="25"/>
      <c r="Y15" s="24">
        <v>142</v>
      </c>
      <c r="Z15" s="24"/>
      <c r="AA15" s="24">
        <v>343</v>
      </c>
      <c r="AB15" s="24">
        <v>218</v>
      </c>
      <c r="AC15" s="24"/>
      <c r="AD15" s="24"/>
      <c r="AE15" s="26">
        <f>Y15*2.43</f>
        <v>345.06</v>
      </c>
      <c r="AF15" s="24"/>
      <c r="AG15" s="27"/>
      <c r="AH15" s="86"/>
    </row>
    <row r="16" spans="1:34" s="28" customFormat="1" ht="26.25" customHeight="1" x14ac:dyDescent="0.25">
      <c r="A16" s="18">
        <v>46160</v>
      </c>
      <c r="B16" s="19"/>
      <c r="C16" s="20">
        <f t="shared" si="0"/>
        <v>0</v>
      </c>
      <c r="D16" s="19">
        <v>1427</v>
      </c>
      <c r="E16" s="21">
        <f t="shared" ref="E16:E20" si="3">D16/200*25</f>
        <v>178.375</v>
      </c>
      <c r="F16" s="19">
        <v>1052</v>
      </c>
      <c r="G16" s="22">
        <f t="shared" si="2"/>
        <v>122.32558139534883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988.2</v>
      </c>
      <c r="Q16" s="24"/>
      <c r="R16" s="24"/>
      <c r="S16" s="25"/>
      <c r="T16" s="24"/>
      <c r="U16" s="24"/>
      <c r="V16" s="24">
        <v>25</v>
      </c>
      <c r="W16" s="25">
        <v>1450</v>
      </c>
      <c r="X16" s="25"/>
      <c r="Y16" s="24">
        <v>167</v>
      </c>
      <c r="Z16" s="24">
        <v>2</v>
      </c>
      <c r="AA16" s="24">
        <v>339</v>
      </c>
      <c r="AB16" s="24">
        <v>272</v>
      </c>
      <c r="AC16" s="24"/>
      <c r="AD16" s="24"/>
      <c r="AE16" s="26">
        <f t="shared" ref="AE16:AE20" si="5">Y16*2.43</f>
        <v>405.81</v>
      </c>
      <c r="AF16" s="24"/>
      <c r="AG16" s="27"/>
      <c r="AH16" s="29"/>
    </row>
    <row r="17" spans="1:41" s="28" customFormat="1" ht="26.25" customHeight="1" x14ac:dyDescent="0.25">
      <c r="A17" s="18">
        <v>46161</v>
      </c>
      <c r="B17" s="19"/>
      <c r="C17" s="20">
        <f t="shared" si="0"/>
        <v>0</v>
      </c>
      <c r="D17" s="19">
        <v>1674</v>
      </c>
      <c r="E17" s="21">
        <f t="shared" si="3"/>
        <v>209.24999999999997</v>
      </c>
      <c r="F17" s="19">
        <v>1463</v>
      </c>
      <c r="G17" s="22">
        <f t="shared" si="2"/>
        <v>170.11627906976744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1145.8</v>
      </c>
      <c r="Q17" s="24"/>
      <c r="R17" s="24"/>
      <c r="S17" s="24"/>
      <c r="T17" s="24"/>
      <c r="U17" s="24"/>
      <c r="V17" s="24">
        <v>146</v>
      </c>
      <c r="W17" s="25">
        <v>1554</v>
      </c>
      <c r="X17" s="25"/>
      <c r="Y17" s="24">
        <v>172</v>
      </c>
      <c r="Z17" s="24">
        <v>2</v>
      </c>
      <c r="AA17" s="24">
        <v>495</v>
      </c>
      <c r="AB17" s="24">
        <v>269</v>
      </c>
      <c r="AC17" s="24"/>
      <c r="AD17" s="24"/>
      <c r="AE17" s="26">
        <f t="shared" si="5"/>
        <v>417.96000000000004</v>
      </c>
      <c r="AF17" s="24"/>
      <c r="AG17" s="27"/>
    </row>
    <row r="18" spans="1:41" s="28" customFormat="1" ht="26.25" customHeight="1" x14ac:dyDescent="0.25">
      <c r="A18" s="18">
        <v>46162</v>
      </c>
      <c r="B18" s="19"/>
      <c r="C18" s="20">
        <f t="shared" si="0"/>
        <v>0</v>
      </c>
      <c r="D18" s="19">
        <v>1779</v>
      </c>
      <c r="E18" s="21">
        <f t="shared" si="3"/>
        <v>222.375</v>
      </c>
      <c r="F18" s="19">
        <v>1644</v>
      </c>
      <c r="G18" s="22">
        <f t="shared" si="2"/>
        <v>191.16279069767441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1253.9999999999998</v>
      </c>
      <c r="Q18" s="24"/>
      <c r="R18" s="24"/>
      <c r="S18" s="24"/>
      <c r="T18" s="24"/>
      <c r="U18" s="24"/>
      <c r="V18" s="12">
        <v>252</v>
      </c>
      <c r="W18" s="25">
        <v>1627</v>
      </c>
      <c r="X18" s="25"/>
      <c r="Y18" s="24">
        <v>206</v>
      </c>
      <c r="Z18" s="24"/>
      <c r="AA18" s="24">
        <v>399</v>
      </c>
      <c r="AB18" s="24">
        <v>423</v>
      </c>
      <c r="AC18" s="24"/>
      <c r="AD18" s="24"/>
      <c r="AE18" s="26">
        <f t="shared" si="5"/>
        <v>500.58000000000004</v>
      </c>
      <c r="AF18" s="24"/>
      <c r="AG18" s="27"/>
      <c r="AH18" s="29"/>
    </row>
    <row r="19" spans="1:41" s="28" customFormat="1" ht="26.25" customHeight="1" x14ac:dyDescent="0.25">
      <c r="A19" s="18">
        <v>46163</v>
      </c>
      <c r="B19" s="19"/>
      <c r="C19" s="20">
        <f>B19/200*25</f>
        <v>0</v>
      </c>
      <c r="D19" s="19">
        <v>1679</v>
      </c>
      <c r="E19" s="21">
        <f t="shared" si="3"/>
        <v>209.875</v>
      </c>
      <c r="F19" s="19">
        <v>1069</v>
      </c>
      <c r="G19" s="22">
        <f t="shared" si="2"/>
        <v>124.30232558139535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1045</v>
      </c>
      <c r="Q19" s="24"/>
      <c r="R19" s="24"/>
      <c r="S19" s="24"/>
      <c r="T19" s="24"/>
      <c r="U19" s="24"/>
      <c r="V19" s="24">
        <v>232</v>
      </c>
      <c r="W19" s="25">
        <v>1311</v>
      </c>
      <c r="X19" s="25"/>
      <c r="Y19" s="24">
        <v>169</v>
      </c>
      <c r="Z19" s="24">
        <v>4</v>
      </c>
      <c r="AA19" s="24">
        <v>329</v>
      </c>
      <c r="AB19" s="24">
        <v>364</v>
      </c>
      <c r="AC19" s="24"/>
      <c r="AD19" s="24"/>
      <c r="AE19" s="26">
        <f t="shared" si="5"/>
        <v>410.67</v>
      </c>
      <c r="AF19" s="24">
        <v>300</v>
      </c>
      <c r="AG19" s="27"/>
    </row>
    <row r="20" spans="1:41" s="28" customFormat="1" ht="26.25" customHeight="1" x14ac:dyDescent="0.25">
      <c r="A20" s="18">
        <v>46164</v>
      </c>
      <c r="B20" s="19"/>
      <c r="C20" s="20">
        <f t="shared" ref="C20:C21" si="7">B20/200*25</f>
        <v>0</v>
      </c>
      <c r="D20" s="19">
        <v>1676</v>
      </c>
      <c r="E20" s="21">
        <f t="shared" si="3"/>
        <v>209.50000000000003</v>
      </c>
      <c r="F20" s="19">
        <v>1302</v>
      </c>
      <c r="G20" s="22">
        <f t="shared" si="2"/>
        <v>151.3953488372093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1166.6000000000001</v>
      </c>
      <c r="Q20" s="24"/>
      <c r="R20" s="24"/>
      <c r="S20" s="25"/>
      <c r="T20" s="24"/>
      <c r="U20" s="24"/>
      <c r="V20" s="24">
        <v>292</v>
      </c>
      <c r="W20" s="25">
        <v>1432</v>
      </c>
      <c r="X20" s="25"/>
      <c r="Y20" s="24">
        <v>184</v>
      </c>
      <c r="Z20" s="24">
        <v>4</v>
      </c>
      <c r="AA20" s="24">
        <v>357</v>
      </c>
      <c r="AB20" s="24">
        <v>387</v>
      </c>
      <c r="AC20" s="24"/>
      <c r="AD20" s="24"/>
      <c r="AE20" s="26">
        <f t="shared" si="5"/>
        <v>447.12</v>
      </c>
      <c r="AF20" s="24"/>
      <c r="AG20" s="27"/>
    </row>
    <row r="21" spans="1:41" s="28" customFormat="1" ht="26.25" customHeight="1" x14ac:dyDescent="0.25">
      <c r="A21" s="18">
        <v>46165</v>
      </c>
      <c r="B21" s="19">
        <v>1470</v>
      </c>
      <c r="C21" s="21">
        <f t="shared" si="7"/>
        <v>183.75</v>
      </c>
      <c r="D21" s="19">
        <v>1461</v>
      </c>
      <c r="E21" s="21">
        <f t="shared" ref="E21" si="8">D21/208*25</f>
        <v>175.60096153846155</v>
      </c>
      <c r="F21" s="19">
        <v>2070</v>
      </c>
      <c r="G21" s="21">
        <f t="shared" si="2"/>
        <v>240.69767441860463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1117.8</v>
      </c>
      <c r="Q21" s="24"/>
      <c r="R21" s="24"/>
      <c r="S21" s="25"/>
      <c r="T21" s="25"/>
      <c r="U21" s="24"/>
      <c r="V21" s="24">
        <v>309</v>
      </c>
      <c r="W21" s="25">
        <v>1486</v>
      </c>
      <c r="X21" s="25"/>
      <c r="Y21" s="24">
        <v>183</v>
      </c>
      <c r="Z21" s="24">
        <v>6</v>
      </c>
      <c r="AA21" s="24">
        <v>365</v>
      </c>
      <c r="AB21" s="24">
        <v>437</v>
      </c>
      <c r="AC21" s="24"/>
      <c r="AD21" s="24"/>
      <c r="AE21" s="26">
        <f>Y21*2.43</f>
        <v>444.69000000000005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11130</v>
      </c>
      <c r="E22" s="33">
        <f t="shared" si="9"/>
        <v>1377.3317307692309</v>
      </c>
      <c r="F22" s="31">
        <f t="shared" si="9"/>
        <v>9684</v>
      </c>
      <c r="G22" s="33">
        <f t="shared" si="9"/>
        <v>1126.046511627907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7516.9000000000005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1283</v>
      </c>
      <c r="W22" s="31">
        <f t="shared" si="9"/>
        <v>10126</v>
      </c>
      <c r="X22" s="31">
        <f t="shared" si="9"/>
        <v>0</v>
      </c>
      <c r="Y22" s="31">
        <f t="shared" si="9"/>
        <v>1223</v>
      </c>
      <c r="Z22" s="31">
        <f t="shared" si="9"/>
        <v>18</v>
      </c>
      <c r="AA22" s="31">
        <f t="shared" si="9"/>
        <v>2627</v>
      </c>
      <c r="AB22" s="31">
        <f t="shared" si="9"/>
        <v>2370</v>
      </c>
      <c r="AC22" s="31">
        <f t="shared" si="9"/>
        <v>0</v>
      </c>
      <c r="AD22" s="31">
        <f t="shared" si="9"/>
        <v>0</v>
      </c>
      <c r="AE22" s="33">
        <f t="shared" si="9"/>
        <v>2971.89</v>
      </c>
      <c r="AF22" s="33">
        <f t="shared" si="9"/>
        <v>300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14" scale="64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10" zoomScaleNormal="100" workbookViewId="0">
      <selection activeCell="R23" sqref="R23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188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52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52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52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50" t="s">
        <v>5</v>
      </c>
      <c r="Q9" s="197"/>
      <c r="R9" s="194"/>
      <c r="S9" s="194"/>
      <c r="T9" s="194"/>
      <c r="U9" s="195"/>
      <c r="V9" s="168"/>
      <c r="W9" s="168"/>
      <c r="X9" s="150"/>
      <c r="Y9" s="168" t="s">
        <v>5</v>
      </c>
      <c r="Z9" s="168"/>
      <c r="AA9" s="200"/>
      <c r="AB9" s="168"/>
      <c r="AC9" s="168"/>
      <c r="AD9" s="168"/>
      <c r="AE9" s="150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48" t="s">
        <v>16</v>
      </c>
      <c r="Z11" s="148" t="s">
        <v>17</v>
      </c>
      <c r="AA11" s="148" t="s">
        <v>18</v>
      </c>
      <c r="AB11" s="148" t="s">
        <v>18</v>
      </c>
      <c r="AC11" s="148" t="s">
        <v>83</v>
      </c>
      <c r="AD11" s="148" t="s">
        <v>18</v>
      </c>
      <c r="AE11" s="148" t="s">
        <v>19</v>
      </c>
      <c r="AF11" s="148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48">
        <v>2.4</v>
      </c>
      <c r="R12" s="148">
        <v>3.6</v>
      </c>
      <c r="S12" s="148">
        <v>2.4</v>
      </c>
      <c r="T12" s="148">
        <v>3.6</v>
      </c>
      <c r="U12" s="148">
        <v>2.4</v>
      </c>
      <c r="V12" s="148">
        <v>3.6</v>
      </c>
      <c r="W12" s="148">
        <v>2.4</v>
      </c>
      <c r="X12" s="148">
        <v>4.9000000000000004</v>
      </c>
      <c r="Y12" s="148"/>
      <c r="Z12" s="148"/>
      <c r="AA12" s="148">
        <v>5</v>
      </c>
      <c r="AB12" s="148">
        <v>10</v>
      </c>
      <c r="AC12" s="148" t="s">
        <v>84</v>
      </c>
      <c r="AD12" s="148">
        <v>40</v>
      </c>
      <c r="AE12" s="148"/>
      <c r="AF12" s="148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49">
        <v>10128</v>
      </c>
      <c r="Q13" s="149">
        <v>10962</v>
      </c>
      <c r="R13" s="149">
        <v>15427</v>
      </c>
      <c r="S13" s="149">
        <v>16623</v>
      </c>
      <c r="T13" s="149">
        <v>16967</v>
      </c>
      <c r="U13" s="149">
        <v>28230</v>
      </c>
      <c r="V13" s="149">
        <v>10966</v>
      </c>
      <c r="W13" s="149">
        <v>10965</v>
      </c>
      <c r="X13" s="149">
        <v>21809</v>
      </c>
      <c r="Y13" s="149">
        <v>11966</v>
      </c>
      <c r="Z13" s="149">
        <v>11089</v>
      </c>
      <c r="AA13" s="149">
        <v>10960</v>
      </c>
      <c r="AB13" s="149">
        <v>10961</v>
      </c>
      <c r="AC13" s="149">
        <v>33442</v>
      </c>
      <c r="AD13" s="149">
        <v>10959</v>
      </c>
      <c r="AE13" s="149">
        <v>12487</v>
      </c>
      <c r="AF13" s="149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46166</v>
      </c>
      <c r="B15" s="19">
        <v>1037</v>
      </c>
      <c r="C15" s="21">
        <f t="shared" ref="C15:C18" si="0">B15/200*25</f>
        <v>129.625</v>
      </c>
      <c r="D15" s="19">
        <v>448</v>
      </c>
      <c r="E15" s="21">
        <f t="shared" ref="E15" si="1">D15/208*25</f>
        <v>53.846153846153847</v>
      </c>
      <c r="F15" s="19">
        <v>2127</v>
      </c>
      <c r="G15" s="21">
        <f t="shared" ref="G15:G21" si="2">F15/215*25</f>
        <v>247.32558139534885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980.6</v>
      </c>
      <c r="Q15" s="24"/>
      <c r="R15" s="24"/>
      <c r="S15" s="24"/>
      <c r="T15" s="24"/>
      <c r="U15" s="24"/>
      <c r="V15" s="24">
        <v>293</v>
      </c>
      <c r="W15" s="25">
        <v>1144</v>
      </c>
      <c r="X15" s="25"/>
      <c r="Y15" s="24">
        <v>153</v>
      </c>
      <c r="Z15" s="24">
        <v>4</v>
      </c>
      <c r="AA15" s="24">
        <v>252</v>
      </c>
      <c r="AB15" s="24">
        <v>384</v>
      </c>
      <c r="AC15" s="24"/>
      <c r="AD15" s="24"/>
      <c r="AE15" s="26">
        <f>Y15*2.43</f>
        <v>371.79</v>
      </c>
      <c r="AF15" s="24"/>
      <c r="AG15" s="27"/>
      <c r="AH15" s="86"/>
    </row>
    <row r="16" spans="1:34" s="28" customFormat="1" ht="26.25" customHeight="1" x14ac:dyDescent="0.25">
      <c r="A16" s="18">
        <v>46167</v>
      </c>
      <c r="B16" s="19"/>
      <c r="C16" s="20">
        <f t="shared" si="0"/>
        <v>0</v>
      </c>
      <c r="D16" s="19">
        <v>183</v>
      </c>
      <c r="E16" s="21">
        <f t="shared" ref="E16:E20" si="3">D16/200*25</f>
        <v>22.875</v>
      </c>
      <c r="F16" s="19">
        <v>2846</v>
      </c>
      <c r="G16" s="22">
        <f t="shared" si="2"/>
        <v>330.93023255813955</v>
      </c>
      <c r="H16" s="19"/>
      <c r="I16" s="23">
        <f t="shared" ref="I16:I19" si="4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1160.4000000000001</v>
      </c>
      <c r="Q16" s="24"/>
      <c r="R16" s="24"/>
      <c r="S16" s="25"/>
      <c r="T16" s="24"/>
      <c r="U16" s="24"/>
      <c r="V16" s="24">
        <v>333</v>
      </c>
      <c r="W16" s="25">
        <v>1398</v>
      </c>
      <c r="X16" s="25"/>
      <c r="Y16" s="24">
        <v>178</v>
      </c>
      <c r="Z16" s="24">
        <v>6</v>
      </c>
      <c r="AA16" s="24">
        <v>453</v>
      </c>
      <c r="AB16" s="24">
        <v>333</v>
      </c>
      <c r="AC16" s="24"/>
      <c r="AD16" s="24"/>
      <c r="AE16" s="26">
        <f t="shared" ref="AE16:AE20" si="5">Y16*2.43</f>
        <v>432.54</v>
      </c>
      <c r="AF16" s="24"/>
      <c r="AG16" s="27"/>
      <c r="AH16" s="29"/>
    </row>
    <row r="17" spans="1:41" s="28" customFormat="1" ht="26.25" customHeight="1" x14ac:dyDescent="0.25">
      <c r="A17" s="18">
        <v>46168</v>
      </c>
      <c r="B17" s="19"/>
      <c r="C17" s="20">
        <f t="shared" si="0"/>
        <v>0</v>
      </c>
      <c r="D17" s="19">
        <v>1626</v>
      </c>
      <c r="E17" s="21">
        <f t="shared" si="3"/>
        <v>203.25000000000003</v>
      </c>
      <c r="F17" s="19">
        <v>1591</v>
      </c>
      <c r="G17" s="22">
        <f t="shared" si="2"/>
        <v>185</v>
      </c>
      <c r="H17" s="19"/>
      <c r="I17" s="23">
        <f t="shared" si="4"/>
        <v>0</v>
      </c>
      <c r="J17" s="19"/>
      <c r="K17" s="19"/>
      <c r="L17" s="19"/>
      <c r="M17" s="19"/>
      <c r="N17" s="19"/>
      <c r="O17" s="23">
        <f t="shared" ref="O17:O19" si="6">N17/38*25</f>
        <v>0</v>
      </c>
      <c r="P17" s="23">
        <v>1111.2</v>
      </c>
      <c r="Q17" s="24"/>
      <c r="R17" s="24"/>
      <c r="S17" s="24"/>
      <c r="T17" s="24"/>
      <c r="U17" s="24"/>
      <c r="V17" s="24">
        <v>273</v>
      </c>
      <c r="W17" s="25">
        <v>1398</v>
      </c>
      <c r="X17" s="25"/>
      <c r="Y17" s="24">
        <v>174</v>
      </c>
      <c r="Z17" s="24">
        <v>6</v>
      </c>
      <c r="AA17" s="24">
        <v>459</v>
      </c>
      <c r="AB17" s="24">
        <v>314</v>
      </c>
      <c r="AC17" s="24"/>
      <c r="AD17" s="24"/>
      <c r="AE17" s="26">
        <f t="shared" si="5"/>
        <v>422.82000000000005</v>
      </c>
      <c r="AF17" s="24"/>
      <c r="AG17" s="27"/>
    </row>
    <row r="18" spans="1:41" s="28" customFormat="1" ht="26.25" customHeight="1" x14ac:dyDescent="0.25">
      <c r="A18" s="18">
        <v>46169</v>
      </c>
      <c r="B18" s="19"/>
      <c r="C18" s="20">
        <f t="shared" si="0"/>
        <v>0</v>
      </c>
      <c r="D18" s="19">
        <v>1432</v>
      </c>
      <c r="E18" s="21">
        <f t="shared" si="3"/>
        <v>179</v>
      </c>
      <c r="F18" s="19">
        <v>2436</v>
      </c>
      <c r="G18" s="22">
        <f t="shared" si="2"/>
        <v>283.25581395348837</v>
      </c>
      <c r="H18" s="19"/>
      <c r="I18" s="23">
        <f t="shared" si="4"/>
        <v>0</v>
      </c>
      <c r="J18" s="19"/>
      <c r="K18" s="19"/>
      <c r="L18" s="19"/>
      <c r="M18" s="19"/>
      <c r="N18" s="19"/>
      <c r="O18" s="23">
        <f t="shared" si="6"/>
        <v>0</v>
      </c>
      <c r="P18" s="23">
        <v>1256.3999999999999</v>
      </c>
      <c r="Q18" s="24"/>
      <c r="R18" s="24"/>
      <c r="S18" s="24"/>
      <c r="T18" s="24"/>
      <c r="U18" s="24"/>
      <c r="V18" s="12">
        <v>266</v>
      </c>
      <c r="W18" s="25">
        <v>1687</v>
      </c>
      <c r="X18" s="25"/>
      <c r="Y18" s="24">
        <v>196</v>
      </c>
      <c r="Z18" s="24">
        <v>4</v>
      </c>
      <c r="AA18" s="24">
        <v>389</v>
      </c>
      <c r="AB18" s="24">
        <v>452</v>
      </c>
      <c r="AC18" s="24"/>
      <c r="AD18" s="24"/>
      <c r="AE18" s="26">
        <f t="shared" si="5"/>
        <v>476.28000000000003</v>
      </c>
      <c r="AF18" s="24"/>
      <c r="AG18" s="27"/>
      <c r="AH18" s="29"/>
    </row>
    <row r="19" spans="1:41" s="28" customFormat="1" ht="26.25" customHeight="1" x14ac:dyDescent="0.25">
      <c r="A19" s="18">
        <v>46170</v>
      </c>
      <c r="B19" s="19"/>
      <c r="C19" s="20">
        <f>B19/200*25</f>
        <v>0</v>
      </c>
      <c r="D19" s="19">
        <v>1848</v>
      </c>
      <c r="E19" s="21">
        <f t="shared" si="3"/>
        <v>231</v>
      </c>
      <c r="F19" s="19">
        <v>1278</v>
      </c>
      <c r="G19" s="22">
        <f t="shared" si="2"/>
        <v>148.6046511627907</v>
      </c>
      <c r="H19" s="19"/>
      <c r="I19" s="23">
        <f t="shared" si="4"/>
        <v>0</v>
      </c>
      <c r="J19" s="19"/>
      <c r="K19" s="19"/>
      <c r="L19" s="19"/>
      <c r="M19" s="19"/>
      <c r="N19" s="19"/>
      <c r="O19" s="23">
        <f t="shared" si="6"/>
        <v>0</v>
      </c>
      <c r="P19" s="23">
        <v>1243.8</v>
      </c>
      <c r="Q19" s="24"/>
      <c r="R19" s="24"/>
      <c r="S19" s="24"/>
      <c r="T19" s="24"/>
      <c r="U19" s="24"/>
      <c r="V19" s="24">
        <v>128</v>
      </c>
      <c r="W19" s="25">
        <v>1665</v>
      </c>
      <c r="X19" s="25"/>
      <c r="Y19" s="24">
        <v>202</v>
      </c>
      <c r="Z19" s="24">
        <v>4</v>
      </c>
      <c r="AA19" s="24">
        <v>416</v>
      </c>
      <c r="AB19" s="24">
        <v>448</v>
      </c>
      <c r="AC19" s="24"/>
      <c r="AD19" s="24"/>
      <c r="AE19" s="26">
        <f t="shared" si="5"/>
        <v>490.86</v>
      </c>
      <c r="AF19" s="24"/>
      <c r="AG19" s="27"/>
    </row>
    <row r="20" spans="1:41" s="28" customFormat="1" ht="26.25" customHeight="1" x14ac:dyDescent="0.25">
      <c r="A20" s="18">
        <v>46171</v>
      </c>
      <c r="B20" s="19"/>
      <c r="C20" s="20">
        <f t="shared" ref="C20:C21" si="7">B20/200*25</f>
        <v>0</v>
      </c>
      <c r="D20" s="19">
        <v>1795</v>
      </c>
      <c r="E20" s="21">
        <f t="shared" si="3"/>
        <v>224.375</v>
      </c>
      <c r="F20" s="19">
        <v>1503</v>
      </c>
      <c r="G20" s="22">
        <f t="shared" si="2"/>
        <v>174.76744186046511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938.99999999999989</v>
      </c>
      <c r="Q20" s="24"/>
      <c r="R20" s="24"/>
      <c r="S20" s="25"/>
      <c r="T20" s="24"/>
      <c r="U20" s="24"/>
      <c r="V20" s="24">
        <v>122</v>
      </c>
      <c r="W20" s="25">
        <v>1406</v>
      </c>
      <c r="X20" s="25"/>
      <c r="Y20" s="24">
        <v>210</v>
      </c>
      <c r="Z20" s="24">
        <v>4</v>
      </c>
      <c r="AA20" s="24">
        <v>405</v>
      </c>
      <c r="AB20" s="24">
        <v>322</v>
      </c>
      <c r="AC20" s="24"/>
      <c r="AD20" s="24"/>
      <c r="AE20" s="26">
        <f t="shared" si="5"/>
        <v>510.3</v>
      </c>
      <c r="AF20" s="24"/>
      <c r="AG20" s="27"/>
    </row>
    <row r="21" spans="1:41" s="28" customFormat="1" ht="26.25" customHeight="1" x14ac:dyDescent="0.25">
      <c r="A21" s="18">
        <v>46172</v>
      </c>
      <c r="B21" s="19">
        <v>1470</v>
      </c>
      <c r="C21" s="21">
        <f t="shared" si="7"/>
        <v>183.75</v>
      </c>
      <c r="D21" s="19">
        <v>1347</v>
      </c>
      <c r="E21" s="21">
        <f t="shared" ref="E21" si="8">D21/208*25</f>
        <v>161.89903846153845</v>
      </c>
      <c r="F21" s="19">
        <v>1622</v>
      </c>
      <c r="G21" s="21">
        <f t="shared" si="2"/>
        <v>188.6046511627907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915.8</v>
      </c>
      <c r="Q21" s="24"/>
      <c r="R21" s="24"/>
      <c r="S21" s="25"/>
      <c r="T21" s="25"/>
      <c r="U21" s="24"/>
      <c r="V21" s="24">
        <v>98</v>
      </c>
      <c r="W21" s="25">
        <v>1366</v>
      </c>
      <c r="X21" s="25"/>
      <c r="Y21" s="24">
        <v>175</v>
      </c>
      <c r="Z21" s="24">
        <v>6</v>
      </c>
      <c r="AA21" s="24">
        <v>413</v>
      </c>
      <c r="AB21" s="24">
        <v>292</v>
      </c>
      <c r="AC21" s="24"/>
      <c r="AD21" s="24"/>
      <c r="AE21" s="26">
        <f>Y21*2.43</f>
        <v>425.25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9">SUM(B15:B21)</f>
        <v>2507</v>
      </c>
      <c r="C22" s="32">
        <f t="shared" si="9"/>
        <v>313.375</v>
      </c>
      <c r="D22" s="31">
        <f t="shared" si="9"/>
        <v>8679</v>
      </c>
      <c r="E22" s="33">
        <f t="shared" si="9"/>
        <v>1076.2451923076924</v>
      </c>
      <c r="F22" s="31">
        <f t="shared" si="9"/>
        <v>13403</v>
      </c>
      <c r="G22" s="33">
        <f t="shared" si="9"/>
        <v>1558.4883720930236</v>
      </c>
      <c r="H22" s="31">
        <f t="shared" si="9"/>
        <v>0</v>
      </c>
      <c r="I22" s="33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3">
        <f t="shared" si="9"/>
        <v>0</v>
      </c>
      <c r="P22" s="33">
        <f t="shared" si="9"/>
        <v>7607.2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1513</v>
      </c>
      <c r="W22" s="31">
        <f t="shared" si="9"/>
        <v>10064</v>
      </c>
      <c r="X22" s="31">
        <f t="shared" si="9"/>
        <v>0</v>
      </c>
      <c r="Y22" s="31">
        <f t="shared" si="9"/>
        <v>1288</v>
      </c>
      <c r="Z22" s="31">
        <f t="shared" si="9"/>
        <v>34</v>
      </c>
      <c r="AA22" s="31">
        <f t="shared" si="9"/>
        <v>2787</v>
      </c>
      <c r="AB22" s="31">
        <f t="shared" si="9"/>
        <v>2545</v>
      </c>
      <c r="AC22" s="31">
        <f t="shared" si="9"/>
        <v>0</v>
      </c>
      <c r="AD22" s="31">
        <f t="shared" si="9"/>
        <v>0</v>
      </c>
      <c r="AE22" s="33">
        <f t="shared" si="9"/>
        <v>3129.84</v>
      </c>
      <c r="AF22" s="33">
        <f t="shared" si="9"/>
        <v>0</v>
      </c>
      <c r="AG22" s="33">
        <f t="shared" si="9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abSelected="1" topLeftCell="A13" zoomScaleNormal="100" workbookViewId="0">
      <selection activeCell="AA27" sqref="AA27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189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57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57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57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55" t="s">
        <v>5</v>
      </c>
      <c r="Q9" s="197"/>
      <c r="R9" s="194"/>
      <c r="S9" s="194"/>
      <c r="T9" s="194"/>
      <c r="U9" s="195"/>
      <c r="V9" s="168"/>
      <c r="W9" s="168"/>
      <c r="X9" s="155"/>
      <c r="Y9" s="168" t="s">
        <v>5</v>
      </c>
      <c r="Z9" s="168"/>
      <c r="AA9" s="200"/>
      <c r="AB9" s="168"/>
      <c r="AC9" s="168"/>
      <c r="AD9" s="168"/>
      <c r="AE9" s="155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53" t="s">
        <v>16</v>
      </c>
      <c r="Z11" s="153" t="s">
        <v>17</v>
      </c>
      <c r="AA11" s="153" t="s">
        <v>18</v>
      </c>
      <c r="AB11" s="153" t="s">
        <v>18</v>
      </c>
      <c r="AC11" s="153" t="s">
        <v>83</v>
      </c>
      <c r="AD11" s="153" t="s">
        <v>18</v>
      </c>
      <c r="AE11" s="153" t="s">
        <v>19</v>
      </c>
      <c r="AF11" s="153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53">
        <v>2.4</v>
      </c>
      <c r="R12" s="153">
        <v>3.6</v>
      </c>
      <c r="S12" s="153">
        <v>2.4</v>
      </c>
      <c r="T12" s="153">
        <v>3.6</v>
      </c>
      <c r="U12" s="153">
        <v>2.4</v>
      </c>
      <c r="V12" s="153">
        <v>3.6</v>
      </c>
      <c r="W12" s="153">
        <v>2.4</v>
      </c>
      <c r="X12" s="153">
        <v>4.9000000000000004</v>
      </c>
      <c r="Y12" s="153"/>
      <c r="Z12" s="153"/>
      <c r="AA12" s="153">
        <v>5</v>
      </c>
      <c r="AB12" s="153">
        <v>10</v>
      </c>
      <c r="AC12" s="153" t="s">
        <v>84</v>
      </c>
      <c r="AD12" s="153">
        <v>40</v>
      </c>
      <c r="AE12" s="153"/>
      <c r="AF12" s="153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54">
        <v>10128</v>
      </c>
      <c r="Q13" s="154">
        <v>10962</v>
      </c>
      <c r="R13" s="154">
        <v>15427</v>
      </c>
      <c r="S13" s="154">
        <v>16623</v>
      </c>
      <c r="T13" s="154">
        <v>16967</v>
      </c>
      <c r="U13" s="154">
        <v>28230</v>
      </c>
      <c r="V13" s="154">
        <v>10966</v>
      </c>
      <c r="W13" s="154">
        <v>10965</v>
      </c>
      <c r="X13" s="154">
        <v>21809</v>
      </c>
      <c r="Y13" s="154">
        <v>11966</v>
      </c>
      <c r="Z13" s="154">
        <v>11089</v>
      </c>
      <c r="AA13" s="154">
        <v>10960</v>
      </c>
      <c r="AB13" s="154">
        <v>10961</v>
      </c>
      <c r="AC13" s="154">
        <v>33442</v>
      </c>
      <c r="AD13" s="154">
        <v>10959</v>
      </c>
      <c r="AE13" s="154">
        <v>12487</v>
      </c>
      <c r="AF13" s="154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46173</v>
      </c>
      <c r="B15" s="19">
        <v>1037</v>
      </c>
      <c r="C15" s="21">
        <f t="shared" ref="C15:C18" si="0">B15/200*25</f>
        <v>129.625</v>
      </c>
      <c r="D15" s="19">
        <v>1532</v>
      </c>
      <c r="E15" s="21">
        <f>D15/208*25</f>
        <v>184.13461538461539</v>
      </c>
      <c r="F15" s="19">
        <v>876</v>
      </c>
      <c r="G15" s="21">
        <f t="shared" ref="G15:G21" si="1">F15/215*25</f>
        <v>101.86046511627906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776.4</v>
      </c>
      <c r="Q15" s="24"/>
      <c r="R15" s="24"/>
      <c r="S15" s="24"/>
      <c r="T15" s="24"/>
      <c r="U15" s="24"/>
      <c r="V15" s="24">
        <v>63</v>
      </c>
      <c r="W15" s="25">
        <v>1110</v>
      </c>
      <c r="X15" s="25"/>
      <c r="Y15" s="24">
        <v>131</v>
      </c>
      <c r="Z15" s="24">
        <v>2</v>
      </c>
      <c r="AA15" s="24">
        <v>284</v>
      </c>
      <c r="AB15" s="24">
        <v>282</v>
      </c>
      <c r="AC15" s="24"/>
      <c r="AD15" s="24"/>
      <c r="AE15" s="26">
        <f>Y15*2.43</f>
        <v>318.33000000000004</v>
      </c>
      <c r="AF15" s="24"/>
      <c r="AG15" s="27"/>
      <c r="AH15" s="86"/>
    </row>
    <row r="16" spans="1:34" s="28" customFormat="1" ht="26.25" customHeight="1" x14ac:dyDescent="0.25">
      <c r="A16" s="18">
        <v>46174</v>
      </c>
      <c r="B16" s="19"/>
      <c r="C16" s="20">
        <f t="shared" si="0"/>
        <v>0</v>
      </c>
      <c r="D16" s="19">
        <v>1332</v>
      </c>
      <c r="E16" s="21">
        <f t="shared" ref="E16:E20" si="2">D16/200*25</f>
        <v>166.5</v>
      </c>
      <c r="F16" s="19">
        <v>1105</v>
      </c>
      <c r="G16" s="22">
        <f t="shared" si="1"/>
        <v>128.48837209302326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>
        <v>980.99999999999989</v>
      </c>
      <c r="Q16" s="24"/>
      <c r="R16" s="24"/>
      <c r="S16" s="25"/>
      <c r="T16" s="24"/>
      <c r="U16" s="24"/>
      <c r="V16" s="24">
        <v>98</v>
      </c>
      <c r="W16" s="25">
        <v>1267</v>
      </c>
      <c r="X16" s="25"/>
      <c r="Y16" s="24">
        <v>159</v>
      </c>
      <c r="Z16" s="24">
        <v>2</v>
      </c>
      <c r="AA16" s="24">
        <v>392</v>
      </c>
      <c r="AB16" s="24">
        <v>261</v>
      </c>
      <c r="AC16" s="24"/>
      <c r="AD16" s="24"/>
      <c r="AE16" s="26">
        <f t="shared" ref="AE16:AE20" si="4">Y16*2.43</f>
        <v>386.37</v>
      </c>
      <c r="AF16" s="24"/>
      <c r="AG16" s="27"/>
      <c r="AH16" s="29"/>
    </row>
    <row r="17" spans="1:41" s="28" customFormat="1" ht="26.25" customHeight="1" x14ac:dyDescent="0.25">
      <c r="A17" s="18">
        <v>46175</v>
      </c>
      <c r="B17" s="19"/>
      <c r="C17" s="20">
        <f t="shared" si="0"/>
        <v>0</v>
      </c>
      <c r="D17" s="19">
        <v>1300</v>
      </c>
      <c r="E17" s="21">
        <f t="shared" si="2"/>
        <v>162.5</v>
      </c>
      <c r="F17" s="19">
        <v>1454</v>
      </c>
      <c r="G17" s="22">
        <f t="shared" si="1"/>
        <v>169.06976744186045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>
        <v>1128.2</v>
      </c>
      <c r="Q17" s="24"/>
      <c r="R17" s="24"/>
      <c r="S17" s="24"/>
      <c r="T17" s="24"/>
      <c r="U17" s="24"/>
      <c r="V17" s="24">
        <v>100</v>
      </c>
      <c r="W17" s="25">
        <v>1484</v>
      </c>
      <c r="X17" s="25"/>
      <c r="Y17" s="24">
        <v>171</v>
      </c>
      <c r="Z17" s="24">
        <v>6</v>
      </c>
      <c r="AA17" s="24">
        <v>437</v>
      </c>
      <c r="AB17" s="24">
        <v>292</v>
      </c>
      <c r="AC17" s="24"/>
      <c r="AD17" s="24"/>
      <c r="AE17" s="26">
        <f t="shared" si="4"/>
        <v>415.53000000000003</v>
      </c>
      <c r="AF17" s="24"/>
      <c r="AG17" s="27"/>
    </row>
    <row r="18" spans="1:41" s="28" customFormat="1" ht="26.25" customHeight="1" x14ac:dyDescent="0.25">
      <c r="A18" s="18">
        <v>46176</v>
      </c>
      <c r="B18" s="19"/>
      <c r="C18" s="20">
        <f t="shared" si="0"/>
        <v>0</v>
      </c>
      <c r="D18" s="19">
        <v>1371</v>
      </c>
      <c r="E18" s="21">
        <f t="shared" si="2"/>
        <v>171.375</v>
      </c>
      <c r="F18" s="19">
        <v>1722</v>
      </c>
      <c r="G18" s="22">
        <f t="shared" si="1"/>
        <v>200.23255813953486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1107.8</v>
      </c>
      <c r="Q18" s="24"/>
      <c r="R18" s="24"/>
      <c r="S18" s="24"/>
      <c r="T18" s="24"/>
      <c r="U18" s="24"/>
      <c r="V18" s="12">
        <v>69</v>
      </c>
      <c r="W18" s="25">
        <v>1599</v>
      </c>
      <c r="X18" s="25"/>
      <c r="Y18" s="24">
        <v>176</v>
      </c>
      <c r="Z18" s="24">
        <v>6</v>
      </c>
      <c r="AA18" s="24">
        <v>424</v>
      </c>
      <c r="AB18" s="24">
        <v>336</v>
      </c>
      <c r="AC18" s="24"/>
      <c r="AD18" s="24"/>
      <c r="AE18" s="26">
        <f t="shared" si="4"/>
        <v>427.68</v>
      </c>
      <c r="AF18" s="24"/>
      <c r="AG18" s="27"/>
      <c r="AH18" s="29"/>
    </row>
    <row r="19" spans="1:41" s="28" customFormat="1" ht="26.25" customHeight="1" x14ac:dyDescent="0.25">
      <c r="A19" s="18">
        <v>46177</v>
      </c>
      <c r="B19" s="19"/>
      <c r="C19" s="20">
        <f>B19/200*25</f>
        <v>0</v>
      </c>
      <c r="D19" s="19">
        <v>1588</v>
      </c>
      <c r="E19" s="21">
        <f t="shared" si="2"/>
        <v>198.5</v>
      </c>
      <c r="F19" s="19">
        <v>1315</v>
      </c>
      <c r="G19" s="22">
        <f t="shared" si="1"/>
        <v>152.90697674418604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>
        <v>1183.4000000000001</v>
      </c>
      <c r="Q19" s="24"/>
      <c r="R19" s="24"/>
      <c r="S19" s="24"/>
      <c r="T19" s="24"/>
      <c r="U19" s="24"/>
      <c r="V19" s="24">
        <v>97</v>
      </c>
      <c r="W19" s="25">
        <v>1580</v>
      </c>
      <c r="X19" s="25"/>
      <c r="Y19" s="24">
        <v>179</v>
      </c>
      <c r="Z19" s="24">
        <v>4</v>
      </c>
      <c r="AA19" s="24">
        <v>285</v>
      </c>
      <c r="AB19" s="24">
        <v>527</v>
      </c>
      <c r="AC19" s="24"/>
      <c r="AD19" s="24"/>
      <c r="AE19" s="26">
        <f t="shared" si="4"/>
        <v>434.97</v>
      </c>
      <c r="AF19" s="24"/>
      <c r="AG19" s="27"/>
    </row>
    <row r="20" spans="1:41" s="28" customFormat="1" ht="26.25" customHeight="1" x14ac:dyDescent="0.25">
      <c r="A20" s="18">
        <v>46178</v>
      </c>
      <c r="B20" s="19"/>
      <c r="C20" s="20">
        <f t="shared" ref="C20:C21" si="6">B20/200*25</f>
        <v>0</v>
      </c>
      <c r="D20" s="19">
        <v>1800</v>
      </c>
      <c r="E20" s="21">
        <f t="shared" si="2"/>
        <v>225</v>
      </c>
      <c r="F20" s="19">
        <v>1382</v>
      </c>
      <c r="G20" s="22">
        <f t="shared" si="1"/>
        <v>160.69767441860466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1186.6000000000001</v>
      </c>
      <c r="Q20" s="24"/>
      <c r="R20" s="24"/>
      <c r="S20" s="25"/>
      <c r="T20" s="24"/>
      <c r="U20" s="24"/>
      <c r="V20" s="24">
        <v>74</v>
      </c>
      <c r="W20" s="25">
        <v>1615</v>
      </c>
      <c r="X20" s="25"/>
      <c r="Y20" s="24">
        <v>224</v>
      </c>
      <c r="Z20" s="24">
        <v>4</v>
      </c>
      <c r="AA20" s="24">
        <v>254</v>
      </c>
      <c r="AB20" s="24">
        <v>543</v>
      </c>
      <c r="AC20" s="24"/>
      <c r="AD20" s="24"/>
      <c r="AE20" s="26">
        <f t="shared" si="4"/>
        <v>544.32000000000005</v>
      </c>
      <c r="AF20" s="24">
        <v>26</v>
      </c>
      <c r="AG20" s="27">
        <v>2</v>
      </c>
    </row>
    <row r="21" spans="1:41" s="28" customFormat="1" ht="26.25" customHeight="1" x14ac:dyDescent="0.25">
      <c r="A21" s="18">
        <v>46179</v>
      </c>
      <c r="B21" s="19">
        <v>1470</v>
      </c>
      <c r="C21" s="21">
        <f t="shared" si="6"/>
        <v>183.75</v>
      </c>
      <c r="D21" s="19">
        <v>1981</v>
      </c>
      <c r="E21" s="21">
        <f t="shared" ref="E21" si="7">D21/208*25</f>
        <v>238.10096153846155</v>
      </c>
      <c r="F21" s="19">
        <v>1458</v>
      </c>
      <c r="G21" s="21">
        <f t="shared" si="1"/>
        <v>169.53488372093025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1295.2</v>
      </c>
      <c r="Q21" s="24"/>
      <c r="R21" s="24"/>
      <c r="S21" s="25"/>
      <c r="T21" s="25"/>
      <c r="U21" s="24"/>
      <c r="V21" s="24">
        <v>90</v>
      </c>
      <c r="W21" s="25">
        <v>1757</v>
      </c>
      <c r="X21" s="25"/>
      <c r="Y21" s="24">
        <v>210</v>
      </c>
      <c r="Z21" s="24">
        <v>4</v>
      </c>
      <c r="AA21" s="24">
        <v>355</v>
      </c>
      <c r="AB21" s="24">
        <v>563</v>
      </c>
      <c r="AC21" s="24"/>
      <c r="AD21" s="24"/>
      <c r="AE21" s="26">
        <f>Y21*2.43</f>
        <v>510.3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8">SUM(B15:B21)</f>
        <v>2507</v>
      </c>
      <c r="C22" s="32">
        <f t="shared" si="8"/>
        <v>313.375</v>
      </c>
      <c r="D22" s="31">
        <f t="shared" si="8"/>
        <v>10904</v>
      </c>
      <c r="E22" s="33">
        <f t="shared" si="8"/>
        <v>1346.1105769230767</v>
      </c>
      <c r="F22" s="31">
        <f t="shared" si="8"/>
        <v>9312</v>
      </c>
      <c r="G22" s="33">
        <f t="shared" si="8"/>
        <v>1082.7906976744187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7658.5999999999995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591</v>
      </c>
      <c r="W22" s="31">
        <f t="shared" si="8"/>
        <v>10412</v>
      </c>
      <c r="X22" s="31">
        <f t="shared" si="8"/>
        <v>0</v>
      </c>
      <c r="Y22" s="31">
        <f t="shared" si="8"/>
        <v>1250</v>
      </c>
      <c r="Z22" s="31">
        <f t="shared" si="8"/>
        <v>28</v>
      </c>
      <c r="AA22" s="31">
        <f t="shared" si="8"/>
        <v>2431</v>
      </c>
      <c r="AB22" s="31">
        <f t="shared" si="8"/>
        <v>2804</v>
      </c>
      <c r="AC22" s="31">
        <f t="shared" si="8"/>
        <v>0</v>
      </c>
      <c r="AD22" s="31">
        <f t="shared" si="8"/>
        <v>0</v>
      </c>
      <c r="AE22" s="33">
        <f t="shared" si="8"/>
        <v>3037.5000000000005</v>
      </c>
      <c r="AF22" s="33">
        <f t="shared" si="8"/>
        <v>26</v>
      </c>
      <c r="AG22" s="33">
        <f t="shared" si="8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49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50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G8:AG9"/>
    <mergeCell ref="Y9:Z9"/>
    <mergeCell ref="N11:O11"/>
    <mergeCell ref="Q11:R11"/>
    <mergeCell ref="S11:T11"/>
    <mergeCell ref="V11:X11"/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topLeftCell="A4" zoomScaleNormal="100" workbookViewId="0">
      <selection activeCell="W18" sqref="W18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11.28515625" style="1" customWidth="1"/>
    <col min="5" max="5" width="10.5703125" style="1" customWidth="1"/>
    <col min="6" max="6" width="12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hidden="1" customWidth="1"/>
    <col min="15" max="15" width="8.42578125" style="1" hidden="1" customWidth="1"/>
    <col min="16" max="16" width="11.42578125" style="1" customWidth="1"/>
    <col min="17" max="18" width="7" style="1" customWidth="1"/>
    <col min="19" max="19" width="9" style="1" customWidth="1"/>
    <col min="20" max="20" width="6.7109375" style="1" customWidth="1"/>
    <col min="21" max="21" width="9.28515625" style="1" customWidth="1"/>
    <col min="22" max="22" width="10.28515625" style="1" customWidth="1"/>
    <col min="23" max="23" width="8.7109375" style="1" customWidth="1"/>
    <col min="24" max="24" width="7.5703125" style="1" customWidth="1"/>
    <col min="25" max="25" width="7.7109375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85546875" style="1" customWidth="1"/>
    <col min="30" max="30" width="9.7109375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192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159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159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159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160" t="s">
        <v>5</v>
      </c>
      <c r="Q9" s="197"/>
      <c r="R9" s="194"/>
      <c r="S9" s="194"/>
      <c r="T9" s="194"/>
      <c r="U9" s="195"/>
      <c r="V9" s="168"/>
      <c r="W9" s="168"/>
      <c r="X9" s="160"/>
      <c r="Y9" s="168" t="s">
        <v>5</v>
      </c>
      <c r="Z9" s="168"/>
      <c r="AA9" s="200"/>
      <c r="AB9" s="168"/>
      <c r="AC9" s="168"/>
      <c r="AD9" s="168"/>
      <c r="AE9" s="160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71">
        <v>200</v>
      </c>
      <c r="E11" s="163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61" t="s">
        <v>16</v>
      </c>
      <c r="Z11" s="161" t="s">
        <v>17</v>
      </c>
      <c r="AA11" s="161" t="s">
        <v>18</v>
      </c>
      <c r="AB11" s="161" t="s">
        <v>18</v>
      </c>
      <c r="AC11" s="161" t="s">
        <v>83</v>
      </c>
      <c r="AD11" s="161" t="s">
        <v>18</v>
      </c>
      <c r="AE11" s="161" t="s">
        <v>19</v>
      </c>
      <c r="AF11" s="161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22</v>
      </c>
      <c r="C12" s="163"/>
      <c r="D12" s="171" t="s">
        <v>146</v>
      </c>
      <c r="E12" s="163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61">
        <v>2.4</v>
      </c>
      <c r="R12" s="161">
        <v>3.6</v>
      </c>
      <c r="S12" s="161">
        <v>2.4</v>
      </c>
      <c r="T12" s="161">
        <v>3.6</v>
      </c>
      <c r="U12" s="161">
        <v>2.4</v>
      </c>
      <c r="V12" s="161">
        <v>3.6</v>
      </c>
      <c r="W12" s="161">
        <v>2.4</v>
      </c>
      <c r="X12" s="161">
        <v>4.9000000000000004</v>
      </c>
      <c r="Y12" s="161"/>
      <c r="Z12" s="161"/>
      <c r="AA12" s="161">
        <v>5</v>
      </c>
      <c r="AB12" s="161">
        <v>10</v>
      </c>
      <c r="AC12" s="161" t="s">
        <v>84</v>
      </c>
      <c r="AD12" s="161">
        <v>40</v>
      </c>
      <c r="AE12" s="161"/>
      <c r="AF12" s="161"/>
      <c r="AG12" s="11" t="s">
        <v>26</v>
      </c>
    </row>
    <row r="13" spans="1:34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62">
        <v>10128</v>
      </c>
      <c r="Q13" s="162">
        <v>10962</v>
      </c>
      <c r="R13" s="162">
        <v>15427</v>
      </c>
      <c r="S13" s="162">
        <v>16623</v>
      </c>
      <c r="T13" s="162">
        <v>16967</v>
      </c>
      <c r="U13" s="162">
        <v>28230</v>
      </c>
      <c r="V13" s="162">
        <v>10966</v>
      </c>
      <c r="W13" s="162">
        <v>10965</v>
      </c>
      <c r="X13" s="162">
        <v>21809</v>
      </c>
      <c r="Y13" s="162">
        <v>11966</v>
      </c>
      <c r="Z13" s="162">
        <v>11089</v>
      </c>
      <c r="AA13" s="162">
        <v>10960</v>
      </c>
      <c r="AB13" s="162">
        <v>10961</v>
      </c>
      <c r="AC13" s="162">
        <v>33442</v>
      </c>
      <c r="AD13" s="162">
        <v>10959</v>
      </c>
      <c r="AE13" s="162">
        <v>12487</v>
      </c>
      <c r="AF13" s="162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46180</v>
      </c>
      <c r="B15" s="19">
        <v>1037</v>
      </c>
      <c r="C15" s="21">
        <f t="shared" ref="C15:C18" si="0">B15/200*25</f>
        <v>129.625</v>
      </c>
      <c r="D15" s="19">
        <v>1694</v>
      </c>
      <c r="E15" s="21">
        <f>D15/208*25</f>
        <v>203.60576923076925</v>
      </c>
      <c r="F15" s="19">
        <v>915</v>
      </c>
      <c r="G15" s="21">
        <f t="shared" ref="G15:G21" si="1">F15/215*25</f>
        <v>106.3953488372093</v>
      </c>
      <c r="H15" s="19"/>
      <c r="I15" s="23"/>
      <c r="J15" s="19"/>
      <c r="K15" s="19"/>
      <c r="L15" s="19"/>
      <c r="M15" s="19"/>
      <c r="N15" s="19"/>
      <c r="O15" s="23">
        <v>0</v>
      </c>
      <c r="P15" s="23">
        <v>887.60000000000014</v>
      </c>
      <c r="Q15" s="24"/>
      <c r="R15" s="24"/>
      <c r="S15" s="24"/>
      <c r="T15" s="24"/>
      <c r="U15" s="24"/>
      <c r="V15" s="24">
        <v>52</v>
      </c>
      <c r="W15" s="25">
        <v>1233</v>
      </c>
      <c r="X15" s="25"/>
      <c r="Y15" s="24">
        <v>145</v>
      </c>
      <c r="Z15" s="24">
        <v>2</v>
      </c>
      <c r="AA15" s="24">
        <v>203</v>
      </c>
      <c r="AB15" s="24">
        <v>406</v>
      </c>
      <c r="AC15" s="24"/>
      <c r="AD15" s="24"/>
      <c r="AE15" s="26">
        <f>Y15*2.43</f>
        <v>352.35</v>
      </c>
      <c r="AF15" s="24"/>
      <c r="AG15" s="27"/>
      <c r="AH15" s="86"/>
    </row>
    <row r="16" spans="1:34" s="28" customFormat="1" ht="26.25" customHeight="1" x14ac:dyDescent="0.25">
      <c r="A16" s="18">
        <v>46181</v>
      </c>
      <c r="B16" s="19"/>
      <c r="C16" s="20">
        <f t="shared" si="0"/>
        <v>0</v>
      </c>
      <c r="D16" s="19"/>
      <c r="E16" s="21">
        <f t="shared" ref="E16:E20" si="2">D16/200*25</f>
        <v>0</v>
      </c>
      <c r="F16" s="19"/>
      <c r="G16" s="22">
        <f t="shared" si="1"/>
        <v>0</v>
      </c>
      <c r="H16" s="19"/>
      <c r="I16" s="23">
        <f t="shared" ref="I16:I19" si="3">H16/135*25</f>
        <v>0</v>
      </c>
      <c r="J16" s="19"/>
      <c r="K16" s="19">
        <v>0</v>
      </c>
      <c r="L16" s="19"/>
      <c r="M16" s="19">
        <v>0</v>
      </c>
      <c r="N16" s="19"/>
      <c r="O16" s="23">
        <f>N16/38*25</f>
        <v>0</v>
      </c>
      <c r="P16" s="22"/>
      <c r="Q16" s="24"/>
      <c r="R16" s="24"/>
      <c r="S16" s="25"/>
      <c r="T16" s="24"/>
      <c r="U16" s="24"/>
      <c r="V16" s="24"/>
      <c r="W16" s="25"/>
      <c r="X16" s="25"/>
      <c r="Y16" s="24"/>
      <c r="Z16" s="24"/>
      <c r="AA16" s="24"/>
      <c r="AB16" s="24"/>
      <c r="AC16" s="24"/>
      <c r="AD16" s="24"/>
      <c r="AE16" s="26">
        <f t="shared" ref="AE16:AE20" si="4">Y16*2.43</f>
        <v>0</v>
      </c>
      <c r="AF16" s="24"/>
      <c r="AG16" s="27"/>
      <c r="AH16" s="29"/>
    </row>
    <row r="17" spans="1:41" s="28" customFormat="1" ht="26.25" customHeight="1" x14ac:dyDescent="0.25">
      <c r="A17" s="18">
        <v>46182</v>
      </c>
      <c r="B17" s="19"/>
      <c r="C17" s="20">
        <f t="shared" si="0"/>
        <v>0</v>
      </c>
      <c r="D17" s="19"/>
      <c r="E17" s="21">
        <f t="shared" si="2"/>
        <v>0</v>
      </c>
      <c r="F17" s="19"/>
      <c r="G17" s="22">
        <f t="shared" si="1"/>
        <v>0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ref="O17:O19" si="5">N17/38*25</f>
        <v>0</v>
      </c>
      <c r="P17" s="23"/>
      <c r="Q17" s="24"/>
      <c r="R17" s="24"/>
      <c r="S17" s="24"/>
      <c r="T17" s="24"/>
      <c r="U17" s="24"/>
      <c r="V17" s="24"/>
      <c r="W17" s="25"/>
      <c r="X17" s="25"/>
      <c r="Y17" s="24"/>
      <c r="Z17" s="24"/>
      <c r="AA17" s="24"/>
      <c r="AB17" s="24"/>
      <c r="AC17" s="24"/>
      <c r="AD17" s="24"/>
      <c r="AE17" s="26">
        <f t="shared" si="4"/>
        <v>0</v>
      </c>
      <c r="AF17" s="24"/>
      <c r="AG17" s="27"/>
    </row>
    <row r="18" spans="1:41" s="28" customFormat="1" ht="26.25" customHeight="1" x14ac:dyDescent="0.25">
      <c r="A18" s="18">
        <v>46183</v>
      </c>
      <c r="B18" s="19"/>
      <c r="C18" s="20">
        <f t="shared" si="0"/>
        <v>0</v>
      </c>
      <c r="D18" s="19"/>
      <c r="E18" s="21">
        <f t="shared" si="2"/>
        <v>0</v>
      </c>
      <c r="F18" s="19"/>
      <c r="G18" s="22">
        <f t="shared" si="1"/>
        <v>0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/>
      <c r="Q18" s="24"/>
      <c r="R18" s="24"/>
      <c r="S18" s="24"/>
      <c r="T18" s="24"/>
      <c r="U18" s="24"/>
      <c r="V18" s="12"/>
      <c r="W18" s="25"/>
      <c r="X18" s="25"/>
      <c r="Y18" s="24"/>
      <c r="Z18" s="24"/>
      <c r="AA18" s="24"/>
      <c r="AB18" s="24"/>
      <c r="AC18" s="24"/>
      <c r="AD18" s="24"/>
      <c r="AE18" s="26">
        <f t="shared" si="4"/>
        <v>0</v>
      </c>
      <c r="AF18" s="24"/>
      <c r="AG18" s="27"/>
      <c r="AH18" s="29"/>
    </row>
    <row r="19" spans="1:41" s="28" customFormat="1" ht="26.25" customHeight="1" x14ac:dyDescent="0.25">
      <c r="A19" s="18">
        <v>46184</v>
      </c>
      <c r="B19" s="19"/>
      <c r="C19" s="20">
        <f>B19/200*25</f>
        <v>0</v>
      </c>
      <c r="D19" s="19"/>
      <c r="E19" s="21">
        <f t="shared" si="2"/>
        <v>0</v>
      </c>
      <c r="F19" s="19"/>
      <c r="G19" s="22">
        <f t="shared" si="1"/>
        <v>0</v>
      </c>
      <c r="H19" s="19"/>
      <c r="I19" s="23">
        <f t="shared" si="3"/>
        <v>0</v>
      </c>
      <c r="J19" s="19"/>
      <c r="K19" s="19"/>
      <c r="L19" s="19"/>
      <c r="M19" s="19"/>
      <c r="N19" s="19"/>
      <c r="O19" s="23">
        <f t="shared" si="5"/>
        <v>0</v>
      </c>
      <c r="P19" s="23"/>
      <c r="Q19" s="24"/>
      <c r="R19" s="24"/>
      <c r="S19" s="24"/>
      <c r="T19" s="24"/>
      <c r="U19" s="24"/>
      <c r="V19" s="24"/>
      <c r="W19" s="25"/>
      <c r="X19" s="25"/>
      <c r="Y19" s="24"/>
      <c r="Z19" s="24"/>
      <c r="AA19" s="24"/>
      <c r="AB19" s="24"/>
      <c r="AC19" s="24"/>
      <c r="AD19" s="24"/>
      <c r="AE19" s="26">
        <f t="shared" si="4"/>
        <v>0</v>
      </c>
      <c r="AF19" s="24"/>
      <c r="AG19" s="27"/>
    </row>
    <row r="20" spans="1:41" s="28" customFormat="1" ht="26.25" customHeight="1" x14ac:dyDescent="0.25">
      <c r="A20" s="18">
        <v>46185</v>
      </c>
      <c r="B20" s="19"/>
      <c r="C20" s="20">
        <f t="shared" ref="C20:C21" si="6">B20/200*25</f>
        <v>0</v>
      </c>
      <c r="D20" s="19"/>
      <c r="E20" s="21">
        <f t="shared" si="2"/>
        <v>0</v>
      </c>
      <c r="F20" s="19"/>
      <c r="G20" s="22">
        <f t="shared" si="1"/>
        <v>0</v>
      </c>
      <c r="H20" s="19"/>
      <c r="I20" s="23"/>
      <c r="J20" s="19"/>
      <c r="K20" s="19"/>
      <c r="L20" s="19"/>
      <c r="M20" s="19"/>
      <c r="N20" s="19"/>
      <c r="O20" s="23">
        <v>0</v>
      </c>
      <c r="P20" s="23"/>
      <c r="Q20" s="24"/>
      <c r="R20" s="24"/>
      <c r="S20" s="25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4"/>
      <c r="AE20" s="26">
        <f t="shared" si="4"/>
        <v>0</v>
      </c>
      <c r="AF20" s="24"/>
      <c r="AG20" s="27"/>
    </row>
    <row r="21" spans="1:41" s="28" customFormat="1" ht="26.25" customHeight="1" x14ac:dyDescent="0.25">
      <c r="A21" s="18">
        <v>46186</v>
      </c>
      <c r="B21" s="19">
        <v>1470</v>
      </c>
      <c r="C21" s="21">
        <f t="shared" si="6"/>
        <v>183.75</v>
      </c>
      <c r="D21" s="19"/>
      <c r="E21" s="21">
        <f t="shared" ref="E21" si="7">D21/208*25</f>
        <v>0</v>
      </c>
      <c r="F21" s="19"/>
      <c r="G21" s="21">
        <f t="shared" si="1"/>
        <v>0</v>
      </c>
      <c r="H21" s="19"/>
      <c r="I21" s="23"/>
      <c r="J21" s="19"/>
      <c r="K21" s="19"/>
      <c r="L21" s="19"/>
      <c r="M21" s="19"/>
      <c r="N21" s="19"/>
      <c r="O21" s="23">
        <v>0</v>
      </c>
      <c r="P21" s="23"/>
      <c r="Q21" s="24"/>
      <c r="R21" s="24"/>
      <c r="S21" s="25"/>
      <c r="T21" s="25"/>
      <c r="U21" s="24"/>
      <c r="V21" s="24"/>
      <c r="W21" s="25"/>
      <c r="X21" s="25"/>
      <c r="Y21" s="24"/>
      <c r="Z21" s="24"/>
      <c r="AA21" s="24"/>
      <c r="AB21" s="24"/>
      <c r="AC21" s="24"/>
      <c r="AD21" s="24"/>
      <c r="AE21" s="26">
        <f>Y21*2.43</f>
        <v>0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 t="shared" ref="B22:AG22" si="8">SUM(B15:B21)</f>
        <v>2507</v>
      </c>
      <c r="C22" s="32">
        <f t="shared" si="8"/>
        <v>313.375</v>
      </c>
      <c r="D22" s="31">
        <f t="shared" si="8"/>
        <v>1694</v>
      </c>
      <c r="E22" s="33">
        <f t="shared" si="8"/>
        <v>203.60576923076925</v>
      </c>
      <c r="F22" s="31">
        <f t="shared" si="8"/>
        <v>915</v>
      </c>
      <c r="G22" s="33">
        <f t="shared" si="8"/>
        <v>106.3953488372093</v>
      </c>
      <c r="H22" s="31">
        <f t="shared" si="8"/>
        <v>0</v>
      </c>
      <c r="I22" s="33">
        <f t="shared" si="8"/>
        <v>0</v>
      </c>
      <c r="J22" s="31">
        <f t="shared" si="8"/>
        <v>0</v>
      </c>
      <c r="K22" s="31">
        <f t="shared" si="8"/>
        <v>0</v>
      </c>
      <c r="L22" s="31">
        <f t="shared" si="8"/>
        <v>0</v>
      </c>
      <c r="M22" s="31">
        <f t="shared" si="8"/>
        <v>0</v>
      </c>
      <c r="N22" s="31">
        <f t="shared" si="8"/>
        <v>0</v>
      </c>
      <c r="O22" s="33">
        <f t="shared" si="8"/>
        <v>0</v>
      </c>
      <c r="P22" s="33">
        <f t="shared" si="8"/>
        <v>887.60000000000014</v>
      </c>
      <c r="Q22" s="31">
        <f t="shared" si="8"/>
        <v>0</v>
      </c>
      <c r="R22" s="31">
        <f t="shared" si="8"/>
        <v>0</v>
      </c>
      <c r="S22" s="31">
        <f t="shared" si="8"/>
        <v>0</v>
      </c>
      <c r="T22" s="31">
        <f t="shared" si="8"/>
        <v>0</v>
      </c>
      <c r="U22" s="31">
        <f t="shared" si="8"/>
        <v>0</v>
      </c>
      <c r="V22" s="31">
        <f t="shared" si="8"/>
        <v>52</v>
      </c>
      <c r="W22" s="31">
        <f t="shared" si="8"/>
        <v>1233</v>
      </c>
      <c r="X22" s="31">
        <f t="shared" si="8"/>
        <v>0</v>
      </c>
      <c r="Y22" s="31">
        <f t="shared" si="8"/>
        <v>145</v>
      </c>
      <c r="Z22" s="31">
        <f t="shared" si="8"/>
        <v>2</v>
      </c>
      <c r="AA22" s="31">
        <f t="shared" si="8"/>
        <v>203</v>
      </c>
      <c r="AB22" s="31">
        <f t="shared" si="8"/>
        <v>406</v>
      </c>
      <c r="AC22" s="31">
        <f t="shared" si="8"/>
        <v>0</v>
      </c>
      <c r="AD22" s="31">
        <f t="shared" si="8"/>
        <v>0</v>
      </c>
      <c r="AE22" s="33">
        <f t="shared" si="8"/>
        <v>352.35</v>
      </c>
      <c r="AF22" s="33">
        <f t="shared" si="8"/>
        <v>0</v>
      </c>
      <c r="AG22" s="33">
        <f t="shared" si="8"/>
        <v>0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 t="s">
        <v>32</v>
      </c>
      <c r="B25" s="40"/>
      <c r="C25" s="40"/>
      <c r="D25" s="40"/>
      <c r="E25" s="40"/>
      <c r="G25" s="40" t="s">
        <v>33</v>
      </c>
      <c r="H25" s="40"/>
      <c r="I25" s="40"/>
      <c r="J25" s="40"/>
      <c r="K25" s="40"/>
      <c r="L25" s="40"/>
      <c r="M25" s="40"/>
      <c r="P25" s="40"/>
      <c r="Q25" s="40"/>
      <c r="V25" s="42" t="s">
        <v>34</v>
      </c>
      <c r="AB25" s="40" t="s">
        <v>35</v>
      </c>
      <c r="AD25" s="74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G26" s="40"/>
      <c r="H26" s="40"/>
      <c r="I26" s="40"/>
      <c r="J26" s="40"/>
      <c r="K26" s="40"/>
      <c r="L26" s="40"/>
      <c r="M26" s="40"/>
      <c r="P26" s="40"/>
      <c r="Q26" s="40"/>
      <c r="V26" s="40"/>
      <c r="AB26" s="40"/>
      <c r="AD26" s="41" t="s">
        <v>31</v>
      </c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G27" s="40"/>
      <c r="H27" s="40"/>
      <c r="I27" s="40"/>
      <c r="J27" s="40"/>
      <c r="K27" s="40"/>
      <c r="L27" s="40"/>
      <c r="M27" s="40"/>
      <c r="P27" s="40"/>
      <c r="Q27" s="40"/>
      <c r="V27" s="40"/>
      <c r="AB27" s="40"/>
    </row>
    <row r="28" spans="1:41" s="41" customFormat="1" ht="21" customHeight="1" x14ac:dyDescent="0.3">
      <c r="A28" s="45" t="s">
        <v>85</v>
      </c>
      <c r="B28" s="45"/>
      <c r="C28" s="45"/>
      <c r="D28" s="40"/>
      <c r="E28" s="40"/>
      <c r="G28" s="45" t="s">
        <v>37</v>
      </c>
      <c r="H28" s="40"/>
      <c r="I28" s="40"/>
      <c r="J28" s="40"/>
      <c r="K28" s="40"/>
      <c r="L28" s="40"/>
      <c r="M28" s="40"/>
      <c r="P28" s="40"/>
      <c r="Q28" s="40"/>
      <c r="V28" s="45" t="s">
        <v>38</v>
      </c>
      <c r="AB28" s="46" t="s">
        <v>39</v>
      </c>
    </row>
    <row r="29" spans="1:41" s="43" customFormat="1" ht="17.25" customHeight="1" x14ac:dyDescent="0.3">
      <c r="A29" s="44" t="s">
        <v>115</v>
      </c>
      <c r="B29" s="44"/>
      <c r="C29" s="44"/>
      <c r="D29" s="44"/>
      <c r="E29" s="44"/>
      <c r="G29" s="44" t="s">
        <v>41</v>
      </c>
      <c r="H29" s="44"/>
      <c r="I29" s="44"/>
      <c r="J29" s="44"/>
      <c r="K29" s="44"/>
      <c r="L29" s="44"/>
      <c r="M29" s="44"/>
      <c r="P29" s="44"/>
      <c r="Q29" s="44"/>
      <c r="V29" s="44" t="s">
        <v>42</v>
      </c>
      <c r="AB29" s="47" t="s">
        <v>151</v>
      </c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>
      <c r="F33" s="82"/>
    </row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N12:O12"/>
    <mergeCell ref="B13:C13"/>
    <mergeCell ref="D13:E13"/>
    <mergeCell ref="F13:G13"/>
    <mergeCell ref="H13:I13"/>
    <mergeCell ref="J13:K13"/>
    <mergeCell ref="L13:M13"/>
    <mergeCell ref="N13:O13"/>
    <mergeCell ref="N11:O11"/>
    <mergeCell ref="Q11:R11"/>
    <mergeCell ref="S11:T11"/>
    <mergeCell ref="V11:X11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AA8:AA9"/>
    <mergeCell ref="AB8:AD9"/>
    <mergeCell ref="AF8:AF9"/>
    <mergeCell ref="AG8:AG9"/>
    <mergeCell ref="Y9:Z9"/>
    <mergeCell ref="A10:A14"/>
    <mergeCell ref="B10:O10"/>
    <mergeCell ref="P10:P12"/>
    <mergeCell ref="Q10:Z10"/>
    <mergeCell ref="AA10:AD10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</mergeCells>
  <pageMargins left="0.39370078740157499" right="0.39370078740157499" top="0.74803149606299202" bottom="0.31496062992126" header="0.31496062992126" footer="0.31496062992126"/>
  <pageSetup paperSize="14" scale="64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36"/>
  <sheetViews>
    <sheetView zoomScaleNormal="100" workbookViewId="0">
      <selection activeCell="AA20" sqref="AA20"/>
    </sheetView>
  </sheetViews>
  <sheetFormatPr defaultColWidth="12.28515625" defaultRowHeight="15.75" customHeight="1" x14ac:dyDescent="0.2"/>
  <cols>
    <col min="1" max="1" width="15.140625" style="1" customWidth="1"/>
    <col min="2" max="2" width="8" style="1" customWidth="1"/>
    <col min="3" max="3" width="11.85546875" style="1" customWidth="1"/>
    <col min="4" max="4" width="9.28515625" style="1" hidden="1" customWidth="1"/>
    <col min="5" max="5" width="10.5703125" style="1" hidden="1" customWidth="1"/>
    <col min="6" max="6" width="8.1406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0.28515625" style="1" customWidth="1"/>
    <col min="17" max="18" width="7" style="1" hidden="1" customWidth="1"/>
    <col min="19" max="19" width="9" style="1" hidden="1" customWidth="1"/>
    <col min="20" max="20" width="6.7109375" style="1" hidden="1" customWidth="1"/>
    <col min="21" max="21" width="9.28515625" style="1" hidden="1" customWidth="1"/>
    <col min="22" max="22" width="7.42578125" style="1" customWidth="1"/>
    <col min="23" max="23" width="8.7109375" style="1" customWidth="1"/>
    <col min="24" max="24" width="7.5703125" style="1" customWidth="1"/>
    <col min="25" max="25" width="9" style="1" customWidth="1"/>
    <col min="26" max="26" width="6.7109375" style="1" bestFit="1" customWidth="1"/>
    <col min="27" max="27" width="9.140625" style="1" customWidth="1"/>
    <col min="28" max="28" width="7.85546875" style="1" customWidth="1"/>
    <col min="29" max="29" width="8.140625" style="1" customWidth="1"/>
    <col min="30" max="30" width="8" style="1" customWidth="1"/>
    <col min="31" max="31" width="10.7109375" style="1" customWidth="1"/>
    <col min="32" max="32" width="7.28515625" style="1" customWidth="1"/>
    <col min="33" max="33" width="12.42578125" style="1" customWidth="1"/>
    <col min="34" max="16384" width="12.28515625" style="1"/>
  </cols>
  <sheetData>
    <row r="2" spans="1:34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</row>
    <row r="3" spans="1:34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</row>
    <row r="4" spans="1:34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4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</row>
    <row r="6" spans="1:34" ht="19.5" customHeight="1" x14ac:dyDescent="0.2">
      <c r="A6" s="187" t="s">
        <v>191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</row>
    <row r="7" spans="1:34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191"/>
      <c r="I8" s="191"/>
      <c r="J8" s="191"/>
      <c r="K8" s="191"/>
      <c r="L8" s="191"/>
      <c r="M8" s="191"/>
      <c r="N8" s="191"/>
      <c r="O8" s="192"/>
      <c r="P8" s="5" t="s">
        <v>6</v>
      </c>
      <c r="Q8" s="196" t="s">
        <v>4</v>
      </c>
      <c r="R8" s="191"/>
      <c r="S8" s="191"/>
      <c r="T8" s="191"/>
      <c r="U8" s="192"/>
      <c r="V8" s="198" t="s">
        <v>5</v>
      </c>
      <c r="W8" s="198"/>
      <c r="X8" s="5"/>
      <c r="Y8" s="198" t="s">
        <v>6</v>
      </c>
      <c r="Z8" s="198"/>
      <c r="AA8" s="199" t="s">
        <v>5</v>
      </c>
      <c r="AB8" s="198" t="s">
        <v>4</v>
      </c>
      <c r="AC8" s="198"/>
      <c r="AD8" s="198"/>
      <c r="AE8" s="5" t="s">
        <v>6</v>
      </c>
      <c r="AF8" s="199" t="s">
        <v>6</v>
      </c>
      <c r="AG8" s="166" t="s">
        <v>5</v>
      </c>
    </row>
    <row r="9" spans="1:34" ht="18" customHeight="1" thickBot="1" x14ac:dyDescent="0.25">
      <c r="A9" s="189"/>
      <c r="B9" s="193"/>
      <c r="C9" s="194"/>
      <c r="D9" s="194"/>
      <c r="E9" s="195"/>
      <c r="F9" s="197"/>
      <c r="G9" s="194"/>
      <c r="H9" s="194"/>
      <c r="I9" s="194"/>
      <c r="J9" s="194"/>
      <c r="K9" s="194"/>
      <c r="L9" s="194"/>
      <c r="M9" s="194"/>
      <c r="N9" s="194"/>
      <c r="O9" s="195"/>
      <c r="P9" s="6" t="s">
        <v>5</v>
      </c>
      <c r="Q9" s="197"/>
      <c r="R9" s="194"/>
      <c r="S9" s="194"/>
      <c r="T9" s="194"/>
      <c r="U9" s="195"/>
      <c r="V9" s="168"/>
      <c r="W9" s="168"/>
      <c r="X9" s="6"/>
      <c r="Y9" s="168" t="s">
        <v>5</v>
      </c>
      <c r="Z9" s="168"/>
      <c r="AA9" s="200"/>
      <c r="AB9" s="168"/>
      <c r="AC9" s="168"/>
      <c r="AD9" s="168"/>
      <c r="AE9" s="6" t="s">
        <v>5</v>
      </c>
      <c r="AF9" s="200"/>
      <c r="AG9" s="167"/>
    </row>
    <row r="10" spans="1:34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7"/>
      <c r="P10" s="178" t="s">
        <v>9</v>
      </c>
      <c r="Q10" s="180" t="s">
        <v>10</v>
      </c>
      <c r="R10" s="181"/>
      <c r="S10" s="181"/>
      <c r="T10" s="181"/>
      <c r="U10" s="181"/>
      <c r="V10" s="181"/>
      <c r="W10" s="181"/>
      <c r="X10" s="181"/>
      <c r="Y10" s="181"/>
      <c r="Z10" s="182"/>
      <c r="AA10" s="183" t="s">
        <v>11</v>
      </c>
      <c r="AB10" s="184"/>
      <c r="AC10" s="184"/>
      <c r="AD10" s="185"/>
      <c r="AE10" s="7"/>
      <c r="AF10" s="7"/>
      <c r="AG10" s="8"/>
    </row>
    <row r="11" spans="1:34" ht="28.5" x14ac:dyDescent="0.2">
      <c r="A11" s="173"/>
      <c r="B11" s="171">
        <v>200</v>
      </c>
      <c r="C11" s="163"/>
      <c r="D11" s="169">
        <v>208</v>
      </c>
      <c r="E11" s="171"/>
      <c r="F11" s="163">
        <v>215</v>
      </c>
      <c r="G11" s="163"/>
      <c r="H11" s="163">
        <v>135</v>
      </c>
      <c r="I11" s="163"/>
      <c r="J11" s="163">
        <v>150</v>
      </c>
      <c r="K11" s="163"/>
      <c r="L11" s="163">
        <v>150</v>
      </c>
      <c r="M11" s="163"/>
      <c r="N11" s="163">
        <v>38</v>
      </c>
      <c r="O11" s="163"/>
      <c r="P11" s="179"/>
      <c r="Q11" s="163" t="s">
        <v>12</v>
      </c>
      <c r="R11" s="163"/>
      <c r="S11" s="163" t="s">
        <v>13</v>
      </c>
      <c r="T11" s="163"/>
      <c r="U11" s="9" t="s">
        <v>14</v>
      </c>
      <c r="V11" s="169" t="s">
        <v>15</v>
      </c>
      <c r="W11" s="170"/>
      <c r="X11" s="171"/>
      <c r="Y11" s="10" t="s">
        <v>16</v>
      </c>
      <c r="Z11" s="10" t="s">
        <v>17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19</v>
      </c>
      <c r="AF11" s="10" t="s">
        <v>20</v>
      </c>
      <c r="AG11" s="11" t="s">
        <v>21</v>
      </c>
    </row>
    <row r="12" spans="1:34" s="12" customFormat="1" ht="19.5" customHeight="1" x14ac:dyDescent="0.2">
      <c r="A12" s="173"/>
      <c r="B12" s="171" t="s">
        <v>146</v>
      </c>
      <c r="C12" s="163"/>
      <c r="D12" s="169" t="s">
        <v>23</v>
      </c>
      <c r="E12" s="171"/>
      <c r="F12" s="163" t="s">
        <v>24</v>
      </c>
      <c r="G12" s="163"/>
      <c r="H12" s="163" t="s">
        <v>24</v>
      </c>
      <c r="I12" s="163"/>
      <c r="J12" s="163" t="s">
        <v>23</v>
      </c>
      <c r="K12" s="163"/>
      <c r="L12" s="163" t="s">
        <v>25</v>
      </c>
      <c r="M12" s="163"/>
      <c r="N12" s="163" t="s">
        <v>24</v>
      </c>
      <c r="O12" s="163"/>
      <c r="P12" s="179"/>
      <c r="Q12" s="10">
        <v>2.4</v>
      </c>
      <c r="R12" s="10">
        <v>3.6</v>
      </c>
      <c r="S12" s="10">
        <v>2.4</v>
      </c>
      <c r="T12" s="10">
        <v>3.6</v>
      </c>
      <c r="U12" s="10">
        <v>2.4</v>
      </c>
      <c r="V12" s="10">
        <v>3.6</v>
      </c>
      <c r="W12" s="10">
        <v>2.4</v>
      </c>
      <c r="X12" s="10">
        <v>4.9000000000000004</v>
      </c>
      <c r="Y12" s="10"/>
      <c r="Z12" s="10"/>
      <c r="AA12" s="10">
        <v>5</v>
      </c>
      <c r="AB12" s="10">
        <v>10</v>
      </c>
      <c r="AC12" s="10" t="s">
        <v>84</v>
      </c>
      <c r="AD12" s="10">
        <v>40</v>
      </c>
      <c r="AE12" s="10"/>
      <c r="AF12" s="10"/>
      <c r="AG12" s="11" t="s">
        <v>26</v>
      </c>
    </row>
    <row r="13" spans="1:34" ht="19.5" customHeight="1" x14ac:dyDescent="0.2">
      <c r="A13" s="173"/>
      <c r="B13" s="164">
        <v>35245</v>
      </c>
      <c r="C13" s="165"/>
      <c r="D13" s="201">
        <v>17457</v>
      </c>
      <c r="E13" s="164"/>
      <c r="F13" s="165">
        <v>11082</v>
      </c>
      <c r="G13" s="165"/>
      <c r="H13" s="165">
        <v>21810</v>
      </c>
      <c r="I13" s="165"/>
      <c r="J13" s="165">
        <v>17362</v>
      </c>
      <c r="K13" s="165"/>
      <c r="L13" s="165">
        <v>18389</v>
      </c>
      <c r="M13" s="165"/>
      <c r="N13" s="165">
        <v>21811</v>
      </c>
      <c r="O13" s="165"/>
      <c r="P13" s="13">
        <v>10128</v>
      </c>
      <c r="Q13" s="13">
        <v>10962</v>
      </c>
      <c r="R13" s="13">
        <v>15427</v>
      </c>
      <c r="S13" s="13">
        <v>16623</v>
      </c>
      <c r="T13" s="13">
        <v>16967</v>
      </c>
      <c r="U13" s="13">
        <v>28230</v>
      </c>
      <c r="V13" s="13">
        <v>10966</v>
      </c>
      <c r="W13" s="13">
        <v>10965</v>
      </c>
      <c r="X13" s="13">
        <v>21809</v>
      </c>
      <c r="Y13" s="13">
        <v>11966</v>
      </c>
      <c r="Z13" s="13">
        <v>11089</v>
      </c>
      <c r="AA13" s="13">
        <v>10960</v>
      </c>
      <c r="AB13" s="13">
        <v>10961</v>
      </c>
      <c r="AC13" s="13">
        <v>10839</v>
      </c>
      <c r="AD13" s="13">
        <v>10959</v>
      </c>
      <c r="AE13" s="13">
        <v>12487</v>
      </c>
      <c r="AF13" s="13">
        <v>16823</v>
      </c>
      <c r="AG13" s="14">
        <v>11342</v>
      </c>
    </row>
    <row r="14" spans="1:34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27</v>
      </c>
      <c r="I14" s="16" t="s">
        <v>28</v>
      </c>
      <c r="J14" s="16" t="s">
        <v>27</v>
      </c>
      <c r="K14" s="16" t="s">
        <v>28</v>
      </c>
      <c r="L14" s="16" t="s">
        <v>27</v>
      </c>
      <c r="M14" s="16" t="s">
        <v>28</v>
      </c>
      <c r="N14" s="16" t="s">
        <v>27</v>
      </c>
      <c r="O14" s="16" t="s">
        <v>28</v>
      </c>
      <c r="P14" s="16" t="s">
        <v>28</v>
      </c>
      <c r="Q14" s="16" t="s">
        <v>27</v>
      </c>
      <c r="R14" s="16" t="s">
        <v>27</v>
      </c>
      <c r="S14" s="16" t="s">
        <v>27</v>
      </c>
      <c r="T14" s="16" t="s">
        <v>27</v>
      </c>
      <c r="U14" s="16" t="s">
        <v>27</v>
      </c>
      <c r="V14" s="16" t="s">
        <v>27</v>
      </c>
      <c r="W14" s="16" t="s">
        <v>27</v>
      </c>
      <c r="X14" s="16" t="s">
        <v>27</v>
      </c>
      <c r="Y14" s="16" t="s">
        <v>27</v>
      </c>
      <c r="Z14" s="16" t="s">
        <v>27</v>
      </c>
      <c r="AA14" s="16" t="s">
        <v>29</v>
      </c>
      <c r="AB14" s="16" t="s">
        <v>29</v>
      </c>
      <c r="AC14" s="16" t="s">
        <v>29</v>
      </c>
      <c r="AD14" s="16" t="s">
        <v>29</v>
      </c>
      <c r="AE14" s="16" t="s">
        <v>29</v>
      </c>
      <c r="AF14" s="16" t="s">
        <v>29</v>
      </c>
      <c r="AG14" s="17" t="s">
        <v>27</v>
      </c>
    </row>
    <row r="15" spans="1:34" s="28" customFormat="1" ht="26.25" customHeight="1" x14ac:dyDescent="0.25">
      <c r="A15" s="18">
        <v>46174</v>
      </c>
      <c r="B15" s="19">
        <v>1332</v>
      </c>
      <c r="C15" s="20">
        <f t="shared" ref="C15:C17" si="0">B15/200*25</f>
        <v>166.5</v>
      </c>
      <c r="D15" s="19"/>
      <c r="E15" s="21">
        <f t="shared" ref="E15:E19" si="1">D15/200*25</f>
        <v>0</v>
      </c>
      <c r="F15" s="19">
        <v>1105</v>
      </c>
      <c r="G15" s="22">
        <f t="shared" ref="G15:G21" si="2">F15/215*25</f>
        <v>128.48837209302326</v>
      </c>
      <c r="H15" s="19"/>
      <c r="I15" s="23">
        <f t="shared" ref="I15:I18" si="3">H15/135*25</f>
        <v>0</v>
      </c>
      <c r="J15" s="19"/>
      <c r="K15" s="19">
        <v>0</v>
      </c>
      <c r="L15" s="19"/>
      <c r="M15" s="19">
        <v>0</v>
      </c>
      <c r="N15" s="19"/>
      <c r="O15" s="23">
        <f>N15/38*25</f>
        <v>0</v>
      </c>
      <c r="P15" s="22">
        <v>980.99999999999989</v>
      </c>
      <c r="Q15" s="24"/>
      <c r="R15" s="24"/>
      <c r="S15" s="25"/>
      <c r="T15" s="24"/>
      <c r="U15" s="24"/>
      <c r="V15" s="24">
        <v>98</v>
      </c>
      <c r="W15" s="25">
        <v>1267</v>
      </c>
      <c r="X15" s="25"/>
      <c r="Y15" s="24">
        <v>159</v>
      </c>
      <c r="Z15" s="24">
        <v>2</v>
      </c>
      <c r="AA15" s="24">
        <v>392</v>
      </c>
      <c r="AB15" s="24">
        <v>261</v>
      </c>
      <c r="AC15" s="24">
        <f>AB15+AA15</f>
        <v>653</v>
      </c>
      <c r="AD15" s="24"/>
      <c r="AE15" s="26">
        <f t="shared" ref="AE15:AE19" si="4">Y15*2.43</f>
        <v>386.37</v>
      </c>
      <c r="AF15" s="24"/>
      <c r="AG15" s="27"/>
      <c r="AH15" s="29"/>
    </row>
    <row r="16" spans="1:34" s="28" customFormat="1" ht="26.25" customHeight="1" x14ac:dyDescent="0.25">
      <c r="A16" s="18">
        <v>46175</v>
      </c>
      <c r="B16" s="19">
        <v>1300</v>
      </c>
      <c r="C16" s="20">
        <f t="shared" si="0"/>
        <v>162.5</v>
      </c>
      <c r="D16" s="19"/>
      <c r="E16" s="21">
        <f t="shared" si="1"/>
        <v>0</v>
      </c>
      <c r="F16" s="19">
        <v>1454</v>
      </c>
      <c r="G16" s="22">
        <f t="shared" si="2"/>
        <v>169.06976744186045</v>
      </c>
      <c r="H16" s="19"/>
      <c r="I16" s="23">
        <f t="shared" si="3"/>
        <v>0</v>
      </c>
      <c r="J16" s="19"/>
      <c r="K16" s="19"/>
      <c r="L16" s="19"/>
      <c r="M16" s="19"/>
      <c r="N16" s="19"/>
      <c r="O16" s="23">
        <f t="shared" ref="O16:O18" si="5">N16/38*25</f>
        <v>0</v>
      </c>
      <c r="P16" s="23">
        <v>1128.2</v>
      </c>
      <c r="Q16" s="24"/>
      <c r="R16" s="24"/>
      <c r="S16" s="24"/>
      <c r="T16" s="24"/>
      <c r="U16" s="24"/>
      <c r="V16" s="24">
        <v>100</v>
      </c>
      <c r="W16" s="25">
        <v>1484</v>
      </c>
      <c r="X16" s="25"/>
      <c r="Y16" s="24">
        <v>171</v>
      </c>
      <c r="Z16" s="24">
        <v>6</v>
      </c>
      <c r="AA16" s="24">
        <v>437</v>
      </c>
      <c r="AB16" s="24">
        <v>292</v>
      </c>
      <c r="AC16" s="24">
        <f t="shared" ref="AC16:AC21" si="6">AB16+AA16</f>
        <v>729</v>
      </c>
      <c r="AD16" s="24"/>
      <c r="AE16" s="26">
        <f t="shared" si="4"/>
        <v>415.53000000000003</v>
      </c>
      <c r="AF16" s="24"/>
      <c r="AG16" s="27"/>
    </row>
    <row r="17" spans="1:41" s="28" customFormat="1" ht="26.25" customHeight="1" x14ac:dyDescent="0.25">
      <c r="A17" s="18">
        <v>46176</v>
      </c>
      <c r="B17" s="19">
        <v>1371</v>
      </c>
      <c r="C17" s="20">
        <f t="shared" si="0"/>
        <v>171.375</v>
      </c>
      <c r="D17" s="19"/>
      <c r="E17" s="21">
        <f t="shared" si="1"/>
        <v>0</v>
      </c>
      <c r="F17" s="19">
        <v>1722</v>
      </c>
      <c r="G17" s="22">
        <f t="shared" si="2"/>
        <v>200.23255813953486</v>
      </c>
      <c r="H17" s="19"/>
      <c r="I17" s="23">
        <f t="shared" si="3"/>
        <v>0</v>
      </c>
      <c r="J17" s="19"/>
      <c r="K17" s="19"/>
      <c r="L17" s="19"/>
      <c r="M17" s="19"/>
      <c r="N17" s="19"/>
      <c r="O17" s="23">
        <f t="shared" si="5"/>
        <v>0</v>
      </c>
      <c r="P17" s="23">
        <v>1107.8</v>
      </c>
      <c r="Q17" s="24"/>
      <c r="R17" s="24"/>
      <c r="S17" s="24"/>
      <c r="T17" s="24"/>
      <c r="U17" s="24"/>
      <c r="V17" s="12">
        <v>69</v>
      </c>
      <c r="W17" s="25">
        <v>1599</v>
      </c>
      <c r="X17" s="25"/>
      <c r="Y17" s="24">
        <v>176</v>
      </c>
      <c r="Z17" s="24">
        <v>6</v>
      </c>
      <c r="AA17" s="24">
        <v>424</v>
      </c>
      <c r="AB17" s="24">
        <v>336</v>
      </c>
      <c r="AC17" s="24">
        <f t="shared" si="6"/>
        <v>760</v>
      </c>
      <c r="AD17" s="24"/>
      <c r="AE17" s="26">
        <f t="shared" si="4"/>
        <v>427.68</v>
      </c>
      <c r="AF17" s="24"/>
      <c r="AG17" s="27"/>
      <c r="AH17" s="29"/>
    </row>
    <row r="18" spans="1:41" s="28" customFormat="1" ht="26.25" customHeight="1" x14ac:dyDescent="0.25">
      <c r="A18" s="18">
        <v>46177</v>
      </c>
      <c r="B18" s="19">
        <v>1588</v>
      </c>
      <c r="C18" s="20">
        <f>B18/200*25</f>
        <v>198.5</v>
      </c>
      <c r="D18" s="19"/>
      <c r="E18" s="21">
        <f t="shared" si="1"/>
        <v>0</v>
      </c>
      <c r="F18" s="19">
        <v>1315</v>
      </c>
      <c r="G18" s="22">
        <f t="shared" si="2"/>
        <v>152.90697674418604</v>
      </c>
      <c r="H18" s="19"/>
      <c r="I18" s="23">
        <f t="shared" si="3"/>
        <v>0</v>
      </c>
      <c r="J18" s="19"/>
      <c r="K18" s="19"/>
      <c r="L18" s="19"/>
      <c r="M18" s="19"/>
      <c r="N18" s="19"/>
      <c r="O18" s="23">
        <f t="shared" si="5"/>
        <v>0</v>
      </c>
      <c r="P18" s="23">
        <v>1183.4000000000001</v>
      </c>
      <c r="Q18" s="24"/>
      <c r="R18" s="24"/>
      <c r="S18" s="24"/>
      <c r="T18" s="24"/>
      <c r="U18" s="24"/>
      <c r="V18" s="24">
        <v>97</v>
      </c>
      <c r="W18" s="25">
        <v>1580</v>
      </c>
      <c r="X18" s="25"/>
      <c r="Y18" s="24">
        <v>179</v>
      </c>
      <c r="Z18" s="24">
        <v>4</v>
      </c>
      <c r="AA18" s="24">
        <v>285</v>
      </c>
      <c r="AB18" s="24">
        <v>527</v>
      </c>
      <c r="AC18" s="24">
        <f t="shared" si="6"/>
        <v>812</v>
      </c>
      <c r="AD18" s="24"/>
      <c r="AE18" s="26">
        <f t="shared" si="4"/>
        <v>434.97</v>
      </c>
      <c r="AF18" s="24"/>
      <c r="AG18" s="27"/>
    </row>
    <row r="19" spans="1:41" s="28" customFormat="1" ht="26.25" customHeight="1" x14ac:dyDescent="0.25">
      <c r="A19" s="18">
        <v>46178</v>
      </c>
      <c r="B19" s="19">
        <v>1800</v>
      </c>
      <c r="C19" s="20">
        <f t="shared" ref="C19:C21" si="7">B19/200*25</f>
        <v>225</v>
      </c>
      <c r="D19" s="19"/>
      <c r="E19" s="21">
        <f t="shared" si="1"/>
        <v>0</v>
      </c>
      <c r="F19" s="19">
        <v>1382</v>
      </c>
      <c r="G19" s="22">
        <f t="shared" si="2"/>
        <v>160.69767441860466</v>
      </c>
      <c r="H19" s="19"/>
      <c r="I19" s="23"/>
      <c r="J19" s="19"/>
      <c r="K19" s="19"/>
      <c r="L19" s="19"/>
      <c r="M19" s="19"/>
      <c r="N19" s="19"/>
      <c r="O19" s="23">
        <v>0</v>
      </c>
      <c r="P19" s="23">
        <v>1186.6000000000001</v>
      </c>
      <c r="Q19" s="24"/>
      <c r="R19" s="24"/>
      <c r="S19" s="25"/>
      <c r="T19" s="24"/>
      <c r="U19" s="24"/>
      <c r="V19" s="24">
        <v>74</v>
      </c>
      <c r="W19" s="25">
        <v>1615</v>
      </c>
      <c r="X19" s="25"/>
      <c r="Y19" s="24">
        <v>224</v>
      </c>
      <c r="Z19" s="24">
        <v>4</v>
      </c>
      <c r="AA19" s="24">
        <v>254</v>
      </c>
      <c r="AB19" s="24">
        <v>543</v>
      </c>
      <c r="AC19" s="24">
        <f t="shared" si="6"/>
        <v>797</v>
      </c>
      <c r="AD19" s="24"/>
      <c r="AE19" s="26">
        <f t="shared" si="4"/>
        <v>544.32000000000005</v>
      </c>
      <c r="AF19" s="24">
        <v>26</v>
      </c>
      <c r="AG19" s="27">
        <v>2</v>
      </c>
    </row>
    <row r="20" spans="1:41" s="28" customFormat="1" ht="26.25" customHeight="1" x14ac:dyDescent="0.25">
      <c r="A20" s="18">
        <v>46179</v>
      </c>
      <c r="B20" s="19">
        <v>1981</v>
      </c>
      <c r="C20" s="21">
        <f t="shared" si="7"/>
        <v>247.62499999999997</v>
      </c>
      <c r="D20" s="19"/>
      <c r="E20" s="21">
        <f t="shared" ref="E20:E21" si="8">D20/208*25</f>
        <v>0</v>
      </c>
      <c r="F20" s="19">
        <v>1458</v>
      </c>
      <c r="G20" s="21">
        <f t="shared" si="2"/>
        <v>169.53488372093025</v>
      </c>
      <c r="H20" s="19"/>
      <c r="I20" s="23"/>
      <c r="J20" s="19"/>
      <c r="K20" s="19"/>
      <c r="L20" s="19"/>
      <c r="M20" s="19"/>
      <c r="N20" s="19"/>
      <c r="O20" s="23">
        <v>0</v>
      </c>
      <c r="P20" s="23">
        <v>1295.2</v>
      </c>
      <c r="Q20" s="24"/>
      <c r="R20" s="24"/>
      <c r="S20" s="25"/>
      <c r="T20" s="25"/>
      <c r="U20" s="24"/>
      <c r="V20" s="24">
        <v>90</v>
      </c>
      <c r="W20" s="25">
        <v>1757</v>
      </c>
      <c r="X20" s="25"/>
      <c r="Y20" s="24">
        <v>210</v>
      </c>
      <c r="Z20" s="24">
        <v>4</v>
      </c>
      <c r="AA20" s="24">
        <v>355</v>
      </c>
      <c r="AB20" s="24">
        <v>563</v>
      </c>
      <c r="AC20" s="24">
        <f t="shared" si="6"/>
        <v>918</v>
      </c>
      <c r="AD20" s="24"/>
      <c r="AE20" s="26">
        <f>Y20*2.43</f>
        <v>510.3</v>
      </c>
      <c r="AF20" s="24"/>
      <c r="AG20" s="27"/>
      <c r="AH20" s="86"/>
    </row>
    <row r="21" spans="1:41" s="28" customFormat="1" ht="26.25" customHeight="1" x14ac:dyDescent="0.25">
      <c r="A21" s="18">
        <v>46180</v>
      </c>
      <c r="B21" s="19">
        <v>1694</v>
      </c>
      <c r="C21" s="21">
        <f t="shared" si="7"/>
        <v>211.75000000000003</v>
      </c>
      <c r="D21" s="19"/>
      <c r="E21" s="21">
        <f t="shared" si="8"/>
        <v>0</v>
      </c>
      <c r="F21" s="19">
        <v>915</v>
      </c>
      <c r="G21" s="21">
        <f t="shared" si="2"/>
        <v>106.3953488372093</v>
      </c>
      <c r="H21" s="19"/>
      <c r="I21" s="23"/>
      <c r="J21" s="19"/>
      <c r="K21" s="19"/>
      <c r="L21" s="19"/>
      <c r="M21" s="19"/>
      <c r="N21" s="19"/>
      <c r="O21" s="23">
        <v>0</v>
      </c>
      <c r="P21" s="23">
        <v>887.60000000000014</v>
      </c>
      <c r="Q21" s="24"/>
      <c r="R21" s="24"/>
      <c r="S21" s="24"/>
      <c r="T21" s="24"/>
      <c r="U21" s="24"/>
      <c r="V21" s="24">
        <v>52</v>
      </c>
      <c r="W21" s="25">
        <v>1233</v>
      </c>
      <c r="X21" s="25"/>
      <c r="Y21" s="24">
        <v>145</v>
      </c>
      <c r="Z21" s="24">
        <v>2</v>
      </c>
      <c r="AA21" s="24">
        <v>203</v>
      </c>
      <c r="AB21" s="24">
        <v>406</v>
      </c>
      <c r="AC21" s="24">
        <f t="shared" si="6"/>
        <v>609</v>
      </c>
      <c r="AD21" s="24"/>
      <c r="AE21" s="26">
        <f>Y21*2.43</f>
        <v>352.35</v>
      </c>
      <c r="AF21" s="24"/>
      <c r="AG21" s="27"/>
      <c r="AH21" s="86"/>
    </row>
    <row r="22" spans="1:41" ht="33" customHeight="1" thickBot="1" x14ac:dyDescent="0.3">
      <c r="A22" s="30" t="s">
        <v>30</v>
      </c>
      <c r="B22" s="31">
        <f>SUM(B15:B21)</f>
        <v>11066</v>
      </c>
      <c r="C22" s="32">
        <f>SUM(C15:C21)</f>
        <v>1383.25</v>
      </c>
      <c r="D22" s="31">
        <f>SUM(D15:D20)</f>
        <v>0</v>
      </c>
      <c r="E22" s="33"/>
      <c r="F22" s="31">
        <f>SUM(F15:F21)</f>
        <v>9351</v>
      </c>
      <c r="G22" s="31">
        <f t="shared" ref="G22:AG22" si="9">SUM(G15:G21)</f>
        <v>1087.3255813953488</v>
      </c>
      <c r="H22" s="31">
        <f t="shared" si="9"/>
        <v>0</v>
      </c>
      <c r="I22" s="31">
        <f t="shared" si="9"/>
        <v>0</v>
      </c>
      <c r="J22" s="31">
        <f t="shared" si="9"/>
        <v>0</v>
      </c>
      <c r="K22" s="31">
        <f t="shared" si="9"/>
        <v>0</v>
      </c>
      <c r="L22" s="31">
        <f t="shared" si="9"/>
        <v>0</v>
      </c>
      <c r="M22" s="31">
        <f t="shared" si="9"/>
        <v>0</v>
      </c>
      <c r="N22" s="31">
        <f t="shared" si="9"/>
        <v>0</v>
      </c>
      <c r="O22" s="31">
        <f t="shared" si="9"/>
        <v>0</v>
      </c>
      <c r="P22" s="33">
        <f t="shared" si="9"/>
        <v>7769.8</v>
      </c>
      <c r="Q22" s="31">
        <f t="shared" si="9"/>
        <v>0</v>
      </c>
      <c r="R22" s="31">
        <f t="shared" si="9"/>
        <v>0</v>
      </c>
      <c r="S22" s="31">
        <f t="shared" si="9"/>
        <v>0</v>
      </c>
      <c r="T22" s="31">
        <f t="shared" si="9"/>
        <v>0</v>
      </c>
      <c r="U22" s="31">
        <f t="shared" si="9"/>
        <v>0</v>
      </c>
      <c r="V22" s="31">
        <f t="shared" si="9"/>
        <v>580</v>
      </c>
      <c r="W22" s="31">
        <f t="shared" si="9"/>
        <v>10535</v>
      </c>
      <c r="X22" s="31">
        <f t="shared" si="9"/>
        <v>0</v>
      </c>
      <c r="Y22" s="31">
        <f t="shared" si="9"/>
        <v>1264</v>
      </c>
      <c r="Z22" s="31">
        <f t="shared" si="9"/>
        <v>28</v>
      </c>
      <c r="AA22" s="31">
        <f t="shared" si="9"/>
        <v>2350</v>
      </c>
      <c r="AB22" s="31">
        <f t="shared" si="9"/>
        <v>2928</v>
      </c>
      <c r="AC22" s="31">
        <f t="shared" si="9"/>
        <v>5278</v>
      </c>
      <c r="AD22" s="31">
        <f t="shared" si="9"/>
        <v>0</v>
      </c>
      <c r="AE22" s="33">
        <f t="shared" si="9"/>
        <v>3071.5200000000004</v>
      </c>
      <c r="AF22" s="31">
        <f t="shared" si="9"/>
        <v>26</v>
      </c>
      <c r="AG22" s="31">
        <f t="shared" si="9"/>
        <v>2</v>
      </c>
      <c r="AH22" s="54"/>
    </row>
    <row r="23" spans="1:41" ht="15.75" customHeight="1" x14ac:dyDescent="0.2">
      <c r="A23" s="35"/>
      <c r="B23" s="35"/>
      <c r="C23" s="35"/>
      <c r="D23" s="36"/>
      <c r="E23" s="36"/>
      <c r="F23" s="37"/>
      <c r="G23" s="37"/>
      <c r="H23" s="37"/>
      <c r="I23" s="37"/>
      <c r="J23" s="38"/>
      <c r="K23" s="37" t="s">
        <v>31</v>
      </c>
      <c r="L23" s="37"/>
      <c r="M23" s="37"/>
      <c r="N23" s="37"/>
      <c r="O23" s="37"/>
      <c r="P23" s="39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/>
      <c r="AF23" s="38"/>
      <c r="AG23" s="38"/>
    </row>
    <row r="24" spans="1:41" ht="15.75" customHeight="1" x14ac:dyDescent="0.2">
      <c r="A24" s="35"/>
      <c r="B24" s="35"/>
      <c r="C24" s="35"/>
      <c r="D24" s="36"/>
      <c r="E24" s="36"/>
      <c r="F24" s="37"/>
      <c r="G24" s="37"/>
      <c r="J24" s="38"/>
      <c r="P24" s="39"/>
      <c r="Q24" s="38"/>
      <c r="R24" s="38"/>
      <c r="S24" s="38"/>
      <c r="T24" s="38"/>
      <c r="U24" s="38"/>
      <c r="V24" s="38">
        <f>V22+W22</f>
        <v>11115</v>
      </c>
      <c r="W24" s="38"/>
      <c r="X24" s="38"/>
      <c r="Y24" s="38"/>
      <c r="Z24" s="38"/>
      <c r="AA24" s="38">
        <f>AA22+AB22</f>
        <v>5278</v>
      </c>
      <c r="AB24" s="38"/>
      <c r="AC24" s="38"/>
      <c r="AD24" s="38"/>
      <c r="AE24" s="37"/>
      <c r="AF24" s="38"/>
      <c r="AG24" s="38"/>
    </row>
    <row r="25" spans="1:41" s="41" customFormat="1" ht="21" customHeight="1" x14ac:dyDescent="0.3">
      <c r="A25" s="40"/>
      <c r="B25" s="40"/>
      <c r="C25" s="40"/>
      <c r="D25" s="40"/>
      <c r="E25" s="40"/>
      <c r="F25" s="40"/>
      <c r="H25" s="40"/>
      <c r="I25" s="40"/>
      <c r="J25" s="40"/>
      <c r="K25" s="40"/>
      <c r="L25" s="40"/>
      <c r="M25" s="40"/>
      <c r="P25" s="40"/>
      <c r="Q25" s="40"/>
      <c r="S25" s="42"/>
      <c r="Y25" s="40"/>
      <c r="AJ25" s="43"/>
      <c r="AK25" s="43"/>
      <c r="AL25" s="43"/>
      <c r="AM25" s="43"/>
      <c r="AN25" s="43"/>
      <c r="AO25" s="43"/>
    </row>
    <row r="26" spans="1:41" s="41" customFormat="1" ht="21" customHeight="1" x14ac:dyDescent="0.3">
      <c r="A26" s="44"/>
      <c r="B26" s="44"/>
      <c r="C26" s="44"/>
      <c r="D26" s="40"/>
      <c r="E26" s="40"/>
      <c r="F26" s="40"/>
      <c r="H26" s="40"/>
      <c r="I26" s="40"/>
      <c r="J26" s="40"/>
      <c r="K26" s="40"/>
      <c r="L26" s="40"/>
      <c r="M26" s="40"/>
      <c r="P26" s="40"/>
      <c r="Q26" s="40"/>
      <c r="S26" s="40"/>
      <c r="Y26" s="40"/>
      <c r="Z26" s="40"/>
      <c r="AJ26" s="43"/>
      <c r="AK26" s="43"/>
      <c r="AL26" s="43"/>
      <c r="AM26" s="43"/>
      <c r="AN26" s="43"/>
      <c r="AO26" s="43"/>
    </row>
    <row r="27" spans="1:41" s="41" customFormat="1" ht="21" customHeight="1" x14ac:dyDescent="0.3">
      <c r="A27" s="44"/>
      <c r="B27" s="44"/>
      <c r="C27" s="44"/>
      <c r="D27" s="40"/>
      <c r="E27" s="40"/>
      <c r="F27" s="40"/>
      <c r="H27" s="40"/>
      <c r="I27" s="40"/>
      <c r="J27" s="40"/>
      <c r="K27" s="40"/>
      <c r="L27" s="40"/>
      <c r="M27" s="40"/>
      <c r="P27" s="40"/>
      <c r="Q27" s="40"/>
      <c r="S27" s="40"/>
      <c r="Y27" s="40"/>
      <c r="Z27" s="40"/>
    </row>
    <row r="28" spans="1:41" s="41" customFormat="1" ht="21" customHeight="1" x14ac:dyDescent="0.3">
      <c r="A28" s="45"/>
      <c r="B28" s="45"/>
      <c r="C28" s="45"/>
      <c r="D28" s="40"/>
      <c r="E28" s="40"/>
      <c r="F28" s="45"/>
      <c r="H28" s="40"/>
      <c r="I28" s="40"/>
      <c r="J28" s="40"/>
      <c r="K28" s="40"/>
      <c r="L28" s="40"/>
      <c r="M28" s="40"/>
      <c r="P28" s="40"/>
      <c r="Q28" s="40"/>
      <c r="S28" s="45"/>
      <c r="Y28" s="46"/>
    </row>
    <row r="29" spans="1:41" s="43" customFormat="1" ht="17.25" customHeight="1" x14ac:dyDescent="0.3">
      <c r="A29" s="44"/>
      <c r="B29" s="44"/>
      <c r="C29" s="44"/>
      <c r="D29" s="44"/>
      <c r="E29" s="44"/>
      <c r="F29" s="44"/>
      <c r="H29" s="44"/>
      <c r="I29" s="44"/>
      <c r="J29" s="44"/>
      <c r="K29" s="44"/>
      <c r="L29" s="44"/>
      <c r="M29" s="44"/>
      <c r="P29" s="44"/>
      <c r="Q29" s="44"/>
      <c r="S29" s="44"/>
      <c r="Y29" s="47"/>
      <c r="AL29" s="48"/>
      <c r="AM29" s="48"/>
      <c r="AN29" s="48"/>
      <c r="AO29" s="48"/>
    </row>
    <row r="30" spans="1:41" s="49" customFormat="1" ht="15.75" customHeight="1" x14ac:dyDescent="0.3"/>
    <row r="31" spans="1:41" s="51" customFormat="1" ht="15.75" customHeight="1" x14ac:dyDescent="0.3">
      <c r="A31" s="50"/>
      <c r="B31" s="50"/>
      <c r="C31" s="50"/>
      <c r="D31" s="50"/>
      <c r="E31" s="50"/>
      <c r="H31" s="49"/>
      <c r="I31" s="49"/>
      <c r="J31" s="50"/>
      <c r="K31" s="50"/>
      <c r="L31" s="49"/>
      <c r="M31" s="49"/>
      <c r="N31" s="49"/>
      <c r="O31" s="49"/>
    </row>
    <row r="32" spans="1:41" s="51" customFormat="1" ht="15.75" customHeight="1" x14ac:dyDescent="0.3">
      <c r="A32" s="50"/>
      <c r="B32" s="50"/>
      <c r="C32" s="50"/>
      <c r="D32" s="50"/>
      <c r="E32" s="50"/>
      <c r="H32" s="49"/>
      <c r="I32" s="49"/>
      <c r="L32" s="49"/>
      <c r="M32" s="49"/>
      <c r="N32" s="49"/>
      <c r="O32" s="49"/>
    </row>
    <row r="33" spans="4:33" s="49" customFormat="1" ht="15.75" customHeight="1" x14ac:dyDescent="0.3"/>
    <row r="34" spans="4:33" ht="15.75" customHeight="1" x14ac:dyDescent="0.2">
      <c r="F34" s="52"/>
      <c r="G34" s="52"/>
    </row>
    <row r="36" spans="4:33" ht="15.75" customHeight="1" x14ac:dyDescent="0.2">
      <c r="D36" s="53"/>
      <c r="E36" s="53"/>
      <c r="F36" s="53"/>
      <c r="G36" s="53"/>
      <c r="J36" s="53"/>
      <c r="K36" s="53"/>
      <c r="AG36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65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3"/>
  <sheetViews>
    <sheetView zoomScaleNormal="100" workbookViewId="0">
      <selection activeCell="E16" sqref="E16"/>
    </sheetView>
  </sheetViews>
  <sheetFormatPr defaultColWidth="12.28515625" defaultRowHeight="15.75" customHeight="1" x14ac:dyDescent="0.2"/>
  <cols>
    <col min="1" max="1" width="15.140625" style="1" customWidth="1"/>
    <col min="2" max="2" width="6.28515625" style="1" hidden="1" customWidth="1"/>
    <col min="3" max="3" width="7" style="1" hidden="1" customWidth="1"/>
    <col min="4" max="4" width="9.28515625" style="1" customWidth="1"/>
    <col min="5" max="5" width="10.5703125" style="1" customWidth="1"/>
    <col min="6" max="6" width="8.140625" style="1" customWidth="1"/>
    <col min="7" max="7" width="9.5703125" style="1" customWidth="1"/>
    <col min="8" max="8" width="12" style="1" customWidth="1"/>
    <col min="9" max="9" width="7.42578125" style="1" customWidth="1"/>
    <col min="10" max="10" width="8.7109375" style="1" customWidth="1"/>
    <col min="11" max="11" width="7.5703125" style="1" customWidth="1"/>
    <col min="12" max="12" width="7.7109375" style="1" customWidth="1"/>
    <col min="13" max="13" width="6.7109375" style="1" bestFit="1" customWidth="1"/>
    <col min="14" max="14" width="9.140625" style="1" customWidth="1"/>
    <col min="15" max="15" width="7.85546875" style="1" customWidth="1"/>
    <col min="16" max="16" width="8.140625" style="1" customWidth="1"/>
    <col min="17" max="17" width="8" style="1" customWidth="1"/>
    <col min="18" max="18" width="10.7109375" style="1" customWidth="1"/>
    <col min="19" max="19" width="7.28515625" style="1" customWidth="1"/>
    <col min="20" max="20" width="12.42578125" style="1" customWidth="1"/>
    <col min="21" max="21" width="18.7109375" style="1" customWidth="1"/>
    <col min="22" max="16384" width="12.28515625" style="1"/>
  </cols>
  <sheetData>
    <row r="2" spans="1:21" ht="18.75" customHeight="1" x14ac:dyDescent="0.2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</row>
    <row r="3" spans="1:21" ht="21.75" customHeight="1" x14ac:dyDescent="0.2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21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spans="1:21" ht="19.5" customHeight="1" x14ac:dyDescent="0.2">
      <c r="A5" s="186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spans="1:21" ht="19.5" customHeight="1" x14ac:dyDescent="0.2">
      <c r="A6" s="187" t="s">
        <v>190</v>
      </c>
      <c r="B6" s="187"/>
      <c r="C6" s="187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</row>
    <row r="7" spans="1:21" ht="17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1" ht="18" customHeight="1" x14ac:dyDescent="0.2">
      <c r="A8" s="188" t="s">
        <v>3</v>
      </c>
      <c r="B8" s="190" t="s">
        <v>4</v>
      </c>
      <c r="C8" s="191"/>
      <c r="D8" s="191"/>
      <c r="E8" s="192"/>
      <c r="F8" s="196" t="s">
        <v>5</v>
      </c>
      <c r="G8" s="191"/>
      <c r="H8" s="5" t="s">
        <v>6</v>
      </c>
      <c r="I8" s="198" t="s">
        <v>5</v>
      </c>
      <c r="J8" s="198"/>
      <c r="K8" s="5"/>
      <c r="L8" s="198" t="s">
        <v>6</v>
      </c>
      <c r="M8" s="198"/>
      <c r="N8" s="199" t="s">
        <v>5</v>
      </c>
      <c r="O8" s="198" t="s">
        <v>4</v>
      </c>
      <c r="P8" s="198"/>
      <c r="Q8" s="198"/>
      <c r="R8" s="5" t="s">
        <v>6</v>
      </c>
      <c r="S8" s="199" t="s">
        <v>6</v>
      </c>
      <c r="T8" s="166" t="s">
        <v>5</v>
      </c>
    </row>
    <row r="9" spans="1:21" ht="18" customHeight="1" thickBot="1" x14ac:dyDescent="0.25">
      <c r="A9" s="189"/>
      <c r="B9" s="193"/>
      <c r="C9" s="194"/>
      <c r="D9" s="194"/>
      <c r="E9" s="195"/>
      <c r="F9" s="197"/>
      <c r="G9" s="194"/>
      <c r="H9" s="6" t="s">
        <v>5</v>
      </c>
      <c r="I9" s="168"/>
      <c r="J9" s="168"/>
      <c r="K9" s="6"/>
      <c r="L9" s="168" t="s">
        <v>5</v>
      </c>
      <c r="M9" s="168"/>
      <c r="N9" s="200"/>
      <c r="O9" s="168"/>
      <c r="P9" s="168"/>
      <c r="Q9" s="168"/>
      <c r="R9" s="6" t="s">
        <v>5</v>
      </c>
      <c r="S9" s="200"/>
      <c r="T9" s="167"/>
    </row>
    <row r="10" spans="1:21" ht="18" customHeight="1" x14ac:dyDescent="0.2">
      <c r="A10" s="172" t="s">
        <v>7</v>
      </c>
      <c r="B10" s="175" t="s">
        <v>8</v>
      </c>
      <c r="C10" s="176"/>
      <c r="D10" s="176"/>
      <c r="E10" s="176"/>
      <c r="F10" s="176"/>
      <c r="G10" s="176"/>
      <c r="H10" s="178" t="s">
        <v>9</v>
      </c>
      <c r="I10" s="181"/>
      <c r="J10" s="181"/>
      <c r="K10" s="181"/>
      <c r="L10" s="181"/>
      <c r="M10" s="182"/>
      <c r="N10" s="183" t="s">
        <v>11</v>
      </c>
      <c r="O10" s="184"/>
      <c r="P10" s="184"/>
      <c r="Q10" s="185"/>
      <c r="R10" s="7"/>
      <c r="S10" s="7"/>
      <c r="T10" s="8"/>
    </row>
    <row r="11" spans="1:21" ht="14.25" x14ac:dyDescent="0.2">
      <c r="A11" s="173"/>
      <c r="B11" s="171">
        <v>200</v>
      </c>
      <c r="C11" s="163"/>
      <c r="D11" s="171" t="s">
        <v>149</v>
      </c>
      <c r="E11" s="163"/>
      <c r="F11" s="163">
        <v>215</v>
      </c>
      <c r="G11" s="163"/>
      <c r="H11" s="179"/>
      <c r="I11" s="169" t="s">
        <v>15</v>
      </c>
      <c r="J11" s="170"/>
      <c r="K11" s="171"/>
      <c r="L11" s="10" t="s">
        <v>16</v>
      </c>
      <c r="M11" s="10" t="s">
        <v>17</v>
      </c>
      <c r="N11" s="10" t="s">
        <v>18</v>
      </c>
      <c r="O11" s="10" t="s">
        <v>18</v>
      </c>
      <c r="P11" s="10" t="s">
        <v>83</v>
      </c>
      <c r="Q11" s="10" t="s">
        <v>18</v>
      </c>
      <c r="R11" s="10" t="s">
        <v>19</v>
      </c>
      <c r="S11" s="10" t="s">
        <v>20</v>
      </c>
      <c r="T11" s="11" t="s">
        <v>21</v>
      </c>
    </row>
    <row r="12" spans="1:21" s="12" customFormat="1" ht="19.5" customHeight="1" x14ac:dyDescent="0.2">
      <c r="A12" s="173"/>
      <c r="B12" s="171" t="s">
        <v>22</v>
      </c>
      <c r="C12" s="163"/>
      <c r="D12" s="171" t="s">
        <v>23</v>
      </c>
      <c r="E12" s="163"/>
      <c r="F12" s="163" t="s">
        <v>24</v>
      </c>
      <c r="G12" s="163"/>
      <c r="H12" s="179"/>
      <c r="I12" s="10">
        <v>3.6</v>
      </c>
      <c r="J12" s="10">
        <v>2.4</v>
      </c>
      <c r="K12" s="10">
        <v>4.9000000000000004</v>
      </c>
      <c r="L12" s="10"/>
      <c r="M12" s="10"/>
      <c r="N12" s="10">
        <v>5</v>
      </c>
      <c r="O12" s="10">
        <v>10</v>
      </c>
      <c r="P12" s="10" t="s">
        <v>84</v>
      </c>
      <c r="Q12" s="10">
        <v>40</v>
      </c>
      <c r="R12" s="10"/>
      <c r="S12" s="10"/>
      <c r="T12" s="11" t="s">
        <v>26</v>
      </c>
    </row>
    <row r="13" spans="1:21" ht="19.5" customHeight="1" x14ac:dyDescent="0.2">
      <c r="A13" s="173"/>
      <c r="B13" s="164">
        <v>31496</v>
      </c>
      <c r="C13" s="165"/>
      <c r="D13" s="164">
        <v>35245</v>
      </c>
      <c r="E13" s="165"/>
      <c r="F13" s="165">
        <v>11082</v>
      </c>
      <c r="G13" s="165"/>
      <c r="H13" s="13">
        <v>10128</v>
      </c>
      <c r="I13" s="13">
        <v>10966</v>
      </c>
      <c r="J13" s="13">
        <v>10965</v>
      </c>
      <c r="K13" s="13">
        <v>21809</v>
      </c>
      <c r="L13" s="13">
        <v>11966</v>
      </c>
      <c r="M13" s="13">
        <v>11089</v>
      </c>
      <c r="N13" s="13">
        <v>10960</v>
      </c>
      <c r="O13" s="13">
        <v>10961</v>
      </c>
      <c r="P13" s="13">
        <v>33442</v>
      </c>
      <c r="Q13" s="13">
        <v>10959</v>
      </c>
      <c r="R13" s="13">
        <v>12487</v>
      </c>
      <c r="S13" s="13">
        <v>16823</v>
      </c>
      <c r="T13" s="14">
        <v>11342</v>
      </c>
    </row>
    <row r="14" spans="1:21" ht="21.75" customHeight="1" thickBot="1" x14ac:dyDescent="0.25">
      <c r="A14" s="174"/>
      <c r="B14" s="15" t="s">
        <v>27</v>
      </c>
      <c r="C14" s="16" t="s">
        <v>28</v>
      </c>
      <c r="D14" s="15" t="s">
        <v>27</v>
      </c>
      <c r="E14" s="16" t="s">
        <v>28</v>
      </c>
      <c r="F14" s="16" t="s">
        <v>27</v>
      </c>
      <c r="G14" s="16" t="s">
        <v>28</v>
      </c>
      <c r="H14" s="16" t="s">
        <v>28</v>
      </c>
      <c r="I14" s="16" t="s">
        <v>27</v>
      </c>
      <c r="J14" s="16" t="s">
        <v>27</v>
      </c>
      <c r="K14" s="16" t="s">
        <v>27</v>
      </c>
      <c r="L14" s="16" t="s">
        <v>27</v>
      </c>
      <c r="M14" s="16" t="s">
        <v>27</v>
      </c>
      <c r="N14" s="16" t="s">
        <v>29</v>
      </c>
      <c r="O14" s="16" t="s">
        <v>29</v>
      </c>
      <c r="P14" s="16" t="s">
        <v>29</v>
      </c>
      <c r="Q14" s="16" t="s">
        <v>29</v>
      </c>
      <c r="R14" s="16" t="s">
        <v>29</v>
      </c>
      <c r="S14" s="16" t="s">
        <v>29</v>
      </c>
      <c r="T14" s="17" t="s">
        <v>27</v>
      </c>
    </row>
    <row r="15" spans="1:21" s="28" customFormat="1" ht="26.25" customHeight="1" x14ac:dyDescent="0.25">
      <c r="A15" s="18">
        <v>46158</v>
      </c>
      <c r="B15" s="19"/>
      <c r="C15" s="21">
        <f t="shared" ref="C15:C19" si="0">B15/200*25</f>
        <v>0</v>
      </c>
      <c r="D15" s="19">
        <v>1192</v>
      </c>
      <c r="E15" s="21">
        <f>D15/208*25</f>
        <v>143.26923076923077</v>
      </c>
      <c r="F15" s="19">
        <v>1081</v>
      </c>
      <c r="G15" s="21">
        <f t="shared" ref="G15:G29" si="1">F15/215*25</f>
        <v>125.69767441860465</v>
      </c>
      <c r="H15" s="23">
        <v>757.4</v>
      </c>
      <c r="I15" s="24">
        <v>29</v>
      </c>
      <c r="J15" s="25">
        <v>1201</v>
      </c>
      <c r="K15" s="25"/>
      <c r="L15" s="24">
        <v>129</v>
      </c>
      <c r="M15" s="24">
        <v>2</v>
      </c>
      <c r="N15" s="24">
        <v>430</v>
      </c>
      <c r="O15" s="24">
        <v>85</v>
      </c>
      <c r="P15" s="24"/>
      <c r="Q15" s="24"/>
      <c r="R15" s="26">
        <f>L15*2.43</f>
        <v>313.47000000000003</v>
      </c>
      <c r="S15" s="24"/>
      <c r="T15" s="27"/>
      <c r="U15" s="86"/>
    </row>
    <row r="16" spans="1:21" s="28" customFormat="1" ht="26.25" customHeight="1" x14ac:dyDescent="0.25">
      <c r="A16" s="18">
        <v>46159</v>
      </c>
      <c r="B16" s="19"/>
      <c r="C16" s="21">
        <f t="shared" si="0"/>
        <v>0</v>
      </c>
      <c r="D16" s="19">
        <v>1434</v>
      </c>
      <c r="E16" s="21">
        <f t="shared" ref="E16" si="2">D16/208*25</f>
        <v>172.35576923076923</v>
      </c>
      <c r="F16" s="19">
        <v>1084</v>
      </c>
      <c r="G16" s="21">
        <f t="shared" si="1"/>
        <v>126.04651162790699</v>
      </c>
      <c r="H16" s="23">
        <v>799.5</v>
      </c>
      <c r="I16" s="24">
        <v>27</v>
      </c>
      <c r="J16" s="25">
        <v>1266</v>
      </c>
      <c r="K16" s="25"/>
      <c r="L16" s="24">
        <v>142</v>
      </c>
      <c r="M16" s="24"/>
      <c r="N16" s="24">
        <v>343</v>
      </c>
      <c r="O16" s="24">
        <v>218</v>
      </c>
      <c r="P16" s="24"/>
      <c r="Q16" s="24"/>
      <c r="R16" s="26">
        <f>L16*2.43</f>
        <v>345.06</v>
      </c>
      <c r="S16" s="24"/>
      <c r="T16" s="27"/>
      <c r="U16" s="86"/>
    </row>
    <row r="17" spans="1:21" s="28" customFormat="1" ht="26.25" customHeight="1" x14ac:dyDescent="0.25">
      <c r="A17" s="18">
        <v>46160</v>
      </c>
      <c r="B17" s="19"/>
      <c r="C17" s="20">
        <f t="shared" si="0"/>
        <v>0</v>
      </c>
      <c r="D17" s="19">
        <v>1427</v>
      </c>
      <c r="E17" s="21">
        <f t="shared" ref="E17:E21" si="3">D17/200*25</f>
        <v>178.375</v>
      </c>
      <c r="F17" s="19">
        <v>1052</v>
      </c>
      <c r="G17" s="22">
        <f t="shared" si="1"/>
        <v>122.32558139534883</v>
      </c>
      <c r="H17" s="22">
        <v>988.2</v>
      </c>
      <c r="I17" s="24">
        <v>25</v>
      </c>
      <c r="J17" s="25">
        <v>1450</v>
      </c>
      <c r="K17" s="25"/>
      <c r="L17" s="24">
        <v>167</v>
      </c>
      <c r="M17" s="24">
        <v>2</v>
      </c>
      <c r="N17" s="24">
        <v>339</v>
      </c>
      <c r="O17" s="24">
        <v>272</v>
      </c>
      <c r="P17" s="24"/>
      <c r="Q17" s="24"/>
      <c r="R17" s="26">
        <f t="shared" ref="R17:R21" si="4">L17*2.43</f>
        <v>405.81</v>
      </c>
      <c r="S17" s="24"/>
      <c r="T17" s="27"/>
      <c r="U17" s="29"/>
    </row>
    <row r="18" spans="1:21" s="28" customFormat="1" ht="26.25" customHeight="1" x14ac:dyDescent="0.25">
      <c r="A18" s="18">
        <v>46161</v>
      </c>
      <c r="B18" s="19"/>
      <c r="C18" s="20">
        <f t="shared" si="0"/>
        <v>0</v>
      </c>
      <c r="D18" s="19">
        <v>1674</v>
      </c>
      <c r="E18" s="21">
        <f t="shared" si="3"/>
        <v>209.24999999999997</v>
      </c>
      <c r="F18" s="19">
        <v>1463</v>
      </c>
      <c r="G18" s="22">
        <f t="shared" si="1"/>
        <v>170.11627906976744</v>
      </c>
      <c r="H18" s="23">
        <v>1145.8</v>
      </c>
      <c r="I18" s="24">
        <v>146</v>
      </c>
      <c r="J18" s="25">
        <v>1554</v>
      </c>
      <c r="K18" s="25"/>
      <c r="L18" s="24">
        <v>172</v>
      </c>
      <c r="M18" s="24">
        <v>2</v>
      </c>
      <c r="N18" s="24">
        <v>495</v>
      </c>
      <c r="O18" s="24">
        <v>269</v>
      </c>
      <c r="P18" s="24"/>
      <c r="Q18" s="24"/>
      <c r="R18" s="26">
        <f t="shared" si="4"/>
        <v>417.96000000000004</v>
      </c>
      <c r="S18" s="24"/>
      <c r="T18" s="27"/>
    </row>
    <row r="19" spans="1:21" s="28" customFormat="1" ht="26.25" customHeight="1" x14ac:dyDescent="0.25">
      <c r="A19" s="18">
        <v>46162</v>
      </c>
      <c r="B19" s="19"/>
      <c r="C19" s="20">
        <f t="shared" si="0"/>
        <v>0</v>
      </c>
      <c r="D19" s="19">
        <v>1779</v>
      </c>
      <c r="E19" s="21">
        <f t="shared" si="3"/>
        <v>222.375</v>
      </c>
      <c r="F19" s="19">
        <v>1644</v>
      </c>
      <c r="G19" s="22">
        <f t="shared" si="1"/>
        <v>191.16279069767441</v>
      </c>
      <c r="H19" s="23">
        <v>1253.9999999999998</v>
      </c>
      <c r="I19" s="12">
        <v>252</v>
      </c>
      <c r="J19" s="25">
        <v>1627</v>
      </c>
      <c r="K19" s="25"/>
      <c r="L19" s="24">
        <v>206</v>
      </c>
      <c r="M19" s="24"/>
      <c r="N19" s="24">
        <v>399</v>
      </c>
      <c r="O19" s="24">
        <v>423</v>
      </c>
      <c r="P19" s="24"/>
      <c r="Q19" s="24"/>
      <c r="R19" s="26">
        <f t="shared" si="4"/>
        <v>500.58000000000004</v>
      </c>
      <c r="S19" s="24"/>
      <c r="T19" s="27"/>
      <c r="U19" s="29"/>
    </row>
    <row r="20" spans="1:21" s="28" customFormat="1" ht="26.25" customHeight="1" x14ac:dyDescent="0.25">
      <c r="A20" s="18">
        <v>46163</v>
      </c>
      <c r="B20" s="19"/>
      <c r="C20" s="20">
        <f>B20/200*25</f>
        <v>0</v>
      </c>
      <c r="D20" s="19">
        <v>1679</v>
      </c>
      <c r="E20" s="21">
        <f t="shared" si="3"/>
        <v>209.875</v>
      </c>
      <c r="F20" s="19">
        <v>1069</v>
      </c>
      <c r="G20" s="22">
        <f t="shared" si="1"/>
        <v>124.30232558139535</v>
      </c>
      <c r="H20" s="23">
        <v>1045</v>
      </c>
      <c r="I20" s="24">
        <v>232</v>
      </c>
      <c r="J20" s="25">
        <v>1311</v>
      </c>
      <c r="K20" s="25"/>
      <c r="L20" s="24">
        <v>169</v>
      </c>
      <c r="M20" s="24">
        <v>4</v>
      </c>
      <c r="N20" s="24">
        <v>329</v>
      </c>
      <c r="O20" s="24">
        <v>364</v>
      </c>
      <c r="P20" s="24"/>
      <c r="Q20" s="24"/>
      <c r="R20" s="26">
        <f t="shared" si="4"/>
        <v>410.67</v>
      </c>
      <c r="S20" s="24">
        <v>300</v>
      </c>
      <c r="T20" s="27"/>
    </row>
    <row r="21" spans="1:21" s="28" customFormat="1" ht="26.25" customHeight="1" x14ac:dyDescent="0.25">
      <c r="A21" s="18">
        <v>46164</v>
      </c>
      <c r="B21" s="19"/>
      <c r="C21" s="20">
        <f t="shared" ref="C21:C26" si="5">B21/200*25</f>
        <v>0</v>
      </c>
      <c r="D21" s="19">
        <v>1676</v>
      </c>
      <c r="E21" s="21">
        <f t="shared" si="3"/>
        <v>209.50000000000003</v>
      </c>
      <c r="F21" s="19">
        <v>1302</v>
      </c>
      <c r="G21" s="22">
        <f t="shared" si="1"/>
        <v>151.3953488372093</v>
      </c>
      <c r="H21" s="23">
        <v>1166.6000000000001</v>
      </c>
      <c r="I21" s="24">
        <v>292</v>
      </c>
      <c r="J21" s="25">
        <v>1432</v>
      </c>
      <c r="K21" s="25"/>
      <c r="L21" s="24">
        <v>184</v>
      </c>
      <c r="M21" s="24">
        <v>4</v>
      </c>
      <c r="N21" s="24">
        <v>357</v>
      </c>
      <c r="O21" s="24">
        <v>387</v>
      </c>
      <c r="P21" s="24"/>
      <c r="Q21" s="24"/>
      <c r="R21" s="26">
        <f t="shared" si="4"/>
        <v>447.12</v>
      </c>
      <c r="S21" s="24"/>
      <c r="T21" s="27"/>
    </row>
    <row r="22" spans="1:21" s="28" customFormat="1" ht="26.25" customHeight="1" x14ac:dyDescent="0.25">
      <c r="A22" s="18">
        <v>46165</v>
      </c>
      <c r="B22" s="19"/>
      <c r="C22" s="21">
        <f t="shared" si="5"/>
        <v>0</v>
      </c>
      <c r="D22" s="19">
        <v>1461</v>
      </c>
      <c r="E22" s="21">
        <f t="shared" ref="E22:E23" si="6">D22/208*25</f>
        <v>175.60096153846155</v>
      </c>
      <c r="F22" s="19">
        <v>2070</v>
      </c>
      <c r="G22" s="21">
        <f t="shared" si="1"/>
        <v>240.69767441860463</v>
      </c>
      <c r="H22" s="23">
        <v>1117.8</v>
      </c>
      <c r="I22" s="24">
        <v>309</v>
      </c>
      <c r="J22" s="25">
        <v>1486</v>
      </c>
      <c r="K22" s="25"/>
      <c r="L22" s="24">
        <v>183</v>
      </c>
      <c r="M22" s="24">
        <v>6</v>
      </c>
      <c r="N22" s="24">
        <v>365</v>
      </c>
      <c r="O22" s="24">
        <v>437</v>
      </c>
      <c r="P22" s="24"/>
      <c r="Q22" s="24"/>
      <c r="R22" s="26">
        <f>L22*2.43</f>
        <v>444.69000000000005</v>
      </c>
      <c r="S22" s="24"/>
      <c r="T22" s="27"/>
      <c r="U22" s="86"/>
    </row>
    <row r="23" spans="1:21" s="28" customFormat="1" ht="26.25" customHeight="1" x14ac:dyDescent="0.25">
      <c r="A23" s="18">
        <v>46166</v>
      </c>
      <c r="B23" s="19"/>
      <c r="C23" s="21">
        <f t="shared" si="5"/>
        <v>0</v>
      </c>
      <c r="D23" s="19">
        <v>448</v>
      </c>
      <c r="E23" s="21">
        <f t="shared" si="6"/>
        <v>53.846153846153847</v>
      </c>
      <c r="F23" s="19">
        <v>2127</v>
      </c>
      <c r="G23" s="21">
        <f t="shared" si="1"/>
        <v>247.32558139534885</v>
      </c>
      <c r="H23" s="23">
        <v>980.6</v>
      </c>
      <c r="I23" s="24">
        <v>293</v>
      </c>
      <c r="J23" s="25">
        <v>1144</v>
      </c>
      <c r="K23" s="25"/>
      <c r="L23" s="24">
        <v>153</v>
      </c>
      <c r="M23" s="24">
        <v>4</v>
      </c>
      <c r="N23" s="24">
        <v>252</v>
      </c>
      <c r="O23" s="24">
        <v>384</v>
      </c>
      <c r="P23" s="24"/>
      <c r="Q23" s="24"/>
      <c r="R23" s="26">
        <f>L23*2.43</f>
        <v>371.79</v>
      </c>
      <c r="S23" s="24"/>
      <c r="T23" s="27"/>
      <c r="U23" s="86"/>
    </row>
    <row r="24" spans="1:21" s="28" customFormat="1" ht="26.25" customHeight="1" x14ac:dyDescent="0.25">
      <c r="A24" s="18">
        <v>46167</v>
      </c>
      <c r="B24" s="19"/>
      <c r="C24" s="20">
        <f t="shared" si="5"/>
        <v>0</v>
      </c>
      <c r="D24" s="19">
        <v>183</v>
      </c>
      <c r="E24" s="21">
        <f t="shared" ref="E24:E28" si="7">D24/200*25</f>
        <v>22.875</v>
      </c>
      <c r="F24" s="19">
        <v>2846</v>
      </c>
      <c r="G24" s="22">
        <f t="shared" si="1"/>
        <v>330.93023255813955</v>
      </c>
      <c r="H24" s="22">
        <v>1160.4000000000001</v>
      </c>
      <c r="I24" s="24">
        <v>333</v>
      </c>
      <c r="J24" s="25">
        <v>1398</v>
      </c>
      <c r="K24" s="25"/>
      <c r="L24" s="24">
        <v>178</v>
      </c>
      <c r="M24" s="24">
        <v>6</v>
      </c>
      <c r="N24" s="24">
        <v>453</v>
      </c>
      <c r="O24" s="24">
        <v>333</v>
      </c>
      <c r="P24" s="24"/>
      <c r="Q24" s="24"/>
      <c r="R24" s="26">
        <f t="shared" ref="R24:R28" si="8">L24*2.43</f>
        <v>432.54</v>
      </c>
      <c r="S24" s="24"/>
      <c r="T24" s="27"/>
      <c r="U24" s="29"/>
    </row>
    <row r="25" spans="1:21" s="28" customFormat="1" ht="26.25" customHeight="1" x14ac:dyDescent="0.25">
      <c r="A25" s="18">
        <v>46168</v>
      </c>
      <c r="B25" s="19"/>
      <c r="C25" s="20">
        <f t="shared" si="5"/>
        <v>0</v>
      </c>
      <c r="D25" s="19">
        <v>1626</v>
      </c>
      <c r="E25" s="21">
        <f t="shared" si="7"/>
        <v>203.25000000000003</v>
      </c>
      <c r="F25" s="19">
        <v>1591</v>
      </c>
      <c r="G25" s="22">
        <f t="shared" si="1"/>
        <v>185</v>
      </c>
      <c r="H25" s="23">
        <v>1111.2</v>
      </c>
      <c r="I25" s="24">
        <v>273</v>
      </c>
      <c r="J25" s="25">
        <v>1398</v>
      </c>
      <c r="K25" s="25"/>
      <c r="L25" s="24">
        <v>174</v>
      </c>
      <c r="M25" s="24">
        <v>6</v>
      </c>
      <c r="N25" s="24">
        <v>459</v>
      </c>
      <c r="O25" s="24">
        <v>314</v>
      </c>
      <c r="P25" s="24"/>
      <c r="Q25" s="24"/>
      <c r="R25" s="26">
        <f t="shared" si="8"/>
        <v>422.82000000000005</v>
      </c>
      <c r="S25" s="24"/>
      <c r="T25" s="27"/>
    </row>
    <row r="26" spans="1:21" s="28" customFormat="1" ht="26.25" customHeight="1" x14ac:dyDescent="0.25">
      <c r="A26" s="18">
        <v>46169</v>
      </c>
      <c r="B26" s="19"/>
      <c r="C26" s="20">
        <f t="shared" si="5"/>
        <v>0</v>
      </c>
      <c r="D26" s="19">
        <v>1432</v>
      </c>
      <c r="E26" s="21">
        <f t="shared" si="7"/>
        <v>179</v>
      </c>
      <c r="F26" s="19">
        <v>2436</v>
      </c>
      <c r="G26" s="22">
        <f t="shared" si="1"/>
        <v>283.25581395348837</v>
      </c>
      <c r="H26" s="23">
        <v>1256.3999999999999</v>
      </c>
      <c r="I26" s="12">
        <v>266</v>
      </c>
      <c r="J26" s="25">
        <v>1687</v>
      </c>
      <c r="K26" s="25"/>
      <c r="L26" s="24">
        <v>196</v>
      </c>
      <c r="M26" s="24">
        <v>4</v>
      </c>
      <c r="N26" s="24">
        <v>389</v>
      </c>
      <c r="O26" s="24">
        <v>452</v>
      </c>
      <c r="P26" s="24"/>
      <c r="Q26" s="24"/>
      <c r="R26" s="26">
        <f t="shared" si="8"/>
        <v>476.28000000000003</v>
      </c>
      <c r="S26" s="24"/>
      <c r="T26" s="27"/>
      <c r="U26" s="29"/>
    </row>
    <row r="27" spans="1:21" s="28" customFormat="1" ht="26.25" customHeight="1" x14ac:dyDescent="0.25">
      <c r="A27" s="18">
        <v>46170</v>
      </c>
      <c r="B27" s="19"/>
      <c r="C27" s="20">
        <f>B27/200*25</f>
        <v>0</v>
      </c>
      <c r="D27" s="19">
        <v>1848</v>
      </c>
      <c r="E27" s="21">
        <f t="shared" si="7"/>
        <v>231</v>
      </c>
      <c r="F27" s="19">
        <v>1278</v>
      </c>
      <c r="G27" s="22">
        <f t="shared" si="1"/>
        <v>148.6046511627907</v>
      </c>
      <c r="H27" s="23">
        <v>1243.8</v>
      </c>
      <c r="I27" s="24">
        <v>128</v>
      </c>
      <c r="J27" s="25">
        <v>1665</v>
      </c>
      <c r="K27" s="25"/>
      <c r="L27" s="24">
        <v>202</v>
      </c>
      <c r="M27" s="24">
        <v>4</v>
      </c>
      <c r="N27" s="24">
        <v>416</v>
      </c>
      <c r="O27" s="24">
        <v>448</v>
      </c>
      <c r="P27" s="24"/>
      <c r="Q27" s="24"/>
      <c r="R27" s="26">
        <f t="shared" si="8"/>
        <v>490.86</v>
      </c>
      <c r="S27" s="24"/>
      <c r="T27" s="27"/>
    </row>
    <row r="28" spans="1:21" s="28" customFormat="1" ht="26.25" customHeight="1" x14ac:dyDescent="0.25">
      <c r="A28" s="18">
        <v>46171</v>
      </c>
      <c r="B28" s="19"/>
      <c r="C28" s="20">
        <f t="shared" ref="C28:C29" si="9">B28/200*25</f>
        <v>0</v>
      </c>
      <c r="D28" s="19">
        <v>1795</v>
      </c>
      <c r="E28" s="21">
        <f t="shared" si="7"/>
        <v>224.375</v>
      </c>
      <c r="F28" s="19">
        <v>1503</v>
      </c>
      <c r="G28" s="22">
        <f t="shared" si="1"/>
        <v>174.76744186046511</v>
      </c>
      <c r="H28" s="23">
        <v>938.99999999999989</v>
      </c>
      <c r="I28" s="24">
        <v>122</v>
      </c>
      <c r="J28" s="25">
        <v>1406</v>
      </c>
      <c r="K28" s="25"/>
      <c r="L28" s="24">
        <v>210</v>
      </c>
      <c r="M28" s="24">
        <v>4</v>
      </c>
      <c r="N28" s="24">
        <v>405</v>
      </c>
      <c r="O28" s="24">
        <v>322</v>
      </c>
      <c r="P28" s="24"/>
      <c r="Q28" s="24"/>
      <c r="R28" s="26">
        <f t="shared" si="8"/>
        <v>510.3</v>
      </c>
      <c r="S28" s="24"/>
      <c r="T28" s="27"/>
    </row>
    <row r="29" spans="1:21" s="28" customFormat="1" ht="26.25" customHeight="1" x14ac:dyDescent="0.25">
      <c r="A29" s="18">
        <v>46172</v>
      </c>
      <c r="B29" s="19"/>
      <c r="C29" s="21">
        <f t="shared" si="9"/>
        <v>0</v>
      </c>
      <c r="D29" s="19">
        <v>1347</v>
      </c>
      <c r="E29" s="21">
        <f t="shared" ref="E29" si="10">D29/208*25</f>
        <v>161.89903846153845</v>
      </c>
      <c r="F29" s="19">
        <v>1622</v>
      </c>
      <c r="G29" s="21">
        <f t="shared" si="1"/>
        <v>188.6046511627907</v>
      </c>
      <c r="H29" s="23">
        <v>915.8</v>
      </c>
      <c r="I29" s="24">
        <v>98</v>
      </c>
      <c r="J29" s="25">
        <v>1366</v>
      </c>
      <c r="K29" s="25"/>
      <c r="L29" s="24">
        <v>175</v>
      </c>
      <c r="M29" s="24">
        <v>6</v>
      </c>
      <c r="N29" s="24">
        <v>413</v>
      </c>
      <c r="O29" s="24">
        <v>292</v>
      </c>
      <c r="P29" s="24"/>
      <c r="Q29" s="24"/>
      <c r="R29" s="26">
        <f>L29*2.43</f>
        <v>425.25</v>
      </c>
      <c r="S29" s="24"/>
      <c r="T29" s="27"/>
      <c r="U29" s="86"/>
    </row>
    <row r="30" spans="1:21" ht="33" customHeight="1" thickBot="1" x14ac:dyDescent="0.3">
      <c r="A30" s="30" t="s">
        <v>30</v>
      </c>
      <c r="B30" s="31">
        <f>SUM(B15:B29)</f>
        <v>0</v>
      </c>
      <c r="C30" s="32">
        <f>SUM(C15:C29)</f>
        <v>0</v>
      </c>
      <c r="D30" s="31">
        <f>SUM(D15:D29)</f>
        <v>21001</v>
      </c>
      <c r="E30" s="33"/>
      <c r="F30" s="31">
        <f>SUM(F15:F29)</f>
        <v>24168</v>
      </c>
      <c r="G30" s="33"/>
      <c r="H30" s="32">
        <f t="shared" ref="H30:T30" si="11">SUM(H15:H29)</f>
        <v>15881.5</v>
      </c>
      <c r="I30" s="31">
        <f t="shared" si="11"/>
        <v>2825</v>
      </c>
      <c r="J30" s="31">
        <f t="shared" si="11"/>
        <v>21391</v>
      </c>
      <c r="K30" s="31">
        <f t="shared" si="11"/>
        <v>0</v>
      </c>
      <c r="L30" s="31">
        <f t="shared" si="11"/>
        <v>2640</v>
      </c>
      <c r="M30" s="31">
        <f t="shared" si="11"/>
        <v>54</v>
      </c>
      <c r="N30" s="31">
        <f t="shared" si="11"/>
        <v>5844</v>
      </c>
      <c r="O30" s="31">
        <f t="shared" si="11"/>
        <v>5000</v>
      </c>
      <c r="P30" s="31">
        <f t="shared" si="11"/>
        <v>0</v>
      </c>
      <c r="Q30" s="31">
        <f t="shared" si="11"/>
        <v>0</v>
      </c>
      <c r="R30" s="84">
        <f t="shared" si="11"/>
        <v>6415.2</v>
      </c>
      <c r="S30" s="33">
        <f t="shared" si="11"/>
        <v>300</v>
      </c>
      <c r="T30" s="33">
        <f t="shared" si="11"/>
        <v>0</v>
      </c>
      <c r="U30" s="54">
        <f>SUM(B30:T30)</f>
        <v>105519.7</v>
      </c>
    </row>
    <row r="31" spans="1:21" ht="15.75" customHeight="1" x14ac:dyDescent="0.2">
      <c r="A31" s="35"/>
      <c r="B31" s="35"/>
      <c r="C31" s="35"/>
      <c r="D31" s="36"/>
      <c r="E31" s="36"/>
      <c r="F31" s="37"/>
      <c r="G31" s="37"/>
      <c r="H31" s="39"/>
      <c r="I31" s="38"/>
      <c r="J31" s="38"/>
      <c r="K31" s="38"/>
      <c r="L31" s="38"/>
      <c r="M31" s="38"/>
      <c r="N31" s="38"/>
      <c r="O31" s="38"/>
      <c r="P31" s="38"/>
      <c r="Q31" s="38"/>
      <c r="R31" s="37"/>
      <c r="S31" s="38"/>
      <c r="T31" s="38"/>
    </row>
    <row r="33" spans="4:20" ht="15.75" customHeight="1" x14ac:dyDescent="0.2">
      <c r="D33" s="53"/>
      <c r="E33" s="53"/>
      <c r="F33" s="53"/>
      <c r="G33" s="53"/>
      <c r="T33" s="53"/>
    </row>
  </sheetData>
  <mergeCells count="29">
    <mergeCell ref="T8:T9"/>
    <mergeCell ref="L9:M9"/>
    <mergeCell ref="I11:K11"/>
    <mergeCell ref="B13:C13"/>
    <mergeCell ref="D13:E13"/>
    <mergeCell ref="F13:G13"/>
    <mergeCell ref="A10:A14"/>
    <mergeCell ref="B10:G10"/>
    <mergeCell ref="H10:H12"/>
    <mergeCell ref="I10:M10"/>
    <mergeCell ref="N10:Q10"/>
    <mergeCell ref="B12:C12"/>
    <mergeCell ref="D12:E12"/>
    <mergeCell ref="F12:G12"/>
    <mergeCell ref="B11:C11"/>
    <mergeCell ref="D11:E11"/>
    <mergeCell ref="F11:G11"/>
    <mergeCell ref="A2:S2"/>
    <mergeCell ref="A3:S3"/>
    <mergeCell ref="A5:S5"/>
    <mergeCell ref="A6:S6"/>
    <mergeCell ref="A8:A9"/>
    <mergeCell ref="B8:E9"/>
    <mergeCell ref="F8:G9"/>
    <mergeCell ref="I8:J9"/>
    <mergeCell ref="L8:M8"/>
    <mergeCell ref="N8:N9"/>
    <mergeCell ref="O8:Q9"/>
    <mergeCell ref="S8:S9"/>
  </mergeCells>
  <pageMargins left="0.39370078740157483" right="0.39370078740157483" top="0.74803149606299213" bottom="0.31496062992125984" header="0.31496062992125984" footer="0.31496062992125984"/>
  <pageSetup paperSize="5" scale="60" orientation="landscape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topLeftCell="A4" zoomScale="85" zoomScaleNormal="85" workbookViewId="0">
      <selection activeCell="B16" sqref="B16:B25"/>
    </sheetView>
  </sheetViews>
  <sheetFormatPr defaultColWidth="12.28515625" defaultRowHeight="15.75" customHeight="1" x14ac:dyDescent="0.2"/>
  <cols>
    <col min="1" max="1" width="31.7109375" style="1" bestFit="1" customWidth="1"/>
    <col min="2" max="2" width="5.42578125" style="1" customWidth="1"/>
    <col min="3" max="3" width="5.7109375" style="1" customWidth="1"/>
    <col min="4" max="4" width="9.140625" style="1" bestFit="1" customWidth="1"/>
    <col min="5" max="5" width="6.85546875" style="1" bestFit="1" customWidth="1"/>
    <col min="6" max="6" width="11.85546875" style="1" customWidth="1"/>
    <col min="7" max="7" width="6.140625" style="1" bestFit="1" customWidth="1"/>
    <col min="8" max="8" width="6.85546875" style="1" customWidth="1"/>
    <col min="9" max="9" width="8.28515625" style="1" customWidth="1"/>
    <col min="10" max="13" width="4.28515625" style="1" customWidth="1"/>
    <col min="14" max="14" width="7" style="1" customWidth="1"/>
    <col min="15" max="15" width="8.42578125" style="1" customWidth="1"/>
    <col min="16" max="16" width="13.5703125" style="1" customWidth="1"/>
    <col min="17" max="18" width="10.140625" style="1" hidden="1" customWidth="1"/>
    <col min="19" max="19" width="9" style="1" hidden="1" customWidth="1"/>
    <col min="20" max="20" width="8.85546875" style="1" hidden="1" customWidth="1"/>
    <col min="21" max="21" width="9.28515625" style="1" customWidth="1"/>
    <col min="22" max="22" width="9.85546875" style="1" customWidth="1"/>
    <col min="23" max="23" width="8.7109375" style="1" customWidth="1"/>
    <col min="24" max="24" width="11.5703125" style="1" customWidth="1"/>
    <col min="25" max="25" width="9" style="1" customWidth="1"/>
    <col min="26" max="26" width="8.42578125" style="1" bestFit="1" customWidth="1"/>
    <col min="27" max="27" width="9.140625" style="1" customWidth="1"/>
    <col min="28" max="28" width="8.42578125" style="1" customWidth="1"/>
    <col min="29" max="30" width="9.5703125" style="1" customWidth="1"/>
    <col min="31" max="31" width="12.28515625" style="1" customWidth="1"/>
    <col min="32" max="32" width="10.5703125" style="1" customWidth="1"/>
    <col min="33" max="33" width="12.42578125" style="1" customWidth="1"/>
    <col min="34" max="34" width="16" style="1" customWidth="1"/>
    <col min="35" max="16384" width="12.28515625" style="1"/>
  </cols>
  <sheetData>
    <row r="1" spans="1:34" ht="15.75" customHeigh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34" ht="18.75" customHeight="1" x14ac:dyDescent="0.3">
      <c r="A2" s="221" t="s">
        <v>0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56"/>
    </row>
    <row r="3" spans="1:34" ht="21.75" customHeight="1" x14ac:dyDescent="0.3">
      <c r="A3" s="221" t="s">
        <v>1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56"/>
    </row>
    <row r="4" spans="1:34" ht="15.75" customHeight="1" x14ac:dyDescent="0.2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8"/>
    </row>
    <row r="5" spans="1:34" ht="19.5" customHeight="1" x14ac:dyDescent="0.3">
      <c r="A5" s="221" t="s">
        <v>2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56"/>
    </row>
    <row r="6" spans="1:34" ht="19.5" customHeight="1" x14ac:dyDescent="0.3">
      <c r="A6" s="222" t="s">
        <v>186</v>
      </c>
      <c r="B6" s="222"/>
      <c r="C6" s="222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56"/>
    </row>
    <row r="7" spans="1:34" ht="17.25" customHeight="1" thickBot="1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</row>
    <row r="8" spans="1:34" ht="18" customHeight="1" x14ac:dyDescent="0.2">
      <c r="A8" s="223" t="s">
        <v>3</v>
      </c>
      <c r="B8" s="225" t="s">
        <v>4</v>
      </c>
      <c r="C8" s="226"/>
      <c r="D8" s="226"/>
      <c r="E8" s="227"/>
      <c r="F8" s="231" t="s">
        <v>5</v>
      </c>
      <c r="G8" s="226"/>
      <c r="H8" s="226"/>
      <c r="I8" s="226"/>
      <c r="J8" s="226"/>
      <c r="K8" s="226"/>
      <c r="L8" s="226"/>
      <c r="M8" s="226"/>
      <c r="N8" s="226"/>
      <c r="O8" s="227"/>
      <c r="P8" s="60" t="s">
        <v>6</v>
      </c>
      <c r="Q8" s="231" t="s">
        <v>4</v>
      </c>
      <c r="R8" s="226"/>
      <c r="S8" s="226"/>
      <c r="T8" s="226"/>
      <c r="U8" s="227"/>
      <c r="V8" s="233" t="s">
        <v>5</v>
      </c>
      <c r="W8" s="233"/>
      <c r="X8" s="60"/>
      <c r="Y8" s="233" t="s">
        <v>6</v>
      </c>
      <c r="Z8" s="233"/>
      <c r="AA8" s="234" t="s">
        <v>5</v>
      </c>
      <c r="AB8" s="233" t="s">
        <v>4</v>
      </c>
      <c r="AC8" s="233"/>
      <c r="AD8" s="233"/>
      <c r="AE8" s="60" t="s">
        <v>6</v>
      </c>
      <c r="AF8" s="234" t="s">
        <v>6</v>
      </c>
      <c r="AG8" s="204" t="s">
        <v>5</v>
      </c>
    </row>
    <row r="9" spans="1:34" ht="18" customHeight="1" thickBot="1" x14ac:dyDescent="0.25">
      <c r="A9" s="224"/>
      <c r="B9" s="228"/>
      <c r="C9" s="229"/>
      <c r="D9" s="229"/>
      <c r="E9" s="230"/>
      <c r="F9" s="232"/>
      <c r="G9" s="229"/>
      <c r="H9" s="229"/>
      <c r="I9" s="229"/>
      <c r="J9" s="229"/>
      <c r="K9" s="229"/>
      <c r="L9" s="229"/>
      <c r="M9" s="229"/>
      <c r="N9" s="229"/>
      <c r="O9" s="230"/>
      <c r="P9" s="61" t="s">
        <v>5</v>
      </c>
      <c r="Q9" s="232"/>
      <c r="R9" s="229"/>
      <c r="S9" s="229"/>
      <c r="T9" s="229"/>
      <c r="U9" s="230"/>
      <c r="V9" s="206"/>
      <c r="W9" s="206"/>
      <c r="X9" s="61"/>
      <c r="Y9" s="206" t="s">
        <v>5</v>
      </c>
      <c r="Z9" s="206"/>
      <c r="AA9" s="235"/>
      <c r="AB9" s="206"/>
      <c r="AC9" s="206"/>
      <c r="AD9" s="206"/>
      <c r="AE9" s="61" t="s">
        <v>5</v>
      </c>
      <c r="AF9" s="235"/>
      <c r="AG9" s="205"/>
    </row>
    <row r="10" spans="1:34" ht="18" customHeight="1" x14ac:dyDescent="0.2">
      <c r="A10" s="223" t="s">
        <v>7</v>
      </c>
      <c r="B10" s="237" t="s">
        <v>8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9"/>
      <c r="P10" s="211" t="s">
        <v>9</v>
      </c>
      <c r="Q10" s="213" t="s">
        <v>10</v>
      </c>
      <c r="R10" s="214"/>
      <c r="S10" s="214"/>
      <c r="T10" s="214"/>
      <c r="U10" s="214"/>
      <c r="V10" s="214"/>
      <c r="W10" s="214"/>
      <c r="X10" s="214"/>
      <c r="Y10" s="214"/>
      <c r="Z10" s="215"/>
      <c r="AA10" s="216" t="s">
        <v>11</v>
      </c>
      <c r="AB10" s="217"/>
      <c r="AC10" s="217"/>
      <c r="AD10" s="218"/>
      <c r="AE10" s="60"/>
      <c r="AF10" s="60"/>
      <c r="AG10" s="62"/>
    </row>
    <row r="11" spans="1:34" ht="56.25" x14ac:dyDescent="0.2">
      <c r="A11" s="236"/>
      <c r="B11" s="219">
        <v>200</v>
      </c>
      <c r="C11" s="210"/>
      <c r="D11" s="210">
        <v>208</v>
      </c>
      <c r="E11" s="207"/>
      <c r="F11" s="207">
        <v>215</v>
      </c>
      <c r="G11" s="207"/>
      <c r="H11" s="207">
        <v>135</v>
      </c>
      <c r="I11" s="207"/>
      <c r="J11" s="207">
        <v>150</v>
      </c>
      <c r="K11" s="207"/>
      <c r="L11" s="207">
        <v>150</v>
      </c>
      <c r="M11" s="207"/>
      <c r="N11" s="207">
        <v>38</v>
      </c>
      <c r="O11" s="207"/>
      <c r="P11" s="212"/>
      <c r="Q11" s="207" t="s">
        <v>12</v>
      </c>
      <c r="R11" s="207"/>
      <c r="S11" s="207" t="s">
        <v>13</v>
      </c>
      <c r="T11" s="207"/>
      <c r="U11" s="63" t="s">
        <v>14</v>
      </c>
      <c r="V11" s="208" t="s">
        <v>15</v>
      </c>
      <c r="W11" s="209"/>
      <c r="X11" s="210"/>
      <c r="Y11" s="64" t="s">
        <v>16</v>
      </c>
      <c r="Z11" s="64" t="s">
        <v>17</v>
      </c>
      <c r="AA11" s="64" t="s">
        <v>18</v>
      </c>
      <c r="AB11" s="64" t="s">
        <v>18</v>
      </c>
      <c r="AC11" s="64" t="s">
        <v>18</v>
      </c>
      <c r="AD11" s="64" t="s">
        <v>18</v>
      </c>
      <c r="AE11" s="64" t="s">
        <v>19</v>
      </c>
      <c r="AF11" s="64" t="s">
        <v>20</v>
      </c>
      <c r="AG11" s="65" t="s">
        <v>21</v>
      </c>
    </row>
    <row r="12" spans="1:34" s="12" customFormat="1" ht="19.5" customHeight="1" x14ac:dyDescent="0.2">
      <c r="A12" s="236"/>
      <c r="B12" s="219" t="s">
        <v>22</v>
      </c>
      <c r="C12" s="210"/>
      <c r="D12" s="210" t="s">
        <v>23</v>
      </c>
      <c r="E12" s="207"/>
      <c r="F12" s="207" t="s">
        <v>24</v>
      </c>
      <c r="G12" s="207"/>
      <c r="H12" s="207" t="s">
        <v>24</v>
      </c>
      <c r="I12" s="207"/>
      <c r="J12" s="207" t="s">
        <v>23</v>
      </c>
      <c r="K12" s="207"/>
      <c r="L12" s="207" t="s">
        <v>25</v>
      </c>
      <c r="M12" s="207"/>
      <c r="N12" s="207" t="s">
        <v>24</v>
      </c>
      <c r="O12" s="207"/>
      <c r="P12" s="212"/>
      <c r="Q12" s="64">
        <v>2.4</v>
      </c>
      <c r="R12" s="64">
        <v>3.6</v>
      </c>
      <c r="S12" s="64">
        <v>2.4</v>
      </c>
      <c r="T12" s="64">
        <v>3.6</v>
      </c>
      <c r="U12" s="64">
        <v>2.4</v>
      </c>
      <c r="V12" s="64">
        <v>3.6</v>
      </c>
      <c r="W12" s="64">
        <v>2.4</v>
      </c>
      <c r="X12" s="64">
        <v>4.9000000000000004</v>
      </c>
      <c r="Y12" s="64"/>
      <c r="Z12" s="64"/>
      <c r="AA12" s="64">
        <v>5</v>
      </c>
      <c r="AB12" s="64">
        <v>10</v>
      </c>
      <c r="AC12" s="64">
        <v>6</v>
      </c>
      <c r="AD12" s="64">
        <v>40</v>
      </c>
      <c r="AE12" s="64"/>
      <c r="AF12" s="64"/>
      <c r="AG12" s="65" t="s">
        <v>26</v>
      </c>
    </row>
    <row r="13" spans="1:34" ht="19.5" customHeight="1" x14ac:dyDescent="0.2">
      <c r="A13" s="236"/>
      <c r="B13" s="220">
        <v>31496</v>
      </c>
      <c r="C13" s="203"/>
      <c r="D13" s="203">
        <v>17457</v>
      </c>
      <c r="E13" s="202"/>
      <c r="F13" s="202">
        <v>11082</v>
      </c>
      <c r="G13" s="202"/>
      <c r="H13" s="202">
        <v>21810</v>
      </c>
      <c r="I13" s="202"/>
      <c r="J13" s="202">
        <v>17362</v>
      </c>
      <c r="K13" s="202"/>
      <c r="L13" s="202">
        <v>18389</v>
      </c>
      <c r="M13" s="202"/>
      <c r="N13" s="202">
        <v>21811</v>
      </c>
      <c r="O13" s="202"/>
      <c r="P13" s="66">
        <v>10128</v>
      </c>
      <c r="Q13" s="66">
        <v>10962</v>
      </c>
      <c r="R13" s="66">
        <v>15427</v>
      </c>
      <c r="S13" s="66">
        <v>16623</v>
      </c>
      <c r="T13" s="66">
        <v>16967</v>
      </c>
      <c r="U13" s="66">
        <v>28230</v>
      </c>
      <c r="V13" s="66">
        <v>10966</v>
      </c>
      <c r="W13" s="66">
        <v>10965</v>
      </c>
      <c r="X13" s="66">
        <v>21809</v>
      </c>
      <c r="Y13" s="66">
        <v>11966</v>
      </c>
      <c r="Z13" s="66">
        <v>11089</v>
      </c>
      <c r="AA13" s="66">
        <v>10960</v>
      </c>
      <c r="AB13" s="66">
        <v>10961</v>
      </c>
      <c r="AC13" s="66">
        <v>10839</v>
      </c>
      <c r="AD13" s="66">
        <v>10959</v>
      </c>
      <c r="AE13" s="66">
        <v>12487</v>
      </c>
      <c r="AF13" s="66">
        <v>16823</v>
      </c>
      <c r="AG13" s="67">
        <v>11342</v>
      </c>
    </row>
    <row r="14" spans="1:34" ht="21.75" customHeight="1" thickBot="1" x14ac:dyDescent="0.25">
      <c r="A14" s="224"/>
      <c r="B14" s="68" t="s">
        <v>27</v>
      </c>
      <c r="C14" s="61" t="s">
        <v>28</v>
      </c>
      <c r="D14" s="68" t="s">
        <v>27</v>
      </c>
      <c r="E14" s="61" t="s">
        <v>28</v>
      </c>
      <c r="F14" s="61" t="s">
        <v>27</v>
      </c>
      <c r="G14" s="61" t="s">
        <v>28</v>
      </c>
      <c r="H14" s="61" t="s">
        <v>27</v>
      </c>
      <c r="I14" s="61" t="s">
        <v>28</v>
      </c>
      <c r="J14" s="61" t="s">
        <v>27</v>
      </c>
      <c r="K14" s="61" t="s">
        <v>28</v>
      </c>
      <c r="L14" s="61" t="s">
        <v>27</v>
      </c>
      <c r="M14" s="61" t="s">
        <v>28</v>
      </c>
      <c r="N14" s="61" t="s">
        <v>27</v>
      </c>
      <c r="O14" s="61" t="s">
        <v>28</v>
      </c>
      <c r="P14" s="61" t="s">
        <v>28</v>
      </c>
      <c r="Q14" s="61" t="s">
        <v>27</v>
      </c>
      <c r="R14" s="61" t="s">
        <v>27</v>
      </c>
      <c r="S14" s="61" t="s">
        <v>27</v>
      </c>
      <c r="T14" s="61" t="s">
        <v>27</v>
      </c>
      <c r="U14" s="61" t="s">
        <v>27</v>
      </c>
      <c r="V14" s="61" t="s">
        <v>27</v>
      </c>
      <c r="W14" s="61" t="s">
        <v>27</v>
      </c>
      <c r="X14" s="61" t="s">
        <v>27</v>
      </c>
      <c r="Y14" s="61" t="s">
        <v>27</v>
      </c>
      <c r="Z14" s="61" t="s">
        <v>27</v>
      </c>
      <c r="AA14" s="61" t="s">
        <v>29</v>
      </c>
      <c r="AB14" s="61" t="s">
        <v>29</v>
      </c>
      <c r="AC14" s="61" t="s">
        <v>29</v>
      </c>
      <c r="AD14" s="61" t="s">
        <v>29</v>
      </c>
      <c r="AE14" s="61" t="s">
        <v>29</v>
      </c>
      <c r="AF14" s="61" t="s">
        <v>29</v>
      </c>
      <c r="AG14" s="69" t="s">
        <v>27</v>
      </c>
    </row>
    <row r="15" spans="1:34" s="28" customFormat="1" ht="26.25" customHeight="1" x14ac:dyDescent="0.25">
      <c r="A15" s="18">
        <v>46143</v>
      </c>
      <c r="B15" s="19"/>
      <c r="C15" s="20">
        <f t="shared" ref="C15:C20" si="0">B15/200*25</f>
        <v>0</v>
      </c>
      <c r="D15" s="19"/>
      <c r="E15" s="21">
        <f t="shared" ref="E15" si="1">D15/200*25</f>
        <v>0</v>
      </c>
      <c r="F15" s="19"/>
      <c r="G15" s="22">
        <f t="shared" ref="G15:G29" si="2">F15/215*25</f>
        <v>0</v>
      </c>
      <c r="H15" s="19"/>
      <c r="I15" s="23"/>
      <c r="J15" s="19"/>
      <c r="K15" s="19"/>
      <c r="L15" s="19"/>
      <c r="M15" s="19"/>
      <c r="N15" s="19"/>
      <c r="O15" s="23">
        <v>0</v>
      </c>
      <c r="P15" s="23"/>
      <c r="Q15" s="24"/>
      <c r="R15" s="24"/>
      <c r="S15" s="25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>
        <f t="shared" ref="AE15" si="3">Y15*2.43</f>
        <v>0</v>
      </c>
      <c r="AF15" s="24"/>
      <c r="AG15" s="27"/>
    </row>
    <row r="16" spans="1:34" s="28" customFormat="1" ht="26.25" customHeight="1" x14ac:dyDescent="0.25">
      <c r="A16" s="18">
        <v>46144</v>
      </c>
      <c r="B16" s="19"/>
      <c r="C16" s="21">
        <f t="shared" si="0"/>
        <v>0</v>
      </c>
      <c r="D16" s="19">
        <v>1307</v>
      </c>
      <c r="E16" s="21">
        <f t="shared" ref="E16:E17" si="4">D16/208*25</f>
        <v>157.09134615384613</v>
      </c>
      <c r="F16" s="19">
        <v>822</v>
      </c>
      <c r="G16" s="21">
        <f t="shared" si="2"/>
        <v>95.581395348837205</v>
      </c>
      <c r="H16" s="19"/>
      <c r="I16" s="23"/>
      <c r="J16" s="19"/>
      <c r="K16" s="19"/>
      <c r="L16" s="19"/>
      <c r="M16" s="19"/>
      <c r="N16" s="19"/>
      <c r="O16" s="23">
        <v>0</v>
      </c>
      <c r="P16" s="23">
        <v>667</v>
      </c>
      <c r="Q16" s="24"/>
      <c r="R16" s="24"/>
      <c r="S16" s="25"/>
      <c r="T16" s="25"/>
      <c r="U16" s="24"/>
      <c r="V16" s="24">
        <v>13</v>
      </c>
      <c r="W16" s="25">
        <v>1057</v>
      </c>
      <c r="X16" s="25"/>
      <c r="Y16" s="24">
        <v>99</v>
      </c>
      <c r="Z16" s="24">
        <v>4</v>
      </c>
      <c r="AA16" s="24">
        <v>187</v>
      </c>
      <c r="AB16" s="24">
        <v>290</v>
      </c>
      <c r="AC16" s="24"/>
      <c r="AD16" s="24"/>
      <c r="AE16" s="26">
        <f>Y16*2.43</f>
        <v>240.57000000000002</v>
      </c>
      <c r="AF16" s="24"/>
      <c r="AG16" s="27"/>
      <c r="AH16" s="86"/>
    </row>
    <row r="17" spans="1:34" s="28" customFormat="1" ht="26.25" customHeight="1" x14ac:dyDescent="0.25">
      <c r="A17" s="18">
        <v>46145</v>
      </c>
      <c r="B17" s="19"/>
      <c r="C17" s="21">
        <f t="shared" si="0"/>
        <v>0</v>
      </c>
      <c r="D17" s="19">
        <v>1453</v>
      </c>
      <c r="E17" s="21">
        <f t="shared" si="4"/>
        <v>174.63942307692309</v>
      </c>
      <c r="F17" s="19">
        <v>1065</v>
      </c>
      <c r="G17" s="21">
        <f t="shared" si="2"/>
        <v>123.83720930232558</v>
      </c>
      <c r="H17" s="19"/>
      <c r="I17" s="23"/>
      <c r="J17" s="19"/>
      <c r="K17" s="19"/>
      <c r="L17" s="19"/>
      <c r="M17" s="19"/>
      <c r="N17" s="19"/>
      <c r="O17" s="23">
        <v>0</v>
      </c>
      <c r="P17" s="23">
        <v>757.00000000000011</v>
      </c>
      <c r="Q17" s="24"/>
      <c r="R17" s="24"/>
      <c r="S17" s="24"/>
      <c r="T17" s="24"/>
      <c r="U17" s="24"/>
      <c r="V17" s="24">
        <v>19</v>
      </c>
      <c r="W17" s="25">
        <v>1226</v>
      </c>
      <c r="X17" s="25"/>
      <c r="Y17" s="24">
        <v>133</v>
      </c>
      <c r="Z17" s="24">
        <v>8</v>
      </c>
      <c r="AA17" s="24">
        <v>313</v>
      </c>
      <c r="AB17" s="24">
        <v>239</v>
      </c>
      <c r="AC17" s="24"/>
      <c r="AD17" s="24"/>
      <c r="AE17" s="26">
        <f>Y17*2.43</f>
        <v>323.19</v>
      </c>
      <c r="AF17" s="24"/>
      <c r="AG17" s="27"/>
      <c r="AH17" s="86"/>
    </row>
    <row r="18" spans="1:34" s="28" customFormat="1" ht="26.25" customHeight="1" x14ac:dyDescent="0.25">
      <c r="A18" s="18">
        <v>46146</v>
      </c>
      <c r="B18" s="19"/>
      <c r="C18" s="20">
        <f t="shared" si="0"/>
        <v>0</v>
      </c>
      <c r="D18" s="19">
        <v>1895</v>
      </c>
      <c r="E18" s="21">
        <f t="shared" ref="E18:E22" si="5">D18/200*25</f>
        <v>236.875</v>
      </c>
      <c r="F18" s="19">
        <v>1552</v>
      </c>
      <c r="G18" s="22">
        <f t="shared" si="2"/>
        <v>180.46511627906975</v>
      </c>
      <c r="H18" s="19"/>
      <c r="I18" s="23">
        <f t="shared" ref="I18:I21" si="6">H18/135*25</f>
        <v>0</v>
      </c>
      <c r="J18" s="19"/>
      <c r="K18" s="19">
        <v>0</v>
      </c>
      <c r="L18" s="19"/>
      <c r="M18" s="19">
        <v>0</v>
      </c>
      <c r="N18" s="19"/>
      <c r="O18" s="23">
        <f>N18/38*25</f>
        <v>0</v>
      </c>
      <c r="P18" s="22">
        <v>1183</v>
      </c>
      <c r="Q18" s="24"/>
      <c r="R18" s="24"/>
      <c r="S18" s="25"/>
      <c r="T18" s="24"/>
      <c r="U18" s="24"/>
      <c r="V18" s="24">
        <v>28</v>
      </c>
      <c r="W18" s="25">
        <v>1840</v>
      </c>
      <c r="X18" s="25"/>
      <c r="Y18" s="24">
        <v>184</v>
      </c>
      <c r="Z18" s="24">
        <v>4</v>
      </c>
      <c r="AA18" s="24">
        <v>418</v>
      </c>
      <c r="AB18" s="24">
        <v>412</v>
      </c>
      <c r="AC18" s="24"/>
      <c r="AD18" s="24"/>
      <c r="AE18" s="26">
        <f t="shared" ref="AE18:AE22" si="7">Y18*2.43</f>
        <v>447.12</v>
      </c>
      <c r="AF18" s="24"/>
      <c r="AG18" s="27"/>
      <c r="AH18" s="29"/>
    </row>
    <row r="19" spans="1:34" s="28" customFormat="1" ht="26.25" customHeight="1" x14ac:dyDescent="0.25">
      <c r="A19" s="18">
        <v>46147</v>
      </c>
      <c r="B19" s="19"/>
      <c r="C19" s="20">
        <f t="shared" si="0"/>
        <v>0</v>
      </c>
      <c r="D19" s="19">
        <v>1665</v>
      </c>
      <c r="E19" s="21">
        <f t="shared" si="5"/>
        <v>208.12499999999997</v>
      </c>
      <c r="F19" s="19">
        <v>1323</v>
      </c>
      <c r="G19" s="22">
        <f t="shared" si="2"/>
        <v>153.83720930232559</v>
      </c>
      <c r="H19" s="19"/>
      <c r="I19" s="23">
        <f t="shared" si="6"/>
        <v>0</v>
      </c>
      <c r="J19" s="19"/>
      <c r="K19" s="19"/>
      <c r="L19" s="19"/>
      <c r="M19" s="19"/>
      <c r="N19" s="19"/>
      <c r="O19" s="23">
        <f t="shared" ref="O19:O21" si="8">N19/38*25</f>
        <v>0</v>
      </c>
      <c r="P19" s="23">
        <v>1201.2</v>
      </c>
      <c r="Q19" s="24"/>
      <c r="R19" s="24"/>
      <c r="S19" s="24"/>
      <c r="T19" s="24"/>
      <c r="U19" s="24"/>
      <c r="V19" s="24">
        <v>48</v>
      </c>
      <c r="W19" s="25">
        <v>1733</v>
      </c>
      <c r="X19" s="25"/>
      <c r="Y19" s="24">
        <v>179</v>
      </c>
      <c r="Z19" s="24">
        <v>8</v>
      </c>
      <c r="AA19" s="24">
        <v>396</v>
      </c>
      <c r="AB19" s="24">
        <v>358</v>
      </c>
      <c r="AC19" s="24"/>
      <c r="AD19" s="24"/>
      <c r="AE19" s="26">
        <f t="shared" si="7"/>
        <v>434.97</v>
      </c>
      <c r="AF19" s="24"/>
      <c r="AG19" s="27"/>
    </row>
    <row r="20" spans="1:34" s="28" customFormat="1" ht="26.25" customHeight="1" x14ac:dyDescent="0.25">
      <c r="A20" s="18">
        <v>46148</v>
      </c>
      <c r="B20" s="19"/>
      <c r="C20" s="20">
        <f t="shared" si="0"/>
        <v>0</v>
      </c>
      <c r="D20" s="19">
        <v>2165</v>
      </c>
      <c r="E20" s="21">
        <f t="shared" si="5"/>
        <v>270.625</v>
      </c>
      <c r="F20" s="19">
        <v>1186</v>
      </c>
      <c r="G20" s="22">
        <f t="shared" si="2"/>
        <v>137.90697674418604</v>
      </c>
      <c r="H20" s="19"/>
      <c r="I20" s="23">
        <f t="shared" si="6"/>
        <v>0</v>
      </c>
      <c r="J20" s="19"/>
      <c r="K20" s="19"/>
      <c r="L20" s="19"/>
      <c r="M20" s="19"/>
      <c r="N20" s="19"/>
      <c r="O20" s="23">
        <f t="shared" si="8"/>
        <v>0</v>
      </c>
      <c r="P20" s="23">
        <v>1224</v>
      </c>
      <c r="Q20" s="24"/>
      <c r="R20" s="24"/>
      <c r="S20" s="24"/>
      <c r="T20" s="24"/>
      <c r="U20" s="24"/>
      <c r="V20" s="12">
        <v>65</v>
      </c>
      <c r="W20" s="25">
        <v>1820</v>
      </c>
      <c r="X20" s="25"/>
      <c r="Y20" s="24">
        <v>175</v>
      </c>
      <c r="Z20" s="24">
        <v>6</v>
      </c>
      <c r="AA20" s="24">
        <v>318</v>
      </c>
      <c r="AB20" s="24">
        <v>454</v>
      </c>
      <c r="AC20" s="24"/>
      <c r="AD20" s="24"/>
      <c r="AE20" s="26">
        <f t="shared" si="7"/>
        <v>425.25</v>
      </c>
      <c r="AF20" s="24"/>
      <c r="AG20" s="27"/>
      <c r="AH20" s="29"/>
    </row>
    <row r="21" spans="1:34" s="28" customFormat="1" ht="26.25" customHeight="1" x14ac:dyDescent="0.25">
      <c r="A21" s="18">
        <v>46149</v>
      </c>
      <c r="B21" s="19"/>
      <c r="C21" s="20">
        <f>B21/200*25</f>
        <v>0</v>
      </c>
      <c r="D21" s="19">
        <v>1665</v>
      </c>
      <c r="E21" s="21">
        <f t="shared" si="5"/>
        <v>208.12499999999997</v>
      </c>
      <c r="F21" s="19">
        <v>1103</v>
      </c>
      <c r="G21" s="22">
        <f t="shared" si="2"/>
        <v>128.25581395348837</v>
      </c>
      <c r="H21" s="19"/>
      <c r="I21" s="23">
        <f t="shared" si="6"/>
        <v>0</v>
      </c>
      <c r="J21" s="19"/>
      <c r="K21" s="19"/>
      <c r="L21" s="19"/>
      <c r="M21" s="19"/>
      <c r="N21" s="19"/>
      <c r="O21" s="23">
        <f t="shared" si="8"/>
        <v>0</v>
      </c>
      <c r="P21" s="23">
        <v>1035.2</v>
      </c>
      <c r="Q21" s="24"/>
      <c r="R21" s="24"/>
      <c r="S21" s="24"/>
      <c r="T21" s="24"/>
      <c r="U21" s="24"/>
      <c r="V21" s="24">
        <v>45</v>
      </c>
      <c r="W21" s="25">
        <v>1531</v>
      </c>
      <c r="X21" s="25"/>
      <c r="Y21" s="24">
        <v>160</v>
      </c>
      <c r="Z21" s="24">
        <v>8</v>
      </c>
      <c r="AA21" s="24">
        <v>257</v>
      </c>
      <c r="AB21" s="24">
        <v>422</v>
      </c>
      <c r="AC21" s="24"/>
      <c r="AD21" s="24"/>
      <c r="AE21" s="26">
        <f t="shared" si="7"/>
        <v>388.8</v>
      </c>
      <c r="AF21" s="24"/>
      <c r="AG21" s="27"/>
    </row>
    <row r="22" spans="1:34" s="28" customFormat="1" ht="26.25" customHeight="1" x14ac:dyDescent="0.25">
      <c r="A22" s="18">
        <v>46150</v>
      </c>
      <c r="B22" s="19"/>
      <c r="C22" s="20">
        <f t="shared" ref="C22:C27" si="9">B22/200*25</f>
        <v>0</v>
      </c>
      <c r="D22" s="19">
        <v>1983</v>
      </c>
      <c r="E22" s="21">
        <f t="shared" si="5"/>
        <v>247.87499999999997</v>
      </c>
      <c r="F22" s="19">
        <v>956</v>
      </c>
      <c r="G22" s="22">
        <f t="shared" si="2"/>
        <v>111.16279069767442</v>
      </c>
      <c r="H22" s="19"/>
      <c r="I22" s="23"/>
      <c r="J22" s="19"/>
      <c r="K22" s="19"/>
      <c r="L22" s="19"/>
      <c r="M22" s="19"/>
      <c r="N22" s="19"/>
      <c r="O22" s="23">
        <v>0</v>
      </c>
      <c r="P22" s="23">
        <v>1041.2</v>
      </c>
      <c r="Q22" s="24"/>
      <c r="R22" s="24"/>
      <c r="S22" s="25"/>
      <c r="T22" s="24"/>
      <c r="U22" s="24"/>
      <c r="V22" s="24">
        <v>51</v>
      </c>
      <c r="W22" s="25">
        <v>1548</v>
      </c>
      <c r="X22" s="25"/>
      <c r="Y22" s="24">
        <v>161</v>
      </c>
      <c r="Z22" s="24">
        <v>2</v>
      </c>
      <c r="AA22" s="24">
        <v>271</v>
      </c>
      <c r="AB22" s="24">
        <v>413</v>
      </c>
      <c r="AC22" s="24"/>
      <c r="AD22" s="24"/>
      <c r="AE22" s="26">
        <f t="shared" si="7"/>
        <v>391.23</v>
      </c>
      <c r="AF22" s="24"/>
      <c r="AG22" s="27"/>
    </row>
    <row r="23" spans="1:34" s="28" customFormat="1" ht="26.25" customHeight="1" x14ac:dyDescent="0.25">
      <c r="A23" s="18">
        <v>46151</v>
      </c>
      <c r="B23" s="19"/>
      <c r="C23" s="21">
        <f t="shared" si="9"/>
        <v>0</v>
      </c>
      <c r="D23" s="19">
        <v>1996</v>
      </c>
      <c r="E23" s="21">
        <f t="shared" ref="E23:E24" si="10">D23/208*25</f>
        <v>239.90384615384616</v>
      </c>
      <c r="F23" s="19">
        <v>1172</v>
      </c>
      <c r="G23" s="21">
        <f t="shared" si="2"/>
        <v>136.27906976744185</v>
      </c>
      <c r="H23" s="19"/>
      <c r="I23" s="23"/>
      <c r="J23" s="19"/>
      <c r="K23" s="19"/>
      <c r="L23" s="19"/>
      <c r="M23" s="19"/>
      <c r="N23" s="19"/>
      <c r="O23" s="23">
        <v>0</v>
      </c>
      <c r="P23" s="23">
        <v>1028.8000000000002</v>
      </c>
      <c r="Q23" s="24"/>
      <c r="R23" s="24"/>
      <c r="S23" s="25"/>
      <c r="T23" s="25"/>
      <c r="U23" s="24"/>
      <c r="V23" s="24">
        <v>55</v>
      </c>
      <c r="W23" s="25">
        <v>1597</v>
      </c>
      <c r="X23" s="25"/>
      <c r="Y23" s="24">
        <v>170</v>
      </c>
      <c r="Z23" s="24">
        <v>6</v>
      </c>
      <c r="AA23" s="24">
        <v>373</v>
      </c>
      <c r="AB23" s="24">
        <v>324</v>
      </c>
      <c r="AC23" s="24"/>
      <c r="AD23" s="24"/>
      <c r="AE23" s="26">
        <f>Y23*2.43</f>
        <v>413.1</v>
      </c>
      <c r="AF23" s="24"/>
      <c r="AG23" s="27"/>
      <c r="AH23" s="86"/>
    </row>
    <row r="24" spans="1:34" s="28" customFormat="1" ht="26.25" customHeight="1" x14ac:dyDescent="0.25">
      <c r="A24" s="18">
        <v>46152</v>
      </c>
      <c r="B24" s="19"/>
      <c r="C24" s="21">
        <f t="shared" si="9"/>
        <v>0</v>
      </c>
      <c r="D24" s="19">
        <v>1611</v>
      </c>
      <c r="E24" s="21">
        <f t="shared" si="10"/>
        <v>193.62980769230768</v>
      </c>
      <c r="F24" s="19">
        <v>811</v>
      </c>
      <c r="G24" s="21">
        <f t="shared" si="2"/>
        <v>94.302325581395351</v>
      </c>
      <c r="H24" s="19"/>
      <c r="I24" s="23"/>
      <c r="J24" s="19"/>
      <c r="K24" s="19"/>
      <c r="L24" s="19"/>
      <c r="M24" s="19"/>
      <c r="N24" s="19"/>
      <c r="O24" s="23">
        <v>0</v>
      </c>
      <c r="P24" s="23">
        <v>897.59999999999991</v>
      </c>
      <c r="Q24" s="24"/>
      <c r="R24" s="24"/>
      <c r="S24" s="24"/>
      <c r="T24" s="24"/>
      <c r="U24" s="24"/>
      <c r="V24" s="24">
        <v>26</v>
      </c>
      <c r="W24" s="25">
        <v>1328</v>
      </c>
      <c r="X24" s="25"/>
      <c r="Y24" s="24">
        <v>136</v>
      </c>
      <c r="Z24" s="24">
        <v>4</v>
      </c>
      <c r="AA24" s="24">
        <v>509</v>
      </c>
      <c r="AB24" s="24">
        <v>85</v>
      </c>
      <c r="AC24" s="24"/>
      <c r="AD24" s="24"/>
      <c r="AE24" s="26">
        <f>Y24*2.43</f>
        <v>330.48</v>
      </c>
      <c r="AF24" s="24"/>
      <c r="AG24" s="27"/>
      <c r="AH24" s="86"/>
    </row>
    <row r="25" spans="1:34" s="28" customFormat="1" ht="26.25" customHeight="1" x14ac:dyDescent="0.25">
      <c r="A25" s="18">
        <v>46153</v>
      </c>
      <c r="B25" s="19"/>
      <c r="C25" s="20">
        <f t="shared" si="9"/>
        <v>0</v>
      </c>
      <c r="D25" s="19">
        <v>1697</v>
      </c>
      <c r="E25" s="21">
        <f t="shared" ref="E25:E29" si="11">D25/200*25</f>
        <v>212.125</v>
      </c>
      <c r="F25" s="19">
        <v>1404</v>
      </c>
      <c r="G25" s="22">
        <f t="shared" si="2"/>
        <v>163.25581395348837</v>
      </c>
      <c r="H25" s="19"/>
      <c r="I25" s="23">
        <f t="shared" ref="I25:I28" si="12">H25/135*25</f>
        <v>0</v>
      </c>
      <c r="J25" s="19"/>
      <c r="K25" s="19">
        <v>0</v>
      </c>
      <c r="L25" s="19"/>
      <c r="M25" s="19">
        <v>0</v>
      </c>
      <c r="N25" s="19"/>
      <c r="O25" s="23">
        <f>N25/38*25</f>
        <v>0</v>
      </c>
      <c r="P25" s="22">
        <v>1179.0000000000002</v>
      </c>
      <c r="Q25" s="24"/>
      <c r="R25" s="24"/>
      <c r="S25" s="25"/>
      <c r="T25" s="24"/>
      <c r="U25" s="24"/>
      <c r="V25" s="24">
        <v>39</v>
      </c>
      <c r="W25" s="25">
        <v>1731</v>
      </c>
      <c r="X25" s="25"/>
      <c r="Y25" s="24">
        <v>191</v>
      </c>
      <c r="Z25" s="24">
        <v>2</v>
      </c>
      <c r="AA25" s="24">
        <v>692</v>
      </c>
      <c r="AB25" s="24">
        <v>88</v>
      </c>
      <c r="AC25" s="24"/>
      <c r="AD25" s="24"/>
      <c r="AE25" s="26">
        <f t="shared" ref="AE25:AE29" si="13">Y25*2.43</f>
        <v>464.13000000000005</v>
      </c>
      <c r="AF25" s="24">
        <v>30</v>
      </c>
      <c r="AG25" s="27"/>
      <c r="AH25" s="29"/>
    </row>
    <row r="26" spans="1:34" s="28" customFormat="1" ht="26.25" customHeight="1" x14ac:dyDescent="0.25">
      <c r="A26" s="18">
        <v>46154</v>
      </c>
      <c r="B26" s="19"/>
      <c r="C26" s="20">
        <f t="shared" si="9"/>
        <v>0</v>
      </c>
      <c r="D26" s="19">
        <v>1731</v>
      </c>
      <c r="E26" s="21">
        <f t="shared" si="11"/>
        <v>216.37499999999997</v>
      </c>
      <c r="F26" s="19">
        <v>1752</v>
      </c>
      <c r="G26" s="22">
        <f t="shared" si="2"/>
        <v>203.72093023255812</v>
      </c>
      <c r="H26" s="19"/>
      <c r="I26" s="23">
        <f t="shared" si="12"/>
        <v>0</v>
      </c>
      <c r="J26" s="19"/>
      <c r="K26" s="19"/>
      <c r="L26" s="19"/>
      <c r="M26" s="19"/>
      <c r="N26" s="19"/>
      <c r="O26" s="23">
        <f t="shared" ref="O26:O28" si="14">N26/38*25</f>
        <v>0</v>
      </c>
      <c r="P26" s="23">
        <v>1151.2</v>
      </c>
      <c r="Q26" s="24"/>
      <c r="R26" s="24"/>
      <c r="S26" s="24"/>
      <c r="T26" s="24"/>
      <c r="U26" s="24"/>
      <c r="V26" s="24">
        <v>51</v>
      </c>
      <c r="W26" s="25">
        <v>1779</v>
      </c>
      <c r="X26" s="25"/>
      <c r="Y26" s="24">
        <v>174</v>
      </c>
      <c r="Z26" s="24">
        <v>6</v>
      </c>
      <c r="AA26" s="24">
        <v>646</v>
      </c>
      <c r="AB26" s="24">
        <v>104</v>
      </c>
      <c r="AC26" s="24"/>
      <c r="AD26" s="24"/>
      <c r="AE26" s="26">
        <f t="shared" si="13"/>
        <v>422.82000000000005</v>
      </c>
      <c r="AF26" s="24"/>
      <c r="AG26" s="27"/>
    </row>
    <row r="27" spans="1:34" s="28" customFormat="1" ht="26.25" customHeight="1" x14ac:dyDescent="0.25">
      <c r="A27" s="18">
        <v>46155</v>
      </c>
      <c r="B27" s="19"/>
      <c r="C27" s="20">
        <f t="shared" si="9"/>
        <v>0</v>
      </c>
      <c r="D27" s="19">
        <v>1811</v>
      </c>
      <c r="E27" s="21">
        <f t="shared" si="11"/>
        <v>226.375</v>
      </c>
      <c r="F27" s="19">
        <v>1617</v>
      </c>
      <c r="G27" s="22">
        <f t="shared" si="2"/>
        <v>188.02325581395348</v>
      </c>
      <c r="H27" s="19"/>
      <c r="I27" s="23">
        <f t="shared" si="12"/>
        <v>0</v>
      </c>
      <c r="J27" s="19"/>
      <c r="K27" s="19"/>
      <c r="L27" s="19"/>
      <c r="M27" s="19"/>
      <c r="N27" s="19"/>
      <c r="O27" s="23">
        <f t="shared" si="14"/>
        <v>0</v>
      </c>
      <c r="P27" s="23">
        <v>1137.2000000000003</v>
      </c>
      <c r="Q27" s="24"/>
      <c r="R27" s="24"/>
      <c r="S27" s="24"/>
      <c r="T27" s="24"/>
      <c r="U27" s="24"/>
      <c r="V27" s="12">
        <v>59</v>
      </c>
      <c r="W27" s="25">
        <v>1743</v>
      </c>
      <c r="X27" s="25"/>
      <c r="Y27" s="24">
        <v>188</v>
      </c>
      <c r="Z27" s="24">
        <v>4</v>
      </c>
      <c r="AA27" s="24">
        <v>680</v>
      </c>
      <c r="AB27" s="24">
        <v>86</v>
      </c>
      <c r="AC27" s="24"/>
      <c r="AD27" s="24"/>
      <c r="AE27" s="26">
        <f t="shared" si="13"/>
        <v>456.84000000000003</v>
      </c>
      <c r="AF27" s="24"/>
      <c r="AG27" s="27"/>
      <c r="AH27" s="29"/>
    </row>
    <row r="28" spans="1:34" s="28" customFormat="1" ht="26.25" customHeight="1" x14ac:dyDescent="0.25">
      <c r="A28" s="18">
        <v>46156</v>
      </c>
      <c r="B28" s="19"/>
      <c r="C28" s="20">
        <f>B28/200*25</f>
        <v>0</v>
      </c>
      <c r="D28" s="19">
        <v>1339</v>
      </c>
      <c r="E28" s="21">
        <f t="shared" si="11"/>
        <v>167.375</v>
      </c>
      <c r="F28" s="19">
        <v>1490</v>
      </c>
      <c r="G28" s="22">
        <f t="shared" si="2"/>
        <v>173.25581395348837</v>
      </c>
      <c r="H28" s="19"/>
      <c r="I28" s="23">
        <f t="shared" si="12"/>
        <v>0</v>
      </c>
      <c r="J28" s="19"/>
      <c r="K28" s="19"/>
      <c r="L28" s="19"/>
      <c r="M28" s="19"/>
      <c r="N28" s="19"/>
      <c r="O28" s="23">
        <f t="shared" si="14"/>
        <v>0</v>
      </c>
      <c r="P28" s="23">
        <v>974.6</v>
      </c>
      <c r="Q28" s="24"/>
      <c r="R28" s="24"/>
      <c r="S28" s="24"/>
      <c r="T28" s="24"/>
      <c r="U28" s="24"/>
      <c r="V28" s="24">
        <v>40</v>
      </c>
      <c r="W28" s="25">
        <v>1490</v>
      </c>
      <c r="X28" s="25"/>
      <c r="Y28" s="24">
        <v>144</v>
      </c>
      <c r="Z28" s="24">
        <v>6</v>
      </c>
      <c r="AA28" s="24">
        <v>591</v>
      </c>
      <c r="AB28" s="24">
        <v>90</v>
      </c>
      <c r="AC28" s="24"/>
      <c r="AD28" s="24"/>
      <c r="AE28" s="26">
        <f t="shared" si="13"/>
        <v>349.92</v>
      </c>
      <c r="AF28" s="24"/>
      <c r="AG28" s="27"/>
    </row>
    <row r="29" spans="1:34" s="28" customFormat="1" ht="26.25" customHeight="1" x14ac:dyDescent="0.25">
      <c r="A29" s="18">
        <v>46157</v>
      </c>
      <c r="B29" s="19"/>
      <c r="C29" s="20">
        <f t="shared" ref="C29" si="15">B29/200*25</f>
        <v>0</v>
      </c>
      <c r="D29" s="19">
        <v>1513</v>
      </c>
      <c r="E29" s="21">
        <f t="shared" si="11"/>
        <v>189.125</v>
      </c>
      <c r="F29" s="19">
        <v>926</v>
      </c>
      <c r="G29" s="22">
        <f t="shared" si="2"/>
        <v>107.67441860465117</v>
      </c>
      <c r="H29" s="19"/>
      <c r="I29" s="23"/>
      <c r="J29" s="19"/>
      <c r="K29" s="19"/>
      <c r="L29" s="19"/>
      <c r="M29" s="19"/>
      <c r="N29" s="19"/>
      <c r="O29" s="23">
        <v>0</v>
      </c>
      <c r="P29" s="23">
        <v>826.59999999999991</v>
      </c>
      <c r="Q29" s="24"/>
      <c r="R29" s="24"/>
      <c r="S29" s="25"/>
      <c r="T29" s="24"/>
      <c r="U29" s="24"/>
      <c r="V29" s="24">
        <v>26</v>
      </c>
      <c r="W29" s="25">
        <v>1298</v>
      </c>
      <c r="X29" s="25"/>
      <c r="Y29" s="24">
        <v>137</v>
      </c>
      <c r="Z29" s="24">
        <v>4</v>
      </c>
      <c r="AA29" s="24">
        <v>481</v>
      </c>
      <c r="AB29" s="24">
        <v>77</v>
      </c>
      <c r="AC29" s="24"/>
      <c r="AD29" s="24"/>
      <c r="AE29" s="26">
        <f t="shared" si="13"/>
        <v>332.91</v>
      </c>
      <c r="AF29" s="24"/>
      <c r="AG29" s="27"/>
    </row>
    <row r="30" spans="1:34" ht="39.75" thickBot="1" x14ac:dyDescent="0.4">
      <c r="A30" s="70" t="s">
        <v>30</v>
      </c>
      <c r="B30" s="71">
        <f>SUM(B15:B29)</f>
        <v>0</v>
      </c>
      <c r="C30" s="72">
        <f>SUM(C15:C29)</f>
        <v>0</v>
      </c>
      <c r="D30" s="71">
        <f>SUM(D15:D29)</f>
        <v>23831</v>
      </c>
      <c r="E30" s="71"/>
      <c r="F30" s="71">
        <f t="shared" ref="F30:AG30" si="16">SUM(F15:F29)</f>
        <v>17179</v>
      </c>
      <c r="G30" s="71"/>
      <c r="H30" s="71">
        <f t="shared" si="16"/>
        <v>0</v>
      </c>
      <c r="I30" s="71">
        <f t="shared" si="16"/>
        <v>0</v>
      </c>
      <c r="J30" s="71">
        <f t="shared" si="16"/>
        <v>0</v>
      </c>
      <c r="K30" s="71">
        <f t="shared" si="16"/>
        <v>0</v>
      </c>
      <c r="L30" s="71">
        <f t="shared" si="16"/>
        <v>0</v>
      </c>
      <c r="M30" s="71">
        <f t="shared" si="16"/>
        <v>0</v>
      </c>
      <c r="N30" s="71">
        <f t="shared" si="16"/>
        <v>0</v>
      </c>
      <c r="O30" s="71">
        <f t="shared" si="16"/>
        <v>0</v>
      </c>
      <c r="P30" s="71">
        <f t="shared" si="16"/>
        <v>14303.600000000002</v>
      </c>
      <c r="Q30" s="71">
        <f t="shared" si="16"/>
        <v>0</v>
      </c>
      <c r="R30" s="71">
        <f t="shared" si="16"/>
        <v>0</v>
      </c>
      <c r="S30" s="71">
        <f t="shared" si="16"/>
        <v>0</v>
      </c>
      <c r="T30" s="71">
        <f t="shared" si="16"/>
        <v>0</v>
      </c>
      <c r="U30" s="71">
        <f t="shared" si="16"/>
        <v>0</v>
      </c>
      <c r="V30" s="71">
        <f t="shared" si="16"/>
        <v>565</v>
      </c>
      <c r="W30" s="71">
        <f t="shared" si="16"/>
        <v>21721</v>
      </c>
      <c r="X30" s="71">
        <f t="shared" si="16"/>
        <v>0</v>
      </c>
      <c r="Y30" s="71">
        <f t="shared" si="16"/>
        <v>2231</v>
      </c>
      <c r="Z30" s="71">
        <f t="shared" si="16"/>
        <v>72</v>
      </c>
      <c r="AA30" s="71">
        <f>SUM(AA15:AA29)</f>
        <v>6132</v>
      </c>
      <c r="AB30" s="71">
        <f t="shared" si="16"/>
        <v>3442</v>
      </c>
      <c r="AC30" s="71">
        <f t="shared" si="16"/>
        <v>0</v>
      </c>
      <c r="AD30" s="71">
        <f t="shared" si="16"/>
        <v>0</v>
      </c>
      <c r="AE30" s="71">
        <f>SUM(AE15:AE29)</f>
        <v>5421.33</v>
      </c>
      <c r="AF30" s="71">
        <f t="shared" si="16"/>
        <v>30</v>
      </c>
      <c r="AG30" s="71">
        <f t="shared" si="16"/>
        <v>0</v>
      </c>
      <c r="AH30" s="54">
        <f>SUM(B30:AG30)</f>
        <v>94927.930000000008</v>
      </c>
    </row>
    <row r="31" spans="1:34" ht="15" x14ac:dyDescent="0.2">
      <c r="A31" s="35"/>
      <c r="B31" s="35"/>
      <c r="C31" s="35"/>
      <c r="D31" s="36"/>
      <c r="E31" s="36"/>
      <c r="F31" s="37"/>
      <c r="G31" s="37"/>
      <c r="H31" s="37"/>
      <c r="I31" s="37"/>
      <c r="J31" s="38"/>
      <c r="K31" s="37" t="s">
        <v>31</v>
      </c>
      <c r="L31" s="37"/>
      <c r="M31" s="37"/>
      <c r="N31" s="37"/>
      <c r="O31" s="37"/>
      <c r="P31" s="39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7"/>
      <c r="AF31" s="38"/>
      <c r="AG31" s="38"/>
    </row>
    <row r="32" spans="1:34" ht="15.75" customHeight="1" x14ac:dyDescent="0.2">
      <c r="A32" s="35"/>
      <c r="B32" s="35"/>
      <c r="C32" s="35"/>
      <c r="D32" s="36"/>
      <c r="E32" s="36"/>
      <c r="F32" s="37"/>
      <c r="G32" s="37"/>
      <c r="J32" s="38"/>
      <c r="P32" s="39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7"/>
      <c r="AF32" s="38"/>
      <c r="AG32" s="38"/>
    </row>
    <row r="33" spans="4:34" ht="15.75" customHeight="1" x14ac:dyDescent="0.2">
      <c r="D33" s="53"/>
      <c r="E33" s="53"/>
      <c r="F33" s="53"/>
      <c r="G33" s="53"/>
      <c r="J33" s="53"/>
      <c r="K33" s="53"/>
      <c r="AG33" s="53"/>
      <c r="AH33" s="85"/>
    </row>
  </sheetData>
  <mergeCells count="44">
    <mergeCell ref="B13:C13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  <mergeCell ref="A10:A14"/>
    <mergeCell ref="B10:O10"/>
    <mergeCell ref="L12:M12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AG8:AG9"/>
    <mergeCell ref="Y9:Z9"/>
    <mergeCell ref="N11:O11"/>
    <mergeCell ref="Q11:R11"/>
    <mergeCell ref="S11:T11"/>
    <mergeCell ref="V11:X11"/>
    <mergeCell ref="P10:P12"/>
    <mergeCell ref="Q10:Z10"/>
    <mergeCell ref="AA10:AD10"/>
    <mergeCell ref="N12:O12"/>
    <mergeCell ref="N13:O13"/>
    <mergeCell ref="D13:E13"/>
    <mergeCell ref="F13:G13"/>
    <mergeCell ref="H13:I13"/>
    <mergeCell ref="J13:K13"/>
    <mergeCell ref="L13:M13"/>
  </mergeCells>
  <pageMargins left="0.39370078740157483" right="0.39370078740157483" top="0.74803149606299213" bottom="0.31496062992125984" header="0.31496062992125984" footer="0.31496062992125984"/>
  <pageSetup paperSize="5" scale="50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topLeftCell="A31" zoomScale="85" zoomScaleNormal="85" workbookViewId="0">
      <selection activeCell="R48" sqref="R48"/>
    </sheetView>
  </sheetViews>
  <sheetFormatPr defaultColWidth="12.28515625" defaultRowHeight="15.75" customHeight="1" x14ac:dyDescent="0.2"/>
  <cols>
    <col min="1" max="1" width="17.7109375" style="1" customWidth="1"/>
    <col min="2" max="2" width="6.28515625" style="1" customWidth="1"/>
    <col min="3" max="3" width="7" style="1" customWidth="1"/>
    <col min="4" max="4" width="10.42578125" style="1" customWidth="1"/>
    <col min="5" max="6" width="10.5703125" style="1" customWidth="1"/>
    <col min="7" max="7" width="9.5703125" style="1" customWidth="1"/>
    <col min="8" max="8" width="6.85546875" style="1" hidden="1" customWidth="1"/>
    <col min="9" max="9" width="8.28515625" style="1" hidden="1" customWidth="1"/>
    <col min="10" max="13" width="4.28515625" style="1" hidden="1" customWidth="1"/>
    <col min="14" max="14" width="7" style="1" customWidth="1"/>
    <col min="15" max="15" width="8.42578125" style="1" customWidth="1"/>
    <col min="16" max="16" width="13.5703125" style="1" customWidth="1"/>
    <col min="17" max="18" width="10.140625" style="1" customWidth="1"/>
    <col min="19" max="19" width="9" style="1" customWidth="1"/>
    <col min="20" max="20" width="8.85546875" style="1" customWidth="1"/>
    <col min="21" max="21" width="9.28515625" style="1" customWidth="1"/>
    <col min="22" max="22" width="9.85546875" style="1" customWidth="1"/>
    <col min="23" max="23" width="10.5703125" style="1" customWidth="1"/>
    <col min="24" max="24" width="11.5703125" style="1" customWidth="1"/>
    <col min="25" max="25" width="9" style="1" customWidth="1"/>
    <col min="26" max="26" width="9.140625" style="1" bestFit="1" customWidth="1"/>
    <col min="27" max="27" width="9.140625" style="1" customWidth="1"/>
    <col min="28" max="28" width="10" style="1" customWidth="1"/>
    <col min="29" max="30" width="9.5703125" style="1" customWidth="1"/>
    <col min="31" max="31" width="15.140625" style="1" customWidth="1"/>
    <col min="32" max="32" width="10.5703125" style="1" customWidth="1"/>
    <col min="33" max="33" width="12.42578125" style="1" customWidth="1"/>
    <col min="34" max="34" width="16" style="1" customWidth="1"/>
    <col min="35" max="16384" width="12.28515625" style="1"/>
  </cols>
  <sheetData>
    <row r="1" spans="1:34" ht="15.75" customHeigh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34" ht="18.75" customHeight="1" x14ac:dyDescent="0.3">
      <c r="A2" s="221" t="s">
        <v>0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56"/>
    </row>
    <row r="3" spans="1:34" ht="21.75" customHeight="1" x14ac:dyDescent="0.3">
      <c r="A3" s="221" t="s">
        <v>1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56"/>
    </row>
    <row r="4" spans="1:34" ht="15.75" customHeight="1" x14ac:dyDescent="0.2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8"/>
    </row>
    <row r="5" spans="1:34" ht="19.5" customHeight="1" x14ac:dyDescent="0.3">
      <c r="A5" s="221" t="s">
        <v>2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56"/>
    </row>
    <row r="6" spans="1:34" ht="19.5" customHeight="1" x14ac:dyDescent="0.3">
      <c r="A6" s="222" t="s">
        <v>183</v>
      </c>
      <c r="B6" s="222"/>
      <c r="C6" s="222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56"/>
    </row>
    <row r="7" spans="1:34" ht="17.25" customHeight="1" thickBot="1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</row>
    <row r="8" spans="1:34" ht="18" customHeight="1" x14ac:dyDescent="0.3">
      <c r="A8" s="223" t="s">
        <v>3</v>
      </c>
      <c r="B8" s="225" t="s">
        <v>4</v>
      </c>
      <c r="C8" s="226"/>
      <c r="D8" s="226"/>
      <c r="E8" s="227"/>
      <c r="F8" s="231" t="s">
        <v>5</v>
      </c>
      <c r="G8" s="226"/>
      <c r="H8" s="226"/>
      <c r="I8" s="226"/>
      <c r="J8" s="226"/>
      <c r="K8" s="226"/>
      <c r="L8" s="226"/>
      <c r="M8" s="226"/>
      <c r="N8" s="226"/>
      <c r="O8" s="227"/>
      <c r="P8" s="60" t="s">
        <v>6</v>
      </c>
      <c r="Q8" s="231" t="s">
        <v>4</v>
      </c>
      <c r="R8" s="226"/>
      <c r="S8" s="226"/>
      <c r="T8" s="226"/>
      <c r="U8" s="227"/>
      <c r="V8" s="233" t="s">
        <v>5</v>
      </c>
      <c r="W8" s="233"/>
      <c r="X8" s="60"/>
      <c r="Y8" s="233" t="s">
        <v>6</v>
      </c>
      <c r="Z8" s="233"/>
      <c r="AA8" s="234" t="s">
        <v>5</v>
      </c>
      <c r="AB8" s="233" t="s">
        <v>4</v>
      </c>
      <c r="AC8" s="233"/>
      <c r="AD8" s="233"/>
      <c r="AE8" s="60" t="s">
        <v>6</v>
      </c>
      <c r="AF8" s="234" t="s">
        <v>6</v>
      </c>
      <c r="AG8" s="204" t="s">
        <v>5</v>
      </c>
      <c r="AH8" s="56"/>
    </row>
    <row r="9" spans="1:34" ht="18" customHeight="1" thickBot="1" x14ac:dyDescent="0.35">
      <c r="A9" s="224"/>
      <c r="B9" s="228"/>
      <c r="C9" s="229"/>
      <c r="D9" s="229"/>
      <c r="E9" s="230"/>
      <c r="F9" s="232"/>
      <c r="G9" s="229"/>
      <c r="H9" s="229"/>
      <c r="I9" s="229"/>
      <c r="J9" s="229"/>
      <c r="K9" s="229"/>
      <c r="L9" s="229"/>
      <c r="M9" s="229"/>
      <c r="N9" s="229"/>
      <c r="O9" s="230"/>
      <c r="P9" s="61" t="s">
        <v>5</v>
      </c>
      <c r="Q9" s="232"/>
      <c r="R9" s="229"/>
      <c r="S9" s="229"/>
      <c r="T9" s="229"/>
      <c r="U9" s="230"/>
      <c r="V9" s="206"/>
      <c r="W9" s="206"/>
      <c r="X9" s="61"/>
      <c r="Y9" s="206" t="s">
        <v>5</v>
      </c>
      <c r="Z9" s="206"/>
      <c r="AA9" s="235"/>
      <c r="AB9" s="206"/>
      <c r="AC9" s="206"/>
      <c r="AD9" s="206"/>
      <c r="AE9" s="61" t="s">
        <v>5</v>
      </c>
      <c r="AF9" s="235"/>
      <c r="AG9" s="205"/>
      <c r="AH9" s="56"/>
    </row>
    <row r="10" spans="1:34" ht="18" customHeight="1" x14ac:dyDescent="0.3">
      <c r="A10" s="223" t="s">
        <v>7</v>
      </c>
      <c r="B10" s="237" t="s">
        <v>8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9"/>
      <c r="P10" s="211" t="s">
        <v>9</v>
      </c>
      <c r="Q10" s="213" t="s">
        <v>10</v>
      </c>
      <c r="R10" s="214"/>
      <c r="S10" s="214"/>
      <c r="T10" s="214"/>
      <c r="U10" s="214"/>
      <c r="V10" s="214"/>
      <c r="W10" s="214"/>
      <c r="X10" s="214"/>
      <c r="Y10" s="214"/>
      <c r="Z10" s="215"/>
      <c r="AA10" s="216" t="s">
        <v>11</v>
      </c>
      <c r="AB10" s="217"/>
      <c r="AC10" s="217"/>
      <c r="AD10" s="218"/>
      <c r="AE10" s="60"/>
      <c r="AF10" s="60"/>
      <c r="AG10" s="62"/>
      <c r="AH10" s="56"/>
    </row>
    <row r="11" spans="1:34" ht="56.25" x14ac:dyDescent="0.3">
      <c r="A11" s="236"/>
      <c r="B11" s="210">
        <v>200</v>
      </c>
      <c r="C11" s="207"/>
      <c r="D11" s="210">
        <v>200</v>
      </c>
      <c r="E11" s="207"/>
      <c r="F11" s="207">
        <v>215</v>
      </c>
      <c r="G11" s="207"/>
      <c r="H11" s="207">
        <v>135</v>
      </c>
      <c r="I11" s="207"/>
      <c r="J11" s="207">
        <v>150</v>
      </c>
      <c r="K11" s="207"/>
      <c r="L11" s="207">
        <v>150</v>
      </c>
      <c r="M11" s="207"/>
      <c r="N11" s="207">
        <v>38</v>
      </c>
      <c r="O11" s="207"/>
      <c r="P11" s="212"/>
      <c r="Q11" s="207" t="s">
        <v>12</v>
      </c>
      <c r="R11" s="207"/>
      <c r="S11" s="207" t="s">
        <v>13</v>
      </c>
      <c r="T11" s="207"/>
      <c r="U11" s="63" t="s">
        <v>14</v>
      </c>
      <c r="V11" s="208" t="s">
        <v>15</v>
      </c>
      <c r="W11" s="209"/>
      <c r="X11" s="210"/>
      <c r="Y11" s="64" t="s">
        <v>16</v>
      </c>
      <c r="Z11" s="64" t="s">
        <v>17</v>
      </c>
      <c r="AA11" s="64" t="s">
        <v>18</v>
      </c>
      <c r="AB11" s="64" t="s">
        <v>18</v>
      </c>
      <c r="AC11" s="64" t="s">
        <v>18</v>
      </c>
      <c r="AD11" s="64" t="s">
        <v>18</v>
      </c>
      <c r="AE11" s="64" t="s">
        <v>19</v>
      </c>
      <c r="AF11" s="64" t="s">
        <v>20</v>
      </c>
      <c r="AG11" s="65" t="s">
        <v>21</v>
      </c>
      <c r="AH11" s="56"/>
    </row>
    <row r="12" spans="1:34" s="12" customFormat="1" ht="19.5" customHeight="1" x14ac:dyDescent="0.2">
      <c r="A12" s="236"/>
      <c r="B12" s="210" t="s">
        <v>22</v>
      </c>
      <c r="C12" s="207"/>
      <c r="D12" s="210" t="s">
        <v>146</v>
      </c>
      <c r="E12" s="207"/>
      <c r="F12" s="207" t="s">
        <v>24</v>
      </c>
      <c r="G12" s="207"/>
      <c r="H12" s="207" t="s">
        <v>24</v>
      </c>
      <c r="I12" s="207"/>
      <c r="J12" s="207" t="s">
        <v>23</v>
      </c>
      <c r="K12" s="207"/>
      <c r="L12" s="207" t="s">
        <v>25</v>
      </c>
      <c r="M12" s="207"/>
      <c r="N12" s="207" t="s">
        <v>24</v>
      </c>
      <c r="O12" s="207"/>
      <c r="P12" s="212"/>
      <c r="Q12" s="64">
        <v>2.4</v>
      </c>
      <c r="R12" s="64">
        <v>3.6</v>
      </c>
      <c r="S12" s="64">
        <v>2.4</v>
      </c>
      <c r="T12" s="64">
        <v>3.6</v>
      </c>
      <c r="U12" s="64">
        <v>2.4</v>
      </c>
      <c r="V12" s="64">
        <v>3.6</v>
      </c>
      <c r="W12" s="64">
        <v>2.4</v>
      </c>
      <c r="X12" s="64">
        <v>4.9000000000000004</v>
      </c>
      <c r="Y12" s="64"/>
      <c r="Z12" s="64"/>
      <c r="AA12" s="64">
        <v>5</v>
      </c>
      <c r="AB12" s="64">
        <v>10</v>
      </c>
      <c r="AC12" s="64">
        <v>5</v>
      </c>
      <c r="AD12" s="64">
        <v>40</v>
      </c>
      <c r="AE12" s="64"/>
      <c r="AF12" s="64"/>
      <c r="AG12" s="65" t="s">
        <v>26</v>
      </c>
      <c r="AH12" s="75"/>
    </row>
    <row r="13" spans="1:34" ht="19.5" customHeight="1" x14ac:dyDescent="0.3">
      <c r="A13" s="236"/>
      <c r="B13" s="203">
        <v>31496</v>
      </c>
      <c r="C13" s="202"/>
      <c r="D13" s="203">
        <v>35245</v>
      </c>
      <c r="E13" s="202"/>
      <c r="F13" s="202">
        <v>11082</v>
      </c>
      <c r="G13" s="202"/>
      <c r="H13" s="202">
        <v>21810</v>
      </c>
      <c r="I13" s="202"/>
      <c r="J13" s="202">
        <v>17362</v>
      </c>
      <c r="K13" s="202"/>
      <c r="L13" s="202">
        <v>18389</v>
      </c>
      <c r="M13" s="202"/>
      <c r="N13" s="202">
        <v>21811</v>
      </c>
      <c r="O13" s="202"/>
      <c r="P13" s="66">
        <v>10128</v>
      </c>
      <c r="Q13" s="66">
        <v>10962</v>
      </c>
      <c r="R13" s="66">
        <v>15427</v>
      </c>
      <c r="S13" s="66">
        <v>16623</v>
      </c>
      <c r="T13" s="66">
        <v>16967</v>
      </c>
      <c r="U13" s="66">
        <v>28230</v>
      </c>
      <c r="V13" s="66">
        <v>10966</v>
      </c>
      <c r="W13" s="66">
        <v>10965</v>
      </c>
      <c r="X13" s="66">
        <v>21809</v>
      </c>
      <c r="Y13" s="66">
        <v>11966</v>
      </c>
      <c r="Z13" s="66">
        <v>11089</v>
      </c>
      <c r="AA13" s="66">
        <v>10960</v>
      </c>
      <c r="AB13" s="66">
        <v>10961</v>
      </c>
      <c r="AC13" s="66">
        <v>33442</v>
      </c>
      <c r="AD13" s="66">
        <v>10959</v>
      </c>
      <c r="AE13" s="66">
        <v>12487</v>
      </c>
      <c r="AF13" s="66">
        <v>16823</v>
      </c>
      <c r="AG13" s="67">
        <v>11342</v>
      </c>
      <c r="AH13" s="56"/>
    </row>
    <row r="14" spans="1:34" ht="21.75" customHeight="1" thickBot="1" x14ac:dyDescent="0.35">
      <c r="A14" s="224"/>
      <c r="B14" s="68" t="s">
        <v>27</v>
      </c>
      <c r="C14" s="61" t="s">
        <v>28</v>
      </c>
      <c r="D14" s="68" t="s">
        <v>27</v>
      </c>
      <c r="E14" s="61" t="s">
        <v>28</v>
      </c>
      <c r="F14" s="61" t="s">
        <v>27</v>
      </c>
      <c r="G14" s="61" t="s">
        <v>28</v>
      </c>
      <c r="H14" s="61" t="s">
        <v>27</v>
      </c>
      <c r="I14" s="61" t="s">
        <v>28</v>
      </c>
      <c r="J14" s="61" t="s">
        <v>27</v>
      </c>
      <c r="K14" s="61" t="s">
        <v>28</v>
      </c>
      <c r="L14" s="61" t="s">
        <v>27</v>
      </c>
      <c r="M14" s="61" t="s">
        <v>28</v>
      </c>
      <c r="N14" s="61" t="s">
        <v>27</v>
      </c>
      <c r="O14" s="61" t="s">
        <v>28</v>
      </c>
      <c r="P14" s="61" t="s">
        <v>28</v>
      </c>
      <c r="Q14" s="61" t="s">
        <v>27</v>
      </c>
      <c r="R14" s="61" t="s">
        <v>27</v>
      </c>
      <c r="S14" s="61" t="s">
        <v>27</v>
      </c>
      <c r="T14" s="61" t="s">
        <v>27</v>
      </c>
      <c r="U14" s="61" t="s">
        <v>27</v>
      </c>
      <c r="V14" s="61" t="s">
        <v>27</v>
      </c>
      <c r="W14" s="61" t="s">
        <v>27</v>
      </c>
      <c r="X14" s="61" t="s">
        <v>27</v>
      </c>
      <c r="Y14" s="61" t="s">
        <v>27</v>
      </c>
      <c r="Z14" s="61" t="s">
        <v>27</v>
      </c>
      <c r="AA14" s="61" t="s">
        <v>29</v>
      </c>
      <c r="AB14" s="61" t="s">
        <v>29</v>
      </c>
      <c r="AC14" s="61" t="s">
        <v>29</v>
      </c>
      <c r="AD14" s="61" t="s">
        <v>29</v>
      </c>
      <c r="AE14" s="61" t="s">
        <v>29</v>
      </c>
      <c r="AF14" s="61" t="s">
        <v>29</v>
      </c>
      <c r="AG14" s="69" t="s">
        <v>27</v>
      </c>
      <c r="AH14" s="56"/>
    </row>
    <row r="15" spans="1:34" s="28" customFormat="1" ht="26.25" customHeight="1" x14ac:dyDescent="0.25">
      <c r="A15" s="18">
        <v>46143</v>
      </c>
      <c r="B15" s="19"/>
      <c r="C15" s="20"/>
      <c r="D15" s="19"/>
      <c r="E15" s="21">
        <f>D15/200*25</f>
        <v>0</v>
      </c>
      <c r="F15" s="19"/>
      <c r="G15" s="21">
        <f t="shared" ref="G15:G29" si="0">F15/215*25</f>
        <v>0</v>
      </c>
      <c r="H15" s="19"/>
      <c r="I15" s="23"/>
      <c r="J15" s="19"/>
      <c r="K15" s="19"/>
      <c r="L15" s="19"/>
      <c r="M15" s="19"/>
      <c r="N15" s="19"/>
      <c r="O15" s="23"/>
      <c r="P15" s="23"/>
      <c r="Q15" s="24"/>
      <c r="R15" s="24"/>
      <c r="S15" s="24"/>
      <c r="T15" s="24"/>
      <c r="U15" s="24"/>
      <c r="V15" s="24"/>
      <c r="W15" s="25"/>
      <c r="X15" s="25"/>
      <c r="Y15" s="24"/>
      <c r="Z15" s="24"/>
      <c r="AA15" s="24"/>
      <c r="AB15" s="24"/>
      <c r="AC15" s="24"/>
      <c r="AD15" s="24"/>
      <c r="AE15" s="26"/>
      <c r="AF15" s="24"/>
      <c r="AG15" s="27"/>
    </row>
    <row r="16" spans="1:34" s="28" customFormat="1" ht="26.25" customHeight="1" x14ac:dyDescent="0.25">
      <c r="A16" s="18">
        <v>46144</v>
      </c>
      <c r="B16" s="19"/>
      <c r="C16" s="20"/>
      <c r="D16" s="19">
        <v>1307</v>
      </c>
      <c r="E16" s="21">
        <f t="shared" ref="E16:E18" si="1">D16/200*25</f>
        <v>163.375</v>
      </c>
      <c r="F16" s="19">
        <v>822</v>
      </c>
      <c r="G16" s="21">
        <f t="shared" si="0"/>
        <v>95.581395348837205</v>
      </c>
      <c r="H16" s="19"/>
      <c r="I16" s="23"/>
      <c r="J16" s="19"/>
      <c r="K16" s="19"/>
      <c r="L16" s="19"/>
      <c r="M16" s="19"/>
      <c r="N16" s="19"/>
      <c r="O16" s="23"/>
      <c r="P16" s="23">
        <v>667</v>
      </c>
      <c r="Q16" s="24"/>
      <c r="R16" s="24"/>
      <c r="S16" s="24"/>
      <c r="T16" s="24"/>
      <c r="U16" s="24"/>
      <c r="V16" s="12">
        <v>13</v>
      </c>
      <c r="W16" s="24">
        <v>1057</v>
      </c>
      <c r="X16" s="25"/>
      <c r="Y16" s="24">
        <v>99</v>
      </c>
      <c r="Z16" s="24">
        <v>4</v>
      </c>
      <c r="AA16" s="24">
        <v>187</v>
      </c>
      <c r="AB16" s="24">
        <v>290</v>
      </c>
      <c r="AC16" s="24"/>
      <c r="AD16" s="24"/>
      <c r="AE16" s="26">
        <f>Y16*2.43</f>
        <v>240.57000000000002</v>
      </c>
      <c r="AF16" s="24"/>
      <c r="AG16" s="27"/>
      <c r="AH16" s="29"/>
    </row>
    <row r="17" spans="1:34" s="28" customFormat="1" ht="26.25" customHeight="1" x14ac:dyDescent="0.25">
      <c r="A17" s="18">
        <v>46145</v>
      </c>
      <c r="B17" s="19"/>
      <c r="C17" s="20"/>
      <c r="D17" s="19">
        <v>1453</v>
      </c>
      <c r="E17" s="21">
        <f t="shared" si="1"/>
        <v>181.625</v>
      </c>
      <c r="F17" s="19">
        <v>1065</v>
      </c>
      <c r="G17" s="21">
        <f t="shared" si="0"/>
        <v>123.83720930232558</v>
      </c>
      <c r="H17" s="19"/>
      <c r="I17" s="23"/>
      <c r="J17" s="19"/>
      <c r="K17" s="19"/>
      <c r="L17" s="19"/>
      <c r="M17" s="19"/>
      <c r="N17" s="19"/>
      <c r="O17" s="23"/>
      <c r="P17" s="23">
        <v>757.00000000000011</v>
      </c>
      <c r="Q17" s="24"/>
      <c r="R17" s="24"/>
      <c r="S17" s="24"/>
      <c r="T17" s="24"/>
      <c r="U17" s="24"/>
      <c r="V17" s="24">
        <v>19</v>
      </c>
      <c r="W17" s="25">
        <v>1226</v>
      </c>
      <c r="X17" s="25"/>
      <c r="Y17" s="24">
        <v>133</v>
      </c>
      <c r="Z17" s="24">
        <v>8</v>
      </c>
      <c r="AA17" s="24">
        <v>313</v>
      </c>
      <c r="AB17" s="24">
        <v>239</v>
      </c>
      <c r="AC17" s="24"/>
      <c r="AD17" s="24"/>
      <c r="AE17" s="26">
        <f t="shared" ref="AE17:AE43" si="2">Y17*2.43</f>
        <v>323.19</v>
      </c>
      <c r="AF17" s="24"/>
      <c r="AG17" s="27"/>
    </row>
    <row r="18" spans="1:34" s="28" customFormat="1" ht="26.25" customHeight="1" x14ac:dyDescent="0.25">
      <c r="A18" s="18">
        <v>46146</v>
      </c>
      <c r="B18" s="19"/>
      <c r="C18" s="20"/>
      <c r="D18" s="19">
        <v>1895</v>
      </c>
      <c r="E18" s="21">
        <f t="shared" si="1"/>
        <v>236.875</v>
      </c>
      <c r="F18" s="19">
        <v>1552</v>
      </c>
      <c r="G18" s="21">
        <f t="shared" si="0"/>
        <v>180.46511627906975</v>
      </c>
      <c r="H18" s="19"/>
      <c r="I18" s="23"/>
      <c r="J18" s="19"/>
      <c r="K18" s="19"/>
      <c r="L18" s="19"/>
      <c r="M18" s="19"/>
      <c r="N18" s="19"/>
      <c r="O18" s="23"/>
      <c r="P18" s="23">
        <v>1183</v>
      </c>
      <c r="Q18" s="24"/>
      <c r="R18" s="24"/>
      <c r="S18" s="25"/>
      <c r="T18" s="24"/>
      <c r="U18" s="24"/>
      <c r="V18" s="24">
        <v>28</v>
      </c>
      <c r="W18" s="25">
        <v>1840</v>
      </c>
      <c r="X18" s="25"/>
      <c r="Y18" s="24">
        <v>184</v>
      </c>
      <c r="Z18" s="24">
        <v>4</v>
      </c>
      <c r="AA18" s="24">
        <v>418</v>
      </c>
      <c r="AB18" s="24">
        <v>412</v>
      </c>
      <c r="AC18" s="24"/>
      <c r="AD18" s="24"/>
      <c r="AE18" s="26">
        <f t="shared" si="2"/>
        <v>447.12</v>
      </c>
      <c r="AF18" s="24"/>
      <c r="AG18" s="27"/>
    </row>
    <row r="19" spans="1:34" s="28" customFormat="1" ht="26.25" customHeight="1" x14ac:dyDescent="0.25">
      <c r="A19" s="18">
        <v>46147</v>
      </c>
      <c r="B19" s="19"/>
      <c r="C19" s="20"/>
      <c r="D19" s="19">
        <v>1665</v>
      </c>
      <c r="E19" s="21">
        <f t="shared" ref="E19:E30" si="3">D19/200*25</f>
        <v>208.12499999999997</v>
      </c>
      <c r="F19" s="19">
        <v>1323</v>
      </c>
      <c r="G19" s="21">
        <f t="shared" si="0"/>
        <v>153.83720930232559</v>
      </c>
      <c r="H19" s="19"/>
      <c r="I19" s="23"/>
      <c r="J19" s="19"/>
      <c r="K19" s="19"/>
      <c r="L19" s="19"/>
      <c r="M19" s="19"/>
      <c r="N19" s="19"/>
      <c r="O19" s="23"/>
      <c r="P19" s="23">
        <v>1201.2</v>
      </c>
      <c r="Q19" s="24"/>
      <c r="R19" s="24"/>
      <c r="S19" s="25"/>
      <c r="T19" s="24"/>
      <c r="U19" s="24"/>
      <c r="V19" s="24">
        <v>48</v>
      </c>
      <c r="W19" s="25">
        <v>1733</v>
      </c>
      <c r="X19" s="25"/>
      <c r="Y19" s="24">
        <v>179</v>
      </c>
      <c r="Z19" s="24">
        <v>8</v>
      </c>
      <c r="AA19" s="24">
        <v>396</v>
      </c>
      <c r="AB19" s="24">
        <v>358</v>
      </c>
      <c r="AC19" s="24"/>
      <c r="AD19" s="24"/>
      <c r="AE19" s="26">
        <f t="shared" si="2"/>
        <v>434.97</v>
      </c>
      <c r="AF19" s="24"/>
      <c r="AG19" s="27"/>
    </row>
    <row r="20" spans="1:34" s="28" customFormat="1" ht="26.25" customHeight="1" x14ac:dyDescent="0.25">
      <c r="A20" s="18">
        <v>46148</v>
      </c>
      <c r="B20" s="19"/>
      <c r="C20" s="20"/>
      <c r="D20" s="19">
        <v>2165</v>
      </c>
      <c r="E20" s="21">
        <f t="shared" si="3"/>
        <v>270.625</v>
      </c>
      <c r="F20" s="19">
        <v>1186</v>
      </c>
      <c r="G20" s="21">
        <f t="shared" si="0"/>
        <v>137.90697674418604</v>
      </c>
      <c r="H20" s="19"/>
      <c r="I20" s="23"/>
      <c r="J20" s="19"/>
      <c r="K20" s="19"/>
      <c r="L20" s="19"/>
      <c r="M20" s="19"/>
      <c r="N20" s="19"/>
      <c r="O20" s="23"/>
      <c r="P20" s="23">
        <v>1224</v>
      </c>
      <c r="Q20" s="24"/>
      <c r="R20" s="24"/>
      <c r="S20" s="24"/>
      <c r="T20" s="24"/>
      <c r="U20" s="24"/>
      <c r="V20" s="24">
        <v>65</v>
      </c>
      <c r="W20" s="25">
        <v>1820</v>
      </c>
      <c r="X20" s="25"/>
      <c r="Y20" s="24">
        <v>175</v>
      </c>
      <c r="Z20" s="24">
        <v>6</v>
      </c>
      <c r="AA20" s="24">
        <v>318</v>
      </c>
      <c r="AB20" s="24">
        <v>454</v>
      </c>
      <c r="AC20" s="24"/>
      <c r="AD20" s="24"/>
      <c r="AE20" s="26">
        <f t="shared" si="2"/>
        <v>425.25</v>
      </c>
      <c r="AF20" s="24"/>
      <c r="AG20" s="27"/>
      <c r="AH20" s="29"/>
    </row>
    <row r="21" spans="1:34" s="28" customFormat="1" ht="26.25" customHeight="1" x14ac:dyDescent="0.25">
      <c r="A21" s="18">
        <v>46149</v>
      </c>
      <c r="B21" s="19"/>
      <c r="C21" s="20"/>
      <c r="D21" s="19">
        <v>1665</v>
      </c>
      <c r="E21" s="21">
        <f t="shared" si="3"/>
        <v>208.12499999999997</v>
      </c>
      <c r="F21" s="19">
        <v>1103</v>
      </c>
      <c r="G21" s="21">
        <f t="shared" si="0"/>
        <v>128.25581395348837</v>
      </c>
      <c r="H21" s="19"/>
      <c r="I21" s="23"/>
      <c r="J21" s="19"/>
      <c r="K21" s="19"/>
      <c r="L21" s="19"/>
      <c r="M21" s="19"/>
      <c r="N21" s="19"/>
      <c r="O21" s="23"/>
      <c r="P21" s="22">
        <v>1035.2</v>
      </c>
      <c r="Q21" s="24"/>
      <c r="R21" s="24"/>
      <c r="S21" s="25"/>
      <c r="T21" s="24"/>
      <c r="U21" s="24"/>
      <c r="V21" s="24">
        <v>45</v>
      </c>
      <c r="W21" s="25">
        <v>1531</v>
      </c>
      <c r="X21" s="25"/>
      <c r="Y21" s="24">
        <v>160</v>
      </c>
      <c r="Z21" s="24">
        <v>8</v>
      </c>
      <c r="AA21" s="24">
        <v>257</v>
      </c>
      <c r="AB21" s="24">
        <v>422</v>
      </c>
      <c r="AC21" s="24"/>
      <c r="AD21" s="24"/>
      <c r="AE21" s="26">
        <f t="shared" si="2"/>
        <v>388.8</v>
      </c>
      <c r="AF21" s="24"/>
      <c r="AG21" s="27"/>
      <c r="AH21" s="29"/>
    </row>
    <row r="22" spans="1:34" s="28" customFormat="1" ht="26.25" customHeight="1" x14ac:dyDescent="0.25">
      <c r="A22" s="18">
        <v>46150</v>
      </c>
      <c r="B22" s="19"/>
      <c r="C22" s="20"/>
      <c r="D22" s="19">
        <v>1983</v>
      </c>
      <c r="E22" s="21">
        <f t="shared" si="3"/>
        <v>247.87499999999997</v>
      </c>
      <c r="F22" s="19">
        <v>956</v>
      </c>
      <c r="G22" s="21">
        <f t="shared" si="0"/>
        <v>111.16279069767442</v>
      </c>
      <c r="H22" s="19"/>
      <c r="I22" s="23"/>
      <c r="J22" s="19"/>
      <c r="K22" s="19"/>
      <c r="L22" s="19"/>
      <c r="M22" s="19"/>
      <c r="N22" s="19"/>
      <c r="O22" s="23"/>
      <c r="P22" s="23">
        <v>1041.2</v>
      </c>
      <c r="Q22" s="24"/>
      <c r="R22" s="24"/>
      <c r="S22" s="24"/>
      <c r="T22" s="24"/>
      <c r="U22" s="24"/>
      <c r="V22" s="24">
        <v>51</v>
      </c>
      <c r="W22" s="25">
        <v>1548</v>
      </c>
      <c r="X22" s="25"/>
      <c r="Y22" s="24">
        <v>161</v>
      </c>
      <c r="Z22" s="24">
        <v>2</v>
      </c>
      <c r="AA22" s="24">
        <v>271</v>
      </c>
      <c r="AB22" s="24">
        <v>413</v>
      </c>
      <c r="AC22" s="24"/>
      <c r="AD22" s="24"/>
      <c r="AE22" s="26">
        <f t="shared" si="2"/>
        <v>391.23</v>
      </c>
      <c r="AF22" s="24"/>
      <c r="AG22" s="27"/>
    </row>
    <row r="23" spans="1:34" s="28" customFormat="1" ht="26.25" customHeight="1" x14ac:dyDescent="0.25">
      <c r="A23" s="18">
        <v>46151</v>
      </c>
      <c r="B23" s="19"/>
      <c r="C23" s="20"/>
      <c r="D23" s="19">
        <v>1996</v>
      </c>
      <c r="E23" s="21">
        <f t="shared" si="3"/>
        <v>249.5</v>
      </c>
      <c r="F23" s="19">
        <v>1172</v>
      </c>
      <c r="G23" s="21">
        <f t="shared" si="0"/>
        <v>136.27906976744185</v>
      </c>
      <c r="H23" s="19"/>
      <c r="I23" s="23"/>
      <c r="J23" s="19"/>
      <c r="K23" s="19"/>
      <c r="L23" s="19"/>
      <c r="M23" s="19"/>
      <c r="N23" s="19"/>
      <c r="O23" s="23"/>
      <c r="P23" s="23">
        <v>1028.8000000000002</v>
      </c>
      <c r="Q23" s="24"/>
      <c r="R23" s="24"/>
      <c r="S23" s="24"/>
      <c r="T23" s="24"/>
      <c r="U23" s="24"/>
      <c r="V23" s="12">
        <v>55</v>
      </c>
      <c r="W23" s="24">
        <v>1597</v>
      </c>
      <c r="X23" s="25"/>
      <c r="Y23" s="24">
        <v>170</v>
      </c>
      <c r="Z23" s="24">
        <v>6</v>
      </c>
      <c r="AA23" s="24">
        <v>373</v>
      </c>
      <c r="AB23" s="24">
        <v>324</v>
      </c>
      <c r="AC23" s="24"/>
      <c r="AD23" s="24"/>
      <c r="AE23" s="26">
        <f t="shared" si="2"/>
        <v>413.1</v>
      </c>
      <c r="AF23" s="24"/>
      <c r="AG23" s="27"/>
      <c r="AH23" s="29"/>
    </row>
    <row r="24" spans="1:34" s="28" customFormat="1" ht="26.25" customHeight="1" x14ac:dyDescent="0.25">
      <c r="A24" s="18">
        <v>46152</v>
      </c>
      <c r="B24" s="19"/>
      <c r="C24" s="20"/>
      <c r="D24" s="19">
        <v>1611</v>
      </c>
      <c r="E24" s="21">
        <f t="shared" si="3"/>
        <v>201.375</v>
      </c>
      <c r="F24" s="19">
        <v>811</v>
      </c>
      <c r="G24" s="21">
        <f t="shared" si="0"/>
        <v>94.302325581395351</v>
      </c>
      <c r="H24" s="19"/>
      <c r="I24" s="23"/>
      <c r="J24" s="19"/>
      <c r="K24" s="19"/>
      <c r="L24" s="19"/>
      <c r="M24" s="19"/>
      <c r="N24" s="19"/>
      <c r="O24" s="23"/>
      <c r="P24" s="23">
        <v>897.59999999999991</v>
      </c>
      <c r="Q24" s="24"/>
      <c r="R24" s="24"/>
      <c r="S24" s="24"/>
      <c r="T24" s="24"/>
      <c r="U24" s="24"/>
      <c r="V24" s="24">
        <v>26</v>
      </c>
      <c r="W24" s="25">
        <v>1328</v>
      </c>
      <c r="X24" s="25"/>
      <c r="Y24" s="24">
        <v>136</v>
      </c>
      <c r="Z24" s="24">
        <v>4</v>
      </c>
      <c r="AA24" s="24">
        <v>509</v>
      </c>
      <c r="AB24" s="24">
        <v>85</v>
      </c>
      <c r="AC24" s="24"/>
      <c r="AD24" s="24"/>
      <c r="AE24" s="26">
        <f t="shared" si="2"/>
        <v>330.48</v>
      </c>
      <c r="AF24" s="24"/>
      <c r="AG24" s="27"/>
    </row>
    <row r="25" spans="1:34" s="28" customFormat="1" ht="26.25" customHeight="1" x14ac:dyDescent="0.25">
      <c r="A25" s="18">
        <v>46153</v>
      </c>
      <c r="B25" s="19"/>
      <c r="C25" s="20"/>
      <c r="D25" s="19">
        <v>1697</v>
      </c>
      <c r="E25" s="21">
        <f t="shared" si="3"/>
        <v>212.125</v>
      </c>
      <c r="F25" s="19">
        <v>1404</v>
      </c>
      <c r="G25" s="21">
        <f t="shared" si="0"/>
        <v>163.25581395348837</v>
      </c>
      <c r="H25" s="19"/>
      <c r="I25" s="23"/>
      <c r="J25" s="19"/>
      <c r="K25" s="19"/>
      <c r="L25" s="19"/>
      <c r="M25" s="19"/>
      <c r="N25" s="19"/>
      <c r="O25" s="23"/>
      <c r="P25" s="23">
        <v>1179.0000000000002</v>
      </c>
      <c r="Q25" s="24"/>
      <c r="R25" s="24"/>
      <c r="S25" s="25"/>
      <c r="T25" s="24"/>
      <c r="U25" s="24"/>
      <c r="V25" s="24">
        <v>39</v>
      </c>
      <c r="W25" s="25">
        <v>1731</v>
      </c>
      <c r="X25" s="25"/>
      <c r="Y25" s="24">
        <v>191</v>
      </c>
      <c r="Z25" s="24">
        <v>2</v>
      </c>
      <c r="AA25" s="24">
        <v>692</v>
      </c>
      <c r="AB25" s="24">
        <v>88</v>
      </c>
      <c r="AC25" s="24"/>
      <c r="AD25" s="24"/>
      <c r="AE25" s="26">
        <f t="shared" si="2"/>
        <v>464.13000000000005</v>
      </c>
      <c r="AF25" s="24">
        <v>30</v>
      </c>
      <c r="AG25" s="27"/>
    </row>
    <row r="26" spans="1:34" s="28" customFormat="1" ht="26.25" customHeight="1" x14ac:dyDescent="0.25">
      <c r="A26" s="18">
        <v>46154</v>
      </c>
      <c r="B26" s="19"/>
      <c r="C26" s="20"/>
      <c r="D26" s="19">
        <v>1731</v>
      </c>
      <c r="E26" s="21">
        <f t="shared" si="3"/>
        <v>216.37499999999997</v>
      </c>
      <c r="F26" s="19">
        <v>1752</v>
      </c>
      <c r="G26" s="21">
        <f t="shared" si="0"/>
        <v>203.72093023255812</v>
      </c>
      <c r="H26" s="19"/>
      <c r="I26" s="23"/>
      <c r="J26" s="19"/>
      <c r="K26" s="19"/>
      <c r="L26" s="19"/>
      <c r="M26" s="19"/>
      <c r="N26" s="19"/>
      <c r="O26" s="23"/>
      <c r="P26" s="23">
        <v>1151.2</v>
      </c>
      <c r="Q26" s="24"/>
      <c r="R26" s="24"/>
      <c r="S26" s="25"/>
      <c r="T26" s="24"/>
      <c r="U26" s="24"/>
      <c r="V26" s="24">
        <v>51</v>
      </c>
      <c r="W26" s="25">
        <v>1779</v>
      </c>
      <c r="X26" s="25"/>
      <c r="Y26" s="24">
        <v>174</v>
      </c>
      <c r="Z26" s="24">
        <v>6</v>
      </c>
      <c r="AA26" s="24">
        <v>646</v>
      </c>
      <c r="AB26" s="24">
        <v>104</v>
      </c>
      <c r="AC26" s="24"/>
      <c r="AD26" s="24"/>
      <c r="AE26" s="26">
        <f t="shared" si="2"/>
        <v>422.82000000000005</v>
      </c>
      <c r="AF26" s="24"/>
      <c r="AG26" s="27"/>
    </row>
    <row r="27" spans="1:34" s="28" customFormat="1" ht="26.25" customHeight="1" x14ac:dyDescent="0.25">
      <c r="A27" s="18">
        <v>46155</v>
      </c>
      <c r="B27" s="19"/>
      <c r="C27" s="20"/>
      <c r="D27" s="19">
        <v>1811</v>
      </c>
      <c r="E27" s="21">
        <f t="shared" si="3"/>
        <v>226.375</v>
      </c>
      <c r="F27" s="19">
        <v>1617</v>
      </c>
      <c r="G27" s="21">
        <f t="shared" si="0"/>
        <v>188.02325581395348</v>
      </c>
      <c r="H27" s="19"/>
      <c r="I27" s="23"/>
      <c r="J27" s="19"/>
      <c r="K27" s="19"/>
      <c r="L27" s="19"/>
      <c r="M27" s="19"/>
      <c r="N27" s="19"/>
      <c r="O27" s="23"/>
      <c r="P27" s="23">
        <v>1137.2000000000003</v>
      </c>
      <c r="Q27" s="24"/>
      <c r="R27" s="24"/>
      <c r="S27" s="24"/>
      <c r="T27" s="24"/>
      <c r="U27" s="24"/>
      <c r="V27" s="24">
        <v>59</v>
      </c>
      <c r="W27" s="25">
        <v>1743</v>
      </c>
      <c r="X27" s="25"/>
      <c r="Y27" s="24">
        <v>188</v>
      </c>
      <c r="Z27" s="24">
        <v>4</v>
      </c>
      <c r="AA27" s="24">
        <v>680</v>
      </c>
      <c r="AB27" s="24">
        <v>86</v>
      </c>
      <c r="AC27" s="24"/>
      <c r="AD27" s="24"/>
      <c r="AE27" s="26">
        <f t="shared" si="2"/>
        <v>456.84000000000003</v>
      </c>
      <c r="AF27" s="24"/>
      <c r="AG27" s="27"/>
      <c r="AH27" s="29"/>
    </row>
    <row r="28" spans="1:34" s="28" customFormat="1" ht="26.25" customHeight="1" x14ac:dyDescent="0.25">
      <c r="A28" s="18">
        <v>46156</v>
      </c>
      <c r="B28" s="19"/>
      <c r="C28" s="20"/>
      <c r="D28" s="19">
        <v>1339</v>
      </c>
      <c r="E28" s="21">
        <f t="shared" si="3"/>
        <v>167.375</v>
      </c>
      <c r="F28" s="19">
        <v>1490</v>
      </c>
      <c r="G28" s="21">
        <f t="shared" si="0"/>
        <v>173.25581395348837</v>
      </c>
      <c r="H28" s="19"/>
      <c r="I28" s="23"/>
      <c r="J28" s="19"/>
      <c r="K28" s="19"/>
      <c r="L28" s="19"/>
      <c r="M28" s="19"/>
      <c r="N28" s="19"/>
      <c r="O28" s="23"/>
      <c r="P28" s="22">
        <v>974.6</v>
      </c>
      <c r="Q28" s="24"/>
      <c r="R28" s="24"/>
      <c r="S28" s="25"/>
      <c r="T28" s="24"/>
      <c r="U28" s="24"/>
      <c r="V28" s="24">
        <v>40</v>
      </c>
      <c r="W28" s="25">
        <v>1490</v>
      </c>
      <c r="X28" s="25"/>
      <c r="Y28" s="24">
        <v>144</v>
      </c>
      <c r="Z28" s="24">
        <v>6</v>
      </c>
      <c r="AA28" s="24">
        <v>591</v>
      </c>
      <c r="AB28" s="24">
        <v>90</v>
      </c>
      <c r="AC28" s="24"/>
      <c r="AD28" s="24"/>
      <c r="AE28" s="26">
        <f t="shared" si="2"/>
        <v>349.92</v>
      </c>
      <c r="AF28" s="24"/>
      <c r="AG28" s="27"/>
      <c r="AH28" s="29"/>
    </row>
    <row r="29" spans="1:34" s="28" customFormat="1" ht="26.25" customHeight="1" x14ac:dyDescent="0.25">
      <c r="A29" s="18">
        <v>46157</v>
      </c>
      <c r="B29" s="19"/>
      <c r="C29" s="20"/>
      <c r="D29" s="19">
        <v>1513</v>
      </c>
      <c r="E29" s="21">
        <f t="shared" si="3"/>
        <v>189.125</v>
      </c>
      <c r="F29" s="19">
        <v>926</v>
      </c>
      <c r="G29" s="21">
        <f t="shared" si="0"/>
        <v>107.67441860465117</v>
      </c>
      <c r="H29" s="19"/>
      <c r="I29" s="23"/>
      <c r="J29" s="19"/>
      <c r="K29" s="19"/>
      <c r="L29" s="19"/>
      <c r="M29" s="19"/>
      <c r="N29" s="19"/>
      <c r="O29" s="23"/>
      <c r="P29" s="23">
        <v>826.59999999999991</v>
      </c>
      <c r="Q29" s="24"/>
      <c r="R29" s="24"/>
      <c r="S29" s="24"/>
      <c r="T29" s="24"/>
      <c r="U29" s="24"/>
      <c r="V29" s="24">
        <v>26</v>
      </c>
      <c r="W29" s="25">
        <v>1298</v>
      </c>
      <c r="X29" s="25"/>
      <c r="Y29" s="24">
        <v>137</v>
      </c>
      <c r="Z29" s="24">
        <v>4</v>
      </c>
      <c r="AA29" s="24">
        <v>481</v>
      </c>
      <c r="AB29" s="24">
        <v>77</v>
      </c>
      <c r="AC29" s="24"/>
      <c r="AD29" s="24"/>
      <c r="AE29" s="26">
        <f t="shared" si="2"/>
        <v>332.91</v>
      </c>
      <c r="AF29" s="24"/>
      <c r="AG29" s="27"/>
    </row>
    <row r="30" spans="1:34" s="28" customFormat="1" ht="26.25" customHeight="1" x14ac:dyDescent="0.25">
      <c r="A30" s="18">
        <v>46158</v>
      </c>
      <c r="B30" s="19"/>
      <c r="C30" s="20"/>
      <c r="D30" s="19">
        <v>1192</v>
      </c>
      <c r="E30" s="21">
        <f t="shared" si="3"/>
        <v>149</v>
      </c>
      <c r="F30" s="19">
        <v>1081</v>
      </c>
      <c r="G30" s="21">
        <f>F30/215*25</f>
        <v>125.69767441860465</v>
      </c>
      <c r="H30" s="19"/>
      <c r="I30" s="23">
        <v>0</v>
      </c>
      <c r="J30" s="19"/>
      <c r="K30" s="19">
        <v>0</v>
      </c>
      <c r="L30" s="19"/>
      <c r="M30" s="19">
        <v>0</v>
      </c>
      <c r="N30" s="19"/>
      <c r="O30" s="23"/>
      <c r="P30" s="23">
        <v>757.4</v>
      </c>
      <c r="Q30" s="24"/>
      <c r="R30" s="24"/>
      <c r="S30" s="24"/>
      <c r="T30" s="24"/>
      <c r="U30" s="24"/>
      <c r="V30" s="12">
        <v>29</v>
      </c>
      <c r="W30" s="24">
        <v>1201</v>
      </c>
      <c r="X30" s="25"/>
      <c r="Y30" s="24">
        <v>129</v>
      </c>
      <c r="Z30" s="24">
        <v>2</v>
      </c>
      <c r="AA30" s="24">
        <v>430</v>
      </c>
      <c r="AB30" s="24">
        <v>85</v>
      </c>
      <c r="AC30" s="24"/>
      <c r="AD30" s="24"/>
      <c r="AE30" s="26">
        <f t="shared" si="2"/>
        <v>313.47000000000003</v>
      </c>
      <c r="AF30" s="24"/>
      <c r="AG30" s="27"/>
      <c r="AH30" s="29"/>
    </row>
    <row r="31" spans="1:34" s="28" customFormat="1" ht="26.25" customHeight="1" x14ac:dyDescent="0.25">
      <c r="A31" s="18">
        <v>46159</v>
      </c>
      <c r="B31" s="19"/>
      <c r="C31" s="20"/>
      <c r="D31" s="19">
        <v>1434</v>
      </c>
      <c r="E31" s="21">
        <v>172.35576923076923</v>
      </c>
      <c r="F31" s="19">
        <v>1084</v>
      </c>
      <c r="G31" s="21">
        <f t="shared" ref="G31:G37" si="4">F31/215*25</f>
        <v>126.04651162790699</v>
      </c>
      <c r="H31" s="19"/>
      <c r="I31" s="23"/>
      <c r="J31" s="19"/>
      <c r="K31" s="19"/>
      <c r="L31" s="19"/>
      <c r="M31" s="19"/>
      <c r="N31" s="19"/>
      <c r="O31" s="23"/>
      <c r="P31" s="23">
        <v>799.5</v>
      </c>
      <c r="Q31" s="24"/>
      <c r="R31" s="24"/>
      <c r="S31" s="24"/>
      <c r="T31" s="24"/>
      <c r="U31" s="24"/>
      <c r="V31" s="24">
        <v>27</v>
      </c>
      <c r="W31" s="25">
        <v>1266</v>
      </c>
      <c r="X31" s="25"/>
      <c r="Y31" s="24">
        <v>142</v>
      </c>
      <c r="Z31" s="24"/>
      <c r="AA31" s="24">
        <v>343</v>
      </c>
      <c r="AB31" s="24">
        <v>218</v>
      </c>
      <c r="AC31" s="24"/>
      <c r="AD31" s="24"/>
      <c r="AE31" s="26">
        <f t="shared" si="2"/>
        <v>345.06</v>
      </c>
      <c r="AF31" s="24"/>
      <c r="AG31" s="27"/>
    </row>
    <row r="32" spans="1:34" s="28" customFormat="1" ht="26.25" customHeight="1" x14ac:dyDescent="0.25">
      <c r="A32" s="18">
        <v>46160</v>
      </c>
      <c r="B32" s="19"/>
      <c r="C32" s="20"/>
      <c r="D32" s="19">
        <v>1427</v>
      </c>
      <c r="E32" s="21">
        <v>178.375</v>
      </c>
      <c r="F32" s="19">
        <v>1052</v>
      </c>
      <c r="G32" s="21">
        <f t="shared" si="4"/>
        <v>122.32558139534883</v>
      </c>
      <c r="H32" s="19"/>
      <c r="I32" s="23">
        <v>0</v>
      </c>
      <c r="J32" s="19"/>
      <c r="K32" s="19">
        <v>0</v>
      </c>
      <c r="L32" s="19"/>
      <c r="M32" s="19">
        <v>0</v>
      </c>
      <c r="N32" s="19"/>
      <c r="O32" s="23"/>
      <c r="P32" s="23">
        <v>988.2</v>
      </c>
      <c r="Q32" s="24"/>
      <c r="R32" s="24"/>
      <c r="S32" s="25"/>
      <c r="T32" s="24"/>
      <c r="U32" s="24"/>
      <c r="V32" s="24">
        <v>25</v>
      </c>
      <c r="W32" s="25">
        <v>1450</v>
      </c>
      <c r="X32" s="25"/>
      <c r="Y32" s="24">
        <v>167</v>
      </c>
      <c r="Z32" s="24">
        <v>2</v>
      </c>
      <c r="AA32" s="24">
        <v>339</v>
      </c>
      <c r="AB32" s="24">
        <v>272</v>
      </c>
      <c r="AC32" s="24"/>
      <c r="AD32" s="24"/>
      <c r="AE32" s="26">
        <f t="shared" si="2"/>
        <v>405.81</v>
      </c>
      <c r="AF32" s="24"/>
      <c r="AG32" s="27"/>
    </row>
    <row r="33" spans="1:34" s="28" customFormat="1" ht="26.25" customHeight="1" x14ac:dyDescent="0.25">
      <c r="A33" s="18">
        <v>46161</v>
      </c>
      <c r="B33" s="19"/>
      <c r="C33" s="20"/>
      <c r="D33" s="19">
        <v>1674</v>
      </c>
      <c r="E33" s="21">
        <v>209.24999999999997</v>
      </c>
      <c r="F33" s="19">
        <v>1463</v>
      </c>
      <c r="G33" s="21">
        <f t="shared" si="4"/>
        <v>170.11627906976744</v>
      </c>
      <c r="H33" s="19"/>
      <c r="I33" s="23">
        <v>0</v>
      </c>
      <c r="J33" s="19"/>
      <c r="K33" s="19"/>
      <c r="L33" s="19"/>
      <c r="M33" s="19"/>
      <c r="N33" s="19"/>
      <c r="O33" s="23"/>
      <c r="P33" s="23">
        <v>1145.8</v>
      </c>
      <c r="Q33" s="24"/>
      <c r="R33" s="24"/>
      <c r="S33" s="25"/>
      <c r="T33" s="24"/>
      <c r="U33" s="24"/>
      <c r="V33" s="24">
        <v>146</v>
      </c>
      <c r="W33" s="25">
        <v>1554</v>
      </c>
      <c r="X33" s="25"/>
      <c r="Y33" s="24">
        <v>172</v>
      </c>
      <c r="Z33" s="24">
        <v>2</v>
      </c>
      <c r="AA33" s="24">
        <v>495</v>
      </c>
      <c r="AB33" s="24">
        <v>269</v>
      </c>
      <c r="AC33" s="24"/>
      <c r="AD33" s="24"/>
      <c r="AE33" s="26">
        <f t="shared" si="2"/>
        <v>417.96000000000004</v>
      </c>
      <c r="AF33" s="24"/>
      <c r="AG33" s="27"/>
    </row>
    <row r="34" spans="1:34" s="28" customFormat="1" ht="26.25" customHeight="1" x14ac:dyDescent="0.25">
      <c r="A34" s="18">
        <v>46162</v>
      </c>
      <c r="B34" s="19"/>
      <c r="C34" s="20"/>
      <c r="D34" s="19">
        <v>1779</v>
      </c>
      <c r="E34" s="21">
        <v>222.375</v>
      </c>
      <c r="F34" s="19">
        <v>1644</v>
      </c>
      <c r="G34" s="21">
        <f t="shared" si="4"/>
        <v>191.16279069767441</v>
      </c>
      <c r="H34" s="19"/>
      <c r="I34" s="23">
        <v>0</v>
      </c>
      <c r="J34" s="19"/>
      <c r="K34" s="19"/>
      <c r="L34" s="19"/>
      <c r="M34" s="19"/>
      <c r="N34" s="19"/>
      <c r="O34" s="23"/>
      <c r="P34" s="23">
        <v>1253.9999999999998</v>
      </c>
      <c r="Q34" s="24"/>
      <c r="R34" s="24"/>
      <c r="S34" s="24"/>
      <c r="T34" s="24"/>
      <c r="U34" s="24"/>
      <c r="V34" s="24">
        <v>252</v>
      </c>
      <c r="W34" s="25">
        <v>1627</v>
      </c>
      <c r="X34" s="25"/>
      <c r="Y34" s="24">
        <v>206</v>
      </c>
      <c r="Z34" s="24"/>
      <c r="AA34" s="24">
        <v>399</v>
      </c>
      <c r="AB34" s="24">
        <v>423</v>
      </c>
      <c r="AC34" s="24"/>
      <c r="AD34" s="24"/>
      <c r="AE34" s="26">
        <f t="shared" si="2"/>
        <v>500.58000000000004</v>
      </c>
      <c r="AF34" s="24"/>
      <c r="AG34" s="27"/>
      <c r="AH34" s="29"/>
    </row>
    <row r="35" spans="1:34" s="28" customFormat="1" ht="26.25" customHeight="1" x14ac:dyDescent="0.25">
      <c r="A35" s="18">
        <v>46163</v>
      </c>
      <c r="B35" s="19"/>
      <c r="C35" s="20"/>
      <c r="D35" s="19">
        <v>1679</v>
      </c>
      <c r="E35" s="21">
        <v>209.875</v>
      </c>
      <c r="F35" s="19">
        <v>1069</v>
      </c>
      <c r="G35" s="21">
        <f t="shared" si="4"/>
        <v>124.30232558139535</v>
      </c>
      <c r="H35" s="19"/>
      <c r="I35" s="23">
        <v>0</v>
      </c>
      <c r="J35" s="19"/>
      <c r="K35" s="19"/>
      <c r="L35" s="19"/>
      <c r="M35" s="19"/>
      <c r="N35" s="19"/>
      <c r="O35" s="23"/>
      <c r="P35" s="22">
        <v>1045</v>
      </c>
      <c r="Q35" s="24"/>
      <c r="R35" s="24"/>
      <c r="S35" s="25"/>
      <c r="T35" s="24"/>
      <c r="U35" s="24"/>
      <c r="V35" s="24">
        <v>232</v>
      </c>
      <c r="W35" s="25">
        <v>1311</v>
      </c>
      <c r="X35" s="25"/>
      <c r="Y35" s="24">
        <v>169</v>
      </c>
      <c r="Z35" s="24">
        <v>4</v>
      </c>
      <c r="AA35" s="24">
        <v>329</v>
      </c>
      <c r="AB35" s="24">
        <v>364</v>
      </c>
      <c r="AC35" s="24"/>
      <c r="AD35" s="24"/>
      <c r="AE35" s="26">
        <f t="shared" si="2"/>
        <v>410.67</v>
      </c>
      <c r="AF35" s="24">
        <v>300</v>
      </c>
      <c r="AG35" s="27"/>
      <c r="AH35" s="29"/>
    </row>
    <row r="36" spans="1:34" s="28" customFormat="1" ht="26.25" customHeight="1" x14ac:dyDescent="0.25">
      <c r="A36" s="18">
        <v>46164</v>
      </c>
      <c r="B36" s="19"/>
      <c r="C36" s="20"/>
      <c r="D36" s="19">
        <v>1676</v>
      </c>
      <c r="E36" s="21">
        <v>209.50000000000003</v>
      </c>
      <c r="F36" s="19">
        <v>1302</v>
      </c>
      <c r="G36" s="21">
        <f t="shared" si="4"/>
        <v>151.3953488372093</v>
      </c>
      <c r="H36" s="19"/>
      <c r="I36" s="23"/>
      <c r="J36" s="19"/>
      <c r="K36" s="19"/>
      <c r="L36" s="19"/>
      <c r="M36" s="19"/>
      <c r="N36" s="19"/>
      <c r="O36" s="23"/>
      <c r="P36" s="23">
        <v>1166.6000000000001</v>
      </c>
      <c r="Q36" s="24"/>
      <c r="R36" s="24"/>
      <c r="S36" s="24"/>
      <c r="T36" s="24"/>
      <c r="U36" s="24"/>
      <c r="V36" s="24">
        <v>292</v>
      </c>
      <c r="W36" s="25">
        <v>1432</v>
      </c>
      <c r="X36" s="25"/>
      <c r="Y36" s="24">
        <v>184</v>
      </c>
      <c r="Z36" s="24">
        <v>4</v>
      </c>
      <c r="AA36" s="24">
        <v>357</v>
      </c>
      <c r="AB36" s="24">
        <v>387</v>
      </c>
      <c r="AC36" s="24"/>
      <c r="AD36" s="24"/>
      <c r="AE36" s="26">
        <f t="shared" si="2"/>
        <v>447.12</v>
      </c>
      <c r="AF36" s="24"/>
      <c r="AG36" s="27"/>
    </row>
    <row r="37" spans="1:34" s="28" customFormat="1" ht="26.25" customHeight="1" x14ac:dyDescent="0.25">
      <c r="A37" s="18">
        <v>46165</v>
      </c>
      <c r="B37" s="19"/>
      <c r="C37" s="20"/>
      <c r="D37" s="19">
        <v>1461</v>
      </c>
      <c r="E37" s="21">
        <v>175.60096153846155</v>
      </c>
      <c r="F37" s="19">
        <v>2070</v>
      </c>
      <c r="G37" s="21">
        <f t="shared" si="4"/>
        <v>240.69767441860463</v>
      </c>
      <c r="H37" s="19"/>
      <c r="I37" s="23"/>
      <c r="J37" s="19"/>
      <c r="K37" s="19"/>
      <c r="L37" s="19"/>
      <c r="M37" s="19"/>
      <c r="N37" s="19"/>
      <c r="O37" s="23"/>
      <c r="P37" s="23">
        <v>1117.8</v>
      </c>
      <c r="Q37" s="24"/>
      <c r="R37" s="24"/>
      <c r="S37" s="24"/>
      <c r="T37" s="24"/>
      <c r="U37" s="24"/>
      <c r="V37" s="12">
        <v>309</v>
      </c>
      <c r="W37" s="24">
        <v>1486</v>
      </c>
      <c r="X37" s="25"/>
      <c r="Y37" s="24">
        <v>183</v>
      </c>
      <c r="Z37" s="24">
        <v>6</v>
      </c>
      <c r="AA37" s="24">
        <v>365</v>
      </c>
      <c r="AB37" s="24">
        <v>437</v>
      </c>
      <c r="AC37" s="24"/>
      <c r="AD37" s="24"/>
      <c r="AE37" s="26">
        <f t="shared" si="2"/>
        <v>444.69000000000005</v>
      </c>
      <c r="AF37" s="24"/>
      <c r="AG37" s="27"/>
      <c r="AH37" s="29"/>
    </row>
    <row r="38" spans="1:34" s="28" customFormat="1" ht="26.25" customHeight="1" x14ac:dyDescent="0.25">
      <c r="A38" s="18">
        <v>46166</v>
      </c>
      <c r="B38" s="19"/>
      <c r="C38" s="20"/>
      <c r="D38" s="19">
        <v>448</v>
      </c>
      <c r="E38" s="21">
        <v>53.846153846153847</v>
      </c>
      <c r="F38" s="19">
        <v>2127</v>
      </c>
      <c r="G38" s="21">
        <v>247.32558139534885</v>
      </c>
      <c r="H38" s="19"/>
      <c r="I38" s="23"/>
      <c r="J38" s="19"/>
      <c r="K38" s="19"/>
      <c r="L38" s="19"/>
      <c r="M38" s="19"/>
      <c r="N38" s="19"/>
      <c r="O38" s="23"/>
      <c r="P38" s="23">
        <v>980.6</v>
      </c>
      <c r="Q38" s="24"/>
      <c r="R38" s="24"/>
      <c r="S38" s="24"/>
      <c r="T38" s="24"/>
      <c r="U38" s="24"/>
      <c r="V38" s="24">
        <v>293</v>
      </c>
      <c r="W38" s="25">
        <v>1144</v>
      </c>
      <c r="X38" s="25"/>
      <c r="Y38" s="24">
        <v>153</v>
      </c>
      <c r="Z38" s="24">
        <v>4</v>
      </c>
      <c r="AA38" s="24">
        <v>252</v>
      </c>
      <c r="AB38" s="24">
        <v>384</v>
      </c>
      <c r="AC38" s="24"/>
      <c r="AD38" s="24"/>
      <c r="AE38" s="26">
        <f t="shared" si="2"/>
        <v>371.79</v>
      </c>
      <c r="AF38" s="24"/>
      <c r="AG38" s="27"/>
    </row>
    <row r="39" spans="1:34" s="28" customFormat="1" ht="26.25" customHeight="1" x14ac:dyDescent="0.25">
      <c r="A39" s="18">
        <v>46167</v>
      </c>
      <c r="B39" s="19"/>
      <c r="C39" s="20"/>
      <c r="D39" s="19">
        <v>183</v>
      </c>
      <c r="E39" s="21">
        <v>22.875</v>
      </c>
      <c r="F39" s="19">
        <v>2846</v>
      </c>
      <c r="G39" s="21">
        <v>330.93023255813955</v>
      </c>
      <c r="H39" s="19"/>
      <c r="I39" s="23">
        <v>0</v>
      </c>
      <c r="J39" s="19"/>
      <c r="K39" s="19">
        <v>0</v>
      </c>
      <c r="L39" s="19"/>
      <c r="M39" s="19">
        <v>0</v>
      </c>
      <c r="N39" s="19"/>
      <c r="O39" s="23"/>
      <c r="P39" s="23">
        <v>1160.4000000000001</v>
      </c>
      <c r="Q39" s="24"/>
      <c r="R39" s="24"/>
      <c r="S39" s="25"/>
      <c r="T39" s="24"/>
      <c r="U39" s="24"/>
      <c r="V39" s="24">
        <v>333</v>
      </c>
      <c r="W39" s="25">
        <v>1398</v>
      </c>
      <c r="X39" s="25"/>
      <c r="Y39" s="24">
        <v>178</v>
      </c>
      <c r="Z39" s="24">
        <v>6</v>
      </c>
      <c r="AA39" s="24">
        <v>453</v>
      </c>
      <c r="AB39" s="24">
        <v>333</v>
      </c>
      <c r="AC39" s="24"/>
      <c r="AD39" s="24"/>
      <c r="AE39" s="26">
        <f t="shared" si="2"/>
        <v>432.54</v>
      </c>
      <c r="AF39" s="24"/>
      <c r="AG39" s="27"/>
    </row>
    <row r="40" spans="1:34" s="28" customFormat="1" ht="26.25" customHeight="1" x14ac:dyDescent="0.25">
      <c r="A40" s="18">
        <v>46168</v>
      </c>
      <c r="B40" s="19"/>
      <c r="C40" s="20"/>
      <c r="D40" s="19">
        <v>1626</v>
      </c>
      <c r="E40" s="21">
        <v>203.25000000000003</v>
      </c>
      <c r="F40" s="19">
        <v>1591</v>
      </c>
      <c r="G40" s="21">
        <v>185</v>
      </c>
      <c r="H40" s="19"/>
      <c r="I40" s="23">
        <v>0</v>
      </c>
      <c r="J40" s="19"/>
      <c r="K40" s="19"/>
      <c r="L40" s="19"/>
      <c r="M40" s="19"/>
      <c r="N40" s="19"/>
      <c r="O40" s="23"/>
      <c r="P40" s="23">
        <v>1111.2</v>
      </c>
      <c r="Q40" s="24"/>
      <c r="R40" s="24"/>
      <c r="S40" s="25"/>
      <c r="T40" s="24"/>
      <c r="U40" s="24"/>
      <c r="V40" s="24">
        <v>273</v>
      </c>
      <c r="W40" s="25">
        <v>1398</v>
      </c>
      <c r="X40" s="25"/>
      <c r="Y40" s="24">
        <v>174</v>
      </c>
      <c r="Z40" s="24">
        <v>6</v>
      </c>
      <c r="AA40" s="24">
        <v>459</v>
      </c>
      <c r="AB40" s="24">
        <v>314</v>
      </c>
      <c r="AC40" s="24"/>
      <c r="AD40" s="24"/>
      <c r="AE40" s="26">
        <f t="shared" si="2"/>
        <v>422.82000000000005</v>
      </c>
      <c r="AF40" s="24"/>
      <c r="AG40" s="27"/>
    </row>
    <row r="41" spans="1:34" s="28" customFormat="1" ht="26.25" customHeight="1" x14ac:dyDescent="0.25">
      <c r="A41" s="18">
        <v>46169</v>
      </c>
      <c r="B41" s="19"/>
      <c r="C41" s="20"/>
      <c r="D41" s="19">
        <v>1432</v>
      </c>
      <c r="E41" s="21">
        <v>179</v>
      </c>
      <c r="F41" s="19">
        <v>2436</v>
      </c>
      <c r="G41" s="21">
        <v>283.25581395348837</v>
      </c>
      <c r="H41" s="19"/>
      <c r="I41" s="23">
        <v>0</v>
      </c>
      <c r="J41" s="19"/>
      <c r="K41" s="19"/>
      <c r="L41" s="19"/>
      <c r="M41" s="19"/>
      <c r="N41" s="19"/>
      <c r="O41" s="23"/>
      <c r="P41" s="23">
        <v>1256.3999999999999</v>
      </c>
      <c r="Q41" s="24"/>
      <c r="R41" s="24"/>
      <c r="S41" s="24"/>
      <c r="T41" s="24"/>
      <c r="U41" s="24"/>
      <c r="V41" s="24">
        <v>266</v>
      </c>
      <c r="W41" s="25">
        <v>1687</v>
      </c>
      <c r="X41" s="25"/>
      <c r="Y41" s="24">
        <v>196</v>
      </c>
      <c r="Z41" s="24">
        <v>4</v>
      </c>
      <c r="AA41" s="24">
        <v>389</v>
      </c>
      <c r="AB41" s="24">
        <v>452</v>
      </c>
      <c r="AC41" s="24"/>
      <c r="AD41" s="24"/>
      <c r="AE41" s="26">
        <f t="shared" si="2"/>
        <v>476.28000000000003</v>
      </c>
      <c r="AF41" s="24"/>
      <c r="AG41" s="27"/>
      <c r="AH41" s="29"/>
    </row>
    <row r="42" spans="1:34" s="28" customFormat="1" ht="26.25" customHeight="1" x14ac:dyDescent="0.25">
      <c r="A42" s="18">
        <v>46170</v>
      </c>
      <c r="B42" s="19"/>
      <c r="C42" s="20"/>
      <c r="D42" s="19">
        <v>1848</v>
      </c>
      <c r="E42" s="21">
        <v>231</v>
      </c>
      <c r="F42" s="19">
        <v>1278</v>
      </c>
      <c r="G42" s="21">
        <v>148.6046511627907</v>
      </c>
      <c r="H42" s="19"/>
      <c r="I42" s="23">
        <v>0</v>
      </c>
      <c r="J42" s="19"/>
      <c r="K42" s="19"/>
      <c r="L42" s="19"/>
      <c r="M42" s="19"/>
      <c r="N42" s="19"/>
      <c r="O42" s="23"/>
      <c r="P42" s="22">
        <v>1243.8</v>
      </c>
      <c r="Q42" s="24"/>
      <c r="R42" s="24"/>
      <c r="S42" s="25"/>
      <c r="T42" s="24"/>
      <c r="U42" s="24"/>
      <c r="V42" s="24">
        <v>128</v>
      </c>
      <c r="W42" s="25">
        <v>1665</v>
      </c>
      <c r="X42" s="25"/>
      <c r="Y42" s="24">
        <v>202</v>
      </c>
      <c r="Z42" s="24">
        <v>4</v>
      </c>
      <c r="AA42" s="24">
        <v>416</v>
      </c>
      <c r="AB42" s="24">
        <v>448</v>
      </c>
      <c r="AC42" s="24"/>
      <c r="AD42" s="24"/>
      <c r="AE42" s="26">
        <f t="shared" si="2"/>
        <v>490.86</v>
      </c>
      <c r="AF42" s="24"/>
      <c r="AG42" s="27"/>
      <c r="AH42" s="29"/>
    </row>
    <row r="43" spans="1:34" s="28" customFormat="1" ht="26.25" customHeight="1" x14ac:dyDescent="0.25">
      <c r="A43" s="18">
        <v>46171</v>
      </c>
      <c r="B43" s="19"/>
      <c r="C43" s="20"/>
      <c r="D43" s="19">
        <v>1795</v>
      </c>
      <c r="E43" s="21">
        <v>224.375</v>
      </c>
      <c r="F43" s="19">
        <v>1503</v>
      </c>
      <c r="G43" s="21">
        <v>174.76744186046511</v>
      </c>
      <c r="H43" s="19"/>
      <c r="I43" s="23"/>
      <c r="J43" s="19"/>
      <c r="K43" s="19"/>
      <c r="L43" s="19"/>
      <c r="M43" s="19"/>
      <c r="N43" s="19"/>
      <c r="O43" s="23"/>
      <c r="P43" s="22">
        <v>938.99999999999989</v>
      </c>
      <c r="Q43" s="24"/>
      <c r="R43" s="24"/>
      <c r="S43" s="25"/>
      <c r="T43" s="24"/>
      <c r="U43" s="24"/>
      <c r="V43" s="24">
        <v>122</v>
      </c>
      <c r="W43" s="25">
        <v>1406</v>
      </c>
      <c r="X43" s="25"/>
      <c r="Y43" s="24">
        <v>210</v>
      </c>
      <c r="Z43" s="24">
        <v>4</v>
      </c>
      <c r="AA43" s="24">
        <v>405</v>
      </c>
      <c r="AB43" s="24">
        <v>322</v>
      </c>
      <c r="AC43" s="24"/>
      <c r="AD43" s="24"/>
      <c r="AE43" s="26">
        <f t="shared" si="2"/>
        <v>510.3</v>
      </c>
      <c r="AF43" s="24"/>
      <c r="AG43" s="27"/>
      <c r="AH43" s="29"/>
    </row>
    <row r="44" spans="1:34" s="28" customFormat="1" ht="26.25" customHeight="1" x14ac:dyDescent="0.25">
      <c r="A44" s="18">
        <v>46172</v>
      </c>
      <c r="B44" s="19"/>
      <c r="C44" s="20"/>
      <c r="D44" s="19">
        <v>1347</v>
      </c>
      <c r="E44" s="21">
        <v>161.89903846153845</v>
      </c>
      <c r="F44" s="19">
        <v>1622</v>
      </c>
      <c r="G44" s="21">
        <v>188.6046511627907</v>
      </c>
      <c r="H44" s="19"/>
      <c r="I44" s="23"/>
      <c r="J44" s="19"/>
      <c r="K44" s="19"/>
      <c r="L44" s="19"/>
      <c r="M44" s="19"/>
      <c r="N44" s="19"/>
      <c r="O44" s="23"/>
      <c r="P44" s="22">
        <v>915.8</v>
      </c>
      <c r="Q44" s="24"/>
      <c r="R44" s="24"/>
      <c r="S44" s="25"/>
      <c r="T44" s="24"/>
      <c r="U44" s="24"/>
      <c r="V44" s="24">
        <v>98</v>
      </c>
      <c r="W44" s="25">
        <v>1366</v>
      </c>
      <c r="X44" s="25"/>
      <c r="Y44" s="24">
        <v>175</v>
      </c>
      <c r="Z44" s="24">
        <v>6</v>
      </c>
      <c r="AA44" s="24">
        <v>413</v>
      </c>
      <c r="AB44" s="24">
        <v>292</v>
      </c>
      <c r="AC44" s="24"/>
      <c r="AD44" s="24"/>
      <c r="AE44" s="26">
        <f t="shared" ref="AE44:AE45" si="5">Y44*2.43</f>
        <v>425.25</v>
      </c>
      <c r="AF44" s="24"/>
      <c r="AG44" s="27"/>
      <c r="AH44" s="29"/>
    </row>
    <row r="45" spans="1:34" s="28" customFormat="1" ht="26.25" customHeight="1" x14ac:dyDescent="0.25">
      <c r="A45" s="18">
        <v>46173</v>
      </c>
      <c r="B45" s="19"/>
      <c r="C45" s="20"/>
      <c r="D45" s="19">
        <v>1532</v>
      </c>
      <c r="E45" s="21">
        <v>184.13461538461539</v>
      </c>
      <c r="F45" s="19">
        <v>876</v>
      </c>
      <c r="G45" s="21">
        <v>101.86046511627906</v>
      </c>
      <c r="H45" s="19"/>
      <c r="I45" s="23"/>
      <c r="J45" s="19"/>
      <c r="K45" s="19"/>
      <c r="L45" s="19"/>
      <c r="M45" s="19"/>
      <c r="N45" s="19"/>
      <c r="O45" s="23"/>
      <c r="P45" s="22">
        <v>776.4</v>
      </c>
      <c r="Q45" s="24"/>
      <c r="R45" s="24"/>
      <c r="S45" s="25"/>
      <c r="T45" s="24"/>
      <c r="U45" s="24"/>
      <c r="V45" s="24">
        <v>63</v>
      </c>
      <c r="W45" s="25">
        <v>1110</v>
      </c>
      <c r="X45" s="25"/>
      <c r="Y45" s="24">
        <v>131</v>
      </c>
      <c r="Z45" s="24">
        <v>2</v>
      </c>
      <c r="AA45" s="24">
        <v>284</v>
      </c>
      <c r="AB45" s="24">
        <v>282</v>
      </c>
      <c r="AC45" s="24"/>
      <c r="AD45" s="24"/>
      <c r="AE45" s="26">
        <f t="shared" si="5"/>
        <v>318.33000000000004</v>
      </c>
      <c r="AF45" s="24"/>
      <c r="AG45" s="27"/>
      <c r="AH45" s="29"/>
    </row>
    <row r="46" spans="1:34" ht="24.95" customHeight="1" thickBot="1" x14ac:dyDescent="0.4">
      <c r="A46" s="70" t="s">
        <v>30</v>
      </c>
      <c r="B46" s="71">
        <f>SUM(B15:B45)</f>
        <v>0</v>
      </c>
      <c r="C46" s="72">
        <f>SUM(C15:C45)</f>
        <v>0</v>
      </c>
      <c r="D46" s="71">
        <f>SUM(D15:D45)</f>
        <v>46364</v>
      </c>
      <c r="E46" s="71"/>
      <c r="F46" s="71">
        <f>SUM(F15:F45)</f>
        <v>42223</v>
      </c>
      <c r="G46" s="71"/>
      <c r="H46" s="71">
        <f t="shared" ref="H46:AG46" si="6">SUM(H15:H45)</f>
        <v>0</v>
      </c>
      <c r="I46" s="73">
        <f t="shared" si="6"/>
        <v>0</v>
      </c>
      <c r="J46" s="71">
        <f t="shared" si="6"/>
        <v>0</v>
      </c>
      <c r="K46" s="71">
        <f t="shared" si="6"/>
        <v>0</v>
      </c>
      <c r="L46" s="71">
        <f t="shared" si="6"/>
        <v>0</v>
      </c>
      <c r="M46" s="71">
        <f t="shared" si="6"/>
        <v>0</v>
      </c>
      <c r="N46" s="71">
        <f t="shared" si="6"/>
        <v>0</v>
      </c>
      <c r="O46" s="73">
        <f t="shared" si="6"/>
        <v>0</v>
      </c>
      <c r="P46" s="73">
        <f t="shared" si="6"/>
        <v>30961.5</v>
      </c>
      <c r="Q46" s="71">
        <f t="shared" si="6"/>
        <v>0</v>
      </c>
      <c r="R46" s="71">
        <f t="shared" si="6"/>
        <v>0</v>
      </c>
      <c r="S46" s="71">
        <f t="shared" si="6"/>
        <v>0</v>
      </c>
      <c r="T46" s="71">
        <f t="shared" si="6"/>
        <v>0</v>
      </c>
      <c r="U46" s="71">
        <f t="shared" si="6"/>
        <v>0</v>
      </c>
      <c r="V46" s="71">
        <f t="shared" si="6"/>
        <v>3453</v>
      </c>
      <c r="W46" s="71">
        <f t="shared" si="6"/>
        <v>44222</v>
      </c>
      <c r="X46" s="71">
        <f t="shared" si="6"/>
        <v>0</v>
      </c>
      <c r="Y46" s="71">
        <f t="shared" si="6"/>
        <v>5002</v>
      </c>
      <c r="Z46" s="71">
        <f t="shared" si="6"/>
        <v>128</v>
      </c>
      <c r="AA46" s="71">
        <f t="shared" si="6"/>
        <v>12260</v>
      </c>
      <c r="AB46" s="71">
        <f t="shared" si="6"/>
        <v>8724</v>
      </c>
      <c r="AC46" s="71">
        <f t="shared" si="6"/>
        <v>0</v>
      </c>
      <c r="AD46" s="71">
        <f t="shared" si="6"/>
        <v>0</v>
      </c>
      <c r="AE46" s="73">
        <f t="shared" si="6"/>
        <v>12154.860000000004</v>
      </c>
      <c r="AF46" s="72">
        <f t="shared" si="6"/>
        <v>330</v>
      </c>
      <c r="AG46" s="73">
        <f t="shared" si="6"/>
        <v>0</v>
      </c>
      <c r="AH46" s="76">
        <f>SUM(B46:AG46)</f>
        <v>205822.36000000002</v>
      </c>
    </row>
    <row r="47" spans="1:34" ht="19.5" x14ac:dyDescent="0.3">
      <c r="A47" s="77"/>
      <c r="B47" s="77"/>
      <c r="C47" s="77"/>
      <c r="D47" s="78"/>
      <c r="E47" s="78"/>
      <c r="F47" s="79"/>
      <c r="G47" s="79"/>
      <c r="H47" s="79"/>
      <c r="I47" s="79"/>
      <c r="J47" s="80"/>
      <c r="K47" s="79" t="s">
        <v>31</v>
      </c>
      <c r="L47" s="79"/>
      <c r="M47" s="79"/>
      <c r="N47" s="79"/>
      <c r="O47" s="79"/>
      <c r="P47" s="81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79"/>
      <c r="AF47" s="80"/>
      <c r="AG47" s="80"/>
      <c r="AH47" s="132"/>
    </row>
    <row r="48" spans="1:34" ht="15.75" customHeight="1" x14ac:dyDescent="0.2">
      <c r="A48" s="35"/>
      <c r="B48" s="35"/>
      <c r="C48" s="35"/>
      <c r="D48" s="36"/>
      <c r="E48" s="36"/>
      <c r="F48" s="37"/>
      <c r="G48" s="37"/>
      <c r="J48" s="38"/>
      <c r="P48" s="39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7"/>
      <c r="AF48" s="38"/>
      <c r="AG48" s="38"/>
      <c r="AH48" s="85"/>
    </row>
    <row r="49" spans="1:41" s="41" customFormat="1" ht="21" customHeight="1" x14ac:dyDescent="0.3">
      <c r="A49" s="40" t="s">
        <v>32</v>
      </c>
      <c r="B49" s="40"/>
      <c r="C49" s="40"/>
      <c r="D49" s="40"/>
      <c r="E49" s="40"/>
      <c r="F49" s="40" t="s">
        <v>33</v>
      </c>
      <c r="H49" s="40"/>
      <c r="I49" s="40"/>
      <c r="J49" s="40"/>
      <c r="K49" s="40"/>
      <c r="L49" s="40"/>
      <c r="M49" s="40"/>
      <c r="P49" s="40"/>
      <c r="Q49" s="40"/>
      <c r="S49" s="42" t="s">
        <v>34</v>
      </c>
      <c r="Y49" s="40" t="s">
        <v>35</v>
      </c>
      <c r="AH49" s="83"/>
      <c r="AJ49" s="43"/>
      <c r="AK49" s="43"/>
      <c r="AL49" s="43"/>
      <c r="AM49" s="43"/>
      <c r="AN49" s="43"/>
      <c r="AO49" s="43"/>
    </row>
    <row r="50" spans="1:41" s="41" customFormat="1" ht="21" customHeight="1" x14ac:dyDescent="0.3">
      <c r="A50" s="44"/>
      <c r="B50" s="44"/>
      <c r="C50" s="44"/>
      <c r="D50" s="40"/>
      <c r="E50" s="40"/>
      <c r="F50" s="40"/>
      <c r="H50" s="40"/>
      <c r="I50" s="40"/>
      <c r="J50" s="40"/>
      <c r="K50" s="40"/>
      <c r="L50" s="40"/>
      <c r="M50" s="40"/>
      <c r="P50" s="40"/>
      <c r="Q50" s="40"/>
      <c r="S50" s="40"/>
      <c r="Y50" s="40"/>
      <c r="Z50" s="40"/>
      <c r="AD50" s="41" t="s">
        <v>31</v>
      </c>
      <c r="AJ50" s="43"/>
      <c r="AK50" s="43"/>
      <c r="AL50" s="43"/>
      <c r="AM50" s="43"/>
      <c r="AN50" s="43"/>
      <c r="AO50" s="43"/>
    </row>
    <row r="51" spans="1:41" s="41" customFormat="1" ht="21" customHeight="1" x14ac:dyDescent="0.3">
      <c r="A51" s="44"/>
      <c r="B51" s="44"/>
      <c r="C51" s="44"/>
      <c r="D51" s="40"/>
      <c r="E51" s="40"/>
      <c r="F51" s="40"/>
      <c r="H51" s="40"/>
      <c r="I51" s="40"/>
      <c r="J51" s="40"/>
      <c r="K51" s="40"/>
      <c r="L51" s="40"/>
      <c r="M51" s="40"/>
      <c r="P51" s="40"/>
      <c r="Q51" s="40"/>
      <c r="S51" s="40"/>
      <c r="Y51" s="40"/>
      <c r="Z51" s="40"/>
    </row>
    <row r="52" spans="1:41" s="41" customFormat="1" ht="21" customHeight="1" x14ac:dyDescent="0.3">
      <c r="A52" s="45" t="s">
        <v>36</v>
      </c>
      <c r="B52" s="45"/>
      <c r="C52" s="45"/>
      <c r="D52" s="40"/>
      <c r="E52" s="40"/>
      <c r="F52" s="45" t="s">
        <v>37</v>
      </c>
      <c r="H52" s="40"/>
      <c r="I52" s="40"/>
      <c r="J52" s="40"/>
      <c r="K52" s="40"/>
      <c r="L52" s="40"/>
      <c r="M52" s="40"/>
      <c r="P52" s="40"/>
      <c r="Q52" s="40"/>
      <c r="S52" s="45" t="s">
        <v>38</v>
      </c>
      <c r="Y52" s="46" t="s">
        <v>39</v>
      </c>
    </row>
    <row r="53" spans="1:41" s="43" customFormat="1" ht="17.25" customHeight="1" x14ac:dyDescent="0.3">
      <c r="A53" s="44" t="s">
        <v>40</v>
      </c>
      <c r="B53" s="44"/>
      <c r="C53" s="44"/>
      <c r="D53" s="44"/>
      <c r="E53" s="44"/>
      <c r="F53" s="44" t="s">
        <v>41</v>
      </c>
      <c r="H53" s="44"/>
      <c r="I53" s="44"/>
      <c r="J53" s="44"/>
      <c r="K53" s="44"/>
      <c r="L53" s="44"/>
      <c r="M53" s="44"/>
      <c r="P53" s="44"/>
      <c r="Q53" s="44"/>
      <c r="S53" s="44" t="s">
        <v>42</v>
      </c>
      <c r="Y53" s="47" t="s">
        <v>43</v>
      </c>
      <c r="AL53" s="48"/>
      <c r="AM53" s="48"/>
      <c r="AN53" s="48"/>
      <c r="AO53" s="48"/>
    </row>
    <row r="54" spans="1:41" s="49" customFormat="1" ht="15.75" customHeight="1" x14ac:dyDescent="0.3"/>
    <row r="55" spans="1:41" s="51" customFormat="1" ht="15.75" customHeight="1" x14ac:dyDescent="0.3">
      <c r="A55" s="50"/>
      <c r="B55" s="50"/>
      <c r="C55" s="50"/>
      <c r="D55" s="50"/>
      <c r="E55" s="50"/>
      <c r="H55" s="49"/>
      <c r="I55" s="49"/>
      <c r="J55" s="50"/>
      <c r="K55" s="50"/>
      <c r="L55" s="49"/>
      <c r="M55" s="49"/>
      <c r="N55" s="49"/>
      <c r="O55" s="49"/>
    </row>
    <row r="56" spans="1:41" s="51" customFormat="1" ht="15.75" customHeight="1" x14ac:dyDescent="0.3">
      <c r="A56" s="50"/>
      <c r="B56" s="50"/>
      <c r="C56" s="50"/>
      <c r="D56" s="50"/>
      <c r="E56" s="50"/>
      <c r="H56" s="49"/>
      <c r="I56" s="49"/>
      <c r="L56" s="49"/>
      <c r="M56" s="49"/>
      <c r="N56" s="49"/>
      <c r="O56" s="49"/>
    </row>
    <row r="57" spans="1:41" s="49" customFormat="1" ht="15.75" customHeight="1" x14ac:dyDescent="0.3"/>
    <row r="58" spans="1:41" ht="15.75" customHeight="1" x14ac:dyDescent="0.2">
      <c r="F58" s="52"/>
      <c r="G58" s="52"/>
    </row>
    <row r="60" spans="1:41" ht="15.75" customHeight="1" x14ac:dyDescent="0.2">
      <c r="D60" s="53"/>
      <c r="E60" s="53"/>
      <c r="F60" s="53"/>
      <c r="G60" s="53"/>
      <c r="J60" s="53"/>
      <c r="K60" s="53"/>
      <c r="AG60" s="53"/>
    </row>
  </sheetData>
  <mergeCells count="44">
    <mergeCell ref="L11:M11"/>
    <mergeCell ref="N12:O12"/>
    <mergeCell ref="B13:C13"/>
    <mergeCell ref="D13:E13"/>
    <mergeCell ref="F13:G13"/>
    <mergeCell ref="H13:I13"/>
    <mergeCell ref="J13:K13"/>
    <mergeCell ref="L13:M13"/>
    <mergeCell ref="N13:O13"/>
    <mergeCell ref="AG8:AG9"/>
    <mergeCell ref="Y9:Z9"/>
    <mergeCell ref="N11:O11"/>
    <mergeCell ref="Q11:R11"/>
    <mergeCell ref="S11:T11"/>
    <mergeCell ref="V11:X11"/>
    <mergeCell ref="A10:A14"/>
    <mergeCell ref="B10:O10"/>
    <mergeCell ref="P10:P12"/>
    <mergeCell ref="Q10:Z10"/>
    <mergeCell ref="AA10:AD10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A2:AF2"/>
    <mergeCell ref="A3:AF3"/>
    <mergeCell ref="A5:AF5"/>
    <mergeCell ref="A6:AF6"/>
    <mergeCell ref="A8:A9"/>
    <mergeCell ref="B8:E9"/>
    <mergeCell ref="F8:O9"/>
    <mergeCell ref="Q8:U9"/>
    <mergeCell ref="V8:W9"/>
    <mergeCell ref="Y8:Z8"/>
    <mergeCell ref="AA8:AA9"/>
    <mergeCell ref="AB8:AD9"/>
    <mergeCell ref="AF8:AF9"/>
  </mergeCells>
  <pageMargins left="0.39370078740157483" right="0.39370078740157483" top="0.74803149606299213" bottom="0.31496062992125984" header="0.31496062992125984" footer="0.31496062992125984"/>
  <pageSetup paperSize="5" scale="48" orientation="landscape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132</vt:i4>
      </vt:variant>
      <vt:variant>
        <vt:lpstr>Named Ranges</vt:lpstr>
      </vt:variant>
      <vt:variant>
        <vt:i4>1</vt:i4>
      </vt:variant>
    </vt:vector>
  </HeadingPairs>
  <TitlesOfParts>
    <vt:vector size="133" baseType="lpstr">
      <vt:lpstr>12-31,2023-01-06,2024</vt:lpstr>
      <vt:lpstr>1-7-13,2024</vt:lpstr>
      <vt:lpstr>1-14-20,2024</vt:lpstr>
      <vt:lpstr>1-21-27,2024</vt:lpstr>
      <vt:lpstr>1-28-FEB.3,2024</vt:lpstr>
      <vt:lpstr>2-4-10,2024</vt:lpstr>
      <vt:lpstr>2-11-17,2024</vt:lpstr>
      <vt:lpstr>2-18-24,2024</vt:lpstr>
      <vt:lpstr>2- 25-MAR. 2,2024</vt:lpstr>
      <vt:lpstr>3-2-9,2024</vt:lpstr>
      <vt:lpstr>3-10-16,2024</vt:lpstr>
      <vt:lpstr>3-17-23,2024</vt:lpstr>
      <vt:lpstr>3-24-30-2024</vt:lpstr>
      <vt:lpstr>3-31, APRIL 1-6, 2024</vt:lpstr>
      <vt:lpstr>4-7-13,2024</vt:lpstr>
      <vt:lpstr>4-14-20,202</vt:lpstr>
      <vt:lpstr>4-21-27, 24</vt:lpstr>
      <vt:lpstr>4-28-MAY 4, 2024</vt:lpstr>
      <vt:lpstr>5-5-11-2024</vt:lpstr>
      <vt:lpstr>5-12-18-2024</vt:lpstr>
      <vt:lpstr>5-19-25-24</vt:lpstr>
      <vt:lpstr>5-26-JUNE 1, 2024</vt:lpstr>
      <vt:lpstr>6-2-8, 2024</vt:lpstr>
      <vt:lpstr>6-9-15-24</vt:lpstr>
      <vt:lpstr>6-16-22,2024</vt:lpstr>
      <vt:lpstr>6-23-29,2024</vt:lpstr>
      <vt:lpstr>6-30-7-6,2024</vt:lpstr>
      <vt:lpstr>7-7-13,2024</vt:lpstr>
      <vt:lpstr>7-14-20, 2024</vt:lpstr>
      <vt:lpstr>7-21-27,2024</vt:lpstr>
      <vt:lpstr>7-28-8-3, 2024</vt:lpstr>
      <vt:lpstr>8-4-10,2024</vt:lpstr>
      <vt:lpstr>8-11-17, 2024</vt:lpstr>
      <vt:lpstr>8-18-24, 2024</vt:lpstr>
      <vt:lpstr>8-25-31,2024</vt:lpstr>
      <vt:lpstr>9-1-7,2024</vt:lpstr>
      <vt:lpstr>9-8-14, 2024</vt:lpstr>
      <vt:lpstr>9-15-21, 2024</vt:lpstr>
      <vt:lpstr>9-22-28, 2024</vt:lpstr>
      <vt:lpstr>9-29-10-5,2024</vt:lpstr>
      <vt:lpstr>10-6-12, 2024</vt:lpstr>
      <vt:lpstr>10-13-19,2024</vt:lpstr>
      <vt:lpstr>10-20-26, 2024</vt:lpstr>
      <vt:lpstr>10-27-11-2, 2024</vt:lpstr>
      <vt:lpstr>11-3-9, 2024</vt:lpstr>
      <vt:lpstr>11-10-17, 2024</vt:lpstr>
      <vt:lpstr>11-18-24, 2024</vt:lpstr>
      <vt:lpstr>11-24-30, 2024</vt:lpstr>
      <vt:lpstr>12-1-7, 2024</vt:lpstr>
      <vt:lpstr>12-8-14, 2024</vt:lpstr>
      <vt:lpstr>12-15-22, 2024</vt:lpstr>
      <vt:lpstr>12-22-28, 2024</vt:lpstr>
      <vt:lpstr>12-29-1-4, 2025</vt:lpstr>
      <vt:lpstr>1-5-11,2025</vt:lpstr>
      <vt:lpstr>1-12-18, 2025</vt:lpstr>
      <vt:lpstr>1-19-25, 2025</vt:lpstr>
      <vt:lpstr>1-26-FEB-1,2025</vt:lpstr>
      <vt:lpstr>2-2-8, 2025</vt:lpstr>
      <vt:lpstr>2-9-15, 2025</vt:lpstr>
      <vt:lpstr>2-16-22, 2025</vt:lpstr>
      <vt:lpstr>2-23-03-1, 2025</vt:lpstr>
      <vt:lpstr>3-2-8, 2025</vt:lpstr>
      <vt:lpstr>3-9-16, 2025</vt:lpstr>
      <vt:lpstr>3-17-22, 2025</vt:lpstr>
      <vt:lpstr>3-23-29, 2025</vt:lpstr>
      <vt:lpstr>3-30-4-5,2025</vt:lpstr>
      <vt:lpstr>4-6-12, 2025</vt:lpstr>
      <vt:lpstr>4-13-19, 2025</vt:lpstr>
      <vt:lpstr>4-20-26, 2025</vt:lpstr>
      <vt:lpstr>4-27-MAY 3, 2025</vt:lpstr>
      <vt:lpstr>5-4-10, 2025</vt:lpstr>
      <vt:lpstr>5-11-17, 2025</vt:lpstr>
      <vt:lpstr>5-18-24, 2025</vt:lpstr>
      <vt:lpstr>5-25-31, 2025</vt:lpstr>
      <vt:lpstr>6-1-7, 2025</vt:lpstr>
      <vt:lpstr>6-8-14, 2025</vt:lpstr>
      <vt:lpstr>6-15-21, 2025</vt:lpstr>
      <vt:lpstr>6-22-28,2025</vt:lpstr>
      <vt:lpstr>6-29-7-5, 2025</vt:lpstr>
      <vt:lpstr>7-6-12, 2025</vt:lpstr>
      <vt:lpstr>7-13-19, 2025</vt:lpstr>
      <vt:lpstr>7-20-26, 2025</vt:lpstr>
      <vt:lpstr>7-27-8-2, 2025</vt:lpstr>
      <vt:lpstr>8-3-9, 2025</vt:lpstr>
      <vt:lpstr>8-10-16, 2025</vt:lpstr>
      <vt:lpstr>8-17-23,2025</vt:lpstr>
      <vt:lpstr>8-24-30, 2025</vt:lpstr>
      <vt:lpstr>8-31-9-6, 2025</vt:lpstr>
      <vt:lpstr>9-7-13, 2025</vt:lpstr>
      <vt:lpstr>9-14-20, 2025</vt:lpstr>
      <vt:lpstr>9-21-27, 2025</vt:lpstr>
      <vt:lpstr>9-28-10-4, 2025</vt:lpstr>
      <vt:lpstr>10-5-11, 2025</vt:lpstr>
      <vt:lpstr>10-12-18, 2025</vt:lpstr>
      <vt:lpstr>10-19-25, 2025</vt:lpstr>
      <vt:lpstr>10-26-11-1, 2025</vt:lpstr>
      <vt:lpstr>11-2-8, 2025</vt:lpstr>
      <vt:lpstr>11-9-15, 2025</vt:lpstr>
      <vt:lpstr>11-16-22, 2025</vt:lpstr>
      <vt:lpstr>11-23-29, 2025</vt:lpstr>
      <vt:lpstr>11-30-12-6, 2025</vt:lpstr>
      <vt:lpstr>12-7-13, 2025</vt:lpstr>
      <vt:lpstr>12-14-20,2025</vt:lpstr>
      <vt:lpstr>12-21-27, 2025</vt:lpstr>
      <vt:lpstr>12-28-1-3, 2026</vt:lpstr>
      <vt:lpstr>1-4-10, 2026</vt:lpstr>
      <vt:lpstr>1-11-17, 2026</vt:lpstr>
      <vt:lpstr>1-18-24, 2026</vt:lpstr>
      <vt:lpstr>1-25-31, 2026</vt:lpstr>
      <vt:lpstr>2-1-7, 2026</vt:lpstr>
      <vt:lpstr>2-8-14, 2026</vt:lpstr>
      <vt:lpstr>2-15-21, 2026</vt:lpstr>
      <vt:lpstr>2-22-28, 2026</vt:lpstr>
      <vt:lpstr>3-1-7, 2026</vt:lpstr>
      <vt:lpstr>3-8-14, 2026 </vt:lpstr>
      <vt:lpstr>3-15-21,2026</vt:lpstr>
      <vt:lpstr>3-22-28, 2026</vt:lpstr>
      <vt:lpstr>3-29-4-4, 2026</vt:lpstr>
      <vt:lpstr>4-5-11, 2026</vt:lpstr>
      <vt:lpstr>4-12-18, 2026</vt:lpstr>
      <vt:lpstr>4-19-25, 2026</vt:lpstr>
      <vt:lpstr>4-26-5-1-2, 2026</vt:lpstr>
      <vt:lpstr>5-3-9, 2026</vt:lpstr>
      <vt:lpstr>5-10-16, 2026</vt:lpstr>
      <vt:lpstr>5-17-23, 2026</vt:lpstr>
      <vt:lpstr>5-24-30, 2026</vt:lpstr>
      <vt:lpstr>5-31-6-6, 2026</vt:lpstr>
      <vt:lpstr>6-7-13, 2026</vt:lpstr>
      <vt:lpstr>WEEKLY rcsu</vt:lpstr>
      <vt:lpstr>16-30</vt:lpstr>
      <vt:lpstr>1-15</vt:lpstr>
      <vt:lpstr>MAY 1-31</vt:lpstr>
      <vt:lpstr>'MAY 1-31'!Print_Area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2026-06-08T07:57:25Z</cp:lastPrinted>
  <dcterms:created xsi:type="dcterms:W3CDTF">2024-01-08T02:40:26Z</dcterms:created>
  <dcterms:modified xsi:type="dcterms:W3CDTF">2026-06-08T08:02:32Z</dcterms:modified>
</cp:coreProperties>
</file>