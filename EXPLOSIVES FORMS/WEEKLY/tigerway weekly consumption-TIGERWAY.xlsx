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.MINE EXPLOSIVES REPORTS\02. RCSU WEEKLY REPORT\2026\JUNE 2026\TIGERWAY\WEEKLY REPORT - JUNE 1-7\"/>
    </mc:Choice>
  </mc:AlternateContent>
  <bookViews>
    <workbookView xWindow="0" yWindow="0" windowWidth="28800" windowHeight="10815" tabRatio="718" firstSheet="1" activeTab="1"/>
  </bookViews>
  <sheets>
    <sheet name="2-3-9,2018" sheetId="88" r:id="rId1"/>
    <sheet name="Sheet" sheetId="98" r:id="rId2"/>
  </sheets>
  <definedNames>
    <definedName name="_xlnm._FilterDatabase" localSheetId="1" hidden="1">Sheet!#REF!</definedName>
    <definedName name="_xlnm.Print_Area" localSheetId="1">Sheet!$A$1:$Q$563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3" i="98" l="1"/>
  <c r="I304" i="98" s="1"/>
  <c r="I305" i="98" s="1"/>
  <c r="I306" i="98" s="1"/>
  <c r="I307" i="98" s="1"/>
  <c r="I308" i="98" s="1"/>
  <c r="I309" i="98" s="1"/>
  <c r="I310" i="98" s="1"/>
  <c r="I60" i="98" l="1"/>
  <c r="I61" i="98" s="1"/>
  <c r="I62" i="98" s="1"/>
  <c r="I63" i="98" s="1"/>
  <c r="I64" i="98" s="1"/>
  <c r="I65" i="98" s="1"/>
  <c r="I66" i="98" s="1"/>
  <c r="I67" i="98" s="1"/>
  <c r="O67" i="98" s="1"/>
  <c r="I141" i="98" l="1"/>
  <c r="I142" i="98" s="1"/>
  <c r="I143" i="98" s="1"/>
  <c r="I144" i="98" s="1"/>
  <c r="I145" i="98" s="1"/>
  <c r="I146" i="98" s="1"/>
  <c r="I147" i="98" s="1"/>
  <c r="I148" i="98" s="1"/>
  <c r="O148" i="98" s="1"/>
  <c r="I543" i="98"/>
  <c r="I502" i="98"/>
  <c r="I503" i="98" s="1"/>
  <c r="I504" i="98" s="1"/>
  <c r="I505" i="98" s="1"/>
  <c r="I506" i="98" s="1"/>
  <c r="I507" i="98" s="1"/>
  <c r="I508" i="98" s="1"/>
  <c r="I509" i="98" s="1"/>
  <c r="I462" i="98"/>
  <c r="I463" i="98" s="1"/>
  <c r="I464" i="98" s="1"/>
  <c r="I465" i="98" s="1"/>
  <c r="I466" i="98" s="1"/>
  <c r="I467" i="98" s="1"/>
  <c r="I468" i="98" s="1"/>
  <c r="I469" i="98" s="1"/>
  <c r="I423" i="98"/>
  <c r="I424" i="98" s="1"/>
  <c r="I425" i="98" s="1"/>
  <c r="I426" i="98" s="1"/>
  <c r="I427" i="98" s="1"/>
  <c r="I428" i="98" s="1"/>
  <c r="I429" i="98" s="1"/>
  <c r="I430" i="98" s="1"/>
  <c r="O430" i="98" s="1"/>
  <c r="I383" i="98"/>
  <c r="I384" i="98" s="1"/>
  <c r="I385" i="98" s="1"/>
  <c r="I386" i="98" s="1"/>
  <c r="I387" i="98" s="1"/>
  <c r="I388" i="98" s="1"/>
  <c r="I389" i="98" s="1"/>
  <c r="I390" i="98" s="1"/>
  <c r="I343" i="98"/>
  <c r="I344" i="98" s="1"/>
  <c r="I345" i="98" s="1"/>
  <c r="I346" i="98" s="1"/>
  <c r="I347" i="98" s="1"/>
  <c r="I348" i="98" s="1"/>
  <c r="I349" i="98" s="1"/>
  <c r="I350" i="98" s="1"/>
  <c r="I263" i="98"/>
  <c r="I264" i="98" s="1"/>
  <c r="I265" i="98" s="1"/>
  <c r="I266" i="98" s="1"/>
  <c r="I267" i="98" s="1"/>
  <c r="I268" i="98" s="1"/>
  <c r="I269" i="98" s="1"/>
  <c r="I270" i="98" s="1"/>
  <c r="I220" i="98"/>
  <c r="I180" i="98"/>
  <c r="I181" i="98" s="1"/>
  <c r="I182" i="98" s="1"/>
  <c r="I183" i="98" s="1"/>
  <c r="I184" i="98" s="1"/>
  <c r="I185" i="98" s="1"/>
  <c r="I186" i="98" s="1"/>
  <c r="I102" i="98"/>
  <c r="I103" i="98" s="1"/>
  <c r="I104" i="98" s="1"/>
  <c r="I105" i="98" s="1"/>
  <c r="I106" i="98" s="1"/>
  <c r="I107" i="98" s="1"/>
  <c r="I108" i="98" s="1"/>
  <c r="I109" i="98" s="1"/>
  <c r="I544" i="98" l="1"/>
  <c r="I545" i="98" s="1"/>
  <c r="I546" i="98" s="1"/>
  <c r="I547" i="98" s="1"/>
  <c r="I548" i="98" s="1"/>
  <c r="I549" i="98" s="1"/>
  <c r="I550" i="98" s="1"/>
  <c r="I221" i="98"/>
  <c r="I222" i="98" s="1"/>
  <c r="I223" i="98" s="1"/>
  <c r="I224" i="98" s="1"/>
  <c r="I225" i="98" s="1"/>
  <c r="I226" i="98" s="1"/>
  <c r="I227" i="98" s="1"/>
  <c r="I187" i="98"/>
  <c r="A535" i="98"/>
  <c r="E523" i="98" l="1"/>
  <c r="E562" i="98" s="1"/>
  <c r="E522" i="98"/>
  <c r="E561" i="98" s="1"/>
  <c r="C523" i="98"/>
  <c r="C562" i="98" s="1"/>
  <c r="C522" i="98"/>
  <c r="C561" i="98" s="1"/>
  <c r="A522" i="98"/>
  <c r="A561" i="98" s="1"/>
  <c r="A494" i="98"/>
  <c r="A479" i="98" l="1"/>
  <c r="A440" i="98"/>
  <c r="A400" i="98"/>
  <c r="A360" i="98"/>
  <c r="A320" i="98"/>
  <c r="A279" i="98"/>
  <c r="A238" i="98"/>
  <c r="A198" i="98"/>
  <c r="A157" i="98"/>
  <c r="A120" i="98"/>
  <c r="A79" i="98"/>
  <c r="C480" i="98" l="1"/>
  <c r="C479" i="98"/>
  <c r="C441" i="98"/>
  <c r="C440" i="98"/>
  <c r="C401" i="98"/>
  <c r="C400" i="98"/>
  <c r="C361" i="98"/>
  <c r="C360" i="98"/>
  <c r="C321" i="98"/>
  <c r="C320" i="98"/>
  <c r="C280" i="98"/>
  <c r="C279" i="98"/>
  <c r="C239" i="98"/>
  <c r="C238" i="98"/>
  <c r="C199" i="98"/>
  <c r="C198" i="98"/>
  <c r="C158" i="98"/>
  <c r="C157" i="98"/>
  <c r="C121" i="98"/>
  <c r="C120" i="98"/>
  <c r="C80" i="98"/>
  <c r="C79" i="98"/>
  <c r="B55" i="98" l="1"/>
  <c r="B497" i="98" s="1"/>
  <c r="B538" i="98" s="1"/>
  <c r="B458" i="98" l="1"/>
  <c r="B457" i="98"/>
  <c r="B419" i="98"/>
  <c r="B418" i="98"/>
  <c r="B379" i="98"/>
  <c r="B378" i="98"/>
  <c r="B339" i="98"/>
  <c r="B338" i="98"/>
  <c r="B299" i="98"/>
  <c r="B298" i="98"/>
  <c r="B259" i="98"/>
  <c r="B258" i="98"/>
  <c r="B216" i="98"/>
  <c r="B215" i="98"/>
  <c r="B176" i="98"/>
  <c r="B175" i="98"/>
  <c r="B137" i="98"/>
  <c r="B136" i="98"/>
  <c r="B98" i="98"/>
  <c r="B97" i="98"/>
  <c r="B56" i="98"/>
  <c r="B498" i="98" s="1"/>
  <c r="B539" i="98" s="1"/>
  <c r="E480" i="98" l="1"/>
  <c r="E479" i="98"/>
  <c r="E441" i="98"/>
  <c r="E440" i="98"/>
  <c r="E401" i="98"/>
  <c r="E400" i="98"/>
  <c r="E361" i="98"/>
  <c r="E360" i="98"/>
  <c r="E321" i="98"/>
  <c r="E320" i="98"/>
  <c r="E280" i="98"/>
  <c r="E279" i="98"/>
  <c r="E239" i="98"/>
  <c r="E238" i="98"/>
  <c r="E199" i="98"/>
  <c r="E198" i="98"/>
  <c r="E158" i="98"/>
  <c r="E157" i="98"/>
  <c r="E121" i="98"/>
  <c r="E120" i="98"/>
  <c r="E80" i="98"/>
  <c r="E79" i="98"/>
  <c r="A454" i="98"/>
  <c r="A415" i="98"/>
  <c r="A375" i="98"/>
  <c r="A335" i="98"/>
  <c r="A94" i="98"/>
  <c r="A52" i="98"/>
  <c r="I19" i="98" l="1"/>
  <c r="I20" i="98" s="1"/>
  <c r="I21" i="98" s="1"/>
  <c r="I22" i="98" s="1"/>
  <c r="I23" i="98" s="1"/>
  <c r="I24" i="98" s="1"/>
  <c r="I25" i="98" s="1"/>
  <c r="I26" i="98" s="1"/>
  <c r="O26" i="98" s="1"/>
  <c r="A133" i="98" l="1"/>
  <c r="A295" i="98" l="1"/>
  <c r="A255" i="98"/>
  <c r="A212" i="98"/>
  <c r="A172" i="98"/>
  <c r="Q19" i="88" l="1"/>
  <c r="L19" i="88"/>
  <c r="J19" i="88"/>
  <c r="H19" i="88"/>
  <c r="D19" i="88"/>
  <c r="M15" i="88" l="1"/>
  <c r="M18" i="88" s="1"/>
  <c r="M20" i="88" s="1"/>
  <c r="M23" i="88" s="1"/>
  <c r="AA15" i="88"/>
  <c r="AA18" i="88" s="1"/>
  <c r="AA20" i="88" s="1"/>
  <c r="AA23" i="88" s="1"/>
  <c r="Z15" i="88"/>
  <c r="Z18" i="88" s="1"/>
  <c r="Z20" i="88" s="1"/>
  <c r="Z23" i="88" s="1"/>
  <c r="AB15" i="88"/>
  <c r="AB18" i="88" s="1"/>
  <c r="AB20" i="88" s="1"/>
  <c r="AB23" i="88" s="1"/>
  <c r="AF15" i="88"/>
  <c r="AF18" i="88" s="1"/>
  <c r="AF20" i="88" s="1"/>
  <c r="AF23" i="88" s="1"/>
  <c r="X15" i="88" l="1"/>
  <c r="X18" i="88" s="1"/>
  <c r="X20" i="88" s="1"/>
  <c r="X23" i="88" s="1"/>
  <c r="R15" i="88"/>
  <c r="R18" i="88" s="1"/>
  <c r="R20" i="88" s="1"/>
  <c r="R23" i="88" s="1"/>
  <c r="S15" i="88"/>
  <c r="S18" i="88" s="1"/>
  <c r="S20" i="88" s="1"/>
  <c r="S23" i="88" s="1"/>
  <c r="Q15" i="88"/>
  <c r="Q18" i="88" s="1"/>
  <c r="Q20" i="88" s="1"/>
  <c r="Q23" i="88" s="1"/>
  <c r="AC15" i="88"/>
  <c r="AC18" i="88" s="1"/>
  <c r="AC20" i="88" s="1"/>
  <c r="AC23" i="88" s="1"/>
  <c r="U15" i="88"/>
  <c r="U18" i="88" s="1"/>
  <c r="U20" i="88" s="1"/>
  <c r="U23" i="88" s="1"/>
  <c r="Y15" i="88"/>
  <c r="Y18" i="88" s="1"/>
  <c r="Y20" i="88" s="1"/>
  <c r="Y23" i="88" s="1"/>
  <c r="O15" i="88"/>
  <c r="O18" i="88" s="1"/>
  <c r="O20" i="88" s="1"/>
  <c r="O23" i="88" s="1"/>
  <c r="T15" i="88"/>
  <c r="T18" i="88" s="1"/>
  <c r="T20" i="88" s="1"/>
  <c r="T23" i="88" s="1"/>
  <c r="AH15" i="88"/>
  <c r="AH18" i="88" s="1"/>
  <c r="AH20" i="88" s="1"/>
  <c r="AH23" i="88" s="1"/>
  <c r="V15" i="88"/>
  <c r="V18" i="88" s="1"/>
  <c r="V20" i="88" s="1"/>
  <c r="V23" i="88" s="1"/>
  <c r="AE15" i="88"/>
  <c r="AE18" i="88" s="1"/>
  <c r="AE20" i="88" s="1"/>
  <c r="AE23" i="88" s="1"/>
  <c r="W15" i="88"/>
  <c r="W18" i="88" s="1"/>
  <c r="W20" i="88" s="1"/>
  <c r="W23" i="88" s="1"/>
  <c r="D15" i="88"/>
  <c r="D18" i="88" s="1"/>
  <c r="D20" i="88" s="1"/>
  <c r="D23" i="88" s="1"/>
  <c r="K15" i="88"/>
  <c r="K18" i="88" s="1"/>
  <c r="K20" i="88" s="1"/>
  <c r="K23" i="88" s="1"/>
  <c r="L15" i="88"/>
  <c r="L18" i="88" s="1"/>
  <c r="L20" i="88" s="1"/>
  <c r="L23" i="88" s="1"/>
  <c r="P15" i="88"/>
  <c r="P18" i="88" s="1"/>
  <c r="P20" i="88" s="1"/>
  <c r="P23" i="88" s="1"/>
  <c r="C15" i="88"/>
  <c r="C18" i="88" s="1"/>
  <c r="C20" i="88" s="1"/>
  <c r="C23" i="88" s="1"/>
  <c r="AG15" i="88" l="1"/>
  <c r="AG18" i="88" s="1"/>
  <c r="AG20" i="88" s="1"/>
  <c r="AG23" i="88" s="1"/>
  <c r="G15" i="88"/>
  <c r="G18" i="88" s="1"/>
  <c r="G20" i="88" s="1"/>
  <c r="G23" i="88" s="1"/>
  <c r="H15" i="88"/>
  <c r="H18" i="88" s="1"/>
  <c r="H20" i="88" s="1"/>
  <c r="H23" i="88" s="1"/>
  <c r="E15" i="88" l="1"/>
  <c r="E18" i="88" s="1"/>
  <c r="E19" i="88" s="1"/>
  <c r="E20" i="88" s="1"/>
  <c r="E23" i="88" s="1"/>
  <c r="F15" i="88" l="1"/>
  <c r="F18" i="88" s="1"/>
  <c r="F19" i="88" s="1"/>
  <c r="F20" i="88" s="1"/>
  <c r="F23" i="88" s="1"/>
  <c r="I15" i="88" l="1"/>
  <c r="I18" i="88" s="1"/>
  <c r="I20" i="88" s="1"/>
  <c r="I23" i="88" s="1"/>
  <c r="J15" i="88" l="1"/>
  <c r="J18" i="88" s="1"/>
  <c r="J20" i="88" s="1"/>
  <c r="J23" i="88" s="1"/>
  <c r="N15" i="88" l="1"/>
  <c r="N18" i="88" s="1"/>
  <c r="N20" i="88" s="1"/>
  <c r="N23" i="88" s="1"/>
  <c r="AD15" i="88" l="1"/>
  <c r="AD18" i="88" s="1"/>
  <c r="AD20" i="88" s="1"/>
  <c r="AD23" i="88" s="1"/>
</calcChain>
</file>

<file path=xl/sharedStrings.xml><?xml version="1.0" encoding="utf-8"?>
<sst xmlns="http://schemas.openxmlformats.org/spreadsheetml/2006/main" count="562" uniqueCount="100">
  <si>
    <t>PHILSAGA MINING CORPORATION</t>
  </si>
  <si>
    <t>Bayugan 3,Rosario Agusan del Sur</t>
  </si>
  <si>
    <t>DATE</t>
  </si>
  <si>
    <t>SUPPLIER</t>
  </si>
  <si>
    <t>MT ROCK</t>
  </si>
  <si>
    <t>EXPEDITION</t>
  </si>
  <si>
    <t>DESCRIPTION</t>
  </si>
  <si>
    <t>Dyna</t>
  </si>
  <si>
    <t>Pentex</t>
  </si>
  <si>
    <t>Anfo</t>
  </si>
  <si>
    <t>S/Fuse</t>
  </si>
  <si>
    <t>OBC</t>
  </si>
  <si>
    <t>MS</t>
  </si>
  <si>
    <t>Cordtex</t>
  </si>
  <si>
    <t>EBC</t>
  </si>
  <si>
    <t>Stope</t>
  </si>
  <si>
    <t>Spider</t>
  </si>
  <si>
    <t>Emulex</t>
  </si>
  <si>
    <t>Superdyne</t>
  </si>
  <si>
    <t>Senatel/Pulsar</t>
  </si>
  <si>
    <t>Primer</t>
  </si>
  <si>
    <t>Pcs</t>
  </si>
  <si>
    <t>Kls</t>
  </si>
  <si>
    <t>Mtrs</t>
  </si>
  <si>
    <t>-</t>
  </si>
  <si>
    <t>Withdrawal of Stock from Main Magazine</t>
  </si>
  <si>
    <t>SAFETY FUSE SAVINGS from MG</t>
  </si>
  <si>
    <t>Less: Total Weekly Consumption</t>
  </si>
  <si>
    <t>MINE MAG. STOCK USABLE</t>
  </si>
  <si>
    <t>Prepared by:</t>
  </si>
  <si>
    <t>Checked by:</t>
  </si>
  <si>
    <t>(savings)</t>
  </si>
  <si>
    <t>Approved by:</t>
  </si>
  <si>
    <t>SUPREME</t>
  </si>
  <si>
    <t>Super Power</t>
  </si>
  <si>
    <t>LIGHTER</t>
  </si>
  <si>
    <t xml:space="preserve">FUSE </t>
  </si>
  <si>
    <t>AIHREIN B. TABOTABO</t>
  </si>
  <si>
    <t>REINNIER JOHN S. SUNICO</t>
  </si>
  <si>
    <t>MT. ROCK</t>
  </si>
  <si>
    <t>EXEL</t>
  </si>
  <si>
    <t>NONEL</t>
  </si>
  <si>
    <t>EXPLOSIVE WEEKLY CONSUMPTION</t>
  </si>
  <si>
    <t>BEG. BALANCE</t>
  </si>
  <si>
    <t>TOTAL ON HAND</t>
  </si>
  <si>
    <t>STOCK BALANCE</t>
  </si>
  <si>
    <t>Billwire</t>
  </si>
  <si>
    <t>Noted by:</t>
  </si>
  <si>
    <t>EDWIN B. BATAL</t>
  </si>
  <si>
    <t>RAFFY D. TORRES</t>
  </si>
  <si>
    <t>Mine Operations  Manager</t>
  </si>
  <si>
    <t>Mine Explosives Clerk</t>
  </si>
  <si>
    <t xml:space="preserve">Mine Explosives Engineer       </t>
  </si>
  <si>
    <t>Mine Explosives Manager</t>
  </si>
  <si>
    <t>EMULSION</t>
  </si>
  <si>
    <t>FEBRAURY 3-9, 2018</t>
  </si>
  <si>
    <t xml:space="preserve">WEEKLY REPORT ON UPDATES ON EXPLOSIVES AND EXPLOSIVE </t>
  </si>
  <si>
    <t>INGREDIENTS TRANSACTIONS</t>
  </si>
  <si>
    <t>Name of Company :</t>
  </si>
  <si>
    <t>Magazine               :</t>
  </si>
  <si>
    <t>KIND</t>
  </si>
  <si>
    <t>UoM</t>
  </si>
  <si>
    <t>ENTRY DATE</t>
  </si>
  <si>
    <t>QUANTITY</t>
  </si>
  <si>
    <t>DATE WITHDRAWN</t>
  </si>
  <si>
    <t>QUANTITY WITHDRAWN</t>
  </si>
  <si>
    <t>BALANCE</t>
  </si>
  <si>
    <t>REMARKS</t>
  </si>
  <si>
    <t>Daily Consumption</t>
  </si>
  <si>
    <t>Ammonium Nitrate Fuel Oil (ANFO)</t>
  </si>
  <si>
    <t>Safety Fuse</t>
  </si>
  <si>
    <t>Meters</t>
  </si>
  <si>
    <t>Ordinary Blasting        Cap</t>
  </si>
  <si>
    <t>Stock  Balance</t>
  </si>
  <si>
    <t>Remaining Stock</t>
  </si>
  <si>
    <t>Certified Correct by:</t>
  </si>
  <si>
    <t>No Usage</t>
  </si>
  <si>
    <t>Mount Rock Powder Corp.</t>
  </si>
  <si>
    <t xml:space="preserve">Prepared By:                                        </t>
  </si>
  <si>
    <t xml:space="preserve"> </t>
  </si>
  <si>
    <t xml:space="preserve">Checked by:       </t>
  </si>
  <si>
    <t>Drill and Blast Engineer</t>
  </si>
  <si>
    <t>NEOCORD 10</t>
  </si>
  <si>
    <t>DETCORD 40</t>
  </si>
  <si>
    <t>SUPREME 4.9</t>
  </si>
  <si>
    <t>PHILSAGA MINING CORPORATION - TIGERWAY DECLINE PROJECT</t>
  </si>
  <si>
    <t>MOUNT ROCK POWDER CORPORATION MAGAZINE</t>
  </si>
  <si>
    <t>DETCORD 10</t>
  </si>
  <si>
    <t>SUPREME 2.4</t>
  </si>
  <si>
    <t>NEOGEL 200 (Emulsion/Dyna</t>
  </si>
  <si>
    <t>NEOGEL 901 (Emulsion/Dyna) 91</t>
  </si>
  <si>
    <t>MR. MARK JAY E. CASTILLON</t>
  </si>
  <si>
    <t>NEO PRIME (Emulsion/Dyna) 93</t>
  </si>
  <si>
    <t>ENGR. JOHN MARTIN R. CIRIO</t>
  </si>
  <si>
    <t>Long Range Mine Development Manager</t>
  </si>
  <si>
    <t>RIONEL IHD 500MS/6M</t>
  </si>
  <si>
    <t>SUPREME TLD 17MS/25MS/42MS</t>
  </si>
  <si>
    <t>ENGR. EDWIN B. BATAL</t>
  </si>
  <si>
    <t>Mine Explosives Asst. Manager</t>
  </si>
  <si>
    <t>Period Covered : 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</si>
</sst>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.0_);\(#,##0.0\)"/>
    <numFmt numFmtId="167" formatCode="#,##0;[Red]#,##0"/>
    <numFmt numFmtId="168" formatCode="#,##0.0;[Red]#,##0.0"/>
    <numFmt numFmtId="169" formatCode="[$-409]dd\-mmm\-yy;@"/>
    <numFmt numFmtId="170" formatCode="#,##0.0;\-#,##0.0"/>
    <numFmt numFmtId="171" formatCode="0.0"/>
    <numFmt numFmtId="172" formatCode="#,##0.00000000000_ ;\-#,##0.00000000000\ "/>
    <numFmt numFmtId="173" formatCode="#,##0.00;[Red]#,##0.00"/>
    <numFmt numFmtId="174" formatCode="#,##0.00_ ;\-#,##0.00\ "/>
    <numFmt numFmtId="175" formatCode="[$-C09]dd\-mmmm\-yyyy;@"/>
    <numFmt numFmtId="176" formatCode="#,##0.0"/>
    <numFmt numFmtId="177" formatCode="#,##0_ ;\-#,##0\ "/>
  </numFmts>
  <fonts count="26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4" tint="-0.249977111117893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b/>
      <sz val="16"/>
      <color theme="4" tint="-0.249977111117893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u/>
      <sz val="20"/>
      <name val="Times New Roman"/>
      <family val="1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0">
    <xf numFmtId="0" fontId="0" fillId="0" borderId="0" xfId="0"/>
    <xf numFmtId="0" fontId="5" fillId="0" borderId="0" xfId="0" applyFont="1"/>
    <xf numFmtId="0" fontId="7" fillId="0" borderId="0" xfId="0" applyFont="1"/>
    <xf numFmtId="15" fontId="5" fillId="0" borderId="0" xfId="0" applyNumberFormat="1" applyFont="1" applyAlignment="1">
      <alignment horizontal="center"/>
    </xf>
    <xf numFmtId="0" fontId="5" fillId="2" borderId="5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9" fontId="5" fillId="3" borderId="0" xfId="1" applyNumberFormat="1" applyFont="1" applyFill="1" applyBorder="1" applyAlignment="1">
      <alignment vertical="center"/>
    </xf>
    <xf numFmtId="0" fontId="8" fillId="0" borderId="0" xfId="0" applyFont="1"/>
    <xf numFmtId="37" fontId="8" fillId="0" borderId="0" xfId="0" applyNumberFormat="1" applyFont="1"/>
    <xf numFmtId="171" fontId="5" fillId="0" borderId="0" xfId="0" applyNumberFormat="1" applyFont="1"/>
    <xf numFmtId="2" fontId="5" fillId="0" borderId="0" xfId="0" applyNumberFormat="1" applyFont="1"/>
    <xf numFmtId="172" fontId="5" fillId="0" borderId="0" xfId="0" applyNumberFormat="1" applyFont="1"/>
    <xf numFmtId="4" fontId="5" fillId="0" borderId="0" xfId="0" applyNumberFormat="1" applyFont="1"/>
    <xf numFmtId="37" fontId="5" fillId="0" borderId="0" xfId="0" applyNumberFormat="1" applyFont="1"/>
    <xf numFmtId="0" fontId="7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164" fontId="3" fillId="0" borderId="1" xfId="1" applyFont="1" applyBorder="1" applyAlignment="1">
      <alignment horizontal="left" vertical="center" wrapText="1"/>
    </xf>
    <xf numFmtId="164" fontId="3" fillId="0" borderId="1" xfId="1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13" fillId="0" borderId="1" xfId="1" applyFont="1" applyBorder="1" applyAlignment="1">
      <alignment horizontal="left" vertical="center" wrapText="1"/>
    </xf>
    <xf numFmtId="164" fontId="9" fillId="4" borderId="1" xfId="1" applyFont="1" applyFill="1" applyBorder="1" applyAlignment="1">
      <alignment horizontal="center" vertical="center"/>
    </xf>
    <xf numFmtId="165" fontId="3" fillId="0" borderId="4" xfId="1" applyNumberFormat="1" applyFont="1" applyBorder="1" applyAlignment="1">
      <alignment horizontal="left" vertical="center"/>
    </xf>
    <xf numFmtId="37" fontId="12" fillId="0" borderId="4" xfId="1" applyNumberFormat="1" applyFont="1" applyBorder="1" applyAlignment="1">
      <alignment horizontal="center" vertical="center"/>
    </xf>
    <xf numFmtId="39" fontId="12" fillId="0" borderId="1" xfId="1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173" fontId="12" fillId="0" borderId="1" xfId="1" applyNumberFormat="1" applyFont="1" applyBorder="1" applyAlignment="1">
      <alignment horizontal="center" vertical="center"/>
    </xf>
    <xf numFmtId="37" fontId="14" fillId="0" borderId="1" xfId="1" applyNumberFormat="1" applyFont="1" applyBorder="1" applyAlignment="1">
      <alignment horizontal="center" vertical="center"/>
    </xf>
    <xf numFmtId="39" fontId="14" fillId="0" borderId="1" xfId="1" applyNumberFormat="1" applyFont="1" applyBorder="1" applyAlignment="1">
      <alignment horizontal="center" vertical="center"/>
    </xf>
    <xf numFmtId="37" fontId="12" fillId="0" borderId="1" xfId="1" applyNumberFormat="1" applyFont="1" applyBorder="1" applyAlignment="1">
      <alignment horizontal="center" vertical="center"/>
    </xf>
    <xf numFmtId="170" fontId="12" fillId="0" borderId="1" xfId="1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center" vertical="center"/>
    </xf>
    <xf numFmtId="37" fontId="12" fillId="4" borderId="1" xfId="1" applyNumberFormat="1" applyFont="1" applyFill="1" applyBorder="1" applyAlignment="1">
      <alignment horizontal="center" vertical="center"/>
    </xf>
    <xf numFmtId="39" fontId="12" fillId="4" borderId="1" xfId="1" applyNumberFormat="1" applyFont="1" applyFill="1" applyBorder="1" applyAlignment="1">
      <alignment horizontal="center" vertical="center"/>
    </xf>
    <xf numFmtId="170" fontId="12" fillId="0" borderId="4" xfId="1" applyNumberFormat="1" applyFont="1" applyBorder="1" applyAlignment="1">
      <alignment horizontal="center" vertical="center"/>
    </xf>
    <xf numFmtId="170" fontId="14" fillId="0" borderId="1" xfId="1" applyNumberFormat="1" applyFont="1" applyBorder="1" applyAlignment="1">
      <alignment horizontal="center" vertical="center"/>
    </xf>
    <xf numFmtId="170" fontId="12" fillId="4" borderId="1" xfId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66" fontId="15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/>
    <xf numFmtId="0" fontId="16" fillId="0" borderId="0" xfId="0" applyFont="1" applyAlignment="1">
      <alignment horizontal="left"/>
    </xf>
    <xf numFmtId="164" fontId="18" fillId="0" borderId="1" xfId="1" applyFont="1" applyBorder="1" applyAlignment="1">
      <alignment horizontal="left" vertical="center" wrapText="1"/>
    </xf>
    <xf numFmtId="167" fontId="19" fillId="0" borderId="1" xfId="1" applyNumberFormat="1" applyFont="1" applyBorder="1" applyAlignment="1">
      <alignment horizontal="center" vertical="center"/>
    </xf>
    <xf numFmtId="37" fontId="19" fillId="0" borderId="1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center"/>
    </xf>
    <xf numFmtId="174" fontId="20" fillId="0" borderId="0" xfId="0" applyNumberFormat="1" applyFont="1"/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4" fontId="20" fillId="0" borderId="1" xfId="2" applyNumberFormat="1" applyFont="1" applyBorder="1" applyAlignment="1">
      <alignment horizontal="center" vertical="center"/>
    </xf>
    <xf numFmtId="175" fontId="20" fillId="0" borderId="1" xfId="0" quotePrefix="1" applyNumberFormat="1" applyFont="1" applyBorder="1" applyAlignment="1">
      <alignment horizontal="center" vertical="center"/>
    </xf>
    <xf numFmtId="37" fontId="20" fillId="0" borderId="0" xfId="0" applyNumberFormat="1" applyFont="1" applyAlignment="1">
      <alignment vertical="center"/>
    </xf>
    <xf numFmtId="17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43" fontId="20" fillId="0" borderId="1" xfId="2" applyFont="1" applyBorder="1" applyAlignment="1">
      <alignment horizontal="left" vertical="center"/>
    </xf>
    <xf numFmtId="3" fontId="20" fillId="0" borderId="1" xfId="2" applyNumberFormat="1" applyFont="1" applyBorder="1" applyAlignment="1">
      <alignment horizontal="center" vertical="center"/>
    </xf>
    <xf numFmtId="174" fontId="20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4" fontId="24" fillId="0" borderId="0" xfId="0" applyNumberFormat="1" applyFont="1" applyAlignment="1">
      <alignment vertical="center"/>
    </xf>
    <xf numFmtId="176" fontId="20" fillId="0" borderId="0" xfId="0" applyNumberFormat="1" applyFont="1" applyAlignment="1">
      <alignment vertical="center"/>
    </xf>
    <xf numFmtId="3" fontId="20" fillId="0" borderId="1" xfId="3" applyNumberFormat="1" applyFont="1" applyBorder="1" applyAlignment="1">
      <alignment horizontal="center" vertical="center"/>
    </xf>
    <xf numFmtId="4" fontId="20" fillId="0" borderId="1" xfId="3" applyNumberFormat="1" applyFont="1" applyBorder="1" applyAlignment="1">
      <alignment horizontal="center" vertical="center"/>
    </xf>
    <xf numFmtId="3" fontId="20" fillId="5" borderId="1" xfId="3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4" fontId="24" fillId="0" borderId="1" xfId="2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vertical="center"/>
    </xf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3" fontId="20" fillId="3" borderId="1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4" fontId="20" fillId="0" borderId="0" xfId="0" applyNumberFormat="1" applyFont="1" applyAlignment="1">
      <alignment horizontal="left"/>
    </xf>
    <xf numFmtId="0" fontId="20" fillId="0" borderId="45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177" fontId="20" fillId="0" borderId="1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4" fontId="20" fillId="0" borderId="0" xfId="0" applyNumberFormat="1" applyFont="1" applyAlignment="1">
      <alignment horizontal="left"/>
    </xf>
    <xf numFmtId="0" fontId="25" fillId="0" borderId="1" xfId="0" applyFont="1" applyBorder="1" applyAlignment="1">
      <alignment horizontal="center" vertical="center" wrapText="1"/>
    </xf>
    <xf numFmtId="174" fontId="20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3" fontId="20" fillId="0" borderId="1" xfId="3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177" fontId="20" fillId="0" borderId="0" xfId="0" applyNumberFormat="1" applyFont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73" fontId="20" fillId="0" borderId="1" xfId="0" applyNumberFormat="1" applyFont="1" applyBorder="1" applyAlignment="1">
      <alignment horizontal="center" vertical="center"/>
    </xf>
    <xf numFmtId="4" fontId="20" fillId="0" borderId="1" xfId="2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174" fontId="20" fillId="0" borderId="1" xfId="2" applyNumberFormat="1" applyFont="1" applyBorder="1" applyAlignment="1">
      <alignment horizontal="center" vertical="center"/>
    </xf>
    <xf numFmtId="43" fontId="20" fillId="0" borderId="1" xfId="2" applyFont="1" applyBorder="1" applyAlignment="1">
      <alignment horizontal="center" vertical="center"/>
    </xf>
    <xf numFmtId="173" fontId="20" fillId="0" borderId="1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164" fontId="5" fillId="2" borderId="38" xfId="1" applyFont="1" applyFill="1" applyBorder="1" applyAlignment="1">
      <alignment horizontal="center" vertical="center"/>
    </xf>
    <xf numFmtId="164" fontId="5" fillId="2" borderId="40" xfId="1" applyFont="1" applyFill="1" applyBorder="1" applyAlignment="1">
      <alignment horizontal="center" vertical="center"/>
    </xf>
    <xf numFmtId="164" fontId="5" fillId="2" borderId="41" xfId="1" applyFont="1" applyFill="1" applyBorder="1" applyAlignment="1">
      <alignment horizontal="center" vertical="center"/>
    </xf>
    <xf numFmtId="164" fontId="5" fillId="2" borderId="43" xfId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3" fillId="0" borderId="36" xfId="1" applyFont="1" applyBorder="1" applyAlignment="1">
      <alignment horizontal="center" vertical="center"/>
    </xf>
    <xf numFmtId="164" fontId="3" fillId="0" borderId="44" xfId="1" applyFont="1" applyBorder="1" applyAlignment="1">
      <alignment horizontal="center" vertical="center"/>
    </xf>
    <xf numFmtId="164" fontId="3" fillId="0" borderId="37" xfId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70" fontId="12" fillId="2" borderId="1" xfId="1" applyNumberFormat="1" applyFont="1" applyFill="1" applyBorder="1" applyAlignment="1">
      <alignment horizontal="center" vertical="center"/>
    </xf>
    <xf numFmtId="169" fontId="3" fillId="2" borderId="1" xfId="1" applyNumberFormat="1" applyFont="1" applyFill="1" applyBorder="1" applyAlignment="1">
      <alignment horizontal="left" vertical="center"/>
    </xf>
    <xf numFmtId="164" fontId="3" fillId="2" borderId="2" xfId="1" applyFont="1" applyFill="1" applyBorder="1" applyAlignment="1">
      <alignment horizontal="left" vertical="center"/>
    </xf>
    <xf numFmtId="164" fontId="3" fillId="2" borderId="3" xfId="1" applyFont="1" applyFill="1" applyBorder="1" applyAlignment="1">
      <alignment horizontal="left" vertical="center"/>
    </xf>
    <xf numFmtId="164" fontId="3" fillId="2" borderId="4" xfId="1" applyFont="1" applyFill="1" applyBorder="1" applyAlignment="1">
      <alignment horizontal="left" vertical="center"/>
    </xf>
    <xf numFmtId="37" fontId="12" fillId="2" borderId="1" xfId="1" applyNumberFormat="1" applyFont="1" applyFill="1" applyBorder="1" applyAlignment="1">
      <alignment horizontal="center" vertical="center"/>
    </xf>
    <xf numFmtId="39" fontId="12" fillId="2" borderId="1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174" fontId="20" fillId="0" borderId="0" xfId="0" applyNumberFormat="1" applyFont="1" applyAlignment="1">
      <alignment horizontal="left"/>
    </xf>
  </cellXfs>
  <cellStyles count="9">
    <cellStyle name="Comma" xfId="2" builtinId="3"/>
    <cellStyle name="Comma 2" xfId="1"/>
    <cellStyle name="Comma 2 2" xfId="3"/>
    <cellStyle name="Comma 2 2 2" xfId="5"/>
    <cellStyle name="Comma 2 2 3" xfId="7"/>
    <cellStyle name="Comma 3" xfId="4"/>
    <cellStyle name="Comma 3 2" xfId="8"/>
    <cellStyle name="Comma 4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0</xdr:row>
      <xdr:rowOff>0</xdr:rowOff>
    </xdr:from>
    <xdr:to>
      <xdr:col>11</xdr:col>
      <xdr:colOff>2068286</xdr:colOff>
      <xdr:row>6</xdr:row>
      <xdr:rowOff>63501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95" y="0"/>
          <a:ext cx="13495812" cy="1478644"/>
        </a:xfrm>
        <a:prstGeom prst="rect">
          <a:avLst/>
        </a:prstGeom>
      </xdr:spPr>
    </xdr:pic>
    <xdr:clientData/>
  </xdr:twoCellAnchor>
  <xdr:twoCellAnchor editAs="oneCell">
    <xdr:from>
      <xdr:col>0</xdr:col>
      <xdr:colOff>122465</xdr:colOff>
      <xdr:row>38</xdr:row>
      <xdr:rowOff>204108</xdr:rowOff>
    </xdr:from>
    <xdr:to>
      <xdr:col>12</xdr:col>
      <xdr:colOff>0</xdr:colOff>
      <xdr:row>46</xdr:row>
      <xdr:rowOff>69687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5" y="9633858"/>
          <a:ext cx="13457463" cy="152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63294</xdr:rowOff>
    </xdr:from>
    <xdr:to>
      <xdr:col>11</xdr:col>
      <xdr:colOff>1905620</xdr:colOff>
      <xdr:row>90</xdr:row>
      <xdr:rowOff>126795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91080"/>
          <a:ext cx="13376441" cy="14786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111125</xdr:rowOff>
    </xdr:from>
    <xdr:to>
      <xdr:col>12</xdr:col>
      <xdr:colOff>0</xdr:colOff>
      <xdr:row>129</xdr:row>
      <xdr:rowOff>142876</xdr:rowOff>
    </xdr:to>
    <xdr:pic>
      <xdr:nvPicPr>
        <xdr:cNvPr id="26" name="Picture 2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63268"/>
          <a:ext cx="13579929" cy="1365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12</xdr:col>
      <xdr:colOff>0</xdr:colOff>
      <xdr:row>168</xdr:row>
      <xdr:rowOff>174628</xdr:rowOff>
    </xdr:to>
    <xdr:pic>
      <xdr:nvPicPr>
        <xdr:cNvPr id="28" name="Picture 27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85357"/>
          <a:ext cx="13579929" cy="1358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96630</xdr:rowOff>
    </xdr:from>
    <xdr:to>
      <xdr:col>14</xdr:col>
      <xdr:colOff>13607</xdr:colOff>
      <xdr:row>208</xdr:row>
      <xdr:rowOff>174625</xdr:rowOff>
    </xdr:to>
    <xdr:pic>
      <xdr:nvPicPr>
        <xdr:cNvPr id="29" name="Picture 28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60773"/>
          <a:ext cx="13593536" cy="12618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11</xdr:col>
      <xdr:colOff>2095500</xdr:colOff>
      <xdr:row>250</xdr:row>
      <xdr:rowOff>174627</xdr:rowOff>
    </xdr:to>
    <xdr:pic>
      <xdr:nvPicPr>
        <xdr:cNvPr id="30" name="Picture 29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73607"/>
          <a:ext cx="13566321" cy="1358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12</xdr:col>
      <xdr:colOff>0</xdr:colOff>
      <xdr:row>290</xdr:row>
      <xdr:rowOff>174628</xdr:rowOff>
    </xdr:to>
    <xdr:pic>
      <xdr:nvPicPr>
        <xdr:cNvPr id="32" name="Picture 3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974857"/>
          <a:ext cx="13579929" cy="1358449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325</xdr:row>
      <xdr:rowOff>28864</xdr:rowOff>
    </xdr:from>
    <xdr:to>
      <xdr:col>11</xdr:col>
      <xdr:colOff>2095501</xdr:colOff>
      <xdr:row>331</xdr:row>
      <xdr:rowOff>44740</xdr:rowOff>
    </xdr:to>
    <xdr:pic>
      <xdr:nvPicPr>
        <xdr:cNvPr id="33" name="Picture 3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81277114"/>
          <a:ext cx="13407572" cy="1349376"/>
        </a:xfrm>
        <a:prstGeom prst="rect">
          <a:avLst/>
        </a:prstGeom>
      </xdr:spPr>
    </xdr:pic>
    <xdr:clientData/>
  </xdr:twoCellAnchor>
  <xdr:twoCellAnchor editAs="oneCell">
    <xdr:from>
      <xdr:col>0</xdr:col>
      <xdr:colOff>57728</xdr:colOff>
      <xdr:row>365</xdr:row>
      <xdr:rowOff>28863</xdr:rowOff>
    </xdr:from>
    <xdr:to>
      <xdr:col>11</xdr:col>
      <xdr:colOff>2095501</xdr:colOff>
      <xdr:row>371</xdr:row>
      <xdr:rowOff>28865</xdr:rowOff>
    </xdr:to>
    <xdr:pic>
      <xdr:nvPicPr>
        <xdr:cNvPr id="37" name="Picture 3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8" y="91142292"/>
          <a:ext cx="13508594" cy="1360716"/>
        </a:xfrm>
        <a:prstGeom prst="rect">
          <a:avLst/>
        </a:prstGeom>
      </xdr:spPr>
    </xdr:pic>
    <xdr:clientData/>
  </xdr:twoCellAnchor>
  <xdr:twoCellAnchor editAs="oneCell">
    <xdr:from>
      <xdr:col>0</xdr:col>
      <xdr:colOff>27807</xdr:colOff>
      <xdr:row>404</xdr:row>
      <xdr:rowOff>108857</xdr:rowOff>
    </xdr:from>
    <xdr:to>
      <xdr:col>11</xdr:col>
      <xdr:colOff>1986644</xdr:colOff>
      <xdr:row>410</xdr:row>
      <xdr:rowOff>54428</xdr:rowOff>
    </xdr:to>
    <xdr:pic>
      <xdr:nvPicPr>
        <xdr:cNvPr id="38" name="Picture 37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07" y="100856143"/>
          <a:ext cx="13429658" cy="1360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217715</xdr:rowOff>
    </xdr:from>
    <xdr:to>
      <xdr:col>11</xdr:col>
      <xdr:colOff>2000250</xdr:colOff>
      <xdr:row>450</xdr:row>
      <xdr:rowOff>96827</xdr:rowOff>
    </xdr:to>
    <xdr:pic>
      <xdr:nvPicPr>
        <xdr:cNvPr id="39" name="Picture 38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925429"/>
          <a:ext cx="13471071" cy="129425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485</xdr:row>
      <xdr:rowOff>0</xdr:rowOff>
    </xdr:from>
    <xdr:ext cx="13566321" cy="1311413"/>
    <xdr:pic>
      <xdr:nvPicPr>
        <xdr:cNvPr id="17" name="Picture 1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913071"/>
          <a:ext cx="13566321" cy="131141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179457</xdr:rowOff>
    </xdr:from>
    <xdr:ext cx="13620750" cy="1311413"/>
    <xdr:pic>
      <xdr:nvPicPr>
        <xdr:cNvPr id="19" name="Picture 18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134600"/>
          <a:ext cx="13620750" cy="13114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I50"/>
  <sheetViews>
    <sheetView topLeftCell="A19" zoomScale="89" zoomScaleNormal="89" workbookViewId="0">
      <selection activeCell="A16" sqref="A16:AH20"/>
    </sheetView>
  </sheetViews>
  <sheetFormatPr defaultRowHeight="15.75" x14ac:dyDescent="0.25"/>
  <cols>
    <col min="1" max="1" width="14" style="1" customWidth="1"/>
    <col min="2" max="2" width="37.140625" style="1" customWidth="1"/>
    <col min="3" max="3" width="12.140625" style="1" customWidth="1"/>
    <col min="4" max="4" width="12.7109375" style="1" bestFit="1" customWidth="1"/>
    <col min="5" max="5" width="4.42578125" style="1" hidden="1" customWidth="1"/>
    <col min="6" max="6" width="4.7109375" style="1" hidden="1" customWidth="1"/>
    <col min="7" max="7" width="9.5703125" style="1" customWidth="1"/>
    <col min="8" max="8" width="10.28515625" style="1" bestFit="1" customWidth="1"/>
    <col min="9" max="9" width="7.42578125" style="1" hidden="1" customWidth="1"/>
    <col min="10" max="10" width="10" style="1" hidden="1" customWidth="1"/>
    <col min="11" max="11" width="14" style="1" customWidth="1"/>
    <col min="12" max="12" width="14.7109375" style="1" customWidth="1"/>
    <col min="13" max="13" width="8.7109375" style="1" customWidth="1"/>
    <col min="14" max="14" width="0.85546875" style="1" hidden="1" customWidth="1"/>
    <col min="15" max="15" width="14.85546875" style="1" customWidth="1"/>
    <col min="16" max="16" width="7" style="1" customWidth="1"/>
    <col min="17" max="17" width="14.7109375" style="1" customWidth="1"/>
    <col min="18" max="18" width="12.5703125" style="1" customWidth="1"/>
    <col min="19" max="20" width="8.5703125" style="1" customWidth="1"/>
    <col min="21" max="21" width="12.7109375" style="1" bestFit="1" customWidth="1"/>
    <col min="22" max="22" width="11" style="1" customWidth="1"/>
    <col min="23" max="23" width="8.42578125" style="1" customWidth="1"/>
    <col min="24" max="24" width="13" style="1" customWidth="1"/>
    <col min="25" max="25" width="12.7109375" style="1" bestFit="1" customWidth="1"/>
    <col min="26" max="26" width="12.7109375" style="1" customWidth="1"/>
    <col min="27" max="28" width="12.7109375" style="1" bestFit="1" customWidth="1"/>
    <col min="29" max="29" width="12.7109375" style="1" customWidth="1"/>
    <col min="30" max="30" width="5.7109375" style="1" customWidth="1"/>
    <col min="31" max="31" width="12.85546875" style="1" bestFit="1" customWidth="1"/>
    <col min="32" max="32" width="11" style="1" bestFit="1" customWidth="1"/>
    <col min="33" max="33" width="10.85546875" style="1" customWidth="1"/>
    <col min="34" max="34" width="8.7109375" style="1" bestFit="1" customWidth="1"/>
    <col min="35" max="16384" width="9.140625" style="1"/>
  </cols>
  <sheetData>
    <row r="2" spans="1:34" ht="22.5" x14ac:dyDescent="0.3">
      <c r="A2" s="130" t="s">
        <v>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</row>
    <row r="3" spans="1:34" ht="22.5" x14ac:dyDescent="0.3">
      <c r="A3" s="130" t="s">
        <v>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</row>
    <row r="4" spans="1:34" ht="11.25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pans="1:34" ht="22.5" x14ac:dyDescent="0.3">
      <c r="A5" s="130" t="s">
        <v>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</row>
    <row r="6" spans="1:34" ht="22.5" x14ac:dyDescent="0.3">
      <c r="A6" s="131" t="s">
        <v>55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</row>
    <row r="7" spans="1:3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6.5" thickBot="1" x14ac:dyDescent="0.3"/>
    <row r="9" spans="1:34" s="5" customFormat="1" ht="18" customHeight="1" x14ac:dyDescent="0.2">
      <c r="A9" s="132" t="s">
        <v>3</v>
      </c>
      <c r="B9" s="133"/>
      <c r="C9" s="136" t="s">
        <v>39</v>
      </c>
      <c r="D9" s="137"/>
      <c r="E9" s="137"/>
      <c r="F9" s="137"/>
      <c r="G9" s="137"/>
      <c r="H9" s="138"/>
      <c r="I9" s="4"/>
      <c r="J9" s="4"/>
      <c r="K9" s="142" t="s">
        <v>5</v>
      </c>
      <c r="L9" s="143"/>
      <c r="M9" s="143"/>
      <c r="N9" s="144"/>
      <c r="O9" s="142" t="s">
        <v>4</v>
      </c>
      <c r="P9" s="143"/>
      <c r="Q9" s="143"/>
      <c r="R9" s="144"/>
      <c r="S9" s="148" t="s">
        <v>5</v>
      </c>
      <c r="T9" s="142" t="s">
        <v>39</v>
      </c>
      <c r="U9" s="143"/>
      <c r="V9" s="143"/>
      <c r="W9" s="144"/>
      <c r="X9" s="142" t="s">
        <v>5</v>
      </c>
      <c r="Y9" s="143"/>
      <c r="Z9" s="143"/>
      <c r="AA9" s="143"/>
      <c r="AB9" s="144"/>
      <c r="AC9" s="136" t="s">
        <v>39</v>
      </c>
      <c r="AD9" s="138"/>
      <c r="AE9" s="43" t="s">
        <v>5</v>
      </c>
      <c r="AF9" s="136" t="s">
        <v>39</v>
      </c>
      <c r="AG9" s="150"/>
      <c r="AH9" s="138"/>
    </row>
    <row r="10" spans="1:34" s="5" customFormat="1" ht="18" customHeight="1" thickBot="1" x14ac:dyDescent="0.25">
      <c r="A10" s="134"/>
      <c r="B10" s="135"/>
      <c r="C10" s="139"/>
      <c r="D10" s="140"/>
      <c r="E10" s="140"/>
      <c r="F10" s="140"/>
      <c r="G10" s="140"/>
      <c r="H10" s="141"/>
      <c r="I10" s="16"/>
      <c r="J10" s="16"/>
      <c r="K10" s="145"/>
      <c r="L10" s="146"/>
      <c r="M10" s="146"/>
      <c r="N10" s="147"/>
      <c r="O10" s="152" t="s">
        <v>5</v>
      </c>
      <c r="P10" s="151"/>
      <c r="Q10" s="151"/>
      <c r="R10" s="153"/>
      <c r="S10" s="149"/>
      <c r="T10" s="145"/>
      <c r="U10" s="146"/>
      <c r="V10" s="146"/>
      <c r="W10" s="147"/>
      <c r="X10" s="145"/>
      <c r="Y10" s="146"/>
      <c r="Z10" s="146"/>
      <c r="AA10" s="146"/>
      <c r="AB10" s="147"/>
      <c r="AC10" s="139"/>
      <c r="AD10" s="141"/>
      <c r="AE10" s="44" t="s">
        <v>39</v>
      </c>
      <c r="AF10" s="139"/>
      <c r="AG10" s="151"/>
      <c r="AH10" s="141"/>
    </row>
    <row r="11" spans="1:34" s="5" customFormat="1" ht="24" customHeight="1" thickBot="1" x14ac:dyDescent="0.25">
      <c r="A11" s="164" t="s">
        <v>2</v>
      </c>
      <c r="B11" s="164" t="s">
        <v>6</v>
      </c>
      <c r="C11" s="155" t="s">
        <v>54</v>
      </c>
      <c r="D11" s="156"/>
      <c r="E11" s="167" t="s">
        <v>7</v>
      </c>
      <c r="F11" s="168"/>
      <c r="G11" s="155" t="s">
        <v>54</v>
      </c>
      <c r="H11" s="156"/>
      <c r="I11" s="167" t="s">
        <v>7</v>
      </c>
      <c r="J11" s="168"/>
      <c r="K11" s="155" t="s">
        <v>54</v>
      </c>
      <c r="L11" s="156"/>
      <c r="M11" s="20" t="s">
        <v>8</v>
      </c>
      <c r="N11" s="21" t="s">
        <v>8</v>
      </c>
      <c r="O11" s="22" t="s">
        <v>9</v>
      </c>
      <c r="P11" s="22" t="s">
        <v>10</v>
      </c>
      <c r="Q11" s="20" t="s">
        <v>10</v>
      </c>
      <c r="R11" s="21" t="s">
        <v>11</v>
      </c>
      <c r="S11" s="20" t="s">
        <v>36</v>
      </c>
      <c r="T11" s="26" t="s">
        <v>41</v>
      </c>
      <c r="U11" s="157" t="s">
        <v>33</v>
      </c>
      <c r="V11" s="158"/>
      <c r="W11" s="27" t="s">
        <v>41</v>
      </c>
      <c r="X11" s="159" t="s">
        <v>40</v>
      </c>
      <c r="Y11" s="158"/>
      <c r="Z11" s="159" t="s">
        <v>12</v>
      </c>
      <c r="AA11" s="158"/>
      <c r="AB11" s="27" t="s">
        <v>13</v>
      </c>
      <c r="AC11" s="72" t="s">
        <v>13</v>
      </c>
      <c r="AD11" s="39" t="s">
        <v>13</v>
      </c>
      <c r="AE11" s="72" t="s">
        <v>13</v>
      </c>
      <c r="AF11" s="27" t="s">
        <v>13</v>
      </c>
      <c r="AG11" s="73" t="s">
        <v>46</v>
      </c>
      <c r="AH11" s="73" t="s">
        <v>14</v>
      </c>
    </row>
    <row r="12" spans="1:34" s="5" customFormat="1" ht="19.5" customHeight="1" x14ac:dyDescent="0.2">
      <c r="A12" s="165"/>
      <c r="B12" s="165"/>
      <c r="C12" s="160">
        <v>208</v>
      </c>
      <c r="D12" s="161"/>
      <c r="E12" s="162">
        <v>200</v>
      </c>
      <c r="F12" s="163"/>
      <c r="G12" s="160">
        <v>132</v>
      </c>
      <c r="H12" s="161"/>
      <c r="I12" s="162">
        <v>150</v>
      </c>
      <c r="J12" s="163"/>
      <c r="K12" s="160">
        <v>215</v>
      </c>
      <c r="L12" s="161"/>
      <c r="M12" s="23" t="s">
        <v>15</v>
      </c>
      <c r="N12" s="24" t="s">
        <v>16</v>
      </c>
      <c r="O12" s="25"/>
      <c r="P12" s="25" t="s">
        <v>31</v>
      </c>
      <c r="Q12" s="23"/>
      <c r="R12" s="24"/>
      <c r="S12" s="19" t="s">
        <v>35</v>
      </c>
      <c r="T12" s="28">
        <v>2.4</v>
      </c>
      <c r="U12" s="29">
        <v>2.4</v>
      </c>
      <c r="V12" s="20">
        <v>3.6</v>
      </c>
      <c r="W12" s="20">
        <v>3.6</v>
      </c>
      <c r="X12" s="20">
        <v>3.6</v>
      </c>
      <c r="Y12" s="20">
        <v>2.4</v>
      </c>
      <c r="Z12" s="20">
        <v>12</v>
      </c>
      <c r="AA12" s="20">
        <v>18</v>
      </c>
      <c r="AB12" s="20">
        <v>5</v>
      </c>
      <c r="AC12" s="20">
        <v>10</v>
      </c>
      <c r="AD12" s="40">
        <v>11</v>
      </c>
      <c r="AE12" s="20">
        <v>6</v>
      </c>
      <c r="AF12" s="20">
        <v>40</v>
      </c>
      <c r="AG12" s="20"/>
      <c r="AH12" s="20"/>
    </row>
    <row r="13" spans="1:34" s="5" customFormat="1" ht="19.5" customHeight="1" x14ac:dyDescent="0.2">
      <c r="A13" s="165"/>
      <c r="B13" s="165"/>
      <c r="C13" s="160" t="s">
        <v>17</v>
      </c>
      <c r="D13" s="161"/>
      <c r="E13" s="162" t="s">
        <v>18</v>
      </c>
      <c r="F13" s="163"/>
      <c r="G13" s="160" t="s">
        <v>34</v>
      </c>
      <c r="H13" s="161"/>
      <c r="I13" s="162" t="s">
        <v>19</v>
      </c>
      <c r="J13" s="163"/>
      <c r="K13" s="160" t="s">
        <v>19</v>
      </c>
      <c r="L13" s="161"/>
      <c r="M13" s="23" t="s">
        <v>20</v>
      </c>
      <c r="N13" s="24"/>
      <c r="O13" s="23"/>
      <c r="P13" s="23"/>
      <c r="Q13" s="23"/>
      <c r="R13" s="24"/>
      <c r="S13" s="23"/>
      <c r="T13" s="28"/>
      <c r="U13" s="30"/>
      <c r="V13" s="23"/>
      <c r="W13" s="23"/>
      <c r="X13" s="23"/>
      <c r="Y13" s="23"/>
      <c r="Z13" s="23"/>
      <c r="AA13" s="23"/>
      <c r="AB13" s="23"/>
      <c r="AC13" s="23"/>
      <c r="AD13" s="41"/>
      <c r="AE13" s="23"/>
      <c r="AF13" s="23"/>
      <c r="AG13" s="23"/>
      <c r="AH13" s="23"/>
    </row>
    <row r="14" spans="1:34" s="5" customFormat="1" ht="21.75" customHeight="1" thickBot="1" x14ac:dyDescent="0.25">
      <c r="A14" s="166"/>
      <c r="B14" s="166"/>
      <c r="C14" s="31" t="s">
        <v>21</v>
      </c>
      <c r="D14" s="32" t="s">
        <v>22</v>
      </c>
      <c r="E14" s="33" t="s">
        <v>21</v>
      </c>
      <c r="F14" s="34" t="s">
        <v>22</v>
      </c>
      <c r="G14" s="31" t="s">
        <v>21</v>
      </c>
      <c r="H14" s="32" t="s">
        <v>22</v>
      </c>
      <c r="I14" s="33" t="s">
        <v>21</v>
      </c>
      <c r="J14" s="34" t="s">
        <v>22</v>
      </c>
      <c r="K14" s="31" t="s">
        <v>21</v>
      </c>
      <c r="L14" s="32" t="s">
        <v>22</v>
      </c>
      <c r="M14" s="35" t="s">
        <v>21</v>
      </c>
      <c r="N14" s="36" t="s">
        <v>21</v>
      </c>
      <c r="O14" s="35" t="s">
        <v>22</v>
      </c>
      <c r="P14" s="35" t="s">
        <v>23</v>
      </c>
      <c r="Q14" s="35" t="s">
        <v>23</v>
      </c>
      <c r="R14" s="36" t="s">
        <v>21</v>
      </c>
      <c r="S14" s="35"/>
      <c r="T14" s="37" t="s">
        <v>21</v>
      </c>
      <c r="U14" s="38" t="s">
        <v>21</v>
      </c>
      <c r="V14" s="35"/>
      <c r="W14" s="35" t="s">
        <v>21</v>
      </c>
      <c r="X14" s="35" t="s">
        <v>21</v>
      </c>
      <c r="Y14" s="35" t="s">
        <v>21</v>
      </c>
      <c r="Z14" s="35" t="s">
        <v>21</v>
      </c>
      <c r="AA14" s="35" t="s">
        <v>21</v>
      </c>
      <c r="AB14" s="35" t="s">
        <v>23</v>
      </c>
      <c r="AC14" s="35" t="s">
        <v>23</v>
      </c>
      <c r="AD14" s="42" t="s">
        <v>23</v>
      </c>
      <c r="AE14" s="35" t="s">
        <v>23</v>
      </c>
      <c r="AF14" s="35" t="s">
        <v>23</v>
      </c>
      <c r="AG14" s="35" t="s">
        <v>23</v>
      </c>
      <c r="AH14" s="35" t="s">
        <v>21</v>
      </c>
    </row>
    <row r="15" spans="1:34" ht="72.75" customHeight="1" x14ac:dyDescent="0.25">
      <c r="A15" s="48">
        <v>43134</v>
      </c>
      <c r="B15" s="46" t="s">
        <v>43</v>
      </c>
      <c r="C15" s="49" t="e">
        <f>#REF!</f>
        <v>#REF!</v>
      </c>
      <c r="D15" s="60" t="e">
        <f>#REF!</f>
        <v>#REF!</v>
      </c>
      <c r="E15" s="60" t="e">
        <f>#REF!</f>
        <v>#REF!</v>
      </c>
      <c r="F15" s="60" t="e">
        <f>#REF!</f>
        <v>#REF!</v>
      </c>
      <c r="G15" s="60" t="e">
        <f>#REF!</f>
        <v>#REF!</v>
      </c>
      <c r="H15" s="60" t="e">
        <f>#REF!</f>
        <v>#REF!</v>
      </c>
      <c r="I15" s="60" t="e">
        <f>#REF!</f>
        <v>#REF!</v>
      </c>
      <c r="J15" s="60" t="e">
        <f>#REF!</f>
        <v>#REF!</v>
      </c>
      <c r="K15" s="60" t="e">
        <f>#REF!</f>
        <v>#REF!</v>
      </c>
      <c r="L15" s="60" t="e">
        <f>#REF!</f>
        <v>#REF!</v>
      </c>
      <c r="M15" s="60" t="e">
        <f>#REF!</f>
        <v>#REF!</v>
      </c>
      <c r="N15" s="60" t="e">
        <f>#REF!</f>
        <v>#REF!</v>
      </c>
      <c r="O15" s="60" t="e">
        <f>#REF!</f>
        <v>#REF!</v>
      </c>
      <c r="P15" s="60" t="e">
        <f>#REF!</f>
        <v>#REF!</v>
      </c>
      <c r="Q15" s="60" t="e">
        <f>#REF!</f>
        <v>#REF!</v>
      </c>
      <c r="R15" s="60" t="e">
        <f>#REF!</f>
        <v>#REF!</v>
      </c>
      <c r="S15" s="60" t="e">
        <f>#REF!</f>
        <v>#REF!</v>
      </c>
      <c r="T15" s="60" t="e">
        <f>#REF!</f>
        <v>#REF!</v>
      </c>
      <c r="U15" s="60" t="e">
        <f>#REF!</f>
        <v>#REF!</v>
      </c>
      <c r="V15" s="60" t="e">
        <f>#REF!</f>
        <v>#REF!</v>
      </c>
      <c r="W15" s="60" t="e">
        <f>#REF!</f>
        <v>#REF!</v>
      </c>
      <c r="X15" s="60" t="e">
        <f>#REF!</f>
        <v>#REF!</v>
      </c>
      <c r="Y15" s="60" t="e">
        <f>#REF!</f>
        <v>#REF!</v>
      </c>
      <c r="Z15" s="60" t="e">
        <f>#REF!</f>
        <v>#REF!</v>
      </c>
      <c r="AA15" s="60" t="e">
        <f>#REF!</f>
        <v>#REF!</v>
      </c>
      <c r="AB15" s="60" t="e">
        <f>#REF!</f>
        <v>#REF!</v>
      </c>
      <c r="AC15" s="60" t="e">
        <f>#REF!</f>
        <v>#REF!</v>
      </c>
      <c r="AD15" s="60" t="e">
        <f>#REF!</f>
        <v>#REF!</v>
      </c>
      <c r="AE15" s="60" t="e">
        <f>#REF!</f>
        <v>#REF!</v>
      </c>
      <c r="AF15" s="60" t="e">
        <f>#REF!</f>
        <v>#REF!</v>
      </c>
      <c r="AG15" s="60" t="e">
        <f>#REF!</f>
        <v>#REF!</v>
      </c>
      <c r="AH15" s="60" t="e">
        <f>#REF!</f>
        <v>#REF!</v>
      </c>
    </row>
    <row r="16" spans="1:34" s="8" customFormat="1" ht="45" customHeight="1" x14ac:dyDescent="0.25">
      <c r="A16" s="154"/>
      <c r="B16" s="69" t="s">
        <v>25</v>
      </c>
      <c r="C16" s="70"/>
      <c r="D16" s="71"/>
      <c r="E16" s="70"/>
      <c r="F16" s="70"/>
      <c r="G16" s="70"/>
      <c r="H16" s="71"/>
      <c r="I16" s="70"/>
      <c r="J16" s="70"/>
      <c r="K16" s="70"/>
      <c r="L16" s="71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</row>
    <row r="17" spans="1:35" s="6" customFormat="1" ht="45" customHeight="1" x14ac:dyDescent="0.25">
      <c r="A17" s="154"/>
      <c r="B17" s="17" t="s">
        <v>26</v>
      </c>
      <c r="C17" s="53"/>
      <c r="D17" s="54"/>
      <c r="E17" s="53"/>
      <c r="F17" s="53"/>
      <c r="G17" s="53"/>
      <c r="H17" s="61"/>
      <c r="I17" s="53"/>
      <c r="J17" s="53"/>
      <c r="K17" s="53"/>
      <c r="L17" s="54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</row>
    <row r="18" spans="1:35" ht="45" customHeight="1" x14ac:dyDescent="0.25">
      <c r="A18" s="154"/>
      <c r="B18" s="18" t="s">
        <v>44</v>
      </c>
      <c r="C18" s="55" t="e">
        <f>C15+C16</f>
        <v>#REF!</v>
      </c>
      <c r="D18" s="56" t="e">
        <f t="shared" ref="D18:AH18" si="0">D15+D16</f>
        <v>#REF!</v>
      </c>
      <c r="E18" s="55" t="e">
        <f t="shared" si="0"/>
        <v>#REF!</v>
      </c>
      <c r="F18" s="55" t="e">
        <f t="shared" si="0"/>
        <v>#REF!</v>
      </c>
      <c r="G18" s="55" t="e">
        <f t="shared" si="0"/>
        <v>#REF!</v>
      </c>
      <c r="H18" s="50" t="e">
        <f t="shared" si="0"/>
        <v>#REF!</v>
      </c>
      <c r="I18" s="55" t="e">
        <f t="shared" si="0"/>
        <v>#REF!</v>
      </c>
      <c r="J18" s="55" t="e">
        <f t="shared" si="0"/>
        <v>#REF!</v>
      </c>
      <c r="K18" s="55" t="e">
        <f t="shared" si="0"/>
        <v>#REF!</v>
      </c>
      <c r="L18" s="50" t="e">
        <f t="shared" si="0"/>
        <v>#REF!</v>
      </c>
      <c r="M18" s="55" t="e">
        <f t="shared" si="0"/>
        <v>#REF!</v>
      </c>
      <c r="N18" s="55" t="e">
        <f t="shared" si="0"/>
        <v>#REF!</v>
      </c>
      <c r="O18" s="50" t="e">
        <f t="shared" si="0"/>
        <v>#REF!</v>
      </c>
      <c r="P18" s="55" t="e">
        <f t="shared" si="0"/>
        <v>#REF!</v>
      </c>
      <c r="Q18" s="50" t="e">
        <f t="shared" si="0"/>
        <v>#REF!</v>
      </c>
      <c r="R18" s="55" t="e">
        <f t="shared" si="0"/>
        <v>#REF!</v>
      </c>
      <c r="S18" s="55" t="e">
        <f t="shared" si="0"/>
        <v>#REF!</v>
      </c>
      <c r="T18" s="55" t="e">
        <f t="shared" si="0"/>
        <v>#REF!</v>
      </c>
      <c r="U18" s="55" t="e">
        <f t="shared" si="0"/>
        <v>#REF!</v>
      </c>
      <c r="V18" s="55" t="e">
        <f t="shared" si="0"/>
        <v>#REF!</v>
      </c>
      <c r="W18" s="55" t="e">
        <f t="shared" si="0"/>
        <v>#REF!</v>
      </c>
      <c r="X18" s="56" t="e">
        <f t="shared" si="0"/>
        <v>#REF!</v>
      </c>
      <c r="Y18" s="55" t="e">
        <f t="shared" si="0"/>
        <v>#REF!</v>
      </c>
      <c r="Z18" s="55" t="e">
        <f t="shared" si="0"/>
        <v>#REF!</v>
      </c>
      <c r="AA18" s="55" t="e">
        <f t="shared" si="0"/>
        <v>#REF!</v>
      </c>
      <c r="AB18" s="56" t="e">
        <f t="shared" si="0"/>
        <v>#REF!</v>
      </c>
      <c r="AC18" s="56" t="e">
        <f t="shared" si="0"/>
        <v>#REF!</v>
      </c>
      <c r="AD18" s="55" t="e">
        <f t="shared" si="0"/>
        <v>#REF!</v>
      </c>
      <c r="AE18" s="55" t="e">
        <f t="shared" si="0"/>
        <v>#REF!</v>
      </c>
      <c r="AF18" s="55" t="e">
        <f t="shared" si="0"/>
        <v>#REF!</v>
      </c>
      <c r="AG18" s="56" t="e">
        <f t="shared" si="0"/>
        <v>#REF!</v>
      </c>
      <c r="AH18" s="55" t="e">
        <f t="shared" si="0"/>
        <v>#REF!</v>
      </c>
    </row>
    <row r="19" spans="1:35" ht="51" customHeight="1" x14ac:dyDescent="0.25">
      <c r="A19" s="154"/>
      <c r="B19" s="17" t="s">
        <v>27</v>
      </c>
      <c r="C19" s="51">
        <v>16049</v>
      </c>
      <c r="D19" s="50">
        <f>C19/208*25</f>
        <v>1928.966346153846</v>
      </c>
      <c r="E19" s="51" t="e">
        <f>E18</f>
        <v>#REF!</v>
      </c>
      <c r="F19" s="51" t="e">
        <f>F18</f>
        <v>#REF!</v>
      </c>
      <c r="G19" s="51">
        <v>0</v>
      </c>
      <c r="H19" s="50">
        <f>G19/132*25</f>
        <v>0</v>
      </c>
      <c r="I19" s="51">
        <v>0</v>
      </c>
      <c r="J19" s="51">
        <f>I19/150*20</f>
        <v>0</v>
      </c>
      <c r="K19" s="51">
        <v>18061</v>
      </c>
      <c r="L19" s="50">
        <f>K19/215*25</f>
        <v>2100.1162790697672</v>
      </c>
      <c r="M19" s="51">
        <v>0</v>
      </c>
      <c r="N19" s="51" t="s">
        <v>24</v>
      </c>
      <c r="O19" s="57">
        <v>12281</v>
      </c>
      <c r="P19" s="51"/>
      <c r="Q19" s="52">
        <f>R19*2.43</f>
        <v>5496.6600000000008</v>
      </c>
      <c r="R19" s="51">
        <v>2262</v>
      </c>
      <c r="S19" s="51">
        <v>70</v>
      </c>
      <c r="T19" s="51">
        <v>49</v>
      </c>
      <c r="U19" s="51">
        <v>8673</v>
      </c>
      <c r="V19" s="51">
        <v>18</v>
      </c>
      <c r="W19" s="51"/>
      <c r="X19" s="51">
        <v>4152</v>
      </c>
      <c r="Y19" s="51">
        <v>5113</v>
      </c>
      <c r="Z19" s="51"/>
      <c r="AA19" s="51"/>
      <c r="AB19" s="51">
        <v>4799</v>
      </c>
      <c r="AC19" s="51">
        <v>3806</v>
      </c>
      <c r="AD19" s="51"/>
      <c r="AE19" s="51">
        <v>20</v>
      </c>
      <c r="AF19" s="51"/>
      <c r="AG19" s="51">
        <v>230</v>
      </c>
      <c r="AH19" s="55">
        <v>20</v>
      </c>
    </row>
    <row r="20" spans="1:35" ht="45" customHeight="1" x14ac:dyDescent="0.25">
      <c r="A20" s="170">
        <v>43140</v>
      </c>
      <c r="B20" s="171" t="s">
        <v>45</v>
      </c>
      <c r="C20" s="174" t="e">
        <f>C18-C19</f>
        <v>#REF!</v>
      </c>
      <c r="D20" s="169" t="e">
        <f t="shared" ref="D20:AH20" si="1">D18-D19</f>
        <v>#REF!</v>
      </c>
      <c r="E20" s="169" t="e">
        <f t="shared" si="1"/>
        <v>#REF!</v>
      </c>
      <c r="F20" s="169" t="e">
        <f t="shared" si="1"/>
        <v>#REF!</v>
      </c>
      <c r="G20" s="169" t="e">
        <f t="shared" si="1"/>
        <v>#REF!</v>
      </c>
      <c r="H20" s="175" t="e">
        <f t="shared" si="1"/>
        <v>#REF!</v>
      </c>
      <c r="I20" s="169" t="e">
        <f t="shared" si="1"/>
        <v>#REF!</v>
      </c>
      <c r="J20" s="169" t="e">
        <f t="shared" si="1"/>
        <v>#REF!</v>
      </c>
      <c r="K20" s="169" t="e">
        <f t="shared" si="1"/>
        <v>#REF!</v>
      </c>
      <c r="L20" s="169" t="e">
        <f t="shared" si="1"/>
        <v>#REF!</v>
      </c>
      <c r="M20" s="174" t="e">
        <f t="shared" si="1"/>
        <v>#REF!</v>
      </c>
      <c r="N20" s="169" t="e">
        <f t="shared" si="1"/>
        <v>#REF!</v>
      </c>
      <c r="O20" s="175" t="e">
        <f>O18-O19</f>
        <v>#REF!</v>
      </c>
      <c r="P20" s="174" t="e">
        <f t="shared" si="1"/>
        <v>#REF!</v>
      </c>
      <c r="Q20" s="175" t="e">
        <f t="shared" si="1"/>
        <v>#REF!</v>
      </c>
      <c r="R20" s="174" t="e">
        <f t="shared" si="1"/>
        <v>#REF!</v>
      </c>
      <c r="S20" s="174" t="e">
        <f t="shared" si="1"/>
        <v>#REF!</v>
      </c>
      <c r="T20" s="174" t="e">
        <f t="shared" si="1"/>
        <v>#REF!</v>
      </c>
      <c r="U20" s="174" t="e">
        <f t="shared" si="1"/>
        <v>#REF!</v>
      </c>
      <c r="V20" s="174" t="e">
        <f t="shared" si="1"/>
        <v>#REF!</v>
      </c>
      <c r="W20" s="174" t="e">
        <f t="shared" si="1"/>
        <v>#REF!</v>
      </c>
      <c r="X20" s="174" t="e">
        <f t="shared" si="1"/>
        <v>#REF!</v>
      </c>
      <c r="Y20" s="174" t="e">
        <f t="shared" si="1"/>
        <v>#REF!</v>
      </c>
      <c r="Z20" s="174" t="e">
        <f t="shared" si="1"/>
        <v>#REF!</v>
      </c>
      <c r="AA20" s="174" t="e">
        <f t="shared" si="1"/>
        <v>#REF!</v>
      </c>
      <c r="AB20" s="169" t="e">
        <f t="shared" si="1"/>
        <v>#REF!</v>
      </c>
      <c r="AC20" s="169" t="e">
        <f t="shared" si="1"/>
        <v>#REF!</v>
      </c>
      <c r="AD20" s="174" t="e">
        <f t="shared" si="1"/>
        <v>#REF!</v>
      </c>
      <c r="AE20" s="174" t="e">
        <f t="shared" si="1"/>
        <v>#REF!</v>
      </c>
      <c r="AF20" s="174" t="e">
        <f t="shared" si="1"/>
        <v>#REF!</v>
      </c>
      <c r="AG20" s="169" t="e">
        <f>AG18-AG19</f>
        <v>#REF!</v>
      </c>
      <c r="AH20" s="174" t="e">
        <f t="shared" si="1"/>
        <v>#REF!</v>
      </c>
    </row>
    <row r="21" spans="1:35" ht="26.25" customHeight="1" x14ac:dyDescent="0.25">
      <c r="A21" s="170"/>
      <c r="B21" s="172"/>
      <c r="C21" s="174"/>
      <c r="D21" s="169"/>
      <c r="E21" s="169"/>
      <c r="F21" s="169"/>
      <c r="G21" s="169"/>
      <c r="H21" s="175"/>
      <c r="I21" s="169"/>
      <c r="J21" s="169"/>
      <c r="K21" s="169"/>
      <c r="L21" s="169"/>
      <c r="M21" s="174"/>
      <c r="N21" s="169"/>
      <c r="O21" s="175"/>
      <c r="P21" s="174"/>
      <c r="Q21" s="175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69"/>
      <c r="AC21" s="169"/>
      <c r="AD21" s="174"/>
      <c r="AE21" s="174"/>
      <c r="AF21" s="174"/>
      <c r="AG21" s="169"/>
      <c r="AH21" s="174"/>
    </row>
    <row r="22" spans="1:35" ht="6" customHeight="1" x14ac:dyDescent="0.25">
      <c r="A22" s="170"/>
      <c r="B22" s="173"/>
      <c r="C22" s="174"/>
      <c r="D22" s="169"/>
      <c r="E22" s="169"/>
      <c r="F22" s="169"/>
      <c r="G22" s="169"/>
      <c r="H22" s="175"/>
      <c r="I22" s="169"/>
      <c r="J22" s="169"/>
      <c r="K22" s="169"/>
      <c r="L22" s="169"/>
      <c r="M22" s="174"/>
      <c r="N22" s="169"/>
      <c r="O22" s="175"/>
      <c r="P22" s="174"/>
      <c r="Q22" s="175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69"/>
      <c r="AC22" s="169"/>
      <c r="AD22" s="174"/>
      <c r="AE22" s="174"/>
      <c r="AF22" s="174"/>
      <c r="AG22" s="169"/>
      <c r="AH22" s="174"/>
    </row>
    <row r="23" spans="1:35" ht="51" customHeight="1" x14ac:dyDescent="0.25">
      <c r="A23" s="7"/>
      <c r="B23" s="47" t="s">
        <v>28</v>
      </c>
      <c r="C23" s="58" t="e">
        <f>C20</f>
        <v>#REF!</v>
      </c>
      <c r="D23" s="59" t="e">
        <f>D20</f>
        <v>#REF!</v>
      </c>
      <c r="E23" s="58" t="e">
        <f t="shared" ref="E23:AH23" si="2">E20</f>
        <v>#REF!</v>
      </c>
      <c r="F23" s="58" t="e">
        <f t="shared" si="2"/>
        <v>#REF!</v>
      </c>
      <c r="G23" s="58" t="e">
        <f>G20</f>
        <v>#REF!</v>
      </c>
      <c r="H23" s="59" t="e">
        <f>H20</f>
        <v>#REF!</v>
      </c>
      <c r="I23" s="58" t="e">
        <f t="shared" si="2"/>
        <v>#REF!</v>
      </c>
      <c r="J23" s="59" t="e">
        <f t="shared" si="2"/>
        <v>#REF!</v>
      </c>
      <c r="K23" s="58" t="e">
        <f>K20</f>
        <v>#REF!</v>
      </c>
      <c r="L23" s="59" t="e">
        <f>L20</f>
        <v>#REF!</v>
      </c>
      <c r="M23" s="58" t="e">
        <f t="shared" si="2"/>
        <v>#REF!</v>
      </c>
      <c r="N23" s="58" t="e">
        <f t="shared" si="2"/>
        <v>#REF!</v>
      </c>
      <c r="O23" s="59" t="e">
        <f>O20</f>
        <v>#REF!</v>
      </c>
      <c r="P23" s="58" t="e">
        <f>P20</f>
        <v>#REF!</v>
      </c>
      <c r="Q23" s="59" t="e">
        <f>Q20</f>
        <v>#REF!</v>
      </c>
      <c r="R23" s="58" t="e">
        <f>R20</f>
        <v>#REF!</v>
      </c>
      <c r="S23" s="58" t="e">
        <f t="shared" si="2"/>
        <v>#REF!</v>
      </c>
      <c r="T23" s="58" t="e">
        <f t="shared" si="2"/>
        <v>#REF!</v>
      </c>
      <c r="U23" s="58" t="e">
        <f>U20</f>
        <v>#REF!</v>
      </c>
      <c r="V23" s="58" t="e">
        <f>V20</f>
        <v>#REF!</v>
      </c>
      <c r="W23" s="58" t="e">
        <f>W20</f>
        <v>#REF!</v>
      </c>
      <c r="X23" s="58" t="e">
        <f t="shared" si="2"/>
        <v>#REF!</v>
      </c>
      <c r="Y23" s="58" t="e">
        <f>Y20</f>
        <v>#REF!</v>
      </c>
      <c r="Z23" s="58" t="e">
        <f t="shared" si="2"/>
        <v>#REF!</v>
      </c>
      <c r="AA23" s="58" t="e">
        <f t="shared" si="2"/>
        <v>#REF!</v>
      </c>
      <c r="AB23" s="62" t="e">
        <f t="shared" si="2"/>
        <v>#REF!</v>
      </c>
      <c r="AC23" s="62" t="e">
        <f>AC20</f>
        <v>#REF!</v>
      </c>
      <c r="AD23" s="58" t="e">
        <f t="shared" si="2"/>
        <v>#REF!</v>
      </c>
      <c r="AE23" s="58" t="e">
        <f>AE20</f>
        <v>#REF!</v>
      </c>
      <c r="AF23" s="58" t="e">
        <f t="shared" si="2"/>
        <v>#REF!</v>
      </c>
      <c r="AG23" s="62" t="e">
        <f>AG20</f>
        <v>#REF!</v>
      </c>
      <c r="AH23" s="58" t="e">
        <f t="shared" si="2"/>
        <v>#REF!</v>
      </c>
    </row>
    <row r="24" spans="1:35" ht="24.75" customHeight="1" x14ac:dyDescent="0.25">
      <c r="A24" s="8"/>
      <c r="B24" s="8"/>
      <c r="C24" s="9"/>
      <c r="M24" s="10"/>
      <c r="Q24" s="11"/>
      <c r="Z24" s="2"/>
      <c r="AA24" s="2"/>
      <c r="AD24" s="2"/>
      <c r="AE24" s="2"/>
      <c r="AF24" s="2"/>
      <c r="AG24" s="2"/>
      <c r="AH24" s="2"/>
    </row>
    <row r="25" spans="1:35" ht="21.75" customHeight="1" x14ac:dyDescent="0.25">
      <c r="C25" s="11"/>
      <c r="D25" s="12"/>
      <c r="J25" s="2"/>
      <c r="K25" s="2"/>
      <c r="L25" s="2"/>
      <c r="Q25" s="13"/>
      <c r="Y25" s="2"/>
      <c r="Z25" s="2"/>
      <c r="AA25" s="2"/>
      <c r="AB25" s="14"/>
      <c r="AD25" s="2"/>
      <c r="AE25" s="2"/>
      <c r="AF25" s="2"/>
      <c r="AG25" s="2"/>
      <c r="AH25" s="2"/>
    </row>
    <row r="26" spans="1:35" ht="21.75" customHeight="1" x14ac:dyDescent="0.25">
      <c r="C26" s="11"/>
      <c r="D26" s="12"/>
      <c r="J26" s="2"/>
      <c r="K26" s="2"/>
      <c r="L26" s="2"/>
      <c r="Q26" s="13"/>
      <c r="Y26" s="2"/>
      <c r="Z26" s="2"/>
      <c r="AA26" s="2"/>
      <c r="AB26" s="14"/>
      <c r="AD26" s="2"/>
      <c r="AE26" s="2"/>
      <c r="AF26" s="2"/>
      <c r="AG26" s="2"/>
      <c r="AH26" s="2"/>
    </row>
    <row r="27" spans="1:35" s="63" customFormat="1" ht="21" customHeight="1" x14ac:dyDescent="0.4">
      <c r="A27" s="63" t="s">
        <v>29</v>
      </c>
      <c r="G27" s="63" t="s">
        <v>30</v>
      </c>
      <c r="H27" s="64"/>
      <c r="I27" s="64"/>
      <c r="J27" s="64"/>
      <c r="K27" s="64"/>
      <c r="M27" s="65"/>
      <c r="N27" s="64"/>
      <c r="P27" s="176" t="s">
        <v>47</v>
      </c>
      <c r="Q27" s="176"/>
      <c r="X27" s="63" t="s">
        <v>32</v>
      </c>
      <c r="AD27" s="64"/>
      <c r="AE27" s="64"/>
      <c r="AF27" s="64"/>
      <c r="AG27" s="64"/>
      <c r="AH27" s="64"/>
      <c r="AI27" s="64"/>
    </row>
    <row r="28" spans="1:35" s="63" customFormat="1" ht="21" customHeight="1" x14ac:dyDescent="0.4">
      <c r="A28" s="64"/>
      <c r="I28" s="64"/>
      <c r="J28" s="64"/>
      <c r="S28" s="64"/>
      <c r="AD28" s="64"/>
      <c r="AE28" s="64"/>
      <c r="AF28" s="64"/>
      <c r="AG28" s="64"/>
      <c r="AH28" s="64"/>
      <c r="AI28" s="64"/>
    </row>
    <row r="29" spans="1:35" s="63" customFormat="1" ht="21" customHeight="1" x14ac:dyDescent="0.4">
      <c r="A29" s="64"/>
      <c r="B29" s="64"/>
      <c r="C29" s="64"/>
      <c r="D29" s="64"/>
      <c r="E29" s="64"/>
      <c r="F29" s="64"/>
    </row>
    <row r="30" spans="1:35" s="63" customFormat="1" ht="21" customHeight="1" x14ac:dyDescent="0.4">
      <c r="A30" s="64"/>
      <c r="J30" s="64"/>
      <c r="T30" s="66"/>
      <c r="U30" s="66"/>
      <c r="V30" s="66"/>
    </row>
    <row r="31" spans="1:35" s="63" customFormat="1" ht="21" customHeight="1" x14ac:dyDescent="0.35">
      <c r="A31" s="67" t="s">
        <v>37</v>
      </c>
      <c r="F31" s="75"/>
      <c r="G31" s="67" t="s">
        <v>48</v>
      </c>
      <c r="L31" s="67"/>
      <c r="N31" s="67"/>
      <c r="P31" s="67" t="s">
        <v>49</v>
      </c>
      <c r="X31" s="67" t="s">
        <v>38</v>
      </c>
    </row>
    <row r="32" spans="1:35" s="64" customFormat="1" ht="21" customHeight="1" x14ac:dyDescent="0.4">
      <c r="A32" s="64" t="s">
        <v>51</v>
      </c>
      <c r="F32" s="68"/>
      <c r="G32" s="64" t="s">
        <v>52</v>
      </c>
      <c r="P32" s="64" t="s">
        <v>53</v>
      </c>
      <c r="U32" s="68"/>
      <c r="X32" s="68" t="s">
        <v>50</v>
      </c>
      <c r="AF32" s="68"/>
      <c r="AG32" s="68"/>
      <c r="AH32" s="68"/>
      <c r="AI32" s="68"/>
    </row>
    <row r="33" spans="1:34" s="64" customFormat="1" ht="18.75" customHeight="1" x14ac:dyDescent="0.4">
      <c r="F33" s="68"/>
      <c r="G33" s="68"/>
      <c r="H33" s="68"/>
      <c r="I33" s="68"/>
      <c r="X33" s="75"/>
      <c r="Z33" s="68"/>
      <c r="AC33" s="68"/>
      <c r="AD33" s="68"/>
    </row>
    <row r="34" spans="1:34" ht="15.75" customHeight="1" x14ac:dyDescent="0.25"/>
    <row r="35" spans="1:34" ht="15.75" customHeight="1" x14ac:dyDescent="0.25">
      <c r="A35" s="15"/>
      <c r="B35" s="15"/>
      <c r="C35" s="15"/>
      <c r="U35" s="45"/>
    </row>
    <row r="36" spans="1:34" ht="13.5" customHeight="1" x14ac:dyDescent="0.25">
      <c r="M36" s="11"/>
      <c r="AD36" s="2"/>
      <c r="AE36" s="2"/>
    </row>
    <row r="37" spans="1:34" ht="13.5" customHeight="1" x14ac:dyDescent="0.25"/>
    <row r="39" spans="1:34" x14ac:dyDescent="0.25">
      <c r="B39" s="2"/>
    </row>
    <row r="40" spans="1:34" ht="15.75" customHeight="1" x14ac:dyDescent="0.25"/>
    <row r="43" spans="1:34" ht="15.75" customHeight="1" x14ac:dyDescent="0.25"/>
    <row r="45" spans="1:34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7" spans="1:34" s="2" customFormat="1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50" spans="1:1" x14ac:dyDescent="0.25">
      <c r="A50" s="2"/>
    </row>
  </sheetData>
  <mergeCells count="70">
    <mergeCell ref="AE20:AE22"/>
    <mergeCell ref="AF20:AF22"/>
    <mergeCell ref="AG20:AG22"/>
    <mergeCell ref="AH20:AH22"/>
    <mergeCell ref="P27:Q27"/>
    <mergeCell ref="Y20:Y22"/>
    <mergeCell ref="Z20:Z22"/>
    <mergeCell ref="AA20:AA22"/>
    <mergeCell ref="AB20:AB22"/>
    <mergeCell ref="AC20:AC22"/>
    <mergeCell ref="AD20:AD22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L20:L22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Z11:AA11"/>
    <mergeCell ref="C12:D12"/>
    <mergeCell ref="E12:F12"/>
    <mergeCell ref="G12:H12"/>
    <mergeCell ref="I12:J12"/>
    <mergeCell ref="K12:L12"/>
    <mergeCell ref="I11:J11"/>
    <mergeCell ref="A16:A19"/>
    <mergeCell ref="K11:L11"/>
    <mergeCell ref="U11:V11"/>
    <mergeCell ref="X11:Y11"/>
    <mergeCell ref="C13:D13"/>
    <mergeCell ref="E13:F13"/>
    <mergeCell ref="G13:H13"/>
    <mergeCell ref="I13:J13"/>
    <mergeCell ref="K13:L13"/>
    <mergeCell ref="A11:A14"/>
    <mergeCell ref="B11:B14"/>
    <mergeCell ref="C11:D11"/>
    <mergeCell ref="E11:F11"/>
    <mergeCell ref="G11:H11"/>
    <mergeCell ref="A2:AH2"/>
    <mergeCell ref="A3:AH3"/>
    <mergeCell ref="A5:AH5"/>
    <mergeCell ref="A6:AH6"/>
    <mergeCell ref="A9:B10"/>
    <mergeCell ref="C9:H10"/>
    <mergeCell ref="K9:N10"/>
    <mergeCell ref="O9:R9"/>
    <mergeCell ref="S9:S10"/>
    <mergeCell ref="T9:W10"/>
    <mergeCell ref="X9:AB10"/>
    <mergeCell ref="AC9:AD10"/>
    <mergeCell ref="AF9:AH10"/>
    <mergeCell ref="O10:R10"/>
  </mergeCells>
  <pageMargins left="1.1811023622047245" right="0.19685039370078741" top="0.74803149606299213" bottom="0.31496062992125984" header="0.31496062992125984" footer="0.31496062992125984"/>
  <pageSetup paperSize="5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6:Z563"/>
  <sheetViews>
    <sheetView tabSelected="1" zoomScale="70" zoomScaleNormal="70" zoomScaleSheetLayoutView="70" workbookViewId="0">
      <selection activeCell="E31" sqref="E31"/>
    </sheetView>
  </sheetViews>
  <sheetFormatPr defaultRowHeight="18" x14ac:dyDescent="0.25"/>
  <cols>
    <col min="1" max="1" width="31.7109375" style="76" customWidth="1"/>
    <col min="2" max="2" width="21.85546875" style="76" customWidth="1"/>
    <col min="3" max="3" width="28.85546875" style="76" customWidth="1"/>
    <col min="4" max="4" width="25.140625" style="76" customWidth="1"/>
    <col min="5" max="5" width="27.7109375" style="76" customWidth="1"/>
    <col min="6" max="6" width="4.42578125" style="76" hidden="1" customWidth="1"/>
    <col min="7" max="7" width="4.7109375" style="76" hidden="1" customWidth="1"/>
    <col min="8" max="8" width="21.42578125" style="76" customWidth="1"/>
    <col min="9" max="9" width="15.5703125" style="76" bestFit="1" customWidth="1"/>
    <col min="10" max="10" width="7.42578125" style="76" hidden="1" customWidth="1"/>
    <col min="11" max="11" width="10" style="76" hidden="1" customWidth="1"/>
    <col min="12" max="12" width="31.7109375" style="76" customWidth="1"/>
    <col min="13" max="13" width="14.7109375" style="76" hidden="1" customWidth="1"/>
    <col min="14" max="14" width="0.85546875" style="76" hidden="1" customWidth="1"/>
    <col min="15" max="15" width="15.5703125" style="76" bestFit="1" customWidth="1"/>
    <col min="16" max="16" width="7" style="76" hidden="1" customWidth="1"/>
    <col min="17" max="17" width="15.7109375" style="76" customWidth="1"/>
    <col min="18" max="18" width="12.5703125" style="76" customWidth="1"/>
    <col min="19" max="19" width="10.85546875" style="76" customWidth="1"/>
    <col min="20" max="20" width="11" style="76" customWidth="1"/>
    <col min="21" max="21" width="13" style="76" customWidth="1"/>
    <col min="22" max="23" width="12.7109375" style="76" bestFit="1" customWidth="1"/>
    <col min="24" max="24" width="10.85546875" style="76" customWidth="1"/>
    <col min="25" max="25" width="8.7109375" style="76" bestFit="1" customWidth="1"/>
    <col min="26" max="16384" width="9.140625" style="76"/>
  </cols>
  <sheetData>
    <row r="6" spans="1:13" ht="20.25" customHeight="1" x14ac:dyDescent="0.25"/>
    <row r="10" spans="1:13" s="80" customFormat="1" ht="20.100000000000001" customHeight="1" x14ac:dyDescent="0.2">
      <c r="A10" s="177" t="s">
        <v>56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</row>
    <row r="11" spans="1:13" s="80" customFormat="1" ht="20.100000000000001" customHeight="1" x14ac:dyDescent="0.2">
      <c r="A11" s="177" t="s">
        <v>57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</row>
    <row r="12" spans="1:13" s="80" customFormat="1" ht="20.100000000000001" customHeight="1" x14ac:dyDescent="0.2">
      <c r="A12" s="177" t="s">
        <v>99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</row>
    <row r="13" spans="1:13" s="80" customFormat="1" ht="10.5" customHeight="1" x14ac:dyDescent="0.2"/>
    <row r="14" spans="1:13" s="80" customFormat="1" ht="20.100000000000001" customHeight="1" x14ac:dyDescent="0.2">
      <c r="A14" s="80" t="s">
        <v>58</v>
      </c>
      <c r="B14" s="110" t="s">
        <v>85</v>
      </c>
      <c r="C14" s="110"/>
      <c r="D14" s="110"/>
      <c r="E14" s="110"/>
    </row>
    <row r="15" spans="1:13" s="80" customFormat="1" ht="20.100000000000001" customHeight="1" x14ac:dyDescent="0.2">
      <c r="A15" s="80" t="s">
        <v>59</v>
      </c>
      <c r="B15" s="178" t="s">
        <v>86</v>
      </c>
      <c r="C15" s="178"/>
      <c r="D15" s="178"/>
      <c r="E15" s="111"/>
    </row>
    <row r="16" spans="1:13" s="80" customFormat="1" ht="6" customHeight="1" x14ac:dyDescent="0.2"/>
    <row r="17" spans="1:15" s="80" customFormat="1" ht="39.75" customHeight="1" x14ac:dyDescent="0.2">
      <c r="A17" s="82" t="s">
        <v>60</v>
      </c>
      <c r="B17" s="82" t="s">
        <v>61</v>
      </c>
      <c r="C17" s="82" t="s">
        <v>62</v>
      </c>
      <c r="D17" s="82" t="s">
        <v>63</v>
      </c>
      <c r="E17" s="83" t="s">
        <v>64</v>
      </c>
      <c r="F17" s="83" t="s">
        <v>64</v>
      </c>
      <c r="G17" s="83" t="s">
        <v>64</v>
      </c>
      <c r="H17" s="83" t="s">
        <v>65</v>
      </c>
      <c r="I17" s="82" t="s">
        <v>66</v>
      </c>
      <c r="J17" s="82"/>
      <c r="K17" s="82"/>
      <c r="L17" s="82" t="s">
        <v>67</v>
      </c>
    </row>
    <row r="18" spans="1:15" s="80" customFormat="1" ht="37.5" customHeight="1" x14ac:dyDescent="0.2">
      <c r="A18" s="85" t="s">
        <v>92</v>
      </c>
      <c r="B18" s="84" t="s">
        <v>21</v>
      </c>
      <c r="C18" s="86"/>
      <c r="D18" s="86"/>
      <c r="E18" s="88"/>
      <c r="F18" s="86"/>
      <c r="G18" s="86"/>
      <c r="H18" s="87"/>
      <c r="I18" s="93">
        <v>6882</v>
      </c>
      <c r="J18" s="86"/>
      <c r="K18" s="86"/>
      <c r="L18" s="84" t="s">
        <v>74</v>
      </c>
    </row>
    <row r="19" spans="1:15" s="80" customFormat="1" ht="20.100000000000001" customHeight="1" x14ac:dyDescent="0.2">
      <c r="A19" s="86"/>
      <c r="B19" s="86"/>
      <c r="C19" s="86"/>
      <c r="D19" s="86"/>
      <c r="E19" s="88">
        <v>46174</v>
      </c>
      <c r="F19" s="86"/>
      <c r="G19" s="86"/>
      <c r="H19" s="98"/>
      <c r="I19" s="98">
        <f t="shared" ref="I19:I25" si="0">I18-H19</f>
        <v>6882</v>
      </c>
      <c r="J19" s="86"/>
      <c r="K19" s="86"/>
      <c r="L19" s="84" t="s">
        <v>68</v>
      </c>
    </row>
    <row r="20" spans="1:15" s="80" customFormat="1" ht="20.100000000000001" customHeight="1" x14ac:dyDescent="0.2">
      <c r="A20" s="86"/>
      <c r="B20" s="86"/>
      <c r="C20" s="88"/>
      <c r="D20" s="92"/>
      <c r="E20" s="88">
        <v>46175</v>
      </c>
      <c r="F20" s="86"/>
      <c r="G20" s="86"/>
      <c r="H20" s="98"/>
      <c r="I20" s="98">
        <f t="shared" si="0"/>
        <v>6882</v>
      </c>
      <c r="J20" s="86"/>
      <c r="K20" s="86"/>
      <c r="L20" s="84" t="s">
        <v>68</v>
      </c>
    </row>
    <row r="21" spans="1:15" s="80" customFormat="1" ht="20.100000000000001" customHeight="1" x14ac:dyDescent="0.2">
      <c r="A21" s="86"/>
      <c r="B21" s="86"/>
      <c r="C21" s="88"/>
      <c r="D21" s="99"/>
      <c r="E21" s="88">
        <v>46176</v>
      </c>
      <c r="F21" s="86"/>
      <c r="G21" s="86"/>
      <c r="H21" s="98"/>
      <c r="I21" s="98">
        <f t="shared" si="0"/>
        <v>6882</v>
      </c>
      <c r="J21" s="86"/>
      <c r="K21" s="86"/>
      <c r="L21" s="84" t="s">
        <v>68</v>
      </c>
    </row>
    <row r="22" spans="1:15" s="80" customFormat="1" ht="20.100000000000001" customHeight="1" x14ac:dyDescent="0.2">
      <c r="A22" s="86"/>
      <c r="B22" s="86"/>
      <c r="C22" s="88"/>
      <c r="D22" s="98"/>
      <c r="E22" s="88">
        <v>46177</v>
      </c>
      <c r="F22" s="86"/>
      <c r="G22" s="86"/>
      <c r="H22" s="98"/>
      <c r="I22" s="98">
        <f t="shared" si="0"/>
        <v>6882</v>
      </c>
      <c r="J22" s="86"/>
      <c r="K22" s="86"/>
      <c r="L22" s="84" t="s">
        <v>68</v>
      </c>
    </row>
    <row r="23" spans="1:15" s="80" customFormat="1" ht="20.100000000000001" customHeight="1" x14ac:dyDescent="0.2">
      <c r="A23" s="86"/>
      <c r="B23" s="86"/>
      <c r="C23" s="88"/>
      <c r="D23" s="99"/>
      <c r="E23" s="88">
        <v>46178</v>
      </c>
      <c r="F23" s="107"/>
      <c r="G23" s="106"/>
      <c r="H23" s="107"/>
      <c r="I23" s="98">
        <f t="shared" si="0"/>
        <v>6882</v>
      </c>
      <c r="J23" s="86"/>
      <c r="K23" s="86"/>
      <c r="L23" s="84" t="s">
        <v>68</v>
      </c>
    </row>
    <row r="24" spans="1:15" s="80" customFormat="1" ht="20.100000000000001" customHeight="1" x14ac:dyDescent="0.2">
      <c r="A24" s="86"/>
      <c r="B24" s="86"/>
      <c r="C24" s="88"/>
      <c r="D24" s="99"/>
      <c r="E24" s="88">
        <v>46179</v>
      </c>
      <c r="F24" s="107"/>
      <c r="G24" s="106"/>
      <c r="H24" s="107"/>
      <c r="I24" s="98">
        <f t="shared" si="0"/>
        <v>6882</v>
      </c>
      <c r="J24" s="86"/>
      <c r="K24" s="86"/>
      <c r="L24" s="84" t="s">
        <v>76</v>
      </c>
    </row>
    <row r="25" spans="1:15" s="80" customFormat="1" ht="19.5" customHeight="1" x14ac:dyDescent="0.2">
      <c r="A25" s="86"/>
      <c r="B25" s="86"/>
      <c r="C25" s="88"/>
      <c r="D25" s="99"/>
      <c r="E25" s="88">
        <v>46180</v>
      </c>
      <c r="F25" s="107"/>
      <c r="G25" s="106"/>
      <c r="H25" s="107"/>
      <c r="I25" s="98">
        <f t="shared" si="0"/>
        <v>6882</v>
      </c>
      <c r="J25" s="86"/>
      <c r="K25" s="86"/>
      <c r="L25" s="84" t="s">
        <v>76</v>
      </c>
    </row>
    <row r="26" spans="1:15" s="80" customFormat="1" ht="20.100000000000001" customHeight="1" x14ac:dyDescent="0.2">
      <c r="A26" s="86"/>
      <c r="B26" s="86"/>
      <c r="C26" s="88"/>
      <c r="D26" s="99"/>
      <c r="E26" s="88"/>
      <c r="F26" s="107"/>
      <c r="G26" s="106"/>
      <c r="H26" s="107"/>
      <c r="I26" s="100">
        <f>I25</f>
        <v>6882</v>
      </c>
      <c r="J26" s="104"/>
      <c r="K26" s="104"/>
      <c r="L26" s="105" t="s">
        <v>73</v>
      </c>
      <c r="O26" s="80">
        <f>I26/93</f>
        <v>74</v>
      </c>
    </row>
    <row r="27" spans="1:15" s="80" customFormat="1" ht="20.100000000000001" customHeight="1" x14ac:dyDescent="0.2">
      <c r="A27" s="86"/>
      <c r="B27" s="86"/>
      <c r="C27" s="88"/>
      <c r="D27" s="99"/>
      <c r="E27" s="88"/>
      <c r="F27" s="107"/>
      <c r="G27" s="106"/>
      <c r="H27" s="107"/>
      <c r="I27" s="118"/>
      <c r="J27" s="119"/>
      <c r="K27" s="119"/>
      <c r="L27" s="120"/>
      <c r="O27" s="91"/>
    </row>
    <row r="28" spans="1:15" s="80" customFormat="1" ht="20.100000000000001" customHeight="1" x14ac:dyDescent="0.2">
      <c r="A28" s="86"/>
      <c r="B28" s="86"/>
      <c r="C28" s="88"/>
      <c r="D28" s="99"/>
      <c r="E28" s="88"/>
      <c r="F28" s="86"/>
      <c r="G28" s="86"/>
      <c r="H28" s="98"/>
      <c r="I28" s="118"/>
      <c r="J28" s="119"/>
      <c r="K28" s="119"/>
      <c r="L28" s="120"/>
      <c r="O28" s="91"/>
    </row>
    <row r="29" spans="1:15" s="80" customFormat="1" ht="20.100000000000001" customHeight="1" x14ac:dyDescent="0.2">
      <c r="A29" s="86"/>
      <c r="B29" s="86"/>
      <c r="C29" s="88"/>
      <c r="D29" s="99"/>
      <c r="E29" s="88"/>
      <c r="F29" s="86"/>
      <c r="G29" s="86"/>
      <c r="H29" s="98"/>
      <c r="I29" s="98"/>
      <c r="J29" s="98"/>
      <c r="K29" s="98"/>
      <c r="L29" s="98"/>
    </row>
    <row r="30" spans="1:15" s="80" customFormat="1" ht="20.100000000000001" customHeight="1" x14ac:dyDescent="0.2">
      <c r="A30" s="86"/>
      <c r="B30" s="86"/>
      <c r="C30" s="88"/>
      <c r="D30" s="99"/>
      <c r="E30" s="88"/>
      <c r="F30" s="86"/>
      <c r="G30" s="86"/>
      <c r="H30" s="98"/>
      <c r="I30" s="98"/>
      <c r="J30" s="98"/>
      <c r="K30" s="98"/>
      <c r="L30" s="98"/>
    </row>
    <row r="31" spans="1:15" s="80" customFormat="1" ht="11.25" customHeight="1" x14ac:dyDescent="0.2"/>
    <row r="32" spans="1:15" s="80" customFormat="1" ht="11.25" customHeight="1" x14ac:dyDescent="0.2">
      <c r="D32" s="80" t="s">
        <v>79</v>
      </c>
    </row>
    <row r="33" spans="1:26" s="80" customFormat="1" ht="21.75" customHeight="1" x14ac:dyDescent="0.2">
      <c r="A33" s="78" t="s">
        <v>78</v>
      </c>
      <c r="B33" s="78"/>
      <c r="C33" s="80" t="s">
        <v>80</v>
      </c>
      <c r="E33" s="78" t="s">
        <v>75</v>
      </c>
      <c r="F33" s="78"/>
      <c r="G33" s="78"/>
      <c r="J33" s="78"/>
      <c r="K33" s="78"/>
      <c r="S33" s="89"/>
      <c r="W33" s="89"/>
      <c r="X33" s="78"/>
      <c r="Y33" s="78"/>
    </row>
    <row r="34" spans="1:26" s="80" customFormat="1" ht="21.75" customHeight="1" x14ac:dyDescent="0.2">
      <c r="A34" s="78"/>
      <c r="B34" s="78"/>
      <c r="C34" s="78"/>
      <c r="E34" s="78"/>
      <c r="F34" s="78"/>
      <c r="G34" s="78"/>
      <c r="J34" s="78"/>
      <c r="K34" s="78"/>
      <c r="S34" s="89"/>
      <c r="W34" s="89"/>
      <c r="X34" s="78"/>
      <c r="Y34" s="78"/>
    </row>
    <row r="35" spans="1:26" ht="21" customHeight="1" x14ac:dyDescent="0.25">
      <c r="A35" s="78"/>
      <c r="B35" s="77"/>
      <c r="C35" s="77"/>
      <c r="E35" s="77"/>
      <c r="F35" s="77"/>
      <c r="G35" s="77"/>
      <c r="J35" s="77"/>
      <c r="K35" s="77"/>
      <c r="O35" s="77"/>
      <c r="Q35" s="79"/>
      <c r="S35" s="77"/>
      <c r="X35" s="77"/>
      <c r="Y35" s="77"/>
      <c r="Z35" s="77"/>
    </row>
    <row r="36" spans="1:26" s="80" customFormat="1" ht="21" customHeight="1" x14ac:dyDescent="0.2">
      <c r="A36" s="81" t="s">
        <v>91</v>
      </c>
      <c r="B36" s="81"/>
      <c r="C36" s="81" t="s">
        <v>97</v>
      </c>
      <c r="E36" s="81" t="s">
        <v>93</v>
      </c>
      <c r="F36" s="81"/>
      <c r="G36" s="81"/>
      <c r="J36" s="81"/>
      <c r="K36" s="81"/>
      <c r="O36" s="78"/>
      <c r="Q36" s="90"/>
    </row>
    <row r="37" spans="1:26" s="80" customFormat="1" ht="21" customHeight="1" x14ac:dyDescent="0.2">
      <c r="A37" s="78" t="s">
        <v>81</v>
      </c>
      <c r="B37" s="78"/>
      <c r="C37" s="78" t="s">
        <v>98</v>
      </c>
      <c r="E37" s="78" t="s">
        <v>94</v>
      </c>
      <c r="F37" s="78"/>
      <c r="G37" s="78"/>
      <c r="J37" s="78"/>
      <c r="K37" s="78"/>
      <c r="O37" s="78"/>
      <c r="Q37" s="90"/>
    </row>
    <row r="38" spans="1:26" s="80" customFormat="1" ht="21" customHeight="1" x14ac:dyDescent="0.2">
      <c r="A38" s="78" t="s">
        <v>77</v>
      </c>
      <c r="B38" s="78"/>
      <c r="C38" s="78" t="s">
        <v>0</v>
      </c>
      <c r="E38" s="101" t="s">
        <v>0</v>
      </c>
      <c r="F38" s="78"/>
      <c r="G38" s="78"/>
      <c r="J38" s="78"/>
      <c r="O38" s="78"/>
      <c r="Q38" s="90"/>
    </row>
    <row r="39" spans="1:26" s="80" customFormat="1" ht="21" customHeight="1" x14ac:dyDescent="0.2">
      <c r="A39" s="78"/>
      <c r="B39" s="78"/>
      <c r="C39" s="78"/>
      <c r="E39" s="101"/>
      <c r="F39" s="78"/>
      <c r="G39" s="78"/>
      <c r="J39" s="78"/>
      <c r="O39" s="78"/>
      <c r="Q39" s="90"/>
    </row>
    <row r="40" spans="1:26" s="80" customFormat="1" ht="21" customHeight="1" x14ac:dyDescent="0.2">
      <c r="A40" s="78"/>
      <c r="B40" s="78"/>
      <c r="C40" s="78"/>
      <c r="E40" s="101"/>
      <c r="F40" s="78"/>
      <c r="G40" s="78"/>
      <c r="J40" s="78"/>
      <c r="O40" s="78"/>
      <c r="Q40" s="90"/>
    </row>
    <row r="41" spans="1:26" s="80" customFormat="1" ht="8.25" customHeight="1" x14ac:dyDescent="0.25">
      <c r="A41" s="76"/>
      <c r="B41" s="78"/>
      <c r="D41" s="78"/>
      <c r="E41" s="78"/>
      <c r="F41" s="78"/>
      <c r="G41" s="78"/>
      <c r="I41" s="78"/>
      <c r="J41" s="78"/>
      <c r="O41" s="78"/>
      <c r="Q41" s="90"/>
    </row>
    <row r="42" spans="1:26" ht="6.75" customHeight="1" x14ac:dyDescent="0.25"/>
    <row r="48" spans="1:26" ht="20.25" customHeight="1" x14ac:dyDescent="0.25"/>
    <row r="50" spans="1:13" s="80" customFormat="1" ht="20.100000000000001" customHeight="1" x14ac:dyDescent="0.2">
      <c r="A50" s="177" t="s">
        <v>56</v>
      </c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</row>
    <row r="51" spans="1:13" s="80" customFormat="1" ht="20.100000000000001" customHeight="1" x14ac:dyDescent="0.2">
      <c r="A51" s="177" t="s">
        <v>57</v>
      </c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</row>
    <row r="52" spans="1:13" s="80" customFormat="1" ht="20.100000000000001" customHeight="1" x14ac:dyDescent="0.2">
      <c r="A52" s="177" t="str">
        <f>A12</f>
        <v>Period Covered : JUNE 1-7, 2026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</row>
    <row r="53" spans="1:13" s="80" customFormat="1" ht="14.25" customHeight="1" x14ac:dyDescent="0.2"/>
    <row r="54" spans="1:13" s="80" customFormat="1" ht="14.25" customHeight="1" x14ac:dyDescent="0.2"/>
    <row r="55" spans="1:13" s="80" customFormat="1" ht="20.100000000000001" customHeight="1" x14ac:dyDescent="0.2">
      <c r="A55" s="80" t="s">
        <v>58</v>
      </c>
      <c r="B55" s="110" t="str">
        <f>B14</f>
        <v>PHILSAGA MINING CORPORATION - TIGERWAY DECLINE PROJECT</v>
      </c>
      <c r="C55" s="110"/>
      <c r="D55" s="110"/>
      <c r="E55" s="110"/>
    </row>
    <row r="56" spans="1:13" s="80" customFormat="1" ht="20.100000000000001" customHeight="1" x14ac:dyDescent="0.2">
      <c r="A56" s="80" t="s">
        <v>59</v>
      </c>
      <c r="B56" s="178" t="str">
        <f>B15</f>
        <v>MOUNT ROCK POWDER CORPORATION MAGAZINE</v>
      </c>
      <c r="C56" s="178"/>
      <c r="D56" s="178"/>
      <c r="E56" s="111"/>
    </row>
    <row r="57" spans="1:13" s="80" customFormat="1" ht="6" customHeight="1" x14ac:dyDescent="0.2"/>
    <row r="58" spans="1:13" s="80" customFormat="1" ht="39.75" customHeight="1" x14ac:dyDescent="0.2">
      <c r="A58" s="82" t="s">
        <v>60</v>
      </c>
      <c r="B58" s="82" t="s">
        <v>61</v>
      </c>
      <c r="C58" s="82" t="s">
        <v>62</v>
      </c>
      <c r="D58" s="82" t="s">
        <v>63</v>
      </c>
      <c r="E58" s="83" t="s">
        <v>64</v>
      </c>
      <c r="F58" s="83" t="s">
        <v>64</v>
      </c>
      <c r="G58" s="83" t="s">
        <v>64</v>
      </c>
      <c r="H58" s="83" t="s">
        <v>65</v>
      </c>
      <c r="I58" s="82" t="s">
        <v>66</v>
      </c>
      <c r="J58" s="82"/>
      <c r="K58" s="82"/>
      <c r="L58" s="82" t="s">
        <v>67</v>
      </c>
    </row>
    <row r="59" spans="1:13" s="80" customFormat="1" ht="39.75" customHeight="1" x14ac:dyDescent="0.2">
      <c r="A59" s="85" t="s">
        <v>90</v>
      </c>
      <c r="B59" s="84" t="s">
        <v>21</v>
      </c>
      <c r="C59" s="86"/>
      <c r="D59" s="86"/>
      <c r="E59" s="88"/>
      <c r="F59" s="86"/>
      <c r="G59" s="86"/>
      <c r="H59" s="87"/>
      <c r="I59" s="93">
        <v>13286</v>
      </c>
      <c r="J59" s="86"/>
      <c r="K59" s="86"/>
      <c r="L59" s="84" t="s">
        <v>74</v>
      </c>
      <c r="M59" s="91"/>
    </row>
    <row r="60" spans="1:13" s="80" customFormat="1" ht="20.100000000000001" customHeight="1" x14ac:dyDescent="0.2">
      <c r="A60" s="86"/>
      <c r="B60" s="86"/>
      <c r="C60" s="86"/>
      <c r="D60" s="86"/>
      <c r="E60" s="88">
        <v>46174</v>
      </c>
      <c r="F60" s="86"/>
      <c r="G60" s="86"/>
      <c r="H60" s="98"/>
      <c r="I60" s="98">
        <f>I59-H60</f>
        <v>13286</v>
      </c>
      <c r="J60" s="86"/>
      <c r="K60" s="86"/>
      <c r="L60" s="84" t="s">
        <v>76</v>
      </c>
    </row>
    <row r="61" spans="1:13" s="80" customFormat="1" ht="20.100000000000001" customHeight="1" x14ac:dyDescent="0.2">
      <c r="A61" s="86"/>
      <c r="B61" s="86"/>
      <c r="C61" s="88"/>
      <c r="D61" s="123"/>
      <c r="E61" s="88">
        <v>46175</v>
      </c>
      <c r="F61" s="86"/>
      <c r="G61" s="86"/>
      <c r="H61" s="98"/>
      <c r="I61" s="98">
        <f t="shared" ref="I61:I66" si="1">I60-H61</f>
        <v>13286</v>
      </c>
      <c r="J61" s="86"/>
      <c r="K61" s="86"/>
      <c r="L61" s="84" t="s">
        <v>76</v>
      </c>
    </row>
    <row r="62" spans="1:13" s="80" customFormat="1" ht="20.100000000000001" customHeight="1" x14ac:dyDescent="0.2">
      <c r="A62" s="86"/>
      <c r="B62" s="86"/>
      <c r="C62" s="88"/>
      <c r="D62" s="126"/>
      <c r="E62" s="88">
        <v>46176</v>
      </c>
      <c r="F62" s="86"/>
      <c r="G62" s="86"/>
      <c r="H62" s="98"/>
      <c r="I62" s="98">
        <f t="shared" si="1"/>
        <v>13286</v>
      </c>
      <c r="J62" s="86"/>
      <c r="K62" s="86"/>
      <c r="L62" s="84" t="s">
        <v>76</v>
      </c>
    </row>
    <row r="63" spans="1:13" s="80" customFormat="1" ht="20.100000000000001" customHeight="1" x14ac:dyDescent="0.2">
      <c r="A63" s="86"/>
      <c r="B63" s="86"/>
      <c r="C63" s="88"/>
      <c r="D63" s="126"/>
      <c r="E63" s="88">
        <v>46177</v>
      </c>
      <c r="F63" s="86"/>
      <c r="G63" s="86"/>
      <c r="H63" s="98"/>
      <c r="I63" s="98">
        <f t="shared" si="1"/>
        <v>13286</v>
      </c>
      <c r="J63" s="86"/>
      <c r="K63" s="86"/>
      <c r="L63" s="84" t="s">
        <v>76</v>
      </c>
    </row>
    <row r="64" spans="1:13" s="80" customFormat="1" ht="20.100000000000001" customHeight="1" x14ac:dyDescent="0.2">
      <c r="A64" s="86"/>
      <c r="B64" s="86"/>
      <c r="C64" s="88"/>
      <c r="D64" s="86"/>
      <c r="E64" s="88">
        <v>46178</v>
      </c>
      <c r="F64" s="107"/>
      <c r="G64" s="106"/>
      <c r="H64" s="107"/>
      <c r="I64" s="98">
        <f t="shared" si="1"/>
        <v>13286</v>
      </c>
      <c r="J64" s="86"/>
      <c r="K64" s="86"/>
      <c r="L64" s="84" t="s">
        <v>68</v>
      </c>
    </row>
    <row r="65" spans="1:26" s="80" customFormat="1" ht="20.100000000000001" customHeight="1" x14ac:dyDescent="0.2">
      <c r="A65" s="86"/>
      <c r="B65" s="86"/>
      <c r="C65" s="88"/>
      <c r="D65" s="123"/>
      <c r="E65" s="88">
        <v>46179</v>
      </c>
      <c r="F65" s="107"/>
      <c r="G65" s="106"/>
      <c r="H65" s="107"/>
      <c r="I65" s="98">
        <f t="shared" si="1"/>
        <v>13286</v>
      </c>
      <c r="J65" s="86"/>
      <c r="K65" s="86"/>
      <c r="L65" s="84" t="s">
        <v>68</v>
      </c>
    </row>
    <row r="66" spans="1:26" s="80" customFormat="1" ht="20.100000000000001" customHeight="1" x14ac:dyDescent="0.2">
      <c r="A66" s="86"/>
      <c r="B66" s="86"/>
      <c r="C66" s="88"/>
      <c r="D66" s="86"/>
      <c r="E66" s="88">
        <v>46180</v>
      </c>
      <c r="F66" s="107"/>
      <c r="G66" s="106"/>
      <c r="H66" s="107"/>
      <c r="I66" s="98">
        <f t="shared" si="1"/>
        <v>13286</v>
      </c>
      <c r="J66" s="86"/>
      <c r="K66" s="86"/>
      <c r="L66" s="84" t="s">
        <v>76</v>
      </c>
    </row>
    <row r="67" spans="1:26" s="80" customFormat="1" ht="20.100000000000001" customHeight="1" x14ac:dyDescent="0.2">
      <c r="A67" s="86"/>
      <c r="B67" s="86"/>
      <c r="C67" s="88"/>
      <c r="D67" s="98"/>
      <c r="E67" s="88"/>
      <c r="F67" s="86"/>
      <c r="G67" s="86"/>
      <c r="H67" s="107"/>
      <c r="I67" s="100">
        <f>I66</f>
        <v>13286</v>
      </c>
      <c r="J67" s="86"/>
      <c r="K67" s="86"/>
      <c r="L67" s="105" t="s">
        <v>73</v>
      </c>
      <c r="O67" s="80">
        <f>I67/91</f>
        <v>146</v>
      </c>
    </row>
    <row r="68" spans="1:26" s="80" customFormat="1" ht="20.100000000000001" customHeight="1" x14ac:dyDescent="0.2">
      <c r="A68" s="86"/>
      <c r="B68" s="86"/>
      <c r="C68" s="88"/>
      <c r="D68" s="99"/>
      <c r="E68" s="88"/>
      <c r="F68" s="86"/>
      <c r="G68" s="86"/>
      <c r="H68" s="98"/>
      <c r="I68" s="118"/>
      <c r="J68" s="119"/>
      <c r="K68" s="119"/>
      <c r="L68" s="120"/>
    </row>
    <row r="69" spans="1:26" s="80" customFormat="1" ht="20.100000000000001" customHeight="1" x14ac:dyDescent="0.2">
      <c r="A69" s="86"/>
      <c r="B69" s="86"/>
      <c r="C69" s="88"/>
      <c r="D69" s="99"/>
      <c r="E69" s="88"/>
      <c r="F69" s="107"/>
      <c r="G69" s="106"/>
      <c r="H69" s="107"/>
      <c r="I69" s="118"/>
      <c r="J69" s="119"/>
      <c r="K69" s="119"/>
      <c r="L69" s="120"/>
    </row>
    <row r="70" spans="1:26" s="80" customFormat="1" ht="20.100000000000001" customHeight="1" x14ac:dyDescent="0.2">
      <c r="A70" s="86"/>
      <c r="B70" s="86"/>
      <c r="C70" s="88"/>
      <c r="D70" s="99"/>
      <c r="E70" s="88"/>
      <c r="F70" s="107"/>
      <c r="G70" s="106"/>
      <c r="H70" s="107"/>
      <c r="I70" s="118"/>
      <c r="J70" s="119"/>
      <c r="K70" s="119"/>
      <c r="L70" s="120"/>
      <c r="O70" s="91"/>
    </row>
    <row r="71" spans="1:26" s="80" customFormat="1" ht="20.100000000000001" customHeight="1" x14ac:dyDescent="0.2">
      <c r="A71" s="86"/>
      <c r="B71" s="86"/>
      <c r="C71" s="88"/>
      <c r="D71" s="99"/>
      <c r="E71" s="88"/>
      <c r="F71" s="86"/>
      <c r="G71" s="86"/>
      <c r="H71" s="98"/>
      <c r="I71" s="98"/>
      <c r="J71" s="98"/>
      <c r="K71" s="98"/>
      <c r="L71" s="98"/>
      <c r="O71" s="91"/>
    </row>
    <row r="72" spans="1:26" s="80" customFormat="1" ht="20.100000000000001" customHeight="1" x14ac:dyDescent="0.2">
      <c r="A72" s="86"/>
      <c r="B72" s="86"/>
      <c r="C72" s="88"/>
      <c r="D72" s="99"/>
      <c r="E72" s="88"/>
      <c r="F72" s="86"/>
      <c r="G72" s="86"/>
      <c r="H72" s="98"/>
      <c r="I72" s="98"/>
      <c r="J72" s="98"/>
      <c r="K72" s="98"/>
      <c r="L72" s="98"/>
    </row>
    <row r="73" spans="1:26" s="80" customFormat="1" ht="20.100000000000001" customHeight="1" x14ac:dyDescent="0.2">
      <c r="A73" s="86"/>
      <c r="B73" s="86"/>
      <c r="C73" s="88"/>
      <c r="D73" s="92"/>
      <c r="E73" s="88"/>
      <c r="F73" s="86"/>
      <c r="G73" s="86"/>
      <c r="H73" s="87"/>
      <c r="I73" s="87"/>
      <c r="J73" s="86"/>
      <c r="K73" s="86"/>
      <c r="L73" s="84"/>
    </row>
    <row r="74" spans="1:26" s="80" customFormat="1" ht="14.25" customHeight="1" x14ac:dyDescent="0.2"/>
    <row r="75" spans="1:26" s="80" customFormat="1" ht="14.25" customHeight="1" x14ac:dyDescent="0.2"/>
    <row r="76" spans="1:26" s="80" customFormat="1" ht="21.75" customHeight="1" x14ac:dyDescent="0.2">
      <c r="A76" s="78" t="s">
        <v>78</v>
      </c>
      <c r="B76" s="78"/>
      <c r="C76" s="80" t="s">
        <v>80</v>
      </c>
      <c r="E76" s="78" t="s">
        <v>75</v>
      </c>
      <c r="F76" s="78"/>
      <c r="G76" s="78"/>
      <c r="J76" s="78"/>
      <c r="K76" s="78"/>
      <c r="S76" s="89"/>
      <c r="W76" s="89"/>
      <c r="X76" s="78"/>
      <c r="Y76" s="78"/>
    </row>
    <row r="77" spans="1:26" s="80" customFormat="1" ht="21.75" customHeight="1" x14ac:dyDescent="0.2">
      <c r="A77" s="78"/>
      <c r="B77" s="78"/>
      <c r="C77" s="78"/>
      <c r="E77" s="78"/>
      <c r="F77" s="78"/>
      <c r="G77" s="78"/>
      <c r="J77" s="78"/>
      <c r="K77" s="78"/>
      <c r="S77" s="89"/>
      <c r="W77" s="89"/>
      <c r="X77" s="78"/>
      <c r="Y77" s="78"/>
    </row>
    <row r="78" spans="1:26" ht="21" customHeight="1" x14ac:dyDescent="0.25">
      <c r="A78" s="78"/>
      <c r="B78" s="77"/>
      <c r="C78" s="77"/>
      <c r="E78" s="77"/>
      <c r="F78" s="77"/>
      <c r="G78" s="77"/>
      <c r="J78" s="77"/>
      <c r="K78" s="77"/>
      <c r="O78" s="77"/>
      <c r="Q78" s="79"/>
      <c r="S78" s="77"/>
      <c r="X78" s="77"/>
      <c r="Y78" s="77"/>
      <c r="Z78" s="77"/>
    </row>
    <row r="79" spans="1:26" s="80" customFormat="1" ht="21" customHeight="1" x14ac:dyDescent="0.2">
      <c r="A79" s="81" t="str">
        <f>A36</f>
        <v>MR. MARK JAY E. CASTILLON</v>
      </c>
      <c r="B79" s="81"/>
      <c r="C79" s="81" t="str">
        <f>C36</f>
        <v>ENGR. EDWIN B. BATAL</v>
      </c>
      <c r="E79" s="81" t="str">
        <f>E36</f>
        <v>ENGR. JOHN MARTIN R. CIRIO</v>
      </c>
      <c r="F79" s="81"/>
      <c r="G79" s="81"/>
      <c r="J79" s="81"/>
      <c r="K79" s="81"/>
      <c r="O79" s="78"/>
      <c r="Q79" s="90"/>
    </row>
    <row r="80" spans="1:26" s="80" customFormat="1" ht="21" customHeight="1" x14ac:dyDescent="0.2">
      <c r="A80" s="78" t="s">
        <v>81</v>
      </c>
      <c r="B80" s="78"/>
      <c r="C80" s="78" t="str">
        <f>C37</f>
        <v>Mine Explosives Asst. Manager</v>
      </c>
      <c r="E80" s="78" t="str">
        <f>E37</f>
        <v>Long Range Mine Development Manager</v>
      </c>
      <c r="F80" s="78"/>
      <c r="G80" s="78"/>
      <c r="J80" s="78"/>
      <c r="K80" s="78"/>
      <c r="O80" s="78"/>
      <c r="Q80" s="90"/>
    </row>
    <row r="81" spans="1:17" s="80" customFormat="1" ht="21" customHeight="1" x14ac:dyDescent="0.2">
      <c r="A81" s="78" t="s">
        <v>77</v>
      </c>
      <c r="B81" s="78"/>
      <c r="C81" s="78" t="s">
        <v>0</v>
      </c>
      <c r="E81" s="101" t="s">
        <v>0</v>
      </c>
      <c r="F81" s="78"/>
      <c r="G81" s="78"/>
      <c r="J81" s="78"/>
      <c r="O81" s="78"/>
      <c r="Q81" s="90"/>
    </row>
    <row r="82" spans="1:17" s="80" customFormat="1" ht="27.75" customHeight="1" x14ac:dyDescent="0.2">
      <c r="A82" s="78"/>
      <c r="B82" s="78"/>
      <c r="C82" s="78"/>
      <c r="E82" s="101"/>
      <c r="F82" s="78"/>
      <c r="G82" s="78"/>
      <c r="J82" s="78"/>
      <c r="O82" s="78"/>
      <c r="Q82" s="90"/>
    </row>
    <row r="83" spans="1:17" s="80" customFormat="1" ht="33.75" customHeight="1" x14ac:dyDescent="0.2">
      <c r="A83" s="78"/>
      <c r="B83" s="78"/>
      <c r="C83" s="78"/>
      <c r="D83" s="78"/>
      <c r="E83" s="101"/>
      <c r="F83" s="78"/>
      <c r="G83" s="78"/>
      <c r="I83" s="101"/>
      <c r="J83" s="78"/>
      <c r="O83" s="78"/>
      <c r="Q83" s="90"/>
    </row>
    <row r="84" spans="1:17" s="80" customFormat="1" ht="19.5" customHeight="1" x14ac:dyDescent="0.2">
      <c r="A84" s="78"/>
      <c r="B84" s="78"/>
      <c r="C84" s="78"/>
      <c r="D84" s="78"/>
      <c r="E84" s="101"/>
      <c r="F84" s="78"/>
      <c r="G84" s="78"/>
      <c r="I84" s="101"/>
      <c r="J84" s="78"/>
      <c r="O84" s="78"/>
      <c r="Q84" s="90"/>
    </row>
    <row r="89" spans="1:17" ht="20.25" customHeight="1" x14ac:dyDescent="0.25"/>
    <row r="92" spans="1:17" s="80" customFormat="1" ht="20.100000000000001" customHeight="1" x14ac:dyDescent="0.2">
      <c r="A92" s="177" t="s">
        <v>56</v>
      </c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</row>
    <row r="93" spans="1:17" s="80" customFormat="1" ht="20.100000000000001" customHeight="1" x14ac:dyDescent="0.2">
      <c r="A93" s="177" t="s">
        <v>57</v>
      </c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</row>
    <row r="94" spans="1:17" s="80" customFormat="1" ht="20.100000000000001" customHeight="1" x14ac:dyDescent="0.2">
      <c r="A94" s="177" t="str">
        <f>A12</f>
        <v>Period Covered : JUNE 1-7, 2026</v>
      </c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</row>
    <row r="95" spans="1:17" s="80" customFormat="1" ht="13.5" customHeight="1" x14ac:dyDescent="0.2"/>
    <row r="96" spans="1:17" s="80" customFormat="1" ht="13.5" customHeight="1" x14ac:dyDescent="0.2"/>
    <row r="97" spans="1:15" s="80" customFormat="1" ht="20.100000000000001" customHeight="1" x14ac:dyDescent="0.2">
      <c r="A97" s="80" t="s">
        <v>58</v>
      </c>
      <c r="B97" s="110" t="str">
        <f>B14</f>
        <v>PHILSAGA MINING CORPORATION - TIGERWAY DECLINE PROJECT</v>
      </c>
      <c r="C97" s="110"/>
      <c r="D97" s="110"/>
      <c r="E97" s="110"/>
    </row>
    <row r="98" spans="1:15" s="80" customFormat="1" ht="19.5" customHeight="1" x14ac:dyDescent="0.2">
      <c r="A98" s="80" t="s">
        <v>59</v>
      </c>
      <c r="B98" s="178" t="str">
        <f>B15</f>
        <v>MOUNT ROCK POWDER CORPORATION MAGAZINE</v>
      </c>
      <c r="C98" s="178"/>
      <c r="D98" s="178"/>
      <c r="E98" s="111"/>
    </row>
    <row r="99" spans="1:15" s="80" customFormat="1" ht="6" customHeight="1" x14ac:dyDescent="0.2"/>
    <row r="100" spans="1:15" s="80" customFormat="1" ht="39.75" customHeight="1" x14ac:dyDescent="0.2">
      <c r="A100" s="82" t="s">
        <v>60</v>
      </c>
      <c r="B100" s="82" t="s">
        <v>61</v>
      </c>
      <c r="C100" s="82" t="s">
        <v>62</v>
      </c>
      <c r="D100" s="82" t="s">
        <v>63</v>
      </c>
      <c r="E100" s="83" t="s">
        <v>64</v>
      </c>
      <c r="F100" s="83" t="s">
        <v>64</v>
      </c>
      <c r="G100" s="83" t="s">
        <v>64</v>
      </c>
      <c r="H100" s="83" t="s">
        <v>65</v>
      </c>
      <c r="I100" s="82" t="s">
        <v>66</v>
      </c>
      <c r="J100" s="82"/>
      <c r="K100" s="82"/>
      <c r="L100" s="82" t="s">
        <v>67</v>
      </c>
    </row>
    <row r="101" spans="1:15" s="80" customFormat="1" ht="39.75" customHeight="1" x14ac:dyDescent="0.2">
      <c r="A101" s="85" t="s">
        <v>95</v>
      </c>
      <c r="B101" s="84" t="s">
        <v>21</v>
      </c>
      <c r="C101" s="86"/>
      <c r="D101" s="86"/>
      <c r="E101" s="88"/>
      <c r="F101" s="86"/>
      <c r="G101" s="86"/>
      <c r="H101" s="87"/>
      <c r="I101" s="93">
        <v>0</v>
      </c>
      <c r="J101" s="86"/>
      <c r="K101" s="86"/>
      <c r="L101" s="84" t="s">
        <v>74</v>
      </c>
      <c r="M101" s="91"/>
    </row>
    <row r="102" spans="1:15" s="80" customFormat="1" ht="20.100000000000001" customHeight="1" x14ac:dyDescent="0.2">
      <c r="A102" s="86"/>
      <c r="B102" s="86"/>
      <c r="C102" s="86"/>
      <c r="D102" s="86"/>
      <c r="E102" s="88">
        <v>46174</v>
      </c>
      <c r="F102" s="86"/>
      <c r="G102" s="86"/>
      <c r="H102" s="98"/>
      <c r="I102" s="98">
        <f t="shared" ref="I102:I108" si="2">I101-H102</f>
        <v>0</v>
      </c>
      <c r="J102" s="86"/>
      <c r="K102" s="86"/>
      <c r="L102" s="84" t="s">
        <v>68</v>
      </c>
    </row>
    <row r="103" spans="1:15" s="80" customFormat="1" ht="20.100000000000001" customHeight="1" x14ac:dyDescent="0.2">
      <c r="A103" s="86"/>
      <c r="B103" s="86"/>
      <c r="C103" s="88"/>
      <c r="D103" s="127"/>
      <c r="E103" s="88">
        <v>46175</v>
      </c>
      <c r="F103" s="86"/>
      <c r="G103" s="86"/>
      <c r="H103" s="98"/>
      <c r="I103" s="98">
        <f t="shared" si="2"/>
        <v>0</v>
      </c>
      <c r="J103" s="86"/>
      <c r="K103" s="86"/>
      <c r="L103" s="84" t="s">
        <v>68</v>
      </c>
    </row>
    <row r="104" spans="1:15" s="80" customFormat="1" ht="20.100000000000001" customHeight="1" x14ac:dyDescent="0.2">
      <c r="A104" s="86"/>
      <c r="B104" s="86"/>
      <c r="C104" s="88"/>
      <c r="D104" s="127"/>
      <c r="E104" s="88">
        <v>46176</v>
      </c>
      <c r="F104" s="86"/>
      <c r="G104" s="86"/>
      <c r="H104" s="98"/>
      <c r="I104" s="98">
        <f t="shared" si="2"/>
        <v>0</v>
      </c>
      <c r="J104" s="86"/>
      <c r="K104" s="86"/>
      <c r="L104" s="84" t="s">
        <v>68</v>
      </c>
    </row>
    <row r="105" spans="1:15" s="80" customFormat="1" ht="20.100000000000001" customHeight="1" x14ac:dyDescent="0.2">
      <c r="A105" s="86"/>
      <c r="B105" s="86"/>
      <c r="C105" s="88"/>
      <c r="D105" s="92"/>
      <c r="E105" s="88">
        <v>46177</v>
      </c>
      <c r="F105" s="86"/>
      <c r="G105" s="86"/>
      <c r="H105" s="98"/>
      <c r="I105" s="98">
        <f t="shared" si="2"/>
        <v>0</v>
      </c>
      <c r="J105" s="86"/>
      <c r="K105" s="86"/>
      <c r="L105" s="84" t="s">
        <v>68</v>
      </c>
    </row>
    <row r="106" spans="1:15" s="80" customFormat="1" ht="20.100000000000001" customHeight="1" x14ac:dyDescent="0.2">
      <c r="A106" s="86"/>
      <c r="B106" s="86"/>
      <c r="C106" s="88"/>
      <c r="D106" s="92"/>
      <c r="E106" s="88">
        <v>46178</v>
      </c>
      <c r="F106" s="107"/>
      <c r="G106" s="106"/>
      <c r="H106" s="107"/>
      <c r="I106" s="98">
        <f t="shared" si="2"/>
        <v>0</v>
      </c>
      <c r="J106" s="86"/>
      <c r="K106" s="86"/>
      <c r="L106" s="84" t="s">
        <v>76</v>
      </c>
    </row>
    <row r="107" spans="1:15" s="80" customFormat="1" ht="20.100000000000001" customHeight="1" x14ac:dyDescent="0.2">
      <c r="A107" s="86"/>
      <c r="B107" s="86"/>
      <c r="C107" s="88"/>
      <c r="D107" s="127"/>
      <c r="E107" s="88">
        <v>46179</v>
      </c>
      <c r="F107" s="107"/>
      <c r="G107" s="106"/>
      <c r="H107" s="107"/>
      <c r="I107" s="98">
        <f t="shared" si="2"/>
        <v>0</v>
      </c>
      <c r="J107" s="86"/>
      <c r="K107" s="86"/>
      <c r="L107" s="84" t="s">
        <v>76</v>
      </c>
    </row>
    <row r="108" spans="1:15" s="80" customFormat="1" ht="20.100000000000001" customHeight="1" x14ac:dyDescent="0.2">
      <c r="A108" s="86"/>
      <c r="B108" s="86"/>
      <c r="C108" s="88"/>
      <c r="D108" s="99"/>
      <c r="E108" s="88">
        <v>46180</v>
      </c>
      <c r="F108" s="107"/>
      <c r="G108" s="106"/>
      <c r="H108" s="107"/>
      <c r="I108" s="98">
        <f t="shared" si="2"/>
        <v>0</v>
      </c>
      <c r="J108" s="86"/>
      <c r="K108" s="86"/>
      <c r="L108" s="84" t="s">
        <v>76</v>
      </c>
    </row>
    <row r="109" spans="1:15" s="80" customFormat="1" ht="20.100000000000001" customHeight="1" x14ac:dyDescent="0.2">
      <c r="A109" s="86"/>
      <c r="B109" s="86"/>
      <c r="C109" s="88"/>
      <c r="D109" s="98"/>
      <c r="E109" s="88"/>
      <c r="F109" s="86"/>
      <c r="G109" s="86"/>
      <c r="H109" s="98"/>
      <c r="I109" s="100">
        <f>I108</f>
        <v>0</v>
      </c>
      <c r="J109" s="86"/>
      <c r="K109" s="86"/>
      <c r="L109" s="105" t="s">
        <v>73</v>
      </c>
    </row>
    <row r="110" spans="1:15" s="80" customFormat="1" ht="20.100000000000001" customHeight="1" x14ac:dyDescent="0.2">
      <c r="A110" s="86"/>
      <c r="B110" s="86"/>
      <c r="C110" s="88"/>
      <c r="D110" s="99"/>
      <c r="E110" s="88"/>
      <c r="F110" s="86"/>
      <c r="G110" s="86"/>
      <c r="H110" s="98"/>
      <c r="I110" s="118"/>
      <c r="J110" s="119"/>
      <c r="K110" s="119"/>
      <c r="L110" s="120"/>
      <c r="O110" s="91"/>
    </row>
    <row r="111" spans="1:15" s="80" customFormat="1" ht="20.100000000000001" customHeight="1" x14ac:dyDescent="0.2">
      <c r="A111" s="86"/>
      <c r="B111" s="86"/>
      <c r="C111" s="88"/>
      <c r="D111" s="99"/>
      <c r="E111" s="88"/>
      <c r="F111" s="107"/>
      <c r="G111" s="106"/>
      <c r="H111" s="107"/>
      <c r="I111" s="118"/>
      <c r="J111" s="119"/>
      <c r="K111" s="119"/>
      <c r="L111" s="120"/>
      <c r="O111" s="97"/>
    </row>
    <row r="112" spans="1:15" s="80" customFormat="1" ht="20.100000000000001" customHeight="1" x14ac:dyDescent="0.2">
      <c r="A112" s="86"/>
      <c r="B112" s="86"/>
      <c r="C112" s="88"/>
      <c r="D112" s="99"/>
      <c r="E112" s="88"/>
      <c r="F112" s="86"/>
      <c r="G112" s="86"/>
      <c r="H112" s="98"/>
      <c r="I112" s="98"/>
      <c r="J112" s="98"/>
      <c r="K112" s="98"/>
      <c r="L112" s="98"/>
    </row>
    <row r="113" spans="1:26" s="80" customFormat="1" ht="20.100000000000001" customHeight="1" x14ac:dyDescent="0.2">
      <c r="A113" s="86"/>
      <c r="B113" s="86"/>
      <c r="C113" s="88"/>
      <c r="D113" s="99"/>
      <c r="E113" s="88"/>
      <c r="F113" s="86"/>
      <c r="G113" s="86"/>
      <c r="H113" s="98"/>
      <c r="I113" s="98"/>
      <c r="J113" s="98"/>
      <c r="K113" s="98"/>
      <c r="L113" s="98"/>
    </row>
    <row r="114" spans="1:26" s="80" customFormat="1" ht="20.100000000000001" customHeight="1" x14ac:dyDescent="0.2">
      <c r="A114" s="86"/>
      <c r="B114" s="86"/>
      <c r="C114" s="88"/>
      <c r="D114" s="92"/>
      <c r="E114" s="88"/>
      <c r="F114" s="86"/>
      <c r="G114" s="86"/>
      <c r="H114" s="87"/>
      <c r="I114" s="87"/>
      <c r="J114" s="86"/>
      <c r="K114" s="86"/>
      <c r="L114" s="84"/>
    </row>
    <row r="115" spans="1:26" s="80" customFormat="1" ht="11.25" customHeight="1" x14ac:dyDescent="0.2"/>
    <row r="116" spans="1:26" s="80" customFormat="1" ht="15.75" customHeight="1" x14ac:dyDescent="0.2"/>
    <row r="117" spans="1:26" s="80" customFormat="1" ht="21.75" customHeight="1" x14ac:dyDescent="0.2">
      <c r="A117" s="78" t="s">
        <v>78</v>
      </c>
      <c r="B117" s="78"/>
      <c r="C117" s="80" t="s">
        <v>80</v>
      </c>
      <c r="E117" s="78" t="s">
        <v>75</v>
      </c>
      <c r="F117" s="78"/>
      <c r="G117" s="78"/>
      <c r="J117" s="78"/>
      <c r="K117" s="78"/>
      <c r="S117" s="89"/>
      <c r="W117" s="89"/>
      <c r="X117" s="78"/>
      <c r="Y117" s="78"/>
    </row>
    <row r="118" spans="1:26" s="80" customFormat="1" ht="21.75" customHeight="1" x14ac:dyDescent="0.2">
      <c r="A118" s="78"/>
      <c r="B118" s="78"/>
      <c r="C118" s="78"/>
      <c r="E118" s="78"/>
      <c r="F118" s="78"/>
      <c r="G118" s="78"/>
      <c r="J118" s="78"/>
      <c r="K118" s="78"/>
      <c r="S118" s="89"/>
      <c r="W118" s="89"/>
      <c r="X118" s="78"/>
      <c r="Y118" s="78"/>
    </row>
    <row r="119" spans="1:26" ht="21" customHeight="1" x14ac:dyDescent="0.25">
      <c r="A119" s="78"/>
      <c r="B119" s="77"/>
      <c r="C119" s="77"/>
      <c r="E119" s="77"/>
      <c r="F119" s="77"/>
      <c r="G119" s="77"/>
      <c r="J119" s="77"/>
      <c r="K119" s="77"/>
      <c r="O119" s="77"/>
      <c r="Q119" s="79"/>
      <c r="S119" s="77"/>
      <c r="X119" s="77"/>
      <c r="Y119" s="77"/>
      <c r="Z119" s="77"/>
    </row>
    <row r="120" spans="1:26" s="80" customFormat="1" ht="21" customHeight="1" x14ac:dyDescent="0.2">
      <c r="A120" s="81" t="str">
        <f>A36</f>
        <v>MR. MARK JAY E. CASTILLON</v>
      </c>
      <c r="B120" s="81"/>
      <c r="C120" s="81" t="str">
        <f>C36</f>
        <v>ENGR. EDWIN B. BATAL</v>
      </c>
      <c r="E120" s="81" t="str">
        <f>E36</f>
        <v>ENGR. JOHN MARTIN R. CIRIO</v>
      </c>
      <c r="F120" s="81"/>
      <c r="G120" s="81"/>
      <c r="J120" s="81"/>
      <c r="K120" s="81"/>
      <c r="O120" s="78"/>
      <c r="Q120" s="90"/>
    </row>
    <row r="121" spans="1:26" s="80" customFormat="1" ht="21" customHeight="1" x14ac:dyDescent="0.2">
      <c r="A121" s="78" t="s">
        <v>81</v>
      </c>
      <c r="B121" s="78"/>
      <c r="C121" s="78" t="str">
        <f>C37</f>
        <v>Mine Explosives Asst. Manager</v>
      </c>
      <c r="E121" s="78" t="str">
        <f>E37</f>
        <v>Long Range Mine Development Manager</v>
      </c>
      <c r="F121" s="78"/>
      <c r="G121" s="78"/>
      <c r="J121" s="78"/>
      <c r="K121" s="78"/>
      <c r="O121" s="78"/>
      <c r="Q121" s="90"/>
    </row>
    <row r="122" spans="1:26" s="80" customFormat="1" ht="21" customHeight="1" x14ac:dyDescent="0.2">
      <c r="A122" s="78" t="s">
        <v>77</v>
      </c>
      <c r="B122" s="78"/>
      <c r="C122" s="78" t="s">
        <v>0</v>
      </c>
      <c r="E122" s="101" t="s">
        <v>0</v>
      </c>
      <c r="F122" s="78"/>
      <c r="G122" s="78"/>
      <c r="J122" s="78"/>
      <c r="O122" s="78"/>
      <c r="Q122" s="90"/>
    </row>
    <row r="123" spans="1:26" s="80" customFormat="1" ht="27" customHeight="1" x14ac:dyDescent="0.25">
      <c r="A123" s="76"/>
      <c r="B123" s="78"/>
      <c r="D123" s="78"/>
      <c r="E123" s="78"/>
      <c r="F123" s="78"/>
      <c r="G123" s="78"/>
      <c r="I123" s="78"/>
      <c r="J123" s="78"/>
      <c r="O123" s="78"/>
      <c r="Q123" s="90"/>
    </row>
    <row r="124" spans="1:26" ht="13.5" customHeight="1" x14ac:dyDescent="0.25"/>
    <row r="130" spans="1:13" ht="20.25" customHeight="1" x14ac:dyDescent="0.25"/>
    <row r="131" spans="1:13" s="80" customFormat="1" ht="20.100000000000001" customHeight="1" x14ac:dyDescent="0.2">
      <c r="A131" s="177" t="s">
        <v>56</v>
      </c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</row>
    <row r="132" spans="1:13" s="80" customFormat="1" ht="20.100000000000001" customHeight="1" x14ac:dyDescent="0.2">
      <c r="A132" s="177" t="s">
        <v>57</v>
      </c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</row>
    <row r="133" spans="1:13" s="80" customFormat="1" ht="20.100000000000001" customHeight="1" x14ac:dyDescent="0.2">
      <c r="A133" s="177" t="str">
        <f>A12</f>
        <v>Period Covered : JUNE 1-7, 2026</v>
      </c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</row>
    <row r="134" spans="1:13" s="80" customFormat="1" ht="12" customHeight="1" x14ac:dyDescent="0.2"/>
    <row r="135" spans="1:13" s="80" customFormat="1" ht="12" customHeight="1" x14ac:dyDescent="0.2"/>
    <row r="136" spans="1:13" s="80" customFormat="1" ht="20.100000000000001" customHeight="1" x14ac:dyDescent="0.2">
      <c r="A136" s="80" t="s">
        <v>58</v>
      </c>
      <c r="B136" s="110" t="str">
        <f>B14</f>
        <v>PHILSAGA MINING CORPORATION - TIGERWAY DECLINE PROJECT</v>
      </c>
      <c r="C136" s="110"/>
      <c r="D136" s="110"/>
      <c r="E136" s="110"/>
    </row>
    <row r="137" spans="1:13" s="80" customFormat="1" ht="20.100000000000001" customHeight="1" x14ac:dyDescent="0.2">
      <c r="A137" s="80" t="s">
        <v>59</v>
      </c>
      <c r="B137" s="178" t="str">
        <f>B15</f>
        <v>MOUNT ROCK POWDER CORPORATION MAGAZINE</v>
      </c>
      <c r="C137" s="178"/>
      <c r="D137" s="178"/>
      <c r="E137" s="111"/>
    </row>
    <row r="138" spans="1:13" s="80" customFormat="1" ht="6" customHeight="1" x14ac:dyDescent="0.2"/>
    <row r="139" spans="1:13" s="80" customFormat="1" ht="39.75" customHeight="1" x14ac:dyDescent="0.2">
      <c r="A139" s="82" t="s">
        <v>60</v>
      </c>
      <c r="B139" s="82" t="s">
        <v>61</v>
      </c>
      <c r="C139" s="82" t="s">
        <v>62</v>
      </c>
      <c r="D139" s="82" t="s">
        <v>63</v>
      </c>
      <c r="E139" s="83" t="s">
        <v>64</v>
      </c>
      <c r="F139" s="83" t="s">
        <v>64</v>
      </c>
      <c r="G139" s="83" t="s">
        <v>64</v>
      </c>
      <c r="H139" s="83" t="s">
        <v>65</v>
      </c>
      <c r="I139" s="82" t="s">
        <v>66</v>
      </c>
      <c r="J139" s="82"/>
      <c r="K139" s="82"/>
      <c r="L139" s="82" t="s">
        <v>67</v>
      </c>
    </row>
    <row r="140" spans="1:13" s="80" customFormat="1" ht="39.75" customHeight="1" x14ac:dyDescent="0.2">
      <c r="A140" s="85" t="s">
        <v>69</v>
      </c>
      <c r="B140" s="84" t="s">
        <v>71</v>
      </c>
      <c r="C140" s="86"/>
      <c r="D140" s="86"/>
      <c r="E140" s="88"/>
      <c r="F140" s="86"/>
      <c r="G140" s="86"/>
      <c r="H140" s="102"/>
      <c r="I140" s="87">
        <v>1800</v>
      </c>
      <c r="J140" s="86"/>
      <c r="K140" s="86"/>
      <c r="L140" s="84" t="s">
        <v>74</v>
      </c>
    </row>
    <row r="141" spans="1:13" s="80" customFormat="1" ht="20.100000000000001" customHeight="1" x14ac:dyDescent="0.2">
      <c r="A141" s="86"/>
      <c r="B141" s="86"/>
      <c r="C141" s="86"/>
      <c r="D141" s="86"/>
      <c r="E141" s="88">
        <v>46174</v>
      </c>
      <c r="F141" s="86"/>
      <c r="G141" s="86"/>
      <c r="H141" s="98"/>
      <c r="I141" s="98">
        <f t="shared" ref="I141:I147" si="3">I140-H141</f>
        <v>1800</v>
      </c>
      <c r="J141" s="86"/>
      <c r="K141" s="86"/>
      <c r="L141" s="84" t="s">
        <v>68</v>
      </c>
    </row>
    <row r="142" spans="1:13" s="80" customFormat="1" ht="20.100000000000001" customHeight="1" x14ac:dyDescent="0.2">
      <c r="A142" s="86"/>
      <c r="B142" s="86"/>
      <c r="C142" s="88"/>
      <c r="D142" s="123"/>
      <c r="E142" s="88">
        <v>46175</v>
      </c>
      <c r="F142" s="86"/>
      <c r="G142" s="86"/>
      <c r="H142" s="98"/>
      <c r="I142" s="98">
        <f t="shared" si="3"/>
        <v>1800</v>
      </c>
      <c r="J142" s="86"/>
      <c r="K142" s="86"/>
      <c r="L142" s="84" t="s">
        <v>68</v>
      </c>
    </row>
    <row r="143" spans="1:13" s="80" customFormat="1" ht="20.100000000000001" customHeight="1" x14ac:dyDescent="0.2">
      <c r="A143" s="86"/>
      <c r="B143" s="86"/>
      <c r="C143" s="88"/>
      <c r="D143" s="126"/>
      <c r="E143" s="88">
        <v>46176</v>
      </c>
      <c r="F143" s="86"/>
      <c r="G143" s="86"/>
      <c r="H143" s="98"/>
      <c r="I143" s="98">
        <f t="shared" si="3"/>
        <v>1800</v>
      </c>
      <c r="J143" s="86"/>
      <c r="K143" s="86"/>
      <c r="L143" s="84" t="s">
        <v>68</v>
      </c>
    </row>
    <row r="144" spans="1:13" s="80" customFormat="1" ht="20.100000000000001" customHeight="1" x14ac:dyDescent="0.2">
      <c r="A144" s="86"/>
      <c r="B144" s="86"/>
      <c r="C144" s="88"/>
      <c r="D144" s="126"/>
      <c r="E144" s="88">
        <v>46177</v>
      </c>
      <c r="F144" s="86"/>
      <c r="G144" s="86"/>
      <c r="H144" s="98"/>
      <c r="I144" s="98">
        <f t="shared" si="3"/>
        <v>1800</v>
      </c>
      <c r="J144" s="86"/>
      <c r="K144" s="86"/>
      <c r="L144" s="84" t="s">
        <v>68</v>
      </c>
    </row>
    <row r="145" spans="1:26" s="80" customFormat="1" ht="20.100000000000001" customHeight="1" x14ac:dyDescent="0.2">
      <c r="A145" s="86"/>
      <c r="B145" s="86"/>
      <c r="C145" s="88"/>
      <c r="D145" s="123"/>
      <c r="E145" s="88">
        <v>46178</v>
      </c>
      <c r="F145" s="107"/>
      <c r="G145" s="106"/>
      <c r="H145" s="107"/>
      <c r="I145" s="98">
        <f t="shared" si="3"/>
        <v>1800</v>
      </c>
      <c r="J145" s="86"/>
      <c r="K145" s="86"/>
      <c r="L145" s="84" t="s">
        <v>68</v>
      </c>
    </row>
    <row r="146" spans="1:26" s="80" customFormat="1" ht="20.100000000000001" customHeight="1" x14ac:dyDescent="0.2">
      <c r="A146" s="86"/>
      <c r="B146" s="86"/>
      <c r="C146" s="88"/>
      <c r="D146" s="123"/>
      <c r="E146" s="88">
        <v>46179</v>
      </c>
      <c r="F146" s="107"/>
      <c r="G146" s="106"/>
      <c r="H146" s="107"/>
      <c r="I146" s="98">
        <f t="shared" si="3"/>
        <v>1800</v>
      </c>
      <c r="J146" s="86"/>
      <c r="K146" s="86"/>
      <c r="L146" s="84" t="s">
        <v>68</v>
      </c>
    </row>
    <row r="147" spans="1:26" s="80" customFormat="1" ht="20.100000000000001" customHeight="1" x14ac:dyDescent="0.2">
      <c r="A147" s="86"/>
      <c r="B147" s="86"/>
      <c r="C147" s="88"/>
      <c r="D147" s="86"/>
      <c r="E147" s="88">
        <v>46180</v>
      </c>
      <c r="F147" s="107"/>
      <c r="G147" s="106"/>
      <c r="H147" s="107"/>
      <c r="I147" s="98">
        <f t="shared" si="3"/>
        <v>1800</v>
      </c>
      <c r="J147" s="86"/>
      <c r="K147" s="86"/>
      <c r="L147" s="84" t="s">
        <v>76</v>
      </c>
    </row>
    <row r="148" spans="1:26" s="80" customFormat="1" ht="20.100000000000001" customHeight="1" x14ac:dyDescent="0.2">
      <c r="A148" s="86"/>
      <c r="B148" s="86"/>
      <c r="C148" s="88"/>
      <c r="D148" s="98"/>
      <c r="E148" s="88"/>
      <c r="F148" s="86"/>
      <c r="G148" s="86"/>
      <c r="H148" s="107"/>
      <c r="I148" s="100">
        <f>I147</f>
        <v>1800</v>
      </c>
      <c r="J148" s="86"/>
      <c r="K148" s="86"/>
      <c r="L148" s="105" t="s">
        <v>73</v>
      </c>
      <c r="O148" s="91">
        <f>I148/25</f>
        <v>72</v>
      </c>
    </row>
    <row r="149" spans="1:26" s="80" customFormat="1" ht="20.100000000000001" customHeight="1" x14ac:dyDescent="0.2">
      <c r="A149" s="86"/>
      <c r="B149" s="86"/>
      <c r="C149" s="88"/>
      <c r="D149" s="99"/>
      <c r="E149" s="88"/>
      <c r="F149" s="86"/>
      <c r="G149" s="86"/>
      <c r="H149" s="98"/>
      <c r="I149" s="118"/>
      <c r="J149" s="119"/>
      <c r="K149" s="119"/>
      <c r="L149" s="120"/>
      <c r="O149" s="96"/>
    </row>
    <row r="150" spans="1:26" s="80" customFormat="1" ht="20.100000000000001" customHeight="1" x14ac:dyDescent="0.2">
      <c r="A150" s="86"/>
      <c r="B150" s="86"/>
      <c r="C150" s="88"/>
      <c r="D150" s="99"/>
      <c r="E150" s="88"/>
      <c r="F150" s="107"/>
      <c r="G150" s="106"/>
      <c r="H150" s="107"/>
      <c r="I150" s="118"/>
      <c r="J150" s="119"/>
      <c r="K150" s="119"/>
      <c r="L150" s="120"/>
      <c r="O150" s="91"/>
    </row>
    <row r="151" spans="1:26" s="80" customFormat="1" ht="20.100000000000001" customHeight="1" x14ac:dyDescent="0.2">
      <c r="A151" s="86"/>
      <c r="B151" s="86"/>
      <c r="C151" s="88"/>
      <c r="D151" s="92"/>
      <c r="E151" s="88"/>
      <c r="F151" s="86"/>
      <c r="G151" s="86"/>
      <c r="H151" s="87"/>
      <c r="I151" s="124"/>
      <c r="J151" s="119"/>
      <c r="K151" s="119"/>
      <c r="L151" s="125"/>
    </row>
    <row r="152" spans="1:26" s="80" customFormat="1" ht="11.25" customHeight="1" x14ac:dyDescent="0.2"/>
    <row r="153" spans="1:26" s="80" customFormat="1" ht="13.5" customHeight="1" x14ac:dyDescent="0.2">
      <c r="H153" s="103"/>
    </row>
    <row r="154" spans="1:26" s="80" customFormat="1" ht="21.75" customHeight="1" x14ac:dyDescent="0.2">
      <c r="A154" s="78" t="s">
        <v>78</v>
      </c>
      <c r="B154" s="78"/>
      <c r="C154" s="80" t="s">
        <v>80</v>
      </c>
      <c r="E154" s="78" t="s">
        <v>75</v>
      </c>
      <c r="F154" s="78"/>
      <c r="G154" s="78"/>
      <c r="J154" s="78"/>
      <c r="K154" s="78"/>
      <c r="S154" s="89"/>
      <c r="W154" s="89"/>
      <c r="X154" s="78"/>
      <c r="Y154" s="78"/>
    </row>
    <row r="155" spans="1:26" s="80" customFormat="1" ht="21.75" customHeight="1" x14ac:dyDescent="0.2">
      <c r="A155" s="78"/>
      <c r="B155" s="78"/>
      <c r="C155" s="78"/>
      <c r="E155" s="78"/>
      <c r="F155" s="78"/>
      <c r="G155" s="78"/>
      <c r="J155" s="78"/>
      <c r="K155" s="78"/>
      <c r="S155" s="89"/>
      <c r="W155" s="89"/>
      <c r="X155" s="78"/>
      <c r="Y155" s="78"/>
    </row>
    <row r="156" spans="1:26" ht="21" customHeight="1" x14ac:dyDescent="0.25">
      <c r="A156" s="78"/>
      <c r="B156" s="77"/>
      <c r="C156" s="77"/>
      <c r="E156" s="77"/>
      <c r="F156" s="77"/>
      <c r="G156" s="77"/>
      <c r="J156" s="77"/>
      <c r="K156" s="77"/>
      <c r="O156" s="77"/>
      <c r="Q156" s="79"/>
      <c r="S156" s="77"/>
      <c r="X156" s="77"/>
      <c r="Y156" s="77"/>
      <c r="Z156" s="77"/>
    </row>
    <row r="157" spans="1:26" s="80" customFormat="1" ht="21" customHeight="1" x14ac:dyDescent="0.2">
      <c r="A157" s="81" t="str">
        <f>A36</f>
        <v>MR. MARK JAY E. CASTILLON</v>
      </c>
      <c r="B157" s="81"/>
      <c r="C157" s="81" t="str">
        <f>C36</f>
        <v>ENGR. EDWIN B. BATAL</v>
      </c>
      <c r="E157" s="81" t="str">
        <f>E36</f>
        <v>ENGR. JOHN MARTIN R. CIRIO</v>
      </c>
      <c r="F157" s="81"/>
      <c r="G157" s="81"/>
      <c r="J157" s="81"/>
      <c r="K157" s="81"/>
      <c r="O157" s="78"/>
      <c r="Q157" s="90"/>
    </row>
    <row r="158" spans="1:26" s="80" customFormat="1" ht="21" customHeight="1" x14ac:dyDescent="0.2">
      <c r="A158" s="78" t="s">
        <v>81</v>
      </c>
      <c r="B158" s="78"/>
      <c r="C158" s="78" t="str">
        <f>C37</f>
        <v>Mine Explosives Asst. Manager</v>
      </c>
      <c r="E158" s="78" t="str">
        <f>E37</f>
        <v>Long Range Mine Development Manager</v>
      </c>
      <c r="F158" s="78"/>
      <c r="G158" s="78"/>
      <c r="J158" s="78"/>
      <c r="K158" s="78"/>
      <c r="O158" s="78"/>
      <c r="Q158" s="90"/>
    </row>
    <row r="159" spans="1:26" s="80" customFormat="1" ht="21" customHeight="1" x14ac:dyDescent="0.2">
      <c r="A159" s="78" t="s">
        <v>77</v>
      </c>
      <c r="B159" s="78"/>
      <c r="C159" s="78" t="s">
        <v>0</v>
      </c>
      <c r="E159" s="101" t="s">
        <v>0</v>
      </c>
      <c r="F159" s="78"/>
      <c r="G159" s="78"/>
      <c r="J159" s="78"/>
      <c r="O159" s="78"/>
      <c r="Q159" s="90"/>
    </row>
    <row r="160" spans="1:26" s="80" customFormat="1" ht="22.5" customHeight="1" x14ac:dyDescent="0.25">
      <c r="A160" s="76"/>
      <c r="B160" s="78"/>
      <c r="D160" s="78"/>
      <c r="E160" s="78"/>
      <c r="F160" s="78"/>
      <c r="G160" s="78"/>
      <c r="I160" s="78"/>
      <c r="J160" s="78"/>
      <c r="O160" s="78"/>
      <c r="Q160" s="90"/>
    </row>
    <row r="161" spans="1:17" s="80" customFormat="1" ht="22.5" customHeight="1" x14ac:dyDescent="0.25">
      <c r="A161" s="76"/>
      <c r="B161" s="78"/>
      <c r="D161" s="78"/>
      <c r="E161" s="78"/>
      <c r="F161" s="78"/>
      <c r="G161" s="78"/>
      <c r="I161" s="78"/>
      <c r="J161" s="78"/>
      <c r="O161" s="78"/>
      <c r="Q161" s="90"/>
    </row>
    <row r="162" spans="1:17" ht="21" customHeight="1" x14ac:dyDescent="0.25"/>
    <row r="168" spans="1:17" ht="20.25" customHeight="1" x14ac:dyDescent="0.25"/>
    <row r="170" spans="1:17" s="80" customFormat="1" ht="20.25" x14ac:dyDescent="0.2">
      <c r="A170" s="177" t="s">
        <v>56</v>
      </c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</row>
    <row r="171" spans="1:17" s="80" customFormat="1" ht="20.100000000000001" customHeight="1" x14ac:dyDescent="0.2">
      <c r="A171" s="177" t="s">
        <v>57</v>
      </c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</row>
    <row r="172" spans="1:17" s="80" customFormat="1" ht="20.100000000000001" customHeight="1" x14ac:dyDescent="0.2">
      <c r="A172" s="177" t="str">
        <f>A12</f>
        <v>Period Covered : JUNE 1-7, 2026</v>
      </c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</row>
    <row r="173" spans="1:17" s="80" customFormat="1" ht="12.75" customHeight="1" x14ac:dyDescent="0.2"/>
    <row r="174" spans="1:17" s="80" customFormat="1" ht="12.75" customHeight="1" x14ac:dyDescent="0.2"/>
    <row r="175" spans="1:17" s="80" customFormat="1" ht="20.100000000000001" customHeight="1" x14ac:dyDescent="0.2">
      <c r="A175" s="80" t="s">
        <v>58</v>
      </c>
      <c r="B175" s="110" t="str">
        <f>B14</f>
        <v>PHILSAGA MINING CORPORATION - TIGERWAY DECLINE PROJECT</v>
      </c>
      <c r="C175" s="110"/>
      <c r="D175" s="110"/>
      <c r="E175" s="110"/>
    </row>
    <row r="176" spans="1:17" s="80" customFormat="1" ht="20.100000000000001" customHeight="1" x14ac:dyDescent="0.2">
      <c r="A176" s="80" t="s">
        <v>59</v>
      </c>
      <c r="B176" s="178" t="str">
        <f>B15</f>
        <v>MOUNT ROCK POWDER CORPORATION MAGAZINE</v>
      </c>
      <c r="C176" s="178"/>
      <c r="D176" s="178"/>
      <c r="E176" s="111"/>
    </row>
    <row r="177" spans="1:17" s="80" customFormat="1" ht="6" customHeight="1" x14ac:dyDescent="0.2"/>
    <row r="178" spans="1:17" s="80" customFormat="1" ht="39.75" customHeight="1" x14ac:dyDescent="0.2">
      <c r="A178" s="82" t="s">
        <v>60</v>
      </c>
      <c r="B178" s="82" t="s">
        <v>61</v>
      </c>
      <c r="C178" s="82" t="s">
        <v>62</v>
      </c>
      <c r="D178" s="82" t="s">
        <v>63</v>
      </c>
      <c r="E178" s="83" t="s">
        <v>64</v>
      </c>
      <c r="F178" s="83" t="s">
        <v>64</v>
      </c>
      <c r="G178" s="83" t="s">
        <v>64</v>
      </c>
      <c r="H178" s="83" t="s">
        <v>65</v>
      </c>
      <c r="I178" s="82" t="s">
        <v>66</v>
      </c>
      <c r="J178" s="82"/>
      <c r="K178" s="82"/>
      <c r="L178" s="82" t="s">
        <v>67</v>
      </c>
    </row>
    <row r="179" spans="1:17" s="80" customFormat="1" ht="39.75" customHeight="1" x14ac:dyDescent="0.2">
      <c r="A179" s="85" t="s">
        <v>70</v>
      </c>
      <c r="B179" s="84" t="s">
        <v>21</v>
      </c>
      <c r="C179" s="86"/>
      <c r="D179" s="86"/>
      <c r="E179" s="88"/>
      <c r="F179" s="86"/>
      <c r="G179" s="86"/>
      <c r="H179" s="87"/>
      <c r="I179" s="112">
        <v>730</v>
      </c>
      <c r="J179" s="86"/>
      <c r="K179" s="86"/>
      <c r="L179" s="84" t="s">
        <v>74</v>
      </c>
      <c r="O179" s="103"/>
    </row>
    <row r="180" spans="1:17" s="80" customFormat="1" ht="20.100000000000001" customHeight="1" x14ac:dyDescent="0.2">
      <c r="A180" s="86"/>
      <c r="B180" s="86"/>
      <c r="C180" s="86"/>
      <c r="D180" s="86"/>
      <c r="E180" s="88">
        <v>46174</v>
      </c>
      <c r="F180" s="86"/>
      <c r="G180" s="86"/>
      <c r="H180" s="98"/>
      <c r="I180" s="98">
        <f t="shared" ref="I180:I186" si="4">I179-H180</f>
        <v>730</v>
      </c>
      <c r="J180" s="86"/>
      <c r="K180" s="86"/>
      <c r="L180" s="84" t="s">
        <v>68</v>
      </c>
    </row>
    <row r="181" spans="1:17" s="80" customFormat="1" ht="20.100000000000001" customHeight="1" x14ac:dyDescent="0.2">
      <c r="A181" s="86"/>
      <c r="B181" s="86"/>
      <c r="C181" s="88"/>
      <c r="D181" s="128"/>
      <c r="E181" s="88">
        <v>46175</v>
      </c>
      <c r="F181" s="86"/>
      <c r="G181" s="86"/>
      <c r="H181" s="98"/>
      <c r="I181" s="98">
        <f t="shared" si="4"/>
        <v>730</v>
      </c>
      <c r="J181" s="86"/>
      <c r="K181" s="86"/>
      <c r="L181" s="84" t="s">
        <v>68</v>
      </c>
      <c r="Q181" s="121"/>
    </row>
    <row r="182" spans="1:17" s="80" customFormat="1" ht="20.100000000000001" customHeight="1" x14ac:dyDescent="0.2">
      <c r="A182" s="86"/>
      <c r="B182" s="86"/>
      <c r="C182" s="88"/>
      <c r="D182" s="92"/>
      <c r="E182" s="88">
        <v>46176</v>
      </c>
      <c r="F182" s="86"/>
      <c r="G182" s="86"/>
      <c r="H182" s="98"/>
      <c r="I182" s="98">
        <f t="shared" si="4"/>
        <v>730</v>
      </c>
      <c r="J182" s="86"/>
      <c r="K182" s="86"/>
      <c r="L182" s="84" t="s">
        <v>68</v>
      </c>
    </row>
    <row r="183" spans="1:17" s="80" customFormat="1" ht="20.100000000000001" customHeight="1" x14ac:dyDescent="0.2">
      <c r="A183" s="86"/>
      <c r="B183" s="86"/>
      <c r="C183" s="88"/>
      <c r="D183" s="129"/>
      <c r="E183" s="88">
        <v>46177</v>
      </c>
      <c r="F183" s="86"/>
      <c r="G183" s="86"/>
      <c r="H183" s="98"/>
      <c r="I183" s="98">
        <f t="shared" si="4"/>
        <v>730</v>
      </c>
      <c r="J183" s="86"/>
      <c r="K183" s="86"/>
      <c r="L183" s="84" t="s">
        <v>68</v>
      </c>
    </row>
    <row r="184" spans="1:17" s="80" customFormat="1" ht="20.100000000000001" customHeight="1" x14ac:dyDescent="0.2">
      <c r="A184" s="86"/>
      <c r="B184" s="86"/>
      <c r="C184" s="88"/>
      <c r="D184" s="92"/>
      <c r="E184" s="88">
        <v>46178</v>
      </c>
      <c r="F184" s="107"/>
      <c r="G184" s="106"/>
      <c r="H184" s="107"/>
      <c r="I184" s="98">
        <f t="shared" si="4"/>
        <v>730</v>
      </c>
      <c r="J184" s="86"/>
      <c r="K184" s="86"/>
      <c r="L184" s="84" t="s">
        <v>68</v>
      </c>
    </row>
    <row r="185" spans="1:17" s="80" customFormat="1" ht="20.100000000000001" customHeight="1" x14ac:dyDescent="0.2">
      <c r="A185" s="86"/>
      <c r="B185" s="86"/>
      <c r="C185" s="88"/>
      <c r="D185" s="127"/>
      <c r="E185" s="88">
        <v>46179</v>
      </c>
      <c r="F185" s="107"/>
      <c r="G185" s="106"/>
      <c r="H185" s="98"/>
      <c r="I185" s="98">
        <f t="shared" si="4"/>
        <v>730</v>
      </c>
      <c r="J185" s="86"/>
      <c r="K185" s="86"/>
      <c r="L185" s="84" t="s">
        <v>68</v>
      </c>
    </row>
    <row r="186" spans="1:17" s="80" customFormat="1" ht="20.100000000000001" customHeight="1" x14ac:dyDescent="0.2">
      <c r="A186" s="86"/>
      <c r="B186" s="86"/>
      <c r="C186" s="88"/>
      <c r="D186" s="99"/>
      <c r="E186" s="88">
        <v>46180</v>
      </c>
      <c r="F186" s="107"/>
      <c r="G186" s="106"/>
      <c r="H186" s="98"/>
      <c r="I186" s="98">
        <f t="shared" si="4"/>
        <v>730</v>
      </c>
      <c r="J186" s="86"/>
      <c r="K186" s="86"/>
      <c r="L186" s="84" t="s">
        <v>76</v>
      </c>
    </row>
    <row r="187" spans="1:17" s="80" customFormat="1" ht="20.100000000000001" customHeight="1" x14ac:dyDescent="0.2">
      <c r="A187" s="86"/>
      <c r="B187" s="86"/>
      <c r="C187" s="88"/>
      <c r="D187" s="98"/>
      <c r="E187" s="88"/>
      <c r="F187" s="86"/>
      <c r="G187" s="86"/>
      <c r="H187" s="98"/>
      <c r="I187" s="100">
        <f>I186</f>
        <v>730</v>
      </c>
      <c r="J187" s="86"/>
      <c r="K187" s="86"/>
      <c r="L187" s="105" t="s">
        <v>73</v>
      </c>
    </row>
    <row r="188" spans="1:17" s="80" customFormat="1" ht="20.100000000000001" customHeight="1" x14ac:dyDescent="0.2">
      <c r="A188" s="86"/>
      <c r="B188" s="86"/>
      <c r="C188" s="88"/>
      <c r="D188" s="99"/>
      <c r="E188" s="88"/>
      <c r="F188" s="86"/>
      <c r="G188" s="86"/>
      <c r="H188" s="98"/>
      <c r="I188" s="118"/>
      <c r="J188" s="119"/>
      <c r="K188" s="119"/>
      <c r="L188" s="120"/>
    </row>
    <row r="189" spans="1:17" s="80" customFormat="1" ht="20.100000000000001" customHeight="1" x14ac:dyDescent="0.2">
      <c r="A189" s="86"/>
      <c r="B189" s="86"/>
      <c r="C189" s="88"/>
      <c r="D189" s="99"/>
      <c r="E189" s="88"/>
      <c r="F189" s="107"/>
      <c r="G189" s="106"/>
      <c r="H189" s="107"/>
      <c r="I189" s="118"/>
      <c r="J189" s="119"/>
      <c r="K189" s="119"/>
      <c r="L189" s="120"/>
      <c r="O189" s="91"/>
    </row>
    <row r="190" spans="1:17" s="80" customFormat="1" ht="20.100000000000001" customHeight="1" x14ac:dyDescent="0.2">
      <c r="A190" s="86"/>
      <c r="B190" s="86"/>
      <c r="C190" s="88"/>
      <c r="D190" s="99"/>
      <c r="E190" s="88"/>
      <c r="F190" s="86"/>
      <c r="G190" s="86"/>
      <c r="H190" s="98"/>
      <c r="I190" s="98"/>
      <c r="J190" s="98"/>
      <c r="K190" s="98"/>
      <c r="L190" s="98"/>
      <c r="O190" s="91"/>
    </row>
    <row r="191" spans="1:17" s="80" customFormat="1" ht="20.100000000000001" customHeight="1" x14ac:dyDescent="0.2">
      <c r="A191" s="86"/>
      <c r="B191" s="86"/>
      <c r="C191" s="88"/>
      <c r="D191" s="99"/>
      <c r="E191" s="88"/>
      <c r="F191" s="86"/>
      <c r="G191" s="86"/>
      <c r="H191" s="98"/>
      <c r="I191" s="98"/>
      <c r="J191" s="98"/>
      <c r="K191" s="98"/>
      <c r="L191" s="98"/>
    </row>
    <row r="192" spans="1:17" s="80" customFormat="1" ht="20.100000000000001" customHeight="1" x14ac:dyDescent="0.2">
      <c r="A192" s="86"/>
      <c r="B192" s="86"/>
      <c r="C192" s="88"/>
      <c r="D192" s="92"/>
      <c r="E192" s="88"/>
      <c r="F192" s="86"/>
      <c r="G192" s="86"/>
      <c r="H192" s="87"/>
      <c r="I192" s="87"/>
      <c r="J192" s="86"/>
      <c r="K192" s="86"/>
      <c r="L192" s="84"/>
      <c r="O192" s="91"/>
    </row>
    <row r="193" spans="1:26" s="80" customFormat="1" ht="11.25" customHeight="1" x14ac:dyDescent="0.2"/>
    <row r="194" spans="1:26" s="80" customFormat="1" ht="11.25" customHeight="1" x14ac:dyDescent="0.2"/>
    <row r="195" spans="1:26" s="80" customFormat="1" ht="21.75" customHeight="1" x14ac:dyDescent="0.2">
      <c r="A195" s="78" t="s">
        <v>78</v>
      </c>
      <c r="B195" s="78"/>
      <c r="C195" s="80" t="s">
        <v>80</v>
      </c>
      <c r="E195" s="78" t="s">
        <v>75</v>
      </c>
      <c r="F195" s="78"/>
      <c r="G195" s="78"/>
      <c r="J195" s="78"/>
      <c r="K195" s="78"/>
      <c r="S195" s="89"/>
      <c r="W195" s="89"/>
      <c r="X195" s="78"/>
      <c r="Y195" s="78"/>
    </row>
    <row r="196" spans="1:26" s="80" customFormat="1" ht="21.75" customHeight="1" x14ac:dyDescent="0.2">
      <c r="A196" s="78"/>
      <c r="B196" s="78"/>
      <c r="C196" s="78"/>
      <c r="E196" s="78"/>
      <c r="F196" s="78"/>
      <c r="G196" s="78"/>
      <c r="J196" s="78"/>
      <c r="K196" s="78"/>
      <c r="S196" s="89"/>
      <c r="W196" s="89"/>
      <c r="X196" s="78"/>
      <c r="Y196" s="78"/>
    </row>
    <row r="197" spans="1:26" ht="21" customHeight="1" x14ac:dyDescent="0.25">
      <c r="A197" s="78"/>
      <c r="B197" s="77"/>
      <c r="C197" s="77"/>
      <c r="E197" s="77"/>
      <c r="F197" s="77"/>
      <c r="G197" s="77"/>
      <c r="J197" s="77"/>
      <c r="K197" s="77"/>
      <c r="O197" s="77"/>
      <c r="Q197" s="79"/>
      <c r="S197" s="77"/>
      <c r="X197" s="77"/>
      <c r="Y197" s="77"/>
      <c r="Z197" s="77"/>
    </row>
    <row r="198" spans="1:26" s="80" customFormat="1" ht="21" customHeight="1" x14ac:dyDescent="0.2">
      <c r="A198" s="81" t="str">
        <f>A36</f>
        <v>MR. MARK JAY E. CASTILLON</v>
      </c>
      <c r="B198" s="81"/>
      <c r="C198" s="81" t="str">
        <f>C36</f>
        <v>ENGR. EDWIN B. BATAL</v>
      </c>
      <c r="E198" s="81" t="str">
        <f>E36</f>
        <v>ENGR. JOHN MARTIN R. CIRIO</v>
      </c>
      <c r="F198" s="81"/>
      <c r="G198" s="81"/>
      <c r="J198" s="81"/>
      <c r="K198" s="81"/>
      <c r="O198" s="78"/>
      <c r="Q198" s="90"/>
    </row>
    <row r="199" spans="1:26" s="80" customFormat="1" ht="21" customHeight="1" x14ac:dyDescent="0.2">
      <c r="A199" s="78" t="s">
        <v>81</v>
      </c>
      <c r="B199" s="78"/>
      <c r="C199" s="78" t="str">
        <f>C37</f>
        <v>Mine Explosives Asst. Manager</v>
      </c>
      <c r="E199" s="78" t="str">
        <f>E37</f>
        <v>Long Range Mine Development Manager</v>
      </c>
      <c r="F199" s="78"/>
      <c r="G199" s="78"/>
      <c r="J199" s="78"/>
      <c r="K199" s="78"/>
      <c r="O199" s="78"/>
      <c r="Q199" s="90"/>
    </row>
    <row r="200" spans="1:26" s="80" customFormat="1" ht="21" customHeight="1" x14ac:dyDescent="0.2">
      <c r="A200" s="78" t="s">
        <v>77</v>
      </c>
      <c r="B200" s="78"/>
      <c r="C200" s="78" t="s">
        <v>0</v>
      </c>
      <c r="E200" s="101" t="s">
        <v>0</v>
      </c>
      <c r="F200" s="78"/>
      <c r="G200" s="78"/>
      <c r="J200" s="78"/>
      <c r="O200" s="78"/>
      <c r="Q200" s="90"/>
    </row>
    <row r="207" spans="1:26" ht="20.25" customHeight="1" x14ac:dyDescent="0.25"/>
    <row r="210" spans="1:13" s="80" customFormat="1" ht="20.25" x14ac:dyDescent="0.2">
      <c r="A210" s="177" t="s">
        <v>56</v>
      </c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</row>
    <row r="211" spans="1:13" s="80" customFormat="1" ht="20.100000000000001" customHeight="1" x14ac:dyDescent="0.2">
      <c r="A211" s="177" t="s">
        <v>57</v>
      </c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</row>
    <row r="212" spans="1:13" s="80" customFormat="1" ht="20.100000000000001" customHeight="1" x14ac:dyDescent="0.2">
      <c r="A212" s="177" t="str">
        <f>A12</f>
        <v>Period Covered : JUNE 1-7, 2026</v>
      </c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</row>
    <row r="213" spans="1:13" s="80" customFormat="1" ht="20.100000000000001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</row>
    <row r="214" spans="1:13" s="80" customFormat="1" ht="17.25" customHeight="1" x14ac:dyDescent="0.2"/>
    <row r="215" spans="1:13" s="80" customFormat="1" ht="20.100000000000001" customHeight="1" x14ac:dyDescent="0.2">
      <c r="A215" s="80" t="s">
        <v>58</v>
      </c>
      <c r="B215" s="110" t="str">
        <f>B14</f>
        <v>PHILSAGA MINING CORPORATION - TIGERWAY DECLINE PROJECT</v>
      </c>
      <c r="C215" s="110"/>
      <c r="D215" s="110"/>
      <c r="E215" s="110"/>
    </row>
    <row r="216" spans="1:13" s="80" customFormat="1" ht="20.100000000000001" customHeight="1" x14ac:dyDescent="0.2">
      <c r="A216" s="80" t="s">
        <v>59</v>
      </c>
      <c r="B216" s="178" t="str">
        <f>B15</f>
        <v>MOUNT ROCK POWDER CORPORATION MAGAZINE</v>
      </c>
      <c r="C216" s="178"/>
      <c r="D216" s="178"/>
      <c r="E216" s="111"/>
    </row>
    <row r="217" spans="1:13" s="80" customFormat="1" ht="6" customHeight="1" x14ac:dyDescent="0.2"/>
    <row r="218" spans="1:13" s="80" customFormat="1" ht="39.75" customHeight="1" x14ac:dyDescent="0.2">
      <c r="A218" s="82" t="s">
        <v>60</v>
      </c>
      <c r="B218" s="82" t="s">
        <v>61</v>
      </c>
      <c r="C218" s="82" t="s">
        <v>62</v>
      </c>
      <c r="D218" s="82" t="s">
        <v>63</v>
      </c>
      <c r="E218" s="83" t="s">
        <v>64</v>
      </c>
      <c r="F218" s="83" t="s">
        <v>64</v>
      </c>
      <c r="G218" s="83" t="s">
        <v>64</v>
      </c>
      <c r="H218" s="115" t="s">
        <v>65</v>
      </c>
      <c r="I218" s="82" t="s">
        <v>66</v>
      </c>
      <c r="J218" s="82"/>
      <c r="K218" s="82"/>
      <c r="L218" s="82" t="s">
        <v>67</v>
      </c>
    </row>
    <row r="219" spans="1:13" s="80" customFormat="1" ht="39.75" customHeight="1" x14ac:dyDescent="0.2">
      <c r="A219" s="85" t="s">
        <v>72</v>
      </c>
      <c r="B219" s="84" t="s">
        <v>21</v>
      </c>
      <c r="C219" s="86"/>
      <c r="D219" s="86"/>
      <c r="E219" s="88"/>
      <c r="F219" s="86"/>
      <c r="G219" s="86"/>
      <c r="H219" s="87"/>
      <c r="I219" s="93">
        <v>796</v>
      </c>
      <c r="J219" s="86"/>
      <c r="K219" s="86"/>
      <c r="L219" s="84" t="s">
        <v>74</v>
      </c>
    </row>
    <row r="220" spans="1:13" s="80" customFormat="1" ht="20.100000000000001" customHeight="1" x14ac:dyDescent="0.2">
      <c r="A220" s="86"/>
      <c r="B220" s="86"/>
      <c r="C220" s="86"/>
      <c r="D220" s="86"/>
      <c r="E220" s="88">
        <v>46174</v>
      </c>
      <c r="F220" s="86"/>
      <c r="G220" s="86"/>
      <c r="H220" s="98"/>
      <c r="I220" s="98">
        <f t="shared" ref="I220:I226" si="5">I219-H220</f>
        <v>796</v>
      </c>
      <c r="J220" s="86"/>
      <c r="K220" s="86"/>
      <c r="L220" s="84" t="s">
        <v>68</v>
      </c>
    </row>
    <row r="221" spans="1:13" s="80" customFormat="1" ht="20.100000000000001" customHeight="1" x14ac:dyDescent="0.2">
      <c r="A221" s="86"/>
      <c r="B221" s="86"/>
      <c r="C221" s="88"/>
      <c r="D221" s="123"/>
      <c r="E221" s="88">
        <v>46175</v>
      </c>
      <c r="F221" s="86"/>
      <c r="G221" s="86"/>
      <c r="H221" s="98"/>
      <c r="I221" s="98">
        <f t="shared" si="5"/>
        <v>796</v>
      </c>
      <c r="J221" s="86"/>
      <c r="K221" s="86"/>
      <c r="L221" s="84" t="s">
        <v>68</v>
      </c>
    </row>
    <row r="222" spans="1:13" s="80" customFormat="1" ht="20.100000000000001" customHeight="1" x14ac:dyDescent="0.2">
      <c r="A222" s="86"/>
      <c r="B222" s="86"/>
      <c r="C222" s="88"/>
      <c r="D222" s="126"/>
      <c r="E222" s="88">
        <v>46176</v>
      </c>
      <c r="F222" s="86"/>
      <c r="G222" s="86"/>
      <c r="H222" s="98"/>
      <c r="I222" s="98">
        <f t="shared" si="5"/>
        <v>796</v>
      </c>
      <c r="J222" s="86"/>
      <c r="K222" s="86"/>
      <c r="L222" s="84" t="s">
        <v>68</v>
      </c>
    </row>
    <row r="223" spans="1:13" s="80" customFormat="1" ht="20.100000000000001" customHeight="1" x14ac:dyDescent="0.2">
      <c r="A223" s="86"/>
      <c r="B223" s="86"/>
      <c r="C223" s="88"/>
      <c r="D223" s="126"/>
      <c r="E223" s="88">
        <v>46177</v>
      </c>
      <c r="F223" s="86"/>
      <c r="G223" s="86"/>
      <c r="H223" s="98"/>
      <c r="I223" s="98">
        <f t="shared" si="5"/>
        <v>796</v>
      </c>
      <c r="J223" s="86"/>
      <c r="K223" s="86"/>
      <c r="L223" s="84" t="s">
        <v>68</v>
      </c>
    </row>
    <row r="224" spans="1:13" s="80" customFormat="1" ht="20.100000000000001" customHeight="1" x14ac:dyDescent="0.2">
      <c r="A224" s="86"/>
      <c r="B224" s="86"/>
      <c r="C224" s="88"/>
      <c r="D224" s="86"/>
      <c r="E224" s="88">
        <v>46178</v>
      </c>
      <c r="F224" s="107"/>
      <c r="G224" s="106"/>
      <c r="H224" s="107"/>
      <c r="I224" s="98">
        <f t="shared" si="5"/>
        <v>796</v>
      </c>
      <c r="J224" s="86"/>
      <c r="K224" s="86"/>
      <c r="L224" s="84" t="s">
        <v>68</v>
      </c>
    </row>
    <row r="225" spans="1:26" s="80" customFormat="1" ht="20.100000000000001" customHeight="1" x14ac:dyDescent="0.2">
      <c r="A225" s="86"/>
      <c r="B225" s="86"/>
      <c r="C225" s="88"/>
      <c r="D225" s="123"/>
      <c r="E225" s="88">
        <v>46179</v>
      </c>
      <c r="F225" s="107"/>
      <c r="G225" s="106"/>
      <c r="H225" s="107"/>
      <c r="I225" s="98">
        <f t="shared" si="5"/>
        <v>796</v>
      </c>
      <c r="J225" s="86"/>
      <c r="K225" s="86"/>
      <c r="L225" s="84" t="s">
        <v>68</v>
      </c>
    </row>
    <row r="226" spans="1:26" s="80" customFormat="1" ht="20.100000000000001" customHeight="1" x14ac:dyDescent="0.2">
      <c r="A226" s="86"/>
      <c r="B226" s="86"/>
      <c r="C226" s="88"/>
      <c r="D226" s="86"/>
      <c r="E226" s="88">
        <v>46180</v>
      </c>
      <c r="F226" s="107"/>
      <c r="G226" s="106"/>
      <c r="H226" s="107"/>
      <c r="I226" s="98">
        <f t="shared" si="5"/>
        <v>796</v>
      </c>
      <c r="J226" s="86"/>
      <c r="K226" s="86"/>
      <c r="L226" s="84" t="s">
        <v>76</v>
      </c>
    </row>
    <row r="227" spans="1:26" s="80" customFormat="1" ht="20.100000000000001" customHeight="1" x14ac:dyDescent="0.2">
      <c r="A227" s="86"/>
      <c r="B227" s="86"/>
      <c r="C227" s="88"/>
      <c r="D227" s="98"/>
      <c r="E227" s="88"/>
      <c r="F227" s="86"/>
      <c r="G227" s="86"/>
      <c r="H227" s="98"/>
      <c r="I227" s="100">
        <f>I226</f>
        <v>796</v>
      </c>
      <c r="J227" s="86"/>
      <c r="K227" s="86"/>
      <c r="L227" s="105" t="s">
        <v>73</v>
      </c>
    </row>
    <row r="228" spans="1:26" s="80" customFormat="1" ht="20.100000000000001" customHeight="1" x14ac:dyDescent="0.2">
      <c r="A228" s="86"/>
      <c r="B228" s="86"/>
      <c r="C228" s="88"/>
      <c r="D228" s="99"/>
      <c r="E228" s="88"/>
      <c r="F228" s="86"/>
      <c r="G228" s="86"/>
      <c r="H228" s="98"/>
      <c r="I228" s="118"/>
      <c r="J228" s="119"/>
      <c r="K228" s="119"/>
      <c r="L228" s="120"/>
      <c r="O228" s="91"/>
    </row>
    <row r="229" spans="1:26" s="80" customFormat="1" ht="20.100000000000001" customHeight="1" x14ac:dyDescent="0.2">
      <c r="A229" s="86"/>
      <c r="B229" s="86"/>
      <c r="C229" s="88"/>
      <c r="D229" s="99"/>
      <c r="E229" s="88"/>
      <c r="F229" s="107"/>
      <c r="G229" s="106"/>
      <c r="H229" s="107"/>
      <c r="I229" s="118"/>
      <c r="J229" s="119"/>
      <c r="K229" s="119"/>
      <c r="L229" s="120"/>
      <c r="O229" s="91"/>
    </row>
    <row r="230" spans="1:26" s="80" customFormat="1" ht="20.100000000000001" customHeight="1" x14ac:dyDescent="0.2">
      <c r="A230" s="86"/>
      <c r="B230" s="86"/>
      <c r="C230" s="88"/>
      <c r="D230" s="99"/>
      <c r="E230" s="88"/>
      <c r="F230" s="86"/>
      <c r="G230" s="86"/>
      <c r="H230" s="98"/>
      <c r="I230" s="98"/>
      <c r="J230" s="98"/>
      <c r="K230" s="98"/>
      <c r="L230" s="98"/>
    </row>
    <row r="231" spans="1:26" s="80" customFormat="1" ht="20.100000000000001" customHeight="1" x14ac:dyDescent="0.2">
      <c r="A231" s="86"/>
      <c r="B231" s="86"/>
      <c r="C231" s="88"/>
      <c r="D231" s="99"/>
      <c r="E231" s="88"/>
      <c r="F231" s="86"/>
      <c r="G231" s="86"/>
      <c r="H231" s="98"/>
      <c r="I231" s="98"/>
      <c r="J231" s="98"/>
      <c r="K231" s="98"/>
      <c r="L231" s="98"/>
    </row>
    <row r="232" spans="1:26" s="80" customFormat="1" ht="20.100000000000001" customHeight="1" x14ac:dyDescent="0.2">
      <c r="A232" s="86"/>
      <c r="B232" s="86"/>
      <c r="C232" s="88"/>
      <c r="D232" s="99"/>
      <c r="E232" s="88"/>
      <c r="F232" s="86"/>
      <c r="G232" s="86"/>
      <c r="H232" s="98"/>
      <c r="I232" s="98"/>
      <c r="J232" s="98"/>
      <c r="K232" s="98"/>
      <c r="L232" s="98"/>
      <c r="O232" s="91"/>
    </row>
    <row r="233" spans="1:26" s="80" customFormat="1" ht="11.25" customHeight="1" x14ac:dyDescent="0.2"/>
    <row r="234" spans="1:26" s="80" customFormat="1" ht="11.25" customHeight="1" x14ac:dyDescent="0.2"/>
    <row r="235" spans="1:26" s="80" customFormat="1" ht="21.75" customHeight="1" x14ac:dyDescent="0.2">
      <c r="A235" s="78" t="s">
        <v>78</v>
      </c>
      <c r="B235" s="78"/>
      <c r="C235" s="80" t="s">
        <v>80</v>
      </c>
      <c r="E235" s="78" t="s">
        <v>75</v>
      </c>
      <c r="F235" s="78"/>
      <c r="G235" s="78"/>
      <c r="J235" s="78"/>
      <c r="K235" s="78"/>
      <c r="S235" s="89"/>
      <c r="W235" s="89"/>
      <c r="X235" s="78"/>
      <c r="Y235" s="78"/>
    </row>
    <row r="236" spans="1:26" s="80" customFormat="1" ht="21.75" customHeight="1" x14ac:dyDescent="0.2">
      <c r="A236" s="78"/>
      <c r="B236" s="78"/>
      <c r="C236" s="78"/>
      <c r="E236" s="78"/>
      <c r="F236" s="78"/>
      <c r="G236" s="78"/>
      <c r="J236" s="78"/>
      <c r="K236" s="78"/>
      <c r="S236" s="89"/>
      <c r="W236" s="89"/>
      <c r="X236" s="78"/>
      <c r="Y236" s="78"/>
    </row>
    <row r="237" spans="1:26" ht="21" customHeight="1" x14ac:dyDescent="0.25">
      <c r="A237" s="78"/>
      <c r="B237" s="77"/>
      <c r="C237" s="77"/>
      <c r="E237" s="77"/>
      <c r="F237" s="77"/>
      <c r="G237" s="77"/>
      <c r="J237" s="77"/>
      <c r="K237" s="77"/>
      <c r="O237" s="77"/>
      <c r="Q237" s="79"/>
      <c r="S237" s="77"/>
      <c r="X237" s="77"/>
      <c r="Y237" s="77"/>
      <c r="Z237" s="77"/>
    </row>
    <row r="238" spans="1:26" s="80" customFormat="1" ht="21" customHeight="1" x14ac:dyDescent="0.2">
      <c r="A238" s="81" t="str">
        <f>A36</f>
        <v>MR. MARK JAY E. CASTILLON</v>
      </c>
      <c r="B238" s="81"/>
      <c r="C238" s="81" t="str">
        <f>C36</f>
        <v>ENGR. EDWIN B. BATAL</v>
      </c>
      <c r="E238" s="81" t="str">
        <f>E36</f>
        <v>ENGR. JOHN MARTIN R. CIRIO</v>
      </c>
      <c r="F238" s="81"/>
      <c r="G238" s="81"/>
      <c r="J238" s="81"/>
      <c r="K238" s="81"/>
      <c r="O238" s="78"/>
      <c r="Q238" s="90"/>
    </row>
    <row r="239" spans="1:26" s="80" customFormat="1" ht="21" customHeight="1" x14ac:dyDescent="0.2">
      <c r="A239" s="78" t="s">
        <v>81</v>
      </c>
      <c r="B239" s="78"/>
      <c r="C239" s="78" t="str">
        <f>C37</f>
        <v>Mine Explosives Asst. Manager</v>
      </c>
      <c r="E239" s="78" t="str">
        <f>E37</f>
        <v>Long Range Mine Development Manager</v>
      </c>
      <c r="F239" s="78"/>
      <c r="G239" s="78"/>
      <c r="J239" s="78"/>
      <c r="K239" s="78"/>
      <c r="O239" s="78"/>
      <c r="Q239" s="90"/>
    </row>
    <row r="240" spans="1:26" s="80" customFormat="1" ht="21" customHeight="1" x14ac:dyDescent="0.2">
      <c r="A240" s="78" t="s">
        <v>77</v>
      </c>
      <c r="B240" s="78"/>
      <c r="C240" s="78" t="s">
        <v>0</v>
      </c>
      <c r="E240" s="101" t="s">
        <v>0</v>
      </c>
      <c r="F240" s="78"/>
      <c r="G240" s="78"/>
      <c r="J240" s="78"/>
      <c r="O240" s="78"/>
      <c r="Q240" s="90"/>
    </row>
    <row r="241" spans="1:17" s="80" customFormat="1" ht="21" customHeight="1" x14ac:dyDescent="0.2">
      <c r="A241" s="78"/>
      <c r="B241" s="78"/>
      <c r="C241" s="78"/>
      <c r="E241" s="101"/>
      <c r="F241" s="78"/>
      <c r="G241" s="78"/>
      <c r="J241" s="78"/>
      <c r="O241" s="78"/>
      <c r="Q241" s="90"/>
    </row>
    <row r="242" spans="1:17" s="80" customFormat="1" ht="21" customHeight="1" x14ac:dyDescent="0.2">
      <c r="A242" s="78"/>
      <c r="B242" s="78"/>
      <c r="C242" s="78"/>
      <c r="E242" s="101"/>
      <c r="F242" s="78"/>
      <c r="G242" s="78"/>
      <c r="J242" s="78"/>
      <c r="O242" s="78"/>
      <c r="Q242" s="90"/>
    </row>
    <row r="243" spans="1:17" s="80" customFormat="1" ht="21" customHeight="1" x14ac:dyDescent="0.2">
      <c r="A243" s="78"/>
      <c r="B243" s="78"/>
      <c r="C243" s="78"/>
      <c r="E243" s="101"/>
      <c r="F243" s="78"/>
      <c r="G243" s="78"/>
      <c r="J243" s="78"/>
      <c r="O243" s="78"/>
      <c r="Q243" s="90"/>
    </row>
    <row r="244" spans="1:17" ht="10.5" customHeight="1" x14ac:dyDescent="0.25"/>
    <row r="245" spans="1:17" ht="10.5" customHeight="1" x14ac:dyDescent="0.25"/>
    <row r="250" spans="1:17" ht="20.25" customHeight="1" x14ac:dyDescent="0.25"/>
    <row r="252" spans="1:17" ht="27.75" customHeight="1" x14ac:dyDescent="0.25"/>
    <row r="253" spans="1:17" s="80" customFormat="1" ht="20.100000000000001" customHeight="1" x14ac:dyDescent="0.2">
      <c r="A253" s="177" t="s">
        <v>56</v>
      </c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</row>
    <row r="254" spans="1:17" s="80" customFormat="1" ht="20.100000000000001" customHeight="1" x14ac:dyDescent="0.2">
      <c r="A254" s="177" t="s">
        <v>57</v>
      </c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</row>
    <row r="255" spans="1:17" s="80" customFormat="1" ht="20.100000000000001" customHeight="1" x14ac:dyDescent="0.2">
      <c r="A255" s="177" t="str">
        <f>A12</f>
        <v>Period Covered : JUNE 1-7, 2026</v>
      </c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</row>
    <row r="256" spans="1:17" s="80" customFormat="1" ht="10.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</row>
    <row r="257" spans="1:15" s="80" customFormat="1" ht="20.100000000000001" customHeight="1" x14ac:dyDescent="0.2"/>
    <row r="258" spans="1:15" s="80" customFormat="1" ht="20.100000000000001" customHeight="1" x14ac:dyDescent="0.2">
      <c r="A258" s="80" t="s">
        <v>58</v>
      </c>
      <c r="B258" s="110" t="str">
        <f>B14</f>
        <v>PHILSAGA MINING CORPORATION - TIGERWAY DECLINE PROJECT</v>
      </c>
      <c r="C258" s="110"/>
      <c r="D258" s="110"/>
      <c r="E258" s="110"/>
    </row>
    <row r="259" spans="1:15" s="80" customFormat="1" ht="20.100000000000001" customHeight="1" x14ac:dyDescent="0.2">
      <c r="A259" s="80" t="s">
        <v>59</v>
      </c>
      <c r="B259" s="178" t="str">
        <f>B15</f>
        <v>MOUNT ROCK POWDER CORPORATION MAGAZINE</v>
      </c>
      <c r="C259" s="178"/>
      <c r="D259" s="178"/>
      <c r="E259" s="111"/>
    </row>
    <row r="260" spans="1:15" s="80" customFormat="1" ht="6" customHeight="1" x14ac:dyDescent="0.2"/>
    <row r="261" spans="1:15" s="80" customFormat="1" ht="39.75" customHeight="1" x14ac:dyDescent="0.2">
      <c r="A261" s="82" t="s">
        <v>60</v>
      </c>
      <c r="B261" s="82" t="s">
        <v>61</v>
      </c>
      <c r="C261" s="82" t="s">
        <v>62</v>
      </c>
      <c r="D261" s="82" t="s">
        <v>63</v>
      </c>
      <c r="E261" s="83" t="s">
        <v>64</v>
      </c>
      <c r="F261" s="83" t="s">
        <v>64</v>
      </c>
      <c r="G261" s="83" t="s">
        <v>64</v>
      </c>
      <c r="H261" s="83" t="s">
        <v>65</v>
      </c>
      <c r="I261" s="82" t="s">
        <v>66</v>
      </c>
      <c r="J261" s="82"/>
      <c r="K261" s="82"/>
      <c r="L261" s="82" t="s">
        <v>67</v>
      </c>
    </row>
    <row r="262" spans="1:15" s="80" customFormat="1" ht="39.75" customHeight="1" x14ac:dyDescent="0.2">
      <c r="A262" s="85" t="s">
        <v>82</v>
      </c>
      <c r="B262" s="84" t="s">
        <v>21</v>
      </c>
      <c r="C262" s="86"/>
      <c r="D262" s="86"/>
      <c r="E262" s="88"/>
      <c r="F262" s="86"/>
      <c r="G262" s="86"/>
      <c r="H262" s="93"/>
      <c r="I262" s="93">
        <v>7724</v>
      </c>
      <c r="J262" s="86"/>
      <c r="K262" s="86"/>
      <c r="L262" s="84" t="s">
        <v>74</v>
      </c>
    </row>
    <row r="263" spans="1:15" s="80" customFormat="1" ht="20.100000000000001" customHeight="1" x14ac:dyDescent="0.2">
      <c r="A263" s="86"/>
      <c r="B263" s="86"/>
      <c r="C263" s="86"/>
      <c r="D263" s="86"/>
      <c r="E263" s="88">
        <v>46174</v>
      </c>
      <c r="F263" s="86"/>
      <c r="G263" s="86"/>
      <c r="H263" s="98"/>
      <c r="I263" s="98">
        <f t="shared" ref="I263:I269" si="6">I262-H263</f>
        <v>7724</v>
      </c>
      <c r="J263" s="86"/>
      <c r="K263" s="86"/>
      <c r="L263" s="84" t="s">
        <v>68</v>
      </c>
    </row>
    <row r="264" spans="1:15" s="80" customFormat="1" ht="20.100000000000001" customHeight="1" x14ac:dyDescent="0.2">
      <c r="A264" s="86"/>
      <c r="B264" s="86"/>
      <c r="C264" s="88"/>
      <c r="D264" s="122"/>
      <c r="E264" s="88">
        <v>46175</v>
      </c>
      <c r="F264" s="86"/>
      <c r="G264" s="86"/>
      <c r="H264" s="98"/>
      <c r="I264" s="98">
        <f t="shared" si="6"/>
        <v>7724</v>
      </c>
      <c r="J264" s="86"/>
      <c r="K264" s="86"/>
      <c r="L264" s="84" t="s">
        <v>68</v>
      </c>
    </row>
    <row r="265" spans="1:15" s="80" customFormat="1" ht="20.100000000000001" customHeight="1" x14ac:dyDescent="0.2">
      <c r="A265" s="86"/>
      <c r="B265" s="86"/>
      <c r="C265" s="88"/>
      <c r="D265" s="127"/>
      <c r="E265" s="88">
        <v>46176</v>
      </c>
      <c r="F265" s="86"/>
      <c r="G265" s="86"/>
      <c r="H265" s="98"/>
      <c r="I265" s="98">
        <f t="shared" si="6"/>
        <v>7724</v>
      </c>
      <c r="J265" s="86"/>
      <c r="K265" s="86"/>
      <c r="L265" s="84" t="s">
        <v>68</v>
      </c>
    </row>
    <row r="266" spans="1:15" s="80" customFormat="1" ht="20.100000000000001" customHeight="1" x14ac:dyDescent="0.2">
      <c r="A266" s="86"/>
      <c r="B266" s="86"/>
      <c r="C266" s="88"/>
      <c r="D266" s="92"/>
      <c r="E266" s="88">
        <v>46177</v>
      </c>
      <c r="F266" s="86"/>
      <c r="G266" s="86"/>
      <c r="H266" s="98"/>
      <c r="I266" s="98">
        <f t="shared" si="6"/>
        <v>7724</v>
      </c>
      <c r="J266" s="86"/>
      <c r="K266" s="86"/>
      <c r="L266" s="84" t="s">
        <v>68</v>
      </c>
    </row>
    <row r="267" spans="1:15" s="80" customFormat="1" ht="20.100000000000001" customHeight="1" x14ac:dyDescent="0.2">
      <c r="A267" s="86"/>
      <c r="B267" s="86"/>
      <c r="C267" s="88"/>
      <c r="D267" s="92"/>
      <c r="E267" s="88">
        <v>46178</v>
      </c>
      <c r="F267" s="107"/>
      <c r="G267" s="106"/>
      <c r="H267" s="107"/>
      <c r="I267" s="98">
        <f t="shared" si="6"/>
        <v>7724</v>
      </c>
      <c r="J267" s="86"/>
      <c r="K267" s="86"/>
      <c r="L267" s="84" t="s">
        <v>68</v>
      </c>
      <c r="M267" s="84" t="s">
        <v>68</v>
      </c>
      <c r="N267" s="84" t="s">
        <v>68</v>
      </c>
    </row>
    <row r="268" spans="1:15" s="80" customFormat="1" ht="20.100000000000001" customHeight="1" x14ac:dyDescent="0.2">
      <c r="A268" s="86"/>
      <c r="B268" s="86"/>
      <c r="C268" s="88"/>
      <c r="D268" s="92"/>
      <c r="E268" s="88">
        <v>46179</v>
      </c>
      <c r="F268" s="107"/>
      <c r="G268" s="106"/>
      <c r="H268" s="107"/>
      <c r="I268" s="98">
        <f t="shared" si="6"/>
        <v>7724</v>
      </c>
      <c r="J268" s="86"/>
      <c r="K268" s="86"/>
      <c r="L268" s="84" t="s">
        <v>68</v>
      </c>
    </row>
    <row r="269" spans="1:15" s="80" customFormat="1" ht="20.100000000000001" customHeight="1" x14ac:dyDescent="0.2">
      <c r="A269" s="86"/>
      <c r="B269" s="86"/>
      <c r="C269" s="88"/>
      <c r="D269" s="99"/>
      <c r="E269" s="88">
        <v>46180</v>
      </c>
      <c r="F269" s="107"/>
      <c r="G269" s="106"/>
      <c r="H269" s="107"/>
      <c r="I269" s="98">
        <f t="shared" si="6"/>
        <v>7724</v>
      </c>
      <c r="J269" s="86"/>
      <c r="K269" s="86"/>
      <c r="L269" s="84" t="s">
        <v>76</v>
      </c>
    </row>
    <row r="270" spans="1:15" s="80" customFormat="1" ht="20.100000000000001" customHeight="1" x14ac:dyDescent="0.2">
      <c r="A270" s="86"/>
      <c r="B270" s="86"/>
      <c r="C270" s="88"/>
      <c r="D270" s="98"/>
      <c r="E270" s="88"/>
      <c r="F270" s="86"/>
      <c r="G270" s="86"/>
      <c r="H270" s="98"/>
      <c r="I270" s="100">
        <f>I269</f>
        <v>7724</v>
      </c>
      <c r="J270" s="86"/>
      <c r="K270" s="86"/>
      <c r="L270" s="105" t="s">
        <v>73</v>
      </c>
    </row>
    <row r="271" spans="1:15" s="80" customFormat="1" ht="20.100000000000001" customHeight="1" x14ac:dyDescent="0.2">
      <c r="A271" s="86"/>
      <c r="B271" s="86"/>
      <c r="C271" s="88"/>
      <c r="D271" s="99"/>
      <c r="E271" s="88"/>
      <c r="F271" s="86"/>
      <c r="G271" s="86"/>
      <c r="H271" s="98"/>
      <c r="I271" s="118"/>
      <c r="J271" s="119"/>
      <c r="K271" s="119"/>
      <c r="L271" s="120"/>
      <c r="O271" s="91"/>
    </row>
    <row r="272" spans="1:15" s="80" customFormat="1" ht="20.100000000000001" customHeight="1" x14ac:dyDescent="0.2">
      <c r="A272" s="86"/>
      <c r="B272" s="86"/>
      <c r="C272" s="88"/>
      <c r="D272" s="99"/>
      <c r="E272" s="88"/>
      <c r="F272" s="107"/>
      <c r="G272" s="106"/>
      <c r="H272" s="107"/>
      <c r="I272" s="118"/>
      <c r="J272" s="119"/>
      <c r="K272" s="119"/>
      <c r="L272" s="120"/>
    </row>
    <row r="273" spans="1:26" s="80" customFormat="1" ht="20.100000000000001" customHeight="1" x14ac:dyDescent="0.2">
      <c r="A273" s="86"/>
      <c r="B273" s="86"/>
      <c r="C273" s="88"/>
      <c r="D273" s="99"/>
      <c r="E273" s="88"/>
      <c r="F273" s="86"/>
      <c r="G273" s="86"/>
      <c r="H273" s="98"/>
      <c r="I273" s="98"/>
      <c r="J273" s="98"/>
      <c r="K273" s="98"/>
      <c r="L273" s="98"/>
    </row>
    <row r="274" spans="1:26" s="80" customFormat="1" ht="20.100000000000001" customHeight="1" x14ac:dyDescent="0.2">
      <c r="A274" s="86"/>
      <c r="B274" s="86"/>
      <c r="C274" s="88"/>
      <c r="D274" s="92"/>
      <c r="E274" s="88"/>
      <c r="F274" s="86"/>
      <c r="G274" s="86"/>
      <c r="H274" s="87"/>
      <c r="I274" s="87"/>
      <c r="J274" s="86"/>
      <c r="K274" s="86"/>
      <c r="L274" s="84"/>
    </row>
    <row r="275" spans="1:26" ht="21" customHeight="1" x14ac:dyDescent="0.25">
      <c r="A275" s="78"/>
      <c r="B275" s="77"/>
      <c r="D275" s="77"/>
      <c r="F275" s="77"/>
      <c r="G275" s="77"/>
      <c r="I275" s="77"/>
      <c r="J275" s="78"/>
      <c r="K275" s="77"/>
      <c r="L275" s="77"/>
      <c r="N275" s="77"/>
      <c r="O275" s="77"/>
      <c r="P275" s="179"/>
      <c r="Q275" s="179"/>
      <c r="X275" s="77"/>
      <c r="Y275" s="77"/>
      <c r="Z275" s="77"/>
    </row>
    <row r="276" spans="1:26" s="80" customFormat="1" ht="21.75" customHeight="1" x14ac:dyDescent="0.2">
      <c r="A276" s="78" t="s">
        <v>78</v>
      </c>
      <c r="B276" s="78"/>
      <c r="C276" s="80" t="s">
        <v>80</v>
      </c>
      <c r="E276" s="78" t="s">
        <v>75</v>
      </c>
      <c r="F276" s="78"/>
      <c r="G276" s="78"/>
      <c r="J276" s="78"/>
      <c r="K276" s="78"/>
      <c r="S276" s="89"/>
      <c r="W276" s="89"/>
      <c r="X276" s="78"/>
      <c r="Y276" s="78"/>
    </row>
    <row r="277" spans="1:26" s="80" customFormat="1" ht="21.75" customHeight="1" x14ac:dyDescent="0.2">
      <c r="A277" s="78"/>
      <c r="B277" s="78"/>
      <c r="C277" s="78"/>
      <c r="E277" s="78"/>
      <c r="F277" s="78"/>
      <c r="G277" s="78"/>
      <c r="J277" s="78"/>
      <c r="K277" s="78"/>
      <c r="S277" s="89"/>
      <c r="W277" s="89"/>
      <c r="X277" s="78"/>
      <c r="Y277" s="78"/>
    </row>
    <row r="278" spans="1:26" ht="21" customHeight="1" x14ac:dyDescent="0.25">
      <c r="A278" s="78"/>
      <c r="B278" s="77"/>
      <c r="C278" s="77"/>
      <c r="E278" s="77"/>
      <c r="F278" s="77"/>
      <c r="G278" s="77"/>
      <c r="J278" s="77"/>
      <c r="K278" s="77"/>
      <c r="O278" s="77"/>
      <c r="Q278" s="79"/>
      <c r="S278" s="77"/>
      <c r="X278" s="77"/>
      <c r="Y278" s="77"/>
      <c r="Z278" s="77"/>
    </row>
    <row r="279" spans="1:26" s="80" customFormat="1" ht="21" customHeight="1" x14ac:dyDescent="0.2">
      <c r="A279" s="81" t="str">
        <f>A36</f>
        <v>MR. MARK JAY E. CASTILLON</v>
      </c>
      <c r="B279" s="81"/>
      <c r="C279" s="81" t="str">
        <f>C36</f>
        <v>ENGR. EDWIN B. BATAL</v>
      </c>
      <c r="E279" s="81" t="str">
        <f>E36</f>
        <v>ENGR. JOHN MARTIN R. CIRIO</v>
      </c>
      <c r="F279" s="81"/>
      <c r="G279" s="81"/>
      <c r="J279" s="81"/>
      <c r="K279" s="81"/>
      <c r="O279" s="78"/>
      <c r="Q279" s="90"/>
    </row>
    <row r="280" spans="1:26" s="80" customFormat="1" ht="21" customHeight="1" x14ac:dyDescent="0.2">
      <c r="A280" s="78" t="s">
        <v>81</v>
      </c>
      <c r="B280" s="78"/>
      <c r="C280" s="78" t="str">
        <f>C37</f>
        <v>Mine Explosives Asst. Manager</v>
      </c>
      <c r="E280" s="78" t="str">
        <f>E37</f>
        <v>Long Range Mine Development Manager</v>
      </c>
      <c r="F280" s="78"/>
      <c r="G280" s="78"/>
      <c r="J280" s="78"/>
      <c r="K280" s="78"/>
      <c r="O280" s="78"/>
      <c r="Q280" s="90"/>
    </row>
    <row r="281" spans="1:26" s="80" customFormat="1" ht="21" customHeight="1" x14ac:dyDescent="0.2">
      <c r="A281" s="78" t="s">
        <v>77</v>
      </c>
      <c r="B281" s="78"/>
      <c r="C281" s="78" t="s">
        <v>0</v>
      </c>
      <c r="E281" s="101" t="s">
        <v>0</v>
      </c>
      <c r="F281" s="78"/>
      <c r="G281" s="78"/>
      <c r="J281" s="78"/>
      <c r="O281" s="78"/>
      <c r="Q281" s="90"/>
    </row>
    <row r="282" spans="1:26" s="80" customFormat="1" ht="21" customHeight="1" x14ac:dyDescent="0.2">
      <c r="A282" s="78"/>
      <c r="B282" s="78"/>
      <c r="C282" s="78"/>
      <c r="E282" s="101"/>
      <c r="F282" s="78"/>
      <c r="G282" s="78"/>
      <c r="J282" s="78"/>
      <c r="O282" s="78"/>
      <c r="Q282" s="90"/>
    </row>
    <row r="283" spans="1:26" ht="9" customHeight="1" x14ac:dyDescent="0.25"/>
    <row r="284" spans="1:26" s="80" customFormat="1" ht="6" customHeight="1" x14ac:dyDescent="0.25">
      <c r="A284" s="76"/>
      <c r="B284" s="78"/>
      <c r="D284" s="78"/>
      <c r="E284" s="78"/>
      <c r="F284" s="78"/>
      <c r="G284" s="78"/>
      <c r="I284" s="78"/>
      <c r="J284" s="78"/>
      <c r="O284" s="78"/>
      <c r="Q284" s="90"/>
    </row>
    <row r="290" spans="1:15" ht="20.25" customHeight="1" x14ac:dyDescent="0.25"/>
    <row r="293" spans="1:15" s="80" customFormat="1" ht="20.100000000000001" customHeight="1" x14ac:dyDescent="0.2">
      <c r="A293" s="177" t="s">
        <v>56</v>
      </c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</row>
    <row r="294" spans="1:15" s="80" customFormat="1" ht="20.100000000000001" customHeight="1" x14ac:dyDescent="0.2">
      <c r="A294" s="177" t="s">
        <v>57</v>
      </c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</row>
    <row r="295" spans="1:15" s="80" customFormat="1" ht="20.100000000000001" customHeight="1" x14ac:dyDescent="0.2">
      <c r="A295" s="177" t="str">
        <f>A12</f>
        <v>Period Covered : JUNE 1-7, 2026</v>
      </c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</row>
    <row r="296" spans="1:15" s="80" customFormat="1" ht="20.100000000000001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</row>
    <row r="297" spans="1:15" s="80" customFormat="1" ht="20.100000000000001" customHeight="1" x14ac:dyDescent="0.2"/>
    <row r="298" spans="1:15" s="80" customFormat="1" ht="20.100000000000001" customHeight="1" x14ac:dyDescent="0.2">
      <c r="A298" s="80" t="s">
        <v>58</v>
      </c>
      <c r="B298" s="110" t="str">
        <f>B14</f>
        <v>PHILSAGA MINING CORPORATION - TIGERWAY DECLINE PROJECT</v>
      </c>
      <c r="C298" s="110"/>
      <c r="D298" s="110"/>
      <c r="E298" s="110"/>
    </row>
    <row r="299" spans="1:15" s="80" customFormat="1" ht="20.100000000000001" customHeight="1" x14ac:dyDescent="0.2">
      <c r="A299" s="80" t="s">
        <v>59</v>
      </c>
      <c r="B299" s="178" t="str">
        <f>B15</f>
        <v>MOUNT ROCK POWDER CORPORATION MAGAZINE</v>
      </c>
      <c r="C299" s="178"/>
      <c r="D299" s="178"/>
      <c r="E299" s="111"/>
    </row>
    <row r="300" spans="1:15" s="80" customFormat="1" ht="6" customHeight="1" x14ac:dyDescent="0.2"/>
    <row r="301" spans="1:15" s="80" customFormat="1" ht="39.75" customHeight="1" x14ac:dyDescent="0.2">
      <c r="A301" s="82" t="s">
        <v>60</v>
      </c>
      <c r="B301" s="82" t="s">
        <v>61</v>
      </c>
      <c r="C301" s="82" t="s">
        <v>62</v>
      </c>
      <c r="D301" s="82" t="s">
        <v>63</v>
      </c>
      <c r="E301" s="83" t="s">
        <v>64</v>
      </c>
      <c r="F301" s="83" t="s">
        <v>64</v>
      </c>
      <c r="G301" s="83" t="s">
        <v>64</v>
      </c>
      <c r="H301" s="83" t="s">
        <v>65</v>
      </c>
      <c r="I301" s="82" t="s">
        <v>66</v>
      </c>
      <c r="J301" s="82"/>
      <c r="K301" s="82"/>
      <c r="L301" s="82" t="s">
        <v>67</v>
      </c>
    </row>
    <row r="302" spans="1:15" s="80" customFormat="1" ht="39.75" customHeight="1" x14ac:dyDescent="0.2">
      <c r="A302" s="85" t="s">
        <v>83</v>
      </c>
      <c r="B302" s="84" t="s">
        <v>21</v>
      </c>
      <c r="C302" s="86"/>
      <c r="D302" s="86"/>
      <c r="E302" s="88"/>
      <c r="F302" s="86"/>
      <c r="G302" s="86"/>
      <c r="H302" s="93"/>
      <c r="I302" s="93">
        <v>3375</v>
      </c>
      <c r="J302" s="86"/>
      <c r="K302" s="86"/>
      <c r="L302" s="84" t="s">
        <v>74</v>
      </c>
      <c r="O302" s="91"/>
    </row>
    <row r="303" spans="1:15" s="80" customFormat="1" ht="20.100000000000001" customHeight="1" x14ac:dyDescent="0.2">
      <c r="A303" s="86"/>
      <c r="B303" s="86"/>
      <c r="C303" s="86"/>
      <c r="D303" s="86"/>
      <c r="E303" s="88">
        <v>46174</v>
      </c>
      <c r="F303" s="86"/>
      <c r="G303" s="86"/>
      <c r="H303" s="98"/>
      <c r="I303" s="98">
        <f>I302-H303</f>
        <v>3375</v>
      </c>
      <c r="J303" s="86"/>
      <c r="K303" s="86"/>
      <c r="L303" s="84" t="s">
        <v>76</v>
      </c>
    </row>
    <row r="304" spans="1:15" s="80" customFormat="1" ht="20.100000000000001" customHeight="1" x14ac:dyDescent="0.2">
      <c r="A304" s="86"/>
      <c r="B304" s="86"/>
      <c r="C304" s="88"/>
      <c r="D304" s="127"/>
      <c r="E304" s="88">
        <v>46175</v>
      </c>
      <c r="F304" s="86"/>
      <c r="G304" s="86"/>
      <c r="H304" s="98"/>
      <c r="I304" s="98">
        <f t="shared" ref="I304:I309" si="7">I303-H304</f>
        <v>3375</v>
      </c>
      <c r="J304" s="86"/>
      <c r="K304" s="86"/>
      <c r="L304" s="84" t="s">
        <v>68</v>
      </c>
    </row>
    <row r="305" spans="1:26" s="80" customFormat="1" ht="20.100000000000001" customHeight="1" x14ac:dyDescent="0.2">
      <c r="A305" s="86"/>
      <c r="B305" s="86"/>
      <c r="C305" s="88"/>
      <c r="D305" s="127"/>
      <c r="E305" s="88">
        <v>46176</v>
      </c>
      <c r="F305" s="86"/>
      <c r="G305" s="86"/>
      <c r="H305" s="98"/>
      <c r="I305" s="98">
        <f t="shared" si="7"/>
        <v>3375</v>
      </c>
      <c r="J305" s="86"/>
      <c r="K305" s="86"/>
      <c r="L305" s="84" t="s">
        <v>68</v>
      </c>
    </row>
    <row r="306" spans="1:26" s="80" customFormat="1" ht="20.100000000000001" customHeight="1" x14ac:dyDescent="0.2">
      <c r="A306" s="86"/>
      <c r="B306" s="86"/>
      <c r="C306" s="88"/>
      <c r="D306" s="92"/>
      <c r="E306" s="88">
        <v>46177</v>
      </c>
      <c r="F306" s="86"/>
      <c r="G306" s="86"/>
      <c r="H306" s="98"/>
      <c r="I306" s="98">
        <f t="shared" si="7"/>
        <v>3375</v>
      </c>
      <c r="J306" s="86"/>
      <c r="K306" s="86"/>
      <c r="L306" s="84" t="s">
        <v>68</v>
      </c>
    </row>
    <row r="307" spans="1:26" s="80" customFormat="1" ht="20.100000000000001" customHeight="1" x14ac:dyDescent="0.2">
      <c r="A307" s="86"/>
      <c r="B307" s="86"/>
      <c r="C307" s="88"/>
      <c r="D307" s="92"/>
      <c r="E307" s="88">
        <v>46178</v>
      </c>
      <c r="F307" s="107"/>
      <c r="G307" s="106"/>
      <c r="H307" s="107"/>
      <c r="I307" s="98">
        <f t="shared" si="7"/>
        <v>3375</v>
      </c>
      <c r="J307" s="86"/>
      <c r="K307" s="86"/>
      <c r="L307" s="84" t="s">
        <v>76</v>
      </c>
    </row>
    <row r="308" spans="1:26" s="80" customFormat="1" ht="20.100000000000001" customHeight="1" x14ac:dyDescent="0.2">
      <c r="A308" s="86"/>
      <c r="B308" s="86"/>
      <c r="C308" s="88"/>
      <c r="D308" s="127"/>
      <c r="E308" s="88">
        <v>46179</v>
      </c>
      <c r="F308" s="107"/>
      <c r="G308" s="106"/>
      <c r="H308" s="107"/>
      <c r="I308" s="98">
        <f t="shared" si="7"/>
        <v>3375</v>
      </c>
      <c r="J308" s="86"/>
      <c r="K308" s="86"/>
      <c r="L308" s="84" t="s">
        <v>68</v>
      </c>
    </row>
    <row r="309" spans="1:26" s="80" customFormat="1" ht="20.100000000000001" customHeight="1" x14ac:dyDescent="0.2">
      <c r="A309" s="86"/>
      <c r="B309" s="86"/>
      <c r="C309" s="88"/>
      <c r="D309" s="99"/>
      <c r="E309" s="88">
        <v>46180</v>
      </c>
      <c r="F309" s="107"/>
      <c r="G309" s="106"/>
      <c r="H309" s="107"/>
      <c r="I309" s="98">
        <f t="shared" si="7"/>
        <v>3375</v>
      </c>
      <c r="J309" s="86"/>
      <c r="K309" s="86"/>
      <c r="L309" s="84" t="s">
        <v>76</v>
      </c>
    </row>
    <row r="310" spans="1:26" s="80" customFormat="1" ht="20.100000000000001" customHeight="1" x14ac:dyDescent="0.2">
      <c r="A310" s="86"/>
      <c r="B310" s="86"/>
      <c r="C310" s="88"/>
      <c r="D310" s="98"/>
      <c r="E310" s="88"/>
      <c r="F310" s="86"/>
      <c r="G310" s="86"/>
      <c r="H310" s="98"/>
      <c r="I310" s="100">
        <f>I309</f>
        <v>3375</v>
      </c>
      <c r="J310" s="86"/>
      <c r="K310" s="86"/>
      <c r="L310" s="105" t="s">
        <v>73</v>
      </c>
    </row>
    <row r="311" spans="1:26" s="80" customFormat="1" ht="20.100000000000001" customHeight="1" x14ac:dyDescent="0.2">
      <c r="A311" s="86"/>
      <c r="B311" s="86"/>
      <c r="C311" s="88"/>
      <c r="D311" s="99"/>
      <c r="E311" s="88"/>
      <c r="F311" s="86"/>
      <c r="G311" s="86"/>
      <c r="H311" s="98"/>
      <c r="I311" s="118"/>
      <c r="J311" s="119"/>
      <c r="K311" s="119"/>
      <c r="L311" s="120"/>
      <c r="Q311" s="103"/>
    </row>
    <row r="312" spans="1:26" s="80" customFormat="1" ht="20.100000000000001" customHeight="1" x14ac:dyDescent="0.2">
      <c r="A312" s="86"/>
      <c r="B312" s="86"/>
      <c r="C312" s="88"/>
      <c r="D312" s="99"/>
      <c r="E312" s="88"/>
      <c r="F312" s="107"/>
      <c r="G312" s="106"/>
      <c r="H312" s="107"/>
      <c r="I312" s="118"/>
      <c r="J312" s="119"/>
      <c r="K312" s="119"/>
      <c r="L312" s="120"/>
    </row>
    <row r="313" spans="1:26" s="80" customFormat="1" ht="20.100000000000001" customHeight="1" x14ac:dyDescent="0.2">
      <c r="A313" s="86"/>
      <c r="B313" s="86"/>
      <c r="C313" s="88"/>
      <c r="D313" s="99"/>
      <c r="E313" s="88"/>
      <c r="F313" s="86"/>
      <c r="G313" s="86"/>
      <c r="H313" s="98"/>
      <c r="I313" s="98"/>
      <c r="J313" s="98"/>
      <c r="K313" s="98"/>
      <c r="L313" s="98"/>
    </row>
    <row r="314" spans="1:26" s="80" customFormat="1" ht="20.100000000000001" customHeight="1" x14ac:dyDescent="0.2">
      <c r="A314" s="86"/>
      <c r="B314" s="86"/>
      <c r="C314" s="88"/>
      <c r="D314" s="92"/>
      <c r="E314" s="88"/>
      <c r="F314" s="86"/>
      <c r="G314" s="86"/>
      <c r="H314" s="87"/>
      <c r="I314" s="87"/>
      <c r="J314" s="86"/>
      <c r="K314" s="86"/>
      <c r="L314" s="84"/>
      <c r="O314" s="91"/>
    </row>
    <row r="315" spans="1:26" ht="10.5" customHeight="1" x14ac:dyDescent="0.25">
      <c r="A315" s="78"/>
      <c r="B315" s="77"/>
      <c r="D315" s="77"/>
      <c r="F315" s="77"/>
      <c r="G315" s="77"/>
      <c r="I315" s="77"/>
      <c r="J315" s="78"/>
      <c r="K315" s="77"/>
      <c r="L315" s="77"/>
      <c r="N315" s="77"/>
      <c r="O315" s="77"/>
      <c r="P315" s="179"/>
      <c r="Q315" s="179"/>
      <c r="X315" s="77"/>
      <c r="Y315" s="77"/>
      <c r="Z315" s="77"/>
    </row>
    <row r="316" spans="1:26" ht="11.25" customHeight="1" x14ac:dyDescent="0.25">
      <c r="A316" s="78"/>
      <c r="B316" s="77"/>
      <c r="D316" s="77"/>
      <c r="F316" s="77"/>
      <c r="G316" s="77"/>
      <c r="I316" s="77"/>
      <c r="J316" s="78"/>
      <c r="K316" s="77"/>
      <c r="L316" s="77"/>
      <c r="N316" s="77"/>
      <c r="O316" s="77"/>
      <c r="P316" s="94"/>
      <c r="Q316" s="94"/>
      <c r="X316" s="77"/>
      <c r="Y316" s="77"/>
      <c r="Z316" s="77"/>
    </row>
    <row r="317" spans="1:26" s="80" customFormat="1" ht="21.75" customHeight="1" x14ac:dyDescent="0.2">
      <c r="A317" s="78" t="s">
        <v>78</v>
      </c>
      <c r="B317" s="78"/>
      <c r="C317" s="80" t="s">
        <v>80</v>
      </c>
      <c r="E317" s="78" t="s">
        <v>75</v>
      </c>
      <c r="F317" s="78"/>
      <c r="G317" s="78"/>
      <c r="J317" s="78"/>
      <c r="K317" s="78"/>
      <c r="S317" s="89"/>
      <c r="W317" s="89"/>
      <c r="X317" s="78"/>
      <c r="Y317" s="78"/>
    </row>
    <row r="318" spans="1:26" s="80" customFormat="1" ht="21.75" customHeight="1" x14ac:dyDescent="0.2">
      <c r="A318" s="78"/>
      <c r="B318" s="78"/>
      <c r="C318" s="78"/>
      <c r="E318" s="78"/>
      <c r="F318" s="78"/>
      <c r="G318" s="78"/>
      <c r="J318" s="78"/>
      <c r="K318" s="78"/>
      <c r="S318" s="89"/>
      <c r="W318" s="89"/>
      <c r="X318" s="78"/>
      <c r="Y318" s="78"/>
    </row>
    <row r="319" spans="1:26" ht="21" customHeight="1" x14ac:dyDescent="0.25">
      <c r="A319" s="78"/>
      <c r="B319" s="77"/>
      <c r="C319" s="77"/>
      <c r="E319" s="77"/>
      <c r="F319" s="77"/>
      <c r="G319" s="77"/>
      <c r="J319" s="77"/>
      <c r="K319" s="77"/>
      <c r="O319" s="77"/>
      <c r="Q319" s="79"/>
      <c r="S319" s="77"/>
      <c r="X319" s="77"/>
      <c r="Y319" s="77"/>
      <c r="Z319" s="77"/>
    </row>
    <row r="320" spans="1:26" s="80" customFormat="1" ht="21" customHeight="1" x14ac:dyDescent="0.2">
      <c r="A320" s="81" t="str">
        <f>A36</f>
        <v>MR. MARK JAY E. CASTILLON</v>
      </c>
      <c r="B320" s="81"/>
      <c r="C320" s="81" t="str">
        <f>C36</f>
        <v>ENGR. EDWIN B. BATAL</v>
      </c>
      <c r="E320" s="81" t="str">
        <f>E36</f>
        <v>ENGR. JOHN MARTIN R. CIRIO</v>
      </c>
      <c r="F320" s="81"/>
      <c r="G320" s="81"/>
      <c r="J320" s="81"/>
      <c r="K320" s="81"/>
      <c r="O320" s="78"/>
      <c r="Q320" s="90"/>
    </row>
    <row r="321" spans="1:17" s="80" customFormat="1" ht="21" customHeight="1" x14ac:dyDescent="0.2">
      <c r="A321" s="78" t="s">
        <v>81</v>
      </c>
      <c r="B321" s="78"/>
      <c r="C321" s="78" t="str">
        <f>C37</f>
        <v>Mine Explosives Asst. Manager</v>
      </c>
      <c r="E321" s="78" t="str">
        <f>E37</f>
        <v>Long Range Mine Development Manager</v>
      </c>
      <c r="F321" s="78"/>
      <c r="G321" s="78"/>
      <c r="J321" s="78"/>
      <c r="K321" s="78"/>
      <c r="O321" s="78"/>
      <c r="Q321" s="90"/>
    </row>
    <row r="322" spans="1:17" s="80" customFormat="1" ht="21" customHeight="1" x14ac:dyDescent="0.2">
      <c r="A322" s="78" t="s">
        <v>77</v>
      </c>
      <c r="B322" s="78"/>
      <c r="C322" s="78" t="s">
        <v>0</v>
      </c>
      <c r="E322" s="101" t="s">
        <v>0</v>
      </c>
      <c r="F322" s="78"/>
      <c r="G322" s="78"/>
      <c r="J322" s="78"/>
      <c r="O322" s="78"/>
      <c r="Q322" s="90"/>
    </row>
    <row r="323" spans="1:17" s="80" customFormat="1" ht="11.25" customHeight="1" x14ac:dyDescent="0.2">
      <c r="A323" s="78"/>
      <c r="B323" s="78"/>
      <c r="C323" s="78"/>
      <c r="E323" s="101"/>
      <c r="F323" s="78"/>
      <c r="G323" s="78"/>
      <c r="J323" s="78"/>
      <c r="O323" s="78"/>
      <c r="Q323" s="90"/>
    </row>
    <row r="324" spans="1:17" s="80" customFormat="1" ht="7.5" customHeight="1" x14ac:dyDescent="0.2">
      <c r="A324" s="78"/>
      <c r="B324" s="78"/>
      <c r="C324" s="78"/>
      <c r="E324" s="101"/>
      <c r="F324" s="78"/>
      <c r="G324" s="78"/>
      <c r="J324" s="78"/>
      <c r="O324" s="78"/>
      <c r="Q324" s="90"/>
    </row>
    <row r="330" spans="1:17" ht="20.25" customHeight="1" x14ac:dyDescent="0.25"/>
    <row r="331" spans="1:17" ht="12" customHeight="1" x14ac:dyDescent="0.25"/>
    <row r="333" spans="1:17" s="80" customFormat="1" ht="20.100000000000001" customHeight="1" x14ac:dyDescent="0.2">
      <c r="A333" s="177" t="s">
        <v>56</v>
      </c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</row>
    <row r="334" spans="1:17" s="80" customFormat="1" ht="20.100000000000001" customHeight="1" x14ac:dyDescent="0.2">
      <c r="A334" s="177" t="s">
        <v>57</v>
      </c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</row>
    <row r="335" spans="1:17" s="80" customFormat="1" ht="20.100000000000001" customHeight="1" x14ac:dyDescent="0.2">
      <c r="A335" s="177" t="str">
        <f>A12</f>
        <v>Period Covered : JUNE 1-7, 2026</v>
      </c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</row>
    <row r="336" spans="1:17" s="80" customFormat="1" ht="20.100000000000001" customHeight="1" x14ac:dyDescent="0.2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</row>
    <row r="337" spans="1:17" s="80" customFormat="1" ht="20.100000000000001" customHeight="1" x14ac:dyDescent="0.2"/>
    <row r="338" spans="1:17" s="80" customFormat="1" ht="20.100000000000001" customHeight="1" x14ac:dyDescent="0.2">
      <c r="A338" s="80" t="s">
        <v>58</v>
      </c>
      <c r="B338" s="110" t="str">
        <f>B14</f>
        <v>PHILSAGA MINING CORPORATION - TIGERWAY DECLINE PROJECT</v>
      </c>
      <c r="C338" s="110"/>
      <c r="D338" s="110"/>
      <c r="E338" s="110"/>
    </row>
    <row r="339" spans="1:17" s="80" customFormat="1" ht="20.100000000000001" customHeight="1" x14ac:dyDescent="0.2">
      <c r="A339" s="80" t="s">
        <v>59</v>
      </c>
      <c r="B339" s="178" t="str">
        <f>B15</f>
        <v>MOUNT ROCK POWDER CORPORATION MAGAZINE</v>
      </c>
      <c r="C339" s="178"/>
      <c r="D339" s="178"/>
      <c r="E339" s="111"/>
    </row>
    <row r="340" spans="1:17" s="80" customFormat="1" ht="6" customHeight="1" x14ac:dyDescent="0.2"/>
    <row r="341" spans="1:17" s="80" customFormat="1" ht="39.75" customHeight="1" x14ac:dyDescent="0.2">
      <c r="A341" s="82" t="s">
        <v>60</v>
      </c>
      <c r="B341" s="82" t="s">
        <v>61</v>
      </c>
      <c r="C341" s="82" t="s">
        <v>62</v>
      </c>
      <c r="D341" s="82" t="s">
        <v>63</v>
      </c>
      <c r="E341" s="83" t="s">
        <v>64</v>
      </c>
      <c r="F341" s="83" t="s">
        <v>64</v>
      </c>
      <c r="G341" s="83" t="s">
        <v>64</v>
      </c>
      <c r="H341" s="83" t="s">
        <v>65</v>
      </c>
      <c r="I341" s="82" t="s">
        <v>66</v>
      </c>
      <c r="J341" s="82"/>
      <c r="K341" s="82"/>
      <c r="L341" s="82" t="s">
        <v>67</v>
      </c>
    </row>
    <row r="342" spans="1:17" s="80" customFormat="1" ht="39.75" customHeight="1" x14ac:dyDescent="0.2">
      <c r="A342" s="85" t="s">
        <v>96</v>
      </c>
      <c r="B342" s="84"/>
      <c r="C342" s="86"/>
      <c r="D342" s="86"/>
      <c r="E342" s="88"/>
      <c r="F342" s="86"/>
      <c r="G342" s="86"/>
      <c r="H342" s="93"/>
      <c r="I342" s="93">
        <v>0</v>
      </c>
      <c r="J342" s="86"/>
      <c r="K342" s="86"/>
      <c r="L342" s="84" t="s">
        <v>74</v>
      </c>
      <c r="O342" s="91"/>
    </row>
    <row r="343" spans="1:17" s="80" customFormat="1" ht="20.100000000000001" customHeight="1" x14ac:dyDescent="0.2">
      <c r="A343" s="86"/>
      <c r="B343" s="86"/>
      <c r="C343" s="86"/>
      <c r="D343" s="86"/>
      <c r="E343" s="88">
        <v>46174</v>
      </c>
      <c r="F343" s="86"/>
      <c r="G343" s="86"/>
      <c r="H343" s="98"/>
      <c r="I343" s="98">
        <f t="shared" ref="I343:I349" si="8">I342-H343</f>
        <v>0</v>
      </c>
      <c r="J343" s="86"/>
      <c r="K343" s="86"/>
      <c r="L343" s="84" t="s">
        <v>76</v>
      </c>
    </row>
    <row r="344" spans="1:17" s="80" customFormat="1" ht="20.100000000000001" customHeight="1" x14ac:dyDescent="0.2">
      <c r="A344" s="86"/>
      <c r="B344" s="86"/>
      <c r="C344" s="88"/>
      <c r="D344" s="127"/>
      <c r="E344" s="88">
        <v>46175</v>
      </c>
      <c r="F344" s="86"/>
      <c r="G344" s="86"/>
      <c r="H344" s="98"/>
      <c r="I344" s="98">
        <f t="shared" si="8"/>
        <v>0</v>
      </c>
      <c r="J344" s="86"/>
      <c r="K344" s="86"/>
      <c r="L344" s="84" t="s">
        <v>76</v>
      </c>
    </row>
    <row r="345" spans="1:17" s="80" customFormat="1" ht="20.100000000000001" customHeight="1" x14ac:dyDescent="0.2">
      <c r="A345" s="86"/>
      <c r="B345" s="86"/>
      <c r="C345" s="88"/>
      <c r="D345" s="127"/>
      <c r="E345" s="88">
        <v>46176</v>
      </c>
      <c r="F345" s="86"/>
      <c r="G345" s="86"/>
      <c r="H345" s="98"/>
      <c r="I345" s="98">
        <f t="shared" si="8"/>
        <v>0</v>
      </c>
      <c r="J345" s="86"/>
      <c r="K345" s="86"/>
      <c r="L345" s="84" t="s">
        <v>76</v>
      </c>
    </row>
    <row r="346" spans="1:17" s="80" customFormat="1" ht="20.100000000000001" customHeight="1" x14ac:dyDescent="0.2">
      <c r="A346" s="86"/>
      <c r="B346" s="86"/>
      <c r="C346" s="88"/>
      <c r="D346" s="92"/>
      <c r="E346" s="88">
        <v>46177</v>
      </c>
      <c r="F346" s="86"/>
      <c r="G346" s="86"/>
      <c r="H346" s="98"/>
      <c r="I346" s="98">
        <f t="shared" si="8"/>
        <v>0</v>
      </c>
      <c r="J346" s="86"/>
      <c r="K346" s="86"/>
      <c r="L346" s="84" t="s">
        <v>76</v>
      </c>
    </row>
    <row r="347" spans="1:17" s="80" customFormat="1" ht="20.100000000000001" customHeight="1" x14ac:dyDescent="0.2">
      <c r="A347" s="86"/>
      <c r="B347" s="86"/>
      <c r="C347" s="88"/>
      <c r="D347" s="92"/>
      <c r="E347" s="88">
        <v>46178</v>
      </c>
      <c r="F347" s="107"/>
      <c r="G347" s="106"/>
      <c r="H347" s="107"/>
      <c r="I347" s="98">
        <f t="shared" si="8"/>
        <v>0</v>
      </c>
      <c r="J347" s="86"/>
      <c r="K347" s="86"/>
      <c r="L347" s="84" t="s">
        <v>76</v>
      </c>
    </row>
    <row r="348" spans="1:17" s="80" customFormat="1" ht="20.100000000000001" customHeight="1" x14ac:dyDescent="0.2">
      <c r="A348" s="86"/>
      <c r="B348" s="86"/>
      <c r="C348" s="88"/>
      <c r="D348" s="127"/>
      <c r="E348" s="88">
        <v>46179</v>
      </c>
      <c r="F348" s="107"/>
      <c r="G348" s="106"/>
      <c r="H348" s="107"/>
      <c r="I348" s="98">
        <f t="shared" si="8"/>
        <v>0</v>
      </c>
      <c r="J348" s="86"/>
      <c r="K348" s="86"/>
      <c r="L348" s="84" t="s">
        <v>76</v>
      </c>
      <c r="Q348" s="103"/>
    </row>
    <row r="349" spans="1:17" s="80" customFormat="1" ht="20.100000000000001" customHeight="1" x14ac:dyDescent="0.2">
      <c r="A349" s="86"/>
      <c r="B349" s="86"/>
      <c r="C349" s="88"/>
      <c r="D349" s="99"/>
      <c r="E349" s="88">
        <v>46180</v>
      </c>
      <c r="F349" s="107"/>
      <c r="G349" s="106"/>
      <c r="H349" s="107"/>
      <c r="I349" s="98">
        <f t="shared" si="8"/>
        <v>0</v>
      </c>
      <c r="J349" s="86"/>
      <c r="K349" s="86"/>
      <c r="L349" s="84" t="s">
        <v>76</v>
      </c>
    </row>
    <row r="350" spans="1:17" s="80" customFormat="1" ht="20.100000000000001" customHeight="1" x14ac:dyDescent="0.2">
      <c r="A350" s="86"/>
      <c r="B350" s="86"/>
      <c r="C350" s="88"/>
      <c r="D350" s="98"/>
      <c r="E350" s="88"/>
      <c r="F350" s="86"/>
      <c r="G350" s="86"/>
      <c r="H350" s="98"/>
      <c r="I350" s="100">
        <f>I349</f>
        <v>0</v>
      </c>
      <c r="J350" s="86"/>
      <c r="K350" s="86"/>
      <c r="L350" s="105" t="s">
        <v>73</v>
      </c>
      <c r="O350" s="91"/>
    </row>
    <row r="351" spans="1:17" s="80" customFormat="1" ht="20.100000000000001" customHeight="1" x14ac:dyDescent="0.2">
      <c r="A351" s="86"/>
      <c r="B351" s="86"/>
      <c r="C351" s="88"/>
      <c r="D351" s="99"/>
      <c r="E351" s="88"/>
      <c r="F351" s="86"/>
      <c r="G351" s="86"/>
      <c r="H351" s="98"/>
      <c r="I351" s="118"/>
      <c r="J351" s="119"/>
      <c r="K351" s="119"/>
      <c r="L351" s="120"/>
      <c r="O351" s="96"/>
    </row>
    <row r="352" spans="1:17" s="80" customFormat="1" ht="20.100000000000001" customHeight="1" x14ac:dyDescent="0.2">
      <c r="A352" s="86"/>
      <c r="B352" s="86"/>
      <c r="C352" s="88"/>
      <c r="D352" s="99"/>
      <c r="E352" s="88"/>
      <c r="F352" s="107"/>
      <c r="G352" s="106"/>
      <c r="H352" s="107"/>
      <c r="I352" s="118"/>
      <c r="J352" s="119"/>
      <c r="K352" s="119"/>
      <c r="L352" s="120"/>
      <c r="O352" s="91"/>
    </row>
    <row r="353" spans="1:26" s="80" customFormat="1" ht="20.100000000000001" customHeight="1" x14ac:dyDescent="0.2">
      <c r="A353" s="86"/>
      <c r="B353" s="86"/>
      <c r="C353" s="88"/>
      <c r="D353" s="99"/>
      <c r="E353" s="88"/>
      <c r="F353" s="86"/>
      <c r="G353" s="86"/>
      <c r="H353" s="98"/>
      <c r="I353" s="98"/>
      <c r="J353" s="98"/>
      <c r="K353" s="98"/>
      <c r="L353" s="98"/>
    </row>
    <row r="354" spans="1:26" s="80" customFormat="1" ht="20.100000000000001" customHeight="1" x14ac:dyDescent="0.2">
      <c r="A354" s="86"/>
      <c r="B354" s="86"/>
      <c r="C354" s="88"/>
      <c r="D354" s="92"/>
      <c r="E354" s="88"/>
      <c r="F354" s="86"/>
      <c r="G354" s="86"/>
      <c r="H354" s="87"/>
      <c r="I354" s="87"/>
      <c r="J354" s="86"/>
      <c r="K354" s="86"/>
      <c r="L354" s="84"/>
      <c r="O354" s="91"/>
    </row>
    <row r="355" spans="1:26" ht="10.5" customHeight="1" x14ac:dyDescent="0.25">
      <c r="A355" s="78"/>
      <c r="B355" s="77"/>
      <c r="D355" s="77"/>
      <c r="F355" s="77"/>
      <c r="G355" s="77"/>
      <c r="I355" s="77"/>
      <c r="J355" s="78"/>
      <c r="K355" s="77"/>
      <c r="L355" s="77"/>
      <c r="N355" s="77"/>
      <c r="O355" s="77"/>
      <c r="P355" s="179"/>
      <c r="Q355" s="179"/>
      <c r="X355" s="77"/>
      <c r="Y355" s="77"/>
      <c r="Z355" s="77"/>
    </row>
    <row r="356" spans="1:26" ht="11.25" customHeight="1" x14ac:dyDescent="0.25">
      <c r="A356" s="78"/>
      <c r="B356" s="77"/>
      <c r="D356" s="77"/>
      <c r="F356" s="77"/>
      <c r="G356" s="77"/>
      <c r="I356" s="77"/>
      <c r="J356" s="78"/>
      <c r="K356" s="77"/>
      <c r="L356" s="77"/>
      <c r="N356" s="77"/>
      <c r="O356" s="77"/>
      <c r="P356" s="109"/>
      <c r="Q356" s="109"/>
      <c r="X356" s="77"/>
      <c r="Y356" s="77"/>
      <c r="Z356" s="77"/>
    </row>
    <row r="357" spans="1:26" s="80" customFormat="1" ht="21.75" customHeight="1" x14ac:dyDescent="0.2">
      <c r="A357" s="78" t="s">
        <v>78</v>
      </c>
      <c r="B357" s="78"/>
      <c r="C357" s="80" t="s">
        <v>80</v>
      </c>
      <c r="E357" s="78" t="s">
        <v>75</v>
      </c>
      <c r="F357" s="78"/>
      <c r="G357" s="78"/>
      <c r="J357" s="78"/>
      <c r="K357" s="78"/>
      <c r="S357" s="89"/>
      <c r="W357" s="89"/>
      <c r="X357" s="78"/>
      <c r="Y357" s="78"/>
    </row>
    <row r="358" spans="1:26" s="80" customFormat="1" ht="21.75" customHeight="1" x14ac:dyDescent="0.2">
      <c r="A358" s="78"/>
      <c r="B358" s="78"/>
      <c r="C358" s="78"/>
      <c r="E358" s="78"/>
      <c r="F358" s="78"/>
      <c r="G358" s="78"/>
      <c r="J358" s="78"/>
      <c r="K358" s="78"/>
      <c r="S358" s="89"/>
      <c r="W358" s="89"/>
      <c r="X358" s="78"/>
      <c r="Y358" s="78"/>
    </row>
    <row r="359" spans="1:26" ht="21" customHeight="1" x14ac:dyDescent="0.25">
      <c r="A359" s="78"/>
      <c r="B359" s="77"/>
      <c r="C359" s="77"/>
      <c r="E359" s="77"/>
      <c r="F359" s="77"/>
      <c r="G359" s="77"/>
      <c r="J359" s="77"/>
      <c r="K359" s="77"/>
      <c r="O359" s="77"/>
      <c r="Q359" s="79"/>
      <c r="S359" s="77"/>
      <c r="X359" s="77"/>
      <c r="Y359" s="77"/>
      <c r="Z359" s="77"/>
    </row>
    <row r="360" spans="1:26" s="80" customFormat="1" ht="21" customHeight="1" x14ac:dyDescent="0.2">
      <c r="A360" s="81" t="str">
        <f>A36</f>
        <v>MR. MARK JAY E. CASTILLON</v>
      </c>
      <c r="B360" s="81"/>
      <c r="C360" s="81" t="str">
        <f>C36</f>
        <v>ENGR. EDWIN B. BATAL</v>
      </c>
      <c r="E360" s="81" t="str">
        <f>E36</f>
        <v>ENGR. JOHN MARTIN R. CIRIO</v>
      </c>
      <c r="F360" s="81"/>
      <c r="G360" s="81"/>
      <c r="J360" s="81"/>
      <c r="K360" s="81"/>
      <c r="O360" s="78"/>
      <c r="Q360" s="90"/>
    </row>
    <row r="361" spans="1:26" s="80" customFormat="1" ht="21" customHeight="1" x14ac:dyDescent="0.2">
      <c r="A361" s="78" t="s">
        <v>81</v>
      </c>
      <c r="B361" s="78"/>
      <c r="C361" s="78" t="str">
        <f>C37</f>
        <v>Mine Explosives Asst. Manager</v>
      </c>
      <c r="E361" s="78" t="str">
        <f>E37</f>
        <v>Long Range Mine Development Manager</v>
      </c>
      <c r="F361" s="78"/>
      <c r="G361" s="78"/>
      <c r="J361" s="78"/>
      <c r="K361" s="78"/>
      <c r="O361" s="78"/>
      <c r="Q361" s="90"/>
    </row>
    <row r="362" spans="1:26" s="80" customFormat="1" ht="21" customHeight="1" x14ac:dyDescent="0.2">
      <c r="A362" s="78" t="s">
        <v>77</v>
      </c>
      <c r="B362" s="78"/>
      <c r="C362" s="78" t="s">
        <v>0</v>
      </c>
      <c r="E362" s="101" t="s">
        <v>0</v>
      </c>
      <c r="F362" s="78"/>
      <c r="G362" s="78"/>
      <c r="J362" s="78"/>
      <c r="O362" s="78"/>
      <c r="Q362" s="90"/>
    </row>
    <row r="363" spans="1:26" s="80" customFormat="1" ht="21" customHeight="1" x14ac:dyDescent="0.2">
      <c r="A363" s="78"/>
      <c r="B363" s="78"/>
      <c r="C363" s="78"/>
      <c r="E363" s="101"/>
      <c r="F363" s="78"/>
      <c r="G363" s="78"/>
      <c r="J363" s="78"/>
      <c r="O363" s="78"/>
      <c r="Q363" s="90"/>
    </row>
    <row r="364" spans="1:26" ht="10.5" customHeight="1" x14ac:dyDescent="0.25"/>
    <row r="370" spans="1:15" ht="20.25" customHeight="1" x14ac:dyDescent="0.25"/>
    <row r="371" spans="1:15" ht="14.25" customHeight="1" x14ac:dyDescent="0.25"/>
    <row r="373" spans="1:15" s="80" customFormat="1" ht="20.100000000000001" customHeight="1" x14ac:dyDescent="0.2">
      <c r="A373" s="177" t="s">
        <v>56</v>
      </c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</row>
    <row r="374" spans="1:15" s="80" customFormat="1" ht="20.100000000000001" customHeight="1" x14ac:dyDescent="0.2">
      <c r="A374" s="177" t="s">
        <v>57</v>
      </c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</row>
    <row r="375" spans="1:15" s="80" customFormat="1" ht="20.100000000000001" customHeight="1" x14ac:dyDescent="0.2">
      <c r="A375" s="177" t="str">
        <f>A12</f>
        <v>Period Covered : JUNE 1-7, 2026</v>
      </c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</row>
    <row r="376" spans="1:15" s="80" customFormat="1" ht="20.100000000000001" customHeight="1" x14ac:dyDescent="0.2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</row>
    <row r="377" spans="1:15" s="80" customFormat="1" ht="20.100000000000001" customHeight="1" x14ac:dyDescent="0.2"/>
    <row r="378" spans="1:15" s="80" customFormat="1" ht="20.100000000000001" customHeight="1" x14ac:dyDescent="0.2">
      <c r="A378" s="80" t="s">
        <v>58</v>
      </c>
      <c r="B378" s="110" t="str">
        <f>B14</f>
        <v>PHILSAGA MINING CORPORATION - TIGERWAY DECLINE PROJECT</v>
      </c>
      <c r="C378" s="110"/>
      <c r="D378" s="110"/>
      <c r="E378" s="110"/>
    </row>
    <row r="379" spans="1:15" s="80" customFormat="1" ht="20.100000000000001" customHeight="1" x14ac:dyDescent="0.2">
      <c r="A379" s="80" t="s">
        <v>59</v>
      </c>
      <c r="B379" s="178" t="str">
        <f>B15</f>
        <v>MOUNT ROCK POWDER CORPORATION MAGAZINE</v>
      </c>
      <c r="C379" s="178"/>
      <c r="D379" s="178"/>
      <c r="E379" s="111"/>
    </row>
    <row r="380" spans="1:15" s="80" customFormat="1" ht="6" customHeight="1" x14ac:dyDescent="0.2"/>
    <row r="381" spans="1:15" s="80" customFormat="1" ht="39.75" customHeight="1" x14ac:dyDescent="0.2">
      <c r="A381" s="82" t="s">
        <v>60</v>
      </c>
      <c r="B381" s="82" t="s">
        <v>61</v>
      </c>
      <c r="C381" s="82" t="s">
        <v>62</v>
      </c>
      <c r="D381" s="82" t="s">
        <v>63</v>
      </c>
      <c r="E381" s="83" t="s">
        <v>64</v>
      </c>
      <c r="F381" s="83" t="s">
        <v>64</v>
      </c>
      <c r="G381" s="83" t="s">
        <v>64</v>
      </c>
      <c r="H381" s="83" t="s">
        <v>65</v>
      </c>
      <c r="I381" s="82" t="s">
        <v>66</v>
      </c>
      <c r="J381" s="82"/>
      <c r="K381" s="82"/>
      <c r="L381" s="82" t="s">
        <v>67</v>
      </c>
    </row>
    <row r="382" spans="1:15" s="80" customFormat="1" ht="39.75" customHeight="1" x14ac:dyDescent="0.2">
      <c r="A382" s="85" t="s">
        <v>84</v>
      </c>
      <c r="B382" s="84" t="s">
        <v>21</v>
      </c>
      <c r="C382" s="86"/>
      <c r="D382" s="86"/>
      <c r="E382" s="88"/>
      <c r="F382" s="86"/>
      <c r="G382" s="86"/>
      <c r="H382" s="93"/>
      <c r="I382" s="93">
        <v>10747</v>
      </c>
      <c r="J382" s="86"/>
      <c r="K382" s="86"/>
      <c r="L382" s="84" t="s">
        <v>74</v>
      </c>
      <c r="O382" s="91"/>
    </row>
    <row r="383" spans="1:15" s="80" customFormat="1" ht="20.100000000000001" customHeight="1" x14ac:dyDescent="0.2">
      <c r="A383" s="86"/>
      <c r="B383" s="86"/>
      <c r="C383" s="86"/>
      <c r="D383" s="86"/>
      <c r="E383" s="88">
        <v>46174</v>
      </c>
      <c r="F383" s="86"/>
      <c r="G383" s="86"/>
      <c r="H383" s="98"/>
      <c r="I383" s="98">
        <f t="shared" ref="I383:I389" si="9">I382-H383</f>
        <v>10747</v>
      </c>
      <c r="J383" s="86"/>
      <c r="K383" s="86"/>
      <c r="L383" s="84" t="s">
        <v>68</v>
      </c>
    </row>
    <row r="384" spans="1:15" s="80" customFormat="1" ht="20.100000000000001" customHeight="1" x14ac:dyDescent="0.2">
      <c r="A384" s="86"/>
      <c r="B384" s="86"/>
      <c r="C384" s="88"/>
      <c r="D384" s="127"/>
      <c r="E384" s="88">
        <v>46175</v>
      </c>
      <c r="F384" s="86"/>
      <c r="G384" s="86"/>
      <c r="H384" s="98"/>
      <c r="I384" s="98">
        <f t="shared" si="9"/>
        <v>10747</v>
      </c>
      <c r="J384" s="86"/>
      <c r="K384" s="86"/>
      <c r="L384" s="84" t="s">
        <v>68</v>
      </c>
    </row>
    <row r="385" spans="1:26" s="80" customFormat="1" ht="20.100000000000001" customHeight="1" x14ac:dyDescent="0.2">
      <c r="A385" s="86"/>
      <c r="B385" s="86"/>
      <c r="C385" s="88"/>
      <c r="D385" s="127"/>
      <c r="E385" s="88">
        <v>46176</v>
      </c>
      <c r="F385" s="86"/>
      <c r="G385" s="86"/>
      <c r="H385" s="98"/>
      <c r="I385" s="98">
        <f t="shared" si="9"/>
        <v>10747</v>
      </c>
      <c r="J385" s="86"/>
      <c r="K385" s="86"/>
      <c r="L385" s="84" t="s">
        <v>68</v>
      </c>
    </row>
    <row r="386" spans="1:26" s="80" customFormat="1" ht="20.100000000000001" customHeight="1" x14ac:dyDescent="0.2">
      <c r="A386" s="86"/>
      <c r="B386" s="86"/>
      <c r="C386" s="88"/>
      <c r="D386" s="92"/>
      <c r="E386" s="88">
        <v>46177</v>
      </c>
      <c r="F386" s="86"/>
      <c r="G386" s="86"/>
      <c r="H386" s="98"/>
      <c r="I386" s="98">
        <f t="shared" si="9"/>
        <v>10747</v>
      </c>
      <c r="J386" s="86"/>
      <c r="K386" s="86"/>
      <c r="L386" s="84" t="s">
        <v>68</v>
      </c>
    </row>
    <row r="387" spans="1:26" s="80" customFormat="1" ht="20.100000000000001" customHeight="1" x14ac:dyDescent="0.2">
      <c r="A387" s="86"/>
      <c r="B387" s="86"/>
      <c r="C387" s="88"/>
      <c r="D387" s="92"/>
      <c r="E387" s="88">
        <v>46178</v>
      </c>
      <c r="F387" s="107"/>
      <c r="G387" s="106"/>
      <c r="H387" s="107"/>
      <c r="I387" s="98">
        <f t="shared" si="9"/>
        <v>10747</v>
      </c>
      <c r="J387" s="86"/>
      <c r="K387" s="86"/>
      <c r="L387" s="84" t="s">
        <v>68</v>
      </c>
    </row>
    <row r="388" spans="1:26" s="80" customFormat="1" ht="20.100000000000001" customHeight="1" x14ac:dyDescent="0.2">
      <c r="A388" s="86"/>
      <c r="B388" s="86"/>
      <c r="C388" s="88"/>
      <c r="D388" s="127"/>
      <c r="E388" s="88">
        <v>46179</v>
      </c>
      <c r="F388" s="107"/>
      <c r="G388" s="106"/>
      <c r="H388" s="107"/>
      <c r="I388" s="98">
        <f t="shared" si="9"/>
        <v>10747</v>
      </c>
      <c r="J388" s="86"/>
      <c r="K388" s="86"/>
      <c r="L388" s="84" t="s">
        <v>68</v>
      </c>
      <c r="M388" s="84" t="s">
        <v>68</v>
      </c>
      <c r="N388" s="84" t="s">
        <v>68</v>
      </c>
      <c r="Q388" s="103"/>
    </row>
    <row r="389" spans="1:26" s="80" customFormat="1" ht="20.100000000000001" customHeight="1" x14ac:dyDescent="0.2">
      <c r="A389" s="86"/>
      <c r="B389" s="86"/>
      <c r="C389" s="88"/>
      <c r="D389" s="99"/>
      <c r="E389" s="88">
        <v>46180</v>
      </c>
      <c r="F389" s="107"/>
      <c r="G389" s="106"/>
      <c r="H389" s="107"/>
      <c r="I389" s="98">
        <f t="shared" si="9"/>
        <v>10747</v>
      </c>
      <c r="J389" s="86"/>
      <c r="K389" s="86"/>
      <c r="L389" s="84" t="s">
        <v>76</v>
      </c>
    </row>
    <row r="390" spans="1:26" s="80" customFormat="1" ht="20.100000000000001" customHeight="1" x14ac:dyDescent="0.2">
      <c r="A390" s="86"/>
      <c r="B390" s="86"/>
      <c r="C390" s="88"/>
      <c r="D390" s="98"/>
      <c r="E390" s="88"/>
      <c r="F390" s="86"/>
      <c r="G390" s="86"/>
      <c r="H390" s="98"/>
      <c r="I390" s="100">
        <f>I389</f>
        <v>10747</v>
      </c>
      <c r="J390" s="86"/>
      <c r="K390" s="86"/>
      <c r="L390" s="105" t="s">
        <v>73</v>
      </c>
      <c r="O390" s="91"/>
    </row>
    <row r="391" spans="1:26" s="80" customFormat="1" ht="20.100000000000001" customHeight="1" x14ac:dyDescent="0.2">
      <c r="A391" s="86"/>
      <c r="B391" s="86"/>
      <c r="C391" s="88"/>
      <c r="D391" s="99"/>
      <c r="E391" s="88"/>
      <c r="F391" s="86"/>
      <c r="G391" s="86"/>
      <c r="H391" s="98"/>
      <c r="I391" s="118"/>
      <c r="J391" s="119"/>
      <c r="K391" s="119"/>
      <c r="L391" s="120"/>
      <c r="O391" s="96"/>
    </row>
    <row r="392" spans="1:26" s="80" customFormat="1" ht="20.100000000000001" customHeight="1" x14ac:dyDescent="0.2">
      <c r="A392" s="86"/>
      <c r="B392" s="86"/>
      <c r="C392" s="88"/>
      <c r="D392" s="99"/>
      <c r="E392" s="88"/>
      <c r="F392" s="107"/>
      <c r="G392" s="106"/>
      <c r="H392" s="107"/>
      <c r="I392" s="118"/>
      <c r="J392" s="119"/>
      <c r="K392" s="119"/>
      <c r="L392" s="120"/>
      <c r="O392" s="91"/>
    </row>
    <row r="393" spans="1:26" s="80" customFormat="1" ht="20.100000000000001" customHeight="1" x14ac:dyDescent="0.2">
      <c r="A393" s="86"/>
      <c r="B393" s="86"/>
      <c r="C393" s="88"/>
      <c r="D393" s="99"/>
      <c r="E393" s="88"/>
      <c r="F393" s="86"/>
      <c r="G393" s="86"/>
      <c r="H393" s="98"/>
      <c r="I393" s="98"/>
      <c r="J393" s="98"/>
      <c r="K393" s="98"/>
      <c r="L393" s="98"/>
    </row>
    <row r="394" spans="1:26" s="80" customFormat="1" ht="20.100000000000001" customHeight="1" x14ac:dyDescent="0.2">
      <c r="A394" s="86"/>
      <c r="B394" s="86"/>
      <c r="C394" s="88"/>
      <c r="D394" s="99"/>
      <c r="E394" s="88"/>
      <c r="F394" s="86"/>
      <c r="G394" s="86"/>
      <c r="H394" s="98"/>
      <c r="I394" s="98"/>
      <c r="J394" s="98"/>
      <c r="K394" s="98"/>
      <c r="L394" s="98"/>
      <c r="O394" s="91"/>
    </row>
    <row r="395" spans="1:26" ht="10.5" customHeight="1" x14ac:dyDescent="0.25">
      <c r="A395" s="78"/>
      <c r="B395" s="77"/>
      <c r="D395" s="77"/>
      <c r="F395" s="77"/>
      <c r="G395" s="77"/>
      <c r="I395" s="77"/>
      <c r="J395" s="78"/>
      <c r="K395" s="77"/>
      <c r="L395" s="77"/>
      <c r="N395" s="77"/>
      <c r="O395" s="77"/>
      <c r="P395" s="179"/>
      <c r="Q395" s="179"/>
      <c r="X395" s="77"/>
      <c r="Y395" s="77"/>
      <c r="Z395" s="77"/>
    </row>
    <row r="396" spans="1:26" ht="11.25" customHeight="1" x14ac:dyDescent="0.25">
      <c r="A396" s="78"/>
      <c r="B396" s="77"/>
      <c r="D396" s="77"/>
      <c r="F396" s="77"/>
      <c r="G396" s="77"/>
      <c r="I396" s="77"/>
      <c r="J396" s="78"/>
      <c r="K396" s="77"/>
      <c r="L396" s="77"/>
      <c r="N396" s="77"/>
      <c r="O396" s="77"/>
      <c r="P396" s="109"/>
      <c r="Q396" s="109"/>
      <c r="X396" s="77"/>
      <c r="Y396" s="77"/>
      <c r="Z396" s="77"/>
    </row>
    <row r="397" spans="1:26" s="80" customFormat="1" ht="21.75" customHeight="1" x14ac:dyDescent="0.2">
      <c r="A397" s="78" t="s">
        <v>78</v>
      </c>
      <c r="B397" s="78"/>
      <c r="C397" s="80" t="s">
        <v>80</v>
      </c>
      <c r="E397" s="78" t="s">
        <v>75</v>
      </c>
      <c r="F397" s="78"/>
      <c r="G397" s="78"/>
      <c r="J397" s="78"/>
      <c r="K397" s="78"/>
      <c r="S397" s="89"/>
      <c r="W397" s="89"/>
      <c r="X397" s="78"/>
      <c r="Y397" s="78"/>
    </row>
    <row r="398" spans="1:26" s="80" customFormat="1" ht="21.75" customHeight="1" x14ac:dyDescent="0.2">
      <c r="A398" s="78"/>
      <c r="B398" s="78"/>
      <c r="C398" s="78"/>
      <c r="E398" s="78"/>
      <c r="F398" s="78"/>
      <c r="G398" s="78"/>
      <c r="J398" s="78"/>
      <c r="K398" s="78"/>
      <c r="S398" s="89"/>
      <c r="W398" s="89"/>
      <c r="X398" s="78"/>
      <c r="Y398" s="78"/>
    </row>
    <row r="399" spans="1:26" ht="21" customHeight="1" x14ac:dyDescent="0.25">
      <c r="A399" s="78"/>
      <c r="B399" s="77"/>
      <c r="C399" s="77"/>
      <c r="E399" s="77"/>
      <c r="F399" s="77"/>
      <c r="G399" s="77"/>
      <c r="J399" s="77"/>
      <c r="K399" s="77"/>
      <c r="O399" s="77"/>
      <c r="Q399" s="79"/>
      <c r="S399" s="77"/>
      <c r="X399" s="77"/>
      <c r="Y399" s="77"/>
      <c r="Z399" s="77"/>
    </row>
    <row r="400" spans="1:26" s="80" customFormat="1" ht="21" customHeight="1" x14ac:dyDescent="0.2">
      <c r="A400" s="81" t="str">
        <f>A36</f>
        <v>MR. MARK JAY E. CASTILLON</v>
      </c>
      <c r="B400" s="81"/>
      <c r="C400" s="81" t="str">
        <f>C36</f>
        <v>ENGR. EDWIN B. BATAL</v>
      </c>
      <c r="E400" s="81" t="str">
        <f>E36</f>
        <v>ENGR. JOHN MARTIN R. CIRIO</v>
      </c>
      <c r="F400" s="81"/>
      <c r="G400" s="81"/>
      <c r="J400" s="81"/>
      <c r="K400" s="81"/>
      <c r="O400" s="78"/>
      <c r="Q400" s="90"/>
    </row>
    <row r="401" spans="1:17" s="80" customFormat="1" ht="21" customHeight="1" x14ac:dyDescent="0.2">
      <c r="A401" s="78" t="s">
        <v>81</v>
      </c>
      <c r="B401" s="78"/>
      <c r="C401" s="78" t="str">
        <f>C37</f>
        <v>Mine Explosives Asst. Manager</v>
      </c>
      <c r="E401" s="78" t="str">
        <f>E37</f>
        <v>Long Range Mine Development Manager</v>
      </c>
      <c r="F401" s="78"/>
      <c r="G401" s="78"/>
      <c r="J401" s="78"/>
      <c r="K401" s="78"/>
      <c r="O401" s="78"/>
      <c r="Q401" s="90"/>
    </row>
    <row r="402" spans="1:17" s="80" customFormat="1" ht="21" customHeight="1" x14ac:dyDescent="0.2">
      <c r="A402" s="78" t="s">
        <v>77</v>
      </c>
      <c r="B402" s="78"/>
      <c r="C402" s="78" t="s">
        <v>0</v>
      </c>
      <c r="E402" s="101" t="s">
        <v>0</v>
      </c>
      <c r="F402" s="78"/>
      <c r="G402" s="78"/>
      <c r="J402" s="78"/>
      <c r="O402" s="78"/>
      <c r="Q402" s="90"/>
    </row>
    <row r="403" spans="1:17" s="80" customFormat="1" ht="21" customHeight="1" x14ac:dyDescent="0.2">
      <c r="A403" s="78"/>
      <c r="B403" s="78"/>
      <c r="C403" s="78"/>
      <c r="E403" s="101"/>
      <c r="F403" s="78"/>
      <c r="G403" s="78"/>
      <c r="J403" s="78"/>
      <c r="O403" s="78"/>
      <c r="Q403" s="90"/>
    </row>
    <row r="404" spans="1:17" s="80" customFormat="1" ht="9" customHeight="1" x14ac:dyDescent="0.2">
      <c r="A404" s="78"/>
      <c r="B404" s="78"/>
      <c r="C404" s="78"/>
      <c r="E404" s="101"/>
      <c r="F404" s="78"/>
      <c r="G404" s="78"/>
      <c r="J404" s="78"/>
      <c r="O404" s="78"/>
      <c r="Q404" s="90"/>
    </row>
    <row r="410" spans="1:17" ht="20.25" customHeight="1" x14ac:dyDescent="0.25"/>
    <row r="411" spans="1:17" ht="14.25" customHeight="1" x14ac:dyDescent="0.25"/>
    <row r="413" spans="1:17" s="80" customFormat="1" ht="20.100000000000001" customHeight="1" x14ac:dyDescent="0.2">
      <c r="A413" s="177" t="s">
        <v>56</v>
      </c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</row>
    <row r="414" spans="1:17" s="80" customFormat="1" ht="20.100000000000001" customHeight="1" x14ac:dyDescent="0.2">
      <c r="A414" s="177" t="s">
        <v>57</v>
      </c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</row>
    <row r="415" spans="1:17" s="80" customFormat="1" ht="20.100000000000001" customHeight="1" x14ac:dyDescent="0.2">
      <c r="A415" s="177" t="str">
        <f>A12</f>
        <v>Period Covered : JUNE 1-7, 2026</v>
      </c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</row>
    <row r="416" spans="1:17" s="80" customFormat="1" ht="20.100000000000001" customHeight="1" x14ac:dyDescent="0.2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</row>
    <row r="417" spans="1:17" s="80" customFormat="1" ht="20.100000000000001" customHeight="1" x14ac:dyDescent="0.2"/>
    <row r="418" spans="1:17" s="80" customFormat="1" ht="20.100000000000001" customHeight="1" x14ac:dyDescent="0.2">
      <c r="A418" s="80" t="s">
        <v>58</v>
      </c>
      <c r="B418" s="110" t="str">
        <f>B14</f>
        <v>PHILSAGA MINING CORPORATION - TIGERWAY DECLINE PROJECT</v>
      </c>
      <c r="C418" s="110"/>
      <c r="D418" s="110"/>
      <c r="E418" s="110"/>
    </row>
    <row r="419" spans="1:17" s="80" customFormat="1" ht="20.100000000000001" customHeight="1" x14ac:dyDescent="0.2">
      <c r="A419" s="80" t="s">
        <v>59</v>
      </c>
      <c r="B419" s="178" t="str">
        <f>B15</f>
        <v>MOUNT ROCK POWDER CORPORATION MAGAZINE</v>
      </c>
      <c r="C419" s="178"/>
      <c r="D419" s="178"/>
      <c r="E419" s="111"/>
    </row>
    <row r="420" spans="1:17" s="80" customFormat="1" ht="6" customHeight="1" x14ac:dyDescent="0.2"/>
    <row r="421" spans="1:17" s="80" customFormat="1" ht="39.75" customHeight="1" x14ac:dyDescent="0.2">
      <c r="A421" s="82" t="s">
        <v>60</v>
      </c>
      <c r="B421" s="82" t="s">
        <v>61</v>
      </c>
      <c r="C421" s="82" t="s">
        <v>62</v>
      </c>
      <c r="D421" s="82" t="s">
        <v>63</v>
      </c>
      <c r="E421" s="83" t="s">
        <v>64</v>
      </c>
      <c r="F421" s="83" t="s">
        <v>64</v>
      </c>
      <c r="G421" s="83" t="s">
        <v>64</v>
      </c>
      <c r="H421" s="83" t="s">
        <v>65</v>
      </c>
      <c r="I421" s="82" t="s">
        <v>66</v>
      </c>
      <c r="J421" s="82"/>
      <c r="K421" s="82"/>
      <c r="L421" s="82" t="s">
        <v>67</v>
      </c>
    </row>
    <row r="422" spans="1:17" s="80" customFormat="1" ht="39.75" customHeight="1" x14ac:dyDescent="0.2">
      <c r="A422" s="85" t="s">
        <v>89</v>
      </c>
      <c r="B422" s="84" t="s">
        <v>21</v>
      </c>
      <c r="C422" s="86"/>
      <c r="D422" s="86"/>
      <c r="E422" s="88"/>
      <c r="F422" s="86"/>
      <c r="G422" s="86"/>
      <c r="H422" s="93"/>
      <c r="I422" s="93">
        <v>15400</v>
      </c>
      <c r="J422" s="86"/>
      <c r="K422" s="86"/>
      <c r="L422" s="84" t="s">
        <v>74</v>
      </c>
      <c r="O422" s="91"/>
    </row>
    <row r="423" spans="1:17" s="80" customFormat="1" ht="20.100000000000001" customHeight="1" x14ac:dyDescent="0.2">
      <c r="A423" s="86"/>
      <c r="B423" s="86"/>
      <c r="C423" s="86"/>
      <c r="D423" s="86"/>
      <c r="E423" s="88">
        <v>46174</v>
      </c>
      <c r="F423" s="86"/>
      <c r="G423" s="86"/>
      <c r="H423" s="98"/>
      <c r="I423" s="98">
        <f t="shared" ref="I423:I429" si="10">I422-H423</f>
        <v>15400</v>
      </c>
      <c r="J423" s="86"/>
      <c r="K423" s="86"/>
      <c r="L423" s="84" t="s">
        <v>76</v>
      </c>
    </row>
    <row r="424" spans="1:17" s="80" customFormat="1" ht="20.100000000000001" customHeight="1" x14ac:dyDescent="0.2">
      <c r="A424" s="86"/>
      <c r="B424" s="86"/>
      <c r="C424" s="88"/>
      <c r="D424" s="86"/>
      <c r="E424" s="88">
        <v>46175</v>
      </c>
      <c r="F424" s="86"/>
      <c r="G424" s="86"/>
      <c r="H424" s="98"/>
      <c r="I424" s="98">
        <f t="shared" si="10"/>
        <v>15400</v>
      </c>
      <c r="J424" s="86"/>
      <c r="K424" s="86"/>
      <c r="L424" s="84" t="s">
        <v>76</v>
      </c>
    </row>
    <row r="425" spans="1:17" s="80" customFormat="1" ht="20.100000000000001" customHeight="1" x14ac:dyDescent="0.2">
      <c r="A425" s="86"/>
      <c r="B425" s="86"/>
      <c r="C425" s="88"/>
      <c r="D425" s="86"/>
      <c r="E425" s="88">
        <v>46176</v>
      </c>
      <c r="F425" s="86"/>
      <c r="G425" s="86"/>
      <c r="H425" s="98"/>
      <c r="I425" s="98">
        <f t="shared" si="10"/>
        <v>15400</v>
      </c>
      <c r="J425" s="86"/>
      <c r="K425" s="86"/>
      <c r="L425" s="84" t="s">
        <v>76</v>
      </c>
    </row>
    <row r="426" spans="1:17" s="80" customFormat="1" ht="20.100000000000001" customHeight="1" x14ac:dyDescent="0.2">
      <c r="A426" s="86"/>
      <c r="B426" s="86"/>
      <c r="C426" s="88"/>
      <c r="D426" s="86"/>
      <c r="E426" s="88">
        <v>46177</v>
      </c>
      <c r="F426" s="86"/>
      <c r="G426" s="86"/>
      <c r="H426" s="98"/>
      <c r="I426" s="98">
        <f t="shared" si="10"/>
        <v>15400</v>
      </c>
      <c r="J426" s="86"/>
      <c r="K426" s="86"/>
      <c r="L426" s="84" t="s">
        <v>76</v>
      </c>
    </row>
    <row r="427" spans="1:17" s="80" customFormat="1" ht="20.100000000000001" customHeight="1" x14ac:dyDescent="0.2">
      <c r="A427" s="86"/>
      <c r="B427" s="86"/>
      <c r="C427" s="88"/>
      <c r="D427" s="86"/>
      <c r="E427" s="88">
        <v>46178</v>
      </c>
      <c r="F427" s="107"/>
      <c r="G427" s="106"/>
      <c r="H427" s="107"/>
      <c r="I427" s="98">
        <f t="shared" si="10"/>
        <v>15400</v>
      </c>
      <c r="J427" s="86"/>
      <c r="K427" s="86"/>
      <c r="L427" s="84" t="s">
        <v>76</v>
      </c>
    </row>
    <row r="428" spans="1:17" s="80" customFormat="1" ht="20.100000000000001" customHeight="1" x14ac:dyDescent="0.2">
      <c r="A428" s="86"/>
      <c r="B428" s="86"/>
      <c r="C428" s="88"/>
      <c r="D428" s="86"/>
      <c r="E428" s="88">
        <v>46179</v>
      </c>
      <c r="F428" s="107"/>
      <c r="G428" s="106"/>
      <c r="H428" s="107"/>
      <c r="I428" s="98">
        <f t="shared" si="10"/>
        <v>15400</v>
      </c>
      <c r="J428" s="86"/>
      <c r="K428" s="86"/>
      <c r="L428" s="84" t="s">
        <v>76</v>
      </c>
      <c r="Q428" s="103"/>
    </row>
    <row r="429" spans="1:17" s="80" customFormat="1" ht="20.100000000000001" customHeight="1" x14ac:dyDescent="0.2">
      <c r="A429" s="86"/>
      <c r="B429" s="86"/>
      <c r="C429" s="88"/>
      <c r="D429" s="86"/>
      <c r="E429" s="88">
        <v>46180</v>
      </c>
      <c r="F429" s="107"/>
      <c r="G429" s="106"/>
      <c r="H429" s="107"/>
      <c r="I429" s="98">
        <f t="shared" si="10"/>
        <v>15400</v>
      </c>
      <c r="J429" s="86"/>
      <c r="K429" s="86"/>
      <c r="L429" s="84" t="s">
        <v>76</v>
      </c>
    </row>
    <row r="430" spans="1:17" s="80" customFormat="1" ht="20.100000000000001" customHeight="1" x14ac:dyDescent="0.2">
      <c r="A430" s="86"/>
      <c r="B430" s="86"/>
      <c r="C430" s="88"/>
      <c r="D430" s="98"/>
      <c r="E430" s="88"/>
      <c r="F430" s="86"/>
      <c r="G430" s="86"/>
      <c r="H430" s="98"/>
      <c r="I430" s="100">
        <f>I429</f>
        <v>15400</v>
      </c>
      <c r="J430" s="86"/>
      <c r="K430" s="86"/>
      <c r="L430" s="105" t="s">
        <v>73</v>
      </c>
      <c r="O430" s="91">
        <f>I430/200</f>
        <v>77</v>
      </c>
    </row>
    <row r="431" spans="1:17" s="80" customFormat="1" ht="20.100000000000001" customHeight="1" x14ac:dyDescent="0.2">
      <c r="A431" s="86"/>
      <c r="B431" s="86"/>
      <c r="C431" s="88"/>
      <c r="D431" s="99"/>
      <c r="E431" s="88"/>
      <c r="F431" s="86"/>
      <c r="G431" s="86"/>
      <c r="H431" s="98"/>
      <c r="I431" s="118"/>
      <c r="J431" s="119"/>
      <c r="K431" s="119"/>
      <c r="L431" s="120"/>
      <c r="O431" s="96"/>
    </row>
    <row r="432" spans="1:17" s="80" customFormat="1" ht="20.100000000000001" customHeight="1" x14ac:dyDescent="0.2">
      <c r="A432" s="86"/>
      <c r="B432" s="86"/>
      <c r="C432" s="88"/>
      <c r="D432" s="99"/>
      <c r="E432" s="88"/>
      <c r="F432" s="107"/>
      <c r="G432" s="106"/>
      <c r="H432" s="107"/>
      <c r="I432" s="118"/>
      <c r="J432" s="119"/>
      <c r="K432" s="119"/>
      <c r="L432" s="120"/>
      <c r="O432" s="91"/>
    </row>
    <row r="433" spans="1:26" s="80" customFormat="1" ht="20.100000000000001" customHeight="1" x14ac:dyDescent="0.2">
      <c r="A433" s="86"/>
      <c r="B433" s="86"/>
      <c r="C433" s="88"/>
      <c r="D433" s="99"/>
      <c r="E433" s="88"/>
      <c r="F433" s="86"/>
      <c r="G433" s="86"/>
      <c r="H433" s="98"/>
      <c r="I433" s="98"/>
      <c r="J433" s="98"/>
      <c r="K433" s="98"/>
      <c r="L433" s="98"/>
    </row>
    <row r="434" spans="1:26" s="80" customFormat="1" ht="20.100000000000001" customHeight="1" x14ac:dyDescent="0.2">
      <c r="A434" s="86"/>
      <c r="B434" s="86"/>
      <c r="C434" s="88"/>
      <c r="D434" s="92"/>
      <c r="E434" s="88"/>
      <c r="F434" s="86"/>
      <c r="G434" s="86"/>
      <c r="H434" s="87"/>
      <c r="I434" s="87"/>
      <c r="J434" s="86"/>
      <c r="K434" s="86"/>
      <c r="L434" s="84"/>
      <c r="O434" s="91"/>
    </row>
    <row r="435" spans="1:26" ht="10.5" customHeight="1" x14ac:dyDescent="0.25">
      <c r="A435" s="78"/>
      <c r="B435" s="77"/>
      <c r="D435" s="77"/>
      <c r="F435" s="77"/>
      <c r="G435" s="77"/>
      <c r="I435" s="77"/>
      <c r="J435" s="78"/>
      <c r="K435" s="77"/>
      <c r="L435" s="77"/>
      <c r="N435" s="77"/>
      <c r="O435" s="77"/>
      <c r="P435" s="179"/>
      <c r="Q435" s="179"/>
      <c r="X435" s="77"/>
      <c r="Y435" s="77"/>
      <c r="Z435" s="77"/>
    </row>
    <row r="436" spans="1:26" ht="11.25" customHeight="1" x14ac:dyDescent="0.25">
      <c r="A436" s="78"/>
      <c r="B436" s="77"/>
      <c r="D436" s="77"/>
      <c r="F436" s="77"/>
      <c r="G436" s="77"/>
      <c r="I436" s="77"/>
      <c r="J436" s="78"/>
      <c r="K436" s="77"/>
      <c r="L436" s="77"/>
      <c r="N436" s="77"/>
      <c r="O436" s="77"/>
      <c r="P436" s="109"/>
      <c r="Q436" s="109"/>
      <c r="X436" s="77"/>
      <c r="Y436" s="77"/>
      <c r="Z436" s="77"/>
    </row>
    <row r="437" spans="1:26" s="80" customFormat="1" ht="21.75" customHeight="1" x14ac:dyDescent="0.2">
      <c r="A437" s="78" t="s">
        <v>78</v>
      </c>
      <c r="B437" s="78"/>
      <c r="C437" s="80" t="s">
        <v>80</v>
      </c>
      <c r="E437" s="78" t="s">
        <v>75</v>
      </c>
      <c r="F437" s="78"/>
      <c r="G437" s="78"/>
      <c r="J437" s="78"/>
      <c r="K437" s="78"/>
      <c r="S437" s="89"/>
      <c r="W437" s="89"/>
      <c r="X437" s="78"/>
      <c r="Y437" s="78"/>
    </row>
    <row r="438" spans="1:26" s="80" customFormat="1" ht="21.75" customHeight="1" x14ac:dyDescent="0.2">
      <c r="A438" s="78"/>
      <c r="B438" s="78"/>
      <c r="C438" s="78"/>
      <c r="E438" s="78"/>
      <c r="F438" s="78"/>
      <c r="G438" s="78"/>
      <c r="J438" s="78"/>
      <c r="K438" s="78"/>
      <c r="S438" s="89"/>
      <c r="W438" s="89"/>
      <c r="X438" s="78"/>
      <c r="Y438" s="78"/>
    </row>
    <row r="439" spans="1:26" ht="21" customHeight="1" x14ac:dyDescent="0.25">
      <c r="A439" s="78"/>
      <c r="B439" s="77"/>
      <c r="C439" s="77"/>
      <c r="E439" s="77"/>
      <c r="F439" s="77"/>
      <c r="G439" s="77"/>
      <c r="J439" s="77"/>
      <c r="K439" s="77"/>
      <c r="O439" s="77"/>
      <c r="Q439" s="79"/>
      <c r="S439" s="77"/>
      <c r="X439" s="77"/>
      <c r="Y439" s="77"/>
      <c r="Z439" s="77"/>
    </row>
    <row r="440" spans="1:26" s="80" customFormat="1" ht="21" customHeight="1" x14ac:dyDescent="0.2">
      <c r="A440" s="81" t="str">
        <f>A36</f>
        <v>MR. MARK JAY E. CASTILLON</v>
      </c>
      <c r="B440" s="81"/>
      <c r="C440" s="81" t="str">
        <f>C36</f>
        <v>ENGR. EDWIN B. BATAL</v>
      </c>
      <c r="E440" s="81" t="str">
        <f>E36</f>
        <v>ENGR. JOHN MARTIN R. CIRIO</v>
      </c>
      <c r="F440" s="81"/>
      <c r="G440" s="81"/>
      <c r="J440" s="81"/>
      <c r="K440" s="81"/>
      <c r="O440" s="78"/>
      <c r="Q440" s="90"/>
    </row>
    <row r="441" spans="1:26" s="80" customFormat="1" ht="21" customHeight="1" x14ac:dyDescent="0.2">
      <c r="A441" s="78" t="s">
        <v>81</v>
      </c>
      <c r="B441" s="78"/>
      <c r="C441" s="78" t="str">
        <f>C37</f>
        <v>Mine Explosives Asst. Manager</v>
      </c>
      <c r="E441" s="78" t="str">
        <f>E37</f>
        <v>Long Range Mine Development Manager</v>
      </c>
      <c r="F441" s="78"/>
      <c r="G441" s="78"/>
      <c r="J441" s="78"/>
      <c r="K441" s="78"/>
      <c r="O441" s="78"/>
      <c r="Q441" s="90"/>
    </row>
    <row r="442" spans="1:26" s="80" customFormat="1" ht="21" customHeight="1" x14ac:dyDescent="0.2">
      <c r="A442" s="78" t="s">
        <v>77</v>
      </c>
      <c r="B442" s="78"/>
      <c r="C442" s="78" t="s">
        <v>0</v>
      </c>
      <c r="E442" s="101" t="s">
        <v>0</v>
      </c>
      <c r="F442" s="78"/>
      <c r="G442" s="78"/>
      <c r="J442" s="78"/>
      <c r="O442" s="78"/>
      <c r="Q442" s="90"/>
    </row>
    <row r="443" spans="1:26" s="80" customFormat="1" ht="21" customHeight="1" x14ac:dyDescent="0.2">
      <c r="A443" s="78"/>
      <c r="B443" s="78"/>
      <c r="C443" s="78"/>
      <c r="E443" s="101"/>
      <c r="F443" s="78"/>
      <c r="G443" s="78"/>
      <c r="J443" s="78"/>
      <c r="O443" s="78"/>
      <c r="Q443" s="90"/>
    </row>
    <row r="444" spans="1:26" ht="16.5" customHeight="1" x14ac:dyDescent="0.25"/>
    <row r="450" spans="1:15" ht="20.25" customHeight="1" x14ac:dyDescent="0.25"/>
    <row r="452" spans="1:15" s="80" customFormat="1" ht="20.100000000000001" customHeight="1" x14ac:dyDescent="0.2">
      <c r="A452" s="177" t="s">
        <v>56</v>
      </c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</row>
    <row r="453" spans="1:15" s="80" customFormat="1" ht="20.100000000000001" customHeight="1" x14ac:dyDescent="0.2">
      <c r="A453" s="177" t="s">
        <v>57</v>
      </c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</row>
    <row r="454" spans="1:15" s="80" customFormat="1" ht="20.100000000000001" customHeight="1" x14ac:dyDescent="0.2">
      <c r="A454" s="177" t="str">
        <f>A12</f>
        <v>Period Covered : JUNE 1-7, 2026</v>
      </c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</row>
    <row r="455" spans="1:15" s="80" customFormat="1" ht="20.100000000000001" customHeight="1" x14ac:dyDescent="0.2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</row>
    <row r="456" spans="1:15" s="80" customFormat="1" ht="20.100000000000001" customHeight="1" x14ac:dyDescent="0.2"/>
    <row r="457" spans="1:15" s="80" customFormat="1" ht="20.100000000000001" customHeight="1" x14ac:dyDescent="0.2">
      <c r="A457" s="80" t="s">
        <v>58</v>
      </c>
      <c r="B457" s="110" t="str">
        <f>B14</f>
        <v>PHILSAGA MINING CORPORATION - TIGERWAY DECLINE PROJECT</v>
      </c>
      <c r="C457" s="110"/>
      <c r="D457" s="110"/>
      <c r="E457" s="110"/>
    </row>
    <row r="458" spans="1:15" s="80" customFormat="1" ht="20.100000000000001" customHeight="1" x14ac:dyDescent="0.2">
      <c r="A458" s="80" t="s">
        <v>59</v>
      </c>
      <c r="B458" s="178" t="str">
        <f>B15</f>
        <v>MOUNT ROCK POWDER CORPORATION MAGAZINE</v>
      </c>
      <c r="C458" s="178"/>
      <c r="D458" s="178"/>
      <c r="E458" s="111"/>
    </row>
    <row r="459" spans="1:15" s="80" customFormat="1" ht="6" customHeight="1" x14ac:dyDescent="0.2"/>
    <row r="460" spans="1:15" s="80" customFormat="1" ht="39.75" customHeight="1" x14ac:dyDescent="0.2">
      <c r="A460" s="82" t="s">
        <v>60</v>
      </c>
      <c r="B460" s="82" t="s">
        <v>61</v>
      </c>
      <c r="C460" s="82" t="s">
        <v>62</v>
      </c>
      <c r="D460" s="82" t="s">
        <v>63</v>
      </c>
      <c r="E460" s="83" t="s">
        <v>64</v>
      </c>
      <c r="F460" s="83" t="s">
        <v>64</v>
      </c>
      <c r="G460" s="83" t="s">
        <v>64</v>
      </c>
      <c r="H460" s="83" t="s">
        <v>65</v>
      </c>
      <c r="I460" s="82" t="s">
        <v>66</v>
      </c>
      <c r="J460" s="82"/>
      <c r="K460" s="82"/>
      <c r="L460" s="82" t="s">
        <v>67</v>
      </c>
    </row>
    <row r="461" spans="1:15" s="80" customFormat="1" ht="39.75" customHeight="1" x14ac:dyDescent="0.2">
      <c r="A461" s="85" t="s">
        <v>14</v>
      </c>
      <c r="B461" s="84" t="s">
        <v>21</v>
      </c>
      <c r="C461" s="86"/>
      <c r="D461" s="86"/>
      <c r="E461" s="88"/>
      <c r="F461" s="86"/>
      <c r="G461" s="86"/>
      <c r="H461" s="93"/>
      <c r="I461" s="93">
        <v>96</v>
      </c>
      <c r="J461" s="86"/>
      <c r="K461" s="86"/>
      <c r="L461" s="84" t="s">
        <v>74</v>
      </c>
      <c r="O461" s="91"/>
    </row>
    <row r="462" spans="1:15" s="80" customFormat="1" ht="20.100000000000001" customHeight="1" x14ac:dyDescent="0.2">
      <c r="A462" s="86"/>
      <c r="B462" s="86"/>
      <c r="C462" s="86"/>
      <c r="D462" s="86"/>
      <c r="E462" s="88">
        <v>46174</v>
      </c>
      <c r="F462" s="86"/>
      <c r="G462" s="86"/>
      <c r="H462" s="98"/>
      <c r="I462" s="98">
        <f t="shared" ref="I462:I468" si="11">I461-H462</f>
        <v>96</v>
      </c>
      <c r="J462" s="86"/>
      <c r="K462" s="86"/>
      <c r="L462" s="84" t="s">
        <v>76</v>
      </c>
    </row>
    <row r="463" spans="1:15" s="80" customFormat="1" ht="20.100000000000001" customHeight="1" x14ac:dyDescent="0.2">
      <c r="A463" s="86"/>
      <c r="B463" s="86"/>
      <c r="C463" s="88"/>
      <c r="D463" s="122"/>
      <c r="E463" s="88">
        <v>46175</v>
      </c>
      <c r="F463" s="86"/>
      <c r="G463" s="86"/>
      <c r="H463" s="98"/>
      <c r="I463" s="98">
        <f t="shared" si="11"/>
        <v>96</v>
      </c>
      <c r="J463" s="86"/>
      <c r="K463" s="86"/>
      <c r="L463" s="84" t="s">
        <v>76</v>
      </c>
    </row>
    <row r="464" spans="1:15" s="80" customFormat="1" ht="20.100000000000001" customHeight="1" x14ac:dyDescent="0.2">
      <c r="A464" s="86"/>
      <c r="B464" s="86"/>
      <c r="C464" s="88"/>
      <c r="D464" s="92"/>
      <c r="E464" s="88">
        <v>46176</v>
      </c>
      <c r="F464" s="86"/>
      <c r="G464" s="86"/>
      <c r="H464" s="98"/>
      <c r="I464" s="98">
        <f t="shared" si="11"/>
        <v>96</v>
      </c>
      <c r="J464" s="86"/>
      <c r="K464" s="86"/>
      <c r="L464" s="84" t="s">
        <v>76</v>
      </c>
    </row>
    <row r="465" spans="1:26" s="80" customFormat="1" ht="20.100000000000001" customHeight="1" x14ac:dyDescent="0.2">
      <c r="A465" s="86"/>
      <c r="B465" s="86"/>
      <c r="C465" s="88"/>
      <c r="D465" s="92"/>
      <c r="E465" s="88">
        <v>46177</v>
      </c>
      <c r="F465" s="86"/>
      <c r="G465" s="86"/>
      <c r="H465" s="98"/>
      <c r="I465" s="98">
        <f t="shared" si="11"/>
        <v>96</v>
      </c>
      <c r="J465" s="86"/>
      <c r="K465" s="86"/>
      <c r="L465" s="84" t="s">
        <v>76</v>
      </c>
    </row>
    <row r="466" spans="1:26" s="80" customFormat="1" ht="20.100000000000001" customHeight="1" x14ac:dyDescent="0.2">
      <c r="A466" s="86"/>
      <c r="B466" s="86"/>
      <c r="C466" s="88"/>
      <c r="D466" s="92"/>
      <c r="E466" s="88">
        <v>46178</v>
      </c>
      <c r="F466" s="107"/>
      <c r="G466" s="106"/>
      <c r="H466" s="107"/>
      <c r="I466" s="98">
        <f t="shared" si="11"/>
        <v>96</v>
      </c>
      <c r="J466" s="86"/>
      <c r="K466" s="86"/>
      <c r="L466" s="84" t="s">
        <v>76</v>
      </c>
    </row>
    <row r="467" spans="1:26" s="80" customFormat="1" ht="20.100000000000001" customHeight="1" x14ac:dyDescent="0.2">
      <c r="A467" s="86"/>
      <c r="B467" s="86"/>
      <c r="C467" s="88"/>
      <c r="D467" s="92"/>
      <c r="E467" s="88">
        <v>46179</v>
      </c>
      <c r="F467" s="107"/>
      <c r="G467" s="106"/>
      <c r="H467" s="107"/>
      <c r="I467" s="98">
        <f t="shared" si="11"/>
        <v>96</v>
      </c>
      <c r="J467" s="86"/>
      <c r="K467" s="86"/>
      <c r="L467" s="84" t="s">
        <v>76</v>
      </c>
      <c r="Q467" s="103"/>
    </row>
    <row r="468" spans="1:26" s="80" customFormat="1" ht="20.100000000000001" customHeight="1" x14ac:dyDescent="0.2">
      <c r="A468" s="86"/>
      <c r="B468" s="86"/>
      <c r="C468" s="88"/>
      <c r="D468" s="99"/>
      <c r="E468" s="88">
        <v>46180</v>
      </c>
      <c r="F468" s="107"/>
      <c r="G468" s="106"/>
      <c r="H468" s="107"/>
      <c r="I468" s="98">
        <f t="shared" si="11"/>
        <v>96</v>
      </c>
      <c r="J468" s="86"/>
      <c r="K468" s="86"/>
      <c r="L468" s="84" t="s">
        <v>76</v>
      </c>
    </row>
    <row r="469" spans="1:26" s="80" customFormat="1" ht="20.100000000000001" customHeight="1" x14ac:dyDescent="0.2">
      <c r="A469" s="86"/>
      <c r="B469" s="86"/>
      <c r="C469" s="88"/>
      <c r="D469" s="98"/>
      <c r="E469" s="88"/>
      <c r="F469" s="86"/>
      <c r="G469" s="86"/>
      <c r="H469" s="98"/>
      <c r="I469" s="100">
        <f>I468</f>
        <v>96</v>
      </c>
      <c r="J469" s="86"/>
      <c r="K469" s="86"/>
      <c r="L469" s="105" t="s">
        <v>73</v>
      </c>
      <c r="O469" s="91"/>
    </row>
    <row r="470" spans="1:26" s="80" customFormat="1" ht="20.100000000000001" customHeight="1" x14ac:dyDescent="0.2">
      <c r="A470" s="86"/>
      <c r="B470" s="86"/>
      <c r="C470" s="88"/>
      <c r="D470" s="99"/>
      <c r="E470" s="88"/>
      <c r="F470" s="86"/>
      <c r="G470" s="86"/>
      <c r="H470" s="98"/>
      <c r="I470" s="118"/>
      <c r="J470" s="119"/>
      <c r="K470" s="119"/>
      <c r="L470" s="120"/>
      <c r="O470" s="96"/>
    </row>
    <row r="471" spans="1:26" s="80" customFormat="1" ht="20.100000000000001" customHeight="1" x14ac:dyDescent="0.2">
      <c r="A471" s="86"/>
      <c r="B471" s="86"/>
      <c r="C471" s="88"/>
      <c r="D471" s="99"/>
      <c r="E471" s="88"/>
      <c r="F471" s="107"/>
      <c r="G471" s="106"/>
      <c r="H471" s="107"/>
      <c r="I471" s="118"/>
      <c r="J471" s="119"/>
      <c r="K471" s="119"/>
      <c r="L471" s="120"/>
      <c r="O471" s="91"/>
    </row>
    <row r="472" spans="1:26" s="80" customFormat="1" ht="20.100000000000001" customHeight="1" x14ac:dyDescent="0.2">
      <c r="A472" s="86"/>
      <c r="B472" s="86"/>
      <c r="C472" s="88"/>
      <c r="D472" s="99"/>
      <c r="E472" s="88"/>
      <c r="F472" s="86"/>
      <c r="G472" s="86"/>
      <c r="H472" s="98"/>
      <c r="I472" s="98"/>
      <c r="J472" s="98"/>
      <c r="K472" s="98"/>
      <c r="L472" s="98"/>
    </row>
    <row r="473" spans="1:26" s="80" customFormat="1" ht="20.100000000000001" customHeight="1" x14ac:dyDescent="0.2">
      <c r="A473" s="86"/>
      <c r="B473" s="86"/>
      <c r="C473" s="88"/>
      <c r="D473" s="92"/>
      <c r="E473" s="88"/>
      <c r="F473" s="86"/>
      <c r="G473" s="86"/>
      <c r="H473" s="87"/>
      <c r="I473" s="87"/>
      <c r="J473" s="86"/>
      <c r="K473" s="86"/>
      <c r="L473" s="84"/>
      <c r="O473" s="91"/>
    </row>
    <row r="474" spans="1:26" ht="10.5" customHeight="1" x14ac:dyDescent="0.25">
      <c r="A474" s="78"/>
      <c r="B474" s="77"/>
      <c r="D474" s="77"/>
      <c r="F474" s="77"/>
      <c r="G474" s="77"/>
      <c r="I474" s="77"/>
      <c r="J474" s="78"/>
      <c r="K474" s="77"/>
      <c r="L474" s="77"/>
      <c r="N474" s="77"/>
      <c r="O474" s="77"/>
      <c r="P474" s="179"/>
      <c r="Q474" s="179"/>
      <c r="X474" s="77"/>
      <c r="Y474" s="77"/>
      <c r="Z474" s="77"/>
    </row>
    <row r="475" spans="1:26" ht="11.25" customHeight="1" x14ac:dyDescent="0.25">
      <c r="A475" s="78"/>
      <c r="B475" s="77"/>
      <c r="D475" s="77"/>
      <c r="F475" s="77"/>
      <c r="G475" s="77"/>
      <c r="I475" s="77"/>
      <c r="J475" s="78"/>
      <c r="K475" s="77"/>
      <c r="L475" s="77"/>
      <c r="N475" s="77"/>
      <c r="O475" s="77"/>
      <c r="P475" s="109"/>
      <c r="Q475" s="109"/>
      <c r="X475" s="77"/>
      <c r="Y475" s="77"/>
      <c r="Z475" s="77"/>
    </row>
    <row r="476" spans="1:26" s="80" customFormat="1" ht="21.75" customHeight="1" x14ac:dyDescent="0.2">
      <c r="A476" s="78" t="s">
        <v>78</v>
      </c>
      <c r="B476" s="78"/>
      <c r="C476" s="80" t="s">
        <v>80</v>
      </c>
      <c r="E476" s="78" t="s">
        <v>75</v>
      </c>
      <c r="F476" s="78"/>
      <c r="G476" s="78"/>
      <c r="J476" s="78"/>
      <c r="K476" s="78"/>
      <c r="S476" s="89"/>
      <c r="W476" s="89"/>
      <c r="X476" s="78"/>
      <c r="Y476" s="78"/>
    </row>
    <row r="477" spans="1:26" s="80" customFormat="1" ht="21.75" customHeight="1" x14ac:dyDescent="0.2">
      <c r="A477" s="78"/>
      <c r="B477" s="78"/>
      <c r="C477" s="78"/>
      <c r="E477" s="78"/>
      <c r="F477" s="78"/>
      <c r="G477" s="78"/>
      <c r="J477" s="78"/>
      <c r="K477" s="78"/>
      <c r="S477" s="89"/>
      <c r="W477" s="89"/>
      <c r="X477" s="78"/>
      <c r="Y477" s="78"/>
    </row>
    <row r="478" spans="1:26" ht="21" customHeight="1" x14ac:dyDescent="0.25">
      <c r="A478" s="78"/>
      <c r="B478" s="77"/>
      <c r="C478" s="77"/>
      <c r="E478" s="77"/>
      <c r="F478" s="77"/>
      <c r="G478" s="77"/>
      <c r="J478" s="77"/>
      <c r="K478" s="77"/>
      <c r="O478" s="77"/>
      <c r="Q478" s="79"/>
      <c r="S478" s="77"/>
      <c r="X478" s="77"/>
      <c r="Y478" s="77"/>
      <c r="Z478" s="77"/>
    </row>
    <row r="479" spans="1:26" s="80" customFormat="1" ht="21" customHeight="1" x14ac:dyDescent="0.2">
      <c r="A479" s="81" t="str">
        <f>A36</f>
        <v>MR. MARK JAY E. CASTILLON</v>
      </c>
      <c r="B479" s="81"/>
      <c r="C479" s="81" t="str">
        <f>C36</f>
        <v>ENGR. EDWIN B. BATAL</v>
      </c>
      <c r="E479" s="81" t="str">
        <f>E36</f>
        <v>ENGR. JOHN MARTIN R. CIRIO</v>
      </c>
      <c r="F479" s="81"/>
      <c r="G479" s="81"/>
      <c r="J479" s="81"/>
      <c r="K479" s="81"/>
      <c r="O479" s="78"/>
      <c r="Q479" s="90"/>
    </row>
    <row r="480" spans="1:26" s="80" customFormat="1" ht="21" customHeight="1" x14ac:dyDescent="0.2">
      <c r="A480" s="78" t="s">
        <v>81</v>
      </c>
      <c r="B480" s="78"/>
      <c r="C480" s="78" t="str">
        <f>C37</f>
        <v>Mine Explosives Asst. Manager</v>
      </c>
      <c r="E480" s="78" t="str">
        <f>E37</f>
        <v>Long Range Mine Development Manager</v>
      </c>
      <c r="F480" s="78"/>
      <c r="G480" s="78"/>
      <c r="J480" s="78"/>
      <c r="K480" s="78"/>
      <c r="O480" s="78"/>
      <c r="Q480" s="90"/>
    </row>
    <row r="481" spans="1:17" s="80" customFormat="1" ht="21" customHeight="1" x14ac:dyDescent="0.2">
      <c r="A481" s="78" t="s">
        <v>77</v>
      </c>
      <c r="B481" s="78"/>
      <c r="C481" s="78" t="s">
        <v>0</v>
      </c>
      <c r="E481" s="101" t="s">
        <v>0</v>
      </c>
      <c r="F481" s="78"/>
      <c r="G481" s="78"/>
      <c r="J481" s="78"/>
      <c r="O481" s="78"/>
      <c r="Q481" s="90"/>
    </row>
    <row r="484" spans="1:17" ht="16.5" customHeight="1" x14ac:dyDescent="0.25"/>
    <row r="490" spans="1:17" ht="20.25" customHeight="1" x14ac:dyDescent="0.25"/>
    <row r="492" spans="1:17" s="80" customFormat="1" ht="20.100000000000001" customHeight="1" x14ac:dyDescent="0.2">
      <c r="A492" s="177" t="s">
        <v>56</v>
      </c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</row>
    <row r="493" spans="1:17" s="80" customFormat="1" ht="20.100000000000001" customHeight="1" x14ac:dyDescent="0.2">
      <c r="A493" s="177" t="s">
        <v>57</v>
      </c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</row>
    <row r="494" spans="1:17" s="80" customFormat="1" ht="20.100000000000001" customHeight="1" x14ac:dyDescent="0.2">
      <c r="A494" s="177" t="str">
        <f>A12</f>
        <v>Period Covered : JUNE 1-7, 2026</v>
      </c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</row>
    <row r="495" spans="1:17" s="80" customFormat="1" ht="20.100000000000001" customHeight="1" x14ac:dyDescent="0.2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</row>
    <row r="496" spans="1:17" s="80" customFormat="1" ht="20.100000000000001" customHeight="1" x14ac:dyDescent="0.2"/>
    <row r="497" spans="1:17" s="80" customFormat="1" ht="20.100000000000001" customHeight="1" x14ac:dyDescent="0.2">
      <c r="A497" s="80" t="s">
        <v>58</v>
      </c>
      <c r="B497" s="110" t="str">
        <f>B55</f>
        <v>PHILSAGA MINING CORPORATION - TIGERWAY DECLINE PROJECT</v>
      </c>
      <c r="C497" s="110"/>
      <c r="D497" s="110"/>
      <c r="E497" s="110"/>
    </row>
    <row r="498" spans="1:17" s="80" customFormat="1" ht="20.100000000000001" customHeight="1" x14ac:dyDescent="0.2">
      <c r="A498" s="80" t="s">
        <v>59</v>
      </c>
      <c r="B498" s="178" t="str">
        <f>B56</f>
        <v>MOUNT ROCK POWDER CORPORATION MAGAZINE</v>
      </c>
      <c r="C498" s="178"/>
      <c r="D498" s="178"/>
      <c r="E498" s="111"/>
    </row>
    <row r="499" spans="1:17" s="80" customFormat="1" ht="6" customHeight="1" x14ac:dyDescent="0.2"/>
    <row r="500" spans="1:17" s="80" customFormat="1" ht="39.75" customHeight="1" x14ac:dyDescent="0.2">
      <c r="A500" s="82" t="s">
        <v>60</v>
      </c>
      <c r="B500" s="82" t="s">
        <v>61</v>
      </c>
      <c r="C500" s="82" t="s">
        <v>62</v>
      </c>
      <c r="D500" s="82" t="s">
        <v>63</v>
      </c>
      <c r="E500" s="83" t="s">
        <v>64</v>
      </c>
      <c r="F500" s="83" t="s">
        <v>64</v>
      </c>
      <c r="G500" s="83" t="s">
        <v>64</v>
      </c>
      <c r="H500" s="83" t="s">
        <v>65</v>
      </c>
      <c r="I500" s="82" t="s">
        <v>66</v>
      </c>
      <c r="J500" s="82"/>
      <c r="K500" s="82"/>
      <c r="L500" s="82" t="s">
        <v>67</v>
      </c>
    </row>
    <row r="501" spans="1:17" s="80" customFormat="1" ht="39.75" customHeight="1" x14ac:dyDescent="0.2">
      <c r="A501" s="85" t="s">
        <v>87</v>
      </c>
      <c r="B501" s="84" t="s">
        <v>21</v>
      </c>
      <c r="C501" s="86"/>
      <c r="D501" s="86"/>
      <c r="E501" s="88"/>
      <c r="F501" s="86"/>
      <c r="G501" s="86"/>
      <c r="H501" s="93"/>
      <c r="I501" s="93">
        <v>0</v>
      </c>
      <c r="J501" s="86"/>
      <c r="K501" s="86"/>
      <c r="L501" s="84" t="s">
        <v>74</v>
      </c>
      <c r="O501" s="91"/>
    </row>
    <row r="502" spans="1:17" s="80" customFormat="1" ht="20.100000000000001" customHeight="1" x14ac:dyDescent="0.2">
      <c r="A502" s="86"/>
      <c r="B502" s="86"/>
      <c r="C502" s="86"/>
      <c r="D502" s="86"/>
      <c r="E502" s="88">
        <v>46174</v>
      </c>
      <c r="F502" s="86"/>
      <c r="G502" s="86"/>
      <c r="H502" s="98"/>
      <c r="I502" s="98">
        <f t="shared" ref="I502:I508" si="12">I501-H502</f>
        <v>0</v>
      </c>
      <c r="J502" s="86"/>
      <c r="K502" s="86"/>
      <c r="L502" s="84" t="s">
        <v>76</v>
      </c>
    </row>
    <row r="503" spans="1:17" s="80" customFormat="1" ht="20.100000000000001" customHeight="1" x14ac:dyDescent="0.2">
      <c r="A503" s="86"/>
      <c r="B503" s="86"/>
      <c r="C503" s="88"/>
      <c r="D503" s="123"/>
      <c r="E503" s="88">
        <v>46175</v>
      </c>
      <c r="F503" s="86"/>
      <c r="G503" s="86"/>
      <c r="H503" s="98"/>
      <c r="I503" s="98">
        <f t="shared" si="12"/>
        <v>0</v>
      </c>
      <c r="J503" s="86"/>
      <c r="K503" s="86"/>
      <c r="L503" s="84" t="s">
        <v>76</v>
      </c>
    </row>
    <row r="504" spans="1:17" s="80" customFormat="1" ht="20.100000000000001" customHeight="1" x14ac:dyDescent="0.2">
      <c r="A504" s="86"/>
      <c r="B504" s="86"/>
      <c r="C504" s="88"/>
      <c r="D504" s="92"/>
      <c r="E504" s="88">
        <v>46176</v>
      </c>
      <c r="F504" s="86"/>
      <c r="G504" s="86"/>
      <c r="H504" s="98"/>
      <c r="I504" s="98">
        <f t="shared" si="12"/>
        <v>0</v>
      </c>
      <c r="J504" s="86"/>
      <c r="K504" s="86"/>
      <c r="L504" s="84" t="s">
        <v>76</v>
      </c>
    </row>
    <row r="505" spans="1:17" s="80" customFormat="1" ht="20.100000000000001" customHeight="1" x14ac:dyDescent="0.2">
      <c r="A505" s="86"/>
      <c r="B505" s="86"/>
      <c r="C505" s="88"/>
      <c r="D505" s="92"/>
      <c r="E505" s="88">
        <v>46177</v>
      </c>
      <c r="F505" s="86"/>
      <c r="G505" s="86"/>
      <c r="H505" s="98"/>
      <c r="I505" s="98">
        <f t="shared" si="12"/>
        <v>0</v>
      </c>
      <c r="J505" s="86"/>
      <c r="K505" s="86"/>
      <c r="L505" s="84" t="s">
        <v>76</v>
      </c>
    </row>
    <row r="506" spans="1:17" s="80" customFormat="1" ht="20.100000000000001" customHeight="1" x14ac:dyDescent="0.2">
      <c r="A506" s="86"/>
      <c r="B506" s="86"/>
      <c r="C506" s="88"/>
      <c r="D506" s="92"/>
      <c r="E506" s="88">
        <v>46178</v>
      </c>
      <c r="F506" s="86"/>
      <c r="G506" s="86"/>
      <c r="H506" s="98"/>
      <c r="I506" s="98">
        <f t="shared" si="12"/>
        <v>0</v>
      </c>
      <c r="J506" s="86"/>
      <c r="K506" s="86"/>
      <c r="L506" s="84" t="s">
        <v>76</v>
      </c>
    </row>
    <row r="507" spans="1:17" s="80" customFormat="1" ht="20.100000000000001" customHeight="1" x14ac:dyDescent="0.2">
      <c r="A507" s="86"/>
      <c r="B507" s="86"/>
      <c r="C507" s="88"/>
      <c r="D507" s="92"/>
      <c r="E507" s="88">
        <v>46179</v>
      </c>
      <c r="F507" s="107"/>
      <c r="G507" s="106"/>
      <c r="H507" s="107"/>
      <c r="I507" s="98">
        <f t="shared" si="12"/>
        <v>0</v>
      </c>
      <c r="J507" s="86"/>
      <c r="K507" s="86"/>
      <c r="L507" s="84" t="s">
        <v>76</v>
      </c>
    </row>
    <row r="508" spans="1:17" s="80" customFormat="1" ht="20.100000000000001" customHeight="1" x14ac:dyDescent="0.2">
      <c r="A508" s="86"/>
      <c r="B508" s="86"/>
      <c r="C508" s="88"/>
      <c r="D508" s="99"/>
      <c r="E508" s="88">
        <v>46180</v>
      </c>
      <c r="F508" s="107"/>
      <c r="G508" s="106"/>
      <c r="H508" s="107"/>
      <c r="I508" s="98">
        <f t="shared" si="12"/>
        <v>0</v>
      </c>
      <c r="J508" s="86"/>
      <c r="K508" s="86"/>
      <c r="L508" s="84" t="s">
        <v>76</v>
      </c>
    </row>
    <row r="509" spans="1:17" s="80" customFormat="1" ht="20.100000000000001" customHeight="1" x14ac:dyDescent="0.2">
      <c r="A509" s="86"/>
      <c r="B509" s="86"/>
      <c r="C509" s="88"/>
      <c r="D509" s="98"/>
      <c r="E509" s="88"/>
      <c r="F509" s="107"/>
      <c r="G509" s="106"/>
      <c r="H509" s="107"/>
      <c r="I509" s="100">
        <f>I508</f>
        <v>0</v>
      </c>
      <c r="J509" s="86"/>
      <c r="K509" s="86"/>
      <c r="L509" s="105" t="s">
        <v>73</v>
      </c>
    </row>
    <row r="510" spans="1:17" s="80" customFormat="1" ht="20.100000000000001" customHeight="1" x14ac:dyDescent="0.2">
      <c r="A510" s="86"/>
      <c r="B510" s="86"/>
      <c r="C510" s="88"/>
      <c r="D510" s="99"/>
      <c r="E510" s="88"/>
      <c r="F510" s="86"/>
      <c r="G510" s="86"/>
      <c r="H510" s="98"/>
      <c r="I510" s="118"/>
      <c r="J510" s="119"/>
      <c r="K510" s="119"/>
      <c r="L510" s="120"/>
      <c r="Q510" s="103"/>
    </row>
    <row r="511" spans="1:17" s="80" customFormat="1" ht="20.100000000000001" customHeight="1" x14ac:dyDescent="0.2">
      <c r="A511" s="86"/>
      <c r="B511" s="86"/>
      <c r="C511" s="88"/>
      <c r="D511" s="99"/>
      <c r="E511" s="88"/>
      <c r="F511" s="107"/>
      <c r="G511" s="106"/>
      <c r="H511" s="107"/>
      <c r="I511" s="118"/>
      <c r="J511" s="119"/>
      <c r="K511" s="119"/>
      <c r="L511" s="120"/>
    </row>
    <row r="512" spans="1:17" s="80" customFormat="1" ht="20.100000000000001" customHeight="1" x14ac:dyDescent="0.2">
      <c r="A512" s="86"/>
      <c r="B512" s="86"/>
      <c r="C512" s="88"/>
      <c r="D512" s="99"/>
      <c r="E512" s="88"/>
      <c r="F512" s="107"/>
      <c r="G512" s="106"/>
      <c r="H512" s="107"/>
      <c r="I512" s="118"/>
      <c r="J512" s="119"/>
      <c r="K512" s="119"/>
      <c r="L512" s="120"/>
      <c r="O512" s="91"/>
    </row>
    <row r="513" spans="1:26" s="80" customFormat="1" ht="20.100000000000001" customHeight="1" x14ac:dyDescent="0.2">
      <c r="A513" s="86"/>
      <c r="B513" s="86"/>
      <c r="C513" s="88"/>
      <c r="D513" s="99"/>
      <c r="E513" s="88"/>
      <c r="F513" s="86"/>
      <c r="G513" s="86"/>
      <c r="H513" s="98"/>
      <c r="I513" s="98"/>
      <c r="J513" s="98"/>
      <c r="K513" s="98"/>
      <c r="L513" s="98"/>
      <c r="O513" s="96"/>
    </row>
    <row r="514" spans="1:26" s="80" customFormat="1" ht="20.100000000000001" customHeight="1" x14ac:dyDescent="0.2">
      <c r="A514" s="86"/>
      <c r="B514" s="86"/>
      <c r="C514" s="88"/>
      <c r="D514" s="99"/>
      <c r="E514" s="88"/>
      <c r="F514" s="86"/>
      <c r="G514" s="86"/>
      <c r="H514" s="98"/>
      <c r="I514" s="98"/>
      <c r="J514" s="98"/>
      <c r="K514" s="98"/>
      <c r="L514" s="98"/>
      <c r="O514" s="91"/>
    </row>
    <row r="515" spans="1:26" s="80" customFormat="1" ht="20.100000000000001" customHeight="1" x14ac:dyDescent="0.2">
      <c r="A515" s="86"/>
      <c r="B515" s="86"/>
      <c r="C515" s="88"/>
      <c r="D515" s="99"/>
      <c r="E515" s="88"/>
      <c r="F515" s="86"/>
      <c r="G515" s="86"/>
      <c r="H515" s="98"/>
      <c r="I515" s="98"/>
      <c r="J515" s="98"/>
      <c r="K515" s="98"/>
      <c r="L515" s="98"/>
    </row>
    <row r="516" spans="1:26" s="80" customFormat="1" ht="20.100000000000001" customHeight="1" x14ac:dyDescent="0.2">
      <c r="A516" s="86"/>
      <c r="B516" s="86"/>
      <c r="C516" s="88"/>
      <c r="D516" s="92"/>
      <c r="E516" s="88"/>
      <c r="F516" s="86"/>
      <c r="G516" s="86"/>
      <c r="H516" s="87"/>
      <c r="I516" s="87"/>
      <c r="J516" s="86"/>
      <c r="K516" s="86"/>
      <c r="L516" s="84"/>
      <c r="O516" s="91"/>
    </row>
    <row r="517" spans="1:26" ht="10.5" customHeight="1" x14ac:dyDescent="0.25">
      <c r="A517" s="78"/>
      <c r="B517" s="77"/>
      <c r="D517" s="77"/>
      <c r="F517" s="77"/>
      <c r="G517" s="77"/>
      <c r="I517" s="77"/>
      <c r="J517" s="78"/>
      <c r="K517" s="77"/>
      <c r="L517" s="77"/>
      <c r="N517" s="77"/>
      <c r="O517" s="77"/>
      <c r="P517" s="179"/>
      <c r="Q517" s="179"/>
      <c r="X517" s="77"/>
      <c r="Y517" s="77"/>
      <c r="Z517" s="77"/>
    </row>
    <row r="518" spans="1:26" ht="11.25" customHeight="1" x14ac:dyDescent="0.25">
      <c r="A518" s="78"/>
      <c r="B518" s="77"/>
      <c r="D518" s="77"/>
      <c r="F518" s="77"/>
      <c r="G518" s="77"/>
      <c r="I518" s="77"/>
      <c r="J518" s="78"/>
      <c r="K518" s="77"/>
      <c r="L518" s="77"/>
      <c r="N518" s="77"/>
      <c r="O518" s="77"/>
      <c r="P518" s="114"/>
      <c r="Q518" s="114"/>
      <c r="X518" s="77"/>
      <c r="Y518" s="77"/>
      <c r="Z518" s="77"/>
    </row>
    <row r="519" spans="1:26" s="80" customFormat="1" ht="21.75" customHeight="1" x14ac:dyDescent="0.2">
      <c r="A519" s="78" t="s">
        <v>78</v>
      </c>
      <c r="B519" s="78"/>
      <c r="C519" s="80" t="s">
        <v>80</v>
      </c>
      <c r="E519" s="78" t="s">
        <v>75</v>
      </c>
      <c r="F519" s="78"/>
      <c r="G519" s="78"/>
      <c r="J519" s="78"/>
      <c r="K519" s="78"/>
      <c r="S519" s="89"/>
      <c r="W519" s="89"/>
      <c r="X519" s="78"/>
      <c r="Y519" s="78"/>
    </row>
    <row r="520" spans="1:26" s="80" customFormat="1" ht="21.75" customHeight="1" x14ac:dyDescent="0.2">
      <c r="A520" s="78"/>
      <c r="B520" s="78"/>
      <c r="C520" s="78"/>
      <c r="E520" s="78"/>
      <c r="F520" s="78"/>
      <c r="G520" s="78"/>
      <c r="J520" s="78"/>
      <c r="K520" s="78"/>
      <c r="S520" s="89"/>
      <c r="W520" s="89"/>
      <c r="X520" s="78"/>
      <c r="Y520" s="78"/>
    </row>
    <row r="521" spans="1:26" ht="21" customHeight="1" x14ac:dyDescent="0.25">
      <c r="A521" s="78"/>
      <c r="B521" s="77"/>
      <c r="C521" s="77"/>
      <c r="E521" s="77"/>
      <c r="F521" s="77"/>
      <c r="G521" s="77"/>
      <c r="J521" s="77"/>
      <c r="K521" s="77"/>
      <c r="O521" s="77"/>
      <c r="Q521" s="79"/>
      <c r="S521" s="77"/>
      <c r="X521" s="77"/>
      <c r="Y521" s="77"/>
      <c r="Z521" s="77"/>
    </row>
    <row r="522" spans="1:26" s="80" customFormat="1" ht="21" customHeight="1" x14ac:dyDescent="0.2">
      <c r="A522" s="81" t="str">
        <f>A36</f>
        <v>MR. MARK JAY E. CASTILLON</v>
      </c>
      <c r="B522" s="81"/>
      <c r="C522" s="81" t="str">
        <f>C36</f>
        <v>ENGR. EDWIN B. BATAL</v>
      </c>
      <c r="E522" s="81" t="str">
        <f>E36</f>
        <v>ENGR. JOHN MARTIN R. CIRIO</v>
      </c>
      <c r="F522" s="81"/>
      <c r="G522" s="81"/>
      <c r="J522" s="81"/>
      <c r="K522" s="81"/>
      <c r="O522" s="78"/>
      <c r="Q522" s="90"/>
    </row>
    <row r="523" spans="1:26" s="80" customFormat="1" ht="21" customHeight="1" x14ac:dyDescent="0.2">
      <c r="A523" s="78" t="s">
        <v>81</v>
      </c>
      <c r="B523" s="78"/>
      <c r="C523" s="78" t="str">
        <f>C37</f>
        <v>Mine Explosives Asst. Manager</v>
      </c>
      <c r="E523" s="78" t="str">
        <f>E37</f>
        <v>Long Range Mine Development Manager</v>
      </c>
      <c r="F523" s="78"/>
      <c r="G523" s="78"/>
      <c r="J523" s="78"/>
      <c r="K523" s="78"/>
      <c r="O523" s="78"/>
      <c r="Q523" s="90"/>
    </row>
    <row r="524" spans="1:26" s="80" customFormat="1" ht="21" customHeight="1" x14ac:dyDescent="0.2">
      <c r="A524" s="78" t="s">
        <v>77</v>
      </c>
      <c r="B524" s="78"/>
      <c r="C524" s="78" t="s">
        <v>0</v>
      </c>
      <c r="E524" s="101" t="s">
        <v>0</v>
      </c>
      <c r="F524" s="78"/>
      <c r="G524" s="78"/>
      <c r="J524" s="78"/>
      <c r="O524" s="78"/>
      <c r="Q524" s="90"/>
    </row>
    <row r="533" spans="1:15" s="80" customFormat="1" ht="20.100000000000001" customHeight="1" x14ac:dyDescent="0.2">
      <c r="A533" s="177" t="s">
        <v>56</v>
      </c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</row>
    <row r="534" spans="1:15" s="80" customFormat="1" ht="20.100000000000001" customHeight="1" x14ac:dyDescent="0.2">
      <c r="A534" s="177" t="s">
        <v>57</v>
      </c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</row>
    <row r="535" spans="1:15" s="80" customFormat="1" ht="20.100000000000001" customHeight="1" x14ac:dyDescent="0.2">
      <c r="A535" s="177" t="str">
        <f>A12</f>
        <v>Period Covered : JUNE 1-7, 2026</v>
      </c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</row>
    <row r="536" spans="1:15" s="80" customFormat="1" ht="20.100000000000001" customHeight="1" x14ac:dyDescent="0.2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</row>
    <row r="537" spans="1:15" s="80" customFormat="1" ht="20.100000000000001" customHeight="1" x14ac:dyDescent="0.2"/>
    <row r="538" spans="1:15" s="80" customFormat="1" ht="20.100000000000001" customHeight="1" x14ac:dyDescent="0.2">
      <c r="A538" s="80" t="s">
        <v>58</v>
      </c>
      <c r="B538" s="110" t="str">
        <f>B497</f>
        <v>PHILSAGA MINING CORPORATION - TIGERWAY DECLINE PROJECT</v>
      </c>
      <c r="C538" s="110"/>
      <c r="D538" s="110"/>
      <c r="E538" s="110"/>
    </row>
    <row r="539" spans="1:15" s="80" customFormat="1" ht="20.100000000000001" customHeight="1" x14ac:dyDescent="0.2">
      <c r="A539" s="80" t="s">
        <v>59</v>
      </c>
      <c r="B539" s="178" t="str">
        <f>B498</f>
        <v>MOUNT ROCK POWDER CORPORATION MAGAZINE</v>
      </c>
      <c r="C539" s="178"/>
      <c r="D539" s="178"/>
      <c r="E539" s="111"/>
    </row>
    <row r="540" spans="1:15" s="80" customFormat="1" ht="6" customHeight="1" x14ac:dyDescent="0.2"/>
    <row r="541" spans="1:15" s="80" customFormat="1" ht="50.25" customHeight="1" x14ac:dyDescent="0.2">
      <c r="A541" s="82" t="s">
        <v>60</v>
      </c>
      <c r="B541" s="82" t="s">
        <v>61</v>
      </c>
      <c r="C541" s="82" t="s">
        <v>62</v>
      </c>
      <c r="D541" s="82" t="s">
        <v>63</v>
      </c>
      <c r="E541" s="83" t="s">
        <v>64</v>
      </c>
      <c r="F541" s="83" t="s">
        <v>64</v>
      </c>
      <c r="G541" s="83" t="s">
        <v>64</v>
      </c>
      <c r="H541" s="83" t="s">
        <v>65</v>
      </c>
      <c r="I541" s="82" t="s">
        <v>66</v>
      </c>
      <c r="J541" s="82"/>
      <c r="K541" s="82"/>
      <c r="L541" s="82" t="s">
        <v>67</v>
      </c>
    </row>
    <row r="542" spans="1:15" s="80" customFormat="1" ht="39.75" customHeight="1" x14ac:dyDescent="0.2">
      <c r="A542" s="85" t="s">
        <v>88</v>
      </c>
      <c r="B542" s="84" t="s">
        <v>21</v>
      </c>
      <c r="C542" s="86"/>
      <c r="D542" s="86"/>
      <c r="E542" s="88"/>
      <c r="F542" s="86"/>
      <c r="G542" s="86"/>
      <c r="H542" s="93"/>
      <c r="I542" s="93">
        <v>1757</v>
      </c>
      <c r="J542" s="86"/>
      <c r="K542" s="86"/>
      <c r="L542" s="84" t="s">
        <v>74</v>
      </c>
      <c r="O542" s="91"/>
    </row>
    <row r="543" spans="1:15" s="80" customFormat="1" ht="20.100000000000001" customHeight="1" x14ac:dyDescent="0.2">
      <c r="A543" s="86"/>
      <c r="B543" s="86"/>
      <c r="C543" s="86"/>
      <c r="D543" s="86"/>
      <c r="E543" s="88">
        <v>46174</v>
      </c>
      <c r="F543" s="86"/>
      <c r="G543" s="86"/>
      <c r="H543" s="98"/>
      <c r="I543" s="98">
        <f t="shared" ref="I543:I549" si="13">I542-H543</f>
        <v>1757</v>
      </c>
      <c r="J543" s="86"/>
      <c r="K543" s="86"/>
      <c r="L543" s="84" t="s">
        <v>76</v>
      </c>
    </row>
    <row r="544" spans="1:15" s="80" customFormat="1" ht="20.100000000000001" customHeight="1" x14ac:dyDescent="0.2">
      <c r="A544" s="86"/>
      <c r="B544" s="86"/>
      <c r="C544" s="88"/>
      <c r="D544" s="122"/>
      <c r="E544" s="88">
        <v>46175</v>
      </c>
      <c r="F544" s="86"/>
      <c r="G544" s="86"/>
      <c r="H544" s="98"/>
      <c r="I544" s="98">
        <f t="shared" si="13"/>
        <v>1757</v>
      </c>
      <c r="J544" s="86"/>
      <c r="K544" s="86"/>
      <c r="L544" s="84" t="s">
        <v>76</v>
      </c>
    </row>
    <row r="545" spans="1:26" s="80" customFormat="1" ht="20.100000000000001" customHeight="1" x14ac:dyDescent="0.2">
      <c r="A545" s="86"/>
      <c r="B545" s="86"/>
      <c r="C545" s="88"/>
      <c r="D545" s="92"/>
      <c r="E545" s="88">
        <v>46176</v>
      </c>
      <c r="F545" s="86"/>
      <c r="G545" s="86"/>
      <c r="H545" s="98"/>
      <c r="I545" s="98">
        <f t="shared" si="13"/>
        <v>1757</v>
      </c>
      <c r="J545" s="86"/>
      <c r="K545" s="86"/>
      <c r="L545" s="84" t="s">
        <v>76</v>
      </c>
    </row>
    <row r="546" spans="1:26" s="80" customFormat="1" ht="20.100000000000001" customHeight="1" x14ac:dyDescent="0.2">
      <c r="A546" s="86"/>
      <c r="B546" s="86"/>
      <c r="C546" s="88"/>
      <c r="D546" s="92"/>
      <c r="E546" s="88">
        <v>46177</v>
      </c>
      <c r="F546" s="86"/>
      <c r="G546" s="86"/>
      <c r="H546" s="98"/>
      <c r="I546" s="98">
        <f t="shared" si="13"/>
        <v>1757</v>
      </c>
      <c r="J546" s="86"/>
      <c r="K546" s="86"/>
      <c r="L546" s="84" t="s">
        <v>76</v>
      </c>
      <c r="Q546" s="103"/>
    </row>
    <row r="547" spans="1:26" s="80" customFormat="1" ht="20.100000000000001" customHeight="1" x14ac:dyDescent="0.2">
      <c r="A547" s="86"/>
      <c r="B547" s="86"/>
      <c r="C547" s="88"/>
      <c r="D547" s="92"/>
      <c r="E547" s="88">
        <v>46178</v>
      </c>
      <c r="F547" s="107"/>
      <c r="G547" s="106"/>
      <c r="H547" s="107"/>
      <c r="I547" s="98">
        <f t="shared" si="13"/>
        <v>1757</v>
      </c>
      <c r="J547" s="86"/>
      <c r="K547" s="86"/>
      <c r="L547" s="84" t="s">
        <v>76</v>
      </c>
    </row>
    <row r="548" spans="1:26" s="80" customFormat="1" ht="20.100000000000001" customHeight="1" x14ac:dyDescent="0.2">
      <c r="A548" s="86"/>
      <c r="B548" s="86"/>
      <c r="C548" s="88"/>
      <c r="D548" s="92"/>
      <c r="E548" s="88">
        <v>46179</v>
      </c>
      <c r="F548" s="107"/>
      <c r="G548" s="106"/>
      <c r="H548" s="107"/>
      <c r="I548" s="98">
        <f t="shared" si="13"/>
        <v>1757</v>
      </c>
      <c r="J548" s="86"/>
      <c r="K548" s="86"/>
      <c r="L548" s="84" t="s">
        <v>76</v>
      </c>
    </row>
    <row r="549" spans="1:26" s="80" customFormat="1" ht="20.100000000000001" customHeight="1" x14ac:dyDescent="0.2">
      <c r="A549" s="86"/>
      <c r="B549" s="86"/>
      <c r="C549" s="88"/>
      <c r="D549" s="99"/>
      <c r="E549" s="88">
        <v>46180</v>
      </c>
      <c r="F549" s="107"/>
      <c r="G549" s="106"/>
      <c r="H549" s="107"/>
      <c r="I549" s="98">
        <f t="shared" si="13"/>
        <v>1757</v>
      </c>
      <c r="J549" s="86"/>
      <c r="K549" s="86"/>
      <c r="L549" s="84" t="s">
        <v>76</v>
      </c>
    </row>
    <row r="550" spans="1:26" s="80" customFormat="1" ht="20.100000000000001" customHeight="1" x14ac:dyDescent="0.2">
      <c r="A550" s="86"/>
      <c r="B550" s="86"/>
      <c r="C550" s="88"/>
      <c r="D550" s="98"/>
      <c r="E550" s="88"/>
      <c r="F550" s="86"/>
      <c r="G550" s="86"/>
      <c r="H550" s="98"/>
      <c r="I550" s="100">
        <f>I549</f>
        <v>1757</v>
      </c>
      <c r="J550" s="86"/>
      <c r="K550" s="86"/>
      <c r="L550" s="105" t="s">
        <v>73</v>
      </c>
      <c r="Q550" s="103"/>
    </row>
    <row r="551" spans="1:26" s="80" customFormat="1" ht="20.100000000000001" customHeight="1" x14ac:dyDescent="0.2">
      <c r="A551" s="86"/>
      <c r="B551" s="86"/>
      <c r="C551" s="88"/>
      <c r="D551" s="99"/>
      <c r="E551" s="88"/>
      <c r="F551" s="86"/>
      <c r="G551" s="86"/>
      <c r="H551" s="98"/>
      <c r="I551" s="118"/>
      <c r="J551" s="119"/>
      <c r="K551" s="119"/>
      <c r="L551" s="120"/>
      <c r="O551" s="91"/>
    </row>
    <row r="552" spans="1:26" s="80" customFormat="1" ht="20.100000000000001" customHeight="1" x14ac:dyDescent="0.2">
      <c r="A552" s="86"/>
      <c r="B552" s="86"/>
      <c r="C552" s="88"/>
      <c r="D552" s="99"/>
      <c r="E552" s="88"/>
      <c r="F552" s="107"/>
      <c r="G552" s="106"/>
      <c r="H552" s="107"/>
      <c r="I552" s="118"/>
      <c r="J552" s="119"/>
      <c r="K552" s="119"/>
      <c r="L552" s="120"/>
      <c r="O552" s="96"/>
    </row>
    <row r="553" spans="1:26" s="80" customFormat="1" ht="20.100000000000001" customHeight="1" x14ac:dyDescent="0.2">
      <c r="A553" s="86"/>
      <c r="B553" s="86"/>
      <c r="C553" s="88"/>
      <c r="D553" s="99"/>
      <c r="E553" s="88"/>
      <c r="F553" s="86"/>
      <c r="G553" s="86"/>
      <c r="H553" s="98"/>
      <c r="I553" s="98"/>
      <c r="J553" s="98"/>
      <c r="K553" s="98"/>
      <c r="L553" s="98"/>
      <c r="O553" s="91"/>
    </row>
    <row r="554" spans="1:26" s="80" customFormat="1" ht="20.100000000000001" customHeight="1" x14ac:dyDescent="0.2">
      <c r="A554" s="86"/>
      <c r="B554" s="86"/>
      <c r="C554" s="88"/>
      <c r="D554" s="99"/>
      <c r="E554" s="88"/>
      <c r="F554" s="86"/>
      <c r="G554" s="86"/>
      <c r="H554" s="98"/>
      <c r="I554" s="98"/>
      <c r="J554" s="98"/>
      <c r="K554" s="98"/>
      <c r="L554" s="98"/>
    </row>
    <row r="555" spans="1:26" s="80" customFormat="1" ht="20.100000000000001" customHeight="1" x14ac:dyDescent="0.2">
      <c r="A555" s="86"/>
      <c r="B555" s="86"/>
      <c r="C555" s="88"/>
      <c r="D555" s="92"/>
      <c r="E555" s="88"/>
      <c r="F555" s="86"/>
      <c r="G555" s="86"/>
      <c r="H555" s="87"/>
      <c r="I555" s="87"/>
      <c r="J555" s="86"/>
      <c r="K555" s="86"/>
      <c r="L555" s="84"/>
      <c r="O555" s="91"/>
    </row>
    <row r="556" spans="1:26" ht="10.5" customHeight="1" x14ac:dyDescent="0.25">
      <c r="A556" s="78"/>
      <c r="B556" s="77"/>
      <c r="D556" s="77"/>
      <c r="F556" s="77"/>
      <c r="G556" s="77"/>
      <c r="I556" s="77"/>
      <c r="J556" s="78"/>
      <c r="K556" s="77"/>
      <c r="L556" s="77"/>
      <c r="N556" s="77"/>
      <c r="O556" s="77"/>
      <c r="P556" s="179"/>
      <c r="Q556" s="179"/>
      <c r="X556" s="77"/>
      <c r="Y556" s="77"/>
      <c r="Z556" s="77"/>
    </row>
    <row r="557" spans="1:26" ht="11.25" customHeight="1" x14ac:dyDescent="0.25">
      <c r="A557" s="78"/>
      <c r="B557" s="77"/>
      <c r="D557" s="77"/>
      <c r="F557" s="77"/>
      <c r="G557" s="77"/>
      <c r="I557" s="77"/>
      <c r="J557" s="78"/>
      <c r="K557" s="77"/>
      <c r="L557" s="77"/>
      <c r="N557" s="77"/>
      <c r="O557" s="77"/>
      <c r="P557" s="116"/>
      <c r="Q557" s="116"/>
      <c r="X557" s="77"/>
      <c r="Y557" s="77"/>
      <c r="Z557" s="77"/>
    </row>
    <row r="558" spans="1:26" s="80" customFormat="1" ht="21.75" customHeight="1" x14ac:dyDescent="0.2">
      <c r="A558" s="78" t="s">
        <v>78</v>
      </c>
      <c r="B558" s="78"/>
      <c r="C558" s="80" t="s">
        <v>80</v>
      </c>
      <c r="E558" s="78" t="s">
        <v>75</v>
      </c>
      <c r="F558" s="78"/>
      <c r="G558" s="78"/>
      <c r="J558" s="78"/>
      <c r="K558" s="78"/>
      <c r="S558" s="89"/>
      <c r="W558" s="89"/>
      <c r="X558" s="78"/>
      <c r="Y558" s="78"/>
    </row>
    <row r="559" spans="1:26" s="80" customFormat="1" ht="21.75" customHeight="1" x14ac:dyDescent="0.2">
      <c r="A559" s="78"/>
      <c r="B559" s="78"/>
      <c r="C559" s="78"/>
      <c r="E559" s="78"/>
      <c r="F559" s="78"/>
      <c r="G559" s="78"/>
      <c r="J559" s="78"/>
      <c r="K559" s="78"/>
      <c r="S559" s="89"/>
      <c r="W559" s="89"/>
      <c r="X559" s="78"/>
      <c r="Y559" s="78"/>
    </row>
    <row r="560" spans="1:26" ht="21" customHeight="1" x14ac:dyDescent="0.25">
      <c r="A560" s="78"/>
      <c r="B560" s="77"/>
      <c r="C560" s="77"/>
      <c r="E560" s="77"/>
      <c r="F560" s="77"/>
      <c r="G560" s="77"/>
      <c r="J560" s="77"/>
      <c r="K560" s="77"/>
      <c r="O560" s="77"/>
      <c r="Q560" s="79"/>
      <c r="S560" s="77"/>
      <c r="X560" s="77"/>
      <c r="Y560" s="77"/>
      <c r="Z560" s="77"/>
    </row>
    <row r="561" spans="1:17" s="80" customFormat="1" ht="21" customHeight="1" x14ac:dyDescent="0.2">
      <c r="A561" s="81" t="str">
        <f>A522</f>
        <v>MR. MARK JAY E. CASTILLON</v>
      </c>
      <c r="B561" s="81"/>
      <c r="C561" s="81" t="str">
        <f>C522</f>
        <v>ENGR. EDWIN B. BATAL</v>
      </c>
      <c r="E561" s="81" t="str">
        <f>E522</f>
        <v>ENGR. JOHN MARTIN R. CIRIO</v>
      </c>
      <c r="F561" s="81"/>
      <c r="G561" s="81"/>
      <c r="J561" s="81"/>
      <c r="K561" s="81"/>
      <c r="O561" s="78"/>
      <c r="Q561" s="90"/>
    </row>
    <row r="562" spans="1:17" s="80" customFormat="1" ht="21" customHeight="1" x14ac:dyDescent="0.2">
      <c r="A562" s="78" t="s">
        <v>81</v>
      </c>
      <c r="B562" s="78"/>
      <c r="C562" s="78" t="str">
        <f>C523</f>
        <v>Mine Explosives Asst. Manager</v>
      </c>
      <c r="E562" s="78" t="str">
        <f>E523</f>
        <v>Long Range Mine Development Manager</v>
      </c>
      <c r="F562" s="78"/>
      <c r="G562" s="78"/>
      <c r="J562" s="78"/>
      <c r="K562" s="78"/>
      <c r="O562" s="78"/>
      <c r="Q562" s="90"/>
    </row>
    <row r="563" spans="1:17" s="80" customFormat="1" ht="21" customHeight="1" x14ac:dyDescent="0.2">
      <c r="A563" s="78" t="s">
        <v>77</v>
      </c>
      <c r="B563" s="78"/>
      <c r="C563" s="78" t="s">
        <v>0</v>
      </c>
      <c r="E563" s="101" t="s">
        <v>0</v>
      </c>
      <c r="F563" s="78"/>
      <c r="G563" s="78"/>
      <c r="J563" s="78"/>
      <c r="O563" s="78"/>
      <c r="Q563" s="90"/>
    </row>
  </sheetData>
  <mergeCells count="64">
    <mergeCell ref="A492:M492"/>
    <mergeCell ref="A493:M493"/>
    <mergeCell ref="A494:M494"/>
    <mergeCell ref="B498:D498"/>
    <mergeCell ref="P517:Q517"/>
    <mergeCell ref="A255:M255"/>
    <mergeCell ref="A335:M335"/>
    <mergeCell ref="A131:M131"/>
    <mergeCell ref="A132:M132"/>
    <mergeCell ref="A133:M133"/>
    <mergeCell ref="B216:D216"/>
    <mergeCell ref="A210:M210"/>
    <mergeCell ref="A211:M211"/>
    <mergeCell ref="A212:M212"/>
    <mergeCell ref="A171:M171"/>
    <mergeCell ref="A172:M172"/>
    <mergeCell ref="B176:D176"/>
    <mergeCell ref="B339:D339"/>
    <mergeCell ref="B299:D299"/>
    <mergeCell ref="A94:M94"/>
    <mergeCell ref="B98:D98"/>
    <mergeCell ref="P275:Q275"/>
    <mergeCell ref="P315:Q315"/>
    <mergeCell ref="B137:D137"/>
    <mergeCell ref="A170:M170"/>
    <mergeCell ref="A253:M253"/>
    <mergeCell ref="A254:M254"/>
    <mergeCell ref="A333:M333"/>
    <mergeCell ref="A293:M293"/>
    <mergeCell ref="A294:M294"/>
    <mergeCell ref="A295:M295"/>
    <mergeCell ref="B259:D259"/>
    <mergeCell ref="A334:M334"/>
    <mergeCell ref="A93:M93"/>
    <mergeCell ref="A50:M50"/>
    <mergeCell ref="B56:D56"/>
    <mergeCell ref="A51:M51"/>
    <mergeCell ref="A52:M52"/>
    <mergeCell ref="A10:M10"/>
    <mergeCell ref="A11:M11"/>
    <mergeCell ref="A12:M12"/>
    <mergeCell ref="B15:D15"/>
    <mergeCell ref="A92:M92"/>
    <mergeCell ref="P474:Q474"/>
    <mergeCell ref="P355:Q355"/>
    <mergeCell ref="A373:M373"/>
    <mergeCell ref="A374:M374"/>
    <mergeCell ref="P395:Q395"/>
    <mergeCell ref="A452:M452"/>
    <mergeCell ref="B458:D458"/>
    <mergeCell ref="A453:M453"/>
    <mergeCell ref="A454:M454"/>
    <mergeCell ref="P435:Q435"/>
    <mergeCell ref="A413:M413"/>
    <mergeCell ref="A414:M414"/>
    <mergeCell ref="A415:M415"/>
    <mergeCell ref="A375:M375"/>
    <mergeCell ref="B379:D379"/>
    <mergeCell ref="B419:D419"/>
    <mergeCell ref="A533:M533"/>
    <mergeCell ref="A534:M534"/>
    <mergeCell ref="A535:M535"/>
    <mergeCell ref="B539:D539"/>
    <mergeCell ref="P556:Q556"/>
  </mergeCells>
  <pageMargins left="0.59055118110236227" right="0.19685039370078741" top="0.39370078740157483" bottom="0.31496062992125984" header="0.31496062992125984" footer="0.31496062992125984"/>
  <pageSetup paperSize="9" scale="68" orientation="landscape" r:id="rId1"/>
  <rowBreaks count="13" manualBreakCount="13">
    <brk id="39" max="16383" man="1"/>
    <brk id="82" max="16383" man="1"/>
    <brk id="122" max="16383" man="1"/>
    <brk id="161" max="16383" man="1"/>
    <brk id="202" max="16383" man="1"/>
    <brk id="241" max="16" man="1"/>
    <brk id="281" max="16" man="1"/>
    <brk id="325" max="16" man="1"/>
    <brk id="363" max="16383" man="1"/>
    <brk id="402" max="16" man="1"/>
    <brk id="443" max="16383" man="1"/>
    <brk id="484" max="16" man="1"/>
    <brk id="525" max="16383" man="1"/>
  </rowBreaks>
  <colBreaks count="1" manualBreakCount="1">
    <brk id="15" max="5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2-3-9,2018</vt:lpstr>
      <vt:lpstr>Sheet</vt:lpstr>
      <vt:lpstr>Sheet!Print_Area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2026-06-02T01:32:01Z</cp:lastPrinted>
  <dcterms:created xsi:type="dcterms:W3CDTF">2016-07-15T01:59:21Z</dcterms:created>
  <dcterms:modified xsi:type="dcterms:W3CDTF">2026-06-08T07:12:34Z</dcterms:modified>
</cp:coreProperties>
</file>