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.MINE EXPLOSIVES REPORTS\02. RCSU WEEKLY REPORT\2026\JUNE 2026\PMC\WEEKLY REPORT - JUNE 1-7\"/>
    </mc:Choice>
  </mc:AlternateContent>
  <bookViews>
    <workbookView xWindow="0" yWindow="0" windowWidth="28800" windowHeight="10815" tabRatio="718"/>
  </bookViews>
  <sheets>
    <sheet name="sheet" sheetId="98" r:id="rId1"/>
  </sheets>
  <definedNames>
    <definedName name="_xlnm._FilterDatabase" localSheetId="0" hidden="1">sheet!#REF!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2" i="98" l="1"/>
  <c r="Q353" i="98"/>
  <c r="Q352" i="98"/>
  <c r="Q276" i="98"/>
  <c r="O92" i="98"/>
  <c r="O55" i="98"/>
  <c r="I423" i="98" l="1"/>
  <c r="I54" i="98"/>
  <c r="I55" i="98" s="1"/>
  <c r="I56" i="98" s="1"/>
  <c r="I387" i="98" l="1"/>
  <c r="I388" i="98" s="1"/>
  <c r="I389" i="98" s="1"/>
  <c r="I129" i="98" l="1"/>
  <c r="I130" i="98" l="1"/>
  <c r="I131" i="98" s="1"/>
  <c r="I19" i="98"/>
  <c r="I20" i="98" s="1"/>
  <c r="O424" i="98" l="1"/>
  <c r="Q387" i="98"/>
  <c r="I205" i="98" l="1"/>
  <c r="I460" i="98" l="1"/>
  <c r="I461" i="98" s="1"/>
  <c r="I462" i="98" s="1"/>
  <c r="I424" i="98"/>
  <c r="I349" i="98"/>
  <c r="I350" i="98" s="1"/>
  <c r="I351" i="98" s="1"/>
  <c r="I276" i="98"/>
  <c r="I277" i="98" s="1"/>
  <c r="I278" i="98" s="1"/>
  <c r="I166" i="98"/>
  <c r="I167" i="98" s="1"/>
  <c r="I168" i="98" s="1"/>
  <c r="I90" i="98"/>
  <c r="I91" i="98" s="1"/>
  <c r="I92" i="98" s="1"/>
  <c r="I206" i="98" l="1"/>
  <c r="I313" i="98"/>
  <c r="I207" i="98" l="1"/>
  <c r="A67" i="98"/>
  <c r="C67" i="98"/>
  <c r="A364" i="98" l="1"/>
  <c r="A403" i="98"/>
  <c r="A437" i="98"/>
  <c r="A475" i="98"/>
  <c r="A509" i="98"/>
  <c r="A543" i="98"/>
  <c r="A577" i="98"/>
  <c r="A328" i="98"/>
  <c r="A291" i="98"/>
  <c r="A255" i="98"/>
  <c r="A219" i="98"/>
  <c r="A181" i="98"/>
  <c r="A144" i="98"/>
  <c r="A106" i="98"/>
  <c r="I564" i="98" l="1"/>
  <c r="I241" i="98" l="1"/>
  <c r="C577" i="98" l="1"/>
  <c r="C543" i="98"/>
  <c r="C509" i="98"/>
  <c r="C475" i="98"/>
  <c r="C403" i="98"/>
  <c r="C364" i="98"/>
  <c r="C328" i="98"/>
  <c r="C291" i="98"/>
  <c r="C255" i="98"/>
  <c r="C219" i="98"/>
  <c r="C181" i="98"/>
  <c r="C144" i="98"/>
  <c r="C106" i="98"/>
  <c r="C437" i="98"/>
  <c r="I578" i="98" l="1"/>
  <c r="I577" i="98"/>
  <c r="I544" i="98"/>
  <c r="I543" i="98"/>
  <c r="I510" i="98"/>
  <c r="I509" i="98"/>
  <c r="I476" i="98"/>
  <c r="I475" i="98"/>
  <c r="I438" i="98"/>
  <c r="I437" i="98"/>
  <c r="I404" i="98"/>
  <c r="I403" i="98"/>
  <c r="I365" i="98"/>
  <c r="I364" i="98"/>
  <c r="I329" i="98"/>
  <c r="I328" i="98"/>
  <c r="I292" i="98"/>
  <c r="I291" i="98"/>
  <c r="I256" i="98"/>
  <c r="I255" i="98"/>
  <c r="I220" i="98"/>
  <c r="I219" i="98"/>
  <c r="I182" i="98"/>
  <c r="I181" i="98"/>
  <c r="I145" i="98"/>
  <c r="I144" i="98"/>
  <c r="I107" i="98"/>
  <c r="I106" i="98"/>
  <c r="I68" i="98"/>
  <c r="I67" i="98"/>
  <c r="I529" i="98" l="1"/>
  <c r="I495" i="98"/>
  <c r="A557" i="98" l="1"/>
  <c r="A416" i="98" l="1"/>
  <c r="A522" i="98" l="1"/>
  <c r="A488" i="98" l="1"/>
  <c r="A380" i="98" l="1"/>
  <c r="A453" i="98" l="1"/>
  <c r="A342" i="98"/>
  <c r="A306" i="98"/>
  <c r="A269" i="98"/>
  <c r="A234" i="98"/>
  <c r="A198" i="98"/>
  <c r="A159" i="98"/>
  <c r="A122" i="98"/>
  <c r="A83" i="98"/>
  <c r="A47" i="98"/>
</calcChain>
</file>

<file path=xl/sharedStrings.xml><?xml version="1.0" encoding="utf-8"?>
<sst xmlns="http://schemas.openxmlformats.org/spreadsheetml/2006/main" count="525" uniqueCount="56">
  <si>
    <t>PHILSAGA MINING CORPORATION</t>
  </si>
  <si>
    <t>Pcs</t>
  </si>
  <si>
    <t xml:space="preserve">WEEKLY REPORT ON UPDATES ON EXPLOSIVES AND EXPLOSIVE </t>
  </si>
  <si>
    <t>INGREDIENTS TRANSACTIONS</t>
  </si>
  <si>
    <t>Name of Company :</t>
  </si>
  <si>
    <t>Magazine               :</t>
  </si>
  <si>
    <t>KIND</t>
  </si>
  <si>
    <t>UoM</t>
  </si>
  <si>
    <t>ENTRY DATE</t>
  </si>
  <si>
    <t>QUANTITY</t>
  </si>
  <si>
    <t>DATE WITHDRAWN</t>
  </si>
  <si>
    <t>QUANTITY WITHDRAWN</t>
  </si>
  <si>
    <t>BALANCE</t>
  </si>
  <si>
    <t>REMARKS</t>
  </si>
  <si>
    <t>Ammonium Nitrate Fuel Oil (ANFO)</t>
  </si>
  <si>
    <t>Kgs</t>
  </si>
  <si>
    <t>Safety Fuse</t>
  </si>
  <si>
    <t>Meters</t>
  </si>
  <si>
    <t>Fuse Lighter</t>
  </si>
  <si>
    <t>Supreme Detonator       LP (2.4/3.6)</t>
  </si>
  <si>
    <t>Electric Blasting    Cap</t>
  </si>
  <si>
    <t>Bell Wire</t>
  </si>
  <si>
    <t>Nonel Detonator          LP (2.4/3.6)</t>
  </si>
  <si>
    <t>Ordinary Blasting        Cap</t>
  </si>
  <si>
    <t>SURFACE MAGAZINE</t>
  </si>
  <si>
    <t xml:space="preserve">Remaining Stock </t>
  </si>
  <si>
    <t>Stock Balance</t>
  </si>
  <si>
    <t>Certified Correct by:</t>
  </si>
  <si>
    <t>Senatel Pulsar 215 (Emulsion/Dyna)</t>
  </si>
  <si>
    <t xml:space="preserve">Prepared By:                                        </t>
  </si>
  <si>
    <t xml:space="preserve">  Checked by:       </t>
  </si>
  <si>
    <r>
      <rPr>
        <b/>
        <sz val="14"/>
        <rFont val="Arial"/>
        <family val="2"/>
      </rPr>
      <t xml:space="preserve">  </t>
    </r>
    <r>
      <rPr>
        <b/>
        <u/>
        <sz val="14"/>
        <rFont val="Arial"/>
        <family val="2"/>
      </rPr>
      <t>MR. NHOLL GREAL O. LOZADA</t>
    </r>
  </si>
  <si>
    <t>Mount Rock Powder Corp.</t>
  </si>
  <si>
    <t>Expedition MBDInc</t>
  </si>
  <si>
    <t xml:space="preserve">  Mine Explosive Dept.</t>
  </si>
  <si>
    <t xml:space="preserve">  Inventory/Warehouseman Supervisor</t>
  </si>
  <si>
    <t>Exel Detonator           LP (2.4/3.6/4.9)</t>
  </si>
  <si>
    <t>Senatel Pulsar 38 (Emulsion/Dyna)</t>
  </si>
  <si>
    <t>Blaster Foreman</t>
  </si>
  <si>
    <t>Shockstar Detonator       LP (2.4)</t>
  </si>
  <si>
    <t>Blaster Foreman Expedition</t>
  </si>
  <si>
    <t>Detonating Cord            (Cordtex 5,6,10,40,C1)</t>
  </si>
  <si>
    <t xml:space="preserve"> </t>
  </si>
  <si>
    <t>Neogel 200 (Emulsion/Dyna)</t>
  </si>
  <si>
    <t>Super power 180 (Emulsion/Dyna)208</t>
  </si>
  <si>
    <t>Transfer to Underground</t>
  </si>
  <si>
    <t>Deposit Supply</t>
  </si>
  <si>
    <t>cord i5 roll-500</t>
  </si>
  <si>
    <t xml:space="preserve"> c5 roll-450</t>
  </si>
  <si>
    <t>NOTE:</t>
  </si>
  <si>
    <t>MR. JOHNNY U. GALENG</t>
  </si>
  <si>
    <t>Emulex 200   (Emulsion Dyna)</t>
  </si>
  <si>
    <t>MR. JOHN XERCES C. ANTIPUESTO</t>
  </si>
  <si>
    <t>ENGR. EDWIN B. BATAL</t>
  </si>
  <si>
    <t>Mine Explosives Asst. Manager</t>
  </si>
  <si>
    <t>Period Covered : 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</si>
</sst>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.00_);_(* \(#,##0.00\);_(* &quot;-&quot;??_);_(@_)"/>
    <numFmt numFmtId="165" formatCode="#,##0.00_ ;\-#,##0.00\ "/>
    <numFmt numFmtId="166" formatCode="[$-C09]dd\-mmmm\-yyyy;@"/>
    <numFmt numFmtId="167" formatCode="[$-C09]dd\-mmm\-yy;@"/>
    <numFmt numFmtId="168" formatCode="#,##0.00;[Red]#,##0.00"/>
  </numFmts>
  <fonts count="8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4">
    <xf numFmtId="0" fontId="0" fillId="0" borderId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165" fontId="3" fillId="0" borderId="0" xfId="0" applyNumberFormat="1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" fontId="3" fillId="0" borderId="1" xfId="2" applyNumberFormat="1" applyFont="1" applyBorder="1" applyAlignment="1">
      <alignment horizontal="center" vertical="center"/>
    </xf>
    <xf numFmtId="37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1" xfId="0" quotePrefix="1" applyNumberFormat="1" applyFont="1" applyBorder="1" applyAlignment="1">
      <alignment horizontal="center" vertical="center"/>
    </xf>
    <xf numFmtId="43" fontId="3" fillId="0" borderId="1" xfId="2" applyFont="1" applyBorder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4" fontId="3" fillId="2" borderId="1" xfId="7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" fontId="3" fillId="3" borderId="1" xfId="7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3" fillId="0" borderId="1" xfId="3" applyNumberFormat="1" applyFont="1" applyBorder="1" applyAlignment="1">
      <alignment horizontal="center" vertical="center"/>
    </xf>
    <xf numFmtId="4" fontId="3" fillId="0" borderId="1" xfId="3" applyNumberFormat="1" applyFont="1" applyFill="1" applyBorder="1" applyAlignment="1">
      <alignment horizontal="center" vertical="center"/>
    </xf>
    <xf numFmtId="4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168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" fontId="3" fillId="0" borderId="1" xfId="2" applyNumberFormat="1" applyFont="1" applyFill="1" applyBorder="1" applyAlignment="1">
      <alignment horizontal="center" vertical="center"/>
    </xf>
    <xf numFmtId="4" fontId="3" fillId="0" borderId="1" xfId="7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3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34">
    <cellStyle name="Comma" xfId="2" builtinId="3"/>
    <cellStyle name="Comma 2" xfId="1"/>
    <cellStyle name="Comma 2 2" xfId="3"/>
    <cellStyle name="Comma 2 2 2" xfId="7"/>
    <cellStyle name="Comma 2 2 2 2" xfId="15"/>
    <cellStyle name="Comma 2 2 2 2 2" xfId="31"/>
    <cellStyle name="Comma 2 2 2 3" xfId="23"/>
    <cellStyle name="Comma 2 2 3" xfId="11"/>
    <cellStyle name="Comma 2 2 3 2" xfId="27"/>
    <cellStyle name="Comma 2 2 4" xfId="19"/>
    <cellStyle name="Comma 3" xfId="4"/>
    <cellStyle name="Comma 3 2" xfId="8"/>
    <cellStyle name="Comma 3 2 2" xfId="16"/>
    <cellStyle name="Comma 3 2 2 2" xfId="32"/>
    <cellStyle name="Comma 3 2 3" xfId="24"/>
    <cellStyle name="Comma 3 3" xfId="12"/>
    <cellStyle name="Comma 3 3 2" xfId="28"/>
    <cellStyle name="Comma 3 4" xfId="20"/>
    <cellStyle name="Comma 4" xfId="5"/>
    <cellStyle name="Comma 4 2" xfId="9"/>
    <cellStyle name="Comma 4 2 2" xfId="17"/>
    <cellStyle name="Comma 4 2 2 2" xfId="33"/>
    <cellStyle name="Comma 4 2 3" xfId="25"/>
    <cellStyle name="Comma 4 3" xfId="13"/>
    <cellStyle name="Comma 4 3 2" xfId="29"/>
    <cellStyle name="Comma 4 4" xfId="21"/>
    <cellStyle name="Comma 5" xfId="6"/>
    <cellStyle name="Comma 5 2" xfId="14"/>
    <cellStyle name="Comma 5 2 2" xfId="30"/>
    <cellStyle name="Comma 5 3" xfId="22"/>
    <cellStyle name="Comma 6" xfId="10"/>
    <cellStyle name="Comma 6 2" xfId="26"/>
    <cellStyle name="Comma 7" xf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1071</xdr:rowOff>
    </xdr:from>
    <xdr:to>
      <xdr:col>12</xdr:col>
      <xdr:colOff>11790</xdr:colOff>
      <xdr:row>7</xdr:row>
      <xdr:rowOff>15363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535"/>
          <a:ext cx="13674545" cy="1429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90421</xdr:rowOff>
    </xdr:from>
    <xdr:to>
      <xdr:col>12</xdr:col>
      <xdr:colOff>692781</xdr:colOff>
      <xdr:row>43</xdr:row>
      <xdr:rowOff>105786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95778"/>
          <a:ext cx="14355536" cy="14305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64963</xdr:rowOff>
    </xdr:from>
    <xdr:to>
      <xdr:col>12</xdr:col>
      <xdr:colOff>12424</xdr:colOff>
      <xdr:row>79</xdr:row>
      <xdr:rowOff>34239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44999"/>
          <a:ext cx="13675179" cy="143884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112</xdr:row>
      <xdr:rowOff>0</xdr:rowOff>
    </xdr:from>
    <xdr:to>
      <xdr:col>11</xdr:col>
      <xdr:colOff>2194695</xdr:colOff>
      <xdr:row>118</xdr:row>
      <xdr:rowOff>15364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0548036"/>
          <a:ext cx="13593536" cy="14305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11</xdr:col>
      <xdr:colOff>2208301</xdr:colOff>
      <xdr:row>155</xdr:row>
      <xdr:rowOff>15365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066357"/>
          <a:ext cx="13607143" cy="1430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11</xdr:col>
      <xdr:colOff>2235515</xdr:colOff>
      <xdr:row>193</xdr:row>
      <xdr:rowOff>46088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94179"/>
          <a:ext cx="13634357" cy="1434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11</xdr:col>
      <xdr:colOff>2221908</xdr:colOff>
      <xdr:row>230</xdr:row>
      <xdr:rowOff>15362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81821"/>
          <a:ext cx="13620750" cy="14305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258</xdr:row>
      <xdr:rowOff>267891</xdr:rowOff>
    </xdr:from>
    <xdr:to>
      <xdr:col>11</xdr:col>
      <xdr:colOff>2194695</xdr:colOff>
      <xdr:row>265</xdr:row>
      <xdr:rowOff>76817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0514766"/>
          <a:ext cx="13601615" cy="15055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</xdr:row>
      <xdr:rowOff>76814</xdr:rowOff>
    </xdr:from>
    <xdr:to>
      <xdr:col>11</xdr:col>
      <xdr:colOff>2208301</xdr:colOff>
      <xdr:row>301</xdr:row>
      <xdr:rowOff>230446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24421"/>
          <a:ext cx="13607143" cy="1432703"/>
        </a:xfrm>
        <a:prstGeom prst="rect">
          <a:avLst/>
        </a:prstGeom>
      </xdr:spPr>
    </xdr:pic>
    <xdr:clientData/>
  </xdr:twoCellAnchor>
  <xdr:twoCellAnchor editAs="oneCell">
    <xdr:from>
      <xdr:col>0</xdr:col>
      <xdr:colOff>15362</xdr:colOff>
      <xdr:row>332</xdr:row>
      <xdr:rowOff>107540</xdr:rowOff>
    </xdr:from>
    <xdr:to>
      <xdr:col>11</xdr:col>
      <xdr:colOff>2162352</xdr:colOff>
      <xdr:row>338</xdr:row>
      <xdr:rowOff>122903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2" y="91942147"/>
          <a:ext cx="13550959" cy="14305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370</xdr:row>
      <xdr:rowOff>92178</xdr:rowOff>
    </xdr:from>
    <xdr:to>
      <xdr:col>12</xdr:col>
      <xdr:colOff>747208</xdr:colOff>
      <xdr:row>376</xdr:row>
      <xdr:rowOff>168991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42285"/>
          <a:ext cx="14409963" cy="1423921"/>
        </a:xfrm>
        <a:prstGeom prst="rect">
          <a:avLst/>
        </a:prstGeom>
      </xdr:spPr>
    </xdr:pic>
    <xdr:clientData/>
  </xdr:twoCellAnchor>
  <xdr:twoCellAnchor editAs="oneCell">
    <xdr:from>
      <xdr:col>0</xdr:col>
      <xdr:colOff>15362</xdr:colOff>
      <xdr:row>406</xdr:row>
      <xdr:rowOff>76815</xdr:rowOff>
    </xdr:from>
    <xdr:to>
      <xdr:col>11</xdr:col>
      <xdr:colOff>2208301</xdr:colOff>
      <xdr:row>412</xdr:row>
      <xdr:rowOff>92179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2" y="112975279"/>
          <a:ext cx="13591781" cy="1430507"/>
        </a:xfrm>
        <a:prstGeom prst="rect">
          <a:avLst/>
        </a:prstGeom>
      </xdr:spPr>
    </xdr:pic>
    <xdr:clientData/>
  </xdr:twoCellAnchor>
  <xdr:twoCellAnchor editAs="oneCell">
    <xdr:from>
      <xdr:col>0</xdr:col>
      <xdr:colOff>86909</xdr:colOff>
      <xdr:row>443</xdr:row>
      <xdr:rowOff>95688</xdr:rowOff>
    </xdr:from>
    <xdr:to>
      <xdr:col>11</xdr:col>
      <xdr:colOff>2221909</xdr:colOff>
      <xdr:row>449</xdr:row>
      <xdr:rowOff>187869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09" y="122124545"/>
          <a:ext cx="13533842" cy="14256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</xdr:row>
      <xdr:rowOff>384073</xdr:rowOff>
    </xdr:from>
    <xdr:to>
      <xdr:col>11</xdr:col>
      <xdr:colOff>2221908</xdr:colOff>
      <xdr:row>483</xdr:row>
      <xdr:rowOff>245808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17644"/>
          <a:ext cx="13620750" cy="14265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513</xdr:row>
      <xdr:rowOff>61451</xdr:rowOff>
    </xdr:from>
    <xdr:to>
      <xdr:col>11</xdr:col>
      <xdr:colOff>2208301</xdr:colOff>
      <xdr:row>518</xdr:row>
      <xdr:rowOff>199717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54808"/>
          <a:ext cx="13607143" cy="14309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</xdr:row>
      <xdr:rowOff>168992</xdr:rowOff>
    </xdr:from>
    <xdr:to>
      <xdr:col>12</xdr:col>
      <xdr:colOff>403497</xdr:colOff>
      <xdr:row>552</xdr:row>
      <xdr:rowOff>215083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108492"/>
          <a:ext cx="14065250" cy="1379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Z579"/>
  <sheetViews>
    <sheetView tabSelected="1" topLeftCell="A43" zoomScale="70" zoomScaleNormal="70" zoomScaleSheetLayoutView="64" workbookViewId="0">
      <selection activeCell="E64" sqref="E64"/>
    </sheetView>
  </sheetViews>
  <sheetFormatPr defaultRowHeight="18" x14ac:dyDescent="0.25"/>
  <cols>
    <col min="1" max="1" width="28.5703125" style="1" customWidth="1"/>
    <col min="2" max="2" width="14.5703125" style="1" customWidth="1"/>
    <col min="3" max="3" width="27.7109375" style="1" customWidth="1"/>
    <col min="4" max="4" width="23.7109375" style="1" customWidth="1"/>
    <col min="5" max="5" width="39.42578125" style="1" bestFit="1" customWidth="1"/>
    <col min="6" max="6" width="4.42578125" style="1" hidden="1" customWidth="1"/>
    <col min="7" max="7" width="4.7109375" style="1" hidden="1" customWidth="1"/>
    <col min="8" max="8" width="21.85546875" style="1" customWidth="1"/>
    <col min="9" max="9" width="15.28515625" style="1" customWidth="1"/>
    <col min="10" max="10" width="7.42578125" style="1" hidden="1" customWidth="1"/>
    <col min="11" max="11" width="3" style="1" hidden="1" customWidth="1"/>
    <col min="12" max="12" width="33.85546875" style="1" customWidth="1"/>
    <col min="13" max="13" width="15.5703125" style="1" bestFit="1" customWidth="1"/>
    <col min="14" max="14" width="0.85546875" style="1" hidden="1" customWidth="1"/>
    <col min="15" max="15" width="14.85546875" style="1" customWidth="1"/>
    <col min="16" max="16" width="7" style="1" hidden="1" customWidth="1"/>
    <col min="17" max="17" width="15.7109375" style="1" customWidth="1"/>
    <col min="18" max="18" width="16.28515625" style="1" customWidth="1"/>
    <col min="19" max="19" width="10.85546875" style="1" customWidth="1"/>
    <col min="20" max="20" width="16" style="1" customWidth="1"/>
    <col min="21" max="21" width="13" style="1" customWidth="1"/>
    <col min="22" max="23" width="12.7109375" style="1" bestFit="1" customWidth="1"/>
    <col min="24" max="24" width="10.85546875" style="1" customWidth="1"/>
    <col min="25" max="25" width="8.7109375" style="1" bestFit="1" customWidth="1"/>
    <col min="26" max="16384" width="9.140625" style="1"/>
  </cols>
  <sheetData>
    <row r="1" spans="1:13" ht="9.75" customHeight="1" x14ac:dyDescent="0.25"/>
    <row r="7" spans="1:13" ht="20.25" customHeight="1" x14ac:dyDescent="0.25"/>
    <row r="9" spans="1:13" s="5" customFormat="1" ht="20.100000000000001" customHeight="1" x14ac:dyDescent="0.2">
      <c r="A9" s="49" t="s">
        <v>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s="5" customFormat="1" ht="20.100000000000001" customHeight="1" x14ac:dyDescent="0.2">
      <c r="A10" s="49" t="s">
        <v>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s="5" customFormat="1" ht="20.100000000000001" customHeight="1" x14ac:dyDescent="0.2">
      <c r="A11" s="49" t="s">
        <v>55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s="5" customFormat="1" ht="20.100000000000001" customHeight="1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 s="5" customFormat="1" ht="20.100000000000001" customHeight="1" x14ac:dyDescent="0.2"/>
    <row r="14" spans="1:13" s="5" customFormat="1" ht="20.100000000000001" customHeight="1" x14ac:dyDescent="0.2">
      <c r="A14" s="5" t="s">
        <v>4</v>
      </c>
      <c r="B14" s="50" t="s">
        <v>0</v>
      </c>
      <c r="C14" s="50"/>
      <c r="D14" s="50"/>
    </row>
    <row r="15" spans="1:13" s="5" customFormat="1" ht="20.100000000000001" customHeight="1" x14ac:dyDescent="0.2">
      <c r="A15" s="5" t="s">
        <v>5</v>
      </c>
      <c r="B15" s="51" t="s">
        <v>24</v>
      </c>
      <c r="C15" s="51"/>
      <c r="D15" s="51"/>
    </row>
    <row r="16" spans="1:13" s="5" customFormat="1" ht="6" customHeight="1" x14ac:dyDescent="0.2"/>
    <row r="17" spans="1:26" s="5" customFormat="1" ht="39.75" customHeight="1" x14ac:dyDescent="0.2">
      <c r="A17" s="7" t="s">
        <v>6</v>
      </c>
      <c r="B17" s="7" t="s">
        <v>7</v>
      </c>
      <c r="C17" s="7" t="s">
        <v>8</v>
      </c>
      <c r="D17" s="7" t="s">
        <v>9</v>
      </c>
      <c r="E17" s="8" t="s">
        <v>10</v>
      </c>
      <c r="F17" s="8" t="s">
        <v>10</v>
      </c>
      <c r="G17" s="8" t="s">
        <v>10</v>
      </c>
      <c r="H17" s="8" t="s">
        <v>11</v>
      </c>
      <c r="I17" s="7" t="s">
        <v>12</v>
      </c>
      <c r="J17" s="7"/>
      <c r="K17" s="7"/>
      <c r="L17" s="7" t="s">
        <v>13</v>
      </c>
    </row>
    <row r="18" spans="1:26" s="5" customFormat="1" ht="44.25" customHeight="1" x14ac:dyDescent="0.2">
      <c r="A18" s="10" t="s">
        <v>51</v>
      </c>
      <c r="B18" s="9" t="s">
        <v>1</v>
      </c>
      <c r="C18" s="15"/>
      <c r="D18" s="16"/>
      <c r="E18" s="15"/>
      <c r="F18" s="11"/>
      <c r="G18" s="11"/>
      <c r="H18" s="12"/>
      <c r="I18" s="42">
        <v>0</v>
      </c>
      <c r="J18" s="11"/>
      <c r="K18" s="11"/>
      <c r="L18" s="9" t="s">
        <v>25</v>
      </c>
    </row>
    <row r="19" spans="1:26" s="5" customFormat="1" ht="26.1" customHeight="1" x14ac:dyDescent="0.2">
      <c r="A19" s="11"/>
      <c r="B19" s="11"/>
      <c r="C19" s="30"/>
      <c r="D19" s="42"/>
      <c r="E19" s="11"/>
      <c r="F19" s="11"/>
      <c r="G19" s="11"/>
      <c r="H19" s="12"/>
      <c r="I19" s="41">
        <f>I18+D19</f>
        <v>0</v>
      </c>
      <c r="J19" s="11"/>
      <c r="K19" s="11"/>
      <c r="L19" s="9" t="s">
        <v>46</v>
      </c>
      <c r="M19" s="17"/>
    </row>
    <row r="20" spans="1:26" s="5" customFormat="1" ht="26.1" customHeight="1" x14ac:dyDescent="0.2">
      <c r="A20" s="11"/>
      <c r="B20" s="11"/>
      <c r="C20" s="11"/>
      <c r="D20" s="11"/>
      <c r="E20" s="11"/>
      <c r="F20" s="11"/>
      <c r="G20" s="11"/>
      <c r="H20" s="12"/>
      <c r="I20" s="23">
        <f>I19+D20</f>
        <v>0</v>
      </c>
      <c r="J20" s="24"/>
      <c r="K20" s="24"/>
      <c r="L20" s="36" t="s">
        <v>26</v>
      </c>
      <c r="M20" s="17"/>
    </row>
    <row r="21" spans="1:26" s="5" customFormat="1" ht="26.1" customHeight="1" x14ac:dyDescent="0.2">
      <c r="A21" s="11"/>
      <c r="B21" s="11"/>
      <c r="C21" s="11"/>
      <c r="D21" s="11"/>
      <c r="E21" s="11"/>
      <c r="F21" s="11"/>
      <c r="G21" s="11"/>
      <c r="H21" s="12"/>
      <c r="I21" s="12"/>
      <c r="J21" s="11"/>
      <c r="K21" s="11"/>
      <c r="L21" s="9"/>
      <c r="M21" s="17"/>
    </row>
    <row r="22" spans="1:26" s="5" customFormat="1" ht="26.1" customHeight="1" x14ac:dyDescent="0.2">
      <c r="A22" s="11"/>
      <c r="B22" s="11"/>
      <c r="C22" s="11"/>
      <c r="D22" s="11"/>
      <c r="E22" s="11"/>
      <c r="F22" s="11"/>
      <c r="G22" s="11"/>
      <c r="H22" s="12"/>
      <c r="I22" s="12"/>
      <c r="J22" s="11"/>
      <c r="K22" s="11"/>
      <c r="L22" s="9"/>
    </row>
    <row r="23" spans="1:26" s="5" customFormat="1" ht="26.1" customHeight="1" x14ac:dyDescent="0.2">
      <c r="A23" s="11"/>
      <c r="B23" s="11"/>
      <c r="C23" s="11"/>
      <c r="D23" s="11"/>
      <c r="E23" s="11"/>
      <c r="F23" s="11"/>
      <c r="G23" s="11"/>
      <c r="H23" s="12"/>
      <c r="I23" s="12"/>
      <c r="J23" s="11"/>
      <c r="K23" s="11"/>
      <c r="L23" s="9"/>
    </row>
    <row r="24" spans="1:26" s="5" customFormat="1" ht="26.1" customHeight="1" x14ac:dyDescent="0.2">
      <c r="A24" s="11"/>
      <c r="B24" s="11"/>
      <c r="C24" s="11"/>
      <c r="D24" s="11"/>
      <c r="E24" s="11"/>
      <c r="F24" s="11"/>
      <c r="G24" s="11"/>
      <c r="H24" s="12"/>
      <c r="I24" s="12"/>
      <c r="J24" s="11"/>
      <c r="K24" s="11"/>
      <c r="L24" s="9"/>
    </row>
    <row r="25" spans="1:26" s="5" customFormat="1" ht="26.1" customHeight="1" x14ac:dyDescent="0.2">
      <c r="A25" s="11"/>
      <c r="B25" s="11"/>
      <c r="C25" s="11"/>
      <c r="D25" s="11"/>
      <c r="E25" s="11"/>
      <c r="F25" s="11"/>
      <c r="G25" s="11"/>
      <c r="H25" s="12"/>
      <c r="I25" s="12"/>
      <c r="J25" s="11"/>
      <c r="K25" s="11"/>
      <c r="L25" s="9"/>
    </row>
    <row r="26" spans="1:26" s="5" customFormat="1" ht="26.1" customHeight="1" x14ac:dyDescent="0.2">
      <c r="A26" s="11"/>
      <c r="B26" s="11"/>
      <c r="C26" s="11"/>
      <c r="D26" s="11"/>
      <c r="E26" s="11"/>
      <c r="F26" s="11"/>
      <c r="G26" s="11"/>
      <c r="H26" s="12"/>
      <c r="I26" s="12"/>
      <c r="J26" s="11"/>
      <c r="K26" s="11"/>
      <c r="L26" s="9"/>
    </row>
    <row r="27" spans="1:26" s="5" customFormat="1" ht="26.1" customHeight="1" x14ac:dyDescent="0.2">
      <c r="A27" s="11"/>
      <c r="B27" s="11"/>
      <c r="C27" s="11"/>
      <c r="D27" s="11"/>
      <c r="E27" s="11"/>
      <c r="F27" s="11"/>
      <c r="G27" s="11"/>
      <c r="H27" s="12"/>
      <c r="I27" s="12"/>
      <c r="J27" s="11"/>
      <c r="K27" s="11"/>
      <c r="L27" s="9"/>
    </row>
    <row r="28" spans="1:26" s="5" customFormat="1" ht="26.1" customHeight="1" x14ac:dyDescent="0.2">
      <c r="A28" s="11"/>
      <c r="B28" s="11"/>
      <c r="C28" s="11"/>
      <c r="D28" s="11"/>
      <c r="E28" s="11"/>
      <c r="F28" s="11"/>
      <c r="G28" s="11"/>
      <c r="H28" s="12"/>
      <c r="I28" s="12"/>
      <c r="J28" s="11"/>
      <c r="K28" s="11"/>
      <c r="L28" s="9"/>
      <c r="M28" s="17"/>
    </row>
    <row r="29" spans="1:26" s="5" customFormat="1" x14ac:dyDescent="0.2"/>
    <row r="30" spans="1:26" s="5" customFormat="1" ht="21.75" customHeight="1" x14ac:dyDescent="0.2">
      <c r="A30" s="3" t="s">
        <v>29</v>
      </c>
      <c r="B30" s="3"/>
      <c r="E30" s="19" t="s">
        <v>30</v>
      </c>
      <c r="F30" s="3"/>
      <c r="G30" s="3"/>
      <c r="I30" s="3" t="s">
        <v>27</v>
      </c>
      <c r="J30" s="3"/>
      <c r="K30" s="3"/>
      <c r="S30" s="13"/>
      <c r="W30" s="13"/>
      <c r="X30" s="3"/>
      <c r="Y30" s="3"/>
    </row>
    <row r="31" spans="1:26" ht="21" customHeight="1" x14ac:dyDescent="0.25">
      <c r="A31" s="3"/>
      <c r="B31" s="3"/>
      <c r="C31" s="5"/>
      <c r="D31" s="3"/>
      <c r="E31" s="20"/>
      <c r="F31" s="3"/>
      <c r="G31" s="3"/>
      <c r="H31" s="5"/>
      <c r="I31" s="3"/>
      <c r="J31" s="3"/>
      <c r="K31" s="3"/>
      <c r="L31" s="5"/>
      <c r="N31" s="2"/>
      <c r="O31" s="2"/>
      <c r="P31" s="52"/>
      <c r="Q31" s="53"/>
      <c r="X31" s="2"/>
      <c r="Y31" s="2"/>
      <c r="Z31" s="2"/>
    </row>
    <row r="32" spans="1:26" ht="21" customHeight="1" x14ac:dyDescent="0.25">
      <c r="A32" s="3"/>
      <c r="B32" s="2"/>
      <c r="D32" s="2"/>
      <c r="E32" s="21"/>
      <c r="F32" s="2"/>
      <c r="G32" s="2"/>
      <c r="I32" s="2"/>
      <c r="J32" s="2"/>
      <c r="K32" s="2"/>
      <c r="O32" s="2"/>
      <c r="Q32" s="4"/>
      <c r="S32" s="2"/>
      <c r="X32" s="2"/>
      <c r="Y32" s="2"/>
      <c r="Z32" s="2"/>
    </row>
    <row r="33" spans="1:17" s="5" customFormat="1" ht="21" customHeight="1" x14ac:dyDescent="0.2">
      <c r="A33" s="6" t="s">
        <v>50</v>
      </c>
      <c r="B33" s="6"/>
      <c r="C33" s="6" t="s">
        <v>52</v>
      </c>
      <c r="E33" s="22" t="s">
        <v>31</v>
      </c>
      <c r="F33" s="6"/>
      <c r="G33" s="6"/>
      <c r="I33" s="6" t="s">
        <v>53</v>
      </c>
      <c r="J33" s="6"/>
      <c r="K33" s="6"/>
      <c r="O33" s="3"/>
      <c r="Q33" s="14"/>
    </row>
    <row r="34" spans="1:17" s="5" customFormat="1" ht="21" customHeight="1" x14ac:dyDescent="0.2">
      <c r="A34" s="3" t="s">
        <v>38</v>
      </c>
      <c r="B34" s="3"/>
      <c r="C34" s="3" t="s">
        <v>40</v>
      </c>
      <c r="D34" s="3"/>
      <c r="E34" s="19" t="s">
        <v>35</v>
      </c>
      <c r="F34" s="3"/>
      <c r="G34" s="3"/>
      <c r="I34" s="3" t="s">
        <v>54</v>
      </c>
      <c r="J34" s="3"/>
      <c r="K34" s="3"/>
      <c r="O34" s="3"/>
      <c r="Q34" s="14"/>
    </row>
    <row r="35" spans="1:17" s="5" customFormat="1" ht="26.25" customHeight="1" x14ac:dyDescent="0.2">
      <c r="A35" s="3" t="s">
        <v>32</v>
      </c>
      <c r="B35" s="3"/>
      <c r="C35" s="3" t="s">
        <v>33</v>
      </c>
      <c r="D35" s="3"/>
      <c r="E35" s="19" t="s">
        <v>34</v>
      </c>
      <c r="F35" s="3"/>
      <c r="G35" s="3"/>
      <c r="I35" s="19"/>
      <c r="J35" s="3"/>
      <c r="O35" s="3"/>
      <c r="Q35" s="14"/>
    </row>
    <row r="36" spans="1:17" ht="30.75" customHeight="1" x14ac:dyDescent="0.25"/>
    <row r="37" spans="1:17" ht="3" customHeight="1" x14ac:dyDescent="0.25"/>
    <row r="43" spans="1:17" ht="20.25" customHeight="1" x14ac:dyDescent="0.25"/>
    <row r="45" spans="1:17" s="5" customFormat="1" ht="20.100000000000001" customHeight="1" x14ac:dyDescent="0.2">
      <c r="A45" s="49" t="s">
        <v>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7" s="5" customFormat="1" ht="20.100000000000001" customHeight="1" x14ac:dyDescent="0.2">
      <c r="A46" s="49" t="s">
        <v>3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7" s="5" customFormat="1" ht="20.100000000000001" customHeight="1" x14ac:dyDescent="0.2">
      <c r="A47" s="49" t="str">
        <f>A11</f>
        <v>Period Covered : JUNE 1-7, 2026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7" s="5" customFormat="1" ht="12" customHeight="1" x14ac:dyDescent="0.2"/>
    <row r="49" spans="1:25" s="5" customFormat="1" ht="20.100000000000001" customHeight="1" x14ac:dyDescent="0.2">
      <c r="A49" s="5" t="s">
        <v>4</v>
      </c>
      <c r="B49" s="50" t="s">
        <v>0</v>
      </c>
      <c r="C49" s="50"/>
      <c r="D49" s="50"/>
    </row>
    <row r="50" spans="1:25" s="5" customFormat="1" ht="20.100000000000001" customHeight="1" x14ac:dyDescent="0.2">
      <c r="A50" s="5" t="s">
        <v>5</v>
      </c>
      <c r="B50" s="51" t="s">
        <v>24</v>
      </c>
      <c r="C50" s="51"/>
      <c r="D50" s="51"/>
    </row>
    <row r="51" spans="1:25" s="5" customFormat="1" ht="6" customHeight="1" x14ac:dyDescent="0.2"/>
    <row r="52" spans="1:25" s="5" customFormat="1" ht="39.75" customHeight="1" x14ac:dyDescent="0.2">
      <c r="A52" s="7" t="s">
        <v>6</v>
      </c>
      <c r="B52" s="7" t="s">
        <v>7</v>
      </c>
      <c r="C52" s="7" t="s">
        <v>8</v>
      </c>
      <c r="D52" s="7" t="s">
        <v>9</v>
      </c>
      <c r="E52" s="8" t="s">
        <v>10</v>
      </c>
      <c r="F52" s="8" t="s">
        <v>10</v>
      </c>
      <c r="G52" s="8" t="s">
        <v>10</v>
      </c>
      <c r="H52" s="8" t="s">
        <v>11</v>
      </c>
      <c r="I52" s="7" t="s">
        <v>12</v>
      </c>
      <c r="J52" s="7"/>
      <c r="K52" s="7"/>
      <c r="L52" s="7" t="s">
        <v>13</v>
      </c>
    </row>
    <row r="53" spans="1:25" s="5" customFormat="1" ht="39.75" customHeight="1" x14ac:dyDescent="0.2">
      <c r="A53" s="10" t="s">
        <v>28</v>
      </c>
      <c r="B53" s="9" t="s">
        <v>1</v>
      </c>
      <c r="C53" s="15"/>
      <c r="D53" s="16"/>
      <c r="E53" s="15"/>
      <c r="F53" s="11"/>
      <c r="G53" s="11"/>
      <c r="H53" s="12"/>
      <c r="I53" s="12">
        <v>59985</v>
      </c>
      <c r="J53" s="11"/>
      <c r="K53" s="11"/>
      <c r="L53" s="9" t="s">
        <v>25</v>
      </c>
      <c r="M53" s="17"/>
    </row>
    <row r="54" spans="1:25" s="5" customFormat="1" ht="26.1" customHeight="1" x14ac:dyDescent="0.2">
      <c r="A54" s="11"/>
      <c r="B54" s="11"/>
      <c r="C54" s="15"/>
      <c r="D54" s="38"/>
      <c r="E54" s="15"/>
      <c r="F54" s="11"/>
      <c r="G54" s="11"/>
      <c r="H54" s="33"/>
      <c r="I54" s="34">
        <f>I53+D54</f>
        <v>59985</v>
      </c>
      <c r="J54" s="24"/>
      <c r="K54" s="24"/>
      <c r="L54" s="9" t="s">
        <v>46</v>
      </c>
      <c r="M54" s="17"/>
      <c r="O54" s="44"/>
    </row>
    <row r="55" spans="1:25" s="5" customFormat="1" ht="26.1" customHeight="1" x14ac:dyDescent="0.2">
      <c r="A55" s="11"/>
      <c r="B55" s="11"/>
      <c r="C55" s="15"/>
      <c r="D55" s="38"/>
      <c r="E55" s="15">
        <v>46179</v>
      </c>
      <c r="F55" s="11"/>
      <c r="G55" s="11"/>
      <c r="H55" s="44">
        <v>10750</v>
      </c>
      <c r="I55" s="34">
        <f>I54-H55</f>
        <v>49235</v>
      </c>
      <c r="J55" s="24"/>
      <c r="K55" s="24"/>
      <c r="L55" s="9" t="s">
        <v>45</v>
      </c>
      <c r="M55" s="17"/>
      <c r="O55" s="45">
        <f>50*215</f>
        <v>10750</v>
      </c>
    </row>
    <row r="56" spans="1:25" s="5" customFormat="1" ht="26.1" customHeight="1" x14ac:dyDescent="0.2">
      <c r="A56" s="11"/>
      <c r="B56" s="11"/>
      <c r="C56" s="11"/>
      <c r="D56" s="11"/>
      <c r="E56" s="15"/>
      <c r="F56" s="11"/>
      <c r="G56" s="11"/>
      <c r="H56" s="33"/>
      <c r="I56" s="35">
        <f>I55-H56</f>
        <v>49235</v>
      </c>
      <c r="J56" s="24"/>
      <c r="K56" s="24"/>
      <c r="L56" s="36" t="s">
        <v>26</v>
      </c>
      <c r="M56" s="17"/>
    </row>
    <row r="57" spans="1:25" s="5" customFormat="1" ht="26.1" customHeight="1" x14ac:dyDescent="0.2">
      <c r="A57" s="11"/>
      <c r="B57" s="11"/>
      <c r="C57" s="11"/>
      <c r="D57" s="11"/>
      <c r="E57" s="11"/>
      <c r="F57" s="11"/>
      <c r="G57" s="11"/>
      <c r="H57" s="33"/>
      <c r="I57" s="34"/>
      <c r="J57" s="46"/>
      <c r="K57" s="46"/>
      <c r="L57" s="47"/>
      <c r="M57" s="17"/>
      <c r="Q57" s="17"/>
      <c r="R57" s="17"/>
    </row>
    <row r="58" spans="1:25" s="5" customFormat="1" ht="26.1" customHeight="1" x14ac:dyDescent="0.2">
      <c r="A58" s="11"/>
      <c r="B58" s="11"/>
      <c r="C58" s="11"/>
      <c r="D58" s="11"/>
      <c r="E58" s="37"/>
      <c r="F58" s="11"/>
      <c r="G58" s="11"/>
      <c r="H58" s="33" t="s">
        <v>42</v>
      </c>
      <c r="I58" s="34"/>
      <c r="J58" s="11"/>
      <c r="K58" s="11"/>
      <c r="L58" s="9"/>
      <c r="M58" s="17"/>
    </row>
    <row r="59" spans="1:25" s="5" customFormat="1" ht="26.1" customHeight="1" x14ac:dyDescent="0.2">
      <c r="A59" s="11"/>
      <c r="B59" s="11"/>
      <c r="C59" s="11"/>
      <c r="D59" s="11"/>
      <c r="E59" s="37"/>
      <c r="F59" s="11"/>
      <c r="G59" s="11"/>
      <c r="H59" s="33" t="s">
        <v>42</v>
      </c>
      <c r="I59" s="33"/>
      <c r="J59" s="11"/>
      <c r="K59" s="11"/>
      <c r="L59" s="9"/>
      <c r="O59" s="45"/>
    </row>
    <row r="60" spans="1:25" s="5" customFormat="1" ht="26.1" customHeight="1" x14ac:dyDescent="0.2">
      <c r="A60" s="11"/>
      <c r="B60" s="11"/>
      <c r="C60" s="11"/>
      <c r="D60" s="11"/>
      <c r="E60" s="11"/>
      <c r="F60" s="11"/>
      <c r="G60" s="11"/>
      <c r="H60" s="12"/>
      <c r="I60" s="12"/>
      <c r="J60" s="11"/>
      <c r="K60" s="11"/>
      <c r="L60" s="9"/>
    </row>
    <row r="61" spans="1:25" s="5" customFormat="1" ht="26.1" customHeight="1" x14ac:dyDescent="0.2">
      <c r="A61" s="11"/>
      <c r="B61" s="11"/>
      <c r="C61" s="11"/>
      <c r="D61" s="11"/>
      <c r="E61" s="11"/>
      <c r="F61" s="11"/>
      <c r="G61" s="11"/>
      <c r="H61" s="12"/>
      <c r="I61" s="12"/>
      <c r="J61" s="11"/>
      <c r="K61" s="11"/>
      <c r="L61" s="9"/>
    </row>
    <row r="62" spans="1:25" s="5" customFormat="1" ht="26.1" customHeight="1" x14ac:dyDescent="0.2">
      <c r="A62" s="11"/>
      <c r="B62" s="11"/>
      <c r="C62" s="11"/>
      <c r="D62" s="11"/>
      <c r="E62" s="11"/>
      <c r="F62" s="11"/>
      <c r="G62" s="11"/>
      <c r="H62" s="12"/>
      <c r="I62" s="12"/>
      <c r="J62" s="11"/>
      <c r="K62" s="11"/>
      <c r="L62" s="9"/>
    </row>
    <row r="63" spans="1:25" s="5" customFormat="1" x14ac:dyDescent="0.2"/>
    <row r="64" spans="1:25" s="5" customFormat="1" ht="21.75" customHeight="1" x14ac:dyDescent="0.2">
      <c r="A64" s="3" t="s">
        <v>29</v>
      </c>
      <c r="B64" s="3"/>
      <c r="E64" s="19" t="s">
        <v>30</v>
      </c>
      <c r="F64" s="3"/>
      <c r="G64" s="3"/>
      <c r="I64" s="3" t="s">
        <v>27</v>
      </c>
      <c r="J64" s="3"/>
      <c r="K64" s="3"/>
      <c r="S64" s="13"/>
      <c r="W64" s="13"/>
      <c r="X64" s="3"/>
      <c r="Y64" s="3"/>
    </row>
    <row r="65" spans="1:26" ht="21" customHeight="1" x14ac:dyDescent="0.25">
      <c r="A65" s="3"/>
      <c r="B65" s="3"/>
      <c r="C65" s="5"/>
      <c r="D65" s="3"/>
      <c r="E65" s="20"/>
      <c r="F65" s="3"/>
      <c r="G65" s="3"/>
      <c r="H65" s="5"/>
      <c r="I65" s="3"/>
      <c r="J65" s="3"/>
      <c r="K65" s="3"/>
      <c r="L65" s="5"/>
      <c r="N65" s="2"/>
      <c r="O65" s="2"/>
      <c r="P65" s="52"/>
      <c r="Q65" s="53"/>
      <c r="X65" s="2"/>
      <c r="Y65" s="2"/>
      <c r="Z65" s="2"/>
    </row>
    <row r="66" spans="1:26" x14ac:dyDescent="0.25">
      <c r="A66" s="3"/>
      <c r="B66" s="2"/>
      <c r="D66" s="2"/>
      <c r="E66" s="21"/>
      <c r="F66" s="2"/>
      <c r="G66" s="2"/>
      <c r="I66" s="2"/>
      <c r="J66" s="2"/>
      <c r="K66" s="2"/>
      <c r="O66" s="2"/>
      <c r="Q66" s="4"/>
      <c r="S66" s="2"/>
      <c r="X66" s="2"/>
      <c r="Y66" s="2"/>
      <c r="Z66" s="2"/>
    </row>
    <row r="67" spans="1:26" s="5" customFormat="1" ht="21" customHeight="1" x14ac:dyDescent="0.2">
      <c r="A67" s="6" t="str">
        <f>A33</f>
        <v>MR. JOHNNY U. GALENG</v>
      </c>
      <c r="B67" s="6"/>
      <c r="C67" s="6" t="str">
        <f>C33</f>
        <v>MR. JOHN XERCES C. ANTIPUESTO</v>
      </c>
      <c r="E67" s="22" t="s">
        <v>31</v>
      </c>
      <c r="F67" s="6"/>
      <c r="G67" s="6"/>
      <c r="I67" s="6" t="str">
        <f>I33</f>
        <v>ENGR. EDWIN B. BATAL</v>
      </c>
      <c r="J67" s="6"/>
      <c r="K67" s="6"/>
      <c r="O67" s="3"/>
      <c r="Q67" s="14"/>
    </row>
    <row r="68" spans="1:26" s="5" customFormat="1" ht="21" customHeight="1" x14ac:dyDescent="0.2">
      <c r="A68" s="3" t="s">
        <v>38</v>
      </c>
      <c r="B68" s="3"/>
      <c r="C68" s="3" t="s">
        <v>40</v>
      </c>
      <c r="D68" s="3"/>
      <c r="E68" s="19" t="s">
        <v>35</v>
      </c>
      <c r="F68" s="3"/>
      <c r="G68" s="3"/>
      <c r="I68" s="3" t="str">
        <f>I34</f>
        <v>Mine Explosives Asst. Manager</v>
      </c>
      <c r="J68" s="3"/>
      <c r="K68" s="3"/>
      <c r="O68" s="3"/>
      <c r="Q68" s="14"/>
    </row>
    <row r="69" spans="1:26" s="5" customFormat="1" ht="21" customHeight="1" x14ac:dyDescent="0.2">
      <c r="A69" s="3" t="s">
        <v>32</v>
      </c>
      <c r="B69" s="3"/>
      <c r="C69" s="3" t="s">
        <v>33</v>
      </c>
      <c r="D69" s="3"/>
      <c r="E69" s="19" t="s">
        <v>34</v>
      </c>
      <c r="F69" s="3"/>
      <c r="G69" s="3"/>
      <c r="I69" s="19"/>
      <c r="J69" s="3"/>
      <c r="O69" s="3"/>
      <c r="Q69" s="14"/>
    </row>
    <row r="70" spans="1:26" s="5" customFormat="1" ht="21" customHeight="1" x14ac:dyDescent="0.2">
      <c r="A70" s="3"/>
      <c r="B70" s="3"/>
      <c r="C70" s="3"/>
      <c r="D70" s="3"/>
      <c r="E70" s="19"/>
      <c r="F70" s="3"/>
      <c r="G70" s="3"/>
      <c r="I70" s="19"/>
      <c r="J70" s="3"/>
      <c r="O70" s="3"/>
      <c r="Q70" s="14"/>
    </row>
    <row r="71" spans="1:26" s="5" customFormat="1" ht="21" customHeight="1" x14ac:dyDescent="0.2">
      <c r="A71" s="3"/>
      <c r="B71" s="3"/>
      <c r="C71" s="3"/>
      <c r="D71" s="3"/>
      <c r="E71" s="19"/>
      <c r="F71" s="3"/>
      <c r="G71" s="3"/>
      <c r="I71" s="19"/>
      <c r="J71" s="3"/>
      <c r="O71" s="3"/>
      <c r="Q71" s="14"/>
    </row>
    <row r="72" spans="1:26" s="5" customFormat="1" ht="4.5" customHeight="1" x14ac:dyDescent="0.2">
      <c r="A72" s="3"/>
      <c r="B72" s="3"/>
      <c r="D72" s="3"/>
      <c r="E72" s="3"/>
      <c r="F72" s="3"/>
      <c r="G72" s="3"/>
      <c r="I72" s="3"/>
      <c r="J72" s="3"/>
      <c r="O72" s="3"/>
      <c r="Q72" s="14"/>
    </row>
    <row r="73" spans="1:26" s="5" customFormat="1" ht="21" customHeight="1" x14ac:dyDescent="0.2">
      <c r="A73" s="3"/>
      <c r="B73" s="3"/>
      <c r="D73" s="3"/>
      <c r="E73" s="3"/>
      <c r="F73" s="3"/>
      <c r="G73" s="3"/>
      <c r="I73" s="3"/>
      <c r="J73" s="3"/>
      <c r="O73" s="3"/>
      <c r="Q73" s="14"/>
    </row>
    <row r="74" spans="1:26" ht="12" customHeight="1" x14ac:dyDescent="0.25"/>
    <row r="75" spans="1:26" ht="9.75" customHeight="1" x14ac:dyDescent="0.25"/>
    <row r="81" spans="1:18" s="5" customFormat="1" ht="20.100000000000001" customHeight="1" x14ac:dyDescent="0.2">
      <c r="A81" s="49" t="s">
        <v>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8" s="5" customFormat="1" ht="20.100000000000001" customHeight="1" x14ac:dyDescent="0.2">
      <c r="A82" s="49" t="s">
        <v>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8" s="5" customFormat="1" ht="20.100000000000001" customHeight="1" x14ac:dyDescent="0.2">
      <c r="A83" s="49" t="str">
        <f>A11</f>
        <v>Period Covered : JUNE 1-7, 2026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8" s="5" customFormat="1" ht="14.25" customHeight="1" x14ac:dyDescent="0.2"/>
    <row r="85" spans="1:18" s="5" customFormat="1" ht="20.100000000000001" customHeight="1" x14ac:dyDescent="0.2">
      <c r="A85" s="5" t="s">
        <v>4</v>
      </c>
      <c r="B85" s="50" t="s">
        <v>0</v>
      </c>
      <c r="C85" s="50"/>
      <c r="D85" s="50"/>
    </row>
    <row r="86" spans="1:18" s="5" customFormat="1" ht="20.100000000000001" customHeight="1" x14ac:dyDescent="0.2">
      <c r="A86" s="5" t="s">
        <v>5</v>
      </c>
      <c r="B86" s="51" t="s">
        <v>24</v>
      </c>
      <c r="C86" s="51"/>
      <c r="D86" s="51"/>
    </row>
    <row r="87" spans="1:18" s="5" customFormat="1" ht="6" customHeight="1" x14ac:dyDescent="0.2"/>
    <row r="88" spans="1:18" s="5" customFormat="1" ht="39.75" customHeight="1" x14ac:dyDescent="0.2">
      <c r="A88" s="7" t="s">
        <v>6</v>
      </c>
      <c r="B88" s="7" t="s">
        <v>7</v>
      </c>
      <c r="C88" s="7" t="s">
        <v>8</v>
      </c>
      <c r="D88" s="7" t="s">
        <v>9</v>
      </c>
      <c r="E88" s="8" t="s">
        <v>10</v>
      </c>
      <c r="F88" s="8" t="s">
        <v>10</v>
      </c>
      <c r="G88" s="8" t="s">
        <v>10</v>
      </c>
      <c r="H88" s="8" t="s">
        <v>11</v>
      </c>
      <c r="I88" s="7" t="s">
        <v>12</v>
      </c>
      <c r="J88" s="7"/>
      <c r="K88" s="7"/>
      <c r="L88" s="7" t="s">
        <v>13</v>
      </c>
    </row>
    <row r="89" spans="1:18" s="5" customFormat="1" ht="39.75" customHeight="1" x14ac:dyDescent="0.2">
      <c r="A89" s="10" t="s">
        <v>14</v>
      </c>
      <c r="B89" s="9" t="s">
        <v>15</v>
      </c>
      <c r="C89" s="15"/>
      <c r="D89" s="16"/>
      <c r="E89" s="15"/>
      <c r="F89" s="11"/>
      <c r="G89" s="11"/>
      <c r="H89" s="12"/>
      <c r="I89" s="12">
        <v>67575</v>
      </c>
      <c r="J89" s="11"/>
      <c r="K89" s="11"/>
      <c r="L89" s="9" t="s">
        <v>25</v>
      </c>
      <c r="O89" s="17"/>
    </row>
    <row r="90" spans="1:18" s="5" customFormat="1" ht="25.5" customHeight="1" x14ac:dyDescent="0.2">
      <c r="A90" s="10"/>
      <c r="B90" s="9"/>
      <c r="C90" s="15"/>
      <c r="D90" s="38"/>
      <c r="E90" s="15"/>
      <c r="F90" s="11"/>
      <c r="G90" s="11"/>
      <c r="H90" s="33"/>
      <c r="I90" s="34">
        <f>I89+D90</f>
        <v>67575</v>
      </c>
      <c r="J90" s="24"/>
      <c r="K90" s="24"/>
      <c r="L90" s="9" t="s">
        <v>46</v>
      </c>
    </row>
    <row r="91" spans="1:18" s="5" customFormat="1" ht="26.1" customHeight="1" x14ac:dyDescent="0.2">
      <c r="A91" s="11"/>
      <c r="B91" s="11"/>
      <c r="C91" s="15"/>
      <c r="D91" s="38"/>
      <c r="E91" s="15">
        <v>46179</v>
      </c>
      <c r="F91" s="11"/>
      <c r="G91" s="11"/>
      <c r="H91" s="44">
        <v>8250</v>
      </c>
      <c r="I91" s="34">
        <f>I90-H91</f>
        <v>59325</v>
      </c>
      <c r="J91" s="24"/>
      <c r="K91" s="24"/>
      <c r="L91" s="9" t="s">
        <v>45</v>
      </c>
      <c r="M91" s="17"/>
    </row>
    <row r="92" spans="1:18" s="5" customFormat="1" ht="26.1" customHeight="1" x14ac:dyDescent="0.2">
      <c r="A92" s="11"/>
      <c r="B92" s="11"/>
      <c r="C92" s="11"/>
      <c r="D92" s="11"/>
      <c r="E92" s="15"/>
      <c r="F92" s="11"/>
      <c r="G92" s="11"/>
      <c r="H92" s="33"/>
      <c r="I92" s="35">
        <f>I91</f>
        <v>59325</v>
      </c>
      <c r="J92" s="24"/>
      <c r="K92" s="24"/>
      <c r="L92" s="36" t="s">
        <v>26</v>
      </c>
      <c r="M92" s="17"/>
      <c r="O92" s="5">
        <f>330*25</f>
        <v>8250</v>
      </c>
    </row>
    <row r="93" spans="1:18" s="5" customFormat="1" ht="26.1" customHeight="1" x14ac:dyDescent="0.2">
      <c r="A93" s="11"/>
      <c r="B93" s="11"/>
      <c r="C93" s="11"/>
      <c r="D93" s="11"/>
      <c r="E93" s="11"/>
      <c r="F93" s="11"/>
      <c r="G93" s="11"/>
      <c r="H93" s="33"/>
      <c r="I93" s="34"/>
      <c r="J93" s="46"/>
      <c r="K93" s="46"/>
      <c r="L93" s="47"/>
      <c r="M93" s="17"/>
      <c r="Q93" s="17"/>
    </row>
    <row r="94" spans="1:18" s="5" customFormat="1" ht="26.1" customHeight="1" x14ac:dyDescent="0.2">
      <c r="A94" s="11"/>
      <c r="B94" s="11"/>
      <c r="C94" s="11"/>
      <c r="D94" s="11"/>
      <c r="E94" s="37"/>
      <c r="F94" s="11"/>
      <c r="G94" s="11"/>
      <c r="H94" s="33"/>
      <c r="I94" s="34"/>
      <c r="J94" s="46"/>
      <c r="K94" s="46"/>
      <c r="L94" s="48"/>
      <c r="M94" s="17"/>
      <c r="Q94" s="17"/>
      <c r="R94" s="17"/>
    </row>
    <row r="95" spans="1:18" s="5" customFormat="1" ht="26.1" customHeight="1" x14ac:dyDescent="0.2">
      <c r="A95" s="11"/>
      <c r="B95" s="11"/>
      <c r="C95" s="11"/>
      <c r="D95" s="11"/>
      <c r="E95" s="37"/>
      <c r="F95" s="11"/>
      <c r="G95" s="11"/>
      <c r="H95" s="33" t="s">
        <v>42</v>
      </c>
      <c r="I95" s="33"/>
      <c r="J95" s="11"/>
      <c r="K95" s="11"/>
      <c r="L95" s="9"/>
      <c r="M95" s="17"/>
      <c r="O95" s="17"/>
    </row>
    <row r="96" spans="1:18" s="5" customFormat="1" ht="26.1" customHeight="1" x14ac:dyDescent="0.2">
      <c r="A96" s="11"/>
      <c r="B96" s="11"/>
      <c r="C96" s="11"/>
      <c r="D96" s="11"/>
      <c r="E96" s="11"/>
      <c r="F96" s="11"/>
      <c r="G96" s="11"/>
      <c r="H96" s="33"/>
      <c r="I96" s="33"/>
      <c r="J96" s="11"/>
      <c r="K96" s="11"/>
      <c r="L96" s="9"/>
      <c r="M96" s="17"/>
    </row>
    <row r="97" spans="1:26" s="5" customFormat="1" ht="26.1" customHeight="1" x14ac:dyDescent="0.2">
      <c r="A97" s="11"/>
      <c r="B97" s="11"/>
      <c r="C97" s="11"/>
      <c r="D97" s="11"/>
      <c r="E97" s="11"/>
      <c r="F97" s="11"/>
      <c r="G97" s="11"/>
      <c r="H97" s="33"/>
      <c r="I97" s="33"/>
      <c r="J97" s="11"/>
      <c r="K97" s="11"/>
      <c r="L97" s="9"/>
      <c r="Q97" s="33"/>
    </row>
    <row r="98" spans="1:26" s="5" customFormat="1" ht="26.1" customHeight="1" x14ac:dyDescent="0.2">
      <c r="A98" s="11"/>
      <c r="B98" s="11"/>
      <c r="C98" s="11"/>
      <c r="D98" s="11"/>
      <c r="E98" s="11"/>
      <c r="F98" s="11"/>
      <c r="G98" s="11"/>
      <c r="H98" s="12"/>
      <c r="I98" s="12"/>
      <c r="J98" s="11"/>
      <c r="K98" s="11"/>
      <c r="L98" s="9"/>
    </row>
    <row r="99" spans="1:26" s="5" customFormat="1" ht="26.1" customHeight="1" x14ac:dyDescent="0.2">
      <c r="A99" s="11"/>
      <c r="B99" s="11"/>
      <c r="C99" s="11"/>
      <c r="D99" s="11"/>
      <c r="E99" s="11"/>
      <c r="F99" s="11"/>
      <c r="G99" s="11"/>
      <c r="H99" s="12"/>
      <c r="I99" s="12"/>
      <c r="J99" s="11"/>
      <c r="K99" s="11"/>
      <c r="L99" s="9"/>
    </row>
    <row r="100" spans="1:26" s="5" customFormat="1" ht="26.1" customHeight="1" x14ac:dyDescent="0.2">
      <c r="A100" s="11"/>
      <c r="B100" s="11"/>
      <c r="C100" s="11"/>
      <c r="D100" s="11"/>
      <c r="E100" s="11"/>
      <c r="F100" s="11"/>
      <c r="G100" s="11"/>
      <c r="H100" s="12"/>
      <c r="I100" s="12"/>
      <c r="J100" s="11"/>
      <c r="K100" s="11"/>
      <c r="L100" s="9"/>
    </row>
    <row r="101" spans="1:26" s="5" customFormat="1" ht="26.1" customHeight="1" x14ac:dyDescent="0.2">
      <c r="A101" s="11"/>
      <c r="B101" s="11"/>
      <c r="C101" s="11"/>
      <c r="D101" s="11"/>
      <c r="E101" s="11"/>
      <c r="F101" s="11"/>
      <c r="G101" s="11"/>
      <c r="H101" s="12"/>
      <c r="I101" s="12"/>
      <c r="J101" s="11"/>
      <c r="K101" s="11"/>
      <c r="L101" s="9"/>
    </row>
    <row r="102" spans="1:26" s="5" customFormat="1" x14ac:dyDescent="0.2"/>
    <row r="103" spans="1:26" s="5" customFormat="1" ht="21.75" customHeight="1" x14ac:dyDescent="0.2">
      <c r="A103" s="3" t="s">
        <v>29</v>
      </c>
      <c r="B103" s="3"/>
      <c r="E103" s="19" t="s">
        <v>30</v>
      </c>
      <c r="F103" s="3"/>
      <c r="G103" s="3"/>
      <c r="I103" s="3" t="s">
        <v>27</v>
      </c>
      <c r="J103" s="3"/>
      <c r="K103" s="3"/>
      <c r="S103" s="13"/>
      <c r="W103" s="13"/>
      <c r="X103" s="3"/>
      <c r="Y103" s="3"/>
    </row>
    <row r="104" spans="1:26" ht="21" customHeight="1" x14ac:dyDescent="0.25">
      <c r="A104" s="3"/>
      <c r="B104" s="3"/>
      <c r="C104" s="5"/>
      <c r="D104" s="3"/>
      <c r="E104" s="20"/>
      <c r="F104" s="3"/>
      <c r="G104" s="3"/>
      <c r="H104" s="5"/>
      <c r="I104" s="3"/>
      <c r="J104" s="3"/>
      <c r="K104" s="3"/>
      <c r="L104" s="5"/>
      <c r="N104" s="2"/>
      <c r="O104" s="2"/>
      <c r="P104" s="52"/>
      <c r="Q104" s="53"/>
      <c r="X104" s="2"/>
      <c r="Y104" s="2"/>
      <c r="Z104" s="2"/>
    </row>
    <row r="105" spans="1:26" ht="6" customHeight="1" x14ac:dyDescent="0.25">
      <c r="A105" s="3"/>
      <c r="B105" s="2"/>
      <c r="D105" s="2"/>
      <c r="E105" s="21"/>
      <c r="F105" s="2"/>
      <c r="G105" s="2"/>
      <c r="I105" s="2"/>
      <c r="J105" s="2"/>
      <c r="K105" s="2"/>
      <c r="O105" s="2"/>
      <c r="Q105" s="4"/>
      <c r="S105" s="2"/>
      <c r="X105" s="2"/>
      <c r="Y105" s="2"/>
      <c r="Z105" s="2"/>
    </row>
    <row r="106" spans="1:26" s="5" customFormat="1" x14ac:dyDescent="0.2">
      <c r="A106" s="6" t="str">
        <f>A33</f>
        <v>MR. JOHNNY U. GALENG</v>
      </c>
      <c r="B106" s="6"/>
      <c r="C106" s="6" t="str">
        <f>C33</f>
        <v>MR. JOHN XERCES C. ANTIPUESTO</v>
      </c>
      <c r="E106" s="22" t="s">
        <v>31</v>
      </c>
      <c r="F106" s="6"/>
      <c r="G106" s="6"/>
      <c r="I106" s="6" t="str">
        <f>I33</f>
        <v>ENGR. EDWIN B. BATAL</v>
      </c>
      <c r="J106" s="6"/>
      <c r="K106" s="6"/>
      <c r="O106" s="3"/>
      <c r="Q106" s="14"/>
    </row>
    <row r="107" spans="1:26" s="5" customFormat="1" ht="22.5" customHeight="1" x14ac:dyDescent="0.2">
      <c r="A107" s="3" t="s">
        <v>38</v>
      </c>
      <c r="B107" s="3"/>
      <c r="C107" s="3" t="s">
        <v>40</v>
      </c>
      <c r="D107" s="3"/>
      <c r="E107" s="19" t="s">
        <v>35</v>
      </c>
      <c r="F107" s="3"/>
      <c r="G107" s="3"/>
      <c r="I107" s="3" t="str">
        <f>I34</f>
        <v>Mine Explosives Asst. Manager</v>
      </c>
      <c r="J107" s="3"/>
      <c r="K107" s="3"/>
      <c r="O107" s="3"/>
      <c r="Q107" s="14"/>
    </row>
    <row r="108" spans="1:26" s="5" customFormat="1" ht="27" customHeight="1" x14ac:dyDescent="0.2">
      <c r="A108" s="3" t="s">
        <v>32</v>
      </c>
      <c r="B108" s="3"/>
      <c r="C108" s="3" t="s">
        <v>33</v>
      </c>
      <c r="D108" s="3"/>
      <c r="E108" s="19" t="s">
        <v>34</v>
      </c>
      <c r="F108" s="3"/>
      <c r="G108" s="3"/>
      <c r="I108" s="19"/>
      <c r="J108" s="3"/>
      <c r="O108" s="3"/>
      <c r="Q108" s="14"/>
    </row>
    <row r="109" spans="1:26" s="5" customFormat="1" ht="17.25" customHeight="1" x14ac:dyDescent="0.2">
      <c r="A109" s="3"/>
      <c r="B109" s="3"/>
      <c r="C109" s="3"/>
      <c r="D109" s="3"/>
      <c r="E109" s="19"/>
      <c r="F109" s="3"/>
      <c r="G109" s="3"/>
      <c r="I109" s="19"/>
      <c r="J109" s="3"/>
      <c r="O109" s="3"/>
      <c r="Q109" s="14"/>
    </row>
    <row r="110" spans="1:26" s="5" customFormat="1" ht="8.25" customHeight="1" x14ac:dyDescent="0.2">
      <c r="A110" s="3"/>
      <c r="B110" s="3"/>
      <c r="C110" s="3"/>
      <c r="D110" s="3"/>
      <c r="E110" s="19"/>
      <c r="F110" s="3"/>
      <c r="G110" s="3"/>
      <c r="I110" s="19"/>
      <c r="J110" s="3"/>
      <c r="O110" s="3"/>
      <c r="Q110" s="14"/>
    </row>
    <row r="111" spans="1:26" s="5" customFormat="1" ht="8.25" customHeight="1" x14ac:dyDescent="0.2">
      <c r="A111" s="3"/>
      <c r="B111" s="3"/>
      <c r="C111" s="3"/>
      <c r="D111" s="3"/>
      <c r="E111" s="19"/>
      <c r="F111" s="3"/>
      <c r="G111" s="3"/>
      <c r="I111" s="19"/>
      <c r="J111" s="3"/>
      <c r="O111" s="3"/>
      <c r="Q111" s="14"/>
    </row>
    <row r="112" spans="1:26" ht="12" customHeight="1" x14ac:dyDescent="0.25"/>
    <row r="118" spans="1:13" ht="20.25" customHeight="1" x14ac:dyDescent="0.25"/>
    <row r="120" spans="1:13" s="5" customFormat="1" ht="20.100000000000001" customHeight="1" x14ac:dyDescent="0.2">
      <c r="A120" s="49" t="s">
        <v>2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</row>
    <row r="121" spans="1:13" s="5" customFormat="1" ht="20.100000000000001" customHeight="1" x14ac:dyDescent="0.2">
      <c r="A121" s="49" t="s">
        <v>3</v>
      </c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</row>
    <row r="122" spans="1:13" s="5" customFormat="1" ht="20.100000000000001" customHeight="1" x14ac:dyDescent="0.2">
      <c r="A122" s="49" t="str">
        <f>A11</f>
        <v>Period Covered : JUNE 1-7, 2026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</row>
    <row r="123" spans="1:13" s="5" customFormat="1" ht="20.100000000000001" customHeight="1" x14ac:dyDescent="0.2"/>
    <row r="124" spans="1:13" s="5" customFormat="1" ht="20.100000000000001" customHeight="1" x14ac:dyDescent="0.2">
      <c r="A124" s="5" t="s">
        <v>4</v>
      </c>
      <c r="B124" s="50" t="s">
        <v>0</v>
      </c>
      <c r="C124" s="50"/>
      <c r="D124" s="50"/>
    </row>
    <row r="125" spans="1:13" s="5" customFormat="1" ht="20.100000000000001" customHeight="1" x14ac:dyDescent="0.2">
      <c r="A125" s="5" t="s">
        <v>5</v>
      </c>
      <c r="B125" s="51" t="s">
        <v>24</v>
      </c>
      <c r="C125" s="51"/>
      <c r="D125" s="51"/>
    </row>
    <row r="126" spans="1:13" s="5" customFormat="1" ht="6" customHeight="1" x14ac:dyDescent="0.2"/>
    <row r="127" spans="1:13" s="5" customFormat="1" ht="39.75" customHeight="1" x14ac:dyDescent="0.2">
      <c r="A127" s="7" t="s">
        <v>6</v>
      </c>
      <c r="B127" s="7" t="s">
        <v>7</v>
      </c>
      <c r="C127" s="7" t="s">
        <v>8</v>
      </c>
      <c r="D127" s="7" t="s">
        <v>9</v>
      </c>
      <c r="E127" s="8" t="s">
        <v>10</v>
      </c>
      <c r="F127" s="8" t="s">
        <v>10</v>
      </c>
      <c r="G127" s="8" t="s">
        <v>10</v>
      </c>
      <c r="H127" s="8" t="s">
        <v>11</v>
      </c>
      <c r="I127" s="7" t="s">
        <v>12</v>
      </c>
      <c r="J127" s="7"/>
      <c r="K127" s="7"/>
      <c r="L127" s="7" t="s">
        <v>13</v>
      </c>
    </row>
    <row r="128" spans="1:13" s="5" customFormat="1" ht="39.75" customHeight="1" x14ac:dyDescent="0.2">
      <c r="A128" s="10" t="s">
        <v>16</v>
      </c>
      <c r="B128" s="9" t="s">
        <v>17</v>
      </c>
      <c r="C128" s="15"/>
      <c r="D128" s="16"/>
      <c r="E128" s="15"/>
      <c r="F128" s="11"/>
      <c r="G128" s="11"/>
      <c r="H128" s="12"/>
      <c r="I128" s="12">
        <v>13599.999999999993</v>
      </c>
      <c r="J128" s="11"/>
      <c r="K128" s="11"/>
      <c r="L128" s="9" t="s">
        <v>25</v>
      </c>
      <c r="M128" s="17"/>
    </row>
    <row r="129" spans="1:26" s="5" customFormat="1" ht="26.1" customHeight="1" x14ac:dyDescent="0.2">
      <c r="A129" s="11"/>
      <c r="B129" s="11"/>
      <c r="C129" s="15"/>
      <c r="D129" s="38"/>
      <c r="E129" s="15"/>
      <c r="F129" s="11"/>
      <c r="G129" s="11"/>
      <c r="H129" s="33"/>
      <c r="I129" s="34">
        <f>I128+D129</f>
        <v>13599.999999999993</v>
      </c>
      <c r="J129" s="24"/>
      <c r="K129" s="24"/>
      <c r="L129" s="9" t="s">
        <v>46</v>
      </c>
      <c r="M129" s="17"/>
    </row>
    <row r="130" spans="1:26" s="5" customFormat="1" ht="26.1" customHeight="1" x14ac:dyDescent="0.2">
      <c r="A130" s="11"/>
      <c r="B130" s="11"/>
      <c r="C130" s="15"/>
      <c r="D130" s="38"/>
      <c r="E130" s="15">
        <v>46179</v>
      </c>
      <c r="F130" s="11"/>
      <c r="G130" s="11"/>
      <c r="H130" s="33">
        <v>3159</v>
      </c>
      <c r="I130" s="34">
        <f>I129-H130</f>
        <v>10440.999999999993</v>
      </c>
      <c r="J130" s="24"/>
      <c r="K130" s="24"/>
      <c r="L130" s="9" t="s">
        <v>45</v>
      </c>
      <c r="M130" s="17"/>
      <c r="Q130" s="17"/>
    </row>
    <row r="131" spans="1:26" s="5" customFormat="1" ht="26.1" customHeight="1" x14ac:dyDescent="0.2">
      <c r="A131" s="11"/>
      <c r="B131" s="11"/>
      <c r="C131" s="11"/>
      <c r="D131" s="11"/>
      <c r="E131" s="15"/>
      <c r="F131" s="11"/>
      <c r="G131" s="11"/>
      <c r="H131" s="33"/>
      <c r="I131" s="35">
        <f>I130</f>
        <v>10440.999999999993</v>
      </c>
      <c r="J131" s="24"/>
      <c r="K131" s="24"/>
      <c r="L131" s="36" t="s">
        <v>26</v>
      </c>
      <c r="M131" s="17"/>
      <c r="Q131" s="17"/>
    </row>
    <row r="132" spans="1:26" s="5" customFormat="1" ht="26.1" customHeight="1" x14ac:dyDescent="0.2">
      <c r="A132" s="11"/>
      <c r="B132" s="11"/>
      <c r="C132" s="11"/>
      <c r="D132" s="11"/>
      <c r="E132" s="11"/>
      <c r="F132" s="11"/>
      <c r="G132" s="11"/>
      <c r="H132" s="33"/>
      <c r="I132" s="34"/>
      <c r="J132" s="46"/>
      <c r="K132" s="46"/>
      <c r="L132" s="47"/>
      <c r="M132" s="17"/>
    </row>
    <row r="133" spans="1:26" s="5" customFormat="1" ht="26.1" customHeight="1" x14ac:dyDescent="0.2">
      <c r="A133" s="11"/>
      <c r="B133" s="11"/>
      <c r="C133" s="11"/>
      <c r="D133" s="11"/>
      <c r="E133" s="37"/>
      <c r="F133" s="11"/>
      <c r="G133" s="11"/>
      <c r="H133" s="33" t="s">
        <v>42</v>
      </c>
      <c r="I133" s="34"/>
      <c r="J133" s="11"/>
      <c r="K133" s="11"/>
      <c r="L133" s="9"/>
      <c r="M133" s="17"/>
    </row>
    <row r="134" spans="1:26" s="5" customFormat="1" ht="26.1" customHeight="1" x14ac:dyDescent="0.2">
      <c r="A134" s="11"/>
      <c r="B134" s="11"/>
      <c r="C134" s="11"/>
      <c r="D134" s="11"/>
      <c r="E134" s="37"/>
      <c r="F134" s="11"/>
      <c r="G134" s="11"/>
      <c r="H134" s="33" t="s">
        <v>42</v>
      </c>
      <c r="I134" s="33"/>
      <c r="J134" s="11"/>
      <c r="K134" s="11"/>
      <c r="L134" s="9"/>
      <c r="M134" s="17"/>
    </row>
    <row r="135" spans="1:26" s="5" customFormat="1" ht="26.1" customHeight="1" x14ac:dyDescent="0.2">
      <c r="A135" s="11"/>
      <c r="B135" s="11"/>
      <c r="C135" s="11"/>
      <c r="D135" s="11"/>
      <c r="E135" s="11"/>
      <c r="F135" s="11"/>
      <c r="G135" s="11"/>
      <c r="H135" s="33"/>
      <c r="I135" s="33"/>
      <c r="J135" s="11"/>
      <c r="K135" s="11"/>
      <c r="L135" s="9"/>
    </row>
    <row r="136" spans="1:26" s="5" customFormat="1" ht="26.1" customHeight="1" x14ac:dyDescent="0.2">
      <c r="A136" s="11"/>
      <c r="B136" s="11"/>
      <c r="C136" s="11"/>
      <c r="D136" s="11"/>
      <c r="E136" s="11"/>
      <c r="F136" s="11"/>
      <c r="G136" s="11"/>
      <c r="H136" s="12"/>
      <c r="I136" s="12"/>
      <c r="J136" s="11"/>
      <c r="K136" s="11"/>
      <c r="L136" s="9"/>
      <c r="M136" s="17"/>
    </row>
    <row r="137" spans="1:26" s="5" customFormat="1" ht="26.1" customHeight="1" x14ac:dyDescent="0.2">
      <c r="A137" s="11"/>
      <c r="B137" s="11"/>
      <c r="C137" s="11"/>
      <c r="D137" s="11"/>
      <c r="E137" s="11"/>
      <c r="F137" s="11"/>
      <c r="G137" s="11"/>
      <c r="H137" s="12"/>
      <c r="I137" s="12"/>
      <c r="J137" s="11"/>
      <c r="K137" s="11"/>
      <c r="L137" s="9"/>
    </row>
    <row r="138" spans="1:26" s="5" customFormat="1" ht="26.1" customHeight="1" x14ac:dyDescent="0.2">
      <c r="A138" s="11"/>
      <c r="B138" s="11"/>
      <c r="C138" s="11"/>
      <c r="D138" s="11"/>
      <c r="E138" s="11"/>
      <c r="F138" s="11"/>
      <c r="G138" s="11"/>
      <c r="H138" s="12"/>
      <c r="I138" s="12"/>
      <c r="J138" s="11"/>
      <c r="K138" s="11"/>
      <c r="L138" s="9"/>
    </row>
    <row r="139" spans="1:26" s="5" customFormat="1" ht="26.1" customHeight="1" x14ac:dyDescent="0.2">
      <c r="A139" s="11"/>
      <c r="B139" s="11"/>
      <c r="C139" s="11"/>
      <c r="D139" s="11"/>
      <c r="E139" s="11"/>
      <c r="F139" s="11"/>
      <c r="G139" s="11"/>
      <c r="H139" s="12"/>
      <c r="I139" s="12"/>
      <c r="J139" s="11"/>
      <c r="K139" s="11"/>
      <c r="L139" s="9"/>
    </row>
    <row r="140" spans="1:26" s="5" customFormat="1" x14ac:dyDescent="0.2"/>
    <row r="141" spans="1:26" s="5" customFormat="1" ht="21.75" customHeight="1" x14ac:dyDescent="0.2">
      <c r="A141" s="3" t="s">
        <v>29</v>
      </c>
      <c r="B141" s="3"/>
      <c r="E141" s="19" t="s">
        <v>30</v>
      </c>
      <c r="F141" s="3"/>
      <c r="G141" s="3"/>
      <c r="I141" s="3" t="s">
        <v>27</v>
      </c>
      <c r="J141" s="3"/>
      <c r="K141" s="3"/>
      <c r="S141" s="13"/>
      <c r="W141" s="13"/>
      <c r="X141" s="3"/>
      <c r="Y141" s="3"/>
    </row>
    <row r="142" spans="1:26" ht="21" customHeight="1" x14ac:dyDescent="0.25">
      <c r="A142" s="3"/>
      <c r="B142" s="3"/>
      <c r="C142" s="5"/>
      <c r="D142" s="3"/>
      <c r="E142" s="20"/>
      <c r="F142" s="3"/>
      <c r="G142" s="3"/>
      <c r="H142" s="5"/>
      <c r="I142" s="3"/>
      <c r="J142" s="3"/>
      <c r="K142" s="3"/>
      <c r="L142" s="5"/>
      <c r="N142" s="2"/>
      <c r="O142" s="2"/>
      <c r="P142" s="52"/>
      <c r="Q142" s="53"/>
      <c r="X142" s="2"/>
      <c r="Y142" s="2"/>
      <c r="Z142" s="2"/>
    </row>
    <row r="143" spans="1:26" ht="18.75" customHeight="1" x14ac:dyDescent="0.25">
      <c r="A143" s="3"/>
      <c r="B143" s="2"/>
      <c r="D143" s="2"/>
      <c r="E143" s="21"/>
      <c r="F143" s="2"/>
      <c r="G143" s="2"/>
      <c r="I143" s="2"/>
      <c r="J143" s="2"/>
      <c r="K143" s="2"/>
      <c r="O143" s="2"/>
      <c r="Q143" s="4"/>
      <c r="S143" s="2"/>
      <c r="X143" s="2"/>
      <c r="Y143" s="2"/>
      <c r="Z143" s="2"/>
    </row>
    <row r="144" spans="1:26" s="5" customFormat="1" ht="21" customHeight="1" x14ac:dyDescent="0.2">
      <c r="A144" s="6" t="str">
        <f>A33</f>
        <v>MR. JOHNNY U. GALENG</v>
      </c>
      <c r="B144" s="6"/>
      <c r="C144" s="6" t="str">
        <f>C33</f>
        <v>MR. JOHN XERCES C. ANTIPUESTO</v>
      </c>
      <c r="E144" s="22" t="s">
        <v>31</v>
      </c>
      <c r="F144" s="6"/>
      <c r="G144" s="6"/>
      <c r="I144" s="6" t="str">
        <f>I33</f>
        <v>ENGR. EDWIN B. BATAL</v>
      </c>
      <c r="J144" s="6"/>
      <c r="K144" s="6"/>
      <c r="O144" s="3"/>
      <c r="Q144" s="14"/>
    </row>
    <row r="145" spans="1:17" s="5" customFormat="1" ht="21" customHeight="1" x14ac:dyDescent="0.2">
      <c r="A145" s="3" t="s">
        <v>38</v>
      </c>
      <c r="B145" s="3"/>
      <c r="C145" s="3" t="s">
        <v>40</v>
      </c>
      <c r="D145" s="3"/>
      <c r="E145" s="19" t="s">
        <v>35</v>
      </c>
      <c r="F145" s="3"/>
      <c r="G145" s="3"/>
      <c r="I145" s="3" t="str">
        <f>I34</f>
        <v>Mine Explosives Asst. Manager</v>
      </c>
      <c r="J145" s="3"/>
      <c r="K145" s="3"/>
      <c r="O145" s="3"/>
      <c r="Q145" s="14"/>
    </row>
    <row r="146" spans="1:17" s="5" customFormat="1" ht="27" customHeight="1" x14ac:dyDescent="0.2">
      <c r="A146" s="3" t="s">
        <v>32</v>
      </c>
      <c r="B146" s="3"/>
      <c r="C146" s="3" t="s">
        <v>33</v>
      </c>
      <c r="D146" s="3"/>
      <c r="E146" s="19" t="s">
        <v>34</v>
      </c>
      <c r="F146" s="3"/>
      <c r="G146" s="3"/>
      <c r="I146" s="19"/>
      <c r="J146" s="3"/>
      <c r="O146" s="3"/>
      <c r="Q146" s="14"/>
    </row>
    <row r="147" spans="1:17" s="5" customFormat="1" ht="21.75" customHeight="1" x14ac:dyDescent="0.2">
      <c r="A147" s="3"/>
      <c r="B147" s="3"/>
      <c r="C147" s="3"/>
      <c r="D147" s="3"/>
      <c r="E147" s="19"/>
      <c r="F147" s="3"/>
      <c r="G147" s="3"/>
      <c r="I147" s="19"/>
      <c r="J147" s="3"/>
      <c r="O147" s="3"/>
      <c r="Q147" s="14"/>
    </row>
    <row r="148" spans="1:17" s="5" customFormat="1" ht="27" customHeight="1" x14ac:dyDescent="0.2">
      <c r="A148" s="3"/>
      <c r="B148" s="3"/>
      <c r="C148" s="3"/>
      <c r="D148" s="3"/>
      <c r="E148" s="19"/>
      <c r="F148" s="3"/>
      <c r="G148" s="3"/>
      <c r="I148" s="19"/>
      <c r="J148" s="3"/>
      <c r="O148" s="3"/>
      <c r="Q148" s="14"/>
    </row>
    <row r="149" spans="1:17" ht="14.25" customHeight="1" x14ac:dyDescent="0.25"/>
    <row r="155" spans="1:17" ht="20.25" customHeight="1" x14ac:dyDescent="0.25"/>
    <row r="157" spans="1:17" s="5" customFormat="1" ht="20.100000000000001" customHeight="1" x14ac:dyDescent="0.2">
      <c r="A157" s="49" t="s">
        <v>2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spans="1:17" s="5" customFormat="1" ht="20.100000000000001" customHeight="1" x14ac:dyDescent="0.2">
      <c r="A158" s="49" t="s">
        <v>3</v>
      </c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</row>
    <row r="159" spans="1:17" s="5" customFormat="1" ht="20.100000000000001" customHeight="1" x14ac:dyDescent="0.2">
      <c r="A159" s="49" t="str">
        <f>A11</f>
        <v>Period Covered : JUNE 1-7, 2026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</row>
    <row r="160" spans="1:17" s="5" customFormat="1" ht="20.100000000000001" customHeight="1" x14ac:dyDescent="0.2"/>
    <row r="161" spans="1:15" s="5" customFormat="1" ht="20.100000000000001" customHeight="1" x14ac:dyDescent="0.2">
      <c r="A161" s="5" t="s">
        <v>4</v>
      </c>
      <c r="B161" s="50" t="s">
        <v>0</v>
      </c>
      <c r="C161" s="50"/>
      <c r="D161" s="50"/>
    </row>
    <row r="162" spans="1:15" s="5" customFormat="1" ht="20.100000000000001" customHeight="1" x14ac:dyDescent="0.2">
      <c r="A162" s="5" t="s">
        <v>5</v>
      </c>
      <c r="B162" s="51" t="s">
        <v>24</v>
      </c>
      <c r="C162" s="51"/>
      <c r="D162" s="51"/>
    </row>
    <row r="163" spans="1:15" s="5" customFormat="1" ht="6" customHeight="1" x14ac:dyDescent="0.2"/>
    <row r="164" spans="1:15" s="5" customFormat="1" ht="39.75" customHeight="1" x14ac:dyDescent="0.2">
      <c r="A164" s="7" t="s">
        <v>6</v>
      </c>
      <c r="B164" s="7" t="s">
        <v>7</v>
      </c>
      <c r="C164" s="7" t="s">
        <v>8</v>
      </c>
      <c r="D164" s="7" t="s">
        <v>9</v>
      </c>
      <c r="E164" s="8" t="s">
        <v>10</v>
      </c>
      <c r="F164" s="8" t="s">
        <v>10</v>
      </c>
      <c r="G164" s="8" t="s">
        <v>10</v>
      </c>
      <c r="H164" s="8" t="s">
        <v>11</v>
      </c>
      <c r="I164" s="7" t="s">
        <v>12</v>
      </c>
      <c r="J164" s="7"/>
      <c r="K164" s="7"/>
      <c r="L164" s="7" t="s">
        <v>13</v>
      </c>
    </row>
    <row r="165" spans="1:15" s="5" customFormat="1" ht="39.75" customHeight="1" x14ac:dyDescent="0.2">
      <c r="A165" s="10" t="s">
        <v>23</v>
      </c>
      <c r="B165" s="9" t="s">
        <v>1</v>
      </c>
      <c r="C165" s="15"/>
      <c r="D165" s="16"/>
      <c r="E165" s="15"/>
      <c r="F165" s="11"/>
      <c r="G165" s="11"/>
      <c r="H165" s="12"/>
      <c r="I165" s="12">
        <v>5050</v>
      </c>
      <c r="J165" s="11"/>
      <c r="K165" s="11"/>
      <c r="L165" s="9" t="s">
        <v>25</v>
      </c>
    </row>
    <row r="166" spans="1:15" s="5" customFormat="1" ht="26.1" customHeight="1" x14ac:dyDescent="0.2">
      <c r="A166" s="11"/>
      <c r="B166" s="11"/>
      <c r="C166" s="15"/>
      <c r="D166" s="38"/>
      <c r="E166" s="15"/>
      <c r="F166" s="11"/>
      <c r="G166" s="11"/>
      <c r="H166" s="33"/>
      <c r="I166" s="34">
        <f>I165+D166</f>
        <v>5050</v>
      </c>
      <c r="J166" s="24"/>
      <c r="K166" s="24"/>
      <c r="L166" s="9" t="s">
        <v>46</v>
      </c>
      <c r="M166" s="17"/>
    </row>
    <row r="167" spans="1:15" s="5" customFormat="1" ht="26.1" customHeight="1" x14ac:dyDescent="0.2">
      <c r="A167" s="11"/>
      <c r="B167" s="11"/>
      <c r="C167" s="15"/>
      <c r="D167" s="38"/>
      <c r="E167" s="15">
        <v>46179</v>
      </c>
      <c r="F167" s="11"/>
      <c r="G167" s="11"/>
      <c r="H167" s="33">
        <v>1300</v>
      </c>
      <c r="I167" s="34">
        <f>I166-H167</f>
        <v>3750</v>
      </c>
      <c r="J167" s="24"/>
      <c r="K167" s="24"/>
      <c r="L167" s="9" t="s">
        <v>45</v>
      </c>
    </row>
    <row r="168" spans="1:15" s="5" customFormat="1" ht="26.1" customHeight="1" x14ac:dyDescent="0.2">
      <c r="A168" s="11"/>
      <c r="B168" s="11"/>
      <c r="C168" s="11"/>
      <c r="D168" s="11"/>
      <c r="E168" s="15"/>
      <c r="F168" s="11"/>
      <c r="G168" s="11"/>
      <c r="H168" s="33"/>
      <c r="I168" s="35">
        <f>I167</f>
        <v>3750</v>
      </c>
      <c r="J168" s="24"/>
      <c r="K168" s="24"/>
      <c r="L168" s="36" t="s">
        <v>26</v>
      </c>
      <c r="M168" s="17">
        <v>7650</v>
      </c>
    </row>
    <row r="169" spans="1:15" s="5" customFormat="1" ht="26.1" customHeight="1" x14ac:dyDescent="0.2">
      <c r="A169" s="11"/>
      <c r="B169" s="11"/>
      <c r="C169" s="11"/>
      <c r="D169" s="11"/>
      <c r="E169" s="11"/>
      <c r="F169" s="11"/>
      <c r="G169" s="11"/>
      <c r="H169" s="33"/>
      <c r="I169" s="34"/>
      <c r="J169" s="46"/>
      <c r="K169" s="46"/>
      <c r="L169" s="47"/>
      <c r="M169" s="17"/>
    </row>
    <row r="170" spans="1:15" s="5" customFormat="1" ht="26.1" customHeight="1" x14ac:dyDescent="0.2">
      <c r="A170" s="11"/>
      <c r="B170" s="11"/>
      <c r="C170" s="11"/>
      <c r="D170" s="11"/>
      <c r="E170" s="37"/>
      <c r="F170" s="11"/>
      <c r="G170" s="11"/>
      <c r="H170" s="33" t="s">
        <v>42</v>
      </c>
      <c r="I170" s="34"/>
      <c r="J170" s="46"/>
      <c r="K170" s="46"/>
      <c r="L170" s="48"/>
      <c r="M170" s="17"/>
      <c r="O170" s="33"/>
    </row>
    <row r="171" spans="1:15" s="5" customFormat="1" ht="26.1" customHeight="1" x14ac:dyDescent="0.2">
      <c r="A171" s="11"/>
      <c r="B171" s="11"/>
      <c r="C171" s="11"/>
      <c r="D171" s="11"/>
      <c r="E171" s="37"/>
      <c r="F171" s="11"/>
      <c r="G171" s="11"/>
      <c r="H171" s="33" t="s">
        <v>42</v>
      </c>
      <c r="I171" s="33"/>
      <c r="J171" s="11"/>
      <c r="K171" s="11"/>
      <c r="L171" s="9"/>
      <c r="M171" s="17"/>
    </row>
    <row r="172" spans="1:15" s="5" customFormat="1" ht="26.1" customHeight="1" x14ac:dyDescent="0.2">
      <c r="A172" s="11"/>
      <c r="B172" s="11"/>
      <c r="C172" s="11"/>
      <c r="D172" s="11"/>
      <c r="E172" s="11"/>
      <c r="F172" s="11"/>
      <c r="G172" s="11"/>
      <c r="H172" s="33"/>
      <c r="I172" s="33"/>
      <c r="J172" s="11"/>
      <c r="K172" s="11"/>
      <c r="L172" s="9"/>
      <c r="M172" s="17"/>
    </row>
    <row r="173" spans="1:15" s="5" customFormat="1" ht="26.1" customHeight="1" x14ac:dyDescent="0.2">
      <c r="A173" s="11"/>
      <c r="B173" s="11"/>
      <c r="C173" s="11"/>
      <c r="D173" s="11"/>
      <c r="E173" s="11"/>
      <c r="F173" s="11"/>
      <c r="G173" s="11"/>
      <c r="H173" s="12"/>
      <c r="I173" s="12"/>
      <c r="J173" s="11"/>
      <c r="K173" s="11"/>
      <c r="L173" s="9"/>
      <c r="M173" s="17"/>
    </row>
    <row r="174" spans="1:15" s="5" customFormat="1" ht="26.1" customHeight="1" x14ac:dyDescent="0.2">
      <c r="A174" s="11"/>
      <c r="B174" s="11"/>
      <c r="C174" s="11"/>
      <c r="D174" s="11"/>
      <c r="E174" s="11"/>
      <c r="F174" s="11"/>
      <c r="G174" s="11"/>
      <c r="H174" s="12"/>
      <c r="I174" s="12"/>
      <c r="J174" s="11"/>
      <c r="K174" s="11"/>
      <c r="L174" s="9"/>
    </row>
    <row r="175" spans="1:15" s="5" customFormat="1" ht="26.1" customHeight="1" x14ac:dyDescent="0.2">
      <c r="A175" s="11"/>
      <c r="B175" s="11"/>
      <c r="C175" s="11"/>
      <c r="D175" s="11"/>
      <c r="E175" s="11"/>
      <c r="F175" s="11"/>
      <c r="G175" s="11"/>
      <c r="H175" s="12"/>
      <c r="I175" s="12"/>
      <c r="J175" s="11"/>
      <c r="K175" s="11"/>
      <c r="L175" s="9"/>
    </row>
    <row r="176" spans="1:15" s="5" customFormat="1" ht="26.1" customHeight="1" x14ac:dyDescent="0.2">
      <c r="A176" s="11"/>
      <c r="B176" s="11"/>
      <c r="C176" s="11"/>
      <c r="D176" s="11"/>
      <c r="E176" s="11"/>
      <c r="F176" s="11"/>
      <c r="G176" s="11"/>
      <c r="H176" s="12"/>
      <c r="I176" s="12"/>
      <c r="J176" s="11"/>
      <c r="K176" s="11"/>
      <c r="L176" s="9"/>
    </row>
    <row r="177" spans="1:26" s="5" customFormat="1" x14ac:dyDescent="0.2"/>
    <row r="178" spans="1:26" s="5" customFormat="1" ht="21.75" customHeight="1" x14ac:dyDescent="0.2">
      <c r="A178" s="3" t="s">
        <v>29</v>
      </c>
      <c r="B178" s="3"/>
      <c r="E178" s="19" t="s">
        <v>30</v>
      </c>
      <c r="F178" s="3"/>
      <c r="G178" s="3"/>
      <c r="I178" s="3" t="s">
        <v>27</v>
      </c>
      <c r="J178" s="3"/>
      <c r="K178" s="3"/>
      <c r="S178" s="13"/>
      <c r="W178" s="13"/>
      <c r="X178" s="3"/>
      <c r="Y178" s="3"/>
    </row>
    <row r="179" spans="1:26" ht="21" customHeight="1" x14ac:dyDescent="0.25">
      <c r="A179" s="3"/>
      <c r="B179" s="3"/>
      <c r="C179" s="5"/>
      <c r="D179" s="3"/>
      <c r="E179" s="20"/>
      <c r="F179" s="3"/>
      <c r="G179" s="3"/>
      <c r="H179" s="5"/>
      <c r="I179" s="3"/>
      <c r="J179" s="3"/>
      <c r="K179" s="3"/>
      <c r="L179" s="5"/>
      <c r="N179" s="2"/>
      <c r="O179" s="2"/>
      <c r="P179" s="52"/>
      <c r="Q179" s="53"/>
      <c r="X179" s="2"/>
      <c r="Y179" s="2"/>
      <c r="Z179" s="2"/>
    </row>
    <row r="180" spans="1:26" ht="21" customHeight="1" x14ac:dyDescent="0.25">
      <c r="A180" s="3"/>
      <c r="B180" s="2"/>
      <c r="D180" s="2"/>
      <c r="E180" s="21"/>
      <c r="F180" s="2"/>
      <c r="G180" s="2"/>
      <c r="I180" s="2"/>
      <c r="J180" s="2"/>
      <c r="K180" s="2"/>
      <c r="O180" s="2"/>
      <c r="Q180" s="4"/>
      <c r="S180" s="2"/>
      <c r="X180" s="2"/>
      <c r="Y180" s="2"/>
      <c r="Z180" s="2"/>
    </row>
    <row r="181" spans="1:26" s="5" customFormat="1" ht="21" customHeight="1" x14ac:dyDescent="0.2">
      <c r="A181" s="6" t="str">
        <f>A33</f>
        <v>MR. JOHNNY U. GALENG</v>
      </c>
      <c r="B181" s="6"/>
      <c r="C181" s="6" t="str">
        <f>C33</f>
        <v>MR. JOHN XERCES C. ANTIPUESTO</v>
      </c>
      <c r="E181" s="22" t="s">
        <v>31</v>
      </c>
      <c r="F181" s="6"/>
      <c r="G181" s="6"/>
      <c r="I181" s="6" t="str">
        <f>I33</f>
        <v>ENGR. EDWIN B. BATAL</v>
      </c>
      <c r="J181" s="6"/>
      <c r="K181" s="6"/>
      <c r="O181" s="3"/>
      <c r="Q181" s="14"/>
    </row>
    <row r="182" spans="1:26" s="5" customFormat="1" ht="21" customHeight="1" x14ac:dyDescent="0.2">
      <c r="A182" s="3" t="s">
        <v>38</v>
      </c>
      <c r="B182" s="3"/>
      <c r="C182" s="3" t="s">
        <v>40</v>
      </c>
      <c r="D182" s="3"/>
      <c r="E182" s="19" t="s">
        <v>35</v>
      </c>
      <c r="F182" s="3"/>
      <c r="G182" s="3"/>
      <c r="I182" s="3" t="str">
        <f>I34</f>
        <v>Mine Explosives Asst. Manager</v>
      </c>
      <c r="J182" s="3"/>
      <c r="K182" s="3"/>
      <c r="O182" s="3"/>
      <c r="Q182" s="14"/>
    </row>
    <row r="183" spans="1:26" s="5" customFormat="1" ht="21" customHeight="1" x14ac:dyDescent="0.2">
      <c r="A183" s="3" t="s">
        <v>32</v>
      </c>
      <c r="B183" s="3"/>
      <c r="C183" s="3" t="s">
        <v>33</v>
      </c>
      <c r="D183" s="3"/>
      <c r="E183" s="19" t="s">
        <v>34</v>
      </c>
      <c r="F183" s="3"/>
      <c r="G183" s="3"/>
      <c r="I183" s="19"/>
      <c r="J183" s="3"/>
      <c r="O183" s="3"/>
      <c r="Q183" s="14"/>
    </row>
    <row r="184" spans="1:26" s="5" customFormat="1" ht="21" customHeight="1" x14ac:dyDescent="0.2">
      <c r="A184" s="3"/>
      <c r="B184" s="3"/>
      <c r="C184" s="3"/>
      <c r="D184" s="3"/>
      <c r="E184" s="19"/>
      <c r="F184" s="3"/>
      <c r="G184" s="3"/>
      <c r="I184" s="19"/>
      <c r="J184" s="3"/>
      <c r="O184" s="3"/>
      <c r="Q184" s="14"/>
    </row>
    <row r="185" spans="1:26" s="5" customFormat="1" ht="21" customHeight="1" x14ac:dyDescent="0.2">
      <c r="A185" s="3"/>
      <c r="B185" s="3"/>
      <c r="C185" s="3"/>
      <c r="D185" s="3"/>
      <c r="E185" s="19"/>
      <c r="F185" s="3"/>
      <c r="G185" s="3"/>
      <c r="I185" s="19"/>
      <c r="J185" s="3"/>
      <c r="O185" s="3"/>
      <c r="Q185" s="14"/>
    </row>
    <row r="186" spans="1:26" s="5" customFormat="1" ht="9.75" customHeight="1" x14ac:dyDescent="0.2">
      <c r="A186" s="3"/>
      <c r="B186" s="3"/>
      <c r="C186" s="3"/>
      <c r="D186" s="3"/>
      <c r="E186" s="19"/>
      <c r="F186" s="3"/>
      <c r="G186" s="3"/>
      <c r="I186" s="19"/>
      <c r="J186" s="3"/>
      <c r="O186" s="3"/>
      <c r="Q186" s="14"/>
    </row>
    <row r="187" spans="1:26" ht="9" customHeight="1" x14ac:dyDescent="0.25"/>
    <row r="188" spans="1:26" ht="9.75" customHeight="1" x14ac:dyDescent="0.25"/>
    <row r="194" spans="1:13" ht="20.25" customHeight="1" x14ac:dyDescent="0.25"/>
    <row r="195" spans="1:13" ht="8.25" customHeight="1" x14ac:dyDescent="0.25"/>
    <row r="196" spans="1:13" s="5" customFormat="1" ht="20.100000000000001" customHeight="1" x14ac:dyDescent="0.2">
      <c r="A196" s="49" t="s">
        <v>2</v>
      </c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</row>
    <row r="197" spans="1:13" s="5" customFormat="1" ht="20.100000000000001" customHeight="1" x14ac:dyDescent="0.2">
      <c r="A197" s="49" t="s">
        <v>3</v>
      </c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</row>
    <row r="198" spans="1:13" s="5" customFormat="1" ht="20.100000000000001" customHeight="1" x14ac:dyDescent="0.2">
      <c r="A198" s="49" t="str">
        <f>A11</f>
        <v>Period Covered : JUNE 1-7, 2026</v>
      </c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</row>
    <row r="199" spans="1:13" s="5" customFormat="1" ht="20.100000000000001" customHeight="1" x14ac:dyDescent="0.2"/>
    <row r="200" spans="1:13" s="5" customFormat="1" ht="20.100000000000001" customHeight="1" x14ac:dyDescent="0.2">
      <c r="A200" s="5" t="s">
        <v>4</v>
      </c>
      <c r="B200" s="50" t="s">
        <v>0</v>
      </c>
      <c r="C200" s="50"/>
      <c r="D200" s="50"/>
    </row>
    <row r="201" spans="1:13" s="5" customFormat="1" ht="20.100000000000001" customHeight="1" x14ac:dyDescent="0.2">
      <c r="A201" s="5" t="s">
        <v>5</v>
      </c>
      <c r="B201" s="51" t="s">
        <v>24</v>
      </c>
      <c r="C201" s="51"/>
      <c r="D201" s="51"/>
    </row>
    <row r="202" spans="1:13" s="5" customFormat="1" ht="6" customHeight="1" x14ac:dyDescent="0.2"/>
    <row r="203" spans="1:13" s="5" customFormat="1" ht="39.75" customHeight="1" x14ac:dyDescent="0.2">
      <c r="A203" s="7" t="s">
        <v>6</v>
      </c>
      <c r="B203" s="7" t="s">
        <v>7</v>
      </c>
      <c r="C203" s="7" t="s">
        <v>8</v>
      </c>
      <c r="D203" s="7" t="s">
        <v>9</v>
      </c>
      <c r="E203" s="8" t="s">
        <v>10</v>
      </c>
      <c r="F203" s="8" t="s">
        <v>10</v>
      </c>
      <c r="G203" s="8" t="s">
        <v>10</v>
      </c>
      <c r="H203" s="8" t="s">
        <v>11</v>
      </c>
      <c r="I203" s="7" t="s">
        <v>12</v>
      </c>
      <c r="J203" s="7"/>
      <c r="K203" s="7"/>
      <c r="L203" s="7" t="s">
        <v>13</v>
      </c>
    </row>
    <row r="204" spans="1:13" s="5" customFormat="1" ht="39.75" customHeight="1" x14ac:dyDescent="0.2">
      <c r="A204" s="10" t="s">
        <v>18</v>
      </c>
      <c r="B204" s="9" t="s">
        <v>1</v>
      </c>
      <c r="C204" s="15"/>
      <c r="D204" s="16"/>
      <c r="E204" s="15"/>
      <c r="F204" s="11"/>
      <c r="G204" s="11"/>
      <c r="H204" s="12"/>
      <c r="I204" s="12">
        <v>180</v>
      </c>
      <c r="J204" s="11"/>
      <c r="K204" s="11"/>
      <c r="L204" s="9" t="s">
        <v>25</v>
      </c>
    </row>
    <row r="205" spans="1:13" s="5" customFormat="1" ht="26.1" customHeight="1" x14ac:dyDescent="0.2">
      <c r="A205" s="11"/>
      <c r="B205" s="11"/>
      <c r="C205" s="29"/>
      <c r="D205" s="16"/>
      <c r="E205" s="15"/>
      <c r="F205" s="11"/>
      <c r="G205" s="11"/>
      <c r="H205" s="33"/>
      <c r="I205" s="34">
        <f>I204+D205</f>
        <v>180</v>
      </c>
      <c r="J205" s="24"/>
      <c r="K205" s="24"/>
      <c r="L205" s="9" t="s">
        <v>46</v>
      </c>
      <c r="M205" s="17"/>
    </row>
    <row r="206" spans="1:13" s="5" customFormat="1" ht="26.1" customHeight="1" x14ac:dyDescent="0.2">
      <c r="A206" s="11"/>
      <c r="B206" s="11"/>
      <c r="C206" s="11"/>
      <c r="D206" s="11"/>
      <c r="E206" s="15"/>
      <c r="F206" s="11"/>
      <c r="G206" s="11"/>
      <c r="H206" s="33"/>
      <c r="I206" s="34">
        <f>I205</f>
        <v>180</v>
      </c>
      <c r="J206" s="11"/>
      <c r="K206" s="11"/>
      <c r="L206" s="9" t="s">
        <v>45</v>
      </c>
      <c r="M206" s="17"/>
    </row>
    <row r="207" spans="1:13" s="5" customFormat="1" ht="26.1" customHeight="1" x14ac:dyDescent="0.2">
      <c r="A207" s="11"/>
      <c r="B207" s="11"/>
      <c r="C207" s="11"/>
      <c r="D207" s="11"/>
      <c r="E207" s="11"/>
      <c r="F207" s="11"/>
      <c r="G207" s="11"/>
      <c r="H207" s="33"/>
      <c r="I207" s="35">
        <f>I206</f>
        <v>180</v>
      </c>
      <c r="J207" s="24"/>
      <c r="K207" s="24"/>
      <c r="L207" s="36" t="s">
        <v>26</v>
      </c>
      <c r="M207" s="17"/>
    </row>
    <row r="208" spans="1:13" s="5" customFormat="1" ht="26.1" customHeight="1" x14ac:dyDescent="0.2">
      <c r="A208" s="11"/>
      <c r="B208" s="11"/>
      <c r="C208" s="11"/>
      <c r="D208" s="11"/>
      <c r="E208" s="37"/>
      <c r="F208" s="11"/>
      <c r="G208" s="11"/>
      <c r="H208" s="33" t="s">
        <v>42</v>
      </c>
      <c r="I208" s="34"/>
      <c r="J208" s="11"/>
      <c r="K208" s="11"/>
      <c r="L208" s="9"/>
      <c r="M208" s="17"/>
    </row>
    <row r="209" spans="1:26" s="5" customFormat="1" ht="26.1" customHeight="1" x14ac:dyDescent="0.2">
      <c r="A209" s="11"/>
      <c r="B209" s="11"/>
      <c r="C209" s="11"/>
      <c r="D209" s="11"/>
      <c r="E209" s="11"/>
      <c r="F209" s="11"/>
      <c r="G209" s="11"/>
      <c r="H209" s="12"/>
      <c r="I209" s="12"/>
      <c r="J209" s="11"/>
      <c r="K209" s="11"/>
      <c r="L209" s="9"/>
    </row>
    <row r="210" spans="1:26" s="5" customFormat="1" ht="26.1" customHeight="1" x14ac:dyDescent="0.2">
      <c r="A210" s="11"/>
      <c r="B210" s="11"/>
      <c r="C210" s="11"/>
      <c r="D210" s="11"/>
      <c r="E210" s="11"/>
      <c r="F210" s="11"/>
      <c r="G210" s="11"/>
      <c r="H210" s="12"/>
      <c r="I210" s="12"/>
      <c r="J210" s="11"/>
      <c r="K210" s="11"/>
      <c r="L210" s="9"/>
    </row>
    <row r="211" spans="1:26" s="5" customFormat="1" ht="26.1" customHeight="1" x14ac:dyDescent="0.2">
      <c r="A211" s="11"/>
      <c r="B211" s="11"/>
      <c r="C211" s="11"/>
      <c r="D211" s="11"/>
      <c r="E211" s="11"/>
      <c r="F211" s="11"/>
      <c r="G211" s="11"/>
      <c r="H211" s="12"/>
      <c r="I211" s="12"/>
      <c r="J211" s="11"/>
      <c r="K211" s="11"/>
      <c r="L211" s="9"/>
    </row>
    <row r="212" spans="1:26" s="5" customFormat="1" ht="26.1" customHeight="1" x14ac:dyDescent="0.2">
      <c r="A212" s="11"/>
      <c r="B212" s="11"/>
      <c r="C212" s="11"/>
      <c r="D212" s="11"/>
      <c r="E212" s="11"/>
      <c r="F212" s="11"/>
      <c r="G212" s="11"/>
      <c r="H212" s="12"/>
      <c r="I212" s="12"/>
      <c r="J212" s="11"/>
      <c r="K212" s="11"/>
      <c r="L212" s="9"/>
    </row>
    <row r="213" spans="1:26" s="5" customFormat="1" ht="26.1" customHeight="1" x14ac:dyDescent="0.2">
      <c r="A213" s="11"/>
      <c r="B213" s="11"/>
      <c r="C213" s="11"/>
      <c r="D213" s="11"/>
      <c r="E213" s="11"/>
      <c r="F213" s="11"/>
      <c r="G213" s="11"/>
      <c r="H213" s="12"/>
      <c r="I213" s="12"/>
      <c r="J213" s="11"/>
      <c r="K213" s="11"/>
      <c r="L213" s="9"/>
    </row>
    <row r="214" spans="1:26" s="5" customFormat="1" ht="26.1" customHeight="1" x14ac:dyDescent="0.2">
      <c r="A214" s="11"/>
      <c r="B214" s="11"/>
      <c r="C214" s="11"/>
      <c r="D214" s="11"/>
      <c r="E214" s="11"/>
      <c r="F214" s="11"/>
      <c r="G214" s="11"/>
      <c r="H214" s="12"/>
      <c r="I214" s="12"/>
      <c r="J214" s="11"/>
      <c r="K214" s="11"/>
      <c r="L214" s="9"/>
    </row>
    <row r="215" spans="1:26" s="5" customFormat="1" x14ac:dyDescent="0.2"/>
    <row r="216" spans="1:26" s="5" customFormat="1" ht="21.75" customHeight="1" x14ac:dyDescent="0.2">
      <c r="A216" s="3" t="s">
        <v>29</v>
      </c>
      <c r="B216" s="3"/>
      <c r="E216" s="19" t="s">
        <v>30</v>
      </c>
      <c r="F216" s="3"/>
      <c r="G216" s="3"/>
      <c r="I216" s="3" t="s">
        <v>27</v>
      </c>
      <c r="J216" s="3"/>
      <c r="K216" s="3"/>
      <c r="S216" s="13"/>
      <c r="W216" s="13"/>
      <c r="X216" s="3"/>
      <c r="Y216" s="3"/>
    </row>
    <row r="217" spans="1:26" ht="21" customHeight="1" x14ac:dyDescent="0.25">
      <c r="A217" s="3"/>
      <c r="B217" s="3"/>
      <c r="C217" s="5"/>
      <c r="D217" s="3"/>
      <c r="E217" s="20"/>
      <c r="F217" s="3"/>
      <c r="G217" s="3"/>
      <c r="H217" s="5"/>
      <c r="I217" s="3"/>
      <c r="J217" s="3"/>
      <c r="K217" s="3"/>
      <c r="L217" s="5"/>
      <c r="N217" s="2"/>
      <c r="O217" s="2"/>
      <c r="P217" s="52"/>
      <c r="Q217" s="53"/>
      <c r="X217" s="2"/>
      <c r="Y217" s="2"/>
      <c r="Z217" s="2"/>
    </row>
    <row r="218" spans="1:26" ht="21" customHeight="1" x14ac:dyDescent="0.25">
      <c r="A218" s="3"/>
      <c r="B218" s="2"/>
      <c r="D218" s="2"/>
      <c r="E218" s="21"/>
      <c r="F218" s="2"/>
      <c r="G218" s="2"/>
      <c r="I218" s="2"/>
      <c r="J218" s="2"/>
      <c r="K218" s="2"/>
      <c r="O218" s="2"/>
      <c r="Q218" s="4"/>
      <c r="S218" s="2"/>
      <c r="X218" s="2"/>
      <c r="Y218" s="2"/>
      <c r="Z218" s="2"/>
    </row>
    <row r="219" spans="1:26" s="5" customFormat="1" ht="21" customHeight="1" x14ac:dyDescent="0.2">
      <c r="A219" s="6" t="str">
        <f>A33</f>
        <v>MR. JOHNNY U. GALENG</v>
      </c>
      <c r="B219" s="6"/>
      <c r="C219" s="6" t="str">
        <f>C33</f>
        <v>MR. JOHN XERCES C. ANTIPUESTO</v>
      </c>
      <c r="E219" s="22" t="s">
        <v>31</v>
      </c>
      <c r="F219" s="6"/>
      <c r="G219" s="6"/>
      <c r="I219" s="6" t="str">
        <f>I33</f>
        <v>ENGR. EDWIN B. BATAL</v>
      </c>
      <c r="J219" s="6"/>
      <c r="K219" s="6"/>
      <c r="O219" s="3"/>
      <c r="Q219" s="14"/>
    </row>
    <row r="220" spans="1:26" s="5" customFormat="1" ht="21" customHeight="1" x14ac:dyDescent="0.2">
      <c r="A220" s="3" t="s">
        <v>38</v>
      </c>
      <c r="B220" s="3"/>
      <c r="C220" s="3" t="s">
        <v>40</v>
      </c>
      <c r="D220" s="3"/>
      <c r="E220" s="19" t="s">
        <v>35</v>
      </c>
      <c r="F220" s="3"/>
      <c r="G220" s="3"/>
      <c r="I220" s="3" t="str">
        <f>I34</f>
        <v>Mine Explosives Asst. Manager</v>
      </c>
      <c r="J220" s="3"/>
      <c r="K220" s="3"/>
      <c r="O220" s="3"/>
      <c r="Q220" s="14"/>
    </row>
    <row r="221" spans="1:26" s="5" customFormat="1" ht="23.25" customHeight="1" x14ac:dyDescent="0.2">
      <c r="A221" s="3" t="s">
        <v>32</v>
      </c>
      <c r="B221" s="3"/>
      <c r="C221" s="3" t="s">
        <v>33</v>
      </c>
      <c r="D221" s="3"/>
      <c r="E221" s="19" t="s">
        <v>34</v>
      </c>
      <c r="F221" s="3"/>
      <c r="G221" s="3"/>
      <c r="I221" s="19"/>
      <c r="J221" s="3"/>
      <c r="O221" s="3"/>
      <c r="Q221" s="14"/>
    </row>
    <row r="222" spans="1:26" s="5" customFormat="1" ht="9.75" customHeight="1" x14ac:dyDescent="0.2">
      <c r="A222" s="3"/>
      <c r="B222" s="3"/>
      <c r="C222" s="3"/>
      <c r="D222" s="3"/>
      <c r="E222" s="19"/>
      <c r="F222" s="3"/>
      <c r="G222" s="3"/>
      <c r="I222" s="19"/>
      <c r="J222" s="3"/>
      <c r="O222" s="3"/>
      <c r="Q222" s="14"/>
    </row>
    <row r="223" spans="1:26" s="5" customFormat="1" ht="19.5" customHeight="1" x14ac:dyDescent="0.2">
      <c r="A223" s="3"/>
      <c r="B223" s="3"/>
      <c r="C223" s="3"/>
      <c r="D223" s="3"/>
      <c r="E223" s="19"/>
      <c r="F223" s="3"/>
      <c r="G223" s="3"/>
      <c r="I223" s="19"/>
      <c r="J223" s="3"/>
      <c r="O223" s="3"/>
      <c r="Q223" s="14"/>
    </row>
    <row r="224" spans="1:26" ht="11.25" customHeight="1" x14ac:dyDescent="0.25"/>
    <row r="230" spans="1:13" ht="20.25" customHeight="1" x14ac:dyDescent="0.25"/>
    <row r="232" spans="1:13" s="5" customFormat="1" ht="20.100000000000001" customHeight="1" x14ac:dyDescent="0.2">
      <c r="A232" s="49" t="s">
        <v>2</v>
      </c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</row>
    <row r="233" spans="1:13" s="5" customFormat="1" ht="20.100000000000001" customHeight="1" x14ac:dyDescent="0.2">
      <c r="A233" s="49" t="s">
        <v>3</v>
      </c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</row>
    <row r="234" spans="1:13" s="5" customFormat="1" ht="20.100000000000001" customHeight="1" x14ac:dyDescent="0.2">
      <c r="A234" s="49" t="str">
        <f>A11</f>
        <v>Period Covered : JUNE 1-7, 2026</v>
      </c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</row>
    <row r="235" spans="1:13" s="5" customFormat="1" ht="20.100000000000001" customHeight="1" x14ac:dyDescent="0.2"/>
    <row r="236" spans="1:13" s="5" customFormat="1" ht="20.100000000000001" customHeight="1" x14ac:dyDescent="0.2">
      <c r="A236" s="5" t="s">
        <v>4</v>
      </c>
      <c r="B236" s="50" t="s">
        <v>0</v>
      </c>
      <c r="C236" s="50"/>
      <c r="D236" s="50"/>
    </row>
    <row r="237" spans="1:13" s="5" customFormat="1" ht="20.100000000000001" customHeight="1" x14ac:dyDescent="0.2">
      <c r="A237" s="5" t="s">
        <v>5</v>
      </c>
      <c r="B237" s="51" t="s">
        <v>24</v>
      </c>
      <c r="C237" s="51"/>
      <c r="D237" s="51"/>
    </row>
    <row r="238" spans="1:13" s="5" customFormat="1" ht="6" customHeight="1" x14ac:dyDescent="0.2"/>
    <row r="239" spans="1:13" s="5" customFormat="1" ht="39.75" customHeight="1" x14ac:dyDescent="0.2">
      <c r="A239" s="7" t="s">
        <v>6</v>
      </c>
      <c r="B239" s="7" t="s">
        <v>7</v>
      </c>
      <c r="C239" s="7" t="s">
        <v>8</v>
      </c>
      <c r="D239" s="7" t="s">
        <v>9</v>
      </c>
      <c r="E239" s="8" t="s">
        <v>10</v>
      </c>
      <c r="F239" s="8" t="s">
        <v>10</v>
      </c>
      <c r="G239" s="8" t="s">
        <v>10</v>
      </c>
      <c r="H239" s="8" t="s">
        <v>11</v>
      </c>
      <c r="I239" s="7" t="s">
        <v>12</v>
      </c>
      <c r="J239" s="7"/>
      <c r="K239" s="7"/>
      <c r="L239" s="7" t="s">
        <v>13</v>
      </c>
    </row>
    <row r="240" spans="1:13" s="5" customFormat="1" ht="39.75" customHeight="1" x14ac:dyDescent="0.2">
      <c r="A240" s="10" t="s">
        <v>22</v>
      </c>
      <c r="B240" s="9" t="s">
        <v>1</v>
      </c>
      <c r="C240" s="15"/>
      <c r="D240" s="16"/>
      <c r="E240" s="15"/>
      <c r="F240" s="11"/>
      <c r="G240" s="11"/>
      <c r="H240" s="12"/>
      <c r="I240" s="12">
        <v>1111</v>
      </c>
      <c r="J240" s="11"/>
      <c r="K240" s="11"/>
      <c r="L240" s="9" t="s">
        <v>25</v>
      </c>
    </row>
    <row r="241" spans="1:26" s="5" customFormat="1" ht="26.1" customHeight="1" x14ac:dyDescent="0.2">
      <c r="A241" s="11"/>
      <c r="B241" s="11"/>
      <c r="C241" s="30"/>
      <c r="D241" s="11"/>
      <c r="E241" s="11"/>
      <c r="F241" s="11"/>
      <c r="G241" s="11"/>
      <c r="H241" s="12"/>
      <c r="I241" s="23">
        <f>I240</f>
        <v>1111</v>
      </c>
      <c r="J241" s="24"/>
      <c r="K241" s="24"/>
      <c r="L241" s="36" t="s">
        <v>26</v>
      </c>
      <c r="M241" s="17"/>
    </row>
    <row r="242" spans="1:26" s="5" customFormat="1" ht="26.1" customHeight="1" x14ac:dyDescent="0.2">
      <c r="A242" s="11"/>
      <c r="B242" s="11"/>
      <c r="C242" s="11"/>
      <c r="D242" s="11"/>
      <c r="E242" s="11"/>
      <c r="F242" s="11"/>
      <c r="G242" s="11"/>
      <c r="H242" s="12"/>
      <c r="I242" s="26"/>
      <c r="J242" s="27"/>
      <c r="K242" s="27"/>
      <c r="L242" s="28"/>
    </row>
    <row r="243" spans="1:26" s="5" customFormat="1" ht="26.1" customHeight="1" x14ac:dyDescent="0.2">
      <c r="A243" s="11"/>
      <c r="B243" s="11"/>
      <c r="C243" s="11"/>
      <c r="D243" s="11"/>
      <c r="E243" s="29"/>
      <c r="F243" s="11"/>
      <c r="G243" s="11"/>
      <c r="H243" s="12"/>
      <c r="I243" s="26"/>
      <c r="J243" s="27"/>
      <c r="K243" s="27"/>
      <c r="L243" s="28"/>
    </row>
    <row r="244" spans="1:26" s="5" customFormat="1" ht="26.1" customHeight="1" x14ac:dyDescent="0.2">
      <c r="A244" s="11"/>
      <c r="B244" s="11"/>
      <c r="C244" s="11"/>
      <c r="D244" s="11"/>
      <c r="E244" s="29"/>
      <c r="F244" s="11"/>
      <c r="G244" s="11"/>
      <c r="H244" s="12"/>
      <c r="I244" s="26"/>
      <c r="J244" s="27"/>
      <c r="K244" s="27"/>
      <c r="L244" s="28"/>
    </row>
    <row r="245" spans="1:26" s="5" customFormat="1" ht="26.1" customHeight="1" x14ac:dyDescent="0.2">
      <c r="A245" s="11"/>
      <c r="B245" s="11"/>
      <c r="C245" s="11"/>
      <c r="D245" s="11"/>
      <c r="E245" s="11"/>
      <c r="F245" s="11"/>
      <c r="G245" s="11"/>
      <c r="H245" s="12"/>
      <c r="I245" s="12"/>
      <c r="J245" s="11"/>
      <c r="K245" s="11"/>
      <c r="L245" s="9"/>
    </row>
    <row r="246" spans="1:26" s="5" customFormat="1" ht="26.1" customHeight="1" x14ac:dyDescent="0.2">
      <c r="A246" s="11"/>
      <c r="B246" s="11"/>
      <c r="C246" s="15"/>
      <c r="D246" s="11"/>
      <c r="E246" s="15"/>
      <c r="F246" s="11"/>
      <c r="G246" s="11"/>
      <c r="H246" s="12"/>
      <c r="I246" s="12"/>
      <c r="J246" s="11"/>
      <c r="K246" s="11"/>
      <c r="L246" s="9"/>
      <c r="O246" s="17"/>
    </row>
    <row r="247" spans="1:26" s="5" customFormat="1" ht="26.1" customHeight="1" x14ac:dyDescent="0.2">
      <c r="A247" s="11"/>
      <c r="B247" s="11"/>
      <c r="C247" s="11"/>
      <c r="D247" s="11"/>
      <c r="E247" s="11"/>
      <c r="F247" s="11"/>
      <c r="G247" s="11"/>
      <c r="H247" s="12"/>
      <c r="I247" s="12"/>
      <c r="J247" s="11"/>
      <c r="K247" s="11"/>
      <c r="L247" s="9"/>
      <c r="O247" s="17"/>
    </row>
    <row r="248" spans="1:26" s="5" customFormat="1" ht="26.1" customHeight="1" x14ac:dyDescent="0.2">
      <c r="A248" s="11"/>
      <c r="B248" s="11"/>
      <c r="C248" s="11"/>
      <c r="D248" s="11"/>
      <c r="E248" s="11"/>
      <c r="F248" s="11"/>
      <c r="G248" s="11"/>
      <c r="H248" s="12"/>
      <c r="I248" s="12"/>
      <c r="J248" s="11"/>
      <c r="K248" s="11"/>
      <c r="L248" s="9"/>
    </row>
    <row r="249" spans="1:26" s="5" customFormat="1" ht="26.1" customHeight="1" x14ac:dyDescent="0.2">
      <c r="A249" s="11"/>
      <c r="B249" s="11"/>
      <c r="C249" s="11"/>
      <c r="D249" s="11"/>
      <c r="E249" s="11"/>
      <c r="F249" s="11"/>
      <c r="G249" s="11"/>
      <c r="H249" s="12"/>
      <c r="I249" s="12"/>
      <c r="J249" s="11"/>
      <c r="K249" s="11"/>
      <c r="L249" s="9"/>
    </row>
    <row r="250" spans="1:26" s="5" customFormat="1" ht="26.1" customHeight="1" x14ac:dyDescent="0.2">
      <c r="A250" s="11"/>
      <c r="B250" s="11"/>
      <c r="C250" s="11"/>
      <c r="D250" s="11"/>
      <c r="E250" s="11"/>
      <c r="F250" s="11"/>
      <c r="G250" s="11"/>
      <c r="H250" s="12"/>
      <c r="I250" s="12"/>
      <c r="J250" s="11"/>
      <c r="K250" s="11"/>
      <c r="L250" s="9"/>
    </row>
    <row r="251" spans="1:26" s="5" customFormat="1" x14ac:dyDescent="0.2"/>
    <row r="252" spans="1:26" s="5" customFormat="1" ht="21.75" customHeight="1" x14ac:dyDescent="0.2">
      <c r="A252" s="3" t="s">
        <v>29</v>
      </c>
      <c r="B252" s="3"/>
      <c r="E252" s="19" t="s">
        <v>30</v>
      </c>
      <c r="F252" s="3"/>
      <c r="G252" s="3"/>
      <c r="I252" s="3" t="s">
        <v>27</v>
      </c>
      <c r="J252" s="3"/>
      <c r="K252" s="3"/>
      <c r="S252" s="13"/>
      <c r="W252" s="13"/>
      <c r="X252" s="3"/>
      <c r="Y252" s="3"/>
    </row>
    <row r="253" spans="1:26" ht="21" customHeight="1" x14ac:dyDescent="0.25">
      <c r="A253" s="3"/>
      <c r="B253" s="3"/>
      <c r="C253" s="5"/>
      <c r="D253" s="3"/>
      <c r="E253" s="20"/>
      <c r="F253" s="3"/>
      <c r="G253" s="3"/>
      <c r="H253" s="5"/>
      <c r="I253" s="3"/>
      <c r="J253" s="3"/>
      <c r="K253" s="3"/>
      <c r="L253" s="5"/>
      <c r="N253" s="2"/>
      <c r="O253" s="2"/>
      <c r="P253" s="52"/>
      <c r="Q253" s="53"/>
      <c r="X253" s="2"/>
      <c r="Y253" s="2"/>
      <c r="Z253" s="2"/>
    </row>
    <row r="254" spans="1:26" ht="21" customHeight="1" x14ac:dyDescent="0.25">
      <c r="A254" s="3"/>
      <c r="B254" s="2"/>
      <c r="D254" s="2"/>
      <c r="E254" s="21"/>
      <c r="F254" s="2"/>
      <c r="G254" s="2"/>
      <c r="I254" s="2"/>
      <c r="J254" s="2"/>
      <c r="K254" s="2"/>
      <c r="O254" s="2"/>
      <c r="Q254" s="4"/>
      <c r="S254" s="2"/>
      <c r="X254" s="2"/>
      <c r="Y254" s="2"/>
      <c r="Z254" s="2"/>
    </row>
    <row r="255" spans="1:26" s="5" customFormat="1" ht="21" customHeight="1" x14ac:dyDescent="0.2">
      <c r="A255" s="6" t="str">
        <f>A33</f>
        <v>MR. JOHNNY U. GALENG</v>
      </c>
      <c r="B255" s="6"/>
      <c r="C255" s="6" t="str">
        <f>C33</f>
        <v>MR. JOHN XERCES C. ANTIPUESTO</v>
      </c>
      <c r="E255" s="22" t="s">
        <v>31</v>
      </c>
      <c r="F255" s="6"/>
      <c r="G255" s="6"/>
      <c r="I255" s="6" t="str">
        <f>I33</f>
        <v>ENGR. EDWIN B. BATAL</v>
      </c>
      <c r="J255" s="6"/>
      <c r="K255" s="6"/>
      <c r="O255" s="3"/>
      <c r="Q255" s="14"/>
    </row>
    <row r="256" spans="1:26" s="5" customFormat="1" ht="21" customHeight="1" x14ac:dyDescent="0.2">
      <c r="A256" s="3" t="s">
        <v>38</v>
      </c>
      <c r="B256" s="3"/>
      <c r="C256" s="3" t="s">
        <v>40</v>
      </c>
      <c r="D256" s="3"/>
      <c r="E256" s="19" t="s">
        <v>35</v>
      </c>
      <c r="F256" s="3"/>
      <c r="G256" s="3"/>
      <c r="I256" s="3" t="str">
        <f>I34</f>
        <v>Mine Explosives Asst. Manager</v>
      </c>
      <c r="J256" s="3"/>
      <c r="K256" s="3"/>
      <c r="O256" s="3"/>
      <c r="Q256" s="14"/>
    </row>
    <row r="257" spans="1:17" s="5" customFormat="1" ht="21" customHeight="1" x14ac:dyDescent="0.2">
      <c r="A257" s="3" t="s">
        <v>32</v>
      </c>
      <c r="B257" s="3"/>
      <c r="C257" s="3" t="s">
        <v>33</v>
      </c>
      <c r="D257" s="3"/>
      <c r="E257" s="19" t="s">
        <v>34</v>
      </c>
      <c r="F257" s="3"/>
      <c r="G257" s="3"/>
      <c r="I257" s="19"/>
      <c r="J257" s="3"/>
      <c r="O257" s="3"/>
      <c r="Q257" s="14"/>
    </row>
    <row r="258" spans="1:17" s="5" customFormat="1" ht="12" customHeight="1" x14ac:dyDescent="0.2">
      <c r="A258" s="3"/>
      <c r="B258" s="3"/>
      <c r="C258" s="3"/>
      <c r="D258" s="3"/>
      <c r="E258" s="19"/>
      <c r="F258" s="3"/>
      <c r="G258" s="3"/>
      <c r="I258" s="19"/>
      <c r="J258" s="3"/>
      <c r="O258" s="3"/>
      <c r="Q258" s="14"/>
    </row>
    <row r="259" spans="1:17" ht="26.25" customHeight="1" x14ac:dyDescent="0.25"/>
    <row r="265" spans="1:17" ht="20.25" customHeight="1" x14ac:dyDescent="0.25"/>
    <row r="267" spans="1:17" s="5" customFormat="1" ht="20.100000000000001" customHeight="1" x14ac:dyDescent="0.2">
      <c r="A267" s="49" t="s">
        <v>2</v>
      </c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</row>
    <row r="268" spans="1:17" s="5" customFormat="1" ht="20.100000000000001" customHeight="1" x14ac:dyDescent="0.2">
      <c r="A268" s="49" t="s">
        <v>3</v>
      </c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</row>
    <row r="269" spans="1:17" s="5" customFormat="1" ht="20.100000000000001" customHeight="1" x14ac:dyDescent="0.2">
      <c r="A269" s="49" t="str">
        <f>A11</f>
        <v>Period Covered : JUNE 1-7, 2026</v>
      </c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</row>
    <row r="270" spans="1:17" s="5" customFormat="1" ht="20.100000000000001" customHeight="1" x14ac:dyDescent="0.2"/>
    <row r="271" spans="1:17" s="5" customFormat="1" ht="20.100000000000001" customHeight="1" x14ac:dyDescent="0.2">
      <c r="A271" s="5" t="s">
        <v>4</v>
      </c>
      <c r="B271" s="50" t="s">
        <v>0</v>
      </c>
      <c r="C271" s="50"/>
      <c r="D271" s="50"/>
    </row>
    <row r="272" spans="1:17" s="5" customFormat="1" ht="20.100000000000001" customHeight="1" x14ac:dyDescent="0.2">
      <c r="A272" s="5" t="s">
        <v>5</v>
      </c>
      <c r="B272" s="51" t="s">
        <v>24</v>
      </c>
      <c r="C272" s="51"/>
      <c r="D272" s="51"/>
    </row>
    <row r="273" spans="1:25" s="5" customFormat="1" ht="6" customHeight="1" x14ac:dyDescent="0.2"/>
    <row r="274" spans="1:25" s="5" customFormat="1" ht="39.75" customHeight="1" x14ac:dyDescent="0.2">
      <c r="A274" s="7" t="s">
        <v>6</v>
      </c>
      <c r="B274" s="7" t="s">
        <v>7</v>
      </c>
      <c r="C274" s="7" t="s">
        <v>8</v>
      </c>
      <c r="D274" s="7" t="s">
        <v>9</v>
      </c>
      <c r="E274" s="8" t="s">
        <v>10</v>
      </c>
      <c r="F274" s="8" t="s">
        <v>10</v>
      </c>
      <c r="G274" s="8" t="s">
        <v>10</v>
      </c>
      <c r="H274" s="8" t="s">
        <v>11</v>
      </c>
      <c r="I274" s="7" t="s">
        <v>12</v>
      </c>
      <c r="J274" s="7"/>
      <c r="K274" s="7"/>
      <c r="L274" s="7" t="s">
        <v>13</v>
      </c>
    </row>
    <row r="275" spans="1:25" s="5" customFormat="1" ht="39.75" customHeight="1" x14ac:dyDescent="0.2">
      <c r="A275" s="10" t="s">
        <v>36</v>
      </c>
      <c r="B275" s="9" t="s">
        <v>1</v>
      </c>
      <c r="C275" s="15"/>
      <c r="D275" s="16"/>
      <c r="E275" s="15"/>
      <c r="F275" s="11"/>
      <c r="G275" s="11"/>
      <c r="H275" s="12"/>
      <c r="I275" s="12">
        <v>18796</v>
      </c>
      <c r="J275" s="11"/>
      <c r="K275" s="11"/>
      <c r="L275" s="9" t="s">
        <v>25</v>
      </c>
    </row>
    <row r="276" spans="1:25" s="5" customFormat="1" ht="26.1" customHeight="1" x14ac:dyDescent="0.2">
      <c r="A276" s="11"/>
      <c r="B276" s="11"/>
      <c r="C276" s="15"/>
      <c r="D276" s="38"/>
      <c r="E276" s="15"/>
      <c r="F276" s="11"/>
      <c r="G276" s="11"/>
      <c r="H276" s="33"/>
      <c r="I276" s="34">
        <f>I275+D276</f>
        <v>18796</v>
      </c>
      <c r="J276" s="24"/>
      <c r="K276" s="24"/>
      <c r="L276" s="9" t="s">
        <v>46</v>
      </c>
      <c r="M276" s="17"/>
      <c r="Q276" s="17">
        <f>7500+3300</f>
        <v>10800</v>
      </c>
    </row>
    <row r="277" spans="1:25" s="5" customFormat="1" ht="26.1" customHeight="1" x14ac:dyDescent="0.2">
      <c r="A277" s="11"/>
      <c r="B277" s="11"/>
      <c r="C277" s="15"/>
      <c r="D277" s="38"/>
      <c r="E277" s="15">
        <v>46179</v>
      </c>
      <c r="F277" s="11"/>
      <c r="G277" s="11"/>
      <c r="H277" s="33">
        <v>10800</v>
      </c>
      <c r="I277" s="34">
        <f>I276-H277</f>
        <v>7996</v>
      </c>
      <c r="J277" s="24"/>
      <c r="K277" s="24"/>
      <c r="L277" s="9" t="s">
        <v>45</v>
      </c>
      <c r="M277" s="17"/>
    </row>
    <row r="278" spans="1:25" s="5" customFormat="1" ht="26.1" customHeight="1" x14ac:dyDescent="0.2">
      <c r="A278" s="11"/>
      <c r="B278" s="11"/>
      <c r="C278" s="11"/>
      <c r="D278" s="11"/>
      <c r="E278" s="15"/>
      <c r="F278" s="11"/>
      <c r="G278" s="11"/>
      <c r="H278" s="33"/>
      <c r="I278" s="35">
        <f>I277</f>
        <v>7996</v>
      </c>
      <c r="J278" s="24"/>
      <c r="K278" s="24"/>
      <c r="L278" s="36" t="s">
        <v>26</v>
      </c>
      <c r="M278" s="17"/>
    </row>
    <row r="279" spans="1:25" s="5" customFormat="1" ht="26.1" customHeight="1" x14ac:dyDescent="0.2">
      <c r="A279" s="11"/>
      <c r="B279" s="11"/>
      <c r="C279" s="11"/>
      <c r="D279" s="11"/>
      <c r="E279" s="11"/>
      <c r="F279" s="11"/>
      <c r="G279" s="11"/>
      <c r="H279" s="33"/>
      <c r="I279" s="34"/>
      <c r="J279" s="46"/>
      <c r="K279" s="46"/>
      <c r="L279" s="47"/>
      <c r="M279" s="17"/>
      <c r="Q279" s="17"/>
    </row>
    <row r="280" spans="1:25" s="5" customFormat="1" ht="26.1" customHeight="1" x14ac:dyDescent="0.2">
      <c r="A280" s="11"/>
      <c r="B280" s="11"/>
      <c r="C280" s="11"/>
      <c r="D280" s="11"/>
      <c r="E280" s="37"/>
      <c r="F280" s="11"/>
      <c r="G280" s="11"/>
      <c r="H280" s="33"/>
      <c r="I280" s="34"/>
      <c r="J280" s="11"/>
      <c r="K280" s="11"/>
      <c r="L280" s="9"/>
      <c r="M280" s="17"/>
    </row>
    <row r="281" spans="1:25" s="5" customFormat="1" ht="26.1" customHeight="1" x14ac:dyDescent="0.2">
      <c r="A281" s="11"/>
      <c r="B281" s="11"/>
      <c r="C281" s="11"/>
      <c r="D281" s="11"/>
      <c r="E281" s="37"/>
      <c r="F281" s="11"/>
      <c r="G281" s="11"/>
      <c r="H281" s="33" t="s">
        <v>42</v>
      </c>
      <c r="I281" s="33"/>
      <c r="J281" s="11"/>
      <c r="K281" s="11"/>
      <c r="L281" s="9"/>
      <c r="M281" s="17"/>
    </row>
    <row r="282" spans="1:25" s="5" customFormat="1" ht="26.1" customHeight="1" x14ac:dyDescent="0.2">
      <c r="A282" s="11"/>
      <c r="B282" s="11"/>
      <c r="C282" s="11"/>
      <c r="D282" s="11"/>
      <c r="E282" s="11"/>
      <c r="F282" s="11"/>
      <c r="G282" s="11"/>
      <c r="H282" s="33"/>
      <c r="I282" s="33"/>
      <c r="J282" s="11"/>
      <c r="K282" s="11"/>
      <c r="L282" s="9"/>
      <c r="O282" s="17"/>
    </row>
    <row r="283" spans="1:25" s="5" customFormat="1" ht="26.1" customHeight="1" x14ac:dyDescent="0.2">
      <c r="A283" s="11"/>
      <c r="B283" s="11"/>
      <c r="C283" s="11"/>
      <c r="D283" s="11"/>
      <c r="E283" s="11"/>
      <c r="F283" s="11"/>
      <c r="G283" s="11"/>
      <c r="H283" s="12"/>
      <c r="I283" s="12"/>
      <c r="J283" s="11"/>
      <c r="K283" s="11"/>
      <c r="L283" s="9"/>
    </row>
    <row r="284" spans="1:25" s="5" customFormat="1" ht="26.1" customHeight="1" x14ac:dyDescent="0.2">
      <c r="A284" s="11"/>
      <c r="B284" s="11"/>
      <c r="C284" s="11"/>
      <c r="D284" s="11"/>
      <c r="E284" s="11"/>
      <c r="F284" s="11"/>
      <c r="G284" s="11"/>
      <c r="H284" s="12"/>
      <c r="I284" s="12"/>
      <c r="J284" s="11"/>
      <c r="K284" s="11"/>
      <c r="L284" s="9"/>
      <c r="O284" s="17"/>
    </row>
    <row r="285" spans="1:25" s="5" customFormat="1" ht="26.1" customHeight="1" x14ac:dyDescent="0.2">
      <c r="A285" s="11"/>
      <c r="B285" s="11"/>
      <c r="C285" s="11"/>
      <c r="D285" s="11"/>
      <c r="E285" s="11"/>
      <c r="F285" s="11"/>
      <c r="G285" s="11"/>
      <c r="H285" s="12"/>
      <c r="I285" s="12"/>
      <c r="J285" s="11"/>
      <c r="K285" s="11"/>
      <c r="L285" s="9"/>
      <c r="Q285" s="17"/>
    </row>
    <row r="286" spans="1:25" s="5" customFormat="1" ht="26.1" customHeight="1" x14ac:dyDescent="0.2">
      <c r="A286" s="11"/>
      <c r="B286" s="11"/>
      <c r="C286" s="11"/>
      <c r="D286" s="11"/>
      <c r="E286" s="11"/>
      <c r="F286" s="11"/>
      <c r="G286" s="11"/>
      <c r="H286" s="12"/>
      <c r="I286" s="12"/>
      <c r="J286" s="11"/>
      <c r="K286" s="11"/>
      <c r="L286" s="9"/>
    </row>
    <row r="287" spans="1:25" s="5" customFormat="1" x14ac:dyDescent="0.2"/>
    <row r="288" spans="1:25" s="5" customFormat="1" ht="21.75" customHeight="1" x14ac:dyDescent="0.2">
      <c r="A288" s="3" t="s">
        <v>29</v>
      </c>
      <c r="B288" s="3"/>
      <c r="E288" s="19" t="s">
        <v>30</v>
      </c>
      <c r="F288" s="3"/>
      <c r="G288" s="3"/>
      <c r="I288" s="3" t="s">
        <v>27</v>
      </c>
      <c r="J288" s="3"/>
      <c r="K288" s="3"/>
      <c r="S288" s="13"/>
      <c r="W288" s="13"/>
      <c r="X288" s="3"/>
      <c r="Y288" s="3"/>
    </row>
    <row r="289" spans="1:26" ht="21" customHeight="1" x14ac:dyDescent="0.25">
      <c r="A289" s="3"/>
      <c r="B289" s="3"/>
      <c r="C289" s="5"/>
      <c r="D289" s="3"/>
      <c r="E289" s="20"/>
      <c r="F289" s="3"/>
      <c r="G289" s="3"/>
      <c r="H289" s="5"/>
      <c r="I289" s="3"/>
      <c r="J289" s="3"/>
      <c r="K289" s="3"/>
      <c r="L289" s="5"/>
      <c r="N289" s="2"/>
      <c r="O289" s="2"/>
      <c r="P289" s="52"/>
      <c r="Q289" s="53"/>
      <c r="X289" s="2"/>
      <c r="Y289" s="2"/>
      <c r="Z289" s="2"/>
    </row>
    <row r="290" spans="1:26" ht="21" customHeight="1" x14ac:dyDescent="0.25">
      <c r="A290" s="3"/>
      <c r="B290" s="2"/>
      <c r="D290" s="2"/>
      <c r="E290" s="21"/>
      <c r="F290" s="2"/>
      <c r="G290" s="2"/>
      <c r="I290" s="2"/>
      <c r="J290" s="2"/>
      <c r="K290" s="2"/>
      <c r="O290" s="2"/>
      <c r="Q290" s="4"/>
      <c r="S290" s="2"/>
      <c r="X290" s="2"/>
      <c r="Y290" s="2"/>
      <c r="Z290" s="2"/>
    </row>
    <row r="291" spans="1:26" s="5" customFormat="1" ht="21" customHeight="1" x14ac:dyDescent="0.2">
      <c r="A291" s="6" t="str">
        <f>A33</f>
        <v>MR. JOHNNY U. GALENG</v>
      </c>
      <c r="B291" s="6"/>
      <c r="C291" s="6" t="str">
        <f>C33</f>
        <v>MR. JOHN XERCES C. ANTIPUESTO</v>
      </c>
      <c r="E291" s="22" t="s">
        <v>31</v>
      </c>
      <c r="F291" s="6"/>
      <c r="G291" s="6"/>
      <c r="I291" s="6" t="str">
        <f>I33</f>
        <v>ENGR. EDWIN B. BATAL</v>
      </c>
      <c r="J291" s="6"/>
      <c r="K291" s="6"/>
      <c r="O291" s="3"/>
      <c r="Q291" s="14"/>
    </row>
    <row r="292" spans="1:26" s="5" customFormat="1" ht="21" customHeight="1" x14ac:dyDescent="0.2">
      <c r="A292" s="3" t="s">
        <v>38</v>
      </c>
      <c r="B292" s="3"/>
      <c r="C292" s="3" t="s">
        <v>40</v>
      </c>
      <c r="D292" s="3"/>
      <c r="E292" s="19" t="s">
        <v>35</v>
      </c>
      <c r="F292" s="3"/>
      <c r="G292" s="3"/>
      <c r="I292" s="3" t="str">
        <f>I34</f>
        <v>Mine Explosives Asst. Manager</v>
      </c>
      <c r="J292" s="3"/>
      <c r="K292" s="3"/>
      <c r="O292" s="3"/>
      <c r="Q292" s="14"/>
    </row>
    <row r="293" spans="1:26" s="5" customFormat="1" ht="21" customHeight="1" x14ac:dyDescent="0.2">
      <c r="A293" s="3" t="s">
        <v>32</v>
      </c>
      <c r="B293" s="3"/>
      <c r="C293" s="3" t="s">
        <v>33</v>
      </c>
      <c r="D293" s="3"/>
      <c r="E293" s="19" t="s">
        <v>34</v>
      </c>
      <c r="F293" s="3"/>
      <c r="G293" s="3"/>
      <c r="I293" s="19"/>
      <c r="J293" s="3"/>
      <c r="O293" s="3"/>
      <c r="Q293" s="14"/>
    </row>
    <row r="294" spans="1:26" s="5" customFormat="1" ht="21" customHeight="1" x14ac:dyDescent="0.2">
      <c r="A294" s="3"/>
      <c r="B294" s="3"/>
      <c r="C294" s="3"/>
      <c r="D294" s="3"/>
      <c r="E294" s="19"/>
      <c r="F294" s="3"/>
      <c r="G294" s="3"/>
      <c r="I294" s="19"/>
      <c r="J294" s="3"/>
      <c r="O294" s="3"/>
      <c r="Q294" s="14"/>
    </row>
    <row r="295" spans="1:26" ht="12" customHeight="1" x14ac:dyDescent="0.25"/>
    <row r="296" spans="1:26" ht="9.75" customHeight="1" x14ac:dyDescent="0.25"/>
    <row r="302" spans="1:26" ht="20.25" customHeight="1" x14ac:dyDescent="0.25"/>
    <row r="304" spans="1:26" s="5" customFormat="1" ht="20.100000000000001" customHeight="1" x14ac:dyDescent="0.2">
      <c r="A304" s="49" t="s">
        <v>2</v>
      </c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</row>
    <row r="305" spans="1:15" s="5" customFormat="1" ht="20.100000000000001" customHeight="1" x14ac:dyDescent="0.2">
      <c r="A305" s="49" t="s">
        <v>3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</row>
    <row r="306" spans="1:15" s="5" customFormat="1" ht="20.100000000000001" customHeight="1" x14ac:dyDescent="0.2">
      <c r="A306" s="49" t="str">
        <f>A11</f>
        <v>Period Covered : JUNE 1-7, 2026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</row>
    <row r="307" spans="1:15" s="5" customFormat="1" ht="20.100000000000001" customHeight="1" x14ac:dyDescent="0.2"/>
    <row r="308" spans="1:15" s="5" customFormat="1" ht="20.100000000000001" customHeight="1" x14ac:dyDescent="0.2">
      <c r="A308" s="5" t="s">
        <v>4</v>
      </c>
      <c r="B308" s="50" t="s">
        <v>0</v>
      </c>
      <c r="C308" s="50"/>
      <c r="D308" s="50"/>
    </row>
    <row r="309" spans="1:15" s="5" customFormat="1" ht="20.100000000000001" customHeight="1" x14ac:dyDescent="0.2">
      <c r="A309" s="5" t="s">
        <v>5</v>
      </c>
      <c r="B309" s="51" t="s">
        <v>24</v>
      </c>
      <c r="C309" s="51"/>
      <c r="D309" s="51"/>
    </row>
    <row r="310" spans="1:15" s="5" customFormat="1" ht="6" customHeight="1" x14ac:dyDescent="0.2"/>
    <row r="311" spans="1:15" s="5" customFormat="1" ht="39.75" customHeight="1" x14ac:dyDescent="0.2">
      <c r="A311" s="7" t="s">
        <v>6</v>
      </c>
      <c r="B311" s="7" t="s">
        <v>7</v>
      </c>
      <c r="C311" s="7" t="s">
        <v>8</v>
      </c>
      <c r="D311" s="7" t="s">
        <v>9</v>
      </c>
      <c r="E311" s="8" t="s">
        <v>10</v>
      </c>
      <c r="F311" s="8" t="s">
        <v>10</v>
      </c>
      <c r="G311" s="8" t="s">
        <v>10</v>
      </c>
      <c r="H311" s="8" t="s">
        <v>11</v>
      </c>
      <c r="I311" s="7" t="s">
        <v>12</v>
      </c>
      <c r="J311" s="7"/>
      <c r="K311" s="7"/>
      <c r="L311" s="7" t="s">
        <v>13</v>
      </c>
    </row>
    <row r="312" spans="1:15" s="5" customFormat="1" ht="39.75" customHeight="1" x14ac:dyDescent="0.2">
      <c r="A312" s="10" t="s">
        <v>19</v>
      </c>
      <c r="B312" s="9" t="s">
        <v>1</v>
      </c>
      <c r="C312" s="15"/>
      <c r="D312" s="16"/>
      <c r="E312" s="15"/>
      <c r="F312" s="11"/>
      <c r="G312" s="11"/>
      <c r="H312" s="12"/>
      <c r="I312" s="12">
        <v>16364</v>
      </c>
      <c r="J312" s="11"/>
      <c r="K312" s="11"/>
      <c r="L312" s="9" t="s">
        <v>25</v>
      </c>
    </row>
    <row r="313" spans="1:15" s="5" customFormat="1" ht="26.1" customHeight="1" x14ac:dyDescent="0.2">
      <c r="A313" s="11"/>
      <c r="B313" s="11"/>
      <c r="C313" s="11"/>
      <c r="D313" s="11"/>
      <c r="E313" s="11"/>
      <c r="F313" s="11"/>
      <c r="G313" s="11"/>
      <c r="H313" s="33"/>
      <c r="I313" s="35">
        <f>I312</f>
        <v>16364</v>
      </c>
      <c r="J313" s="24"/>
      <c r="K313" s="24"/>
      <c r="L313" s="36" t="s">
        <v>26</v>
      </c>
      <c r="M313" s="17"/>
    </row>
    <row r="314" spans="1:15" s="5" customFormat="1" ht="26.1" customHeight="1" x14ac:dyDescent="0.2">
      <c r="A314" s="11"/>
      <c r="B314" s="11"/>
      <c r="C314" s="11"/>
      <c r="D314" s="11"/>
      <c r="E314" s="11"/>
      <c r="F314" s="11"/>
      <c r="G314" s="11"/>
      <c r="H314" s="33"/>
      <c r="I314" s="33"/>
      <c r="J314" s="11"/>
      <c r="K314" s="11"/>
      <c r="L314" s="9"/>
    </row>
    <row r="315" spans="1:15" s="5" customFormat="1" ht="26.1" customHeight="1" x14ac:dyDescent="0.2">
      <c r="A315" s="11"/>
      <c r="B315" s="11"/>
      <c r="C315" s="11"/>
      <c r="D315" s="11"/>
      <c r="E315" s="11"/>
      <c r="F315" s="11"/>
      <c r="G315" s="11"/>
      <c r="H315" s="33"/>
      <c r="I315" s="33"/>
      <c r="J315" s="11"/>
      <c r="K315" s="11"/>
      <c r="L315" s="9"/>
      <c r="M315" s="17"/>
    </row>
    <row r="316" spans="1:15" s="5" customFormat="1" ht="26.1" customHeight="1" x14ac:dyDescent="0.2">
      <c r="A316" s="11"/>
      <c r="B316" s="11"/>
      <c r="C316" s="11"/>
      <c r="D316" s="11"/>
      <c r="E316" s="11"/>
      <c r="F316" s="11"/>
      <c r="G316" s="11"/>
      <c r="H316" s="33"/>
      <c r="I316" s="33"/>
      <c r="J316" s="11"/>
      <c r="K316" s="11"/>
      <c r="L316" s="9"/>
      <c r="M316" s="17"/>
    </row>
    <row r="317" spans="1:15" s="5" customFormat="1" ht="26.1" customHeight="1" x14ac:dyDescent="0.2">
      <c r="A317" s="11"/>
      <c r="B317" s="11"/>
      <c r="C317" s="11"/>
      <c r="D317" s="11"/>
      <c r="E317" s="11"/>
      <c r="F317" s="11"/>
      <c r="G317" s="11"/>
      <c r="H317" s="33"/>
      <c r="I317" s="33"/>
      <c r="J317" s="11"/>
      <c r="K317" s="11"/>
      <c r="L317" s="9"/>
      <c r="M317" s="17"/>
    </row>
    <row r="318" spans="1:15" s="5" customFormat="1" ht="26.1" customHeight="1" x14ac:dyDescent="0.2">
      <c r="A318" s="11"/>
      <c r="B318" s="11"/>
      <c r="C318" s="11"/>
      <c r="D318" s="11"/>
      <c r="E318" s="37"/>
      <c r="F318" s="11"/>
      <c r="G318" s="11"/>
      <c r="H318" s="33" t="s">
        <v>42</v>
      </c>
      <c r="I318" s="33"/>
      <c r="J318" s="11"/>
      <c r="K318" s="11"/>
      <c r="L318" s="9"/>
      <c r="O318" s="17"/>
    </row>
    <row r="319" spans="1:15" s="5" customFormat="1" ht="26.1" customHeight="1" x14ac:dyDescent="0.2">
      <c r="A319" s="11"/>
      <c r="B319" s="11"/>
      <c r="C319" s="11"/>
      <c r="D319" s="11"/>
      <c r="E319" s="11"/>
      <c r="F319" s="11"/>
      <c r="G319" s="11"/>
      <c r="H319" s="33"/>
      <c r="I319" s="33"/>
      <c r="J319" s="11"/>
      <c r="K319" s="11"/>
      <c r="L319" s="9"/>
    </row>
    <row r="320" spans="1:15" s="5" customFormat="1" ht="26.1" customHeight="1" x14ac:dyDescent="0.2">
      <c r="A320" s="11"/>
      <c r="B320" s="11"/>
      <c r="C320" s="11"/>
      <c r="D320" s="11"/>
      <c r="E320" s="11"/>
      <c r="F320" s="11"/>
      <c r="G320" s="11"/>
      <c r="H320" s="12"/>
      <c r="I320" s="12"/>
      <c r="J320" s="11"/>
      <c r="K320" s="11"/>
      <c r="L320" s="9"/>
    </row>
    <row r="321" spans="1:26" s="5" customFormat="1" ht="25.5" customHeight="1" x14ac:dyDescent="0.2">
      <c r="A321" s="11"/>
      <c r="B321" s="11"/>
      <c r="C321" s="11"/>
      <c r="D321" s="11"/>
      <c r="E321" s="11"/>
      <c r="F321" s="11"/>
      <c r="G321" s="11"/>
      <c r="H321" s="12"/>
      <c r="I321" s="12"/>
      <c r="J321" s="11"/>
      <c r="K321" s="11"/>
      <c r="L321" s="9"/>
    </row>
    <row r="322" spans="1:26" s="5" customFormat="1" ht="26.1" customHeight="1" x14ac:dyDescent="0.2">
      <c r="A322" s="11"/>
      <c r="B322" s="11"/>
      <c r="C322" s="11"/>
      <c r="D322" s="11"/>
      <c r="E322" s="11"/>
      <c r="F322" s="11"/>
      <c r="G322" s="11"/>
      <c r="H322" s="12"/>
      <c r="I322" s="12"/>
      <c r="J322" s="11"/>
      <c r="K322" s="11"/>
      <c r="L322" s="9"/>
    </row>
    <row r="323" spans="1:26" s="5" customFormat="1" ht="26.1" customHeight="1" x14ac:dyDescent="0.2">
      <c r="A323" s="11"/>
      <c r="B323" s="11"/>
      <c r="C323" s="11"/>
      <c r="D323" s="11"/>
      <c r="E323" s="11"/>
      <c r="F323" s="11"/>
      <c r="G323" s="11"/>
      <c r="H323" s="12"/>
      <c r="I323" s="12"/>
      <c r="J323" s="11"/>
      <c r="K323" s="11"/>
      <c r="L323" s="9"/>
    </row>
    <row r="324" spans="1:26" s="5" customFormat="1" x14ac:dyDescent="0.2"/>
    <row r="325" spans="1:26" s="5" customFormat="1" ht="21.75" customHeight="1" x14ac:dyDescent="0.2">
      <c r="A325" s="3" t="s">
        <v>29</v>
      </c>
      <c r="B325" s="3"/>
      <c r="E325" s="19" t="s">
        <v>30</v>
      </c>
      <c r="F325" s="3"/>
      <c r="G325" s="3"/>
      <c r="I325" s="3" t="s">
        <v>27</v>
      </c>
      <c r="J325" s="3"/>
      <c r="K325" s="3"/>
      <c r="S325" s="13"/>
      <c r="W325" s="13"/>
      <c r="X325" s="3"/>
      <c r="Y325" s="3"/>
    </row>
    <row r="326" spans="1:26" ht="21" customHeight="1" x14ac:dyDescent="0.25">
      <c r="A326" s="3"/>
      <c r="B326" s="3"/>
      <c r="C326" s="5"/>
      <c r="D326" s="3"/>
      <c r="E326" s="20"/>
      <c r="F326" s="3"/>
      <c r="G326" s="3"/>
      <c r="H326" s="5"/>
      <c r="I326" s="3"/>
      <c r="J326" s="3"/>
      <c r="K326" s="3"/>
      <c r="L326" s="5"/>
      <c r="N326" s="2"/>
      <c r="O326" s="2"/>
      <c r="P326" s="52"/>
      <c r="Q326" s="53"/>
      <c r="X326" s="2"/>
      <c r="Y326" s="2"/>
      <c r="Z326" s="2"/>
    </row>
    <row r="327" spans="1:26" ht="21" customHeight="1" x14ac:dyDescent="0.25">
      <c r="A327" s="3"/>
      <c r="B327" s="2"/>
      <c r="D327" s="2"/>
      <c r="E327" s="21"/>
      <c r="F327" s="2"/>
      <c r="G327" s="2"/>
      <c r="I327" s="2"/>
      <c r="J327" s="2"/>
      <c r="K327" s="2"/>
      <c r="O327" s="2"/>
      <c r="Q327" s="4"/>
      <c r="S327" s="2"/>
      <c r="X327" s="2"/>
      <c r="Y327" s="2"/>
      <c r="Z327" s="2"/>
    </row>
    <row r="328" spans="1:26" s="5" customFormat="1" ht="21" customHeight="1" x14ac:dyDescent="0.2">
      <c r="A328" s="6" t="str">
        <f>A33</f>
        <v>MR. JOHNNY U. GALENG</v>
      </c>
      <c r="B328" s="6"/>
      <c r="C328" s="6" t="str">
        <f>C33</f>
        <v>MR. JOHN XERCES C. ANTIPUESTO</v>
      </c>
      <c r="E328" s="22" t="s">
        <v>31</v>
      </c>
      <c r="F328" s="6"/>
      <c r="G328" s="6"/>
      <c r="I328" s="6" t="str">
        <f>I33</f>
        <v>ENGR. EDWIN B. BATAL</v>
      </c>
      <c r="J328" s="6"/>
      <c r="K328" s="6"/>
      <c r="O328" s="3"/>
      <c r="Q328" s="14"/>
    </row>
    <row r="329" spans="1:26" s="5" customFormat="1" ht="21" customHeight="1" x14ac:dyDescent="0.2">
      <c r="A329" s="3" t="s">
        <v>38</v>
      </c>
      <c r="B329" s="3"/>
      <c r="C329" s="3" t="s">
        <v>40</v>
      </c>
      <c r="D329" s="3"/>
      <c r="E329" s="19" t="s">
        <v>35</v>
      </c>
      <c r="F329" s="3"/>
      <c r="G329" s="3"/>
      <c r="I329" s="3" t="str">
        <f>I34</f>
        <v>Mine Explosives Asst. Manager</v>
      </c>
      <c r="J329" s="3"/>
      <c r="K329" s="3"/>
      <c r="O329" s="3"/>
      <c r="Q329" s="14"/>
    </row>
    <row r="330" spans="1:26" s="5" customFormat="1" ht="21" customHeight="1" x14ac:dyDescent="0.2">
      <c r="A330" s="3" t="s">
        <v>32</v>
      </c>
      <c r="B330" s="3"/>
      <c r="C330" s="3" t="s">
        <v>33</v>
      </c>
      <c r="D330" s="3"/>
      <c r="E330" s="19" t="s">
        <v>34</v>
      </c>
      <c r="F330" s="3"/>
      <c r="G330" s="3"/>
      <c r="I330" s="19"/>
      <c r="J330" s="3"/>
      <c r="O330" s="3"/>
      <c r="Q330" s="14"/>
    </row>
    <row r="331" spans="1:26" s="5" customFormat="1" ht="36" customHeight="1" x14ac:dyDescent="0.2">
      <c r="A331" s="3"/>
      <c r="B331" s="3"/>
      <c r="D331" s="3"/>
      <c r="E331" s="3"/>
      <c r="F331" s="3"/>
      <c r="G331" s="3"/>
      <c r="I331" s="3"/>
      <c r="J331" s="3"/>
      <c r="O331" s="3"/>
      <c r="Q331" s="14"/>
    </row>
    <row r="332" spans="1:26" s="5" customFormat="1" ht="3" customHeight="1" x14ac:dyDescent="0.2">
      <c r="A332" s="3"/>
      <c r="B332" s="3"/>
      <c r="D332" s="3"/>
      <c r="E332" s="3"/>
      <c r="F332" s="3"/>
      <c r="G332" s="3"/>
      <c r="I332" s="3"/>
      <c r="J332" s="3"/>
      <c r="O332" s="3"/>
      <c r="Q332" s="14"/>
    </row>
    <row r="338" spans="1:20" ht="20.25" customHeight="1" x14ac:dyDescent="0.25"/>
    <row r="340" spans="1:20" s="5" customFormat="1" ht="20.100000000000001" customHeight="1" x14ac:dyDescent="0.2">
      <c r="A340" s="49" t="s">
        <v>2</v>
      </c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</row>
    <row r="341" spans="1:20" s="5" customFormat="1" ht="20.100000000000001" customHeight="1" x14ac:dyDescent="0.2">
      <c r="A341" s="49" t="s">
        <v>3</v>
      </c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</row>
    <row r="342" spans="1:20" s="5" customFormat="1" ht="20.100000000000001" customHeight="1" x14ac:dyDescent="0.2">
      <c r="A342" s="49" t="str">
        <f>A11</f>
        <v>Period Covered : JUNE 1-7, 2026</v>
      </c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</row>
    <row r="343" spans="1:20" s="5" customFormat="1" ht="20.100000000000001" customHeight="1" x14ac:dyDescent="0.2"/>
    <row r="344" spans="1:20" s="5" customFormat="1" ht="20.100000000000001" customHeight="1" x14ac:dyDescent="0.2">
      <c r="A344" s="5" t="s">
        <v>4</v>
      </c>
      <c r="B344" s="50" t="s">
        <v>0</v>
      </c>
      <c r="C344" s="50"/>
      <c r="D344" s="50"/>
    </row>
    <row r="345" spans="1:20" s="5" customFormat="1" ht="20.100000000000001" customHeight="1" x14ac:dyDescent="0.2">
      <c r="A345" s="5" t="s">
        <v>5</v>
      </c>
      <c r="B345" s="51" t="s">
        <v>24</v>
      </c>
      <c r="C345" s="51"/>
      <c r="D345" s="51"/>
    </row>
    <row r="346" spans="1:20" s="5" customFormat="1" ht="6" customHeight="1" x14ac:dyDescent="0.2"/>
    <row r="347" spans="1:20" s="5" customFormat="1" ht="39.75" customHeight="1" x14ac:dyDescent="0.2">
      <c r="A347" s="7" t="s">
        <v>6</v>
      </c>
      <c r="B347" s="7" t="s">
        <v>7</v>
      </c>
      <c r="C347" s="7" t="s">
        <v>8</v>
      </c>
      <c r="D347" s="7" t="s">
        <v>9</v>
      </c>
      <c r="E347" s="8" t="s">
        <v>10</v>
      </c>
      <c r="F347" s="8" t="s">
        <v>10</v>
      </c>
      <c r="G347" s="8" t="s">
        <v>10</v>
      </c>
      <c r="H347" s="8" t="s">
        <v>11</v>
      </c>
      <c r="I347" s="7" t="s">
        <v>12</v>
      </c>
      <c r="J347" s="7"/>
      <c r="K347" s="7"/>
      <c r="L347" s="7" t="s">
        <v>13</v>
      </c>
    </row>
    <row r="348" spans="1:20" s="5" customFormat="1" ht="43.5" customHeight="1" x14ac:dyDescent="0.2">
      <c r="A348" s="10" t="s">
        <v>41</v>
      </c>
      <c r="B348" s="9" t="s">
        <v>17</v>
      </c>
      <c r="C348" s="15"/>
      <c r="D348" s="16"/>
      <c r="E348" s="15"/>
      <c r="F348" s="11"/>
      <c r="G348" s="11"/>
      <c r="H348" s="12"/>
      <c r="I348" s="12">
        <v>12660</v>
      </c>
      <c r="J348" s="11"/>
      <c r="K348" s="11"/>
      <c r="L348" s="9" t="s">
        <v>25</v>
      </c>
      <c r="Q348" s="5" t="s">
        <v>49</v>
      </c>
    </row>
    <row r="349" spans="1:20" s="5" customFormat="1" ht="26.1" customHeight="1" x14ac:dyDescent="0.2">
      <c r="A349" s="11"/>
      <c r="B349" s="11"/>
      <c r="C349" s="15"/>
      <c r="D349" s="38"/>
      <c r="E349" s="15"/>
      <c r="F349" s="11"/>
      <c r="G349" s="11"/>
      <c r="H349" s="33"/>
      <c r="I349" s="34">
        <f>I348+D349</f>
        <v>12660</v>
      </c>
      <c r="J349" s="24"/>
      <c r="K349" s="24"/>
      <c r="L349" s="9" t="s">
        <v>46</v>
      </c>
      <c r="M349" s="17"/>
      <c r="Q349" s="39" t="s">
        <v>48</v>
      </c>
      <c r="R349" s="39"/>
    </row>
    <row r="350" spans="1:20" s="5" customFormat="1" ht="26.1" customHeight="1" x14ac:dyDescent="0.2">
      <c r="A350" s="11"/>
      <c r="B350" s="11"/>
      <c r="C350" s="15"/>
      <c r="D350" s="38"/>
      <c r="E350" s="15">
        <v>46179</v>
      </c>
      <c r="F350" s="11"/>
      <c r="G350" s="11"/>
      <c r="H350" s="33">
        <v>6600</v>
      </c>
      <c r="I350" s="34">
        <f>I349-H350</f>
        <v>6060</v>
      </c>
      <c r="J350" s="24"/>
      <c r="K350" s="24"/>
      <c r="L350" s="9" t="s">
        <v>45</v>
      </c>
      <c r="Q350" s="39" t="s">
        <v>47</v>
      </c>
      <c r="R350" s="39"/>
    </row>
    <row r="351" spans="1:20" s="5" customFormat="1" ht="26.1" customHeight="1" x14ac:dyDescent="0.2">
      <c r="A351" s="11"/>
      <c r="B351" s="11"/>
      <c r="C351" s="11"/>
      <c r="D351" s="11"/>
      <c r="E351" s="15"/>
      <c r="F351" s="11"/>
      <c r="G351" s="11"/>
      <c r="H351" s="33"/>
      <c r="I351" s="35">
        <f>I350</f>
        <v>6060</v>
      </c>
      <c r="J351" s="24"/>
      <c r="K351" s="24"/>
      <c r="L351" s="36" t="s">
        <v>26</v>
      </c>
      <c r="M351" s="17"/>
      <c r="T351" s="17"/>
    </row>
    <row r="352" spans="1:20" s="5" customFormat="1" ht="26.1" customHeight="1" x14ac:dyDescent="0.2">
      <c r="A352" s="11"/>
      <c r="B352" s="11"/>
      <c r="C352" s="11"/>
      <c r="D352" s="11"/>
      <c r="E352" s="11"/>
      <c r="F352" s="11"/>
      <c r="G352" s="11"/>
      <c r="H352" s="33"/>
      <c r="I352" s="34"/>
      <c r="J352" s="46"/>
      <c r="K352" s="46"/>
      <c r="L352" s="47"/>
      <c r="M352" s="17"/>
      <c r="Q352" s="5">
        <f>4*900</f>
        <v>3600</v>
      </c>
    </row>
    <row r="353" spans="1:26" s="5" customFormat="1" ht="26.1" customHeight="1" x14ac:dyDescent="0.2">
      <c r="A353" s="11"/>
      <c r="B353" s="11"/>
      <c r="C353" s="11"/>
      <c r="D353" s="11"/>
      <c r="E353" s="37"/>
      <c r="F353" s="11"/>
      <c r="G353" s="11"/>
      <c r="H353" s="33" t="s">
        <v>42</v>
      </c>
      <c r="I353" s="33"/>
      <c r="J353" s="11"/>
      <c r="K353" s="11"/>
      <c r="L353" s="9"/>
      <c r="M353" s="18"/>
      <c r="Q353" s="5">
        <f>Q352+3000</f>
        <v>6600</v>
      </c>
    </row>
    <row r="354" spans="1:26" s="5" customFormat="1" ht="26.1" customHeight="1" x14ac:dyDescent="0.2">
      <c r="A354" s="11"/>
      <c r="B354" s="11"/>
      <c r="C354" s="11"/>
      <c r="D354" s="11"/>
      <c r="E354" s="37"/>
      <c r="F354" s="11"/>
      <c r="G354" s="11"/>
      <c r="H354" s="33" t="s">
        <v>42</v>
      </c>
      <c r="I354" s="33"/>
      <c r="J354" s="11"/>
      <c r="K354" s="11"/>
      <c r="L354" s="9"/>
      <c r="M354" s="17"/>
    </row>
    <row r="355" spans="1:26" s="5" customFormat="1" ht="26.1" customHeight="1" x14ac:dyDescent="0.2">
      <c r="A355" s="11"/>
      <c r="B355" s="11"/>
      <c r="C355" s="11"/>
      <c r="D355" s="11"/>
      <c r="E355" s="11"/>
      <c r="F355" s="11"/>
      <c r="G355" s="11"/>
      <c r="H355" s="33"/>
      <c r="I355" s="33"/>
      <c r="J355" s="11"/>
      <c r="K355" s="11"/>
      <c r="L355" s="9"/>
      <c r="M355" s="17"/>
    </row>
    <row r="356" spans="1:26" s="5" customFormat="1" ht="26.1" customHeight="1" x14ac:dyDescent="0.2">
      <c r="A356" s="11"/>
      <c r="B356" s="11"/>
      <c r="C356" s="11"/>
      <c r="D356" s="11"/>
      <c r="E356" s="11"/>
      <c r="F356" s="11"/>
      <c r="G356" s="11"/>
      <c r="H356" s="12"/>
      <c r="I356" s="12"/>
      <c r="J356" s="11"/>
      <c r="K356" s="11"/>
      <c r="L356" s="9"/>
      <c r="M356" s="17"/>
    </row>
    <row r="357" spans="1:26" s="5" customFormat="1" ht="26.1" customHeight="1" x14ac:dyDescent="0.2">
      <c r="A357" s="11"/>
      <c r="B357" s="11"/>
      <c r="C357" s="11"/>
      <c r="D357" s="11"/>
      <c r="E357" s="11"/>
      <c r="F357" s="11"/>
      <c r="G357" s="11"/>
      <c r="H357" s="12"/>
      <c r="I357" s="12"/>
      <c r="J357" s="11"/>
      <c r="K357" s="11"/>
      <c r="L357" s="9"/>
    </row>
    <row r="358" spans="1:26" s="5" customFormat="1" ht="26.1" customHeight="1" x14ac:dyDescent="0.2">
      <c r="A358" s="11"/>
      <c r="B358" s="11"/>
      <c r="C358" s="11"/>
      <c r="D358" s="11"/>
      <c r="E358" s="11"/>
      <c r="F358" s="11"/>
      <c r="G358" s="11"/>
      <c r="H358" s="12"/>
      <c r="I358" s="12"/>
      <c r="J358" s="11"/>
      <c r="K358" s="11"/>
      <c r="L358" s="9"/>
    </row>
    <row r="359" spans="1:26" s="5" customFormat="1" ht="26.1" customHeight="1" x14ac:dyDescent="0.2">
      <c r="A359" s="11"/>
      <c r="B359" s="11"/>
      <c r="C359" s="11"/>
      <c r="D359" s="11"/>
      <c r="E359" s="11"/>
      <c r="F359" s="11"/>
      <c r="G359" s="11"/>
      <c r="H359" s="12"/>
      <c r="I359" s="12"/>
      <c r="J359" s="11"/>
      <c r="K359" s="11"/>
      <c r="L359" s="9"/>
    </row>
    <row r="360" spans="1:26" s="5" customFormat="1" x14ac:dyDescent="0.2"/>
    <row r="361" spans="1:26" s="5" customFormat="1" ht="21.75" customHeight="1" x14ac:dyDescent="0.2">
      <c r="A361" s="3" t="s">
        <v>29</v>
      </c>
      <c r="B361" s="3"/>
      <c r="E361" s="19" t="s">
        <v>30</v>
      </c>
      <c r="F361" s="3"/>
      <c r="G361" s="3"/>
      <c r="I361" s="3" t="s">
        <v>27</v>
      </c>
      <c r="J361" s="3"/>
      <c r="K361" s="3"/>
      <c r="S361" s="13"/>
      <c r="W361" s="13"/>
      <c r="X361" s="3"/>
      <c r="Y361" s="3"/>
    </row>
    <row r="362" spans="1:26" ht="15" customHeight="1" x14ac:dyDescent="0.25">
      <c r="A362" s="3"/>
      <c r="B362" s="3"/>
      <c r="C362" s="5"/>
      <c r="D362" s="3"/>
      <c r="E362" s="20"/>
      <c r="F362" s="3"/>
      <c r="G362" s="3"/>
      <c r="H362" s="5"/>
      <c r="I362" s="3"/>
      <c r="J362" s="3"/>
      <c r="K362" s="3"/>
      <c r="L362" s="5"/>
      <c r="N362" s="2"/>
      <c r="O362" s="2"/>
      <c r="P362" s="52"/>
      <c r="Q362" s="53"/>
      <c r="X362" s="2"/>
      <c r="Y362" s="2"/>
      <c r="Z362" s="2"/>
    </row>
    <row r="363" spans="1:26" ht="21" customHeight="1" x14ac:dyDescent="0.25">
      <c r="A363" s="3"/>
      <c r="B363" s="2"/>
      <c r="D363" s="2"/>
      <c r="E363" s="21"/>
      <c r="F363" s="2"/>
      <c r="G363" s="2"/>
      <c r="I363" s="2"/>
      <c r="J363" s="2"/>
      <c r="K363" s="2"/>
      <c r="O363" s="2"/>
      <c r="Q363" s="4"/>
      <c r="S363" s="2"/>
      <c r="X363" s="2"/>
      <c r="Y363" s="2"/>
      <c r="Z363" s="2"/>
    </row>
    <row r="364" spans="1:26" s="5" customFormat="1" ht="21" customHeight="1" x14ac:dyDescent="0.2">
      <c r="A364" s="6" t="str">
        <f>A33</f>
        <v>MR. JOHNNY U. GALENG</v>
      </c>
      <c r="B364" s="6"/>
      <c r="C364" s="6" t="str">
        <f>C33</f>
        <v>MR. JOHN XERCES C. ANTIPUESTO</v>
      </c>
      <c r="E364" s="22" t="s">
        <v>31</v>
      </c>
      <c r="F364" s="6"/>
      <c r="G364" s="6"/>
      <c r="I364" s="6" t="str">
        <f>I33</f>
        <v>ENGR. EDWIN B. BATAL</v>
      </c>
      <c r="J364" s="6"/>
      <c r="K364" s="6"/>
      <c r="O364" s="3"/>
      <c r="Q364" s="14"/>
    </row>
    <row r="365" spans="1:26" s="5" customFormat="1" ht="21" customHeight="1" x14ac:dyDescent="0.2">
      <c r="A365" s="3" t="s">
        <v>38</v>
      </c>
      <c r="B365" s="3"/>
      <c r="C365" s="3" t="s">
        <v>40</v>
      </c>
      <c r="D365" s="3"/>
      <c r="E365" s="19" t="s">
        <v>35</v>
      </c>
      <c r="F365" s="3"/>
      <c r="G365" s="3"/>
      <c r="I365" s="3" t="str">
        <f>I34</f>
        <v>Mine Explosives Asst. Manager</v>
      </c>
      <c r="J365" s="3"/>
      <c r="K365" s="3"/>
      <c r="O365" s="3"/>
      <c r="Q365" s="14"/>
    </row>
    <row r="366" spans="1:26" s="5" customFormat="1" ht="21" customHeight="1" x14ac:dyDescent="0.2">
      <c r="A366" s="3" t="s">
        <v>32</v>
      </c>
      <c r="B366" s="3"/>
      <c r="C366" s="3" t="s">
        <v>33</v>
      </c>
      <c r="D366" s="3"/>
      <c r="E366" s="19" t="s">
        <v>34</v>
      </c>
      <c r="F366" s="3"/>
      <c r="G366" s="3"/>
      <c r="I366" s="19"/>
      <c r="J366" s="3"/>
      <c r="O366" s="3"/>
      <c r="Q366" s="14"/>
    </row>
    <row r="367" spans="1:26" s="5" customFormat="1" ht="21" customHeight="1" x14ac:dyDescent="0.2">
      <c r="A367" s="3"/>
      <c r="B367" s="3"/>
      <c r="C367" s="3"/>
      <c r="D367" s="3"/>
      <c r="E367" s="19"/>
      <c r="F367" s="3"/>
      <c r="G367" s="3"/>
      <c r="I367" s="19"/>
      <c r="J367" s="3"/>
      <c r="O367" s="3"/>
      <c r="Q367" s="14"/>
    </row>
    <row r="368" spans="1:26" s="5" customFormat="1" ht="30" customHeight="1" x14ac:dyDescent="0.2">
      <c r="A368" s="3"/>
      <c r="B368" s="3"/>
      <c r="D368" s="3"/>
      <c r="E368" s="3"/>
      <c r="F368" s="3"/>
      <c r="G368" s="3"/>
      <c r="I368" s="3"/>
      <c r="J368" s="3"/>
      <c r="O368" s="3"/>
      <c r="Q368" s="14"/>
    </row>
    <row r="369" spans="1:13" ht="9.75" customHeight="1" x14ac:dyDescent="0.25"/>
    <row r="370" spans="1:13" ht="4.5" customHeight="1" x14ac:dyDescent="0.25"/>
    <row r="375" spans="1:13" ht="20.25" customHeight="1" x14ac:dyDescent="0.25"/>
    <row r="376" spans="1:13" ht="12.75" customHeight="1" x14ac:dyDescent="0.25"/>
    <row r="377" spans="1:13" ht="35.25" customHeight="1" x14ac:dyDescent="0.25"/>
    <row r="378" spans="1:13" s="5" customFormat="1" ht="20.25" x14ac:dyDescent="0.2">
      <c r="A378" s="49" t="s">
        <v>2</v>
      </c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</row>
    <row r="379" spans="1:13" s="5" customFormat="1" ht="20.100000000000001" customHeight="1" x14ac:dyDescent="0.2">
      <c r="A379" s="49" t="s">
        <v>3</v>
      </c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</row>
    <row r="380" spans="1:13" s="5" customFormat="1" ht="20.100000000000001" customHeight="1" x14ac:dyDescent="0.2">
      <c r="A380" s="49" t="str">
        <f>A11</f>
        <v>Period Covered : JUNE 1-7, 2026</v>
      </c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</row>
    <row r="381" spans="1:13" s="5" customFormat="1" ht="20.100000000000001" customHeight="1" x14ac:dyDescent="0.2"/>
    <row r="382" spans="1:13" s="5" customFormat="1" ht="20.100000000000001" customHeight="1" x14ac:dyDescent="0.2">
      <c r="A382" s="5" t="s">
        <v>4</v>
      </c>
      <c r="B382" s="50" t="s">
        <v>0</v>
      </c>
      <c r="C382" s="50"/>
      <c r="D382" s="50"/>
    </row>
    <row r="383" spans="1:13" s="5" customFormat="1" ht="20.100000000000001" customHeight="1" x14ac:dyDescent="0.2">
      <c r="A383" s="5" t="s">
        <v>5</v>
      </c>
      <c r="B383" s="51" t="s">
        <v>24</v>
      </c>
      <c r="C383" s="51"/>
      <c r="D383" s="51"/>
    </row>
    <row r="384" spans="1:13" s="5" customFormat="1" ht="6" customHeight="1" x14ac:dyDescent="0.2"/>
    <row r="385" spans="1:25" s="5" customFormat="1" ht="39.75" customHeight="1" x14ac:dyDescent="0.2">
      <c r="A385" s="7" t="s">
        <v>6</v>
      </c>
      <c r="B385" s="7" t="s">
        <v>7</v>
      </c>
      <c r="C385" s="7" t="s">
        <v>8</v>
      </c>
      <c r="D385" s="7" t="s">
        <v>9</v>
      </c>
      <c r="E385" s="8" t="s">
        <v>10</v>
      </c>
      <c r="F385" s="8" t="s">
        <v>10</v>
      </c>
      <c r="G385" s="8" t="s">
        <v>10</v>
      </c>
      <c r="H385" s="8" t="s">
        <v>11</v>
      </c>
      <c r="I385" s="7" t="s">
        <v>12</v>
      </c>
      <c r="J385" s="7"/>
      <c r="K385" s="7"/>
      <c r="L385" s="7" t="s">
        <v>13</v>
      </c>
    </row>
    <row r="386" spans="1:25" s="5" customFormat="1" ht="39.75" customHeight="1" x14ac:dyDescent="0.2">
      <c r="A386" s="10" t="s">
        <v>20</v>
      </c>
      <c r="B386" s="9" t="s">
        <v>1</v>
      </c>
      <c r="C386" s="15"/>
      <c r="D386" s="16"/>
      <c r="E386" s="15"/>
      <c r="F386" s="11"/>
      <c r="G386" s="11"/>
      <c r="H386" s="12"/>
      <c r="I386" s="12">
        <v>90</v>
      </c>
      <c r="J386" s="11"/>
      <c r="K386" s="11"/>
      <c r="L386" s="9" t="s">
        <v>25</v>
      </c>
    </row>
    <row r="387" spans="1:25" s="5" customFormat="1" ht="26.1" customHeight="1" x14ac:dyDescent="0.2">
      <c r="A387" s="11"/>
      <c r="B387" s="11"/>
      <c r="C387" s="15"/>
      <c r="D387" s="38"/>
      <c r="E387" s="15"/>
      <c r="F387" s="11"/>
      <c r="G387" s="11"/>
      <c r="H387" s="33"/>
      <c r="I387" s="34">
        <f>I386+D387</f>
        <v>90</v>
      </c>
      <c r="J387" s="24"/>
      <c r="K387" s="24"/>
      <c r="L387" s="9" t="s">
        <v>46</v>
      </c>
      <c r="M387" s="17"/>
      <c r="Q387" s="17">
        <f>I386-90</f>
        <v>0</v>
      </c>
    </row>
    <row r="388" spans="1:25" s="5" customFormat="1" ht="26.1" customHeight="1" x14ac:dyDescent="0.2">
      <c r="A388" s="11"/>
      <c r="B388" s="11"/>
      <c r="C388" s="15"/>
      <c r="D388" s="38"/>
      <c r="E388" s="15"/>
      <c r="F388" s="11"/>
      <c r="G388" s="11"/>
      <c r="H388" s="33"/>
      <c r="I388" s="34">
        <f>I387-H388</f>
        <v>90</v>
      </c>
      <c r="J388" s="43"/>
      <c r="K388" s="43"/>
      <c r="L388" s="9" t="s">
        <v>45</v>
      </c>
      <c r="M388" s="17"/>
    </row>
    <row r="389" spans="1:25" s="5" customFormat="1" ht="26.1" customHeight="1" x14ac:dyDescent="0.2">
      <c r="A389" s="11"/>
      <c r="B389" s="11"/>
      <c r="C389" s="15"/>
      <c r="D389" s="38"/>
      <c r="E389" s="15"/>
      <c r="F389" s="11"/>
      <c r="G389" s="11"/>
      <c r="H389" s="33"/>
      <c r="I389" s="35">
        <f>I388</f>
        <v>90</v>
      </c>
      <c r="J389" s="24"/>
      <c r="K389" s="24"/>
      <c r="L389" s="36" t="s">
        <v>26</v>
      </c>
      <c r="M389" s="17">
        <v>100</v>
      </c>
    </row>
    <row r="390" spans="1:25" s="5" customFormat="1" ht="26.1" customHeight="1" x14ac:dyDescent="0.2">
      <c r="A390" s="11"/>
      <c r="B390" s="11"/>
      <c r="C390" s="11"/>
      <c r="D390" s="11"/>
      <c r="E390" s="11"/>
      <c r="F390" s="11"/>
      <c r="G390" s="11"/>
      <c r="H390" s="33"/>
      <c r="I390" s="34"/>
      <c r="J390" s="46"/>
      <c r="K390" s="46"/>
      <c r="L390" s="47"/>
      <c r="M390" s="17"/>
    </row>
    <row r="391" spans="1:25" s="5" customFormat="1" ht="26.1" customHeight="1" x14ac:dyDescent="0.2">
      <c r="A391" s="11"/>
      <c r="B391" s="11"/>
      <c r="C391" s="11"/>
      <c r="D391" s="11"/>
      <c r="E391" s="37"/>
      <c r="F391" s="11"/>
      <c r="G391" s="11"/>
      <c r="H391" s="33" t="s">
        <v>42</v>
      </c>
      <c r="I391" s="34"/>
      <c r="J391" s="11"/>
      <c r="K391" s="11"/>
      <c r="L391" s="9"/>
      <c r="M391" s="17"/>
    </row>
    <row r="392" spans="1:25" s="5" customFormat="1" ht="26.1" customHeight="1" x14ac:dyDescent="0.2">
      <c r="A392" s="11"/>
      <c r="B392" s="11"/>
      <c r="C392" s="11"/>
      <c r="D392" s="11"/>
      <c r="E392" s="11"/>
      <c r="F392" s="11"/>
      <c r="G392" s="11"/>
      <c r="H392" s="33"/>
      <c r="I392" s="33"/>
      <c r="J392" s="11"/>
      <c r="K392" s="11"/>
      <c r="L392" s="9"/>
      <c r="M392" s="18"/>
    </row>
    <row r="393" spans="1:25" s="5" customFormat="1" ht="26.1" customHeight="1" x14ac:dyDescent="0.2">
      <c r="A393" s="11"/>
      <c r="B393" s="11"/>
      <c r="C393" s="11"/>
      <c r="D393" s="11"/>
      <c r="E393" s="11"/>
      <c r="F393" s="11"/>
      <c r="G393" s="11"/>
      <c r="H393" s="33"/>
      <c r="I393" s="33"/>
      <c r="J393" s="11"/>
      <c r="K393" s="11"/>
      <c r="L393" s="9"/>
    </row>
    <row r="394" spans="1:25" s="5" customFormat="1" ht="26.1" customHeight="1" x14ac:dyDescent="0.2">
      <c r="A394" s="11"/>
      <c r="B394" s="11"/>
      <c r="C394" s="11"/>
      <c r="D394" s="11"/>
      <c r="E394" s="11"/>
      <c r="F394" s="11"/>
      <c r="G394" s="11"/>
      <c r="H394" s="33"/>
      <c r="I394" s="33"/>
      <c r="J394" s="11"/>
      <c r="K394" s="11"/>
      <c r="L394" s="9"/>
    </row>
    <row r="395" spans="1:25" s="5" customFormat="1" ht="26.1" customHeight="1" x14ac:dyDescent="0.2">
      <c r="A395" s="11"/>
      <c r="B395" s="11"/>
      <c r="C395" s="11"/>
      <c r="D395" s="11"/>
      <c r="E395" s="11"/>
      <c r="F395" s="11"/>
      <c r="G395" s="11"/>
      <c r="H395" s="12"/>
      <c r="I395" s="12"/>
      <c r="J395" s="11"/>
      <c r="K395" s="11"/>
      <c r="L395" s="9"/>
    </row>
    <row r="396" spans="1:25" s="5" customFormat="1" ht="26.1" customHeight="1" x14ac:dyDescent="0.2">
      <c r="A396" s="11"/>
      <c r="B396" s="11"/>
      <c r="C396" s="11"/>
      <c r="D396" s="11"/>
      <c r="E396" s="11"/>
      <c r="F396" s="11"/>
      <c r="G396" s="11"/>
      <c r="H396" s="12"/>
      <c r="I396" s="12"/>
      <c r="J396" s="11"/>
      <c r="K396" s="11"/>
      <c r="L396" s="9"/>
    </row>
    <row r="397" spans="1:25" s="5" customFormat="1" ht="26.1" customHeight="1" x14ac:dyDescent="0.2">
      <c r="A397" s="11"/>
      <c r="B397" s="11"/>
      <c r="C397" s="11"/>
      <c r="D397" s="11"/>
      <c r="E397" s="11"/>
      <c r="F397" s="11"/>
      <c r="G397" s="11"/>
      <c r="H397" s="12"/>
      <c r="I397" s="12"/>
      <c r="J397" s="11"/>
      <c r="K397" s="11"/>
      <c r="L397" s="9"/>
    </row>
    <row r="398" spans="1:25" s="5" customFormat="1" ht="26.1" customHeight="1" x14ac:dyDescent="0.2">
      <c r="A398" s="11"/>
      <c r="B398" s="11"/>
      <c r="C398" s="11"/>
      <c r="D398" s="11"/>
      <c r="E398" s="11"/>
      <c r="F398" s="11"/>
      <c r="G398" s="11"/>
      <c r="H398" s="12"/>
      <c r="I398" s="12"/>
      <c r="J398" s="11"/>
      <c r="K398" s="11"/>
      <c r="L398" s="9"/>
    </row>
    <row r="399" spans="1:25" s="5" customFormat="1" x14ac:dyDescent="0.2"/>
    <row r="400" spans="1:25" s="5" customFormat="1" ht="21.75" customHeight="1" x14ac:dyDescent="0.2">
      <c r="A400" s="3" t="s">
        <v>29</v>
      </c>
      <c r="B400" s="3"/>
      <c r="E400" s="19" t="s">
        <v>30</v>
      </c>
      <c r="F400" s="3"/>
      <c r="G400" s="3"/>
      <c r="I400" s="3" t="s">
        <v>27</v>
      </c>
      <c r="J400" s="3"/>
      <c r="K400" s="3"/>
      <c r="S400" s="13"/>
      <c r="W400" s="13"/>
      <c r="X400" s="3"/>
      <c r="Y400" s="3"/>
    </row>
    <row r="401" spans="1:26" ht="15" customHeight="1" x14ac:dyDescent="0.25">
      <c r="A401" s="3"/>
      <c r="B401" s="3"/>
      <c r="C401" s="5"/>
      <c r="D401" s="3"/>
      <c r="E401" s="20"/>
      <c r="F401" s="3"/>
      <c r="G401" s="3"/>
      <c r="H401" s="5"/>
      <c r="I401" s="3"/>
      <c r="J401" s="3"/>
      <c r="K401" s="3"/>
      <c r="L401" s="5"/>
      <c r="N401" s="2"/>
      <c r="O401" s="2"/>
      <c r="P401" s="52"/>
      <c r="Q401" s="53"/>
      <c r="X401" s="2"/>
      <c r="Y401" s="2"/>
      <c r="Z401" s="2"/>
    </row>
    <row r="402" spans="1:26" ht="15" customHeight="1" x14ac:dyDescent="0.25">
      <c r="A402" s="3"/>
      <c r="B402" s="2"/>
      <c r="D402" s="2"/>
      <c r="E402" s="21"/>
      <c r="F402" s="2"/>
      <c r="G402" s="2"/>
      <c r="I402" s="2"/>
      <c r="J402" s="2"/>
      <c r="K402" s="2"/>
      <c r="O402" s="2"/>
      <c r="Q402" s="4"/>
      <c r="S402" s="2"/>
      <c r="X402" s="2"/>
      <c r="Y402" s="2"/>
      <c r="Z402" s="2"/>
    </row>
    <row r="403" spans="1:26" s="5" customFormat="1" ht="25.5" customHeight="1" x14ac:dyDescent="0.2">
      <c r="A403" s="6" t="str">
        <f>A33</f>
        <v>MR. JOHNNY U. GALENG</v>
      </c>
      <c r="B403" s="6"/>
      <c r="C403" s="6" t="str">
        <f>C33</f>
        <v>MR. JOHN XERCES C. ANTIPUESTO</v>
      </c>
      <c r="E403" s="22" t="s">
        <v>31</v>
      </c>
      <c r="F403" s="6"/>
      <c r="G403" s="6"/>
      <c r="I403" s="6" t="str">
        <f>I33</f>
        <v>ENGR. EDWIN B. BATAL</v>
      </c>
      <c r="J403" s="6"/>
      <c r="K403" s="6"/>
      <c r="O403" s="3"/>
      <c r="Q403" s="14"/>
    </row>
    <row r="404" spans="1:26" s="5" customFormat="1" ht="18.75" customHeight="1" x14ac:dyDescent="0.2">
      <c r="A404" s="3" t="s">
        <v>38</v>
      </c>
      <c r="B404" s="3"/>
      <c r="C404" s="3" t="s">
        <v>40</v>
      </c>
      <c r="D404" s="3"/>
      <c r="E404" s="19" t="s">
        <v>35</v>
      </c>
      <c r="F404" s="3"/>
      <c r="G404" s="3"/>
      <c r="I404" s="3" t="str">
        <f>I34</f>
        <v>Mine Explosives Asst. Manager</v>
      </c>
      <c r="J404" s="3"/>
      <c r="K404" s="3"/>
      <c r="O404" s="3"/>
      <c r="Q404" s="14"/>
    </row>
    <row r="405" spans="1:26" s="5" customFormat="1" ht="24" customHeight="1" x14ac:dyDescent="0.2">
      <c r="A405" s="3" t="s">
        <v>32</v>
      </c>
      <c r="B405" s="3"/>
      <c r="C405" s="3" t="s">
        <v>33</v>
      </c>
      <c r="D405" s="3"/>
      <c r="E405" s="19" t="s">
        <v>34</v>
      </c>
      <c r="F405" s="3"/>
      <c r="G405" s="3"/>
      <c r="I405" s="19"/>
      <c r="J405" s="3"/>
      <c r="O405" s="3"/>
      <c r="Q405" s="14"/>
    </row>
    <row r="406" spans="1:26" ht="43.5" customHeight="1" x14ac:dyDescent="0.25"/>
    <row r="412" spans="1:26" ht="20.25" customHeight="1" x14ac:dyDescent="0.25"/>
    <row r="413" spans="1:26" ht="20.25" customHeight="1" x14ac:dyDescent="0.25"/>
    <row r="414" spans="1:26" s="5" customFormat="1" ht="20.100000000000001" customHeight="1" x14ac:dyDescent="0.2">
      <c r="A414" s="49" t="s">
        <v>2</v>
      </c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</row>
    <row r="415" spans="1:26" s="5" customFormat="1" ht="20.100000000000001" customHeight="1" x14ac:dyDescent="0.2">
      <c r="A415" s="49" t="s">
        <v>3</v>
      </c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</row>
    <row r="416" spans="1:26" s="5" customFormat="1" ht="20.100000000000001" customHeight="1" x14ac:dyDescent="0.2">
      <c r="A416" s="49" t="str">
        <f>A11</f>
        <v>Period Covered : JUNE 1-7, 2026</v>
      </c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</row>
    <row r="417" spans="1:15" s="5" customFormat="1" ht="20.100000000000001" customHeight="1" x14ac:dyDescent="0.2"/>
    <row r="418" spans="1:15" s="5" customFormat="1" ht="20.100000000000001" customHeight="1" x14ac:dyDescent="0.2">
      <c r="A418" s="5" t="s">
        <v>4</v>
      </c>
      <c r="B418" s="50" t="s">
        <v>0</v>
      </c>
      <c r="C418" s="50"/>
      <c r="D418" s="50"/>
    </row>
    <row r="419" spans="1:15" s="5" customFormat="1" ht="20.100000000000001" customHeight="1" x14ac:dyDescent="0.2">
      <c r="A419" s="5" t="s">
        <v>5</v>
      </c>
      <c r="B419" s="51" t="s">
        <v>24</v>
      </c>
      <c r="C419" s="51"/>
      <c r="D419" s="51"/>
    </row>
    <row r="420" spans="1:15" s="5" customFormat="1" ht="6" customHeight="1" x14ac:dyDescent="0.2"/>
    <row r="421" spans="1:15" s="5" customFormat="1" ht="39.75" customHeight="1" x14ac:dyDescent="0.2">
      <c r="A421" s="7" t="s">
        <v>6</v>
      </c>
      <c r="B421" s="7" t="s">
        <v>7</v>
      </c>
      <c r="C421" s="7" t="s">
        <v>8</v>
      </c>
      <c r="D421" s="7" t="s">
        <v>9</v>
      </c>
      <c r="E421" s="8" t="s">
        <v>10</v>
      </c>
      <c r="F421" s="8" t="s">
        <v>10</v>
      </c>
      <c r="G421" s="8" t="s">
        <v>10</v>
      </c>
      <c r="H421" s="8" t="s">
        <v>11</v>
      </c>
      <c r="I421" s="7" t="s">
        <v>12</v>
      </c>
      <c r="J421" s="7"/>
      <c r="K421" s="7"/>
      <c r="L421" s="7" t="s">
        <v>13</v>
      </c>
    </row>
    <row r="422" spans="1:15" s="5" customFormat="1" ht="39.75" customHeight="1" x14ac:dyDescent="0.2">
      <c r="A422" s="10" t="s">
        <v>21</v>
      </c>
      <c r="B422" s="9" t="s">
        <v>17</v>
      </c>
      <c r="C422" s="15"/>
      <c r="D422" s="16"/>
      <c r="E422" s="15"/>
      <c r="F422" s="11"/>
      <c r="G422" s="11"/>
      <c r="H422" s="12"/>
      <c r="I422" s="12">
        <v>915</v>
      </c>
      <c r="J422" s="11"/>
      <c r="K422" s="11"/>
      <c r="L422" s="9" t="s">
        <v>25</v>
      </c>
    </row>
    <row r="423" spans="1:15" s="5" customFormat="1" ht="26.1" customHeight="1" x14ac:dyDescent="0.2">
      <c r="A423" s="11"/>
      <c r="B423" s="11"/>
      <c r="C423" s="15"/>
      <c r="D423" s="38"/>
      <c r="E423" s="15"/>
      <c r="F423" s="11"/>
      <c r="G423" s="11"/>
      <c r="H423" s="33"/>
      <c r="I423" s="34">
        <f>I422-H423</f>
        <v>915</v>
      </c>
      <c r="J423" s="24"/>
      <c r="K423" s="24"/>
      <c r="L423" s="9" t="s">
        <v>45</v>
      </c>
      <c r="M423" s="17"/>
    </row>
    <row r="424" spans="1:15" s="5" customFormat="1" ht="26.1" customHeight="1" x14ac:dyDescent="0.2">
      <c r="A424" s="11"/>
      <c r="B424" s="11"/>
      <c r="C424" s="15"/>
      <c r="D424" s="38"/>
      <c r="E424" s="11"/>
      <c r="F424" s="11"/>
      <c r="G424" s="11"/>
      <c r="H424" s="33"/>
      <c r="I424" s="35">
        <f>I423</f>
        <v>915</v>
      </c>
      <c r="J424" s="24"/>
      <c r="K424" s="24"/>
      <c r="L424" s="36" t="s">
        <v>26</v>
      </c>
      <c r="O424" s="17">
        <f>I422-300</f>
        <v>615</v>
      </c>
    </row>
    <row r="425" spans="1:15" s="5" customFormat="1" ht="26.1" customHeight="1" x14ac:dyDescent="0.2">
      <c r="A425" s="11"/>
      <c r="B425" s="11"/>
      <c r="C425" s="11"/>
      <c r="D425" s="11"/>
      <c r="E425" s="37"/>
      <c r="F425" s="11"/>
      <c r="G425" s="11"/>
      <c r="H425" s="33" t="s">
        <v>42</v>
      </c>
      <c r="I425" s="34"/>
      <c r="J425" s="11"/>
      <c r="K425" s="11"/>
      <c r="L425" s="7"/>
      <c r="M425" s="17"/>
    </row>
    <row r="426" spans="1:15" s="5" customFormat="1" ht="26.1" customHeight="1" x14ac:dyDescent="0.2">
      <c r="A426" s="11"/>
      <c r="B426" s="11"/>
      <c r="C426" s="11"/>
      <c r="D426" s="11"/>
      <c r="E426" s="37"/>
      <c r="F426" s="11"/>
      <c r="G426" s="11"/>
      <c r="H426" s="33" t="s">
        <v>42</v>
      </c>
      <c r="I426" s="34"/>
      <c r="J426" s="11"/>
      <c r="K426" s="11"/>
      <c r="L426" s="7"/>
    </row>
    <row r="427" spans="1:15" s="5" customFormat="1" ht="26.1" customHeight="1" x14ac:dyDescent="0.2">
      <c r="A427" s="11"/>
      <c r="B427" s="11"/>
      <c r="C427" s="11"/>
      <c r="D427" s="11"/>
      <c r="E427" s="11"/>
      <c r="F427" s="11"/>
      <c r="G427" s="11"/>
      <c r="H427" s="12"/>
      <c r="I427" s="40"/>
      <c r="J427" s="11"/>
      <c r="K427" s="11"/>
      <c r="L427" s="9"/>
    </row>
    <row r="428" spans="1:15" s="5" customFormat="1" ht="26.1" customHeight="1" x14ac:dyDescent="0.2">
      <c r="A428" s="11"/>
      <c r="B428" s="11"/>
      <c r="C428" s="11"/>
      <c r="D428" s="11"/>
      <c r="E428" s="11"/>
      <c r="F428" s="11"/>
      <c r="G428" s="11"/>
      <c r="H428" s="12"/>
      <c r="I428" s="12"/>
      <c r="J428" s="11"/>
      <c r="K428" s="11"/>
      <c r="L428" s="9"/>
    </row>
    <row r="429" spans="1:15" s="5" customFormat="1" ht="26.1" customHeight="1" x14ac:dyDescent="0.2">
      <c r="A429" s="11"/>
      <c r="B429" s="11"/>
      <c r="C429" s="11"/>
      <c r="D429" s="11"/>
      <c r="E429" s="11"/>
      <c r="F429" s="11"/>
      <c r="G429" s="11"/>
      <c r="H429" s="12"/>
      <c r="I429" s="12"/>
      <c r="J429" s="11"/>
      <c r="K429" s="11"/>
      <c r="L429" s="9"/>
    </row>
    <row r="430" spans="1:15" s="5" customFormat="1" ht="26.1" customHeight="1" x14ac:dyDescent="0.2">
      <c r="A430" s="11"/>
      <c r="B430" s="11"/>
      <c r="C430" s="11"/>
      <c r="D430" s="11"/>
      <c r="E430" s="11"/>
      <c r="F430" s="11"/>
      <c r="G430" s="11"/>
      <c r="H430" s="12"/>
      <c r="I430" s="12"/>
      <c r="J430" s="11"/>
      <c r="K430" s="11"/>
      <c r="L430" s="9"/>
    </row>
    <row r="431" spans="1:15" s="5" customFormat="1" ht="26.1" customHeight="1" x14ac:dyDescent="0.2">
      <c r="A431" s="11"/>
      <c r="B431" s="11"/>
      <c r="C431" s="11"/>
      <c r="D431" s="11"/>
      <c r="E431" s="11"/>
      <c r="F431" s="11"/>
      <c r="G431" s="11"/>
      <c r="H431" s="12"/>
      <c r="I431" s="12"/>
      <c r="J431" s="11"/>
      <c r="K431" s="11"/>
      <c r="L431" s="9"/>
    </row>
    <row r="432" spans="1:15" s="5" customFormat="1" ht="26.1" customHeight="1" x14ac:dyDescent="0.2">
      <c r="A432" s="11"/>
      <c r="B432" s="11"/>
      <c r="C432" s="11"/>
      <c r="D432" s="11"/>
      <c r="E432" s="11"/>
      <c r="F432" s="11"/>
      <c r="G432" s="11"/>
      <c r="H432" s="12"/>
      <c r="I432" s="12"/>
      <c r="J432" s="11"/>
      <c r="K432" s="11"/>
      <c r="L432" s="9"/>
    </row>
    <row r="433" spans="1:26" s="5" customFormat="1" x14ac:dyDescent="0.2"/>
    <row r="434" spans="1:26" s="5" customFormat="1" ht="21.75" customHeight="1" x14ac:dyDescent="0.2">
      <c r="A434" s="3" t="s">
        <v>29</v>
      </c>
      <c r="B434" s="3"/>
      <c r="E434" s="19" t="s">
        <v>30</v>
      </c>
      <c r="F434" s="3"/>
      <c r="G434" s="3"/>
      <c r="I434" s="3" t="s">
        <v>27</v>
      </c>
      <c r="J434" s="3"/>
      <c r="K434" s="3"/>
      <c r="S434" s="13"/>
      <c r="W434" s="13"/>
      <c r="X434" s="3"/>
      <c r="Y434" s="3"/>
    </row>
    <row r="435" spans="1:26" ht="17.25" customHeight="1" x14ac:dyDescent="0.25">
      <c r="A435" s="3"/>
      <c r="B435" s="3"/>
      <c r="C435" s="5"/>
      <c r="D435" s="3"/>
      <c r="E435" s="20"/>
      <c r="F435" s="3"/>
      <c r="G435" s="3"/>
      <c r="H435" s="5"/>
      <c r="I435" s="3"/>
      <c r="J435" s="3"/>
      <c r="K435" s="3"/>
      <c r="L435" s="5"/>
      <c r="N435" s="2"/>
      <c r="O435" s="2"/>
      <c r="P435" s="52"/>
      <c r="Q435" s="53"/>
      <c r="X435" s="2"/>
      <c r="Y435" s="2"/>
      <c r="Z435" s="2"/>
    </row>
    <row r="436" spans="1:26" ht="21" customHeight="1" x14ac:dyDescent="0.25">
      <c r="A436" s="3"/>
      <c r="B436" s="2"/>
      <c r="D436" s="2"/>
      <c r="E436" s="21"/>
      <c r="F436" s="2"/>
      <c r="G436" s="2"/>
      <c r="I436" s="2"/>
      <c r="J436" s="2"/>
      <c r="K436" s="2"/>
      <c r="O436" s="2"/>
      <c r="Q436" s="4"/>
      <c r="S436" s="2"/>
      <c r="X436" s="2"/>
      <c r="Y436" s="2"/>
      <c r="Z436" s="2"/>
    </row>
    <row r="437" spans="1:26" s="5" customFormat="1" ht="21" customHeight="1" x14ac:dyDescent="0.2">
      <c r="A437" s="6" t="str">
        <f>A33</f>
        <v>MR. JOHNNY U. GALENG</v>
      </c>
      <c r="B437" s="6"/>
      <c r="C437" s="6" t="str">
        <f>C67</f>
        <v>MR. JOHN XERCES C. ANTIPUESTO</v>
      </c>
      <c r="E437" s="22" t="s">
        <v>31</v>
      </c>
      <c r="F437" s="6"/>
      <c r="G437" s="6"/>
      <c r="I437" s="6" t="str">
        <f>I33</f>
        <v>ENGR. EDWIN B. BATAL</v>
      </c>
      <c r="J437" s="6"/>
      <c r="K437" s="6"/>
      <c r="O437" s="3"/>
      <c r="Q437" s="14"/>
    </row>
    <row r="438" spans="1:26" s="5" customFormat="1" ht="21" customHeight="1" x14ac:dyDescent="0.2">
      <c r="A438" s="3" t="s">
        <v>38</v>
      </c>
      <c r="B438" s="3"/>
      <c r="C438" s="3" t="s">
        <v>40</v>
      </c>
      <c r="D438" s="3"/>
      <c r="E438" s="19" t="s">
        <v>35</v>
      </c>
      <c r="F438" s="3"/>
      <c r="G438" s="3"/>
      <c r="I438" s="3" t="str">
        <f>I34</f>
        <v>Mine Explosives Asst. Manager</v>
      </c>
      <c r="J438" s="3"/>
      <c r="K438" s="3"/>
      <c r="O438" s="3"/>
      <c r="Q438" s="14"/>
    </row>
    <row r="439" spans="1:26" s="5" customFormat="1" ht="21" customHeight="1" x14ac:dyDescent="0.2">
      <c r="A439" s="3" t="s">
        <v>32</v>
      </c>
      <c r="B439" s="3"/>
      <c r="C439" s="3" t="s">
        <v>33</v>
      </c>
      <c r="D439" s="3"/>
      <c r="E439" s="19" t="s">
        <v>34</v>
      </c>
      <c r="F439" s="3"/>
      <c r="G439" s="3"/>
      <c r="I439" s="19"/>
      <c r="J439" s="3"/>
      <c r="O439" s="3"/>
      <c r="Q439" s="14"/>
    </row>
    <row r="440" spans="1:26" s="5" customFormat="1" ht="21" customHeight="1" x14ac:dyDescent="0.2">
      <c r="A440" s="3"/>
      <c r="B440" s="3"/>
      <c r="C440" s="3"/>
      <c r="D440" s="3"/>
      <c r="E440" s="19"/>
      <c r="F440" s="3"/>
      <c r="G440" s="3"/>
      <c r="I440" s="19"/>
      <c r="J440" s="3"/>
      <c r="O440" s="3"/>
      <c r="Q440" s="14"/>
    </row>
    <row r="441" spans="1:26" ht="9" customHeight="1" x14ac:dyDescent="0.25"/>
    <row r="442" spans="1:26" ht="0.75" customHeight="1" x14ac:dyDescent="0.25"/>
    <row r="443" spans="1:26" ht="14.25" customHeight="1" x14ac:dyDescent="0.25"/>
    <row r="449" spans="1:17" ht="14.25" customHeight="1" x14ac:dyDescent="0.25"/>
    <row r="450" spans="1:17" ht="32.25" customHeight="1" x14ac:dyDescent="0.25"/>
    <row r="451" spans="1:17" s="5" customFormat="1" ht="20.100000000000001" customHeight="1" x14ac:dyDescent="0.2">
      <c r="A451" s="49" t="s">
        <v>2</v>
      </c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</row>
    <row r="452" spans="1:17" s="5" customFormat="1" ht="20.100000000000001" customHeight="1" x14ac:dyDescent="0.2">
      <c r="A452" s="49" t="s">
        <v>3</v>
      </c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</row>
    <row r="453" spans="1:17" s="5" customFormat="1" ht="20.100000000000001" customHeight="1" x14ac:dyDescent="0.2">
      <c r="A453" s="49" t="str">
        <f>A11</f>
        <v>Period Covered : JUNE 1-7, 2026</v>
      </c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</row>
    <row r="454" spans="1:17" s="5" customFormat="1" ht="20.100000000000001" customHeight="1" x14ac:dyDescent="0.2"/>
    <row r="455" spans="1:17" s="5" customFormat="1" ht="20.100000000000001" customHeight="1" x14ac:dyDescent="0.2">
      <c r="A455" s="5" t="s">
        <v>4</v>
      </c>
      <c r="B455" s="50" t="s">
        <v>0</v>
      </c>
      <c r="C455" s="50"/>
      <c r="D455" s="50"/>
    </row>
    <row r="456" spans="1:17" s="5" customFormat="1" ht="20.100000000000001" customHeight="1" x14ac:dyDescent="0.2">
      <c r="A456" s="5" t="s">
        <v>5</v>
      </c>
      <c r="B456" s="51" t="s">
        <v>24</v>
      </c>
      <c r="C456" s="51"/>
      <c r="D456" s="51"/>
    </row>
    <row r="457" spans="1:17" s="5" customFormat="1" ht="6" customHeight="1" x14ac:dyDescent="0.2"/>
    <row r="458" spans="1:17" s="5" customFormat="1" ht="39.75" customHeight="1" x14ac:dyDescent="0.2">
      <c r="A458" s="7" t="s">
        <v>6</v>
      </c>
      <c r="B458" s="7" t="s">
        <v>7</v>
      </c>
      <c r="C458" s="7" t="s">
        <v>8</v>
      </c>
      <c r="D458" s="7" t="s">
        <v>9</v>
      </c>
      <c r="E458" s="8" t="s">
        <v>10</v>
      </c>
      <c r="F458" s="8" t="s">
        <v>10</v>
      </c>
      <c r="G458" s="8" t="s">
        <v>10</v>
      </c>
      <c r="H458" s="8" t="s">
        <v>11</v>
      </c>
      <c r="I458" s="7" t="s">
        <v>12</v>
      </c>
      <c r="J458" s="7"/>
      <c r="K458" s="7"/>
      <c r="L458" s="7" t="s">
        <v>13</v>
      </c>
    </row>
    <row r="459" spans="1:17" s="5" customFormat="1" ht="39.75" customHeight="1" x14ac:dyDescent="0.2">
      <c r="A459" s="10" t="s">
        <v>43</v>
      </c>
      <c r="B459" s="9" t="s">
        <v>1</v>
      </c>
      <c r="C459" s="15"/>
      <c r="D459" s="16"/>
      <c r="E459" s="15"/>
      <c r="F459" s="11"/>
      <c r="G459" s="11"/>
      <c r="H459" s="12"/>
      <c r="I459" s="12">
        <v>16000</v>
      </c>
      <c r="J459" s="11"/>
      <c r="K459" s="11"/>
      <c r="L459" s="9" t="s">
        <v>25</v>
      </c>
    </row>
    <row r="460" spans="1:17" s="5" customFormat="1" ht="26.1" customHeight="1" x14ac:dyDescent="0.2">
      <c r="A460" s="11"/>
      <c r="B460" s="11"/>
      <c r="C460" s="15"/>
      <c r="D460" s="38"/>
      <c r="E460" s="15"/>
      <c r="F460" s="11"/>
      <c r="G460" s="11"/>
      <c r="H460" s="33"/>
      <c r="I460" s="34">
        <f>I459+D460</f>
        <v>16000</v>
      </c>
      <c r="J460" s="24"/>
      <c r="K460" s="24"/>
      <c r="L460" s="9" t="s">
        <v>46</v>
      </c>
      <c r="M460" s="17"/>
    </row>
    <row r="461" spans="1:17" s="5" customFormat="1" ht="26.1" customHeight="1" x14ac:dyDescent="0.2">
      <c r="A461" s="11"/>
      <c r="B461" s="11"/>
      <c r="C461" s="15"/>
      <c r="D461" s="38"/>
      <c r="E461" s="15">
        <v>46179</v>
      </c>
      <c r="F461" s="11"/>
      <c r="G461" s="11"/>
      <c r="H461" s="33">
        <v>8000</v>
      </c>
      <c r="I461" s="34">
        <f>I460-H461</f>
        <v>8000</v>
      </c>
      <c r="J461" s="24"/>
      <c r="K461" s="24"/>
      <c r="L461" s="9" t="s">
        <v>45</v>
      </c>
      <c r="M461" s="17"/>
    </row>
    <row r="462" spans="1:17" s="5" customFormat="1" ht="26.1" customHeight="1" x14ac:dyDescent="0.2">
      <c r="A462" s="11"/>
      <c r="B462" s="11"/>
      <c r="C462" s="11"/>
      <c r="D462" s="11"/>
      <c r="E462" s="15"/>
      <c r="F462" s="11"/>
      <c r="G462" s="11"/>
      <c r="H462" s="33"/>
      <c r="I462" s="35">
        <f>I461</f>
        <v>8000</v>
      </c>
      <c r="J462" s="24"/>
      <c r="K462" s="24"/>
      <c r="L462" s="36" t="s">
        <v>26</v>
      </c>
      <c r="M462" s="17">
        <v>12800</v>
      </c>
      <c r="Q462" s="5">
        <f>40*200</f>
        <v>8000</v>
      </c>
    </row>
    <row r="463" spans="1:17" s="5" customFormat="1" ht="26.1" customHeight="1" x14ac:dyDescent="0.2">
      <c r="A463" s="11"/>
      <c r="B463" s="11"/>
      <c r="C463" s="11"/>
      <c r="D463" s="11"/>
      <c r="E463" s="37"/>
      <c r="F463" s="11"/>
      <c r="G463" s="11"/>
      <c r="H463" s="33" t="s">
        <v>42</v>
      </c>
      <c r="I463" s="34"/>
      <c r="J463" s="46"/>
      <c r="K463" s="46"/>
      <c r="L463" s="47"/>
      <c r="M463" s="17"/>
    </row>
    <row r="464" spans="1:17" s="5" customFormat="1" ht="26.1" customHeight="1" x14ac:dyDescent="0.2">
      <c r="A464" s="11"/>
      <c r="B464" s="11"/>
      <c r="C464" s="11"/>
      <c r="D464" s="11"/>
      <c r="E464" s="11"/>
      <c r="F464" s="11"/>
      <c r="G464" s="11"/>
      <c r="H464" s="33"/>
      <c r="I464" s="33"/>
      <c r="J464" s="11"/>
      <c r="K464" s="11"/>
      <c r="L464" s="9"/>
      <c r="M464" s="17"/>
    </row>
    <row r="465" spans="1:26" s="5" customFormat="1" ht="26.1" customHeight="1" x14ac:dyDescent="0.2">
      <c r="A465" s="11"/>
      <c r="B465" s="11"/>
      <c r="C465" s="11"/>
      <c r="D465" s="11"/>
      <c r="E465" s="37"/>
      <c r="F465" s="11"/>
      <c r="G465" s="11"/>
      <c r="H465" s="33" t="s">
        <v>42</v>
      </c>
      <c r="I465" s="33"/>
      <c r="J465" s="11"/>
      <c r="K465" s="11"/>
      <c r="L465" s="9"/>
    </row>
    <row r="466" spans="1:26" s="5" customFormat="1" ht="26.1" customHeight="1" x14ac:dyDescent="0.2">
      <c r="A466" s="11"/>
      <c r="B466" s="11"/>
      <c r="C466" s="11"/>
      <c r="D466" s="11"/>
      <c r="E466" s="11"/>
      <c r="F466" s="11"/>
      <c r="G466" s="11"/>
      <c r="H466" s="33"/>
      <c r="I466" s="33"/>
      <c r="J466" s="11"/>
      <c r="K466" s="11"/>
      <c r="L466" s="9"/>
    </row>
    <row r="467" spans="1:26" s="5" customFormat="1" ht="26.1" customHeight="1" x14ac:dyDescent="0.2">
      <c r="A467" s="11"/>
      <c r="B467" s="11"/>
      <c r="C467" s="11"/>
      <c r="D467" s="11"/>
      <c r="E467" s="11"/>
      <c r="F467" s="11"/>
      <c r="G467" s="11"/>
      <c r="H467" s="12"/>
      <c r="I467" s="12"/>
      <c r="J467" s="11"/>
      <c r="K467" s="11"/>
      <c r="L467" s="9"/>
    </row>
    <row r="468" spans="1:26" s="5" customFormat="1" ht="26.1" customHeight="1" x14ac:dyDescent="0.2">
      <c r="A468" s="11"/>
      <c r="B468" s="11"/>
      <c r="C468" s="11"/>
      <c r="D468" s="11"/>
      <c r="E468" s="11"/>
      <c r="F468" s="11"/>
      <c r="G468" s="11"/>
      <c r="H468" s="12"/>
      <c r="I468" s="12"/>
      <c r="J468" s="11"/>
      <c r="K468" s="11"/>
      <c r="L468" s="9"/>
    </row>
    <row r="469" spans="1:26" s="5" customFormat="1" ht="26.1" customHeight="1" x14ac:dyDescent="0.2">
      <c r="A469" s="11"/>
      <c r="B469" s="11"/>
      <c r="C469" s="11"/>
      <c r="D469" s="11"/>
      <c r="E469" s="11"/>
      <c r="F469" s="11"/>
      <c r="G469" s="11"/>
      <c r="H469" s="12"/>
      <c r="I469" s="12"/>
      <c r="J469" s="11"/>
      <c r="K469" s="11"/>
      <c r="L469" s="9"/>
    </row>
    <row r="470" spans="1:26" s="5" customFormat="1" ht="26.1" customHeight="1" x14ac:dyDescent="0.2">
      <c r="A470" s="11"/>
      <c r="B470" s="11"/>
      <c r="C470" s="11"/>
      <c r="D470" s="11"/>
      <c r="E470" s="11"/>
      <c r="F470" s="11"/>
      <c r="G470" s="11"/>
      <c r="H470" s="12"/>
      <c r="I470" s="12"/>
      <c r="J470" s="11"/>
      <c r="K470" s="11"/>
      <c r="L470" s="9"/>
    </row>
    <row r="471" spans="1:26" s="5" customFormat="1" x14ac:dyDescent="0.2"/>
    <row r="472" spans="1:26" s="5" customFormat="1" ht="21.75" customHeight="1" x14ac:dyDescent="0.2">
      <c r="A472" s="3" t="s">
        <v>29</v>
      </c>
      <c r="B472" s="3"/>
      <c r="E472" s="19" t="s">
        <v>30</v>
      </c>
      <c r="F472" s="3"/>
      <c r="G472" s="3"/>
      <c r="I472" s="3" t="s">
        <v>27</v>
      </c>
      <c r="J472" s="3"/>
      <c r="K472" s="3"/>
      <c r="S472" s="13"/>
      <c r="W472" s="13"/>
      <c r="X472" s="3"/>
      <c r="Y472" s="3"/>
    </row>
    <row r="473" spans="1:26" ht="21" customHeight="1" x14ac:dyDescent="0.25">
      <c r="A473" s="3"/>
      <c r="B473" s="3"/>
      <c r="C473" s="5"/>
      <c r="D473" s="3"/>
      <c r="E473" s="20"/>
      <c r="F473" s="3"/>
      <c r="G473" s="3"/>
      <c r="H473" s="5"/>
      <c r="I473" s="3"/>
      <c r="J473" s="3"/>
      <c r="K473" s="3"/>
      <c r="L473" s="5"/>
      <c r="N473" s="2"/>
      <c r="O473" s="2"/>
      <c r="P473" s="52"/>
      <c r="Q473" s="53"/>
      <c r="X473" s="2"/>
      <c r="Y473" s="2"/>
      <c r="Z473" s="2"/>
    </row>
    <row r="474" spans="1:26" ht="21" customHeight="1" x14ac:dyDescent="0.25">
      <c r="A474" s="3"/>
      <c r="B474" s="2"/>
      <c r="D474" s="2"/>
      <c r="E474" s="21"/>
      <c r="F474" s="2"/>
      <c r="G474" s="2"/>
      <c r="I474" s="2"/>
      <c r="J474" s="2"/>
      <c r="K474" s="2"/>
      <c r="O474" s="2"/>
      <c r="Q474" s="4"/>
      <c r="S474" s="2"/>
      <c r="X474" s="2"/>
      <c r="Y474" s="2"/>
      <c r="Z474" s="2"/>
    </row>
    <row r="475" spans="1:26" s="5" customFormat="1" ht="21" customHeight="1" x14ac:dyDescent="0.2">
      <c r="A475" s="6" t="str">
        <f>A33</f>
        <v>MR. JOHNNY U. GALENG</v>
      </c>
      <c r="B475" s="6"/>
      <c r="C475" s="6" t="str">
        <f>C33</f>
        <v>MR. JOHN XERCES C. ANTIPUESTO</v>
      </c>
      <c r="E475" s="22" t="s">
        <v>31</v>
      </c>
      <c r="F475" s="6"/>
      <c r="G475" s="6"/>
      <c r="I475" s="6" t="str">
        <f>I33</f>
        <v>ENGR. EDWIN B. BATAL</v>
      </c>
      <c r="J475" s="6"/>
      <c r="K475" s="6"/>
      <c r="O475" s="3"/>
      <c r="Q475" s="14"/>
    </row>
    <row r="476" spans="1:26" s="5" customFormat="1" ht="21" customHeight="1" x14ac:dyDescent="0.2">
      <c r="A476" s="3" t="s">
        <v>38</v>
      </c>
      <c r="B476" s="3"/>
      <c r="C476" s="3" t="s">
        <v>40</v>
      </c>
      <c r="D476" s="3"/>
      <c r="E476" s="19" t="s">
        <v>35</v>
      </c>
      <c r="F476" s="3"/>
      <c r="G476" s="3"/>
      <c r="I476" s="3" t="str">
        <f>I34</f>
        <v>Mine Explosives Asst. Manager</v>
      </c>
      <c r="J476" s="3"/>
      <c r="K476" s="3"/>
      <c r="O476" s="3"/>
      <c r="Q476" s="14"/>
    </row>
    <row r="477" spans="1:26" s="5" customFormat="1" ht="21" customHeight="1" x14ac:dyDescent="0.2">
      <c r="A477" s="3" t="s">
        <v>32</v>
      </c>
      <c r="B477" s="3"/>
      <c r="C477" s="3" t="s">
        <v>33</v>
      </c>
      <c r="D477" s="3"/>
      <c r="E477" s="19" t="s">
        <v>34</v>
      </c>
      <c r="F477" s="3"/>
      <c r="G477" s="3"/>
      <c r="I477" s="19"/>
      <c r="J477" s="3"/>
      <c r="O477" s="3"/>
      <c r="Q477" s="14"/>
    </row>
    <row r="478" spans="1:26" ht="32.25" customHeight="1" x14ac:dyDescent="0.25"/>
    <row r="484" spans="1:13" ht="32.25" customHeight="1" x14ac:dyDescent="0.25"/>
    <row r="486" spans="1:13" s="5" customFormat="1" ht="20.100000000000001" customHeight="1" x14ac:dyDescent="0.2">
      <c r="A486" s="49" t="s">
        <v>2</v>
      </c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</row>
    <row r="487" spans="1:13" s="5" customFormat="1" ht="20.100000000000001" customHeight="1" x14ac:dyDescent="0.2">
      <c r="A487" s="49" t="s">
        <v>3</v>
      </c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</row>
    <row r="488" spans="1:13" s="5" customFormat="1" ht="20.100000000000001" customHeight="1" x14ac:dyDescent="0.2">
      <c r="A488" s="49" t="str">
        <f>A11</f>
        <v>Period Covered : JUNE 1-7, 2026</v>
      </c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</row>
    <row r="489" spans="1:13" s="5" customFormat="1" ht="20.100000000000001" customHeight="1" x14ac:dyDescent="0.2"/>
    <row r="490" spans="1:13" s="5" customFormat="1" ht="20.100000000000001" customHeight="1" x14ac:dyDescent="0.2">
      <c r="A490" s="5" t="s">
        <v>4</v>
      </c>
      <c r="B490" s="50" t="s">
        <v>0</v>
      </c>
      <c r="C490" s="50"/>
      <c r="D490" s="50"/>
    </row>
    <row r="491" spans="1:13" s="5" customFormat="1" ht="20.100000000000001" customHeight="1" x14ac:dyDescent="0.2">
      <c r="A491" s="5" t="s">
        <v>5</v>
      </c>
      <c r="B491" s="51" t="s">
        <v>24</v>
      </c>
      <c r="C491" s="51"/>
      <c r="D491" s="51"/>
    </row>
    <row r="492" spans="1:13" s="5" customFormat="1" ht="6" customHeight="1" x14ac:dyDescent="0.2"/>
    <row r="493" spans="1:13" s="5" customFormat="1" ht="39.75" customHeight="1" x14ac:dyDescent="0.2">
      <c r="A493" s="7" t="s">
        <v>6</v>
      </c>
      <c r="B493" s="7" t="s">
        <v>7</v>
      </c>
      <c r="C493" s="7" t="s">
        <v>8</v>
      </c>
      <c r="D493" s="7" t="s">
        <v>9</v>
      </c>
      <c r="E493" s="8" t="s">
        <v>10</v>
      </c>
      <c r="F493" s="8" t="s">
        <v>10</v>
      </c>
      <c r="G493" s="8" t="s">
        <v>10</v>
      </c>
      <c r="H493" s="8" t="s">
        <v>11</v>
      </c>
      <c r="I493" s="7" t="s">
        <v>12</v>
      </c>
      <c r="J493" s="7"/>
      <c r="K493" s="7"/>
      <c r="L493" s="7" t="s">
        <v>13</v>
      </c>
    </row>
    <row r="494" spans="1:13" s="5" customFormat="1" ht="39.75" customHeight="1" x14ac:dyDescent="0.2">
      <c r="A494" s="10" t="s">
        <v>37</v>
      </c>
      <c r="B494" s="9" t="s">
        <v>1</v>
      </c>
      <c r="C494" s="15"/>
      <c r="D494" s="16"/>
      <c r="E494" s="15"/>
      <c r="F494" s="11"/>
      <c r="G494" s="11"/>
      <c r="H494" s="12"/>
      <c r="I494" s="12">
        <v>0</v>
      </c>
      <c r="J494" s="11"/>
      <c r="K494" s="11"/>
      <c r="L494" s="9" t="s">
        <v>25</v>
      </c>
    </row>
    <row r="495" spans="1:13" s="5" customFormat="1" ht="26.1" customHeight="1" x14ac:dyDescent="0.2">
      <c r="A495" s="11"/>
      <c r="B495" s="11"/>
      <c r="C495" s="11"/>
      <c r="D495" s="11"/>
      <c r="E495" s="11"/>
      <c r="F495" s="11"/>
      <c r="G495" s="11"/>
      <c r="H495" s="12"/>
      <c r="I495" s="23">
        <f>I494</f>
        <v>0</v>
      </c>
      <c r="J495" s="24"/>
      <c r="K495" s="24"/>
      <c r="L495" s="25" t="s">
        <v>26</v>
      </c>
      <c r="M495" s="17"/>
    </row>
    <row r="496" spans="1:13" s="5" customFormat="1" ht="26.1" customHeight="1" x14ac:dyDescent="0.2">
      <c r="A496" s="11"/>
      <c r="B496" s="11"/>
      <c r="C496" s="11"/>
      <c r="D496" s="11"/>
      <c r="E496" s="11"/>
      <c r="F496" s="11"/>
      <c r="G496" s="11"/>
      <c r="H496" s="12"/>
      <c r="I496" s="12"/>
      <c r="J496" s="11"/>
      <c r="K496" s="11"/>
      <c r="L496" s="9"/>
      <c r="M496" s="17"/>
    </row>
    <row r="497" spans="1:26" s="5" customFormat="1" ht="26.1" customHeight="1" x14ac:dyDescent="0.2">
      <c r="A497" s="11"/>
      <c r="B497" s="11"/>
      <c r="C497" s="11"/>
      <c r="D497" s="11"/>
      <c r="E497" s="11"/>
      <c r="F497" s="11"/>
      <c r="G497" s="11"/>
      <c r="H497" s="12"/>
      <c r="I497" s="12"/>
      <c r="J497" s="11"/>
      <c r="K497" s="11"/>
      <c r="L497" s="9"/>
      <c r="M497" s="17"/>
    </row>
    <row r="498" spans="1:26" s="5" customFormat="1" ht="26.1" customHeight="1" x14ac:dyDescent="0.2">
      <c r="A498" s="11"/>
      <c r="B498" s="11"/>
      <c r="C498" s="11"/>
      <c r="D498" s="11"/>
      <c r="E498" s="11"/>
      <c r="F498" s="11"/>
      <c r="G498" s="11"/>
      <c r="H498" s="12"/>
      <c r="I498" s="12"/>
      <c r="J498" s="11"/>
      <c r="K498" s="11"/>
      <c r="L498" s="9"/>
      <c r="M498" s="17"/>
    </row>
    <row r="499" spans="1:26" s="5" customFormat="1" ht="26.1" customHeight="1" x14ac:dyDescent="0.2">
      <c r="A499" s="11"/>
      <c r="B499" s="11"/>
      <c r="C499" s="11"/>
      <c r="D499" s="11"/>
      <c r="E499" s="11"/>
      <c r="F499" s="11"/>
      <c r="G499" s="11"/>
      <c r="H499" s="12"/>
      <c r="I499" s="12"/>
      <c r="J499" s="11"/>
      <c r="K499" s="11"/>
      <c r="L499" s="9"/>
    </row>
    <row r="500" spans="1:26" s="5" customFormat="1" ht="26.1" customHeight="1" x14ac:dyDescent="0.2">
      <c r="A500" s="11"/>
      <c r="B500" s="11"/>
      <c r="C500" s="11"/>
      <c r="D500" s="11"/>
      <c r="E500" s="11"/>
      <c r="F500" s="11"/>
      <c r="G500" s="11"/>
      <c r="H500" s="12"/>
      <c r="I500" s="12"/>
      <c r="J500" s="11"/>
      <c r="K500" s="11"/>
      <c r="L500" s="9"/>
    </row>
    <row r="501" spans="1:26" s="5" customFormat="1" ht="26.1" customHeight="1" x14ac:dyDescent="0.2">
      <c r="A501" s="11"/>
      <c r="B501" s="11"/>
      <c r="C501" s="11"/>
      <c r="D501" s="11"/>
      <c r="E501" s="11"/>
      <c r="F501" s="11"/>
      <c r="G501" s="11"/>
      <c r="H501" s="12"/>
      <c r="I501" s="12"/>
      <c r="J501" s="11"/>
      <c r="K501" s="11"/>
      <c r="L501" s="9"/>
    </row>
    <row r="502" spans="1:26" s="5" customFormat="1" ht="26.1" customHeight="1" x14ac:dyDescent="0.2">
      <c r="A502" s="11"/>
      <c r="B502" s="11"/>
      <c r="C502" s="11"/>
      <c r="D502" s="11"/>
      <c r="E502" s="11"/>
      <c r="F502" s="11"/>
      <c r="G502" s="11"/>
      <c r="H502" s="12"/>
      <c r="I502" s="12"/>
      <c r="J502" s="11"/>
      <c r="K502" s="11"/>
      <c r="L502" s="9"/>
    </row>
    <row r="503" spans="1:26" s="5" customFormat="1" ht="26.1" customHeight="1" x14ac:dyDescent="0.2">
      <c r="A503" s="11"/>
      <c r="B503" s="11"/>
      <c r="C503" s="11"/>
      <c r="D503" s="11"/>
      <c r="E503" s="11"/>
      <c r="F503" s="11"/>
      <c r="G503" s="11"/>
      <c r="H503" s="12"/>
      <c r="I503" s="12"/>
      <c r="J503" s="11"/>
      <c r="K503" s="11"/>
      <c r="L503" s="9"/>
    </row>
    <row r="504" spans="1:26" s="5" customFormat="1" ht="26.1" customHeight="1" x14ac:dyDescent="0.2">
      <c r="A504" s="11"/>
      <c r="B504" s="11"/>
      <c r="C504" s="11"/>
      <c r="D504" s="11"/>
      <c r="E504" s="11"/>
      <c r="F504" s="11"/>
      <c r="G504" s="11"/>
      <c r="H504" s="12"/>
      <c r="I504" s="12"/>
      <c r="J504" s="11"/>
      <c r="K504" s="11"/>
      <c r="L504" s="9"/>
    </row>
    <row r="505" spans="1:26" s="5" customFormat="1" x14ac:dyDescent="0.2"/>
    <row r="506" spans="1:26" s="5" customFormat="1" ht="21.75" customHeight="1" x14ac:dyDescent="0.2">
      <c r="A506" s="3" t="s">
        <v>29</v>
      </c>
      <c r="B506" s="3"/>
      <c r="E506" s="19" t="s">
        <v>30</v>
      </c>
      <c r="F506" s="3"/>
      <c r="G506" s="3"/>
      <c r="I506" s="3" t="s">
        <v>27</v>
      </c>
      <c r="J506" s="3"/>
      <c r="K506" s="3"/>
      <c r="S506" s="13"/>
      <c r="W506" s="13"/>
      <c r="X506" s="3"/>
      <c r="Y506" s="3"/>
    </row>
    <row r="507" spans="1:26" ht="15" customHeight="1" x14ac:dyDescent="0.25">
      <c r="A507" s="3"/>
      <c r="B507" s="3"/>
      <c r="C507" s="5"/>
      <c r="D507" s="3"/>
      <c r="E507" s="20"/>
      <c r="F507" s="3"/>
      <c r="G507" s="3"/>
      <c r="H507" s="5"/>
      <c r="I507" s="3"/>
      <c r="J507" s="3"/>
      <c r="K507" s="3"/>
      <c r="L507" s="5"/>
      <c r="N507" s="2"/>
      <c r="O507" s="2"/>
      <c r="P507" s="52"/>
      <c r="Q507" s="53"/>
      <c r="X507" s="2"/>
      <c r="Y507" s="2"/>
      <c r="Z507" s="2"/>
    </row>
    <row r="508" spans="1:26" ht="21" customHeight="1" x14ac:dyDescent="0.25">
      <c r="A508" s="3"/>
      <c r="B508" s="2"/>
      <c r="D508" s="2"/>
      <c r="E508" s="21"/>
      <c r="F508" s="2"/>
      <c r="G508" s="2"/>
      <c r="I508" s="2"/>
      <c r="J508" s="2"/>
      <c r="K508" s="2"/>
      <c r="O508" s="2"/>
      <c r="Q508" s="4"/>
      <c r="S508" s="2"/>
      <c r="X508" s="2"/>
      <c r="Y508" s="2"/>
      <c r="Z508" s="2"/>
    </row>
    <row r="509" spans="1:26" s="5" customFormat="1" ht="21" customHeight="1" x14ac:dyDescent="0.2">
      <c r="A509" s="6" t="str">
        <f>A33</f>
        <v>MR. JOHNNY U. GALENG</v>
      </c>
      <c r="B509" s="6"/>
      <c r="C509" s="6" t="str">
        <f>C33</f>
        <v>MR. JOHN XERCES C. ANTIPUESTO</v>
      </c>
      <c r="E509" s="22" t="s">
        <v>31</v>
      </c>
      <c r="F509" s="6"/>
      <c r="G509" s="6"/>
      <c r="I509" s="6" t="str">
        <f>I33</f>
        <v>ENGR. EDWIN B. BATAL</v>
      </c>
      <c r="J509" s="6"/>
      <c r="K509" s="6"/>
      <c r="O509" s="3"/>
      <c r="Q509" s="14"/>
    </row>
    <row r="510" spans="1:26" s="5" customFormat="1" ht="21" customHeight="1" x14ac:dyDescent="0.2">
      <c r="A510" s="3" t="s">
        <v>38</v>
      </c>
      <c r="B510" s="3"/>
      <c r="C510" s="3" t="s">
        <v>40</v>
      </c>
      <c r="D510" s="3"/>
      <c r="E510" s="19" t="s">
        <v>35</v>
      </c>
      <c r="F510" s="3"/>
      <c r="G510" s="3"/>
      <c r="I510" s="3" t="str">
        <f>I34</f>
        <v>Mine Explosives Asst. Manager</v>
      </c>
      <c r="J510" s="3"/>
      <c r="K510" s="3"/>
      <c r="O510" s="3"/>
      <c r="Q510" s="14"/>
    </row>
    <row r="511" spans="1:26" s="5" customFormat="1" ht="21" customHeight="1" x14ac:dyDescent="0.2">
      <c r="A511" s="3" t="s">
        <v>32</v>
      </c>
      <c r="B511" s="3"/>
      <c r="C511" s="3" t="s">
        <v>33</v>
      </c>
      <c r="D511" s="3"/>
      <c r="E511" s="19" t="s">
        <v>34</v>
      </c>
      <c r="F511" s="3"/>
      <c r="G511" s="3"/>
      <c r="I511" s="19"/>
      <c r="J511" s="3"/>
      <c r="O511" s="3"/>
      <c r="Q511" s="14"/>
    </row>
    <row r="512" spans="1:26" s="5" customFormat="1" ht="8.25" customHeight="1" x14ac:dyDescent="0.2">
      <c r="A512" s="3"/>
      <c r="B512" s="3"/>
      <c r="C512" s="3"/>
      <c r="D512" s="3"/>
      <c r="E512" s="19"/>
      <c r="F512" s="3"/>
      <c r="G512" s="3"/>
      <c r="I512" s="19"/>
      <c r="J512" s="3"/>
      <c r="O512" s="3"/>
      <c r="Q512" s="14"/>
    </row>
    <row r="513" spans="1:13" ht="27" customHeight="1" x14ac:dyDescent="0.25"/>
    <row r="518" spans="1:13" ht="28.5" customHeight="1" x14ac:dyDescent="0.25"/>
    <row r="519" spans="1:13" ht="29.25" customHeight="1" x14ac:dyDescent="0.25"/>
    <row r="520" spans="1:13" s="5" customFormat="1" ht="20.100000000000001" customHeight="1" x14ac:dyDescent="0.2">
      <c r="A520" s="49" t="s">
        <v>2</v>
      </c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</row>
    <row r="521" spans="1:13" s="5" customFormat="1" ht="20.100000000000001" customHeight="1" x14ac:dyDescent="0.2">
      <c r="A521" s="49" t="s">
        <v>3</v>
      </c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</row>
    <row r="522" spans="1:13" s="5" customFormat="1" ht="20.100000000000001" customHeight="1" x14ac:dyDescent="0.2">
      <c r="A522" s="49" t="str">
        <f>A11</f>
        <v>Period Covered : JUNE 1-7, 2026</v>
      </c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</row>
    <row r="523" spans="1:13" s="5" customFormat="1" ht="20.100000000000001" customHeight="1" x14ac:dyDescent="0.2"/>
    <row r="524" spans="1:13" s="5" customFormat="1" ht="20.100000000000001" customHeight="1" x14ac:dyDescent="0.2">
      <c r="A524" s="5" t="s">
        <v>4</v>
      </c>
      <c r="B524" s="50" t="s">
        <v>0</v>
      </c>
      <c r="C524" s="50"/>
      <c r="D524" s="50"/>
    </row>
    <row r="525" spans="1:13" s="5" customFormat="1" ht="20.100000000000001" customHeight="1" x14ac:dyDescent="0.2">
      <c r="A525" s="5" t="s">
        <v>5</v>
      </c>
      <c r="B525" s="51" t="s">
        <v>24</v>
      </c>
      <c r="C525" s="51"/>
      <c r="D525" s="51"/>
    </row>
    <row r="526" spans="1:13" s="5" customFormat="1" ht="6" customHeight="1" x14ac:dyDescent="0.2"/>
    <row r="527" spans="1:13" s="5" customFormat="1" ht="39.75" customHeight="1" x14ac:dyDescent="0.2">
      <c r="A527" s="7" t="s">
        <v>6</v>
      </c>
      <c r="B527" s="7" t="s">
        <v>7</v>
      </c>
      <c r="C527" s="7" t="s">
        <v>8</v>
      </c>
      <c r="D527" s="7" t="s">
        <v>9</v>
      </c>
      <c r="E527" s="8" t="s">
        <v>10</v>
      </c>
      <c r="F527" s="8" t="s">
        <v>10</v>
      </c>
      <c r="G527" s="8" t="s">
        <v>10</v>
      </c>
      <c r="H527" s="8" t="s">
        <v>11</v>
      </c>
      <c r="I527" s="7" t="s">
        <v>12</v>
      </c>
      <c r="J527" s="7"/>
      <c r="K527" s="7"/>
      <c r="L527" s="7" t="s">
        <v>13</v>
      </c>
    </row>
    <row r="528" spans="1:13" s="5" customFormat="1" ht="39.75" customHeight="1" x14ac:dyDescent="0.2">
      <c r="A528" s="10" t="s">
        <v>39</v>
      </c>
      <c r="B528" s="9" t="s">
        <v>1</v>
      </c>
      <c r="C528" s="15"/>
      <c r="D528" s="16"/>
      <c r="E528" s="15"/>
      <c r="F528" s="11"/>
      <c r="G528" s="11"/>
      <c r="H528" s="12"/>
      <c r="I528" s="12">
        <v>0</v>
      </c>
      <c r="J528" s="11"/>
      <c r="K528" s="11"/>
      <c r="L528" s="9" t="s">
        <v>25</v>
      </c>
    </row>
    <row r="529" spans="1:26" s="5" customFormat="1" ht="26.1" customHeight="1" x14ac:dyDescent="0.2">
      <c r="A529" s="11"/>
      <c r="B529" s="11"/>
      <c r="C529" s="11"/>
      <c r="D529" s="11"/>
      <c r="E529" s="11"/>
      <c r="F529" s="11"/>
      <c r="G529" s="11"/>
      <c r="H529" s="12"/>
      <c r="I529" s="23">
        <f>I528</f>
        <v>0</v>
      </c>
      <c r="J529" s="24"/>
      <c r="K529" s="24"/>
      <c r="L529" s="25" t="s">
        <v>26</v>
      </c>
      <c r="M529" s="17"/>
    </row>
    <row r="530" spans="1:26" s="5" customFormat="1" ht="26.1" customHeight="1" x14ac:dyDescent="0.2">
      <c r="A530" s="11"/>
      <c r="B530" s="11"/>
      <c r="C530" s="11"/>
      <c r="D530" s="11"/>
      <c r="E530" s="11"/>
      <c r="F530" s="11"/>
      <c r="G530" s="11"/>
      <c r="H530" s="12"/>
      <c r="I530" s="12"/>
      <c r="J530" s="11"/>
      <c r="K530" s="11"/>
      <c r="L530" s="9"/>
      <c r="M530" s="17"/>
    </row>
    <row r="531" spans="1:26" s="5" customFormat="1" ht="26.1" customHeight="1" x14ac:dyDescent="0.2">
      <c r="A531" s="11"/>
      <c r="B531" s="11"/>
      <c r="C531" s="11"/>
      <c r="D531" s="11"/>
      <c r="E531" s="11"/>
      <c r="F531" s="11"/>
      <c r="G531" s="11"/>
      <c r="H531" s="12"/>
      <c r="I531" s="12"/>
      <c r="J531" s="11"/>
      <c r="K531" s="11"/>
      <c r="L531" s="9"/>
      <c r="M531" s="17"/>
    </row>
    <row r="532" spans="1:26" s="5" customFormat="1" ht="26.1" customHeight="1" x14ac:dyDescent="0.2">
      <c r="A532" s="11"/>
      <c r="B532" s="11"/>
      <c r="C532" s="11"/>
      <c r="D532" s="11"/>
      <c r="F532" s="11"/>
      <c r="G532" s="11"/>
      <c r="H532" s="12"/>
      <c r="I532" s="12"/>
      <c r="J532" s="11"/>
      <c r="K532" s="11"/>
      <c r="L532" s="9"/>
      <c r="M532" s="17"/>
    </row>
    <row r="533" spans="1:26" s="5" customFormat="1" ht="26.1" customHeight="1" x14ac:dyDescent="0.2">
      <c r="A533" s="11"/>
      <c r="B533" s="11"/>
      <c r="C533" s="11"/>
      <c r="D533" s="11"/>
      <c r="E533" s="11"/>
      <c r="F533" s="11"/>
      <c r="G533" s="11"/>
      <c r="H533" s="12"/>
      <c r="I533" s="12"/>
      <c r="J533" s="11"/>
      <c r="K533" s="11"/>
      <c r="L533" s="9"/>
    </row>
    <row r="534" spans="1:26" s="5" customFormat="1" ht="26.1" customHeight="1" x14ac:dyDescent="0.2">
      <c r="A534" s="11"/>
      <c r="B534" s="11"/>
      <c r="C534" s="11"/>
      <c r="D534" s="11"/>
      <c r="F534" s="11"/>
      <c r="G534" s="11"/>
      <c r="H534" s="12"/>
      <c r="I534" s="12"/>
      <c r="J534" s="11"/>
      <c r="K534" s="11"/>
      <c r="L534" s="9"/>
    </row>
    <row r="535" spans="1:26" s="5" customFormat="1" ht="26.1" customHeight="1" x14ac:dyDescent="0.2">
      <c r="A535" s="11"/>
      <c r="B535" s="11"/>
      <c r="C535" s="11"/>
      <c r="D535" s="11"/>
      <c r="E535" s="11"/>
      <c r="F535" s="11"/>
      <c r="G535" s="11"/>
      <c r="H535" s="12"/>
      <c r="I535" s="12"/>
      <c r="J535" s="11"/>
      <c r="K535" s="11"/>
      <c r="L535" s="9"/>
    </row>
    <row r="536" spans="1:26" s="5" customFormat="1" ht="26.1" customHeight="1" x14ac:dyDescent="0.2">
      <c r="A536" s="11"/>
      <c r="B536" s="11"/>
      <c r="C536" s="11"/>
      <c r="D536" s="11"/>
      <c r="E536" s="11"/>
      <c r="F536" s="11"/>
      <c r="G536" s="11"/>
      <c r="H536" s="12"/>
      <c r="I536" s="12"/>
      <c r="J536" s="11"/>
      <c r="K536" s="11"/>
      <c r="L536" s="9"/>
    </row>
    <row r="537" spans="1:26" s="5" customFormat="1" ht="26.1" customHeight="1" x14ac:dyDescent="0.2">
      <c r="A537" s="11"/>
      <c r="B537" s="11"/>
      <c r="C537" s="11"/>
      <c r="D537" s="11"/>
      <c r="E537" s="11"/>
      <c r="F537" s="11"/>
      <c r="G537" s="11"/>
      <c r="H537" s="12"/>
      <c r="I537" s="12"/>
      <c r="J537" s="11"/>
      <c r="K537" s="11"/>
      <c r="L537" s="9"/>
    </row>
    <row r="538" spans="1:26" s="5" customFormat="1" ht="26.1" customHeight="1" x14ac:dyDescent="0.2">
      <c r="A538" s="11"/>
      <c r="B538" s="11"/>
      <c r="C538" s="11"/>
      <c r="D538" s="11"/>
      <c r="E538" s="11"/>
      <c r="F538" s="11"/>
      <c r="G538" s="11"/>
      <c r="H538" s="12"/>
      <c r="I538" s="12"/>
      <c r="J538" s="11"/>
      <c r="K538" s="11"/>
      <c r="L538" s="9"/>
    </row>
    <row r="539" spans="1:26" s="5" customFormat="1" x14ac:dyDescent="0.2"/>
    <row r="540" spans="1:26" s="5" customFormat="1" ht="21.75" customHeight="1" x14ac:dyDescent="0.2">
      <c r="A540" s="3" t="s">
        <v>29</v>
      </c>
      <c r="B540" s="3"/>
      <c r="E540" s="19" t="s">
        <v>30</v>
      </c>
      <c r="F540" s="3"/>
      <c r="G540" s="3"/>
      <c r="I540" s="3" t="s">
        <v>27</v>
      </c>
      <c r="J540" s="3"/>
      <c r="K540" s="3"/>
      <c r="S540" s="13"/>
      <c r="W540" s="13"/>
      <c r="X540" s="3"/>
      <c r="Y540" s="3"/>
    </row>
    <row r="541" spans="1:26" ht="21" customHeight="1" x14ac:dyDescent="0.25">
      <c r="A541" s="3"/>
      <c r="B541" s="3"/>
      <c r="C541" s="5"/>
      <c r="D541" s="3"/>
      <c r="E541" s="20"/>
      <c r="F541" s="3"/>
      <c r="G541" s="3"/>
      <c r="H541" s="5"/>
      <c r="I541" s="3"/>
      <c r="J541" s="3"/>
      <c r="K541" s="3"/>
      <c r="L541" s="5"/>
      <c r="N541" s="2"/>
      <c r="O541" s="2"/>
      <c r="P541" s="52"/>
      <c r="Q541" s="53"/>
      <c r="X541" s="2"/>
      <c r="Y541" s="2"/>
      <c r="Z541" s="2"/>
    </row>
    <row r="542" spans="1:26" ht="21" customHeight="1" x14ac:dyDescent="0.25">
      <c r="A542" s="3"/>
      <c r="B542" s="2"/>
      <c r="D542" s="2"/>
      <c r="E542" s="21"/>
      <c r="F542" s="2"/>
      <c r="G542" s="2"/>
      <c r="I542" s="2"/>
      <c r="J542" s="2"/>
      <c r="K542" s="2"/>
      <c r="O542" s="2"/>
      <c r="Q542" s="4"/>
      <c r="S542" s="2"/>
      <c r="X542" s="2"/>
      <c r="Y542" s="2"/>
      <c r="Z542" s="2"/>
    </row>
    <row r="543" spans="1:26" s="5" customFormat="1" ht="21" customHeight="1" x14ac:dyDescent="0.2">
      <c r="A543" s="6" t="str">
        <f>A33</f>
        <v>MR. JOHNNY U. GALENG</v>
      </c>
      <c r="B543" s="6"/>
      <c r="C543" s="6" t="str">
        <f>C33</f>
        <v>MR. JOHN XERCES C. ANTIPUESTO</v>
      </c>
      <c r="E543" s="22" t="s">
        <v>31</v>
      </c>
      <c r="F543" s="6"/>
      <c r="G543" s="6"/>
      <c r="I543" s="6" t="str">
        <f>I33</f>
        <v>ENGR. EDWIN B. BATAL</v>
      </c>
      <c r="J543" s="6"/>
      <c r="K543" s="6"/>
      <c r="O543" s="3"/>
      <c r="Q543" s="14"/>
    </row>
    <row r="544" spans="1:26" s="5" customFormat="1" ht="21" customHeight="1" x14ac:dyDescent="0.2">
      <c r="A544" s="3" t="s">
        <v>38</v>
      </c>
      <c r="B544" s="3"/>
      <c r="C544" s="3" t="s">
        <v>40</v>
      </c>
      <c r="D544" s="3"/>
      <c r="E544" s="19" t="s">
        <v>35</v>
      </c>
      <c r="F544" s="3"/>
      <c r="G544" s="3"/>
      <c r="I544" s="3" t="str">
        <f>I34</f>
        <v>Mine Explosives Asst. Manager</v>
      </c>
      <c r="J544" s="3"/>
      <c r="K544" s="3"/>
      <c r="O544" s="3"/>
      <c r="Q544" s="14"/>
    </row>
    <row r="545" spans="1:17" s="5" customFormat="1" x14ac:dyDescent="0.2">
      <c r="A545" s="3" t="s">
        <v>32</v>
      </c>
      <c r="B545" s="3"/>
      <c r="C545" s="3" t="s">
        <v>33</v>
      </c>
      <c r="D545" s="3"/>
      <c r="E545" s="19" t="s">
        <v>34</v>
      </c>
      <c r="F545" s="3"/>
      <c r="G545" s="3"/>
      <c r="I545" s="19"/>
      <c r="J545" s="3"/>
      <c r="O545" s="3"/>
      <c r="Q545" s="14"/>
    </row>
    <row r="546" spans="1:17" ht="21.75" customHeight="1" x14ac:dyDescent="0.25"/>
    <row r="555" spans="1:17" ht="20.25" x14ac:dyDescent="0.25">
      <c r="A555" s="49" t="s">
        <v>2</v>
      </c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</row>
    <row r="556" spans="1:17" ht="20.25" x14ac:dyDescent="0.25">
      <c r="A556" s="49" t="s">
        <v>3</v>
      </c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</row>
    <row r="557" spans="1:17" ht="20.25" x14ac:dyDescent="0.25">
      <c r="A557" s="49" t="str">
        <f>A11</f>
        <v>Period Covered : JUNE 1-7, 2026</v>
      </c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</row>
    <row r="558" spans="1:17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7" x14ac:dyDescent="0.25">
      <c r="A559" s="5" t="s">
        <v>4</v>
      </c>
      <c r="B559" s="50" t="s">
        <v>0</v>
      </c>
      <c r="C559" s="50"/>
      <c r="D559" s="50"/>
      <c r="E559" s="5"/>
      <c r="F559" s="5"/>
      <c r="G559" s="5"/>
      <c r="H559" s="5"/>
      <c r="I559" s="5"/>
      <c r="J559" s="5"/>
      <c r="K559" s="5"/>
      <c r="L559" s="5"/>
      <c r="M559" s="5"/>
    </row>
    <row r="560" spans="1:17" x14ac:dyDescent="0.25">
      <c r="A560" s="5" t="s">
        <v>5</v>
      </c>
      <c r="B560" s="51" t="s">
        <v>24</v>
      </c>
      <c r="C560" s="51"/>
      <c r="D560" s="51"/>
      <c r="E560" s="5"/>
      <c r="F560" s="5"/>
      <c r="G560" s="5"/>
      <c r="H560" s="5"/>
      <c r="I560" s="5"/>
      <c r="J560" s="5"/>
      <c r="K560" s="5"/>
      <c r="L560" s="5"/>
      <c r="M560" s="5"/>
    </row>
    <row r="561" spans="1:13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55.5" customHeight="1" x14ac:dyDescent="0.25">
      <c r="A562" s="7" t="s">
        <v>6</v>
      </c>
      <c r="B562" s="7" t="s">
        <v>7</v>
      </c>
      <c r="C562" s="7" t="s">
        <v>8</v>
      </c>
      <c r="D562" s="7" t="s">
        <v>9</v>
      </c>
      <c r="E562" s="8" t="s">
        <v>10</v>
      </c>
      <c r="F562" s="8" t="s">
        <v>10</v>
      </c>
      <c r="G562" s="8" t="s">
        <v>10</v>
      </c>
      <c r="H562" s="8" t="s">
        <v>11</v>
      </c>
      <c r="I562" s="7" t="s">
        <v>12</v>
      </c>
      <c r="J562" s="7"/>
      <c r="K562" s="7"/>
      <c r="L562" s="7" t="s">
        <v>13</v>
      </c>
      <c r="M562" s="5"/>
    </row>
    <row r="563" spans="1:13" ht="41.25" customHeight="1" x14ac:dyDescent="0.25">
      <c r="A563" s="10" t="s">
        <v>44</v>
      </c>
      <c r="B563" s="9" t="s">
        <v>1</v>
      </c>
      <c r="C563" s="15"/>
      <c r="D563" s="16"/>
      <c r="E563" s="15"/>
      <c r="F563" s="11"/>
      <c r="G563" s="11"/>
      <c r="H563" s="12"/>
      <c r="I563" s="12">
        <v>0</v>
      </c>
      <c r="J563" s="11"/>
      <c r="K563" s="11"/>
      <c r="L563" s="9" t="s">
        <v>25</v>
      </c>
      <c r="M563" s="5"/>
    </row>
    <row r="564" spans="1:13" ht="26.1" customHeight="1" x14ac:dyDescent="0.25">
      <c r="A564" s="11"/>
      <c r="B564" s="11"/>
      <c r="C564" s="11"/>
      <c r="D564" s="11"/>
      <c r="E564" s="11"/>
      <c r="F564" s="11"/>
      <c r="G564" s="11"/>
      <c r="H564" s="12"/>
      <c r="I564" s="31">
        <f>I563-H564</f>
        <v>0</v>
      </c>
      <c r="J564" s="24"/>
      <c r="K564" s="24"/>
      <c r="L564" s="25" t="s">
        <v>26</v>
      </c>
      <c r="M564" s="17"/>
    </row>
    <row r="565" spans="1:13" ht="26.1" customHeight="1" x14ac:dyDescent="0.25">
      <c r="A565" s="11"/>
      <c r="B565" s="11"/>
      <c r="C565" s="11"/>
      <c r="D565" s="11"/>
      <c r="E565" s="11"/>
      <c r="F565" s="11"/>
      <c r="G565" s="11"/>
      <c r="H565" s="12"/>
      <c r="I565" s="12"/>
      <c r="J565" s="11"/>
      <c r="K565" s="11"/>
      <c r="L565" s="9"/>
      <c r="M565" s="17"/>
    </row>
    <row r="566" spans="1:13" ht="26.1" customHeight="1" x14ac:dyDescent="0.25">
      <c r="A566" s="11"/>
      <c r="B566" s="11"/>
      <c r="C566" s="11"/>
      <c r="D566" s="11"/>
      <c r="E566" s="11"/>
      <c r="F566" s="11"/>
      <c r="G566" s="11"/>
      <c r="H566" s="12"/>
      <c r="I566" s="12"/>
      <c r="J566" s="11"/>
      <c r="K566" s="11"/>
      <c r="L566" s="9"/>
      <c r="M566" s="17"/>
    </row>
    <row r="567" spans="1:13" ht="26.1" customHeight="1" x14ac:dyDescent="0.25">
      <c r="A567" s="11"/>
      <c r="B567" s="11"/>
      <c r="C567" s="11"/>
      <c r="D567" s="11"/>
      <c r="E567" s="11"/>
      <c r="F567" s="11"/>
      <c r="G567" s="11"/>
      <c r="H567" s="12"/>
      <c r="I567" s="12"/>
      <c r="J567" s="11"/>
      <c r="K567" s="11"/>
      <c r="L567" s="9"/>
      <c r="M567" s="17"/>
    </row>
    <row r="568" spans="1:13" ht="26.1" customHeight="1" x14ac:dyDescent="0.25">
      <c r="A568" s="11"/>
      <c r="B568" s="11"/>
      <c r="C568" s="11"/>
      <c r="D568" s="11"/>
      <c r="E568" s="11"/>
      <c r="F568" s="11"/>
      <c r="G568" s="11"/>
      <c r="H568" s="12"/>
      <c r="I568" s="12"/>
      <c r="J568" s="11"/>
      <c r="K568" s="11"/>
      <c r="L568" s="9"/>
      <c r="M568" s="5"/>
    </row>
    <row r="569" spans="1:13" ht="26.1" customHeight="1" x14ac:dyDescent="0.25">
      <c r="A569" s="11"/>
      <c r="B569" s="11"/>
      <c r="C569" s="11"/>
      <c r="D569" s="11"/>
      <c r="E569" s="11"/>
      <c r="F569" s="11"/>
      <c r="G569" s="11"/>
      <c r="H569" s="12"/>
      <c r="I569" s="12"/>
      <c r="J569" s="11"/>
      <c r="K569" s="11"/>
      <c r="L569" s="9"/>
      <c r="M569" s="5"/>
    </row>
    <row r="570" spans="1:13" ht="26.1" customHeight="1" x14ac:dyDescent="0.25">
      <c r="A570" s="11"/>
      <c r="B570" s="11"/>
      <c r="C570" s="11"/>
      <c r="D570" s="11"/>
      <c r="E570" s="11"/>
      <c r="F570" s="11"/>
      <c r="G570" s="11"/>
      <c r="H570" s="12"/>
      <c r="I570" s="12"/>
      <c r="J570" s="11"/>
      <c r="K570" s="11"/>
      <c r="L570" s="9"/>
      <c r="M570" s="5"/>
    </row>
    <row r="571" spans="1:13" ht="26.1" customHeight="1" x14ac:dyDescent="0.25">
      <c r="A571" s="11"/>
      <c r="B571" s="11"/>
      <c r="C571" s="11"/>
      <c r="D571" s="11"/>
      <c r="E571" s="11"/>
      <c r="F571" s="11"/>
      <c r="G571" s="11"/>
      <c r="H571" s="12"/>
      <c r="I571" s="12"/>
      <c r="J571" s="11"/>
      <c r="K571" s="11"/>
      <c r="L571" s="9"/>
      <c r="M571" s="5"/>
    </row>
    <row r="572" spans="1:13" ht="26.1" customHeight="1" x14ac:dyDescent="0.25">
      <c r="A572" s="11"/>
      <c r="B572" s="11"/>
      <c r="C572" s="11"/>
      <c r="D572" s="11"/>
      <c r="E572" s="11"/>
      <c r="F572" s="11"/>
      <c r="G572" s="11"/>
      <c r="H572" s="12"/>
      <c r="I572" s="12"/>
      <c r="J572" s="11"/>
      <c r="K572" s="11"/>
      <c r="L572" s="9"/>
      <c r="M572" s="5"/>
    </row>
    <row r="573" spans="1:13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x14ac:dyDescent="0.25">
      <c r="A574" s="3" t="s">
        <v>29</v>
      </c>
      <c r="B574" s="3"/>
      <c r="C574" s="5"/>
      <c r="D574" s="5"/>
      <c r="E574" s="19" t="s">
        <v>30</v>
      </c>
      <c r="F574" s="3"/>
      <c r="G574" s="3"/>
      <c r="H574" s="5"/>
      <c r="I574" s="3" t="s">
        <v>27</v>
      </c>
      <c r="J574" s="3"/>
      <c r="K574" s="3"/>
      <c r="L574" s="5"/>
      <c r="M574" s="5"/>
    </row>
    <row r="575" spans="1:13" x14ac:dyDescent="0.25">
      <c r="A575" s="3"/>
      <c r="B575" s="3"/>
      <c r="C575" s="5"/>
      <c r="D575" s="3"/>
      <c r="E575" s="20"/>
      <c r="F575" s="3"/>
      <c r="G575" s="3"/>
      <c r="H575" s="5"/>
      <c r="I575" s="3"/>
      <c r="J575" s="3"/>
      <c r="K575" s="3"/>
      <c r="L575" s="5"/>
    </row>
    <row r="576" spans="1:13" x14ac:dyDescent="0.25">
      <c r="A576" s="3"/>
      <c r="B576" s="2"/>
      <c r="D576" s="2"/>
      <c r="E576" s="21"/>
      <c r="F576" s="2"/>
      <c r="G576" s="2"/>
      <c r="I576" s="2"/>
      <c r="J576" s="2"/>
      <c r="K576" s="2"/>
    </row>
    <row r="577" spans="1:13" x14ac:dyDescent="0.25">
      <c r="A577" s="6" t="str">
        <f>A33</f>
        <v>MR. JOHNNY U. GALENG</v>
      </c>
      <c r="B577" s="6"/>
      <c r="C577" s="6" t="str">
        <f>C33</f>
        <v>MR. JOHN XERCES C. ANTIPUESTO</v>
      </c>
      <c r="D577" s="5"/>
      <c r="E577" s="22" t="s">
        <v>31</v>
      </c>
      <c r="F577" s="6"/>
      <c r="G577" s="6"/>
      <c r="H577" s="5"/>
      <c r="I577" s="6" t="str">
        <f>I33</f>
        <v>ENGR. EDWIN B. BATAL</v>
      </c>
      <c r="J577" s="6"/>
      <c r="K577" s="6"/>
      <c r="L577" s="5"/>
      <c r="M577" s="5"/>
    </row>
    <row r="578" spans="1:13" x14ac:dyDescent="0.25">
      <c r="A578" s="3" t="s">
        <v>38</v>
      </c>
      <c r="B578" s="3"/>
      <c r="C578" s="3" t="s">
        <v>40</v>
      </c>
      <c r="D578" s="3"/>
      <c r="E578" s="19" t="s">
        <v>35</v>
      </c>
      <c r="F578" s="3"/>
      <c r="G578" s="3"/>
      <c r="H578" s="5"/>
      <c r="I578" s="3" t="str">
        <f>I34</f>
        <v>Mine Explosives Asst. Manager</v>
      </c>
      <c r="J578" s="3"/>
      <c r="K578" s="3"/>
      <c r="L578" s="5"/>
      <c r="M578" s="5"/>
    </row>
    <row r="579" spans="1:13" x14ac:dyDescent="0.25">
      <c r="A579" s="3" t="s">
        <v>32</v>
      </c>
      <c r="B579" s="3"/>
      <c r="C579" s="3" t="s">
        <v>33</v>
      </c>
      <c r="D579" s="3"/>
      <c r="E579" s="19" t="s">
        <v>34</v>
      </c>
      <c r="F579" s="3"/>
      <c r="G579" s="3"/>
      <c r="H579" s="5"/>
      <c r="I579" s="19"/>
      <c r="J579" s="3"/>
      <c r="K579" s="5"/>
      <c r="L579" s="5"/>
      <c r="M579" s="5"/>
    </row>
  </sheetData>
  <mergeCells count="95">
    <mergeCell ref="P507:Q507"/>
    <mergeCell ref="A486:M486"/>
    <mergeCell ref="A487:M487"/>
    <mergeCell ref="A488:M488"/>
    <mergeCell ref="B490:D490"/>
    <mergeCell ref="B491:D491"/>
    <mergeCell ref="P473:Q473"/>
    <mergeCell ref="A451:M451"/>
    <mergeCell ref="A452:M452"/>
    <mergeCell ref="A453:M453"/>
    <mergeCell ref="B455:D455"/>
    <mergeCell ref="B456:D456"/>
    <mergeCell ref="P31:Q31"/>
    <mergeCell ref="A9:M9"/>
    <mergeCell ref="A10:M10"/>
    <mergeCell ref="A11:M11"/>
    <mergeCell ref="B15:D15"/>
    <mergeCell ref="B14:D14"/>
    <mergeCell ref="A45:M45"/>
    <mergeCell ref="B49:D49"/>
    <mergeCell ref="P65:Q65"/>
    <mergeCell ref="B50:D50"/>
    <mergeCell ref="A46:M46"/>
    <mergeCell ref="A47:M47"/>
    <mergeCell ref="A83:M83"/>
    <mergeCell ref="B85:D85"/>
    <mergeCell ref="B86:D86"/>
    <mergeCell ref="P104:Q104"/>
    <mergeCell ref="A81:M81"/>
    <mergeCell ref="A82:M82"/>
    <mergeCell ref="B125:D125"/>
    <mergeCell ref="P142:Q142"/>
    <mergeCell ref="A157:M157"/>
    <mergeCell ref="A120:M120"/>
    <mergeCell ref="A121:M121"/>
    <mergeCell ref="A122:M122"/>
    <mergeCell ref="B124:D124"/>
    <mergeCell ref="P179:Q179"/>
    <mergeCell ref="A196:M196"/>
    <mergeCell ref="A197:M197"/>
    <mergeCell ref="A198:M198"/>
    <mergeCell ref="A158:M158"/>
    <mergeCell ref="A159:M159"/>
    <mergeCell ref="B161:D161"/>
    <mergeCell ref="B162:D162"/>
    <mergeCell ref="B200:D200"/>
    <mergeCell ref="B201:D201"/>
    <mergeCell ref="P217:Q217"/>
    <mergeCell ref="A269:M269"/>
    <mergeCell ref="B271:D271"/>
    <mergeCell ref="A232:M232"/>
    <mergeCell ref="A233:M233"/>
    <mergeCell ref="A234:M234"/>
    <mergeCell ref="B236:D236"/>
    <mergeCell ref="B237:D237"/>
    <mergeCell ref="B272:D272"/>
    <mergeCell ref="P289:Q289"/>
    <mergeCell ref="P253:Q253"/>
    <mergeCell ref="A267:M267"/>
    <mergeCell ref="A268:M268"/>
    <mergeCell ref="B309:D309"/>
    <mergeCell ref="P326:Q326"/>
    <mergeCell ref="A340:M340"/>
    <mergeCell ref="A304:M304"/>
    <mergeCell ref="A305:M305"/>
    <mergeCell ref="A306:M306"/>
    <mergeCell ref="B308:D308"/>
    <mergeCell ref="P362:Q362"/>
    <mergeCell ref="A378:M378"/>
    <mergeCell ref="A379:M379"/>
    <mergeCell ref="A380:M380"/>
    <mergeCell ref="A341:M341"/>
    <mergeCell ref="A342:M342"/>
    <mergeCell ref="B344:D344"/>
    <mergeCell ref="B345:D345"/>
    <mergeCell ref="B382:D382"/>
    <mergeCell ref="B383:D383"/>
    <mergeCell ref="P401:Q401"/>
    <mergeCell ref="P435:Q435"/>
    <mergeCell ref="A414:M414"/>
    <mergeCell ref="A415:M415"/>
    <mergeCell ref="A416:M416"/>
    <mergeCell ref="B418:D418"/>
    <mergeCell ref="B419:D419"/>
    <mergeCell ref="P541:Q541"/>
    <mergeCell ref="A520:M520"/>
    <mergeCell ref="A521:M521"/>
    <mergeCell ref="A522:M522"/>
    <mergeCell ref="B524:D524"/>
    <mergeCell ref="B525:D525"/>
    <mergeCell ref="A555:M555"/>
    <mergeCell ref="A556:M556"/>
    <mergeCell ref="A557:M557"/>
    <mergeCell ref="B559:D559"/>
    <mergeCell ref="B560:D560"/>
  </mergeCells>
  <pageMargins left="0.19685039370078741" right="0.19685039370078741" top="0.39370078740157483" bottom="0.31496062992125984" header="0.31496062992125984" footer="0.31496062992125984"/>
  <pageSetup paperSize="9" scale="66" orientation="landscape" r:id="rId1"/>
  <headerFooter differentOddEven="1" scaleWithDoc="0" alignWithMargins="0"/>
  <rowBreaks count="15" manualBreakCount="15">
    <brk id="35" max="16383" man="1"/>
    <brk id="70" max="16383" man="1"/>
    <brk id="109" max="16383" man="1"/>
    <brk id="148" max="16383" man="1"/>
    <brk id="185" max="16383" man="1"/>
    <brk id="223" max="16383" man="1"/>
    <brk id="258" max="16383" man="1"/>
    <brk id="294" max="16" man="1"/>
    <brk id="331" max="16383" man="1"/>
    <brk id="367" max="16383" man="1"/>
    <brk id="406" max="16383" man="1"/>
    <brk id="440" max="16383" man="1"/>
    <brk id="477" max="16383" man="1"/>
    <brk id="512" max="16383" man="1"/>
    <brk id="546" max="16383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2026-06-02T07:32:12Z</cp:lastPrinted>
  <dcterms:created xsi:type="dcterms:W3CDTF">2016-07-15T01:59:21Z</dcterms:created>
  <dcterms:modified xsi:type="dcterms:W3CDTF">2026-06-08T06:58:35Z</dcterms:modified>
</cp:coreProperties>
</file>