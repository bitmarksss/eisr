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08. SHARED\08_23 EXPLOSIVES CONSUMPTION FOR DASHBOARD\"/>
    </mc:Choice>
  </mc:AlternateContent>
  <bookViews>
    <workbookView xWindow="-120" yWindow="-120" windowWidth="29040" windowHeight="15840" tabRatio="708"/>
  </bookViews>
  <sheets>
    <sheet name="ALL LEVELS" sheetId="1" r:id="rId1"/>
    <sheet name="LEVEL 3" sheetId="11" r:id="rId2"/>
    <sheet name="LEVEL 4" sheetId="2" r:id="rId3"/>
    <sheet name="LEVEL 5" sheetId="6" r:id="rId4"/>
    <sheet name="LEVEL 6" sheetId="7" r:id="rId5"/>
    <sheet name="LEVEL 7" sheetId="8" r:id="rId6"/>
    <sheet name="LEVEL 8" sheetId="9" r:id="rId7"/>
    <sheet name="LEVEL 9" sheetId="4" r:id="rId8"/>
    <sheet name="LEVEL 10" sheetId="5" r:id="rId9"/>
    <sheet name="LEVEL 11" sheetId="10" r:id="rId10"/>
    <sheet name="LEVEL 12" sheetId="3" r:id="rId11"/>
    <sheet name="L425" sheetId="13" r:id="rId12"/>
    <sheet name="L460" sheetId="14" r:id="rId13"/>
    <sheet name="SINUG-ANG VEIN" sheetId="12" r:id="rId1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4" l="1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35" i="3"/>
  <c r="B36" i="3"/>
  <c r="B37" i="3"/>
  <c r="B38" i="3"/>
  <c r="B39" i="3"/>
  <c r="B40" i="3"/>
  <c r="B41" i="3"/>
  <c r="B42" i="3"/>
  <c r="B43" i="3"/>
  <c r="B35" i="10"/>
  <c r="B36" i="10"/>
  <c r="B37" i="10"/>
  <c r="B38" i="10"/>
  <c r="B39" i="10"/>
  <c r="B40" i="10"/>
  <c r="B41" i="10"/>
  <c r="B42" i="10"/>
  <c r="B43" i="10"/>
  <c r="B33" i="5"/>
  <c r="B34" i="5"/>
  <c r="B35" i="5"/>
  <c r="B36" i="5"/>
  <c r="B37" i="5"/>
  <c r="B38" i="5"/>
  <c r="B39" i="5"/>
  <c r="B40" i="5"/>
  <c r="B41" i="5"/>
  <c r="B42" i="5"/>
  <c r="B43" i="5"/>
  <c r="B35" i="4"/>
  <c r="B36" i="4"/>
  <c r="B37" i="4"/>
  <c r="B38" i="4"/>
  <c r="B39" i="4"/>
  <c r="B40" i="4"/>
  <c r="B41" i="4"/>
  <c r="B42" i="4"/>
  <c r="B43" i="4"/>
  <c r="B35" i="9"/>
  <c r="B36" i="9"/>
  <c r="B37" i="9"/>
  <c r="B38" i="9"/>
  <c r="B39" i="9"/>
  <c r="B40" i="9"/>
  <c r="B41" i="9"/>
  <c r="B42" i="9"/>
  <c r="B43" i="9"/>
  <c r="B36" i="8"/>
  <c r="B37" i="8"/>
  <c r="B38" i="8"/>
  <c r="B39" i="8"/>
  <c r="B40" i="8"/>
  <c r="B41" i="8"/>
  <c r="B42" i="8"/>
  <c r="B43" i="8"/>
  <c r="C2" i="14" l="1"/>
  <c r="C14" i="1" l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G43" i="1" l="1"/>
  <c r="H43" i="1"/>
  <c r="A43" i="13"/>
  <c r="M37" i="13" l="1"/>
  <c r="L37" i="13"/>
  <c r="K37" i="13"/>
  <c r="J37" i="13"/>
  <c r="M36" i="13"/>
  <c r="L36" i="13"/>
  <c r="K36" i="13"/>
  <c r="J36" i="13"/>
  <c r="M35" i="13"/>
  <c r="L35" i="13"/>
  <c r="K35" i="13"/>
  <c r="J35" i="13"/>
  <c r="M34" i="13"/>
  <c r="L34" i="13"/>
  <c r="K34" i="13"/>
  <c r="J34" i="13"/>
  <c r="A34" i="7" l="1"/>
  <c r="A35" i="7"/>
  <c r="A36" i="7"/>
  <c r="A37" i="7"/>
  <c r="A38" i="7"/>
  <c r="A39" i="7"/>
  <c r="A40" i="7"/>
  <c r="A41" i="7"/>
  <c r="A42" i="7"/>
  <c r="A43" i="7"/>
  <c r="A34" i="8"/>
  <c r="A35" i="8"/>
  <c r="A36" i="8"/>
  <c r="A37" i="8"/>
  <c r="A38" i="8"/>
  <c r="A39" i="8"/>
  <c r="A40" i="8"/>
  <c r="A41" i="8"/>
  <c r="A42" i="8"/>
  <c r="A43" i="8"/>
  <c r="A33" i="9"/>
  <c r="A34" i="9"/>
  <c r="A35" i="9"/>
  <c r="A36" i="9"/>
  <c r="A37" i="9"/>
  <c r="A38" i="9"/>
  <c r="A39" i="9"/>
  <c r="A40" i="9"/>
  <c r="A41" i="9"/>
  <c r="A42" i="9"/>
  <c r="A43" i="9"/>
  <c r="A33" i="4"/>
  <c r="A34" i="4"/>
  <c r="A35" i="4"/>
  <c r="A36" i="4"/>
  <c r="A37" i="4"/>
  <c r="A38" i="4"/>
  <c r="A39" i="4"/>
  <c r="A40" i="4"/>
  <c r="A41" i="4"/>
  <c r="A42" i="4"/>
  <c r="A43" i="4"/>
  <c r="A33" i="5"/>
  <c r="A34" i="5"/>
  <c r="A35" i="5"/>
  <c r="A36" i="5"/>
  <c r="A37" i="5"/>
  <c r="A38" i="5"/>
  <c r="A39" i="5"/>
  <c r="A40" i="5"/>
  <c r="A41" i="5"/>
  <c r="A42" i="5"/>
  <c r="A43" i="5"/>
  <c r="A35" i="10"/>
  <c r="A36" i="10"/>
  <c r="A37" i="10"/>
  <c r="A38" i="10"/>
  <c r="A39" i="10"/>
  <c r="A40" i="10"/>
  <c r="A41" i="10"/>
  <c r="A42" i="10"/>
  <c r="A43" i="10"/>
  <c r="A32" i="3"/>
  <c r="A33" i="3"/>
  <c r="A34" i="3"/>
  <c r="A35" i="3"/>
  <c r="A36" i="3"/>
  <c r="A37" i="3"/>
  <c r="A38" i="3"/>
  <c r="A39" i="3"/>
  <c r="A40" i="3"/>
  <c r="A41" i="3"/>
  <c r="A42" i="3"/>
  <c r="A43" i="3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M38" i="12"/>
  <c r="L38" i="12"/>
  <c r="K38" i="12"/>
  <c r="J38" i="12"/>
  <c r="B38" i="12"/>
  <c r="M37" i="12"/>
  <c r="L37" i="12"/>
  <c r="K37" i="12"/>
  <c r="J37" i="12"/>
  <c r="B37" i="12"/>
  <c r="M36" i="12"/>
  <c r="L36" i="12"/>
  <c r="K36" i="12"/>
  <c r="J36" i="12"/>
  <c r="B36" i="12"/>
  <c r="M38" i="14"/>
  <c r="L38" i="14"/>
  <c r="K38" i="14"/>
  <c r="J38" i="14"/>
  <c r="M37" i="14"/>
  <c r="L37" i="14"/>
  <c r="K37" i="14"/>
  <c r="J37" i="14"/>
  <c r="M36" i="14"/>
  <c r="L36" i="14"/>
  <c r="K36" i="14"/>
  <c r="J36" i="14"/>
  <c r="M38" i="3"/>
  <c r="L38" i="3"/>
  <c r="K38" i="3"/>
  <c r="J38" i="3"/>
  <c r="M37" i="3"/>
  <c r="L37" i="3"/>
  <c r="K37" i="3"/>
  <c r="J37" i="3"/>
  <c r="M36" i="3"/>
  <c r="L36" i="3"/>
  <c r="K36" i="3"/>
  <c r="J36" i="3"/>
  <c r="M38" i="10"/>
  <c r="L38" i="10"/>
  <c r="K38" i="10"/>
  <c r="J38" i="10"/>
  <c r="M37" i="10"/>
  <c r="L37" i="10"/>
  <c r="K37" i="10"/>
  <c r="J37" i="10"/>
  <c r="M36" i="10"/>
  <c r="L36" i="10"/>
  <c r="K36" i="10"/>
  <c r="J36" i="10"/>
  <c r="M38" i="5"/>
  <c r="L38" i="5"/>
  <c r="K38" i="5"/>
  <c r="J38" i="5"/>
  <c r="M37" i="5"/>
  <c r="L37" i="5"/>
  <c r="K37" i="5"/>
  <c r="J37" i="5"/>
  <c r="M36" i="5"/>
  <c r="L36" i="5"/>
  <c r="K36" i="5"/>
  <c r="J36" i="5"/>
  <c r="M38" i="4"/>
  <c r="L38" i="4"/>
  <c r="K38" i="4"/>
  <c r="J38" i="4"/>
  <c r="M37" i="4"/>
  <c r="L37" i="4"/>
  <c r="K37" i="4"/>
  <c r="J37" i="4"/>
  <c r="M36" i="4"/>
  <c r="L36" i="4"/>
  <c r="K36" i="4"/>
  <c r="J36" i="4"/>
  <c r="M38" i="9"/>
  <c r="L38" i="9"/>
  <c r="K38" i="9"/>
  <c r="J38" i="9"/>
  <c r="M37" i="9"/>
  <c r="L37" i="9"/>
  <c r="K37" i="9"/>
  <c r="J37" i="9"/>
  <c r="M36" i="9"/>
  <c r="L36" i="9"/>
  <c r="K36" i="9"/>
  <c r="J36" i="9"/>
  <c r="M38" i="8"/>
  <c r="L38" i="8"/>
  <c r="K38" i="8"/>
  <c r="J38" i="8"/>
  <c r="M37" i="8"/>
  <c r="L37" i="8"/>
  <c r="K37" i="8"/>
  <c r="J37" i="8"/>
  <c r="M36" i="8"/>
  <c r="L36" i="8"/>
  <c r="K36" i="8"/>
  <c r="J36" i="8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M38" i="7"/>
  <c r="L38" i="7"/>
  <c r="K38" i="7"/>
  <c r="J38" i="7"/>
  <c r="B38" i="7"/>
  <c r="M37" i="7"/>
  <c r="L37" i="7"/>
  <c r="K37" i="7"/>
  <c r="J37" i="7"/>
  <c r="B37" i="7"/>
  <c r="M36" i="7"/>
  <c r="L36" i="7"/>
  <c r="K36" i="7"/>
  <c r="J36" i="7"/>
  <c r="B36" i="7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M38" i="6"/>
  <c r="L38" i="6"/>
  <c r="K38" i="6"/>
  <c r="J38" i="6"/>
  <c r="B38" i="6"/>
  <c r="M37" i="6"/>
  <c r="L37" i="6"/>
  <c r="K37" i="6"/>
  <c r="J37" i="6"/>
  <c r="B37" i="6"/>
  <c r="M36" i="6"/>
  <c r="L36" i="6"/>
  <c r="K36" i="6"/>
  <c r="J36" i="6"/>
  <c r="B36" i="6"/>
  <c r="M37" i="2"/>
  <c r="L37" i="2"/>
  <c r="K37" i="2"/>
  <c r="J37" i="2"/>
  <c r="B37" i="2"/>
  <c r="M36" i="2"/>
  <c r="L36" i="2"/>
  <c r="K36" i="2"/>
  <c r="J36" i="2"/>
  <c r="B36" i="2"/>
  <c r="M35" i="2"/>
  <c r="L35" i="2"/>
  <c r="K35" i="2"/>
  <c r="J35" i="2"/>
  <c r="B35" i="2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M38" i="11"/>
  <c r="L38" i="11"/>
  <c r="K38" i="11"/>
  <c r="J38" i="11"/>
  <c r="B38" i="11"/>
  <c r="M37" i="11"/>
  <c r="L37" i="11"/>
  <c r="K37" i="11"/>
  <c r="J37" i="11"/>
  <c r="B37" i="11"/>
  <c r="M36" i="11"/>
  <c r="L36" i="11"/>
  <c r="K36" i="11"/>
  <c r="J36" i="11"/>
  <c r="B36" i="11"/>
  <c r="D44" i="14"/>
  <c r="E44" i="14"/>
  <c r="F44" i="14"/>
  <c r="C44" i="14"/>
  <c r="D13" i="1" l="1"/>
  <c r="E13" i="1"/>
  <c r="F13" i="1"/>
  <c r="C13" i="1"/>
  <c r="H44" i="14"/>
  <c r="G44" i="14"/>
  <c r="M43" i="14"/>
  <c r="L43" i="14"/>
  <c r="K43" i="14"/>
  <c r="J43" i="14"/>
  <c r="M42" i="14"/>
  <c r="L42" i="14"/>
  <c r="K42" i="14"/>
  <c r="J42" i="14"/>
  <c r="M40" i="14"/>
  <c r="L40" i="14"/>
  <c r="K40" i="14"/>
  <c r="J40" i="14"/>
  <c r="M39" i="14"/>
  <c r="L39" i="14"/>
  <c r="K39" i="14"/>
  <c r="J39" i="14"/>
  <c r="M35" i="14"/>
  <c r="L35" i="14"/>
  <c r="K35" i="14"/>
  <c r="J35" i="14"/>
  <c r="M34" i="14"/>
  <c r="L34" i="14"/>
  <c r="K34" i="14"/>
  <c r="J34" i="14"/>
  <c r="M33" i="14"/>
  <c r="L33" i="14"/>
  <c r="K33" i="14"/>
  <c r="J33" i="14"/>
  <c r="M32" i="14"/>
  <c r="L32" i="14"/>
  <c r="K32" i="14"/>
  <c r="J32" i="14"/>
  <c r="M31" i="14"/>
  <c r="L31" i="14"/>
  <c r="K31" i="14"/>
  <c r="J31" i="14"/>
  <c r="M30" i="14"/>
  <c r="L30" i="14"/>
  <c r="K30" i="14"/>
  <c r="J30" i="14"/>
  <c r="M28" i="14"/>
  <c r="L28" i="14"/>
  <c r="K28" i="14"/>
  <c r="J28" i="14"/>
  <c r="M27" i="14"/>
  <c r="L27" i="14"/>
  <c r="K27" i="14"/>
  <c r="J27" i="14"/>
  <c r="M26" i="14"/>
  <c r="L26" i="14"/>
  <c r="K26" i="14"/>
  <c r="J26" i="14"/>
  <c r="M25" i="14"/>
  <c r="L25" i="14"/>
  <c r="K25" i="14"/>
  <c r="J25" i="14"/>
  <c r="M24" i="14"/>
  <c r="L24" i="14"/>
  <c r="K24" i="14"/>
  <c r="J24" i="14"/>
  <c r="M23" i="14"/>
  <c r="L23" i="14"/>
  <c r="K23" i="14"/>
  <c r="J23" i="14"/>
  <c r="M22" i="14"/>
  <c r="L22" i="14"/>
  <c r="K22" i="14"/>
  <c r="J22" i="14"/>
  <c r="M21" i="14"/>
  <c r="L21" i="14"/>
  <c r="K21" i="14"/>
  <c r="J21" i="14"/>
  <c r="M20" i="14"/>
  <c r="L20" i="14"/>
  <c r="K20" i="14"/>
  <c r="J20" i="14"/>
  <c r="M19" i="14"/>
  <c r="L19" i="14"/>
  <c r="K19" i="14"/>
  <c r="J19" i="14"/>
  <c r="M18" i="14"/>
  <c r="L18" i="14"/>
  <c r="K18" i="14"/>
  <c r="J18" i="14"/>
  <c r="M17" i="14"/>
  <c r="L17" i="14"/>
  <c r="K17" i="14"/>
  <c r="J17" i="14"/>
  <c r="M16" i="14"/>
  <c r="L16" i="14"/>
  <c r="K16" i="14"/>
  <c r="J16" i="14"/>
  <c r="M15" i="14"/>
  <c r="L15" i="14"/>
  <c r="K15" i="14"/>
  <c r="J15" i="14"/>
  <c r="M14" i="14"/>
  <c r="L14" i="14"/>
  <c r="K14" i="14"/>
  <c r="J14" i="14"/>
  <c r="M13" i="14"/>
  <c r="L13" i="14"/>
  <c r="K13" i="14"/>
  <c r="J13" i="14"/>
  <c r="B13" i="14"/>
  <c r="A13" i="14"/>
  <c r="H1" i="14"/>
  <c r="F1" i="14"/>
  <c r="J38" i="1" l="1"/>
  <c r="J37" i="1"/>
  <c r="L37" i="1"/>
  <c r="L38" i="1"/>
  <c r="M38" i="1"/>
  <c r="M37" i="1"/>
  <c r="K38" i="1"/>
  <c r="K37" i="1"/>
  <c r="J39" i="1"/>
  <c r="M39" i="1"/>
  <c r="L39" i="1"/>
  <c r="K39" i="1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13" i="12" l="1"/>
  <c r="F1" i="11" l="1"/>
  <c r="H44" i="13" l="1"/>
  <c r="G44" i="13"/>
  <c r="F44" i="13"/>
  <c r="E44" i="13"/>
  <c r="D44" i="13"/>
  <c r="C44" i="13"/>
  <c r="M43" i="13"/>
  <c r="L43" i="13"/>
  <c r="K43" i="13"/>
  <c r="J43" i="13"/>
  <c r="M39" i="13"/>
  <c r="L39" i="13"/>
  <c r="K39" i="13"/>
  <c r="J39" i="13"/>
  <c r="M38" i="13"/>
  <c r="L38" i="13"/>
  <c r="K38" i="13"/>
  <c r="J38" i="13"/>
  <c r="M33" i="13"/>
  <c r="L33" i="13"/>
  <c r="K33" i="13"/>
  <c r="J33" i="13"/>
  <c r="M32" i="13"/>
  <c r="L32" i="13"/>
  <c r="K32" i="13"/>
  <c r="J32" i="13"/>
  <c r="M31" i="13"/>
  <c r="L31" i="13"/>
  <c r="K31" i="13"/>
  <c r="J31" i="13"/>
  <c r="M30" i="13"/>
  <c r="L30" i="13"/>
  <c r="K30" i="13"/>
  <c r="J30" i="13"/>
  <c r="M28" i="13"/>
  <c r="L28" i="13"/>
  <c r="K28" i="13"/>
  <c r="J28" i="13"/>
  <c r="M27" i="13"/>
  <c r="L27" i="13"/>
  <c r="K27" i="13"/>
  <c r="J27" i="13"/>
  <c r="M26" i="13"/>
  <c r="L26" i="13"/>
  <c r="K26" i="13"/>
  <c r="J26" i="13"/>
  <c r="M25" i="13"/>
  <c r="L25" i="13"/>
  <c r="K25" i="13"/>
  <c r="J25" i="13"/>
  <c r="M24" i="13"/>
  <c r="L24" i="13"/>
  <c r="K24" i="13"/>
  <c r="J24" i="13"/>
  <c r="M23" i="13"/>
  <c r="L23" i="13"/>
  <c r="K23" i="13"/>
  <c r="J23" i="13"/>
  <c r="M22" i="13"/>
  <c r="L22" i="13"/>
  <c r="K22" i="13"/>
  <c r="J22" i="13"/>
  <c r="M21" i="13"/>
  <c r="L21" i="13"/>
  <c r="K21" i="13"/>
  <c r="J21" i="13"/>
  <c r="M20" i="13"/>
  <c r="L20" i="13"/>
  <c r="K20" i="13"/>
  <c r="J20" i="13"/>
  <c r="M19" i="13"/>
  <c r="L19" i="13"/>
  <c r="K19" i="13"/>
  <c r="J19" i="13"/>
  <c r="M18" i="13"/>
  <c r="L18" i="13"/>
  <c r="K18" i="13"/>
  <c r="J18" i="13"/>
  <c r="M17" i="13"/>
  <c r="L17" i="13"/>
  <c r="K17" i="13"/>
  <c r="J17" i="13"/>
  <c r="M16" i="13"/>
  <c r="L16" i="13"/>
  <c r="K16" i="13"/>
  <c r="J16" i="13"/>
  <c r="M15" i="13"/>
  <c r="L15" i="13"/>
  <c r="K15" i="13"/>
  <c r="J15" i="13"/>
  <c r="M14" i="13"/>
  <c r="L14" i="13"/>
  <c r="K14" i="13"/>
  <c r="J14" i="13"/>
  <c r="M13" i="13"/>
  <c r="L13" i="13"/>
  <c r="K13" i="13"/>
  <c r="J13" i="13"/>
  <c r="B13" i="13"/>
  <c r="A13" i="13"/>
  <c r="C2" i="13"/>
  <c r="H1" i="13"/>
  <c r="F1" i="13"/>
  <c r="F1" i="3" l="1"/>
  <c r="H44" i="12" l="1"/>
  <c r="G44" i="12"/>
  <c r="F44" i="12"/>
  <c r="E44" i="12"/>
  <c r="D44" i="12"/>
  <c r="C44" i="12"/>
  <c r="M43" i="12"/>
  <c r="L43" i="12"/>
  <c r="K43" i="12"/>
  <c r="J43" i="12"/>
  <c r="B43" i="12"/>
  <c r="M42" i="12"/>
  <c r="L42" i="12"/>
  <c r="K42" i="12"/>
  <c r="J42" i="12"/>
  <c r="B42" i="12"/>
  <c r="B41" i="12"/>
  <c r="M40" i="12"/>
  <c r="L40" i="12"/>
  <c r="K40" i="12"/>
  <c r="J40" i="12"/>
  <c r="B40" i="12"/>
  <c r="M39" i="12"/>
  <c r="L39" i="12"/>
  <c r="K39" i="12"/>
  <c r="J39" i="12"/>
  <c r="B39" i="12"/>
  <c r="M35" i="12"/>
  <c r="L35" i="12"/>
  <c r="K35" i="12"/>
  <c r="J35" i="12"/>
  <c r="B35" i="12"/>
  <c r="M34" i="12"/>
  <c r="L34" i="12"/>
  <c r="K34" i="12"/>
  <c r="J34" i="12"/>
  <c r="B34" i="12"/>
  <c r="M33" i="12"/>
  <c r="L33" i="12"/>
  <c r="K33" i="12"/>
  <c r="J33" i="12"/>
  <c r="B33" i="12"/>
  <c r="M32" i="12"/>
  <c r="L32" i="12"/>
  <c r="K32" i="12"/>
  <c r="J32" i="12"/>
  <c r="B32" i="12"/>
  <c r="M31" i="12"/>
  <c r="L31" i="12"/>
  <c r="K31" i="12"/>
  <c r="J31" i="12"/>
  <c r="B31" i="12"/>
  <c r="M30" i="12"/>
  <c r="L30" i="12"/>
  <c r="K30" i="12"/>
  <c r="J30" i="12"/>
  <c r="B30" i="12"/>
  <c r="B29" i="12"/>
  <c r="M28" i="12"/>
  <c r="L28" i="12"/>
  <c r="K28" i="12"/>
  <c r="J28" i="12"/>
  <c r="B28" i="12"/>
  <c r="M27" i="12"/>
  <c r="L27" i="12"/>
  <c r="K27" i="12"/>
  <c r="J27" i="12"/>
  <c r="B27" i="12"/>
  <c r="M26" i="12"/>
  <c r="L26" i="12"/>
  <c r="K26" i="12"/>
  <c r="J26" i="12"/>
  <c r="B26" i="12"/>
  <c r="M25" i="12"/>
  <c r="L25" i="12"/>
  <c r="K25" i="12"/>
  <c r="J25" i="12"/>
  <c r="B25" i="12"/>
  <c r="M24" i="12"/>
  <c r="L24" i="12"/>
  <c r="K24" i="12"/>
  <c r="J24" i="12"/>
  <c r="B24" i="12"/>
  <c r="M23" i="12"/>
  <c r="L23" i="12"/>
  <c r="K23" i="12"/>
  <c r="J23" i="12"/>
  <c r="B23" i="12"/>
  <c r="M22" i="12"/>
  <c r="L22" i="12"/>
  <c r="K22" i="12"/>
  <c r="J22" i="12"/>
  <c r="B22" i="12"/>
  <c r="M21" i="12"/>
  <c r="L21" i="12"/>
  <c r="K21" i="12"/>
  <c r="J21" i="12"/>
  <c r="B21" i="12"/>
  <c r="M20" i="12"/>
  <c r="L20" i="12"/>
  <c r="K20" i="12"/>
  <c r="J20" i="12"/>
  <c r="B20" i="12"/>
  <c r="M19" i="12"/>
  <c r="L19" i="12"/>
  <c r="K19" i="12"/>
  <c r="J19" i="12"/>
  <c r="B19" i="12"/>
  <c r="M18" i="12"/>
  <c r="L18" i="12"/>
  <c r="K18" i="12"/>
  <c r="J18" i="12"/>
  <c r="B18" i="12"/>
  <c r="M17" i="12"/>
  <c r="L17" i="12"/>
  <c r="K17" i="12"/>
  <c r="J17" i="12"/>
  <c r="B17" i="12"/>
  <c r="M16" i="12"/>
  <c r="L16" i="12"/>
  <c r="K16" i="12"/>
  <c r="J16" i="12"/>
  <c r="B16" i="12"/>
  <c r="M15" i="12"/>
  <c r="L15" i="12"/>
  <c r="K15" i="12"/>
  <c r="J15" i="12"/>
  <c r="B15" i="12"/>
  <c r="M14" i="12"/>
  <c r="L14" i="12"/>
  <c r="K14" i="12"/>
  <c r="J14" i="12"/>
  <c r="B14" i="12"/>
  <c r="M13" i="12"/>
  <c r="L13" i="12"/>
  <c r="K13" i="12"/>
  <c r="J13" i="12"/>
  <c r="A13" i="12"/>
  <c r="C2" i="12"/>
  <c r="H1" i="12"/>
  <c r="F1" i="12"/>
  <c r="H1" i="3" l="1"/>
  <c r="H1" i="10"/>
  <c r="H1" i="5"/>
  <c r="H1" i="4"/>
  <c r="H1" i="9"/>
  <c r="H1" i="8"/>
  <c r="H1" i="7"/>
  <c r="H1" i="6"/>
  <c r="H1" i="2"/>
  <c r="H1" i="11"/>
  <c r="B41" i="7"/>
  <c r="B41" i="6"/>
  <c r="B41" i="2"/>
  <c r="B41" i="11"/>
  <c r="B42" i="11"/>
  <c r="B43" i="11"/>
  <c r="C44" i="11" l="1"/>
  <c r="H44" i="11"/>
  <c r="G44" i="11"/>
  <c r="F44" i="11"/>
  <c r="E44" i="11"/>
  <c r="D44" i="11"/>
  <c r="M43" i="11"/>
  <c r="L43" i="11"/>
  <c r="K43" i="11"/>
  <c r="J43" i="11"/>
  <c r="M42" i="11"/>
  <c r="L42" i="11"/>
  <c r="K42" i="11"/>
  <c r="J42" i="11"/>
  <c r="M40" i="11"/>
  <c r="L40" i="11"/>
  <c r="K40" i="11"/>
  <c r="J40" i="11"/>
  <c r="B40" i="11"/>
  <c r="M39" i="11"/>
  <c r="L39" i="11"/>
  <c r="K39" i="11"/>
  <c r="J39" i="11"/>
  <c r="B39" i="11"/>
  <c r="M35" i="11"/>
  <c r="L35" i="11"/>
  <c r="K35" i="11"/>
  <c r="J35" i="11"/>
  <c r="B35" i="11"/>
  <c r="M34" i="11"/>
  <c r="L34" i="11"/>
  <c r="K34" i="11"/>
  <c r="J34" i="11"/>
  <c r="B34" i="11"/>
  <c r="M33" i="11"/>
  <c r="L33" i="11"/>
  <c r="K33" i="11"/>
  <c r="J33" i="11"/>
  <c r="B33" i="11"/>
  <c r="M32" i="11"/>
  <c r="L32" i="11"/>
  <c r="K32" i="11"/>
  <c r="J32" i="11"/>
  <c r="B32" i="11"/>
  <c r="M31" i="11"/>
  <c r="L31" i="11"/>
  <c r="K31" i="11"/>
  <c r="J31" i="11"/>
  <c r="B31" i="11"/>
  <c r="M30" i="11"/>
  <c r="L30" i="11"/>
  <c r="K30" i="11"/>
  <c r="J30" i="11"/>
  <c r="B30" i="11"/>
  <c r="M29" i="11"/>
  <c r="L29" i="11"/>
  <c r="K29" i="11"/>
  <c r="J29" i="11"/>
  <c r="B29" i="11"/>
  <c r="M28" i="11"/>
  <c r="L28" i="11"/>
  <c r="K28" i="11"/>
  <c r="J28" i="11"/>
  <c r="B28" i="11"/>
  <c r="M27" i="11"/>
  <c r="L27" i="11"/>
  <c r="K27" i="11"/>
  <c r="J27" i="11"/>
  <c r="B27" i="11"/>
  <c r="M26" i="11"/>
  <c r="L26" i="11"/>
  <c r="K26" i="11"/>
  <c r="J26" i="11"/>
  <c r="B26" i="11"/>
  <c r="M25" i="11"/>
  <c r="L25" i="11"/>
  <c r="K25" i="11"/>
  <c r="J25" i="11"/>
  <c r="B25" i="11"/>
  <c r="M24" i="11"/>
  <c r="L24" i="11"/>
  <c r="K24" i="11"/>
  <c r="J24" i="11"/>
  <c r="B24" i="11"/>
  <c r="M23" i="11"/>
  <c r="L23" i="11"/>
  <c r="K23" i="11"/>
  <c r="J23" i="11"/>
  <c r="B23" i="11"/>
  <c r="M22" i="11"/>
  <c r="L22" i="11"/>
  <c r="K22" i="11"/>
  <c r="J22" i="11"/>
  <c r="B22" i="11"/>
  <c r="M21" i="11"/>
  <c r="L21" i="11"/>
  <c r="K21" i="11"/>
  <c r="J21" i="11"/>
  <c r="B21" i="11"/>
  <c r="M20" i="11"/>
  <c r="L20" i="11"/>
  <c r="K20" i="11"/>
  <c r="J20" i="11"/>
  <c r="B20" i="11"/>
  <c r="M19" i="11"/>
  <c r="L19" i="11"/>
  <c r="K19" i="11"/>
  <c r="J19" i="11"/>
  <c r="B19" i="11"/>
  <c r="M18" i="11"/>
  <c r="L18" i="11"/>
  <c r="K18" i="11"/>
  <c r="J18" i="11"/>
  <c r="B18" i="11"/>
  <c r="M17" i="11"/>
  <c r="L17" i="11"/>
  <c r="K17" i="11"/>
  <c r="J17" i="11"/>
  <c r="B17" i="11"/>
  <c r="M16" i="11"/>
  <c r="L16" i="11"/>
  <c r="K16" i="11"/>
  <c r="J16" i="11"/>
  <c r="B16" i="11"/>
  <c r="M15" i="11"/>
  <c r="L15" i="11"/>
  <c r="K15" i="11"/>
  <c r="J15" i="11"/>
  <c r="B15" i="11"/>
  <c r="M14" i="11"/>
  <c r="L14" i="11"/>
  <c r="K14" i="11"/>
  <c r="J14" i="11"/>
  <c r="B14" i="11"/>
  <c r="M13" i="11"/>
  <c r="L13" i="11"/>
  <c r="K13" i="11"/>
  <c r="J13" i="11"/>
  <c r="B13" i="11"/>
  <c r="A13" i="11"/>
  <c r="C2" i="11"/>
  <c r="B13" i="3" l="1"/>
  <c r="B13" i="5" l="1"/>
  <c r="B13" i="4"/>
  <c r="B13" i="9"/>
  <c r="B13" i="8"/>
  <c r="B13" i="7"/>
  <c r="B13" i="6"/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8" i="2"/>
  <c r="B39" i="2"/>
  <c r="B40" i="2"/>
  <c r="B42" i="2"/>
  <c r="B43" i="2"/>
  <c r="B34" i="3" l="1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3" i="9"/>
  <c r="A13" i="8"/>
  <c r="B43" i="7"/>
  <c r="B42" i="7"/>
  <c r="B40" i="7"/>
  <c r="B39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A13" i="7"/>
  <c r="B43" i="6"/>
  <c r="B42" i="6"/>
  <c r="B40" i="6"/>
  <c r="B39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A13" i="6"/>
  <c r="A13" i="2"/>
  <c r="F1" i="10"/>
  <c r="F1" i="5"/>
  <c r="F1" i="4"/>
  <c r="F1" i="9"/>
  <c r="F1" i="8"/>
  <c r="F1" i="7"/>
  <c r="F1" i="6"/>
  <c r="F1" i="2"/>
  <c r="B13" i="10"/>
  <c r="C2" i="3" l="1"/>
  <c r="C2" i="2"/>
  <c r="H44" i="3" l="1"/>
  <c r="G44" i="3"/>
  <c r="F44" i="3"/>
  <c r="E44" i="3"/>
  <c r="D44" i="3"/>
  <c r="C44" i="3"/>
  <c r="H44" i="10"/>
  <c r="G44" i="10"/>
  <c r="F44" i="10"/>
  <c r="E44" i="10"/>
  <c r="D44" i="10"/>
  <c r="C44" i="10"/>
  <c r="H44" i="5"/>
  <c r="G44" i="5"/>
  <c r="F44" i="5"/>
  <c r="E44" i="5"/>
  <c r="D44" i="5"/>
  <c r="C44" i="5"/>
  <c r="H44" i="4"/>
  <c r="G44" i="4"/>
  <c r="F44" i="4"/>
  <c r="E44" i="4"/>
  <c r="D44" i="4"/>
  <c r="C44" i="4"/>
  <c r="H44" i="9"/>
  <c r="G44" i="9"/>
  <c r="F44" i="9"/>
  <c r="E44" i="9"/>
  <c r="D44" i="9"/>
  <c r="C44" i="9"/>
  <c r="H44" i="8"/>
  <c r="G44" i="8"/>
  <c r="F44" i="8"/>
  <c r="E44" i="8"/>
  <c r="D44" i="8"/>
  <c r="C44" i="8"/>
  <c r="H44" i="7"/>
  <c r="G44" i="7"/>
  <c r="F44" i="7"/>
  <c r="E44" i="7"/>
  <c r="D44" i="7"/>
  <c r="C44" i="7"/>
  <c r="H44" i="6"/>
  <c r="G44" i="6"/>
  <c r="F44" i="6"/>
  <c r="E44" i="6"/>
  <c r="D44" i="6"/>
  <c r="C44" i="6"/>
  <c r="H44" i="2"/>
  <c r="G44" i="2"/>
  <c r="F44" i="2"/>
  <c r="E44" i="2"/>
  <c r="D44" i="2"/>
  <c r="C44" i="2"/>
  <c r="G44" i="1"/>
  <c r="H44" i="1"/>
  <c r="C44" i="1" l="1"/>
  <c r="C2" i="10"/>
  <c r="C2" i="5"/>
  <c r="C2" i="4"/>
  <c r="C2" i="9"/>
  <c r="C2" i="8"/>
  <c r="C2" i="7"/>
  <c r="C2" i="6"/>
  <c r="K13" i="1" l="1"/>
  <c r="L13" i="1"/>
  <c r="M43" i="10"/>
  <c r="L43" i="10"/>
  <c r="K43" i="10"/>
  <c r="J43" i="10"/>
  <c r="M42" i="10"/>
  <c r="L42" i="10"/>
  <c r="K42" i="10"/>
  <c r="J42" i="10"/>
  <c r="M40" i="10"/>
  <c r="L40" i="10"/>
  <c r="K40" i="10"/>
  <c r="J40" i="10"/>
  <c r="M39" i="10"/>
  <c r="L39" i="10"/>
  <c r="K39" i="10"/>
  <c r="J39" i="10"/>
  <c r="M35" i="10"/>
  <c r="L35" i="10"/>
  <c r="K35" i="10"/>
  <c r="J35" i="10"/>
  <c r="M34" i="10"/>
  <c r="L34" i="10"/>
  <c r="K34" i="10"/>
  <c r="J34" i="10"/>
  <c r="M33" i="10"/>
  <c r="L33" i="10"/>
  <c r="K33" i="10"/>
  <c r="J33" i="10"/>
  <c r="M32" i="10"/>
  <c r="L32" i="10"/>
  <c r="K32" i="10"/>
  <c r="J32" i="10"/>
  <c r="M31" i="10"/>
  <c r="L31" i="10"/>
  <c r="K31" i="10"/>
  <c r="J31" i="10"/>
  <c r="M30" i="10"/>
  <c r="L30" i="10"/>
  <c r="K30" i="10"/>
  <c r="J30" i="10"/>
  <c r="M29" i="10"/>
  <c r="L29" i="10"/>
  <c r="K29" i="10"/>
  <c r="J29" i="10"/>
  <c r="M28" i="10"/>
  <c r="L28" i="10"/>
  <c r="K28" i="10"/>
  <c r="J28" i="10"/>
  <c r="M27" i="10"/>
  <c r="L27" i="10"/>
  <c r="K27" i="10"/>
  <c r="J27" i="10"/>
  <c r="M26" i="10"/>
  <c r="L26" i="10"/>
  <c r="K26" i="10"/>
  <c r="J26" i="10"/>
  <c r="M25" i="10"/>
  <c r="L25" i="10"/>
  <c r="K25" i="10"/>
  <c r="J25" i="10"/>
  <c r="M24" i="10"/>
  <c r="L24" i="10"/>
  <c r="K24" i="10"/>
  <c r="J24" i="10"/>
  <c r="M23" i="10"/>
  <c r="L23" i="10"/>
  <c r="K23" i="10"/>
  <c r="J23" i="10"/>
  <c r="M22" i="10"/>
  <c r="L22" i="10"/>
  <c r="K22" i="10"/>
  <c r="J22" i="10"/>
  <c r="M21" i="10"/>
  <c r="L21" i="10"/>
  <c r="K21" i="10"/>
  <c r="J21" i="10"/>
  <c r="M20" i="10"/>
  <c r="L20" i="10"/>
  <c r="K20" i="10"/>
  <c r="J20" i="10"/>
  <c r="M19" i="10"/>
  <c r="L19" i="10"/>
  <c r="K19" i="10"/>
  <c r="J19" i="10"/>
  <c r="M18" i="10"/>
  <c r="L18" i="10"/>
  <c r="K18" i="10"/>
  <c r="J18" i="10"/>
  <c r="M17" i="10"/>
  <c r="L17" i="10"/>
  <c r="K17" i="10"/>
  <c r="J17" i="10"/>
  <c r="M16" i="10"/>
  <c r="L16" i="10"/>
  <c r="K16" i="10"/>
  <c r="J16" i="10"/>
  <c r="M15" i="10"/>
  <c r="L15" i="10"/>
  <c r="K15" i="10"/>
  <c r="J15" i="10"/>
  <c r="M14" i="10"/>
  <c r="L14" i="10"/>
  <c r="K14" i="10"/>
  <c r="J14" i="10"/>
  <c r="M13" i="10"/>
  <c r="L13" i="10"/>
  <c r="K13" i="10"/>
  <c r="J13" i="10"/>
  <c r="M43" i="9"/>
  <c r="L43" i="9"/>
  <c r="K43" i="9"/>
  <c r="J43" i="9"/>
  <c r="M42" i="9"/>
  <c r="L42" i="9"/>
  <c r="K42" i="9"/>
  <c r="J42" i="9"/>
  <c r="M40" i="9"/>
  <c r="L40" i="9"/>
  <c r="K40" i="9"/>
  <c r="J40" i="9"/>
  <c r="M39" i="9"/>
  <c r="L39" i="9"/>
  <c r="K39" i="9"/>
  <c r="J39" i="9"/>
  <c r="M35" i="9"/>
  <c r="L35" i="9"/>
  <c r="K35" i="9"/>
  <c r="J35" i="9"/>
  <c r="M34" i="9"/>
  <c r="L34" i="9"/>
  <c r="K34" i="9"/>
  <c r="J34" i="9"/>
  <c r="M33" i="9"/>
  <c r="L33" i="9"/>
  <c r="K33" i="9"/>
  <c r="J33" i="9"/>
  <c r="M32" i="9"/>
  <c r="L32" i="9"/>
  <c r="K32" i="9"/>
  <c r="J32" i="9"/>
  <c r="M31" i="9"/>
  <c r="L31" i="9"/>
  <c r="K31" i="9"/>
  <c r="J31" i="9"/>
  <c r="M30" i="9"/>
  <c r="L30" i="9"/>
  <c r="K30" i="9"/>
  <c r="J30" i="9"/>
  <c r="M29" i="9"/>
  <c r="L29" i="9"/>
  <c r="K29" i="9"/>
  <c r="J29" i="9"/>
  <c r="M28" i="9"/>
  <c r="L28" i="9"/>
  <c r="K28" i="9"/>
  <c r="J28" i="9"/>
  <c r="M27" i="9"/>
  <c r="L27" i="9"/>
  <c r="K27" i="9"/>
  <c r="J27" i="9"/>
  <c r="M26" i="9"/>
  <c r="L26" i="9"/>
  <c r="K26" i="9"/>
  <c r="J26" i="9"/>
  <c r="M25" i="9"/>
  <c r="L25" i="9"/>
  <c r="K25" i="9"/>
  <c r="J25" i="9"/>
  <c r="M24" i="9"/>
  <c r="L24" i="9"/>
  <c r="K24" i="9"/>
  <c r="J24" i="9"/>
  <c r="M23" i="9"/>
  <c r="L23" i="9"/>
  <c r="K23" i="9"/>
  <c r="J23" i="9"/>
  <c r="M22" i="9"/>
  <c r="L22" i="9"/>
  <c r="K22" i="9"/>
  <c r="J22" i="9"/>
  <c r="M21" i="9"/>
  <c r="L21" i="9"/>
  <c r="K21" i="9"/>
  <c r="J21" i="9"/>
  <c r="M20" i="9"/>
  <c r="L20" i="9"/>
  <c r="K20" i="9"/>
  <c r="J20" i="9"/>
  <c r="M19" i="9"/>
  <c r="L19" i="9"/>
  <c r="K19" i="9"/>
  <c r="J19" i="9"/>
  <c r="M18" i="9"/>
  <c r="L18" i="9"/>
  <c r="K18" i="9"/>
  <c r="J18" i="9"/>
  <c r="M17" i="9"/>
  <c r="L17" i="9"/>
  <c r="K17" i="9"/>
  <c r="J17" i="9"/>
  <c r="M16" i="9"/>
  <c r="L16" i="9"/>
  <c r="K16" i="9"/>
  <c r="J16" i="9"/>
  <c r="M15" i="9"/>
  <c r="L15" i="9"/>
  <c r="K15" i="9"/>
  <c r="J15" i="9"/>
  <c r="M14" i="9"/>
  <c r="L14" i="9"/>
  <c r="K14" i="9"/>
  <c r="J14" i="9"/>
  <c r="M13" i="9"/>
  <c r="L13" i="9"/>
  <c r="K13" i="9"/>
  <c r="J13" i="9"/>
  <c r="M43" i="8"/>
  <c r="L43" i="8"/>
  <c r="K43" i="8"/>
  <c r="J43" i="8"/>
  <c r="M42" i="8"/>
  <c r="L42" i="8"/>
  <c r="K42" i="8"/>
  <c r="J42" i="8"/>
  <c r="M40" i="8"/>
  <c r="L40" i="8"/>
  <c r="K40" i="8"/>
  <c r="J40" i="8"/>
  <c r="M39" i="8"/>
  <c r="L39" i="8"/>
  <c r="K39" i="8"/>
  <c r="J39" i="8"/>
  <c r="M35" i="8"/>
  <c r="L35" i="8"/>
  <c r="K35" i="8"/>
  <c r="J35" i="8"/>
  <c r="M34" i="8"/>
  <c r="L34" i="8"/>
  <c r="K34" i="8"/>
  <c r="J34" i="8"/>
  <c r="M33" i="8"/>
  <c r="L33" i="8"/>
  <c r="K33" i="8"/>
  <c r="J33" i="8"/>
  <c r="M32" i="8"/>
  <c r="L32" i="8"/>
  <c r="K32" i="8"/>
  <c r="J32" i="8"/>
  <c r="M31" i="8"/>
  <c r="L31" i="8"/>
  <c r="K31" i="8"/>
  <c r="J31" i="8"/>
  <c r="M30" i="8"/>
  <c r="L30" i="8"/>
  <c r="K30" i="8"/>
  <c r="J30" i="8"/>
  <c r="M29" i="8"/>
  <c r="L29" i="8"/>
  <c r="K29" i="8"/>
  <c r="J29" i="8"/>
  <c r="M28" i="8"/>
  <c r="L28" i="8"/>
  <c r="K28" i="8"/>
  <c r="J28" i="8"/>
  <c r="M27" i="8"/>
  <c r="L27" i="8"/>
  <c r="K27" i="8"/>
  <c r="J27" i="8"/>
  <c r="M26" i="8"/>
  <c r="L26" i="8"/>
  <c r="K26" i="8"/>
  <c r="J26" i="8"/>
  <c r="M25" i="8"/>
  <c r="L25" i="8"/>
  <c r="K25" i="8"/>
  <c r="J25" i="8"/>
  <c r="M24" i="8"/>
  <c r="L24" i="8"/>
  <c r="K24" i="8"/>
  <c r="J24" i="8"/>
  <c r="M23" i="8"/>
  <c r="L23" i="8"/>
  <c r="K23" i="8"/>
  <c r="J23" i="8"/>
  <c r="M22" i="8"/>
  <c r="L22" i="8"/>
  <c r="K22" i="8"/>
  <c r="J22" i="8"/>
  <c r="M21" i="8"/>
  <c r="L21" i="8"/>
  <c r="K21" i="8"/>
  <c r="J21" i="8"/>
  <c r="M20" i="8"/>
  <c r="L20" i="8"/>
  <c r="K20" i="8"/>
  <c r="J20" i="8"/>
  <c r="M19" i="8"/>
  <c r="L19" i="8"/>
  <c r="K19" i="8"/>
  <c r="J19" i="8"/>
  <c r="M18" i="8"/>
  <c r="L18" i="8"/>
  <c r="K18" i="8"/>
  <c r="J18" i="8"/>
  <c r="M17" i="8"/>
  <c r="L17" i="8"/>
  <c r="K17" i="8"/>
  <c r="J17" i="8"/>
  <c r="M16" i="8"/>
  <c r="L16" i="8"/>
  <c r="K16" i="8"/>
  <c r="J16" i="8"/>
  <c r="M15" i="8"/>
  <c r="L15" i="8"/>
  <c r="K15" i="8"/>
  <c r="J15" i="8"/>
  <c r="M14" i="8"/>
  <c r="L14" i="8"/>
  <c r="K14" i="8"/>
  <c r="J14" i="8"/>
  <c r="M13" i="8"/>
  <c r="L13" i="8"/>
  <c r="K13" i="8"/>
  <c r="J13" i="8"/>
  <c r="M43" i="7"/>
  <c r="L43" i="7"/>
  <c r="K43" i="7"/>
  <c r="J43" i="7"/>
  <c r="M42" i="7"/>
  <c r="L42" i="7"/>
  <c r="K42" i="7"/>
  <c r="J42" i="7"/>
  <c r="M40" i="7"/>
  <c r="L40" i="7"/>
  <c r="K40" i="7"/>
  <c r="J40" i="7"/>
  <c r="M39" i="7"/>
  <c r="L39" i="7"/>
  <c r="K39" i="7"/>
  <c r="J39" i="7"/>
  <c r="M35" i="7"/>
  <c r="L35" i="7"/>
  <c r="K35" i="7"/>
  <c r="J35" i="7"/>
  <c r="M34" i="7"/>
  <c r="L34" i="7"/>
  <c r="K34" i="7"/>
  <c r="J34" i="7"/>
  <c r="M33" i="7"/>
  <c r="L33" i="7"/>
  <c r="K33" i="7"/>
  <c r="J33" i="7"/>
  <c r="M32" i="7"/>
  <c r="L32" i="7"/>
  <c r="K32" i="7"/>
  <c r="J32" i="7"/>
  <c r="M31" i="7"/>
  <c r="L31" i="7"/>
  <c r="K31" i="7"/>
  <c r="J31" i="7"/>
  <c r="M30" i="7"/>
  <c r="L30" i="7"/>
  <c r="K30" i="7"/>
  <c r="J30" i="7"/>
  <c r="M29" i="7"/>
  <c r="L29" i="7"/>
  <c r="K29" i="7"/>
  <c r="J29" i="7"/>
  <c r="M28" i="7"/>
  <c r="L28" i="7"/>
  <c r="K28" i="7"/>
  <c r="J28" i="7"/>
  <c r="M27" i="7"/>
  <c r="L27" i="7"/>
  <c r="K27" i="7"/>
  <c r="J27" i="7"/>
  <c r="M26" i="7"/>
  <c r="L26" i="7"/>
  <c r="K26" i="7"/>
  <c r="J26" i="7"/>
  <c r="M25" i="7"/>
  <c r="L25" i="7"/>
  <c r="K25" i="7"/>
  <c r="J25" i="7"/>
  <c r="M24" i="7"/>
  <c r="L24" i="7"/>
  <c r="K24" i="7"/>
  <c r="J24" i="7"/>
  <c r="M23" i="7"/>
  <c r="L23" i="7"/>
  <c r="K23" i="7"/>
  <c r="J23" i="7"/>
  <c r="M22" i="7"/>
  <c r="L22" i="7"/>
  <c r="K22" i="7"/>
  <c r="J22" i="7"/>
  <c r="M21" i="7"/>
  <c r="L21" i="7"/>
  <c r="K21" i="7"/>
  <c r="J21" i="7"/>
  <c r="M20" i="7"/>
  <c r="L20" i="7"/>
  <c r="K20" i="7"/>
  <c r="J20" i="7"/>
  <c r="M19" i="7"/>
  <c r="L19" i="7"/>
  <c r="K19" i="7"/>
  <c r="J19" i="7"/>
  <c r="M18" i="7"/>
  <c r="L18" i="7"/>
  <c r="K18" i="7"/>
  <c r="J18" i="7"/>
  <c r="M17" i="7"/>
  <c r="L17" i="7"/>
  <c r="K17" i="7"/>
  <c r="J17" i="7"/>
  <c r="M16" i="7"/>
  <c r="L16" i="7"/>
  <c r="K16" i="7"/>
  <c r="J16" i="7"/>
  <c r="M15" i="7"/>
  <c r="L15" i="7"/>
  <c r="K15" i="7"/>
  <c r="J15" i="7"/>
  <c r="M14" i="7"/>
  <c r="L14" i="7"/>
  <c r="K14" i="7"/>
  <c r="J14" i="7"/>
  <c r="M13" i="7"/>
  <c r="L13" i="7"/>
  <c r="K13" i="7"/>
  <c r="J13" i="7"/>
  <c r="M43" i="6"/>
  <c r="L43" i="6"/>
  <c r="K43" i="6"/>
  <c r="J43" i="6"/>
  <c r="M42" i="6"/>
  <c r="L42" i="6"/>
  <c r="K42" i="6"/>
  <c r="J42" i="6"/>
  <c r="M40" i="6"/>
  <c r="L40" i="6"/>
  <c r="K40" i="6"/>
  <c r="J40" i="6"/>
  <c r="M39" i="6"/>
  <c r="L39" i="6"/>
  <c r="K39" i="6"/>
  <c r="J39" i="6"/>
  <c r="M35" i="6"/>
  <c r="L35" i="6"/>
  <c r="K35" i="6"/>
  <c r="J35" i="6"/>
  <c r="M34" i="6"/>
  <c r="L34" i="6"/>
  <c r="K34" i="6"/>
  <c r="J34" i="6"/>
  <c r="M33" i="6"/>
  <c r="L33" i="6"/>
  <c r="K33" i="6"/>
  <c r="J33" i="6"/>
  <c r="M32" i="6"/>
  <c r="L32" i="6"/>
  <c r="K32" i="6"/>
  <c r="J32" i="6"/>
  <c r="M31" i="6"/>
  <c r="L31" i="6"/>
  <c r="K31" i="6"/>
  <c r="J31" i="6"/>
  <c r="M30" i="6"/>
  <c r="L30" i="6"/>
  <c r="K30" i="6"/>
  <c r="J30" i="6"/>
  <c r="M29" i="6"/>
  <c r="L29" i="6"/>
  <c r="K29" i="6"/>
  <c r="J29" i="6"/>
  <c r="M28" i="6"/>
  <c r="L28" i="6"/>
  <c r="K28" i="6"/>
  <c r="J28" i="6"/>
  <c r="M27" i="6"/>
  <c r="L27" i="6"/>
  <c r="K27" i="6"/>
  <c r="J27" i="6"/>
  <c r="M26" i="6"/>
  <c r="L26" i="6"/>
  <c r="K26" i="6"/>
  <c r="J26" i="6"/>
  <c r="M25" i="6"/>
  <c r="L25" i="6"/>
  <c r="K25" i="6"/>
  <c r="J25" i="6"/>
  <c r="M24" i="6"/>
  <c r="L24" i="6"/>
  <c r="K24" i="6"/>
  <c r="J24" i="6"/>
  <c r="M23" i="6"/>
  <c r="L23" i="6"/>
  <c r="K23" i="6"/>
  <c r="J23" i="6"/>
  <c r="M22" i="6"/>
  <c r="L22" i="6"/>
  <c r="K22" i="6"/>
  <c r="J22" i="6"/>
  <c r="M21" i="6"/>
  <c r="L21" i="6"/>
  <c r="K21" i="6"/>
  <c r="J21" i="6"/>
  <c r="M20" i="6"/>
  <c r="L20" i="6"/>
  <c r="K20" i="6"/>
  <c r="J20" i="6"/>
  <c r="M19" i="6"/>
  <c r="L19" i="6"/>
  <c r="K19" i="6"/>
  <c r="J19" i="6"/>
  <c r="M18" i="6"/>
  <c r="L18" i="6"/>
  <c r="K18" i="6"/>
  <c r="J18" i="6"/>
  <c r="M17" i="6"/>
  <c r="L17" i="6"/>
  <c r="K17" i="6"/>
  <c r="J17" i="6"/>
  <c r="M16" i="6"/>
  <c r="L16" i="6"/>
  <c r="K16" i="6"/>
  <c r="J16" i="6"/>
  <c r="M15" i="6"/>
  <c r="L15" i="6"/>
  <c r="K15" i="6"/>
  <c r="J15" i="6"/>
  <c r="M14" i="6"/>
  <c r="L14" i="6"/>
  <c r="K14" i="6"/>
  <c r="J14" i="6"/>
  <c r="M13" i="6"/>
  <c r="L13" i="6"/>
  <c r="K13" i="6"/>
  <c r="J13" i="6"/>
  <c r="M43" i="5"/>
  <c r="L43" i="5"/>
  <c r="K43" i="5"/>
  <c r="J43" i="5"/>
  <c r="M42" i="5"/>
  <c r="L42" i="5"/>
  <c r="K42" i="5"/>
  <c r="J42" i="5"/>
  <c r="M40" i="5"/>
  <c r="L40" i="5"/>
  <c r="K40" i="5"/>
  <c r="J40" i="5"/>
  <c r="M39" i="5"/>
  <c r="L39" i="5"/>
  <c r="K39" i="5"/>
  <c r="J39" i="5"/>
  <c r="M35" i="5"/>
  <c r="L35" i="5"/>
  <c r="K35" i="5"/>
  <c r="J35" i="5"/>
  <c r="M34" i="5"/>
  <c r="L34" i="5"/>
  <c r="K34" i="5"/>
  <c r="J34" i="5"/>
  <c r="M33" i="5"/>
  <c r="L33" i="5"/>
  <c r="K33" i="5"/>
  <c r="J33" i="5"/>
  <c r="M32" i="5"/>
  <c r="L32" i="5"/>
  <c r="K32" i="5"/>
  <c r="J32" i="5"/>
  <c r="M31" i="5"/>
  <c r="L31" i="5"/>
  <c r="K31" i="5"/>
  <c r="J31" i="5"/>
  <c r="M30" i="5"/>
  <c r="L30" i="5"/>
  <c r="K30" i="5"/>
  <c r="J30" i="5"/>
  <c r="M29" i="5"/>
  <c r="L29" i="5"/>
  <c r="K29" i="5"/>
  <c r="J29" i="5"/>
  <c r="M28" i="5"/>
  <c r="L28" i="5"/>
  <c r="K28" i="5"/>
  <c r="J28" i="5"/>
  <c r="M27" i="5"/>
  <c r="L27" i="5"/>
  <c r="K27" i="5"/>
  <c r="J27" i="5"/>
  <c r="M26" i="5"/>
  <c r="L26" i="5"/>
  <c r="K26" i="5"/>
  <c r="J26" i="5"/>
  <c r="M25" i="5"/>
  <c r="L25" i="5"/>
  <c r="K25" i="5"/>
  <c r="J25" i="5"/>
  <c r="M24" i="5"/>
  <c r="L24" i="5"/>
  <c r="K24" i="5"/>
  <c r="J24" i="5"/>
  <c r="M23" i="5"/>
  <c r="L23" i="5"/>
  <c r="K23" i="5"/>
  <c r="J23" i="5"/>
  <c r="M22" i="5"/>
  <c r="L22" i="5"/>
  <c r="K22" i="5"/>
  <c r="J22" i="5"/>
  <c r="M21" i="5"/>
  <c r="L21" i="5"/>
  <c r="K21" i="5"/>
  <c r="J21" i="5"/>
  <c r="M20" i="5"/>
  <c r="L20" i="5"/>
  <c r="K20" i="5"/>
  <c r="J20" i="5"/>
  <c r="M19" i="5"/>
  <c r="L19" i="5"/>
  <c r="K19" i="5"/>
  <c r="J19" i="5"/>
  <c r="M18" i="5"/>
  <c r="L18" i="5"/>
  <c r="K18" i="5"/>
  <c r="J18" i="5"/>
  <c r="M17" i="5"/>
  <c r="L17" i="5"/>
  <c r="K17" i="5"/>
  <c r="J17" i="5"/>
  <c r="M16" i="5"/>
  <c r="L16" i="5"/>
  <c r="K16" i="5"/>
  <c r="J16" i="5"/>
  <c r="M15" i="5"/>
  <c r="L15" i="5"/>
  <c r="K15" i="5"/>
  <c r="J15" i="5"/>
  <c r="M14" i="5"/>
  <c r="L14" i="5"/>
  <c r="K14" i="5"/>
  <c r="J14" i="5"/>
  <c r="M13" i="5"/>
  <c r="L13" i="5"/>
  <c r="K13" i="5"/>
  <c r="J13" i="5"/>
  <c r="M43" i="4"/>
  <c r="L43" i="4"/>
  <c r="K43" i="4"/>
  <c r="J43" i="4"/>
  <c r="M42" i="4"/>
  <c r="L42" i="4"/>
  <c r="K42" i="4"/>
  <c r="J42" i="4"/>
  <c r="M40" i="4"/>
  <c r="L40" i="4"/>
  <c r="K40" i="4"/>
  <c r="J40" i="4"/>
  <c r="M39" i="4"/>
  <c r="L39" i="4"/>
  <c r="K39" i="4"/>
  <c r="J39" i="4"/>
  <c r="M35" i="4"/>
  <c r="L35" i="4"/>
  <c r="K35" i="4"/>
  <c r="J35" i="4"/>
  <c r="M34" i="4"/>
  <c r="L34" i="4"/>
  <c r="K34" i="4"/>
  <c r="J34" i="4"/>
  <c r="M33" i="4"/>
  <c r="L33" i="4"/>
  <c r="K33" i="4"/>
  <c r="J33" i="4"/>
  <c r="M32" i="4"/>
  <c r="L32" i="4"/>
  <c r="K32" i="4"/>
  <c r="J32" i="4"/>
  <c r="M31" i="4"/>
  <c r="L31" i="4"/>
  <c r="K31" i="4"/>
  <c r="J31" i="4"/>
  <c r="M30" i="4"/>
  <c r="L30" i="4"/>
  <c r="K30" i="4"/>
  <c r="J30" i="4"/>
  <c r="M29" i="4"/>
  <c r="L29" i="4"/>
  <c r="K29" i="4"/>
  <c r="J29" i="4"/>
  <c r="M28" i="4"/>
  <c r="L28" i="4"/>
  <c r="K28" i="4"/>
  <c r="J28" i="4"/>
  <c r="M27" i="4"/>
  <c r="L27" i="4"/>
  <c r="K27" i="4"/>
  <c r="J27" i="4"/>
  <c r="M26" i="4"/>
  <c r="L26" i="4"/>
  <c r="K26" i="4"/>
  <c r="J26" i="4"/>
  <c r="M25" i="4"/>
  <c r="L25" i="4"/>
  <c r="K25" i="4"/>
  <c r="J25" i="4"/>
  <c r="M24" i="4"/>
  <c r="L24" i="4"/>
  <c r="K24" i="4"/>
  <c r="J24" i="4"/>
  <c r="M23" i="4"/>
  <c r="L23" i="4"/>
  <c r="K23" i="4"/>
  <c r="J23" i="4"/>
  <c r="M22" i="4"/>
  <c r="L22" i="4"/>
  <c r="K22" i="4"/>
  <c r="J22" i="4"/>
  <c r="M21" i="4"/>
  <c r="L21" i="4"/>
  <c r="K21" i="4"/>
  <c r="J21" i="4"/>
  <c r="M20" i="4"/>
  <c r="L20" i="4"/>
  <c r="K20" i="4"/>
  <c r="J20" i="4"/>
  <c r="M19" i="4"/>
  <c r="L19" i="4"/>
  <c r="K19" i="4"/>
  <c r="J19" i="4"/>
  <c r="M18" i="4"/>
  <c r="L18" i="4"/>
  <c r="K18" i="4"/>
  <c r="J18" i="4"/>
  <c r="M17" i="4"/>
  <c r="L17" i="4"/>
  <c r="K17" i="4"/>
  <c r="J17" i="4"/>
  <c r="M16" i="4"/>
  <c r="L16" i="4"/>
  <c r="K16" i="4"/>
  <c r="J16" i="4"/>
  <c r="M15" i="4"/>
  <c r="L15" i="4"/>
  <c r="K15" i="4"/>
  <c r="J15" i="4"/>
  <c r="M14" i="4"/>
  <c r="L14" i="4"/>
  <c r="K14" i="4"/>
  <c r="J14" i="4"/>
  <c r="M13" i="4"/>
  <c r="L13" i="4"/>
  <c r="K13" i="4"/>
  <c r="J13" i="4"/>
  <c r="M43" i="3"/>
  <c r="L43" i="3"/>
  <c r="K43" i="3"/>
  <c r="J43" i="3"/>
  <c r="M42" i="3"/>
  <c r="L42" i="3"/>
  <c r="K42" i="3"/>
  <c r="J42" i="3"/>
  <c r="M40" i="3"/>
  <c r="L40" i="3"/>
  <c r="K40" i="3"/>
  <c r="J40" i="3"/>
  <c r="M39" i="3"/>
  <c r="L39" i="3"/>
  <c r="K39" i="3"/>
  <c r="J39" i="3"/>
  <c r="M35" i="3"/>
  <c r="L35" i="3"/>
  <c r="K35" i="3"/>
  <c r="J35" i="3"/>
  <c r="M34" i="3"/>
  <c r="L34" i="3"/>
  <c r="K34" i="3"/>
  <c r="J34" i="3"/>
  <c r="M33" i="3"/>
  <c r="L33" i="3"/>
  <c r="K33" i="3"/>
  <c r="J33" i="3"/>
  <c r="M32" i="3"/>
  <c r="L32" i="3"/>
  <c r="K32" i="3"/>
  <c r="J32" i="3"/>
  <c r="M31" i="3"/>
  <c r="L31" i="3"/>
  <c r="K31" i="3"/>
  <c r="J31" i="3"/>
  <c r="M30" i="3"/>
  <c r="L30" i="3"/>
  <c r="K30" i="3"/>
  <c r="J30" i="3"/>
  <c r="M28" i="3"/>
  <c r="L28" i="3"/>
  <c r="K28" i="3"/>
  <c r="J28" i="3"/>
  <c r="M27" i="3"/>
  <c r="L27" i="3"/>
  <c r="K27" i="3"/>
  <c r="J27" i="3"/>
  <c r="M26" i="3"/>
  <c r="L26" i="3"/>
  <c r="K26" i="3"/>
  <c r="J26" i="3"/>
  <c r="M25" i="3"/>
  <c r="L25" i="3"/>
  <c r="K25" i="3"/>
  <c r="J25" i="3"/>
  <c r="M24" i="3"/>
  <c r="L24" i="3"/>
  <c r="K24" i="3"/>
  <c r="J24" i="3"/>
  <c r="M23" i="3"/>
  <c r="L23" i="3"/>
  <c r="K23" i="3"/>
  <c r="J23" i="3"/>
  <c r="M22" i="3"/>
  <c r="L22" i="3"/>
  <c r="K22" i="3"/>
  <c r="J22" i="3"/>
  <c r="M21" i="3"/>
  <c r="L21" i="3"/>
  <c r="K21" i="3"/>
  <c r="J21" i="3"/>
  <c r="M20" i="3"/>
  <c r="L20" i="3"/>
  <c r="K20" i="3"/>
  <c r="J20" i="3"/>
  <c r="M19" i="3"/>
  <c r="L19" i="3"/>
  <c r="K19" i="3"/>
  <c r="J19" i="3"/>
  <c r="M18" i="3"/>
  <c r="L18" i="3"/>
  <c r="K18" i="3"/>
  <c r="J18" i="3"/>
  <c r="M17" i="3"/>
  <c r="L17" i="3"/>
  <c r="K17" i="3"/>
  <c r="J17" i="3"/>
  <c r="M16" i="3"/>
  <c r="L16" i="3"/>
  <c r="K16" i="3"/>
  <c r="J16" i="3"/>
  <c r="M15" i="3"/>
  <c r="L15" i="3"/>
  <c r="K15" i="3"/>
  <c r="J15" i="3"/>
  <c r="M14" i="3"/>
  <c r="L14" i="3"/>
  <c r="K14" i="3"/>
  <c r="J14" i="3"/>
  <c r="M13" i="3"/>
  <c r="L13" i="3"/>
  <c r="K13" i="3"/>
  <c r="J13" i="3"/>
  <c r="M43" i="2"/>
  <c r="L43" i="2"/>
  <c r="K43" i="2"/>
  <c r="J43" i="2"/>
  <c r="M42" i="2"/>
  <c r="L42" i="2"/>
  <c r="K42" i="2"/>
  <c r="J42" i="2"/>
  <c r="M40" i="2"/>
  <c r="L40" i="2"/>
  <c r="K40" i="2"/>
  <c r="J40" i="2"/>
  <c r="M39" i="2"/>
  <c r="L39" i="2"/>
  <c r="K39" i="2"/>
  <c r="J39" i="2"/>
  <c r="M38" i="2"/>
  <c r="L38" i="2"/>
  <c r="K38" i="2"/>
  <c r="J38" i="2"/>
  <c r="M34" i="2"/>
  <c r="L34" i="2"/>
  <c r="K34" i="2"/>
  <c r="J34" i="2"/>
  <c r="M33" i="2"/>
  <c r="L33" i="2"/>
  <c r="K33" i="2"/>
  <c r="J33" i="2"/>
  <c r="M32" i="2"/>
  <c r="L32" i="2"/>
  <c r="K32" i="2"/>
  <c r="J32" i="2"/>
  <c r="M31" i="2"/>
  <c r="L31" i="2"/>
  <c r="K31" i="2"/>
  <c r="J31" i="2"/>
  <c r="M30" i="2"/>
  <c r="L30" i="2"/>
  <c r="K30" i="2"/>
  <c r="J30" i="2"/>
  <c r="M29" i="2"/>
  <c r="L29" i="2"/>
  <c r="K29" i="2"/>
  <c r="J29" i="2"/>
  <c r="M28" i="2"/>
  <c r="L28" i="2"/>
  <c r="K28" i="2"/>
  <c r="J28" i="2"/>
  <c r="M27" i="2"/>
  <c r="L27" i="2"/>
  <c r="K27" i="2"/>
  <c r="J27" i="2"/>
  <c r="M26" i="2"/>
  <c r="L26" i="2"/>
  <c r="K26" i="2"/>
  <c r="J26" i="2"/>
  <c r="M25" i="2"/>
  <c r="L25" i="2"/>
  <c r="K25" i="2"/>
  <c r="J25" i="2"/>
  <c r="M24" i="2"/>
  <c r="L24" i="2"/>
  <c r="K24" i="2"/>
  <c r="J24" i="2"/>
  <c r="M23" i="2"/>
  <c r="L23" i="2"/>
  <c r="K23" i="2"/>
  <c r="J23" i="2"/>
  <c r="M22" i="2"/>
  <c r="L22" i="2"/>
  <c r="K22" i="2"/>
  <c r="J22" i="2"/>
  <c r="M21" i="2"/>
  <c r="L21" i="2"/>
  <c r="K21" i="2"/>
  <c r="J21" i="2"/>
  <c r="M20" i="2"/>
  <c r="L20" i="2"/>
  <c r="K20" i="2"/>
  <c r="J20" i="2"/>
  <c r="M19" i="2"/>
  <c r="L19" i="2"/>
  <c r="K19" i="2"/>
  <c r="J19" i="2"/>
  <c r="M18" i="2"/>
  <c r="L18" i="2"/>
  <c r="K18" i="2"/>
  <c r="J18" i="2"/>
  <c r="M17" i="2"/>
  <c r="L17" i="2"/>
  <c r="K17" i="2"/>
  <c r="J17" i="2"/>
  <c r="M16" i="2"/>
  <c r="L16" i="2"/>
  <c r="K16" i="2"/>
  <c r="J16" i="2"/>
  <c r="M15" i="2"/>
  <c r="L15" i="2"/>
  <c r="K15" i="2"/>
  <c r="J15" i="2"/>
  <c r="M14" i="2"/>
  <c r="L14" i="2"/>
  <c r="K14" i="2"/>
  <c r="J14" i="2"/>
  <c r="M13" i="2"/>
  <c r="L13" i="2"/>
  <c r="K13" i="2"/>
  <c r="J13" i="2"/>
  <c r="L14" i="1" l="1"/>
  <c r="F44" i="1"/>
  <c r="E44" i="1"/>
  <c r="D44" i="1"/>
  <c r="L19" i="1"/>
  <c r="L16" i="1"/>
  <c r="L18" i="1"/>
  <c r="L17" i="1"/>
  <c r="K43" i="1"/>
  <c r="J24" i="1"/>
  <c r="K22" i="1"/>
  <c r="K20" i="1"/>
  <c r="M15" i="1"/>
  <c r="K15" i="1"/>
  <c r="K21" i="1"/>
  <c r="K23" i="1"/>
  <c r="K14" i="1"/>
  <c r="J13" i="1"/>
  <c r="M31" i="1"/>
  <c r="L34" i="1"/>
  <c r="J14" i="1"/>
  <c r="J15" i="1"/>
  <c r="J20" i="1"/>
  <c r="J16" i="1"/>
  <c r="M13" i="1"/>
  <c r="K42" i="1"/>
  <c r="M28" i="1"/>
  <c r="M30" i="1"/>
  <c r="M29" i="1"/>
  <c r="K35" i="1"/>
  <c r="J32" i="1"/>
  <c r="J36" i="1"/>
  <c r="J28" i="1"/>
  <c r="L35" i="1"/>
  <c r="K40" i="1"/>
  <c r="L33" i="1"/>
  <c r="L31" i="1"/>
  <c r="L32" i="1"/>
  <c r="K36" i="1"/>
  <c r="M16" i="1"/>
  <c r="M17" i="1"/>
  <c r="M18" i="1"/>
  <c r="M19" i="1"/>
  <c r="L20" i="1"/>
  <c r="L21" i="1"/>
  <c r="L22" i="1"/>
  <c r="L23" i="1"/>
  <c r="K24" i="1"/>
  <c r="K25" i="1"/>
  <c r="K26" i="1"/>
  <c r="K27" i="1"/>
  <c r="M32" i="1"/>
  <c r="M33" i="1"/>
  <c r="M34" i="1"/>
  <c r="M35" i="1"/>
  <c r="L36" i="1"/>
  <c r="L40" i="1"/>
  <c r="L42" i="1"/>
  <c r="L43" i="1"/>
  <c r="M20" i="1"/>
  <c r="M21" i="1"/>
  <c r="M22" i="1"/>
  <c r="M23" i="1"/>
  <c r="L24" i="1"/>
  <c r="L25" i="1"/>
  <c r="L26" i="1"/>
  <c r="L27" i="1"/>
  <c r="K28" i="1"/>
  <c r="K29" i="1"/>
  <c r="K30" i="1"/>
  <c r="K31" i="1"/>
  <c r="M36" i="1"/>
  <c r="M40" i="1"/>
  <c r="M42" i="1"/>
  <c r="M43" i="1"/>
  <c r="M14" i="1"/>
  <c r="L15" i="1"/>
  <c r="K16" i="1"/>
  <c r="K17" i="1"/>
  <c r="K18" i="1"/>
  <c r="K19" i="1"/>
  <c r="M24" i="1"/>
  <c r="M25" i="1"/>
  <c r="M26" i="1"/>
  <c r="M27" i="1"/>
  <c r="L28" i="1"/>
  <c r="L29" i="1"/>
  <c r="L30" i="1"/>
  <c r="K32" i="1"/>
  <c r="K33" i="1"/>
  <c r="K34" i="1"/>
  <c r="J17" i="1"/>
  <c r="J21" i="1"/>
  <c r="J25" i="1"/>
  <c r="J29" i="1"/>
  <c r="J33" i="1"/>
  <c r="J40" i="1"/>
  <c r="J18" i="1"/>
  <c r="J22" i="1"/>
  <c r="J26" i="1"/>
  <c r="J30" i="1"/>
  <c r="J34" i="1"/>
  <c r="J42" i="1"/>
  <c r="J19" i="1"/>
  <c r="J23" i="1"/>
  <c r="J27" i="1"/>
  <c r="J31" i="1"/>
  <c r="J35" i="1"/>
  <c r="J43" i="1"/>
</calcChain>
</file>

<file path=xl/sharedStrings.xml><?xml version="1.0" encoding="utf-8"?>
<sst xmlns="http://schemas.openxmlformats.org/spreadsheetml/2006/main" count="393" uniqueCount="27">
  <si>
    <t>Mine Production</t>
  </si>
  <si>
    <t>Total W.Days</t>
  </si>
  <si>
    <t>Day</t>
  </si>
  <si>
    <t>DAILY</t>
  </si>
  <si>
    <t>MTD</t>
  </si>
  <si>
    <t>DELAY TYPE</t>
  </si>
  <si>
    <t>QUOTA</t>
  </si>
  <si>
    <t>ACTUAL</t>
  </si>
  <si>
    <t>EMULSION</t>
  </si>
  <si>
    <t>ANFO</t>
  </si>
  <si>
    <t>DETONATORS</t>
  </si>
  <si>
    <t>DETCORDS</t>
  </si>
  <si>
    <t>TOTAL</t>
  </si>
  <si>
    <t>DATE</t>
  </si>
  <si>
    <t>DAY</t>
  </si>
  <si>
    <t>EMULSION (KG)</t>
  </si>
  <si>
    <t>ANFO (KG)</t>
  </si>
  <si>
    <t>DETONATORS (PCS)</t>
  </si>
  <si>
    <t>DETCORDS (MTR)</t>
  </si>
  <si>
    <t>MONDAY</t>
  </si>
  <si>
    <t>TUESDAY</t>
  </si>
  <si>
    <t>WEDNESDAY</t>
  </si>
  <si>
    <t>THURSDAY</t>
  </si>
  <si>
    <t>FRIDAY</t>
  </si>
  <si>
    <t>SATURDAY</t>
  </si>
  <si>
    <t>SUNDAY</t>
  </si>
  <si>
    <t>Month of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</si>
</sst>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/>
    <xf numFmtId="9" fontId="0" fillId="0" borderId="0" xfId="2" applyFont="1" applyAlignment="1">
      <alignment horizontal="center" vertical="center"/>
    </xf>
    <xf numFmtId="0" fontId="0" fillId="0" borderId="1" xfId="0" applyBorder="1"/>
    <xf numFmtId="14" fontId="0" fillId="0" borderId="0" xfId="0" applyNumberFormat="1"/>
    <xf numFmtId="14" fontId="0" fillId="0" borderId="3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4" xfId="0" applyNumberFormat="1" applyBorder="1"/>
    <xf numFmtId="14" fontId="0" fillId="0" borderId="3" xfId="0" applyNumberFormat="1" applyBorder="1"/>
    <xf numFmtId="0" fontId="3" fillId="0" borderId="3" xfId="0" applyFont="1" applyBorder="1"/>
    <xf numFmtId="164" fontId="0" fillId="2" borderId="3" xfId="1" applyNumberFormat="1" applyFont="1" applyFill="1" applyBorder="1"/>
    <xf numFmtId="0" fontId="0" fillId="2" borderId="3" xfId="0" applyFill="1" applyBorder="1"/>
    <xf numFmtId="0" fontId="0" fillId="0" borderId="3" xfId="0" applyBorder="1"/>
    <xf numFmtId="164" fontId="0" fillId="3" borderId="3" xfId="1" applyNumberFormat="1" applyFont="1" applyFill="1" applyBorder="1"/>
    <xf numFmtId="14" fontId="4" fillId="0" borderId="0" xfId="0" applyNumberFormat="1" applyFont="1"/>
    <xf numFmtId="43" fontId="0" fillId="2" borderId="3" xfId="1" applyFont="1" applyFill="1" applyBorder="1"/>
    <xf numFmtId="43" fontId="0" fillId="3" borderId="3" xfId="1" applyFont="1" applyFill="1" applyBorder="1"/>
    <xf numFmtId="0" fontId="6" fillId="0" borderId="0" xfId="0" applyFont="1"/>
    <xf numFmtId="0" fontId="7" fillId="0" borderId="0" xfId="0" applyFont="1"/>
    <xf numFmtId="43" fontId="0" fillId="3" borderId="3" xfId="1" applyNumberFormat="1" applyFont="1" applyFill="1" applyBorder="1"/>
    <xf numFmtId="0" fontId="0" fillId="0" borderId="0" xfId="0" applyFill="1"/>
    <xf numFmtId="0" fontId="0" fillId="0" borderId="1" xfId="0" applyFill="1" applyBorder="1" applyAlignment="1">
      <alignment horizontal="center"/>
    </xf>
    <xf numFmtId="164" fontId="0" fillId="0" borderId="1" xfId="1" applyNumberFormat="1" applyFont="1" applyFill="1" applyBorder="1"/>
    <xf numFmtId="43" fontId="0" fillId="2" borderId="3" xfId="1" applyNumberFormat="1" applyFont="1" applyFill="1" applyBorder="1"/>
    <xf numFmtId="43" fontId="1" fillId="3" borderId="3" xfId="1" applyFont="1" applyFill="1" applyBorder="1"/>
    <xf numFmtId="43" fontId="1" fillId="3" borderId="3" xfId="1" applyNumberFormat="1" applyFont="1" applyFill="1" applyBorder="1"/>
    <xf numFmtId="2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46"/>
  <sheetViews>
    <sheetView tabSelected="1" zoomScale="115" zoomScaleNormal="115" workbookViewId="0">
      <pane ySplit="10" topLeftCell="A11" activePane="bottomLeft" state="frozen"/>
      <selection pane="bottomLeft" activeCell="D37" sqref="D37"/>
    </sheetView>
  </sheetViews>
  <sheetFormatPr defaultRowHeight="15" x14ac:dyDescent="0.25"/>
  <cols>
    <col min="2" max="2" width="13.5703125" customWidth="1"/>
    <col min="3" max="3" width="14.7109375" bestFit="1" customWidth="1"/>
    <col min="4" max="4" width="11" customWidth="1"/>
    <col min="5" max="5" width="18.42578125" bestFit="1" customWidth="1"/>
    <col min="6" max="6" width="15.5703125" bestFit="1" customWidth="1"/>
    <col min="7" max="8" width="11.85546875" customWidth="1"/>
    <col min="9" max="9" width="5.28515625" customWidth="1"/>
    <col min="10" max="15" width="6.85546875" hidden="1" customWidth="1"/>
    <col min="16" max="16" width="8.42578125" customWidth="1"/>
    <col min="17" max="18" width="9.42578125" bestFit="1" customWidth="1"/>
    <col min="19" max="19" width="8.28515625" bestFit="1" customWidth="1"/>
    <col min="20" max="35" width="5.28515625" customWidth="1"/>
  </cols>
  <sheetData>
    <row r="1" spans="1:19" x14ac:dyDescent="0.25">
      <c r="B1" t="s">
        <v>0</v>
      </c>
      <c r="E1" t="s">
        <v>1</v>
      </c>
      <c r="F1" s="1">
        <v>30</v>
      </c>
      <c r="H1" s="21" t="s">
        <v>26</v>
      </c>
    </row>
    <row r="2" spans="1:19" x14ac:dyDescent="0.25">
      <c r="B2" t="s">
        <v>2</v>
      </c>
      <c r="C2" s="1">
        <v>19</v>
      </c>
      <c r="F2" s="23"/>
    </row>
    <row r="3" spans="1:19" ht="15.75" hidden="1" thickBot="1" x14ac:dyDescent="0.3">
      <c r="C3" s="30" t="s">
        <v>3</v>
      </c>
      <c r="D3" s="30"/>
      <c r="E3" s="31" t="s">
        <v>4</v>
      </c>
      <c r="F3" s="31"/>
    </row>
    <row r="4" spans="1:19" ht="15.75" hidden="1" thickBot="1" x14ac:dyDescent="0.3">
      <c r="B4" s="2" t="s">
        <v>5</v>
      </c>
      <c r="C4" s="3" t="s">
        <v>6</v>
      </c>
      <c r="D4" s="3" t="s">
        <v>7</v>
      </c>
      <c r="E4" s="3" t="s">
        <v>6</v>
      </c>
      <c r="F4" s="3" t="s">
        <v>7</v>
      </c>
    </row>
    <row r="5" spans="1:19" ht="15.75" hidden="1" thickBot="1" x14ac:dyDescent="0.3">
      <c r="B5" s="2" t="s">
        <v>8</v>
      </c>
      <c r="C5" s="4"/>
      <c r="D5" s="4"/>
      <c r="E5" s="4"/>
      <c r="F5" s="4"/>
    </row>
    <row r="6" spans="1:19" ht="15.75" hidden="1" thickBot="1" x14ac:dyDescent="0.3">
      <c r="B6" s="2" t="s">
        <v>9</v>
      </c>
      <c r="C6" s="4"/>
      <c r="D6" s="4"/>
      <c r="E6" s="4"/>
      <c r="F6" s="4"/>
    </row>
    <row r="7" spans="1:19" ht="15.75" hidden="1" thickBot="1" x14ac:dyDescent="0.3">
      <c r="B7" s="2" t="s">
        <v>10</v>
      </c>
      <c r="C7" s="4"/>
      <c r="D7" s="4"/>
      <c r="E7" s="4"/>
      <c r="F7" s="4"/>
      <c r="H7" s="5"/>
    </row>
    <row r="8" spans="1:19" ht="15.75" hidden="1" thickBot="1" x14ac:dyDescent="0.3">
      <c r="B8" s="2" t="s">
        <v>11</v>
      </c>
      <c r="C8" s="6"/>
      <c r="D8" s="6"/>
      <c r="E8" s="6"/>
      <c r="F8" s="6"/>
    </row>
    <row r="9" spans="1:19" ht="15.75" hidden="1" thickBot="1" x14ac:dyDescent="0.3">
      <c r="B9" s="2"/>
      <c r="C9" s="6"/>
      <c r="D9" s="6"/>
      <c r="E9" s="6"/>
      <c r="F9" s="6"/>
    </row>
    <row r="10" spans="1:19" ht="15.75" hidden="1" thickBot="1" x14ac:dyDescent="0.3">
      <c r="B10" s="2" t="s">
        <v>12</v>
      </c>
      <c r="C10" s="4"/>
      <c r="D10" s="6"/>
      <c r="E10" s="4"/>
      <c r="F10" s="6"/>
    </row>
    <row r="11" spans="1:19" ht="15.75" thickBot="1" x14ac:dyDescent="0.3">
      <c r="B11" s="7"/>
      <c r="J11" s="32" t="s">
        <v>4</v>
      </c>
      <c r="K11" s="32"/>
      <c r="L11" s="32"/>
      <c r="M11" s="32"/>
      <c r="N11" s="32"/>
      <c r="O11" s="32"/>
    </row>
    <row r="12" spans="1:19" ht="15.75" thickBot="1" x14ac:dyDescent="0.3">
      <c r="A12" s="8" t="s">
        <v>13</v>
      </c>
      <c r="B12" s="7" t="s">
        <v>14</v>
      </c>
      <c r="C12" s="9" t="s">
        <v>15</v>
      </c>
      <c r="D12" s="9" t="s">
        <v>16</v>
      </c>
      <c r="E12" s="9" t="s">
        <v>17</v>
      </c>
      <c r="F12" s="2" t="s">
        <v>18</v>
      </c>
      <c r="G12" s="10"/>
      <c r="H12" s="11"/>
      <c r="J12" s="9" t="s">
        <v>8</v>
      </c>
      <c r="K12" s="9" t="s">
        <v>9</v>
      </c>
      <c r="L12" s="9" t="s">
        <v>10</v>
      </c>
      <c r="M12" s="2" t="s">
        <v>11</v>
      </c>
      <c r="N12" s="11"/>
      <c r="O12" s="11"/>
    </row>
    <row r="13" spans="1:19" x14ac:dyDescent="0.25">
      <c r="A13" s="12">
        <v>1</v>
      </c>
      <c r="B13" s="7" t="s">
        <v>19</v>
      </c>
      <c r="C13" s="26">
        <f>'LEVEL 4'!C13+'LEVEL 5'!C13+'LEVEL 6'!C13+'LEVEL 7'!C13+'LEVEL 8'!C13+'LEVEL 9'!C13+'LEVEL 10'!C13+'LEVEL 11'!C13+'LEVEL 12'!C13+'LEVEL 3'!C13+'SINUG-ANG VEIN'!C13+'L425'!C13+'L460'!C13</f>
        <v>294.98837209302326</v>
      </c>
      <c r="D13" s="26">
        <f>'LEVEL 4'!D13+'LEVEL 5'!D13+'LEVEL 6'!D13+'LEVEL 7'!D13+'LEVEL 8'!D13+'LEVEL 9'!D13+'LEVEL 10'!D13+'LEVEL 11'!D13+'LEVEL 12'!D13+'LEVEL 3'!D13+'SINUG-ANG VEIN'!D13+'L425'!D13+'L460'!D13</f>
        <v>981</v>
      </c>
      <c r="E13" s="26">
        <f>'LEVEL 4'!E13+'LEVEL 5'!E13+'LEVEL 6'!E13+'LEVEL 7'!E13+'LEVEL 8'!E13+'LEVEL 9'!E13+'LEVEL 10'!E13+'LEVEL 11'!E13+'LEVEL 12'!E13+'LEVEL 3'!E13+'SINUG-ANG VEIN'!E13+'L425'!E13+'L460'!E13</f>
        <v>1365</v>
      </c>
      <c r="F13" s="26">
        <f>'LEVEL 4'!F13+'LEVEL 5'!F13+'LEVEL 6'!F13+'LEVEL 7'!F13+'LEVEL 8'!F13+'LEVEL 9'!F13+'LEVEL 10'!F13+'LEVEL 11'!F13+'LEVEL 12'!F13+'LEVEL 3'!F13+'SINUG-ANG VEIN'!F13+'L425'!F13+'L460'!F13</f>
        <v>653</v>
      </c>
      <c r="G13" s="13"/>
      <c r="H13" s="13"/>
      <c r="J13" s="15">
        <f>SUM(C$13:C13)</f>
        <v>294.98837209302326</v>
      </c>
      <c r="K13" s="15">
        <f>SUM(D$13:D13)</f>
        <v>981</v>
      </c>
      <c r="L13" s="15">
        <f>SUM(E$13:E13)</f>
        <v>1365</v>
      </c>
      <c r="M13" s="15">
        <f>SUM(F$13:F13)</f>
        <v>653</v>
      </c>
      <c r="N13" s="15"/>
      <c r="O13" s="15"/>
      <c r="P13" s="29"/>
      <c r="Q13" s="29"/>
      <c r="R13" s="29"/>
      <c r="S13" s="29"/>
    </row>
    <row r="14" spans="1:19" x14ac:dyDescent="0.25">
      <c r="A14" s="12">
        <v>2</v>
      </c>
      <c r="B14" s="7" t="s">
        <v>20</v>
      </c>
      <c r="C14" s="26">
        <f>'LEVEL 4'!C14+'LEVEL 5'!C14+'LEVEL 6'!C14+'LEVEL 7'!C14+'LEVEL 8'!C14+'LEVEL 9'!C14+'LEVEL 10'!C14+'LEVEL 11'!C14+'LEVEL 12'!C14+'LEVEL 3'!C14+'SINUG-ANG VEIN'!C14+'L425'!C14+'L460'!C14</f>
        <v>331.56976744186045</v>
      </c>
      <c r="D14" s="26">
        <f>'LEVEL 4'!D14+'LEVEL 5'!D14+'LEVEL 6'!D14+'LEVEL 7'!D14+'LEVEL 8'!D14+'LEVEL 9'!D14+'LEVEL 10'!D14+'LEVEL 11'!D14+'LEVEL 12'!D14+'LEVEL 3'!D14+'SINUG-ANG VEIN'!D14+'L425'!D14+'L460'!D14</f>
        <v>1128.1999999999998</v>
      </c>
      <c r="E14" s="26">
        <f>'LEVEL 4'!E14+'LEVEL 5'!E14+'LEVEL 6'!E14+'LEVEL 7'!E14+'LEVEL 8'!E14+'LEVEL 9'!E14+'LEVEL 10'!E14+'LEVEL 11'!E14+'LEVEL 12'!E14+'LEVEL 3'!E14+'SINUG-ANG VEIN'!E14+'L425'!E14+'L460'!E14</f>
        <v>1584</v>
      </c>
      <c r="F14" s="26">
        <f>'LEVEL 4'!F14+'LEVEL 5'!F14+'LEVEL 6'!F14+'LEVEL 7'!F14+'LEVEL 8'!F14+'LEVEL 9'!F14+'LEVEL 10'!F14+'LEVEL 11'!F14+'LEVEL 12'!F14+'LEVEL 3'!F14+'SINUG-ANG VEIN'!F14+'L425'!F14+'L460'!F14</f>
        <v>729</v>
      </c>
      <c r="G14" s="13"/>
      <c r="H14" s="13"/>
      <c r="J14" s="15">
        <f>SUM(C$13:C14)</f>
        <v>626.55813953488371</v>
      </c>
      <c r="K14" s="15">
        <f>SUM(D$13:D14)</f>
        <v>2109.1999999999998</v>
      </c>
      <c r="L14" s="15">
        <f>SUM(E$13:E14)</f>
        <v>2949</v>
      </c>
      <c r="M14" s="15">
        <f>SUM(F$13:F14)</f>
        <v>1382</v>
      </c>
      <c r="N14" s="15"/>
      <c r="O14" s="15"/>
      <c r="P14" s="29"/>
      <c r="Q14" s="29"/>
      <c r="R14" s="29"/>
      <c r="S14" s="29"/>
    </row>
    <row r="15" spans="1:19" x14ac:dyDescent="0.25">
      <c r="A15" s="12">
        <v>3</v>
      </c>
      <c r="B15" s="7" t="s">
        <v>21</v>
      </c>
      <c r="C15" s="26">
        <f>'LEVEL 4'!C15+'LEVEL 5'!C15+'LEVEL 6'!C15+'LEVEL 7'!C15+'LEVEL 8'!C15+'LEVEL 9'!C15+'LEVEL 10'!C15+'LEVEL 11'!C15+'LEVEL 12'!C15+'LEVEL 3'!C15+'SINUG-ANG VEIN'!C15+'L425'!C15+'L460'!C15</f>
        <v>371.60755813953483</v>
      </c>
      <c r="D15" s="26">
        <f>'LEVEL 4'!D15+'LEVEL 5'!D15+'LEVEL 6'!D15+'LEVEL 7'!D15+'LEVEL 8'!D15+'LEVEL 9'!D15+'LEVEL 10'!D15+'LEVEL 11'!D15+'LEVEL 12'!D15+'LEVEL 3'!D15+'SINUG-ANG VEIN'!D15+'L425'!D15+'L460'!D15</f>
        <v>1107.8000000000002</v>
      </c>
      <c r="E15" s="26">
        <f>'LEVEL 4'!E15+'LEVEL 5'!E15+'LEVEL 6'!E15+'LEVEL 7'!E15+'LEVEL 8'!E15+'LEVEL 9'!E15+'LEVEL 10'!E15+'LEVEL 11'!E15+'LEVEL 12'!E15+'LEVEL 3'!E15+'SINUG-ANG VEIN'!E15+'L425'!E15+'L460'!E15</f>
        <v>1668</v>
      </c>
      <c r="F15" s="26">
        <f>'LEVEL 4'!F15+'LEVEL 5'!F15+'LEVEL 6'!F15+'LEVEL 7'!F15+'LEVEL 8'!F15+'LEVEL 9'!F15+'LEVEL 10'!F15+'LEVEL 11'!F15+'LEVEL 12'!F15+'LEVEL 3'!F15+'SINUG-ANG VEIN'!F15+'L425'!F15+'L460'!F15</f>
        <v>760</v>
      </c>
      <c r="G15" s="13"/>
      <c r="H15" s="13"/>
      <c r="J15" s="15">
        <f>SUM(C$13:C15)</f>
        <v>998.16569767441854</v>
      </c>
      <c r="K15" s="15">
        <f>SUM(D$13:D15)</f>
        <v>3217</v>
      </c>
      <c r="L15" s="15">
        <f>SUM(E$13:E15)</f>
        <v>4617</v>
      </c>
      <c r="M15" s="15">
        <f>SUM(F$13:F15)</f>
        <v>2142</v>
      </c>
      <c r="N15" s="15"/>
      <c r="O15" s="15"/>
      <c r="P15" s="29"/>
      <c r="Q15" s="29"/>
      <c r="R15" s="29"/>
      <c r="S15" s="29"/>
    </row>
    <row r="16" spans="1:19" x14ac:dyDescent="0.25">
      <c r="A16" s="12">
        <v>4</v>
      </c>
      <c r="B16" s="7" t="s">
        <v>22</v>
      </c>
      <c r="C16" s="26">
        <f>'LEVEL 4'!C16+'LEVEL 5'!C16+'LEVEL 6'!C16+'LEVEL 7'!C16+'LEVEL 8'!C16+'LEVEL 9'!C16+'LEVEL 10'!C16+'LEVEL 11'!C16+'LEVEL 12'!C16+'LEVEL 3'!C16+'SINUG-ANG VEIN'!C16+'L425'!C16+'L460'!C16</f>
        <v>351.40697674418607</v>
      </c>
      <c r="D16" s="26">
        <f>'LEVEL 4'!D16+'LEVEL 5'!D16+'LEVEL 6'!D16+'LEVEL 7'!D16+'LEVEL 8'!D16+'LEVEL 9'!D16+'LEVEL 10'!D16+'LEVEL 11'!D16+'LEVEL 12'!D16+'LEVEL 3'!D16+'SINUG-ANG VEIN'!D16+'L425'!D16+'L460'!D16</f>
        <v>1183.4000000000001</v>
      </c>
      <c r="E16" s="26">
        <f>'LEVEL 4'!E16+'LEVEL 5'!E16+'LEVEL 6'!E16+'LEVEL 7'!E16+'LEVEL 8'!E16+'LEVEL 9'!E16+'LEVEL 10'!E16+'LEVEL 11'!E16+'LEVEL 12'!E16+'LEVEL 3'!E16+'SINUG-ANG VEIN'!E16+'L425'!E16+'L460'!E16</f>
        <v>1677</v>
      </c>
      <c r="F16" s="26">
        <f>'LEVEL 4'!F16+'LEVEL 5'!F16+'LEVEL 6'!F16+'LEVEL 7'!F16+'LEVEL 8'!F16+'LEVEL 9'!F16+'LEVEL 10'!F16+'LEVEL 11'!F16+'LEVEL 12'!F16+'LEVEL 3'!F16+'SINUG-ANG VEIN'!F16+'L425'!F16+'L460'!F16</f>
        <v>812</v>
      </c>
      <c r="G16" s="13"/>
      <c r="H16" s="13"/>
      <c r="J16" s="15">
        <f>SUM(C$13:C16)</f>
        <v>1349.5726744186045</v>
      </c>
      <c r="K16" s="15">
        <f>SUM(D$13:D16)</f>
        <v>4400.3999999999996</v>
      </c>
      <c r="L16" s="15">
        <f>SUM(E$13:E16)</f>
        <v>6294</v>
      </c>
      <c r="M16" s="15">
        <f>SUM(F$13:F16)</f>
        <v>2954</v>
      </c>
      <c r="N16" s="15"/>
      <c r="O16" s="15"/>
      <c r="P16" s="29"/>
      <c r="Q16" s="29"/>
      <c r="R16" s="29"/>
      <c r="S16" s="29"/>
    </row>
    <row r="17" spans="1:19" x14ac:dyDescent="0.25">
      <c r="A17" s="12">
        <v>5</v>
      </c>
      <c r="B17" s="7" t="s">
        <v>23</v>
      </c>
      <c r="C17" s="26">
        <f>'LEVEL 4'!C17+'LEVEL 5'!C17+'LEVEL 6'!C17+'LEVEL 7'!C17+'LEVEL 8'!C17+'LEVEL 9'!C17+'LEVEL 10'!C17+'LEVEL 11'!C17+'LEVEL 12'!C17+'LEVEL 3'!C17+'SINUG-ANG VEIN'!C17+'L425'!C17+'L460'!C17</f>
        <v>385.69767441860466</v>
      </c>
      <c r="D17" s="26">
        <f>'LEVEL 4'!D17+'LEVEL 5'!D17+'LEVEL 6'!D17+'LEVEL 7'!D17+'LEVEL 8'!D17+'LEVEL 9'!D17+'LEVEL 10'!D17+'LEVEL 11'!D17+'LEVEL 12'!D17+'LEVEL 3'!D17+'SINUG-ANG VEIN'!D17+'L425'!D17+'L460'!D17</f>
        <v>1186.6000000000001</v>
      </c>
      <c r="E17" s="26">
        <f>'LEVEL 4'!E17+'LEVEL 5'!E17+'LEVEL 6'!E17+'LEVEL 7'!E17+'LEVEL 8'!E17+'LEVEL 9'!E17+'LEVEL 10'!E17+'LEVEL 11'!E17+'LEVEL 12'!E17+'LEVEL 3'!E17+'SINUG-ANG VEIN'!E17+'L425'!E17+'L460'!E17</f>
        <v>1689</v>
      </c>
      <c r="F17" s="26">
        <f>'LEVEL 4'!F17+'LEVEL 5'!F17+'LEVEL 6'!F17+'LEVEL 7'!F17+'LEVEL 8'!F17+'LEVEL 9'!F17+'LEVEL 10'!F17+'LEVEL 11'!F17+'LEVEL 12'!F17+'LEVEL 3'!F17+'SINUG-ANG VEIN'!F17+'L425'!F17+'L460'!F17</f>
        <v>797</v>
      </c>
      <c r="G17" s="13"/>
      <c r="H17" s="13"/>
      <c r="J17" s="15">
        <f>SUM(C$13:C17)</f>
        <v>1735.2703488372092</v>
      </c>
      <c r="K17" s="15">
        <f>SUM(D$13:D17)</f>
        <v>5587</v>
      </c>
      <c r="L17" s="15">
        <f>SUM(E$13:E17)</f>
        <v>7983</v>
      </c>
      <c r="M17" s="15">
        <f>SUM(F$13:F17)</f>
        <v>3751</v>
      </c>
      <c r="N17" s="15"/>
      <c r="O17" s="15"/>
      <c r="P17" s="29"/>
      <c r="Q17" s="29"/>
      <c r="R17" s="29"/>
      <c r="S17" s="29"/>
    </row>
    <row r="18" spans="1:19" x14ac:dyDescent="0.25">
      <c r="A18" s="12">
        <v>6</v>
      </c>
      <c r="B18" s="7" t="s">
        <v>24</v>
      </c>
      <c r="C18" s="26">
        <f>'LEVEL 4'!C18+'LEVEL 5'!C18+'LEVEL 6'!C18+'LEVEL 7'!C18+'LEVEL 8'!C18+'LEVEL 9'!C18+'LEVEL 10'!C18+'LEVEL 11'!C18+'LEVEL 12'!C18+'LEVEL 3'!C18+'SINUG-ANG VEIN'!C18+'L425'!C18+'L460'!C18</f>
        <v>417.15988372093022</v>
      </c>
      <c r="D18" s="26">
        <f>'LEVEL 4'!D18+'LEVEL 5'!D18+'LEVEL 6'!D18+'LEVEL 7'!D18+'LEVEL 8'!D18+'LEVEL 9'!D18+'LEVEL 10'!D18+'LEVEL 11'!D18+'LEVEL 12'!D18+'LEVEL 3'!D18+'SINUG-ANG VEIN'!D18+'L425'!D18+'L460'!D18</f>
        <v>1295.2</v>
      </c>
      <c r="E18" s="26">
        <f>'LEVEL 4'!E18+'LEVEL 5'!E18+'LEVEL 6'!E18+'LEVEL 7'!E18+'LEVEL 8'!E18+'LEVEL 9'!E18+'LEVEL 10'!E18+'LEVEL 11'!E18+'LEVEL 12'!E18+'LEVEL 3'!E18+'SINUG-ANG VEIN'!E18+'L425'!E18+'L460'!E18</f>
        <v>1847</v>
      </c>
      <c r="F18" s="26">
        <f>'LEVEL 4'!F18+'LEVEL 5'!F18+'LEVEL 6'!F18+'LEVEL 7'!F18+'LEVEL 8'!F18+'LEVEL 9'!F18+'LEVEL 10'!F18+'LEVEL 11'!F18+'LEVEL 12'!F18+'LEVEL 3'!F18+'SINUG-ANG VEIN'!F18+'L425'!F18+'L460'!F18</f>
        <v>918</v>
      </c>
      <c r="G18" s="13"/>
      <c r="H18" s="13"/>
      <c r="J18" s="15">
        <f>SUM(C$13:C18)</f>
        <v>2152.4302325581393</v>
      </c>
      <c r="K18" s="15">
        <f>SUM(D$13:D18)</f>
        <v>6882.2</v>
      </c>
      <c r="L18" s="15">
        <f>SUM(E$13:E18)</f>
        <v>9830</v>
      </c>
      <c r="M18" s="15">
        <f>SUM(F$13:F18)</f>
        <v>4669</v>
      </c>
      <c r="N18" s="15"/>
      <c r="O18" s="15"/>
      <c r="P18" s="29"/>
      <c r="Q18" s="29"/>
      <c r="R18" s="29"/>
      <c r="S18" s="29"/>
    </row>
    <row r="19" spans="1:19" x14ac:dyDescent="0.25">
      <c r="A19" s="12">
        <v>7</v>
      </c>
      <c r="B19" s="7" t="s">
        <v>25</v>
      </c>
      <c r="C19" s="26">
        <f>'LEVEL 4'!C19+'LEVEL 5'!C19+'LEVEL 6'!C19+'LEVEL 7'!C19+'LEVEL 8'!C19+'LEVEL 9'!C19+'LEVEL 10'!C19+'LEVEL 11'!C19+'LEVEL 12'!C19+'LEVEL 3'!C19+'SINUG-ANG VEIN'!C19+'L425'!C19+'L460'!C19</f>
        <v>318.14534883720933</v>
      </c>
      <c r="D19" s="26">
        <f>'LEVEL 4'!D19+'LEVEL 5'!D19+'LEVEL 6'!D19+'LEVEL 7'!D19+'LEVEL 8'!D19+'LEVEL 9'!D19+'LEVEL 10'!D19+'LEVEL 11'!D19+'LEVEL 12'!D19+'LEVEL 3'!D19+'SINUG-ANG VEIN'!D19+'L425'!D19+'L460'!D19</f>
        <v>887.6</v>
      </c>
      <c r="E19" s="26">
        <f>'LEVEL 4'!E19+'LEVEL 5'!E19+'LEVEL 6'!E19+'LEVEL 7'!E19+'LEVEL 8'!E19+'LEVEL 9'!E19+'LEVEL 10'!E19+'LEVEL 11'!E19+'LEVEL 12'!E19+'LEVEL 3'!E19+'SINUG-ANG VEIN'!E19+'L425'!E19+'L460'!E19</f>
        <v>1285</v>
      </c>
      <c r="F19" s="26">
        <f>'LEVEL 4'!F19+'LEVEL 5'!F19+'LEVEL 6'!F19+'LEVEL 7'!F19+'LEVEL 8'!F19+'LEVEL 9'!F19+'LEVEL 10'!F19+'LEVEL 11'!F19+'LEVEL 12'!F19+'LEVEL 3'!F19+'SINUG-ANG VEIN'!F19+'L425'!F19+'L460'!F19</f>
        <v>609</v>
      </c>
      <c r="G19" s="13"/>
      <c r="H19" s="13"/>
      <c r="J19" s="15">
        <f>SUM(C$13:C19)</f>
        <v>2470.5755813953488</v>
      </c>
      <c r="K19" s="15">
        <f>SUM(D$13:D19)</f>
        <v>7769.8</v>
      </c>
      <c r="L19" s="15">
        <f>SUM(E$13:E19)</f>
        <v>11115</v>
      </c>
      <c r="M19" s="15">
        <f>SUM(F$13:F19)</f>
        <v>5278</v>
      </c>
      <c r="N19" s="15"/>
      <c r="O19" s="15"/>
      <c r="P19" s="29"/>
      <c r="Q19" s="29"/>
      <c r="R19" s="29"/>
      <c r="S19" s="29"/>
    </row>
    <row r="20" spans="1:19" x14ac:dyDescent="0.25">
      <c r="A20" s="12">
        <v>8</v>
      </c>
      <c r="B20" s="7" t="s">
        <v>19</v>
      </c>
      <c r="C20" s="26">
        <f>'LEVEL 4'!C20+'LEVEL 5'!C20+'LEVEL 6'!C20+'LEVEL 7'!C20+'LEVEL 8'!C20+'LEVEL 9'!C20+'LEVEL 10'!C20+'LEVEL 11'!C20+'LEVEL 12'!C20+'LEVEL 3'!C20+'SINUG-ANG VEIN'!C20+'L425'!C20+'L460'!C20</f>
        <v>372.43895348837208</v>
      </c>
      <c r="D20" s="26">
        <f>'LEVEL 4'!D20+'LEVEL 5'!D20+'LEVEL 6'!D20+'LEVEL 7'!D20+'LEVEL 8'!D20+'LEVEL 9'!D20+'LEVEL 10'!D20+'LEVEL 11'!D20+'LEVEL 12'!D20+'LEVEL 3'!D20+'SINUG-ANG VEIN'!D20+'L425'!D20+'L460'!D20</f>
        <v>1174.8</v>
      </c>
      <c r="E20" s="26">
        <f>'LEVEL 4'!E20+'LEVEL 5'!E20+'LEVEL 6'!E20+'LEVEL 7'!E20+'LEVEL 8'!E20+'LEVEL 9'!E20+'LEVEL 10'!E20+'LEVEL 11'!E20+'LEVEL 12'!E20+'LEVEL 3'!E20+'SINUG-ANG VEIN'!E20+'L425'!E20+'L460'!E20</f>
        <v>1688</v>
      </c>
      <c r="F20" s="26">
        <f>'LEVEL 4'!F20+'LEVEL 5'!F20+'LEVEL 6'!F20+'LEVEL 7'!F20+'LEVEL 8'!F20+'LEVEL 9'!F20+'LEVEL 10'!F20+'LEVEL 11'!F20+'LEVEL 12'!F20+'LEVEL 3'!F20+'SINUG-ANG VEIN'!F20+'L425'!F20+'L460'!F20</f>
        <v>826</v>
      </c>
      <c r="G20" s="13"/>
      <c r="H20" s="13"/>
      <c r="J20" s="15">
        <f>SUM(C$13:C20)</f>
        <v>2843.0145348837209</v>
      </c>
      <c r="K20" s="15">
        <f>SUM(D$13:D20)</f>
        <v>8944.6</v>
      </c>
      <c r="L20" s="15">
        <f>SUM(E$13:E20)</f>
        <v>12803</v>
      </c>
      <c r="M20" s="15">
        <f>SUM(F$13:F20)</f>
        <v>6104</v>
      </c>
      <c r="N20" s="15"/>
      <c r="O20" s="15"/>
      <c r="P20" s="29"/>
      <c r="Q20" s="29"/>
      <c r="R20" s="29"/>
      <c r="S20" s="29"/>
    </row>
    <row r="21" spans="1:19" x14ac:dyDescent="0.25">
      <c r="A21" s="12">
        <v>9</v>
      </c>
      <c r="B21" s="7" t="s">
        <v>20</v>
      </c>
      <c r="C21" s="26">
        <f>'LEVEL 4'!C21+'LEVEL 5'!C21+'LEVEL 6'!C21+'LEVEL 7'!C21+'LEVEL 8'!C21+'LEVEL 9'!C21+'LEVEL 10'!C21+'LEVEL 11'!C21+'LEVEL 12'!C21+'LEVEL 3'!C21+'SINUG-ANG VEIN'!C21+'L425'!C21+'L460'!C21</f>
        <v>415.90988372093022</v>
      </c>
      <c r="D21" s="26">
        <f>'LEVEL 4'!D21+'LEVEL 5'!D21+'LEVEL 6'!D21+'LEVEL 7'!D21+'LEVEL 8'!D21+'LEVEL 9'!D21+'LEVEL 10'!D21+'LEVEL 11'!D21+'LEVEL 12'!D21+'LEVEL 3'!D21+'SINUG-ANG VEIN'!D21+'L425'!D21+'L460'!D21</f>
        <v>1241.5999999999999</v>
      </c>
      <c r="E21" s="26">
        <f>'LEVEL 4'!E21+'LEVEL 5'!E21+'LEVEL 6'!E21+'LEVEL 7'!E21+'LEVEL 8'!E21+'LEVEL 9'!E21+'LEVEL 10'!E21+'LEVEL 11'!E21+'LEVEL 12'!E21+'LEVEL 3'!E21+'SINUG-ANG VEIN'!E21+'L425'!E21+'L460'!E21</f>
        <v>1811</v>
      </c>
      <c r="F21" s="26">
        <f>'LEVEL 4'!F21+'LEVEL 5'!F21+'LEVEL 6'!F21+'LEVEL 7'!F21+'LEVEL 8'!F21+'LEVEL 9'!F21+'LEVEL 10'!F21+'LEVEL 11'!F21+'LEVEL 12'!F21+'LEVEL 3'!F21+'SINUG-ANG VEIN'!F21+'L425'!F21+'L460'!F21</f>
        <v>889</v>
      </c>
      <c r="G21" s="13"/>
      <c r="H21" s="13"/>
      <c r="J21" s="15">
        <f>SUM(C$13:C21)</f>
        <v>3258.9244186046512</v>
      </c>
      <c r="K21" s="15">
        <f>SUM(D$13:D21)</f>
        <v>10186.200000000001</v>
      </c>
      <c r="L21" s="15">
        <f>SUM(E$13:E21)</f>
        <v>14614</v>
      </c>
      <c r="M21" s="15">
        <f>SUM(F$13:F21)</f>
        <v>6993</v>
      </c>
      <c r="N21" s="15"/>
      <c r="O21" s="15"/>
      <c r="P21" s="29"/>
      <c r="Q21" s="29"/>
      <c r="R21" s="29"/>
      <c r="S21" s="29"/>
    </row>
    <row r="22" spans="1:19" x14ac:dyDescent="0.25">
      <c r="A22" s="12">
        <v>10</v>
      </c>
      <c r="B22" s="7" t="s">
        <v>21</v>
      </c>
      <c r="C22" s="26">
        <f>'LEVEL 4'!C22+'LEVEL 5'!C22+'LEVEL 6'!C22+'LEVEL 7'!C22+'LEVEL 8'!C22+'LEVEL 9'!C22+'LEVEL 10'!C22+'LEVEL 11'!C22+'LEVEL 12'!C22+'LEVEL 3'!C22+'SINUG-ANG VEIN'!C22+'L425'!C22+'L460'!C22</f>
        <v>363.82267441860461</v>
      </c>
      <c r="D22" s="26">
        <f>'LEVEL 4'!D22+'LEVEL 5'!D22+'LEVEL 6'!D22+'LEVEL 7'!D22+'LEVEL 8'!D22+'LEVEL 9'!D22+'LEVEL 10'!D22+'LEVEL 11'!D22+'LEVEL 12'!D22+'LEVEL 3'!D22+'SINUG-ANG VEIN'!D22+'L425'!D22+'L460'!D22</f>
        <v>1195.1999999999998</v>
      </c>
      <c r="E22" s="26">
        <f>'LEVEL 4'!E22+'LEVEL 5'!E22+'LEVEL 6'!E22+'LEVEL 7'!E22+'LEVEL 8'!E22+'LEVEL 9'!E22+'LEVEL 10'!E22+'LEVEL 11'!E22+'LEVEL 12'!E22+'LEVEL 3'!E22+'SINUG-ANG VEIN'!E22+'L425'!E22+'L460'!E22</f>
        <v>1652</v>
      </c>
      <c r="F22" s="26">
        <f>'LEVEL 4'!F22+'LEVEL 5'!F22+'LEVEL 6'!F22+'LEVEL 7'!F22+'LEVEL 8'!F22+'LEVEL 9'!F22+'LEVEL 10'!F22+'LEVEL 11'!F22+'LEVEL 12'!F22+'LEVEL 3'!F22+'SINUG-ANG VEIN'!F22+'L425'!F22+'L460'!F22</f>
        <v>796</v>
      </c>
      <c r="G22" s="13"/>
      <c r="H22" s="13"/>
      <c r="J22" s="15">
        <f>SUM(C$13:C22)</f>
        <v>3622.7470930232557</v>
      </c>
      <c r="K22" s="15">
        <f>SUM(D$13:D22)</f>
        <v>11381.400000000001</v>
      </c>
      <c r="L22" s="15">
        <f>SUM(E$13:E22)</f>
        <v>16266</v>
      </c>
      <c r="M22" s="15">
        <f>SUM(F$13:F22)</f>
        <v>7789</v>
      </c>
      <c r="N22" s="15"/>
      <c r="O22" s="15"/>
    </row>
    <row r="23" spans="1:19" x14ac:dyDescent="0.25">
      <c r="A23" s="12">
        <v>11</v>
      </c>
      <c r="B23" s="7" t="s">
        <v>22</v>
      </c>
      <c r="C23" s="26">
        <f>'LEVEL 4'!C23+'LEVEL 5'!C23+'LEVEL 6'!C23+'LEVEL 7'!C23+'LEVEL 8'!C23+'LEVEL 9'!C23+'LEVEL 10'!C23+'LEVEL 11'!C23+'LEVEL 12'!C23+'LEVEL 3'!C23+'SINUG-ANG VEIN'!C23+'L425'!C23+'L460'!C23</f>
        <v>406.02906976744185</v>
      </c>
      <c r="D23" s="26">
        <f>'LEVEL 4'!D23+'LEVEL 5'!D23+'LEVEL 6'!D23+'LEVEL 7'!D23+'LEVEL 8'!D23+'LEVEL 9'!D23+'LEVEL 10'!D23+'LEVEL 11'!D23+'LEVEL 12'!D23+'LEVEL 3'!D23+'SINUG-ANG VEIN'!D23+'L425'!D23+'L460'!D23</f>
        <v>1339.6</v>
      </c>
      <c r="E23" s="26">
        <f>'LEVEL 4'!E23+'LEVEL 5'!E23+'LEVEL 6'!E23+'LEVEL 7'!E23+'LEVEL 8'!E23+'LEVEL 9'!E23+'LEVEL 10'!E23+'LEVEL 11'!E23+'LEVEL 12'!E23+'LEVEL 3'!E23+'SINUG-ANG VEIN'!E23+'L425'!E23+'L460'!E23</f>
        <v>1891</v>
      </c>
      <c r="F23" s="26">
        <f>'LEVEL 4'!F23+'LEVEL 5'!F23+'LEVEL 6'!F23+'LEVEL 7'!F23+'LEVEL 8'!F23+'LEVEL 9'!F23+'LEVEL 10'!F23+'LEVEL 11'!F23+'LEVEL 12'!F23+'LEVEL 3'!F23+'SINUG-ANG VEIN'!F23+'L425'!F23+'L460'!F23</f>
        <v>885</v>
      </c>
      <c r="G23" s="13"/>
      <c r="H23" s="13"/>
      <c r="J23" s="15">
        <f>SUM(C$13:C23)</f>
        <v>4028.7761627906975</v>
      </c>
      <c r="K23" s="15">
        <f>SUM(D$13:D23)</f>
        <v>12721.000000000002</v>
      </c>
      <c r="L23" s="15">
        <f>SUM(E$13:E23)</f>
        <v>18157</v>
      </c>
      <c r="M23" s="15">
        <f>SUM(F$13:F23)</f>
        <v>8674</v>
      </c>
      <c r="N23" s="15"/>
      <c r="O23" s="15"/>
    </row>
    <row r="24" spans="1:19" x14ac:dyDescent="0.25">
      <c r="A24" s="12">
        <v>12</v>
      </c>
      <c r="B24" s="7" t="s">
        <v>23</v>
      </c>
      <c r="C24" s="26">
        <f>'LEVEL 4'!C24+'LEVEL 5'!C24+'LEVEL 6'!C24+'LEVEL 7'!C24+'LEVEL 8'!C24+'LEVEL 9'!C24+'LEVEL 10'!C24+'LEVEL 11'!C24+'LEVEL 12'!C24+'LEVEL 3'!C24+'SINUG-ANG VEIN'!C24+'L425'!C24+'L460'!C24</f>
        <v>409.8604651162791</v>
      </c>
      <c r="D24" s="26">
        <f>'LEVEL 4'!D24+'LEVEL 5'!D24+'LEVEL 6'!D24+'LEVEL 7'!D24+'LEVEL 8'!D24+'LEVEL 9'!D24+'LEVEL 10'!D24+'LEVEL 11'!D24+'LEVEL 12'!D24+'LEVEL 3'!D24+'SINUG-ANG VEIN'!D24+'L425'!D24+'L460'!D24</f>
        <v>1301.5999999999999</v>
      </c>
      <c r="E24" s="26">
        <f>'LEVEL 4'!E24+'LEVEL 5'!E24+'LEVEL 6'!E24+'LEVEL 7'!E24+'LEVEL 8'!E24+'LEVEL 9'!E24+'LEVEL 10'!E24+'LEVEL 11'!E24+'LEVEL 12'!E24+'LEVEL 3'!E24+'SINUG-ANG VEIN'!E24+'L425'!E24+'L460'!E24</f>
        <v>1844</v>
      </c>
      <c r="F24" s="26">
        <f>'LEVEL 4'!F24+'LEVEL 5'!F24+'LEVEL 6'!F24+'LEVEL 7'!F24+'LEVEL 8'!F24+'LEVEL 9'!F24+'LEVEL 10'!F24+'LEVEL 11'!F24+'LEVEL 12'!F24+'LEVEL 3'!F24+'SINUG-ANG VEIN'!F24+'L425'!F24+'L460'!F24</f>
        <v>904</v>
      </c>
      <c r="G24" s="13"/>
      <c r="H24" s="13"/>
      <c r="J24" s="15">
        <f>SUM(C$13:C24)</f>
        <v>4438.6366279069771</v>
      </c>
      <c r="K24" s="15">
        <f>SUM(D$13:D24)</f>
        <v>14022.600000000002</v>
      </c>
      <c r="L24" s="15">
        <f>SUM(E$13:E24)</f>
        <v>20001</v>
      </c>
      <c r="M24" s="15">
        <f>SUM(F$13:F24)</f>
        <v>9578</v>
      </c>
      <c r="N24" s="15"/>
      <c r="O24" s="15"/>
    </row>
    <row r="25" spans="1:19" x14ac:dyDescent="0.25">
      <c r="A25" s="12">
        <v>13</v>
      </c>
      <c r="B25" s="7" t="s">
        <v>24</v>
      </c>
      <c r="C25" s="26">
        <f>'LEVEL 4'!C25+'LEVEL 5'!C25+'LEVEL 6'!C25+'LEVEL 7'!C25+'LEVEL 8'!C25+'LEVEL 9'!C25+'LEVEL 10'!C25+'LEVEL 11'!C25+'LEVEL 12'!C25+'LEVEL 3'!C25+'SINUG-ANG VEIN'!C25+'L425'!C25+'L460'!C25</f>
        <v>303.07558139534882</v>
      </c>
      <c r="D25" s="26">
        <f>'LEVEL 4'!D25+'LEVEL 5'!D25+'LEVEL 6'!D25+'LEVEL 7'!D25+'LEVEL 8'!D25+'LEVEL 9'!D25+'LEVEL 10'!D25+'LEVEL 11'!D25+'LEVEL 12'!D25+'LEVEL 3'!D25+'SINUG-ANG VEIN'!D25+'L425'!D25+'L460'!D25</f>
        <v>1125.5999999999999</v>
      </c>
      <c r="E25" s="26">
        <f>'LEVEL 4'!E25+'LEVEL 5'!E25+'LEVEL 6'!E25+'LEVEL 7'!E25+'LEVEL 8'!E25+'LEVEL 9'!E25+'LEVEL 10'!E25+'LEVEL 11'!E25+'LEVEL 12'!E25+'LEVEL 3'!E25+'SINUG-ANG VEIN'!E25+'L425'!E25+'L460'!E25</f>
        <v>1494</v>
      </c>
      <c r="F25" s="26">
        <f>'LEVEL 4'!F25+'LEVEL 5'!F25+'LEVEL 6'!F25+'LEVEL 7'!F25+'LEVEL 8'!F25+'LEVEL 9'!F25+'LEVEL 10'!F25+'LEVEL 11'!F25+'LEVEL 12'!F25+'LEVEL 3'!F25+'SINUG-ANG VEIN'!F25+'L425'!F25+'L460'!F25</f>
        <v>732</v>
      </c>
      <c r="G25" s="13"/>
      <c r="H25" s="13"/>
      <c r="J25" s="15">
        <f>SUM(C$13:C25)</f>
        <v>4741.7122093023263</v>
      </c>
      <c r="K25" s="15">
        <f>SUM(D$13:D25)</f>
        <v>15148.200000000003</v>
      </c>
      <c r="L25" s="15">
        <f>SUM(E$13:E25)</f>
        <v>21495</v>
      </c>
      <c r="M25" s="15">
        <f>SUM(F$13:F25)</f>
        <v>10310</v>
      </c>
      <c r="N25" s="15"/>
      <c r="O25" s="15"/>
    </row>
    <row r="26" spans="1:19" x14ac:dyDescent="0.25">
      <c r="A26" s="12">
        <v>14</v>
      </c>
      <c r="B26" s="7" t="s">
        <v>25</v>
      </c>
      <c r="C26" s="26">
        <f>'LEVEL 4'!C26+'LEVEL 5'!C26+'LEVEL 6'!C26+'LEVEL 7'!C26+'LEVEL 8'!C26+'LEVEL 9'!C26+'LEVEL 10'!C26+'LEVEL 11'!C26+'LEVEL 12'!C26+'LEVEL 3'!C26+'SINUG-ANG VEIN'!C26+'L425'!C26+'L460'!C26</f>
        <v>266.24418604651163</v>
      </c>
      <c r="D26" s="26">
        <f>'LEVEL 4'!D26+'LEVEL 5'!D26+'LEVEL 6'!D26+'LEVEL 7'!D26+'LEVEL 8'!D26+'LEVEL 9'!D26+'LEVEL 10'!D26+'LEVEL 11'!D26+'LEVEL 12'!D26+'LEVEL 3'!D26+'SINUG-ANG VEIN'!D26+'L425'!D26+'L460'!D26</f>
        <v>798.6</v>
      </c>
      <c r="E26" s="26">
        <f>'LEVEL 4'!E26+'LEVEL 5'!E26+'LEVEL 6'!E26+'LEVEL 7'!E26+'LEVEL 8'!E26+'LEVEL 9'!E26+'LEVEL 10'!E26+'LEVEL 11'!E26+'LEVEL 12'!E26+'LEVEL 3'!E26+'SINUG-ANG VEIN'!E26+'L425'!E26+'L460'!E26</f>
        <v>1157</v>
      </c>
      <c r="F26" s="26">
        <f>'LEVEL 4'!F26+'LEVEL 5'!F26+'LEVEL 6'!F26+'LEVEL 7'!F26+'LEVEL 8'!F26+'LEVEL 9'!F26+'LEVEL 10'!F26+'LEVEL 11'!F26+'LEVEL 12'!F26+'LEVEL 3'!F26+'SINUG-ANG VEIN'!F26+'L425'!F26+'L460'!F26</f>
        <v>555</v>
      </c>
      <c r="G26" s="13"/>
      <c r="H26" s="13"/>
      <c r="J26" s="15">
        <f>SUM(C$13:C26)</f>
        <v>5007.9563953488378</v>
      </c>
      <c r="K26" s="15">
        <f>SUM(D$13:D26)</f>
        <v>15946.800000000003</v>
      </c>
      <c r="L26" s="15">
        <f>SUM(E$13:E26)</f>
        <v>22652</v>
      </c>
      <c r="M26" s="15">
        <f>SUM(F$13:F26)</f>
        <v>10865</v>
      </c>
      <c r="N26" s="15"/>
      <c r="O26" s="15"/>
    </row>
    <row r="27" spans="1:19" x14ac:dyDescent="0.25">
      <c r="A27" s="12">
        <v>15</v>
      </c>
      <c r="B27" s="7" t="s">
        <v>19</v>
      </c>
      <c r="C27" s="26">
        <f>'LEVEL 4'!C27+'LEVEL 5'!C27+'LEVEL 6'!C27+'LEVEL 7'!C27+'LEVEL 8'!C27+'LEVEL 9'!C27+'LEVEL 10'!C27+'LEVEL 11'!C27+'LEVEL 12'!C27+'LEVEL 3'!C27+'SINUG-ANG VEIN'!C27+'L425'!C27+'L460'!C27</f>
        <v>346.17732558139534</v>
      </c>
      <c r="D27" s="26">
        <f>'LEVEL 4'!D27+'LEVEL 5'!D27+'LEVEL 6'!D27+'LEVEL 7'!D27+'LEVEL 8'!D27+'LEVEL 9'!D27+'LEVEL 10'!D27+'LEVEL 11'!D27+'LEVEL 12'!D27+'LEVEL 3'!D27+'SINUG-ANG VEIN'!D27+'L425'!D27+'L460'!D27</f>
        <v>1125</v>
      </c>
      <c r="E27" s="26">
        <f>'LEVEL 4'!E27+'LEVEL 5'!E27+'LEVEL 6'!E27+'LEVEL 7'!E27+'LEVEL 8'!E27+'LEVEL 9'!E27+'LEVEL 10'!E27+'LEVEL 11'!E27+'LEVEL 12'!E27+'LEVEL 3'!E27+'SINUG-ANG VEIN'!E27+'L425'!E27+'L460'!E27</f>
        <v>1584</v>
      </c>
      <c r="F27" s="26">
        <f>'LEVEL 4'!F27+'LEVEL 5'!F27+'LEVEL 6'!F27+'LEVEL 7'!F27+'LEVEL 8'!F27+'LEVEL 9'!F27+'LEVEL 10'!F27+'LEVEL 11'!F27+'LEVEL 12'!F27+'LEVEL 3'!F27+'SINUG-ANG VEIN'!F27+'L425'!F27+'L460'!F27</f>
        <v>775</v>
      </c>
      <c r="G27" s="13"/>
      <c r="H27" s="13"/>
      <c r="J27" s="15">
        <f>SUM(C$13:C27)</f>
        <v>5354.1337209302328</v>
      </c>
      <c r="K27" s="15">
        <f>SUM(D$13:D27)</f>
        <v>17071.800000000003</v>
      </c>
      <c r="L27" s="15">
        <f>SUM(E$13:E27)</f>
        <v>24236</v>
      </c>
      <c r="M27" s="15">
        <f>SUM(F$13:F27)</f>
        <v>11640</v>
      </c>
      <c r="N27" s="15"/>
      <c r="O27" s="15"/>
    </row>
    <row r="28" spans="1:19" x14ac:dyDescent="0.25">
      <c r="A28" s="12">
        <v>16</v>
      </c>
      <c r="B28" s="7" t="s">
        <v>20</v>
      </c>
      <c r="C28" s="26">
        <f>'LEVEL 4'!C28+'LEVEL 5'!C28+'LEVEL 6'!C28+'LEVEL 7'!C28+'LEVEL 8'!C28+'LEVEL 9'!C28+'LEVEL 10'!C28+'LEVEL 11'!C28+'LEVEL 12'!C28+'LEVEL 3'!C28+'SINUG-ANG VEIN'!C28+'L425'!C28+'L460'!C28</f>
        <v>287.84302325581393</v>
      </c>
      <c r="D28" s="26">
        <f>'LEVEL 4'!D28+'LEVEL 5'!D28+'LEVEL 6'!D28+'LEVEL 7'!D28+'LEVEL 8'!D28+'LEVEL 9'!D28+'LEVEL 10'!D28+'LEVEL 11'!D28+'LEVEL 12'!D28+'LEVEL 3'!D28+'SINUG-ANG VEIN'!D28+'L425'!D28+'L460'!D28</f>
        <v>1031.4000000000001</v>
      </c>
      <c r="E28" s="26">
        <f>'LEVEL 4'!E28+'LEVEL 5'!E28+'LEVEL 6'!E28+'LEVEL 7'!E28+'LEVEL 8'!E28+'LEVEL 9'!E28+'LEVEL 10'!E28+'LEVEL 11'!E28+'LEVEL 12'!E28+'LEVEL 3'!E28+'SINUG-ANG VEIN'!E28+'L425'!E28+'L460'!E28</f>
        <v>1409</v>
      </c>
      <c r="F28" s="26">
        <f>'LEVEL 4'!F28+'LEVEL 5'!F28+'LEVEL 6'!F28+'LEVEL 7'!F28+'LEVEL 8'!F28+'LEVEL 9'!F28+'LEVEL 10'!F28+'LEVEL 11'!F28+'LEVEL 12'!F28+'LEVEL 3'!F28+'SINUG-ANG VEIN'!F28+'L425'!F28+'L460'!F28</f>
        <v>626</v>
      </c>
      <c r="G28" s="13"/>
      <c r="H28" s="13"/>
      <c r="J28" s="15">
        <f>SUM(C$13:C28)</f>
        <v>5641.9767441860467</v>
      </c>
      <c r="K28" s="15">
        <f>SUM(D$13:D28)</f>
        <v>18103.200000000004</v>
      </c>
      <c r="L28" s="15">
        <f>SUM(E$13:E28)</f>
        <v>25645</v>
      </c>
      <c r="M28" s="15">
        <f>SUM(F$13:F28)</f>
        <v>12266</v>
      </c>
      <c r="N28" s="15"/>
      <c r="O28" s="15"/>
    </row>
    <row r="29" spans="1:19" x14ac:dyDescent="0.25">
      <c r="A29" s="12">
        <v>17</v>
      </c>
      <c r="B29" s="7" t="s">
        <v>21</v>
      </c>
      <c r="C29" s="26">
        <f>'LEVEL 4'!C29+'LEVEL 5'!C29+'LEVEL 6'!C29+'LEVEL 7'!C29+'LEVEL 8'!C29+'LEVEL 9'!C29+'LEVEL 10'!C29+'LEVEL 11'!C29+'LEVEL 12'!C29+'LEVEL 3'!C29+'SINUG-ANG VEIN'!C29+'L425'!C29+'L460'!C29</f>
        <v>355.96511627906978</v>
      </c>
      <c r="D29" s="26">
        <f>'LEVEL 4'!D29+'LEVEL 5'!D29+'LEVEL 6'!D29+'LEVEL 7'!D29+'LEVEL 8'!D29+'LEVEL 9'!D29+'LEVEL 10'!D29+'LEVEL 11'!D29+'LEVEL 12'!D29+'LEVEL 3'!D29+'SINUG-ANG VEIN'!D29+'L425'!D29+'L460'!D29</f>
        <v>1180.3999999999999</v>
      </c>
      <c r="E29" s="26">
        <f>'LEVEL 4'!E29+'LEVEL 5'!E29+'LEVEL 6'!E29+'LEVEL 7'!E29+'LEVEL 8'!E29+'LEVEL 9'!E29+'LEVEL 10'!E29+'LEVEL 11'!E29+'LEVEL 12'!E29+'LEVEL 3'!E29+'SINUG-ANG VEIN'!E29+'L425'!E29+'L460'!E29</f>
        <v>1656</v>
      </c>
      <c r="F29" s="26">
        <f>'LEVEL 4'!F29+'LEVEL 5'!F29+'LEVEL 6'!F29+'LEVEL 7'!F29+'LEVEL 8'!F29+'LEVEL 9'!F29+'LEVEL 10'!F29+'LEVEL 11'!F29+'LEVEL 12'!F29+'LEVEL 3'!F29+'SINUG-ANG VEIN'!F29+'L425'!F29+'L460'!F29</f>
        <v>830</v>
      </c>
      <c r="G29" s="13"/>
      <c r="H29" s="13"/>
      <c r="J29" s="15">
        <f>SUM(C$13:C29)</f>
        <v>5997.9418604651164</v>
      </c>
      <c r="K29" s="15">
        <f>SUM(D$13:D29)</f>
        <v>19283.600000000006</v>
      </c>
      <c r="L29" s="15">
        <f>SUM(E$13:E29)</f>
        <v>27301</v>
      </c>
      <c r="M29" s="15">
        <f>SUM(F$13:F29)</f>
        <v>13096</v>
      </c>
      <c r="N29" s="15"/>
      <c r="O29" s="15"/>
    </row>
    <row r="30" spans="1:19" x14ac:dyDescent="0.25">
      <c r="A30" s="12">
        <v>18</v>
      </c>
      <c r="B30" s="7" t="s">
        <v>22</v>
      </c>
      <c r="C30" s="26">
        <f>'LEVEL 4'!C30+'LEVEL 5'!C30+'LEVEL 6'!C30+'LEVEL 7'!C30+'LEVEL 8'!C30+'LEVEL 9'!C30+'LEVEL 10'!C30+'LEVEL 11'!C30+'LEVEL 12'!C30+'LEVEL 3'!C30+'SINUG-ANG VEIN'!C30+'L425'!C30+'L460'!C30</f>
        <v>385.11046511627904</v>
      </c>
      <c r="D30" s="26">
        <f>'LEVEL 4'!D30+'LEVEL 5'!D30+'LEVEL 6'!D30+'LEVEL 7'!D30+'LEVEL 8'!D30+'LEVEL 9'!D30+'LEVEL 10'!D30+'LEVEL 11'!D30+'LEVEL 12'!D30+'LEVEL 3'!D30+'SINUG-ANG VEIN'!D30+'L425'!D30+'L460'!D30</f>
        <v>1118.0999999999999</v>
      </c>
      <c r="E30" s="26">
        <f>'LEVEL 4'!E30+'LEVEL 5'!E30+'LEVEL 6'!E30+'LEVEL 7'!E30+'LEVEL 8'!E30+'LEVEL 9'!E30+'LEVEL 10'!E30+'LEVEL 11'!E30+'LEVEL 12'!E30+'LEVEL 3'!E30+'SINUG-ANG VEIN'!E30+'L425'!E30+'L460'!E30</f>
        <v>1603</v>
      </c>
      <c r="F30" s="26">
        <f>'LEVEL 4'!F30+'LEVEL 5'!F30+'LEVEL 6'!F30+'LEVEL 7'!F30+'LEVEL 8'!F30+'LEVEL 9'!F30+'LEVEL 10'!F30+'LEVEL 11'!F30+'LEVEL 12'!F30+'LEVEL 3'!F30+'SINUG-ANG VEIN'!F30+'L425'!F30+'L460'!F30</f>
        <v>815</v>
      </c>
      <c r="G30" s="13"/>
      <c r="H30" s="13"/>
      <c r="J30" s="15">
        <f>SUM(C$13:C30)</f>
        <v>6383.0523255813951</v>
      </c>
      <c r="K30" s="15">
        <f>SUM(D$13:D30)</f>
        <v>20401.700000000004</v>
      </c>
      <c r="L30" s="15">
        <f>SUM(E$13:E30)</f>
        <v>28904</v>
      </c>
      <c r="M30" s="15">
        <f>SUM(F$13:F30)</f>
        <v>13911</v>
      </c>
      <c r="N30" s="15"/>
      <c r="O30" s="15"/>
    </row>
    <row r="31" spans="1:19" x14ac:dyDescent="0.25">
      <c r="A31" s="12">
        <v>19</v>
      </c>
      <c r="B31" s="7" t="s">
        <v>23</v>
      </c>
      <c r="C31" s="26">
        <f>'LEVEL 4'!C31+'LEVEL 5'!C31+'LEVEL 6'!C31+'LEVEL 7'!C31+'LEVEL 8'!C31+'LEVEL 9'!C31+'LEVEL 10'!C31+'LEVEL 11'!C31+'LEVEL 12'!C31+'LEVEL 3'!C31+'SINUG-ANG VEIN'!C31+'L425'!C31+'L460'!C31</f>
        <v>388.55813953488371</v>
      </c>
      <c r="D31" s="26">
        <f>'LEVEL 4'!D31+'LEVEL 5'!D31+'LEVEL 6'!D31+'LEVEL 7'!D31+'LEVEL 8'!D31+'LEVEL 9'!D31+'LEVEL 10'!D31+'LEVEL 11'!D31+'LEVEL 12'!D31+'LEVEL 3'!D31+'SINUG-ANG VEIN'!D31+'L425'!D31+'L460'!D31</f>
        <v>1119.4000000000001</v>
      </c>
      <c r="E31" s="26">
        <f>'LEVEL 4'!E31+'LEVEL 5'!E31+'LEVEL 6'!E31+'LEVEL 7'!E31+'LEVEL 8'!E31+'LEVEL 9'!E31+'LEVEL 10'!E31+'LEVEL 11'!E31+'LEVEL 12'!E31+'LEVEL 3'!E31+'SINUG-ANG VEIN'!E31+'L425'!E31+'L460'!E31</f>
        <v>1609</v>
      </c>
      <c r="F31" s="26">
        <f>'LEVEL 4'!F31+'LEVEL 5'!F31+'LEVEL 6'!F31+'LEVEL 7'!F31+'LEVEL 8'!F31+'LEVEL 9'!F31+'LEVEL 10'!F31+'LEVEL 11'!F31+'LEVEL 12'!F31+'LEVEL 3'!F31+'SINUG-ANG VEIN'!F31+'L425'!F31+'L460'!F31</f>
        <v>811</v>
      </c>
      <c r="G31" s="13"/>
      <c r="H31" s="13"/>
      <c r="J31" s="15">
        <f>SUM(C$13:C31)</f>
        <v>6771.6104651162786</v>
      </c>
      <c r="K31" s="15">
        <f>SUM(D$13:D31)</f>
        <v>21521.100000000006</v>
      </c>
      <c r="L31" s="15">
        <f>SUM(E$13:E31)</f>
        <v>30513</v>
      </c>
      <c r="M31" s="15">
        <f>SUM(F$13:F31)</f>
        <v>14722</v>
      </c>
      <c r="N31" s="15"/>
      <c r="O31" s="15"/>
    </row>
    <row r="32" spans="1:19" x14ac:dyDescent="0.25">
      <c r="A32" s="12">
        <v>20</v>
      </c>
      <c r="B32" s="7" t="s">
        <v>24</v>
      </c>
      <c r="C32" s="26">
        <f>'LEVEL 4'!C32+'LEVEL 5'!C32+'LEVEL 6'!C32+'LEVEL 7'!C32+'LEVEL 8'!C32+'LEVEL 9'!C32+'LEVEL 10'!C32+'LEVEL 11'!C32+'LEVEL 12'!C32+'LEVEL 3'!C32+'SINUG-ANG VEIN'!C32+'L425'!C32+'L460'!C32</f>
        <v>0</v>
      </c>
      <c r="D32" s="26">
        <f>'LEVEL 4'!D32+'LEVEL 5'!D32+'LEVEL 6'!D32+'LEVEL 7'!D32+'LEVEL 8'!D32+'LEVEL 9'!D32+'LEVEL 10'!D32+'LEVEL 11'!D32+'LEVEL 12'!D32+'LEVEL 3'!D32+'SINUG-ANG VEIN'!D32+'L425'!D32+'L460'!D32</f>
        <v>0</v>
      </c>
      <c r="E32" s="26">
        <f>'LEVEL 4'!E32+'LEVEL 5'!E32+'LEVEL 6'!E32+'LEVEL 7'!E32+'LEVEL 8'!E32+'LEVEL 9'!E32+'LEVEL 10'!E32+'LEVEL 11'!E32+'LEVEL 12'!E32+'LEVEL 3'!E32+'SINUG-ANG VEIN'!E32+'L425'!E32+'L460'!E32</f>
        <v>0</v>
      </c>
      <c r="F32" s="26">
        <f>'LEVEL 4'!F32+'LEVEL 5'!F32+'LEVEL 6'!F32+'LEVEL 7'!F32+'LEVEL 8'!F32+'LEVEL 9'!F32+'LEVEL 10'!F32+'LEVEL 11'!F32+'LEVEL 12'!F32+'LEVEL 3'!F32+'SINUG-ANG VEIN'!F32+'L425'!F32+'L460'!F32</f>
        <v>0</v>
      </c>
      <c r="G32" s="13"/>
      <c r="H32" s="13"/>
      <c r="J32" s="15">
        <f>SUM(C$13:C32)</f>
        <v>6771.6104651162786</v>
      </c>
      <c r="K32" s="15">
        <f>SUM(D$13:D32)</f>
        <v>21521.100000000006</v>
      </c>
      <c r="L32" s="15">
        <f>SUM(E$13:E32)</f>
        <v>30513</v>
      </c>
      <c r="M32" s="15">
        <f>SUM(F$13:F32)</f>
        <v>14722</v>
      </c>
      <c r="N32" s="15"/>
      <c r="O32" s="15"/>
    </row>
    <row r="33" spans="1:22" x14ac:dyDescent="0.25">
      <c r="A33" s="12">
        <v>21</v>
      </c>
      <c r="B33" s="7" t="s">
        <v>25</v>
      </c>
      <c r="C33" s="26">
        <f>'LEVEL 4'!C33+'LEVEL 5'!C33+'LEVEL 6'!C33+'LEVEL 7'!C33+'LEVEL 8'!C33+'LEVEL 9'!C33+'LEVEL 10'!C33+'LEVEL 11'!C33+'LEVEL 12'!C33+'LEVEL 3'!C33+'SINUG-ANG VEIN'!C33+'L425'!C33+'L460'!C33</f>
        <v>0</v>
      </c>
      <c r="D33" s="26">
        <f>'LEVEL 4'!D33+'LEVEL 5'!D33+'LEVEL 6'!D33+'LEVEL 7'!D33+'LEVEL 8'!D33+'LEVEL 9'!D33+'LEVEL 10'!D33+'LEVEL 11'!D33+'LEVEL 12'!D33+'LEVEL 3'!D33+'SINUG-ANG VEIN'!D33+'L425'!D33+'L460'!D33</f>
        <v>0</v>
      </c>
      <c r="E33" s="26">
        <f>'LEVEL 4'!E33+'LEVEL 5'!E33+'LEVEL 6'!E33+'LEVEL 7'!E33+'LEVEL 8'!E33+'LEVEL 9'!E33+'LEVEL 10'!E33+'LEVEL 11'!E33+'LEVEL 12'!E33+'LEVEL 3'!E33+'SINUG-ANG VEIN'!E33+'L425'!E33+'L460'!E33</f>
        <v>0</v>
      </c>
      <c r="F33" s="26">
        <f>'LEVEL 4'!F33+'LEVEL 5'!F33+'LEVEL 6'!F33+'LEVEL 7'!F33+'LEVEL 8'!F33+'LEVEL 9'!F33+'LEVEL 10'!F33+'LEVEL 11'!F33+'LEVEL 12'!F33+'LEVEL 3'!F33+'SINUG-ANG VEIN'!F33+'L425'!F33+'L460'!F33</f>
        <v>0</v>
      </c>
      <c r="G33" s="13"/>
      <c r="H33" s="13"/>
      <c r="J33" s="15">
        <f>SUM(C$13:C33)</f>
        <v>6771.6104651162786</v>
      </c>
      <c r="K33" s="15">
        <f>SUM(D$13:D33)</f>
        <v>21521.100000000006</v>
      </c>
      <c r="L33" s="15">
        <f>SUM(E$13:E33)</f>
        <v>30513</v>
      </c>
      <c r="M33" s="15">
        <f>SUM(F$13:F33)</f>
        <v>14722</v>
      </c>
      <c r="N33" s="15"/>
      <c r="O33" s="15"/>
    </row>
    <row r="34" spans="1:22" x14ac:dyDescent="0.25">
      <c r="A34" s="12">
        <v>22</v>
      </c>
      <c r="B34" s="7" t="s">
        <v>19</v>
      </c>
      <c r="C34" s="26">
        <f>'LEVEL 4'!C34+'LEVEL 5'!C34+'LEVEL 6'!C34+'LEVEL 7'!C34+'LEVEL 8'!C34+'LEVEL 9'!C34+'LEVEL 10'!C34+'LEVEL 11'!C34+'LEVEL 12'!C34+'LEVEL 3'!C34+'SINUG-ANG VEIN'!C34+'L425'!C34+'L460'!C34</f>
        <v>0</v>
      </c>
      <c r="D34" s="26">
        <f>'LEVEL 4'!D34+'LEVEL 5'!D34+'LEVEL 6'!D34+'LEVEL 7'!D34+'LEVEL 8'!D34+'LEVEL 9'!D34+'LEVEL 10'!D34+'LEVEL 11'!D34+'LEVEL 12'!D34+'LEVEL 3'!D34+'SINUG-ANG VEIN'!D34+'L425'!D34+'L460'!D34</f>
        <v>0</v>
      </c>
      <c r="E34" s="26">
        <f>'LEVEL 4'!E34+'LEVEL 5'!E34+'LEVEL 6'!E34+'LEVEL 7'!E34+'LEVEL 8'!E34+'LEVEL 9'!E34+'LEVEL 10'!E34+'LEVEL 11'!E34+'LEVEL 12'!E34+'LEVEL 3'!E34+'SINUG-ANG VEIN'!E34+'L425'!E34+'L460'!E34</f>
        <v>0</v>
      </c>
      <c r="F34" s="26">
        <f>'LEVEL 4'!F34+'LEVEL 5'!F34+'LEVEL 6'!F34+'LEVEL 7'!F34+'LEVEL 8'!F34+'LEVEL 9'!F34+'LEVEL 10'!F34+'LEVEL 11'!F34+'LEVEL 12'!F34+'LEVEL 3'!F34+'SINUG-ANG VEIN'!F34+'L425'!F34+'L460'!F34</f>
        <v>0</v>
      </c>
      <c r="G34" s="13"/>
      <c r="H34" s="13"/>
      <c r="J34" s="15">
        <f>SUM(C$13:C34)</f>
        <v>6771.6104651162786</v>
      </c>
      <c r="K34" s="15">
        <f>SUM(D$13:D34)</f>
        <v>21521.100000000006</v>
      </c>
      <c r="L34" s="15">
        <f>SUM(E$13:E34)</f>
        <v>30513</v>
      </c>
      <c r="M34" s="15">
        <f>SUM(F$13:F34)</f>
        <v>14722</v>
      </c>
      <c r="N34" s="15"/>
      <c r="O34" s="15"/>
    </row>
    <row r="35" spans="1:22" x14ac:dyDescent="0.25">
      <c r="A35" s="12">
        <v>23</v>
      </c>
      <c r="B35" s="7" t="s">
        <v>20</v>
      </c>
      <c r="C35" s="26">
        <f>'LEVEL 4'!C35+'LEVEL 5'!C35+'LEVEL 6'!C35+'LEVEL 7'!C35+'LEVEL 8'!C35+'LEVEL 9'!C35+'LEVEL 10'!C35+'LEVEL 11'!C35+'LEVEL 12'!C35+'LEVEL 3'!C35+'SINUG-ANG VEIN'!C35+'L425'!C35+'L460'!C35</f>
        <v>0</v>
      </c>
      <c r="D35" s="26">
        <f>'LEVEL 4'!D35+'LEVEL 5'!D35+'LEVEL 6'!D35+'LEVEL 7'!D35+'LEVEL 8'!D35+'LEVEL 9'!D35+'LEVEL 10'!D35+'LEVEL 11'!D35+'LEVEL 12'!D35+'LEVEL 3'!D35+'SINUG-ANG VEIN'!D35+'L425'!D35+'L460'!D35</f>
        <v>0</v>
      </c>
      <c r="E35" s="26">
        <f>'LEVEL 4'!E35+'LEVEL 5'!E35+'LEVEL 6'!E35+'LEVEL 7'!E35+'LEVEL 8'!E35+'LEVEL 9'!E35+'LEVEL 10'!E35+'LEVEL 11'!E35+'LEVEL 12'!E35+'LEVEL 3'!E35+'SINUG-ANG VEIN'!E35+'L425'!E35+'L460'!E35</f>
        <v>0</v>
      </c>
      <c r="F35" s="26">
        <f>'LEVEL 4'!F35+'LEVEL 5'!F35+'LEVEL 6'!F35+'LEVEL 7'!F35+'LEVEL 8'!F35+'LEVEL 9'!F35+'LEVEL 10'!F35+'LEVEL 11'!F35+'LEVEL 12'!F35+'LEVEL 3'!F35+'SINUG-ANG VEIN'!F35+'L425'!F35+'L460'!F35</f>
        <v>0</v>
      </c>
      <c r="G35" s="13"/>
      <c r="H35" s="13"/>
      <c r="J35" s="15">
        <f>SUM(C$13:C35)</f>
        <v>6771.6104651162786</v>
      </c>
      <c r="K35" s="15">
        <f>SUM(D$13:D35)</f>
        <v>21521.100000000006</v>
      </c>
      <c r="L35" s="15">
        <f>SUM(E$13:E35)</f>
        <v>30513</v>
      </c>
      <c r="M35" s="15">
        <f>SUM(F$13:F35)</f>
        <v>14722</v>
      </c>
      <c r="N35" s="15"/>
      <c r="O35" s="15"/>
    </row>
    <row r="36" spans="1:22" x14ac:dyDescent="0.25">
      <c r="A36" s="12">
        <v>24</v>
      </c>
      <c r="B36" s="7" t="s">
        <v>21</v>
      </c>
      <c r="C36" s="26">
        <f>'LEVEL 4'!C36+'LEVEL 5'!C36+'LEVEL 6'!C36+'LEVEL 7'!C36+'LEVEL 8'!C36+'LEVEL 9'!C36+'LEVEL 10'!C36+'LEVEL 11'!C36+'LEVEL 12'!C36+'LEVEL 3'!C36+'SINUG-ANG VEIN'!C36+'L425'!C36+'L460'!C36</f>
        <v>0</v>
      </c>
      <c r="D36" s="26">
        <f>'LEVEL 4'!D36+'LEVEL 5'!D36+'LEVEL 6'!D36+'LEVEL 7'!D36+'LEVEL 8'!D36+'LEVEL 9'!D36+'LEVEL 10'!D36+'LEVEL 11'!D36+'LEVEL 12'!D36+'LEVEL 3'!D36+'SINUG-ANG VEIN'!D36+'L425'!D36+'L460'!D36</f>
        <v>0</v>
      </c>
      <c r="E36" s="26">
        <f>'LEVEL 4'!E36+'LEVEL 5'!E36+'LEVEL 6'!E36+'LEVEL 7'!E36+'LEVEL 8'!E36+'LEVEL 9'!E36+'LEVEL 10'!E36+'LEVEL 11'!E36+'LEVEL 12'!E36+'LEVEL 3'!E36+'SINUG-ANG VEIN'!E36+'L425'!E36+'L460'!E36</f>
        <v>0</v>
      </c>
      <c r="F36" s="26">
        <f>'LEVEL 4'!F36+'LEVEL 5'!F36+'LEVEL 6'!F36+'LEVEL 7'!F36+'LEVEL 8'!F36+'LEVEL 9'!F36+'LEVEL 10'!F36+'LEVEL 11'!F36+'LEVEL 12'!F36+'LEVEL 3'!F36+'SINUG-ANG VEIN'!F36+'L425'!F36+'L460'!F36</f>
        <v>0</v>
      </c>
      <c r="G36" s="13"/>
      <c r="H36" s="13"/>
      <c r="J36" s="15">
        <f>SUM(C$13:C36)</f>
        <v>6771.6104651162786</v>
      </c>
      <c r="K36" s="15">
        <f>SUM(D$13:D36)</f>
        <v>21521.100000000006</v>
      </c>
      <c r="L36" s="15">
        <f>SUM(E$13:E36)</f>
        <v>30513</v>
      </c>
      <c r="M36" s="15">
        <f>SUM(F$13:F36)</f>
        <v>14722</v>
      </c>
      <c r="N36" s="15"/>
      <c r="O36" s="15"/>
    </row>
    <row r="37" spans="1:22" x14ac:dyDescent="0.25">
      <c r="A37" s="12">
        <v>25</v>
      </c>
      <c r="B37" s="7" t="s">
        <v>22</v>
      </c>
      <c r="C37" s="26">
        <f>'LEVEL 4'!C37+'LEVEL 5'!C37+'LEVEL 6'!C37+'LEVEL 7'!C37+'LEVEL 8'!C37+'LEVEL 9'!C37+'LEVEL 10'!C37+'LEVEL 11'!C37+'LEVEL 12'!C37+'LEVEL 3'!C37+'SINUG-ANG VEIN'!C37+'L425'!C37+'L460'!C37</f>
        <v>0</v>
      </c>
      <c r="D37" s="26">
        <f>'LEVEL 4'!D37+'LEVEL 5'!D37+'LEVEL 6'!D37+'LEVEL 7'!D37+'LEVEL 8'!D37+'LEVEL 9'!D37+'LEVEL 10'!D37+'LEVEL 11'!D37+'LEVEL 12'!D37+'LEVEL 3'!D37+'SINUG-ANG VEIN'!D37+'L425'!D37+'L460'!D37</f>
        <v>0</v>
      </c>
      <c r="E37" s="26">
        <f>'LEVEL 4'!E37+'LEVEL 5'!E37+'LEVEL 6'!E37+'LEVEL 7'!E37+'LEVEL 8'!E37+'LEVEL 9'!E37+'LEVEL 10'!E37+'LEVEL 11'!E37+'LEVEL 12'!E37+'LEVEL 3'!E37+'SINUG-ANG VEIN'!E37+'L425'!E37+'L460'!E37</f>
        <v>0</v>
      </c>
      <c r="F37" s="26">
        <f>'LEVEL 4'!F37+'LEVEL 5'!F37+'LEVEL 6'!F37+'LEVEL 7'!F37+'LEVEL 8'!F37+'LEVEL 9'!F37+'LEVEL 10'!F37+'LEVEL 11'!F37+'LEVEL 12'!F37+'LEVEL 3'!F37+'SINUG-ANG VEIN'!F37+'L425'!F37+'L460'!F37</f>
        <v>0</v>
      </c>
      <c r="G37" s="13"/>
      <c r="H37" s="13"/>
      <c r="J37" s="15">
        <f>SUM(C$13:C37)</f>
        <v>6771.6104651162786</v>
      </c>
      <c r="K37" s="15">
        <f>SUM(D$13:D37)</f>
        <v>21521.100000000006</v>
      </c>
      <c r="L37" s="15">
        <f>SUM(E$13:E37)</f>
        <v>30513</v>
      </c>
      <c r="M37" s="15">
        <f>SUM(F$13:F37)</f>
        <v>14722</v>
      </c>
      <c r="N37" s="15"/>
      <c r="O37" s="15"/>
    </row>
    <row r="38" spans="1:22" x14ac:dyDescent="0.25">
      <c r="A38" s="12">
        <v>26</v>
      </c>
      <c r="B38" s="7" t="s">
        <v>23</v>
      </c>
      <c r="C38" s="26">
        <f>'LEVEL 4'!C38+'LEVEL 5'!C38+'LEVEL 6'!C38+'LEVEL 7'!C38+'LEVEL 8'!C38+'LEVEL 9'!C38+'LEVEL 10'!C38+'LEVEL 11'!C38+'LEVEL 12'!C38+'LEVEL 3'!C38+'SINUG-ANG VEIN'!C38+'L425'!C38+'L460'!C38</f>
        <v>0</v>
      </c>
      <c r="D38" s="26">
        <f>'LEVEL 4'!D38+'LEVEL 5'!D38+'LEVEL 6'!D38+'LEVEL 7'!D38+'LEVEL 8'!D38+'LEVEL 9'!D38+'LEVEL 10'!D38+'LEVEL 11'!D38+'LEVEL 12'!D38+'LEVEL 3'!D38+'SINUG-ANG VEIN'!D38+'L425'!D38+'L460'!D38</f>
        <v>0</v>
      </c>
      <c r="E38" s="26">
        <f>'LEVEL 4'!E38+'LEVEL 5'!E38+'LEVEL 6'!E38+'LEVEL 7'!E38+'LEVEL 8'!E38+'LEVEL 9'!E38+'LEVEL 10'!E38+'LEVEL 11'!E38+'LEVEL 12'!E38+'LEVEL 3'!E38+'SINUG-ANG VEIN'!E38+'L425'!E38+'L460'!E38</f>
        <v>0</v>
      </c>
      <c r="F38" s="26">
        <f>'LEVEL 4'!F38+'LEVEL 5'!F38+'LEVEL 6'!F38+'LEVEL 7'!F38+'LEVEL 8'!F38+'LEVEL 9'!F38+'LEVEL 10'!F38+'LEVEL 11'!F38+'LEVEL 12'!F38+'LEVEL 3'!F38+'SINUG-ANG VEIN'!F38+'L425'!F38+'L460'!F38</f>
        <v>0</v>
      </c>
      <c r="G38" s="13"/>
      <c r="H38" s="13"/>
      <c r="J38" s="15">
        <f>SUM(C$13:C38)</f>
        <v>6771.6104651162786</v>
      </c>
      <c r="K38" s="15">
        <f>SUM(D$13:D38)</f>
        <v>21521.100000000006</v>
      </c>
      <c r="L38" s="15">
        <f>SUM(E$13:E38)</f>
        <v>30513</v>
      </c>
      <c r="M38" s="15">
        <f>SUM(F$13:F38)</f>
        <v>14722</v>
      </c>
      <c r="N38" s="15"/>
      <c r="O38" s="15"/>
    </row>
    <row r="39" spans="1:22" x14ac:dyDescent="0.25">
      <c r="A39" s="12">
        <v>27</v>
      </c>
      <c r="B39" s="7" t="s">
        <v>24</v>
      </c>
      <c r="C39" s="26">
        <f>'LEVEL 4'!C39+'LEVEL 5'!C39+'LEVEL 6'!C39+'LEVEL 7'!C39+'LEVEL 8'!C39+'LEVEL 9'!C39+'LEVEL 10'!C39+'LEVEL 11'!C39+'LEVEL 12'!C39+'LEVEL 3'!C39+'SINUG-ANG VEIN'!C39+'L425'!C39+'L460'!C39</f>
        <v>0</v>
      </c>
      <c r="D39" s="26">
        <f>'LEVEL 4'!D39+'LEVEL 5'!D39+'LEVEL 6'!D39+'LEVEL 7'!D39+'LEVEL 8'!D39+'LEVEL 9'!D39+'LEVEL 10'!D39+'LEVEL 11'!D39+'LEVEL 12'!D39+'LEVEL 3'!D39+'SINUG-ANG VEIN'!D39+'L425'!D39+'L460'!D39</f>
        <v>0</v>
      </c>
      <c r="E39" s="26">
        <f>'LEVEL 4'!E39+'LEVEL 5'!E39+'LEVEL 6'!E39+'LEVEL 7'!E39+'LEVEL 8'!E39+'LEVEL 9'!E39+'LEVEL 10'!E39+'LEVEL 11'!E39+'LEVEL 12'!E39+'LEVEL 3'!E39+'SINUG-ANG VEIN'!E39+'L425'!E39+'L460'!E39</f>
        <v>0</v>
      </c>
      <c r="F39" s="26">
        <f>'LEVEL 4'!F39+'LEVEL 5'!F39+'LEVEL 6'!F39+'LEVEL 7'!F39+'LEVEL 8'!F39+'LEVEL 9'!F39+'LEVEL 10'!F39+'LEVEL 11'!F39+'LEVEL 12'!F39+'LEVEL 3'!F39+'SINUG-ANG VEIN'!F39+'L425'!F39+'L460'!F39</f>
        <v>0</v>
      </c>
      <c r="G39" s="13"/>
      <c r="H39" s="13"/>
      <c r="J39" s="15">
        <f>SUM(C$13:C39)</f>
        <v>6771.6104651162786</v>
      </c>
      <c r="K39" s="15">
        <f>SUM(D$13:D39)</f>
        <v>21521.100000000006</v>
      </c>
      <c r="L39" s="15">
        <f>SUM(E$13:E39)</f>
        <v>30513</v>
      </c>
      <c r="M39" s="15">
        <f>SUM(F$13:F39)</f>
        <v>14722</v>
      </c>
      <c r="N39" s="15"/>
      <c r="O39" s="15"/>
    </row>
    <row r="40" spans="1:22" x14ac:dyDescent="0.25">
      <c r="A40" s="12">
        <v>28</v>
      </c>
      <c r="B40" s="7" t="s">
        <v>25</v>
      </c>
      <c r="C40" s="26">
        <f>'LEVEL 4'!C40+'LEVEL 5'!C40+'LEVEL 6'!C40+'LEVEL 7'!C40+'LEVEL 8'!C40+'LEVEL 9'!C40+'LEVEL 10'!C40+'LEVEL 11'!C40+'LEVEL 12'!C40+'LEVEL 3'!C40+'SINUG-ANG VEIN'!C40+'L425'!C40+'L460'!C40</f>
        <v>0</v>
      </c>
      <c r="D40" s="26">
        <f>'LEVEL 4'!D40+'LEVEL 5'!D40+'LEVEL 6'!D40+'LEVEL 7'!D40+'LEVEL 8'!D40+'LEVEL 9'!D40+'LEVEL 10'!D40+'LEVEL 11'!D40+'LEVEL 12'!D40+'LEVEL 3'!D40+'SINUG-ANG VEIN'!D40+'L425'!D40+'L460'!D40</f>
        <v>0</v>
      </c>
      <c r="E40" s="26">
        <f>'LEVEL 4'!E40+'LEVEL 5'!E40+'LEVEL 6'!E40+'LEVEL 7'!E40+'LEVEL 8'!E40+'LEVEL 9'!E40+'LEVEL 10'!E40+'LEVEL 11'!E40+'LEVEL 12'!E40+'LEVEL 3'!E40+'SINUG-ANG VEIN'!E40+'L425'!E40+'L460'!E40</f>
        <v>0</v>
      </c>
      <c r="F40" s="26">
        <f>'LEVEL 4'!F40+'LEVEL 5'!F40+'LEVEL 6'!F40+'LEVEL 7'!F40+'LEVEL 8'!F40+'LEVEL 9'!F40+'LEVEL 10'!F40+'LEVEL 11'!F40+'LEVEL 12'!F40+'LEVEL 3'!F40+'SINUG-ANG VEIN'!F40+'L425'!F40+'L460'!F40</f>
        <v>0</v>
      </c>
      <c r="G40" s="13"/>
      <c r="H40" s="13"/>
      <c r="J40" s="15">
        <f>SUM(C$13:C40)</f>
        <v>6771.6104651162786</v>
      </c>
      <c r="K40" s="15">
        <f>SUM(D$13:D40)</f>
        <v>21521.100000000006</v>
      </c>
      <c r="L40" s="15">
        <f>SUM(E$13:E40)</f>
        <v>30513</v>
      </c>
      <c r="M40" s="15">
        <f>SUM(F$13:F40)</f>
        <v>14722</v>
      </c>
      <c r="N40" s="15"/>
      <c r="O40" s="15"/>
    </row>
    <row r="41" spans="1:22" x14ac:dyDescent="0.25">
      <c r="A41" s="12">
        <v>29</v>
      </c>
      <c r="B41" s="7" t="s">
        <v>19</v>
      </c>
      <c r="C41" s="26">
        <f>'LEVEL 4'!C41+'LEVEL 5'!C41+'LEVEL 6'!C41+'LEVEL 7'!C41+'LEVEL 8'!C41+'LEVEL 9'!C41+'LEVEL 10'!C41+'LEVEL 11'!C41+'LEVEL 12'!C41+'LEVEL 3'!C41+'SINUG-ANG VEIN'!C41+'L425'!C41+'L460'!C41</f>
        <v>0</v>
      </c>
      <c r="D41" s="26">
        <f>'LEVEL 4'!D41+'LEVEL 5'!D41+'LEVEL 6'!D41+'LEVEL 7'!D41+'LEVEL 8'!D41+'LEVEL 9'!D41+'LEVEL 10'!D41+'LEVEL 11'!D41+'LEVEL 12'!D41+'LEVEL 3'!D41+'SINUG-ANG VEIN'!D41+'L425'!D41+'L460'!D41</f>
        <v>0</v>
      </c>
      <c r="E41" s="26">
        <f>'LEVEL 4'!E41+'LEVEL 5'!E41+'LEVEL 6'!E41+'LEVEL 7'!E41+'LEVEL 8'!E41+'LEVEL 9'!E41+'LEVEL 10'!E41+'LEVEL 11'!E41+'LEVEL 12'!E41+'LEVEL 3'!E41+'SINUG-ANG VEIN'!E41+'L425'!E41+'L460'!E41</f>
        <v>0</v>
      </c>
      <c r="F41" s="26">
        <f>'LEVEL 4'!F41+'LEVEL 5'!F41+'LEVEL 6'!F41+'LEVEL 7'!F41+'LEVEL 8'!F41+'LEVEL 9'!F41+'LEVEL 10'!F41+'LEVEL 11'!F41+'LEVEL 12'!F41+'LEVEL 3'!F41+'SINUG-ANG VEIN'!F41+'L425'!F41+'L460'!F41</f>
        <v>0</v>
      </c>
      <c r="G41" s="13"/>
      <c r="H41" s="13"/>
      <c r="J41" s="15"/>
      <c r="K41" s="15"/>
      <c r="L41" s="15"/>
      <c r="M41" s="15"/>
      <c r="N41" s="15"/>
      <c r="O41" s="15"/>
    </row>
    <row r="42" spans="1:22" x14ac:dyDescent="0.25">
      <c r="A42" s="12">
        <v>30</v>
      </c>
      <c r="B42" s="7" t="s">
        <v>20</v>
      </c>
      <c r="C42" s="26">
        <f>'LEVEL 4'!C42+'LEVEL 5'!C42+'LEVEL 6'!C42+'LEVEL 7'!C42+'LEVEL 8'!C42+'LEVEL 9'!C42+'LEVEL 10'!C42+'LEVEL 11'!C42+'LEVEL 12'!C42+'LEVEL 3'!C42+'SINUG-ANG VEIN'!C42+'L425'!C42+'L460'!C42</f>
        <v>0</v>
      </c>
      <c r="D42" s="26">
        <f>'LEVEL 4'!D42+'LEVEL 5'!D42+'LEVEL 6'!D42+'LEVEL 7'!D42+'LEVEL 8'!D42+'LEVEL 9'!D42+'LEVEL 10'!D42+'LEVEL 11'!D42+'LEVEL 12'!D42+'LEVEL 3'!D42+'SINUG-ANG VEIN'!D42+'L425'!D42+'L460'!D42</f>
        <v>0</v>
      </c>
      <c r="E42" s="26">
        <f>'LEVEL 4'!E42+'LEVEL 5'!E42+'LEVEL 6'!E42+'LEVEL 7'!E42+'LEVEL 8'!E42+'LEVEL 9'!E42+'LEVEL 10'!E42+'LEVEL 11'!E42+'LEVEL 12'!E42+'LEVEL 3'!E42+'SINUG-ANG VEIN'!E42+'L425'!E42+'L460'!E42</f>
        <v>0</v>
      </c>
      <c r="F42" s="26">
        <f>'LEVEL 4'!F42+'LEVEL 5'!F42+'LEVEL 6'!F42+'LEVEL 7'!F42+'LEVEL 8'!F42+'LEVEL 9'!F42+'LEVEL 10'!F42+'LEVEL 11'!F42+'LEVEL 12'!F42+'LEVEL 3'!F42+'SINUG-ANG VEIN'!F42+'L425'!F42+'L460'!F42</f>
        <v>0</v>
      </c>
      <c r="G42" s="13"/>
      <c r="H42" s="13"/>
      <c r="J42" s="15">
        <f>SUM(C$13:C42)</f>
        <v>6771.6104651162786</v>
      </c>
      <c r="K42" s="15">
        <f>SUM(D$13:D42)</f>
        <v>21521.100000000006</v>
      </c>
      <c r="L42" s="15">
        <f>SUM(E$13:E42)</f>
        <v>30513</v>
      </c>
      <c r="M42" s="15">
        <f>SUM(F$13:F42)</f>
        <v>14722</v>
      </c>
      <c r="N42" s="15"/>
      <c r="O42" s="15"/>
    </row>
    <row r="43" spans="1:22" x14ac:dyDescent="0.25">
      <c r="A43" s="12">
        <v>31</v>
      </c>
      <c r="B43" s="7" t="s">
        <v>21</v>
      </c>
      <c r="C43" s="26">
        <f>'LEVEL 4'!C43+'LEVEL 5'!C43+'LEVEL 6'!C43+'LEVEL 7'!C43+'LEVEL 8'!C43+'LEVEL 9'!C43+'LEVEL 10'!C43+'LEVEL 11'!C43+'LEVEL 12'!C43+'LEVEL 3'!C43+'SINUG-ANG VEIN'!C43+'L425'!C43+'L460'!C43</f>
        <v>0</v>
      </c>
      <c r="D43" s="26">
        <f>'LEVEL 4'!D43+'LEVEL 5'!D43+'LEVEL 6'!D43+'LEVEL 7'!D43+'LEVEL 8'!D43+'LEVEL 9'!D43+'LEVEL 10'!D43+'LEVEL 11'!D43+'LEVEL 12'!D43+'LEVEL 3'!D43+'SINUG-ANG VEIN'!D43+'L425'!D43+'L460'!D43</f>
        <v>0</v>
      </c>
      <c r="E43" s="26">
        <f>'LEVEL 4'!E43+'LEVEL 5'!E43+'LEVEL 6'!E43+'LEVEL 7'!E43+'LEVEL 8'!E43+'LEVEL 9'!E43+'LEVEL 10'!E43+'LEVEL 11'!E43+'LEVEL 12'!E43+'LEVEL 3'!E43+'SINUG-ANG VEIN'!E43+'L425'!E43+'L460'!E43</f>
        <v>0</v>
      </c>
      <c r="F43" s="26">
        <f>'LEVEL 4'!F43+'LEVEL 5'!F43+'LEVEL 6'!F43+'LEVEL 7'!F43+'LEVEL 8'!F43+'LEVEL 9'!F43+'LEVEL 10'!F43+'LEVEL 11'!F43+'LEVEL 12'!F43+'LEVEL 3'!F43+'SINUG-ANG VEIN'!F43+'L425'!F43+'L460'!F43</f>
        <v>0</v>
      </c>
      <c r="G43" s="26">
        <f>'LEVEL 4'!G43+'LEVEL 5'!G43+'LEVEL 6'!G43+'LEVEL 7'!G43+'LEVEL 8'!G43+'LEVEL 9'!G43+'LEVEL 10'!G43+'LEVEL 11'!G43+'LEVEL 12'!G43+'LEVEL 3'!G43+'SINUG-ANG VEIN'!G43+'L425'!G43+'L460'!G43</f>
        <v>0</v>
      </c>
      <c r="H43" s="26">
        <f>'LEVEL 4'!H43+'LEVEL 5'!H43+'LEVEL 6'!H43+'LEVEL 7'!H43+'LEVEL 8'!H43+'LEVEL 9'!H43+'LEVEL 10'!H43+'LEVEL 11'!H43+'LEVEL 12'!H43+'LEVEL 3'!H43+'SINUG-ANG VEIN'!H43+'L425'!H43+'L460'!H43</f>
        <v>0</v>
      </c>
      <c r="J43" s="15">
        <f>SUM(C$13:C43)</f>
        <v>6771.6104651162786</v>
      </c>
      <c r="K43" s="15">
        <f>SUM(D$13:D43)</f>
        <v>21521.100000000006</v>
      </c>
      <c r="L43" s="15">
        <f>SUM(E$13:E43)</f>
        <v>30513</v>
      </c>
      <c r="M43" s="15">
        <f>SUM(F$13:F43)</f>
        <v>14722</v>
      </c>
      <c r="N43" s="15"/>
      <c r="O43" s="15"/>
    </row>
    <row r="44" spans="1:22" x14ac:dyDescent="0.25">
      <c r="B44" s="7"/>
      <c r="C44" s="19">
        <f t="shared" ref="C44:H44" si="0">SUBTOTAL(109,C13:C43)</f>
        <v>6771.6104651162786</v>
      </c>
      <c r="D44" s="27">
        <f t="shared" si="0"/>
        <v>21521.100000000006</v>
      </c>
      <c r="E44" s="19">
        <f t="shared" si="0"/>
        <v>30513</v>
      </c>
      <c r="F44" s="19">
        <f t="shared" si="0"/>
        <v>14722</v>
      </c>
      <c r="G44" s="16">
        <f t="shared" si="0"/>
        <v>0</v>
      </c>
      <c r="H44" s="16">
        <f t="shared" si="0"/>
        <v>0</v>
      </c>
    </row>
    <row r="45" spans="1:22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x14ac:dyDescent="0.25">
      <c r="C46" s="17"/>
      <c r="D46" s="17"/>
      <c r="E46" s="17"/>
      <c r="F46" s="1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</sheetData>
  <mergeCells count="3">
    <mergeCell ref="C3:D3"/>
    <mergeCell ref="E3:F3"/>
    <mergeCell ref="J11:O11"/>
  </mergeCells>
  <phoneticPr fontId="5" type="noConversion"/>
  <conditionalFormatting sqref="B13:B43">
    <cfRule type="containsText" dxfId="18" priority="4" operator="containsText" text="SUNDAY">
      <formula>NOT(ISERROR(SEARCH("SUNDAY",B13)))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O44"/>
  <sheetViews>
    <sheetView zoomScale="115" zoomScaleNormal="115" workbookViewId="0">
      <pane ySplit="10" topLeftCell="A11" activePane="bottomLeft" state="frozen"/>
      <selection pane="bottomLeft" activeCell="C29" sqref="C29:F29"/>
    </sheetView>
  </sheetViews>
  <sheetFormatPr defaultRowHeight="15" x14ac:dyDescent="0.25"/>
  <cols>
    <col min="2" max="2" width="13.5703125" customWidth="1"/>
    <col min="3" max="3" width="14.7109375" bestFit="1" customWidth="1"/>
    <col min="4" max="4" width="10.42578125" bestFit="1" customWidth="1"/>
    <col min="5" max="5" width="18.42578125" bestFit="1" customWidth="1"/>
    <col min="6" max="6" width="15.5703125" bestFit="1" customWidth="1"/>
    <col min="7" max="8" width="11.85546875" customWidth="1"/>
    <col min="9" max="9" width="5.28515625" customWidth="1"/>
    <col min="10" max="15" width="6.85546875" hidden="1" customWidth="1"/>
    <col min="16" max="16" width="8.42578125" customWidth="1"/>
    <col min="17" max="35" width="5.28515625" customWidth="1"/>
  </cols>
  <sheetData>
    <row r="1" spans="1:15" x14ac:dyDescent="0.25">
      <c r="B1" t="s">
        <v>0</v>
      </c>
      <c r="E1" t="s">
        <v>1</v>
      </c>
      <c r="F1" s="1">
        <f>'ALL LEVELS'!F1</f>
        <v>30</v>
      </c>
      <c r="H1" s="20" t="str">
        <f>'ALL LEVELS'!H1</f>
        <v>Month of JUNE 2026</v>
      </c>
    </row>
    <row r="2" spans="1:15" x14ac:dyDescent="0.25">
      <c r="B2" t="s">
        <v>2</v>
      </c>
      <c r="C2" s="1">
        <f>'ALL LEVELS'!C2</f>
        <v>19</v>
      </c>
      <c r="E2" s="23"/>
      <c r="F2" s="23"/>
    </row>
    <row r="3" spans="1:15" ht="15.75" hidden="1" thickBot="1" x14ac:dyDescent="0.3">
      <c r="C3" s="30" t="s">
        <v>3</v>
      </c>
      <c r="D3" s="30"/>
      <c r="E3" s="31" t="s">
        <v>4</v>
      </c>
      <c r="F3" s="31"/>
    </row>
    <row r="4" spans="1:15" ht="15.75" hidden="1" thickBot="1" x14ac:dyDescent="0.3">
      <c r="B4" s="2" t="s">
        <v>5</v>
      </c>
      <c r="C4" s="3" t="s">
        <v>6</v>
      </c>
      <c r="D4" s="3" t="s">
        <v>7</v>
      </c>
      <c r="E4" s="3" t="s">
        <v>6</v>
      </c>
      <c r="F4" s="3" t="s">
        <v>7</v>
      </c>
    </row>
    <row r="5" spans="1:15" ht="15.75" hidden="1" thickBot="1" x14ac:dyDescent="0.3">
      <c r="B5" s="2" t="s">
        <v>8</v>
      </c>
      <c r="C5" s="4"/>
      <c r="D5" s="4"/>
      <c r="E5" s="4"/>
      <c r="F5" s="4"/>
    </row>
    <row r="6" spans="1:15" ht="15.75" hidden="1" thickBot="1" x14ac:dyDescent="0.3">
      <c r="B6" s="2" t="s">
        <v>9</v>
      </c>
      <c r="C6" s="4"/>
      <c r="D6" s="4"/>
      <c r="E6" s="4"/>
      <c r="F6" s="4"/>
    </row>
    <row r="7" spans="1:15" ht="15.75" hidden="1" thickBot="1" x14ac:dyDescent="0.3">
      <c r="B7" s="2" t="s">
        <v>10</v>
      </c>
      <c r="C7" s="4"/>
      <c r="D7" s="4"/>
      <c r="E7" s="4"/>
      <c r="F7" s="4"/>
      <c r="H7" s="5"/>
    </row>
    <row r="8" spans="1:15" ht="15.75" hidden="1" thickBot="1" x14ac:dyDescent="0.3">
      <c r="B8" s="2" t="s">
        <v>11</v>
      </c>
      <c r="C8" s="6"/>
      <c r="D8" s="6"/>
      <c r="E8" s="6"/>
      <c r="F8" s="6"/>
    </row>
    <row r="9" spans="1:15" ht="15.75" hidden="1" thickBot="1" x14ac:dyDescent="0.3">
      <c r="B9" s="2"/>
      <c r="C9" s="6"/>
      <c r="D9" s="6"/>
      <c r="E9" s="6"/>
      <c r="F9" s="6"/>
    </row>
    <row r="10" spans="1:15" ht="15.75" hidden="1" thickBot="1" x14ac:dyDescent="0.3">
      <c r="B10" s="2" t="s">
        <v>12</v>
      </c>
      <c r="C10" s="4"/>
      <c r="D10" s="6"/>
      <c r="E10" s="4"/>
      <c r="F10" s="6"/>
    </row>
    <row r="11" spans="1:15" ht="15.75" thickBot="1" x14ac:dyDescent="0.3">
      <c r="B11" s="7"/>
      <c r="J11" s="32" t="s">
        <v>4</v>
      </c>
      <c r="K11" s="32"/>
      <c r="L11" s="32"/>
      <c r="M11" s="32"/>
      <c r="N11" s="32"/>
      <c r="O11" s="32"/>
    </row>
    <row r="12" spans="1:15" ht="15.75" thickBot="1" x14ac:dyDescent="0.3">
      <c r="A12" s="8" t="s">
        <v>13</v>
      </c>
      <c r="B12" s="7" t="s">
        <v>14</v>
      </c>
      <c r="C12" s="9" t="s">
        <v>15</v>
      </c>
      <c r="D12" s="9" t="s">
        <v>16</v>
      </c>
      <c r="E12" s="9" t="s">
        <v>17</v>
      </c>
      <c r="F12" s="2" t="s">
        <v>18</v>
      </c>
      <c r="G12" s="10"/>
      <c r="H12" s="11"/>
      <c r="J12" s="9" t="s">
        <v>8</v>
      </c>
      <c r="K12" s="9" t="s">
        <v>9</v>
      </c>
      <c r="L12" s="9" t="s">
        <v>10</v>
      </c>
      <c r="M12" s="2" t="s">
        <v>11</v>
      </c>
      <c r="N12" s="11"/>
      <c r="O12" s="11"/>
    </row>
    <row r="13" spans="1:15" x14ac:dyDescent="0.25">
      <c r="A13" s="12">
        <f>'ALL LEVELS'!A13</f>
        <v>1</v>
      </c>
      <c r="B13" s="7" t="str">
        <f>'ALL LEVELS'!B13</f>
        <v>MONDAY</v>
      </c>
      <c r="C13" s="18"/>
      <c r="D13" s="18"/>
      <c r="E13" s="18"/>
      <c r="F13" s="18"/>
      <c r="G13" s="14"/>
      <c r="H13" s="14"/>
      <c r="J13" s="15">
        <f>SUM(C$13:C13)</f>
        <v>0</v>
      </c>
      <c r="K13" s="15">
        <f>SUM(D$13:D13)</f>
        <v>0</v>
      </c>
      <c r="L13" s="15">
        <f>SUM(E$13:E13)</f>
        <v>0</v>
      </c>
      <c r="M13" s="15">
        <f>SUM(F$13:F13)</f>
        <v>0</v>
      </c>
      <c r="N13" s="15"/>
      <c r="O13" s="15"/>
    </row>
    <row r="14" spans="1:15" x14ac:dyDescent="0.25">
      <c r="A14" s="12">
        <f>'ALL LEVELS'!A14</f>
        <v>2</v>
      </c>
      <c r="B14" s="7" t="str">
        <f>'ALL LEVELS'!B14</f>
        <v>TUESDAY</v>
      </c>
      <c r="C14" s="18">
        <v>3.6046511627906974</v>
      </c>
      <c r="D14" s="18">
        <v>23.6</v>
      </c>
      <c r="E14" s="18">
        <v>6</v>
      </c>
      <c r="F14" s="18">
        <v>21</v>
      </c>
      <c r="G14" s="14"/>
      <c r="H14" s="14"/>
      <c r="J14" s="15">
        <f>SUM(C$13:C14)</f>
        <v>3.6046511627906974</v>
      </c>
      <c r="K14" s="15">
        <f>SUM(D$13:D14)</f>
        <v>23.6</v>
      </c>
      <c r="L14" s="15">
        <f>SUM(E$13:E14)</f>
        <v>6</v>
      </c>
      <c r="M14" s="15">
        <f>SUM(F$13:F14)</f>
        <v>21</v>
      </c>
      <c r="N14" s="15"/>
      <c r="O14" s="15"/>
    </row>
    <row r="15" spans="1:15" x14ac:dyDescent="0.25">
      <c r="A15" s="12">
        <f>'ALL LEVELS'!A15</f>
        <v>3</v>
      </c>
      <c r="B15" s="7" t="str">
        <f>'ALL LEVELS'!B15</f>
        <v>WEDNESDAY</v>
      </c>
      <c r="C15" s="18">
        <v>2.3255813953488373</v>
      </c>
      <c r="D15" s="18">
        <v>0</v>
      </c>
      <c r="E15" s="18">
        <v>0</v>
      </c>
      <c r="F15" s="18">
        <v>0</v>
      </c>
      <c r="G15" s="14"/>
      <c r="H15" s="14"/>
      <c r="J15" s="15">
        <f>SUM(C$13:C15)</f>
        <v>5.9302325581395348</v>
      </c>
      <c r="K15" s="15">
        <f>SUM(D$13:D15)</f>
        <v>23.6</v>
      </c>
      <c r="L15" s="15">
        <f>SUM(E$13:E15)</f>
        <v>6</v>
      </c>
      <c r="M15" s="15">
        <f>SUM(F$13:F15)</f>
        <v>21</v>
      </c>
      <c r="N15" s="15"/>
      <c r="O15" s="15"/>
    </row>
    <row r="16" spans="1:15" x14ac:dyDescent="0.25">
      <c r="A16" s="12">
        <f>'ALL LEVELS'!A16</f>
        <v>4</v>
      </c>
      <c r="B16" s="7" t="str">
        <f>'ALL LEVELS'!B16</f>
        <v>THURSDAY</v>
      </c>
      <c r="C16" s="18">
        <v>2.3255813953488373</v>
      </c>
      <c r="D16" s="18">
        <v>0</v>
      </c>
      <c r="E16" s="18">
        <v>0</v>
      </c>
      <c r="F16" s="18">
        <v>15</v>
      </c>
      <c r="G16" s="14"/>
      <c r="H16" s="14"/>
      <c r="J16" s="15">
        <f>SUM(C$13:C16)</f>
        <v>8.2558139534883725</v>
      </c>
      <c r="K16" s="15">
        <f>SUM(D$13:D16)</f>
        <v>23.6</v>
      </c>
      <c r="L16" s="15">
        <f>SUM(E$13:E16)</f>
        <v>6</v>
      </c>
      <c r="M16" s="15">
        <f>SUM(F$13:F16)</f>
        <v>36</v>
      </c>
      <c r="N16" s="15"/>
      <c r="O16" s="15"/>
    </row>
    <row r="17" spans="1:15" x14ac:dyDescent="0.25">
      <c r="A17" s="12">
        <f>'ALL LEVELS'!A17</f>
        <v>5</v>
      </c>
      <c r="B17" s="7" t="str">
        <f>'ALL LEVELS'!B17</f>
        <v>FRIDAY</v>
      </c>
      <c r="C17" s="18">
        <v>3.4883720930232558</v>
      </c>
      <c r="D17" s="18">
        <v>0</v>
      </c>
      <c r="E17" s="18">
        <v>0</v>
      </c>
      <c r="F17" s="18">
        <v>0</v>
      </c>
      <c r="G17" s="14"/>
      <c r="H17" s="14"/>
      <c r="J17" s="15">
        <f>SUM(C$13:C17)</f>
        <v>11.744186046511629</v>
      </c>
      <c r="K17" s="15">
        <f>SUM(D$13:D17)</f>
        <v>23.6</v>
      </c>
      <c r="L17" s="15">
        <f>SUM(E$13:E17)</f>
        <v>6</v>
      </c>
      <c r="M17" s="15">
        <f>SUM(F$13:F17)</f>
        <v>36</v>
      </c>
      <c r="N17" s="15"/>
      <c r="O17" s="15"/>
    </row>
    <row r="18" spans="1:15" x14ac:dyDescent="0.25">
      <c r="A18" s="12">
        <f>'ALL LEVELS'!A18</f>
        <v>6</v>
      </c>
      <c r="B18" s="7" t="str">
        <f>'ALL LEVELS'!B18</f>
        <v>SATURDAY</v>
      </c>
      <c r="C18" s="18">
        <v>2.3255813953488373</v>
      </c>
      <c r="D18" s="18">
        <v>0</v>
      </c>
      <c r="E18" s="18">
        <v>0</v>
      </c>
      <c r="F18" s="18">
        <v>0</v>
      </c>
      <c r="G18" s="14"/>
      <c r="H18" s="14"/>
      <c r="J18" s="15">
        <f>SUM(C$13:C18)</f>
        <v>14.069767441860467</v>
      </c>
      <c r="K18" s="15">
        <f>SUM(D$13:D18)</f>
        <v>23.6</v>
      </c>
      <c r="L18" s="15">
        <f>SUM(E$13:E18)</f>
        <v>6</v>
      </c>
      <c r="M18" s="15">
        <f>SUM(F$13:F18)</f>
        <v>36</v>
      </c>
      <c r="N18" s="15"/>
      <c r="O18" s="15"/>
    </row>
    <row r="19" spans="1:15" x14ac:dyDescent="0.25">
      <c r="A19" s="12">
        <f>'ALL LEVELS'!A19</f>
        <v>7</v>
      </c>
      <c r="B19" s="7" t="str">
        <f>'ALL LEVELS'!B19</f>
        <v>SUNDAY</v>
      </c>
      <c r="C19" s="18"/>
      <c r="D19" s="18"/>
      <c r="E19" s="18"/>
      <c r="F19" s="18"/>
      <c r="G19" s="14"/>
      <c r="H19" s="14"/>
      <c r="J19" s="15">
        <f>SUM(C$13:C19)</f>
        <v>14.069767441860467</v>
      </c>
      <c r="K19" s="15">
        <f>SUM(D$13:D19)</f>
        <v>23.6</v>
      </c>
      <c r="L19" s="15">
        <f>SUM(E$13:E19)</f>
        <v>6</v>
      </c>
      <c r="M19" s="15">
        <f>SUM(F$13:F19)</f>
        <v>36</v>
      </c>
      <c r="N19" s="15"/>
      <c r="O19" s="15"/>
    </row>
    <row r="20" spans="1:15" x14ac:dyDescent="0.25">
      <c r="A20" s="12">
        <f>'ALL LEVELS'!A20</f>
        <v>8</v>
      </c>
      <c r="B20" s="7" t="str">
        <f>'ALL LEVELS'!B20</f>
        <v>MONDAY</v>
      </c>
      <c r="C20" s="18"/>
      <c r="D20" s="18"/>
      <c r="E20" s="18"/>
      <c r="F20" s="18"/>
      <c r="G20" s="14"/>
      <c r="H20" s="14"/>
      <c r="J20" s="15">
        <f>SUM(C$13:C20)</f>
        <v>14.069767441860467</v>
      </c>
      <c r="K20" s="15">
        <f>SUM(D$13:D20)</f>
        <v>23.6</v>
      </c>
      <c r="L20" s="15">
        <f>SUM(E$13:E20)</f>
        <v>6</v>
      </c>
      <c r="M20" s="15">
        <f>SUM(F$13:F20)</f>
        <v>36</v>
      </c>
      <c r="N20" s="15"/>
      <c r="O20" s="15"/>
    </row>
    <row r="21" spans="1:15" x14ac:dyDescent="0.25">
      <c r="A21" s="12">
        <f>'ALL LEVELS'!A21</f>
        <v>9</v>
      </c>
      <c r="B21" s="7" t="str">
        <f>'ALL LEVELS'!B21</f>
        <v>TUESDAY</v>
      </c>
      <c r="C21" s="18"/>
      <c r="D21" s="18"/>
      <c r="E21" s="18"/>
      <c r="F21" s="18"/>
      <c r="G21" s="14"/>
      <c r="H21" s="14"/>
      <c r="J21" s="15">
        <f>SUM(C$13:C21)</f>
        <v>14.069767441860467</v>
      </c>
      <c r="K21" s="15">
        <f>SUM(D$13:D21)</f>
        <v>23.6</v>
      </c>
      <c r="L21" s="15">
        <f>SUM(E$13:E21)</f>
        <v>6</v>
      </c>
      <c r="M21" s="15">
        <f>SUM(F$13:F21)</f>
        <v>36</v>
      </c>
      <c r="N21" s="15"/>
      <c r="O21" s="15"/>
    </row>
    <row r="22" spans="1:15" x14ac:dyDescent="0.25">
      <c r="A22" s="12">
        <f>'ALL LEVELS'!A22</f>
        <v>10</v>
      </c>
      <c r="B22" s="7" t="str">
        <f>'ALL LEVELS'!B22</f>
        <v>WEDNESDAY</v>
      </c>
      <c r="C22" s="18"/>
      <c r="D22" s="18"/>
      <c r="E22" s="18"/>
      <c r="F22" s="18"/>
      <c r="G22" s="14"/>
      <c r="H22" s="14"/>
      <c r="J22" s="15">
        <f>SUM(C$13:C22)</f>
        <v>14.069767441860467</v>
      </c>
      <c r="K22" s="15">
        <f>SUM(D$13:D22)</f>
        <v>23.6</v>
      </c>
      <c r="L22" s="15">
        <f>SUM(E$13:E22)</f>
        <v>6</v>
      </c>
      <c r="M22" s="15">
        <f>SUM(F$13:F22)</f>
        <v>36</v>
      </c>
      <c r="N22" s="15"/>
      <c r="O22" s="15"/>
    </row>
    <row r="23" spans="1:15" x14ac:dyDescent="0.25">
      <c r="A23" s="12">
        <f>'ALL LEVELS'!A23</f>
        <v>11</v>
      </c>
      <c r="B23" s="7" t="str">
        <f>'ALL LEVELS'!B23</f>
        <v>THURSDAY</v>
      </c>
      <c r="C23" s="18"/>
      <c r="D23" s="18"/>
      <c r="E23" s="18"/>
      <c r="F23" s="18"/>
      <c r="G23" s="14"/>
      <c r="H23" s="14"/>
      <c r="J23" s="15">
        <f>SUM(C$13:C23)</f>
        <v>14.069767441860467</v>
      </c>
      <c r="K23" s="15">
        <f>SUM(D$13:D23)</f>
        <v>23.6</v>
      </c>
      <c r="L23" s="15">
        <f>SUM(E$13:E23)</f>
        <v>6</v>
      </c>
      <c r="M23" s="15">
        <f>SUM(F$13:F23)</f>
        <v>36</v>
      </c>
      <c r="N23" s="15"/>
      <c r="O23" s="15"/>
    </row>
    <row r="24" spans="1:15" x14ac:dyDescent="0.25">
      <c r="A24" s="12">
        <f>'ALL LEVELS'!A24</f>
        <v>12</v>
      </c>
      <c r="B24" s="7" t="str">
        <f>'ALL LEVELS'!B24</f>
        <v>FRIDAY</v>
      </c>
      <c r="C24" s="18"/>
      <c r="D24" s="18"/>
      <c r="E24" s="18"/>
      <c r="F24" s="18"/>
      <c r="G24" s="14"/>
      <c r="H24" s="14"/>
      <c r="J24" s="15">
        <f>SUM(C$13:C24)</f>
        <v>14.069767441860467</v>
      </c>
      <c r="K24" s="15">
        <f>SUM(D$13:D24)</f>
        <v>23.6</v>
      </c>
      <c r="L24" s="15">
        <f>SUM(E$13:E24)</f>
        <v>6</v>
      </c>
      <c r="M24" s="15">
        <f>SUM(F$13:F24)</f>
        <v>36</v>
      </c>
      <c r="N24" s="15"/>
      <c r="O24" s="15"/>
    </row>
    <row r="25" spans="1:15" x14ac:dyDescent="0.25">
      <c r="A25" s="12">
        <f>'ALL LEVELS'!A25</f>
        <v>13</v>
      </c>
      <c r="B25" s="7" t="str">
        <f>'ALL LEVELS'!B25</f>
        <v>SATURDAY</v>
      </c>
      <c r="C25" s="18">
        <v>1.7441860465116279</v>
      </c>
      <c r="D25" s="18">
        <v>10</v>
      </c>
      <c r="E25" s="18">
        <v>0</v>
      </c>
      <c r="F25" s="18">
        <v>10</v>
      </c>
      <c r="G25" s="14"/>
      <c r="H25" s="14"/>
      <c r="J25" s="15">
        <f>SUM(C$13:C25)</f>
        <v>15.813953488372094</v>
      </c>
      <c r="K25" s="15">
        <f>SUM(D$13:D25)</f>
        <v>33.6</v>
      </c>
      <c r="L25" s="15">
        <f>SUM(E$13:E25)</f>
        <v>6</v>
      </c>
      <c r="M25" s="15">
        <f>SUM(F$13:F25)</f>
        <v>46</v>
      </c>
      <c r="N25" s="15"/>
      <c r="O25" s="15"/>
    </row>
    <row r="26" spans="1:15" x14ac:dyDescent="0.25">
      <c r="A26" s="12">
        <f>'ALL LEVELS'!A26</f>
        <v>14</v>
      </c>
      <c r="B26" s="7" t="str">
        <f>'ALL LEVELS'!B26</f>
        <v>SUNDAY</v>
      </c>
      <c r="C26" s="18"/>
      <c r="D26" s="18"/>
      <c r="E26" s="18"/>
      <c r="F26" s="18"/>
      <c r="G26" s="14"/>
      <c r="H26" s="14"/>
      <c r="J26" s="15">
        <f>SUM(C$13:C26)</f>
        <v>15.813953488372094</v>
      </c>
      <c r="K26" s="15">
        <f>SUM(D$13:D26)</f>
        <v>33.6</v>
      </c>
      <c r="L26" s="15">
        <f>SUM(E$13:E26)</f>
        <v>6</v>
      </c>
      <c r="M26" s="15">
        <f>SUM(F$13:F26)</f>
        <v>46</v>
      </c>
      <c r="N26" s="15"/>
      <c r="O26" s="15"/>
    </row>
    <row r="27" spans="1:15" x14ac:dyDescent="0.25">
      <c r="A27" s="12">
        <f>'ALL LEVELS'!A27</f>
        <v>15</v>
      </c>
      <c r="B27" s="7" t="str">
        <f>'ALL LEVELS'!B27</f>
        <v>MONDAY</v>
      </c>
      <c r="C27" s="18"/>
      <c r="D27" s="18"/>
      <c r="E27" s="18"/>
      <c r="F27" s="18"/>
      <c r="G27" s="14"/>
      <c r="H27" s="14"/>
      <c r="J27" s="15">
        <f>SUM(C$13:C27)</f>
        <v>15.813953488372094</v>
      </c>
      <c r="K27" s="15">
        <f>SUM(D$13:D27)</f>
        <v>33.6</v>
      </c>
      <c r="L27" s="15">
        <f>SUM(E$13:E27)</f>
        <v>6</v>
      </c>
      <c r="M27" s="15">
        <f>SUM(F$13:F27)</f>
        <v>46</v>
      </c>
      <c r="N27" s="15"/>
      <c r="O27" s="15"/>
    </row>
    <row r="28" spans="1:15" x14ac:dyDescent="0.25">
      <c r="A28" s="12">
        <f>'ALL LEVELS'!A28</f>
        <v>16</v>
      </c>
      <c r="B28" s="7" t="str">
        <f>'ALL LEVELS'!B28</f>
        <v>TUESDAY</v>
      </c>
      <c r="C28" s="18"/>
      <c r="D28" s="18"/>
      <c r="E28" s="18"/>
      <c r="F28" s="18"/>
      <c r="G28" s="14"/>
      <c r="H28" s="14"/>
      <c r="J28" s="15">
        <f>SUM(C$13:C28)</f>
        <v>15.813953488372094</v>
      </c>
      <c r="K28" s="15">
        <f>SUM(D$13:D28)</f>
        <v>33.6</v>
      </c>
      <c r="L28" s="15">
        <f>SUM(E$13:E28)</f>
        <v>6</v>
      </c>
      <c r="M28" s="15">
        <f>SUM(F$13:F28)</f>
        <v>46</v>
      </c>
      <c r="N28" s="15"/>
      <c r="O28" s="15"/>
    </row>
    <row r="29" spans="1:15" x14ac:dyDescent="0.25">
      <c r="A29" s="12">
        <f>'ALL LEVELS'!A29</f>
        <v>17</v>
      </c>
      <c r="B29" s="7" t="str">
        <f>'ALL LEVELS'!B29</f>
        <v>WEDNESDAY</v>
      </c>
      <c r="C29" s="18">
        <v>2.3255813953488373</v>
      </c>
      <c r="D29" s="18">
        <v>0</v>
      </c>
      <c r="E29" s="18">
        <v>0</v>
      </c>
      <c r="F29" s="18">
        <v>10</v>
      </c>
      <c r="G29" s="14"/>
      <c r="H29" s="14"/>
      <c r="J29" s="15">
        <f>SUM(C$13:C29)</f>
        <v>18.13953488372093</v>
      </c>
      <c r="K29" s="15">
        <f>SUM(D$13:D29)</f>
        <v>33.6</v>
      </c>
      <c r="L29" s="15">
        <f>SUM(E$13:E29)</f>
        <v>6</v>
      </c>
      <c r="M29" s="15">
        <f>SUM(F$13:F29)</f>
        <v>56</v>
      </c>
      <c r="N29" s="15"/>
      <c r="O29" s="15"/>
    </row>
    <row r="30" spans="1:15" x14ac:dyDescent="0.25">
      <c r="A30" s="12">
        <f>'ALL LEVELS'!A30</f>
        <v>18</v>
      </c>
      <c r="B30" s="7" t="str">
        <f>'ALL LEVELS'!B30</f>
        <v>THURSDAY</v>
      </c>
      <c r="C30" s="18"/>
      <c r="D30" s="18"/>
      <c r="E30" s="18"/>
      <c r="F30" s="18"/>
      <c r="G30" s="14"/>
      <c r="H30" s="14"/>
      <c r="J30" s="15">
        <f>SUM(C$13:C30)</f>
        <v>18.13953488372093</v>
      </c>
      <c r="K30" s="15">
        <f>SUM(D$13:D30)</f>
        <v>33.6</v>
      </c>
      <c r="L30" s="15">
        <f>SUM(E$13:E30)</f>
        <v>6</v>
      </c>
      <c r="M30" s="15">
        <f>SUM(F$13:F30)</f>
        <v>56</v>
      </c>
      <c r="N30" s="15"/>
      <c r="O30" s="15"/>
    </row>
    <row r="31" spans="1:15" x14ac:dyDescent="0.25">
      <c r="A31" s="12">
        <f>'ALL LEVELS'!A31</f>
        <v>19</v>
      </c>
      <c r="B31" s="7" t="str">
        <f>'ALL LEVELS'!B31</f>
        <v>FRIDAY</v>
      </c>
      <c r="C31" s="18"/>
      <c r="D31" s="18"/>
      <c r="E31" s="18"/>
      <c r="F31" s="18"/>
      <c r="G31" s="14"/>
      <c r="H31" s="14"/>
      <c r="J31" s="15">
        <f>SUM(C$13:C31)</f>
        <v>18.13953488372093</v>
      </c>
      <c r="K31" s="15">
        <f>SUM(D$13:D31)</f>
        <v>33.6</v>
      </c>
      <c r="L31" s="15">
        <f>SUM(E$13:E31)</f>
        <v>6</v>
      </c>
      <c r="M31" s="15">
        <f>SUM(F$13:F31)</f>
        <v>56</v>
      </c>
      <c r="N31" s="15"/>
      <c r="O31" s="15"/>
    </row>
    <row r="32" spans="1:15" x14ac:dyDescent="0.25">
      <c r="A32" s="12">
        <f>'ALL LEVELS'!A32</f>
        <v>20</v>
      </c>
      <c r="B32" s="7" t="str">
        <f>'ALL LEVELS'!B32</f>
        <v>SATURDAY</v>
      </c>
      <c r="C32" s="18"/>
      <c r="D32" s="18"/>
      <c r="E32" s="18"/>
      <c r="F32" s="18"/>
      <c r="G32" s="14"/>
      <c r="H32" s="14"/>
      <c r="J32" s="15">
        <f>SUM(C$13:C32)</f>
        <v>18.13953488372093</v>
      </c>
      <c r="K32" s="15">
        <f>SUM(D$13:D32)</f>
        <v>33.6</v>
      </c>
      <c r="L32" s="15">
        <f>SUM(E$13:E32)</f>
        <v>6</v>
      </c>
      <c r="M32" s="15">
        <f>SUM(F$13:F32)</f>
        <v>56</v>
      </c>
      <c r="N32" s="15"/>
      <c r="O32" s="15"/>
    </row>
    <row r="33" spans="1:15" x14ac:dyDescent="0.25">
      <c r="A33" s="12">
        <f>'ALL LEVELS'!A33</f>
        <v>21</v>
      </c>
      <c r="B33" s="7" t="str">
        <f>'ALL LEVELS'!B33</f>
        <v>SUNDAY</v>
      </c>
      <c r="C33" s="18"/>
      <c r="D33" s="18"/>
      <c r="E33" s="18"/>
      <c r="F33" s="18"/>
      <c r="G33" s="14"/>
      <c r="H33" s="14"/>
      <c r="J33" s="15">
        <f>SUM(C$13:C33)</f>
        <v>18.13953488372093</v>
      </c>
      <c r="K33" s="15">
        <f>SUM(D$13:D33)</f>
        <v>33.6</v>
      </c>
      <c r="L33" s="15">
        <f>SUM(E$13:E33)</f>
        <v>6</v>
      </c>
      <c r="M33" s="15">
        <f>SUM(F$13:F33)</f>
        <v>56</v>
      </c>
      <c r="N33" s="15"/>
      <c r="O33" s="15"/>
    </row>
    <row r="34" spans="1:15" x14ac:dyDescent="0.25">
      <c r="A34" s="12">
        <f>'ALL LEVELS'!A34</f>
        <v>22</v>
      </c>
      <c r="B34" s="7" t="str">
        <f>'ALL LEVELS'!B34</f>
        <v>MONDAY</v>
      </c>
      <c r="C34" s="18"/>
      <c r="D34" s="18"/>
      <c r="E34" s="18"/>
      <c r="F34" s="18"/>
      <c r="G34" s="14"/>
      <c r="H34" s="14"/>
      <c r="J34" s="15">
        <f>SUM(C$13:C34)</f>
        <v>18.13953488372093</v>
      </c>
      <c r="K34" s="15">
        <f>SUM(D$13:D34)</f>
        <v>33.6</v>
      </c>
      <c r="L34" s="15">
        <f>SUM(E$13:E34)</f>
        <v>6</v>
      </c>
      <c r="M34" s="15">
        <f>SUM(F$13:F34)</f>
        <v>56</v>
      </c>
      <c r="N34" s="15"/>
      <c r="O34" s="15"/>
    </row>
    <row r="35" spans="1:15" x14ac:dyDescent="0.25">
      <c r="A35" s="12">
        <f>'ALL LEVELS'!A35</f>
        <v>23</v>
      </c>
      <c r="B35" s="7" t="str">
        <f>'ALL LEVELS'!B35</f>
        <v>TUESDAY</v>
      </c>
      <c r="C35" s="18"/>
      <c r="D35" s="18"/>
      <c r="E35" s="18"/>
      <c r="F35" s="18"/>
      <c r="G35" s="14"/>
      <c r="H35" s="14"/>
      <c r="J35" s="15">
        <f>SUM(C$13:C35)</f>
        <v>18.13953488372093</v>
      </c>
      <c r="K35" s="15">
        <f>SUM(D$13:D35)</f>
        <v>33.6</v>
      </c>
      <c r="L35" s="15">
        <f>SUM(E$13:E35)</f>
        <v>6</v>
      </c>
      <c r="M35" s="15">
        <f>SUM(F$13:F35)</f>
        <v>56</v>
      </c>
      <c r="N35" s="15"/>
      <c r="O35" s="15"/>
    </row>
    <row r="36" spans="1:15" x14ac:dyDescent="0.25">
      <c r="A36" s="12">
        <f>'ALL LEVELS'!A36</f>
        <v>24</v>
      </c>
      <c r="B36" s="7" t="str">
        <f>'ALL LEVELS'!B33</f>
        <v>SUNDAY</v>
      </c>
      <c r="C36" s="18"/>
      <c r="D36" s="18"/>
      <c r="E36" s="18"/>
      <c r="F36" s="18"/>
      <c r="G36" s="14"/>
      <c r="H36" s="14"/>
      <c r="J36" s="15">
        <f>SUM(C$13:C36)</f>
        <v>18.13953488372093</v>
      </c>
      <c r="K36" s="15">
        <f>SUM(D$13:D36)</f>
        <v>33.6</v>
      </c>
      <c r="L36" s="15">
        <f>SUM(E$13:E36)</f>
        <v>6</v>
      </c>
      <c r="M36" s="15">
        <f>SUM(F$13:F36)</f>
        <v>56</v>
      </c>
      <c r="N36" s="15"/>
      <c r="O36" s="15"/>
    </row>
    <row r="37" spans="1:15" x14ac:dyDescent="0.25">
      <c r="A37" s="12">
        <f>'ALL LEVELS'!A37</f>
        <v>25</v>
      </c>
      <c r="B37" s="7" t="str">
        <f>'ALL LEVELS'!B34</f>
        <v>MONDAY</v>
      </c>
      <c r="C37" s="18"/>
      <c r="D37" s="18"/>
      <c r="E37" s="18"/>
      <c r="F37" s="18"/>
      <c r="G37" s="14"/>
      <c r="H37" s="14"/>
      <c r="J37" s="15">
        <f>SUM(C$13:C37)</f>
        <v>18.13953488372093</v>
      </c>
      <c r="K37" s="15">
        <f>SUM(D$13:D37)</f>
        <v>33.6</v>
      </c>
      <c r="L37" s="15">
        <f>SUM(E$13:E37)</f>
        <v>6</v>
      </c>
      <c r="M37" s="15">
        <f>SUM(F$13:F37)</f>
        <v>56</v>
      </c>
      <c r="N37" s="15"/>
      <c r="O37" s="15"/>
    </row>
    <row r="38" spans="1:15" x14ac:dyDescent="0.25">
      <c r="A38" s="12">
        <f>'ALL LEVELS'!A38</f>
        <v>26</v>
      </c>
      <c r="B38" s="7" t="str">
        <f>'ALL LEVELS'!B35</f>
        <v>TUESDAY</v>
      </c>
      <c r="C38" s="18"/>
      <c r="D38" s="18"/>
      <c r="E38" s="18"/>
      <c r="F38" s="18"/>
      <c r="G38" s="14"/>
      <c r="H38" s="14"/>
      <c r="J38" s="15">
        <f>SUM(C$13:C38)</f>
        <v>18.13953488372093</v>
      </c>
      <c r="K38" s="15">
        <f>SUM(D$13:D38)</f>
        <v>33.6</v>
      </c>
      <c r="L38" s="15">
        <f>SUM(E$13:E38)</f>
        <v>6</v>
      </c>
      <c r="M38" s="15">
        <f>SUM(F$13:F38)</f>
        <v>56</v>
      </c>
      <c r="N38" s="15"/>
      <c r="O38" s="15"/>
    </row>
    <row r="39" spans="1:15" x14ac:dyDescent="0.25">
      <c r="A39" s="12">
        <f>'ALL LEVELS'!A39</f>
        <v>27</v>
      </c>
      <c r="B39" s="7" t="str">
        <f>'ALL LEVELS'!B36</f>
        <v>WEDNESDAY</v>
      </c>
      <c r="C39" s="18"/>
      <c r="D39" s="18"/>
      <c r="E39" s="18"/>
      <c r="F39" s="18"/>
      <c r="G39" s="14"/>
      <c r="H39" s="14"/>
      <c r="J39" s="15">
        <f>SUM(C$13:C39)</f>
        <v>18.13953488372093</v>
      </c>
      <c r="K39" s="15">
        <f>SUM(D$13:D39)</f>
        <v>33.6</v>
      </c>
      <c r="L39" s="15">
        <f>SUM(E$13:E39)</f>
        <v>6</v>
      </c>
      <c r="M39" s="15">
        <f>SUM(F$13:F39)</f>
        <v>56</v>
      </c>
      <c r="N39" s="15"/>
      <c r="O39" s="15"/>
    </row>
    <row r="40" spans="1:15" x14ac:dyDescent="0.25">
      <c r="A40" s="12">
        <f>'ALL LEVELS'!A40</f>
        <v>28</v>
      </c>
      <c r="B40" s="7" t="str">
        <f>'ALL LEVELS'!B40</f>
        <v>SUNDAY</v>
      </c>
      <c r="C40" s="18"/>
      <c r="D40" s="18"/>
      <c r="E40" s="18"/>
      <c r="F40" s="18"/>
      <c r="G40" s="14"/>
      <c r="H40" s="14"/>
      <c r="J40" s="15">
        <f>SUM(C$13:C40)</f>
        <v>18.13953488372093</v>
      </c>
      <c r="K40" s="15">
        <f>SUM(D$13:D40)</f>
        <v>33.6</v>
      </c>
      <c r="L40" s="15">
        <f>SUM(E$13:E40)</f>
        <v>6</v>
      </c>
      <c r="M40" s="15">
        <f>SUM(F$13:F40)</f>
        <v>56</v>
      </c>
      <c r="N40" s="15"/>
      <c r="O40" s="15"/>
    </row>
    <row r="41" spans="1:15" x14ac:dyDescent="0.25">
      <c r="A41" s="12">
        <f>'ALL LEVELS'!A41</f>
        <v>29</v>
      </c>
      <c r="B41" s="7" t="str">
        <f>'ALL LEVELS'!B41</f>
        <v>MONDAY</v>
      </c>
      <c r="C41" s="18"/>
      <c r="D41" s="18"/>
      <c r="E41" s="18"/>
      <c r="F41" s="18"/>
      <c r="G41" s="14"/>
      <c r="H41" s="14"/>
      <c r="J41" s="15"/>
      <c r="K41" s="15"/>
      <c r="L41" s="15"/>
      <c r="M41" s="15"/>
      <c r="N41" s="15"/>
      <c r="O41" s="15"/>
    </row>
    <row r="42" spans="1:15" x14ac:dyDescent="0.25">
      <c r="A42" s="12">
        <f>'ALL LEVELS'!A42</f>
        <v>30</v>
      </c>
      <c r="B42" s="7" t="str">
        <f>'ALL LEVELS'!B42</f>
        <v>TUESDAY</v>
      </c>
      <c r="C42" s="18"/>
      <c r="D42" s="18"/>
      <c r="E42" s="18"/>
      <c r="F42" s="18"/>
      <c r="G42" s="14"/>
      <c r="H42" s="14"/>
      <c r="J42" s="15">
        <f>SUM(C$13:C42)</f>
        <v>18.13953488372093</v>
      </c>
      <c r="K42" s="15">
        <f>SUM(D$13:D42)</f>
        <v>33.6</v>
      </c>
      <c r="L42" s="15">
        <f>SUM(E$13:E42)</f>
        <v>6</v>
      </c>
      <c r="M42" s="15">
        <f>SUM(F$13:F42)</f>
        <v>56</v>
      </c>
      <c r="N42" s="15"/>
      <c r="O42" s="15"/>
    </row>
    <row r="43" spans="1:15" x14ac:dyDescent="0.25">
      <c r="A43" s="12">
        <f>'ALL LEVELS'!A43</f>
        <v>31</v>
      </c>
      <c r="B43" s="7" t="str">
        <f>'ALL LEVELS'!B43</f>
        <v>WEDNESDAY</v>
      </c>
      <c r="C43" s="18"/>
      <c r="D43" s="18"/>
      <c r="E43" s="18"/>
      <c r="F43" s="18"/>
      <c r="G43" s="14"/>
      <c r="H43" s="14"/>
      <c r="J43" s="15">
        <f>SUM(C$13:C43)</f>
        <v>18.13953488372093</v>
      </c>
      <c r="K43" s="15">
        <f>SUM(D$13:D43)</f>
        <v>33.6</v>
      </c>
      <c r="L43" s="15">
        <f>SUM(E$13:E43)</f>
        <v>6</v>
      </c>
      <c r="M43" s="15">
        <f>SUM(F$13:F43)</f>
        <v>56</v>
      </c>
      <c r="N43" s="15"/>
      <c r="O43" s="15"/>
    </row>
    <row r="44" spans="1:15" x14ac:dyDescent="0.25">
      <c r="C44" s="19">
        <f t="shared" ref="C44:H44" si="0">SUBTOTAL(109,C13:C43)</f>
        <v>18.13953488372093</v>
      </c>
      <c r="D44" s="19">
        <f t="shared" si="0"/>
        <v>33.6</v>
      </c>
      <c r="E44" s="19">
        <f t="shared" si="0"/>
        <v>6</v>
      </c>
      <c r="F44" s="19">
        <f t="shared" si="0"/>
        <v>56</v>
      </c>
      <c r="G44" s="16">
        <f t="shared" si="0"/>
        <v>0</v>
      </c>
      <c r="H44" s="16">
        <f t="shared" si="0"/>
        <v>0</v>
      </c>
    </row>
  </sheetData>
  <mergeCells count="3">
    <mergeCell ref="C3:D3"/>
    <mergeCell ref="E3:F3"/>
    <mergeCell ref="J11:O11"/>
  </mergeCells>
  <conditionalFormatting sqref="B13:B35 B39:B43">
    <cfRule type="containsText" dxfId="17" priority="3" operator="containsText" text="SUNDAY">
      <formula>NOT(ISERROR(SEARCH("SUNDAY",B13)))</formula>
    </cfRule>
  </conditionalFormatting>
  <conditionalFormatting sqref="B36:B38">
    <cfRule type="containsText" dxfId="16" priority="1" operator="containsText" text="SUNDAY">
      <formula>NOT(ISERROR(SEARCH("SUNDAY",B36)))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O44"/>
  <sheetViews>
    <sheetView zoomScale="115" zoomScaleNormal="115" workbookViewId="0">
      <pane ySplit="10" topLeftCell="A23" activePane="bottomLeft" state="frozen"/>
      <selection pane="bottomLeft" activeCell="C48" sqref="C48"/>
    </sheetView>
  </sheetViews>
  <sheetFormatPr defaultRowHeight="15" x14ac:dyDescent="0.25"/>
  <cols>
    <col min="2" max="2" width="13.5703125" customWidth="1"/>
    <col min="3" max="3" width="14.7109375" bestFit="1" customWidth="1"/>
    <col min="4" max="4" width="10.42578125" bestFit="1" customWidth="1"/>
    <col min="5" max="5" width="18.42578125" bestFit="1" customWidth="1"/>
    <col min="6" max="6" width="15.5703125" bestFit="1" customWidth="1"/>
    <col min="7" max="8" width="11.85546875" customWidth="1"/>
    <col min="9" max="9" width="5.28515625" customWidth="1"/>
    <col min="10" max="15" width="6.85546875" hidden="1" customWidth="1"/>
    <col min="16" max="16" width="8.42578125" customWidth="1"/>
    <col min="17" max="35" width="5.28515625" customWidth="1"/>
  </cols>
  <sheetData>
    <row r="1" spans="1:15" x14ac:dyDescent="0.25">
      <c r="B1" t="s">
        <v>0</v>
      </c>
      <c r="E1" t="s">
        <v>1</v>
      </c>
      <c r="F1" s="1">
        <f>'ALL LEVELS'!F1</f>
        <v>30</v>
      </c>
      <c r="H1" s="20" t="str">
        <f>'ALL LEVELS'!H1</f>
        <v>Month of JUNE 2026</v>
      </c>
    </row>
    <row r="2" spans="1:15" x14ac:dyDescent="0.25">
      <c r="B2" t="s">
        <v>2</v>
      </c>
      <c r="C2" s="1">
        <f>'ALL LEVELS'!C2</f>
        <v>19</v>
      </c>
      <c r="E2" s="23"/>
      <c r="F2" s="23"/>
    </row>
    <row r="3" spans="1:15" ht="15.75" hidden="1" thickBot="1" x14ac:dyDescent="0.3">
      <c r="C3" s="30" t="s">
        <v>3</v>
      </c>
      <c r="D3" s="30"/>
      <c r="E3" s="31" t="s">
        <v>4</v>
      </c>
      <c r="F3" s="31"/>
    </row>
    <row r="4" spans="1:15" ht="15.75" hidden="1" thickBot="1" x14ac:dyDescent="0.3">
      <c r="B4" s="2" t="s">
        <v>5</v>
      </c>
      <c r="C4" s="3" t="s">
        <v>6</v>
      </c>
      <c r="D4" s="3" t="s">
        <v>7</v>
      </c>
      <c r="E4" s="3" t="s">
        <v>6</v>
      </c>
      <c r="F4" s="3" t="s">
        <v>7</v>
      </c>
    </row>
    <row r="5" spans="1:15" ht="15.75" hidden="1" thickBot="1" x14ac:dyDescent="0.3">
      <c r="B5" s="2" t="s">
        <v>8</v>
      </c>
      <c r="C5" s="4"/>
      <c r="D5" s="4"/>
      <c r="E5" s="4"/>
      <c r="F5" s="4"/>
    </row>
    <row r="6" spans="1:15" ht="15.75" hidden="1" thickBot="1" x14ac:dyDescent="0.3">
      <c r="B6" s="2" t="s">
        <v>9</v>
      </c>
      <c r="C6" s="4"/>
      <c r="D6" s="4"/>
      <c r="E6" s="4"/>
      <c r="F6" s="4"/>
    </row>
    <row r="7" spans="1:15" ht="15.75" hidden="1" thickBot="1" x14ac:dyDescent="0.3">
      <c r="B7" s="2" t="s">
        <v>10</v>
      </c>
      <c r="C7" s="4"/>
      <c r="D7" s="4"/>
      <c r="E7" s="4"/>
      <c r="F7" s="4"/>
      <c r="H7" s="5"/>
    </row>
    <row r="8" spans="1:15" ht="15.75" hidden="1" thickBot="1" x14ac:dyDescent="0.3">
      <c r="B8" s="2" t="s">
        <v>11</v>
      </c>
      <c r="C8" s="6"/>
      <c r="D8" s="6"/>
      <c r="E8" s="6"/>
      <c r="F8" s="6"/>
    </row>
    <row r="9" spans="1:15" ht="15.75" hidden="1" thickBot="1" x14ac:dyDescent="0.3">
      <c r="B9" s="2"/>
      <c r="C9" s="6"/>
      <c r="D9" s="6"/>
      <c r="E9" s="6"/>
      <c r="F9" s="6"/>
    </row>
    <row r="10" spans="1:15" ht="15.75" hidden="1" thickBot="1" x14ac:dyDescent="0.3">
      <c r="B10" s="2" t="s">
        <v>12</v>
      </c>
      <c r="C10" s="4"/>
      <c r="D10" s="6"/>
      <c r="E10" s="4"/>
      <c r="F10" s="6"/>
    </row>
    <row r="11" spans="1:15" ht="15.75" thickBot="1" x14ac:dyDescent="0.3">
      <c r="B11" s="7"/>
      <c r="J11" s="32" t="s">
        <v>4</v>
      </c>
      <c r="K11" s="32"/>
      <c r="L11" s="32"/>
      <c r="M11" s="32"/>
      <c r="N11" s="32"/>
      <c r="O11" s="32"/>
    </row>
    <row r="12" spans="1:15" ht="15.75" thickBot="1" x14ac:dyDescent="0.3">
      <c r="A12" s="8" t="s">
        <v>13</v>
      </c>
      <c r="B12" s="7" t="s">
        <v>14</v>
      </c>
      <c r="C12" s="9" t="s">
        <v>15</v>
      </c>
      <c r="D12" s="9" t="s">
        <v>16</v>
      </c>
      <c r="E12" s="9" t="s">
        <v>17</v>
      </c>
      <c r="F12" s="2" t="s">
        <v>18</v>
      </c>
      <c r="G12" s="10"/>
      <c r="H12" s="11"/>
      <c r="J12" s="9" t="s">
        <v>8</v>
      </c>
      <c r="K12" s="9" t="s">
        <v>9</v>
      </c>
      <c r="L12" s="9" t="s">
        <v>10</v>
      </c>
      <c r="M12" s="2" t="s">
        <v>11</v>
      </c>
      <c r="N12" s="11"/>
      <c r="O12" s="11"/>
    </row>
    <row r="13" spans="1:15" x14ac:dyDescent="0.25">
      <c r="A13" s="12">
        <f>'ALL LEVELS'!A13</f>
        <v>1</v>
      </c>
      <c r="B13" s="7" t="str">
        <f>'ALL LEVELS'!B13</f>
        <v>MONDAY</v>
      </c>
      <c r="C13" s="18"/>
      <c r="D13" s="18"/>
      <c r="E13" s="18"/>
      <c r="F13" s="18"/>
      <c r="G13" s="14"/>
      <c r="H13" s="14"/>
      <c r="J13" s="15">
        <f>SUM(C$13:C13)</f>
        <v>0</v>
      </c>
      <c r="K13" s="15">
        <f>SUM(D$13:D13)</f>
        <v>0</v>
      </c>
      <c r="L13" s="15">
        <f>SUM(E$13:E13)</f>
        <v>0</v>
      </c>
      <c r="M13" s="15">
        <f>SUM(F$13:F13)</f>
        <v>0</v>
      </c>
      <c r="N13" s="15"/>
      <c r="O13" s="15"/>
    </row>
    <row r="14" spans="1:15" x14ac:dyDescent="0.25">
      <c r="A14" s="12">
        <f>'ALL LEVELS'!A14</f>
        <v>2</v>
      </c>
      <c r="B14" s="7" t="str">
        <f>'ALL LEVELS'!B14</f>
        <v>TUESDAY</v>
      </c>
      <c r="C14" s="18"/>
      <c r="D14" s="18"/>
      <c r="E14" s="18"/>
      <c r="F14" s="18"/>
      <c r="G14" s="14"/>
      <c r="H14" s="14"/>
      <c r="J14" s="15">
        <f>SUM(C$13:C14)</f>
        <v>0</v>
      </c>
      <c r="K14" s="15">
        <f>SUM(D$13:D14)</f>
        <v>0</v>
      </c>
      <c r="L14" s="15">
        <f>SUM(E$13:E14)</f>
        <v>0</v>
      </c>
      <c r="M14" s="15">
        <f>SUM(F$13:F14)</f>
        <v>0</v>
      </c>
      <c r="N14" s="15"/>
      <c r="O14" s="15"/>
    </row>
    <row r="15" spans="1:15" x14ac:dyDescent="0.25">
      <c r="A15" s="12">
        <f>'ALL LEVELS'!A15</f>
        <v>3</v>
      </c>
      <c r="B15" s="7" t="str">
        <f>'ALL LEVELS'!B15</f>
        <v>WEDNESDAY</v>
      </c>
      <c r="C15" s="18"/>
      <c r="D15" s="18"/>
      <c r="E15" s="18"/>
      <c r="F15" s="18"/>
      <c r="G15" s="14"/>
      <c r="H15" s="14"/>
      <c r="J15" s="15">
        <f>SUM(C$13:C15)</f>
        <v>0</v>
      </c>
      <c r="K15" s="15">
        <f>SUM(D$13:D15)</f>
        <v>0</v>
      </c>
      <c r="L15" s="15">
        <f>SUM(E$13:E15)</f>
        <v>0</v>
      </c>
      <c r="M15" s="15">
        <f>SUM(F$13:F15)</f>
        <v>0</v>
      </c>
      <c r="N15" s="15"/>
      <c r="O15" s="15"/>
    </row>
    <row r="16" spans="1:15" x14ac:dyDescent="0.25">
      <c r="A16" s="12">
        <f>'ALL LEVELS'!A16</f>
        <v>4</v>
      </c>
      <c r="B16" s="7" t="str">
        <f>'ALL LEVELS'!B16</f>
        <v>THURSDAY</v>
      </c>
      <c r="C16" s="18"/>
      <c r="D16" s="18"/>
      <c r="E16" s="18"/>
      <c r="F16" s="18"/>
      <c r="G16" s="14"/>
      <c r="H16" s="14"/>
      <c r="J16" s="15">
        <f>SUM(C$13:C16)</f>
        <v>0</v>
      </c>
      <c r="K16" s="15">
        <f>SUM(D$13:D16)</f>
        <v>0</v>
      </c>
      <c r="L16" s="15">
        <f>SUM(E$13:E16)</f>
        <v>0</v>
      </c>
      <c r="M16" s="15">
        <f>SUM(F$13:F16)</f>
        <v>0</v>
      </c>
      <c r="N16" s="15"/>
      <c r="O16" s="15"/>
    </row>
    <row r="17" spans="1:15" x14ac:dyDescent="0.25">
      <c r="A17" s="12">
        <f>'ALL LEVELS'!A17</f>
        <v>5</v>
      </c>
      <c r="B17" s="7" t="str">
        <f>'ALL LEVELS'!B17</f>
        <v>FRIDAY</v>
      </c>
      <c r="C17" s="18"/>
      <c r="D17" s="18"/>
      <c r="E17" s="18"/>
      <c r="F17" s="18"/>
      <c r="G17" s="14"/>
      <c r="H17" s="14"/>
      <c r="J17" s="15">
        <f>SUM(C$13:C17)</f>
        <v>0</v>
      </c>
      <c r="K17" s="15">
        <f>SUM(D$13:D17)</f>
        <v>0</v>
      </c>
      <c r="L17" s="15">
        <f>SUM(E$13:E17)</f>
        <v>0</v>
      </c>
      <c r="M17" s="15">
        <f>SUM(F$13:F17)</f>
        <v>0</v>
      </c>
      <c r="N17" s="15"/>
      <c r="O17" s="15"/>
    </row>
    <row r="18" spans="1:15" x14ac:dyDescent="0.25">
      <c r="A18" s="12">
        <f>'ALL LEVELS'!A18</f>
        <v>6</v>
      </c>
      <c r="B18" s="7" t="str">
        <f>'ALL LEVELS'!B18</f>
        <v>SATURDAY</v>
      </c>
      <c r="C18" s="18"/>
      <c r="D18" s="18"/>
      <c r="E18" s="18"/>
      <c r="F18" s="18"/>
      <c r="G18" s="14"/>
      <c r="H18" s="14"/>
      <c r="J18" s="15">
        <f>SUM(C$13:C18)</f>
        <v>0</v>
      </c>
      <c r="K18" s="15">
        <f>SUM(D$13:D18)</f>
        <v>0</v>
      </c>
      <c r="L18" s="15">
        <f>SUM(E$13:E18)</f>
        <v>0</v>
      </c>
      <c r="M18" s="15">
        <f>SUM(F$13:F18)</f>
        <v>0</v>
      </c>
      <c r="N18" s="15"/>
      <c r="O18" s="15"/>
    </row>
    <row r="19" spans="1:15" x14ac:dyDescent="0.25">
      <c r="A19" s="12">
        <f>'ALL LEVELS'!A19</f>
        <v>7</v>
      </c>
      <c r="B19" s="7" t="str">
        <f>'ALL LEVELS'!B19</f>
        <v>SUNDAY</v>
      </c>
      <c r="C19" s="18"/>
      <c r="D19" s="18"/>
      <c r="E19" s="18"/>
      <c r="F19" s="18"/>
      <c r="G19" s="14"/>
      <c r="H19" s="14"/>
      <c r="J19" s="15">
        <f>SUM(C$13:C19)</f>
        <v>0</v>
      </c>
      <c r="K19" s="15">
        <f>SUM(D$13:D19)</f>
        <v>0</v>
      </c>
      <c r="L19" s="15">
        <f>SUM(E$13:E19)</f>
        <v>0</v>
      </c>
      <c r="M19" s="15">
        <f>SUM(F$13:F19)</f>
        <v>0</v>
      </c>
      <c r="N19" s="15"/>
      <c r="O19" s="15"/>
    </row>
    <row r="20" spans="1:15" x14ac:dyDescent="0.25">
      <c r="A20" s="12">
        <f>'ALL LEVELS'!A20</f>
        <v>8</v>
      </c>
      <c r="B20" s="7" t="str">
        <f>'ALL LEVELS'!B20</f>
        <v>MONDAY</v>
      </c>
      <c r="C20" s="18"/>
      <c r="D20" s="18"/>
      <c r="E20" s="18"/>
      <c r="F20" s="18"/>
      <c r="G20" s="14"/>
      <c r="H20" s="14"/>
      <c r="J20" s="15">
        <f>SUM(C$13:C20)</f>
        <v>0</v>
      </c>
      <c r="K20" s="15">
        <f>SUM(D$13:D20)</f>
        <v>0</v>
      </c>
      <c r="L20" s="15">
        <f>SUM(E$13:E20)</f>
        <v>0</v>
      </c>
      <c r="M20" s="15">
        <f>SUM(F$13:F20)</f>
        <v>0</v>
      </c>
      <c r="N20" s="15"/>
      <c r="O20" s="15"/>
    </row>
    <row r="21" spans="1:15" x14ac:dyDescent="0.25">
      <c r="A21" s="12">
        <f>'ALL LEVELS'!A21</f>
        <v>9</v>
      </c>
      <c r="B21" s="7" t="str">
        <f>'ALL LEVELS'!B21</f>
        <v>TUESDAY</v>
      </c>
      <c r="C21" s="18"/>
      <c r="D21" s="18"/>
      <c r="E21" s="18"/>
      <c r="F21" s="18"/>
      <c r="G21" s="14"/>
      <c r="H21" s="14"/>
      <c r="J21" s="15">
        <f>SUM(C$13:C21)</f>
        <v>0</v>
      </c>
      <c r="K21" s="15">
        <f>SUM(D$13:D21)</f>
        <v>0</v>
      </c>
      <c r="L21" s="15">
        <f>SUM(E$13:E21)</f>
        <v>0</v>
      </c>
      <c r="M21" s="15">
        <f>SUM(F$13:F21)</f>
        <v>0</v>
      </c>
      <c r="N21" s="15"/>
      <c r="O21" s="15"/>
    </row>
    <row r="22" spans="1:15" x14ac:dyDescent="0.25">
      <c r="A22" s="12">
        <f>'ALL LEVELS'!A22</f>
        <v>10</v>
      </c>
      <c r="B22" s="7" t="str">
        <f>'ALL LEVELS'!B22</f>
        <v>WEDNESDAY</v>
      </c>
      <c r="C22" s="18"/>
      <c r="D22" s="18"/>
      <c r="E22" s="18"/>
      <c r="F22" s="18"/>
      <c r="G22" s="14"/>
      <c r="H22" s="14"/>
      <c r="J22" s="15">
        <f>SUM(C$13:C22)</f>
        <v>0</v>
      </c>
      <c r="K22" s="15">
        <f>SUM(D$13:D22)</f>
        <v>0</v>
      </c>
      <c r="L22" s="15">
        <f>SUM(E$13:E22)</f>
        <v>0</v>
      </c>
      <c r="M22" s="15">
        <f>SUM(F$13:F22)</f>
        <v>0</v>
      </c>
      <c r="N22" s="15"/>
      <c r="O22" s="15"/>
    </row>
    <row r="23" spans="1:15" x14ac:dyDescent="0.25">
      <c r="A23" s="12">
        <f>'ALL LEVELS'!A23</f>
        <v>11</v>
      </c>
      <c r="B23" s="7" t="str">
        <f>'ALL LEVELS'!B23</f>
        <v>THURSDAY</v>
      </c>
      <c r="C23" s="18"/>
      <c r="D23" s="18"/>
      <c r="E23" s="18"/>
      <c r="F23" s="18"/>
      <c r="G23" s="14"/>
      <c r="H23" s="14"/>
      <c r="J23" s="15">
        <f>SUM(C$13:C23)</f>
        <v>0</v>
      </c>
      <c r="K23" s="15">
        <f>SUM(D$13:D23)</f>
        <v>0</v>
      </c>
      <c r="L23" s="15">
        <f>SUM(E$13:E23)</f>
        <v>0</v>
      </c>
      <c r="M23" s="15">
        <f>SUM(F$13:F23)</f>
        <v>0</v>
      </c>
      <c r="N23" s="15"/>
      <c r="O23" s="15"/>
    </row>
    <row r="24" spans="1:15" x14ac:dyDescent="0.25">
      <c r="A24" s="12">
        <f>'ALL LEVELS'!A24</f>
        <v>12</v>
      </c>
      <c r="B24" s="7" t="str">
        <f>'ALL LEVELS'!B24</f>
        <v>FRIDAY</v>
      </c>
      <c r="C24" s="18"/>
      <c r="D24" s="18"/>
      <c r="E24" s="18"/>
      <c r="F24" s="18"/>
      <c r="G24" s="14"/>
      <c r="H24" s="14"/>
      <c r="J24" s="15">
        <f>SUM(C$13:C24)</f>
        <v>0</v>
      </c>
      <c r="K24" s="15">
        <f>SUM(D$13:D24)</f>
        <v>0</v>
      </c>
      <c r="L24" s="15">
        <f>SUM(E$13:E24)</f>
        <v>0</v>
      </c>
      <c r="M24" s="15">
        <f>SUM(F$13:F24)</f>
        <v>0</v>
      </c>
      <c r="N24" s="15"/>
      <c r="O24" s="15"/>
    </row>
    <row r="25" spans="1:15" x14ac:dyDescent="0.25">
      <c r="A25" s="12">
        <f>'ALL LEVELS'!A25</f>
        <v>13</v>
      </c>
      <c r="B25" s="7" t="str">
        <f>'ALL LEVELS'!B25</f>
        <v>SATURDAY</v>
      </c>
      <c r="C25" s="18"/>
      <c r="D25" s="18"/>
      <c r="E25" s="18"/>
      <c r="F25" s="18"/>
      <c r="G25" s="14"/>
      <c r="H25" s="14"/>
      <c r="J25" s="15">
        <f>SUM(C$13:C25)</f>
        <v>0</v>
      </c>
      <c r="K25" s="15">
        <f>SUM(D$13:D25)</f>
        <v>0</v>
      </c>
      <c r="L25" s="15">
        <f>SUM(E$13:E25)</f>
        <v>0</v>
      </c>
      <c r="M25" s="15">
        <f>SUM(F$13:F25)</f>
        <v>0</v>
      </c>
      <c r="N25" s="15"/>
      <c r="O25" s="15"/>
    </row>
    <row r="26" spans="1:15" x14ac:dyDescent="0.25">
      <c r="A26" s="12">
        <f>'ALL LEVELS'!A26</f>
        <v>14</v>
      </c>
      <c r="B26" s="7" t="str">
        <f>'ALL LEVELS'!B26</f>
        <v>SUNDAY</v>
      </c>
      <c r="C26" s="18"/>
      <c r="D26" s="18"/>
      <c r="E26" s="18"/>
      <c r="F26" s="18"/>
      <c r="G26" s="14"/>
      <c r="H26" s="14"/>
      <c r="J26" s="15">
        <f>SUM(C$13:C26)</f>
        <v>0</v>
      </c>
      <c r="K26" s="15">
        <f>SUM(D$13:D26)</f>
        <v>0</v>
      </c>
      <c r="L26" s="15">
        <f>SUM(E$13:E26)</f>
        <v>0</v>
      </c>
      <c r="M26" s="15">
        <f>SUM(F$13:F26)</f>
        <v>0</v>
      </c>
      <c r="N26" s="15"/>
      <c r="O26" s="15"/>
    </row>
    <row r="27" spans="1:15" x14ac:dyDescent="0.25">
      <c r="A27" s="12">
        <f>'ALL LEVELS'!A27</f>
        <v>15</v>
      </c>
      <c r="B27" s="7" t="str">
        <f>'ALL LEVELS'!B27</f>
        <v>MONDAY</v>
      </c>
      <c r="C27" s="18"/>
      <c r="D27" s="18"/>
      <c r="E27" s="18"/>
      <c r="F27" s="18"/>
      <c r="G27" s="14"/>
      <c r="H27" s="14"/>
      <c r="J27" s="15">
        <f>SUM(C$13:C27)</f>
        <v>0</v>
      </c>
      <c r="K27" s="15">
        <f>SUM(D$13:D27)</f>
        <v>0</v>
      </c>
      <c r="L27" s="15">
        <f>SUM(E$13:E27)</f>
        <v>0</v>
      </c>
      <c r="M27" s="15">
        <f>SUM(F$13:F27)</f>
        <v>0</v>
      </c>
      <c r="N27" s="15"/>
      <c r="O27" s="15"/>
    </row>
    <row r="28" spans="1:15" x14ac:dyDescent="0.25">
      <c r="A28" s="12">
        <f>'ALL LEVELS'!A28</f>
        <v>16</v>
      </c>
      <c r="B28" s="7" t="str">
        <f>'ALL LEVELS'!B28</f>
        <v>TUESDAY</v>
      </c>
      <c r="C28" s="18"/>
      <c r="D28" s="18"/>
      <c r="E28" s="18"/>
      <c r="F28" s="18"/>
      <c r="G28" s="14"/>
      <c r="H28" s="14"/>
      <c r="J28" s="15">
        <f>SUM(C$13:C28)</f>
        <v>0</v>
      </c>
      <c r="K28" s="15">
        <f>SUM(D$13:D28)</f>
        <v>0</v>
      </c>
      <c r="L28" s="15">
        <f>SUM(E$13:E28)</f>
        <v>0</v>
      </c>
      <c r="M28" s="15">
        <f>SUM(F$13:F28)</f>
        <v>0</v>
      </c>
      <c r="N28" s="15"/>
      <c r="O28" s="15"/>
    </row>
    <row r="29" spans="1:15" x14ac:dyDescent="0.25">
      <c r="A29" s="12">
        <f>'ALL LEVELS'!A29</f>
        <v>17</v>
      </c>
      <c r="B29" s="7" t="str">
        <f>'ALL LEVELS'!B29</f>
        <v>WEDNESDAY</v>
      </c>
      <c r="C29" s="18"/>
      <c r="D29" s="18"/>
      <c r="E29" s="18"/>
      <c r="F29" s="18"/>
      <c r="G29" s="14"/>
      <c r="H29" s="14"/>
      <c r="J29" s="15">
        <f>SUM(C$13:C29)</f>
        <v>0</v>
      </c>
      <c r="K29" s="15">
        <f>SUM(D$13:D29)</f>
        <v>0</v>
      </c>
      <c r="L29" s="15">
        <f>SUM(E$13:E29)</f>
        <v>0</v>
      </c>
      <c r="M29" s="15">
        <f>SUM(F$13:F29)</f>
        <v>0</v>
      </c>
      <c r="N29" s="15"/>
      <c r="O29" s="15"/>
    </row>
    <row r="30" spans="1:15" x14ac:dyDescent="0.25">
      <c r="A30" s="12">
        <f>'ALL LEVELS'!A30</f>
        <v>18</v>
      </c>
      <c r="B30" s="7" t="str">
        <f>'ALL LEVELS'!B30</f>
        <v>THURSDAY</v>
      </c>
      <c r="C30" s="18"/>
      <c r="D30" s="18"/>
      <c r="E30" s="18"/>
      <c r="F30" s="18"/>
      <c r="G30" s="14"/>
      <c r="H30" s="14"/>
      <c r="J30" s="15">
        <f>SUM(C$13:C30)</f>
        <v>0</v>
      </c>
      <c r="K30" s="15">
        <f>SUM(D$13:D30)</f>
        <v>0</v>
      </c>
      <c r="L30" s="15">
        <f>SUM(E$13:E30)</f>
        <v>0</v>
      </c>
      <c r="M30" s="15">
        <f>SUM(F$13:F30)</f>
        <v>0</v>
      </c>
      <c r="N30" s="15"/>
      <c r="O30" s="15"/>
    </row>
    <row r="31" spans="1:15" x14ac:dyDescent="0.25">
      <c r="A31" s="12">
        <f>'ALL LEVELS'!A31</f>
        <v>19</v>
      </c>
      <c r="B31" s="7" t="str">
        <f>'ALL LEVELS'!B31</f>
        <v>FRIDAY</v>
      </c>
      <c r="C31" s="18"/>
      <c r="D31" s="18"/>
      <c r="E31" s="18"/>
      <c r="F31" s="18"/>
      <c r="G31" s="14"/>
      <c r="H31" s="14"/>
      <c r="J31" s="15">
        <f>SUM(C$13:C31)</f>
        <v>0</v>
      </c>
      <c r="K31" s="15">
        <f>SUM(D$13:D31)</f>
        <v>0</v>
      </c>
      <c r="L31" s="15">
        <f>SUM(E$13:E31)</f>
        <v>0</v>
      </c>
      <c r="M31" s="15">
        <f>SUM(F$13:F31)</f>
        <v>0</v>
      </c>
      <c r="N31" s="15"/>
      <c r="O31" s="15"/>
    </row>
    <row r="32" spans="1:15" x14ac:dyDescent="0.25">
      <c r="A32" s="12">
        <f>'ALL LEVELS'!A32</f>
        <v>20</v>
      </c>
      <c r="B32" s="7" t="str">
        <f>'ALL LEVELS'!B32</f>
        <v>SATURDAY</v>
      </c>
      <c r="C32" s="18"/>
      <c r="D32" s="18"/>
      <c r="E32" s="18"/>
      <c r="F32" s="18"/>
      <c r="G32" s="14"/>
      <c r="H32" s="14"/>
      <c r="J32" s="15">
        <f>SUM(C$13:C32)</f>
        <v>0</v>
      </c>
      <c r="K32" s="15">
        <f>SUM(D$13:D32)</f>
        <v>0</v>
      </c>
      <c r="L32" s="15">
        <f>SUM(E$13:E32)</f>
        <v>0</v>
      </c>
      <c r="M32" s="15">
        <f>SUM(F$13:F32)</f>
        <v>0</v>
      </c>
      <c r="N32" s="15"/>
      <c r="O32" s="15"/>
    </row>
    <row r="33" spans="1:15" x14ac:dyDescent="0.25">
      <c r="A33" s="12">
        <f>'ALL LEVELS'!A33</f>
        <v>21</v>
      </c>
      <c r="B33" s="7" t="str">
        <f>'ALL LEVELS'!B33</f>
        <v>SUNDAY</v>
      </c>
      <c r="C33" s="18"/>
      <c r="D33" s="18"/>
      <c r="E33" s="18"/>
      <c r="F33" s="18"/>
      <c r="G33" s="14"/>
      <c r="H33" s="14"/>
      <c r="J33" s="15">
        <f>SUM(C$13:C33)</f>
        <v>0</v>
      </c>
      <c r="K33" s="15">
        <f>SUM(D$13:D33)</f>
        <v>0</v>
      </c>
      <c r="L33" s="15">
        <f>SUM(E$13:E33)</f>
        <v>0</v>
      </c>
      <c r="M33" s="15">
        <f>SUM(F$13:F33)</f>
        <v>0</v>
      </c>
      <c r="N33" s="15"/>
      <c r="O33" s="15"/>
    </row>
    <row r="34" spans="1:15" x14ac:dyDescent="0.25">
      <c r="A34" s="12">
        <f>'ALL LEVELS'!A34</f>
        <v>22</v>
      </c>
      <c r="B34" s="7" t="str">
        <f>'ALL LEVELS'!B34</f>
        <v>MONDAY</v>
      </c>
      <c r="C34" s="18"/>
      <c r="D34" s="18"/>
      <c r="E34" s="18"/>
      <c r="F34" s="18"/>
      <c r="G34" s="14"/>
      <c r="H34" s="14"/>
      <c r="J34" s="15">
        <f>SUM(C$13:C34)</f>
        <v>0</v>
      </c>
      <c r="K34" s="15">
        <f>SUM(D$13:D34)</f>
        <v>0</v>
      </c>
      <c r="L34" s="15">
        <f>SUM(E$13:E34)</f>
        <v>0</v>
      </c>
      <c r="M34" s="15">
        <f>SUM(F$13:F34)</f>
        <v>0</v>
      </c>
      <c r="N34" s="15"/>
      <c r="O34" s="15"/>
    </row>
    <row r="35" spans="1:15" x14ac:dyDescent="0.25">
      <c r="A35" s="12">
        <f>'ALL LEVELS'!A35</f>
        <v>23</v>
      </c>
      <c r="B35" s="7" t="str">
        <f>'ALL LEVELS'!B32</f>
        <v>SATURDAY</v>
      </c>
      <c r="C35" s="18"/>
      <c r="D35" s="18"/>
      <c r="E35" s="18"/>
      <c r="F35" s="18"/>
      <c r="G35" s="14"/>
      <c r="H35" s="14"/>
      <c r="J35" s="15">
        <f>SUM(C$13:C35)</f>
        <v>0</v>
      </c>
      <c r="K35" s="15">
        <f>SUM(D$13:D35)</f>
        <v>0</v>
      </c>
      <c r="L35" s="15">
        <f>SUM(E$13:E35)</f>
        <v>0</v>
      </c>
      <c r="M35" s="15">
        <f>SUM(F$13:F35)</f>
        <v>0</v>
      </c>
      <c r="N35" s="15"/>
      <c r="O35" s="15"/>
    </row>
    <row r="36" spans="1:15" x14ac:dyDescent="0.25">
      <c r="A36" s="12">
        <f>'ALL LEVELS'!A36</f>
        <v>24</v>
      </c>
      <c r="B36" s="7" t="str">
        <f>'ALL LEVELS'!B33</f>
        <v>SUNDAY</v>
      </c>
      <c r="C36" s="18"/>
      <c r="D36" s="18"/>
      <c r="E36" s="18"/>
      <c r="F36" s="18"/>
      <c r="G36" s="14"/>
      <c r="H36" s="14"/>
      <c r="J36" s="15">
        <f>SUM(C$13:C36)</f>
        <v>0</v>
      </c>
      <c r="K36" s="15">
        <f>SUM(D$13:D36)</f>
        <v>0</v>
      </c>
      <c r="L36" s="15">
        <f>SUM(E$13:E36)</f>
        <v>0</v>
      </c>
      <c r="M36" s="15">
        <f>SUM(F$13:F36)</f>
        <v>0</v>
      </c>
      <c r="N36" s="15"/>
      <c r="O36" s="15"/>
    </row>
    <row r="37" spans="1:15" x14ac:dyDescent="0.25">
      <c r="A37" s="12">
        <f>'ALL LEVELS'!A37</f>
        <v>25</v>
      </c>
      <c r="B37" s="7" t="str">
        <f>'ALL LEVELS'!B34</f>
        <v>MONDAY</v>
      </c>
      <c r="C37" s="18"/>
      <c r="D37" s="18"/>
      <c r="E37" s="18"/>
      <c r="F37" s="18"/>
      <c r="G37" s="14"/>
      <c r="H37" s="14"/>
      <c r="J37" s="15">
        <f>SUM(C$13:C37)</f>
        <v>0</v>
      </c>
      <c r="K37" s="15">
        <f>SUM(D$13:D37)</f>
        <v>0</v>
      </c>
      <c r="L37" s="15">
        <f>SUM(E$13:E37)</f>
        <v>0</v>
      </c>
      <c r="M37" s="15">
        <f>SUM(F$13:F37)</f>
        <v>0</v>
      </c>
      <c r="N37" s="15"/>
      <c r="O37" s="15"/>
    </row>
    <row r="38" spans="1:15" x14ac:dyDescent="0.25">
      <c r="A38" s="12">
        <f>'ALL LEVELS'!A38</f>
        <v>26</v>
      </c>
      <c r="B38" s="7" t="str">
        <f>'ALL LEVELS'!B35</f>
        <v>TUESDAY</v>
      </c>
      <c r="C38" s="18"/>
      <c r="D38" s="18"/>
      <c r="E38" s="18"/>
      <c r="F38" s="18"/>
      <c r="G38" s="14"/>
      <c r="H38" s="14"/>
      <c r="J38" s="15">
        <f>SUM(C$13:C38)</f>
        <v>0</v>
      </c>
      <c r="K38" s="15">
        <f>SUM(D$13:D38)</f>
        <v>0</v>
      </c>
      <c r="L38" s="15">
        <f>SUM(E$13:E38)</f>
        <v>0</v>
      </c>
      <c r="M38" s="15">
        <f>SUM(F$13:F38)</f>
        <v>0</v>
      </c>
      <c r="N38" s="15"/>
      <c r="O38" s="15"/>
    </row>
    <row r="39" spans="1:15" x14ac:dyDescent="0.25">
      <c r="A39" s="12">
        <f>'ALL LEVELS'!A39</f>
        <v>27</v>
      </c>
      <c r="B39" s="7" t="str">
        <f>'ALL LEVELS'!B36</f>
        <v>WEDNESDAY</v>
      </c>
      <c r="C39" s="18"/>
      <c r="D39" s="18"/>
      <c r="E39" s="18"/>
      <c r="F39" s="18"/>
      <c r="G39" s="14"/>
      <c r="H39" s="14"/>
      <c r="J39" s="15">
        <f>SUM(C$13:C39)</f>
        <v>0</v>
      </c>
      <c r="K39" s="15">
        <f>SUM(D$13:D39)</f>
        <v>0</v>
      </c>
      <c r="L39" s="15">
        <f>SUM(E$13:E39)</f>
        <v>0</v>
      </c>
      <c r="M39" s="15">
        <f>SUM(F$13:F39)</f>
        <v>0</v>
      </c>
      <c r="N39" s="15"/>
      <c r="O39" s="15"/>
    </row>
    <row r="40" spans="1:15" x14ac:dyDescent="0.25">
      <c r="A40" s="12">
        <f>'ALL LEVELS'!A40</f>
        <v>28</v>
      </c>
      <c r="B40" s="7" t="str">
        <f>'ALL LEVELS'!B40</f>
        <v>SUNDAY</v>
      </c>
      <c r="C40" s="18"/>
      <c r="D40" s="18"/>
      <c r="E40" s="18"/>
      <c r="F40" s="18"/>
      <c r="G40" s="14"/>
      <c r="H40" s="14"/>
      <c r="J40" s="15">
        <f>SUM(C$13:C40)</f>
        <v>0</v>
      </c>
      <c r="K40" s="15">
        <f>SUM(D$13:D40)</f>
        <v>0</v>
      </c>
      <c r="L40" s="15">
        <f>SUM(E$13:E40)</f>
        <v>0</v>
      </c>
      <c r="M40" s="15">
        <f>SUM(F$13:F40)</f>
        <v>0</v>
      </c>
      <c r="N40" s="15"/>
      <c r="O40" s="15"/>
    </row>
    <row r="41" spans="1:15" x14ac:dyDescent="0.25">
      <c r="A41" s="12">
        <f>'ALL LEVELS'!A41</f>
        <v>29</v>
      </c>
      <c r="B41" s="7" t="str">
        <f>'ALL LEVELS'!B41</f>
        <v>MONDAY</v>
      </c>
      <c r="C41" s="18"/>
      <c r="D41" s="18"/>
      <c r="E41" s="18"/>
      <c r="F41" s="18"/>
      <c r="G41" s="14"/>
      <c r="H41" s="14"/>
      <c r="J41" s="15"/>
      <c r="K41" s="15"/>
      <c r="L41" s="15"/>
      <c r="M41" s="15"/>
      <c r="N41" s="15"/>
      <c r="O41" s="15"/>
    </row>
    <row r="42" spans="1:15" x14ac:dyDescent="0.25">
      <c r="A42" s="12">
        <f>'ALL LEVELS'!A42</f>
        <v>30</v>
      </c>
      <c r="B42" s="7" t="str">
        <f>'ALL LEVELS'!B42</f>
        <v>TUESDAY</v>
      </c>
      <c r="C42" s="18"/>
      <c r="D42" s="18"/>
      <c r="E42" s="18"/>
      <c r="F42" s="18"/>
      <c r="G42" s="14"/>
      <c r="H42" s="14"/>
      <c r="J42" s="15">
        <f>SUM(C$13:C42)</f>
        <v>0</v>
      </c>
      <c r="K42" s="15">
        <f>SUM(D$13:D42)</f>
        <v>0</v>
      </c>
      <c r="L42" s="15">
        <f>SUM(E$13:E42)</f>
        <v>0</v>
      </c>
      <c r="M42" s="15">
        <f>SUM(F$13:F42)</f>
        <v>0</v>
      </c>
      <c r="N42" s="15"/>
      <c r="O42" s="15"/>
    </row>
    <row r="43" spans="1:15" x14ac:dyDescent="0.25">
      <c r="A43" s="12">
        <f>'ALL LEVELS'!A43</f>
        <v>31</v>
      </c>
      <c r="B43" s="7" t="str">
        <f>'ALL LEVELS'!B43</f>
        <v>WEDNESDAY</v>
      </c>
      <c r="C43" s="18"/>
      <c r="D43" s="18"/>
      <c r="E43" s="18"/>
      <c r="F43" s="18"/>
      <c r="G43" s="14"/>
      <c r="H43" s="14"/>
      <c r="J43" s="15">
        <f>SUM(C$13:C43)</f>
        <v>0</v>
      </c>
      <c r="K43" s="15">
        <f>SUM(D$13:D43)</f>
        <v>0</v>
      </c>
      <c r="L43" s="15">
        <f>SUM(E$13:E43)</f>
        <v>0</v>
      </c>
      <c r="M43" s="15">
        <f>SUM(F$13:F43)</f>
        <v>0</v>
      </c>
      <c r="N43" s="15"/>
      <c r="O43" s="15"/>
    </row>
    <row r="44" spans="1:15" x14ac:dyDescent="0.25">
      <c r="C44" s="19">
        <f t="shared" ref="C44:H44" si="0">SUBTOTAL(109,C13:C43)</f>
        <v>0</v>
      </c>
      <c r="D44" s="19">
        <f t="shared" si="0"/>
        <v>0</v>
      </c>
      <c r="E44" s="19">
        <f t="shared" si="0"/>
        <v>0</v>
      </c>
      <c r="F44" s="19">
        <f t="shared" si="0"/>
        <v>0</v>
      </c>
      <c r="G44" s="16">
        <f t="shared" si="0"/>
        <v>0</v>
      </c>
      <c r="H44" s="16">
        <f t="shared" si="0"/>
        <v>0</v>
      </c>
    </row>
  </sheetData>
  <mergeCells count="3">
    <mergeCell ref="C3:D3"/>
    <mergeCell ref="E3:F3"/>
    <mergeCell ref="J11:O11"/>
  </mergeCells>
  <phoneticPr fontId="5" type="noConversion"/>
  <conditionalFormatting sqref="B13:B34 B38:B43">
    <cfRule type="containsText" dxfId="15" priority="2" operator="containsText" text="SUNDAY">
      <formula>NOT(ISERROR(SEARCH("SUNDAY",B13)))</formula>
    </cfRule>
  </conditionalFormatting>
  <conditionalFormatting sqref="B35:B37">
    <cfRule type="containsText" dxfId="14" priority="1" operator="containsText" text="SUNDAY">
      <formula>NOT(ISERROR(SEARCH("SUNDAY",B35)))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O45"/>
  <sheetViews>
    <sheetView zoomScale="115" zoomScaleNormal="115" workbookViewId="0">
      <pane ySplit="10" topLeftCell="A11" activePane="bottomLeft" state="frozen"/>
      <selection pane="bottomLeft" activeCell="C16" sqref="C16"/>
    </sheetView>
  </sheetViews>
  <sheetFormatPr defaultRowHeight="15" x14ac:dyDescent="0.25"/>
  <cols>
    <col min="2" max="2" width="13.5703125" customWidth="1"/>
    <col min="3" max="3" width="14.7109375" bestFit="1" customWidth="1"/>
    <col min="4" max="4" width="10.42578125" bestFit="1" customWidth="1"/>
    <col min="5" max="5" width="18.42578125" bestFit="1" customWidth="1"/>
    <col min="6" max="6" width="15.5703125" bestFit="1" customWidth="1"/>
    <col min="7" max="8" width="11.85546875" customWidth="1"/>
    <col min="9" max="9" width="5.28515625" customWidth="1"/>
    <col min="10" max="15" width="6.85546875" hidden="1" customWidth="1"/>
    <col min="16" max="16" width="8.42578125" customWidth="1"/>
    <col min="17" max="35" width="5.28515625" customWidth="1"/>
  </cols>
  <sheetData>
    <row r="1" spans="1:15" x14ac:dyDescent="0.25">
      <c r="B1" t="s">
        <v>0</v>
      </c>
      <c r="E1" t="s">
        <v>1</v>
      </c>
      <c r="F1" s="1">
        <f>'ALL LEVELS'!F1</f>
        <v>30</v>
      </c>
      <c r="H1" s="20" t="str">
        <f>'ALL LEVELS'!H1</f>
        <v>Month of JUNE 2026</v>
      </c>
    </row>
    <row r="2" spans="1:15" x14ac:dyDescent="0.25">
      <c r="B2" t="s">
        <v>2</v>
      </c>
      <c r="C2" s="1">
        <f>'ALL LEVELS'!C2</f>
        <v>19</v>
      </c>
      <c r="E2" s="23"/>
      <c r="F2" s="23"/>
    </row>
    <row r="3" spans="1:15" ht="15.75" hidden="1" thickBot="1" x14ac:dyDescent="0.3">
      <c r="C3" s="30" t="s">
        <v>3</v>
      </c>
      <c r="D3" s="30"/>
      <c r="E3" s="31" t="s">
        <v>4</v>
      </c>
      <c r="F3" s="31"/>
    </row>
    <row r="4" spans="1:15" ht="15.75" hidden="1" thickBot="1" x14ac:dyDescent="0.3">
      <c r="B4" s="2" t="s">
        <v>5</v>
      </c>
      <c r="C4" s="3" t="s">
        <v>6</v>
      </c>
      <c r="D4" s="3" t="s">
        <v>7</v>
      </c>
      <c r="E4" s="3" t="s">
        <v>6</v>
      </c>
      <c r="F4" s="3" t="s">
        <v>7</v>
      </c>
    </row>
    <row r="5" spans="1:15" ht="15.75" hidden="1" thickBot="1" x14ac:dyDescent="0.3">
      <c r="B5" s="2" t="s">
        <v>8</v>
      </c>
      <c r="C5" s="4"/>
      <c r="D5" s="4"/>
      <c r="E5" s="4"/>
      <c r="F5" s="4"/>
    </row>
    <row r="6" spans="1:15" ht="15.75" hidden="1" thickBot="1" x14ac:dyDescent="0.3">
      <c r="B6" s="2" t="s">
        <v>9</v>
      </c>
      <c r="C6" s="4"/>
      <c r="D6" s="4"/>
      <c r="E6" s="4"/>
      <c r="F6" s="4"/>
    </row>
    <row r="7" spans="1:15" ht="15.75" hidden="1" thickBot="1" x14ac:dyDescent="0.3">
      <c r="B7" s="2" t="s">
        <v>10</v>
      </c>
      <c r="C7" s="4"/>
      <c r="D7" s="4"/>
      <c r="E7" s="4"/>
      <c r="F7" s="4"/>
      <c r="H7" s="5"/>
    </row>
    <row r="8" spans="1:15" ht="15.75" hidden="1" thickBot="1" x14ac:dyDescent="0.3">
      <c r="B8" s="2" t="s">
        <v>11</v>
      </c>
      <c r="C8" s="6"/>
      <c r="D8" s="6"/>
      <c r="E8" s="6"/>
      <c r="F8" s="6"/>
    </row>
    <row r="9" spans="1:15" ht="15.75" hidden="1" thickBot="1" x14ac:dyDescent="0.3">
      <c r="B9" s="2"/>
      <c r="C9" s="6"/>
      <c r="D9" s="6"/>
      <c r="E9" s="6"/>
      <c r="F9" s="6"/>
    </row>
    <row r="10" spans="1:15" ht="15.75" hidden="1" thickBot="1" x14ac:dyDescent="0.3">
      <c r="B10" s="2" t="s">
        <v>12</v>
      </c>
      <c r="C10" s="4"/>
      <c r="D10" s="6"/>
      <c r="E10" s="4"/>
      <c r="F10" s="6"/>
    </row>
    <row r="11" spans="1:15" ht="15.75" thickBot="1" x14ac:dyDescent="0.3">
      <c r="B11" s="7"/>
      <c r="J11" s="32" t="s">
        <v>4</v>
      </c>
      <c r="K11" s="32"/>
      <c r="L11" s="32"/>
      <c r="M11" s="32"/>
      <c r="N11" s="32"/>
      <c r="O11" s="32"/>
    </row>
    <row r="12" spans="1:15" ht="15.75" thickBot="1" x14ac:dyDescent="0.3">
      <c r="A12" s="8" t="s">
        <v>13</v>
      </c>
      <c r="B12" s="7" t="s">
        <v>14</v>
      </c>
      <c r="C12" s="9" t="s">
        <v>15</v>
      </c>
      <c r="D12" s="9" t="s">
        <v>16</v>
      </c>
      <c r="E12" s="9" t="s">
        <v>17</v>
      </c>
      <c r="F12" s="2" t="s">
        <v>18</v>
      </c>
      <c r="G12" s="10"/>
      <c r="H12" s="11"/>
      <c r="J12" s="9" t="s">
        <v>8</v>
      </c>
      <c r="K12" s="9" t="s">
        <v>9</v>
      </c>
      <c r="L12" s="9" t="s">
        <v>10</v>
      </c>
      <c r="M12" s="2" t="s">
        <v>11</v>
      </c>
      <c r="N12" s="11"/>
      <c r="O12" s="11"/>
    </row>
    <row r="13" spans="1:15" x14ac:dyDescent="0.25">
      <c r="A13" s="12">
        <f>'ALL LEVELS'!A13</f>
        <v>1</v>
      </c>
      <c r="B13" s="12" t="str">
        <f>'ALL LEVELS'!B13</f>
        <v>MONDAY</v>
      </c>
      <c r="C13" s="18"/>
      <c r="D13" s="18"/>
      <c r="E13" s="18"/>
      <c r="F13" s="18"/>
      <c r="G13" s="14"/>
      <c r="H13" s="14"/>
      <c r="J13" s="15">
        <f>SUM(C$13:C13)</f>
        <v>0</v>
      </c>
      <c r="K13" s="15">
        <f>SUM(D$13:D13)</f>
        <v>0</v>
      </c>
      <c r="L13" s="15">
        <f>SUM(E$13:E13)</f>
        <v>0</v>
      </c>
      <c r="M13" s="15">
        <f>SUM(F$13:F13)</f>
        <v>0</v>
      </c>
      <c r="N13" s="15"/>
      <c r="O13" s="15"/>
    </row>
    <row r="14" spans="1:15" x14ac:dyDescent="0.25">
      <c r="A14" s="12">
        <f>'ALL LEVELS'!A14</f>
        <v>2</v>
      </c>
      <c r="B14" s="12" t="str">
        <f>'ALL LEVELS'!B14</f>
        <v>TUESDAY</v>
      </c>
      <c r="C14" s="18"/>
      <c r="D14" s="18"/>
      <c r="E14" s="18"/>
      <c r="F14" s="18"/>
      <c r="G14" s="14"/>
      <c r="H14" s="14"/>
      <c r="J14" s="15">
        <f>SUM(C$13:C14)</f>
        <v>0</v>
      </c>
      <c r="K14" s="15">
        <f>SUM(D$13:D14)</f>
        <v>0</v>
      </c>
      <c r="L14" s="15">
        <f>SUM(E$13:E14)</f>
        <v>0</v>
      </c>
      <c r="M14" s="15">
        <f>SUM(F$13:F14)</f>
        <v>0</v>
      </c>
      <c r="N14" s="15"/>
      <c r="O14" s="15"/>
    </row>
    <row r="15" spans="1:15" x14ac:dyDescent="0.25">
      <c r="A15" s="12">
        <f>'ALL LEVELS'!A15</f>
        <v>3</v>
      </c>
      <c r="B15" s="12" t="str">
        <f>'ALL LEVELS'!B15</f>
        <v>WEDNESDAY</v>
      </c>
      <c r="C15" s="18"/>
      <c r="D15" s="18"/>
      <c r="E15" s="18"/>
      <c r="F15" s="18"/>
      <c r="G15" s="14"/>
      <c r="H15" s="14"/>
      <c r="J15" s="15">
        <f>SUM(C$13:C15)</f>
        <v>0</v>
      </c>
      <c r="K15" s="15">
        <f>SUM(D$13:D15)</f>
        <v>0</v>
      </c>
      <c r="L15" s="15">
        <f>SUM(E$13:E15)</f>
        <v>0</v>
      </c>
      <c r="M15" s="15">
        <f>SUM(F$13:F15)</f>
        <v>0</v>
      </c>
      <c r="N15" s="15"/>
      <c r="O15" s="15"/>
    </row>
    <row r="16" spans="1:15" x14ac:dyDescent="0.25">
      <c r="A16" s="12">
        <f>'ALL LEVELS'!A16</f>
        <v>4</v>
      </c>
      <c r="B16" s="12" t="str">
        <f>'ALL LEVELS'!B16</f>
        <v>THURSDAY</v>
      </c>
      <c r="C16" s="18"/>
      <c r="D16" s="18"/>
      <c r="E16" s="18"/>
      <c r="F16" s="18"/>
      <c r="G16" s="14"/>
      <c r="H16" s="14"/>
      <c r="J16" s="15">
        <f>SUM(C$13:C16)</f>
        <v>0</v>
      </c>
      <c r="K16" s="15">
        <f>SUM(D$13:D16)</f>
        <v>0</v>
      </c>
      <c r="L16" s="15">
        <f>SUM(E$13:E16)</f>
        <v>0</v>
      </c>
      <c r="M16" s="15">
        <f>SUM(F$13:F16)</f>
        <v>0</v>
      </c>
      <c r="N16" s="15"/>
      <c r="O16" s="15"/>
    </row>
    <row r="17" spans="1:15" x14ac:dyDescent="0.25">
      <c r="A17" s="12">
        <f>'ALL LEVELS'!A17</f>
        <v>5</v>
      </c>
      <c r="B17" s="12" t="str">
        <f>'ALL LEVELS'!B17</f>
        <v>FRIDAY</v>
      </c>
      <c r="C17" s="18"/>
      <c r="D17" s="18"/>
      <c r="E17" s="18"/>
      <c r="F17" s="18"/>
      <c r="G17" s="14"/>
      <c r="H17" s="14"/>
      <c r="J17" s="15">
        <f>SUM(C$13:C17)</f>
        <v>0</v>
      </c>
      <c r="K17" s="15">
        <f>SUM(D$13:D17)</f>
        <v>0</v>
      </c>
      <c r="L17" s="15">
        <f>SUM(E$13:E17)</f>
        <v>0</v>
      </c>
      <c r="M17" s="15">
        <f>SUM(F$13:F17)</f>
        <v>0</v>
      </c>
      <c r="N17" s="15"/>
      <c r="O17" s="15"/>
    </row>
    <row r="18" spans="1:15" x14ac:dyDescent="0.25">
      <c r="A18" s="12">
        <f>'ALL LEVELS'!A18</f>
        <v>6</v>
      </c>
      <c r="B18" s="12" t="str">
        <f>'ALL LEVELS'!B18</f>
        <v>SATURDAY</v>
      </c>
      <c r="C18" s="18"/>
      <c r="D18" s="18"/>
      <c r="E18" s="18"/>
      <c r="F18" s="18"/>
      <c r="G18" s="14"/>
      <c r="H18" s="14"/>
      <c r="J18" s="15">
        <f>SUM(C$13:C18)</f>
        <v>0</v>
      </c>
      <c r="K18" s="15">
        <f>SUM(D$13:D18)</f>
        <v>0</v>
      </c>
      <c r="L18" s="15">
        <f>SUM(E$13:E18)</f>
        <v>0</v>
      </c>
      <c r="M18" s="15">
        <f>SUM(F$13:F18)</f>
        <v>0</v>
      </c>
      <c r="N18" s="15"/>
      <c r="O18" s="15"/>
    </row>
    <row r="19" spans="1:15" x14ac:dyDescent="0.25">
      <c r="A19" s="12">
        <f>'ALL LEVELS'!A19</f>
        <v>7</v>
      </c>
      <c r="B19" s="12" t="str">
        <f>'ALL LEVELS'!B19</f>
        <v>SUNDAY</v>
      </c>
      <c r="C19" s="18"/>
      <c r="D19" s="18"/>
      <c r="E19" s="18"/>
      <c r="F19" s="18"/>
      <c r="G19" s="14"/>
      <c r="H19" s="14"/>
      <c r="J19" s="15">
        <f>SUM(C$13:C19)</f>
        <v>0</v>
      </c>
      <c r="K19" s="15">
        <f>SUM(D$13:D19)</f>
        <v>0</v>
      </c>
      <c r="L19" s="15">
        <f>SUM(E$13:E19)</f>
        <v>0</v>
      </c>
      <c r="M19" s="15">
        <f>SUM(F$13:F19)</f>
        <v>0</v>
      </c>
      <c r="N19" s="15"/>
      <c r="O19" s="15"/>
    </row>
    <row r="20" spans="1:15" x14ac:dyDescent="0.25">
      <c r="A20" s="12">
        <f>'ALL LEVELS'!A20</f>
        <v>8</v>
      </c>
      <c r="B20" s="12" t="str">
        <f>'ALL LEVELS'!B20</f>
        <v>MONDAY</v>
      </c>
      <c r="C20" s="18"/>
      <c r="D20" s="18"/>
      <c r="E20" s="18"/>
      <c r="F20" s="18"/>
      <c r="G20" s="14"/>
      <c r="H20" s="14"/>
      <c r="J20" s="15">
        <f>SUM(C$13:C20)</f>
        <v>0</v>
      </c>
      <c r="K20" s="15">
        <f>SUM(D$13:D20)</f>
        <v>0</v>
      </c>
      <c r="L20" s="15">
        <f>SUM(E$13:E20)</f>
        <v>0</v>
      </c>
      <c r="M20" s="15">
        <f>SUM(F$13:F20)</f>
        <v>0</v>
      </c>
      <c r="N20" s="15"/>
      <c r="O20" s="15"/>
    </row>
    <row r="21" spans="1:15" x14ac:dyDescent="0.25">
      <c r="A21" s="12">
        <f>'ALL LEVELS'!A21</f>
        <v>9</v>
      </c>
      <c r="B21" s="12" t="str">
        <f>'ALL LEVELS'!B21</f>
        <v>TUESDAY</v>
      </c>
      <c r="C21" s="18"/>
      <c r="D21" s="18"/>
      <c r="E21" s="18"/>
      <c r="F21" s="18"/>
      <c r="G21" s="14"/>
      <c r="H21" s="14"/>
      <c r="J21" s="15">
        <f>SUM(C$13:C21)</f>
        <v>0</v>
      </c>
      <c r="K21" s="15">
        <f>SUM(D$13:D21)</f>
        <v>0</v>
      </c>
      <c r="L21" s="15">
        <f>SUM(E$13:E21)</f>
        <v>0</v>
      </c>
      <c r="M21" s="15">
        <f>SUM(F$13:F21)</f>
        <v>0</v>
      </c>
      <c r="N21" s="15"/>
      <c r="O21" s="15"/>
    </row>
    <row r="22" spans="1:15" x14ac:dyDescent="0.25">
      <c r="A22" s="12">
        <f>'ALL LEVELS'!A22</f>
        <v>10</v>
      </c>
      <c r="B22" s="12" t="str">
        <f>'ALL LEVELS'!B22</f>
        <v>WEDNESDAY</v>
      </c>
      <c r="C22" s="18"/>
      <c r="D22" s="18"/>
      <c r="E22" s="18"/>
      <c r="F22" s="18"/>
      <c r="G22" s="14"/>
      <c r="H22" s="14"/>
      <c r="J22" s="15">
        <f>SUM(C$13:C22)</f>
        <v>0</v>
      </c>
      <c r="K22" s="15">
        <f>SUM(D$13:D22)</f>
        <v>0</v>
      </c>
      <c r="L22" s="15">
        <f>SUM(E$13:E22)</f>
        <v>0</v>
      </c>
      <c r="M22" s="15">
        <f>SUM(F$13:F22)</f>
        <v>0</v>
      </c>
      <c r="N22" s="15"/>
      <c r="O22" s="15"/>
    </row>
    <row r="23" spans="1:15" x14ac:dyDescent="0.25">
      <c r="A23" s="12">
        <f>'ALL LEVELS'!A23</f>
        <v>11</v>
      </c>
      <c r="B23" s="12" t="str">
        <f>'ALL LEVELS'!B23</f>
        <v>THURSDAY</v>
      </c>
      <c r="C23" s="18"/>
      <c r="D23" s="18"/>
      <c r="E23" s="18"/>
      <c r="F23" s="18"/>
      <c r="G23" s="14"/>
      <c r="H23" s="14"/>
      <c r="J23" s="15">
        <f>SUM(C$13:C23)</f>
        <v>0</v>
      </c>
      <c r="K23" s="15">
        <f>SUM(D$13:D23)</f>
        <v>0</v>
      </c>
      <c r="L23" s="15">
        <f>SUM(E$13:E23)</f>
        <v>0</v>
      </c>
      <c r="M23" s="15">
        <f>SUM(F$13:F23)</f>
        <v>0</v>
      </c>
      <c r="N23" s="15"/>
      <c r="O23" s="15"/>
    </row>
    <row r="24" spans="1:15" x14ac:dyDescent="0.25">
      <c r="A24" s="12">
        <f>'ALL LEVELS'!A24</f>
        <v>12</v>
      </c>
      <c r="B24" s="12" t="str">
        <f>'ALL LEVELS'!B24</f>
        <v>FRIDAY</v>
      </c>
      <c r="C24" s="18"/>
      <c r="D24" s="18"/>
      <c r="E24" s="18"/>
      <c r="F24" s="18"/>
      <c r="G24" s="14"/>
      <c r="H24" s="14"/>
      <c r="J24" s="15">
        <f>SUM(C$13:C24)</f>
        <v>0</v>
      </c>
      <c r="K24" s="15">
        <f>SUM(D$13:D24)</f>
        <v>0</v>
      </c>
      <c r="L24" s="15">
        <f>SUM(E$13:E24)</f>
        <v>0</v>
      </c>
      <c r="M24" s="15">
        <f>SUM(F$13:F24)</f>
        <v>0</v>
      </c>
      <c r="N24" s="15"/>
      <c r="O24" s="15"/>
    </row>
    <row r="25" spans="1:15" x14ac:dyDescent="0.25">
      <c r="A25" s="12">
        <f>'ALL LEVELS'!A25</f>
        <v>13</v>
      </c>
      <c r="B25" s="12" t="str">
        <f>'ALL LEVELS'!B25</f>
        <v>SATURDAY</v>
      </c>
      <c r="C25" s="18"/>
      <c r="D25" s="18"/>
      <c r="E25" s="18"/>
      <c r="F25" s="18"/>
      <c r="G25" s="14"/>
      <c r="H25" s="14"/>
      <c r="J25" s="15">
        <f>SUM(C$13:C25)</f>
        <v>0</v>
      </c>
      <c r="K25" s="15">
        <f>SUM(D$13:D25)</f>
        <v>0</v>
      </c>
      <c r="L25" s="15">
        <f>SUM(E$13:E25)</f>
        <v>0</v>
      </c>
      <c r="M25" s="15">
        <f>SUM(F$13:F25)</f>
        <v>0</v>
      </c>
      <c r="N25" s="15"/>
      <c r="O25" s="15"/>
    </row>
    <row r="26" spans="1:15" x14ac:dyDescent="0.25">
      <c r="A26" s="12">
        <f>'ALL LEVELS'!A26</f>
        <v>14</v>
      </c>
      <c r="B26" s="12" t="str">
        <f>'ALL LEVELS'!B26</f>
        <v>SUNDAY</v>
      </c>
      <c r="C26" s="18"/>
      <c r="D26" s="18"/>
      <c r="E26" s="18"/>
      <c r="F26" s="18"/>
      <c r="G26" s="14"/>
      <c r="H26" s="14"/>
      <c r="J26" s="15">
        <f>SUM(C$13:C26)</f>
        <v>0</v>
      </c>
      <c r="K26" s="15">
        <f>SUM(D$13:D26)</f>
        <v>0</v>
      </c>
      <c r="L26" s="15">
        <f>SUM(E$13:E26)</f>
        <v>0</v>
      </c>
      <c r="M26" s="15">
        <f>SUM(F$13:F26)</f>
        <v>0</v>
      </c>
      <c r="N26" s="15"/>
      <c r="O26" s="15"/>
    </row>
    <row r="27" spans="1:15" x14ac:dyDescent="0.25">
      <c r="A27" s="12">
        <f>'ALL LEVELS'!A27</f>
        <v>15</v>
      </c>
      <c r="B27" s="12" t="str">
        <f>'ALL LEVELS'!B27</f>
        <v>MONDAY</v>
      </c>
      <c r="C27" s="18"/>
      <c r="D27" s="18"/>
      <c r="E27" s="18"/>
      <c r="F27" s="18"/>
      <c r="G27" s="14"/>
      <c r="H27" s="14"/>
      <c r="J27" s="15">
        <f>SUM(C$13:C27)</f>
        <v>0</v>
      </c>
      <c r="K27" s="15">
        <f>SUM(D$13:D27)</f>
        <v>0</v>
      </c>
      <c r="L27" s="15">
        <f>SUM(E$13:E27)</f>
        <v>0</v>
      </c>
      <c r="M27" s="15">
        <f>SUM(F$13:F27)</f>
        <v>0</v>
      </c>
      <c r="N27" s="15"/>
      <c r="O27" s="15"/>
    </row>
    <row r="28" spans="1:15" x14ac:dyDescent="0.25">
      <c r="A28" s="12">
        <f>'ALL LEVELS'!A28</f>
        <v>16</v>
      </c>
      <c r="B28" s="12" t="str">
        <f>'ALL LEVELS'!B28</f>
        <v>TUESDAY</v>
      </c>
      <c r="C28" s="18"/>
      <c r="D28" s="18"/>
      <c r="E28" s="18"/>
      <c r="F28" s="18"/>
      <c r="G28" s="14"/>
      <c r="H28" s="14"/>
      <c r="J28" s="15">
        <f>SUM(C$13:C28)</f>
        <v>0</v>
      </c>
      <c r="K28" s="15">
        <f>SUM(D$13:D28)</f>
        <v>0</v>
      </c>
      <c r="L28" s="15">
        <f>SUM(E$13:E28)</f>
        <v>0</v>
      </c>
      <c r="M28" s="15">
        <f>SUM(F$13:F28)</f>
        <v>0</v>
      </c>
      <c r="N28" s="15"/>
      <c r="O28" s="15"/>
    </row>
    <row r="29" spans="1:15" x14ac:dyDescent="0.25">
      <c r="A29" s="12">
        <f>'ALL LEVELS'!A29</f>
        <v>17</v>
      </c>
      <c r="B29" s="12" t="str">
        <f>'ALL LEVELS'!B29</f>
        <v>WEDNESDAY</v>
      </c>
      <c r="C29" s="18"/>
      <c r="D29" s="18"/>
      <c r="E29" s="18"/>
      <c r="F29" s="18"/>
      <c r="G29" s="14"/>
      <c r="H29" s="14"/>
      <c r="J29" s="15">
        <f>SUM(C$13:C29)</f>
        <v>0</v>
      </c>
      <c r="K29" s="15">
        <f>SUM(D$13:D29)</f>
        <v>0</v>
      </c>
      <c r="L29" s="15">
        <f>SUM(E$13:E29)</f>
        <v>0</v>
      </c>
      <c r="M29" s="15">
        <f>SUM(F$13:F29)</f>
        <v>0</v>
      </c>
      <c r="N29" s="15"/>
      <c r="O29" s="15"/>
    </row>
    <row r="30" spans="1:15" x14ac:dyDescent="0.25">
      <c r="A30" s="12">
        <f>'ALL LEVELS'!A30</f>
        <v>18</v>
      </c>
      <c r="B30" s="12" t="str">
        <f>'ALL LEVELS'!B30</f>
        <v>THURSDAY</v>
      </c>
      <c r="C30" s="18"/>
      <c r="D30" s="18"/>
      <c r="E30" s="18"/>
      <c r="F30" s="18"/>
      <c r="G30" s="14"/>
      <c r="H30" s="14"/>
      <c r="J30" s="15">
        <f>SUM(C$13:C30)</f>
        <v>0</v>
      </c>
      <c r="K30" s="15">
        <f>SUM(D$13:D30)</f>
        <v>0</v>
      </c>
      <c r="L30" s="15">
        <f>SUM(E$13:E30)</f>
        <v>0</v>
      </c>
      <c r="M30" s="15">
        <f>SUM(F$13:F30)</f>
        <v>0</v>
      </c>
      <c r="N30" s="15"/>
      <c r="O30" s="15"/>
    </row>
    <row r="31" spans="1:15" x14ac:dyDescent="0.25">
      <c r="A31" s="12">
        <f>'ALL LEVELS'!A31</f>
        <v>19</v>
      </c>
      <c r="B31" s="12" t="str">
        <f>'ALL LEVELS'!B31</f>
        <v>FRIDAY</v>
      </c>
      <c r="C31" s="18"/>
      <c r="D31" s="18"/>
      <c r="E31" s="18"/>
      <c r="F31" s="18"/>
      <c r="G31" s="14"/>
      <c r="H31" s="14"/>
      <c r="J31" s="15">
        <f>SUM(C$13:C31)</f>
        <v>0</v>
      </c>
      <c r="K31" s="15">
        <f>SUM(D$13:D31)</f>
        <v>0</v>
      </c>
      <c r="L31" s="15">
        <f>SUM(E$13:E31)</f>
        <v>0</v>
      </c>
      <c r="M31" s="15">
        <f>SUM(F$13:F31)</f>
        <v>0</v>
      </c>
      <c r="N31" s="15"/>
      <c r="O31" s="15"/>
    </row>
    <row r="32" spans="1:15" x14ac:dyDescent="0.25">
      <c r="A32" s="12">
        <f>'ALL LEVELS'!A32</f>
        <v>20</v>
      </c>
      <c r="B32" s="12" t="str">
        <f>'ALL LEVELS'!B32</f>
        <v>SATURDAY</v>
      </c>
      <c r="C32" s="18"/>
      <c r="D32" s="18"/>
      <c r="E32" s="18"/>
      <c r="F32" s="18"/>
      <c r="G32" s="14"/>
      <c r="H32" s="14"/>
      <c r="J32" s="15">
        <f>SUM(C$13:C32)</f>
        <v>0</v>
      </c>
      <c r="K32" s="15">
        <f>SUM(D$13:D32)</f>
        <v>0</v>
      </c>
      <c r="L32" s="15">
        <f>SUM(E$13:E32)</f>
        <v>0</v>
      </c>
      <c r="M32" s="15">
        <f>SUM(F$13:F32)</f>
        <v>0</v>
      </c>
      <c r="N32" s="15"/>
      <c r="O32" s="15"/>
    </row>
    <row r="33" spans="1:15" x14ac:dyDescent="0.25">
      <c r="A33" s="12">
        <f>'ALL LEVELS'!A33</f>
        <v>21</v>
      </c>
      <c r="B33" s="12" t="str">
        <f>'ALL LEVELS'!B33</f>
        <v>SUNDAY</v>
      </c>
      <c r="C33" s="18"/>
      <c r="D33" s="18"/>
      <c r="E33" s="18"/>
      <c r="F33" s="18"/>
      <c r="G33" s="14"/>
      <c r="H33" s="14"/>
      <c r="J33" s="15">
        <f>SUM(C$13:C33)</f>
        <v>0</v>
      </c>
      <c r="K33" s="15">
        <f>SUM(D$13:D33)</f>
        <v>0</v>
      </c>
      <c r="L33" s="15">
        <f>SUM(E$13:E33)</f>
        <v>0</v>
      </c>
      <c r="M33" s="15">
        <f>SUM(F$13:F33)</f>
        <v>0</v>
      </c>
      <c r="N33" s="15"/>
      <c r="O33" s="15"/>
    </row>
    <row r="34" spans="1:15" x14ac:dyDescent="0.25">
      <c r="A34" s="12">
        <f>'ALL LEVELS'!A34</f>
        <v>22</v>
      </c>
      <c r="B34" s="12" t="str">
        <f>'ALL LEVELS'!B34</f>
        <v>MONDAY</v>
      </c>
      <c r="C34" s="18"/>
      <c r="D34" s="18"/>
      <c r="E34" s="18"/>
      <c r="F34" s="18"/>
      <c r="G34" s="14"/>
      <c r="H34" s="14"/>
      <c r="J34" s="15">
        <f>SUM(C$13:C34)</f>
        <v>0</v>
      </c>
      <c r="K34" s="15">
        <f>SUM(D$13:D34)</f>
        <v>0</v>
      </c>
      <c r="L34" s="15">
        <f>SUM(E$13:E34)</f>
        <v>0</v>
      </c>
      <c r="M34" s="15">
        <f>SUM(F$13:F34)</f>
        <v>0</v>
      </c>
      <c r="N34" s="15"/>
      <c r="O34" s="15"/>
    </row>
    <row r="35" spans="1:15" x14ac:dyDescent="0.25">
      <c r="A35" s="12">
        <f>'ALL LEVELS'!A35</f>
        <v>23</v>
      </c>
      <c r="B35" s="12" t="str">
        <f>'ALL LEVELS'!B35</f>
        <v>TUESDAY</v>
      </c>
      <c r="C35" s="18"/>
      <c r="D35" s="18"/>
      <c r="E35" s="18"/>
      <c r="F35" s="18"/>
      <c r="G35" s="14"/>
      <c r="H35" s="14"/>
      <c r="J35" s="15">
        <f>SUM(C$13:C35)</f>
        <v>0</v>
      </c>
      <c r="K35" s="15">
        <f>SUM(D$13:D35)</f>
        <v>0</v>
      </c>
      <c r="L35" s="15">
        <f>SUM(E$13:E35)</f>
        <v>0</v>
      </c>
      <c r="M35" s="15">
        <f>SUM(F$13:F35)</f>
        <v>0</v>
      </c>
      <c r="N35" s="15"/>
      <c r="O35" s="15"/>
    </row>
    <row r="36" spans="1:15" x14ac:dyDescent="0.25">
      <c r="A36" s="12">
        <f>'ALL LEVELS'!A36</f>
        <v>24</v>
      </c>
      <c r="B36" s="12" t="str">
        <f>'ALL LEVELS'!B33</f>
        <v>SUNDAY</v>
      </c>
      <c r="C36" s="18"/>
      <c r="D36" s="18"/>
      <c r="E36" s="18"/>
      <c r="F36" s="18"/>
      <c r="G36" s="14"/>
      <c r="H36" s="14"/>
      <c r="J36" s="15">
        <f>SUM(C$13:C36)</f>
        <v>0</v>
      </c>
      <c r="K36" s="15">
        <f>SUM(D$13:D36)</f>
        <v>0</v>
      </c>
      <c r="L36" s="15">
        <f>SUM(E$13:E36)</f>
        <v>0</v>
      </c>
      <c r="M36" s="15">
        <f>SUM(F$13:F36)</f>
        <v>0</v>
      </c>
      <c r="N36" s="15"/>
      <c r="O36" s="15"/>
    </row>
    <row r="37" spans="1:15" x14ac:dyDescent="0.25">
      <c r="A37" s="12">
        <f>'ALL LEVELS'!A37</f>
        <v>25</v>
      </c>
      <c r="B37" s="12" t="str">
        <f>'ALL LEVELS'!B34</f>
        <v>MONDAY</v>
      </c>
      <c r="C37" s="18"/>
      <c r="D37" s="18"/>
      <c r="E37" s="18"/>
      <c r="F37" s="18"/>
      <c r="G37" s="14"/>
      <c r="H37" s="14"/>
      <c r="J37" s="15">
        <f>SUM(C$13:C37)</f>
        <v>0</v>
      </c>
      <c r="K37" s="15">
        <f>SUM(D$13:D37)</f>
        <v>0</v>
      </c>
      <c r="L37" s="15">
        <f>SUM(E$13:E37)</f>
        <v>0</v>
      </c>
      <c r="M37" s="15">
        <f>SUM(F$13:F37)</f>
        <v>0</v>
      </c>
      <c r="N37" s="15"/>
      <c r="O37" s="15"/>
    </row>
    <row r="38" spans="1:15" x14ac:dyDescent="0.25">
      <c r="A38" s="12">
        <f>'ALL LEVELS'!A38</f>
        <v>26</v>
      </c>
      <c r="B38" s="12" t="str">
        <f>'ALL LEVELS'!B35</f>
        <v>TUESDAY</v>
      </c>
      <c r="C38" s="18"/>
      <c r="D38" s="18"/>
      <c r="E38" s="18"/>
      <c r="F38" s="18"/>
      <c r="G38" s="14"/>
      <c r="H38" s="14"/>
      <c r="J38" s="15">
        <f>SUM(C$13:C38)</f>
        <v>0</v>
      </c>
      <c r="K38" s="15">
        <f>SUM(D$13:D38)</f>
        <v>0</v>
      </c>
      <c r="L38" s="15">
        <f>SUM(E$13:E38)</f>
        <v>0</v>
      </c>
      <c r="M38" s="15">
        <f>SUM(F$13:F38)</f>
        <v>0</v>
      </c>
      <c r="N38" s="15"/>
      <c r="O38" s="15"/>
    </row>
    <row r="39" spans="1:15" x14ac:dyDescent="0.25">
      <c r="A39" s="12">
        <f>'ALL LEVELS'!A39</f>
        <v>27</v>
      </c>
      <c r="B39" s="12" t="str">
        <f>'ALL LEVELS'!B36</f>
        <v>WEDNESDAY</v>
      </c>
      <c r="C39" s="18"/>
      <c r="D39" s="18"/>
      <c r="E39" s="18"/>
      <c r="F39" s="18"/>
      <c r="G39" s="14"/>
      <c r="H39" s="14"/>
      <c r="J39" s="15">
        <f>SUM(C$13:C39)</f>
        <v>0</v>
      </c>
      <c r="K39" s="15">
        <f>SUM(D$13:D39)</f>
        <v>0</v>
      </c>
      <c r="L39" s="15">
        <f>SUM(E$13:E39)</f>
        <v>0</v>
      </c>
      <c r="M39" s="15">
        <f>SUM(F$13:F39)</f>
        <v>0</v>
      </c>
      <c r="N39" s="15"/>
      <c r="O39" s="15"/>
    </row>
    <row r="40" spans="1:15" x14ac:dyDescent="0.25">
      <c r="A40" s="12">
        <f>'ALL LEVELS'!A40</f>
        <v>28</v>
      </c>
      <c r="B40" s="12" t="str">
        <f>'ALL LEVELS'!B40</f>
        <v>SUNDAY</v>
      </c>
      <c r="C40" s="18"/>
      <c r="D40" s="18"/>
      <c r="E40" s="18"/>
      <c r="F40" s="18"/>
      <c r="G40" s="14"/>
      <c r="H40" s="14"/>
      <c r="J40" s="15">
        <f>SUM(C$13:C40)</f>
        <v>0</v>
      </c>
      <c r="K40" s="15">
        <f>SUM(D$13:D40)</f>
        <v>0</v>
      </c>
      <c r="L40" s="15">
        <f>SUM(E$13:E40)</f>
        <v>0</v>
      </c>
      <c r="M40" s="15">
        <f>SUM(F$13:F40)</f>
        <v>0</v>
      </c>
      <c r="N40" s="15"/>
      <c r="O40" s="15"/>
    </row>
    <row r="41" spans="1:15" x14ac:dyDescent="0.25">
      <c r="A41" s="12">
        <f>'ALL LEVELS'!A41</f>
        <v>29</v>
      </c>
      <c r="B41" s="12" t="str">
        <f>'ALL LEVELS'!B41</f>
        <v>MONDAY</v>
      </c>
      <c r="C41" s="18"/>
      <c r="D41" s="18"/>
      <c r="E41" s="18"/>
      <c r="F41" s="18"/>
      <c r="G41" s="14"/>
      <c r="H41" s="14"/>
      <c r="J41" s="15"/>
      <c r="K41" s="15"/>
      <c r="L41" s="15"/>
      <c r="M41" s="15"/>
      <c r="N41" s="15"/>
      <c r="O41" s="15"/>
    </row>
    <row r="42" spans="1:15" x14ac:dyDescent="0.25">
      <c r="A42" s="12">
        <f>'ALL LEVELS'!A42</f>
        <v>30</v>
      </c>
      <c r="B42" s="12" t="str">
        <f>'ALL LEVELS'!B42</f>
        <v>TUESDAY</v>
      </c>
      <c r="C42" s="18"/>
      <c r="D42" s="18"/>
      <c r="E42" s="18"/>
      <c r="F42" s="18"/>
      <c r="G42" s="14"/>
      <c r="H42" s="14"/>
      <c r="J42" s="15">
        <f>SUM(C$13:C42)</f>
        <v>0</v>
      </c>
      <c r="K42" s="15">
        <f>SUM(D$13:D42)</f>
        <v>0</v>
      </c>
      <c r="L42" s="15">
        <f>SUM(E$13:E42)</f>
        <v>0</v>
      </c>
      <c r="M42" s="15">
        <f>SUM(F$13:F42)</f>
        <v>0</v>
      </c>
      <c r="N42" s="15"/>
      <c r="O42" s="15"/>
    </row>
    <row r="43" spans="1:15" x14ac:dyDescent="0.25">
      <c r="A43" s="12">
        <f>'ALL LEVELS'!A43</f>
        <v>31</v>
      </c>
      <c r="B43" s="12" t="str">
        <f>'ALL LEVELS'!B43</f>
        <v>WEDNESDAY</v>
      </c>
      <c r="C43" s="18"/>
      <c r="D43" s="18"/>
      <c r="E43" s="18"/>
      <c r="F43" s="18"/>
      <c r="G43" s="14"/>
      <c r="H43" s="14"/>
      <c r="J43" s="15">
        <f>SUM(C$13:C43)</f>
        <v>0</v>
      </c>
      <c r="K43" s="15">
        <f>SUM(D$13:D43)</f>
        <v>0</v>
      </c>
      <c r="L43" s="15">
        <f>SUM(E$13:E43)</f>
        <v>0</v>
      </c>
      <c r="M43" s="15">
        <f>SUM(F$13:F43)</f>
        <v>0</v>
      </c>
      <c r="N43" s="15"/>
      <c r="O43" s="15"/>
    </row>
    <row r="44" spans="1:15" x14ac:dyDescent="0.25">
      <c r="B44" s="7"/>
      <c r="C44" s="19">
        <f t="shared" ref="C44:H44" si="0">SUBTOTAL(109,C13:C43)</f>
        <v>0</v>
      </c>
      <c r="D44" s="19">
        <f t="shared" si="0"/>
        <v>0</v>
      </c>
      <c r="E44" s="19">
        <f t="shared" si="0"/>
        <v>0</v>
      </c>
      <c r="F44" s="19">
        <f t="shared" si="0"/>
        <v>0</v>
      </c>
      <c r="G44" s="16">
        <f t="shared" si="0"/>
        <v>0</v>
      </c>
      <c r="H44" s="16">
        <f t="shared" si="0"/>
        <v>0</v>
      </c>
    </row>
    <row r="45" spans="1:15" x14ac:dyDescent="0.25">
      <c r="B45" s="7"/>
    </row>
  </sheetData>
  <mergeCells count="3">
    <mergeCell ref="C3:D3"/>
    <mergeCell ref="E3:F3"/>
    <mergeCell ref="J11:O11"/>
  </mergeCells>
  <phoneticPr fontId="5" type="noConversion"/>
  <conditionalFormatting sqref="B13:B35 B39:B43">
    <cfRule type="containsText" dxfId="13" priority="2" operator="containsText" text="SUNDAY">
      <formula>NOT(ISERROR(SEARCH("SUNDAY",B13)))</formula>
    </cfRule>
  </conditionalFormatting>
  <conditionalFormatting sqref="B36:B38">
    <cfRule type="containsText" dxfId="12" priority="1" operator="containsText" text="SUNDAY">
      <formula>NOT(ISERROR(SEARCH("SUNDAY",B36)))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O45"/>
  <sheetViews>
    <sheetView zoomScale="115" zoomScaleNormal="115" workbookViewId="0">
      <pane ySplit="10" topLeftCell="A11" activePane="bottomLeft" state="frozen"/>
      <selection pane="bottomLeft" activeCell="D39" sqref="D39"/>
    </sheetView>
  </sheetViews>
  <sheetFormatPr defaultRowHeight="15" x14ac:dyDescent="0.25"/>
  <cols>
    <col min="2" max="2" width="13.5703125" customWidth="1"/>
    <col min="3" max="3" width="14.7109375" bestFit="1" customWidth="1"/>
    <col min="4" max="4" width="10.42578125" bestFit="1" customWidth="1"/>
    <col min="5" max="5" width="18.42578125" bestFit="1" customWidth="1"/>
    <col min="6" max="6" width="15.5703125" bestFit="1" customWidth="1"/>
    <col min="7" max="8" width="11.85546875" customWidth="1"/>
    <col min="9" max="9" width="5.28515625" customWidth="1"/>
    <col min="10" max="15" width="6.85546875" hidden="1" customWidth="1"/>
    <col min="16" max="16" width="8.42578125" customWidth="1"/>
    <col min="17" max="35" width="5.28515625" customWidth="1"/>
  </cols>
  <sheetData>
    <row r="1" spans="1:15" x14ac:dyDescent="0.25">
      <c r="B1" t="s">
        <v>0</v>
      </c>
      <c r="E1" t="s">
        <v>1</v>
      </c>
      <c r="F1" s="1">
        <f>'ALL LEVELS'!F1</f>
        <v>30</v>
      </c>
      <c r="H1" s="20" t="str">
        <f>'ALL LEVELS'!H1</f>
        <v>Month of JUNE 2026</v>
      </c>
    </row>
    <row r="2" spans="1:15" x14ac:dyDescent="0.25">
      <c r="B2" t="s">
        <v>2</v>
      </c>
      <c r="C2" s="1">
        <f>'ALL LEVELS'!C2</f>
        <v>19</v>
      </c>
      <c r="E2" s="23"/>
      <c r="F2" s="23"/>
    </row>
    <row r="3" spans="1:15" ht="15.75" hidden="1" thickBot="1" x14ac:dyDescent="0.3">
      <c r="C3" s="30" t="s">
        <v>3</v>
      </c>
      <c r="D3" s="30"/>
      <c r="E3" s="31" t="s">
        <v>4</v>
      </c>
      <c r="F3" s="31"/>
    </row>
    <row r="4" spans="1:15" ht="15.75" hidden="1" thickBot="1" x14ac:dyDescent="0.3">
      <c r="B4" s="2" t="s">
        <v>5</v>
      </c>
      <c r="C4" s="3" t="s">
        <v>6</v>
      </c>
      <c r="D4" s="3" t="s">
        <v>7</v>
      </c>
      <c r="E4" s="3" t="s">
        <v>6</v>
      </c>
      <c r="F4" s="3" t="s">
        <v>7</v>
      </c>
    </row>
    <row r="5" spans="1:15" ht="15.75" hidden="1" thickBot="1" x14ac:dyDescent="0.3">
      <c r="B5" s="2" t="s">
        <v>8</v>
      </c>
      <c r="C5" s="4"/>
      <c r="D5" s="4"/>
      <c r="E5" s="4"/>
      <c r="F5" s="4"/>
    </row>
    <row r="6" spans="1:15" ht="15.75" hidden="1" thickBot="1" x14ac:dyDescent="0.3">
      <c r="B6" s="2" t="s">
        <v>9</v>
      </c>
      <c r="C6" s="4"/>
      <c r="D6" s="4"/>
      <c r="E6" s="4"/>
      <c r="F6" s="4"/>
    </row>
    <row r="7" spans="1:15" ht="15.75" hidden="1" thickBot="1" x14ac:dyDescent="0.3">
      <c r="B7" s="2" t="s">
        <v>10</v>
      </c>
      <c r="C7" s="4"/>
      <c r="D7" s="4"/>
      <c r="E7" s="4"/>
      <c r="F7" s="4"/>
      <c r="H7" s="5"/>
    </row>
    <row r="8" spans="1:15" ht="15.75" hidden="1" thickBot="1" x14ac:dyDescent="0.3">
      <c r="B8" s="2" t="s">
        <v>11</v>
      </c>
      <c r="C8" s="6"/>
      <c r="D8" s="6"/>
      <c r="E8" s="6"/>
      <c r="F8" s="6"/>
    </row>
    <row r="9" spans="1:15" ht="15.75" hidden="1" thickBot="1" x14ac:dyDescent="0.3">
      <c r="B9" s="2"/>
      <c r="C9" s="6"/>
      <c r="D9" s="6"/>
      <c r="E9" s="6"/>
      <c r="F9" s="6"/>
    </row>
    <row r="10" spans="1:15" ht="15.75" hidden="1" thickBot="1" x14ac:dyDescent="0.3">
      <c r="B10" s="2" t="s">
        <v>12</v>
      </c>
      <c r="C10" s="4"/>
      <c r="D10" s="6"/>
      <c r="E10" s="4"/>
      <c r="F10" s="6"/>
    </row>
    <row r="11" spans="1:15" ht="15.75" thickBot="1" x14ac:dyDescent="0.3">
      <c r="B11" s="7"/>
      <c r="J11" s="32" t="s">
        <v>4</v>
      </c>
      <c r="K11" s="32"/>
      <c r="L11" s="32"/>
      <c r="M11" s="32"/>
      <c r="N11" s="32"/>
      <c r="O11" s="32"/>
    </row>
    <row r="12" spans="1:15" ht="15.75" thickBot="1" x14ac:dyDescent="0.3">
      <c r="A12" s="8" t="s">
        <v>13</v>
      </c>
      <c r="B12" s="7" t="s">
        <v>14</v>
      </c>
      <c r="C12" s="9" t="s">
        <v>15</v>
      </c>
      <c r="D12" s="9" t="s">
        <v>16</v>
      </c>
      <c r="E12" s="9" t="s">
        <v>17</v>
      </c>
      <c r="F12" s="2" t="s">
        <v>18</v>
      </c>
      <c r="G12" s="10"/>
      <c r="H12" s="11"/>
      <c r="J12" s="9" t="s">
        <v>8</v>
      </c>
      <c r="K12" s="9" t="s">
        <v>9</v>
      </c>
      <c r="L12" s="9" t="s">
        <v>10</v>
      </c>
      <c r="M12" s="2" t="s">
        <v>11</v>
      </c>
      <c r="N12" s="11"/>
      <c r="O12" s="11"/>
    </row>
    <row r="13" spans="1:15" x14ac:dyDescent="0.25">
      <c r="A13" s="12">
        <f>'ALL LEVELS'!A13</f>
        <v>1</v>
      </c>
      <c r="B13" s="12" t="str">
        <f>'ALL LEVELS'!B13</f>
        <v>MONDAY</v>
      </c>
      <c r="C13" s="18"/>
      <c r="D13" s="18"/>
      <c r="E13" s="18"/>
      <c r="F13" s="18"/>
      <c r="G13" s="14"/>
      <c r="H13" s="14"/>
      <c r="J13" s="15">
        <f>SUM(C$13:C13)</f>
        <v>0</v>
      </c>
      <c r="K13" s="15">
        <f>SUM(D$13:D13)</f>
        <v>0</v>
      </c>
      <c r="L13" s="15">
        <f>SUM(E$13:E13)</f>
        <v>0</v>
      </c>
      <c r="M13" s="15">
        <f>SUM(F$13:F13)</f>
        <v>0</v>
      </c>
      <c r="N13" s="15"/>
      <c r="O13" s="15"/>
    </row>
    <row r="14" spans="1:15" x14ac:dyDescent="0.25">
      <c r="A14" s="12">
        <f>'ALL LEVELS'!A14</f>
        <v>2</v>
      </c>
      <c r="B14" s="12" t="str">
        <f>'ALL LEVELS'!B14</f>
        <v>TUESDAY</v>
      </c>
      <c r="C14" s="18"/>
      <c r="D14" s="18"/>
      <c r="E14" s="18"/>
      <c r="F14" s="18"/>
      <c r="G14" s="14"/>
      <c r="H14" s="14"/>
      <c r="J14" s="15">
        <f>SUM(C$13:C14)</f>
        <v>0</v>
      </c>
      <c r="K14" s="15">
        <f>SUM(D$13:D14)</f>
        <v>0</v>
      </c>
      <c r="L14" s="15">
        <f>SUM(E$13:E14)</f>
        <v>0</v>
      </c>
      <c r="M14" s="15">
        <f>SUM(F$13:F14)</f>
        <v>0</v>
      </c>
      <c r="N14" s="15"/>
      <c r="O14" s="15"/>
    </row>
    <row r="15" spans="1:15" x14ac:dyDescent="0.25">
      <c r="A15" s="12">
        <f>'ALL LEVELS'!A15</f>
        <v>3</v>
      </c>
      <c r="B15" s="12" t="str">
        <f>'ALL LEVELS'!B15</f>
        <v>WEDNESDAY</v>
      </c>
      <c r="C15" s="18"/>
      <c r="D15" s="18"/>
      <c r="E15" s="18"/>
      <c r="F15" s="18"/>
      <c r="G15" s="14"/>
      <c r="H15" s="14"/>
      <c r="J15" s="15">
        <f>SUM(C$13:C15)</f>
        <v>0</v>
      </c>
      <c r="K15" s="15">
        <f>SUM(D$13:D15)</f>
        <v>0</v>
      </c>
      <c r="L15" s="15">
        <f>SUM(E$13:E15)</f>
        <v>0</v>
      </c>
      <c r="M15" s="15">
        <f>SUM(F$13:F15)</f>
        <v>0</v>
      </c>
      <c r="N15" s="15"/>
      <c r="O15" s="15"/>
    </row>
    <row r="16" spans="1:15" x14ac:dyDescent="0.25">
      <c r="A16" s="12">
        <f>'ALL LEVELS'!A16</f>
        <v>4</v>
      </c>
      <c r="B16" s="12" t="str">
        <f>'ALL LEVELS'!B16</f>
        <v>THURSDAY</v>
      </c>
      <c r="C16" s="18"/>
      <c r="D16" s="18"/>
      <c r="E16" s="18"/>
      <c r="F16" s="18"/>
      <c r="G16" s="14"/>
      <c r="H16" s="14"/>
      <c r="J16" s="15">
        <f>SUM(C$13:C16)</f>
        <v>0</v>
      </c>
      <c r="K16" s="15">
        <f>SUM(D$13:D16)</f>
        <v>0</v>
      </c>
      <c r="L16" s="15">
        <f>SUM(E$13:E16)</f>
        <v>0</v>
      </c>
      <c r="M16" s="15">
        <f>SUM(F$13:F16)</f>
        <v>0</v>
      </c>
      <c r="N16" s="15"/>
      <c r="O16" s="15"/>
    </row>
    <row r="17" spans="1:15" x14ac:dyDescent="0.25">
      <c r="A17" s="12">
        <f>'ALL LEVELS'!A17</f>
        <v>5</v>
      </c>
      <c r="B17" s="12" t="str">
        <f>'ALL LEVELS'!B17</f>
        <v>FRIDAY</v>
      </c>
      <c r="C17" s="18"/>
      <c r="D17" s="18"/>
      <c r="E17" s="18"/>
      <c r="F17" s="18"/>
      <c r="G17" s="14"/>
      <c r="H17" s="14"/>
      <c r="J17" s="15">
        <f>SUM(C$13:C17)</f>
        <v>0</v>
      </c>
      <c r="K17" s="15">
        <f>SUM(D$13:D17)</f>
        <v>0</v>
      </c>
      <c r="L17" s="15">
        <f>SUM(E$13:E17)</f>
        <v>0</v>
      </c>
      <c r="M17" s="15">
        <f>SUM(F$13:F17)</f>
        <v>0</v>
      </c>
      <c r="N17" s="15"/>
      <c r="O17" s="15"/>
    </row>
    <row r="18" spans="1:15" x14ac:dyDescent="0.25">
      <c r="A18" s="12">
        <f>'ALL LEVELS'!A18</f>
        <v>6</v>
      </c>
      <c r="B18" s="12" t="str">
        <f>'ALL LEVELS'!B18</f>
        <v>SATURDAY</v>
      </c>
      <c r="C18" s="18"/>
      <c r="D18" s="18"/>
      <c r="E18" s="18"/>
      <c r="F18" s="18"/>
      <c r="G18" s="14"/>
      <c r="H18" s="14"/>
      <c r="J18" s="15">
        <f>SUM(C$13:C18)</f>
        <v>0</v>
      </c>
      <c r="K18" s="15">
        <f>SUM(D$13:D18)</f>
        <v>0</v>
      </c>
      <c r="L18" s="15">
        <f>SUM(E$13:E18)</f>
        <v>0</v>
      </c>
      <c r="M18" s="15">
        <f>SUM(F$13:F18)</f>
        <v>0</v>
      </c>
      <c r="N18" s="15"/>
      <c r="O18" s="15"/>
    </row>
    <row r="19" spans="1:15" x14ac:dyDescent="0.25">
      <c r="A19" s="12">
        <f>'ALL LEVELS'!A19</f>
        <v>7</v>
      </c>
      <c r="B19" s="12" t="str">
        <f>'ALL LEVELS'!B19</f>
        <v>SUNDAY</v>
      </c>
      <c r="C19" s="18"/>
      <c r="D19" s="18"/>
      <c r="E19" s="18"/>
      <c r="F19" s="18"/>
      <c r="G19" s="14"/>
      <c r="H19" s="14"/>
      <c r="J19" s="15">
        <f>SUM(C$13:C19)</f>
        <v>0</v>
      </c>
      <c r="K19" s="15">
        <f>SUM(D$13:D19)</f>
        <v>0</v>
      </c>
      <c r="L19" s="15">
        <f>SUM(E$13:E19)</f>
        <v>0</v>
      </c>
      <c r="M19" s="15">
        <f>SUM(F$13:F19)</f>
        <v>0</v>
      </c>
      <c r="N19" s="15"/>
      <c r="O19" s="15"/>
    </row>
    <row r="20" spans="1:15" x14ac:dyDescent="0.25">
      <c r="A20" s="12">
        <f>'ALL LEVELS'!A20</f>
        <v>8</v>
      </c>
      <c r="B20" s="12" t="str">
        <f>'ALL LEVELS'!B20</f>
        <v>MONDAY</v>
      </c>
      <c r="C20" s="18"/>
      <c r="D20" s="18"/>
      <c r="E20" s="18"/>
      <c r="F20" s="18"/>
      <c r="G20" s="14"/>
      <c r="H20" s="14"/>
      <c r="J20" s="15">
        <f>SUM(C$13:C20)</f>
        <v>0</v>
      </c>
      <c r="K20" s="15">
        <f>SUM(D$13:D20)</f>
        <v>0</v>
      </c>
      <c r="L20" s="15">
        <f>SUM(E$13:E20)</f>
        <v>0</v>
      </c>
      <c r="M20" s="15">
        <f>SUM(F$13:F20)</f>
        <v>0</v>
      </c>
      <c r="N20" s="15"/>
      <c r="O20" s="15"/>
    </row>
    <row r="21" spans="1:15" x14ac:dyDescent="0.25">
      <c r="A21" s="12">
        <f>'ALL LEVELS'!A21</f>
        <v>9</v>
      </c>
      <c r="B21" s="12" t="str">
        <f>'ALL LEVELS'!B21</f>
        <v>TUESDAY</v>
      </c>
      <c r="C21" s="18"/>
      <c r="D21" s="18"/>
      <c r="E21" s="18"/>
      <c r="F21" s="18"/>
      <c r="G21" s="14"/>
      <c r="H21" s="14"/>
      <c r="J21" s="15">
        <f>SUM(C$13:C21)</f>
        <v>0</v>
      </c>
      <c r="K21" s="15">
        <f>SUM(D$13:D21)</f>
        <v>0</v>
      </c>
      <c r="L21" s="15">
        <f>SUM(E$13:E21)</f>
        <v>0</v>
      </c>
      <c r="M21" s="15">
        <f>SUM(F$13:F21)</f>
        <v>0</v>
      </c>
      <c r="N21" s="15"/>
      <c r="O21" s="15"/>
    </row>
    <row r="22" spans="1:15" x14ac:dyDescent="0.25">
      <c r="A22" s="12">
        <f>'ALL LEVELS'!A22</f>
        <v>10</v>
      </c>
      <c r="B22" s="12" t="str">
        <f>'ALL LEVELS'!B22</f>
        <v>WEDNESDAY</v>
      </c>
      <c r="C22" s="18"/>
      <c r="D22" s="18"/>
      <c r="E22" s="18"/>
      <c r="F22" s="18"/>
      <c r="G22" s="14"/>
      <c r="H22" s="14"/>
      <c r="J22" s="15">
        <f>SUM(C$13:C22)</f>
        <v>0</v>
      </c>
      <c r="K22" s="15">
        <f>SUM(D$13:D22)</f>
        <v>0</v>
      </c>
      <c r="L22" s="15">
        <f>SUM(E$13:E22)</f>
        <v>0</v>
      </c>
      <c r="M22" s="15">
        <f>SUM(F$13:F22)</f>
        <v>0</v>
      </c>
      <c r="N22" s="15"/>
      <c r="O22" s="15"/>
    </row>
    <row r="23" spans="1:15" x14ac:dyDescent="0.25">
      <c r="A23" s="12">
        <f>'ALL LEVELS'!A23</f>
        <v>11</v>
      </c>
      <c r="B23" s="12" t="str">
        <f>'ALL LEVELS'!B23</f>
        <v>THURSDAY</v>
      </c>
      <c r="C23" s="18"/>
      <c r="D23" s="18"/>
      <c r="E23" s="18"/>
      <c r="F23" s="18"/>
      <c r="G23" s="14"/>
      <c r="H23" s="14"/>
      <c r="J23" s="15">
        <f>SUM(C$13:C23)</f>
        <v>0</v>
      </c>
      <c r="K23" s="15">
        <f>SUM(D$13:D23)</f>
        <v>0</v>
      </c>
      <c r="L23" s="15">
        <f>SUM(E$13:E23)</f>
        <v>0</v>
      </c>
      <c r="M23" s="15">
        <f>SUM(F$13:F23)</f>
        <v>0</v>
      </c>
      <c r="N23" s="15"/>
      <c r="O23" s="15"/>
    </row>
    <row r="24" spans="1:15" x14ac:dyDescent="0.25">
      <c r="A24" s="12">
        <f>'ALL LEVELS'!A24</f>
        <v>12</v>
      </c>
      <c r="B24" s="12" t="str">
        <f>'ALL LEVELS'!B24</f>
        <v>FRIDAY</v>
      </c>
      <c r="C24" s="18"/>
      <c r="D24" s="18"/>
      <c r="E24" s="18"/>
      <c r="F24" s="18"/>
      <c r="G24" s="14"/>
      <c r="H24" s="14"/>
      <c r="J24" s="15">
        <f>SUM(C$13:C24)</f>
        <v>0</v>
      </c>
      <c r="K24" s="15">
        <f>SUM(D$13:D24)</f>
        <v>0</v>
      </c>
      <c r="L24" s="15">
        <f>SUM(E$13:E24)</f>
        <v>0</v>
      </c>
      <c r="M24" s="15">
        <f>SUM(F$13:F24)</f>
        <v>0</v>
      </c>
      <c r="N24" s="15"/>
      <c r="O24" s="15"/>
    </row>
    <row r="25" spans="1:15" x14ac:dyDescent="0.25">
      <c r="A25" s="12">
        <f>'ALL LEVELS'!A25</f>
        <v>13</v>
      </c>
      <c r="B25" s="12" t="str">
        <f>'ALL LEVELS'!B25</f>
        <v>SATURDAY</v>
      </c>
      <c r="C25" s="18"/>
      <c r="D25" s="18"/>
      <c r="E25" s="18"/>
      <c r="F25" s="18"/>
      <c r="G25" s="14"/>
      <c r="H25" s="14"/>
      <c r="J25" s="15">
        <f>SUM(C$13:C25)</f>
        <v>0</v>
      </c>
      <c r="K25" s="15">
        <f>SUM(D$13:D25)</f>
        <v>0</v>
      </c>
      <c r="L25" s="15">
        <f>SUM(E$13:E25)</f>
        <v>0</v>
      </c>
      <c r="M25" s="15">
        <f>SUM(F$13:F25)</f>
        <v>0</v>
      </c>
      <c r="N25" s="15"/>
      <c r="O25" s="15"/>
    </row>
    <row r="26" spans="1:15" x14ac:dyDescent="0.25">
      <c r="A26" s="12">
        <f>'ALL LEVELS'!A26</f>
        <v>14</v>
      </c>
      <c r="B26" s="12" t="str">
        <f>'ALL LEVELS'!B26</f>
        <v>SUNDAY</v>
      </c>
      <c r="C26" s="18"/>
      <c r="D26" s="18"/>
      <c r="E26" s="18"/>
      <c r="F26" s="18"/>
      <c r="G26" s="14"/>
      <c r="H26" s="14"/>
      <c r="J26" s="15">
        <f>SUM(C$13:C26)</f>
        <v>0</v>
      </c>
      <c r="K26" s="15">
        <f>SUM(D$13:D26)</f>
        <v>0</v>
      </c>
      <c r="L26" s="15">
        <f>SUM(E$13:E26)</f>
        <v>0</v>
      </c>
      <c r="M26" s="15">
        <f>SUM(F$13:F26)</f>
        <v>0</v>
      </c>
      <c r="N26" s="15"/>
      <c r="O26" s="15"/>
    </row>
    <row r="27" spans="1:15" x14ac:dyDescent="0.25">
      <c r="A27" s="12">
        <f>'ALL LEVELS'!A27</f>
        <v>15</v>
      </c>
      <c r="B27" s="12" t="str">
        <f>'ALL LEVELS'!B27</f>
        <v>MONDAY</v>
      </c>
      <c r="C27" s="18"/>
      <c r="D27" s="18"/>
      <c r="E27" s="18"/>
      <c r="F27" s="18"/>
      <c r="G27" s="14"/>
      <c r="H27" s="14"/>
      <c r="J27" s="15">
        <f>SUM(C$13:C27)</f>
        <v>0</v>
      </c>
      <c r="K27" s="15">
        <f>SUM(D$13:D27)</f>
        <v>0</v>
      </c>
      <c r="L27" s="15">
        <f>SUM(E$13:E27)</f>
        <v>0</v>
      </c>
      <c r="M27" s="15">
        <f>SUM(F$13:F27)</f>
        <v>0</v>
      </c>
      <c r="N27" s="15"/>
      <c r="O27" s="15"/>
    </row>
    <row r="28" spans="1:15" x14ac:dyDescent="0.25">
      <c r="A28" s="12">
        <f>'ALL LEVELS'!A28</f>
        <v>16</v>
      </c>
      <c r="B28" s="12" t="str">
        <f>'ALL LEVELS'!B28</f>
        <v>TUESDAY</v>
      </c>
      <c r="C28" s="18"/>
      <c r="D28" s="18"/>
      <c r="E28" s="18"/>
      <c r="F28" s="18"/>
      <c r="G28" s="14"/>
      <c r="H28" s="14"/>
      <c r="J28" s="15">
        <f>SUM(C$13:C28)</f>
        <v>0</v>
      </c>
      <c r="K28" s="15">
        <f>SUM(D$13:D28)</f>
        <v>0</v>
      </c>
      <c r="L28" s="15">
        <f>SUM(E$13:E28)</f>
        <v>0</v>
      </c>
      <c r="M28" s="15">
        <f>SUM(F$13:F28)</f>
        <v>0</v>
      </c>
      <c r="N28" s="15"/>
      <c r="O28" s="15"/>
    </row>
    <row r="29" spans="1:15" x14ac:dyDescent="0.25">
      <c r="A29" s="12">
        <f>'ALL LEVELS'!A29</f>
        <v>17</v>
      </c>
      <c r="B29" s="12" t="str">
        <f>'ALL LEVELS'!B29</f>
        <v>WEDNESDAY</v>
      </c>
      <c r="C29" s="18"/>
      <c r="D29" s="18"/>
      <c r="E29" s="18"/>
      <c r="F29" s="18"/>
      <c r="G29" s="14"/>
      <c r="H29" s="14"/>
      <c r="J29" s="15">
        <f>SUM(C$13:C29)</f>
        <v>0</v>
      </c>
      <c r="K29" s="15">
        <f>SUM(D$13:D29)</f>
        <v>0</v>
      </c>
      <c r="L29" s="15">
        <f>SUM(E$13:E29)</f>
        <v>0</v>
      </c>
      <c r="M29" s="15">
        <f>SUM(F$13:F29)</f>
        <v>0</v>
      </c>
      <c r="N29" s="15"/>
      <c r="O29" s="15"/>
    </row>
    <row r="30" spans="1:15" x14ac:dyDescent="0.25">
      <c r="A30" s="12">
        <f>'ALL LEVELS'!A30</f>
        <v>18</v>
      </c>
      <c r="B30" s="12" t="str">
        <f>'ALL LEVELS'!B30</f>
        <v>THURSDAY</v>
      </c>
      <c r="C30" s="18"/>
      <c r="D30" s="18"/>
      <c r="E30" s="18"/>
      <c r="F30" s="18"/>
      <c r="G30" s="14"/>
      <c r="H30" s="14"/>
      <c r="J30" s="15">
        <f>SUM(C$13:C30)</f>
        <v>0</v>
      </c>
      <c r="K30" s="15">
        <f>SUM(D$13:D30)</f>
        <v>0</v>
      </c>
      <c r="L30" s="15">
        <f>SUM(E$13:E30)</f>
        <v>0</v>
      </c>
      <c r="M30" s="15">
        <f>SUM(F$13:F30)</f>
        <v>0</v>
      </c>
      <c r="N30" s="15"/>
      <c r="O30" s="15"/>
    </row>
    <row r="31" spans="1:15" x14ac:dyDescent="0.25">
      <c r="A31" s="12">
        <f>'ALL LEVELS'!A31</f>
        <v>19</v>
      </c>
      <c r="B31" s="12" t="str">
        <f>'ALL LEVELS'!B31</f>
        <v>FRIDAY</v>
      </c>
      <c r="C31" s="18"/>
      <c r="D31" s="18"/>
      <c r="E31" s="18"/>
      <c r="F31" s="18"/>
      <c r="G31" s="14"/>
      <c r="H31" s="14"/>
      <c r="J31" s="15">
        <f>SUM(C$13:C31)</f>
        <v>0</v>
      </c>
      <c r="K31" s="15">
        <f>SUM(D$13:D31)</f>
        <v>0</v>
      </c>
      <c r="L31" s="15">
        <f>SUM(E$13:E31)</f>
        <v>0</v>
      </c>
      <c r="M31" s="15">
        <f>SUM(F$13:F31)</f>
        <v>0</v>
      </c>
      <c r="N31" s="15"/>
      <c r="O31" s="15"/>
    </row>
    <row r="32" spans="1:15" x14ac:dyDescent="0.25">
      <c r="A32" s="12">
        <f>'ALL LEVELS'!A32</f>
        <v>20</v>
      </c>
      <c r="B32" s="12" t="str">
        <f>'ALL LEVELS'!B32</f>
        <v>SATURDAY</v>
      </c>
      <c r="C32" s="18"/>
      <c r="D32" s="18"/>
      <c r="E32" s="18"/>
      <c r="F32" s="18"/>
      <c r="G32" s="14"/>
      <c r="H32" s="14"/>
      <c r="J32" s="15">
        <f>SUM(C$13:C32)</f>
        <v>0</v>
      </c>
      <c r="K32" s="15">
        <f>SUM(D$13:D32)</f>
        <v>0</v>
      </c>
      <c r="L32" s="15">
        <f>SUM(E$13:E32)</f>
        <v>0</v>
      </c>
      <c r="M32" s="15">
        <f>SUM(F$13:F32)</f>
        <v>0</v>
      </c>
      <c r="N32" s="15"/>
      <c r="O32" s="15"/>
    </row>
    <row r="33" spans="1:15" x14ac:dyDescent="0.25">
      <c r="A33" s="12">
        <f>'ALL LEVELS'!A33</f>
        <v>21</v>
      </c>
      <c r="B33" s="12" t="str">
        <f>'ALL LEVELS'!B33</f>
        <v>SUNDAY</v>
      </c>
      <c r="C33" s="18"/>
      <c r="D33" s="18"/>
      <c r="E33" s="18"/>
      <c r="F33" s="18"/>
      <c r="G33" s="14"/>
      <c r="H33" s="14"/>
      <c r="J33" s="15">
        <f>SUM(C$13:C33)</f>
        <v>0</v>
      </c>
      <c r="K33" s="15">
        <f>SUM(D$13:D33)</f>
        <v>0</v>
      </c>
      <c r="L33" s="15">
        <f>SUM(E$13:E33)</f>
        <v>0</v>
      </c>
      <c r="M33" s="15">
        <f>SUM(F$13:F33)</f>
        <v>0</v>
      </c>
      <c r="N33" s="15"/>
      <c r="O33" s="15"/>
    </row>
    <row r="34" spans="1:15" x14ac:dyDescent="0.25">
      <c r="A34" s="12">
        <f>'ALL LEVELS'!A34</f>
        <v>22</v>
      </c>
      <c r="B34" s="12" t="str">
        <f>'ALL LEVELS'!B34</f>
        <v>MONDAY</v>
      </c>
      <c r="C34" s="18"/>
      <c r="D34" s="18"/>
      <c r="E34" s="18"/>
      <c r="F34" s="18"/>
      <c r="G34" s="14"/>
      <c r="H34" s="14"/>
      <c r="J34" s="15">
        <f>SUM(C$13:C34)</f>
        <v>0</v>
      </c>
      <c r="K34" s="15">
        <f>SUM(D$13:D34)</f>
        <v>0</v>
      </c>
      <c r="L34" s="15">
        <f>SUM(E$13:E34)</f>
        <v>0</v>
      </c>
      <c r="M34" s="15">
        <f>SUM(F$13:F34)</f>
        <v>0</v>
      </c>
      <c r="N34" s="15"/>
      <c r="O34" s="15"/>
    </row>
    <row r="35" spans="1:15" x14ac:dyDescent="0.25">
      <c r="A35" s="12">
        <f>'ALL LEVELS'!A35</f>
        <v>23</v>
      </c>
      <c r="B35" s="12" t="str">
        <f>'ALL LEVELS'!B35</f>
        <v>TUESDAY</v>
      </c>
      <c r="C35" s="18"/>
      <c r="D35" s="18"/>
      <c r="E35" s="18"/>
      <c r="F35" s="18"/>
      <c r="G35" s="14"/>
      <c r="H35" s="14"/>
      <c r="J35" s="15">
        <f>SUM(C$13:C35)</f>
        <v>0</v>
      </c>
      <c r="K35" s="15">
        <f>SUM(D$13:D35)</f>
        <v>0</v>
      </c>
      <c r="L35" s="15">
        <f>SUM(E$13:E35)</f>
        <v>0</v>
      </c>
      <c r="M35" s="15">
        <f>SUM(F$13:F35)</f>
        <v>0</v>
      </c>
      <c r="N35" s="15"/>
      <c r="O35" s="15"/>
    </row>
    <row r="36" spans="1:15" x14ac:dyDescent="0.25">
      <c r="A36" s="12">
        <f>'ALL LEVELS'!A36</f>
        <v>24</v>
      </c>
      <c r="B36" s="12" t="str">
        <f>'ALL LEVELS'!B33</f>
        <v>SUNDAY</v>
      </c>
      <c r="C36" s="18"/>
      <c r="D36" s="18"/>
      <c r="E36" s="18"/>
      <c r="F36" s="18"/>
      <c r="G36" s="14"/>
      <c r="H36" s="14"/>
      <c r="J36" s="15">
        <f>SUM(C$13:C36)</f>
        <v>0</v>
      </c>
      <c r="K36" s="15">
        <f>SUM(D$13:D36)</f>
        <v>0</v>
      </c>
      <c r="L36" s="15">
        <f>SUM(E$13:E36)</f>
        <v>0</v>
      </c>
      <c r="M36" s="15">
        <f>SUM(F$13:F36)</f>
        <v>0</v>
      </c>
      <c r="N36" s="15"/>
      <c r="O36" s="15"/>
    </row>
    <row r="37" spans="1:15" x14ac:dyDescent="0.25">
      <c r="A37" s="12">
        <f>'ALL LEVELS'!A37</f>
        <v>25</v>
      </c>
      <c r="B37" s="12" t="str">
        <f>'ALL LEVELS'!B34</f>
        <v>MONDAY</v>
      </c>
      <c r="C37" s="18"/>
      <c r="D37" s="18"/>
      <c r="E37" s="18"/>
      <c r="F37" s="18"/>
      <c r="G37" s="14"/>
      <c r="H37" s="14"/>
      <c r="J37" s="15">
        <f>SUM(C$13:C37)</f>
        <v>0</v>
      </c>
      <c r="K37" s="15">
        <f>SUM(D$13:D37)</f>
        <v>0</v>
      </c>
      <c r="L37" s="15">
        <f>SUM(E$13:E37)</f>
        <v>0</v>
      </c>
      <c r="M37" s="15">
        <f>SUM(F$13:F37)</f>
        <v>0</v>
      </c>
      <c r="N37" s="15"/>
      <c r="O37" s="15"/>
    </row>
    <row r="38" spans="1:15" x14ac:dyDescent="0.25">
      <c r="A38" s="12">
        <f>'ALL LEVELS'!A38</f>
        <v>26</v>
      </c>
      <c r="B38" s="12" t="str">
        <f>'ALL LEVELS'!B35</f>
        <v>TUESDAY</v>
      </c>
      <c r="C38" s="18"/>
      <c r="D38" s="18"/>
      <c r="E38" s="18"/>
      <c r="F38" s="18"/>
      <c r="G38" s="14"/>
      <c r="H38" s="14"/>
      <c r="J38" s="15">
        <f>SUM(C$13:C38)</f>
        <v>0</v>
      </c>
      <c r="K38" s="15">
        <f>SUM(D$13:D38)</f>
        <v>0</v>
      </c>
      <c r="L38" s="15">
        <f>SUM(E$13:E38)</f>
        <v>0</v>
      </c>
      <c r="M38" s="15">
        <f>SUM(F$13:F38)</f>
        <v>0</v>
      </c>
      <c r="N38" s="15"/>
      <c r="O38" s="15"/>
    </row>
    <row r="39" spans="1:15" x14ac:dyDescent="0.25">
      <c r="A39" s="12">
        <f>'ALL LEVELS'!A39</f>
        <v>27</v>
      </c>
      <c r="B39" s="12" t="str">
        <f>'ALL LEVELS'!B36</f>
        <v>WEDNESDAY</v>
      </c>
      <c r="C39" s="18"/>
      <c r="D39" s="18"/>
      <c r="E39" s="18"/>
      <c r="F39" s="18"/>
      <c r="G39" s="14"/>
      <c r="H39" s="14"/>
      <c r="J39" s="15">
        <f>SUM(C$13:C39)</f>
        <v>0</v>
      </c>
      <c r="K39" s="15">
        <f>SUM(D$13:D39)</f>
        <v>0</v>
      </c>
      <c r="L39" s="15">
        <f>SUM(E$13:E39)</f>
        <v>0</v>
      </c>
      <c r="M39" s="15">
        <f>SUM(F$13:F39)</f>
        <v>0</v>
      </c>
      <c r="N39" s="15"/>
      <c r="O39" s="15"/>
    </row>
    <row r="40" spans="1:15" x14ac:dyDescent="0.25">
      <c r="A40" s="12">
        <f>'ALL LEVELS'!A40</f>
        <v>28</v>
      </c>
      <c r="B40" s="12" t="str">
        <f>'ALL LEVELS'!B40</f>
        <v>SUNDAY</v>
      </c>
      <c r="C40" s="18"/>
      <c r="D40" s="18"/>
      <c r="E40" s="18"/>
      <c r="F40" s="18"/>
      <c r="G40" s="14"/>
      <c r="H40" s="14"/>
      <c r="J40" s="15">
        <f>SUM(C$13:C40)</f>
        <v>0</v>
      </c>
      <c r="K40" s="15">
        <f>SUM(D$13:D40)</f>
        <v>0</v>
      </c>
      <c r="L40" s="15">
        <f>SUM(E$13:E40)</f>
        <v>0</v>
      </c>
      <c r="M40" s="15">
        <f>SUM(F$13:F40)</f>
        <v>0</v>
      </c>
      <c r="N40" s="15"/>
      <c r="O40" s="15"/>
    </row>
    <row r="41" spans="1:15" x14ac:dyDescent="0.25">
      <c r="A41" s="12">
        <f>'ALL LEVELS'!A41</f>
        <v>29</v>
      </c>
      <c r="B41" s="12" t="str">
        <f>'ALL LEVELS'!B41</f>
        <v>MONDAY</v>
      </c>
      <c r="C41" s="18"/>
      <c r="D41" s="18"/>
      <c r="E41" s="18"/>
      <c r="F41" s="18"/>
      <c r="G41" s="14"/>
      <c r="H41" s="14"/>
      <c r="J41" s="15"/>
      <c r="K41" s="15"/>
      <c r="L41" s="15"/>
      <c r="M41" s="15"/>
      <c r="N41" s="15"/>
      <c r="O41" s="15"/>
    </row>
    <row r="42" spans="1:15" x14ac:dyDescent="0.25">
      <c r="A42" s="12">
        <f>'ALL LEVELS'!A42</f>
        <v>30</v>
      </c>
      <c r="B42" s="12" t="str">
        <f>'ALL LEVELS'!B42</f>
        <v>TUESDAY</v>
      </c>
      <c r="C42" s="18"/>
      <c r="D42" s="18"/>
      <c r="E42" s="18"/>
      <c r="F42" s="18"/>
      <c r="G42" s="14"/>
      <c r="H42" s="14"/>
      <c r="J42" s="15">
        <f>SUM(C$13:C42)</f>
        <v>0</v>
      </c>
      <c r="K42" s="15">
        <f>SUM(D$13:D42)</f>
        <v>0</v>
      </c>
      <c r="L42" s="15">
        <f>SUM(E$13:E42)</f>
        <v>0</v>
      </c>
      <c r="M42" s="15">
        <f>SUM(F$13:F42)</f>
        <v>0</v>
      </c>
      <c r="N42" s="15"/>
      <c r="O42" s="15"/>
    </row>
    <row r="43" spans="1:15" x14ac:dyDescent="0.25">
      <c r="A43" s="12">
        <f>'ALL LEVELS'!A43</f>
        <v>31</v>
      </c>
      <c r="B43" s="12" t="str">
        <f>'ALL LEVELS'!B43</f>
        <v>WEDNESDAY</v>
      </c>
      <c r="C43" s="18"/>
      <c r="D43" s="18"/>
      <c r="E43" s="18"/>
      <c r="F43" s="18"/>
      <c r="G43" s="14"/>
      <c r="H43" s="14"/>
      <c r="J43" s="15">
        <f>SUM(C$13:C43)</f>
        <v>0</v>
      </c>
      <c r="K43" s="15">
        <f>SUM(D$13:D43)</f>
        <v>0</v>
      </c>
      <c r="L43" s="15">
        <f>SUM(E$13:E43)</f>
        <v>0</v>
      </c>
      <c r="M43" s="15">
        <f>SUM(F$13:F43)</f>
        <v>0</v>
      </c>
      <c r="N43" s="15"/>
      <c r="O43" s="15"/>
    </row>
    <row r="44" spans="1:15" x14ac:dyDescent="0.25">
      <c r="B44" s="7"/>
      <c r="C44" s="19">
        <f t="shared" ref="C44:H44" si="0">SUBTOTAL(109,C13:C43)</f>
        <v>0</v>
      </c>
      <c r="D44" s="19">
        <f t="shared" si="0"/>
        <v>0</v>
      </c>
      <c r="E44" s="19">
        <f t="shared" si="0"/>
        <v>0</v>
      </c>
      <c r="F44" s="19">
        <f t="shared" si="0"/>
        <v>0</v>
      </c>
      <c r="G44" s="16">
        <f t="shared" si="0"/>
        <v>0</v>
      </c>
      <c r="H44" s="16">
        <f t="shared" si="0"/>
        <v>0</v>
      </c>
    </row>
    <row r="45" spans="1:15" x14ac:dyDescent="0.25">
      <c r="B45" s="7"/>
    </row>
  </sheetData>
  <mergeCells count="3">
    <mergeCell ref="C3:D3"/>
    <mergeCell ref="E3:F3"/>
    <mergeCell ref="J11:O11"/>
  </mergeCells>
  <phoneticPr fontId="5" type="noConversion"/>
  <conditionalFormatting sqref="B13:B35 B39:B43">
    <cfRule type="containsText" dxfId="11" priority="2" operator="containsText" text="SUNDAY">
      <formula>NOT(ISERROR(SEARCH("SUNDAY",B13)))</formula>
    </cfRule>
  </conditionalFormatting>
  <conditionalFormatting sqref="B36:B38">
    <cfRule type="containsText" dxfId="10" priority="1" operator="containsText" text="SUNDAY">
      <formula>NOT(ISERROR(SEARCH("SUNDAY",B36)))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O45"/>
  <sheetViews>
    <sheetView zoomScale="115" zoomScaleNormal="115" workbookViewId="0">
      <pane ySplit="10" topLeftCell="A11" activePane="bottomLeft" state="frozen"/>
      <selection pane="bottomLeft" activeCell="C28" sqref="C28:F28"/>
    </sheetView>
  </sheetViews>
  <sheetFormatPr defaultRowHeight="15" x14ac:dyDescent="0.25"/>
  <cols>
    <col min="2" max="2" width="13.5703125" customWidth="1"/>
    <col min="3" max="3" width="14.7109375" bestFit="1" customWidth="1"/>
    <col min="4" max="4" width="10.42578125" bestFit="1" customWidth="1"/>
    <col min="5" max="5" width="18.42578125" bestFit="1" customWidth="1"/>
    <col min="6" max="6" width="15.5703125" bestFit="1" customWidth="1"/>
    <col min="7" max="8" width="11.85546875" customWidth="1"/>
    <col min="9" max="9" width="5.28515625" customWidth="1"/>
    <col min="10" max="15" width="6.85546875" hidden="1" customWidth="1"/>
    <col min="16" max="16" width="8.42578125" customWidth="1"/>
    <col min="17" max="35" width="5.28515625" customWidth="1"/>
  </cols>
  <sheetData>
    <row r="1" spans="1:15" x14ac:dyDescent="0.25">
      <c r="B1" t="s">
        <v>0</v>
      </c>
      <c r="E1" t="s">
        <v>1</v>
      </c>
      <c r="F1" s="1">
        <f>'ALL LEVELS'!F1</f>
        <v>30</v>
      </c>
      <c r="H1" s="20" t="str">
        <f>'ALL LEVELS'!H1</f>
        <v>Month of JUNE 2026</v>
      </c>
    </row>
    <row r="2" spans="1:15" x14ac:dyDescent="0.25">
      <c r="B2" t="s">
        <v>2</v>
      </c>
      <c r="C2" s="1">
        <f>'ALL LEVELS'!C2</f>
        <v>19</v>
      </c>
      <c r="E2" s="23"/>
      <c r="F2" s="23"/>
    </row>
    <row r="3" spans="1:15" ht="15.75" hidden="1" thickBot="1" x14ac:dyDescent="0.3">
      <c r="C3" s="30" t="s">
        <v>3</v>
      </c>
      <c r="D3" s="30"/>
      <c r="E3" s="31" t="s">
        <v>4</v>
      </c>
      <c r="F3" s="31"/>
    </row>
    <row r="4" spans="1:15" ht="15.75" hidden="1" thickBot="1" x14ac:dyDescent="0.3">
      <c r="B4" s="2" t="s">
        <v>5</v>
      </c>
      <c r="C4" s="3" t="s">
        <v>6</v>
      </c>
      <c r="D4" s="3" t="s">
        <v>7</v>
      </c>
      <c r="E4" s="3" t="s">
        <v>6</v>
      </c>
      <c r="F4" s="3" t="s">
        <v>7</v>
      </c>
    </row>
    <row r="5" spans="1:15" ht="15.75" hidden="1" thickBot="1" x14ac:dyDescent="0.3">
      <c r="B5" s="2" t="s">
        <v>8</v>
      </c>
      <c r="C5" s="4"/>
      <c r="D5" s="4"/>
      <c r="E5" s="4"/>
      <c r="F5" s="4"/>
    </row>
    <row r="6" spans="1:15" ht="15.75" hidden="1" thickBot="1" x14ac:dyDescent="0.3">
      <c r="B6" s="2" t="s">
        <v>9</v>
      </c>
      <c r="C6" s="4"/>
      <c r="D6" s="4"/>
      <c r="E6" s="4"/>
      <c r="F6" s="4"/>
    </row>
    <row r="7" spans="1:15" ht="15.75" hidden="1" thickBot="1" x14ac:dyDescent="0.3">
      <c r="B7" s="2" t="s">
        <v>10</v>
      </c>
      <c r="C7" s="4"/>
      <c r="D7" s="4"/>
      <c r="E7" s="4"/>
      <c r="F7" s="4"/>
      <c r="H7" s="5"/>
    </row>
    <row r="8" spans="1:15" ht="15.75" hidden="1" thickBot="1" x14ac:dyDescent="0.3">
      <c r="B8" s="2" t="s">
        <v>11</v>
      </c>
      <c r="C8" s="6"/>
      <c r="D8" s="6"/>
      <c r="E8" s="6"/>
      <c r="F8" s="6"/>
    </row>
    <row r="9" spans="1:15" ht="15.75" hidden="1" thickBot="1" x14ac:dyDescent="0.3">
      <c r="B9" s="2"/>
      <c r="C9" s="6"/>
      <c r="D9" s="6"/>
      <c r="E9" s="6"/>
      <c r="F9" s="6"/>
    </row>
    <row r="10" spans="1:15" ht="15.75" hidden="1" thickBot="1" x14ac:dyDescent="0.3">
      <c r="B10" s="2" t="s">
        <v>12</v>
      </c>
      <c r="C10" s="4"/>
      <c r="D10" s="6"/>
      <c r="E10" s="4"/>
      <c r="F10" s="6"/>
    </row>
    <row r="11" spans="1:15" ht="15.75" thickBot="1" x14ac:dyDescent="0.3">
      <c r="B11" s="7"/>
      <c r="J11" s="32" t="s">
        <v>4</v>
      </c>
      <c r="K11" s="32"/>
      <c r="L11" s="32"/>
      <c r="M11" s="32"/>
      <c r="N11" s="32"/>
      <c r="O11" s="32"/>
    </row>
    <row r="12" spans="1:15" ht="15.75" thickBot="1" x14ac:dyDescent="0.3">
      <c r="A12" s="8" t="s">
        <v>13</v>
      </c>
      <c r="B12" s="7" t="s">
        <v>14</v>
      </c>
      <c r="C12" s="9" t="s">
        <v>15</v>
      </c>
      <c r="D12" s="9" t="s">
        <v>16</v>
      </c>
      <c r="E12" s="9" t="s">
        <v>17</v>
      </c>
      <c r="F12" s="2" t="s">
        <v>18</v>
      </c>
      <c r="G12" s="10"/>
      <c r="H12" s="11"/>
      <c r="J12" s="9" t="s">
        <v>8</v>
      </c>
      <c r="K12" s="9" t="s">
        <v>9</v>
      </c>
      <c r="L12" s="9" t="s">
        <v>10</v>
      </c>
      <c r="M12" s="2" t="s">
        <v>11</v>
      </c>
      <c r="N12" s="11"/>
      <c r="O12" s="11"/>
    </row>
    <row r="13" spans="1:15" x14ac:dyDescent="0.25">
      <c r="A13" s="12">
        <f>'ALL LEVELS'!A13</f>
        <v>1</v>
      </c>
      <c r="B13" s="12" t="str">
        <f>'ALL LEVELS'!B13</f>
        <v>MONDAY</v>
      </c>
      <c r="C13" s="18">
        <v>5.3488372093023253</v>
      </c>
      <c r="D13" s="18">
        <v>17.600000000000001</v>
      </c>
      <c r="E13" s="18">
        <v>26</v>
      </c>
      <c r="F13" s="18">
        <v>8</v>
      </c>
      <c r="G13" s="14"/>
      <c r="H13" s="14"/>
      <c r="J13" s="15">
        <f>SUM(C$13:C13)</f>
        <v>5.3488372093023253</v>
      </c>
      <c r="K13" s="15">
        <f>SUM(D$13:D13)</f>
        <v>17.600000000000001</v>
      </c>
      <c r="L13" s="15">
        <f>SUM(E$13:E13)</f>
        <v>26</v>
      </c>
      <c r="M13" s="15">
        <f>SUM(F$13:F13)</f>
        <v>8</v>
      </c>
      <c r="N13" s="15"/>
      <c r="O13" s="15"/>
    </row>
    <row r="14" spans="1:15" x14ac:dyDescent="0.25">
      <c r="A14" s="12">
        <f>'ALL LEVELS'!A14</f>
        <v>2</v>
      </c>
      <c r="B14" s="12" t="str">
        <f>'ALL LEVELS'!B14</f>
        <v>TUESDAY</v>
      </c>
      <c r="C14" s="18"/>
      <c r="D14" s="18"/>
      <c r="E14" s="18"/>
      <c r="F14" s="18"/>
      <c r="G14" s="14"/>
      <c r="H14" s="14"/>
      <c r="J14" s="15">
        <f>SUM(C$13:C14)</f>
        <v>5.3488372093023253</v>
      </c>
      <c r="K14" s="15">
        <f>SUM(D$13:D14)</f>
        <v>17.600000000000001</v>
      </c>
      <c r="L14" s="15">
        <f>SUM(E$13:E14)</f>
        <v>26</v>
      </c>
      <c r="M14" s="15">
        <f>SUM(F$13:F14)</f>
        <v>8</v>
      </c>
      <c r="N14" s="15"/>
      <c r="O14" s="15"/>
    </row>
    <row r="15" spans="1:15" x14ac:dyDescent="0.25">
      <c r="A15" s="12">
        <f>'ALL LEVELS'!A15</f>
        <v>3</v>
      </c>
      <c r="B15" s="12" t="str">
        <f>'ALL LEVELS'!B15</f>
        <v>WEDNESDAY</v>
      </c>
      <c r="C15" s="18">
        <v>5.3488372093023253</v>
      </c>
      <c r="D15" s="18">
        <v>17.600000000000001</v>
      </c>
      <c r="E15" s="18">
        <v>26</v>
      </c>
      <c r="F15" s="18">
        <v>10</v>
      </c>
      <c r="G15" s="14"/>
      <c r="H15" s="14"/>
      <c r="J15" s="15">
        <f>SUM(C$13:C15)</f>
        <v>10.697674418604651</v>
      </c>
      <c r="K15" s="15">
        <f>SUM(D$13:D15)</f>
        <v>35.200000000000003</v>
      </c>
      <c r="L15" s="15">
        <f>SUM(E$13:E15)</f>
        <v>52</v>
      </c>
      <c r="M15" s="15">
        <f>SUM(F$13:F15)</f>
        <v>18</v>
      </c>
      <c r="N15" s="15"/>
      <c r="O15" s="15"/>
    </row>
    <row r="16" spans="1:15" x14ac:dyDescent="0.25">
      <c r="A16" s="12">
        <f>'ALL LEVELS'!A16</f>
        <v>4</v>
      </c>
      <c r="B16" s="12" t="str">
        <f>'ALL LEVELS'!B16</f>
        <v>THURSDAY</v>
      </c>
      <c r="C16" s="18"/>
      <c r="D16" s="18"/>
      <c r="E16" s="18"/>
      <c r="F16" s="18"/>
      <c r="G16" s="14"/>
      <c r="H16" s="14"/>
      <c r="J16" s="15">
        <f>SUM(C$13:C16)</f>
        <v>10.697674418604651</v>
      </c>
      <c r="K16" s="15">
        <f>SUM(D$13:D16)</f>
        <v>35.200000000000003</v>
      </c>
      <c r="L16" s="15">
        <f>SUM(E$13:E16)</f>
        <v>52</v>
      </c>
      <c r="M16" s="15">
        <f>SUM(F$13:F16)</f>
        <v>18</v>
      </c>
      <c r="N16" s="15"/>
      <c r="O16" s="15"/>
    </row>
    <row r="17" spans="1:15" x14ac:dyDescent="0.25">
      <c r="A17" s="12">
        <f>'ALL LEVELS'!A17</f>
        <v>5</v>
      </c>
      <c r="B17" s="12" t="str">
        <f>'ALL LEVELS'!B17</f>
        <v>FRIDAY</v>
      </c>
      <c r="C17" s="18">
        <v>5.2325581395348832</v>
      </c>
      <c r="D17" s="18">
        <v>16.8</v>
      </c>
      <c r="E17" s="18">
        <v>25</v>
      </c>
      <c r="F17" s="18">
        <v>8</v>
      </c>
      <c r="G17" s="14"/>
      <c r="H17" s="14"/>
      <c r="J17" s="15">
        <f>SUM(C$13:C17)</f>
        <v>15.930232558139533</v>
      </c>
      <c r="K17" s="15">
        <f>SUM(D$13:D17)</f>
        <v>52</v>
      </c>
      <c r="L17" s="15">
        <f>SUM(E$13:E17)</f>
        <v>77</v>
      </c>
      <c r="M17" s="15">
        <f>SUM(F$13:F17)</f>
        <v>26</v>
      </c>
      <c r="N17" s="15"/>
      <c r="O17" s="15"/>
    </row>
    <row r="18" spans="1:15" x14ac:dyDescent="0.25">
      <c r="A18" s="12">
        <f>'ALL LEVELS'!A18</f>
        <v>6</v>
      </c>
      <c r="B18" s="12" t="str">
        <f>'ALL LEVELS'!B18</f>
        <v>SATURDAY</v>
      </c>
      <c r="C18" s="18"/>
      <c r="D18" s="18"/>
      <c r="E18" s="18"/>
      <c r="F18" s="18"/>
      <c r="G18" s="14"/>
      <c r="H18" s="14"/>
      <c r="J18" s="15">
        <f>SUM(C$13:C18)</f>
        <v>15.930232558139533</v>
      </c>
      <c r="K18" s="15">
        <f>SUM(D$13:D18)</f>
        <v>52</v>
      </c>
      <c r="L18" s="15">
        <f>SUM(E$13:E18)</f>
        <v>77</v>
      </c>
      <c r="M18" s="15">
        <f>SUM(F$13:F18)</f>
        <v>26</v>
      </c>
      <c r="N18" s="15"/>
      <c r="O18" s="15"/>
    </row>
    <row r="19" spans="1:15" x14ac:dyDescent="0.25">
      <c r="A19" s="12">
        <f>'ALL LEVELS'!A19</f>
        <v>7</v>
      </c>
      <c r="B19" s="12" t="str">
        <f>'ALL LEVELS'!B19</f>
        <v>SUNDAY</v>
      </c>
      <c r="C19" s="18"/>
      <c r="D19" s="18"/>
      <c r="E19" s="18"/>
      <c r="F19" s="18"/>
      <c r="G19" s="14"/>
      <c r="H19" s="14"/>
      <c r="J19" s="15">
        <f>SUM(C$13:C19)</f>
        <v>15.930232558139533</v>
      </c>
      <c r="K19" s="15">
        <f>SUM(D$13:D19)</f>
        <v>52</v>
      </c>
      <c r="L19" s="15">
        <f>SUM(E$13:E19)</f>
        <v>77</v>
      </c>
      <c r="M19" s="15">
        <f>SUM(F$13:F19)</f>
        <v>26</v>
      </c>
      <c r="N19" s="15"/>
      <c r="O19" s="15"/>
    </row>
    <row r="20" spans="1:15" x14ac:dyDescent="0.25">
      <c r="A20" s="12">
        <f>'ALL LEVELS'!A20</f>
        <v>8</v>
      </c>
      <c r="B20" s="12" t="str">
        <f>'ALL LEVELS'!B20</f>
        <v>MONDAY</v>
      </c>
      <c r="C20" s="18">
        <v>5.3488372093023253</v>
      </c>
      <c r="D20" s="18">
        <v>17.600000000000001</v>
      </c>
      <c r="E20" s="18">
        <v>26</v>
      </c>
      <c r="F20" s="18">
        <v>8</v>
      </c>
      <c r="G20" s="14"/>
      <c r="H20" s="14"/>
      <c r="J20" s="15">
        <f>SUM(C$13:C20)</f>
        <v>21.279069767441857</v>
      </c>
      <c r="K20" s="15">
        <f>SUM(D$13:D20)</f>
        <v>69.599999999999994</v>
      </c>
      <c r="L20" s="15">
        <f>SUM(E$13:E20)</f>
        <v>103</v>
      </c>
      <c r="M20" s="15">
        <f>SUM(F$13:F20)</f>
        <v>34</v>
      </c>
      <c r="N20" s="15"/>
      <c r="O20" s="15"/>
    </row>
    <row r="21" spans="1:15" x14ac:dyDescent="0.25">
      <c r="A21" s="12">
        <f>'ALL LEVELS'!A21</f>
        <v>9</v>
      </c>
      <c r="B21" s="12" t="str">
        <f>'ALL LEVELS'!B21</f>
        <v>TUESDAY</v>
      </c>
      <c r="C21" s="18"/>
      <c r="D21" s="18"/>
      <c r="E21" s="18"/>
      <c r="F21" s="18"/>
      <c r="G21" s="14"/>
      <c r="H21" s="14"/>
      <c r="J21" s="15">
        <f>SUM(C$13:C21)</f>
        <v>21.279069767441857</v>
      </c>
      <c r="K21" s="15">
        <f>SUM(D$13:D21)</f>
        <v>69.599999999999994</v>
      </c>
      <c r="L21" s="15">
        <f>SUM(E$13:E21)</f>
        <v>103</v>
      </c>
      <c r="M21" s="15">
        <f>SUM(F$13:F21)</f>
        <v>34</v>
      </c>
      <c r="N21" s="15"/>
      <c r="O21" s="15"/>
    </row>
    <row r="22" spans="1:15" x14ac:dyDescent="0.25">
      <c r="A22" s="12">
        <f>'ALL LEVELS'!A22</f>
        <v>10</v>
      </c>
      <c r="B22" s="12" t="str">
        <f>'ALL LEVELS'!B22</f>
        <v>WEDNESDAY</v>
      </c>
      <c r="C22" s="18">
        <v>5.6976744186046515</v>
      </c>
      <c r="D22" s="18">
        <v>20</v>
      </c>
      <c r="E22" s="18">
        <v>29</v>
      </c>
      <c r="F22" s="18">
        <v>8</v>
      </c>
      <c r="G22" s="14"/>
      <c r="H22" s="14"/>
      <c r="J22" s="15">
        <f>SUM(C$13:C22)</f>
        <v>26.97674418604651</v>
      </c>
      <c r="K22" s="15">
        <f>SUM(D$13:D22)</f>
        <v>89.6</v>
      </c>
      <c r="L22" s="15">
        <f>SUM(E$13:E22)</f>
        <v>132</v>
      </c>
      <c r="M22" s="15">
        <f>SUM(F$13:F22)</f>
        <v>42</v>
      </c>
      <c r="N22" s="15"/>
      <c r="O22" s="15"/>
    </row>
    <row r="23" spans="1:15" x14ac:dyDescent="0.25">
      <c r="A23" s="12">
        <f>'ALL LEVELS'!A23</f>
        <v>11</v>
      </c>
      <c r="B23" s="12" t="str">
        <f>'ALL LEVELS'!B23</f>
        <v>THURSDAY</v>
      </c>
      <c r="C23" s="18">
        <v>4.4186046511627906</v>
      </c>
      <c r="D23" s="18">
        <v>13.2</v>
      </c>
      <c r="E23" s="18">
        <v>26</v>
      </c>
      <c r="F23" s="18">
        <v>10</v>
      </c>
      <c r="G23" s="14"/>
      <c r="H23" s="14"/>
      <c r="J23" s="15">
        <f>SUM(C$13:C23)</f>
        <v>31.395348837209301</v>
      </c>
      <c r="K23" s="15">
        <f>SUM(D$13:D23)</f>
        <v>102.8</v>
      </c>
      <c r="L23" s="15">
        <f>SUM(E$13:E23)</f>
        <v>158</v>
      </c>
      <c r="M23" s="15">
        <f>SUM(F$13:F23)</f>
        <v>52</v>
      </c>
      <c r="N23" s="15"/>
      <c r="O23" s="15"/>
    </row>
    <row r="24" spans="1:15" x14ac:dyDescent="0.25">
      <c r="A24" s="12">
        <f>'ALL LEVELS'!A24</f>
        <v>12</v>
      </c>
      <c r="B24" s="12" t="str">
        <f>'ALL LEVELS'!B24</f>
        <v>FRIDAY</v>
      </c>
      <c r="C24" s="18"/>
      <c r="D24" s="18"/>
      <c r="E24" s="18"/>
      <c r="F24" s="18"/>
      <c r="G24" s="14"/>
      <c r="H24" s="14"/>
      <c r="J24" s="15">
        <f>SUM(C$13:C24)</f>
        <v>31.395348837209301</v>
      </c>
      <c r="K24" s="15">
        <f>SUM(D$13:D24)</f>
        <v>102.8</v>
      </c>
      <c r="L24" s="15">
        <f>SUM(E$13:E24)</f>
        <v>158</v>
      </c>
      <c r="M24" s="15">
        <f>SUM(F$13:F24)</f>
        <v>52</v>
      </c>
      <c r="N24" s="15"/>
      <c r="O24" s="15"/>
    </row>
    <row r="25" spans="1:15" x14ac:dyDescent="0.25">
      <c r="A25" s="12">
        <f>'ALL LEVELS'!A25</f>
        <v>13</v>
      </c>
      <c r="B25" s="12" t="str">
        <f>'ALL LEVELS'!B25</f>
        <v>SATURDAY</v>
      </c>
      <c r="C25" s="18"/>
      <c r="D25" s="18"/>
      <c r="E25" s="18"/>
      <c r="F25" s="18"/>
      <c r="G25" s="14"/>
      <c r="H25" s="14"/>
      <c r="J25" s="15">
        <f>SUM(C$13:C25)</f>
        <v>31.395348837209301</v>
      </c>
      <c r="K25" s="15">
        <f>SUM(D$13:D25)</f>
        <v>102.8</v>
      </c>
      <c r="L25" s="15">
        <f>SUM(E$13:E25)</f>
        <v>158</v>
      </c>
      <c r="M25" s="15">
        <f>SUM(F$13:F25)</f>
        <v>52</v>
      </c>
      <c r="N25" s="15"/>
      <c r="O25" s="15"/>
    </row>
    <row r="26" spans="1:15" x14ac:dyDescent="0.25">
      <c r="A26" s="12">
        <f>'ALL LEVELS'!A26</f>
        <v>14</v>
      </c>
      <c r="B26" s="12" t="str">
        <f>'ALL LEVELS'!B26</f>
        <v>SUNDAY</v>
      </c>
      <c r="C26" s="18"/>
      <c r="D26" s="18"/>
      <c r="E26" s="18"/>
      <c r="F26" s="18"/>
      <c r="G26" s="14"/>
      <c r="H26" s="14"/>
      <c r="J26" s="15">
        <f>SUM(C$13:C26)</f>
        <v>31.395348837209301</v>
      </c>
      <c r="K26" s="15">
        <f>SUM(D$13:D26)</f>
        <v>102.8</v>
      </c>
      <c r="L26" s="15">
        <f>SUM(E$13:E26)</f>
        <v>158</v>
      </c>
      <c r="M26" s="15">
        <f>SUM(F$13:F26)</f>
        <v>52</v>
      </c>
      <c r="N26" s="15"/>
      <c r="O26" s="15"/>
    </row>
    <row r="27" spans="1:15" x14ac:dyDescent="0.25">
      <c r="A27" s="12">
        <f>'ALL LEVELS'!A27</f>
        <v>15</v>
      </c>
      <c r="B27" s="12" t="str">
        <f>'ALL LEVELS'!B27</f>
        <v>MONDAY</v>
      </c>
      <c r="C27" s="18">
        <v>3.9534883720930232</v>
      </c>
      <c r="D27" s="18">
        <v>27.2</v>
      </c>
      <c r="E27" s="18">
        <v>34</v>
      </c>
      <c r="F27" s="18">
        <v>15</v>
      </c>
      <c r="G27" s="14"/>
      <c r="H27" s="14"/>
      <c r="J27" s="15">
        <f>SUM(C$13:C27)</f>
        <v>35.348837209302324</v>
      </c>
      <c r="K27" s="15">
        <f>SUM(D$13:D27)</f>
        <v>130</v>
      </c>
      <c r="L27" s="15">
        <f>SUM(E$13:E27)</f>
        <v>192</v>
      </c>
      <c r="M27" s="15">
        <f>SUM(F$13:F27)</f>
        <v>67</v>
      </c>
      <c r="N27" s="15"/>
      <c r="O27" s="15"/>
    </row>
    <row r="28" spans="1:15" x14ac:dyDescent="0.25">
      <c r="A28" s="12">
        <f>'ALL LEVELS'!A28</f>
        <v>16</v>
      </c>
      <c r="B28" s="12" t="str">
        <f>'ALL LEVELS'!B28</f>
        <v>TUESDAY</v>
      </c>
      <c r="C28" s="18">
        <v>5.5813953488372094</v>
      </c>
      <c r="D28" s="18">
        <v>28.8</v>
      </c>
      <c r="E28" s="18">
        <v>48</v>
      </c>
      <c r="F28" s="18">
        <v>15</v>
      </c>
      <c r="G28" s="14"/>
      <c r="H28" s="14"/>
      <c r="J28" s="15">
        <f>SUM(C$13:C28)</f>
        <v>40.930232558139537</v>
      </c>
      <c r="K28" s="15">
        <f>SUM(D$13:D28)</f>
        <v>158.80000000000001</v>
      </c>
      <c r="L28" s="15">
        <f>SUM(E$13:E28)</f>
        <v>240</v>
      </c>
      <c r="M28" s="15">
        <f>SUM(F$13:F28)</f>
        <v>82</v>
      </c>
      <c r="N28" s="15"/>
      <c r="O28" s="15"/>
    </row>
    <row r="29" spans="1:15" x14ac:dyDescent="0.25">
      <c r="A29" s="12">
        <f>'ALL LEVELS'!A29</f>
        <v>17</v>
      </c>
      <c r="B29" s="12" t="str">
        <f>'ALL LEVELS'!B29</f>
        <v>WEDNESDAY</v>
      </c>
      <c r="C29" s="18">
        <v>7.558139534883721</v>
      </c>
      <c r="D29" s="18">
        <v>50</v>
      </c>
      <c r="E29" s="18">
        <v>65</v>
      </c>
      <c r="F29" s="18">
        <v>23</v>
      </c>
      <c r="G29" s="14"/>
      <c r="H29" s="14"/>
      <c r="J29" s="15">
        <f>SUM(C$13:C29)</f>
        <v>48.488372093023258</v>
      </c>
      <c r="K29" s="15">
        <f>SUM(D$13:D29)</f>
        <v>208.8</v>
      </c>
      <c r="L29" s="15">
        <f>SUM(E$13:E29)</f>
        <v>305</v>
      </c>
      <c r="M29" s="15">
        <f>SUM(F$13:F29)</f>
        <v>105</v>
      </c>
      <c r="N29" s="15"/>
      <c r="O29" s="15"/>
    </row>
    <row r="30" spans="1:15" x14ac:dyDescent="0.25">
      <c r="A30" s="12">
        <f>'ALL LEVELS'!A30</f>
        <v>18</v>
      </c>
      <c r="B30" s="12" t="str">
        <f>'ALL LEVELS'!B30</f>
        <v>THURSDAY</v>
      </c>
      <c r="C30" s="18"/>
      <c r="D30" s="18"/>
      <c r="E30" s="18"/>
      <c r="F30" s="18"/>
      <c r="G30" s="14"/>
      <c r="H30" s="14"/>
      <c r="J30" s="15">
        <f>SUM(C$13:C30)</f>
        <v>48.488372093023258</v>
      </c>
      <c r="K30" s="15">
        <f>SUM(D$13:D30)</f>
        <v>208.8</v>
      </c>
      <c r="L30" s="15">
        <f>SUM(E$13:E30)</f>
        <v>305</v>
      </c>
      <c r="M30" s="15">
        <f>SUM(F$13:F30)</f>
        <v>105</v>
      </c>
      <c r="N30" s="15"/>
      <c r="O30" s="15"/>
    </row>
    <row r="31" spans="1:15" x14ac:dyDescent="0.25">
      <c r="A31" s="12">
        <f>'ALL LEVELS'!A31</f>
        <v>19</v>
      </c>
      <c r="B31" s="12" t="str">
        <f>'ALL LEVELS'!B31</f>
        <v>FRIDAY</v>
      </c>
      <c r="C31" s="18"/>
      <c r="D31" s="18"/>
      <c r="E31" s="18"/>
      <c r="F31" s="18"/>
      <c r="G31" s="14"/>
      <c r="H31" s="14"/>
      <c r="J31" s="15">
        <f>SUM(C$13:C31)</f>
        <v>48.488372093023258</v>
      </c>
      <c r="K31" s="15">
        <f>SUM(D$13:D31)</f>
        <v>208.8</v>
      </c>
      <c r="L31" s="15">
        <f>SUM(E$13:E31)</f>
        <v>305</v>
      </c>
      <c r="M31" s="15">
        <f>SUM(F$13:F31)</f>
        <v>105</v>
      </c>
      <c r="N31" s="15"/>
      <c r="O31" s="15"/>
    </row>
    <row r="32" spans="1:15" x14ac:dyDescent="0.25">
      <c r="A32" s="12">
        <f>'ALL LEVELS'!A32</f>
        <v>20</v>
      </c>
      <c r="B32" s="12" t="str">
        <f>'ALL LEVELS'!B32</f>
        <v>SATURDAY</v>
      </c>
      <c r="C32" s="18"/>
      <c r="D32" s="18"/>
      <c r="E32" s="18"/>
      <c r="F32" s="18"/>
      <c r="G32" s="14"/>
      <c r="H32" s="14"/>
      <c r="J32" s="15">
        <f>SUM(C$13:C32)</f>
        <v>48.488372093023258</v>
      </c>
      <c r="K32" s="15">
        <f>SUM(D$13:D32)</f>
        <v>208.8</v>
      </c>
      <c r="L32" s="15">
        <f>SUM(E$13:E32)</f>
        <v>305</v>
      </c>
      <c r="M32" s="15">
        <f>SUM(F$13:F32)</f>
        <v>105</v>
      </c>
      <c r="N32" s="15"/>
      <c r="O32" s="15"/>
    </row>
    <row r="33" spans="1:15" x14ac:dyDescent="0.25">
      <c r="A33" s="12">
        <f>'ALL LEVELS'!A33</f>
        <v>21</v>
      </c>
      <c r="B33" s="12" t="str">
        <f>'ALL LEVELS'!B33</f>
        <v>SUNDAY</v>
      </c>
      <c r="C33" s="18"/>
      <c r="D33" s="18"/>
      <c r="E33" s="18"/>
      <c r="F33" s="18"/>
      <c r="G33" s="14"/>
      <c r="H33" s="14"/>
      <c r="J33" s="15">
        <f>SUM(C$13:C33)</f>
        <v>48.488372093023258</v>
      </c>
      <c r="K33" s="15">
        <f>SUM(D$13:D33)</f>
        <v>208.8</v>
      </c>
      <c r="L33" s="15">
        <f>SUM(E$13:E33)</f>
        <v>305</v>
      </c>
      <c r="M33" s="15">
        <f>SUM(F$13:F33)</f>
        <v>105</v>
      </c>
      <c r="N33" s="15"/>
      <c r="O33" s="15"/>
    </row>
    <row r="34" spans="1:15" x14ac:dyDescent="0.25">
      <c r="A34" s="12">
        <f>'ALL LEVELS'!A34</f>
        <v>22</v>
      </c>
      <c r="B34" s="12" t="str">
        <f>'ALL LEVELS'!B34</f>
        <v>MONDAY</v>
      </c>
      <c r="C34" s="18"/>
      <c r="D34" s="18"/>
      <c r="E34" s="18"/>
      <c r="F34" s="18"/>
      <c r="G34" s="14"/>
      <c r="H34" s="14"/>
      <c r="J34" s="15">
        <f>SUM(C$13:C34)</f>
        <v>48.488372093023258</v>
      </c>
      <c r="K34" s="15">
        <f>SUM(D$13:D34)</f>
        <v>208.8</v>
      </c>
      <c r="L34" s="15">
        <f>SUM(E$13:E34)</f>
        <v>305</v>
      </c>
      <c r="M34" s="15">
        <f>SUM(F$13:F34)</f>
        <v>105</v>
      </c>
      <c r="N34" s="15"/>
      <c r="O34" s="15"/>
    </row>
    <row r="35" spans="1:15" x14ac:dyDescent="0.25">
      <c r="A35" s="12">
        <f>'ALL LEVELS'!A35</f>
        <v>23</v>
      </c>
      <c r="B35" s="12" t="str">
        <f>'ALL LEVELS'!B35</f>
        <v>TUESDAY</v>
      </c>
      <c r="C35" s="18"/>
      <c r="D35" s="18"/>
      <c r="E35" s="18"/>
      <c r="F35" s="18"/>
      <c r="G35" s="14"/>
      <c r="H35" s="14"/>
      <c r="J35" s="15">
        <f>SUM(C$13:C35)</f>
        <v>48.488372093023258</v>
      </c>
      <c r="K35" s="15">
        <f>SUM(D$13:D35)</f>
        <v>208.8</v>
      </c>
      <c r="L35" s="15">
        <f>SUM(E$13:E35)</f>
        <v>305</v>
      </c>
      <c r="M35" s="15">
        <f>SUM(F$13:F35)</f>
        <v>105</v>
      </c>
      <c r="N35" s="15"/>
      <c r="O35" s="15"/>
    </row>
    <row r="36" spans="1:15" x14ac:dyDescent="0.25">
      <c r="A36" s="12">
        <f>'ALL LEVELS'!A36</f>
        <v>24</v>
      </c>
      <c r="B36" s="12" t="str">
        <f>'ALL LEVELS'!B36</f>
        <v>WEDNESDAY</v>
      </c>
      <c r="C36" s="18"/>
      <c r="D36" s="18"/>
      <c r="E36" s="18"/>
      <c r="F36" s="18"/>
      <c r="G36" s="14"/>
      <c r="H36" s="14"/>
      <c r="J36" s="15">
        <f>SUM(C$13:C36)</f>
        <v>48.488372093023258</v>
      </c>
      <c r="K36" s="15">
        <f>SUM(D$13:D36)</f>
        <v>208.8</v>
      </c>
      <c r="L36" s="15">
        <f>SUM(E$13:E36)</f>
        <v>305</v>
      </c>
      <c r="M36" s="15">
        <f>SUM(F$13:F36)</f>
        <v>105</v>
      </c>
      <c r="N36" s="15"/>
      <c r="O36" s="15"/>
    </row>
    <row r="37" spans="1:15" x14ac:dyDescent="0.25">
      <c r="A37" s="12">
        <f>'ALL LEVELS'!A37</f>
        <v>25</v>
      </c>
      <c r="B37" s="12" t="str">
        <f>'ALL LEVELS'!B37</f>
        <v>THURSDAY</v>
      </c>
      <c r="C37" s="18"/>
      <c r="D37" s="18"/>
      <c r="E37" s="18"/>
      <c r="F37" s="18"/>
      <c r="G37" s="14"/>
      <c r="H37" s="14"/>
      <c r="J37" s="15">
        <f>SUM(C$13:C37)</f>
        <v>48.488372093023258</v>
      </c>
      <c r="K37" s="15">
        <f>SUM(D$13:D37)</f>
        <v>208.8</v>
      </c>
      <c r="L37" s="15">
        <f>SUM(E$13:E37)</f>
        <v>305</v>
      </c>
      <c r="M37" s="15">
        <f>SUM(F$13:F37)</f>
        <v>105</v>
      </c>
      <c r="N37" s="15"/>
      <c r="O37" s="15"/>
    </row>
    <row r="38" spans="1:15" x14ac:dyDescent="0.25">
      <c r="A38" s="12">
        <f>'ALL LEVELS'!A38</f>
        <v>26</v>
      </c>
      <c r="B38" s="12" t="str">
        <f>'ALL LEVELS'!B38</f>
        <v>FRIDAY</v>
      </c>
      <c r="C38" s="18"/>
      <c r="D38" s="18"/>
      <c r="E38" s="18"/>
      <c r="F38" s="18"/>
      <c r="G38" s="14"/>
      <c r="H38" s="14"/>
      <c r="J38" s="15">
        <f>SUM(C$13:C38)</f>
        <v>48.488372093023258</v>
      </c>
      <c r="K38" s="15">
        <f>SUM(D$13:D38)</f>
        <v>208.8</v>
      </c>
      <c r="L38" s="15">
        <f>SUM(E$13:E38)</f>
        <v>305</v>
      </c>
      <c r="M38" s="15">
        <f>SUM(F$13:F38)</f>
        <v>105</v>
      </c>
      <c r="N38" s="15"/>
      <c r="O38" s="15"/>
    </row>
    <row r="39" spans="1:15" x14ac:dyDescent="0.25">
      <c r="A39" s="12">
        <f>'ALL LEVELS'!A39</f>
        <v>27</v>
      </c>
      <c r="B39" s="12" t="str">
        <f>'ALL LEVELS'!B39</f>
        <v>SATURDAY</v>
      </c>
      <c r="C39" s="18"/>
      <c r="D39" s="18"/>
      <c r="E39" s="18"/>
      <c r="F39" s="18"/>
      <c r="G39" s="14"/>
      <c r="H39" s="14"/>
      <c r="J39" s="15">
        <f>SUM(C$13:C39)</f>
        <v>48.488372093023258</v>
      </c>
      <c r="K39" s="15">
        <f>SUM(D$13:D39)</f>
        <v>208.8</v>
      </c>
      <c r="L39" s="15">
        <f>SUM(E$13:E39)</f>
        <v>305</v>
      </c>
      <c r="M39" s="15">
        <f>SUM(F$13:F39)</f>
        <v>105</v>
      </c>
      <c r="N39" s="15"/>
      <c r="O39" s="15"/>
    </row>
    <row r="40" spans="1:15" x14ac:dyDescent="0.25">
      <c r="A40" s="12">
        <f>'ALL LEVELS'!A40</f>
        <v>28</v>
      </c>
      <c r="B40" s="12" t="str">
        <f>'ALL LEVELS'!B40</f>
        <v>SUNDAY</v>
      </c>
      <c r="C40" s="18"/>
      <c r="D40" s="18"/>
      <c r="E40" s="18"/>
      <c r="F40" s="18"/>
      <c r="G40" s="14"/>
      <c r="H40" s="14"/>
      <c r="J40" s="15">
        <f>SUM(C$13:C40)</f>
        <v>48.488372093023258</v>
      </c>
      <c r="K40" s="15">
        <f>SUM(D$13:D40)</f>
        <v>208.8</v>
      </c>
      <c r="L40" s="15">
        <f>SUM(E$13:E40)</f>
        <v>305</v>
      </c>
      <c r="M40" s="15">
        <f>SUM(F$13:F40)</f>
        <v>105</v>
      </c>
      <c r="N40" s="15"/>
      <c r="O40" s="15"/>
    </row>
    <row r="41" spans="1:15" x14ac:dyDescent="0.25">
      <c r="A41" s="12">
        <f>'ALL LEVELS'!A41</f>
        <v>29</v>
      </c>
      <c r="B41" s="12" t="str">
        <f>'ALL LEVELS'!B41</f>
        <v>MONDAY</v>
      </c>
      <c r="C41" s="18"/>
      <c r="D41" s="18"/>
      <c r="E41" s="18"/>
      <c r="F41" s="18"/>
      <c r="G41" s="14"/>
      <c r="H41" s="14"/>
      <c r="J41" s="15"/>
      <c r="K41" s="15"/>
      <c r="L41" s="15"/>
      <c r="M41" s="15"/>
      <c r="N41" s="15"/>
      <c r="O41" s="15"/>
    </row>
    <row r="42" spans="1:15" x14ac:dyDescent="0.25">
      <c r="A42" s="12">
        <f>'ALL LEVELS'!A42</f>
        <v>30</v>
      </c>
      <c r="B42" s="12" t="str">
        <f>'ALL LEVELS'!B42</f>
        <v>TUESDAY</v>
      </c>
      <c r="C42" s="18"/>
      <c r="D42" s="18"/>
      <c r="E42" s="18"/>
      <c r="F42" s="18"/>
      <c r="G42" s="14"/>
      <c r="H42" s="14"/>
      <c r="J42" s="15">
        <f>SUM(C$13:C42)</f>
        <v>48.488372093023258</v>
      </c>
      <c r="K42" s="15">
        <f>SUM(D$13:D42)</f>
        <v>208.8</v>
      </c>
      <c r="L42" s="15">
        <f>SUM(E$13:E42)</f>
        <v>305</v>
      </c>
      <c r="M42" s="15">
        <f>SUM(F$13:F42)</f>
        <v>105</v>
      </c>
      <c r="N42" s="15"/>
      <c r="O42" s="15"/>
    </row>
    <row r="43" spans="1:15" x14ac:dyDescent="0.25">
      <c r="A43" s="12">
        <f>'ALL LEVELS'!A43</f>
        <v>31</v>
      </c>
      <c r="B43" s="12" t="str">
        <f>'ALL LEVELS'!B43</f>
        <v>WEDNESDAY</v>
      </c>
      <c r="C43" s="18"/>
      <c r="D43" s="18"/>
      <c r="E43" s="18"/>
      <c r="F43" s="18"/>
      <c r="G43" s="14"/>
      <c r="H43" s="14"/>
      <c r="J43" s="15">
        <f>SUM(C$13:C43)</f>
        <v>48.488372093023258</v>
      </c>
      <c r="K43" s="15">
        <f>SUM(D$13:D43)</f>
        <v>208.8</v>
      </c>
      <c r="L43" s="15">
        <f>SUM(E$13:E43)</f>
        <v>305</v>
      </c>
      <c r="M43" s="15">
        <f>SUM(F$13:F43)</f>
        <v>105</v>
      </c>
      <c r="N43" s="15"/>
      <c r="O43" s="15"/>
    </row>
    <row r="44" spans="1:15" x14ac:dyDescent="0.25">
      <c r="B44" s="7"/>
      <c r="C44" s="19">
        <f t="shared" ref="C44:H44" si="0">SUBTOTAL(109,C13:C43)</f>
        <v>48.488372093023258</v>
      </c>
      <c r="D44" s="19">
        <f t="shared" si="0"/>
        <v>208.8</v>
      </c>
      <c r="E44" s="19">
        <f t="shared" si="0"/>
        <v>305</v>
      </c>
      <c r="F44" s="19">
        <f t="shared" si="0"/>
        <v>105</v>
      </c>
      <c r="G44" s="16">
        <f t="shared" si="0"/>
        <v>0</v>
      </c>
      <c r="H44" s="16">
        <f t="shared" si="0"/>
        <v>0</v>
      </c>
    </row>
    <row r="45" spans="1:15" x14ac:dyDescent="0.25">
      <c r="B45" s="7"/>
    </row>
  </sheetData>
  <mergeCells count="3">
    <mergeCell ref="C3:D3"/>
    <mergeCell ref="E3:F3"/>
    <mergeCell ref="J11:O11"/>
  </mergeCells>
  <phoneticPr fontId="5" type="noConversion"/>
  <conditionalFormatting sqref="B13:B43">
    <cfRule type="containsText" dxfId="9" priority="2" operator="containsText" text="SUNDAY">
      <formula>NOT(ISERROR(SEARCH("SUNDAY",B13)))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O45"/>
  <sheetViews>
    <sheetView zoomScale="115" zoomScaleNormal="115" workbookViewId="0">
      <pane ySplit="10" topLeftCell="A11" activePane="bottomLeft" state="frozen"/>
      <selection pane="bottomLeft" activeCell="C31" sqref="C31:F31"/>
    </sheetView>
  </sheetViews>
  <sheetFormatPr defaultRowHeight="15" x14ac:dyDescent="0.25"/>
  <cols>
    <col min="2" max="2" width="13.5703125" customWidth="1"/>
    <col min="3" max="3" width="14.7109375" bestFit="1" customWidth="1"/>
    <col min="4" max="4" width="10.42578125" bestFit="1" customWidth="1"/>
    <col min="5" max="5" width="18.42578125" bestFit="1" customWidth="1"/>
    <col min="6" max="6" width="15.5703125" bestFit="1" customWidth="1"/>
    <col min="7" max="8" width="11.85546875" customWidth="1"/>
    <col min="9" max="9" width="5.28515625" customWidth="1"/>
    <col min="10" max="15" width="6.85546875" hidden="1" customWidth="1"/>
    <col min="16" max="16" width="8.42578125" customWidth="1"/>
    <col min="17" max="35" width="5.28515625" customWidth="1"/>
  </cols>
  <sheetData>
    <row r="1" spans="1:15" x14ac:dyDescent="0.25">
      <c r="B1" t="s">
        <v>0</v>
      </c>
      <c r="E1" t="s">
        <v>1</v>
      </c>
      <c r="F1" s="1">
        <f>'ALL LEVELS'!F1</f>
        <v>30</v>
      </c>
      <c r="H1" s="20" t="str">
        <f>'ALL LEVELS'!H1</f>
        <v>Month of JUNE 2026</v>
      </c>
    </row>
    <row r="2" spans="1:15" x14ac:dyDescent="0.25">
      <c r="B2" t="s">
        <v>2</v>
      </c>
      <c r="C2" s="1">
        <f>'ALL LEVELS'!C2</f>
        <v>19</v>
      </c>
      <c r="E2" s="23"/>
      <c r="F2" s="23"/>
    </row>
    <row r="3" spans="1:15" ht="15.75" hidden="1" thickBot="1" x14ac:dyDescent="0.3">
      <c r="C3" s="30" t="s">
        <v>3</v>
      </c>
      <c r="D3" s="30"/>
      <c r="E3" s="31" t="s">
        <v>4</v>
      </c>
      <c r="F3" s="31"/>
    </row>
    <row r="4" spans="1:15" ht="15.75" hidden="1" thickBot="1" x14ac:dyDescent="0.3">
      <c r="B4" s="2" t="s">
        <v>5</v>
      </c>
      <c r="C4" s="3" t="s">
        <v>6</v>
      </c>
      <c r="D4" s="3" t="s">
        <v>7</v>
      </c>
      <c r="E4" s="3" t="s">
        <v>6</v>
      </c>
      <c r="F4" s="3" t="s">
        <v>7</v>
      </c>
    </row>
    <row r="5" spans="1:15" ht="15.75" hidden="1" thickBot="1" x14ac:dyDescent="0.3">
      <c r="B5" s="2" t="s">
        <v>8</v>
      </c>
      <c r="C5" s="4"/>
      <c r="D5" s="4"/>
      <c r="E5" s="4"/>
      <c r="F5" s="4"/>
    </row>
    <row r="6" spans="1:15" ht="15.75" hidden="1" thickBot="1" x14ac:dyDescent="0.3">
      <c r="B6" s="2" t="s">
        <v>9</v>
      </c>
      <c r="C6" s="4"/>
      <c r="D6" s="4"/>
      <c r="E6" s="4"/>
      <c r="F6" s="4"/>
    </row>
    <row r="7" spans="1:15" ht="15.75" hidden="1" thickBot="1" x14ac:dyDescent="0.3">
      <c r="B7" s="2" t="s">
        <v>10</v>
      </c>
      <c r="C7" s="4"/>
      <c r="D7" s="4"/>
      <c r="E7" s="4"/>
      <c r="F7" s="4"/>
      <c r="H7" s="5"/>
    </row>
    <row r="8" spans="1:15" ht="15.75" hidden="1" thickBot="1" x14ac:dyDescent="0.3">
      <c r="B8" s="2" t="s">
        <v>11</v>
      </c>
      <c r="C8" s="6"/>
      <c r="D8" s="6"/>
      <c r="E8" s="6"/>
      <c r="F8" s="6"/>
    </row>
    <row r="9" spans="1:15" ht="15.75" hidden="1" thickBot="1" x14ac:dyDescent="0.3">
      <c r="B9" s="2"/>
      <c r="C9" s="6"/>
      <c r="D9" s="6"/>
      <c r="E9" s="6"/>
      <c r="F9" s="6"/>
    </row>
    <row r="10" spans="1:15" ht="15.75" hidden="1" thickBot="1" x14ac:dyDescent="0.3">
      <c r="B10" s="2" t="s">
        <v>12</v>
      </c>
      <c r="C10" s="4"/>
      <c r="D10" s="6"/>
      <c r="E10" s="4"/>
      <c r="F10" s="6"/>
    </row>
    <row r="11" spans="1:15" ht="15.75" thickBot="1" x14ac:dyDescent="0.3">
      <c r="B11" s="7"/>
      <c r="J11" s="32" t="s">
        <v>4</v>
      </c>
      <c r="K11" s="32"/>
      <c r="L11" s="32"/>
      <c r="M11" s="32"/>
      <c r="N11" s="32"/>
      <c r="O11" s="32"/>
    </row>
    <row r="12" spans="1:15" ht="15.75" thickBot="1" x14ac:dyDescent="0.3">
      <c r="A12" s="8" t="s">
        <v>13</v>
      </c>
      <c r="B12" s="7" t="s">
        <v>14</v>
      </c>
      <c r="C12" s="9" t="s">
        <v>15</v>
      </c>
      <c r="D12" s="9" t="s">
        <v>16</v>
      </c>
      <c r="E12" s="9" t="s">
        <v>17</v>
      </c>
      <c r="F12" s="2" t="s">
        <v>18</v>
      </c>
      <c r="G12" s="10"/>
      <c r="H12" s="11"/>
      <c r="J12" s="9" t="s">
        <v>8</v>
      </c>
      <c r="K12" s="9" t="s">
        <v>9</v>
      </c>
      <c r="L12" s="9" t="s">
        <v>10</v>
      </c>
      <c r="M12" s="2" t="s">
        <v>11</v>
      </c>
      <c r="N12" s="11"/>
      <c r="O12" s="11"/>
    </row>
    <row r="13" spans="1:15" x14ac:dyDescent="0.25">
      <c r="A13" s="12">
        <f>'ALL LEVELS'!A13</f>
        <v>1</v>
      </c>
      <c r="B13" s="12" t="str">
        <f>'ALL LEVELS'!B13</f>
        <v>MONDAY</v>
      </c>
      <c r="C13" s="18">
        <v>35.697674418604649</v>
      </c>
      <c r="D13" s="18">
        <v>152.60000000000002</v>
      </c>
      <c r="E13" s="18">
        <v>208</v>
      </c>
      <c r="F13" s="18">
        <v>137</v>
      </c>
      <c r="G13" s="14"/>
      <c r="H13" s="14"/>
      <c r="J13" s="15">
        <f>SUM(C$13:C13)</f>
        <v>35.697674418604649</v>
      </c>
      <c r="K13" s="15">
        <f>SUM(D$13:D13)</f>
        <v>152.60000000000002</v>
      </c>
      <c r="L13" s="15">
        <f>SUM(E$13:E13)</f>
        <v>208</v>
      </c>
      <c r="M13" s="15">
        <f>SUM(F$13:F13)</f>
        <v>137</v>
      </c>
      <c r="N13" s="15"/>
      <c r="O13" s="15"/>
    </row>
    <row r="14" spans="1:15" x14ac:dyDescent="0.25">
      <c r="A14" s="12">
        <f>'ALL LEVELS'!A14</f>
        <v>2</v>
      </c>
      <c r="B14" s="12" t="str">
        <f>'ALL LEVELS'!B14</f>
        <v>TUESDAY</v>
      </c>
      <c r="C14" s="18">
        <v>59.883720930232556</v>
      </c>
      <c r="D14" s="18">
        <v>162.40000000000003</v>
      </c>
      <c r="E14" s="18">
        <v>266</v>
      </c>
      <c r="F14" s="18">
        <v>140</v>
      </c>
      <c r="G14" s="14"/>
      <c r="H14" s="14"/>
      <c r="J14" s="15">
        <f>SUM(C$13:C14)</f>
        <v>95.581395348837205</v>
      </c>
      <c r="K14" s="15">
        <f>SUM(D$13:D14)</f>
        <v>315.00000000000006</v>
      </c>
      <c r="L14" s="15">
        <f>SUM(E$13:E14)</f>
        <v>474</v>
      </c>
      <c r="M14" s="15">
        <f>SUM(F$13:F14)</f>
        <v>277</v>
      </c>
      <c r="N14" s="15"/>
      <c r="O14" s="15"/>
    </row>
    <row r="15" spans="1:15" x14ac:dyDescent="0.25">
      <c r="A15" s="12">
        <f>'ALL LEVELS'!A15</f>
        <v>3</v>
      </c>
      <c r="B15" s="12" t="str">
        <f>'ALL LEVELS'!B15</f>
        <v>WEDNESDAY</v>
      </c>
      <c r="C15" s="18">
        <v>42.441860465116278</v>
      </c>
      <c r="D15" s="18">
        <v>63.8</v>
      </c>
      <c r="E15" s="18">
        <v>132</v>
      </c>
      <c r="F15" s="18">
        <v>74</v>
      </c>
      <c r="G15" s="14"/>
      <c r="H15" s="14"/>
      <c r="J15" s="15">
        <f>SUM(C$13:C15)</f>
        <v>138.02325581395348</v>
      </c>
      <c r="K15" s="15">
        <f>SUM(D$13:D15)</f>
        <v>378.80000000000007</v>
      </c>
      <c r="L15" s="15">
        <f>SUM(E$13:E15)</f>
        <v>606</v>
      </c>
      <c r="M15" s="15">
        <f>SUM(F$13:F15)</f>
        <v>351</v>
      </c>
      <c r="N15" s="15"/>
      <c r="O15" s="15"/>
    </row>
    <row r="16" spans="1:15" x14ac:dyDescent="0.25">
      <c r="A16" s="12">
        <f>'ALL LEVELS'!A16</f>
        <v>4</v>
      </c>
      <c r="B16" s="12" t="str">
        <f>'ALL LEVELS'!B16</f>
        <v>THURSDAY</v>
      </c>
      <c r="C16" s="18">
        <v>60.116279069767444</v>
      </c>
      <c r="D16" s="18">
        <v>187.19999999999996</v>
      </c>
      <c r="E16" s="18">
        <v>272</v>
      </c>
      <c r="F16" s="18">
        <v>150</v>
      </c>
      <c r="G16" s="14"/>
      <c r="H16" s="14"/>
      <c r="J16" s="15">
        <f>SUM(C$13:C16)</f>
        <v>198.13953488372093</v>
      </c>
      <c r="K16" s="15">
        <f>SUM(D$13:D16)</f>
        <v>566</v>
      </c>
      <c r="L16" s="15">
        <f>SUM(E$13:E16)</f>
        <v>878</v>
      </c>
      <c r="M16" s="15">
        <f>SUM(F$13:F16)</f>
        <v>501</v>
      </c>
      <c r="N16" s="15"/>
      <c r="O16" s="15"/>
    </row>
    <row r="17" spans="1:15" x14ac:dyDescent="0.25">
      <c r="A17" s="12">
        <f>'ALL LEVELS'!A17</f>
        <v>5</v>
      </c>
      <c r="B17" s="12" t="str">
        <f>'ALL LEVELS'!B17</f>
        <v>FRIDAY</v>
      </c>
      <c r="C17" s="18">
        <v>51.279069767441861</v>
      </c>
      <c r="D17" s="18">
        <v>148.80000000000001</v>
      </c>
      <c r="E17" s="18">
        <v>193</v>
      </c>
      <c r="F17" s="18">
        <v>140</v>
      </c>
      <c r="G17" s="14"/>
      <c r="H17" s="14"/>
      <c r="J17" s="15">
        <f>SUM(C$13:C17)</f>
        <v>249.41860465116278</v>
      </c>
      <c r="K17" s="15">
        <f>SUM(D$13:D17)</f>
        <v>714.8</v>
      </c>
      <c r="L17" s="15">
        <f>SUM(E$13:E17)</f>
        <v>1071</v>
      </c>
      <c r="M17" s="15">
        <f>SUM(F$13:F17)</f>
        <v>641</v>
      </c>
      <c r="N17" s="15"/>
      <c r="O17" s="15"/>
    </row>
    <row r="18" spans="1:15" x14ac:dyDescent="0.25">
      <c r="A18" s="12">
        <f>'ALL LEVELS'!A18</f>
        <v>6</v>
      </c>
      <c r="B18" s="12" t="str">
        <f>'ALL LEVELS'!B18</f>
        <v>SATURDAY</v>
      </c>
      <c r="C18" s="18">
        <v>75.930232558139537</v>
      </c>
      <c r="D18" s="18">
        <v>219.6</v>
      </c>
      <c r="E18" s="18">
        <v>345</v>
      </c>
      <c r="F18" s="18">
        <v>192</v>
      </c>
      <c r="G18" s="14"/>
      <c r="H18" s="14"/>
      <c r="J18" s="15">
        <f>SUM(C$13:C18)</f>
        <v>325.3488372093023</v>
      </c>
      <c r="K18" s="15">
        <f>SUM(D$13:D18)</f>
        <v>934.4</v>
      </c>
      <c r="L18" s="15">
        <f>SUM(E$13:E18)</f>
        <v>1416</v>
      </c>
      <c r="M18" s="15">
        <f>SUM(F$13:F18)</f>
        <v>833</v>
      </c>
      <c r="N18" s="15"/>
      <c r="O18" s="15"/>
    </row>
    <row r="19" spans="1:15" x14ac:dyDescent="0.25">
      <c r="A19" s="12">
        <f>'ALL LEVELS'!A19</f>
        <v>7</v>
      </c>
      <c r="B19" s="12" t="str">
        <f>'ALL LEVELS'!B19</f>
        <v>SUNDAY</v>
      </c>
      <c r="C19" s="18">
        <v>45.697674418604649</v>
      </c>
      <c r="D19" s="18">
        <v>133</v>
      </c>
      <c r="E19" s="18">
        <v>209</v>
      </c>
      <c r="F19" s="18">
        <v>109</v>
      </c>
      <c r="G19" s="14"/>
      <c r="H19" s="14"/>
      <c r="J19" s="15">
        <f>SUM(C$13:C19)</f>
        <v>371.04651162790697</v>
      </c>
      <c r="K19" s="15">
        <f>SUM(D$13:D19)</f>
        <v>1067.4000000000001</v>
      </c>
      <c r="L19" s="15">
        <f>SUM(E$13:E19)</f>
        <v>1625</v>
      </c>
      <c r="M19" s="15">
        <f>SUM(F$13:F19)</f>
        <v>942</v>
      </c>
      <c r="N19" s="15"/>
      <c r="O19" s="15"/>
    </row>
    <row r="20" spans="1:15" x14ac:dyDescent="0.25">
      <c r="A20" s="12">
        <f>'ALL LEVELS'!A20</f>
        <v>8</v>
      </c>
      <c r="B20" s="12" t="str">
        <f>'ALL LEVELS'!B20</f>
        <v>MONDAY</v>
      </c>
      <c r="C20" s="18">
        <v>63.604651162790695</v>
      </c>
      <c r="D20" s="18">
        <v>92.6</v>
      </c>
      <c r="E20" s="18">
        <v>193</v>
      </c>
      <c r="F20" s="18">
        <v>129</v>
      </c>
      <c r="G20" s="14"/>
      <c r="H20" s="14"/>
      <c r="J20" s="15">
        <f>SUM(C$13:C20)</f>
        <v>434.65116279069764</v>
      </c>
      <c r="K20" s="15">
        <f>SUM(D$13:D20)</f>
        <v>1160</v>
      </c>
      <c r="L20" s="15">
        <f>SUM(E$13:E20)</f>
        <v>1818</v>
      </c>
      <c r="M20" s="15">
        <f>SUM(F$13:F20)</f>
        <v>1071</v>
      </c>
      <c r="N20" s="15"/>
      <c r="O20" s="15"/>
    </row>
    <row r="21" spans="1:15" x14ac:dyDescent="0.25">
      <c r="A21" s="12">
        <f>'ALL LEVELS'!A21</f>
        <v>9</v>
      </c>
      <c r="B21" s="12" t="str">
        <f>'ALL LEVELS'!B21</f>
        <v>TUESDAY</v>
      </c>
      <c r="C21" s="18">
        <v>67.674418604651166</v>
      </c>
      <c r="D21" s="18">
        <v>173.79999999999998</v>
      </c>
      <c r="E21" s="18">
        <v>278</v>
      </c>
      <c r="F21" s="18">
        <v>155</v>
      </c>
      <c r="G21" s="14"/>
      <c r="H21" s="14"/>
      <c r="J21" s="15">
        <f>SUM(C$13:C21)</f>
        <v>502.32558139534882</v>
      </c>
      <c r="K21" s="15">
        <f>SUM(D$13:D21)</f>
        <v>1333.8</v>
      </c>
      <c r="L21" s="15">
        <f>SUM(E$13:E21)</f>
        <v>2096</v>
      </c>
      <c r="M21" s="15">
        <f>SUM(F$13:F21)</f>
        <v>1226</v>
      </c>
      <c r="N21" s="15"/>
      <c r="O21" s="15"/>
    </row>
    <row r="22" spans="1:15" x14ac:dyDescent="0.25">
      <c r="A22" s="12">
        <f>'ALL LEVELS'!A22</f>
        <v>10</v>
      </c>
      <c r="B22" s="12" t="str">
        <f>'ALL LEVELS'!B22</f>
        <v>WEDNESDAY</v>
      </c>
      <c r="C22" s="18">
        <v>57.441860465116278</v>
      </c>
      <c r="D22" s="18">
        <v>216.20000000000002</v>
      </c>
      <c r="E22" s="18">
        <v>264</v>
      </c>
      <c r="F22" s="18">
        <v>190</v>
      </c>
      <c r="G22" s="14"/>
      <c r="H22" s="14"/>
      <c r="J22" s="15">
        <f>SUM(C$13:C22)</f>
        <v>559.76744186046506</v>
      </c>
      <c r="K22" s="15">
        <f>SUM(D$13:D22)</f>
        <v>1550</v>
      </c>
      <c r="L22" s="15">
        <f>SUM(E$13:E22)</f>
        <v>2360</v>
      </c>
      <c r="M22" s="15">
        <f>SUM(F$13:F22)</f>
        <v>1416</v>
      </c>
      <c r="N22" s="15"/>
      <c r="O22" s="15"/>
    </row>
    <row r="23" spans="1:15" x14ac:dyDescent="0.25">
      <c r="A23" s="12">
        <f>'ALL LEVELS'!A23</f>
        <v>11</v>
      </c>
      <c r="B23" s="12" t="str">
        <f>'ALL LEVELS'!B23</f>
        <v>THURSDAY</v>
      </c>
      <c r="C23" s="18">
        <v>60.465116279069768</v>
      </c>
      <c r="D23" s="18">
        <v>224.79999999999998</v>
      </c>
      <c r="E23" s="18">
        <v>307</v>
      </c>
      <c r="F23" s="18">
        <v>209</v>
      </c>
      <c r="G23" s="14"/>
      <c r="H23" s="14"/>
      <c r="J23" s="15">
        <f>SUM(C$13:C23)</f>
        <v>620.23255813953483</v>
      </c>
      <c r="K23" s="15">
        <f>SUM(D$13:D23)</f>
        <v>1774.8</v>
      </c>
      <c r="L23" s="15">
        <f>SUM(E$13:E23)</f>
        <v>2667</v>
      </c>
      <c r="M23" s="15">
        <f>SUM(F$13:F23)</f>
        <v>1625</v>
      </c>
      <c r="N23" s="15"/>
      <c r="O23" s="15"/>
    </row>
    <row r="24" spans="1:15" x14ac:dyDescent="0.25">
      <c r="A24" s="12">
        <f>'ALL LEVELS'!A24</f>
        <v>12</v>
      </c>
      <c r="B24" s="12" t="str">
        <f>'ALL LEVELS'!B24</f>
        <v>FRIDAY</v>
      </c>
      <c r="C24" s="18">
        <v>33.604651162790695</v>
      </c>
      <c r="D24" s="18">
        <v>147.6</v>
      </c>
      <c r="E24" s="18">
        <v>169</v>
      </c>
      <c r="F24" s="18">
        <v>142</v>
      </c>
      <c r="G24" s="14"/>
      <c r="H24" s="14"/>
      <c r="J24" s="15">
        <f>SUM(C$13:C24)</f>
        <v>653.8372093023255</v>
      </c>
      <c r="K24" s="15">
        <f>SUM(D$13:D24)</f>
        <v>1922.3999999999999</v>
      </c>
      <c r="L24" s="15">
        <f>SUM(E$13:E24)</f>
        <v>2836</v>
      </c>
      <c r="M24" s="15">
        <f>SUM(F$13:F24)</f>
        <v>1767</v>
      </c>
      <c r="N24" s="15"/>
      <c r="O24" s="15"/>
    </row>
    <row r="25" spans="1:15" x14ac:dyDescent="0.25">
      <c r="A25" s="12">
        <f>'ALL LEVELS'!A25</f>
        <v>13</v>
      </c>
      <c r="B25" s="12" t="str">
        <f>'ALL LEVELS'!B25</f>
        <v>SATURDAY</v>
      </c>
      <c r="C25" s="18">
        <v>31.046511627906977</v>
      </c>
      <c r="D25" s="18">
        <v>201.79999999999995</v>
      </c>
      <c r="E25" s="18">
        <v>209</v>
      </c>
      <c r="F25" s="18">
        <v>160</v>
      </c>
      <c r="G25" s="14"/>
      <c r="H25" s="14"/>
      <c r="J25" s="15">
        <f>SUM(C$13:C25)</f>
        <v>684.88372093023247</v>
      </c>
      <c r="K25" s="15">
        <f>SUM(D$13:D25)</f>
        <v>2124.1999999999998</v>
      </c>
      <c r="L25" s="15">
        <f>SUM(E$13:E25)</f>
        <v>3045</v>
      </c>
      <c r="M25" s="15">
        <f>SUM(F$13:F25)</f>
        <v>1927</v>
      </c>
      <c r="N25" s="15"/>
      <c r="O25" s="15"/>
    </row>
    <row r="26" spans="1:15" x14ac:dyDescent="0.25">
      <c r="A26" s="12">
        <f>'ALL LEVELS'!A26</f>
        <v>14</v>
      </c>
      <c r="B26" s="12" t="str">
        <f>'ALL LEVELS'!B26</f>
        <v>SUNDAY</v>
      </c>
      <c r="C26" s="18">
        <v>36.511627906976742</v>
      </c>
      <c r="D26" s="18">
        <v>106.60000000000001</v>
      </c>
      <c r="E26" s="18">
        <v>137</v>
      </c>
      <c r="F26" s="18">
        <v>117</v>
      </c>
      <c r="G26" s="14"/>
      <c r="H26" s="14"/>
      <c r="J26" s="15">
        <f>SUM(C$13:C26)</f>
        <v>721.39534883720921</v>
      </c>
      <c r="K26" s="15">
        <f>SUM(D$13:D26)</f>
        <v>2230.7999999999997</v>
      </c>
      <c r="L26" s="15">
        <f>SUM(E$13:E26)</f>
        <v>3182</v>
      </c>
      <c r="M26" s="15">
        <f>SUM(F$13:F26)</f>
        <v>2044</v>
      </c>
      <c r="N26" s="15"/>
      <c r="O26" s="15"/>
    </row>
    <row r="27" spans="1:15" x14ac:dyDescent="0.25">
      <c r="A27" s="12">
        <f>'ALL LEVELS'!A27</f>
        <v>15</v>
      </c>
      <c r="B27" s="12" t="str">
        <f>'ALL LEVELS'!B27</f>
        <v>MONDAY</v>
      </c>
      <c r="C27" s="18">
        <v>41.162790697674417</v>
      </c>
      <c r="D27" s="18">
        <v>196.20000000000002</v>
      </c>
      <c r="E27" s="18">
        <v>231</v>
      </c>
      <c r="F27" s="18">
        <v>170</v>
      </c>
      <c r="G27" s="14"/>
      <c r="H27" s="14"/>
      <c r="J27" s="15">
        <f>SUM(C$13:C27)</f>
        <v>762.55813953488359</v>
      </c>
      <c r="K27" s="15">
        <f>SUM(D$13:D27)</f>
        <v>2426.9999999999995</v>
      </c>
      <c r="L27" s="15">
        <f>SUM(E$13:E27)</f>
        <v>3413</v>
      </c>
      <c r="M27" s="15">
        <f>SUM(F$13:F27)</f>
        <v>2214</v>
      </c>
      <c r="N27" s="15"/>
      <c r="O27" s="15"/>
    </row>
    <row r="28" spans="1:15" x14ac:dyDescent="0.25">
      <c r="A28" s="12">
        <f>'ALL LEVELS'!A28</f>
        <v>16</v>
      </c>
      <c r="B28" s="12" t="str">
        <f>'ALL LEVELS'!B28</f>
        <v>TUESDAY</v>
      </c>
      <c r="C28" s="18">
        <v>33.604651162790695</v>
      </c>
      <c r="D28" s="18">
        <v>150</v>
      </c>
      <c r="E28" s="18">
        <v>190</v>
      </c>
      <c r="F28" s="18">
        <v>108</v>
      </c>
      <c r="G28" s="14"/>
      <c r="H28" s="14"/>
      <c r="J28" s="15">
        <f>SUM(C$13:C28)</f>
        <v>796.16279069767427</v>
      </c>
      <c r="K28" s="15">
        <f>SUM(D$13:D28)</f>
        <v>2576.9999999999995</v>
      </c>
      <c r="L28" s="15">
        <f>SUM(E$13:E28)</f>
        <v>3603</v>
      </c>
      <c r="M28" s="15">
        <f>SUM(F$13:F28)</f>
        <v>2322</v>
      </c>
      <c r="N28" s="15"/>
      <c r="O28" s="15"/>
    </row>
    <row r="29" spans="1:15" x14ac:dyDescent="0.25">
      <c r="A29" s="12">
        <f>'ALL LEVELS'!A29</f>
        <v>17</v>
      </c>
      <c r="B29" s="12" t="str">
        <f>'ALL LEVELS'!B29</f>
        <v>WEDNESDAY</v>
      </c>
      <c r="C29" s="18">
        <v>36.627906976744185</v>
      </c>
      <c r="D29" s="18">
        <v>190.00000000000003</v>
      </c>
      <c r="E29" s="18">
        <v>235</v>
      </c>
      <c r="F29" s="18">
        <v>136</v>
      </c>
      <c r="G29" s="14"/>
      <c r="H29" s="14"/>
      <c r="J29" s="15">
        <f>SUM(C$13:C29)</f>
        <v>832.79069767441842</v>
      </c>
      <c r="K29" s="15">
        <f>SUM(D$13:D29)</f>
        <v>2766.9999999999995</v>
      </c>
      <c r="L29" s="15">
        <f>SUM(E$13:E29)</f>
        <v>3838</v>
      </c>
      <c r="M29" s="15">
        <f>SUM(F$13:F29)</f>
        <v>2458</v>
      </c>
      <c r="N29" s="15"/>
      <c r="O29" s="15"/>
    </row>
    <row r="30" spans="1:15" x14ac:dyDescent="0.25">
      <c r="A30" s="12">
        <f>'ALL LEVELS'!A30</f>
        <v>18</v>
      </c>
      <c r="B30" s="12" t="str">
        <f>'ALL LEVELS'!B30</f>
        <v>THURSDAY</v>
      </c>
      <c r="C30" s="18">
        <v>38.02325581395349</v>
      </c>
      <c r="D30" s="18">
        <v>184.89999999999998</v>
      </c>
      <c r="E30" s="18">
        <v>208</v>
      </c>
      <c r="F30" s="18">
        <v>148</v>
      </c>
      <c r="G30" s="14"/>
      <c r="H30" s="14"/>
      <c r="J30" s="15">
        <f>SUM(C$13:C30)</f>
        <v>870.81395348837191</v>
      </c>
      <c r="K30" s="15">
        <f>SUM(D$13:D30)</f>
        <v>2951.8999999999996</v>
      </c>
      <c r="L30" s="15">
        <f>SUM(E$13:E30)</f>
        <v>4046</v>
      </c>
      <c r="M30" s="15">
        <f>SUM(F$13:F30)</f>
        <v>2606</v>
      </c>
      <c r="N30" s="15"/>
      <c r="O30" s="15"/>
    </row>
    <row r="31" spans="1:15" x14ac:dyDescent="0.25">
      <c r="A31" s="12">
        <f>'ALL LEVELS'!A31</f>
        <v>19</v>
      </c>
      <c r="B31" s="12" t="str">
        <f>'ALL LEVELS'!B31</f>
        <v>FRIDAY</v>
      </c>
      <c r="C31" s="18">
        <v>36.395348837209305</v>
      </c>
      <c r="D31" s="18">
        <v>132</v>
      </c>
      <c r="E31" s="18">
        <v>156</v>
      </c>
      <c r="F31" s="18">
        <v>136</v>
      </c>
      <c r="G31" s="14"/>
      <c r="H31" s="14"/>
      <c r="J31" s="15">
        <f>SUM(C$13:C31)</f>
        <v>907.20930232558123</v>
      </c>
      <c r="K31" s="15">
        <f>SUM(D$13:D31)</f>
        <v>3083.8999999999996</v>
      </c>
      <c r="L31" s="15">
        <f>SUM(E$13:E31)</f>
        <v>4202</v>
      </c>
      <c r="M31" s="15">
        <f>SUM(F$13:F31)</f>
        <v>2742</v>
      </c>
      <c r="N31" s="15"/>
      <c r="O31" s="15"/>
    </row>
    <row r="32" spans="1:15" x14ac:dyDescent="0.25">
      <c r="A32" s="12">
        <f>'ALL LEVELS'!A32</f>
        <v>20</v>
      </c>
      <c r="B32" s="12" t="str">
        <f>'ALL LEVELS'!B32</f>
        <v>SATURDAY</v>
      </c>
      <c r="C32" s="18"/>
      <c r="D32" s="18"/>
      <c r="E32" s="18"/>
      <c r="F32" s="18"/>
      <c r="G32" s="14"/>
      <c r="H32" s="14"/>
      <c r="J32" s="15">
        <f>SUM(C$13:C32)</f>
        <v>907.20930232558123</v>
      </c>
      <c r="K32" s="15">
        <f>SUM(D$13:D32)</f>
        <v>3083.8999999999996</v>
      </c>
      <c r="L32" s="15">
        <f>SUM(E$13:E32)</f>
        <v>4202</v>
      </c>
      <c r="M32" s="15">
        <f>SUM(F$13:F32)</f>
        <v>2742</v>
      </c>
      <c r="N32" s="15"/>
      <c r="O32" s="15"/>
    </row>
    <row r="33" spans="1:15" x14ac:dyDescent="0.25">
      <c r="A33" s="12">
        <f>'ALL LEVELS'!A33</f>
        <v>21</v>
      </c>
      <c r="B33" s="12" t="str">
        <f>'ALL LEVELS'!B33</f>
        <v>SUNDAY</v>
      </c>
      <c r="C33" s="18"/>
      <c r="D33" s="18"/>
      <c r="E33" s="18"/>
      <c r="F33" s="18"/>
      <c r="G33" s="14"/>
      <c r="H33" s="14"/>
      <c r="J33" s="15">
        <f>SUM(C$13:C33)</f>
        <v>907.20930232558123</v>
      </c>
      <c r="K33" s="15">
        <f>SUM(D$13:D33)</f>
        <v>3083.8999999999996</v>
      </c>
      <c r="L33" s="15">
        <f>SUM(E$13:E33)</f>
        <v>4202</v>
      </c>
      <c r="M33" s="15">
        <f>SUM(F$13:F33)</f>
        <v>2742</v>
      </c>
      <c r="N33" s="15"/>
      <c r="O33" s="15"/>
    </row>
    <row r="34" spans="1:15" x14ac:dyDescent="0.25">
      <c r="A34" s="12">
        <f>'ALL LEVELS'!A34</f>
        <v>22</v>
      </c>
      <c r="B34" s="12" t="str">
        <f>'ALL LEVELS'!B34</f>
        <v>MONDAY</v>
      </c>
      <c r="C34" s="18"/>
      <c r="D34" s="18"/>
      <c r="E34" s="18"/>
      <c r="F34" s="18"/>
      <c r="G34" s="14"/>
      <c r="H34" s="14"/>
      <c r="J34" s="15">
        <f>SUM(C$13:C34)</f>
        <v>907.20930232558123</v>
      </c>
      <c r="K34" s="15">
        <f>SUM(D$13:D34)</f>
        <v>3083.8999999999996</v>
      </c>
      <c r="L34" s="15">
        <f>SUM(E$13:E34)</f>
        <v>4202</v>
      </c>
      <c r="M34" s="15">
        <f>SUM(F$13:F34)</f>
        <v>2742</v>
      </c>
      <c r="N34" s="15"/>
      <c r="O34" s="15"/>
    </row>
    <row r="35" spans="1:15" x14ac:dyDescent="0.25">
      <c r="A35" s="12">
        <f>'ALL LEVELS'!A35</f>
        <v>23</v>
      </c>
      <c r="B35" s="12" t="str">
        <f>'ALL LEVELS'!B35</f>
        <v>TUESDAY</v>
      </c>
      <c r="C35" s="18"/>
      <c r="D35" s="18"/>
      <c r="E35" s="18"/>
      <c r="F35" s="18"/>
      <c r="G35" s="14"/>
      <c r="H35" s="14"/>
      <c r="J35" s="15">
        <f>SUM(C$13:C35)</f>
        <v>907.20930232558123</v>
      </c>
      <c r="K35" s="15">
        <f>SUM(D$13:D35)</f>
        <v>3083.8999999999996</v>
      </c>
      <c r="L35" s="15">
        <f>SUM(E$13:E35)</f>
        <v>4202</v>
      </c>
      <c r="M35" s="15">
        <f>SUM(F$13:F35)</f>
        <v>2742</v>
      </c>
      <c r="N35" s="15"/>
      <c r="O35" s="15"/>
    </row>
    <row r="36" spans="1:15" x14ac:dyDescent="0.25">
      <c r="A36" s="12">
        <f>'ALL LEVELS'!A36</f>
        <v>24</v>
      </c>
      <c r="B36" s="12" t="str">
        <f>'ALL LEVELS'!B36</f>
        <v>WEDNESDAY</v>
      </c>
      <c r="C36" s="18"/>
      <c r="D36" s="18"/>
      <c r="E36" s="18"/>
      <c r="F36" s="18"/>
      <c r="G36" s="14"/>
      <c r="H36" s="14"/>
      <c r="J36" s="15">
        <f>SUM(C$13:C36)</f>
        <v>907.20930232558123</v>
      </c>
      <c r="K36" s="15">
        <f>SUM(D$13:D36)</f>
        <v>3083.8999999999996</v>
      </c>
      <c r="L36" s="15">
        <f>SUM(E$13:E36)</f>
        <v>4202</v>
      </c>
      <c r="M36" s="15">
        <f>SUM(F$13:F36)</f>
        <v>2742</v>
      </c>
      <c r="N36" s="15"/>
      <c r="O36" s="15"/>
    </row>
    <row r="37" spans="1:15" x14ac:dyDescent="0.25">
      <c r="A37" s="12">
        <f>'ALL LEVELS'!A37</f>
        <v>25</v>
      </c>
      <c r="B37" s="12" t="str">
        <f>'ALL LEVELS'!B37</f>
        <v>THURSDAY</v>
      </c>
      <c r="C37" s="18"/>
      <c r="D37" s="18"/>
      <c r="E37" s="18"/>
      <c r="F37" s="18"/>
      <c r="G37" s="14"/>
      <c r="H37" s="14"/>
      <c r="J37" s="15">
        <f>SUM(C$13:C37)</f>
        <v>907.20930232558123</v>
      </c>
      <c r="K37" s="15">
        <f>SUM(D$13:D37)</f>
        <v>3083.8999999999996</v>
      </c>
      <c r="L37" s="15">
        <f>SUM(E$13:E37)</f>
        <v>4202</v>
      </c>
      <c r="M37" s="15">
        <f>SUM(F$13:F37)</f>
        <v>2742</v>
      </c>
      <c r="N37" s="15"/>
      <c r="O37" s="15"/>
    </row>
    <row r="38" spans="1:15" x14ac:dyDescent="0.25">
      <c r="A38" s="12">
        <f>'ALL LEVELS'!A38</f>
        <v>26</v>
      </c>
      <c r="B38" s="12" t="str">
        <f>'ALL LEVELS'!B38</f>
        <v>FRIDAY</v>
      </c>
      <c r="C38" s="18"/>
      <c r="D38" s="18"/>
      <c r="E38" s="18"/>
      <c r="F38" s="18"/>
      <c r="G38" s="14"/>
      <c r="H38" s="14"/>
      <c r="J38" s="15">
        <f>SUM(C$13:C38)</f>
        <v>907.20930232558123</v>
      </c>
      <c r="K38" s="15">
        <f>SUM(D$13:D38)</f>
        <v>3083.8999999999996</v>
      </c>
      <c r="L38" s="15">
        <f>SUM(E$13:E38)</f>
        <v>4202</v>
      </c>
      <c r="M38" s="15">
        <f>SUM(F$13:F38)</f>
        <v>2742</v>
      </c>
      <c r="N38" s="15"/>
      <c r="O38" s="15"/>
    </row>
    <row r="39" spans="1:15" x14ac:dyDescent="0.25">
      <c r="A39" s="12">
        <f>'ALL LEVELS'!A39</f>
        <v>27</v>
      </c>
      <c r="B39" s="12" t="str">
        <f>'ALL LEVELS'!B39</f>
        <v>SATURDAY</v>
      </c>
      <c r="C39" s="18"/>
      <c r="D39" s="18"/>
      <c r="E39" s="18"/>
      <c r="F39" s="18"/>
      <c r="G39" s="14"/>
      <c r="H39" s="14"/>
      <c r="J39" s="15">
        <f>SUM(C$13:C39)</f>
        <v>907.20930232558123</v>
      </c>
      <c r="K39" s="15">
        <f>SUM(D$13:D39)</f>
        <v>3083.8999999999996</v>
      </c>
      <c r="L39" s="15">
        <f>SUM(E$13:E39)</f>
        <v>4202</v>
      </c>
      <c r="M39" s="15">
        <f>SUM(F$13:F39)</f>
        <v>2742</v>
      </c>
      <c r="N39" s="15"/>
      <c r="O39" s="15"/>
    </row>
    <row r="40" spans="1:15" x14ac:dyDescent="0.25">
      <c r="A40" s="12">
        <f>'ALL LEVELS'!A40</f>
        <v>28</v>
      </c>
      <c r="B40" s="12" t="str">
        <f>'ALL LEVELS'!B40</f>
        <v>SUNDAY</v>
      </c>
      <c r="C40" s="18"/>
      <c r="D40" s="18"/>
      <c r="E40" s="18"/>
      <c r="F40" s="18"/>
      <c r="G40" s="14"/>
      <c r="H40" s="14"/>
      <c r="J40" s="15">
        <f>SUM(C$13:C40)</f>
        <v>907.20930232558123</v>
      </c>
      <c r="K40" s="15">
        <f>SUM(D$13:D40)</f>
        <v>3083.8999999999996</v>
      </c>
      <c r="L40" s="15">
        <f>SUM(E$13:E40)</f>
        <v>4202</v>
      </c>
      <c r="M40" s="15">
        <f>SUM(F$13:F40)</f>
        <v>2742</v>
      </c>
      <c r="N40" s="15"/>
      <c r="O40" s="15"/>
    </row>
    <row r="41" spans="1:15" x14ac:dyDescent="0.25">
      <c r="A41" s="12">
        <f>'ALL LEVELS'!A41</f>
        <v>29</v>
      </c>
      <c r="B41" s="12" t="str">
        <f>'ALL LEVELS'!B41</f>
        <v>MONDAY</v>
      </c>
      <c r="C41" s="18"/>
      <c r="D41" s="18"/>
      <c r="E41" s="18"/>
      <c r="F41" s="18"/>
      <c r="G41" s="14"/>
      <c r="H41" s="14"/>
      <c r="J41" s="15"/>
      <c r="K41" s="15"/>
      <c r="L41" s="15"/>
      <c r="M41" s="15"/>
      <c r="N41" s="15"/>
      <c r="O41" s="15"/>
    </row>
    <row r="42" spans="1:15" x14ac:dyDescent="0.25">
      <c r="A42" s="12">
        <f>'ALL LEVELS'!A42</f>
        <v>30</v>
      </c>
      <c r="B42" s="12" t="str">
        <f>'ALL LEVELS'!B42</f>
        <v>TUESDAY</v>
      </c>
      <c r="C42" s="18"/>
      <c r="D42" s="18"/>
      <c r="E42" s="18"/>
      <c r="F42" s="18"/>
      <c r="G42" s="14"/>
      <c r="H42" s="14"/>
      <c r="J42" s="15">
        <f>SUM(C$13:C42)</f>
        <v>907.20930232558123</v>
      </c>
      <c r="K42" s="15">
        <f>SUM(D$13:D42)</f>
        <v>3083.8999999999996</v>
      </c>
      <c r="L42" s="15">
        <f>SUM(E$13:E42)</f>
        <v>4202</v>
      </c>
      <c r="M42" s="15">
        <f>SUM(F$13:F42)</f>
        <v>2742</v>
      </c>
      <c r="N42" s="15"/>
      <c r="O42" s="15"/>
    </row>
    <row r="43" spans="1:15" x14ac:dyDescent="0.25">
      <c r="A43" s="12">
        <f>'ALL LEVELS'!A43</f>
        <v>31</v>
      </c>
      <c r="B43" s="12" t="str">
        <f>'ALL LEVELS'!B43</f>
        <v>WEDNESDAY</v>
      </c>
      <c r="C43" s="18"/>
      <c r="D43" s="18"/>
      <c r="E43" s="18"/>
      <c r="F43" s="18"/>
      <c r="G43" s="14"/>
      <c r="H43" s="14"/>
      <c r="J43" s="15">
        <f>SUM(C$13:C43)</f>
        <v>907.20930232558123</v>
      </c>
      <c r="K43" s="15">
        <f>SUM(D$13:D43)</f>
        <v>3083.8999999999996</v>
      </c>
      <c r="L43" s="15">
        <f>SUM(E$13:E43)</f>
        <v>4202</v>
      </c>
      <c r="M43" s="15">
        <f>SUM(F$13:F43)</f>
        <v>2742</v>
      </c>
      <c r="N43" s="15"/>
      <c r="O43" s="15"/>
    </row>
    <row r="44" spans="1:15" x14ac:dyDescent="0.25">
      <c r="B44" s="7"/>
      <c r="C44" s="19">
        <f t="shared" ref="C44:H44" si="0">SUBTOTAL(109,C13:C43)</f>
        <v>907.20930232558123</v>
      </c>
      <c r="D44" s="19">
        <f t="shared" si="0"/>
        <v>3083.8999999999996</v>
      </c>
      <c r="E44" s="19">
        <f t="shared" si="0"/>
        <v>4202</v>
      </c>
      <c r="F44" s="19">
        <f t="shared" si="0"/>
        <v>2742</v>
      </c>
      <c r="G44" s="19">
        <f t="shared" si="0"/>
        <v>0</v>
      </c>
      <c r="H44" s="19">
        <f t="shared" si="0"/>
        <v>0</v>
      </c>
    </row>
    <row r="45" spans="1:15" x14ac:dyDescent="0.25">
      <c r="B45" s="7"/>
    </row>
  </sheetData>
  <mergeCells count="3">
    <mergeCell ref="C3:D3"/>
    <mergeCell ref="E3:F3"/>
    <mergeCell ref="J11:O11"/>
  </mergeCells>
  <phoneticPr fontId="5" type="noConversion"/>
  <conditionalFormatting sqref="B13:B43">
    <cfRule type="containsText" dxfId="8" priority="2" operator="containsText" text="SUNDAY">
      <formula>NOT(ISERROR(SEARCH("SUNDAY",B13)))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O45"/>
  <sheetViews>
    <sheetView zoomScale="115" zoomScaleNormal="115" workbookViewId="0">
      <pane ySplit="10" topLeftCell="A11" activePane="bottomLeft" state="frozen"/>
      <selection pane="bottomLeft" activeCell="C31" sqref="C31:F31"/>
    </sheetView>
  </sheetViews>
  <sheetFormatPr defaultRowHeight="15" x14ac:dyDescent="0.25"/>
  <cols>
    <col min="2" max="2" width="13.5703125" customWidth="1"/>
    <col min="3" max="3" width="14.7109375" bestFit="1" customWidth="1"/>
    <col min="4" max="4" width="10.42578125" bestFit="1" customWidth="1"/>
    <col min="5" max="5" width="18.42578125" bestFit="1" customWidth="1"/>
    <col min="6" max="6" width="15.5703125" bestFit="1" customWidth="1"/>
    <col min="7" max="8" width="11.85546875" customWidth="1"/>
    <col min="9" max="9" width="5.28515625" customWidth="1"/>
    <col min="10" max="15" width="6.85546875" hidden="1" customWidth="1"/>
    <col min="16" max="16" width="8.42578125" customWidth="1"/>
    <col min="17" max="35" width="5.28515625" customWidth="1"/>
  </cols>
  <sheetData>
    <row r="1" spans="1:15" x14ac:dyDescent="0.25">
      <c r="B1" t="s">
        <v>0</v>
      </c>
      <c r="E1" t="s">
        <v>1</v>
      </c>
      <c r="F1" s="1">
        <f>'ALL LEVELS'!F1</f>
        <v>30</v>
      </c>
      <c r="H1" s="20" t="str">
        <f>'ALL LEVELS'!H1</f>
        <v>Month of JUNE 2026</v>
      </c>
    </row>
    <row r="2" spans="1:15" x14ac:dyDescent="0.25">
      <c r="B2" t="s">
        <v>2</v>
      </c>
      <c r="C2" s="1">
        <f>'ALL LEVELS'!C2</f>
        <v>19</v>
      </c>
      <c r="E2" s="23"/>
      <c r="F2" s="23"/>
    </row>
    <row r="3" spans="1:15" ht="15.75" hidden="1" thickBot="1" x14ac:dyDescent="0.3">
      <c r="C3" s="30" t="s">
        <v>3</v>
      </c>
      <c r="D3" s="30"/>
      <c r="E3" s="31" t="s">
        <v>4</v>
      </c>
      <c r="F3" s="31"/>
    </row>
    <row r="4" spans="1:15" ht="15.75" hidden="1" thickBot="1" x14ac:dyDescent="0.3">
      <c r="B4" s="2" t="s">
        <v>5</v>
      </c>
      <c r="C4" s="3" t="s">
        <v>6</v>
      </c>
      <c r="D4" s="3" t="s">
        <v>7</v>
      </c>
      <c r="E4" s="3" t="s">
        <v>6</v>
      </c>
      <c r="F4" s="3" t="s">
        <v>7</v>
      </c>
    </row>
    <row r="5" spans="1:15" ht="15.75" hidden="1" thickBot="1" x14ac:dyDescent="0.3">
      <c r="B5" s="2" t="s">
        <v>8</v>
      </c>
      <c r="C5" s="4"/>
      <c r="D5" s="4"/>
      <c r="E5" s="4"/>
      <c r="F5" s="4"/>
    </row>
    <row r="6" spans="1:15" ht="15.75" hidden="1" thickBot="1" x14ac:dyDescent="0.3">
      <c r="B6" s="2" t="s">
        <v>9</v>
      </c>
      <c r="C6" s="4"/>
      <c r="D6" s="4"/>
      <c r="E6" s="4"/>
      <c r="F6" s="4"/>
    </row>
    <row r="7" spans="1:15" ht="15.75" hidden="1" thickBot="1" x14ac:dyDescent="0.3">
      <c r="B7" s="2" t="s">
        <v>10</v>
      </c>
      <c r="C7" s="4"/>
      <c r="D7" s="4"/>
      <c r="E7" s="4"/>
      <c r="F7" s="4"/>
      <c r="H7" s="5"/>
    </row>
    <row r="8" spans="1:15" ht="15.75" hidden="1" thickBot="1" x14ac:dyDescent="0.3">
      <c r="B8" s="2" t="s">
        <v>11</v>
      </c>
      <c r="C8" s="6"/>
      <c r="D8" s="6"/>
      <c r="E8" s="6"/>
      <c r="F8" s="6"/>
    </row>
    <row r="9" spans="1:15" ht="15.75" hidden="1" thickBot="1" x14ac:dyDescent="0.3">
      <c r="B9" s="2"/>
      <c r="C9" s="6"/>
      <c r="D9" s="6"/>
      <c r="E9" s="6"/>
      <c r="F9" s="6"/>
    </row>
    <row r="10" spans="1:15" ht="15.75" hidden="1" thickBot="1" x14ac:dyDescent="0.3">
      <c r="B10" s="2" t="s">
        <v>12</v>
      </c>
      <c r="C10" s="4"/>
      <c r="D10" s="6"/>
      <c r="E10" s="4"/>
      <c r="F10" s="6"/>
    </row>
    <row r="11" spans="1:15" ht="15.75" thickBot="1" x14ac:dyDescent="0.3">
      <c r="B11" s="7"/>
      <c r="J11" s="32" t="s">
        <v>4</v>
      </c>
      <c r="K11" s="32"/>
      <c r="L11" s="32"/>
      <c r="M11" s="32"/>
      <c r="N11" s="32"/>
      <c r="O11" s="32"/>
    </row>
    <row r="12" spans="1:15" ht="15.75" thickBot="1" x14ac:dyDescent="0.3">
      <c r="A12" s="8" t="s">
        <v>13</v>
      </c>
      <c r="B12" s="7" t="s">
        <v>14</v>
      </c>
      <c r="C12" s="9" t="s">
        <v>15</v>
      </c>
      <c r="D12" s="9" t="s">
        <v>16</v>
      </c>
      <c r="E12" s="9" t="s">
        <v>17</v>
      </c>
      <c r="F12" s="2" t="s">
        <v>18</v>
      </c>
      <c r="G12" s="10"/>
      <c r="H12" s="11"/>
      <c r="J12" s="9" t="s">
        <v>8</v>
      </c>
      <c r="K12" s="9" t="s">
        <v>9</v>
      </c>
      <c r="L12" s="9" t="s">
        <v>10</v>
      </c>
      <c r="M12" s="2" t="s">
        <v>11</v>
      </c>
      <c r="N12" s="11"/>
      <c r="O12" s="11"/>
    </row>
    <row r="13" spans="1:15" x14ac:dyDescent="0.25">
      <c r="A13" s="12">
        <f>'ALL LEVELS'!A13</f>
        <v>1</v>
      </c>
      <c r="B13" s="12" t="str">
        <f>'ALL LEVELS'!B13</f>
        <v>MONDAY</v>
      </c>
      <c r="C13" s="18">
        <v>27.325581395348838</v>
      </c>
      <c r="D13" s="18">
        <v>114.39999999999999</v>
      </c>
      <c r="E13" s="18">
        <v>126</v>
      </c>
      <c r="F13" s="18">
        <v>92</v>
      </c>
      <c r="G13" s="14"/>
      <c r="H13" s="14"/>
      <c r="J13" s="15">
        <f>SUM(C$13:C13)</f>
        <v>27.325581395348838</v>
      </c>
      <c r="K13" s="15">
        <f>SUM(D$13:D13)</f>
        <v>114.39999999999999</v>
      </c>
      <c r="L13" s="15">
        <f>SUM(E$13:E13)</f>
        <v>126</v>
      </c>
      <c r="M13" s="15">
        <f>SUM(F$13:F13)</f>
        <v>92</v>
      </c>
      <c r="N13" s="15"/>
      <c r="O13" s="15"/>
    </row>
    <row r="14" spans="1:15" x14ac:dyDescent="0.25">
      <c r="A14" s="12">
        <f>'ALL LEVELS'!A14</f>
        <v>2</v>
      </c>
      <c r="B14" s="12" t="str">
        <f>'ALL LEVELS'!B14</f>
        <v>TUESDAY</v>
      </c>
      <c r="C14" s="18">
        <v>35.465116279069768</v>
      </c>
      <c r="D14" s="18">
        <v>115.2</v>
      </c>
      <c r="E14" s="18">
        <v>119</v>
      </c>
      <c r="F14" s="18">
        <v>100</v>
      </c>
      <c r="G14" s="14"/>
      <c r="H14" s="14"/>
      <c r="J14" s="15">
        <f>SUM(C$13:C14)</f>
        <v>62.79069767441861</v>
      </c>
      <c r="K14" s="15">
        <f>SUM(D$13:D14)</f>
        <v>229.6</v>
      </c>
      <c r="L14" s="15">
        <f>SUM(E$13:E14)</f>
        <v>245</v>
      </c>
      <c r="M14" s="15">
        <f>SUM(F$13:F14)</f>
        <v>192</v>
      </c>
      <c r="N14" s="15"/>
      <c r="O14" s="15"/>
    </row>
    <row r="15" spans="1:15" x14ac:dyDescent="0.25">
      <c r="A15" s="12">
        <f>'ALL LEVELS'!A15</f>
        <v>3</v>
      </c>
      <c r="B15" s="12" t="str">
        <f>'ALL LEVELS'!B15</f>
        <v>WEDNESDAY</v>
      </c>
      <c r="C15" s="18">
        <v>29.302325581395348</v>
      </c>
      <c r="D15" s="18">
        <v>100.60000000000001</v>
      </c>
      <c r="E15" s="18">
        <v>98</v>
      </c>
      <c r="F15" s="18">
        <v>99</v>
      </c>
      <c r="G15" s="14"/>
      <c r="H15" s="14"/>
      <c r="J15" s="15">
        <f>SUM(C$13:C15)</f>
        <v>92.093023255813961</v>
      </c>
      <c r="K15" s="15">
        <f>SUM(D$13:D15)</f>
        <v>330.2</v>
      </c>
      <c r="L15" s="15">
        <f>SUM(E$13:E15)</f>
        <v>343</v>
      </c>
      <c r="M15" s="15">
        <f>SUM(F$13:F15)</f>
        <v>291</v>
      </c>
      <c r="N15" s="15"/>
      <c r="O15" s="15"/>
    </row>
    <row r="16" spans="1:15" x14ac:dyDescent="0.25">
      <c r="A16" s="12">
        <f>'ALL LEVELS'!A16</f>
        <v>4</v>
      </c>
      <c r="B16" s="12" t="str">
        <f>'ALL LEVELS'!B16</f>
        <v>THURSDAY</v>
      </c>
      <c r="C16" s="18">
        <v>20.465116279069768</v>
      </c>
      <c r="D16" s="18">
        <v>87.800000000000011</v>
      </c>
      <c r="E16" s="18">
        <v>74</v>
      </c>
      <c r="F16" s="18">
        <v>73</v>
      </c>
      <c r="G16" s="14"/>
      <c r="H16" s="14"/>
      <c r="J16" s="15">
        <f>SUM(C$13:C16)</f>
        <v>112.55813953488374</v>
      </c>
      <c r="K16" s="15">
        <f>SUM(D$13:D16)</f>
        <v>418</v>
      </c>
      <c r="L16" s="15">
        <f>SUM(E$13:E16)</f>
        <v>417</v>
      </c>
      <c r="M16" s="15">
        <f>SUM(F$13:F16)</f>
        <v>364</v>
      </c>
      <c r="N16" s="15"/>
      <c r="O16" s="15"/>
    </row>
    <row r="17" spans="1:15" x14ac:dyDescent="0.25">
      <c r="A17" s="12">
        <f>'ALL LEVELS'!A17</f>
        <v>5</v>
      </c>
      <c r="B17" s="12" t="str">
        <f>'ALL LEVELS'!B17</f>
        <v>FRIDAY</v>
      </c>
      <c r="C17" s="18">
        <v>28.023255813953487</v>
      </c>
      <c r="D17" s="18">
        <v>126.39999999999999</v>
      </c>
      <c r="E17" s="18">
        <v>111</v>
      </c>
      <c r="F17" s="18">
        <v>106</v>
      </c>
      <c r="G17" s="14"/>
      <c r="H17" s="14"/>
      <c r="J17" s="15">
        <f>SUM(C$13:C17)</f>
        <v>140.58139534883722</v>
      </c>
      <c r="K17" s="15">
        <f>SUM(D$13:D17)</f>
        <v>544.4</v>
      </c>
      <c r="L17" s="15">
        <f>SUM(E$13:E17)</f>
        <v>528</v>
      </c>
      <c r="M17" s="15">
        <f>SUM(F$13:F17)</f>
        <v>470</v>
      </c>
      <c r="N17" s="15"/>
      <c r="O17" s="15"/>
    </row>
    <row r="18" spans="1:15" x14ac:dyDescent="0.25">
      <c r="A18" s="12">
        <f>'ALL LEVELS'!A18</f>
        <v>6</v>
      </c>
      <c r="B18" s="12" t="str">
        <f>'ALL LEVELS'!B18</f>
        <v>SATURDAY</v>
      </c>
      <c r="C18" s="18">
        <v>20</v>
      </c>
      <c r="D18" s="18">
        <v>131.6</v>
      </c>
      <c r="E18" s="18">
        <v>77</v>
      </c>
      <c r="F18" s="18">
        <v>163</v>
      </c>
      <c r="G18" s="14"/>
      <c r="H18" s="14"/>
      <c r="J18" s="15">
        <f>SUM(C$13:C18)</f>
        <v>160.58139534883722</v>
      </c>
      <c r="K18" s="15">
        <f>SUM(D$13:D18)</f>
        <v>676</v>
      </c>
      <c r="L18" s="15">
        <f>SUM(E$13:E18)</f>
        <v>605</v>
      </c>
      <c r="M18" s="15">
        <f>SUM(F$13:F18)</f>
        <v>633</v>
      </c>
      <c r="N18" s="15"/>
      <c r="O18" s="15"/>
    </row>
    <row r="19" spans="1:15" x14ac:dyDescent="0.25">
      <c r="A19" s="12">
        <f>'ALL LEVELS'!A19</f>
        <v>7</v>
      </c>
      <c r="B19" s="12" t="str">
        <f>'ALL LEVELS'!B19</f>
        <v>SUNDAY</v>
      </c>
      <c r="C19" s="18">
        <v>15.930232558139535</v>
      </c>
      <c r="D19" s="18">
        <v>99.4</v>
      </c>
      <c r="E19" s="18">
        <v>47</v>
      </c>
      <c r="F19" s="18">
        <v>94</v>
      </c>
      <c r="G19" s="14"/>
      <c r="H19" s="14"/>
      <c r="J19" s="15">
        <f>SUM(C$13:C19)</f>
        <v>176.51162790697674</v>
      </c>
      <c r="K19" s="15">
        <f>SUM(D$13:D19)</f>
        <v>775.4</v>
      </c>
      <c r="L19" s="15">
        <f>SUM(E$13:E19)</f>
        <v>652</v>
      </c>
      <c r="M19" s="15">
        <f>SUM(F$13:F19)</f>
        <v>727</v>
      </c>
      <c r="N19" s="15"/>
      <c r="O19" s="15"/>
    </row>
    <row r="20" spans="1:15" x14ac:dyDescent="0.25">
      <c r="A20" s="12">
        <f>'ALL LEVELS'!A20</f>
        <v>8</v>
      </c>
      <c r="B20" s="12" t="str">
        <f>'ALL LEVELS'!B20</f>
        <v>MONDAY</v>
      </c>
      <c r="C20" s="18">
        <v>17.441860465116278</v>
      </c>
      <c r="D20" s="18">
        <v>124.6</v>
      </c>
      <c r="E20" s="18">
        <v>70</v>
      </c>
      <c r="F20" s="18">
        <v>107</v>
      </c>
      <c r="G20" s="14"/>
      <c r="H20" s="14"/>
      <c r="J20" s="15">
        <f>SUM(C$13:C20)</f>
        <v>193.95348837209303</v>
      </c>
      <c r="K20" s="15">
        <f>SUM(D$13:D20)</f>
        <v>900</v>
      </c>
      <c r="L20" s="15">
        <f>SUM(E$13:E20)</f>
        <v>722</v>
      </c>
      <c r="M20" s="15">
        <f>SUM(F$13:F20)</f>
        <v>834</v>
      </c>
      <c r="N20" s="15"/>
      <c r="O20" s="15"/>
    </row>
    <row r="21" spans="1:15" x14ac:dyDescent="0.25">
      <c r="A21" s="12">
        <f>'ALL LEVELS'!A21</f>
        <v>9</v>
      </c>
      <c r="B21" s="12" t="str">
        <f>'ALL LEVELS'!B21</f>
        <v>TUESDAY</v>
      </c>
      <c r="C21" s="18">
        <v>34.883720930232556</v>
      </c>
      <c r="D21" s="18">
        <v>147</v>
      </c>
      <c r="E21" s="18">
        <v>88</v>
      </c>
      <c r="F21" s="18">
        <v>140</v>
      </c>
      <c r="G21" s="14"/>
      <c r="H21" s="14"/>
      <c r="J21" s="15">
        <f>SUM(C$13:C21)</f>
        <v>228.83720930232559</v>
      </c>
      <c r="K21" s="15">
        <f>SUM(D$13:D21)</f>
        <v>1047</v>
      </c>
      <c r="L21" s="15">
        <f>SUM(E$13:E21)</f>
        <v>810</v>
      </c>
      <c r="M21" s="15">
        <f>SUM(F$13:F21)</f>
        <v>974</v>
      </c>
      <c r="N21" s="15"/>
      <c r="O21" s="15"/>
    </row>
    <row r="22" spans="1:15" x14ac:dyDescent="0.25">
      <c r="A22" s="12">
        <f>'ALL LEVELS'!A22</f>
        <v>10</v>
      </c>
      <c r="B22" s="12" t="str">
        <f>'ALL LEVELS'!B22</f>
        <v>WEDNESDAY</v>
      </c>
      <c r="C22" s="18">
        <v>22.209302325581394</v>
      </c>
      <c r="D22" s="18">
        <v>140.19999999999999</v>
      </c>
      <c r="E22" s="18">
        <v>98</v>
      </c>
      <c r="F22" s="18">
        <v>117</v>
      </c>
      <c r="G22" s="14"/>
      <c r="H22" s="14"/>
      <c r="J22" s="15">
        <f>SUM(C$13:C22)</f>
        <v>251.04651162790699</v>
      </c>
      <c r="K22" s="15">
        <f>SUM(D$13:D22)</f>
        <v>1187.2</v>
      </c>
      <c r="L22" s="15">
        <f>SUM(E$13:E22)</f>
        <v>908</v>
      </c>
      <c r="M22" s="15">
        <f>SUM(F$13:F22)</f>
        <v>1091</v>
      </c>
      <c r="N22" s="15"/>
      <c r="O22" s="15"/>
    </row>
    <row r="23" spans="1:15" x14ac:dyDescent="0.25">
      <c r="A23" s="12">
        <f>'ALL LEVELS'!A23</f>
        <v>11</v>
      </c>
      <c r="B23" s="12" t="str">
        <f>'ALL LEVELS'!B23</f>
        <v>THURSDAY</v>
      </c>
      <c r="C23" s="18">
        <v>44.767441860465112</v>
      </c>
      <c r="D23" s="18">
        <v>178.20000000000002</v>
      </c>
      <c r="E23" s="18">
        <v>169</v>
      </c>
      <c r="F23" s="18">
        <v>135</v>
      </c>
      <c r="G23" s="14"/>
      <c r="H23" s="14"/>
      <c r="J23" s="15">
        <f>SUM(C$13:C23)</f>
        <v>295.81395348837214</v>
      </c>
      <c r="K23" s="15">
        <f>SUM(D$13:D23)</f>
        <v>1365.4</v>
      </c>
      <c r="L23" s="15">
        <f>SUM(E$13:E23)</f>
        <v>1077</v>
      </c>
      <c r="M23" s="15">
        <f>SUM(F$13:F23)</f>
        <v>1226</v>
      </c>
      <c r="N23" s="15"/>
      <c r="O23" s="15"/>
    </row>
    <row r="24" spans="1:15" x14ac:dyDescent="0.25">
      <c r="A24" s="12">
        <f>'ALL LEVELS'!A24</f>
        <v>12</v>
      </c>
      <c r="B24" s="12" t="str">
        <f>'ALL LEVELS'!B24</f>
        <v>FRIDAY</v>
      </c>
      <c r="C24" s="18">
        <v>38.604651162790695</v>
      </c>
      <c r="D24" s="18">
        <v>176.20000000000002</v>
      </c>
      <c r="E24" s="18">
        <v>171</v>
      </c>
      <c r="F24" s="18">
        <v>145</v>
      </c>
      <c r="G24" s="14"/>
      <c r="H24" s="14"/>
      <c r="J24" s="15">
        <f>SUM(C$13:C24)</f>
        <v>334.41860465116281</v>
      </c>
      <c r="K24" s="15">
        <f>SUM(D$13:D24)</f>
        <v>1541.6000000000001</v>
      </c>
      <c r="L24" s="15">
        <f>SUM(E$13:E24)</f>
        <v>1248</v>
      </c>
      <c r="M24" s="15">
        <f>SUM(F$13:F24)</f>
        <v>1371</v>
      </c>
      <c r="N24" s="15"/>
      <c r="O24" s="15"/>
    </row>
    <row r="25" spans="1:15" x14ac:dyDescent="0.25">
      <c r="A25" s="12">
        <f>'ALL LEVELS'!A25</f>
        <v>13</v>
      </c>
      <c r="B25" s="12" t="str">
        <f>'ALL LEVELS'!B25</f>
        <v>SATURDAY</v>
      </c>
      <c r="C25" s="18">
        <v>38.837209302325583</v>
      </c>
      <c r="D25" s="18">
        <v>206.8</v>
      </c>
      <c r="E25" s="18">
        <v>213</v>
      </c>
      <c r="F25" s="18">
        <v>137</v>
      </c>
      <c r="G25" s="14"/>
      <c r="H25" s="14"/>
      <c r="J25" s="15">
        <f>SUM(C$13:C25)</f>
        <v>373.25581395348837</v>
      </c>
      <c r="K25" s="15">
        <f>SUM(D$13:D25)</f>
        <v>1748.4</v>
      </c>
      <c r="L25" s="15">
        <f>SUM(E$13:E25)</f>
        <v>1461</v>
      </c>
      <c r="M25" s="15">
        <f>SUM(F$13:F25)</f>
        <v>1508</v>
      </c>
      <c r="N25" s="15"/>
      <c r="O25" s="15"/>
    </row>
    <row r="26" spans="1:15" x14ac:dyDescent="0.25">
      <c r="A26" s="12">
        <f>'ALL LEVELS'!A26</f>
        <v>14</v>
      </c>
      <c r="B26" s="12" t="str">
        <f>'ALL LEVELS'!B26</f>
        <v>SUNDAY</v>
      </c>
      <c r="C26" s="18">
        <v>22.209302325581394</v>
      </c>
      <c r="D26" s="18">
        <v>100.60000000000001</v>
      </c>
      <c r="E26" s="18">
        <v>72</v>
      </c>
      <c r="F26" s="18">
        <v>78</v>
      </c>
      <c r="G26" s="14"/>
      <c r="H26" s="14"/>
      <c r="J26" s="15">
        <f>SUM(C$13:C26)</f>
        <v>395.46511627906978</v>
      </c>
      <c r="K26" s="15">
        <f>SUM(D$13:D26)</f>
        <v>1849</v>
      </c>
      <c r="L26" s="15">
        <f>SUM(E$13:E26)</f>
        <v>1533</v>
      </c>
      <c r="M26" s="15">
        <f>SUM(F$13:F26)</f>
        <v>1586</v>
      </c>
      <c r="N26" s="15"/>
      <c r="O26" s="15"/>
    </row>
    <row r="27" spans="1:15" x14ac:dyDescent="0.25">
      <c r="A27" s="12">
        <f>'ALL LEVELS'!A27</f>
        <v>15</v>
      </c>
      <c r="B27" s="12" t="str">
        <f>'ALL LEVELS'!B27</f>
        <v>MONDAY</v>
      </c>
      <c r="C27" s="18">
        <v>17.674418604651162</v>
      </c>
      <c r="D27" s="18">
        <v>136.80000000000001</v>
      </c>
      <c r="E27" s="18">
        <v>89</v>
      </c>
      <c r="F27" s="18">
        <v>107</v>
      </c>
      <c r="G27" s="14"/>
      <c r="H27" s="14"/>
      <c r="J27" s="15">
        <f>SUM(C$13:C27)</f>
        <v>413.13953488372096</v>
      </c>
      <c r="K27" s="15">
        <f>SUM(D$13:D27)</f>
        <v>1985.8</v>
      </c>
      <c r="L27" s="15">
        <f>SUM(E$13:E27)</f>
        <v>1622</v>
      </c>
      <c r="M27" s="15">
        <f>SUM(F$13:F27)</f>
        <v>1693</v>
      </c>
      <c r="N27" s="15"/>
      <c r="O27" s="15"/>
    </row>
    <row r="28" spans="1:15" x14ac:dyDescent="0.25">
      <c r="A28" s="12">
        <f>'ALL LEVELS'!A28</f>
        <v>16</v>
      </c>
      <c r="B28" s="12" t="str">
        <f>'ALL LEVELS'!B28</f>
        <v>TUESDAY</v>
      </c>
      <c r="C28" s="18">
        <v>11.279069767441861</v>
      </c>
      <c r="D28" s="18">
        <v>124.4</v>
      </c>
      <c r="E28" s="18">
        <v>47</v>
      </c>
      <c r="F28" s="18">
        <v>84</v>
      </c>
      <c r="G28" s="14"/>
      <c r="H28" s="14"/>
      <c r="J28" s="15">
        <f>SUM(C$13:C28)</f>
        <v>424.41860465116281</v>
      </c>
      <c r="K28" s="15">
        <f>SUM(D$13:D28)</f>
        <v>2110.1999999999998</v>
      </c>
      <c r="L28" s="15">
        <f>SUM(E$13:E28)</f>
        <v>1669</v>
      </c>
      <c r="M28" s="15">
        <f>SUM(F$13:F28)</f>
        <v>1777</v>
      </c>
      <c r="N28" s="15"/>
      <c r="O28" s="15"/>
    </row>
    <row r="29" spans="1:15" x14ac:dyDescent="0.25">
      <c r="A29" s="12">
        <f>'ALL LEVELS'!A29</f>
        <v>17</v>
      </c>
      <c r="B29" s="12" t="str">
        <f>'ALL LEVELS'!B29</f>
        <v>WEDNESDAY</v>
      </c>
      <c r="C29" s="18">
        <v>20.581395348837209</v>
      </c>
      <c r="D29" s="18">
        <v>129.19999999999999</v>
      </c>
      <c r="E29" s="18">
        <v>78</v>
      </c>
      <c r="F29" s="18">
        <v>130</v>
      </c>
      <c r="G29" s="14"/>
      <c r="H29" s="14"/>
      <c r="J29" s="15">
        <f>SUM(C$13:C29)</f>
        <v>445</v>
      </c>
      <c r="K29" s="15">
        <f>SUM(D$13:D29)</f>
        <v>2239.3999999999996</v>
      </c>
      <c r="L29" s="15">
        <f>SUM(E$13:E29)</f>
        <v>1747</v>
      </c>
      <c r="M29" s="15">
        <f>SUM(F$13:F29)</f>
        <v>1907</v>
      </c>
      <c r="N29" s="15"/>
      <c r="O29" s="15"/>
    </row>
    <row r="30" spans="1:15" x14ac:dyDescent="0.25">
      <c r="A30" s="12">
        <f>'ALL LEVELS'!A30</f>
        <v>18</v>
      </c>
      <c r="B30" s="12" t="str">
        <f>'ALL LEVELS'!B30</f>
        <v>THURSDAY</v>
      </c>
      <c r="C30" s="18">
        <v>29.651162790697676</v>
      </c>
      <c r="D30" s="18">
        <v>142.20000000000002</v>
      </c>
      <c r="E30" s="18">
        <v>92</v>
      </c>
      <c r="F30" s="18">
        <v>143</v>
      </c>
      <c r="G30" s="14"/>
      <c r="H30" s="14"/>
      <c r="J30" s="15">
        <f>SUM(C$13:C30)</f>
        <v>474.6511627906977</v>
      </c>
      <c r="K30" s="15">
        <f>SUM(D$13:D30)</f>
        <v>2381.5999999999995</v>
      </c>
      <c r="L30" s="15">
        <f>SUM(E$13:E30)</f>
        <v>1839</v>
      </c>
      <c r="M30" s="15">
        <f>SUM(F$13:F30)</f>
        <v>2050</v>
      </c>
      <c r="N30" s="15"/>
      <c r="O30" s="15"/>
    </row>
    <row r="31" spans="1:15" x14ac:dyDescent="0.25">
      <c r="A31" s="12">
        <f>'ALL LEVELS'!A31</f>
        <v>19</v>
      </c>
      <c r="B31" s="12" t="str">
        <f>'ALL LEVELS'!B31</f>
        <v>FRIDAY</v>
      </c>
      <c r="C31" s="18">
        <v>39.069767441860463</v>
      </c>
      <c r="D31" s="18">
        <v>154.40000000000003</v>
      </c>
      <c r="E31" s="18">
        <v>129</v>
      </c>
      <c r="F31" s="18">
        <v>167</v>
      </c>
      <c r="G31" s="14"/>
      <c r="H31" s="14"/>
      <c r="J31" s="15">
        <f>SUM(C$13:C31)</f>
        <v>513.7209302325582</v>
      </c>
      <c r="K31" s="15">
        <f>SUM(D$13:D31)</f>
        <v>2535.9999999999995</v>
      </c>
      <c r="L31" s="15">
        <f>SUM(E$13:E31)</f>
        <v>1968</v>
      </c>
      <c r="M31" s="15">
        <f>SUM(F$13:F31)</f>
        <v>2217</v>
      </c>
      <c r="N31" s="15"/>
      <c r="O31" s="15"/>
    </row>
    <row r="32" spans="1:15" x14ac:dyDescent="0.25">
      <c r="A32" s="12">
        <f>'ALL LEVELS'!A32</f>
        <v>20</v>
      </c>
      <c r="B32" s="12" t="str">
        <f>'ALL LEVELS'!B32</f>
        <v>SATURDAY</v>
      </c>
      <c r="C32" s="18"/>
      <c r="D32" s="18"/>
      <c r="E32" s="18"/>
      <c r="F32" s="18"/>
      <c r="G32" s="14"/>
      <c r="H32" s="14"/>
      <c r="J32" s="15">
        <f>SUM(C$13:C32)</f>
        <v>513.7209302325582</v>
      </c>
      <c r="K32" s="15">
        <f>SUM(D$13:D32)</f>
        <v>2535.9999999999995</v>
      </c>
      <c r="L32" s="15">
        <f>SUM(E$13:E32)</f>
        <v>1968</v>
      </c>
      <c r="M32" s="15">
        <f>SUM(F$13:F32)</f>
        <v>2217</v>
      </c>
      <c r="N32" s="15"/>
      <c r="O32" s="15"/>
    </row>
    <row r="33" spans="1:15" x14ac:dyDescent="0.25">
      <c r="A33" s="12">
        <f>'ALL LEVELS'!A33</f>
        <v>21</v>
      </c>
      <c r="B33" s="12" t="str">
        <f>'ALL LEVELS'!B33</f>
        <v>SUNDAY</v>
      </c>
      <c r="C33" s="18"/>
      <c r="D33" s="18"/>
      <c r="E33" s="18"/>
      <c r="F33" s="18"/>
      <c r="G33" s="14"/>
      <c r="H33" s="14"/>
      <c r="J33" s="15">
        <f>SUM(C$13:C33)</f>
        <v>513.7209302325582</v>
      </c>
      <c r="K33" s="15">
        <f>SUM(D$13:D33)</f>
        <v>2535.9999999999995</v>
      </c>
      <c r="L33" s="15">
        <f>SUM(E$13:E33)</f>
        <v>1968</v>
      </c>
      <c r="M33" s="15">
        <f>SUM(F$13:F33)</f>
        <v>2217</v>
      </c>
      <c r="N33" s="15"/>
      <c r="O33" s="15"/>
    </row>
    <row r="34" spans="1:15" x14ac:dyDescent="0.25">
      <c r="A34" s="12">
        <f>'ALL LEVELS'!A34</f>
        <v>22</v>
      </c>
      <c r="B34" s="12" t="str">
        <f>'ALL LEVELS'!B34</f>
        <v>MONDAY</v>
      </c>
      <c r="C34" s="18"/>
      <c r="D34" s="18"/>
      <c r="E34" s="18"/>
      <c r="F34" s="18"/>
      <c r="G34" s="14"/>
      <c r="H34" s="14"/>
      <c r="J34" s="15">
        <f>SUM(C$13:C34)</f>
        <v>513.7209302325582</v>
      </c>
      <c r="K34" s="15">
        <f>SUM(D$13:D34)</f>
        <v>2535.9999999999995</v>
      </c>
      <c r="L34" s="15">
        <f>SUM(E$13:E34)</f>
        <v>1968</v>
      </c>
      <c r="M34" s="15">
        <f>SUM(F$13:F34)</f>
        <v>2217</v>
      </c>
      <c r="N34" s="15"/>
      <c r="O34" s="15"/>
    </row>
    <row r="35" spans="1:15" x14ac:dyDescent="0.25">
      <c r="A35" s="12">
        <f>'ALL LEVELS'!A35</f>
        <v>23</v>
      </c>
      <c r="B35" s="12" t="str">
        <f>'ALL LEVELS'!B35</f>
        <v>TUESDAY</v>
      </c>
      <c r="C35" s="18"/>
      <c r="D35" s="18"/>
      <c r="E35" s="18"/>
      <c r="F35" s="18"/>
      <c r="G35" s="14"/>
      <c r="H35" s="14"/>
      <c r="J35" s="15">
        <f>SUM(C$13:C35)</f>
        <v>513.7209302325582</v>
      </c>
      <c r="K35" s="15">
        <f>SUM(D$13:D35)</f>
        <v>2535.9999999999995</v>
      </c>
      <c r="L35" s="15">
        <f>SUM(E$13:E35)</f>
        <v>1968</v>
      </c>
      <c r="M35" s="15">
        <f>SUM(F$13:F35)</f>
        <v>2217</v>
      </c>
      <c r="N35" s="15"/>
      <c r="O35" s="15"/>
    </row>
    <row r="36" spans="1:15" x14ac:dyDescent="0.25">
      <c r="A36" s="12">
        <f>'ALL LEVELS'!A36</f>
        <v>24</v>
      </c>
      <c r="B36" s="12" t="str">
        <f>'ALL LEVELS'!B36</f>
        <v>WEDNESDAY</v>
      </c>
      <c r="C36" s="18"/>
      <c r="D36" s="18"/>
      <c r="E36" s="18"/>
      <c r="F36" s="18"/>
      <c r="G36" s="14"/>
      <c r="H36" s="14"/>
      <c r="J36" s="15">
        <f>SUM(C$13:C36)</f>
        <v>513.7209302325582</v>
      </c>
      <c r="K36" s="15">
        <f>SUM(D$13:D36)</f>
        <v>2535.9999999999995</v>
      </c>
      <c r="L36" s="15">
        <f>SUM(E$13:E36)</f>
        <v>1968</v>
      </c>
      <c r="M36" s="15">
        <f>SUM(F$13:F36)</f>
        <v>2217</v>
      </c>
      <c r="N36" s="15"/>
      <c r="O36" s="15"/>
    </row>
    <row r="37" spans="1:15" x14ac:dyDescent="0.25">
      <c r="A37" s="12">
        <f>'ALL LEVELS'!A37</f>
        <v>25</v>
      </c>
      <c r="B37" s="12" t="str">
        <f>'ALL LEVELS'!B37</f>
        <v>THURSDAY</v>
      </c>
      <c r="C37" s="18"/>
      <c r="D37" s="18"/>
      <c r="E37" s="18"/>
      <c r="F37" s="18"/>
      <c r="G37" s="14"/>
      <c r="H37" s="14"/>
      <c r="J37" s="15">
        <f>SUM(C$13:C37)</f>
        <v>513.7209302325582</v>
      </c>
      <c r="K37" s="15">
        <f>SUM(D$13:D37)</f>
        <v>2535.9999999999995</v>
      </c>
      <c r="L37" s="15">
        <f>SUM(E$13:E37)</f>
        <v>1968</v>
      </c>
      <c r="M37" s="15">
        <f>SUM(F$13:F37)</f>
        <v>2217</v>
      </c>
      <c r="N37" s="15"/>
      <c r="O37" s="15"/>
    </row>
    <row r="38" spans="1:15" x14ac:dyDescent="0.25">
      <c r="A38" s="12">
        <f>'ALL LEVELS'!A38</f>
        <v>26</v>
      </c>
      <c r="B38" s="12" t="str">
        <f>'ALL LEVELS'!B38</f>
        <v>FRIDAY</v>
      </c>
      <c r="C38" s="18"/>
      <c r="D38" s="18"/>
      <c r="E38" s="18"/>
      <c r="F38" s="18"/>
      <c r="G38" s="14"/>
      <c r="H38" s="14"/>
      <c r="J38" s="15">
        <f>SUM(C$13:C38)</f>
        <v>513.7209302325582</v>
      </c>
      <c r="K38" s="15">
        <f>SUM(D$13:D38)</f>
        <v>2535.9999999999995</v>
      </c>
      <c r="L38" s="15">
        <f>SUM(E$13:E38)</f>
        <v>1968</v>
      </c>
      <c r="M38" s="15">
        <f>SUM(F$13:F38)</f>
        <v>2217</v>
      </c>
      <c r="N38" s="15"/>
      <c r="O38" s="15"/>
    </row>
    <row r="39" spans="1:15" x14ac:dyDescent="0.25">
      <c r="A39" s="12">
        <f>'ALL LEVELS'!A39</f>
        <v>27</v>
      </c>
      <c r="B39" s="12" t="str">
        <f>'ALL LEVELS'!B39</f>
        <v>SATURDAY</v>
      </c>
      <c r="C39" s="18"/>
      <c r="D39" s="18"/>
      <c r="E39" s="18"/>
      <c r="F39" s="18"/>
      <c r="G39" s="14"/>
      <c r="H39" s="14"/>
      <c r="J39" s="15">
        <f>SUM(C$13:C39)</f>
        <v>513.7209302325582</v>
      </c>
      <c r="K39" s="15">
        <f>SUM(D$13:D39)</f>
        <v>2535.9999999999995</v>
      </c>
      <c r="L39" s="15">
        <f>SUM(E$13:E39)</f>
        <v>1968</v>
      </c>
      <c r="M39" s="15">
        <f>SUM(F$13:F39)</f>
        <v>2217</v>
      </c>
      <c r="N39" s="15"/>
      <c r="O39" s="15"/>
    </row>
    <row r="40" spans="1:15" x14ac:dyDescent="0.25">
      <c r="A40" s="12">
        <f>'ALL LEVELS'!A40</f>
        <v>28</v>
      </c>
      <c r="B40" s="12" t="str">
        <f>'ALL LEVELS'!B40</f>
        <v>SUNDAY</v>
      </c>
      <c r="C40" s="18"/>
      <c r="D40" s="18"/>
      <c r="E40" s="18"/>
      <c r="F40" s="18"/>
      <c r="G40" s="14"/>
      <c r="H40" s="14"/>
      <c r="J40" s="15">
        <f>SUM(C$13:C40)</f>
        <v>513.7209302325582</v>
      </c>
      <c r="K40" s="15">
        <f>SUM(D$13:D40)</f>
        <v>2535.9999999999995</v>
      </c>
      <c r="L40" s="15">
        <f>SUM(E$13:E40)</f>
        <v>1968</v>
      </c>
      <c r="M40" s="15">
        <f>SUM(F$13:F40)</f>
        <v>2217</v>
      </c>
      <c r="N40" s="15"/>
      <c r="O40" s="15"/>
    </row>
    <row r="41" spans="1:15" x14ac:dyDescent="0.25">
      <c r="A41" s="12">
        <f>'ALL LEVELS'!A41</f>
        <v>29</v>
      </c>
      <c r="B41" s="12" t="str">
        <f>'ALL LEVELS'!B41</f>
        <v>MONDAY</v>
      </c>
      <c r="C41" s="18"/>
      <c r="D41" s="18"/>
      <c r="E41" s="18"/>
      <c r="F41" s="18"/>
      <c r="G41" s="14"/>
      <c r="H41" s="14"/>
      <c r="J41" s="15"/>
      <c r="K41" s="15"/>
      <c r="L41" s="15"/>
      <c r="M41" s="15"/>
      <c r="N41" s="15"/>
      <c r="O41" s="15"/>
    </row>
    <row r="42" spans="1:15" x14ac:dyDescent="0.25">
      <c r="A42" s="12">
        <f>'ALL LEVELS'!A42</f>
        <v>30</v>
      </c>
      <c r="B42" s="12" t="str">
        <f>'ALL LEVELS'!B42</f>
        <v>TUESDAY</v>
      </c>
      <c r="C42" s="18"/>
      <c r="D42" s="18"/>
      <c r="E42" s="18"/>
      <c r="F42" s="18"/>
      <c r="G42" s="14"/>
      <c r="H42" s="14"/>
      <c r="J42" s="15">
        <f>SUM(C$13:C42)</f>
        <v>513.7209302325582</v>
      </c>
      <c r="K42" s="15">
        <f>SUM(D$13:D42)</f>
        <v>2535.9999999999995</v>
      </c>
      <c r="L42" s="15">
        <f>SUM(E$13:E42)</f>
        <v>1968</v>
      </c>
      <c r="M42" s="15">
        <f>SUM(F$13:F42)</f>
        <v>2217</v>
      </c>
      <c r="N42" s="15"/>
      <c r="O42" s="15"/>
    </row>
    <row r="43" spans="1:15" x14ac:dyDescent="0.25">
      <c r="A43" s="12">
        <f>'ALL LEVELS'!A43</f>
        <v>31</v>
      </c>
      <c r="B43" s="12" t="str">
        <f>'ALL LEVELS'!B43</f>
        <v>WEDNESDAY</v>
      </c>
      <c r="C43" s="18"/>
      <c r="D43" s="18"/>
      <c r="E43" s="18"/>
      <c r="F43" s="18"/>
      <c r="G43" s="14"/>
      <c r="H43" s="14"/>
      <c r="J43" s="15">
        <f>SUM(C$13:C43)</f>
        <v>513.7209302325582</v>
      </c>
      <c r="K43" s="15">
        <f>SUM(D$13:D43)</f>
        <v>2535.9999999999995</v>
      </c>
      <c r="L43" s="15">
        <f>SUM(E$13:E43)</f>
        <v>1968</v>
      </c>
      <c r="M43" s="15">
        <f>SUM(F$13:F43)</f>
        <v>2217</v>
      </c>
      <c r="N43" s="15"/>
      <c r="O43" s="15"/>
    </row>
    <row r="44" spans="1:15" x14ac:dyDescent="0.25">
      <c r="B44" s="7"/>
      <c r="C44" s="19">
        <f t="shared" ref="C44:H44" si="0">SUBTOTAL(109,C13:C43)</f>
        <v>513.7209302325582</v>
      </c>
      <c r="D44" s="19">
        <f t="shared" si="0"/>
        <v>2535.9999999999995</v>
      </c>
      <c r="E44" s="19">
        <f t="shared" si="0"/>
        <v>1968</v>
      </c>
      <c r="F44" s="19">
        <f t="shared" si="0"/>
        <v>2217</v>
      </c>
      <c r="G44" s="19">
        <f t="shared" si="0"/>
        <v>0</v>
      </c>
      <c r="H44" s="19">
        <f t="shared" si="0"/>
        <v>0</v>
      </c>
    </row>
    <row r="45" spans="1:15" x14ac:dyDescent="0.25">
      <c r="B45" s="7"/>
    </row>
  </sheetData>
  <mergeCells count="3">
    <mergeCell ref="C3:D3"/>
    <mergeCell ref="E3:F3"/>
    <mergeCell ref="J11:O11"/>
  </mergeCells>
  <phoneticPr fontId="5" type="noConversion"/>
  <conditionalFormatting sqref="B13:B43">
    <cfRule type="containsText" dxfId="7" priority="2" operator="containsText" text="SUNDAY">
      <formula>NOT(ISERROR(SEARCH("SUNDAY",B13)))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O45"/>
  <sheetViews>
    <sheetView zoomScale="115" zoomScaleNormal="115" workbookViewId="0">
      <pane ySplit="10" topLeftCell="A11" activePane="bottomLeft" state="frozen"/>
      <selection pane="bottomLeft" activeCell="C31" sqref="C31:F31"/>
    </sheetView>
  </sheetViews>
  <sheetFormatPr defaultRowHeight="15" x14ac:dyDescent="0.25"/>
  <cols>
    <col min="2" max="2" width="13.5703125" customWidth="1"/>
    <col min="3" max="3" width="14.7109375" bestFit="1" customWidth="1"/>
    <col min="4" max="4" width="10.42578125" bestFit="1" customWidth="1"/>
    <col min="5" max="5" width="18.42578125" bestFit="1" customWidth="1"/>
    <col min="6" max="6" width="15.5703125" bestFit="1" customWidth="1"/>
    <col min="7" max="8" width="11.85546875" customWidth="1"/>
    <col min="9" max="9" width="5.28515625" customWidth="1"/>
    <col min="10" max="15" width="6.85546875" hidden="1" customWidth="1"/>
    <col min="16" max="16" width="8.42578125" customWidth="1"/>
    <col min="17" max="35" width="5.28515625" customWidth="1"/>
  </cols>
  <sheetData>
    <row r="1" spans="1:15" x14ac:dyDescent="0.25">
      <c r="B1" t="s">
        <v>0</v>
      </c>
      <c r="E1" t="s">
        <v>1</v>
      </c>
      <c r="F1" s="1">
        <f>'ALL LEVELS'!F1</f>
        <v>30</v>
      </c>
      <c r="H1" s="20" t="str">
        <f>'ALL LEVELS'!H1</f>
        <v>Month of JUNE 2026</v>
      </c>
    </row>
    <row r="2" spans="1:15" x14ac:dyDescent="0.25">
      <c r="B2" t="s">
        <v>2</v>
      </c>
      <c r="C2" s="1">
        <f>'ALL LEVELS'!C2</f>
        <v>19</v>
      </c>
      <c r="E2" s="23"/>
      <c r="F2" s="23"/>
    </row>
    <row r="3" spans="1:15" ht="15.75" hidden="1" thickBot="1" x14ac:dyDescent="0.3">
      <c r="C3" s="30" t="s">
        <v>3</v>
      </c>
      <c r="D3" s="30"/>
      <c r="E3" s="31" t="s">
        <v>4</v>
      </c>
      <c r="F3" s="31"/>
    </row>
    <row r="4" spans="1:15" ht="15.75" hidden="1" thickBot="1" x14ac:dyDescent="0.3">
      <c r="B4" s="2" t="s">
        <v>5</v>
      </c>
      <c r="C4" s="3" t="s">
        <v>6</v>
      </c>
      <c r="D4" s="3" t="s">
        <v>7</v>
      </c>
      <c r="E4" s="3" t="s">
        <v>6</v>
      </c>
      <c r="F4" s="3" t="s">
        <v>7</v>
      </c>
    </row>
    <row r="5" spans="1:15" ht="15.75" hidden="1" thickBot="1" x14ac:dyDescent="0.3">
      <c r="B5" s="2" t="s">
        <v>8</v>
      </c>
      <c r="C5" s="4"/>
      <c r="D5" s="4"/>
      <c r="E5" s="4"/>
      <c r="F5" s="4"/>
    </row>
    <row r="6" spans="1:15" ht="15.75" hidden="1" thickBot="1" x14ac:dyDescent="0.3">
      <c r="B6" s="2" t="s">
        <v>9</v>
      </c>
      <c r="C6" s="4"/>
      <c r="D6" s="4"/>
      <c r="E6" s="4"/>
      <c r="F6" s="4"/>
    </row>
    <row r="7" spans="1:15" ht="15.75" hidden="1" thickBot="1" x14ac:dyDescent="0.3">
      <c r="B7" s="2" t="s">
        <v>10</v>
      </c>
      <c r="C7" s="4"/>
      <c r="D7" s="4"/>
      <c r="E7" s="4"/>
      <c r="F7" s="4"/>
      <c r="H7" s="5"/>
    </row>
    <row r="8" spans="1:15" ht="15.75" hidden="1" thickBot="1" x14ac:dyDescent="0.3">
      <c r="B8" s="2" t="s">
        <v>11</v>
      </c>
      <c r="C8" s="6"/>
      <c r="D8" s="6"/>
      <c r="E8" s="6"/>
      <c r="F8" s="6"/>
    </row>
    <row r="9" spans="1:15" ht="15.75" hidden="1" thickBot="1" x14ac:dyDescent="0.3">
      <c r="B9" s="2"/>
      <c r="C9" s="6"/>
      <c r="D9" s="6"/>
      <c r="E9" s="6"/>
      <c r="F9" s="6"/>
    </row>
    <row r="10" spans="1:15" ht="15.75" hidden="1" thickBot="1" x14ac:dyDescent="0.3">
      <c r="B10" s="2" t="s">
        <v>12</v>
      </c>
      <c r="C10" s="4"/>
      <c r="D10" s="6"/>
      <c r="E10" s="4"/>
      <c r="F10" s="6"/>
    </row>
    <row r="11" spans="1:15" ht="15.75" thickBot="1" x14ac:dyDescent="0.3">
      <c r="B11" s="7"/>
      <c r="J11" s="32" t="s">
        <v>4</v>
      </c>
      <c r="K11" s="32"/>
      <c r="L11" s="32"/>
      <c r="M11" s="32"/>
      <c r="N11" s="32"/>
      <c r="O11" s="32"/>
    </row>
    <row r="12" spans="1:15" ht="15.75" thickBot="1" x14ac:dyDescent="0.3">
      <c r="A12" s="8" t="s">
        <v>13</v>
      </c>
      <c r="B12" s="7" t="s">
        <v>14</v>
      </c>
      <c r="C12" s="9" t="s">
        <v>15</v>
      </c>
      <c r="D12" s="9" t="s">
        <v>16</v>
      </c>
      <c r="E12" s="9" t="s">
        <v>17</v>
      </c>
      <c r="F12" s="2" t="s">
        <v>18</v>
      </c>
      <c r="G12" s="10"/>
      <c r="H12" s="11"/>
      <c r="J12" s="9" t="s">
        <v>8</v>
      </c>
      <c r="K12" s="9" t="s">
        <v>9</v>
      </c>
      <c r="L12" s="9" t="s">
        <v>10</v>
      </c>
      <c r="M12" s="2" t="s">
        <v>11</v>
      </c>
      <c r="N12" s="11"/>
      <c r="O12" s="11"/>
    </row>
    <row r="13" spans="1:15" x14ac:dyDescent="0.25">
      <c r="A13" s="12">
        <f>'ALL LEVELS'!A13</f>
        <v>1</v>
      </c>
      <c r="B13" s="12" t="str">
        <f>'ALL LEVELS'!B13</f>
        <v>MONDAY</v>
      </c>
      <c r="C13" s="18">
        <v>12.790697674418604</v>
      </c>
      <c r="D13" s="18">
        <v>79.400000000000006</v>
      </c>
      <c r="E13" s="18">
        <v>72</v>
      </c>
      <c r="F13" s="18">
        <v>51</v>
      </c>
      <c r="G13" s="14"/>
      <c r="H13" s="14"/>
      <c r="J13" s="15">
        <f>SUM(C$13:C13)</f>
        <v>12.790697674418604</v>
      </c>
      <c r="K13" s="15">
        <f>SUM(D$13:D13)</f>
        <v>79.400000000000006</v>
      </c>
      <c r="L13" s="15">
        <f>SUM(E$13:E13)</f>
        <v>72</v>
      </c>
      <c r="M13" s="15">
        <f>SUM(F$13:F13)</f>
        <v>51</v>
      </c>
      <c r="N13" s="15"/>
      <c r="O13" s="15"/>
    </row>
    <row r="14" spans="1:15" x14ac:dyDescent="0.25">
      <c r="A14" s="12">
        <f>'ALL LEVELS'!A14</f>
        <v>2</v>
      </c>
      <c r="B14" s="12" t="str">
        <f>'ALL LEVELS'!B14</f>
        <v>TUESDAY</v>
      </c>
      <c r="C14" s="18">
        <v>13.488372093023255</v>
      </c>
      <c r="D14" s="18">
        <v>65.2</v>
      </c>
      <c r="E14" s="18">
        <v>91</v>
      </c>
      <c r="F14" s="18">
        <v>38</v>
      </c>
      <c r="G14" s="14"/>
      <c r="H14" s="14"/>
      <c r="J14" s="15">
        <f>SUM(C$13:C14)</f>
        <v>26.279069767441861</v>
      </c>
      <c r="K14" s="15">
        <f>SUM(D$13:D14)</f>
        <v>144.60000000000002</v>
      </c>
      <c r="L14" s="15">
        <f>SUM(E$13:E14)</f>
        <v>163</v>
      </c>
      <c r="M14" s="15">
        <f>SUM(F$13:F14)</f>
        <v>89</v>
      </c>
      <c r="N14" s="15"/>
      <c r="O14" s="15"/>
    </row>
    <row r="15" spans="1:15" x14ac:dyDescent="0.25">
      <c r="A15" s="12">
        <f>'ALL LEVELS'!A15</f>
        <v>3</v>
      </c>
      <c r="B15" s="12" t="str">
        <f>'ALL LEVELS'!B15</f>
        <v>WEDNESDAY</v>
      </c>
      <c r="C15" s="18">
        <v>20.348837209302324</v>
      </c>
      <c r="D15" s="18">
        <v>120.8</v>
      </c>
      <c r="E15" s="18">
        <v>150</v>
      </c>
      <c r="F15" s="18">
        <v>75</v>
      </c>
      <c r="G15" s="14"/>
      <c r="H15" s="14"/>
      <c r="J15" s="15">
        <f>SUM(C$13:C15)</f>
        <v>46.627906976744185</v>
      </c>
      <c r="K15" s="15">
        <f>SUM(D$13:D15)</f>
        <v>265.40000000000003</v>
      </c>
      <c r="L15" s="15">
        <f>SUM(E$13:E15)</f>
        <v>313</v>
      </c>
      <c r="M15" s="15">
        <f>SUM(F$13:F15)</f>
        <v>164</v>
      </c>
      <c r="N15" s="15"/>
      <c r="O15" s="15"/>
    </row>
    <row r="16" spans="1:15" x14ac:dyDescent="0.25">
      <c r="A16" s="12">
        <f>'ALL LEVELS'!A16</f>
        <v>4</v>
      </c>
      <c r="B16" s="12" t="str">
        <f>'ALL LEVELS'!B16</f>
        <v>THURSDAY</v>
      </c>
      <c r="C16" s="18">
        <v>8.0232558139534884</v>
      </c>
      <c r="D16" s="18">
        <v>39.200000000000003</v>
      </c>
      <c r="E16" s="18">
        <v>43</v>
      </c>
      <c r="F16" s="18">
        <v>40</v>
      </c>
      <c r="G16" s="14"/>
      <c r="H16" s="14"/>
      <c r="J16" s="15">
        <f>SUM(C$13:C16)</f>
        <v>54.651162790697676</v>
      </c>
      <c r="K16" s="15">
        <f>SUM(D$13:D16)</f>
        <v>304.60000000000002</v>
      </c>
      <c r="L16" s="15">
        <f>SUM(E$13:E16)</f>
        <v>356</v>
      </c>
      <c r="M16" s="15">
        <f>SUM(F$13:F16)</f>
        <v>204</v>
      </c>
      <c r="N16" s="15"/>
      <c r="O16" s="15"/>
    </row>
    <row r="17" spans="1:15" x14ac:dyDescent="0.25">
      <c r="A17" s="12">
        <f>'ALL LEVELS'!A17</f>
        <v>5</v>
      </c>
      <c r="B17" s="12" t="str">
        <f>'ALL LEVELS'!B17</f>
        <v>FRIDAY</v>
      </c>
      <c r="C17" s="18">
        <v>18.604651162790699</v>
      </c>
      <c r="D17" s="18">
        <v>67.2</v>
      </c>
      <c r="E17" s="18">
        <v>90</v>
      </c>
      <c r="F17" s="18">
        <v>38</v>
      </c>
      <c r="G17" s="14"/>
      <c r="H17" s="14"/>
      <c r="J17" s="15">
        <f>SUM(C$13:C17)</f>
        <v>73.255813953488371</v>
      </c>
      <c r="K17" s="15">
        <f>SUM(D$13:D17)</f>
        <v>371.8</v>
      </c>
      <c r="L17" s="15">
        <f>SUM(E$13:E17)</f>
        <v>446</v>
      </c>
      <c r="M17" s="15">
        <f>SUM(F$13:F17)</f>
        <v>242</v>
      </c>
      <c r="N17" s="15"/>
      <c r="O17" s="15"/>
    </row>
    <row r="18" spans="1:15" x14ac:dyDescent="0.25">
      <c r="A18" s="12">
        <f>'ALL LEVELS'!A18</f>
        <v>6</v>
      </c>
      <c r="B18" s="12" t="str">
        <f>'ALL LEVELS'!B18</f>
        <v>SATURDAY</v>
      </c>
      <c r="C18" s="18">
        <v>21.395348837209301</v>
      </c>
      <c r="D18" s="18">
        <v>83.2</v>
      </c>
      <c r="E18" s="18">
        <v>117</v>
      </c>
      <c r="F18" s="18">
        <v>56</v>
      </c>
      <c r="G18" s="14"/>
      <c r="H18" s="14"/>
      <c r="J18" s="15">
        <f>SUM(C$13:C18)</f>
        <v>94.651162790697668</v>
      </c>
      <c r="K18" s="15">
        <f>SUM(D$13:D18)</f>
        <v>455</v>
      </c>
      <c r="L18" s="15">
        <f>SUM(E$13:E18)</f>
        <v>563</v>
      </c>
      <c r="M18" s="15">
        <f>SUM(F$13:F18)</f>
        <v>298</v>
      </c>
      <c r="N18" s="15"/>
      <c r="O18" s="15"/>
    </row>
    <row r="19" spans="1:15" x14ac:dyDescent="0.25">
      <c r="A19" s="12">
        <f>'ALL LEVELS'!A19</f>
        <v>7</v>
      </c>
      <c r="B19" s="12" t="str">
        <f>'ALL LEVELS'!B19</f>
        <v>SUNDAY</v>
      </c>
      <c r="C19" s="18">
        <v>11.627906976744185</v>
      </c>
      <c r="D19" s="18">
        <v>46.400000000000006</v>
      </c>
      <c r="E19" s="18">
        <v>65</v>
      </c>
      <c r="F19" s="18">
        <v>29</v>
      </c>
      <c r="G19" s="14"/>
      <c r="H19" s="14"/>
      <c r="J19" s="15">
        <f>SUM(C$13:C19)</f>
        <v>106.27906976744185</v>
      </c>
      <c r="K19" s="15">
        <f>SUM(D$13:D19)</f>
        <v>501.4</v>
      </c>
      <c r="L19" s="15">
        <f>SUM(E$13:E19)</f>
        <v>628</v>
      </c>
      <c r="M19" s="15">
        <f>SUM(F$13:F19)</f>
        <v>327</v>
      </c>
      <c r="N19" s="15"/>
      <c r="O19" s="15"/>
    </row>
    <row r="20" spans="1:15" x14ac:dyDescent="0.25">
      <c r="A20" s="12">
        <f>'ALL LEVELS'!A20</f>
        <v>8</v>
      </c>
      <c r="B20" s="12" t="str">
        <f>'ALL LEVELS'!B20</f>
        <v>MONDAY</v>
      </c>
      <c r="C20" s="18">
        <v>20.813953488372093</v>
      </c>
      <c r="D20" s="18">
        <v>99.999999999999986</v>
      </c>
      <c r="E20" s="18">
        <v>134</v>
      </c>
      <c r="F20" s="18">
        <v>66</v>
      </c>
      <c r="G20" s="14"/>
      <c r="H20" s="14"/>
      <c r="J20" s="15">
        <f>SUM(C$13:C20)</f>
        <v>127.09302325581395</v>
      </c>
      <c r="K20" s="15">
        <f>SUM(D$13:D20)</f>
        <v>601.4</v>
      </c>
      <c r="L20" s="15">
        <f>SUM(E$13:E20)</f>
        <v>762</v>
      </c>
      <c r="M20" s="15">
        <f>SUM(F$13:F20)</f>
        <v>393</v>
      </c>
      <c r="N20" s="15"/>
      <c r="O20" s="15"/>
    </row>
    <row r="21" spans="1:15" x14ac:dyDescent="0.25">
      <c r="A21" s="12">
        <f>'ALL LEVELS'!A21</f>
        <v>9</v>
      </c>
      <c r="B21" s="12" t="str">
        <f>'ALL LEVELS'!B21</f>
        <v>TUESDAY</v>
      </c>
      <c r="C21" s="18">
        <v>21.395348837209301</v>
      </c>
      <c r="D21" s="18">
        <v>107</v>
      </c>
      <c r="E21" s="18">
        <v>142</v>
      </c>
      <c r="F21" s="18">
        <v>70</v>
      </c>
      <c r="G21" s="14"/>
      <c r="H21" s="14"/>
      <c r="J21" s="15">
        <f>SUM(C$13:C21)</f>
        <v>148.48837209302326</v>
      </c>
      <c r="K21" s="15">
        <f>SUM(D$13:D21)</f>
        <v>708.4</v>
      </c>
      <c r="L21" s="15">
        <f>SUM(E$13:E21)</f>
        <v>904</v>
      </c>
      <c r="M21" s="15">
        <f>SUM(F$13:F21)</f>
        <v>463</v>
      </c>
      <c r="N21" s="15"/>
      <c r="O21" s="15"/>
    </row>
    <row r="22" spans="1:15" x14ac:dyDescent="0.25">
      <c r="A22" s="12">
        <f>'ALL LEVELS'!A22</f>
        <v>10</v>
      </c>
      <c r="B22" s="12" t="str">
        <f>'ALL LEVELS'!B22</f>
        <v>WEDNESDAY</v>
      </c>
      <c r="C22" s="18">
        <v>10.813953488372093</v>
      </c>
      <c r="D22" s="18">
        <v>36.200000000000003</v>
      </c>
      <c r="E22" s="18">
        <v>49</v>
      </c>
      <c r="F22" s="18">
        <v>18</v>
      </c>
      <c r="G22" s="14"/>
      <c r="H22" s="14"/>
      <c r="J22" s="15">
        <f>SUM(C$13:C22)</f>
        <v>159.30232558139534</v>
      </c>
      <c r="K22" s="15">
        <f>SUM(D$13:D22)</f>
        <v>744.6</v>
      </c>
      <c r="L22" s="15">
        <f>SUM(E$13:E22)</f>
        <v>953</v>
      </c>
      <c r="M22" s="15">
        <f>SUM(F$13:F22)</f>
        <v>481</v>
      </c>
      <c r="N22" s="15"/>
      <c r="O22" s="15"/>
    </row>
    <row r="23" spans="1:15" x14ac:dyDescent="0.25">
      <c r="A23" s="12">
        <f>'ALL LEVELS'!A23</f>
        <v>11</v>
      </c>
      <c r="B23" s="12" t="str">
        <f>'ALL LEVELS'!B23</f>
        <v>THURSDAY</v>
      </c>
      <c r="C23" s="18">
        <v>14.883720930232558</v>
      </c>
      <c r="D23" s="18">
        <v>45.6</v>
      </c>
      <c r="E23" s="18">
        <v>71</v>
      </c>
      <c r="F23" s="18">
        <v>33</v>
      </c>
      <c r="G23" s="14"/>
      <c r="H23" s="14"/>
      <c r="J23" s="15">
        <f>SUM(C$13:C23)</f>
        <v>174.18604651162789</v>
      </c>
      <c r="K23" s="15">
        <f>SUM(D$13:D23)</f>
        <v>790.2</v>
      </c>
      <c r="L23" s="15">
        <f>SUM(E$13:E23)</f>
        <v>1024</v>
      </c>
      <c r="M23" s="15">
        <f>SUM(F$13:F23)</f>
        <v>514</v>
      </c>
      <c r="N23" s="15"/>
      <c r="O23" s="15"/>
    </row>
    <row r="24" spans="1:15" x14ac:dyDescent="0.25">
      <c r="A24" s="12">
        <f>'ALL LEVELS'!A24</f>
        <v>12</v>
      </c>
      <c r="B24" s="12" t="str">
        <f>'ALL LEVELS'!B24</f>
        <v>FRIDAY</v>
      </c>
      <c r="C24" s="18">
        <v>14.534883720930232</v>
      </c>
      <c r="D24" s="18">
        <v>47.4</v>
      </c>
      <c r="E24" s="18">
        <v>60</v>
      </c>
      <c r="F24" s="18">
        <v>43</v>
      </c>
      <c r="G24" s="14"/>
      <c r="H24" s="14"/>
      <c r="J24" s="15">
        <f>SUM(C$13:C24)</f>
        <v>188.72093023255812</v>
      </c>
      <c r="K24" s="15">
        <f>SUM(D$13:D24)</f>
        <v>837.6</v>
      </c>
      <c r="L24" s="15">
        <f>SUM(E$13:E24)</f>
        <v>1084</v>
      </c>
      <c r="M24" s="15">
        <f>SUM(F$13:F24)</f>
        <v>557</v>
      </c>
      <c r="N24" s="15"/>
      <c r="O24" s="15"/>
    </row>
    <row r="25" spans="1:15" x14ac:dyDescent="0.25">
      <c r="A25" s="12">
        <f>'ALL LEVELS'!A25</f>
        <v>13</v>
      </c>
      <c r="B25" s="12" t="str">
        <f>'ALL LEVELS'!B25</f>
        <v>SATURDAY</v>
      </c>
      <c r="C25" s="18">
        <v>17.558139534883722</v>
      </c>
      <c r="D25" s="18">
        <v>68</v>
      </c>
      <c r="E25" s="18">
        <v>96</v>
      </c>
      <c r="F25" s="18">
        <v>45</v>
      </c>
      <c r="G25" s="14"/>
      <c r="H25" s="14"/>
      <c r="J25" s="15">
        <f>SUM(C$13:C25)</f>
        <v>206.27906976744185</v>
      </c>
      <c r="K25" s="15">
        <f>SUM(D$13:D25)</f>
        <v>905.6</v>
      </c>
      <c r="L25" s="15">
        <f>SUM(E$13:E25)</f>
        <v>1180</v>
      </c>
      <c r="M25" s="15">
        <f>SUM(F$13:F25)</f>
        <v>602</v>
      </c>
      <c r="N25" s="15"/>
      <c r="O25" s="15"/>
    </row>
    <row r="26" spans="1:15" x14ac:dyDescent="0.25">
      <c r="A26" s="12">
        <f>'ALL LEVELS'!A26</f>
        <v>14</v>
      </c>
      <c r="B26" s="12" t="str">
        <f>'ALL LEVELS'!B26</f>
        <v>SUNDAY</v>
      </c>
      <c r="C26" s="18">
        <v>12.906976744186046</v>
      </c>
      <c r="D26" s="18">
        <v>50.4</v>
      </c>
      <c r="E26" s="18">
        <v>71</v>
      </c>
      <c r="F26" s="18">
        <v>27</v>
      </c>
      <c r="G26" s="14"/>
      <c r="H26" s="14"/>
      <c r="J26" s="15">
        <f>SUM(C$13:C26)</f>
        <v>219.18604651162789</v>
      </c>
      <c r="K26" s="15">
        <f>SUM(D$13:D26)</f>
        <v>956</v>
      </c>
      <c r="L26" s="15">
        <f>SUM(E$13:E26)</f>
        <v>1251</v>
      </c>
      <c r="M26" s="15">
        <f>SUM(F$13:F26)</f>
        <v>629</v>
      </c>
      <c r="N26" s="15"/>
      <c r="O26" s="15"/>
    </row>
    <row r="27" spans="1:15" x14ac:dyDescent="0.25">
      <c r="A27" s="12">
        <f>'ALL LEVELS'!A27</f>
        <v>15</v>
      </c>
      <c r="B27" s="12" t="str">
        <f>'ALL LEVELS'!B27</f>
        <v>MONDAY</v>
      </c>
      <c r="C27" s="18">
        <v>11.744186046511627</v>
      </c>
      <c r="D27" s="18">
        <v>47.6</v>
      </c>
      <c r="E27" s="18">
        <v>71</v>
      </c>
      <c r="F27" s="18">
        <v>30</v>
      </c>
      <c r="G27" s="14"/>
      <c r="H27" s="14"/>
      <c r="J27" s="15">
        <f>SUM(C$13:C27)</f>
        <v>230.93023255813952</v>
      </c>
      <c r="K27" s="15">
        <f>SUM(D$13:D27)</f>
        <v>1003.6</v>
      </c>
      <c r="L27" s="15">
        <f>SUM(E$13:E27)</f>
        <v>1322</v>
      </c>
      <c r="M27" s="15">
        <f>SUM(F$13:F27)</f>
        <v>659</v>
      </c>
      <c r="N27" s="15"/>
      <c r="O27" s="15"/>
    </row>
    <row r="28" spans="1:15" x14ac:dyDescent="0.25">
      <c r="A28" s="12">
        <f>'ALL LEVELS'!A28</f>
        <v>16</v>
      </c>
      <c r="B28" s="12" t="str">
        <f>'ALL LEVELS'!B28</f>
        <v>TUESDAY</v>
      </c>
      <c r="C28" s="18">
        <v>18.372093023255815</v>
      </c>
      <c r="D28" s="18">
        <v>86.4</v>
      </c>
      <c r="E28" s="18">
        <v>111</v>
      </c>
      <c r="F28" s="18">
        <v>43</v>
      </c>
      <c r="G28" s="14"/>
      <c r="H28" s="14"/>
      <c r="J28" s="15">
        <f>SUM(C$13:C28)</f>
        <v>249.30232558139534</v>
      </c>
      <c r="K28" s="15">
        <f>SUM(D$13:D28)</f>
        <v>1090</v>
      </c>
      <c r="L28" s="15">
        <f>SUM(E$13:E28)</f>
        <v>1433</v>
      </c>
      <c r="M28" s="15">
        <f>SUM(F$13:F28)</f>
        <v>702</v>
      </c>
      <c r="N28" s="15"/>
      <c r="O28" s="15"/>
    </row>
    <row r="29" spans="1:15" x14ac:dyDescent="0.25">
      <c r="A29" s="12">
        <f>'ALL LEVELS'!A29</f>
        <v>17</v>
      </c>
      <c r="B29" s="12" t="str">
        <f>'ALL LEVELS'!B29</f>
        <v>WEDNESDAY</v>
      </c>
      <c r="C29" s="18">
        <v>34.418604651162788</v>
      </c>
      <c r="D29" s="18">
        <v>57.4</v>
      </c>
      <c r="E29" s="18">
        <v>111</v>
      </c>
      <c r="F29" s="18">
        <v>58</v>
      </c>
      <c r="G29" s="14"/>
      <c r="H29" s="14"/>
      <c r="J29" s="15">
        <f>SUM(C$13:C29)</f>
        <v>283.72093023255815</v>
      </c>
      <c r="K29" s="15">
        <f>SUM(D$13:D29)</f>
        <v>1147.4000000000001</v>
      </c>
      <c r="L29" s="15">
        <f>SUM(E$13:E29)</f>
        <v>1544</v>
      </c>
      <c r="M29" s="15">
        <f>SUM(F$13:F29)</f>
        <v>760</v>
      </c>
      <c r="N29" s="15"/>
      <c r="O29" s="15"/>
    </row>
    <row r="30" spans="1:15" x14ac:dyDescent="0.25">
      <c r="A30" s="12">
        <f>'ALL LEVELS'!A30</f>
        <v>18</v>
      </c>
      <c r="B30" s="12" t="str">
        <f>'ALL LEVELS'!B30</f>
        <v>THURSDAY</v>
      </c>
      <c r="C30" s="18">
        <v>34.069767441860463</v>
      </c>
      <c r="D30" s="18">
        <v>93.2</v>
      </c>
      <c r="E30" s="18">
        <v>148</v>
      </c>
      <c r="F30" s="18">
        <v>73</v>
      </c>
      <c r="G30" s="14"/>
      <c r="H30" s="14"/>
      <c r="J30" s="15">
        <f>SUM(C$13:C30)</f>
        <v>317.7906976744186</v>
      </c>
      <c r="K30" s="15">
        <f>SUM(D$13:D30)</f>
        <v>1240.6000000000001</v>
      </c>
      <c r="L30" s="15">
        <f>SUM(E$13:E30)</f>
        <v>1692</v>
      </c>
      <c r="M30" s="15">
        <f>SUM(F$13:F30)</f>
        <v>833</v>
      </c>
      <c r="N30" s="15"/>
      <c r="O30" s="15"/>
    </row>
    <row r="31" spans="1:15" x14ac:dyDescent="0.25">
      <c r="A31" s="12">
        <f>'ALL LEVELS'!A31</f>
        <v>19</v>
      </c>
      <c r="B31" s="12" t="str">
        <f>'ALL LEVELS'!B31</f>
        <v>FRIDAY</v>
      </c>
      <c r="C31" s="18">
        <v>27.906976744186046</v>
      </c>
      <c r="D31" s="18">
        <v>98</v>
      </c>
      <c r="E31" s="18">
        <v>125</v>
      </c>
      <c r="F31" s="18">
        <v>72</v>
      </c>
      <c r="G31" s="14"/>
      <c r="H31" s="14"/>
      <c r="J31" s="15">
        <f>SUM(C$13:C31)</f>
        <v>345.69767441860466</v>
      </c>
      <c r="K31" s="15">
        <f>SUM(D$13:D31)</f>
        <v>1338.6000000000001</v>
      </c>
      <c r="L31" s="15">
        <f>SUM(E$13:E31)</f>
        <v>1817</v>
      </c>
      <c r="M31" s="15">
        <f>SUM(F$13:F31)</f>
        <v>905</v>
      </c>
      <c r="N31" s="15"/>
      <c r="O31" s="15"/>
    </row>
    <row r="32" spans="1:15" x14ac:dyDescent="0.25">
      <c r="A32" s="12">
        <f>'ALL LEVELS'!A32</f>
        <v>20</v>
      </c>
      <c r="B32" s="12" t="str">
        <f>'ALL LEVELS'!B32</f>
        <v>SATURDAY</v>
      </c>
      <c r="C32" s="18"/>
      <c r="D32" s="18"/>
      <c r="E32" s="18"/>
      <c r="F32" s="18"/>
      <c r="G32" s="14"/>
      <c r="H32" s="14"/>
      <c r="J32" s="15">
        <f>SUM(C$13:C32)</f>
        <v>345.69767441860466</v>
      </c>
      <c r="K32" s="15">
        <f>SUM(D$13:D32)</f>
        <v>1338.6000000000001</v>
      </c>
      <c r="L32" s="15">
        <f>SUM(E$13:E32)</f>
        <v>1817</v>
      </c>
      <c r="M32" s="15">
        <f>SUM(F$13:F32)</f>
        <v>905</v>
      </c>
      <c r="N32" s="15"/>
      <c r="O32" s="15"/>
    </row>
    <row r="33" spans="1:15" x14ac:dyDescent="0.25">
      <c r="A33" s="12">
        <f>'ALL LEVELS'!A33</f>
        <v>21</v>
      </c>
      <c r="B33" s="12" t="str">
        <f>'ALL LEVELS'!B33</f>
        <v>SUNDAY</v>
      </c>
      <c r="C33" s="18"/>
      <c r="D33" s="18"/>
      <c r="E33" s="18"/>
      <c r="F33" s="18"/>
      <c r="G33" s="14"/>
      <c r="H33" s="14"/>
      <c r="J33" s="15">
        <f>SUM(C$13:C33)</f>
        <v>345.69767441860466</v>
      </c>
      <c r="K33" s="15">
        <f>SUM(D$13:D33)</f>
        <v>1338.6000000000001</v>
      </c>
      <c r="L33" s="15">
        <f>SUM(E$13:E33)</f>
        <v>1817</v>
      </c>
      <c r="M33" s="15">
        <f>SUM(F$13:F33)</f>
        <v>905</v>
      </c>
      <c r="N33" s="15"/>
      <c r="O33" s="15"/>
    </row>
    <row r="34" spans="1:15" x14ac:dyDescent="0.25">
      <c r="A34" s="12">
        <f>'ALL LEVELS'!A34</f>
        <v>22</v>
      </c>
      <c r="B34" s="12" t="str">
        <f>'ALL LEVELS'!B34</f>
        <v>MONDAY</v>
      </c>
      <c r="C34" s="18"/>
      <c r="D34" s="18"/>
      <c r="E34" s="18"/>
      <c r="F34" s="18"/>
      <c r="G34" s="14"/>
      <c r="H34" s="14"/>
      <c r="J34" s="15">
        <f>SUM(C$13:C34)</f>
        <v>345.69767441860466</v>
      </c>
      <c r="K34" s="15">
        <f>SUM(D$13:D34)</f>
        <v>1338.6000000000001</v>
      </c>
      <c r="L34" s="15">
        <f>SUM(E$13:E34)</f>
        <v>1817</v>
      </c>
      <c r="M34" s="15">
        <f>SUM(F$13:F34)</f>
        <v>905</v>
      </c>
      <c r="N34" s="15"/>
      <c r="O34" s="15"/>
    </row>
    <row r="35" spans="1:15" x14ac:dyDescent="0.25">
      <c r="A35" s="12">
        <f>'ALL LEVELS'!A35</f>
        <v>23</v>
      </c>
      <c r="B35" s="12" t="str">
        <f>'ALL LEVELS'!B35</f>
        <v>TUESDAY</v>
      </c>
      <c r="C35" s="18"/>
      <c r="D35" s="18"/>
      <c r="E35" s="18"/>
      <c r="F35" s="18"/>
      <c r="G35" s="14"/>
      <c r="H35" s="14"/>
      <c r="J35" s="15">
        <f>SUM(C$13:C35)</f>
        <v>345.69767441860466</v>
      </c>
      <c r="K35" s="15">
        <f>SUM(D$13:D35)</f>
        <v>1338.6000000000001</v>
      </c>
      <c r="L35" s="15">
        <f>SUM(E$13:E35)</f>
        <v>1817</v>
      </c>
      <c r="M35" s="15">
        <f>SUM(F$13:F35)</f>
        <v>905</v>
      </c>
      <c r="N35" s="15"/>
      <c r="O35" s="15"/>
    </row>
    <row r="36" spans="1:15" x14ac:dyDescent="0.25">
      <c r="A36" s="12">
        <f>'ALL LEVELS'!A36</f>
        <v>24</v>
      </c>
      <c r="B36" s="12" t="str">
        <f>'ALL LEVELS'!B36</f>
        <v>WEDNESDAY</v>
      </c>
      <c r="C36" s="18"/>
      <c r="D36" s="18"/>
      <c r="E36" s="18"/>
      <c r="F36" s="18"/>
      <c r="G36" s="14"/>
      <c r="H36" s="14"/>
      <c r="J36" s="15">
        <f>SUM(C$13:C36)</f>
        <v>345.69767441860466</v>
      </c>
      <c r="K36" s="15">
        <f>SUM(D$13:D36)</f>
        <v>1338.6000000000001</v>
      </c>
      <c r="L36" s="15">
        <f>SUM(E$13:E36)</f>
        <v>1817</v>
      </c>
      <c r="M36" s="15">
        <f>SUM(F$13:F36)</f>
        <v>905</v>
      </c>
      <c r="N36" s="15"/>
      <c r="O36" s="15"/>
    </row>
    <row r="37" spans="1:15" x14ac:dyDescent="0.25">
      <c r="A37" s="12">
        <f>'ALL LEVELS'!A37</f>
        <v>25</v>
      </c>
      <c r="B37" s="12" t="str">
        <f>'ALL LEVELS'!B37</f>
        <v>THURSDAY</v>
      </c>
      <c r="C37" s="18"/>
      <c r="D37" s="18"/>
      <c r="E37" s="18"/>
      <c r="F37" s="18"/>
      <c r="G37" s="14"/>
      <c r="H37" s="14"/>
      <c r="J37" s="15">
        <f>SUM(C$13:C37)</f>
        <v>345.69767441860466</v>
      </c>
      <c r="K37" s="15">
        <f>SUM(D$13:D37)</f>
        <v>1338.6000000000001</v>
      </c>
      <c r="L37" s="15">
        <f>SUM(E$13:E37)</f>
        <v>1817</v>
      </c>
      <c r="M37" s="15">
        <f>SUM(F$13:F37)</f>
        <v>905</v>
      </c>
      <c r="N37" s="15"/>
      <c r="O37" s="15"/>
    </row>
    <row r="38" spans="1:15" x14ac:dyDescent="0.25">
      <c r="A38" s="12">
        <f>'ALL LEVELS'!A38</f>
        <v>26</v>
      </c>
      <c r="B38" s="12" t="str">
        <f>'ALL LEVELS'!B38</f>
        <v>FRIDAY</v>
      </c>
      <c r="C38" s="18"/>
      <c r="D38" s="18"/>
      <c r="E38" s="18"/>
      <c r="F38" s="18"/>
      <c r="G38" s="14"/>
      <c r="H38" s="14"/>
      <c r="J38" s="15">
        <f>SUM(C$13:C38)</f>
        <v>345.69767441860466</v>
      </c>
      <c r="K38" s="15">
        <f>SUM(D$13:D38)</f>
        <v>1338.6000000000001</v>
      </c>
      <c r="L38" s="15">
        <f>SUM(E$13:E38)</f>
        <v>1817</v>
      </c>
      <c r="M38" s="15">
        <f>SUM(F$13:F38)</f>
        <v>905</v>
      </c>
      <c r="N38" s="15"/>
      <c r="O38" s="15"/>
    </row>
    <row r="39" spans="1:15" x14ac:dyDescent="0.25">
      <c r="A39" s="12">
        <f>'ALL LEVELS'!A39</f>
        <v>27</v>
      </c>
      <c r="B39" s="12" t="str">
        <f>'ALL LEVELS'!B39</f>
        <v>SATURDAY</v>
      </c>
      <c r="C39" s="18"/>
      <c r="D39" s="18"/>
      <c r="E39" s="18"/>
      <c r="F39" s="18"/>
      <c r="G39" s="14"/>
      <c r="H39" s="14"/>
      <c r="J39" s="15">
        <f>SUM(C$13:C39)</f>
        <v>345.69767441860466</v>
      </c>
      <c r="K39" s="15">
        <f>SUM(D$13:D39)</f>
        <v>1338.6000000000001</v>
      </c>
      <c r="L39" s="15">
        <f>SUM(E$13:E39)</f>
        <v>1817</v>
      </c>
      <c r="M39" s="15">
        <f>SUM(F$13:F39)</f>
        <v>905</v>
      </c>
      <c r="N39" s="15"/>
      <c r="O39" s="15"/>
    </row>
    <row r="40" spans="1:15" x14ac:dyDescent="0.25">
      <c r="A40" s="12">
        <f>'ALL LEVELS'!A40</f>
        <v>28</v>
      </c>
      <c r="B40" s="12" t="str">
        <f>'ALL LEVELS'!B40</f>
        <v>SUNDAY</v>
      </c>
      <c r="C40" s="18"/>
      <c r="D40" s="18"/>
      <c r="E40" s="18"/>
      <c r="F40" s="18"/>
      <c r="G40" s="14"/>
      <c r="H40" s="14"/>
      <c r="J40" s="15">
        <f>SUM(C$13:C40)</f>
        <v>345.69767441860466</v>
      </c>
      <c r="K40" s="15">
        <f>SUM(D$13:D40)</f>
        <v>1338.6000000000001</v>
      </c>
      <c r="L40" s="15">
        <f>SUM(E$13:E40)</f>
        <v>1817</v>
      </c>
      <c r="M40" s="15">
        <f>SUM(F$13:F40)</f>
        <v>905</v>
      </c>
      <c r="N40" s="15"/>
      <c r="O40" s="15"/>
    </row>
    <row r="41" spans="1:15" x14ac:dyDescent="0.25">
      <c r="A41" s="12">
        <f>'ALL LEVELS'!A41</f>
        <v>29</v>
      </c>
      <c r="B41" s="12" t="str">
        <f>'ALL LEVELS'!B41</f>
        <v>MONDAY</v>
      </c>
      <c r="C41" s="18"/>
      <c r="D41" s="18"/>
      <c r="E41" s="18"/>
      <c r="F41" s="18"/>
      <c r="G41" s="14"/>
      <c r="H41" s="14"/>
      <c r="J41" s="15"/>
      <c r="K41" s="15"/>
      <c r="L41" s="15"/>
      <c r="M41" s="15"/>
      <c r="N41" s="15"/>
      <c r="O41" s="15"/>
    </row>
    <row r="42" spans="1:15" x14ac:dyDescent="0.25">
      <c r="A42" s="12">
        <f>'ALL LEVELS'!A42</f>
        <v>30</v>
      </c>
      <c r="B42" s="12" t="str">
        <f>'ALL LEVELS'!B42</f>
        <v>TUESDAY</v>
      </c>
      <c r="C42" s="18"/>
      <c r="D42" s="18"/>
      <c r="E42" s="18"/>
      <c r="F42" s="18"/>
      <c r="G42" s="14"/>
      <c r="H42" s="14"/>
      <c r="J42" s="15">
        <f>SUM(C$13:C42)</f>
        <v>345.69767441860466</v>
      </c>
      <c r="K42" s="15">
        <f>SUM(D$13:D42)</f>
        <v>1338.6000000000001</v>
      </c>
      <c r="L42" s="15">
        <f>SUM(E$13:E42)</f>
        <v>1817</v>
      </c>
      <c r="M42" s="15">
        <f>SUM(F$13:F42)</f>
        <v>905</v>
      </c>
      <c r="N42" s="15"/>
      <c r="O42" s="15"/>
    </row>
    <row r="43" spans="1:15" x14ac:dyDescent="0.25">
      <c r="A43" s="12">
        <f>'ALL LEVELS'!A43</f>
        <v>31</v>
      </c>
      <c r="B43" s="12" t="str">
        <f>'ALL LEVELS'!B43</f>
        <v>WEDNESDAY</v>
      </c>
      <c r="C43" s="18"/>
      <c r="D43" s="18"/>
      <c r="E43" s="18"/>
      <c r="F43" s="18"/>
      <c r="G43" s="14"/>
      <c r="H43" s="14"/>
      <c r="J43" s="15">
        <f>SUM(C$13:C43)</f>
        <v>345.69767441860466</v>
      </c>
      <c r="K43" s="15">
        <f>SUM(D$13:D43)</f>
        <v>1338.6000000000001</v>
      </c>
      <c r="L43" s="15">
        <f>SUM(E$13:E43)</f>
        <v>1817</v>
      </c>
      <c r="M43" s="15">
        <f>SUM(F$13:F43)</f>
        <v>905</v>
      </c>
      <c r="N43" s="15"/>
      <c r="O43" s="15"/>
    </row>
    <row r="44" spans="1:15" x14ac:dyDescent="0.25">
      <c r="B44" s="7"/>
      <c r="C44" s="19">
        <f t="shared" ref="C44:H44" si="0">SUBTOTAL(109,C13:C43)</f>
        <v>345.69767441860466</v>
      </c>
      <c r="D44" s="19">
        <f t="shared" si="0"/>
        <v>1338.6000000000001</v>
      </c>
      <c r="E44" s="19">
        <f t="shared" si="0"/>
        <v>1817</v>
      </c>
      <c r="F44" s="19">
        <f t="shared" si="0"/>
        <v>905</v>
      </c>
      <c r="G44" s="16">
        <f t="shared" si="0"/>
        <v>0</v>
      </c>
      <c r="H44" s="16">
        <f t="shared" si="0"/>
        <v>0</v>
      </c>
    </row>
    <row r="45" spans="1:15" x14ac:dyDescent="0.25">
      <c r="B45" s="7"/>
    </row>
  </sheetData>
  <mergeCells count="3">
    <mergeCell ref="C3:D3"/>
    <mergeCell ref="E3:F3"/>
    <mergeCell ref="J11:O11"/>
  </mergeCells>
  <phoneticPr fontId="5" type="noConversion"/>
  <conditionalFormatting sqref="B13:B43">
    <cfRule type="containsText" dxfId="6" priority="2" operator="containsText" text="SUNDAY">
      <formula>NOT(ISERROR(SEARCH("SUNDAY",B13)))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O45"/>
  <sheetViews>
    <sheetView zoomScale="115" zoomScaleNormal="115" workbookViewId="0">
      <pane ySplit="10" topLeftCell="A11" activePane="bottomLeft" state="frozen"/>
      <selection pane="bottomLeft" activeCell="C31" sqref="C31:F31"/>
    </sheetView>
  </sheetViews>
  <sheetFormatPr defaultRowHeight="15" x14ac:dyDescent="0.25"/>
  <cols>
    <col min="2" max="2" width="13.5703125" customWidth="1"/>
    <col min="3" max="3" width="14.7109375" bestFit="1" customWidth="1"/>
    <col min="4" max="4" width="11.140625" bestFit="1" customWidth="1"/>
    <col min="5" max="5" width="18.42578125" bestFit="1" customWidth="1"/>
    <col min="6" max="6" width="15.5703125" bestFit="1" customWidth="1"/>
    <col min="7" max="8" width="11.85546875" customWidth="1"/>
    <col min="9" max="9" width="5.28515625" customWidth="1"/>
    <col min="10" max="15" width="6.85546875" hidden="1" customWidth="1"/>
    <col min="16" max="16" width="8.42578125" customWidth="1"/>
    <col min="17" max="35" width="5.28515625" customWidth="1"/>
  </cols>
  <sheetData>
    <row r="1" spans="1:15" x14ac:dyDescent="0.25">
      <c r="B1" t="s">
        <v>0</v>
      </c>
      <c r="E1" t="s">
        <v>1</v>
      </c>
      <c r="F1" s="1">
        <f>'ALL LEVELS'!F1</f>
        <v>30</v>
      </c>
      <c r="H1" s="20" t="str">
        <f>'ALL LEVELS'!H1</f>
        <v>Month of JUNE 2026</v>
      </c>
    </row>
    <row r="2" spans="1:15" x14ac:dyDescent="0.25">
      <c r="B2" t="s">
        <v>2</v>
      </c>
      <c r="C2" s="1">
        <f>'ALL LEVELS'!C2</f>
        <v>19</v>
      </c>
      <c r="E2" s="23"/>
      <c r="F2" s="23"/>
    </row>
    <row r="3" spans="1:15" ht="15.75" hidden="1" thickBot="1" x14ac:dyDescent="0.3">
      <c r="C3" s="30" t="s">
        <v>3</v>
      </c>
      <c r="D3" s="30"/>
      <c r="E3" s="31" t="s">
        <v>4</v>
      </c>
      <c r="F3" s="31"/>
    </row>
    <row r="4" spans="1:15" ht="15.75" hidden="1" thickBot="1" x14ac:dyDescent="0.3">
      <c r="B4" s="2" t="s">
        <v>5</v>
      </c>
      <c r="C4" s="3" t="s">
        <v>6</v>
      </c>
      <c r="D4" s="3" t="s">
        <v>7</v>
      </c>
      <c r="E4" s="3" t="s">
        <v>6</v>
      </c>
      <c r="F4" s="3" t="s">
        <v>7</v>
      </c>
    </row>
    <row r="5" spans="1:15" ht="15.75" hidden="1" thickBot="1" x14ac:dyDescent="0.3">
      <c r="B5" s="2" t="s">
        <v>8</v>
      </c>
      <c r="C5" s="4"/>
      <c r="D5" s="4"/>
      <c r="E5" s="4"/>
      <c r="F5" s="4"/>
    </row>
    <row r="6" spans="1:15" ht="15.75" hidden="1" thickBot="1" x14ac:dyDescent="0.3">
      <c r="B6" s="2" t="s">
        <v>9</v>
      </c>
      <c r="C6" s="4"/>
      <c r="D6" s="4"/>
      <c r="E6" s="4"/>
      <c r="F6" s="4"/>
    </row>
    <row r="7" spans="1:15" ht="15.75" hidden="1" thickBot="1" x14ac:dyDescent="0.3">
      <c r="B7" s="2" t="s">
        <v>10</v>
      </c>
      <c r="C7" s="4"/>
      <c r="D7" s="4"/>
      <c r="E7" s="4"/>
      <c r="F7" s="4"/>
      <c r="H7" s="5"/>
    </row>
    <row r="8" spans="1:15" ht="15.75" hidden="1" thickBot="1" x14ac:dyDescent="0.3">
      <c r="B8" s="2" t="s">
        <v>11</v>
      </c>
      <c r="C8" s="6"/>
      <c r="D8" s="6"/>
      <c r="E8" s="6"/>
      <c r="F8" s="6"/>
    </row>
    <row r="9" spans="1:15" ht="15.75" hidden="1" thickBot="1" x14ac:dyDescent="0.3">
      <c r="B9" s="2"/>
      <c r="C9" s="6"/>
      <c r="D9" s="6"/>
      <c r="E9" s="6"/>
      <c r="F9" s="6"/>
    </row>
    <row r="10" spans="1:15" ht="15.75" hidden="1" thickBot="1" x14ac:dyDescent="0.3">
      <c r="B10" s="2" t="s">
        <v>12</v>
      </c>
      <c r="C10" s="4"/>
      <c r="D10" s="6"/>
      <c r="E10" s="4"/>
      <c r="F10" s="6"/>
    </row>
    <row r="11" spans="1:15" ht="15.75" thickBot="1" x14ac:dyDescent="0.3">
      <c r="B11" s="7"/>
      <c r="J11" s="32" t="s">
        <v>4</v>
      </c>
      <c r="K11" s="32"/>
      <c r="L11" s="32"/>
      <c r="M11" s="32"/>
      <c r="N11" s="32"/>
      <c r="O11" s="32"/>
    </row>
    <row r="12" spans="1:15" ht="15.75" thickBot="1" x14ac:dyDescent="0.3">
      <c r="A12" s="8" t="s">
        <v>13</v>
      </c>
      <c r="B12" s="7" t="s">
        <v>14</v>
      </c>
      <c r="C12" s="9" t="s">
        <v>15</v>
      </c>
      <c r="D12" s="9" t="s">
        <v>16</v>
      </c>
      <c r="E12" s="9" t="s">
        <v>17</v>
      </c>
      <c r="F12" s="2" t="s">
        <v>18</v>
      </c>
      <c r="G12" s="10"/>
      <c r="H12" s="11"/>
      <c r="J12" s="9" t="s">
        <v>8</v>
      </c>
      <c r="K12" s="9" t="s">
        <v>9</v>
      </c>
      <c r="L12" s="9" t="s">
        <v>10</v>
      </c>
      <c r="M12" s="2" t="s">
        <v>11</v>
      </c>
      <c r="N12" s="11"/>
      <c r="O12" s="11"/>
    </row>
    <row r="13" spans="1:15" x14ac:dyDescent="0.25">
      <c r="A13" s="12">
        <f>'ALL LEVELS'!A13</f>
        <v>1</v>
      </c>
      <c r="B13" s="7" t="str">
        <f>'ALL LEVELS'!B13</f>
        <v>MONDAY</v>
      </c>
      <c r="C13" s="18">
        <v>47.325581395348834</v>
      </c>
      <c r="D13" s="18">
        <v>167.4</v>
      </c>
      <c r="E13" s="18">
        <v>255</v>
      </c>
      <c r="F13" s="18">
        <v>104</v>
      </c>
      <c r="G13" s="14"/>
      <c r="H13" s="14"/>
      <c r="J13" s="15">
        <f>SUM(C$13:C13)</f>
        <v>47.325581395348834</v>
      </c>
      <c r="K13" s="15">
        <f>SUM(D$13:D13)</f>
        <v>167.4</v>
      </c>
      <c r="L13" s="15">
        <f>SUM(E$13:E13)</f>
        <v>255</v>
      </c>
      <c r="M13" s="15">
        <f>SUM(F$13:F13)</f>
        <v>104</v>
      </c>
      <c r="N13" s="15"/>
      <c r="O13" s="15"/>
    </row>
    <row r="14" spans="1:15" x14ac:dyDescent="0.25">
      <c r="A14" s="12">
        <f>'ALL LEVELS'!A14</f>
        <v>2</v>
      </c>
      <c r="B14" s="7" t="str">
        <f>'ALL LEVELS'!B14</f>
        <v>TUESDAY</v>
      </c>
      <c r="C14" s="18">
        <v>56.627906976744185</v>
      </c>
      <c r="D14" s="18">
        <v>246.6</v>
      </c>
      <c r="E14" s="18">
        <v>350</v>
      </c>
      <c r="F14" s="18">
        <v>138</v>
      </c>
      <c r="G14" s="14"/>
      <c r="H14" s="14"/>
      <c r="J14" s="15">
        <f>SUM(C$13:C14)</f>
        <v>103.95348837209302</v>
      </c>
      <c r="K14" s="15">
        <f>SUM(D$13:D14)</f>
        <v>414</v>
      </c>
      <c r="L14" s="15">
        <f>SUM(E$13:E14)</f>
        <v>605</v>
      </c>
      <c r="M14" s="15">
        <f>SUM(F$13:F14)</f>
        <v>242</v>
      </c>
      <c r="N14" s="15"/>
      <c r="O14" s="15"/>
    </row>
    <row r="15" spans="1:15" x14ac:dyDescent="0.25">
      <c r="A15" s="12">
        <f>'ALL LEVELS'!A15</f>
        <v>3</v>
      </c>
      <c r="B15" s="7" t="str">
        <f>'ALL LEVELS'!B15</f>
        <v>WEDNESDAY</v>
      </c>
      <c r="C15" s="18">
        <v>100.46511627906976</v>
      </c>
      <c r="D15" s="18">
        <v>208.20000000000005</v>
      </c>
      <c r="E15" s="18">
        <v>406</v>
      </c>
      <c r="F15" s="18">
        <v>166</v>
      </c>
      <c r="G15" s="14"/>
      <c r="H15" s="14"/>
      <c r="J15" s="15">
        <f>SUM(C$13:C15)</f>
        <v>204.41860465116278</v>
      </c>
      <c r="K15" s="15">
        <f>SUM(D$13:D15)</f>
        <v>622.20000000000005</v>
      </c>
      <c r="L15" s="15">
        <f>SUM(E$13:E15)</f>
        <v>1011</v>
      </c>
      <c r="M15" s="15">
        <f>SUM(F$13:F15)</f>
        <v>408</v>
      </c>
      <c r="N15" s="15"/>
      <c r="O15" s="15"/>
    </row>
    <row r="16" spans="1:15" x14ac:dyDescent="0.25">
      <c r="A16" s="12">
        <f>'ALL LEVELS'!A16</f>
        <v>4</v>
      </c>
      <c r="B16" s="7" t="str">
        <f>'ALL LEVELS'!B16</f>
        <v>THURSDAY</v>
      </c>
      <c r="C16" s="18">
        <v>61.97674418604651</v>
      </c>
      <c r="D16" s="18">
        <v>212</v>
      </c>
      <c r="E16" s="18">
        <v>328</v>
      </c>
      <c r="F16" s="18">
        <v>150</v>
      </c>
      <c r="G16" s="14"/>
      <c r="H16" s="14"/>
      <c r="J16" s="15">
        <f>SUM(C$13:C16)</f>
        <v>266.39534883720927</v>
      </c>
      <c r="K16" s="15">
        <f>SUM(D$13:D16)</f>
        <v>834.2</v>
      </c>
      <c r="L16" s="15">
        <f>SUM(E$13:E16)</f>
        <v>1339</v>
      </c>
      <c r="M16" s="15">
        <f>SUM(F$13:F16)</f>
        <v>558</v>
      </c>
      <c r="N16" s="15"/>
      <c r="O16" s="15"/>
    </row>
    <row r="17" spans="1:15" x14ac:dyDescent="0.25">
      <c r="A17" s="12">
        <f>'ALL LEVELS'!A17</f>
        <v>5</v>
      </c>
      <c r="B17" s="7" t="str">
        <f>'ALL LEVELS'!B17</f>
        <v>FRIDAY</v>
      </c>
      <c r="C17" s="18">
        <v>54.069767441860463</v>
      </c>
      <c r="D17" s="18">
        <v>161.4</v>
      </c>
      <c r="E17" s="18">
        <v>266</v>
      </c>
      <c r="F17" s="18">
        <v>121</v>
      </c>
      <c r="G17" s="14"/>
      <c r="H17" s="14"/>
      <c r="J17" s="15">
        <f>SUM(C$13:C17)</f>
        <v>320.46511627906972</v>
      </c>
      <c r="K17" s="15">
        <f>SUM(D$13:D17)</f>
        <v>995.6</v>
      </c>
      <c r="L17" s="15">
        <f>SUM(E$13:E17)</f>
        <v>1605</v>
      </c>
      <c r="M17" s="15">
        <f>SUM(F$13:F17)</f>
        <v>679</v>
      </c>
      <c r="N17" s="15"/>
      <c r="O17" s="15"/>
    </row>
    <row r="18" spans="1:15" x14ac:dyDescent="0.25">
      <c r="A18" s="12">
        <f>'ALL LEVELS'!A18</f>
        <v>6</v>
      </c>
      <c r="B18" s="7" t="str">
        <f>'ALL LEVELS'!B18</f>
        <v>SATURDAY</v>
      </c>
      <c r="C18" s="18">
        <v>49.883720930232556</v>
      </c>
      <c r="D18" s="18">
        <v>196</v>
      </c>
      <c r="E18" s="18">
        <v>285</v>
      </c>
      <c r="F18" s="18">
        <v>120</v>
      </c>
      <c r="G18" s="14"/>
      <c r="H18" s="14"/>
      <c r="J18" s="15">
        <f>SUM(C$13:C18)</f>
        <v>370.34883720930225</v>
      </c>
      <c r="K18" s="15">
        <f>SUM(D$13:D18)</f>
        <v>1191.5999999999999</v>
      </c>
      <c r="L18" s="15">
        <f>SUM(E$13:E18)</f>
        <v>1890</v>
      </c>
      <c r="M18" s="15">
        <f>SUM(F$13:F18)</f>
        <v>799</v>
      </c>
      <c r="N18" s="15"/>
      <c r="O18" s="15"/>
    </row>
    <row r="19" spans="1:15" x14ac:dyDescent="0.25">
      <c r="A19" s="12">
        <f>'ALL LEVELS'!A19</f>
        <v>7</v>
      </c>
      <c r="B19" s="7" t="str">
        <f>'ALL LEVELS'!B19</f>
        <v>SUNDAY</v>
      </c>
      <c r="C19" s="18">
        <v>33.139534883720927</v>
      </c>
      <c r="D19" s="18">
        <v>109.60000000000001</v>
      </c>
      <c r="E19" s="18">
        <v>170</v>
      </c>
      <c r="F19" s="18">
        <v>68</v>
      </c>
      <c r="G19" s="14"/>
      <c r="H19" s="14"/>
      <c r="J19" s="15">
        <f>SUM(C$13:C19)</f>
        <v>403.48837209302314</v>
      </c>
      <c r="K19" s="15">
        <f>SUM(D$13:D19)</f>
        <v>1301.1999999999998</v>
      </c>
      <c r="L19" s="15">
        <f>SUM(E$13:E19)</f>
        <v>2060</v>
      </c>
      <c r="M19" s="15">
        <f>SUM(F$13:F19)</f>
        <v>867</v>
      </c>
      <c r="N19" s="15"/>
      <c r="O19" s="15"/>
    </row>
    <row r="20" spans="1:15" x14ac:dyDescent="0.25">
      <c r="A20" s="12">
        <f>'ALL LEVELS'!A20</f>
        <v>8</v>
      </c>
      <c r="B20" s="7" t="str">
        <f>'ALL LEVELS'!B20</f>
        <v>MONDAY</v>
      </c>
      <c r="C20" s="18">
        <v>68.604651162790702</v>
      </c>
      <c r="D20" s="18">
        <v>250.20000000000005</v>
      </c>
      <c r="E20" s="18">
        <v>375</v>
      </c>
      <c r="F20" s="18">
        <v>155</v>
      </c>
      <c r="G20" s="14"/>
      <c r="H20" s="14"/>
      <c r="J20" s="15">
        <f>SUM(C$13:C20)</f>
        <v>472.09302325581382</v>
      </c>
      <c r="K20" s="15">
        <f>SUM(D$13:D20)</f>
        <v>1551.3999999999999</v>
      </c>
      <c r="L20" s="15">
        <f>SUM(E$13:E20)</f>
        <v>2435</v>
      </c>
      <c r="M20" s="15">
        <f>SUM(F$13:F20)</f>
        <v>1022</v>
      </c>
      <c r="N20" s="15"/>
      <c r="O20" s="15"/>
    </row>
    <row r="21" spans="1:15" x14ac:dyDescent="0.25">
      <c r="A21" s="12">
        <f>'ALL LEVELS'!A21</f>
        <v>9</v>
      </c>
      <c r="B21" s="7" t="str">
        <f>'ALL LEVELS'!B21</f>
        <v>TUESDAY</v>
      </c>
      <c r="C21" s="18">
        <v>90.581395348837205</v>
      </c>
      <c r="D21" s="18">
        <v>194.4</v>
      </c>
      <c r="E21" s="18">
        <v>366</v>
      </c>
      <c r="F21" s="18">
        <v>142</v>
      </c>
      <c r="G21" s="14"/>
      <c r="H21" s="14"/>
      <c r="J21" s="15">
        <f>SUM(C$13:C21)</f>
        <v>562.67441860465101</v>
      </c>
      <c r="K21" s="15">
        <f>SUM(D$13:D21)</f>
        <v>1745.8</v>
      </c>
      <c r="L21" s="15">
        <f>SUM(E$13:E21)</f>
        <v>2801</v>
      </c>
      <c r="M21" s="15">
        <f>SUM(F$13:F21)</f>
        <v>1164</v>
      </c>
      <c r="N21" s="15"/>
      <c r="O21" s="15"/>
    </row>
    <row r="22" spans="1:15" x14ac:dyDescent="0.25">
      <c r="A22" s="12">
        <f>'ALL LEVELS'!A22</f>
        <v>10</v>
      </c>
      <c r="B22" s="7" t="str">
        <f>'ALL LEVELS'!B22</f>
        <v>WEDNESDAY</v>
      </c>
      <c r="C22" s="18">
        <v>79.534883720930225</v>
      </c>
      <c r="D22" s="18">
        <v>162.80000000000001</v>
      </c>
      <c r="E22" s="18">
        <v>304</v>
      </c>
      <c r="F22" s="18">
        <v>123</v>
      </c>
      <c r="G22" s="14"/>
      <c r="H22" s="14"/>
      <c r="J22" s="15">
        <f>SUM(C$13:C22)</f>
        <v>642.20930232558123</v>
      </c>
      <c r="K22" s="15">
        <f>SUM(D$13:D22)</f>
        <v>1908.6</v>
      </c>
      <c r="L22" s="15">
        <f>SUM(E$13:E22)</f>
        <v>3105</v>
      </c>
      <c r="M22" s="15">
        <f>SUM(F$13:F22)</f>
        <v>1287</v>
      </c>
      <c r="N22" s="15"/>
      <c r="O22" s="15"/>
    </row>
    <row r="23" spans="1:15" x14ac:dyDescent="0.25">
      <c r="A23" s="12">
        <f>'ALL LEVELS'!A23</f>
        <v>11</v>
      </c>
      <c r="B23" s="7" t="str">
        <f>'ALL LEVELS'!B23</f>
        <v>THURSDAY</v>
      </c>
      <c r="C23" s="18">
        <v>46.744186046511629</v>
      </c>
      <c r="D23" s="18">
        <v>128.79999999999998</v>
      </c>
      <c r="E23" s="18">
        <v>211</v>
      </c>
      <c r="F23" s="18">
        <v>88</v>
      </c>
      <c r="G23" s="14"/>
      <c r="H23" s="14"/>
      <c r="J23" s="15">
        <f>SUM(C$13:C23)</f>
        <v>688.95348837209281</v>
      </c>
      <c r="K23" s="15">
        <f>SUM(D$13:D23)</f>
        <v>2037.3999999999999</v>
      </c>
      <c r="L23" s="15">
        <f>SUM(E$13:E23)</f>
        <v>3316</v>
      </c>
      <c r="M23" s="15">
        <f>SUM(F$13:F23)</f>
        <v>1375</v>
      </c>
      <c r="N23" s="15"/>
      <c r="O23" s="15"/>
    </row>
    <row r="24" spans="1:15" x14ac:dyDescent="0.25">
      <c r="A24" s="12">
        <f>'ALL LEVELS'!A24</f>
        <v>12</v>
      </c>
      <c r="B24" s="7" t="str">
        <f>'ALL LEVELS'!B24</f>
        <v>FRIDAY</v>
      </c>
      <c r="C24" s="18">
        <v>55.116279069767444</v>
      </c>
      <c r="D24" s="18">
        <v>150.6</v>
      </c>
      <c r="E24" s="18">
        <v>256</v>
      </c>
      <c r="F24" s="18">
        <v>94</v>
      </c>
      <c r="G24" s="14"/>
      <c r="H24" s="14"/>
      <c r="J24" s="15">
        <f>SUM(C$13:C24)</f>
        <v>744.06976744186022</v>
      </c>
      <c r="K24" s="15">
        <f>SUM(D$13:D24)</f>
        <v>2188</v>
      </c>
      <c r="L24" s="15">
        <f>SUM(E$13:E24)</f>
        <v>3572</v>
      </c>
      <c r="M24" s="15">
        <f>SUM(F$13:F24)</f>
        <v>1469</v>
      </c>
      <c r="N24" s="15"/>
      <c r="O24" s="15"/>
    </row>
    <row r="25" spans="1:15" x14ac:dyDescent="0.25">
      <c r="A25" s="12">
        <f>'ALL LEVELS'!A25</f>
        <v>13</v>
      </c>
      <c r="B25" s="7" t="str">
        <f>'ALL LEVELS'!B25</f>
        <v>SATURDAY</v>
      </c>
      <c r="C25" s="18">
        <v>43.139534883720927</v>
      </c>
      <c r="D25" s="18">
        <v>109.6</v>
      </c>
      <c r="E25" s="18">
        <v>192</v>
      </c>
      <c r="F25" s="18">
        <v>77</v>
      </c>
      <c r="G25" s="14"/>
      <c r="H25" s="14"/>
      <c r="J25" s="15">
        <f>SUM(C$13:C25)</f>
        <v>787.20930232558112</v>
      </c>
      <c r="K25" s="15">
        <f>SUM(D$13:D25)</f>
        <v>2297.6</v>
      </c>
      <c r="L25" s="15">
        <f>SUM(E$13:E25)</f>
        <v>3764</v>
      </c>
      <c r="M25" s="15">
        <f>SUM(F$13:F25)</f>
        <v>1546</v>
      </c>
      <c r="N25" s="15"/>
      <c r="O25" s="15"/>
    </row>
    <row r="26" spans="1:15" x14ac:dyDescent="0.25">
      <c r="A26" s="12">
        <f>'ALL LEVELS'!A26</f>
        <v>14</v>
      </c>
      <c r="B26" s="7" t="str">
        <f>'ALL LEVELS'!B26</f>
        <v>SUNDAY</v>
      </c>
      <c r="C26" s="18">
        <v>37.674418604651166</v>
      </c>
      <c r="D26" s="18">
        <v>52.800000000000004</v>
      </c>
      <c r="E26" s="18">
        <v>124</v>
      </c>
      <c r="F26" s="18">
        <v>42</v>
      </c>
      <c r="G26" s="14"/>
      <c r="H26" s="14"/>
      <c r="J26" s="15">
        <f>SUM(C$13:C26)</f>
        <v>824.88372093023224</v>
      </c>
      <c r="K26" s="15">
        <f>SUM(D$13:D26)</f>
        <v>2350.4</v>
      </c>
      <c r="L26" s="15">
        <f>SUM(E$13:E26)</f>
        <v>3888</v>
      </c>
      <c r="M26" s="15">
        <f>SUM(F$13:F26)</f>
        <v>1588</v>
      </c>
      <c r="N26" s="15"/>
      <c r="O26" s="15"/>
    </row>
    <row r="27" spans="1:15" x14ac:dyDescent="0.25">
      <c r="A27" s="12">
        <f>'ALL LEVELS'!A27</f>
        <v>15</v>
      </c>
      <c r="B27" s="7" t="str">
        <f>'ALL LEVELS'!B27</f>
        <v>MONDAY</v>
      </c>
      <c r="C27" s="18">
        <v>52.209302325581397</v>
      </c>
      <c r="D27" s="18">
        <v>174.4</v>
      </c>
      <c r="E27" s="18">
        <v>256</v>
      </c>
      <c r="F27" s="18">
        <v>112</v>
      </c>
      <c r="G27" s="14"/>
      <c r="H27" s="14"/>
      <c r="J27" s="15">
        <f>SUM(C$13:C27)</f>
        <v>877.09302325581359</v>
      </c>
      <c r="K27" s="15">
        <f>SUM(D$13:D27)</f>
        <v>2524.8000000000002</v>
      </c>
      <c r="L27" s="15">
        <f>SUM(E$13:E27)</f>
        <v>4144</v>
      </c>
      <c r="M27" s="15">
        <f>SUM(F$13:F27)</f>
        <v>1700</v>
      </c>
      <c r="N27" s="15"/>
      <c r="O27" s="15"/>
    </row>
    <row r="28" spans="1:15" x14ac:dyDescent="0.25">
      <c r="A28" s="12">
        <f>'ALL LEVELS'!A28</f>
        <v>16</v>
      </c>
      <c r="B28" s="7" t="str">
        <f>'ALL LEVELS'!B28</f>
        <v>TUESDAY</v>
      </c>
      <c r="C28" s="18">
        <v>62.441860465116278</v>
      </c>
      <c r="D28" s="18">
        <v>128.79999999999998</v>
      </c>
      <c r="E28" s="18">
        <v>249</v>
      </c>
      <c r="F28" s="18">
        <v>103</v>
      </c>
      <c r="G28" s="14"/>
      <c r="H28" s="14"/>
      <c r="J28" s="15">
        <f>SUM(C$13:C28)</f>
        <v>939.53488372092988</v>
      </c>
      <c r="K28" s="15">
        <f>SUM(D$13:D28)</f>
        <v>2653.6000000000004</v>
      </c>
      <c r="L28" s="15">
        <f>SUM(E$13:E28)</f>
        <v>4393</v>
      </c>
      <c r="M28" s="15">
        <f>SUM(F$13:F28)</f>
        <v>1803</v>
      </c>
      <c r="N28" s="15"/>
      <c r="O28" s="15"/>
    </row>
    <row r="29" spans="1:15" x14ac:dyDescent="0.25">
      <c r="A29" s="12">
        <f>'ALL LEVELS'!A29</f>
        <v>17</v>
      </c>
      <c r="B29" s="7" t="str">
        <f>'ALL LEVELS'!B29</f>
        <v>WEDNESDAY</v>
      </c>
      <c r="C29" s="18">
        <v>55.697674418604649</v>
      </c>
      <c r="D29" s="18">
        <v>144.79999999999998</v>
      </c>
      <c r="E29" s="18">
        <v>239</v>
      </c>
      <c r="F29" s="18">
        <v>87</v>
      </c>
      <c r="G29" s="14"/>
      <c r="H29" s="14"/>
      <c r="J29" s="15">
        <f>SUM(C$13:C29)</f>
        <v>995.23255813953449</v>
      </c>
      <c r="K29" s="15">
        <f>SUM(D$13:D29)</f>
        <v>2798.4000000000005</v>
      </c>
      <c r="L29" s="15">
        <f>SUM(E$13:E29)</f>
        <v>4632</v>
      </c>
      <c r="M29" s="15">
        <f>SUM(F$13:F29)</f>
        <v>1890</v>
      </c>
      <c r="N29" s="15"/>
      <c r="O29" s="15"/>
    </row>
    <row r="30" spans="1:15" x14ac:dyDescent="0.25">
      <c r="A30" s="12">
        <f>'ALL LEVELS'!A30</f>
        <v>18</v>
      </c>
      <c r="B30" s="7" t="str">
        <f>'ALL LEVELS'!B30</f>
        <v>THURSDAY</v>
      </c>
      <c r="C30" s="18">
        <v>72.325581395348834</v>
      </c>
      <c r="D30" s="18">
        <v>142.4</v>
      </c>
      <c r="E30" s="18">
        <v>269</v>
      </c>
      <c r="F30" s="18">
        <v>102</v>
      </c>
      <c r="G30" s="14"/>
      <c r="H30" s="14"/>
      <c r="J30" s="15">
        <f>SUM(C$13:C30)</f>
        <v>1067.5581395348834</v>
      </c>
      <c r="K30" s="15">
        <f>SUM(D$13:D30)</f>
        <v>2940.8000000000006</v>
      </c>
      <c r="L30" s="15">
        <f>SUM(E$13:E30)</f>
        <v>4901</v>
      </c>
      <c r="M30" s="15">
        <f>SUM(F$13:F30)</f>
        <v>1992</v>
      </c>
      <c r="N30" s="15"/>
      <c r="O30" s="15"/>
    </row>
    <row r="31" spans="1:15" x14ac:dyDescent="0.25">
      <c r="A31" s="12">
        <f>'ALL LEVELS'!A31</f>
        <v>19</v>
      </c>
      <c r="B31" s="7" t="str">
        <f>'ALL LEVELS'!B31</f>
        <v>FRIDAY</v>
      </c>
      <c r="C31" s="18">
        <v>60.232558139534881</v>
      </c>
      <c r="D31" s="18">
        <v>120.79999999999998</v>
      </c>
      <c r="E31" s="18">
        <v>218</v>
      </c>
      <c r="F31" s="18">
        <v>80</v>
      </c>
      <c r="G31" s="14"/>
      <c r="H31" s="14"/>
      <c r="J31" s="15">
        <f>SUM(C$13:C31)</f>
        <v>1127.7906976744182</v>
      </c>
      <c r="K31" s="15">
        <f>SUM(D$13:D31)</f>
        <v>3061.6000000000008</v>
      </c>
      <c r="L31" s="15">
        <f>SUM(E$13:E31)</f>
        <v>5119</v>
      </c>
      <c r="M31" s="15">
        <f>SUM(F$13:F31)</f>
        <v>2072</v>
      </c>
      <c r="N31" s="15"/>
      <c r="O31" s="15"/>
    </row>
    <row r="32" spans="1:15" x14ac:dyDescent="0.25">
      <c r="A32" s="12">
        <f>'ALL LEVELS'!A32</f>
        <v>20</v>
      </c>
      <c r="B32" s="7" t="str">
        <f>'ALL LEVELS'!B32</f>
        <v>SATURDAY</v>
      </c>
      <c r="C32" s="18"/>
      <c r="D32" s="18"/>
      <c r="E32" s="18"/>
      <c r="F32" s="18"/>
      <c r="G32" s="14"/>
      <c r="H32" s="14"/>
      <c r="J32" s="15">
        <f>SUM(C$13:C32)</f>
        <v>1127.7906976744182</v>
      </c>
      <c r="K32" s="15">
        <f>SUM(D$13:D32)</f>
        <v>3061.6000000000008</v>
      </c>
      <c r="L32" s="15">
        <f>SUM(E$13:E32)</f>
        <v>5119</v>
      </c>
      <c r="M32" s="15">
        <f>SUM(F$13:F32)</f>
        <v>2072</v>
      </c>
      <c r="N32" s="15"/>
      <c r="O32" s="15"/>
    </row>
    <row r="33" spans="1:15" x14ac:dyDescent="0.25">
      <c r="A33" s="12">
        <f>'ALL LEVELS'!A33</f>
        <v>21</v>
      </c>
      <c r="B33" s="7" t="str">
        <f>'ALL LEVELS'!B33</f>
        <v>SUNDAY</v>
      </c>
      <c r="C33" s="18"/>
      <c r="D33" s="18"/>
      <c r="E33" s="18"/>
      <c r="F33" s="18"/>
      <c r="G33" s="14"/>
      <c r="H33" s="14"/>
      <c r="J33" s="15">
        <f>SUM(C$13:C33)</f>
        <v>1127.7906976744182</v>
      </c>
      <c r="K33" s="15">
        <f>SUM(D$13:D33)</f>
        <v>3061.6000000000008</v>
      </c>
      <c r="L33" s="15">
        <f>SUM(E$13:E33)</f>
        <v>5119</v>
      </c>
      <c r="M33" s="15">
        <f>SUM(F$13:F33)</f>
        <v>2072</v>
      </c>
      <c r="N33" s="15"/>
      <c r="O33" s="15"/>
    </row>
    <row r="34" spans="1:15" x14ac:dyDescent="0.25">
      <c r="A34" s="12">
        <f>'ALL LEVELS'!A34</f>
        <v>22</v>
      </c>
      <c r="B34" s="7" t="str">
        <f>'ALL LEVELS'!B34</f>
        <v>MONDAY</v>
      </c>
      <c r="C34" s="18"/>
      <c r="D34" s="18"/>
      <c r="E34" s="18"/>
      <c r="F34" s="18"/>
      <c r="G34" s="14"/>
      <c r="H34" s="14"/>
      <c r="J34" s="15">
        <f>SUM(C$13:C34)</f>
        <v>1127.7906976744182</v>
      </c>
      <c r="K34" s="15">
        <f>SUM(D$13:D34)</f>
        <v>3061.6000000000008</v>
      </c>
      <c r="L34" s="15">
        <f>SUM(E$13:E34)</f>
        <v>5119</v>
      </c>
      <c r="M34" s="15">
        <f>SUM(F$13:F34)</f>
        <v>2072</v>
      </c>
      <c r="N34" s="15"/>
      <c r="O34" s="15"/>
    </row>
    <row r="35" spans="1:15" x14ac:dyDescent="0.25">
      <c r="A35" s="12">
        <f>'ALL LEVELS'!A35</f>
        <v>23</v>
      </c>
      <c r="B35" s="7" t="str">
        <f>'ALL LEVELS'!B35</f>
        <v>TUESDAY</v>
      </c>
      <c r="C35" s="18"/>
      <c r="D35" s="18"/>
      <c r="E35" s="18"/>
      <c r="F35" s="18"/>
      <c r="G35" s="14"/>
      <c r="H35" s="14"/>
      <c r="J35" s="15">
        <f>SUM(C$13:C35)</f>
        <v>1127.7906976744182</v>
      </c>
      <c r="K35" s="15">
        <f>SUM(D$13:D35)</f>
        <v>3061.6000000000008</v>
      </c>
      <c r="L35" s="15">
        <f>SUM(E$13:E35)</f>
        <v>5119</v>
      </c>
      <c r="M35" s="15">
        <f>SUM(F$13:F35)</f>
        <v>2072</v>
      </c>
      <c r="N35" s="15"/>
      <c r="O35" s="15"/>
    </row>
    <row r="36" spans="1:15" x14ac:dyDescent="0.25">
      <c r="A36" s="12">
        <f>'ALL LEVELS'!A36</f>
        <v>24</v>
      </c>
      <c r="B36" s="7" t="str">
        <f>'ALL LEVELS'!B36</f>
        <v>WEDNESDAY</v>
      </c>
      <c r="C36" s="18"/>
      <c r="D36" s="18"/>
      <c r="E36" s="18"/>
      <c r="F36" s="18"/>
      <c r="G36" s="14"/>
      <c r="H36" s="14"/>
      <c r="J36" s="15">
        <f>SUM(C$13:C36)</f>
        <v>1127.7906976744182</v>
      </c>
      <c r="K36" s="15">
        <f>SUM(D$13:D36)</f>
        <v>3061.6000000000008</v>
      </c>
      <c r="L36" s="15">
        <f>SUM(E$13:E36)</f>
        <v>5119</v>
      </c>
      <c r="M36" s="15">
        <f>SUM(F$13:F36)</f>
        <v>2072</v>
      </c>
      <c r="N36" s="15"/>
      <c r="O36" s="15"/>
    </row>
    <row r="37" spans="1:15" x14ac:dyDescent="0.25">
      <c r="A37" s="12">
        <f>'ALL LEVELS'!A37</f>
        <v>25</v>
      </c>
      <c r="B37" s="7" t="str">
        <f>'ALL LEVELS'!B37</f>
        <v>THURSDAY</v>
      </c>
      <c r="C37" s="18"/>
      <c r="D37" s="18"/>
      <c r="E37" s="18"/>
      <c r="F37" s="18"/>
      <c r="G37" s="14"/>
      <c r="H37" s="14"/>
      <c r="J37" s="15">
        <f>SUM(C$13:C37)</f>
        <v>1127.7906976744182</v>
      </c>
      <c r="K37" s="15">
        <f>SUM(D$13:D37)</f>
        <v>3061.6000000000008</v>
      </c>
      <c r="L37" s="15">
        <f>SUM(E$13:E37)</f>
        <v>5119</v>
      </c>
      <c r="M37" s="15">
        <f>SUM(F$13:F37)</f>
        <v>2072</v>
      </c>
      <c r="N37" s="15"/>
      <c r="O37" s="15"/>
    </row>
    <row r="38" spans="1:15" x14ac:dyDescent="0.25">
      <c r="A38" s="12">
        <f>'ALL LEVELS'!A38</f>
        <v>26</v>
      </c>
      <c r="B38" s="7" t="str">
        <f>'ALL LEVELS'!B38</f>
        <v>FRIDAY</v>
      </c>
      <c r="C38" s="18"/>
      <c r="D38" s="18"/>
      <c r="E38" s="18"/>
      <c r="F38" s="18"/>
      <c r="G38" s="14"/>
      <c r="H38" s="14"/>
      <c r="J38" s="15">
        <f>SUM(C$13:C38)</f>
        <v>1127.7906976744182</v>
      </c>
      <c r="K38" s="15">
        <f>SUM(D$13:D38)</f>
        <v>3061.6000000000008</v>
      </c>
      <c r="L38" s="15">
        <f>SUM(E$13:E38)</f>
        <v>5119</v>
      </c>
      <c r="M38" s="15">
        <f>SUM(F$13:F38)</f>
        <v>2072</v>
      </c>
      <c r="N38" s="15"/>
      <c r="O38" s="15"/>
    </row>
    <row r="39" spans="1:15" x14ac:dyDescent="0.25">
      <c r="A39" s="12">
        <f>'ALL LEVELS'!A39</f>
        <v>27</v>
      </c>
      <c r="B39" s="7" t="str">
        <f>'ALL LEVELS'!B39</f>
        <v>SATURDAY</v>
      </c>
      <c r="C39" s="18"/>
      <c r="D39" s="18"/>
      <c r="E39" s="18"/>
      <c r="F39" s="18"/>
      <c r="G39" s="14"/>
      <c r="H39" s="14"/>
      <c r="J39" s="15">
        <f>SUM(C$13:C39)</f>
        <v>1127.7906976744182</v>
      </c>
      <c r="K39" s="15">
        <f>SUM(D$13:D39)</f>
        <v>3061.6000000000008</v>
      </c>
      <c r="L39" s="15">
        <f>SUM(E$13:E39)</f>
        <v>5119</v>
      </c>
      <c r="M39" s="15">
        <f>SUM(F$13:F39)</f>
        <v>2072</v>
      </c>
      <c r="N39" s="15"/>
      <c r="O39" s="15"/>
    </row>
    <row r="40" spans="1:15" x14ac:dyDescent="0.25">
      <c r="A40" s="12">
        <f>'ALL LEVELS'!A40</f>
        <v>28</v>
      </c>
      <c r="B40" s="7" t="str">
        <f>'ALL LEVELS'!B40</f>
        <v>SUNDAY</v>
      </c>
      <c r="C40" s="18"/>
      <c r="D40" s="18"/>
      <c r="E40" s="18"/>
      <c r="F40" s="18"/>
      <c r="G40" s="14"/>
      <c r="H40" s="14"/>
      <c r="J40" s="15">
        <f>SUM(C$13:C40)</f>
        <v>1127.7906976744182</v>
      </c>
      <c r="K40" s="15">
        <f>SUM(D$13:D40)</f>
        <v>3061.6000000000008</v>
      </c>
      <c r="L40" s="15">
        <f>SUM(E$13:E40)</f>
        <v>5119</v>
      </c>
      <c r="M40" s="15">
        <f>SUM(F$13:F40)</f>
        <v>2072</v>
      </c>
      <c r="N40" s="15"/>
      <c r="O40" s="15"/>
    </row>
    <row r="41" spans="1:15" x14ac:dyDescent="0.25">
      <c r="A41" s="12">
        <f>'ALL LEVELS'!A41</f>
        <v>29</v>
      </c>
      <c r="B41" s="7" t="str">
        <f>'ALL LEVELS'!B41</f>
        <v>MONDAY</v>
      </c>
      <c r="C41" s="18"/>
      <c r="D41" s="18"/>
      <c r="E41" s="18"/>
      <c r="F41" s="18"/>
      <c r="G41" s="14"/>
      <c r="H41" s="14"/>
      <c r="J41" s="15"/>
      <c r="K41" s="15"/>
      <c r="L41" s="15"/>
      <c r="M41" s="15"/>
      <c r="N41" s="15"/>
      <c r="O41" s="15"/>
    </row>
    <row r="42" spans="1:15" x14ac:dyDescent="0.25">
      <c r="A42" s="12">
        <f>'ALL LEVELS'!A42</f>
        <v>30</v>
      </c>
      <c r="B42" s="7" t="str">
        <f>'ALL LEVELS'!B42</f>
        <v>TUESDAY</v>
      </c>
      <c r="C42" s="18"/>
      <c r="D42" s="18"/>
      <c r="E42" s="18"/>
      <c r="F42" s="18"/>
      <c r="G42" s="14"/>
      <c r="H42" s="14"/>
      <c r="J42" s="15">
        <f>SUM(C$13:C42)</f>
        <v>1127.7906976744182</v>
      </c>
      <c r="K42" s="15">
        <f>SUM(D$13:D42)</f>
        <v>3061.6000000000008</v>
      </c>
      <c r="L42" s="15">
        <f>SUM(E$13:E42)</f>
        <v>5119</v>
      </c>
      <c r="M42" s="15">
        <f>SUM(F$13:F42)</f>
        <v>2072</v>
      </c>
      <c r="N42" s="15"/>
      <c r="O42" s="15"/>
    </row>
    <row r="43" spans="1:15" x14ac:dyDescent="0.25">
      <c r="A43" s="12">
        <f>'ALL LEVELS'!A43</f>
        <v>31</v>
      </c>
      <c r="B43" s="7" t="str">
        <f>'ALL LEVELS'!B43</f>
        <v>WEDNESDAY</v>
      </c>
      <c r="C43" s="18"/>
      <c r="D43" s="18"/>
      <c r="E43" s="18"/>
      <c r="F43" s="18"/>
      <c r="G43" s="14"/>
      <c r="H43" s="14"/>
      <c r="J43" s="15">
        <f>SUM(C$13:C43)</f>
        <v>1127.7906976744182</v>
      </c>
      <c r="K43" s="15">
        <f>SUM(D$13:D43)</f>
        <v>3061.6000000000008</v>
      </c>
      <c r="L43" s="15">
        <f>SUM(E$13:E43)</f>
        <v>5119</v>
      </c>
      <c r="M43" s="15">
        <f>SUM(F$13:F43)</f>
        <v>2072</v>
      </c>
      <c r="N43" s="15"/>
      <c r="O43" s="15"/>
    </row>
    <row r="44" spans="1:15" x14ac:dyDescent="0.25">
      <c r="B44" s="7"/>
      <c r="C44" s="19">
        <f t="shared" ref="C44:H44" si="0">SUBTOTAL(109,C13:C43)</f>
        <v>1127.7906976744182</v>
      </c>
      <c r="D44" s="22">
        <f t="shared" si="0"/>
        <v>3061.6000000000008</v>
      </c>
      <c r="E44" s="19">
        <f t="shared" si="0"/>
        <v>5119</v>
      </c>
      <c r="F44" s="19">
        <f t="shared" si="0"/>
        <v>2072</v>
      </c>
      <c r="G44" s="16">
        <f t="shared" si="0"/>
        <v>0</v>
      </c>
      <c r="H44" s="16">
        <f t="shared" si="0"/>
        <v>0</v>
      </c>
    </row>
    <row r="45" spans="1:15" x14ac:dyDescent="0.25">
      <c r="B45" s="7"/>
    </row>
  </sheetData>
  <mergeCells count="3">
    <mergeCell ref="C3:D3"/>
    <mergeCell ref="E3:F3"/>
    <mergeCell ref="J11:O11"/>
  </mergeCells>
  <phoneticPr fontId="5" type="noConversion"/>
  <conditionalFormatting sqref="B13:B43">
    <cfRule type="containsText" dxfId="5" priority="2" operator="containsText" text="SUNDAY">
      <formula>NOT(ISERROR(SEARCH("SUNDAY",B13)))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O45"/>
  <sheetViews>
    <sheetView zoomScale="115" zoomScaleNormal="115" workbookViewId="0">
      <pane ySplit="10" topLeftCell="A11" activePane="bottomLeft" state="frozen"/>
      <selection pane="bottomLeft" activeCell="C31" sqref="C31:F31"/>
    </sheetView>
  </sheetViews>
  <sheetFormatPr defaultRowHeight="15" x14ac:dyDescent="0.25"/>
  <cols>
    <col min="2" max="2" width="13.5703125" customWidth="1"/>
    <col min="3" max="3" width="14.7109375" bestFit="1" customWidth="1"/>
    <col min="4" max="4" width="10.42578125" bestFit="1" customWidth="1"/>
    <col min="5" max="5" width="18.42578125" bestFit="1" customWidth="1"/>
    <col min="6" max="6" width="15.5703125" bestFit="1" customWidth="1"/>
    <col min="7" max="8" width="11.85546875" customWidth="1"/>
    <col min="9" max="9" width="5.28515625" customWidth="1"/>
    <col min="10" max="15" width="6.85546875" hidden="1" customWidth="1"/>
    <col min="16" max="16" width="8.42578125" customWidth="1"/>
    <col min="17" max="35" width="5.28515625" customWidth="1"/>
  </cols>
  <sheetData>
    <row r="1" spans="1:15" x14ac:dyDescent="0.25">
      <c r="B1" t="s">
        <v>0</v>
      </c>
      <c r="E1" t="s">
        <v>1</v>
      </c>
      <c r="F1" s="1">
        <f>'ALL LEVELS'!F1</f>
        <v>30</v>
      </c>
      <c r="H1" s="20" t="str">
        <f>'ALL LEVELS'!H1</f>
        <v>Month of JUNE 2026</v>
      </c>
    </row>
    <row r="2" spans="1:15" x14ac:dyDescent="0.25">
      <c r="B2" t="s">
        <v>2</v>
      </c>
      <c r="C2" s="1">
        <f>'ALL LEVELS'!C2</f>
        <v>19</v>
      </c>
      <c r="E2" s="23"/>
      <c r="F2" s="23"/>
    </row>
    <row r="3" spans="1:15" ht="15.75" hidden="1" thickBot="1" x14ac:dyDescent="0.3">
      <c r="C3" s="30" t="s">
        <v>3</v>
      </c>
      <c r="D3" s="30"/>
      <c r="E3" s="33"/>
      <c r="F3" s="33"/>
    </row>
    <row r="4" spans="1:15" ht="15.75" hidden="1" thickBot="1" x14ac:dyDescent="0.3">
      <c r="B4" s="2" t="s">
        <v>5</v>
      </c>
      <c r="C4" s="3" t="s">
        <v>6</v>
      </c>
      <c r="D4" s="3" t="s">
        <v>7</v>
      </c>
      <c r="E4" s="24"/>
      <c r="F4" s="24"/>
    </row>
    <row r="5" spans="1:15" ht="15.75" hidden="1" thickBot="1" x14ac:dyDescent="0.3">
      <c r="B5" s="2" t="s">
        <v>8</v>
      </c>
      <c r="C5" s="4"/>
      <c r="D5" s="4"/>
      <c r="E5" s="25"/>
      <c r="F5" s="25"/>
    </row>
    <row r="6" spans="1:15" ht="15.75" hidden="1" thickBot="1" x14ac:dyDescent="0.3">
      <c r="B6" s="2" t="s">
        <v>9</v>
      </c>
      <c r="C6" s="4"/>
      <c r="D6" s="4"/>
      <c r="E6" s="25"/>
      <c r="F6" s="25"/>
    </row>
    <row r="7" spans="1:15" ht="15.75" hidden="1" thickBot="1" x14ac:dyDescent="0.3">
      <c r="B7" s="2" t="s">
        <v>10</v>
      </c>
      <c r="C7" s="4"/>
      <c r="D7" s="4"/>
      <c r="E7" s="25"/>
      <c r="F7" s="25"/>
      <c r="H7" s="5"/>
    </row>
    <row r="8" spans="1:15" ht="15.75" hidden="1" thickBot="1" x14ac:dyDescent="0.3">
      <c r="B8" s="2" t="s">
        <v>11</v>
      </c>
      <c r="C8" s="6"/>
      <c r="D8" s="6"/>
      <c r="E8" s="6"/>
      <c r="F8" s="6"/>
    </row>
    <row r="9" spans="1:15" ht="15.75" hidden="1" thickBot="1" x14ac:dyDescent="0.3">
      <c r="B9" s="2"/>
      <c r="C9" s="6"/>
      <c r="D9" s="6"/>
      <c r="E9" s="6"/>
      <c r="F9" s="6"/>
    </row>
    <row r="10" spans="1:15" ht="15.75" hidden="1" thickBot="1" x14ac:dyDescent="0.3">
      <c r="B10" s="2" t="s">
        <v>12</v>
      </c>
      <c r="C10" s="4"/>
      <c r="D10" s="6"/>
      <c r="E10" s="4"/>
      <c r="F10" s="6"/>
    </row>
    <row r="11" spans="1:15" ht="15.75" thickBot="1" x14ac:dyDescent="0.3">
      <c r="B11" s="7"/>
      <c r="J11" s="32" t="s">
        <v>4</v>
      </c>
      <c r="K11" s="32"/>
      <c r="L11" s="32"/>
      <c r="M11" s="32"/>
      <c r="N11" s="32"/>
      <c r="O11" s="32"/>
    </row>
    <row r="12" spans="1:15" ht="15.75" thickBot="1" x14ac:dyDescent="0.3">
      <c r="A12" s="8" t="s">
        <v>13</v>
      </c>
      <c r="B12" s="7" t="s">
        <v>14</v>
      </c>
      <c r="C12" s="9" t="s">
        <v>15</v>
      </c>
      <c r="D12" s="9" t="s">
        <v>16</v>
      </c>
      <c r="E12" s="9" t="s">
        <v>17</v>
      </c>
      <c r="F12" s="2" t="s">
        <v>18</v>
      </c>
      <c r="G12" s="10"/>
      <c r="H12" s="11"/>
      <c r="J12" s="9" t="s">
        <v>8</v>
      </c>
      <c r="K12" s="9" t="s">
        <v>9</v>
      </c>
      <c r="L12" s="9" t="s">
        <v>10</v>
      </c>
      <c r="M12" s="2" t="s">
        <v>11</v>
      </c>
      <c r="N12" s="11"/>
      <c r="O12" s="11"/>
    </row>
    <row r="13" spans="1:15" x14ac:dyDescent="0.25">
      <c r="A13" s="12">
        <f>'ALL LEVELS'!A13</f>
        <v>1</v>
      </c>
      <c r="B13" s="12" t="str">
        <f>'ALL LEVELS'!B13</f>
        <v>MONDAY</v>
      </c>
      <c r="C13" s="18">
        <v>28.25</v>
      </c>
      <c r="D13" s="18">
        <v>84.8</v>
      </c>
      <c r="E13" s="18">
        <v>121</v>
      </c>
      <c r="F13" s="18">
        <v>45</v>
      </c>
      <c r="G13" s="14"/>
      <c r="H13" s="14"/>
      <c r="J13" s="15">
        <f>SUM(C$13:C13)</f>
        <v>28.25</v>
      </c>
      <c r="K13" s="15">
        <f>SUM(D$13:D13)</f>
        <v>84.8</v>
      </c>
      <c r="L13" s="15">
        <f>SUM(E$13:E13)</f>
        <v>121</v>
      </c>
      <c r="M13" s="15">
        <f>SUM(F$13:F13)</f>
        <v>45</v>
      </c>
      <c r="N13" s="15"/>
      <c r="O13" s="15"/>
    </row>
    <row r="14" spans="1:15" x14ac:dyDescent="0.25">
      <c r="A14" s="12">
        <f>'ALL LEVELS'!A14</f>
        <v>2</v>
      </c>
      <c r="B14" s="12" t="str">
        <f>'ALL LEVELS'!B14</f>
        <v>TUESDAY</v>
      </c>
      <c r="C14" s="18">
        <v>45.75</v>
      </c>
      <c r="D14" s="18">
        <v>180.79999999999998</v>
      </c>
      <c r="E14" s="18">
        <v>249</v>
      </c>
      <c r="F14" s="18">
        <v>99</v>
      </c>
      <c r="G14" s="14"/>
      <c r="H14" s="14"/>
      <c r="J14" s="15">
        <f>SUM(C$13:C14)</f>
        <v>74</v>
      </c>
      <c r="K14" s="15">
        <f>SUM(D$13:D14)</f>
        <v>265.59999999999997</v>
      </c>
      <c r="L14" s="15">
        <f>SUM(E$13:E14)</f>
        <v>370</v>
      </c>
      <c r="M14" s="15">
        <f>SUM(F$13:F14)</f>
        <v>144</v>
      </c>
      <c r="N14" s="15"/>
      <c r="O14" s="15"/>
    </row>
    <row r="15" spans="1:15" x14ac:dyDescent="0.25">
      <c r="A15" s="12">
        <f>'ALL LEVELS'!A15</f>
        <v>3</v>
      </c>
      <c r="B15" s="12" t="str">
        <f>'ALL LEVELS'!B15</f>
        <v>WEDNESDAY</v>
      </c>
      <c r="C15" s="18">
        <v>38.5</v>
      </c>
      <c r="D15" s="18">
        <v>151.19999999999999</v>
      </c>
      <c r="E15" s="18">
        <v>211</v>
      </c>
      <c r="F15" s="18">
        <v>94</v>
      </c>
      <c r="G15" s="14"/>
      <c r="H15" s="14"/>
      <c r="J15" s="15">
        <f>SUM(C$13:C15)</f>
        <v>112.5</v>
      </c>
      <c r="K15" s="15">
        <f>SUM(D$13:D15)</f>
        <v>416.79999999999995</v>
      </c>
      <c r="L15" s="15">
        <f>SUM(E$13:E15)</f>
        <v>581</v>
      </c>
      <c r="M15" s="15">
        <f>SUM(F$13:F15)</f>
        <v>238</v>
      </c>
      <c r="N15" s="15"/>
      <c r="O15" s="15"/>
    </row>
    <row r="16" spans="1:15" x14ac:dyDescent="0.25">
      <c r="A16" s="12">
        <f>'ALL LEVELS'!A16</f>
        <v>4</v>
      </c>
      <c r="B16" s="12" t="str">
        <f>'ALL LEVELS'!B16</f>
        <v>THURSDAY</v>
      </c>
      <c r="C16" s="18">
        <v>53.25</v>
      </c>
      <c r="D16" s="18">
        <v>224.6</v>
      </c>
      <c r="E16" s="18">
        <v>305</v>
      </c>
      <c r="F16" s="18">
        <v>129</v>
      </c>
      <c r="G16" s="14"/>
      <c r="H16" s="14"/>
      <c r="J16" s="15">
        <f>SUM(C$13:C16)</f>
        <v>165.75</v>
      </c>
      <c r="K16" s="15">
        <f>SUM(D$13:D16)</f>
        <v>641.4</v>
      </c>
      <c r="L16" s="15">
        <f>SUM(E$13:E16)</f>
        <v>886</v>
      </c>
      <c r="M16" s="15">
        <f>SUM(F$13:F16)</f>
        <v>367</v>
      </c>
      <c r="N16" s="15"/>
      <c r="O16" s="15"/>
    </row>
    <row r="17" spans="1:15" x14ac:dyDescent="0.25">
      <c r="A17" s="12">
        <f>'ALL LEVELS'!A17</f>
        <v>5</v>
      </c>
      <c r="B17" s="12" t="str">
        <f>'ALL LEVELS'!B17</f>
        <v>FRIDAY</v>
      </c>
      <c r="C17" s="18">
        <v>32</v>
      </c>
      <c r="D17" s="18">
        <v>157.19999999999999</v>
      </c>
      <c r="E17" s="18">
        <v>209</v>
      </c>
      <c r="F17" s="18">
        <v>86</v>
      </c>
      <c r="G17" s="14"/>
      <c r="H17" s="14"/>
      <c r="J17" s="15">
        <f>SUM(C$13:C17)</f>
        <v>197.75</v>
      </c>
      <c r="K17" s="15">
        <f>SUM(D$13:D17)</f>
        <v>798.59999999999991</v>
      </c>
      <c r="L17" s="15">
        <f>SUM(E$13:E17)</f>
        <v>1095</v>
      </c>
      <c r="M17" s="15">
        <f>SUM(F$13:F17)</f>
        <v>453</v>
      </c>
      <c r="N17" s="15"/>
      <c r="O17" s="15"/>
    </row>
    <row r="18" spans="1:15" x14ac:dyDescent="0.25">
      <c r="A18" s="12">
        <f>'ALL LEVELS'!A18</f>
        <v>6</v>
      </c>
      <c r="B18" s="12" t="str">
        <f>'ALL LEVELS'!B18</f>
        <v>SATURDAY</v>
      </c>
      <c r="C18" s="18">
        <v>58.125</v>
      </c>
      <c r="D18" s="18">
        <v>245.6</v>
      </c>
      <c r="E18" s="18">
        <v>330</v>
      </c>
      <c r="F18" s="18">
        <v>132</v>
      </c>
      <c r="G18" s="14"/>
      <c r="H18" s="14"/>
      <c r="J18" s="15">
        <f>SUM(C$13:C18)</f>
        <v>255.875</v>
      </c>
      <c r="K18" s="15">
        <f>SUM(D$13:D18)</f>
        <v>1044.1999999999998</v>
      </c>
      <c r="L18" s="15">
        <f>SUM(E$13:E18)</f>
        <v>1425</v>
      </c>
      <c r="M18" s="15">
        <f>SUM(F$13:F18)</f>
        <v>585</v>
      </c>
      <c r="N18" s="15"/>
      <c r="O18" s="15"/>
    </row>
    <row r="19" spans="1:15" x14ac:dyDescent="0.25">
      <c r="A19" s="12">
        <f>'ALL LEVELS'!A19</f>
        <v>7</v>
      </c>
      <c r="B19" s="12" t="str">
        <f>'ALL LEVELS'!B19</f>
        <v>SUNDAY</v>
      </c>
      <c r="C19" s="18">
        <v>43.25</v>
      </c>
      <c r="D19" s="18">
        <v>192.8</v>
      </c>
      <c r="E19" s="18">
        <v>256</v>
      </c>
      <c r="F19" s="18">
        <v>103</v>
      </c>
      <c r="G19" s="14"/>
      <c r="H19" s="14"/>
      <c r="J19" s="15">
        <f>SUM(C$13:C19)</f>
        <v>299.125</v>
      </c>
      <c r="K19" s="15">
        <f>SUM(D$13:D19)</f>
        <v>1236.9999999999998</v>
      </c>
      <c r="L19" s="15">
        <f>SUM(E$13:E19)</f>
        <v>1681</v>
      </c>
      <c r="M19" s="15">
        <f>SUM(F$13:F19)</f>
        <v>688</v>
      </c>
      <c r="N19" s="15"/>
      <c r="O19" s="15"/>
    </row>
    <row r="20" spans="1:15" x14ac:dyDescent="0.25">
      <c r="A20" s="12">
        <f>'ALL LEVELS'!A20</f>
        <v>8</v>
      </c>
      <c r="B20" s="12" t="str">
        <f>'ALL LEVELS'!B20</f>
        <v>MONDAY</v>
      </c>
      <c r="C20" s="18">
        <v>46.75</v>
      </c>
      <c r="D20" s="18">
        <v>208.4</v>
      </c>
      <c r="E20" s="18">
        <v>284</v>
      </c>
      <c r="F20" s="18">
        <v>119</v>
      </c>
      <c r="G20" s="14"/>
      <c r="H20" s="14"/>
      <c r="J20" s="15">
        <f>SUM(C$13:C20)</f>
        <v>345.875</v>
      </c>
      <c r="K20" s="15">
        <f>SUM(D$13:D20)</f>
        <v>1445.3999999999999</v>
      </c>
      <c r="L20" s="15">
        <f>SUM(E$13:E20)</f>
        <v>1965</v>
      </c>
      <c r="M20" s="15">
        <f>SUM(F$13:F20)</f>
        <v>807</v>
      </c>
      <c r="N20" s="15"/>
      <c r="O20" s="15"/>
    </row>
    <row r="21" spans="1:15" x14ac:dyDescent="0.25">
      <c r="A21" s="12">
        <f>'ALL LEVELS'!A21</f>
        <v>9</v>
      </c>
      <c r="B21" s="12" t="str">
        <f>'ALL LEVELS'!B21</f>
        <v>TUESDAY</v>
      </c>
      <c r="C21" s="18">
        <v>49.125</v>
      </c>
      <c r="D21" s="18">
        <v>191.20000000000002</v>
      </c>
      <c r="E21" s="18">
        <v>262</v>
      </c>
      <c r="F21" s="18">
        <v>115</v>
      </c>
      <c r="G21" s="14"/>
      <c r="H21" s="14"/>
      <c r="J21" s="15">
        <f>SUM(C$13:C21)</f>
        <v>395</v>
      </c>
      <c r="K21" s="15">
        <f>SUM(D$13:D21)</f>
        <v>1636.6</v>
      </c>
      <c r="L21" s="15">
        <f>SUM(E$13:E21)</f>
        <v>2227</v>
      </c>
      <c r="M21" s="15">
        <f>SUM(F$13:F21)</f>
        <v>922</v>
      </c>
      <c r="N21" s="15"/>
      <c r="O21" s="15"/>
    </row>
    <row r="22" spans="1:15" x14ac:dyDescent="0.25">
      <c r="A22" s="12">
        <f>'ALL LEVELS'!A22</f>
        <v>10</v>
      </c>
      <c r="B22" s="12" t="str">
        <f>'ALL LEVELS'!B22</f>
        <v>WEDNESDAY</v>
      </c>
      <c r="C22" s="18">
        <v>38.625</v>
      </c>
      <c r="D22" s="18">
        <v>172.00000000000003</v>
      </c>
      <c r="E22" s="18">
        <v>230</v>
      </c>
      <c r="F22" s="18">
        <v>95</v>
      </c>
      <c r="G22" s="14"/>
      <c r="H22" s="14"/>
      <c r="J22" s="15">
        <f>SUM(C$13:C22)</f>
        <v>433.625</v>
      </c>
      <c r="K22" s="15">
        <f>SUM(D$13:D22)</f>
        <v>1808.6</v>
      </c>
      <c r="L22" s="15">
        <f>SUM(E$13:E22)</f>
        <v>2457</v>
      </c>
      <c r="M22" s="15">
        <f>SUM(F$13:F22)</f>
        <v>1017</v>
      </c>
      <c r="N22" s="15"/>
      <c r="O22" s="15"/>
    </row>
    <row r="23" spans="1:15" x14ac:dyDescent="0.25">
      <c r="A23" s="12">
        <f>'ALL LEVELS'!A23</f>
        <v>11</v>
      </c>
      <c r="B23" s="12" t="str">
        <f>'ALL LEVELS'!B23</f>
        <v>THURSDAY</v>
      </c>
      <c r="C23" s="18">
        <v>60.125</v>
      </c>
      <c r="D23" s="18">
        <v>261.60000000000002</v>
      </c>
      <c r="E23" s="18">
        <v>351</v>
      </c>
      <c r="F23" s="18">
        <v>138</v>
      </c>
      <c r="G23" s="14"/>
      <c r="H23" s="14"/>
      <c r="J23" s="15">
        <f>SUM(C$13:C23)</f>
        <v>493.75</v>
      </c>
      <c r="K23" s="15">
        <f>SUM(D$13:D23)</f>
        <v>2070.1999999999998</v>
      </c>
      <c r="L23" s="15">
        <f>SUM(E$13:E23)</f>
        <v>2808</v>
      </c>
      <c r="M23" s="15">
        <f>SUM(F$13:F23)</f>
        <v>1155</v>
      </c>
      <c r="N23" s="15"/>
      <c r="O23" s="15"/>
    </row>
    <row r="24" spans="1:15" x14ac:dyDescent="0.25">
      <c r="A24" s="12">
        <f>'ALL LEVELS'!A24</f>
        <v>12</v>
      </c>
      <c r="B24" s="12" t="str">
        <f>'ALL LEVELS'!B24</f>
        <v>FRIDAY</v>
      </c>
      <c r="C24" s="18">
        <v>68.125</v>
      </c>
      <c r="D24" s="18">
        <v>318.60000000000002</v>
      </c>
      <c r="E24" s="18">
        <v>428</v>
      </c>
      <c r="F24" s="18">
        <v>177</v>
      </c>
      <c r="G24" s="14"/>
      <c r="H24" s="14"/>
      <c r="J24" s="15">
        <f>SUM(C$13:C24)</f>
        <v>561.875</v>
      </c>
      <c r="K24" s="15">
        <f>SUM(D$13:D24)</f>
        <v>2388.7999999999997</v>
      </c>
      <c r="L24" s="15">
        <f>SUM(E$13:E24)</f>
        <v>3236</v>
      </c>
      <c r="M24" s="15">
        <f>SUM(F$13:F24)</f>
        <v>1332</v>
      </c>
      <c r="N24" s="15"/>
      <c r="O24" s="15"/>
    </row>
    <row r="25" spans="1:15" x14ac:dyDescent="0.25">
      <c r="A25" s="12">
        <f>'ALL LEVELS'!A25</f>
        <v>13</v>
      </c>
      <c r="B25" s="12" t="str">
        <f>'ALL LEVELS'!B25</f>
        <v>SATURDAY</v>
      </c>
      <c r="C25" s="18">
        <v>44</v>
      </c>
      <c r="D25" s="18">
        <v>147.20000000000002</v>
      </c>
      <c r="E25" s="18">
        <v>212</v>
      </c>
      <c r="F25" s="18">
        <v>84</v>
      </c>
      <c r="G25" s="14"/>
      <c r="H25" s="14"/>
      <c r="J25" s="15">
        <f>SUM(C$13:C25)</f>
        <v>605.875</v>
      </c>
      <c r="K25" s="15">
        <f>SUM(D$13:D25)</f>
        <v>2535.9999999999995</v>
      </c>
      <c r="L25" s="15">
        <f>SUM(E$13:E25)</f>
        <v>3448</v>
      </c>
      <c r="M25" s="15">
        <f>SUM(F$13:F25)</f>
        <v>1416</v>
      </c>
      <c r="N25" s="15"/>
      <c r="O25" s="15"/>
    </row>
    <row r="26" spans="1:15" x14ac:dyDescent="0.25">
      <c r="A26" s="12">
        <f>'ALL LEVELS'!A26</f>
        <v>14</v>
      </c>
      <c r="B26" s="12" t="str">
        <f>'ALL LEVELS'!B26</f>
        <v>SUNDAY</v>
      </c>
      <c r="C26" s="18">
        <v>34.5</v>
      </c>
      <c r="D26" s="18">
        <v>119.4</v>
      </c>
      <c r="E26" s="18">
        <v>171</v>
      </c>
      <c r="F26" s="18">
        <v>66</v>
      </c>
      <c r="G26" s="14"/>
      <c r="H26" s="14"/>
      <c r="J26" s="15">
        <f>SUM(C$13:C26)</f>
        <v>640.375</v>
      </c>
      <c r="K26" s="15">
        <f>SUM(D$13:D26)</f>
        <v>2655.3999999999996</v>
      </c>
      <c r="L26" s="15">
        <f>SUM(E$13:E26)</f>
        <v>3619</v>
      </c>
      <c r="M26" s="15">
        <f>SUM(F$13:F26)</f>
        <v>1482</v>
      </c>
      <c r="N26" s="15"/>
      <c r="O26" s="15"/>
    </row>
    <row r="27" spans="1:15" x14ac:dyDescent="0.25">
      <c r="A27" s="12">
        <f>'ALL LEVELS'!A27</f>
        <v>15</v>
      </c>
      <c r="B27" s="12" t="str">
        <f>'ALL LEVELS'!B27</f>
        <v>MONDAY</v>
      </c>
      <c r="C27" s="18">
        <v>45</v>
      </c>
      <c r="D27" s="18">
        <v>177.6</v>
      </c>
      <c r="E27" s="18">
        <v>245</v>
      </c>
      <c r="F27" s="18">
        <v>99</v>
      </c>
      <c r="G27" s="14"/>
      <c r="H27" s="14"/>
      <c r="J27" s="15">
        <f>SUM(C$13:C27)</f>
        <v>685.375</v>
      </c>
      <c r="K27" s="15">
        <f>SUM(D$13:D27)</f>
        <v>2832.9999999999995</v>
      </c>
      <c r="L27" s="15">
        <f>SUM(E$13:E27)</f>
        <v>3864</v>
      </c>
      <c r="M27" s="15">
        <f>SUM(F$13:F27)</f>
        <v>1581</v>
      </c>
      <c r="N27" s="15"/>
      <c r="O27" s="15"/>
    </row>
    <row r="28" spans="1:15" x14ac:dyDescent="0.25">
      <c r="A28" s="12">
        <f>'ALL LEVELS'!A28</f>
        <v>16</v>
      </c>
      <c r="B28" s="12" t="str">
        <f>'ALL LEVELS'!B28</f>
        <v>TUESDAY</v>
      </c>
      <c r="C28" s="18">
        <v>39.875</v>
      </c>
      <c r="D28" s="18">
        <v>149.6</v>
      </c>
      <c r="E28" s="18">
        <v>206</v>
      </c>
      <c r="F28" s="18">
        <v>82</v>
      </c>
      <c r="G28" s="14"/>
      <c r="H28" s="14"/>
      <c r="J28" s="15">
        <f>SUM(C$13:C28)</f>
        <v>725.25</v>
      </c>
      <c r="K28" s="15">
        <f>SUM(D$13:D28)</f>
        <v>2982.5999999999995</v>
      </c>
      <c r="L28" s="15">
        <f>SUM(E$13:E28)</f>
        <v>4070</v>
      </c>
      <c r="M28" s="15">
        <f>SUM(F$13:F28)</f>
        <v>1663</v>
      </c>
      <c r="N28" s="15"/>
      <c r="O28" s="15"/>
    </row>
    <row r="29" spans="1:15" x14ac:dyDescent="0.25">
      <c r="A29" s="12">
        <f>'ALL LEVELS'!A29</f>
        <v>17</v>
      </c>
      <c r="B29" s="12" t="str">
        <f>'ALL LEVELS'!B29</f>
        <v>WEDNESDAY</v>
      </c>
      <c r="C29" s="18">
        <v>38.25</v>
      </c>
      <c r="D29" s="18">
        <v>192.2</v>
      </c>
      <c r="E29" s="18">
        <v>269</v>
      </c>
      <c r="F29" s="18">
        <v>113</v>
      </c>
      <c r="G29" s="14"/>
      <c r="H29" s="14"/>
      <c r="J29" s="15"/>
      <c r="K29" s="15"/>
      <c r="L29" s="15"/>
      <c r="M29" s="15"/>
      <c r="N29" s="15"/>
      <c r="O29" s="15"/>
    </row>
    <row r="30" spans="1:15" x14ac:dyDescent="0.25">
      <c r="A30" s="12">
        <f>'ALL LEVELS'!A30</f>
        <v>18</v>
      </c>
      <c r="B30" s="12" t="str">
        <f>'ALL LEVELS'!B30</f>
        <v>THURSDAY</v>
      </c>
      <c r="C30" s="18">
        <v>48</v>
      </c>
      <c r="D30" s="18">
        <v>190.40000000000003</v>
      </c>
      <c r="E30" s="18">
        <v>275</v>
      </c>
      <c r="F30" s="18">
        <v>122</v>
      </c>
      <c r="G30" s="14"/>
      <c r="H30" s="14"/>
      <c r="J30" s="15">
        <f>SUM(C$13:C30)</f>
        <v>811.5</v>
      </c>
      <c r="K30" s="15">
        <f>SUM(D$13:D30)</f>
        <v>3365.1999999999994</v>
      </c>
      <c r="L30" s="15">
        <f>SUM(E$13:E30)</f>
        <v>4614</v>
      </c>
      <c r="M30" s="15">
        <f>SUM(F$13:F30)</f>
        <v>1898</v>
      </c>
      <c r="N30" s="15"/>
      <c r="O30" s="15"/>
    </row>
    <row r="31" spans="1:15" x14ac:dyDescent="0.25">
      <c r="A31" s="12">
        <f>'ALL LEVELS'!A31</f>
        <v>19</v>
      </c>
      <c r="B31" s="12" t="str">
        <f>'ALL LEVELS'!B31</f>
        <v>FRIDAY</v>
      </c>
      <c r="C31" s="18">
        <v>61.625</v>
      </c>
      <c r="D31" s="18">
        <v>182.39999999999998</v>
      </c>
      <c r="E31" s="18">
        <v>286</v>
      </c>
      <c r="F31" s="18">
        <v>103</v>
      </c>
      <c r="G31" s="14"/>
      <c r="H31" s="14"/>
      <c r="J31" s="15">
        <f>SUM(C$13:C31)</f>
        <v>873.125</v>
      </c>
      <c r="K31" s="15">
        <f>SUM(D$13:D31)</f>
        <v>3547.5999999999995</v>
      </c>
      <c r="L31" s="15">
        <f>SUM(E$13:E31)</f>
        <v>4900</v>
      </c>
      <c r="M31" s="15">
        <f>SUM(F$13:F31)</f>
        <v>2001</v>
      </c>
      <c r="N31" s="15"/>
      <c r="O31" s="15"/>
    </row>
    <row r="32" spans="1:15" x14ac:dyDescent="0.25">
      <c r="A32" s="12">
        <f>'ALL LEVELS'!A32</f>
        <v>20</v>
      </c>
      <c r="B32" s="12" t="str">
        <f>'ALL LEVELS'!B32</f>
        <v>SATURDAY</v>
      </c>
      <c r="C32" s="18"/>
      <c r="D32" s="18"/>
      <c r="E32" s="18"/>
      <c r="F32" s="18"/>
      <c r="G32" s="14"/>
      <c r="H32" s="14"/>
      <c r="J32" s="15">
        <f>SUM(C$13:C32)</f>
        <v>873.125</v>
      </c>
      <c r="K32" s="15">
        <f>SUM(D$13:D32)</f>
        <v>3547.5999999999995</v>
      </c>
      <c r="L32" s="15">
        <f>SUM(E$13:E32)</f>
        <v>4900</v>
      </c>
      <c r="M32" s="15">
        <f>SUM(F$13:F32)</f>
        <v>2001</v>
      </c>
      <c r="N32" s="15"/>
      <c r="O32" s="15"/>
    </row>
    <row r="33" spans="1:15" x14ac:dyDescent="0.25">
      <c r="A33" s="12">
        <f>'ALL LEVELS'!A33</f>
        <v>21</v>
      </c>
      <c r="B33" s="12" t="str">
        <f>'ALL LEVELS'!B33</f>
        <v>SUNDAY</v>
      </c>
      <c r="C33" s="18"/>
      <c r="D33" s="18"/>
      <c r="E33" s="18"/>
      <c r="F33" s="18"/>
      <c r="G33" s="14"/>
      <c r="H33" s="14"/>
      <c r="J33" s="15">
        <f>SUM(C$13:C33)</f>
        <v>873.125</v>
      </c>
      <c r="K33" s="15">
        <f>SUM(D$13:D33)</f>
        <v>3547.5999999999995</v>
      </c>
      <c r="L33" s="15">
        <f>SUM(E$13:E33)</f>
        <v>4900</v>
      </c>
      <c r="M33" s="15">
        <f>SUM(F$13:F33)</f>
        <v>2001</v>
      </c>
      <c r="N33" s="15"/>
      <c r="O33" s="15"/>
    </row>
    <row r="34" spans="1:15" x14ac:dyDescent="0.25">
      <c r="A34" s="12">
        <f>'ALL LEVELS'!A34</f>
        <v>22</v>
      </c>
      <c r="B34" s="12" t="str">
        <f>'ALL LEVELS'!B34</f>
        <v>MONDAY</v>
      </c>
      <c r="C34" s="18"/>
      <c r="D34" s="18"/>
      <c r="E34" s="18"/>
      <c r="F34" s="18"/>
      <c r="G34" s="14"/>
      <c r="H34" s="14"/>
      <c r="J34" s="15">
        <f>SUM(C$13:C34)</f>
        <v>873.125</v>
      </c>
      <c r="K34" s="15">
        <f>SUM(D$13:D34)</f>
        <v>3547.5999999999995</v>
      </c>
      <c r="L34" s="15">
        <f>SUM(E$13:E34)</f>
        <v>4900</v>
      </c>
      <c r="M34" s="15">
        <f>SUM(F$13:F34)</f>
        <v>2001</v>
      </c>
      <c r="N34" s="15"/>
      <c r="O34" s="15"/>
    </row>
    <row r="35" spans="1:15" x14ac:dyDescent="0.25">
      <c r="A35" s="12">
        <f>'ALL LEVELS'!A35</f>
        <v>23</v>
      </c>
      <c r="B35" s="12" t="str">
        <f>'ALL LEVELS'!B35</f>
        <v>TUESDAY</v>
      </c>
      <c r="C35" s="18"/>
      <c r="D35" s="18"/>
      <c r="E35" s="18"/>
      <c r="F35" s="18"/>
      <c r="G35" s="14"/>
      <c r="H35" s="14"/>
      <c r="J35" s="15">
        <f>SUM(C$13:C35)</f>
        <v>873.125</v>
      </c>
      <c r="K35" s="15">
        <f>SUM(D$13:D35)</f>
        <v>3547.5999999999995</v>
      </c>
      <c r="L35" s="15">
        <f>SUM(E$13:E35)</f>
        <v>4900</v>
      </c>
      <c r="M35" s="15">
        <f>SUM(F$13:F35)</f>
        <v>2001</v>
      </c>
      <c r="N35" s="15"/>
      <c r="O35" s="15"/>
    </row>
    <row r="36" spans="1:15" x14ac:dyDescent="0.25">
      <c r="A36" s="12">
        <f>'ALL LEVELS'!A36</f>
        <v>24</v>
      </c>
      <c r="B36" s="12" t="str">
        <f>'ALL LEVELS'!B36</f>
        <v>WEDNESDAY</v>
      </c>
      <c r="C36" s="18"/>
      <c r="D36" s="18"/>
      <c r="E36" s="18"/>
      <c r="F36" s="18"/>
      <c r="G36" s="14"/>
      <c r="H36" s="14"/>
      <c r="J36" s="15">
        <f>SUM(C$13:C36)</f>
        <v>873.125</v>
      </c>
      <c r="K36" s="15">
        <f>SUM(D$13:D36)</f>
        <v>3547.5999999999995</v>
      </c>
      <c r="L36" s="15">
        <f>SUM(E$13:E36)</f>
        <v>4900</v>
      </c>
      <c r="M36" s="15">
        <f>SUM(F$13:F36)</f>
        <v>2001</v>
      </c>
      <c r="N36" s="15"/>
      <c r="O36" s="15"/>
    </row>
    <row r="37" spans="1:15" x14ac:dyDescent="0.25">
      <c r="A37" s="12">
        <f>'ALL LEVELS'!A37</f>
        <v>25</v>
      </c>
      <c r="B37" s="12" t="str">
        <f>'ALL LEVELS'!B37</f>
        <v>THURSDAY</v>
      </c>
      <c r="C37" s="18"/>
      <c r="D37" s="18"/>
      <c r="E37" s="18"/>
      <c r="F37" s="18"/>
      <c r="G37" s="14"/>
      <c r="H37" s="14"/>
      <c r="J37" s="15">
        <f>SUM(C$13:C37)</f>
        <v>873.125</v>
      </c>
      <c r="K37" s="15">
        <f>SUM(D$13:D37)</f>
        <v>3547.5999999999995</v>
      </c>
      <c r="L37" s="15">
        <f>SUM(E$13:E37)</f>
        <v>4900</v>
      </c>
      <c r="M37" s="15">
        <f>SUM(F$13:F37)</f>
        <v>2001</v>
      </c>
      <c r="N37" s="15"/>
      <c r="O37" s="15"/>
    </row>
    <row r="38" spans="1:15" x14ac:dyDescent="0.25">
      <c r="A38" s="12">
        <f>'ALL LEVELS'!A38</f>
        <v>26</v>
      </c>
      <c r="B38" s="12" t="str">
        <f>'ALL LEVELS'!B38</f>
        <v>FRIDAY</v>
      </c>
      <c r="C38" s="18"/>
      <c r="D38" s="18"/>
      <c r="E38" s="18"/>
      <c r="F38" s="18"/>
      <c r="G38" s="14"/>
      <c r="H38" s="14"/>
      <c r="J38" s="15">
        <f>SUM(C$13:C38)</f>
        <v>873.125</v>
      </c>
      <c r="K38" s="15">
        <f>SUM(D$13:D38)</f>
        <v>3547.5999999999995</v>
      </c>
      <c r="L38" s="15">
        <f>SUM(E$13:E38)</f>
        <v>4900</v>
      </c>
      <c r="M38" s="15">
        <f>SUM(F$13:F38)</f>
        <v>2001</v>
      </c>
      <c r="N38" s="15"/>
      <c r="O38" s="15"/>
    </row>
    <row r="39" spans="1:15" x14ac:dyDescent="0.25">
      <c r="A39" s="12">
        <f>'ALL LEVELS'!A39</f>
        <v>27</v>
      </c>
      <c r="B39" s="12" t="str">
        <f>'ALL LEVELS'!B39</f>
        <v>SATURDAY</v>
      </c>
      <c r="C39" s="18"/>
      <c r="D39" s="18"/>
      <c r="E39" s="18"/>
      <c r="F39" s="18"/>
      <c r="G39" s="14"/>
      <c r="H39" s="14"/>
      <c r="J39" s="15">
        <f>SUM(C$13:C39)</f>
        <v>873.125</v>
      </c>
      <c r="K39" s="15">
        <f>SUM(D$13:D39)</f>
        <v>3547.5999999999995</v>
      </c>
      <c r="L39" s="15">
        <f>SUM(E$13:E39)</f>
        <v>4900</v>
      </c>
      <c r="M39" s="15">
        <f>SUM(F$13:F39)</f>
        <v>2001</v>
      </c>
      <c r="N39" s="15"/>
      <c r="O39" s="15"/>
    </row>
    <row r="40" spans="1:15" x14ac:dyDescent="0.25">
      <c r="A40" s="12">
        <f>'ALL LEVELS'!A40</f>
        <v>28</v>
      </c>
      <c r="B40" s="12" t="str">
        <f>'ALL LEVELS'!B40</f>
        <v>SUNDAY</v>
      </c>
      <c r="C40" s="18"/>
      <c r="D40" s="18"/>
      <c r="E40" s="18"/>
      <c r="F40" s="18"/>
      <c r="G40" s="14"/>
      <c r="H40" s="14"/>
      <c r="J40" s="15">
        <f>SUM(C$13:C40)</f>
        <v>873.125</v>
      </c>
      <c r="K40" s="15">
        <f>SUM(D$13:D40)</f>
        <v>3547.5999999999995</v>
      </c>
      <c r="L40" s="15">
        <f>SUM(E$13:E40)</f>
        <v>4900</v>
      </c>
      <c r="M40" s="15">
        <f>SUM(F$13:F40)</f>
        <v>2001</v>
      </c>
      <c r="N40" s="15"/>
      <c r="O40" s="15"/>
    </row>
    <row r="41" spans="1:15" x14ac:dyDescent="0.25">
      <c r="A41" s="12">
        <f>'ALL LEVELS'!A41</f>
        <v>29</v>
      </c>
      <c r="B41" s="12" t="str">
        <f>'ALL LEVELS'!B41</f>
        <v>MONDAY</v>
      </c>
      <c r="C41" s="18"/>
      <c r="D41" s="18"/>
      <c r="E41" s="18"/>
      <c r="F41" s="18"/>
      <c r="G41" s="14"/>
      <c r="H41" s="14"/>
      <c r="J41" s="15"/>
      <c r="K41" s="15"/>
      <c r="L41" s="15"/>
      <c r="M41" s="15"/>
      <c r="N41" s="15"/>
      <c r="O41" s="15"/>
    </row>
    <row r="42" spans="1:15" x14ac:dyDescent="0.25">
      <c r="A42" s="12">
        <f>'ALL LEVELS'!A42</f>
        <v>30</v>
      </c>
      <c r="B42" s="12" t="str">
        <f>'ALL LEVELS'!B42</f>
        <v>TUESDAY</v>
      </c>
      <c r="C42" s="18"/>
      <c r="D42" s="18"/>
      <c r="E42" s="18"/>
      <c r="F42" s="18"/>
      <c r="G42" s="14"/>
      <c r="H42" s="14"/>
      <c r="J42" s="15">
        <f>SUM(C$13:C42)</f>
        <v>873.125</v>
      </c>
      <c r="K42" s="15">
        <f>SUM(D$13:D42)</f>
        <v>3547.5999999999995</v>
      </c>
      <c r="L42" s="15">
        <f>SUM(E$13:E42)</f>
        <v>4900</v>
      </c>
      <c r="M42" s="15">
        <f>SUM(F$13:F42)</f>
        <v>2001</v>
      </c>
      <c r="N42" s="15"/>
      <c r="O42" s="15"/>
    </row>
    <row r="43" spans="1:15" x14ac:dyDescent="0.25">
      <c r="A43" s="12">
        <f>'ALL LEVELS'!A43</f>
        <v>31</v>
      </c>
      <c r="B43" s="12" t="str">
        <f>'ALL LEVELS'!B43</f>
        <v>WEDNESDAY</v>
      </c>
      <c r="C43" s="18"/>
      <c r="D43" s="18"/>
      <c r="E43" s="18"/>
      <c r="F43" s="18"/>
      <c r="G43" s="14"/>
      <c r="H43" s="14"/>
      <c r="J43" s="15">
        <f>SUM(C$13:C43)</f>
        <v>873.125</v>
      </c>
      <c r="K43" s="15">
        <f>SUM(D$13:D43)</f>
        <v>3547.5999999999995</v>
      </c>
      <c r="L43" s="15">
        <f>SUM(E$13:E43)</f>
        <v>4900</v>
      </c>
      <c r="M43" s="15">
        <f>SUM(F$13:F43)</f>
        <v>2001</v>
      </c>
      <c r="N43" s="15"/>
      <c r="O43" s="15"/>
    </row>
    <row r="44" spans="1:15" x14ac:dyDescent="0.25">
      <c r="B44" s="7"/>
      <c r="C44" s="19">
        <f t="shared" ref="C44:H44" si="0">SUBTOTAL(109,C13:C43)</f>
        <v>873.125</v>
      </c>
      <c r="D44" s="19">
        <f t="shared" si="0"/>
        <v>3547.5999999999995</v>
      </c>
      <c r="E44" s="19">
        <f t="shared" si="0"/>
        <v>4900</v>
      </c>
      <c r="F44" s="19">
        <f t="shared" si="0"/>
        <v>2001</v>
      </c>
      <c r="G44" s="19">
        <f t="shared" si="0"/>
        <v>0</v>
      </c>
      <c r="H44" s="16">
        <f t="shared" si="0"/>
        <v>0</v>
      </c>
    </row>
    <row r="45" spans="1:15" x14ac:dyDescent="0.25">
      <c r="B45" s="7"/>
    </row>
  </sheetData>
  <mergeCells count="3">
    <mergeCell ref="C3:D3"/>
    <mergeCell ref="E3:F3"/>
    <mergeCell ref="J11:O11"/>
  </mergeCells>
  <phoneticPr fontId="5" type="noConversion"/>
  <conditionalFormatting sqref="B13:B43">
    <cfRule type="containsText" dxfId="4" priority="2" operator="containsText" text="SUNDAY">
      <formula>NOT(ISERROR(SEARCH("SUNDAY",B13)))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O45"/>
  <sheetViews>
    <sheetView zoomScale="115" zoomScaleNormal="115" workbookViewId="0">
      <pane ySplit="10" topLeftCell="A11" activePane="bottomLeft" state="frozen"/>
      <selection pane="bottomLeft" activeCell="C31" sqref="C31:F31"/>
    </sheetView>
  </sheetViews>
  <sheetFormatPr defaultRowHeight="15" x14ac:dyDescent="0.25"/>
  <cols>
    <col min="2" max="2" width="13.5703125" customWidth="1"/>
    <col min="3" max="3" width="14.7109375" bestFit="1" customWidth="1"/>
    <col min="4" max="4" width="11" customWidth="1"/>
    <col min="5" max="5" width="18.42578125" bestFit="1" customWidth="1"/>
    <col min="6" max="6" width="15.5703125" bestFit="1" customWidth="1"/>
    <col min="7" max="8" width="11.85546875" customWidth="1"/>
    <col min="9" max="9" width="5.28515625" customWidth="1"/>
    <col min="10" max="15" width="6.85546875" hidden="1" customWidth="1"/>
    <col min="16" max="16" width="8.42578125" customWidth="1"/>
    <col min="17" max="35" width="5.28515625" customWidth="1"/>
  </cols>
  <sheetData>
    <row r="1" spans="1:15" x14ac:dyDescent="0.25">
      <c r="B1" t="s">
        <v>0</v>
      </c>
      <c r="E1" t="s">
        <v>1</v>
      </c>
      <c r="F1" s="1">
        <f>'ALL LEVELS'!F1</f>
        <v>30</v>
      </c>
      <c r="H1" s="20" t="str">
        <f>'ALL LEVELS'!H1</f>
        <v>Month of JUNE 2026</v>
      </c>
    </row>
    <row r="2" spans="1:15" x14ac:dyDescent="0.25">
      <c r="B2" t="s">
        <v>2</v>
      </c>
      <c r="C2" s="1">
        <f>'ALL LEVELS'!C2</f>
        <v>19</v>
      </c>
      <c r="E2" s="23"/>
      <c r="F2" s="23"/>
    </row>
    <row r="3" spans="1:15" ht="15.75" hidden="1" thickBot="1" x14ac:dyDescent="0.3">
      <c r="C3" s="30" t="s">
        <v>3</v>
      </c>
      <c r="D3" s="30"/>
      <c r="E3" s="31" t="s">
        <v>4</v>
      </c>
      <c r="F3" s="31"/>
    </row>
    <row r="4" spans="1:15" ht="15.75" hidden="1" thickBot="1" x14ac:dyDescent="0.3">
      <c r="B4" s="2" t="s">
        <v>5</v>
      </c>
      <c r="C4" s="3" t="s">
        <v>6</v>
      </c>
      <c r="D4" s="3" t="s">
        <v>7</v>
      </c>
      <c r="E4" s="3" t="s">
        <v>6</v>
      </c>
      <c r="F4" s="3" t="s">
        <v>7</v>
      </c>
    </row>
    <row r="5" spans="1:15" ht="15.75" hidden="1" thickBot="1" x14ac:dyDescent="0.3">
      <c r="B5" s="2" t="s">
        <v>8</v>
      </c>
      <c r="C5" s="4"/>
      <c r="D5" s="4"/>
      <c r="E5" s="4"/>
      <c r="F5" s="4"/>
    </row>
    <row r="6" spans="1:15" ht="15.75" hidden="1" thickBot="1" x14ac:dyDescent="0.3">
      <c r="B6" s="2" t="s">
        <v>9</v>
      </c>
      <c r="C6" s="4"/>
      <c r="D6" s="4"/>
      <c r="E6" s="4"/>
      <c r="F6" s="4"/>
    </row>
    <row r="7" spans="1:15" ht="15.75" hidden="1" thickBot="1" x14ac:dyDescent="0.3">
      <c r="B7" s="2" t="s">
        <v>10</v>
      </c>
      <c r="C7" s="4"/>
      <c r="D7" s="4"/>
      <c r="E7" s="4"/>
      <c r="F7" s="4"/>
      <c r="H7" s="5"/>
    </row>
    <row r="8" spans="1:15" ht="15.75" hidden="1" thickBot="1" x14ac:dyDescent="0.3">
      <c r="B8" s="2" t="s">
        <v>11</v>
      </c>
      <c r="C8" s="6"/>
      <c r="D8" s="6"/>
      <c r="E8" s="6"/>
      <c r="F8" s="6"/>
    </row>
    <row r="9" spans="1:15" ht="15.75" hidden="1" thickBot="1" x14ac:dyDescent="0.3">
      <c r="B9" s="2"/>
      <c r="C9" s="6"/>
      <c r="D9" s="6"/>
      <c r="E9" s="6"/>
      <c r="F9" s="6"/>
    </row>
    <row r="10" spans="1:15" ht="15.75" hidden="1" thickBot="1" x14ac:dyDescent="0.3">
      <c r="B10" s="2" t="s">
        <v>12</v>
      </c>
      <c r="C10" s="4"/>
      <c r="D10" s="6"/>
      <c r="E10" s="4"/>
      <c r="F10" s="6"/>
    </row>
    <row r="11" spans="1:15" ht="15.75" thickBot="1" x14ac:dyDescent="0.3">
      <c r="B11" s="7"/>
      <c r="J11" s="32" t="s">
        <v>4</v>
      </c>
      <c r="K11" s="32"/>
      <c r="L11" s="32"/>
      <c r="M11" s="32"/>
      <c r="N11" s="32"/>
      <c r="O11" s="32"/>
    </row>
    <row r="12" spans="1:15" ht="15.75" thickBot="1" x14ac:dyDescent="0.3">
      <c r="A12" s="8" t="s">
        <v>13</v>
      </c>
      <c r="B12" s="7" t="s">
        <v>14</v>
      </c>
      <c r="C12" s="9" t="s">
        <v>15</v>
      </c>
      <c r="D12" s="9" t="s">
        <v>16</v>
      </c>
      <c r="E12" s="9" t="s">
        <v>17</v>
      </c>
      <c r="F12" s="2" t="s">
        <v>18</v>
      </c>
      <c r="G12" s="10"/>
      <c r="H12" s="11"/>
      <c r="J12" s="9" t="s">
        <v>8</v>
      </c>
      <c r="K12" s="9" t="s">
        <v>9</v>
      </c>
      <c r="L12" s="9" t="s">
        <v>10</v>
      </c>
      <c r="M12" s="2" t="s">
        <v>11</v>
      </c>
      <c r="N12" s="11"/>
      <c r="O12" s="11"/>
    </row>
    <row r="13" spans="1:15" x14ac:dyDescent="0.25">
      <c r="A13" s="12">
        <f>'ALL LEVELS'!A13</f>
        <v>1</v>
      </c>
      <c r="B13" s="12" t="str">
        <f>'ALL LEVELS'!B13</f>
        <v>MONDAY</v>
      </c>
      <c r="C13" s="18">
        <v>103.375</v>
      </c>
      <c r="D13" s="18">
        <v>280.80000000000007</v>
      </c>
      <c r="E13" s="18">
        <v>429</v>
      </c>
      <c r="F13" s="18">
        <v>173</v>
      </c>
      <c r="G13" s="14"/>
      <c r="H13" s="14"/>
      <c r="J13" s="15">
        <f>SUM(C$13:C13)</f>
        <v>103.375</v>
      </c>
      <c r="K13" s="15">
        <f>SUM(D$13:D13)</f>
        <v>280.80000000000007</v>
      </c>
      <c r="L13" s="15">
        <f>SUM(E$13:E13)</f>
        <v>429</v>
      </c>
      <c r="M13" s="15">
        <f>SUM(F$13:F13)</f>
        <v>173</v>
      </c>
      <c r="N13" s="15"/>
      <c r="O13" s="15"/>
    </row>
    <row r="14" spans="1:15" x14ac:dyDescent="0.25">
      <c r="A14" s="12">
        <v>2</v>
      </c>
      <c r="B14" s="12" t="str">
        <f>'ALL LEVELS'!B14</f>
        <v>TUESDAY</v>
      </c>
      <c r="C14" s="18">
        <v>60.625</v>
      </c>
      <c r="D14" s="18">
        <v>234.39999999999998</v>
      </c>
      <c r="E14" s="18">
        <v>324</v>
      </c>
      <c r="F14" s="18">
        <v>135</v>
      </c>
      <c r="G14" s="14"/>
      <c r="H14" s="14"/>
      <c r="J14" s="15">
        <f>SUM(C$13:C14)</f>
        <v>164</v>
      </c>
      <c r="K14" s="15">
        <f>SUM(D$13:D14)</f>
        <v>515.20000000000005</v>
      </c>
      <c r="L14" s="15">
        <f>SUM(E$13:E14)</f>
        <v>753</v>
      </c>
      <c r="M14" s="15">
        <f>SUM(F$13:F14)</f>
        <v>308</v>
      </c>
      <c r="N14" s="15"/>
      <c r="O14" s="15"/>
    </row>
    <row r="15" spans="1:15" x14ac:dyDescent="0.25">
      <c r="A15" s="12">
        <v>3</v>
      </c>
      <c r="B15" s="12" t="str">
        <f>'ALL LEVELS'!B15</f>
        <v>WEDNESDAY</v>
      </c>
      <c r="C15" s="18">
        <v>94.875</v>
      </c>
      <c r="D15" s="18">
        <v>346.40000000000003</v>
      </c>
      <c r="E15" s="18">
        <v>491</v>
      </c>
      <c r="F15" s="18">
        <v>190</v>
      </c>
      <c r="G15" s="14"/>
      <c r="H15" s="14"/>
      <c r="J15" s="15">
        <f>SUM(C$13:C15)</f>
        <v>258.875</v>
      </c>
      <c r="K15" s="15">
        <f>SUM(D$13:D15)</f>
        <v>861.60000000000014</v>
      </c>
      <c r="L15" s="15">
        <f>SUM(E$13:E15)</f>
        <v>1244</v>
      </c>
      <c r="M15" s="15">
        <f>SUM(F$13:F15)</f>
        <v>498</v>
      </c>
      <c r="N15" s="15"/>
      <c r="O15" s="15"/>
    </row>
    <row r="16" spans="1:15" x14ac:dyDescent="0.25">
      <c r="A16" s="12">
        <v>4</v>
      </c>
      <c r="B16" s="12" t="str">
        <f>'ALL LEVELS'!B16</f>
        <v>THURSDAY</v>
      </c>
      <c r="C16" s="18">
        <v>82.875</v>
      </c>
      <c r="D16" s="18">
        <v>323.40000000000003</v>
      </c>
      <c r="E16" s="18">
        <v>453</v>
      </c>
      <c r="F16" s="18">
        <v>191</v>
      </c>
      <c r="G16" s="14"/>
      <c r="H16" s="14"/>
      <c r="J16" s="15">
        <f>SUM(C$13:C16)</f>
        <v>341.75</v>
      </c>
      <c r="K16" s="15">
        <f>SUM(D$13:D16)</f>
        <v>1185.0000000000002</v>
      </c>
      <c r="L16" s="15">
        <f>SUM(E$13:E16)</f>
        <v>1697</v>
      </c>
      <c r="M16" s="15">
        <f>SUM(F$13:F16)</f>
        <v>689</v>
      </c>
      <c r="N16" s="15"/>
      <c r="O16" s="15"/>
    </row>
    <row r="17" spans="1:15" x14ac:dyDescent="0.25">
      <c r="A17" s="12">
        <v>5</v>
      </c>
      <c r="B17" s="12" t="str">
        <f>'ALL LEVELS'!B17</f>
        <v>FRIDAY</v>
      </c>
      <c r="C17" s="18">
        <v>127.25</v>
      </c>
      <c r="D17" s="18">
        <v>397.60000000000008</v>
      </c>
      <c r="E17" s="18">
        <v>592</v>
      </c>
      <c r="F17" s="18">
        <v>232</v>
      </c>
      <c r="G17" s="14"/>
      <c r="H17" s="14"/>
      <c r="J17" s="15">
        <f>SUM(C$13:C17)</f>
        <v>469</v>
      </c>
      <c r="K17" s="15">
        <f>SUM(D$13:D17)</f>
        <v>1582.6000000000004</v>
      </c>
      <c r="L17" s="15">
        <f>SUM(E$13:E17)</f>
        <v>2289</v>
      </c>
      <c r="M17" s="15">
        <f>SUM(F$13:F17)</f>
        <v>921</v>
      </c>
      <c r="N17" s="15"/>
      <c r="O17" s="15"/>
    </row>
    <row r="18" spans="1:15" x14ac:dyDescent="0.25">
      <c r="A18" s="12">
        <v>6</v>
      </c>
      <c r="B18" s="12" t="str">
        <f>'ALL LEVELS'!B18</f>
        <v>SATURDAY</v>
      </c>
      <c r="C18" s="18">
        <v>108.625</v>
      </c>
      <c r="D18" s="18">
        <v>343.20000000000005</v>
      </c>
      <c r="E18" s="18">
        <v>506</v>
      </c>
      <c r="F18" s="18">
        <v>197</v>
      </c>
      <c r="G18" s="14"/>
      <c r="H18" s="14"/>
      <c r="J18" s="15">
        <f>SUM(C$13:C18)</f>
        <v>577.625</v>
      </c>
      <c r="K18" s="15">
        <f>SUM(D$13:D18)</f>
        <v>1925.8000000000004</v>
      </c>
      <c r="L18" s="15">
        <f>SUM(E$13:E18)</f>
        <v>2795</v>
      </c>
      <c r="M18" s="15">
        <f>SUM(F$13:F18)</f>
        <v>1118</v>
      </c>
      <c r="N18" s="15"/>
      <c r="O18" s="15"/>
    </row>
    <row r="19" spans="1:15" x14ac:dyDescent="0.25">
      <c r="A19" s="12">
        <v>7</v>
      </c>
      <c r="B19" s="12" t="str">
        <f>'ALL LEVELS'!B19</f>
        <v>SUNDAY</v>
      </c>
      <c r="C19" s="18">
        <v>98.125</v>
      </c>
      <c r="D19" s="18">
        <v>244.79999999999998</v>
      </c>
      <c r="E19" s="18">
        <v>380</v>
      </c>
      <c r="F19" s="18">
        <v>156</v>
      </c>
      <c r="G19" s="14"/>
      <c r="H19" s="14"/>
      <c r="J19" s="15">
        <f>SUM(C$13:C19)</f>
        <v>675.75</v>
      </c>
      <c r="K19" s="15">
        <f>SUM(D$13:D19)</f>
        <v>2170.6000000000004</v>
      </c>
      <c r="L19" s="15">
        <f>SUM(E$13:E19)</f>
        <v>3175</v>
      </c>
      <c r="M19" s="15">
        <f>SUM(F$13:F19)</f>
        <v>1274</v>
      </c>
      <c r="N19" s="15"/>
      <c r="O19" s="15"/>
    </row>
    <row r="20" spans="1:15" x14ac:dyDescent="0.25">
      <c r="A20" s="12">
        <v>8</v>
      </c>
      <c r="B20" s="12" t="str">
        <f>'ALL LEVELS'!B20</f>
        <v>MONDAY</v>
      </c>
      <c r="C20" s="18">
        <v>70.375</v>
      </c>
      <c r="D20" s="18">
        <v>274.2</v>
      </c>
      <c r="E20" s="18">
        <v>380</v>
      </c>
      <c r="F20" s="18">
        <v>169</v>
      </c>
      <c r="G20" s="14"/>
      <c r="H20" s="14"/>
      <c r="J20" s="15">
        <f>SUM(C$13:C20)</f>
        <v>746.125</v>
      </c>
      <c r="K20" s="15">
        <f>SUM(D$13:D20)</f>
        <v>2444.8000000000002</v>
      </c>
      <c r="L20" s="15">
        <f>SUM(E$13:E20)</f>
        <v>3555</v>
      </c>
      <c r="M20" s="15">
        <f>SUM(F$13:F20)</f>
        <v>1443</v>
      </c>
      <c r="N20" s="15"/>
      <c r="O20" s="15"/>
    </row>
    <row r="21" spans="1:15" x14ac:dyDescent="0.25">
      <c r="A21" s="12">
        <v>9</v>
      </c>
      <c r="B21" s="12" t="str">
        <f>'ALL LEVELS'!B21</f>
        <v>TUESDAY</v>
      </c>
      <c r="C21" s="18">
        <v>103.875</v>
      </c>
      <c r="D21" s="18">
        <v>326.20000000000005</v>
      </c>
      <c r="E21" s="18">
        <v>498</v>
      </c>
      <c r="F21" s="18">
        <v>210</v>
      </c>
      <c r="G21" s="14"/>
      <c r="H21" s="14"/>
      <c r="J21" s="15">
        <f>SUM(C$13:C21)</f>
        <v>850</v>
      </c>
      <c r="K21" s="15">
        <f>SUM(D$13:D21)</f>
        <v>2771</v>
      </c>
      <c r="L21" s="15">
        <f>SUM(E$13:E21)</f>
        <v>4053</v>
      </c>
      <c r="M21" s="15">
        <f>SUM(F$13:F21)</f>
        <v>1653</v>
      </c>
      <c r="N21" s="15"/>
      <c r="O21" s="15"/>
    </row>
    <row r="22" spans="1:15" x14ac:dyDescent="0.25">
      <c r="A22" s="12">
        <v>10</v>
      </c>
      <c r="B22" s="12" t="str">
        <f>'ALL LEVELS'!B22</f>
        <v>WEDNESDAY</v>
      </c>
      <c r="C22" s="18">
        <v>116.75</v>
      </c>
      <c r="D22" s="18">
        <v>415.79999999999995</v>
      </c>
      <c r="E22" s="18">
        <v>601</v>
      </c>
      <c r="F22" s="18">
        <v>221</v>
      </c>
      <c r="G22" s="14"/>
      <c r="H22" s="14"/>
      <c r="J22" s="15">
        <f>SUM(C$13:C22)</f>
        <v>966.75</v>
      </c>
      <c r="K22" s="15">
        <f>SUM(D$13:D22)</f>
        <v>3186.8</v>
      </c>
      <c r="L22" s="15">
        <f>SUM(E$13:E22)</f>
        <v>4654</v>
      </c>
      <c r="M22" s="15">
        <f>SUM(F$13:F22)</f>
        <v>1874</v>
      </c>
      <c r="N22" s="15"/>
      <c r="O22" s="15"/>
    </row>
    <row r="23" spans="1:15" x14ac:dyDescent="0.25">
      <c r="A23" s="12">
        <v>11</v>
      </c>
      <c r="B23" s="12" t="str">
        <f>'ALL LEVELS'!B23</f>
        <v>THURSDAY</v>
      </c>
      <c r="C23" s="18">
        <v>134.75</v>
      </c>
      <c r="D23" s="18">
        <v>385.8</v>
      </c>
      <c r="E23" s="18">
        <v>597</v>
      </c>
      <c r="F23" s="18">
        <v>224</v>
      </c>
      <c r="G23" s="14"/>
      <c r="H23" s="14"/>
      <c r="J23" s="15">
        <f>SUM(C$13:C23)</f>
        <v>1101.5</v>
      </c>
      <c r="K23" s="15">
        <f>SUM(D$13:D23)</f>
        <v>3572.6000000000004</v>
      </c>
      <c r="L23" s="15">
        <f>SUM(E$13:E23)</f>
        <v>5251</v>
      </c>
      <c r="M23" s="15">
        <f>SUM(F$13:F23)</f>
        <v>2098</v>
      </c>
      <c r="N23" s="15"/>
      <c r="O23" s="15"/>
    </row>
    <row r="24" spans="1:15" x14ac:dyDescent="0.25">
      <c r="A24" s="12">
        <v>12</v>
      </c>
      <c r="B24" s="12" t="str">
        <f>'ALL LEVELS'!B24</f>
        <v>FRIDAY</v>
      </c>
      <c r="C24" s="18">
        <v>150.625</v>
      </c>
      <c r="D24" s="18">
        <v>400.4</v>
      </c>
      <c r="E24" s="18">
        <v>631</v>
      </c>
      <c r="F24" s="18">
        <v>261</v>
      </c>
      <c r="G24" s="14"/>
      <c r="H24" s="14"/>
      <c r="J24" s="15">
        <f>SUM(C$13:C24)</f>
        <v>1252.125</v>
      </c>
      <c r="K24" s="15">
        <f>SUM(D$13:D24)</f>
        <v>3973.0000000000005</v>
      </c>
      <c r="L24" s="15">
        <f>SUM(E$13:E24)</f>
        <v>5882</v>
      </c>
      <c r="M24" s="15">
        <f>SUM(F$13:F24)</f>
        <v>2359</v>
      </c>
      <c r="N24" s="15"/>
      <c r="O24" s="15"/>
    </row>
    <row r="25" spans="1:15" x14ac:dyDescent="0.25">
      <c r="A25" s="12">
        <v>13</v>
      </c>
      <c r="B25" s="12" t="str">
        <f>'ALL LEVELS'!B25</f>
        <v>SATURDAY</v>
      </c>
      <c r="C25" s="18">
        <v>73.375</v>
      </c>
      <c r="D25" s="18">
        <v>285.39999999999998</v>
      </c>
      <c r="E25" s="18">
        <v>400</v>
      </c>
      <c r="F25" s="18">
        <v>162</v>
      </c>
      <c r="G25" s="14"/>
      <c r="H25" s="14"/>
      <c r="J25" s="15">
        <f>SUM(C$13:C25)</f>
        <v>1325.5</v>
      </c>
      <c r="K25" s="15">
        <f>SUM(D$13:D25)</f>
        <v>4258.4000000000005</v>
      </c>
      <c r="L25" s="15">
        <f>SUM(E$13:E25)</f>
        <v>6282</v>
      </c>
      <c r="M25" s="15">
        <f>SUM(F$13:F25)</f>
        <v>2521</v>
      </c>
      <c r="N25" s="15"/>
      <c r="O25" s="15"/>
    </row>
    <row r="26" spans="1:15" x14ac:dyDescent="0.25">
      <c r="A26" s="12">
        <v>14</v>
      </c>
      <c r="B26" s="12" t="str">
        <f>'ALL LEVELS'!B26</f>
        <v>SUNDAY</v>
      </c>
      <c r="C26" s="18">
        <v>86.395348837209298</v>
      </c>
      <c r="D26" s="18">
        <v>302.39999999999998</v>
      </c>
      <c r="E26" s="18">
        <v>452</v>
      </c>
      <c r="F26" s="18">
        <v>185</v>
      </c>
      <c r="G26" s="14"/>
      <c r="H26" s="14"/>
      <c r="J26" s="15">
        <f>SUM(C$13:C26)</f>
        <v>1411.8953488372092</v>
      </c>
      <c r="K26" s="15">
        <f>SUM(D$13:D26)</f>
        <v>4560.8</v>
      </c>
      <c r="L26" s="15">
        <f>SUM(E$13:E26)</f>
        <v>6734</v>
      </c>
      <c r="M26" s="15">
        <f>SUM(F$13:F26)</f>
        <v>2706</v>
      </c>
      <c r="N26" s="15"/>
      <c r="O26" s="15"/>
    </row>
    <row r="27" spans="1:15" x14ac:dyDescent="0.25">
      <c r="A27" s="12">
        <v>15</v>
      </c>
      <c r="B27" s="12" t="str">
        <f>'ALL LEVELS'!B27</f>
        <v>MONDAY</v>
      </c>
      <c r="C27" s="18">
        <v>116.875</v>
      </c>
      <c r="D27" s="18">
        <v>260.39999999999998</v>
      </c>
      <c r="E27" s="18">
        <v>449</v>
      </c>
      <c r="F27" s="18">
        <v>176</v>
      </c>
      <c r="G27" s="14"/>
      <c r="H27" s="14"/>
      <c r="J27" s="15">
        <f>SUM(C$13:C27)</f>
        <v>1528.7703488372092</v>
      </c>
      <c r="K27" s="15">
        <f>SUM(D$13:D27)</f>
        <v>4821.2</v>
      </c>
      <c r="L27" s="15">
        <f>SUM(E$13:E27)</f>
        <v>7183</v>
      </c>
      <c r="M27" s="15">
        <f>SUM(F$13:F27)</f>
        <v>2882</v>
      </c>
      <c r="N27" s="15"/>
      <c r="O27" s="15"/>
    </row>
    <row r="28" spans="1:15" x14ac:dyDescent="0.25">
      <c r="A28" s="12">
        <v>16</v>
      </c>
      <c r="B28" s="12" t="str">
        <f>'ALL LEVELS'!B28</f>
        <v>TUESDAY</v>
      </c>
      <c r="C28" s="18">
        <v>75.875</v>
      </c>
      <c r="D28" s="18">
        <v>290.60000000000002</v>
      </c>
      <c r="E28" s="18">
        <v>422</v>
      </c>
      <c r="F28" s="18">
        <v>149</v>
      </c>
      <c r="G28" s="14"/>
      <c r="H28" s="14"/>
      <c r="J28" s="15">
        <f>SUM(C$13:C28)</f>
        <v>1604.6453488372092</v>
      </c>
      <c r="K28" s="15">
        <f>SUM(D$13:D28)</f>
        <v>5111.8</v>
      </c>
      <c r="L28" s="15">
        <f>SUM(E$13:E28)</f>
        <v>7605</v>
      </c>
      <c r="M28" s="15">
        <f>SUM(F$13:F28)</f>
        <v>3031</v>
      </c>
      <c r="N28" s="15"/>
      <c r="O28" s="15"/>
    </row>
    <row r="29" spans="1:15" x14ac:dyDescent="0.25">
      <c r="A29" s="12">
        <v>17</v>
      </c>
      <c r="B29" s="12" t="str">
        <f>'ALL LEVELS'!B29</f>
        <v>WEDNESDAY</v>
      </c>
      <c r="C29" s="18">
        <v>98.244186046511629</v>
      </c>
      <c r="D29" s="18">
        <v>341.6</v>
      </c>
      <c r="E29" s="18">
        <v>496</v>
      </c>
      <c r="F29" s="18">
        <v>223</v>
      </c>
      <c r="G29" s="14"/>
      <c r="H29" s="14"/>
      <c r="J29" s="15"/>
      <c r="K29" s="15"/>
      <c r="L29" s="15"/>
      <c r="M29" s="15"/>
      <c r="N29" s="15"/>
      <c r="O29" s="15"/>
    </row>
    <row r="30" spans="1:15" x14ac:dyDescent="0.25">
      <c r="A30" s="12">
        <v>18</v>
      </c>
      <c r="B30" s="12" t="str">
        <f>'ALL LEVELS'!B30</f>
        <v>THURSDAY</v>
      </c>
      <c r="C30" s="18">
        <v>85.831395348837205</v>
      </c>
      <c r="D30" s="18">
        <v>299.39999999999998</v>
      </c>
      <c r="E30" s="18">
        <v>432</v>
      </c>
      <c r="F30" s="18">
        <v>170</v>
      </c>
      <c r="G30" s="14"/>
      <c r="H30" s="14"/>
      <c r="J30" s="15">
        <f>SUM(C$13:C30)</f>
        <v>1788.7209302325582</v>
      </c>
      <c r="K30" s="15">
        <f>SUM(D$13:D30)</f>
        <v>5752.8</v>
      </c>
      <c r="L30" s="15">
        <f>SUM(E$13:E30)</f>
        <v>8533</v>
      </c>
      <c r="M30" s="15">
        <f>SUM(F$13:F30)</f>
        <v>3424</v>
      </c>
      <c r="N30" s="15"/>
      <c r="O30" s="15"/>
    </row>
    <row r="31" spans="1:15" x14ac:dyDescent="0.25">
      <c r="A31" s="12">
        <v>19</v>
      </c>
      <c r="B31" s="12" t="str">
        <f>'ALL LEVELS'!B31</f>
        <v>FRIDAY</v>
      </c>
      <c r="C31" s="18">
        <v>102.04941860465115</v>
      </c>
      <c r="D31" s="18">
        <v>325.60000000000002</v>
      </c>
      <c r="E31" s="18">
        <v>486</v>
      </c>
      <c r="F31" s="18">
        <v>188</v>
      </c>
      <c r="G31" s="14"/>
      <c r="H31" s="14"/>
      <c r="J31" s="15">
        <f>SUM(C$13:C31)</f>
        <v>1890.7703488372094</v>
      </c>
      <c r="K31" s="15">
        <f>SUM(D$13:D31)</f>
        <v>6078.4000000000005</v>
      </c>
      <c r="L31" s="15">
        <f>SUM(E$13:E31)</f>
        <v>9019</v>
      </c>
      <c r="M31" s="15">
        <f>SUM(F$13:F31)</f>
        <v>3612</v>
      </c>
      <c r="N31" s="15"/>
      <c r="O31" s="15"/>
    </row>
    <row r="32" spans="1:15" x14ac:dyDescent="0.25">
      <c r="A32" s="12">
        <v>20</v>
      </c>
      <c r="B32" s="12" t="str">
        <f>'ALL LEVELS'!B32</f>
        <v>SATURDAY</v>
      </c>
      <c r="C32" s="18"/>
      <c r="D32" s="18"/>
      <c r="E32" s="18"/>
      <c r="F32" s="18"/>
      <c r="G32" s="14"/>
      <c r="H32" s="14"/>
      <c r="J32" s="15">
        <f>SUM(C$13:C32)</f>
        <v>1890.7703488372094</v>
      </c>
      <c r="K32" s="15">
        <f>SUM(D$13:D32)</f>
        <v>6078.4000000000005</v>
      </c>
      <c r="L32" s="15">
        <f>SUM(E$13:E32)</f>
        <v>9019</v>
      </c>
      <c r="M32" s="15">
        <f>SUM(F$13:F32)</f>
        <v>3612</v>
      </c>
      <c r="N32" s="15"/>
      <c r="O32" s="15"/>
    </row>
    <row r="33" spans="1:15" x14ac:dyDescent="0.25">
      <c r="A33" s="12">
        <v>21</v>
      </c>
      <c r="B33" s="12" t="str">
        <f>'ALL LEVELS'!B33</f>
        <v>SUNDAY</v>
      </c>
      <c r="C33" s="18"/>
      <c r="D33" s="18"/>
      <c r="E33" s="18"/>
      <c r="F33" s="18"/>
      <c r="G33" s="14"/>
      <c r="H33" s="14"/>
      <c r="J33" s="15">
        <f>SUM(C$13:C33)</f>
        <v>1890.7703488372094</v>
      </c>
      <c r="K33" s="15">
        <f>SUM(D$13:D33)</f>
        <v>6078.4000000000005</v>
      </c>
      <c r="L33" s="15">
        <f>SUM(E$13:E33)</f>
        <v>9019</v>
      </c>
      <c r="M33" s="15">
        <f>SUM(F$13:F33)</f>
        <v>3612</v>
      </c>
      <c r="N33" s="15"/>
      <c r="O33" s="15"/>
    </row>
    <row r="34" spans="1:15" x14ac:dyDescent="0.25">
      <c r="A34" s="12">
        <v>22</v>
      </c>
      <c r="B34" s="12" t="str">
        <f>'ALL LEVELS'!B34</f>
        <v>MONDAY</v>
      </c>
      <c r="C34" s="18"/>
      <c r="D34" s="18"/>
      <c r="E34" s="18"/>
      <c r="F34" s="18"/>
      <c r="G34" s="14"/>
      <c r="H34" s="14"/>
      <c r="J34" s="15">
        <f>SUM(C$13:C34)</f>
        <v>1890.7703488372094</v>
      </c>
      <c r="K34" s="15">
        <f>SUM(D$13:D34)</f>
        <v>6078.4000000000005</v>
      </c>
      <c r="L34" s="15">
        <f>SUM(E$13:E34)</f>
        <v>9019</v>
      </c>
      <c r="M34" s="15">
        <f>SUM(F$13:F34)</f>
        <v>3612</v>
      </c>
      <c r="N34" s="15"/>
      <c r="O34" s="15"/>
    </row>
    <row r="35" spans="1:15" x14ac:dyDescent="0.25">
      <c r="A35" s="12">
        <v>23</v>
      </c>
      <c r="B35" s="12" t="str">
        <f>'ALL LEVELS'!B35</f>
        <v>TUESDAY</v>
      </c>
      <c r="C35" s="18"/>
      <c r="D35" s="18"/>
      <c r="E35" s="18"/>
      <c r="F35" s="18"/>
      <c r="G35" s="14"/>
      <c r="H35" s="14"/>
      <c r="J35" s="15">
        <f>SUM(C$13:C35)</f>
        <v>1890.7703488372094</v>
      </c>
      <c r="K35" s="15">
        <f>SUM(D$13:D35)</f>
        <v>6078.4000000000005</v>
      </c>
      <c r="L35" s="15">
        <f>SUM(E$13:E35)</f>
        <v>9019</v>
      </c>
      <c r="M35" s="15">
        <f>SUM(F$13:F35)</f>
        <v>3612</v>
      </c>
      <c r="N35" s="15"/>
      <c r="O35" s="15"/>
    </row>
    <row r="36" spans="1:15" x14ac:dyDescent="0.25">
      <c r="A36" s="12">
        <v>24</v>
      </c>
      <c r="B36" s="12" t="str">
        <f>'ALL LEVELS'!B36</f>
        <v>WEDNESDAY</v>
      </c>
      <c r="C36" s="18"/>
      <c r="D36" s="18"/>
      <c r="E36" s="18"/>
      <c r="F36" s="18"/>
      <c r="G36" s="14"/>
      <c r="H36" s="14"/>
      <c r="J36" s="15">
        <f>SUM(C$13:C36)</f>
        <v>1890.7703488372094</v>
      </c>
      <c r="K36" s="15">
        <f>SUM(D$13:D36)</f>
        <v>6078.4000000000005</v>
      </c>
      <c r="L36" s="15">
        <f>SUM(E$13:E36)</f>
        <v>9019</v>
      </c>
      <c r="M36" s="15">
        <f>SUM(F$13:F36)</f>
        <v>3612</v>
      </c>
      <c r="N36" s="15"/>
      <c r="O36" s="15"/>
    </row>
    <row r="37" spans="1:15" x14ac:dyDescent="0.25">
      <c r="A37" s="12">
        <v>25</v>
      </c>
      <c r="B37" s="12" t="str">
        <f>'ALL LEVELS'!B37</f>
        <v>THURSDAY</v>
      </c>
      <c r="C37" s="18"/>
      <c r="D37" s="18"/>
      <c r="E37" s="18"/>
      <c r="F37" s="18"/>
      <c r="G37" s="14"/>
      <c r="H37" s="14"/>
      <c r="J37" s="15">
        <f>SUM(C$13:C37)</f>
        <v>1890.7703488372094</v>
      </c>
      <c r="K37" s="15">
        <f>SUM(D$13:D37)</f>
        <v>6078.4000000000005</v>
      </c>
      <c r="L37" s="15">
        <f>SUM(E$13:E37)</f>
        <v>9019</v>
      </c>
      <c r="M37" s="15">
        <f>SUM(F$13:F37)</f>
        <v>3612</v>
      </c>
      <c r="N37" s="15"/>
      <c r="O37" s="15"/>
    </row>
    <row r="38" spans="1:15" x14ac:dyDescent="0.25">
      <c r="A38" s="12">
        <v>26</v>
      </c>
      <c r="B38" s="12" t="str">
        <f>'ALL LEVELS'!B38</f>
        <v>FRIDAY</v>
      </c>
      <c r="C38" s="18"/>
      <c r="D38" s="18"/>
      <c r="E38" s="18"/>
      <c r="F38" s="18"/>
      <c r="G38" s="14"/>
      <c r="H38" s="14"/>
      <c r="J38" s="15">
        <f>SUM(C$13:C38)</f>
        <v>1890.7703488372094</v>
      </c>
      <c r="K38" s="15">
        <f>SUM(D$13:D38)</f>
        <v>6078.4000000000005</v>
      </c>
      <c r="L38" s="15">
        <f>SUM(E$13:E38)</f>
        <v>9019</v>
      </c>
      <c r="M38" s="15">
        <f>SUM(F$13:F38)</f>
        <v>3612</v>
      </c>
      <c r="N38" s="15"/>
      <c r="O38" s="15"/>
    </row>
    <row r="39" spans="1:15" x14ac:dyDescent="0.25">
      <c r="A39" s="12">
        <v>27</v>
      </c>
      <c r="B39" s="12" t="str">
        <f>'ALL LEVELS'!B39</f>
        <v>SATURDAY</v>
      </c>
      <c r="C39" s="18"/>
      <c r="D39" s="18"/>
      <c r="E39" s="18"/>
      <c r="F39" s="18"/>
      <c r="G39" s="14"/>
      <c r="H39" s="14"/>
      <c r="J39" s="15">
        <f>SUM(C$13:C39)</f>
        <v>1890.7703488372094</v>
      </c>
      <c r="K39" s="15">
        <f>SUM(D$13:D39)</f>
        <v>6078.4000000000005</v>
      </c>
      <c r="L39" s="15">
        <f>SUM(E$13:E39)</f>
        <v>9019</v>
      </c>
      <c r="M39" s="15">
        <f>SUM(F$13:F39)</f>
        <v>3612</v>
      </c>
      <c r="N39" s="15"/>
      <c r="O39" s="15"/>
    </row>
    <row r="40" spans="1:15" x14ac:dyDescent="0.25">
      <c r="A40" s="12">
        <v>28</v>
      </c>
      <c r="B40" s="12" t="str">
        <f>'ALL LEVELS'!B40</f>
        <v>SUNDAY</v>
      </c>
      <c r="C40" s="18"/>
      <c r="D40" s="18"/>
      <c r="E40" s="18"/>
      <c r="F40" s="18"/>
      <c r="G40" s="14"/>
      <c r="H40" s="14"/>
      <c r="J40" s="15">
        <v>0</v>
      </c>
      <c r="K40" s="15">
        <v>0</v>
      </c>
      <c r="L40" s="15">
        <v>0</v>
      </c>
      <c r="M40" s="15">
        <v>0</v>
      </c>
      <c r="N40" s="15"/>
      <c r="O40" s="15"/>
    </row>
    <row r="41" spans="1:15" x14ac:dyDescent="0.25">
      <c r="A41" s="12">
        <v>29</v>
      </c>
      <c r="B41" s="12" t="str">
        <f>'ALL LEVELS'!B41</f>
        <v>MONDAY</v>
      </c>
      <c r="C41" s="18"/>
      <c r="D41" s="18"/>
      <c r="E41" s="18"/>
      <c r="F41" s="18"/>
      <c r="G41" s="14"/>
      <c r="H41" s="14"/>
      <c r="J41" s="15">
        <v>0</v>
      </c>
      <c r="K41" s="15">
        <v>0</v>
      </c>
      <c r="L41" s="15">
        <v>0</v>
      </c>
      <c r="M41" s="15">
        <v>0</v>
      </c>
      <c r="N41" s="15"/>
      <c r="O41" s="15"/>
    </row>
    <row r="42" spans="1:15" x14ac:dyDescent="0.25">
      <c r="A42" s="12">
        <v>30</v>
      </c>
      <c r="B42" s="12" t="str">
        <f>'ALL LEVELS'!B42</f>
        <v>TUESDAY</v>
      </c>
      <c r="C42" s="18"/>
      <c r="D42" s="18"/>
      <c r="E42" s="18"/>
      <c r="F42" s="18"/>
      <c r="G42" s="14"/>
      <c r="H42" s="14"/>
      <c r="J42" s="15">
        <v>0</v>
      </c>
      <c r="K42" s="15">
        <v>0</v>
      </c>
      <c r="L42" s="15">
        <v>0</v>
      </c>
      <c r="M42" s="15">
        <v>0</v>
      </c>
      <c r="N42" s="15"/>
      <c r="O42" s="15"/>
    </row>
    <row r="43" spans="1:15" x14ac:dyDescent="0.25">
      <c r="A43" s="12">
        <f>'ALL LEVELS'!A43</f>
        <v>31</v>
      </c>
      <c r="B43" s="12" t="str">
        <f>'ALL LEVELS'!B43</f>
        <v>WEDNESDAY</v>
      </c>
      <c r="C43" s="18"/>
      <c r="D43" s="18"/>
      <c r="E43" s="18"/>
      <c r="F43" s="18"/>
      <c r="G43" s="14"/>
      <c r="H43" s="14"/>
      <c r="J43" s="15">
        <f>SUM(C$13:C43)</f>
        <v>1890.7703488372094</v>
      </c>
      <c r="K43" s="15">
        <f>SUM(D$13:D43)</f>
        <v>6078.4000000000005</v>
      </c>
      <c r="L43" s="15">
        <f>SUM(E$13:E43)</f>
        <v>9019</v>
      </c>
      <c r="M43" s="15">
        <f>SUM(F$13:F43)</f>
        <v>3612</v>
      </c>
      <c r="N43" s="15"/>
      <c r="O43" s="15"/>
    </row>
    <row r="44" spans="1:15" x14ac:dyDescent="0.25">
      <c r="B44" s="7"/>
      <c r="C44" s="19">
        <f t="shared" ref="C44:H44" si="0">SUBTOTAL(109,C13:C43)</f>
        <v>1890.7703488372094</v>
      </c>
      <c r="D44" s="28">
        <f t="shared" si="0"/>
        <v>6078.4000000000005</v>
      </c>
      <c r="E44" s="19">
        <f t="shared" si="0"/>
        <v>9019</v>
      </c>
      <c r="F44" s="19">
        <f t="shared" si="0"/>
        <v>3612</v>
      </c>
      <c r="G44" s="19">
        <f t="shared" si="0"/>
        <v>0</v>
      </c>
      <c r="H44" s="16">
        <f t="shared" si="0"/>
        <v>0</v>
      </c>
    </row>
    <row r="45" spans="1:15" x14ac:dyDescent="0.25">
      <c r="B45" s="7"/>
    </row>
  </sheetData>
  <mergeCells count="3">
    <mergeCell ref="C3:D3"/>
    <mergeCell ref="E3:F3"/>
    <mergeCell ref="J11:O11"/>
  </mergeCells>
  <conditionalFormatting sqref="B13:B43">
    <cfRule type="containsText" dxfId="3" priority="2" operator="containsText" text="SUNDAY">
      <formula>NOT(ISERROR(SEARCH("SUNDAY",B13)))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O45"/>
  <sheetViews>
    <sheetView zoomScale="115" zoomScaleNormal="115" workbookViewId="0">
      <pane ySplit="10" topLeftCell="A11" activePane="bottomLeft" state="frozen"/>
      <selection pane="bottomLeft" activeCell="C35" sqref="C35"/>
    </sheetView>
  </sheetViews>
  <sheetFormatPr defaultRowHeight="15" x14ac:dyDescent="0.25"/>
  <cols>
    <col min="2" max="2" width="13.5703125" customWidth="1"/>
    <col min="3" max="3" width="14.7109375" bestFit="1" customWidth="1"/>
    <col min="4" max="4" width="11" customWidth="1"/>
    <col min="5" max="5" width="18.42578125" bestFit="1" customWidth="1"/>
    <col min="6" max="6" width="15.5703125" bestFit="1" customWidth="1"/>
    <col min="7" max="8" width="11.85546875" customWidth="1"/>
    <col min="9" max="9" width="5.28515625" customWidth="1"/>
    <col min="10" max="15" width="6.85546875" hidden="1" customWidth="1"/>
    <col min="16" max="16" width="8.42578125" customWidth="1"/>
    <col min="17" max="35" width="5.28515625" customWidth="1"/>
  </cols>
  <sheetData>
    <row r="1" spans="1:15" x14ac:dyDescent="0.25">
      <c r="B1" t="s">
        <v>0</v>
      </c>
      <c r="E1" t="s">
        <v>1</v>
      </c>
      <c r="F1" s="1">
        <f>'ALL LEVELS'!F1</f>
        <v>30</v>
      </c>
      <c r="H1" s="20" t="str">
        <f>'ALL LEVELS'!H1</f>
        <v>Month of JUNE 2026</v>
      </c>
    </row>
    <row r="2" spans="1:15" x14ac:dyDescent="0.25">
      <c r="B2" t="s">
        <v>2</v>
      </c>
      <c r="C2" s="1">
        <f>'ALL LEVELS'!C2</f>
        <v>19</v>
      </c>
      <c r="E2" s="23"/>
      <c r="F2" s="23"/>
    </row>
    <row r="3" spans="1:15" ht="15.75" hidden="1" thickBot="1" x14ac:dyDescent="0.3">
      <c r="C3" s="30" t="s">
        <v>3</v>
      </c>
      <c r="D3" s="30"/>
      <c r="E3" s="31" t="s">
        <v>4</v>
      </c>
      <c r="F3" s="31"/>
    </row>
    <row r="4" spans="1:15" ht="15.75" hidden="1" thickBot="1" x14ac:dyDescent="0.3">
      <c r="B4" s="2" t="s">
        <v>5</v>
      </c>
      <c r="C4" s="3" t="s">
        <v>6</v>
      </c>
      <c r="D4" s="3" t="s">
        <v>7</v>
      </c>
      <c r="E4" s="3" t="s">
        <v>6</v>
      </c>
      <c r="F4" s="3" t="s">
        <v>7</v>
      </c>
    </row>
    <row r="5" spans="1:15" ht="15.75" hidden="1" thickBot="1" x14ac:dyDescent="0.3">
      <c r="B5" s="2" t="s">
        <v>8</v>
      </c>
      <c r="C5" s="4"/>
      <c r="D5" s="4"/>
      <c r="E5" s="4"/>
      <c r="F5" s="4"/>
    </row>
    <row r="6" spans="1:15" ht="15.75" hidden="1" thickBot="1" x14ac:dyDescent="0.3">
      <c r="B6" s="2" t="s">
        <v>9</v>
      </c>
      <c r="C6" s="4"/>
      <c r="D6" s="4"/>
      <c r="E6" s="4"/>
      <c r="F6" s="4"/>
    </row>
    <row r="7" spans="1:15" ht="15.75" hidden="1" thickBot="1" x14ac:dyDescent="0.3">
      <c r="B7" s="2" t="s">
        <v>10</v>
      </c>
      <c r="C7" s="4"/>
      <c r="D7" s="4"/>
      <c r="E7" s="4"/>
      <c r="F7" s="4"/>
      <c r="H7" s="5"/>
    </row>
    <row r="8" spans="1:15" ht="15.75" hidden="1" thickBot="1" x14ac:dyDescent="0.3">
      <c r="B8" s="2" t="s">
        <v>11</v>
      </c>
      <c r="C8" s="6"/>
      <c r="D8" s="6"/>
      <c r="E8" s="6"/>
      <c r="F8" s="6"/>
    </row>
    <row r="9" spans="1:15" ht="15.75" hidden="1" thickBot="1" x14ac:dyDescent="0.3">
      <c r="B9" s="2"/>
      <c r="C9" s="6"/>
      <c r="D9" s="6"/>
      <c r="E9" s="6"/>
      <c r="F9" s="6"/>
    </row>
    <row r="10" spans="1:15" ht="15.75" hidden="1" thickBot="1" x14ac:dyDescent="0.3">
      <c r="B10" s="2" t="s">
        <v>12</v>
      </c>
      <c r="C10" s="4"/>
      <c r="D10" s="6"/>
      <c r="E10" s="4"/>
      <c r="F10" s="6"/>
    </row>
    <row r="11" spans="1:15" ht="15.75" thickBot="1" x14ac:dyDescent="0.3">
      <c r="B11" s="7"/>
      <c r="J11" s="32" t="s">
        <v>4</v>
      </c>
      <c r="K11" s="32"/>
      <c r="L11" s="32"/>
      <c r="M11" s="32"/>
      <c r="N11" s="32"/>
      <c r="O11" s="32"/>
    </row>
    <row r="12" spans="1:15" ht="15.75" thickBot="1" x14ac:dyDescent="0.3">
      <c r="A12" s="8" t="s">
        <v>13</v>
      </c>
      <c r="B12" s="7" t="s">
        <v>14</v>
      </c>
      <c r="C12" s="9" t="s">
        <v>15</v>
      </c>
      <c r="D12" s="9" t="s">
        <v>16</v>
      </c>
      <c r="E12" s="9" t="s">
        <v>17</v>
      </c>
      <c r="F12" s="2" t="s">
        <v>18</v>
      </c>
      <c r="G12" s="10"/>
      <c r="H12" s="11"/>
      <c r="J12" s="9" t="s">
        <v>8</v>
      </c>
      <c r="K12" s="9" t="s">
        <v>9</v>
      </c>
      <c r="L12" s="9" t="s">
        <v>10</v>
      </c>
      <c r="M12" s="2" t="s">
        <v>11</v>
      </c>
      <c r="N12" s="11"/>
      <c r="O12" s="11"/>
    </row>
    <row r="13" spans="1:15" x14ac:dyDescent="0.25">
      <c r="A13" s="12">
        <f>'ALL LEVELS'!A13</f>
        <v>1</v>
      </c>
      <c r="B13" s="12" t="str">
        <f>'ALL LEVELS'!B13</f>
        <v>MONDAY</v>
      </c>
      <c r="C13" s="18">
        <v>34.875</v>
      </c>
      <c r="D13" s="18">
        <v>84</v>
      </c>
      <c r="E13" s="18">
        <v>128</v>
      </c>
      <c r="F13" s="18">
        <v>43</v>
      </c>
      <c r="G13" s="14"/>
      <c r="H13" s="14"/>
      <c r="J13" s="15">
        <f>SUM(C$13:C13)</f>
        <v>34.875</v>
      </c>
      <c r="K13" s="15">
        <f>SUM(D$13:D13)</f>
        <v>84</v>
      </c>
      <c r="L13" s="15">
        <f>SUM(E$13:E13)</f>
        <v>128</v>
      </c>
      <c r="M13" s="15">
        <f>SUM(F$13:F13)</f>
        <v>43</v>
      </c>
      <c r="N13" s="15"/>
      <c r="O13" s="15"/>
    </row>
    <row r="14" spans="1:15" x14ac:dyDescent="0.25">
      <c r="A14" s="12">
        <f>'ALL LEVELS'!A14</f>
        <v>2</v>
      </c>
      <c r="B14" s="12" t="str">
        <f>'ALL LEVELS'!B14</f>
        <v>TUESDAY</v>
      </c>
      <c r="C14" s="18">
        <v>56.125</v>
      </c>
      <c r="D14" s="18">
        <v>100.00000000000001</v>
      </c>
      <c r="E14" s="18">
        <v>179</v>
      </c>
      <c r="F14" s="18">
        <v>58</v>
      </c>
      <c r="G14" s="14"/>
      <c r="H14" s="14"/>
      <c r="J14" s="15">
        <f>SUM(C$13:C14)</f>
        <v>91</v>
      </c>
      <c r="K14" s="15">
        <f>SUM(D$13:D14)</f>
        <v>184</v>
      </c>
      <c r="L14" s="15">
        <f>SUM(E$13:E14)</f>
        <v>307</v>
      </c>
      <c r="M14" s="15">
        <f>SUM(F$13:F14)</f>
        <v>101</v>
      </c>
      <c r="N14" s="15"/>
      <c r="O14" s="15"/>
    </row>
    <row r="15" spans="1:15" x14ac:dyDescent="0.25">
      <c r="A15" s="12">
        <f>'ALL LEVELS'!A15</f>
        <v>3</v>
      </c>
      <c r="B15" s="12" t="str">
        <f>'ALL LEVELS'!B15</f>
        <v>WEDNESDAY</v>
      </c>
      <c r="C15" s="18">
        <v>38</v>
      </c>
      <c r="D15" s="18">
        <v>99.2</v>
      </c>
      <c r="E15" s="18">
        <v>154</v>
      </c>
      <c r="F15" s="18">
        <v>52</v>
      </c>
      <c r="G15" s="14"/>
      <c r="H15" s="14"/>
      <c r="J15" s="15">
        <f>SUM(C$13:C15)</f>
        <v>129</v>
      </c>
      <c r="K15" s="15">
        <f>SUM(D$13:D15)</f>
        <v>283.2</v>
      </c>
      <c r="L15" s="15">
        <f>SUM(E$13:E15)</f>
        <v>461</v>
      </c>
      <c r="M15" s="15">
        <f>SUM(F$13:F15)</f>
        <v>153</v>
      </c>
      <c r="N15" s="15"/>
      <c r="O15" s="15"/>
    </row>
    <row r="16" spans="1:15" x14ac:dyDescent="0.25">
      <c r="A16" s="12">
        <f>'ALL LEVELS'!A16</f>
        <v>4</v>
      </c>
      <c r="B16" s="12" t="str">
        <f>'ALL LEVELS'!B16</f>
        <v>THURSDAY</v>
      </c>
      <c r="C16" s="18">
        <v>62.375</v>
      </c>
      <c r="D16" s="18">
        <v>109.19999999999999</v>
      </c>
      <c r="E16" s="18">
        <v>202</v>
      </c>
      <c r="F16" s="18">
        <v>64</v>
      </c>
      <c r="G16" s="14"/>
      <c r="H16" s="14"/>
      <c r="J16" s="15">
        <f>SUM(C$13:C16)</f>
        <v>191.375</v>
      </c>
      <c r="K16" s="15">
        <f>SUM(D$13:D16)</f>
        <v>392.4</v>
      </c>
      <c r="L16" s="15">
        <f>SUM(E$13:E16)</f>
        <v>663</v>
      </c>
      <c r="M16" s="15">
        <f>SUM(F$13:F16)</f>
        <v>217</v>
      </c>
      <c r="N16" s="15"/>
      <c r="O16" s="15"/>
    </row>
    <row r="17" spans="1:15" x14ac:dyDescent="0.25">
      <c r="A17" s="12">
        <f>'ALL LEVELS'!A17</f>
        <v>5</v>
      </c>
      <c r="B17" s="12" t="str">
        <f>'ALL LEVELS'!B17</f>
        <v>FRIDAY</v>
      </c>
      <c r="C17" s="18">
        <v>65.75</v>
      </c>
      <c r="D17" s="18">
        <v>111.2</v>
      </c>
      <c r="E17" s="18">
        <v>203</v>
      </c>
      <c r="F17" s="18">
        <v>66</v>
      </c>
      <c r="G17" s="14"/>
      <c r="H17" s="14"/>
      <c r="J17" s="15">
        <f>SUM(C$13:C17)</f>
        <v>257.125</v>
      </c>
      <c r="K17" s="15">
        <f>SUM(D$13:D17)</f>
        <v>503.59999999999997</v>
      </c>
      <c r="L17" s="15">
        <f>SUM(E$13:E17)</f>
        <v>866</v>
      </c>
      <c r="M17" s="15">
        <f>SUM(F$13:F17)</f>
        <v>283</v>
      </c>
      <c r="N17" s="15"/>
      <c r="O17" s="15"/>
    </row>
    <row r="18" spans="1:15" x14ac:dyDescent="0.25">
      <c r="A18" s="12">
        <f>'ALL LEVELS'!A18</f>
        <v>6</v>
      </c>
      <c r="B18" s="12" t="str">
        <f>'ALL LEVELS'!B18</f>
        <v>SATURDAY</v>
      </c>
      <c r="C18" s="18">
        <v>80.875</v>
      </c>
      <c r="D18" s="18">
        <v>76</v>
      </c>
      <c r="E18" s="18">
        <v>187</v>
      </c>
      <c r="F18" s="18">
        <v>58</v>
      </c>
      <c r="G18" s="14"/>
      <c r="H18" s="14"/>
      <c r="J18" s="15">
        <f>SUM(C$13:C18)</f>
        <v>338</v>
      </c>
      <c r="K18" s="15">
        <f>SUM(D$13:D18)</f>
        <v>579.59999999999991</v>
      </c>
      <c r="L18" s="15">
        <f>SUM(E$13:E18)</f>
        <v>1053</v>
      </c>
      <c r="M18" s="15">
        <f>SUM(F$13:F18)</f>
        <v>341</v>
      </c>
      <c r="N18" s="15"/>
      <c r="O18" s="15"/>
    </row>
    <row r="19" spans="1:15" x14ac:dyDescent="0.25">
      <c r="A19" s="12">
        <f>'ALL LEVELS'!A19</f>
        <v>7</v>
      </c>
      <c r="B19" s="12" t="str">
        <f>'ALL LEVELS'!B19</f>
        <v>SUNDAY</v>
      </c>
      <c r="C19" s="18">
        <v>70.375</v>
      </c>
      <c r="D19" s="18">
        <v>61.600000000000009</v>
      </c>
      <c r="E19" s="18">
        <v>158</v>
      </c>
      <c r="F19" s="18">
        <v>50</v>
      </c>
      <c r="G19" s="14"/>
      <c r="H19" s="14"/>
      <c r="J19" s="15">
        <f>SUM(C$13:C19)</f>
        <v>408.375</v>
      </c>
      <c r="K19" s="15">
        <f>SUM(D$13:D19)</f>
        <v>641.19999999999993</v>
      </c>
      <c r="L19" s="15">
        <f>SUM(E$13:E19)</f>
        <v>1211</v>
      </c>
      <c r="M19" s="15">
        <f>SUM(F$13:F19)</f>
        <v>391</v>
      </c>
      <c r="N19" s="15"/>
      <c r="O19" s="15"/>
    </row>
    <row r="20" spans="1:15" x14ac:dyDescent="0.25">
      <c r="A20" s="12">
        <f>'ALL LEVELS'!A20</f>
        <v>8</v>
      </c>
      <c r="B20" s="12" t="str">
        <f>'ALL LEVELS'!B20</f>
        <v>MONDAY</v>
      </c>
      <c r="C20" s="18">
        <v>79.5</v>
      </c>
      <c r="D20" s="18">
        <v>107.2</v>
      </c>
      <c r="E20" s="18">
        <v>226</v>
      </c>
      <c r="F20" s="18">
        <v>73</v>
      </c>
      <c r="G20" s="14"/>
      <c r="H20" s="14"/>
      <c r="J20" s="15">
        <f>SUM(C$13:C20)</f>
        <v>487.875</v>
      </c>
      <c r="K20" s="15">
        <f>SUM(D$13:D20)</f>
        <v>748.4</v>
      </c>
      <c r="L20" s="15">
        <f>SUM(E$13:E20)</f>
        <v>1437</v>
      </c>
      <c r="M20" s="15">
        <f>SUM(F$13:F20)</f>
        <v>464</v>
      </c>
      <c r="N20" s="15"/>
      <c r="O20" s="15"/>
    </row>
    <row r="21" spans="1:15" x14ac:dyDescent="0.25">
      <c r="A21" s="12">
        <f>'ALL LEVELS'!A21</f>
        <v>9</v>
      </c>
      <c r="B21" s="12" t="str">
        <f>'ALL LEVELS'!B21</f>
        <v>TUESDAY</v>
      </c>
      <c r="C21" s="18">
        <v>48.375</v>
      </c>
      <c r="D21" s="18">
        <v>102</v>
      </c>
      <c r="E21" s="18">
        <v>177</v>
      </c>
      <c r="F21" s="18">
        <v>57</v>
      </c>
      <c r="G21" s="14"/>
      <c r="H21" s="14"/>
      <c r="J21" s="15">
        <f>SUM(C$13:C21)</f>
        <v>536.25</v>
      </c>
      <c r="K21" s="15">
        <f>SUM(D$13:D21)</f>
        <v>850.4</v>
      </c>
      <c r="L21" s="15">
        <f>SUM(E$13:E21)</f>
        <v>1614</v>
      </c>
      <c r="M21" s="15">
        <f>SUM(F$13:F21)</f>
        <v>521</v>
      </c>
      <c r="N21" s="15"/>
      <c r="O21" s="15"/>
    </row>
    <row r="22" spans="1:15" x14ac:dyDescent="0.25">
      <c r="A22" s="12">
        <f>'ALL LEVELS'!A22</f>
        <v>10</v>
      </c>
      <c r="B22" s="12" t="str">
        <f>'ALL LEVELS'!B22</f>
        <v>WEDNESDAY</v>
      </c>
      <c r="C22" s="18">
        <v>32.75</v>
      </c>
      <c r="D22" s="18">
        <v>32</v>
      </c>
      <c r="E22" s="18">
        <v>77</v>
      </c>
      <c r="F22" s="18">
        <v>24</v>
      </c>
      <c r="G22" s="14"/>
      <c r="H22" s="14"/>
      <c r="J22" s="15">
        <f>SUM(C$13:C22)</f>
        <v>569</v>
      </c>
      <c r="K22" s="15">
        <f>SUM(D$13:D22)</f>
        <v>882.4</v>
      </c>
      <c r="L22" s="15">
        <f>SUM(E$13:E22)</f>
        <v>1691</v>
      </c>
      <c r="M22" s="15">
        <f>SUM(F$13:F22)</f>
        <v>545</v>
      </c>
      <c r="N22" s="15"/>
      <c r="O22" s="15"/>
    </row>
    <row r="23" spans="1:15" x14ac:dyDescent="0.25">
      <c r="A23" s="12">
        <f>'ALL LEVELS'!A23</f>
        <v>11</v>
      </c>
      <c r="B23" s="12" t="str">
        <f>'ALL LEVELS'!B23</f>
        <v>THURSDAY</v>
      </c>
      <c r="C23" s="18">
        <v>39.875</v>
      </c>
      <c r="D23" s="18">
        <v>101.60000000000001</v>
      </c>
      <c r="E23" s="18">
        <v>159</v>
      </c>
      <c r="F23" s="18">
        <v>48</v>
      </c>
      <c r="G23" s="14"/>
      <c r="H23" s="14"/>
      <c r="J23" s="15">
        <f>SUM(C$13:C23)</f>
        <v>608.875</v>
      </c>
      <c r="K23" s="15">
        <f>SUM(D$13:D23)</f>
        <v>984</v>
      </c>
      <c r="L23" s="15">
        <f>SUM(E$13:E23)</f>
        <v>1850</v>
      </c>
      <c r="M23" s="15">
        <f>SUM(F$13:F23)</f>
        <v>593</v>
      </c>
      <c r="N23" s="15"/>
      <c r="O23" s="15"/>
    </row>
    <row r="24" spans="1:15" x14ac:dyDescent="0.25">
      <c r="A24" s="12">
        <f>'ALL LEVELS'!A24</f>
        <v>12</v>
      </c>
      <c r="B24" s="12" t="str">
        <f>'ALL LEVELS'!B24</f>
        <v>FRIDAY</v>
      </c>
      <c r="C24" s="18">
        <v>49.25</v>
      </c>
      <c r="D24" s="18">
        <v>60.800000000000004</v>
      </c>
      <c r="E24" s="18">
        <v>129</v>
      </c>
      <c r="F24" s="18">
        <v>42</v>
      </c>
      <c r="G24" s="14"/>
      <c r="H24" s="14"/>
      <c r="J24" s="15">
        <f>SUM(C$13:C24)</f>
        <v>658.125</v>
      </c>
      <c r="K24" s="15">
        <f>SUM(D$13:D24)</f>
        <v>1044.8</v>
      </c>
      <c r="L24" s="15">
        <f>SUM(E$13:E24)</f>
        <v>1979</v>
      </c>
      <c r="M24" s="15">
        <f>SUM(F$13:F24)</f>
        <v>635</v>
      </c>
      <c r="N24" s="15"/>
      <c r="O24" s="15"/>
    </row>
    <row r="25" spans="1:15" x14ac:dyDescent="0.25">
      <c r="A25" s="12">
        <f>'ALL LEVELS'!A25</f>
        <v>13</v>
      </c>
      <c r="B25" s="12" t="str">
        <f>'ALL LEVELS'!B25</f>
        <v>SATURDAY</v>
      </c>
      <c r="C25" s="18">
        <v>53.375</v>
      </c>
      <c r="D25" s="18">
        <v>96.8</v>
      </c>
      <c r="E25" s="18">
        <v>172</v>
      </c>
      <c r="F25" s="18">
        <v>57</v>
      </c>
      <c r="G25" s="14"/>
      <c r="H25" s="14"/>
      <c r="J25" s="15">
        <f>SUM(C$13:C25)</f>
        <v>711.5</v>
      </c>
      <c r="K25" s="15">
        <f>SUM(D$13:D25)</f>
        <v>1141.5999999999999</v>
      </c>
      <c r="L25" s="15">
        <f>SUM(E$13:E25)</f>
        <v>2151</v>
      </c>
      <c r="M25" s="15">
        <f>SUM(F$13:F25)</f>
        <v>692</v>
      </c>
      <c r="N25" s="15"/>
      <c r="O25" s="15"/>
    </row>
    <row r="26" spans="1:15" x14ac:dyDescent="0.25">
      <c r="A26" s="12">
        <f>'ALL LEVELS'!A26</f>
        <v>14</v>
      </c>
      <c r="B26" s="12" t="str">
        <f>'ALL LEVELS'!B26</f>
        <v>SUNDAY</v>
      </c>
      <c r="C26" s="18">
        <v>36.046511627906973</v>
      </c>
      <c r="D26" s="18">
        <v>66.400000000000006</v>
      </c>
      <c r="E26" s="18">
        <v>130</v>
      </c>
      <c r="F26" s="18">
        <v>40</v>
      </c>
      <c r="G26" s="14"/>
      <c r="H26" s="14"/>
      <c r="J26" s="15">
        <f>SUM(C$13:C26)</f>
        <v>747.54651162790697</v>
      </c>
      <c r="K26" s="15">
        <f>SUM(D$13:D26)</f>
        <v>1208</v>
      </c>
      <c r="L26" s="15">
        <f>SUM(E$13:E26)</f>
        <v>2281</v>
      </c>
      <c r="M26" s="15">
        <f>SUM(F$13:F26)</f>
        <v>732</v>
      </c>
      <c r="N26" s="15"/>
      <c r="O26" s="15"/>
    </row>
    <row r="27" spans="1:15" x14ac:dyDescent="0.25">
      <c r="A27" s="12">
        <f>'ALL LEVELS'!A27</f>
        <v>15</v>
      </c>
      <c r="B27" s="12" t="str">
        <f>'ALL LEVELS'!B27</f>
        <v>MONDAY</v>
      </c>
      <c r="C27" s="18">
        <v>57.558139534883722</v>
      </c>
      <c r="D27" s="18">
        <v>104.80000000000001</v>
      </c>
      <c r="E27" s="18">
        <v>209</v>
      </c>
      <c r="F27" s="18">
        <v>66</v>
      </c>
      <c r="G27" s="14"/>
      <c r="H27" s="14"/>
      <c r="J27" s="15">
        <f>SUM(C$13:C27)</f>
        <v>805.10465116279067</v>
      </c>
      <c r="K27" s="15">
        <f>SUM(D$13:D27)</f>
        <v>1312.8</v>
      </c>
      <c r="L27" s="15">
        <f>SUM(E$13:E27)</f>
        <v>2490</v>
      </c>
      <c r="M27" s="15">
        <f>SUM(F$13:F27)</f>
        <v>798</v>
      </c>
      <c r="N27" s="15"/>
      <c r="O27" s="15"/>
    </row>
    <row r="28" spans="1:15" x14ac:dyDescent="0.25">
      <c r="A28" s="12">
        <f>'ALL LEVELS'!A28</f>
        <v>16</v>
      </c>
      <c r="B28" s="12" t="str">
        <f>'ALL LEVELS'!B28</f>
        <v>TUESDAY</v>
      </c>
      <c r="C28" s="18">
        <v>40.813953488372093</v>
      </c>
      <c r="D28" s="18">
        <v>72.800000000000011</v>
      </c>
      <c r="E28" s="18">
        <v>136</v>
      </c>
      <c r="F28" s="18">
        <v>42</v>
      </c>
      <c r="G28" s="14"/>
      <c r="H28" s="14"/>
      <c r="J28" s="15">
        <f>SUM(C$13:C28)</f>
        <v>845.91860465116281</v>
      </c>
      <c r="K28" s="15">
        <f>SUM(D$13:D28)</f>
        <v>1385.6</v>
      </c>
      <c r="L28" s="15">
        <f>SUM(E$13:E28)</f>
        <v>2626</v>
      </c>
      <c r="M28" s="15">
        <f>SUM(F$13:F28)</f>
        <v>840</v>
      </c>
      <c r="N28" s="15"/>
      <c r="O28" s="15"/>
    </row>
    <row r="29" spans="1:15" x14ac:dyDescent="0.25">
      <c r="A29" s="12">
        <f>'ALL LEVELS'!A29</f>
        <v>17</v>
      </c>
      <c r="B29" s="12" t="str">
        <f>'ALL LEVELS'!B29</f>
        <v>WEDNESDAY</v>
      </c>
      <c r="C29" s="18">
        <v>62.261627906976742</v>
      </c>
      <c r="D29" s="18">
        <v>75.2</v>
      </c>
      <c r="E29" s="18">
        <v>163</v>
      </c>
      <c r="F29" s="18">
        <v>50</v>
      </c>
      <c r="G29" s="14"/>
      <c r="H29" s="14"/>
      <c r="J29" s="15"/>
      <c r="K29" s="15"/>
      <c r="L29" s="15"/>
      <c r="M29" s="15"/>
      <c r="N29" s="15"/>
      <c r="O29" s="15"/>
    </row>
    <row r="30" spans="1:15" x14ac:dyDescent="0.25">
      <c r="A30" s="12">
        <f>'ALL LEVELS'!A30</f>
        <v>18</v>
      </c>
      <c r="B30" s="12" t="str">
        <f>'ALL LEVELS'!B30</f>
        <v>THURSDAY</v>
      </c>
      <c r="C30" s="18">
        <v>77.20930232558139</v>
      </c>
      <c r="D30" s="18">
        <v>65.599999999999994</v>
      </c>
      <c r="E30" s="18">
        <v>179</v>
      </c>
      <c r="F30" s="18">
        <v>57</v>
      </c>
      <c r="G30" s="14"/>
      <c r="H30" s="14"/>
      <c r="J30" s="15">
        <f>SUM(C$13:C30)</f>
        <v>985.3895348837209</v>
      </c>
      <c r="K30" s="15">
        <f>SUM(D$13:D30)</f>
        <v>1526.3999999999999</v>
      </c>
      <c r="L30" s="15">
        <f>SUM(E$13:E30)</f>
        <v>2968</v>
      </c>
      <c r="M30" s="15">
        <f>SUM(F$13:F30)</f>
        <v>947</v>
      </c>
      <c r="N30" s="15"/>
      <c r="O30" s="15"/>
    </row>
    <row r="31" spans="1:15" x14ac:dyDescent="0.25">
      <c r="A31" s="12">
        <f>'ALL LEVELS'!A31</f>
        <v>19</v>
      </c>
      <c r="B31" s="12" t="str">
        <f>'ALL LEVELS'!B31</f>
        <v>FRIDAY</v>
      </c>
      <c r="C31" s="18">
        <v>61.279069767441861</v>
      </c>
      <c r="D31" s="18">
        <v>106.20000000000002</v>
      </c>
      <c r="E31" s="18">
        <v>209</v>
      </c>
      <c r="F31" s="18">
        <v>65</v>
      </c>
      <c r="G31" s="14"/>
      <c r="H31" s="14"/>
      <c r="J31" s="15">
        <f>SUM(C$13:C31)</f>
        <v>1046.6686046511627</v>
      </c>
      <c r="K31" s="15">
        <f>SUM(D$13:D31)</f>
        <v>1632.6</v>
      </c>
      <c r="L31" s="15">
        <f>SUM(E$13:E31)</f>
        <v>3177</v>
      </c>
      <c r="M31" s="15">
        <f>SUM(F$13:F31)</f>
        <v>1012</v>
      </c>
      <c r="N31" s="15"/>
      <c r="O31" s="15"/>
    </row>
    <row r="32" spans="1:15" x14ac:dyDescent="0.25">
      <c r="A32" s="12">
        <f>'ALL LEVELS'!A32</f>
        <v>20</v>
      </c>
      <c r="B32" s="12" t="str">
        <f>'ALL LEVELS'!B32</f>
        <v>SATURDAY</v>
      </c>
      <c r="C32" s="18"/>
      <c r="D32" s="18"/>
      <c r="E32" s="18"/>
      <c r="F32" s="18"/>
      <c r="G32" s="14"/>
      <c r="H32" s="14"/>
      <c r="J32" s="15">
        <f>SUM(C$13:C32)</f>
        <v>1046.6686046511627</v>
      </c>
      <c r="K32" s="15">
        <f>SUM(D$13:D32)</f>
        <v>1632.6</v>
      </c>
      <c r="L32" s="15">
        <f>SUM(E$13:E32)</f>
        <v>3177</v>
      </c>
      <c r="M32" s="15">
        <f>SUM(F$13:F32)</f>
        <v>1012</v>
      </c>
      <c r="N32" s="15"/>
      <c r="O32" s="15"/>
    </row>
    <row r="33" spans="1:15" x14ac:dyDescent="0.25">
      <c r="A33" s="12">
        <f>'ALL LEVELS'!A33</f>
        <v>21</v>
      </c>
      <c r="B33" s="12" t="str">
        <f>'ALL LEVELS'!B33</f>
        <v>SUNDAY</v>
      </c>
      <c r="C33" s="18"/>
      <c r="D33" s="18"/>
      <c r="E33" s="18"/>
      <c r="F33" s="18"/>
      <c r="G33" s="14"/>
      <c r="H33" s="14"/>
      <c r="J33" s="15">
        <f>SUM(C$13:C33)</f>
        <v>1046.6686046511627</v>
      </c>
      <c r="K33" s="15">
        <f>SUM(D$13:D33)</f>
        <v>1632.6</v>
      </c>
      <c r="L33" s="15">
        <f>SUM(E$13:E33)</f>
        <v>3177</v>
      </c>
      <c r="M33" s="15">
        <f>SUM(F$13:F33)</f>
        <v>1012</v>
      </c>
      <c r="N33" s="15"/>
      <c r="O33" s="15"/>
    </row>
    <row r="34" spans="1:15" x14ac:dyDescent="0.25">
      <c r="A34" s="12">
        <f>'ALL LEVELS'!A34</f>
        <v>22</v>
      </c>
      <c r="B34" s="12" t="str">
        <f>'ALL LEVELS'!B34</f>
        <v>MONDAY</v>
      </c>
      <c r="C34" s="18"/>
      <c r="D34" s="18"/>
      <c r="E34" s="18"/>
      <c r="F34" s="18"/>
      <c r="G34" s="14"/>
      <c r="H34" s="14"/>
      <c r="J34" s="15">
        <f>SUM(C$13:C34)</f>
        <v>1046.6686046511627</v>
      </c>
      <c r="K34" s="15">
        <f>SUM(D$13:D34)</f>
        <v>1632.6</v>
      </c>
      <c r="L34" s="15">
        <f>SUM(E$13:E34)</f>
        <v>3177</v>
      </c>
      <c r="M34" s="15">
        <f>SUM(F$13:F34)</f>
        <v>1012</v>
      </c>
      <c r="N34" s="15"/>
      <c r="O34" s="15"/>
    </row>
    <row r="35" spans="1:15" x14ac:dyDescent="0.25">
      <c r="A35" s="12">
        <f>'ALL LEVELS'!A35</f>
        <v>23</v>
      </c>
      <c r="B35" s="12" t="str">
        <f>'ALL LEVELS'!B35</f>
        <v>TUESDAY</v>
      </c>
      <c r="C35" s="18"/>
      <c r="D35" s="18"/>
      <c r="E35" s="18"/>
      <c r="F35" s="18"/>
      <c r="G35" s="14"/>
      <c r="H35" s="14"/>
      <c r="J35" s="15">
        <f>SUM(C$13:C35)</f>
        <v>1046.6686046511627</v>
      </c>
      <c r="K35" s="15">
        <f>SUM(D$13:D35)</f>
        <v>1632.6</v>
      </c>
      <c r="L35" s="15">
        <f>SUM(E$13:E35)</f>
        <v>3177</v>
      </c>
      <c r="M35" s="15">
        <f>SUM(F$13:F35)</f>
        <v>1012</v>
      </c>
      <c r="N35" s="15"/>
      <c r="O35" s="15"/>
    </row>
    <row r="36" spans="1:15" x14ac:dyDescent="0.25">
      <c r="A36" s="12">
        <f>'ALL LEVELS'!A36</f>
        <v>24</v>
      </c>
      <c r="B36" s="12" t="str">
        <f>'ALL LEVELS'!B36</f>
        <v>WEDNESDAY</v>
      </c>
      <c r="C36" s="18"/>
      <c r="D36" s="18"/>
      <c r="E36" s="18"/>
      <c r="F36" s="18"/>
      <c r="G36" s="14"/>
      <c r="H36" s="14"/>
      <c r="J36" s="15">
        <f>SUM(C$13:C36)</f>
        <v>1046.6686046511627</v>
      </c>
      <c r="K36" s="15">
        <f>SUM(D$13:D36)</f>
        <v>1632.6</v>
      </c>
      <c r="L36" s="15">
        <f>SUM(E$13:E36)</f>
        <v>3177</v>
      </c>
      <c r="M36" s="15">
        <f>SUM(F$13:F36)</f>
        <v>1012</v>
      </c>
      <c r="N36" s="15"/>
      <c r="O36" s="15"/>
    </row>
    <row r="37" spans="1:15" x14ac:dyDescent="0.25">
      <c r="A37" s="12">
        <f>'ALL LEVELS'!A37</f>
        <v>25</v>
      </c>
      <c r="B37" s="12" t="str">
        <f>'ALL LEVELS'!B37</f>
        <v>THURSDAY</v>
      </c>
      <c r="C37" s="18"/>
      <c r="D37" s="18"/>
      <c r="E37" s="18"/>
      <c r="F37" s="18"/>
      <c r="G37" s="14"/>
      <c r="H37" s="14"/>
      <c r="J37" s="15">
        <f>SUM(C$13:C37)</f>
        <v>1046.6686046511627</v>
      </c>
      <c r="K37" s="15">
        <f>SUM(D$13:D37)</f>
        <v>1632.6</v>
      </c>
      <c r="L37" s="15">
        <f>SUM(E$13:E37)</f>
        <v>3177</v>
      </c>
      <c r="M37" s="15">
        <f>SUM(F$13:F37)</f>
        <v>1012</v>
      </c>
      <c r="N37" s="15"/>
      <c r="O37" s="15"/>
    </row>
    <row r="38" spans="1:15" x14ac:dyDescent="0.25">
      <c r="A38" s="12">
        <f>'ALL LEVELS'!A38</f>
        <v>26</v>
      </c>
      <c r="B38" s="12" t="str">
        <f>'ALL LEVELS'!B38</f>
        <v>FRIDAY</v>
      </c>
      <c r="C38" s="18"/>
      <c r="D38" s="18"/>
      <c r="E38" s="18"/>
      <c r="F38" s="18"/>
      <c r="G38" s="14"/>
      <c r="H38" s="14"/>
      <c r="J38" s="15">
        <f>SUM(C$13:C38)</f>
        <v>1046.6686046511627</v>
      </c>
      <c r="K38" s="15">
        <f>SUM(D$13:D38)</f>
        <v>1632.6</v>
      </c>
      <c r="L38" s="15">
        <f>SUM(E$13:E38)</f>
        <v>3177</v>
      </c>
      <c r="M38" s="15">
        <f>SUM(F$13:F38)</f>
        <v>1012</v>
      </c>
      <c r="N38" s="15"/>
      <c r="O38" s="15"/>
    </row>
    <row r="39" spans="1:15" x14ac:dyDescent="0.25">
      <c r="A39" s="12">
        <f>'ALL LEVELS'!A39</f>
        <v>27</v>
      </c>
      <c r="B39" s="12" t="str">
        <f>'ALL LEVELS'!B39</f>
        <v>SATURDAY</v>
      </c>
      <c r="C39" s="18"/>
      <c r="D39" s="18"/>
      <c r="E39" s="18"/>
      <c r="F39" s="18"/>
      <c r="G39" s="14"/>
      <c r="H39" s="14"/>
      <c r="J39" s="15">
        <f>SUM(C$13:C39)</f>
        <v>1046.6686046511627</v>
      </c>
      <c r="K39" s="15">
        <f>SUM(D$13:D39)</f>
        <v>1632.6</v>
      </c>
      <c r="L39" s="15">
        <f>SUM(E$13:E39)</f>
        <v>3177</v>
      </c>
      <c r="M39" s="15">
        <f>SUM(F$13:F39)</f>
        <v>1012</v>
      </c>
      <c r="N39" s="15"/>
      <c r="O39" s="15"/>
    </row>
    <row r="40" spans="1:15" x14ac:dyDescent="0.25">
      <c r="A40" s="12">
        <f>'ALL LEVELS'!A40</f>
        <v>28</v>
      </c>
      <c r="B40" s="12" t="str">
        <f>'ALL LEVELS'!B40</f>
        <v>SUNDAY</v>
      </c>
      <c r="C40" s="18"/>
      <c r="D40" s="18"/>
      <c r="E40" s="18"/>
      <c r="F40" s="18"/>
      <c r="G40" s="14"/>
      <c r="H40" s="14"/>
      <c r="J40" s="15">
        <f>SUM(C$13:C40)</f>
        <v>1046.6686046511627</v>
      </c>
      <c r="K40" s="15">
        <f>SUM(D$13:D40)</f>
        <v>1632.6</v>
      </c>
      <c r="L40" s="15">
        <f>SUM(E$13:E40)</f>
        <v>3177</v>
      </c>
      <c r="M40" s="15">
        <f>SUM(F$13:F40)</f>
        <v>1012</v>
      </c>
      <c r="N40" s="15"/>
      <c r="O40" s="15"/>
    </row>
    <row r="41" spans="1:15" x14ac:dyDescent="0.25">
      <c r="A41" s="12">
        <f>'ALL LEVELS'!A41</f>
        <v>29</v>
      </c>
      <c r="B41" s="12" t="str">
        <f>'ALL LEVELS'!B41</f>
        <v>MONDAY</v>
      </c>
      <c r="C41" s="18"/>
      <c r="D41" s="18"/>
      <c r="E41" s="18"/>
      <c r="F41" s="18"/>
      <c r="G41" s="14"/>
      <c r="H41" s="14"/>
      <c r="J41" s="15"/>
      <c r="K41" s="15"/>
      <c r="L41" s="15"/>
      <c r="M41" s="15"/>
      <c r="N41" s="15"/>
      <c r="O41" s="15"/>
    </row>
    <row r="42" spans="1:15" x14ac:dyDescent="0.25">
      <c r="A42" s="12">
        <f>'ALL LEVELS'!A42</f>
        <v>30</v>
      </c>
      <c r="B42" s="12" t="str">
        <f>'ALL LEVELS'!B42</f>
        <v>TUESDAY</v>
      </c>
      <c r="C42" s="18"/>
      <c r="D42" s="18"/>
      <c r="E42" s="18"/>
      <c r="F42" s="18"/>
      <c r="G42" s="14"/>
      <c r="H42" s="14"/>
      <c r="J42" s="15">
        <f>SUM(C$13:C42)</f>
        <v>1046.6686046511627</v>
      </c>
      <c r="K42" s="15">
        <f>SUM(D$13:D42)</f>
        <v>1632.6</v>
      </c>
      <c r="L42" s="15">
        <f>SUM(E$13:E42)</f>
        <v>3177</v>
      </c>
      <c r="M42" s="15">
        <f>SUM(F$13:F42)</f>
        <v>1012</v>
      </c>
      <c r="N42" s="15"/>
      <c r="O42" s="15"/>
    </row>
    <row r="43" spans="1:15" x14ac:dyDescent="0.25">
      <c r="A43" s="12">
        <f>'ALL LEVELS'!A43</f>
        <v>31</v>
      </c>
      <c r="B43" s="12" t="str">
        <f>'ALL LEVELS'!B43</f>
        <v>WEDNESDAY</v>
      </c>
      <c r="C43" s="18"/>
      <c r="D43" s="18"/>
      <c r="E43" s="18"/>
      <c r="F43" s="18"/>
      <c r="G43" s="14"/>
      <c r="H43" s="14"/>
      <c r="J43" s="15">
        <f>SUM(C$13:C43)</f>
        <v>1046.6686046511627</v>
      </c>
      <c r="K43" s="15">
        <f>SUM(D$13:D43)</f>
        <v>1632.6</v>
      </c>
      <c r="L43" s="15">
        <f>SUM(E$13:E43)</f>
        <v>3177</v>
      </c>
      <c r="M43" s="15">
        <f>SUM(F$13:F43)</f>
        <v>1012</v>
      </c>
      <c r="N43" s="15"/>
      <c r="O43" s="15"/>
    </row>
    <row r="44" spans="1:15" x14ac:dyDescent="0.25">
      <c r="B44" s="7"/>
      <c r="C44" s="19">
        <f t="shared" ref="C44:H44" si="0">SUBTOTAL(109,C13:C43)</f>
        <v>1046.6686046511627</v>
      </c>
      <c r="D44" s="28">
        <f t="shared" si="0"/>
        <v>1632.6</v>
      </c>
      <c r="E44" s="19">
        <f t="shared" si="0"/>
        <v>3177</v>
      </c>
      <c r="F44" s="19">
        <f t="shared" si="0"/>
        <v>1012</v>
      </c>
      <c r="G44" s="19">
        <f t="shared" si="0"/>
        <v>0</v>
      </c>
      <c r="H44" s="16">
        <f t="shared" si="0"/>
        <v>0</v>
      </c>
    </row>
    <row r="45" spans="1:15" x14ac:dyDescent="0.25">
      <c r="B45" s="7"/>
    </row>
  </sheetData>
  <mergeCells count="3">
    <mergeCell ref="C3:D3"/>
    <mergeCell ref="E3:F3"/>
    <mergeCell ref="J11:O11"/>
  </mergeCells>
  <conditionalFormatting sqref="B13:B43">
    <cfRule type="containsText" dxfId="2" priority="2" operator="containsText" text="SUNDAY">
      <formula>NOT(ISERROR(SEARCH("SUNDAY",B13)))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O45"/>
  <sheetViews>
    <sheetView zoomScale="115" zoomScaleNormal="115" workbookViewId="0">
      <pane ySplit="10" topLeftCell="A20" activePane="bottomLeft" state="frozen"/>
      <selection pane="bottomLeft" activeCell="C45" sqref="C45"/>
    </sheetView>
  </sheetViews>
  <sheetFormatPr defaultRowHeight="15" x14ac:dyDescent="0.25"/>
  <cols>
    <col min="2" max="2" width="13.5703125" customWidth="1"/>
    <col min="3" max="3" width="14.7109375" bestFit="1" customWidth="1"/>
    <col min="4" max="4" width="10.42578125" bestFit="1" customWidth="1"/>
    <col min="5" max="5" width="18.42578125" bestFit="1" customWidth="1"/>
    <col min="6" max="6" width="15.5703125" bestFit="1" customWidth="1"/>
    <col min="7" max="8" width="11.85546875" customWidth="1"/>
    <col min="9" max="9" width="5.28515625" customWidth="1"/>
    <col min="10" max="15" width="6.85546875" hidden="1" customWidth="1"/>
    <col min="16" max="16" width="8.42578125" customWidth="1"/>
    <col min="17" max="35" width="5.28515625" customWidth="1"/>
  </cols>
  <sheetData>
    <row r="1" spans="1:15" x14ac:dyDescent="0.25">
      <c r="B1" t="s">
        <v>0</v>
      </c>
      <c r="E1" t="s">
        <v>1</v>
      </c>
      <c r="F1" s="1">
        <f>'ALL LEVELS'!F1</f>
        <v>30</v>
      </c>
      <c r="H1" s="20" t="str">
        <f>'ALL LEVELS'!H1</f>
        <v>Month of JUNE 2026</v>
      </c>
    </row>
    <row r="2" spans="1:15" x14ac:dyDescent="0.25">
      <c r="B2" t="s">
        <v>2</v>
      </c>
      <c r="C2" s="1">
        <f>'ALL LEVELS'!C2</f>
        <v>19</v>
      </c>
      <c r="E2" s="23"/>
      <c r="F2" s="23"/>
    </row>
    <row r="3" spans="1:15" ht="15.75" hidden="1" thickBot="1" x14ac:dyDescent="0.3">
      <c r="C3" s="30" t="s">
        <v>3</v>
      </c>
      <c r="D3" s="30"/>
      <c r="E3" s="31" t="s">
        <v>4</v>
      </c>
      <c r="F3" s="31"/>
    </row>
    <row r="4" spans="1:15" ht="15.75" hidden="1" thickBot="1" x14ac:dyDescent="0.3">
      <c r="B4" s="2" t="s">
        <v>5</v>
      </c>
      <c r="C4" s="3" t="s">
        <v>6</v>
      </c>
      <c r="D4" s="3" t="s">
        <v>7</v>
      </c>
      <c r="E4" s="3" t="s">
        <v>6</v>
      </c>
      <c r="F4" s="3" t="s">
        <v>7</v>
      </c>
    </row>
    <row r="5" spans="1:15" ht="15.75" hidden="1" thickBot="1" x14ac:dyDescent="0.3">
      <c r="B5" s="2" t="s">
        <v>8</v>
      </c>
      <c r="C5" s="4"/>
      <c r="D5" s="4"/>
      <c r="E5" s="4"/>
      <c r="F5" s="4"/>
    </row>
    <row r="6" spans="1:15" ht="15.75" hidden="1" thickBot="1" x14ac:dyDescent="0.3">
      <c r="B6" s="2" t="s">
        <v>9</v>
      </c>
      <c r="C6" s="4"/>
      <c r="D6" s="4"/>
      <c r="E6" s="4"/>
      <c r="F6" s="4"/>
    </row>
    <row r="7" spans="1:15" ht="15.75" hidden="1" thickBot="1" x14ac:dyDescent="0.3">
      <c r="B7" s="2" t="s">
        <v>10</v>
      </c>
      <c r="C7" s="4"/>
      <c r="D7" s="4"/>
      <c r="E7" s="4"/>
      <c r="F7" s="4"/>
      <c r="H7" s="5"/>
    </row>
    <row r="8" spans="1:15" ht="15.75" hidden="1" thickBot="1" x14ac:dyDescent="0.3">
      <c r="B8" s="2" t="s">
        <v>11</v>
      </c>
      <c r="C8" s="6"/>
      <c r="D8" s="6"/>
      <c r="E8" s="6"/>
      <c r="F8" s="6"/>
    </row>
    <row r="9" spans="1:15" ht="15.75" hidden="1" thickBot="1" x14ac:dyDescent="0.3">
      <c r="B9" s="2"/>
      <c r="C9" s="6"/>
      <c r="D9" s="6"/>
      <c r="E9" s="6"/>
      <c r="F9" s="6"/>
    </row>
    <row r="10" spans="1:15" ht="15.75" hidden="1" thickBot="1" x14ac:dyDescent="0.3">
      <c r="B10" s="2" t="s">
        <v>12</v>
      </c>
      <c r="C10" s="4"/>
      <c r="D10" s="6"/>
      <c r="E10" s="4"/>
      <c r="F10" s="6"/>
    </row>
    <row r="11" spans="1:15" ht="15.75" thickBot="1" x14ac:dyDescent="0.3">
      <c r="B11" s="7"/>
      <c r="J11" s="32" t="s">
        <v>4</v>
      </c>
      <c r="K11" s="32"/>
      <c r="L11" s="32"/>
      <c r="M11" s="32"/>
      <c r="N11" s="32"/>
      <c r="O11" s="32"/>
    </row>
    <row r="12" spans="1:15" ht="15.75" thickBot="1" x14ac:dyDescent="0.3">
      <c r="A12" s="8" t="s">
        <v>13</v>
      </c>
      <c r="B12" s="7" t="s">
        <v>14</v>
      </c>
      <c r="C12" s="9" t="s">
        <v>15</v>
      </c>
      <c r="D12" s="9" t="s">
        <v>16</v>
      </c>
      <c r="E12" s="9" t="s">
        <v>17</v>
      </c>
      <c r="F12" s="2" t="s">
        <v>18</v>
      </c>
      <c r="G12" s="10"/>
      <c r="H12" s="11"/>
      <c r="J12" s="9" t="s">
        <v>8</v>
      </c>
      <c r="K12" s="9" t="s">
        <v>9</v>
      </c>
      <c r="L12" s="9" t="s">
        <v>10</v>
      </c>
      <c r="M12" s="2" t="s">
        <v>11</v>
      </c>
      <c r="N12" s="11"/>
      <c r="O12" s="11"/>
    </row>
    <row r="13" spans="1:15" x14ac:dyDescent="0.25">
      <c r="A13" s="12">
        <f>'ALL LEVELS'!A13</f>
        <v>1</v>
      </c>
      <c r="B13" s="12" t="str">
        <f>'ALL LEVELS'!B13</f>
        <v>MONDAY</v>
      </c>
      <c r="C13" s="18"/>
      <c r="D13" s="18"/>
      <c r="E13" s="18"/>
      <c r="F13" s="18"/>
      <c r="G13" s="14"/>
      <c r="H13" s="14"/>
      <c r="J13" s="15">
        <f>SUM(C$13:C13)</f>
        <v>0</v>
      </c>
      <c r="K13" s="15">
        <f>SUM(D$13:D13)</f>
        <v>0</v>
      </c>
      <c r="L13" s="15">
        <f>SUM(E$13:E13)</f>
        <v>0</v>
      </c>
      <c r="M13" s="15">
        <f>SUM(F$13:F13)</f>
        <v>0</v>
      </c>
      <c r="N13" s="15"/>
      <c r="O13" s="15"/>
    </row>
    <row r="14" spans="1:15" x14ac:dyDescent="0.25">
      <c r="A14" s="12">
        <f>'ALL LEVELS'!A14</f>
        <v>2</v>
      </c>
      <c r="B14" s="12" t="str">
        <f>'ALL LEVELS'!B14</f>
        <v>TUESDAY</v>
      </c>
      <c r="C14" s="18"/>
      <c r="D14" s="18"/>
      <c r="E14" s="18"/>
      <c r="F14" s="18"/>
      <c r="G14" s="14"/>
      <c r="H14" s="14"/>
      <c r="J14" s="15">
        <f>SUM(C$13:C14)</f>
        <v>0</v>
      </c>
      <c r="K14" s="15">
        <f>SUM(D$13:D14)</f>
        <v>0</v>
      </c>
      <c r="L14" s="15">
        <f>SUM(E$13:E14)</f>
        <v>0</v>
      </c>
      <c r="M14" s="15">
        <f>SUM(F$13:F14)</f>
        <v>0</v>
      </c>
      <c r="N14" s="15"/>
      <c r="O14" s="15"/>
    </row>
    <row r="15" spans="1:15" x14ac:dyDescent="0.25">
      <c r="A15" s="12">
        <f>'ALL LEVELS'!A15</f>
        <v>3</v>
      </c>
      <c r="B15" s="12" t="str">
        <f>'ALL LEVELS'!B15</f>
        <v>WEDNESDAY</v>
      </c>
      <c r="C15" s="18"/>
      <c r="D15" s="18"/>
      <c r="E15" s="18"/>
      <c r="F15" s="18"/>
      <c r="G15" s="14"/>
      <c r="H15" s="14"/>
      <c r="J15" s="15">
        <f>SUM(C$13:C15)</f>
        <v>0</v>
      </c>
      <c r="K15" s="15">
        <f>SUM(D$13:D15)</f>
        <v>0</v>
      </c>
      <c r="L15" s="15">
        <f>SUM(E$13:E15)</f>
        <v>0</v>
      </c>
      <c r="M15" s="15">
        <f>SUM(F$13:F15)</f>
        <v>0</v>
      </c>
      <c r="N15" s="15"/>
      <c r="O15" s="15"/>
    </row>
    <row r="16" spans="1:15" x14ac:dyDescent="0.25">
      <c r="A16" s="12">
        <f>'ALL LEVELS'!A16</f>
        <v>4</v>
      </c>
      <c r="B16" s="12" t="str">
        <f>'ALL LEVELS'!B16</f>
        <v>THURSDAY</v>
      </c>
      <c r="C16" s="18"/>
      <c r="D16" s="18"/>
      <c r="E16" s="18"/>
      <c r="F16" s="18"/>
      <c r="G16" s="14"/>
      <c r="H16" s="14"/>
      <c r="J16" s="15">
        <f>SUM(C$13:C16)</f>
        <v>0</v>
      </c>
      <c r="K16" s="15">
        <f>SUM(D$13:D16)</f>
        <v>0</v>
      </c>
      <c r="L16" s="15">
        <f>SUM(E$13:E16)</f>
        <v>0</v>
      </c>
      <c r="M16" s="15">
        <f>SUM(F$13:F16)</f>
        <v>0</v>
      </c>
      <c r="N16" s="15"/>
      <c r="O16" s="15"/>
    </row>
    <row r="17" spans="1:15" x14ac:dyDescent="0.25">
      <c r="A17" s="12">
        <f>'ALL LEVELS'!A17</f>
        <v>5</v>
      </c>
      <c r="B17" s="12" t="str">
        <f>'ALL LEVELS'!B17</f>
        <v>FRIDAY</v>
      </c>
      <c r="C17" s="18"/>
      <c r="D17" s="18"/>
      <c r="E17" s="18"/>
      <c r="F17" s="18"/>
      <c r="G17" s="14"/>
      <c r="H17" s="14"/>
      <c r="J17" s="15">
        <f>SUM(C$13:C17)</f>
        <v>0</v>
      </c>
      <c r="K17" s="15">
        <f>SUM(D$13:D17)</f>
        <v>0</v>
      </c>
      <c r="L17" s="15">
        <f>SUM(E$13:E17)</f>
        <v>0</v>
      </c>
      <c r="M17" s="15">
        <f>SUM(F$13:F17)</f>
        <v>0</v>
      </c>
      <c r="N17" s="15"/>
      <c r="O17" s="15"/>
    </row>
    <row r="18" spans="1:15" x14ac:dyDescent="0.25">
      <c r="A18" s="12">
        <f>'ALL LEVELS'!A18</f>
        <v>6</v>
      </c>
      <c r="B18" s="12" t="str">
        <f>'ALL LEVELS'!B18</f>
        <v>SATURDAY</v>
      </c>
      <c r="C18" s="18"/>
      <c r="D18" s="18"/>
      <c r="E18" s="18"/>
      <c r="F18" s="18"/>
      <c r="G18" s="14"/>
      <c r="H18" s="14"/>
      <c r="J18" s="15">
        <f>SUM(C$13:C18)</f>
        <v>0</v>
      </c>
      <c r="K18" s="15">
        <f>SUM(D$13:D18)</f>
        <v>0</v>
      </c>
      <c r="L18" s="15">
        <f>SUM(E$13:E18)</f>
        <v>0</v>
      </c>
      <c r="M18" s="15">
        <f>SUM(F$13:F18)</f>
        <v>0</v>
      </c>
      <c r="N18" s="15"/>
      <c r="O18" s="15"/>
    </row>
    <row r="19" spans="1:15" x14ac:dyDescent="0.25">
      <c r="A19" s="12">
        <f>'ALL LEVELS'!A19</f>
        <v>7</v>
      </c>
      <c r="B19" s="12" t="str">
        <f>'ALL LEVELS'!B19</f>
        <v>SUNDAY</v>
      </c>
      <c r="C19" s="18"/>
      <c r="D19" s="18"/>
      <c r="E19" s="18"/>
      <c r="F19" s="18"/>
      <c r="G19" s="14"/>
      <c r="H19" s="14"/>
      <c r="J19" s="15">
        <f>SUM(C$13:C19)</f>
        <v>0</v>
      </c>
      <c r="K19" s="15">
        <f>SUM(D$13:D19)</f>
        <v>0</v>
      </c>
      <c r="L19" s="15">
        <f>SUM(E$13:E19)</f>
        <v>0</v>
      </c>
      <c r="M19" s="15">
        <f>SUM(F$13:F19)</f>
        <v>0</v>
      </c>
      <c r="N19" s="15"/>
      <c r="O19" s="15"/>
    </row>
    <row r="20" spans="1:15" x14ac:dyDescent="0.25">
      <c r="A20" s="12">
        <f>'ALL LEVELS'!A20</f>
        <v>8</v>
      </c>
      <c r="B20" s="12" t="str">
        <f>'ALL LEVELS'!B20</f>
        <v>MONDAY</v>
      </c>
      <c r="C20" s="18"/>
      <c r="D20" s="18"/>
      <c r="E20" s="18"/>
      <c r="F20" s="18"/>
      <c r="G20" s="14"/>
      <c r="H20" s="14"/>
      <c r="J20" s="15">
        <f>SUM(C$13:C20)</f>
        <v>0</v>
      </c>
      <c r="K20" s="15">
        <f>SUM(D$13:D20)</f>
        <v>0</v>
      </c>
      <c r="L20" s="15">
        <f>SUM(E$13:E20)</f>
        <v>0</v>
      </c>
      <c r="M20" s="15">
        <f>SUM(F$13:F20)</f>
        <v>0</v>
      </c>
      <c r="N20" s="15"/>
      <c r="O20" s="15"/>
    </row>
    <row r="21" spans="1:15" x14ac:dyDescent="0.25">
      <c r="A21" s="12">
        <f>'ALL LEVELS'!A21</f>
        <v>9</v>
      </c>
      <c r="B21" s="12" t="str">
        <f>'ALL LEVELS'!B21</f>
        <v>TUESDAY</v>
      </c>
      <c r="C21" s="18"/>
      <c r="D21" s="18"/>
      <c r="E21" s="18"/>
      <c r="F21" s="18"/>
      <c r="G21" s="14"/>
      <c r="H21" s="14"/>
      <c r="J21" s="15">
        <f>SUM(C$13:C21)</f>
        <v>0</v>
      </c>
      <c r="K21" s="15">
        <f>SUM(D$13:D21)</f>
        <v>0</v>
      </c>
      <c r="L21" s="15">
        <f>SUM(E$13:E21)</f>
        <v>0</v>
      </c>
      <c r="M21" s="15">
        <f>SUM(F$13:F21)</f>
        <v>0</v>
      </c>
      <c r="N21" s="15"/>
      <c r="O21" s="15"/>
    </row>
    <row r="22" spans="1:15" x14ac:dyDescent="0.25">
      <c r="A22" s="12">
        <f>'ALL LEVELS'!A22</f>
        <v>10</v>
      </c>
      <c r="B22" s="12" t="str">
        <f>'ALL LEVELS'!B22</f>
        <v>WEDNESDAY</v>
      </c>
      <c r="C22" s="18"/>
      <c r="D22" s="18"/>
      <c r="E22" s="18"/>
      <c r="F22" s="18"/>
      <c r="G22" s="14"/>
      <c r="H22" s="14"/>
      <c r="J22" s="15">
        <f>SUM(C$13:C22)</f>
        <v>0</v>
      </c>
      <c r="K22" s="15">
        <f>SUM(D$13:D22)</f>
        <v>0</v>
      </c>
      <c r="L22" s="15">
        <f>SUM(E$13:E22)</f>
        <v>0</v>
      </c>
      <c r="M22" s="15">
        <f>SUM(F$13:F22)</f>
        <v>0</v>
      </c>
      <c r="N22" s="15"/>
      <c r="O22" s="15"/>
    </row>
    <row r="23" spans="1:15" x14ac:dyDescent="0.25">
      <c r="A23" s="12">
        <f>'ALL LEVELS'!A23</f>
        <v>11</v>
      </c>
      <c r="B23" s="12" t="str">
        <f>'ALL LEVELS'!B23</f>
        <v>THURSDAY</v>
      </c>
      <c r="C23" s="18"/>
      <c r="D23" s="18"/>
      <c r="E23" s="18"/>
      <c r="F23" s="18"/>
      <c r="G23" s="14"/>
      <c r="H23" s="14"/>
      <c r="J23" s="15">
        <f>SUM(C$13:C23)</f>
        <v>0</v>
      </c>
      <c r="K23" s="15">
        <f>SUM(D$13:D23)</f>
        <v>0</v>
      </c>
      <c r="L23" s="15">
        <f>SUM(E$13:E23)</f>
        <v>0</v>
      </c>
      <c r="M23" s="15">
        <f>SUM(F$13:F23)</f>
        <v>0</v>
      </c>
      <c r="N23" s="15"/>
      <c r="O23" s="15"/>
    </row>
    <row r="24" spans="1:15" x14ac:dyDescent="0.25">
      <c r="A24" s="12">
        <f>'ALL LEVELS'!A24</f>
        <v>12</v>
      </c>
      <c r="B24" s="12" t="str">
        <f>'ALL LEVELS'!B24</f>
        <v>FRIDAY</v>
      </c>
      <c r="C24" s="18"/>
      <c r="D24" s="18"/>
      <c r="E24" s="18"/>
      <c r="F24" s="18"/>
      <c r="G24" s="14"/>
      <c r="H24" s="14"/>
      <c r="J24" s="15">
        <f>SUM(C$13:C24)</f>
        <v>0</v>
      </c>
      <c r="K24" s="15">
        <f>SUM(D$13:D24)</f>
        <v>0</v>
      </c>
      <c r="L24" s="15">
        <f>SUM(E$13:E24)</f>
        <v>0</v>
      </c>
      <c r="M24" s="15">
        <f>SUM(F$13:F24)</f>
        <v>0</v>
      </c>
      <c r="N24" s="15"/>
      <c r="O24" s="15"/>
    </row>
    <row r="25" spans="1:15" x14ac:dyDescent="0.25">
      <c r="A25" s="12">
        <f>'ALL LEVELS'!A25</f>
        <v>13</v>
      </c>
      <c r="B25" s="12" t="str">
        <f>'ALL LEVELS'!B25</f>
        <v>SATURDAY</v>
      </c>
      <c r="C25" s="18"/>
      <c r="D25" s="18"/>
      <c r="E25" s="18"/>
      <c r="F25" s="18"/>
      <c r="G25" s="14"/>
      <c r="H25" s="14"/>
      <c r="J25" s="15">
        <f>SUM(C$13:C25)</f>
        <v>0</v>
      </c>
      <c r="K25" s="15">
        <f>SUM(D$13:D25)</f>
        <v>0</v>
      </c>
      <c r="L25" s="15">
        <f>SUM(E$13:E25)</f>
        <v>0</v>
      </c>
      <c r="M25" s="15">
        <f>SUM(F$13:F25)</f>
        <v>0</v>
      </c>
      <c r="N25" s="15"/>
      <c r="O25" s="15"/>
    </row>
    <row r="26" spans="1:15" x14ac:dyDescent="0.25">
      <c r="A26" s="12">
        <f>'ALL LEVELS'!A26</f>
        <v>14</v>
      </c>
      <c r="B26" s="12" t="str">
        <f>'ALL LEVELS'!B26</f>
        <v>SUNDAY</v>
      </c>
      <c r="C26" s="18"/>
      <c r="D26" s="18"/>
      <c r="E26" s="18"/>
      <c r="F26" s="18"/>
      <c r="G26" s="14"/>
      <c r="H26" s="14"/>
      <c r="J26" s="15">
        <f>SUM(C$13:C26)</f>
        <v>0</v>
      </c>
      <c r="K26" s="15">
        <f>SUM(D$13:D26)</f>
        <v>0</v>
      </c>
      <c r="L26" s="15">
        <f>SUM(E$13:E26)</f>
        <v>0</v>
      </c>
      <c r="M26" s="15">
        <f>SUM(F$13:F26)</f>
        <v>0</v>
      </c>
      <c r="N26" s="15"/>
      <c r="O26" s="15"/>
    </row>
    <row r="27" spans="1:15" x14ac:dyDescent="0.25">
      <c r="A27" s="12">
        <f>'ALL LEVELS'!A27</f>
        <v>15</v>
      </c>
      <c r="B27" s="12" t="str">
        <f>'ALL LEVELS'!B27</f>
        <v>MONDAY</v>
      </c>
      <c r="C27" s="18"/>
      <c r="D27" s="18"/>
      <c r="E27" s="18"/>
      <c r="F27" s="18"/>
      <c r="G27" s="14"/>
      <c r="H27" s="14"/>
      <c r="J27" s="15">
        <f>SUM(C$13:C27)</f>
        <v>0</v>
      </c>
      <c r="K27" s="15">
        <f>SUM(D$13:D27)</f>
        <v>0</v>
      </c>
      <c r="L27" s="15">
        <f>SUM(E$13:E27)</f>
        <v>0</v>
      </c>
      <c r="M27" s="15">
        <f>SUM(F$13:F27)</f>
        <v>0</v>
      </c>
      <c r="N27" s="15"/>
      <c r="O27" s="15"/>
    </row>
    <row r="28" spans="1:15" x14ac:dyDescent="0.25">
      <c r="A28" s="12">
        <f>'ALL LEVELS'!A28</f>
        <v>16</v>
      </c>
      <c r="B28" s="12" t="str">
        <f>'ALL LEVELS'!B28</f>
        <v>TUESDAY</v>
      </c>
      <c r="C28" s="18"/>
      <c r="D28" s="18"/>
      <c r="E28" s="18"/>
      <c r="F28" s="18"/>
      <c r="G28" s="14"/>
      <c r="H28" s="14"/>
      <c r="J28" s="15">
        <f>SUM(C$13:C28)</f>
        <v>0</v>
      </c>
      <c r="K28" s="15">
        <f>SUM(D$13:D28)</f>
        <v>0</v>
      </c>
      <c r="L28" s="15">
        <f>SUM(E$13:E28)</f>
        <v>0</v>
      </c>
      <c r="M28" s="15">
        <f>SUM(F$13:F28)</f>
        <v>0</v>
      </c>
      <c r="N28" s="15"/>
      <c r="O28" s="15"/>
    </row>
    <row r="29" spans="1:15" x14ac:dyDescent="0.25">
      <c r="A29" s="12">
        <f>'ALL LEVELS'!A29</f>
        <v>17</v>
      </c>
      <c r="B29" s="12" t="str">
        <f>'ALL LEVELS'!B29</f>
        <v>WEDNESDAY</v>
      </c>
      <c r="C29" s="18"/>
      <c r="D29" s="18"/>
      <c r="E29" s="18"/>
      <c r="F29" s="18"/>
      <c r="G29" s="14"/>
      <c r="H29" s="14"/>
      <c r="J29" s="15"/>
      <c r="K29" s="15"/>
      <c r="L29" s="15"/>
      <c r="M29" s="15"/>
      <c r="N29" s="15"/>
      <c r="O29" s="15"/>
    </row>
    <row r="30" spans="1:15" x14ac:dyDescent="0.25">
      <c r="A30" s="12">
        <f>'ALL LEVELS'!A30</f>
        <v>18</v>
      </c>
      <c r="B30" s="12" t="str">
        <f>'ALL LEVELS'!B30</f>
        <v>THURSDAY</v>
      </c>
      <c r="C30" s="18"/>
      <c r="D30" s="18"/>
      <c r="E30" s="18"/>
      <c r="F30" s="18"/>
      <c r="G30" s="14"/>
      <c r="H30" s="14"/>
      <c r="J30" s="15">
        <f>SUM(C$13:C30)</f>
        <v>0</v>
      </c>
      <c r="K30" s="15">
        <f>SUM(D$13:D30)</f>
        <v>0</v>
      </c>
      <c r="L30" s="15">
        <f>SUM(E$13:E30)</f>
        <v>0</v>
      </c>
      <c r="M30" s="15">
        <f>SUM(F$13:F30)</f>
        <v>0</v>
      </c>
      <c r="N30" s="15"/>
      <c r="O30" s="15"/>
    </row>
    <row r="31" spans="1:15" x14ac:dyDescent="0.25">
      <c r="A31" s="12">
        <f>'ALL LEVELS'!A31</f>
        <v>19</v>
      </c>
      <c r="B31" s="12" t="str">
        <f>'ALL LEVELS'!B31</f>
        <v>FRIDAY</v>
      </c>
      <c r="C31" s="18"/>
      <c r="D31" s="18"/>
      <c r="E31" s="18"/>
      <c r="F31" s="18"/>
      <c r="G31" s="14"/>
      <c r="H31" s="14"/>
      <c r="J31" s="15">
        <f>SUM(C$13:C31)</f>
        <v>0</v>
      </c>
      <c r="K31" s="15">
        <f>SUM(D$13:D31)</f>
        <v>0</v>
      </c>
      <c r="L31" s="15">
        <f>SUM(E$13:E31)</f>
        <v>0</v>
      </c>
      <c r="M31" s="15">
        <f>SUM(F$13:F31)</f>
        <v>0</v>
      </c>
      <c r="N31" s="15"/>
      <c r="O31" s="15"/>
    </row>
    <row r="32" spans="1:15" x14ac:dyDescent="0.25">
      <c r="A32" s="12">
        <f>'ALL LEVELS'!A32</f>
        <v>20</v>
      </c>
      <c r="B32" s="12" t="str">
        <f>'ALL LEVELS'!B32</f>
        <v>SATURDAY</v>
      </c>
      <c r="C32" s="18"/>
      <c r="D32" s="18"/>
      <c r="E32" s="18"/>
      <c r="F32" s="18"/>
      <c r="G32" s="14"/>
      <c r="H32" s="14"/>
      <c r="J32" s="15">
        <f>SUM(C$13:C32)</f>
        <v>0</v>
      </c>
      <c r="K32" s="15">
        <f>SUM(D$13:D32)</f>
        <v>0</v>
      </c>
      <c r="L32" s="15">
        <f>SUM(E$13:E32)</f>
        <v>0</v>
      </c>
      <c r="M32" s="15">
        <f>SUM(F$13:F32)</f>
        <v>0</v>
      </c>
      <c r="N32" s="15"/>
      <c r="O32" s="15"/>
    </row>
    <row r="33" spans="1:15" x14ac:dyDescent="0.25">
      <c r="A33" s="12">
        <f>'ALL LEVELS'!A33</f>
        <v>21</v>
      </c>
      <c r="B33" s="12" t="str">
        <f>'ALL LEVELS'!B33</f>
        <v>SUNDAY</v>
      </c>
      <c r="C33" s="18"/>
      <c r="D33" s="18"/>
      <c r="E33" s="18"/>
      <c r="F33" s="18"/>
      <c r="G33" s="14"/>
      <c r="H33" s="14"/>
      <c r="J33" s="15">
        <f>SUM(C$13:C33)</f>
        <v>0</v>
      </c>
      <c r="K33" s="15">
        <f>SUM(D$13:D33)</f>
        <v>0</v>
      </c>
      <c r="L33" s="15">
        <f>SUM(E$13:E33)</f>
        <v>0</v>
      </c>
      <c r="M33" s="15">
        <f>SUM(F$13:F33)</f>
        <v>0</v>
      </c>
      <c r="N33" s="15"/>
      <c r="O33" s="15"/>
    </row>
    <row r="34" spans="1:15" x14ac:dyDescent="0.25">
      <c r="A34" s="12">
        <f>'ALL LEVELS'!A34</f>
        <v>22</v>
      </c>
      <c r="B34" s="12" t="str">
        <f>'ALL LEVELS'!B34</f>
        <v>MONDAY</v>
      </c>
      <c r="C34" s="18"/>
      <c r="D34" s="18"/>
      <c r="E34" s="18"/>
      <c r="F34" s="18"/>
      <c r="G34" s="14"/>
      <c r="H34" s="14"/>
      <c r="J34" s="15">
        <f>SUM(C$13:C34)</f>
        <v>0</v>
      </c>
      <c r="K34" s="15">
        <f>SUM(D$13:D34)</f>
        <v>0</v>
      </c>
      <c r="L34" s="15">
        <f>SUM(E$13:E34)</f>
        <v>0</v>
      </c>
      <c r="M34" s="15">
        <f>SUM(F$13:F34)</f>
        <v>0</v>
      </c>
      <c r="N34" s="15"/>
      <c r="O34" s="15"/>
    </row>
    <row r="35" spans="1:15" x14ac:dyDescent="0.25">
      <c r="A35" s="12">
        <f>'ALL LEVELS'!A35</f>
        <v>23</v>
      </c>
      <c r="B35" s="12" t="str">
        <f>'ALL LEVELS'!B35</f>
        <v>TUESDAY</v>
      </c>
      <c r="C35" s="18"/>
      <c r="D35" s="18"/>
      <c r="E35" s="18"/>
      <c r="F35" s="18"/>
      <c r="G35" s="14"/>
      <c r="H35" s="14"/>
      <c r="J35" s="15">
        <f>SUM(C$13:C35)</f>
        <v>0</v>
      </c>
      <c r="K35" s="15">
        <f>SUM(D$13:D35)</f>
        <v>0</v>
      </c>
      <c r="L35" s="15">
        <f>SUM(E$13:E35)</f>
        <v>0</v>
      </c>
      <c r="M35" s="15">
        <f>SUM(F$13:F35)</f>
        <v>0</v>
      </c>
      <c r="N35" s="15"/>
      <c r="O35" s="15"/>
    </row>
    <row r="36" spans="1:15" x14ac:dyDescent="0.25">
      <c r="A36" s="12">
        <f>'ALL LEVELS'!A36</f>
        <v>24</v>
      </c>
      <c r="B36" s="12" t="str">
        <f>'ALL LEVELS'!B33</f>
        <v>SUNDAY</v>
      </c>
      <c r="C36" s="18"/>
      <c r="D36" s="18"/>
      <c r="E36" s="18"/>
      <c r="F36" s="18"/>
      <c r="G36" s="14"/>
      <c r="H36" s="14"/>
      <c r="J36" s="15">
        <f>SUM(C$13:C36)</f>
        <v>0</v>
      </c>
      <c r="K36" s="15">
        <f>SUM(D$13:D36)</f>
        <v>0</v>
      </c>
      <c r="L36" s="15">
        <f>SUM(E$13:E36)</f>
        <v>0</v>
      </c>
      <c r="M36" s="15">
        <f>SUM(F$13:F36)</f>
        <v>0</v>
      </c>
      <c r="N36" s="15"/>
      <c r="O36" s="15"/>
    </row>
    <row r="37" spans="1:15" x14ac:dyDescent="0.25">
      <c r="A37" s="12">
        <f>'ALL LEVELS'!A37</f>
        <v>25</v>
      </c>
      <c r="B37" s="12" t="str">
        <f>'ALL LEVELS'!B34</f>
        <v>MONDAY</v>
      </c>
      <c r="C37" s="18"/>
      <c r="D37" s="18"/>
      <c r="E37" s="18"/>
      <c r="F37" s="18"/>
      <c r="G37" s="14"/>
      <c r="H37" s="14"/>
      <c r="J37" s="15">
        <f>SUM(C$13:C37)</f>
        <v>0</v>
      </c>
      <c r="K37" s="15">
        <f>SUM(D$13:D37)</f>
        <v>0</v>
      </c>
      <c r="L37" s="15">
        <f>SUM(E$13:E37)</f>
        <v>0</v>
      </c>
      <c r="M37" s="15">
        <f>SUM(F$13:F37)</f>
        <v>0</v>
      </c>
      <c r="N37" s="15"/>
      <c r="O37" s="15"/>
    </row>
    <row r="38" spans="1:15" x14ac:dyDescent="0.25">
      <c r="A38" s="12">
        <f>'ALL LEVELS'!A38</f>
        <v>26</v>
      </c>
      <c r="B38" s="12" t="str">
        <f>'ALL LEVELS'!B35</f>
        <v>TUESDAY</v>
      </c>
      <c r="C38" s="18"/>
      <c r="D38" s="18"/>
      <c r="E38" s="18"/>
      <c r="F38" s="18"/>
      <c r="G38" s="14"/>
      <c r="H38" s="14"/>
      <c r="J38" s="15">
        <f>SUM(C$13:C38)</f>
        <v>0</v>
      </c>
      <c r="K38" s="15">
        <f>SUM(D$13:D38)</f>
        <v>0</v>
      </c>
      <c r="L38" s="15">
        <f>SUM(E$13:E38)</f>
        <v>0</v>
      </c>
      <c r="M38" s="15">
        <f>SUM(F$13:F38)</f>
        <v>0</v>
      </c>
      <c r="N38" s="15"/>
      <c r="O38" s="15"/>
    </row>
    <row r="39" spans="1:15" x14ac:dyDescent="0.25">
      <c r="A39" s="12">
        <f>'ALL LEVELS'!A39</f>
        <v>27</v>
      </c>
      <c r="B39" s="12" t="str">
        <f>'ALL LEVELS'!B36</f>
        <v>WEDNESDAY</v>
      </c>
      <c r="C39" s="18"/>
      <c r="D39" s="18"/>
      <c r="E39" s="18"/>
      <c r="F39" s="18"/>
      <c r="G39" s="14"/>
      <c r="H39" s="14"/>
      <c r="J39" s="15">
        <f>SUM(C$13:C39)</f>
        <v>0</v>
      </c>
      <c r="K39" s="15">
        <f>SUM(D$13:D39)</f>
        <v>0</v>
      </c>
      <c r="L39" s="15">
        <f>SUM(E$13:E39)</f>
        <v>0</v>
      </c>
      <c r="M39" s="15">
        <f>SUM(F$13:F39)</f>
        <v>0</v>
      </c>
      <c r="N39" s="15"/>
      <c r="O39" s="15"/>
    </row>
    <row r="40" spans="1:15" x14ac:dyDescent="0.25">
      <c r="A40" s="12">
        <f>'ALL LEVELS'!A40</f>
        <v>28</v>
      </c>
      <c r="B40" s="12" t="str">
        <f>'ALL LEVELS'!B40</f>
        <v>SUNDAY</v>
      </c>
      <c r="C40" s="18"/>
      <c r="D40" s="18"/>
      <c r="E40" s="18"/>
      <c r="F40" s="18"/>
      <c r="G40" s="14"/>
      <c r="H40" s="14"/>
      <c r="J40" s="15">
        <f>SUM(C$13:C40)</f>
        <v>0</v>
      </c>
      <c r="K40" s="15">
        <f>SUM(D$13:D40)</f>
        <v>0</v>
      </c>
      <c r="L40" s="15">
        <f>SUM(E$13:E40)</f>
        <v>0</v>
      </c>
      <c r="M40" s="15">
        <f>SUM(F$13:F40)</f>
        <v>0</v>
      </c>
      <c r="N40" s="15"/>
      <c r="O40" s="15"/>
    </row>
    <row r="41" spans="1:15" x14ac:dyDescent="0.25">
      <c r="A41" s="12">
        <f>'ALL LEVELS'!A41</f>
        <v>29</v>
      </c>
      <c r="B41" s="12" t="str">
        <f>'ALL LEVELS'!B41</f>
        <v>MONDAY</v>
      </c>
      <c r="C41" s="18"/>
      <c r="D41" s="18"/>
      <c r="E41" s="18"/>
      <c r="F41" s="18"/>
      <c r="G41" s="14"/>
      <c r="H41" s="14"/>
      <c r="J41" s="15"/>
      <c r="K41" s="15"/>
      <c r="L41" s="15"/>
      <c r="M41" s="15"/>
      <c r="N41" s="15"/>
      <c r="O41" s="15"/>
    </row>
    <row r="42" spans="1:15" x14ac:dyDescent="0.25">
      <c r="A42" s="12">
        <f>'ALL LEVELS'!A42</f>
        <v>30</v>
      </c>
      <c r="B42" s="12" t="str">
        <f>'ALL LEVELS'!B42</f>
        <v>TUESDAY</v>
      </c>
      <c r="C42" s="18"/>
      <c r="D42" s="18"/>
      <c r="E42" s="18"/>
      <c r="F42" s="18"/>
      <c r="G42" s="14"/>
      <c r="H42" s="14"/>
      <c r="J42" s="15">
        <f>SUM(C$13:C42)</f>
        <v>0</v>
      </c>
      <c r="K42" s="15">
        <f>SUM(D$13:D42)</f>
        <v>0</v>
      </c>
      <c r="L42" s="15">
        <f>SUM(E$13:E42)</f>
        <v>0</v>
      </c>
      <c r="M42" s="15">
        <f>SUM(F$13:F42)</f>
        <v>0</v>
      </c>
      <c r="N42" s="15"/>
      <c r="O42" s="15"/>
    </row>
    <row r="43" spans="1:15" x14ac:dyDescent="0.25">
      <c r="A43" s="12">
        <f>'ALL LEVELS'!A43</f>
        <v>31</v>
      </c>
      <c r="B43" s="12" t="str">
        <f>'ALL LEVELS'!B43</f>
        <v>WEDNESDAY</v>
      </c>
      <c r="C43" s="18"/>
      <c r="D43" s="18"/>
      <c r="E43" s="18"/>
      <c r="F43" s="18"/>
      <c r="G43" s="14"/>
      <c r="H43" s="14"/>
      <c r="J43" s="15">
        <f>SUM(C$13:C43)</f>
        <v>0</v>
      </c>
      <c r="K43" s="15">
        <f>SUM(D$13:D43)</f>
        <v>0</v>
      </c>
      <c r="L43" s="15">
        <f>SUM(E$13:E43)</f>
        <v>0</v>
      </c>
      <c r="M43" s="15">
        <f>SUM(F$13:F43)</f>
        <v>0</v>
      </c>
      <c r="N43" s="15"/>
      <c r="O43" s="15"/>
    </row>
    <row r="44" spans="1:15" x14ac:dyDescent="0.25">
      <c r="B44" s="7"/>
      <c r="C44" s="19">
        <f t="shared" ref="C44:H44" si="0">SUBTOTAL(109,C13:C43)</f>
        <v>0</v>
      </c>
      <c r="D44" s="19">
        <f t="shared" si="0"/>
        <v>0</v>
      </c>
      <c r="E44" s="19">
        <f t="shared" si="0"/>
        <v>0</v>
      </c>
      <c r="F44" s="19">
        <f t="shared" si="0"/>
        <v>0</v>
      </c>
      <c r="G44" s="19">
        <f t="shared" si="0"/>
        <v>0</v>
      </c>
      <c r="H44" s="16">
        <f t="shared" si="0"/>
        <v>0</v>
      </c>
    </row>
    <row r="45" spans="1:15" x14ac:dyDescent="0.25">
      <c r="B45" s="7"/>
    </row>
  </sheetData>
  <mergeCells count="3">
    <mergeCell ref="C3:D3"/>
    <mergeCell ref="E3:F3"/>
    <mergeCell ref="J11:O11"/>
  </mergeCells>
  <conditionalFormatting sqref="B13:B35 B39:B43">
    <cfRule type="containsText" dxfId="1" priority="2" operator="containsText" text="SUNDAY">
      <formula>NOT(ISERROR(SEARCH("SUNDAY",B13)))</formula>
    </cfRule>
  </conditionalFormatting>
  <conditionalFormatting sqref="B36:B38">
    <cfRule type="containsText" dxfId="0" priority="1" operator="containsText" text="SUNDAY">
      <formula>NOT(ISERROR(SEARCH("SUNDAY",B36)))</formula>
    </cfRule>
  </conditionalFormatting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51492CDD8D943A68188C0DC8F713D" ma:contentTypeVersion="2" ma:contentTypeDescription="Create a new document." ma:contentTypeScope="" ma:versionID="fa1899e772d827be1abf4a565ee3c187">
  <xsd:schema xmlns:xsd="http://www.w3.org/2001/XMLSchema" xmlns:xs="http://www.w3.org/2001/XMLSchema" xmlns:p="http://schemas.microsoft.com/office/2006/metadata/properties" xmlns:ns3="76d896d6-6f05-4d9d-b6e9-7df83b47b269" targetNamespace="http://schemas.microsoft.com/office/2006/metadata/properties" ma:root="true" ma:fieldsID="2864fb8a47b65634eb448f942135532e" ns3:_="">
    <xsd:import namespace="76d896d6-6f05-4d9d-b6e9-7df83b47b2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896d6-6f05-4d9d-b6e9-7df83b47b2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5AD817-3340-4CF9-AAB8-9BFC9AF6FBA1}">
  <ds:schemaRefs>
    <ds:schemaRef ds:uri="http://schemas.microsoft.com/office/infopath/2007/PartnerControls"/>
    <ds:schemaRef ds:uri="76d896d6-6f05-4d9d-b6e9-7df83b47b269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73F3CF7-F291-44D6-A344-1CE086AACB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48B625-18F7-4CF3-ACEB-3519279255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d896d6-6f05-4d9d-b6e9-7df83b47b2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 LEVELS</vt:lpstr>
      <vt:lpstr>LEVEL 3</vt:lpstr>
      <vt:lpstr>LEVEL 4</vt:lpstr>
      <vt:lpstr>LEVEL 5</vt:lpstr>
      <vt:lpstr>LEVEL 6</vt:lpstr>
      <vt:lpstr>LEVEL 7</vt:lpstr>
      <vt:lpstr>LEVEL 8</vt:lpstr>
      <vt:lpstr>LEVEL 9</vt:lpstr>
      <vt:lpstr>LEVEL 10</vt:lpstr>
      <vt:lpstr>LEVEL 11</vt:lpstr>
      <vt:lpstr>LEVEL 12</vt:lpstr>
      <vt:lpstr>L425</vt:lpstr>
      <vt:lpstr>L460</vt:lpstr>
      <vt:lpstr>SINUG-ANG VEIN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Pauhl T. Navarro</dc:creator>
  <cp:lastModifiedBy>Franklin Donald P. Arguelles</cp:lastModifiedBy>
  <dcterms:created xsi:type="dcterms:W3CDTF">2021-09-16T03:43:43Z</dcterms:created>
  <dcterms:modified xsi:type="dcterms:W3CDTF">2026-06-20T02:21:10Z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0x01010045C51492CDD8D943A68188C0DC8F713D</vt:lpwstr>
  </property>
</Properties>
</file>