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tpmines\Explosive\EXPLOSIVES FORMS\DAILY\"/>
    </mc:Choice>
  </mc:AlternateContent>
  <bookViews>
    <workbookView xWindow="-120" yWindow="-120" windowWidth="29040" windowHeight="15840"/>
  </bookViews>
  <sheets>
    <sheet name="TOTAL" sheetId="10" r:id="rId1"/>
    <sheet name="SINUG-ANG" sheetId="30" r:id="rId2"/>
    <sheet name="L2" sheetId="32" state="hidden" r:id="rId3"/>
    <sheet name="L3" sheetId="31" state="hidden" r:id="rId4"/>
    <sheet name="L03" sheetId="29" r:id="rId5"/>
    <sheet name="L6" sheetId="28" state="hidden" r:id="rId6"/>
    <sheet name="L7" sheetId="27" r:id="rId7"/>
    <sheet name="L8" sheetId="26" r:id="rId8"/>
    <sheet name="L9" sheetId="25" r:id="rId9"/>
    <sheet name="L10" sheetId="34" r:id="rId10"/>
    <sheet name="L11" sheetId="35" r:id="rId11"/>
    <sheet name="L12" sheetId="36" r:id="rId12"/>
    <sheet name="L425" sheetId="37" r:id="rId13"/>
    <sheet name="L460" sheetId="38" r:id="rId14"/>
    <sheet name="SUMMARY" sheetId="33" r:id="rId15"/>
  </sheets>
  <definedNames>
    <definedName name="_xlnm.Print_Area" localSheetId="4">'L03'!$A$1:$AD$16</definedName>
    <definedName name="_xlnm.Print_Area" localSheetId="9">'L10'!$A$2:$AG$21</definedName>
    <definedName name="_xlnm.Print_Area" localSheetId="10">'L11'!$A$2:$AG$30</definedName>
    <definedName name="_xlnm.Print_Area" localSheetId="11">'L12'!$A$2:$AG$28</definedName>
    <definedName name="_xlnm.Print_Area" localSheetId="2">'L2'!$A$1:$AA$37</definedName>
    <definedName name="_xlnm.Print_Area" localSheetId="3">'L3'!$A$1:$X$54</definedName>
    <definedName name="_xlnm.Print_Area" localSheetId="12">'L425'!$A$2:$AG$41</definedName>
    <definedName name="_xlnm.Print_Area" localSheetId="13">'L460'!$A$1:$AD$26</definedName>
    <definedName name="_xlnm.Print_Area" localSheetId="5">'L6'!$A$1:$AC$16</definedName>
    <definedName name="_xlnm.Print_Area" localSheetId="6">'L7'!$A$1:$AD$17</definedName>
    <definedName name="_xlnm.Print_Area" localSheetId="7">'L8'!$A$3:$AG$30</definedName>
    <definedName name="_xlnm.Print_Area" localSheetId="8">'L9'!$A$2:$AG$20</definedName>
    <definedName name="_xlnm.Print_Area" localSheetId="1">'SINUG-ANG'!$A$1:$AD$22</definedName>
    <definedName name="_xlnm.Print_Area" localSheetId="0">TOTAL!$A$1:$AD$41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" i="34" l="1"/>
  <c r="AX15" i="34" s="1"/>
  <c r="M15" i="34"/>
  <c r="AE12" i="34"/>
  <c r="AX12" i="34" s="1"/>
  <c r="M12" i="34"/>
  <c r="AE11" i="34"/>
  <c r="AX11" i="34" s="1"/>
  <c r="M11" i="34"/>
  <c r="AE17" i="26"/>
  <c r="AX17" i="26" s="1"/>
  <c r="M17" i="26"/>
  <c r="AE16" i="26"/>
  <c r="AX16" i="26" s="1"/>
  <c r="M16" i="26"/>
  <c r="AX15" i="26"/>
  <c r="AE15" i="26"/>
  <c r="M15" i="26"/>
  <c r="AE14" i="26"/>
  <c r="AX14" i="26" s="1"/>
  <c r="M14" i="26"/>
  <c r="AE13" i="26"/>
  <c r="AX13" i="26" s="1"/>
  <c r="M13" i="26"/>
  <c r="AE12" i="26"/>
  <c r="AX12" i="26" s="1"/>
  <c r="M12" i="26"/>
  <c r="M9" i="27"/>
  <c r="AE22" i="26" l="1"/>
  <c r="AX22" i="26" s="1"/>
  <c r="M22" i="26"/>
  <c r="AE21" i="26"/>
  <c r="AX21" i="26" s="1"/>
  <c r="M21" i="26"/>
  <c r="AE20" i="26"/>
  <c r="AX20" i="26" s="1"/>
  <c r="M20" i="26"/>
  <c r="C29" i="30" l="1"/>
  <c r="C65" i="37"/>
  <c r="E65" i="37" s="1"/>
  <c r="E62" i="37"/>
  <c r="E61" i="37"/>
  <c r="E59" i="37"/>
  <c r="E57" i="37"/>
  <c r="E56" i="37"/>
  <c r="E55" i="37"/>
  <c r="E54" i="37"/>
  <c r="E53" i="37"/>
  <c r="E46" i="37"/>
  <c r="C53" i="36"/>
  <c r="E53" i="36" s="1"/>
  <c r="C51" i="36"/>
  <c r="E51" i="36" s="1"/>
  <c r="E48" i="36"/>
  <c r="E47" i="36"/>
  <c r="E45" i="36"/>
  <c r="E43" i="36"/>
  <c r="E42" i="36"/>
  <c r="E41" i="36"/>
  <c r="E40" i="36"/>
  <c r="E39" i="36"/>
  <c r="E32" i="36"/>
  <c r="C54" i="35"/>
  <c r="E54" i="35" s="1"/>
  <c r="E51" i="35"/>
  <c r="E50" i="35"/>
  <c r="E48" i="35"/>
  <c r="E46" i="35"/>
  <c r="E45" i="35"/>
  <c r="E44" i="35"/>
  <c r="E43" i="35"/>
  <c r="E42" i="35"/>
  <c r="E35" i="35"/>
  <c r="C45" i="34"/>
  <c r="E45" i="34" s="1"/>
  <c r="E42" i="34"/>
  <c r="E41" i="34"/>
  <c r="E39" i="34"/>
  <c r="E37" i="34"/>
  <c r="E36" i="34"/>
  <c r="E35" i="34"/>
  <c r="E34" i="34"/>
  <c r="E33" i="34"/>
  <c r="E26" i="34"/>
  <c r="C44" i="25"/>
  <c r="E44" i="25" s="1"/>
  <c r="E41" i="25"/>
  <c r="E40" i="25"/>
  <c r="E38" i="25"/>
  <c r="E36" i="25"/>
  <c r="E35" i="25"/>
  <c r="E34" i="25"/>
  <c r="E33" i="25"/>
  <c r="E32" i="25"/>
  <c r="E25" i="25"/>
  <c r="C55" i="26"/>
  <c r="E55" i="26" s="1"/>
  <c r="E52" i="26"/>
  <c r="E51" i="26"/>
  <c r="E49" i="26"/>
  <c r="E47" i="26"/>
  <c r="E46" i="26"/>
  <c r="E45" i="26"/>
  <c r="E44" i="26"/>
  <c r="E43" i="26"/>
  <c r="E36" i="26"/>
  <c r="C40" i="29"/>
  <c r="E40" i="29" s="1"/>
  <c r="E37" i="29"/>
  <c r="E36" i="29"/>
  <c r="E34" i="29"/>
  <c r="E32" i="29"/>
  <c r="E31" i="29"/>
  <c r="E30" i="29"/>
  <c r="E29" i="29"/>
  <c r="E28" i="29"/>
  <c r="E21" i="29"/>
  <c r="C50" i="30"/>
  <c r="C49" i="30"/>
  <c r="C48" i="30"/>
  <c r="C46" i="30"/>
  <c r="C45" i="30"/>
  <c r="C42" i="30"/>
  <c r="C40" i="30"/>
  <c r="C34" i="30"/>
  <c r="C33" i="30"/>
  <c r="C32" i="30"/>
  <c r="C31" i="30"/>
  <c r="C30" i="30"/>
  <c r="E50" i="30" l="1"/>
  <c r="E49" i="30"/>
  <c r="E48" i="30"/>
  <c r="C47" i="30"/>
  <c r="E47" i="30" s="1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8" i="30"/>
  <c r="C51" i="30"/>
  <c r="E51" i="30" l="1"/>
  <c r="J12" i="27"/>
  <c r="J10" i="27"/>
  <c r="J8" i="27"/>
  <c r="J22" i="36"/>
  <c r="J15" i="36"/>
  <c r="J8" i="36"/>
  <c r="J24" i="36" l="1"/>
  <c r="J26" i="36" s="1"/>
  <c r="J14" i="27"/>
  <c r="J16" i="27" s="1"/>
  <c r="G61" i="10"/>
  <c r="G62" i="10"/>
  <c r="C2" i="37" l="1"/>
  <c r="C2" i="36"/>
  <c r="C2" i="35"/>
  <c r="C2" i="34"/>
  <c r="C2" i="25"/>
  <c r="C3" i="26"/>
  <c r="C1" i="27"/>
  <c r="C1" i="38"/>
  <c r="C1" i="29"/>
  <c r="C1" i="30"/>
  <c r="AX8" i="37" l="1"/>
  <c r="AX24" i="37"/>
  <c r="AX8" i="36"/>
  <c r="AX15" i="36"/>
  <c r="AX8" i="35"/>
  <c r="AX17" i="35"/>
  <c r="AX8" i="34"/>
  <c r="AX13" i="34"/>
  <c r="AX8" i="25"/>
  <c r="AX11" i="25"/>
  <c r="AX9" i="26"/>
  <c r="AX18" i="26"/>
  <c r="AV8" i="27"/>
  <c r="AV10" i="27"/>
  <c r="AV9" i="38"/>
  <c r="AV17" i="38"/>
  <c r="AV7" i="29"/>
  <c r="AV9" i="29"/>
  <c r="C40" i="33" l="1"/>
  <c r="AL21" i="38"/>
  <c r="AF21" i="38"/>
  <c r="AG21" i="38"/>
  <c r="AH21" i="38"/>
  <c r="AI21" i="38"/>
  <c r="AJ21" i="38"/>
  <c r="AK21" i="38"/>
  <c r="AM21" i="38"/>
  <c r="AN21" i="38"/>
  <c r="AO21" i="38"/>
  <c r="AP21" i="38"/>
  <c r="AQ21" i="38"/>
  <c r="AP17" i="38"/>
  <c r="AG17" i="38"/>
  <c r="AH17" i="38"/>
  <c r="AI17" i="38"/>
  <c r="AJ17" i="38"/>
  <c r="AK17" i="38"/>
  <c r="AL17" i="38"/>
  <c r="AM17" i="38"/>
  <c r="AN17" i="38"/>
  <c r="AO17" i="38"/>
  <c r="AQ17" i="38"/>
  <c r="AF17" i="38"/>
  <c r="AG9" i="38"/>
  <c r="AH9" i="38"/>
  <c r="AI9" i="38"/>
  <c r="AJ9" i="38"/>
  <c r="AJ23" i="38" s="1"/>
  <c r="AS22" i="38" s="1"/>
  <c r="AK9" i="38"/>
  <c r="AL9" i="38"/>
  <c r="AM9" i="38"/>
  <c r="AN9" i="38"/>
  <c r="AO9" i="38"/>
  <c r="AP9" i="38"/>
  <c r="AQ9" i="38"/>
  <c r="AF9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L21" i="38"/>
  <c r="K21" i="38"/>
  <c r="J21" i="38"/>
  <c r="I21" i="38"/>
  <c r="H21" i="38"/>
  <c r="G21" i="38"/>
  <c r="F21" i="38"/>
  <c r="AE20" i="38"/>
  <c r="AV20" i="38" s="1"/>
  <c r="M20" i="38"/>
  <c r="AE19" i="38"/>
  <c r="AV19" i="38" s="1"/>
  <c r="M19" i="38"/>
  <c r="AE18" i="38"/>
  <c r="AV18" i="38" s="1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L17" i="38"/>
  <c r="K17" i="38"/>
  <c r="J17" i="38"/>
  <c r="I17" i="38"/>
  <c r="H17" i="38"/>
  <c r="G17" i="38"/>
  <c r="F17" i="38"/>
  <c r="AE16" i="38"/>
  <c r="AV16" i="38" s="1"/>
  <c r="M16" i="38"/>
  <c r="AE15" i="38"/>
  <c r="AV15" i="38" s="1"/>
  <c r="M15" i="38"/>
  <c r="AE14" i="38"/>
  <c r="AV14" i="38" s="1"/>
  <c r="AE13" i="38"/>
  <c r="AV13" i="38" s="1"/>
  <c r="AE12" i="38"/>
  <c r="AV12" i="38" s="1"/>
  <c r="AE11" i="38"/>
  <c r="AV11" i="38" s="1"/>
  <c r="AE10" i="38"/>
  <c r="AV10" i="38" s="1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L9" i="38"/>
  <c r="K9" i="38"/>
  <c r="J9" i="38"/>
  <c r="I9" i="38"/>
  <c r="H9" i="38"/>
  <c r="G9" i="38"/>
  <c r="F9" i="38"/>
  <c r="AE8" i="38"/>
  <c r="AV8" i="38" s="1"/>
  <c r="M8" i="38"/>
  <c r="AE7" i="38"/>
  <c r="AV7" i="38" s="1"/>
  <c r="M7" i="38"/>
  <c r="AE6" i="38"/>
  <c r="AV6" i="38" s="1"/>
  <c r="M6" i="38"/>
  <c r="C26" i="33"/>
  <c r="D26" i="33"/>
  <c r="AI36" i="37"/>
  <c r="AJ36" i="37"/>
  <c r="AK36" i="37"/>
  <c r="AL36" i="37"/>
  <c r="AM36" i="37"/>
  <c r="AN36" i="37"/>
  <c r="AO36" i="37"/>
  <c r="AP36" i="37"/>
  <c r="AQ36" i="37"/>
  <c r="AR36" i="37"/>
  <c r="AS36" i="37"/>
  <c r="AH36" i="37"/>
  <c r="AI24" i="37"/>
  <c r="AJ24" i="37"/>
  <c r="AK24" i="37"/>
  <c r="AL24" i="37"/>
  <c r="AM24" i="37"/>
  <c r="AN24" i="37"/>
  <c r="AO24" i="37"/>
  <c r="AP24" i="37"/>
  <c r="AQ24" i="37"/>
  <c r="AR24" i="37"/>
  <c r="AS24" i="37"/>
  <c r="AH24" i="37"/>
  <c r="AI8" i="37"/>
  <c r="AJ8" i="37"/>
  <c r="AK8" i="37"/>
  <c r="AL8" i="37"/>
  <c r="AM8" i="37"/>
  <c r="AN8" i="37"/>
  <c r="AO8" i="37"/>
  <c r="AP8" i="37"/>
  <c r="AQ8" i="37"/>
  <c r="AR8" i="37"/>
  <c r="AS8" i="37"/>
  <c r="AH8" i="37"/>
  <c r="AI22" i="36"/>
  <c r="AJ22" i="36"/>
  <c r="AK22" i="36"/>
  <c r="AL22" i="36"/>
  <c r="AM22" i="36"/>
  <c r="AN22" i="36"/>
  <c r="AO22" i="36"/>
  <c r="AP22" i="36"/>
  <c r="AQ22" i="36"/>
  <c r="AR22" i="36"/>
  <c r="AS22" i="36"/>
  <c r="AH22" i="36"/>
  <c r="AI15" i="36"/>
  <c r="AJ15" i="36"/>
  <c r="AK15" i="36"/>
  <c r="AL15" i="36"/>
  <c r="AM15" i="36"/>
  <c r="AN15" i="36"/>
  <c r="AO15" i="36"/>
  <c r="AP15" i="36"/>
  <c r="AQ15" i="36"/>
  <c r="AR15" i="36"/>
  <c r="AS15" i="36"/>
  <c r="AH15" i="36"/>
  <c r="AI8" i="36"/>
  <c r="AJ8" i="36"/>
  <c r="AK8" i="36"/>
  <c r="AL8" i="36"/>
  <c r="AM8" i="36"/>
  <c r="AN8" i="36"/>
  <c r="AO8" i="36"/>
  <c r="AP8" i="36"/>
  <c r="AQ8" i="36"/>
  <c r="AR8" i="36"/>
  <c r="AS8" i="36"/>
  <c r="AH8" i="36"/>
  <c r="AI25" i="35"/>
  <c r="AJ25" i="35"/>
  <c r="AK25" i="35"/>
  <c r="AL25" i="35"/>
  <c r="AM25" i="35"/>
  <c r="AN25" i="35"/>
  <c r="AO25" i="35"/>
  <c r="AP25" i="35"/>
  <c r="AQ25" i="35"/>
  <c r="AR25" i="35"/>
  <c r="AS25" i="35"/>
  <c r="AH25" i="35"/>
  <c r="AI17" i="35"/>
  <c r="AJ17" i="35"/>
  <c r="AK17" i="35"/>
  <c r="AL17" i="35"/>
  <c r="AM17" i="35"/>
  <c r="AN17" i="35"/>
  <c r="AO17" i="35"/>
  <c r="AP17" i="35"/>
  <c r="AQ17" i="35"/>
  <c r="AR17" i="35"/>
  <c r="AS17" i="35"/>
  <c r="AH17" i="35"/>
  <c r="AI8" i="35"/>
  <c r="AJ8" i="35"/>
  <c r="AK8" i="35"/>
  <c r="AL8" i="35"/>
  <c r="AM8" i="35"/>
  <c r="AN8" i="35"/>
  <c r="AO8" i="35"/>
  <c r="AP8" i="35"/>
  <c r="AQ8" i="35"/>
  <c r="AR8" i="35"/>
  <c r="AS8" i="35"/>
  <c r="AH8" i="35"/>
  <c r="AR16" i="34"/>
  <c r="AI16" i="34"/>
  <c r="AJ16" i="34"/>
  <c r="AK16" i="34"/>
  <c r="AL16" i="34"/>
  <c r="AM16" i="34"/>
  <c r="AN16" i="34"/>
  <c r="AO16" i="34"/>
  <c r="AP16" i="34"/>
  <c r="AQ16" i="34"/>
  <c r="AS16" i="34"/>
  <c r="AH16" i="34"/>
  <c r="AI13" i="34"/>
  <c r="AJ13" i="34"/>
  <c r="AK13" i="34"/>
  <c r="AL13" i="34"/>
  <c r="AM13" i="34"/>
  <c r="AN13" i="34"/>
  <c r="AO13" i="34"/>
  <c r="AP13" i="34"/>
  <c r="AQ13" i="34"/>
  <c r="AR13" i="34"/>
  <c r="AS13" i="34"/>
  <c r="AH13" i="34"/>
  <c r="AI8" i="34"/>
  <c r="AJ8" i="34"/>
  <c r="AK8" i="34"/>
  <c r="AL8" i="34"/>
  <c r="AM8" i="34"/>
  <c r="AN8" i="34"/>
  <c r="AO8" i="34"/>
  <c r="AP8" i="34"/>
  <c r="AQ8" i="34"/>
  <c r="AR8" i="34"/>
  <c r="AS8" i="34"/>
  <c r="AH8" i="34"/>
  <c r="AI15" i="25"/>
  <c r="AJ15" i="25"/>
  <c r="AK15" i="25"/>
  <c r="AL15" i="25"/>
  <c r="AM15" i="25"/>
  <c r="AN15" i="25"/>
  <c r="AO15" i="25"/>
  <c r="AP15" i="25"/>
  <c r="AQ15" i="25"/>
  <c r="AR15" i="25"/>
  <c r="AS15" i="25"/>
  <c r="AH15" i="25"/>
  <c r="AI11" i="25"/>
  <c r="AJ11" i="25"/>
  <c r="AK11" i="25"/>
  <c r="AL11" i="25"/>
  <c r="AM11" i="25"/>
  <c r="AN11" i="25"/>
  <c r="AO11" i="25"/>
  <c r="AP11" i="25"/>
  <c r="AQ11" i="25"/>
  <c r="AR11" i="25"/>
  <c r="AS11" i="25"/>
  <c r="AH11" i="25"/>
  <c r="AN8" i="25"/>
  <c r="AH8" i="25"/>
  <c r="AI8" i="25"/>
  <c r="AJ8" i="25"/>
  <c r="AK8" i="25"/>
  <c r="AL8" i="25"/>
  <c r="AM8" i="25"/>
  <c r="AO8" i="25"/>
  <c r="AP8" i="25"/>
  <c r="AQ8" i="25"/>
  <c r="AR8" i="25"/>
  <c r="AS8" i="25"/>
  <c r="AH26" i="26"/>
  <c r="AI26" i="26"/>
  <c r="AJ26" i="26"/>
  <c r="AK26" i="26"/>
  <c r="AL26" i="26"/>
  <c r="AM26" i="26"/>
  <c r="AN26" i="26"/>
  <c r="AO26" i="26"/>
  <c r="AP26" i="26"/>
  <c r="AQ26" i="26"/>
  <c r="AR26" i="26"/>
  <c r="AS26" i="26"/>
  <c r="AI18" i="26"/>
  <c r="AJ18" i="26"/>
  <c r="AK18" i="26"/>
  <c r="AL18" i="26"/>
  <c r="AM18" i="26"/>
  <c r="AN18" i="26"/>
  <c r="AO18" i="26"/>
  <c r="AP18" i="26"/>
  <c r="AQ18" i="26"/>
  <c r="AR18" i="26"/>
  <c r="AS18" i="26"/>
  <c r="AH18" i="26"/>
  <c r="AH9" i="26"/>
  <c r="AI9" i="26"/>
  <c r="AJ9" i="26"/>
  <c r="AK9" i="26"/>
  <c r="AL9" i="26"/>
  <c r="AM9" i="26"/>
  <c r="AN9" i="26"/>
  <c r="AO9" i="26"/>
  <c r="AP9" i="26"/>
  <c r="AQ9" i="26"/>
  <c r="AR9" i="26"/>
  <c r="AS9" i="26"/>
  <c r="AG12" i="27"/>
  <c r="AH12" i="27"/>
  <c r="AI12" i="27"/>
  <c r="AJ12" i="27"/>
  <c r="AK12" i="27"/>
  <c r="AL12" i="27"/>
  <c r="AM12" i="27"/>
  <c r="AN12" i="27"/>
  <c r="AO12" i="27"/>
  <c r="AP12" i="27"/>
  <c r="AQ12" i="27"/>
  <c r="AF12" i="27"/>
  <c r="AG10" i="27"/>
  <c r="AH10" i="27"/>
  <c r="AI10" i="27"/>
  <c r="AJ10" i="27"/>
  <c r="AK10" i="27"/>
  <c r="AL10" i="27"/>
  <c r="AM10" i="27"/>
  <c r="AN10" i="27"/>
  <c r="AO10" i="27"/>
  <c r="AP10" i="27"/>
  <c r="AQ10" i="27"/>
  <c r="AF10" i="27"/>
  <c r="AG8" i="27"/>
  <c r="AH8" i="27"/>
  <c r="AI8" i="27"/>
  <c r="AJ8" i="27"/>
  <c r="AK8" i="27"/>
  <c r="AL8" i="27"/>
  <c r="AM8" i="27"/>
  <c r="AN8" i="27"/>
  <c r="AO8" i="27"/>
  <c r="AP8" i="27"/>
  <c r="AQ8" i="27"/>
  <c r="AF8" i="27"/>
  <c r="AG11" i="29"/>
  <c r="AH11" i="29"/>
  <c r="AI11" i="29"/>
  <c r="AJ11" i="29"/>
  <c r="AK11" i="29"/>
  <c r="AL11" i="29"/>
  <c r="AM11" i="29"/>
  <c r="AN11" i="29"/>
  <c r="AO11" i="29"/>
  <c r="AP11" i="29"/>
  <c r="AQ11" i="29"/>
  <c r="AF11" i="29"/>
  <c r="AG9" i="29"/>
  <c r="AH9" i="29"/>
  <c r="AI9" i="29"/>
  <c r="AJ9" i="29"/>
  <c r="AK9" i="29"/>
  <c r="AL9" i="29"/>
  <c r="AM9" i="29"/>
  <c r="AN9" i="29"/>
  <c r="AO9" i="29"/>
  <c r="AP9" i="29"/>
  <c r="AQ9" i="29"/>
  <c r="AF9" i="29"/>
  <c r="AO7" i="29"/>
  <c r="AG7" i="29"/>
  <c r="AH7" i="29"/>
  <c r="AI7" i="29"/>
  <c r="AJ7" i="29"/>
  <c r="AK7" i="29"/>
  <c r="AL7" i="29"/>
  <c r="AM7" i="29"/>
  <c r="AN7" i="29"/>
  <c r="AP7" i="29"/>
  <c r="AQ7" i="29"/>
  <c r="AF7" i="29"/>
  <c r="AN23" i="38" l="1"/>
  <c r="AS24" i="38" s="1"/>
  <c r="C29" i="33" s="1"/>
  <c r="AM23" i="38"/>
  <c r="AT23" i="38" s="1"/>
  <c r="D28" i="33" s="1"/>
  <c r="AQ23" i="38"/>
  <c r="AT27" i="38" s="1"/>
  <c r="D32" i="33" s="1"/>
  <c r="X23" i="38"/>
  <c r="X25" i="38" s="1"/>
  <c r="M17" i="38"/>
  <c r="AD23" i="38"/>
  <c r="AD25" i="38" s="1"/>
  <c r="M21" i="38"/>
  <c r="AA23" i="38"/>
  <c r="AA25" i="38" s="1"/>
  <c r="AB23" i="38"/>
  <c r="AB25" i="38" s="1"/>
  <c r="AI23" i="38"/>
  <c r="AT26" i="38" s="1"/>
  <c r="D31" i="33" s="1"/>
  <c r="AG23" i="38"/>
  <c r="AT25" i="38" s="1"/>
  <c r="D30" i="33" s="1"/>
  <c r="C27" i="33"/>
  <c r="G23" i="38"/>
  <c r="G25" i="38" s="1"/>
  <c r="K23" i="38"/>
  <c r="K25" i="38" s="1"/>
  <c r="W23" i="38"/>
  <c r="W25" i="38" s="1"/>
  <c r="N23" i="38"/>
  <c r="N25" i="38" s="1"/>
  <c r="AL23" i="38"/>
  <c r="AS23" i="38" s="1"/>
  <c r="C28" i="33" s="1"/>
  <c r="Y23" i="38"/>
  <c r="Y25" i="38" s="1"/>
  <c r="O23" i="38"/>
  <c r="O25" i="38" s="1"/>
  <c r="P23" i="38"/>
  <c r="P25" i="38" s="1"/>
  <c r="F23" i="38"/>
  <c r="F25" i="38" s="1"/>
  <c r="S23" i="38"/>
  <c r="S25" i="38" s="1"/>
  <c r="Z23" i="38"/>
  <c r="Z25" i="38" s="1"/>
  <c r="Q23" i="38"/>
  <c r="Q25" i="38" s="1"/>
  <c r="AC23" i="38"/>
  <c r="AC25" i="38" s="1"/>
  <c r="R23" i="38"/>
  <c r="R25" i="38" s="1"/>
  <c r="M9" i="38"/>
  <c r="AR28" i="38"/>
  <c r="V23" i="38"/>
  <c r="V25" i="38" s="1"/>
  <c r="H23" i="38"/>
  <c r="H25" i="38" s="1"/>
  <c r="T23" i="38"/>
  <c r="T25" i="38" s="1"/>
  <c r="I23" i="38"/>
  <c r="I25" i="38" s="1"/>
  <c r="U23" i="38"/>
  <c r="U25" i="38" s="1"/>
  <c r="J23" i="38"/>
  <c r="J25" i="38" s="1"/>
  <c r="L23" i="38"/>
  <c r="L25" i="38" s="1"/>
  <c r="AL38" i="37"/>
  <c r="AU37" i="37" s="1"/>
  <c r="AF23" i="38"/>
  <c r="AS25" i="38" s="1"/>
  <c r="C30" i="33" s="1"/>
  <c r="AO23" i="38"/>
  <c r="AT24" i="38" s="1"/>
  <c r="D29" i="33" s="1"/>
  <c r="AH23" i="38"/>
  <c r="AS26" i="38" s="1"/>
  <c r="C31" i="33" s="1"/>
  <c r="AP23" i="38"/>
  <c r="AS27" i="38" s="1"/>
  <c r="C32" i="33" s="1"/>
  <c r="AK23" i="38"/>
  <c r="AT22" i="38" s="1"/>
  <c r="D27" i="33" s="1"/>
  <c r="AG13" i="30"/>
  <c r="AF9" i="30"/>
  <c r="AF13" i="30"/>
  <c r="AG17" i="30"/>
  <c r="AH17" i="30"/>
  <c r="AI17" i="30"/>
  <c r="AJ17" i="30"/>
  <c r="AK17" i="30"/>
  <c r="AL17" i="30"/>
  <c r="AM17" i="30"/>
  <c r="AN17" i="30"/>
  <c r="AO17" i="30"/>
  <c r="AP17" i="30"/>
  <c r="AQ17" i="30"/>
  <c r="AF17" i="30"/>
  <c r="AF15" i="30"/>
  <c r="AF16" i="30"/>
  <c r="M23" i="38" l="1"/>
  <c r="M25" i="38" s="1"/>
  <c r="C33" i="33"/>
  <c r="D33" i="33"/>
  <c r="AS28" i="38"/>
  <c r="AQ28" i="38" s="1"/>
  <c r="E25" i="38"/>
  <c r="E13" i="10"/>
  <c r="AS38" i="37"/>
  <c r="AV42" i="37" s="1"/>
  <c r="D88" i="33" s="1"/>
  <c r="AR38" i="37"/>
  <c r="AU42" i="37" s="1"/>
  <c r="C88" i="33" s="1"/>
  <c r="AM38" i="37"/>
  <c r="AV37" i="37" s="1"/>
  <c r="D83" i="33" s="1"/>
  <c r="C83" i="33"/>
  <c r="AQ38" i="37"/>
  <c r="AV39" i="37" s="1"/>
  <c r="D85" i="33" s="1"/>
  <c r="AP38" i="37"/>
  <c r="AU39" i="37" s="1"/>
  <c r="C85" i="33" s="1"/>
  <c r="AO38" i="37"/>
  <c r="AV38" i="37" s="1"/>
  <c r="D84" i="33" s="1"/>
  <c r="AJ38" i="37"/>
  <c r="AU41" i="37" s="1"/>
  <c r="C87" i="33" s="1"/>
  <c r="AI38" i="37"/>
  <c r="AV40" i="37" s="1"/>
  <c r="D86" i="33" s="1"/>
  <c r="AD36" i="37"/>
  <c r="AC36" i="37"/>
  <c r="AB36" i="37"/>
  <c r="AA36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L36" i="37"/>
  <c r="K36" i="37"/>
  <c r="J36" i="37"/>
  <c r="I36" i="37"/>
  <c r="H36" i="37"/>
  <c r="G36" i="37"/>
  <c r="F36" i="37"/>
  <c r="AE35" i="37"/>
  <c r="AX35" i="37" s="1"/>
  <c r="M35" i="37"/>
  <c r="AE34" i="37"/>
  <c r="AX34" i="37" s="1"/>
  <c r="M34" i="37"/>
  <c r="AE33" i="37"/>
  <c r="AX33" i="37" s="1"/>
  <c r="M33" i="37"/>
  <c r="AE32" i="37"/>
  <c r="AX32" i="37" s="1"/>
  <c r="M32" i="37"/>
  <c r="AE31" i="37"/>
  <c r="AX31" i="37" s="1"/>
  <c r="M31" i="37"/>
  <c r="AE30" i="37"/>
  <c r="AX30" i="37" s="1"/>
  <c r="M30" i="37"/>
  <c r="AE29" i="37"/>
  <c r="AX29" i="37" s="1"/>
  <c r="M29" i="37"/>
  <c r="AE28" i="37"/>
  <c r="AX28" i="37" s="1"/>
  <c r="M28" i="37"/>
  <c r="AE27" i="37"/>
  <c r="AX27" i="37" s="1"/>
  <c r="M27" i="37"/>
  <c r="AE26" i="37"/>
  <c r="AX26" i="37" s="1"/>
  <c r="M26" i="37"/>
  <c r="AE25" i="37"/>
  <c r="AX25" i="37" s="1"/>
  <c r="M25" i="37"/>
  <c r="AN38" i="37"/>
  <c r="AU38" i="37" s="1"/>
  <c r="AH38" i="37"/>
  <c r="AU40" i="37" s="1"/>
  <c r="C86" i="33" s="1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L24" i="37"/>
  <c r="K24" i="37"/>
  <c r="J24" i="37"/>
  <c r="I24" i="37"/>
  <c r="H24" i="37"/>
  <c r="G24" i="37"/>
  <c r="F24" i="37"/>
  <c r="AE23" i="37"/>
  <c r="AX23" i="37" s="1"/>
  <c r="M23" i="37"/>
  <c r="AE22" i="37"/>
  <c r="AX22" i="37" s="1"/>
  <c r="M22" i="37"/>
  <c r="AE21" i="37"/>
  <c r="AX21" i="37" s="1"/>
  <c r="M21" i="37"/>
  <c r="AE20" i="37"/>
  <c r="AX20" i="37" s="1"/>
  <c r="M20" i="37"/>
  <c r="AE19" i="37"/>
  <c r="AX19" i="37" s="1"/>
  <c r="M19" i="37"/>
  <c r="AE18" i="37"/>
  <c r="AX18" i="37" s="1"/>
  <c r="M18" i="37"/>
  <c r="AE17" i="37"/>
  <c r="AX17" i="37" s="1"/>
  <c r="M17" i="37"/>
  <c r="AE16" i="37"/>
  <c r="AX16" i="37" s="1"/>
  <c r="M16" i="37"/>
  <c r="AE15" i="37"/>
  <c r="AX15" i="37" s="1"/>
  <c r="M15" i="37"/>
  <c r="AE14" i="37"/>
  <c r="AX14" i="37" s="1"/>
  <c r="M14" i="37"/>
  <c r="AE13" i="37"/>
  <c r="AX13" i="37" s="1"/>
  <c r="M13" i="37"/>
  <c r="AE12" i="37"/>
  <c r="AX12" i="37" s="1"/>
  <c r="M12" i="37"/>
  <c r="AE11" i="37"/>
  <c r="AX11" i="37" s="1"/>
  <c r="M11" i="37"/>
  <c r="AE10" i="37"/>
  <c r="AX10" i="37" s="1"/>
  <c r="M10" i="37"/>
  <c r="AE9" i="37"/>
  <c r="AX9" i="37" s="1"/>
  <c r="M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L8" i="37"/>
  <c r="K8" i="37"/>
  <c r="J8" i="37"/>
  <c r="I8" i="37"/>
  <c r="H8" i="37"/>
  <c r="G8" i="37"/>
  <c r="F8" i="37"/>
  <c r="AE7" i="37"/>
  <c r="AX7" i="37" s="1"/>
  <c r="M7" i="37"/>
  <c r="M24" i="37" l="1"/>
  <c r="AD38" i="37"/>
  <c r="F38" i="37"/>
  <c r="F40" i="37" s="1"/>
  <c r="L38" i="37"/>
  <c r="Q38" i="37"/>
  <c r="M36" i="37"/>
  <c r="C84" i="33"/>
  <c r="C89" i="33" s="1"/>
  <c r="AU43" i="37"/>
  <c r="K38" i="37"/>
  <c r="W38" i="37"/>
  <c r="W40" i="37" s="1"/>
  <c r="AC38" i="37"/>
  <c r="M8" i="37"/>
  <c r="R38" i="37"/>
  <c r="R40" i="37" s="1"/>
  <c r="X38" i="37"/>
  <c r="AT43" i="37"/>
  <c r="I38" i="37"/>
  <c r="P38" i="37"/>
  <c r="P40" i="37" s="1"/>
  <c r="V38" i="37"/>
  <c r="V40" i="37" s="1"/>
  <c r="AB38" i="37"/>
  <c r="O38" i="37"/>
  <c r="O40" i="37" s="1"/>
  <c r="U38" i="37"/>
  <c r="AA38" i="37"/>
  <c r="J38" i="37"/>
  <c r="J40" i="37" s="1"/>
  <c r="N38" i="37"/>
  <c r="T38" i="37"/>
  <c r="T40" i="37" s="1"/>
  <c r="Z38" i="37"/>
  <c r="Z40" i="37" s="1"/>
  <c r="H38" i="37"/>
  <c r="H40" i="37" s="1"/>
  <c r="G38" i="37"/>
  <c r="G40" i="37" s="1"/>
  <c r="S38" i="37"/>
  <c r="S40" i="37" s="1"/>
  <c r="Y38" i="37"/>
  <c r="AK38" i="37"/>
  <c r="AV41" i="37" s="1"/>
  <c r="D87" i="33" s="1"/>
  <c r="G12" i="27"/>
  <c r="H12" i="27"/>
  <c r="I12" i="27"/>
  <c r="K12" i="27"/>
  <c r="L12" i="27"/>
  <c r="N12" i="27"/>
  <c r="O12" i="27"/>
  <c r="P12" i="27"/>
  <c r="Q12" i="27"/>
  <c r="R12" i="27"/>
  <c r="S12" i="27"/>
  <c r="T12" i="27"/>
  <c r="U12" i="27"/>
  <c r="V12" i="27"/>
  <c r="W12" i="27"/>
  <c r="X12" i="27"/>
  <c r="Y12" i="27"/>
  <c r="Z12" i="27"/>
  <c r="AA12" i="27"/>
  <c r="AB12" i="27"/>
  <c r="AC12" i="27"/>
  <c r="AD12" i="27"/>
  <c r="F12" i="27"/>
  <c r="G10" i="27"/>
  <c r="H10" i="27"/>
  <c r="I10" i="27"/>
  <c r="K10" i="27"/>
  <c r="L10" i="27"/>
  <c r="N10" i="27"/>
  <c r="O10" i="27"/>
  <c r="P10" i="27"/>
  <c r="Q10" i="27"/>
  <c r="R10" i="27"/>
  <c r="S10" i="27"/>
  <c r="T10" i="27"/>
  <c r="U10" i="27"/>
  <c r="V10" i="27"/>
  <c r="W10" i="27"/>
  <c r="X10" i="27"/>
  <c r="Y10" i="27"/>
  <c r="Z10" i="27"/>
  <c r="AA10" i="27"/>
  <c r="AB10" i="27"/>
  <c r="AC10" i="27"/>
  <c r="AD10" i="27"/>
  <c r="F10" i="27"/>
  <c r="G8" i="27"/>
  <c r="H8" i="27"/>
  <c r="I8" i="27"/>
  <c r="K8" i="27"/>
  <c r="L8" i="27"/>
  <c r="N8" i="27"/>
  <c r="O8" i="27"/>
  <c r="P8" i="27"/>
  <c r="Q8" i="27"/>
  <c r="R8" i="27"/>
  <c r="S8" i="27"/>
  <c r="T8" i="27"/>
  <c r="U8" i="27"/>
  <c r="V8" i="27"/>
  <c r="W8" i="27"/>
  <c r="X8" i="27"/>
  <c r="Y8" i="27"/>
  <c r="Z8" i="27"/>
  <c r="AA8" i="27"/>
  <c r="AB8" i="27"/>
  <c r="AC8" i="27"/>
  <c r="AD8" i="27"/>
  <c r="F8" i="27"/>
  <c r="AS43" i="37" l="1"/>
  <c r="AA40" i="37"/>
  <c r="C66" i="37"/>
  <c r="E66" i="37" s="1"/>
  <c r="Q40" i="37"/>
  <c r="C60" i="37"/>
  <c r="E60" i="37" s="1"/>
  <c r="AC40" i="37"/>
  <c r="C68" i="37"/>
  <c r="E68" i="37" s="1"/>
  <c r="AB40" i="37"/>
  <c r="C52" i="37"/>
  <c r="E52" i="37" s="1"/>
  <c r="AD40" i="37"/>
  <c r="C67" i="37"/>
  <c r="E67" i="37" s="1"/>
  <c r="K40" i="37"/>
  <c r="C48" i="37"/>
  <c r="E48" i="37" s="1"/>
  <c r="Y40" i="37"/>
  <c r="C64" i="37"/>
  <c r="E64" i="37" s="1"/>
  <c r="M38" i="37"/>
  <c r="M40" i="37" s="1"/>
  <c r="X40" i="37"/>
  <c r="C63" i="37"/>
  <c r="E63" i="37" s="1"/>
  <c r="U40" i="37"/>
  <c r="C58" i="37"/>
  <c r="E58" i="37" s="1"/>
  <c r="N40" i="37"/>
  <c r="C51" i="37"/>
  <c r="E51" i="37" s="1"/>
  <c r="I40" i="37"/>
  <c r="C47" i="37"/>
  <c r="L40" i="37"/>
  <c r="C49" i="37"/>
  <c r="AE11" i="27"/>
  <c r="AV11" i="27" s="1"/>
  <c r="M11" i="27"/>
  <c r="AE9" i="27"/>
  <c r="AV9" i="27" s="1"/>
  <c r="AE6" i="27"/>
  <c r="AV6" i="27" s="1"/>
  <c r="M6" i="27"/>
  <c r="C50" i="37" l="1"/>
  <c r="E50" i="37" s="1"/>
  <c r="E40" i="37"/>
  <c r="E49" i="37"/>
  <c r="AE14" i="36"/>
  <c r="AX14" i="36" s="1"/>
  <c r="M14" i="36"/>
  <c r="AE21" i="36"/>
  <c r="AX21" i="36" s="1"/>
  <c r="M21" i="36"/>
  <c r="AE20" i="36"/>
  <c r="AX20" i="36" s="1"/>
  <c r="M20" i="36"/>
  <c r="AE19" i="36"/>
  <c r="AX19" i="36" s="1"/>
  <c r="M19" i="36"/>
  <c r="AE13" i="36"/>
  <c r="AX13" i="36" s="1"/>
  <c r="M13" i="36"/>
  <c r="AE12" i="36"/>
  <c r="AX12" i="36" s="1"/>
  <c r="M12" i="36"/>
  <c r="E69" i="37" l="1"/>
  <c r="C69" i="37"/>
  <c r="AG9" i="30"/>
  <c r="AH9" i="30"/>
  <c r="AI9" i="30"/>
  <c r="AJ9" i="30"/>
  <c r="AK9" i="30"/>
  <c r="AL9" i="30"/>
  <c r="AM9" i="30"/>
  <c r="AN9" i="30"/>
  <c r="AO9" i="30"/>
  <c r="AP9" i="30"/>
  <c r="AQ9" i="30"/>
  <c r="AE7" i="30" l="1"/>
  <c r="M7" i="30"/>
  <c r="F11" i="29"/>
  <c r="G11" i="29"/>
  <c r="H11" i="29"/>
  <c r="I11" i="29"/>
  <c r="J11" i="29"/>
  <c r="K11" i="29"/>
  <c r="L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AC11" i="29"/>
  <c r="AD11" i="29"/>
  <c r="AE10" i="29"/>
  <c r="AV10" i="29" s="1"/>
  <c r="M10" i="29"/>
  <c r="G8" i="25" l="1"/>
  <c r="H8" i="25"/>
  <c r="I8" i="25"/>
  <c r="J8" i="25"/>
  <c r="K8" i="25"/>
  <c r="L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F8" i="25"/>
  <c r="AE7" i="25"/>
  <c r="AX7" i="25" s="1"/>
  <c r="M7" i="25"/>
  <c r="G9" i="26"/>
  <c r="H9" i="26"/>
  <c r="I9" i="26"/>
  <c r="J9" i="26"/>
  <c r="K9" i="26"/>
  <c r="L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F9" i="26"/>
  <c r="AE11" i="26" l="1"/>
  <c r="AX11" i="26" s="1"/>
  <c r="M11" i="26"/>
  <c r="AE11" i="30"/>
  <c r="M11" i="30"/>
  <c r="AE15" i="30"/>
  <c r="M15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L17" i="30"/>
  <c r="K17" i="30"/>
  <c r="J17" i="30"/>
  <c r="I17" i="30"/>
  <c r="H17" i="30"/>
  <c r="G17" i="30"/>
  <c r="F17" i="30"/>
  <c r="AE14" i="30"/>
  <c r="M14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L9" i="30"/>
  <c r="K9" i="30"/>
  <c r="J9" i="30"/>
  <c r="I9" i="30"/>
  <c r="H9" i="30"/>
  <c r="G9" i="30"/>
  <c r="F9" i="30"/>
  <c r="AE8" i="30"/>
  <c r="M8" i="30"/>
  <c r="AE6" i="30"/>
  <c r="M6" i="30"/>
  <c r="M9" i="30" l="1"/>
  <c r="G18" i="26"/>
  <c r="H18" i="26"/>
  <c r="I18" i="26"/>
  <c r="J18" i="26"/>
  <c r="K18" i="26"/>
  <c r="L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F18" i="26"/>
  <c r="AE7" i="36" l="1"/>
  <c r="AX7" i="36" s="1"/>
  <c r="M7" i="36"/>
  <c r="AE18" i="36"/>
  <c r="AX18" i="36" s="1"/>
  <c r="M18" i="36"/>
  <c r="AE17" i="36"/>
  <c r="AX17" i="36" s="1"/>
  <c r="M17" i="36"/>
  <c r="AE11" i="36"/>
  <c r="AX11" i="36" s="1"/>
  <c r="M11" i="36"/>
  <c r="AE10" i="36"/>
  <c r="AX10" i="36" s="1"/>
  <c r="M10" i="36"/>
  <c r="AE16" i="36" l="1"/>
  <c r="AX16" i="36" s="1"/>
  <c r="M16" i="36"/>
  <c r="AE9" i="36"/>
  <c r="AX9" i="36" s="1"/>
  <c r="M9" i="36"/>
  <c r="G57" i="10" l="1"/>
  <c r="G66" i="10"/>
  <c r="AE16" i="35" l="1"/>
  <c r="AX16" i="35" s="1"/>
  <c r="AE15" i="35"/>
  <c r="AX15" i="35" s="1"/>
  <c r="AE14" i="35"/>
  <c r="AX14" i="35" s="1"/>
  <c r="AE24" i="35"/>
  <c r="AX24" i="35" s="1"/>
  <c r="AE23" i="35"/>
  <c r="AX23" i="35" s="1"/>
  <c r="AE22" i="35"/>
  <c r="AX22" i="35" s="1"/>
  <c r="AE21" i="35"/>
  <c r="AX21" i="35" s="1"/>
  <c r="AE20" i="35"/>
  <c r="AX20" i="35" s="1"/>
  <c r="AE19" i="35"/>
  <c r="AX19" i="35" s="1"/>
  <c r="AE13" i="35"/>
  <c r="AX13" i="35" s="1"/>
  <c r="AE12" i="35"/>
  <c r="AX12" i="35" s="1"/>
  <c r="AE11" i="35"/>
  <c r="AX11" i="35" s="1"/>
  <c r="AE10" i="35"/>
  <c r="AX10" i="35" s="1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L8" i="35"/>
  <c r="K8" i="35"/>
  <c r="J8" i="35"/>
  <c r="I8" i="35"/>
  <c r="H8" i="35"/>
  <c r="G8" i="35"/>
  <c r="F8" i="35"/>
  <c r="AE7" i="35"/>
  <c r="AX7" i="35" s="1"/>
  <c r="M7" i="35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L16" i="34"/>
  <c r="K16" i="34"/>
  <c r="J16" i="34"/>
  <c r="I16" i="34"/>
  <c r="H16" i="34"/>
  <c r="G16" i="34"/>
  <c r="F16" i="34"/>
  <c r="AE14" i="34"/>
  <c r="AX14" i="34" s="1"/>
  <c r="M14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L13" i="34"/>
  <c r="K13" i="34"/>
  <c r="J13" i="34"/>
  <c r="I13" i="34"/>
  <c r="H13" i="34"/>
  <c r="G13" i="34"/>
  <c r="F13" i="34"/>
  <c r="AE10" i="34"/>
  <c r="AX10" i="34" s="1"/>
  <c r="M10" i="34"/>
  <c r="AE9" i="34"/>
  <c r="AX9" i="34" s="1"/>
  <c r="M9" i="34"/>
  <c r="AE7" i="34"/>
  <c r="AX7" i="34" s="1"/>
  <c r="M7" i="34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L15" i="25"/>
  <c r="K15" i="25"/>
  <c r="J15" i="25"/>
  <c r="I15" i="25"/>
  <c r="H15" i="25"/>
  <c r="G15" i="25"/>
  <c r="F15" i="25"/>
  <c r="AE14" i="25"/>
  <c r="AX14" i="25" s="1"/>
  <c r="M14" i="25"/>
  <c r="AE13" i="25"/>
  <c r="AX13" i="25" s="1"/>
  <c r="M13" i="25"/>
  <c r="AE12" i="25"/>
  <c r="AX12" i="25" s="1"/>
  <c r="M12" i="25"/>
  <c r="AE10" i="25"/>
  <c r="AX10" i="25" s="1"/>
  <c r="M10" i="25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L26" i="26"/>
  <c r="K26" i="26"/>
  <c r="J26" i="26"/>
  <c r="I26" i="26"/>
  <c r="H26" i="26"/>
  <c r="G26" i="26"/>
  <c r="F26" i="26"/>
  <c r="AE25" i="26"/>
  <c r="AX25" i="26" s="1"/>
  <c r="M25" i="26"/>
  <c r="AE24" i="26"/>
  <c r="AX24" i="26" s="1"/>
  <c r="M24" i="26"/>
  <c r="AE23" i="26"/>
  <c r="AX23" i="26" s="1"/>
  <c r="M23" i="26"/>
  <c r="AE19" i="26"/>
  <c r="AX19" i="26" s="1"/>
  <c r="M19" i="26"/>
  <c r="AE10" i="26"/>
  <c r="AX10" i="26" s="1"/>
  <c r="M10" i="26"/>
  <c r="AE8" i="26"/>
  <c r="AX8" i="26" s="1"/>
  <c r="M8" i="26"/>
  <c r="M9" i="26" s="1"/>
  <c r="M18" i="26" l="1"/>
  <c r="M8" i="35"/>
  <c r="M11" i="29" l="1"/>
  <c r="G7" i="29"/>
  <c r="H7" i="29"/>
  <c r="I7" i="29"/>
  <c r="J7" i="29"/>
  <c r="K7" i="29"/>
  <c r="L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AD7" i="29"/>
  <c r="F7" i="29"/>
  <c r="AE6" i="29"/>
  <c r="AV6" i="29" s="1"/>
  <c r="M6" i="29"/>
  <c r="M7" i="29" l="1"/>
  <c r="AE16" i="30"/>
  <c r="M16" i="30"/>
  <c r="M17" i="30" s="1"/>
  <c r="AE11" i="28" l="1"/>
  <c r="AE9" i="28"/>
  <c r="AE7" i="28"/>
  <c r="AE12" i="30" l="1"/>
  <c r="M12" i="30"/>
  <c r="AE10" i="30"/>
  <c r="M10" i="30"/>
  <c r="AT33" i="26" l="1"/>
  <c r="M26" i="26"/>
  <c r="F8" i="34" l="1"/>
  <c r="G8" i="34"/>
  <c r="H8" i="34"/>
  <c r="I8" i="34"/>
  <c r="J8" i="34"/>
  <c r="K8" i="34"/>
  <c r="L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M13" i="34"/>
  <c r="M8" i="25"/>
  <c r="F8" i="36" l="1"/>
  <c r="G8" i="36"/>
  <c r="F17" i="35"/>
  <c r="F25" i="35"/>
  <c r="G25" i="35" l="1"/>
  <c r="G17" i="35"/>
  <c r="F11" i="28"/>
  <c r="F9" i="28"/>
  <c r="F7" i="28"/>
  <c r="G9" i="29"/>
  <c r="G13" i="30"/>
  <c r="G19" i="30" s="1"/>
  <c r="G21" i="30" s="1"/>
  <c r="M16" i="34"/>
  <c r="M15" i="25"/>
  <c r="M9" i="25"/>
  <c r="M12" i="27"/>
  <c r="M10" i="27"/>
  <c r="M7" i="27"/>
  <c r="M8" i="27" s="1"/>
  <c r="L10" i="28"/>
  <c r="L8" i="28"/>
  <c r="L6" i="28"/>
  <c r="M8" i="29"/>
  <c r="AF19" i="30" l="1"/>
  <c r="AS21" i="30" s="1"/>
  <c r="M8" i="34"/>
  <c r="H25" i="35"/>
  <c r="I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W25" i="35"/>
  <c r="X25" i="35"/>
  <c r="Y25" i="35"/>
  <c r="Z25" i="35"/>
  <c r="AA25" i="35"/>
  <c r="AB25" i="35"/>
  <c r="AC25" i="35"/>
  <c r="AD25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AC17" i="35"/>
  <c r="AD17" i="35"/>
  <c r="AE18" i="35"/>
  <c r="AX18" i="35" s="1"/>
  <c r="AE9" i="35"/>
  <c r="AX9" i="35" s="1"/>
  <c r="H8" i="36"/>
  <c r="I8" i="36"/>
  <c r="K8" i="36"/>
  <c r="L8" i="36"/>
  <c r="M8" i="36"/>
  <c r="N8" i="36"/>
  <c r="O8" i="36"/>
  <c r="P8" i="36"/>
  <c r="Q8" i="36"/>
  <c r="R8" i="36"/>
  <c r="S8" i="36"/>
  <c r="T8" i="36"/>
  <c r="U8" i="36"/>
  <c r="V8" i="36"/>
  <c r="W8" i="36"/>
  <c r="X8" i="36"/>
  <c r="Y8" i="36"/>
  <c r="Z8" i="36"/>
  <c r="AA8" i="36"/>
  <c r="AB8" i="36"/>
  <c r="AC8" i="36"/>
  <c r="AD8" i="36"/>
  <c r="AT29" i="36"/>
  <c r="M13" i="30"/>
  <c r="AT32" i="35" l="1"/>
  <c r="AT23" i="34"/>
  <c r="AE9" i="25"/>
  <c r="AX9" i="25" s="1"/>
  <c r="AE7" i="27"/>
  <c r="AV7" i="27" s="1"/>
  <c r="AR19" i="27" s="1"/>
  <c r="AD10" i="28"/>
  <c r="AD8" i="28"/>
  <c r="AD6" i="28"/>
  <c r="AE8" i="29"/>
  <c r="AV8" i="29" s="1"/>
  <c r="AR18" i="29" s="1"/>
  <c r="AT22" i="25" l="1"/>
  <c r="H15" i="36"/>
  <c r="I15" i="36"/>
  <c r="K15" i="36"/>
  <c r="L15" i="36"/>
  <c r="N15" i="36"/>
  <c r="O15" i="36"/>
  <c r="P15" i="36"/>
  <c r="Q15" i="36"/>
  <c r="R15" i="36"/>
  <c r="S15" i="36"/>
  <c r="T15" i="36"/>
  <c r="U15" i="36"/>
  <c r="V15" i="36"/>
  <c r="W15" i="36"/>
  <c r="X15" i="36"/>
  <c r="Y15" i="36"/>
  <c r="Z15" i="36"/>
  <c r="AA15" i="36"/>
  <c r="AB15" i="36"/>
  <c r="AC15" i="36"/>
  <c r="AD15" i="36"/>
  <c r="G15" i="36"/>
  <c r="E11" i="28"/>
  <c r="S22" i="10" l="1"/>
  <c r="S17" i="10"/>
  <c r="S13" i="10"/>
  <c r="T13" i="30"/>
  <c r="T19" i="30" s="1"/>
  <c r="T21" i="30" s="1"/>
  <c r="T9" i="29"/>
  <c r="S11" i="28"/>
  <c r="S9" i="28"/>
  <c r="S7" i="28"/>
  <c r="T11" i="25"/>
  <c r="T22" i="36"/>
  <c r="M19" i="30"/>
  <c r="M21" i="30" s="1"/>
  <c r="T27" i="35" l="1"/>
  <c r="T29" i="35" s="1"/>
  <c r="T24" i="36"/>
  <c r="T26" i="36" s="1"/>
  <c r="T13" i="29"/>
  <c r="T15" i="29" s="1"/>
  <c r="T14" i="27"/>
  <c r="T16" i="27" s="1"/>
  <c r="S13" i="28"/>
  <c r="S15" i="28" s="1"/>
  <c r="T18" i="34"/>
  <c r="T20" i="34" s="1"/>
  <c r="T28" i="26"/>
  <c r="T17" i="25"/>
  <c r="T19" i="25" s="1"/>
  <c r="S24" i="10"/>
  <c r="S26" i="10" s="1"/>
  <c r="S28" i="10" l="1"/>
  <c r="T30" i="26"/>
  <c r="AD22" i="36"/>
  <c r="AC22" i="36"/>
  <c r="AB22" i="36"/>
  <c r="AA22" i="36"/>
  <c r="Z22" i="36"/>
  <c r="Y22" i="36"/>
  <c r="X22" i="36"/>
  <c r="W22" i="36"/>
  <c r="V22" i="36"/>
  <c r="U22" i="36"/>
  <c r="S22" i="36"/>
  <c r="R22" i="36"/>
  <c r="Q22" i="36"/>
  <c r="P22" i="36"/>
  <c r="O22" i="36"/>
  <c r="N22" i="36"/>
  <c r="L22" i="36"/>
  <c r="K22" i="36"/>
  <c r="I22" i="36"/>
  <c r="H22" i="36"/>
  <c r="G22" i="36"/>
  <c r="F22" i="36"/>
  <c r="F15" i="36"/>
  <c r="S30" i="10" l="1"/>
  <c r="E59" i="10"/>
  <c r="G59" i="10" s="1"/>
  <c r="AB27" i="35"/>
  <c r="O27" i="35"/>
  <c r="O29" i="35" s="1"/>
  <c r="M15" i="36"/>
  <c r="J27" i="35"/>
  <c r="J29" i="35" s="1"/>
  <c r="X27" i="35"/>
  <c r="S27" i="35"/>
  <c r="S29" i="35" s="1"/>
  <c r="H27" i="35"/>
  <c r="H29" i="35" s="1"/>
  <c r="L27" i="35"/>
  <c r="Q27" i="35"/>
  <c r="V27" i="35"/>
  <c r="V29" i="35" s="1"/>
  <c r="Z27" i="35"/>
  <c r="Z29" i="35" s="1"/>
  <c r="AD27" i="35"/>
  <c r="I27" i="35"/>
  <c r="N27" i="35"/>
  <c r="R27" i="35"/>
  <c r="R29" i="35" s="1"/>
  <c r="W27" i="35"/>
  <c r="W29" i="35" s="1"/>
  <c r="AA27" i="35"/>
  <c r="G27" i="35"/>
  <c r="G29" i="35" s="1"/>
  <c r="K27" i="35"/>
  <c r="P27" i="35"/>
  <c r="P29" i="35" s="1"/>
  <c r="U27" i="35"/>
  <c r="Y27" i="35"/>
  <c r="AC27" i="35"/>
  <c r="AS27" i="35"/>
  <c r="AV31" i="35" s="1"/>
  <c r="D74" i="33" s="1"/>
  <c r="AR27" i="35"/>
  <c r="AU31" i="35" s="1"/>
  <c r="C74" i="33" s="1"/>
  <c r="AP27" i="35"/>
  <c r="AU28" i="35" s="1"/>
  <c r="C71" i="33" s="1"/>
  <c r="F27" i="35"/>
  <c r="F29" i="35" s="1"/>
  <c r="AI27" i="35"/>
  <c r="AV29" i="35" s="1"/>
  <c r="D72" i="33" s="1"/>
  <c r="AM27" i="35"/>
  <c r="AV26" i="35" s="1"/>
  <c r="D69" i="33" s="1"/>
  <c r="AQ27" i="35"/>
  <c r="AV28" i="35" s="1"/>
  <c r="D71" i="33" s="1"/>
  <c r="AL27" i="35"/>
  <c r="AU26" i="35" s="1"/>
  <c r="AN27" i="35"/>
  <c r="AU27" i="35" s="1"/>
  <c r="C70" i="33" s="1"/>
  <c r="AJ27" i="35"/>
  <c r="AU30" i="35" s="1"/>
  <c r="C73" i="33" s="1"/>
  <c r="AK27" i="35"/>
  <c r="AV30" i="35" s="1"/>
  <c r="D73" i="33" s="1"/>
  <c r="AO27" i="35"/>
  <c r="AV27" i="35" s="1"/>
  <c r="D70" i="33" s="1"/>
  <c r="AH27" i="35"/>
  <c r="AU29" i="35" s="1"/>
  <c r="C72" i="33" s="1"/>
  <c r="K24" i="36"/>
  <c r="Y24" i="36"/>
  <c r="AN24" i="36"/>
  <c r="AU24" i="36" s="1"/>
  <c r="C77" i="33" s="1"/>
  <c r="H24" i="36"/>
  <c r="H26" i="36" s="1"/>
  <c r="L24" i="36"/>
  <c r="Q24" i="36"/>
  <c r="AD24" i="36"/>
  <c r="AD26" i="36" s="1"/>
  <c r="AS24" i="36"/>
  <c r="AV28" i="36" s="1"/>
  <c r="D81" i="33" s="1"/>
  <c r="M22" i="36"/>
  <c r="F24" i="36"/>
  <c r="F26" i="36" s="1"/>
  <c r="X24" i="36"/>
  <c r="AM24" i="36"/>
  <c r="AV23" i="36" s="1"/>
  <c r="D76" i="33" s="1"/>
  <c r="R24" i="36"/>
  <c r="R26" i="36" s="1"/>
  <c r="AH24" i="36"/>
  <c r="AU26" i="36" s="1"/>
  <c r="C79" i="33" s="1"/>
  <c r="W24" i="36"/>
  <c r="W26" i="36" s="1"/>
  <c r="G24" i="36"/>
  <c r="O24" i="36"/>
  <c r="S24" i="36"/>
  <c r="AB24" i="36"/>
  <c r="AI24" i="36"/>
  <c r="AV26" i="36" s="1"/>
  <c r="D79" i="33" s="1"/>
  <c r="AQ24" i="36"/>
  <c r="AV25" i="36" s="1"/>
  <c r="D78" i="33" s="1"/>
  <c r="N24" i="36"/>
  <c r="C37" i="36" s="1"/>
  <c r="E37" i="36" s="1"/>
  <c r="AL24" i="36"/>
  <c r="AU23" i="36" s="1"/>
  <c r="AA24" i="36"/>
  <c r="AP24" i="36"/>
  <c r="AU25" i="36" s="1"/>
  <c r="C78" i="33" s="1"/>
  <c r="P24" i="36"/>
  <c r="U24" i="36"/>
  <c r="C44" i="36" s="1"/>
  <c r="E44" i="36" s="1"/>
  <c r="AC24" i="36"/>
  <c r="AJ24" i="36"/>
  <c r="AU27" i="36" s="1"/>
  <c r="C80" i="33" s="1"/>
  <c r="AR24" i="36"/>
  <c r="AU28" i="36" s="1"/>
  <c r="C81" i="33" s="1"/>
  <c r="I24" i="36"/>
  <c r="C33" i="36" s="1"/>
  <c r="V24" i="36"/>
  <c r="V26" i="36" s="1"/>
  <c r="Z24" i="36"/>
  <c r="Z26" i="36" s="1"/>
  <c r="AK24" i="36"/>
  <c r="AV27" i="36" s="1"/>
  <c r="D80" i="33" s="1"/>
  <c r="AO24" i="36"/>
  <c r="AV24" i="36" s="1"/>
  <c r="D77" i="33" s="1"/>
  <c r="AB26" i="36" l="1"/>
  <c r="C38" i="36"/>
  <c r="E38" i="36" s="1"/>
  <c r="AC26" i="36"/>
  <c r="C54" i="36"/>
  <c r="E54" i="36" s="1"/>
  <c r="AA26" i="36"/>
  <c r="C52" i="36"/>
  <c r="E52" i="36" s="1"/>
  <c r="Q26" i="36"/>
  <c r="C46" i="36"/>
  <c r="E46" i="36" s="1"/>
  <c r="K26" i="36"/>
  <c r="C34" i="36"/>
  <c r="E34" i="36" s="1"/>
  <c r="Y26" i="36"/>
  <c r="C50" i="36"/>
  <c r="E50" i="36" s="1"/>
  <c r="X26" i="36"/>
  <c r="C49" i="36"/>
  <c r="E49" i="36" s="1"/>
  <c r="AA29" i="35"/>
  <c r="C55" i="35"/>
  <c r="E55" i="35" s="1"/>
  <c r="Y29" i="35"/>
  <c r="C53" i="35"/>
  <c r="E53" i="35" s="1"/>
  <c r="AB29" i="35"/>
  <c r="C41" i="35"/>
  <c r="E41" i="35" s="1"/>
  <c r="AD29" i="35"/>
  <c r="C56" i="35"/>
  <c r="E56" i="35" s="1"/>
  <c r="AC29" i="35"/>
  <c r="C57" i="35"/>
  <c r="E57" i="35" s="1"/>
  <c r="Q29" i="35"/>
  <c r="C49" i="35"/>
  <c r="E49" i="35" s="1"/>
  <c r="U29" i="35"/>
  <c r="C47" i="35"/>
  <c r="E47" i="35" s="1"/>
  <c r="X29" i="35"/>
  <c r="C52" i="35"/>
  <c r="E52" i="35" s="1"/>
  <c r="I29" i="35"/>
  <c r="C36" i="35"/>
  <c r="K29" i="35"/>
  <c r="C37" i="35"/>
  <c r="E37" i="35" s="1"/>
  <c r="N29" i="35"/>
  <c r="C40" i="35"/>
  <c r="E40" i="35" s="1"/>
  <c r="L26" i="36"/>
  <c r="C35" i="36"/>
  <c r="L29" i="35"/>
  <c r="C38" i="35"/>
  <c r="C76" i="33"/>
  <c r="C82" i="33" s="1"/>
  <c r="AU29" i="36"/>
  <c r="AS29" i="36" s="1"/>
  <c r="C69" i="33"/>
  <c r="C75" i="33" s="1"/>
  <c r="AU32" i="35"/>
  <c r="AS32" i="35" s="1"/>
  <c r="D82" i="33"/>
  <c r="M24" i="36"/>
  <c r="M27" i="35"/>
  <c r="D89" i="33"/>
  <c r="D75" i="33"/>
  <c r="I26" i="36"/>
  <c r="U26" i="36"/>
  <c r="G26" i="36"/>
  <c r="P26" i="36"/>
  <c r="N26" i="36"/>
  <c r="S26" i="36"/>
  <c r="O26" i="36"/>
  <c r="M26" i="36" l="1"/>
  <c r="C36" i="36"/>
  <c r="E36" i="36" s="1"/>
  <c r="M29" i="35"/>
  <c r="E29" i="35" s="1"/>
  <c r="C39" i="35"/>
  <c r="E39" i="35" s="1"/>
  <c r="E35" i="36"/>
  <c r="E38" i="35"/>
  <c r="E58" i="35" s="1"/>
  <c r="C58" i="35"/>
  <c r="E26" i="36"/>
  <c r="C55" i="36" l="1"/>
  <c r="E55" i="36"/>
  <c r="AI18" i="34"/>
  <c r="AF11" i="28"/>
  <c r="AG11" i="28"/>
  <c r="AH11" i="28"/>
  <c r="AI11" i="28"/>
  <c r="AJ11" i="28"/>
  <c r="AK11" i="28"/>
  <c r="AL11" i="28"/>
  <c r="AM11" i="28"/>
  <c r="AN11" i="28"/>
  <c r="AO11" i="28"/>
  <c r="AP11" i="28"/>
  <c r="AF9" i="28"/>
  <c r="AG9" i="28"/>
  <c r="AH9" i="28"/>
  <c r="AI9" i="28"/>
  <c r="AJ9" i="28"/>
  <c r="AK9" i="28"/>
  <c r="AL9" i="28"/>
  <c r="AM9" i="28"/>
  <c r="AN9" i="28"/>
  <c r="AO9" i="28"/>
  <c r="AP9" i="28"/>
  <c r="AF7" i="28"/>
  <c r="AG7" i="28"/>
  <c r="AH7" i="28"/>
  <c r="AI7" i="28"/>
  <c r="AJ7" i="28"/>
  <c r="AK7" i="28"/>
  <c r="AL7" i="28"/>
  <c r="AM7" i="28"/>
  <c r="AN7" i="28"/>
  <c r="AO7" i="28"/>
  <c r="AP7" i="28"/>
  <c r="AG19" i="30"/>
  <c r="AT21" i="30" s="1"/>
  <c r="AH13" i="30"/>
  <c r="AH19" i="30" s="1"/>
  <c r="AS22" i="30" s="1"/>
  <c r="AI13" i="30"/>
  <c r="AI19" i="30" s="1"/>
  <c r="AT22" i="30" s="1"/>
  <c r="AJ13" i="30"/>
  <c r="AJ19" i="30" s="1"/>
  <c r="AS18" i="30" s="1"/>
  <c r="AK13" i="30"/>
  <c r="AK19" i="30" s="1"/>
  <c r="AT18" i="30" s="1"/>
  <c r="AL13" i="30"/>
  <c r="AL19" i="30" s="1"/>
  <c r="AS19" i="30" s="1"/>
  <c r="AM13" i="30"/>
  <c r="AM19" i="30" s="1"/>
  <c r="AT19" i="30" s="1"/>
  <c r="AN13" i="30"/>
  <c r="AN19" i="30" s="1"/>
  <c r="AS20" i="30" s="1"/>
  <c r="AO13" i="30"/>
  <c r="AO19" i="30" s="1"/>
  <c r="AT20" i="30" s="1"/>
  <c r="AP13" i="30"/>
  <c r="AP19" i="30" s="1"/>
  <c r="AS23" i="30" s="1"/>
  <c r="AQ13" i="30"/>
  <c r="AQ19" i="30" s="1"/>
  <c r="AT23" i="30" s="1"/>
  <c r="AP18" i="34" l="1"/>
  <c r="AL18" i="34"/>
  <c r="AS18" i="34"/>
  <c r="AO18" i="34"/>
  <c r="AK18" i="34"/>
  <c r="AR18" i="34"/>
  <c r="AN18" i="34"/>
  <c r="AJ18" i="34"/>
  <c r="AQ18" i="34"/>
  <c r="AM18" i="34"/>
  <c r="I22" i="10"/>
  <c r="I17" i="10"/>
  <c r="I13" i="10"/>
  <c r="J9" i="29"/>
  <c r="I11" i="28"/>
  <c r="I9" i="28"/>
  <c r="I7" i="28"/>
  <c r="J11" i="25"/>
  <c r="J13" i="30"/>
  <c r="J19" i="30" s="1"/>
  <c r="I24" i="10" l="1"/>
  <c r="I26" i="10" s="1"/>
  <c r="J18" i="34"/>
  <c r="J20" i="34" s="1"/>
  <c r="J17" i="25"/>
  <c r="J19" i="25" s="1"/>
  <c r="J28" i="26"/>
  <c r="I13" i="28"/>
  <c r="I15" i="28" s="1"/>
  <c r="J13" i="29"/>
  <c r="J15" i="29" s="1"/>
  <c r="I28" i="10" l="1"/>
  <c r="I30" i="10" s="1"/>
  <c r="J30" i="26"/>
  <c r="H11" i="28" l="1"/>
  <c r="J11" i="28"/>
  <c r="K11" i="28"/>
  <c r="AD32" i="32" l="1"/>
  <c r="AE32" i="32"/>
  <c r="AF32" i="32"/>
  <c r="AG32" i="32"/>
  <c r="AH32" i="32"/>
  <c r="AI32" i="32"/>
  <c r="AJ32" i="32"/>
  <c r="AK32" i="32"/>
  <c r="AL32" i="32"/>
  <c r="AM32" i="32"/>
  <c r="AN32" i="32"/>
  <c r="AC32" i="32"/>
  <c r="AD22" i="32"/>
  <c r="AE22" i="32"/>
  <c r="AF22" i="32"/>
  <c r="AG22" i="32"/>
  <c r="AH22" i="32"/>
  <c r="AI22" i="32"/>
  <c r="AJ22" i="32"/>
  <c r="AK22" i="32"/>
  <c r="AL22" i="32"/>
  <c r="AM22" i="32"/>
  <c r="AN22" i="32"/>
  <c r="AC22" i="32"/>
  <c r="AD14" i="32"/>
  <c r="AE14" i="32"/>
  <c r="AF14" i="32"/>
  <c r="AG14" i="32"/>
  <c r="AH14" i="32"/>
  <c r="AI14" i="32"/>
  <c r="AJ14" i="32"/>
  <c r="AK14" i="32"/>
  <c r="AL14" i="32"/>
  <c r="AM14" i="32"/>
  <c r="AN14" i="32"/>
  <c r="AC14" i="32"/>
  <c r="AC34" i="32" s="1"/>
  <c r="AF34" i="32" l="1"/>
  <c r="AI34" i="32"/>
  <c r="AK34" i="32"/>
  <c r="AM34" i="32"/>
  <c r="AG34" i="32"/>
  <c r="AL34" i="32"/>
  <c r="AE34" i="32"/>
  <c r="AJ34" i="32"/>
  <c r="AD34" i="32"/>
  <c r="AN34" i="32"/>
  <c r="AH34" i="32"/>
  <c r="AR28" i="26"/>
  <c r="AS28" i="26"/>
  <c r="AM28" i="26"/>
  <c r="AQ28" i="26"/>
  <c r="AK28" i="26"/>
  <c r="AL28" i="26"/>
  <c r="AP28" i="26"/>
  <c r="AJ28" i="26"/>
  <c r="AO28" i="26"/>
  <c r="AI28" i="26"/>
  <c r="AH28" i="26"/>
  <c r="AN28" i="26"/>
  <c r="AP14" i="27"/>
  <c r="AQ14" i="27"/>
  <c r="AK14" i="27"/>
  <c r="AJ14" i="27"/>
  <c r="AO14" i="27"/>
  <c r="AN14" i="27"/>
  <c r="AM14" i="27"/>
  <c r="AG14" i="27"/>
  <c r="AI14" i="27"/>
  <c r="AH14" i="27"/>
  <c r="AF14" i="27"/>
  <c r="AL14" i="27"/>
  <c r="AM13" i="28"/>
  <c r="AQ13" i="29"/>
  <c r="AP13" i="29"/>
  <c r="AJ13" i="29"/>
  <c r="AF13" i="29"/>
  <c r="AK13" i="29"/>
  <c r="AO13" i="29"/>
  <c r="AI13" i="29"/>
  <c r="AL13" i="29"/>
  <c r="AN13" i="29"/>
  <c r="AH13" i="29"/>
  <c r="AM13" i="29"/>
  <c r="AG13" i="29"/>
  <c r="AP17" i="25"/>
  <c r="AS17" i="25"/>
  <c r="AK17" i="25"/>
  <c r="AR17" i="25"/>
  <c r="AN17" i="25"/>
  <c r="AJ17" i="25"/>
  <c r="AH17" i="25"/>
  <c r="AL17" i="25"/>
  <c r="AO17" i="25"/>
  <c r="AQ17" i="25"/>
  <c r="AM17" i="25"/>
  <c r="AI17" i="25"/>
  <c r="AN13" i="28"/>
  <c r="AJ13" i="28"/>
  <c r="AE13" i="28"/>
  <c r="AI13" i="28"/>
  <c r="AP13" i="28"/>
  <c r="AL13" i="28"/>
  <c r="AH13" i="28"/>
  <c r="AO13" i="28"/>
  <c r="AK13" i="28"/>
  <c r="AG13" i="28"/>
  <c r="AF13" i="28"/>
  <c r="AH18" i="34"/>
  <c r="L14" i="10"/>
  <c r="L15" i="10"/>
  <c r="C1" i="28" l="1"/>
  <c r="C1" i="32"/>
  <c r="H32" i="32" l="1"/>
  <c r="H22" i="32"/>
  <c r="H14" i="32"/>
  <c r="I13" i="30"/>
  <c r="I19" i="30" s="1"/>
  <c r="I21" i="30" s="1"/>
  <c r="I9" i="29"/>
  <c r="H7" i="28"/>
  <c r="H9" i="28"/>
  <c r="I11" i="25"/>
  <c r="K11" i="25"/>
  <c r="H22" i="10"/>
  <c r="H17" i="10"/>
  <c r="H13" i="10"/>
  <c r="H24" i="10" l="1"/>
  <c r="H26" i="10" s="1"/>
  <c r="I28" i="26"/>
  <c r="C37" i="26" s="1"/>
  <c r="I14" i="27"/>
  <c r="I16" i="27" s="1"/>
  <c r="I13" i="29"/>
  <c r="H13" i="28"/>
  <c r="H15" i="28" s="1"/>
  <c r="I18" i="34"/>
  <c r="I17" i="25"/>
  <c r="H34" i="32"/>
  <c r="H36" i="32" s="1"/>
  <c r="I20" i="34" l="1"/>
  <c r="C27" i="34"/>
  <c r="I15" i="29"/>
  <c r="C22" i="29"/>
  <c r="I19" i="25"/>
  <c r="C26" i="25"/>
  <c r="H28" i="10"/>
  <c r="E47" i="10" s="1"/>
  <c r="I30" i="26"/>
  <c r="AB9" i="32"/>
  <c r="K9" i="32"/>
  <c r="AB8" i="32"/>
  <c r="K8" i="32"/>
  <c r="AB7" i="32"/>
  <c r="K7" i="32"/>
  <c r="AB11" i="32"/>
  <c r="K11" i="32"/>
  <c r="AB10" i="32"/>
  <c r="K10" i="32"/>
  <c r="AB12" i="32"/>
  <c r="K12" i="32"/>
  <c r="AB27" i="32"/>
  <c r="K27" i="32"/>
  <c r="AB26" i="32"/>
  <c r="K26" i="32"/>
  <c r="AB25" i="32"/>
  <c r="K25" i="32"/>
  <c r="AB24" i="32"/>
  <c r="K24" i="32"/>
  <c r="AB18" i="32"/>
  <c r="K18" i="32"/>
  <c r="AB17" i="32"/>
  <c r="K17" i="32"/>
  <c r="AB16" i="32"/>
  <c r="K16" i="32"/>
  <c r="AB29" i="32"/>
  <c r="K29" i="32"/>
  <c r="AB28" i="32"/>
  <c r="K28" i="32"/>
  <c r="AB30" i="32"/>
  <c r="K30" i="32"/>
  <c r="G32" i="32"/>
  <c r="F32" i="32"/>
  <c r="AB31" i="32" l="1"/>
  <c r="K31" i="32"/>
  <c r="K23" i="32"/>
  <c r="K21" i="32"/>
  <c r="K20" i="32"/>
  <c r="K19" i="32"/>
  <c r="K15" i="32"/>
  <c r="K13" i="32"/>
  <c r="K6" i="32"/>
  <c r="AB13" i="32" l="1"/>
  <c r="F14" i="32" l="1"/>
  <c r="G14" i="32"/>
  <c r="I14" i="32"/>
  <c r="J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E14" i="32"/>
  <c r="AB6" i="32"/>
  <c r="K14" i="32" l="1"/>
  <c r="X18" i="34" l="1"/>
  <c r="C43" i="34" s="1"/>
  <c r="E43" i="34" s="1"/>
  <c r="H11" i="25" l="1"/>
  <c r="G17" i="10"/>
  <c r="G13" i="10"/>
  <c r="G22" i="10"/>
  <c r="H28" i="26" l="1"/>
  <c r="G24" i="10"/>
  <c r="H18" i="34"/>
  <c r="H20" i="34" s="1"/>
  <c r="H17" i="25"/>
  <c r="H19" i="25" s="1"/>
  <c r="G11" i="28"/>
  <c r="G9" i="28"/>
  <c r="G7" i="28"/>
  <c r="H9" i="29"/>
  <c r="H13" i="30"/>
  <c r="H19" i="30" s="1"/>
  <c r="H21" i="30" s="1"/>
  <c r="G22" i="32"/>
  <c r="H30" i="26" l="1"/>
  <c r="G26" i="10"/>
  <c r="G13" i="28"/>
  <c r="G15" i="28" s="1"/>
  <c r="H14" i="27"/>
  <c r="H16" i="27" s="1"/>
  <c r="H13" i="29"/>
  <c r="H15" i="29" s="1"/>
  <c r="G34" i="32"/>
  <c r="AB15" i="32"/>
  <c r="G28" i="10" l="1"/>
  <c r="G36" i="32"/>
  <c r="G30" i="10" l="1"/>
  <c r="G18" i="34"/>
  <c r="G20" i="34" s="1"/>
  <c r="S18" i="34"/>
  <c r="S20" i="34" s="1"/>
  <c r="AB18" i="34"/>
  <c r="AV17" i="34"/>
  <c r="D62" i="33" s="1"/>
  <c r="P18" i="34"/>
  <c r="P20" i="34" s="1"/>
  <c r="Y18" i="34"/>
  <c r="AU21" i="34"/>
  <c r="C66" i="33" s="1"/>
  <c r="AU22" i="34"/>
  <c r="C67" i="33" s="1"/>
  <c r="L18" i="34"/>
  <c r="Q18" i="34"/>
  <c r="V18" i="34"/>
  <c r="V20" i="34" s="1"/>
  <c r="Z18" i="34"/>
  <c r="Z20" i="34" s="1"/>
  <c r="AD18" i="34"/>
  <c r="AV21" i="34"/>
  <c r="D66" i="33" s="1"/>
  <c r="AV18" i="34"/>
  <c r="D63" i="33" s="1"/>
  <c r="AV22" i="34"/>
  <c r="D67" i="33" s="1"/>
  <c r="O18" i="34"/>
  <c r="O20" i="34" s="1"/>
  <c r="X20" i="34"/>
  <c r="AV20" i="34"/>
  <c r="D65" i="33" s="1"/>
  <c r="AV19" i="34"/>
  <c r="D64" i="33" s="1"/>
  <c r="K18" i="34"/>
  <c r="U18" i="34"/>
  <c r="AC18" i="34"/>
  <c r="AU18" i="34"/>
  <c r="C63" i="33" s="1"/>
  <c r="N18" i="34"/>
  <c r="R18" i="34"/>
  <c r="R20" i="34" s="1"/>
  <c r="W18" i="34"/>
  <c r="W20" i="34" s="1"/>
  <c r="AA18" i="34"/>
  <c r="AU20" i="34"/>
  <c r="C65" i="33" s="1"/>
  <c r="AU17" i="34"/>
  <c r="AU19" i="34"/>
  <c r="C64" i="33" s="1"/>
  <c r="F18" i="34"/>
  <c r="F20" i="34" s="1"/>
  <c r="AC20" i="34" l="1"/>
  <c r="C48" i="34"/>
  <c r="E48" i="34" s="1"/>
  <c r="AB20" i="34"/>
  <c r="C32" i="34"/>
  <c r="E32" i="34" s="1"/>
  <c r="Y20" i="34"/>
  <c r="C44" i="34"/>
  <c r="E44" i="34" s="1"/>
  <c r="AD20" i="34"/>
  <c r="C47" i="34"/>
  <c r="E47" i="34" s="1"/>
  <c r="AA20" i="34"/>
  <c r="C46" i="34"/>
  <c r="E46" i="34" s="1"/>
  <c r="U20" i="34"/>
  <c r="C38" i="34"/>
  <c r="E38" i="34" s="1"/>
  <c r="Q20" i="34"/>
  <c r="C40" i="34"/>
  <c r="E40" i="34" s="1"/>
  <c r="N20" i="34"/>
  <c r="C31" i="34"/>
  <c r="E31" i="34" s="1"/>
  <c r="L20" i="34"/>
  <c r="C29" i="34"/>
  <c r="E29" i="34" s="1"/>
  <c r="K20" i="34"/>
  <c r="C28" i="34"/>
  <c r="C62" i="33"/>
  <c r="AU23" i="34"/>
  <c r="AS23" i="34" s="1"/>
  <c r="C68" i="33"/>
  <c r="D68" i="33"/>
  <c r="M18" i="34"/>
  <c r="M20" i="34" l="1"/>
  <c r="E20" i="34" s="1"/>
  <c r="C30" i="34"/>
  <c r="E30" i="34" s="1"/>
  <c r="E28" i="34"/>
  <c r="AB23" i="32"/>
  <c r="AB19" i="32"/>
  <c r="AB20" i="32"/>
  <c r="AB21" i="32"/>
  <c r="E49" i="34" l="1"/>
  <c r="C49" i="34"/>
  <c r="M7" i="28"/>
  <c r="N7" i="28"/>
  <c r="M9" i="28"/>
  <c r="N9" i="28"/>
  <c r="O9" i="28"/>
  <c r="P9" i="28"/>
  <c r="L7" i="28" l="1"/>
  <c r="L9" i="28"/>
  <c r="E22" i="32" l="1"/>
  <c r="T13" i="10" l="1"/>
  <c r="T17" i="10"/>
  <c r="S22" i="32"/>
  <c r="T22" i="32"/>
  <c r="S32" i="32"/>
  <c r="T32" i="32"/>
  <c r="P20" i="31"/>
  <c r="Q20" i="31"/>
  <c r="P36" i="31"/>
  <c r="Q36" i="31"/>
  <c r="P52" i="31"/>
  <c r="Q52" i="31"/>
  <c r="V13" i="30"/>
  <c r="V19" i="30" s="1"/>
  <c r="V21" i="30" s="1"/>
  <c r="W13" i="30"/>
  <c r="W19" i="30" s="1"/>
  <c r="W21" i="30" s="1"/>
  <c r="V9" i="29"/>
  <c r="W9" i="29"/>
  <c r="U7" i="28"/>
  <c r="V7" i="28"/>
  <c r="U9" i="28"/>
  <c r="V9" i="28"/>
  <c r="U11" i="28"/>
  <c r="V11" i="28"/>
  <c r="V11" i="25"/>
  <c r="W11" i="25"/>
  <c r="P54" i="31" l="1"/>
  <c r="Q54" i="31"/>
  <c r="V13" i="28"/>
  <c r="V15" i="28" s="1"/>
  <c r="W13" i="29"/>
  <c r="T34" i="32"/>
  <c r="V17" i="25"/>
  <c r="V19" i="25" s="1"/>
  <c r="W28" i="26"/>
  <c r="W17" i="25"/>
  <c r="W19" i="25" s="1"/>
  <c r="V28" i="26"/>
  <c r="S34" i="32"/>
  <c r="V13" i="29"/>
  <c r="U13" i="28"/>
  <c r="U15" i="28" s="1"/>
  <c r="W14" i="27"/>
  <c r="W16" i="27" s="1"/>
  <c r="V14" i="27"/>
  <c r="V16" i="27" s="1"/>
  <c r="U22" i="10"/>
  <c r="V22" i="10"/>
  <c r="U17" i="10"/>
  <c r="V17" i="10"/>
  <c r="U13" i="10"/>
  <c r="V13" i="10"/>
  <c r="U28" i="10" l="1"/>
  <c r="V28" i="10"/>
  <c r="W30" i="26"/>
  <c r="V30" i="26"/>
  <c r="V15" i="29"/>
  <c r="W15" i="29"/>
  <c r="T36" i="32"/>
  <c r="S36" i="32"/>
  <c r="U24" i="10"/>
  <c r="U26" i="10" s="1"/>
  <c r="V24" i="10"/>
  <c r="V26" i="10" s="1"/>
  <c r="AD11" i="25"/>
  <c r="AC11" i="25"/>
  <c r="AB11" i="25"/>
  <c r="AA11" i="25"/>
  <c r="Z11" i="25"/>
  <c r="Y11" i="25"/>
  <c r="X11" i="25"/>
  <c r="U11" i="25"/>
  <c r="S11" i="25"/>
  <c r="R11" i="25"/>
  <c r="Q11" i="25"/>
  <c r="P11" i="25"/>
  <c r="O11" i="25"/>
  <c r="N11" i="25"/>
  <c r="L11" i="25"/>
  <c r="G11" i="25"/>
  <c r="F11" i="25"/>
  <c r="AC11" i="28"/>
  <c r="AB11" i="28"/>
  <c r="AA11" i="28"/>
  <c r="Z11" i="28"/>
  <c r="Y11" i="28"/>
  <c r="X11" i="28"/>
  <c r="W11" i="28"/>
  <c r="T11" i="28"/>
  <c r="R11" i="28"/>
  <c r="Q11" i="28"/>
  <c r="P11" i="28"/>
  <c r="O11" i="28"/>
  <c r="N11" i="28"/>
  <c r="M11" i="28"/>
  <c r="AC9" i="28"/>
  <c r="AB9" i="28"/>
  <c r="AA9" i="28"/>
  <c r="Z9" i="28"/>
  <c r="Y9" i="28"/>
  <c r="X9" i="28"/>
  <c r="W9" i="28"/>
  <c r="T9" i="28"/>
  <c r="R9" i="28"/>
  <c r="Q9" i="28"/>
  <c r="K9" i="28"/>
  <c r="J9" i="28"/>
  <c r="E9" i="28"/>
  <c r="AC7" i="28"/>
  <c r="AB7" i="28"/>
  <c r="AA7" i="28"/>
  <c r="Z7" i="28"/>
  <c r="Y7" i="28"/>
  <c r="X7" i="28"/>
  <c r="W7" i="28"/>
  <c r="T7" i="28"/>
  <c r="R7" i="28"/>
  <c r="Q7" i="28"/>
  <c r="P7" i="28"/>
  <c r="O7" i="28"/>
  <c r="K7" i="28"/>
  <c r="J7" i="28"/>
  <c r="E7" i="28"/>
  <c r="AD9" i="29"/>
  <c r="AC9" i="29"/>
  <c r="AB9" i="29"/>
  <c r="AA9" i="29"/>
  <c r="Z9" i="29"/>
  <c r="Y9" i="29"/>
  <c r="X9" i="29"/>
  <c r="U9" i="29"/>
  <c r="S9" i="29"/>
  <c r="R9" i="29"/>
  <c r="Q9" i="29"/>
  <c r="P9" i="29"/>
  <c r="O9" i="29"/>
  <c r="N9" i="29"/>
  <c r="L9" i="29"/>
  <c r="K9" i="29"/>
  <c r="F9" i="29"/>
  <c r="AD13" i="30"/>
  <c r="AD19" i="30" s="1"/>
  <c r="AD21" i="30" s="1"/>
  <c r="AC13" i="30"/>
  <c r="AC19" i="30" s="1"/>
  <c r="AC21" i="30" s="1"/>
  <c r="AB13" i="30"/>
  <c r="AB19" i="30" s="1"/>
  <c r="AB21" i="30" s="1"/>
  <c r="AA13" i="30"/>
  <c r="AA19" i="30" s="1"/>
  <c r="AA21" i="30" s="1"/>
  <c r="Z13" i="30"/>
  <c r="Z19" i="30" s="1"/>
  <c r="Z21" i="30" s="1"/>
  <c r="Y13" i="30"/>
  <c r="Y19" i="30" s="1"/>
  <c r="Y21" i="30" s="1"/>
  <c r="X13" i="30"/>
  <c r="X19" i="30" s="1"/>
  <c r="X21" i="30" s="1"/>
  <c r="U13" i="30"/>
  <c r="U19" i="30" s="1"/>
  <c r="U21" i="30" s="1"/>
  <c r="S13" i="30"/>
  <c r="S19" i="30" s="1"/>
  <c r="S21" i="30" s="1"/>
  <c r="R13" i="30"/>
  <c r="R19" i="30" s="1"/>
  <c r="R21" i="30" s="1"/>
  <c r="Q13" i="30"/>
  <c r="Q19" i="30" s="1"/>
  <c r="Q21" i="30" s="1"/>
  <c r="P13" i="30"/>
  <c r="P19" i="30" s="1"/>
  <c r="P21" i="30" s="1"/>
  <c r="O13" i="30"/>
  <c r="O19" i="30" s="1"/>
  <c r="O21" i="30" s="1"/>
  <c r="N13" i="30"/>
  <c r="N19" i="30" s="1"/>
  <c r="N21" i="30" s="1"/>
  <c r="L13" i="30"/>
  <c r="L19" i="30" s="1"/>
  <c r="L21" i="30" s="1"/>
  <c r="K13" i="30"/>
  <c r="K19" i="30" s="1"/>
  <c r="K21" i="30" s="1"/>
  <c r="F13" i="30"/>
  <c r="F19" i="30" s="1"/>
  <c r="F21" i="30" s="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O52" i="31"/>
  <c r="N52" i="31"/>
  <c r="M52" i="31"/>
  <c r="L52" i="31"/>
  <c r="K52" i="31"/>
  <c r="J52" i="31"/>
  <c r="I52" i="31"/>
  <c r="G52" i="31"/>
  <c r="F52" i="31"/>
  <c r="E52" i="31"/>
  <c r="D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AJ36" i="31"/>
  <c r="AI36" i="31"/>
  <c r="AH36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O36" i="31"/>
  <c r="N36" i="31"/>
  <c r="M36" i="31"/>
  <c r="L36" i="31"/>
  <c r="K36" i="31"/>
  <c r="J36" i="31"/>
  <c r="I36" i="31"/>
  <c r="G36" i="31"/>
  <c r="F36" i="31"/>
  <c r="E36" i="31"/>
  <c r="D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O20" i="31"/>
  <c r="N20" i="31"/>
  <c r="M20" i="31"/>
  <c r="L20" i="31"/>
  <c r="K20" i="31"/>
  <c r="J20" i="31"/>
  <c r="I20" i="31"/>
  <c r="G20" i="31"/>
  <c r="F20" i="31"/>
  <c r="E20" i="31"/>
  <c r="D20" i="31"/>
  <c r="H19" i="31"/>
  <c r="H18" i="31"/>
  <c r="H17" i="31"/>
  <c r="H16" i="31"/>
  <c r="AA32" i="32"/>
  <c r="Z32" i="32"/>
  <c r="Y32" i="32"/>
  <c r="X32" i="32"/>
  <c r="W32" i="32"/>
  <c r="V32" i="32"/>
  <c r="U32" i="32"/>
  <c r="R32" i="32"/>
  <c r="Q32" i="32"/>
  <c r="P32" i="32"/>
  <c r="O32" i="32"/>
  <c r="N32" i="32"/>
  <c r="M32" i="32"/>
  <c r="L32" i="32"/>
  <c r="J32" i="32"/>
  <c r="I32" i="32"/>
  <c r="E32" i="32"/>
  <c r="AA22" i="32"/>
  <c r="Z22" i="32"/>
  <c r="Y22" i="32"/>
  <c r="X22" i="32"/>
  <c r="W22" i="32"/>
  <c r="V22" i="32"/>
  <c r="U22" i="32"/>
  <c r="R22" i="32"/>
  <c r="Q22" i="32"/>
  <c r="P22" i="32"/>
  <c r="O22" i="32"/>
  <c r="N22" i="32"/>
  <c r="M22" i="32"/>
  <c r="L22" i="32"/>
  <c r="J22" i="32"/>
  <c r="I22" i="32"/>
  <c r="F22" i="32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C22" i="10"/>
  <c r="AB22" i="10"/>
  <c r="AA22" i="10"/>
  <c r="Z22" i="10"/>
  <c r="Y22" i="10"/>
  <c r="X22" i="10"/>
  <c r="W22" i="10"/>
  <c r="T22" i="10"/>
  <c r="T24" i="10" s="1"/>
  <c r="R22" i="10"/>
  <c r="Q22" i="10"/>
  <c r="P22" i="10"/>
  <c r="O22" i="10"/>
  <c r="N22" i="10"/>
  <c r="M22" i="10"/>
  <c r="K22" i="10"/>
  <c r="J22" i="10"/>
  <c r="F22" i="10"/>
  <c r="E22" i="10"/>
  <c r="L21" i="10"/>
  <c r="L20" i="10"/>
  <c r="L19" i="10"/>
  <c r="L18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C17" i="10"/>
  <c r="AB17" i="10"/>
  <c r="AA17" i="10"/>
  <c r="Z17" i="10"/>
  <c r="Y17" i="10"/>
  <c r="X17" i="10"/>
  <c r="W17" i="10"/>
  <c r="R17" i="10"/>
  <c r="Q17" i="10"/>
  <c r="P17" i="10"/>
  <c r="O17" i="10"/>
  <c r="N17" i="10"/>
  <c r="M17" i="10"/>
  <c r="K17" i="10"/>
  <c r="J17" i="10"/>
  <c r="F17" i="10"/>
  <c r="E17" i="10"/>
  <c r="L16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C13" i="10"/>
  <c r="AB13" i="10"/>
  <c r="AA13" i="10"/>
  <c r="Z13" i="10"/>
  <c r="Y13" i="10"/>
  <c r="X13" i="10"/>
  <c r="W13" i="10"/>
  <c r="R13" i="10"/>
  <c r="Q13" i="10"/>
  <c r="P13" i="10"/>
  <c r="O13" i="10"/>
  <c r="N13" i="10"/>
  <c r="M13" i="10"/>
  <c r="K13" i="10"/>
  <c r="J13" i="10"/>
  <c r="F13" i="10"/>
  <c r="L12" i="10"/>
  <c r="L11" i="10"/>
  <c r="L10" i="10"/>
  <c r="R36" i="10" l="1"/>
  <c r="E56" i="10"/>
  <c r="G56" i="10" s="1"/>
  <c r="E21" i="30"/>
  <c r="V30" i="10"/>
  <c r="U30" i="10"/>
  <c r="T26" i="10"/>
  <c r="F13" i="29"/>
  <c r="AB13" i="29"/>
  <c r="C27" i="29" s="1"/>
  <c r="E27" i="29" s="1"/>
  <c r="AT15" i="29"/>
  <c r="D16" i="33" s="1"/>
  <c r="AT12" i="29"/>
  <c r="D13" i="33" s="1"/>
  <c r="AT14" i="29"/>
  <c r="D15" i="33" s="1"/>
  <c r="H52" i="31"/>
  <c r="U28" i="26"/>
  <c r="C48" i="26" s="1"/>
  <c r="E48" i="26" s="1"/>
  <c r="O13" i="29"/>
  <c r="O15" i="29" s="1"/>
  <c r="Z13" i="29"/>
  <c r="AT16" i="29"/>
  <c r="D17" i="33" s="1"/>
  <c r="AT13" i="29"/>
  <c r="D14" i="33" s="1"/>
  <c r="S13" i="29"/>
  <c r="S15" i="29" s="1"/>
  <c r="AD13" i="29"/>
  <c r="C42" i="29" s="1"/>
  <c r="E42" i="29" s="1"/>
  <c r="AT17" i="29"/>
  <c r="D18" i="33" s="1"/>
  <c r="X13" i="29"/>
  <c r="C38" i="29" s="1"/>
  <c r="E38" i="29" s="1"/>
  <c r="Q13" i="29"/>
  <c r="C35" i="29" s="1"/>
  <c r="E35" i="29" s="1"/>
  <c r="K13" i="29"/>
  <c r="H20" i="31"/>
  <c r="D54" i="31"/>
  <c r="AB54" i="31"/>
  <c r="AM57" i="31" s="1"/>
  <c r="W24" i="10"/>
  <c r="W26" i="10" s="1"/>
  <c r="AA24" i="10"/>
  <c r="AA26" i="10" s="1"/>
  <c r="AF24" i="10"/>
  <c r="AS28" i="10" s="1"/>
  <c r="AJ24" i="10"/>
  <c r="AS23" i="10" s="1"/>
  <c r="AN24" i="10"/>
  <c r="AS25" i="10" s="1"/>
  <c r="K32" i="32"/>
  <c r="H36" i="31"/>
  <c r="G54" i="31"/>
  <c r="L54" i="31"/>
  <c r="R54" i="31"/>
  <c r="V54" i="31"/>
  <c r="Z54" i="31"/>
  <c r="AM56" i="31" s="1"/>
  <c r="AA54" i="31"/>
  <c r="AL57" i="31" s="1"/>
  <c r="AE54" i="31"/>
  <c r="AL54" i="31" s="1"/>
  <c r="AI54" i="31"/>
  <c r="AL58" i="31" s="1"/>
  <c r="AC28" i="26"/>
  <c r="C58" i="26" s="1"/>
  <c r="E58" i="26" s="1"/>
  <c r="J24" i="10"/>
  <c r="O24" i="10"/>
  <c r="Z24" i="10"/>
  <c r="Z26" i="10" s="1"/>
  <c r="AE24" i="10"/>
  <c r="AR28" i="10" s="1"/>
  <c r="AI24" i="10"/>
  <c r="AR23" i="10" s="1"/>
  <c r="AM24" i="10"/>
  <c r="AR25" i="10" s="1"/>
  <c r="K54" i="31"/>
  <c r="U54" i="31"/>
  <c r="Y54" i="31"/>
  <c r="AL56" i="31" s="1"/>
  <c r="AC54" i="31"/>
  <c r="AL53" i="31" s="1"/>
  <c r="AG54" i="31"/>
  <c r="AL55" i="31" s="1"/>
  <c r="AF54" i="31"/>
  <c r="AM54" i="31" s="1"/>
  <c r="AJ54" i="31"/>
  <c r="AM58" i="31" s="1"/>
  <c r="Q17" i="25"/>
  <c r="X17" i="25"/>
  <c r="AB17" i="25"/>
  <c r="AV19" i="25"/>
  <c r="D58" i="33" s="1"/>
  <c r="AV16" i="25"/>
  <c r="D55" i="33" s="1"/>
  <c r="AV18" i="25"/>
  <c r="D57" i="33" s="1"/>
  <c r="P17" i="25"/>
  <c r="P19" i="25" s="1"/>
  <c r="AA17" i="25"/>
  <c r="AA19" i="25" s="1"/>
  <c r="AU19" i="25"/>
  <c r="C58" i="33" s="1"/>
  <c r="AU16" i="25"/>
  <c r="AU18" i="25"/>
  <c r="C57" i="33" s="1"/>
  <c r="Q28" i="26"/>
  <c r="C50" i="26" s="1"/>
  <c r="E50" i="26" s="1"/>
  <c r="X28" i="26"/>
  <c r="C53" i="26" s="1"/>
  <c r="E53" i="26" s="1"/>
  <c r="AB28" i="26"/>
  <c r="C42" i="26" s="1"/>
  <c r="E42" i="26" s="1"/>
  <c r="AV30" i="26"/>
  <c r="D51" i="33" s="1"/>
  <c r="AV27" i="26"/>
  <c r="D48" i="33" s="1"/>
  <c r="AV29" i="26"/>
  <c r="D50" i="33" s="1"/>
  <c r="AU30" i="26"/>
  <c r="C51" i="33" s="1"/>
  <c r="AU27" i="26"/>
  <c r="AU29" i="26"/>
  <c r="C50" i="33" s="1"/>
  <c r="G28" i="26"/>
  <c r="AU31" i="26"/>
  <c r="C52" i="33" s="1"/>
  <c r="AU28" i="26"/>
  <c r="C49" i="33" s="1"/>
  <c r="AU32" i="26"/>
  <c r="C53" i="33" s="1"/>
  <c r="AV31" i="26"/>
  <c r="D52" i="33" s="1"/>
  <c r="AV28" i="26"/>
  <c r="D49" i="33" s="1"/>
  <c r="AV32" i="26"/>
  <c r="D53" i="33" s="1"/>
  <c r="AQ34" i="32"/>
  <c r="D7" i="33" s="1"/>
  <c r="K22" i="32"/>
  <c r="AQ37" i="32"/>
  <c r="D10" i="33" s="1"/>
  <c r="AA34" i="32"/>
  <c r="AQ38" i="32"/>
  <c r="D11" i="33" s="1"/>
  <c r="M9" i="29"/>
  <c r="R13" i="29"/>
  <c r="R15" i="29" s="1"/>
  <c r="Y13" i="29"/>
  <c r="C39" i="29" s="1"/>
  <c r="E39" i="29" s="1"/>
  <c r="AC13" i="29"/>
  <c r="C43" i="29" s="1"/>
  <c r="E43" i="29" s="1"/>
  <c r="AS16" i="29"/>
  <c r="C17" i="33" s="1"/>
  <c r="AS13" i="29"/>
  <c r="C14" i="33" s="1"/>
  <c r="AS17" i="29"/>
  <c r="C18" i="33" s="1"/>
  <c r="G13" i="29"/>
  <c r="G15" i="29" s="1"/>
  <c r="P13" i="29"/>
  <c r="P15" i="29" s="1"/>
  <c r="AA13" i="29"/>
  <c r="C41" i="29" s="1"/>
  <c r="E41" i="29" s="1"/>
  <c r="AS15" i="29"/>
  <c r="C16" i="33" s="1"/>
  <c r="AS12" i="29"/>
  <c r="AS14" i="29"/>
  <c r="C15" i="33" s="1"/>
  <c r="U13" i="29"/>
  <c r="C33" i="29" s="1"/>
  <c r="E33" i="29" s="1"/>
  <c r="N13" i="29"/>
  <c r="L13" i="29"/>
  <c r="AA13" i="28"/>
  <c r="AA15" i="28" s="1"/>
  <c r="AS15" i="28"/>
  <c r="D37" i="33" s="1"/>
  <c r="AS12" i="28"/>
  <c r="D34" i="33" s="1"/>
  <c r="AS14" i="28"/>
  <c r="D36" i="33" s="1"/>
  <c r="R13" i="28"/>
  <c r="R15" i="28" s="1"/>
  <c r="AC13" i="28"/>
  <c r="AC15" i="28" s="1"/>
  <c r="AS13" i="28"/>
  <c r="D35" i="33" s="1"/>
  <c r="L11" i="28"/>
  <c r="E13" i="28"/>
  <c r="E15" i="28" s="1"/>
  <c r="W13" i="28"/>
  <c r="W15" i="28" s="1"/>
  <c r="P13" i="28"/>
  <c r="P15" i="28" s="1"/>
  <c r="U17" i="25"/>
  <c r="M11" i="25"/>
  <c r="AC17" i="25"/>
  <c r="AU20" i="25"/>
  <c r="C59" i="33" s="1"/>
  <c r="AU17" i="25"/>
  <c r="C56" i="33" s="1"/>
  <c r="AU21" i="25"/>
  <c r="C60" i="33" s="1"/>
  <c r="G17" i="25"/>
  <c r="G19" i="25" s="1"/>
  <c r="AV20" i="25"/>
  <c r="D59" i="33" s="1"/>
  <c r="AV17" i="25"/>
  <c r="D56" i="33" s="1"/>
  <c r="AV21" i="25"/>
  <c r="D60" i="33" s="1"/>
  <c r="Y17" i="25"/>
  <c r="R17" i="25"/>
  <c r="R19" i="25" s="1"/>
  <c r="N17" i="25"/>
  <c r="L17" i="25"/>
  <c r="F17" i="25"/>
  <c r="F19" i="25" s="1"/>
  <c r="Y28" i="26"/>
  <c r="C54" i="26" s="1"/>
  <c r="E54" i="26" s="1"/>
  <c r="R28" i="26"/>
  <c r="N28" i="26"/>
  <c r="C41" i="26" s="1"/>
  <c r="E41" i="26" s="1"/>
  <c r="F28" i="26"/>
  <c r="M34" i="32"/>
  <c r="Q34" i="32"/>
  <c r="W34" i="32"/>
  <c r="I34" i="32"/>
  <c r="J34" i="32"/>
  <c r="X34" i="32"/>
  <c r="AP33" i="32"/>
  <c r="C6" i="33" s="1"/>
  <c r="L17" i="10"/>
  <c r="M24" i="10"/>
  <c r="Q24" i="10"/>
  <c r="AB24" i="10"/>
  <c r="AB26" i="10" s="1"/>
  <c r="AG24" i="10"/>
  <c r="AO24" i="10"/>
  <c r="AR32" i="10" s="1"/>
  <c r="C4" i="33" s="1"/>
  <c r="E34" i="32"/>
  <c r="O34" i="32"/>
  <c r="Y34" i="32"/>
  <c r="AQ36" i="32"/>
  <c r="D9" i="33" s="1"/>
  <c r="AQ33" i="32"/>
  <c r="D6" i="33" s="1"/>
  <c r="AQ35" i="32"/>
  <c r="D8" i="33" s="1"/>
  <c r="O54" i="31"/>
  <c r="E54" i="31"/>
  <c r="M54" i="31"/>
  <c r="S54" i="31"/>
  <c r="F24" i="10"/>
  <c r="N24" i="10"/>
  <c r="R24" i="10"/>
  <c r="Y24" i="10"/>
  <c r="Y26" i="10" s="1"/>
  <c r="AC24" i="10"/>
  <c r="AC26" i="10" s="1"/>
  <c r="AH24" i="10"/>
  <c r="AL24" i="10"/>
  <c r="AS24" i="10" s="1"/>
  <c r="AP24" i="10"/>
  <c r="AS32" i="10" s="1"/>
  <c r="D4" i="33" s="1"/>
  <c r="F34" i="32"/>
  <c r="L34" i="32"/>
  <c r="P34" i="32"/>
  <c r="V34" i="32"/>
  <c r="Z34" i="32"/>
  <c r="AP37" i="32"/>
  <c r="C10" i="33" s="1"/>
  <c r="AP34" i="32"/>
  <c r="C7" i="33" s="1"/>
  <c r="AP38" i="32"/>
  <c r="C11" i="33" s="1"/>
  <c r="F54" i="31"/>
  <c r="J54" i="31"/>
  <c r="N54" i="31"/>
  <c r="T54" i="31"/>
  <c r="X54" i="31"/>
  <c r="AD54" i="31"/>
  <c r="AM53" i="31" s="1"/>
  <c r="AH54" i="31"/>
  <c r="AM55" i="31" s="1"/>
  <c r="J13" i="28"/>
  <c r="J15" i="28" s="1"/>
  <c r="N13" i="28"/>
  <c r="N15" i="28" s="1"/>
  <c r="Y13" i="28"/>
  <c r="Y15" i="28" s="1"/>
  <c r="AS16" i="28"/>
  <c r="D38" i="33" s="1"/>
  <c r="AS17" i="28"/>
  <c r="D39" i="33" s="1"/>
  <c r="K24" i="10"/>
  <c r="P24" i="10"/>
  <c r="P26" i="10" s="1"/>
  <c r="N34" i="32"/>
  <c r="AP36" i="32"/>
  <c r="C9" i="33" s="1"/>
  <c r="R34" i="32"/>
  <c r="AP35" i="32"/>
  <c r="C8" i="33" s="1"/>
  <c r="L13" i="10"/>
  <c r="E24" i="10"/>
  <c r="E26" i="10" s="1"/>
  <c r="X24" i="10"/>
  <c r="X26" i="10" s="1"/>
  <c r="AK24" i="10"/>
  <c r="AR24" i="10" s="1"/>
  <c r="U34" i="32"/>
  <c r="I54" i="31"/>
  <c r="W54" i="31"/>
  <c r="K13" i="28"/>
  <c r="K15" i="28" s="1"/>
  <c r="O13" i="28"/>
  <c r="O15" i="28" s="1"/>
  <c r="T13" i="28"/>
  <c r="T15" i="28" s="1"/>
  <c r="Z13" i="28"/>
  <c r="Z15" i="28" s="1"/>
  <c r="AR15" i="28"/>
  <c r="C37" i="33" s="1"/>
  <c r="AR12" i="28"/>
  <c r="C34" i="33" s="1"/>
  <c r="AR14" i="28"/>
  <c r="C36" i="33" s="1"/>
  <c r="K14" i="27"/>
  <c r="K16" i="27" s="1"/>
  <c r="O14" i="27"/>
  <c r="O16" i="27" s="1"/>
  <c r="S14" i="27"/>
  <c r="S16" i="27" s="1"/>
  <c r="Z14" i="27"/>
  <c r="Z16" i="27" s="1"/>
  <c r="AD14" i="27"/>
  <c r="AD16" i="27" s="1"/>
  <c r="AT17" i="27"/>
  <c r="D45" i="33" s="1"/>
  <c r="AT14" i="27"/>
  <c r="D42" i="33" s="1"/>
  <c r="AT18" i="27"/>
  <c r="D46" i="33" s="1"/>
  <c r="K28" i="26"/>
  <c r="C38" i="26" s="1"/>
  <c r="O28" i="26"/>
  <c r="S28" i="26"/>
  <c r="Z28" i="26"/>
  <c r="Y28" i="10" s="1"/>
  <c r="AD28" i="26"/>
  <c r="C57" i="26" s="1"/>
  <c r="E57" i="26" s="1"/>
  <c r="K17" i="25"/>
  <c r="O17" i="25"/>
  <c r="O19" i="25" s="1"/>
  <c r="S17" i="25"/>
  <c r="S19" i="25" s="1"/>
  <c r="Z17" i="25"/>
  <c r="AD17" i="25"/>
  <c r="L14" i="27"/>
  <c r="L16" i="27" s="1"/>
  <c r="P14" i="27"/>
  <c r="P16" i="27" s="1"/>
  <c r="U14" i="27"/>
  <c r="U16" i="27" s="1"/>
  <c r="AA14" i="27"/>
  <c r="AA16" i="27" s="1"/>
  <c r="AS16" i="27"/>
  <c r="C44" i="33" s="1"/>
  <c r="AS13" i="27"/>
  <c r="AS15" i="27"/>
  <c r="C43" i="33" s="1"/>
  <c r="L28" i="26"/>
  <c r="C39" i="26" s="1"/>
  <c r="E39" i="26" s="1"/>
  <c r="P28" i="26"/>
  <c r="AA28" i="26"/>
  <c r="F13" i="28"/>
  <c r="F15" i="28" s="1"/>
  <c r="M13" i="28"/>
  <c r="M15" i="28" s="1"/>
  <c r="Q13" i="28"/>
  <c r="Q15" i="28" s="1"/>
  <c r="X13" i="28"/>
  <c r="X15" i="28" s="1"/>
  <c r="AB13" i="28"/>
  <c r="AB15" i="28" s="1"/>
  <c r="AR16" i="28"/>
  <c r="C38" i="33" s="1"/>
  <c r="AR13" i="28"/>
  <c r="C35" i="33" s="1"/>
  <c r="AR17" i="28"/>
  <c r="C39" i="33" s="1"/>
  <c r="F14" i="27"/>
  <c r="F16" i="27" s="1"/>
  <c r="Q14" i="27"/>
  <c r="Q16" i="27" s="1"/>
  <c r="X14" i="27"/>
  <c r="X16" i="27" s="1"/>
  <c r="AB14" i="27"/>
  <c r="AB16" i="27" s="1"/>
  <c r="AT16" i="27"/>
  <c r="D44" i="33" s="1"/>
  <c r="AT13" i="27"/>
  <c r="D41" i="33" s="1"/>
  <c r="AT15" i="27"/>
  <c r="D43" i="33" s="1"/>
  <c r="G14" i="27"/>
  <c r="G16" i="27" s="1"/>
  <c r="N14" i="27"/>
  <c r="N16" i="27" s="1"/>
  <c r="R14" i="27"/>
  <c r="R16" i="27" s="1"/>
  <c r="Y14" i="27"/>
  <c r="Y16" i="27" s="1"/>
  <c r="AC14" i="27"/>
  <c r="AC16" i="27" s="1"/>
  <c r="AS17" i="27"/>
  <c r="C45" i="33" s="1"/>
  <c r="AS14" i="27"/>
  <c r="C42" i="33" s="1"/>
  <c r="AS18" i="27"/>
  <c r="C46" i="33" s="1"/>
  <c r="L22" i="10"/>
  <c r="AD19" i="25" l="1"/>
  <c r="C46" i="25"/>
  <c r="E46" i="25" s="1"/>
  <c r="AC19" i="25"/>
  <c r="C47" i="25"/>
  <c r="E47" i="25" s="1"/>
  <c r="L15" i="29"/>
  <c r="C24" i="29"/>
  <c r="E24" i="29" s="1"/>
  <c r="N15" i="29"/>
  <c r="C26" i="29"/>
  <c r="E26" i="29" s="1"/>
  <c r="K15" i="29"/>
  <c r="C23" i="29"/>
  <c r="Q19" i="25"/>
  <c r="C39" i="25"/>
  <c r="E39" i="25" s="1"/>
  <c r="Z19" i="25"/>
  <c r="C45" i="25"/>
  <c r="E45" i="25" s="1"/>
  <c r="Y19" i="25"/>
  <c r="C43" i="25"/>
  <c r="E43" i="25" s="1"/>
  <c r="AB19" i="25"/>
  <c r="C31" i="25"/>
  <c r="E31" i="25" s="1"/>
  <c r="U19" i="25"/>
  <c r="C37" i="25"/>
  <c r="E37" i="25" s="1"/>
  <c r="L19" i="25"/>
  <c r="C28" i="25"/>
  <c r="E28" i="25" s="1"/>
  <c r="X19" i="25"/>
  <c r="C42" i="25"/>
  <c r="E42" i="25" s="1"/>
  <c r="N19" i="25"/>
  <c r="C30" i="25"/>
  <c r="E30" i="25" s="1"/>
  <c r="K19" i="25"/>
  <c r="C27" i="25"/>
  <c r="Z28" i="10"/>
  <c r="Z30" i="10" s="1"/>
  <c r="C56" i="26"/>
  <c r="E56" i="26" s="1"/>
  <c r="E38" i="26"/>
  <c r="C13" i="33"/>
  <c r="AS18" i="29"/>
  <c r="AQ18" i="29" s="1"/>
  <c r="K28" i="10"/>
  <c r="C48" i="33"/>
  <c r="C54" i="33" s="1"/>
  <c r="AU33" i="26"/>
  <c r="AS33" i="26" s="1"/>
  <c r="C41" i="33"/>
  <c r="C47" i="33" s="1"/>
  <c r="AS19" i="27"/>
  <c r="AQ19" i="27" s="1"/>
  <c r="O28" i="10"/>
  <c r="W28" i="10"/>
  <c r="AB28" i="10"/>
  <c r="E28" i="10"/>
  <c r="P28" i="10"/>
  <c r="E60" i="10" s="1"/>
  <c r="G60" i="10" s="1"/>
  <c r="AC28" i="10"/>
  <c r="R28" i="10"/>
  <c r="R30" i="10" s="1"/>
  <c r="C55" i="33"/>
  <c r="C61" i="33" s="1"/>
  <c r="AU22" i="25"/>
  <c r="AS22" i="25" s="1"/>
  <c r="J28" i="10"/>
  <c r="E48" i="10" s="1"/>
  <c r="G48" i="10" s="1"/>
  <c r="AA28" i="10"/>
  <c r="M28" i="10"/>
  <c r="Q28" i="10"/>
  <c r="E55" i="10" s="1"/>
  <c r="G55" i="10" s="1"/>
  <c r="N28" i="10"/>
  <c r="X28" i="10"/>
  <c r="F28" i="10"/>
  <c r="F30" i="10" s="1"/>
  <c r="U30" i="26"/>
  <c r="T28" i="10"/>
  <c r="D19" i="33"/>
  <c r="C19" i="33"/>
  <c r="AA30" i="26"/>
  <c r="Z30" i="26"/>
  <c r="O30" i="26"/>
  <c r="AB30" i="26"/>
  <c r="S30" i="26"/>
  <c r="G30" i="26"/>
  <c r="X30" i="26"/>
  <c r="P30" i="26"/>
  <c r="L30" i="26"/>
  <c r="K30" i="26"/>
  <c r="N30" i="26"/>
  <c r="R30" i="26"/>
  <c r="Y30" i="26"/>
  <c r="F30" i="26"/>
  <c r="Q30" i="26"/>
  <c r="AC30" i="26"/>
  <c r="AD30" i="26"/>
  <c r="U15" i="29"/>
  <c r="D61" i="33"/>
  <c r="D54" i="33"/>
  <c r="D47" i="33"/>
  <c r="D40" i="33"/>
  <c r="N26" i="10"/>
  <c r="Q26" i="10"/>
  <c r="F26" i="10"/>
  <c r="O26" i="10"/>
  <c r="K26" i="10"/>
  <c r="R26" i="10"/>
  <c r="J26" i="10"/>
  <c r="M26" i="10"/>
  <c r="Q15" i="29"/>
  <c r="AD15" i="29"/>
  <c r="Z15" i="29"/>
  <c r="AB15" i="29"/>
  <c r="AA15" i="29"/>
  <c r="AC15" i="29"/>
  <c r="X15" i="29"/>
  <c r="Y15" i="29"/>
  <c r="F15" i="29"/>
  <c r="H54" i="31"/>
  <c r="M36" i="32"/>
  <c r="X36" i="32"/>
  <c r="Y36" i="32"/>
  <c r="L36" i="32"/>
  <c r="O36" i="32"/>
  <c r="Z36" i="32"/>
  <c r="V36" i="32"/>
  <c r="P36" i="32"/>
  <c r="U36" i="32"/>
  <c r="R36" i="32"/>
  <c r="F36" i="32"/>
  <c r="E36" i="32"/>
  <c r="Q36" i="32"/>
  <c r="AA36" i="32"/>
  <c r="N36" i="32"/>
  <c r="J36" i="32"/>
  <c r="I36" i="32"/>
  <c r="H30" i="10"/>
  <c r="W36" i="32"/>
  <c r="L24" i="10"/>
  <c r="K34" i="32"/>
  <c r="M13" i="29"/>
  <c r="M14" i="27"/>
  <c r="M16" i="27" s="1"/>
  <c r="E16" i="27" s="1"/>
  <c r="M28" i="26"/>
  <c r="C40" i="26" s="1"/>
  <c r="E40" i="26" s="1"/>
  <c r="L13" i="28"/>
  <c r="L15" i="28" s="1"/>
  <c r="D15" i="28" s="1"/>
  <c r="M17" i="25"/>
  <c r="M15" i="29" l="1"/>
  <c r="C25" i="29"/>
  <c r="E25" i="29" s="1"/>
  <c r="E23" i="29"/>
  <c r="E44" i="29" s="1"/>
  <c r="C44" i="29"/>
  <c r="M19" i="25"/>
  <c r="E19" i="25" s="1"/>
  <c r="C29" i="25"/>
  <c r="E29" i="25" s="1"/>
  <c r="E27" i="25"/>
  <c r="E48" i="25" s="1"/>
  <c r="C48" i="25"/>
  <c r="C59" i="26"/>
  <c r="E59" i="26"/>
  <c r="E46" i="10"/>
  <c r="G46" i="10" s="1"/>
  <c r="L28" i="10"/>
  <c r="AD28" i="10" s="1"/>
  <c r="C91" i="33"/>
  <c r="D91" i="33"/>
  <c r="R32" i="10"/>
  <c r="E53" i="10"/>
  <c r="G53" i="10" s="1"/>
  <c r="M30" i="26"/>
  <c r="E30" i="26" s="1"/>
  <c r="Y30" i="10"/>
  <c r="E65" i="10"/>
  <c r="G65" i="10" s="1"/>
  <c r="O30" i="10"/>
  <c r="E54" i="10"/>
  <c r="G54" i="10" s="1"/>
  <c r="AC30" i="10"/>
  <c r="E67" i="10"/>
  <c r="G67" i="10" s="1"/>
  <c r="X30" i="10"/>
  <c r="E64" i="10"/>
  <c r="G64" i="10" s="1"/>
  <c r="T30" i="10"/>
  <c r="E58" i="10"/>
  <c r="G58" i="10" s="1"/>
  <c r="K30" i="10"/>
  <c r="E49" i="10"/>
  <c r="G49" i="10" s="1"/>
  <c r="M30" i="10"/>
  <c r="E51" i="10"/>
  <c r="G51" i="10" s="1"/>
  <c r="AB30" i="10"/>
  <c r="E68" i="10"/>
  <c r="G68" i="10" s="1"/>
  <c r="W30" i="10"/>
  <c r="E63" i="10"/>
  <c r="G63" i="10" s="1"/>
  <c r="AA30" i="10"/>
  <c r="E52" i="10"/>
  <c r="G52" i="10" s="1"/>
  <c r="P30" i="10"/>
  <c r="R33" i="10"/>
  <c r="Q30" i="10"/>
  <c r="R34" i="10"/>
  <c r="J30" i="10"/>
  <c r="E30" i="10"/>
  <c r="E15" i="29"/>
  <c r="L26" i="10"/>
  <c r="K36" i="32"/>
  <c r="D36" i="32" s="1"/>
  <c r="R35" i="10"/>
  <c r="N30" i="10"/>
  <c r="L30" i="10" l="1"/>
  <c r="Z35" i="10" s="1"/>
  <c r="E50" i="10"/>
  <c r="G50" i="10" s="1"/>
  <c r="G69" i="10" s="1"/>
  <c r="X33" i="10"/>
  <c r="E69" i="10" l="1"/>
</calcChain>
</file>

<file path=xl/sharedStrings.xml><?xml version="1.0" encoding="utf-8"?>
<sst xmlns="http://schemas.openxmlformats.org/spreadsheetml/2006/main" count="1852" uniqueCount="246">
  <si>
    <t>WORKING PLACE</t>
  </si>
  <si>
    <t>EMULEX</t>
  </si>
  <si>
    <t>ANFO</t>
  </si>
  <si>
    <t>OBC</t>
  </si>
  <si>
    <t>NONEL</t>
  </si>
  <si>
    <t>EXEL</t>
  </si>
  <si>
    <t>CORDTEX</t>
  </si>
  <si>
    <t>EBC</t>
  </si>
  <si>
    <t>PCS</t>
  </si>
  <si>
    <t>KLS</t>
  </si>
  <si>
    <t>MTR</t>
  </si>
  <si>
    <t>TOTAL</t>
  </si>
  <si>
    <t>SHIFT</t>
  </si>
  <si>
    <t>CONT.</t>
  </si>
  <si>
    <t>PULSAR</t>
  </si>
  <si>
    <t>GRAND TOTAL</t>
  </si>
  <si>
    <t>OVER ALL TOTAL</t>
  </si>
  <si>
    <t>SUPREME</t>
  </si>
  <si>
    <t xml:space="preserve"> </t>
  </si>
  <si>
    <t>FUSE LIGHTER</t>
  </si>
  <si>
    <t>BILL WIRE</t>
  </si>
  <si>
    <t>SUPER POWER</t>
  </si>
  <si>
    <t>SAFETY FUSE</t>
  </si>
  <si>
    <t>MTRS</t>
  </si>
  <si>
    <t>DATE:</t>
  </si>
  <si>
    <t>HORIZONTAL</t>
  </si>
  <si>
    <t>RAISE</t>
  </si>
  <si>
    <t>WINZE</t>
  </si>
  <si>
    <t>STOPE</t>
  </si>
  <si>
    <t>ROBBING</t>
  </si>
  <si>
    <t>PB</t>
  </si>
  <si>
    <t>SB</t>
  </si>
  <si>
    <t>CLASSIC</t>
  </si>
  <si>
    <t>DRIFT/CROSSCUT</t>
  </si>
  <si>
    <t>STOPE/STOPE PREP</t>
  </si>
  <si>
    <t>CHAMBER/SHAFT</t>
  </si>
  <si>
    <t>LEVEL</t>
  </si>
  <si>
    <t>LEVEL 6</t>
  </si>
  <si>
    <t>LEVEL 7</t>
  </si>
  <si>
    <t>LEVEL 8</t>
  </si>
  <si>
    <t>LEVEL 9</t>
  </si>
  <si>
    <t>SHAFT/CHAMBER/OREPASS</t>
  </si>
  <si>
    <t>15E</t>
  </si>
  <si>
    <t>SHAFT</t>
  </si>
  <si>
    <t>SUPREME 2.4/3.6</t>
  </si>
  <si>
    <t>CORDTEX 5/6/40/10</t>
  </si>
  <si>
    <t>NONEL 2.4/3.6</t>
  </si>
  <si>
    <t>PRIMARY BLAST</t>
  </si>
  <si>
    <t>NO. OF HOLES</t>
  </si>
  <si>
    <t>SECONDARY BLAST</t>
  </si>
  <si>
    <t>Bouldering</t>
  </si>
  <si>
    <t>TODATE COST</t>
  </si>
  <si>
    <t>UNIT PRICE</t>
  </si>
  <si>
    <t>TOTAL COST</t>
  </si>
  <si>
    <t>DAILY COST</t>
  </si>
  <si>
    <t>MS 12</t>
  </si>
  <si>
    <t>MS 18</t>
  </si>
  <si>
    <t>Sup</t>
  </si>
  <si>
    <t>PRICE</t>
  </si>
  <si>
    <t>LEVEL 10</t>
  </si>
  <si>
    <t>STOCK CODE</t>
  </si>
  <si>
    <t>SP</t>
  </si>
  <si>
    <t>MAGNUM</t>
  </si>
  <si>
    <t>LEVEL 2</t>
  </si>
  <si>
    <t>LEVEL 11</t>
  </si>
  <si>
    <t>LEVEL 12</t>
  </si>
  <si>
    <t>PB&amp; SB TOTAL</t>
  </si>
  <si>
    <t>MINE EXPLOSIVES DAILY REPORT</t>
  </si>
  <si>
    <t>SHOCK STAR</t>
  </si>
  <si>
    <t>EXEL 3.6/2.4/4.9</t>
  </si>
  <si>
    <t>SHOCKSTAR 2.4</t>
  </si>
  <si>
    <t>EM AUSTIN</t>
  </si>
  <si>
    <t>DYNA SUPERPOWER 208</t>
  </si>
  <si>
    <t xml:space="preserve">DYNAPULSAR  215 </t>
  </si>
  <si>
    <t>S/FUSE</t>
  </si>
  <si>
    <t>F/LIGHTER</t>
  </si>
  <si>
    <t>NONEL 2.4</t>
  </si>
  <si>
    <t>NONEL 3.6</t>
  </si>
  <si>
    <t>SUPREME 2.4</t>
  </si>
  <si>
    <t>PENTEX STOPE PREIME</t>
  </si>
  <si>
    <t>EXEL 2.4</t>
  </si>
  <si>
    <t>EXEL 4.9</t>
  </si>
  <si>
    <t>EXEL 3.6</t>
  </si>
  <si>
    <t>CORDTEX 5</t>
  </si>
  <si>
    <t>CORDTEX 10</t>
  </si>
  <si>
    <t>CORDTEX 40</t>
  </si>
  <si>
    <t>ISSUANCE</t>
  </si>
  <si>
    <t>COST</t>
  </si>
  <si>
    <t>COST PER DAY</t>
  </si>
  <si>
    <t>DESCRIPTION</t>
  </si>
  <si>
    <t>ENTRY DATABASE:</t>
  </si>
  <si>
    <t>PREPARED BY:  __________________</t>
  </si>
  <si>
    <t>____________________</t>
  </si>
  <si>
    <t>CHECKED BY: _____________________</t>
  </si>
  <si>
    <t>DCORD I5</t>
  </si>
  <si>
    <t>DCORD 15</t>
  </si>
  <si>
    <r>
      <t xml:space="preserve">DCORD </t>
    </r>
    <r>
      <rPr>
        <b/>
        <sz val="14"/>
        <rFont val="Berlin Sans FB Demi"/>
        <family val="2"/>
      </rPr>
      <t>i5</t>
    </r>
  </si>
  <si>
    <t>SINUG-ANG</t>
  </si>
  <si>
    <t>LEVEL 3</t>
  </si>
  <si>
    <t>LEVEL 425</t>
  </si>
  <si>
    <t>NEOGEL 200</t>
  </si>
  <si>
    <t>DRILL STEEL</t>
  </si>
  <si>
    <t>PREP</t>
  </si>
  <si>
    <t>BREAKING</t>
  </si>
  <si>
    <t>DRIFT</t>
  </si>
  <si>
    <t>CROSCUT</t>
  </si>
  <si>
    <t>L3</t>
  </si>
  <si>
    <t>L8</t>
  </si>
  <si>
    <t>L9</t>
  </si>
  <si>
    <t>L10</t>
  </si>
  <si>
    <t>L11</t>
  </si>
  <si>
    <t>L12</t>
  </si>
  <si>
    <t>L425</t>
  </si>
  <si>
    <t>MANUAL DETONATOR COUNT</t>
  </si>
  <si>
    <t>REMARKS</t>
  </si>
  <si>
    <t>COMPUTED DETONATOR COUNT</t>
  </si>
  <si>
    <t xml:space="preserve">COMPUTED DETONATOR </t>
  </si>
  <si>
    <t>NEOGEL</t>
  </si>
  <si>
    <t>NO BLAST</t>
  </si>
  <si>
    <t>LEVEL 460</t>
  </si>
  <si>
    <t>L460</t>
  </si>
  <si>
    <t>FERNANDEZ</t>
  </si>
  <si>
    <t>AÑABIEZA</t>
  </si>
  <si>
    <t xml:space="preserve">53E ROBB </t>
  </si>
  <si>
    <t xml:space="preserve">35E XCN </t>
  </si>
  <si>
    <t>EVANGELISTA</t>
  </si>
  <si>
    <t>PMC MINERS</t>
  </si>
  <si>
    <t xml:space="preserve">39E W STP PREP </t>
  </si>
  <si>
    <t>ABOOL</t>
  </si>
  <si>
    <t>CANTAGO</t>
  </si>
  <si>
    <t xml:space="preserve">27E RAISE </t>
  </si>
  <si>
    <t>NITRO CN</t>
  </si>
  <si>
    <t xml:space="preserve">49E W STP PREP </t>
  </si>
  <si>
    <t xml:space="preserve">35E STP </t>
  </si>
  <si>
    <t xml:space="preserve">19E STP PREP </t>
  </si>
  <si>
    <t>20E DE ISL</t>
  </si>
  <si>
    <t>CAPUYAN</t>
  </si>
  <si>
    <t>34E DW ISL</t>
  </si>
  <si>
    <t xml:space="preserve">17W ROBB </t>
  </si>
  <si>
    <t xml:space="preserve">49E STP PREP </t>
  </si>
  <si>
    <t>GALLEGO</t>
  </si>
  <si>
    <t xml:space="preserve">10W RAISE </t>
  </si>
  <si>
    <t xml:space="preserve">21E STP </t>
  </si>
  <si>
    <t xml:space="preserve">39E STP PREP </t>
  </si>
  <si>
    <t>26E DW ISL</t>
  </si>
  <si>
    <t>CARIKITAN</t>
  </si>
  <si>
    <t xml:space="preserve">14W WINZE </t>
  </si>
  <si>
    <t xml:space="preserve">37E STP </t>
  </si>
  <si>
    <t>ABELLA</t>
  </si>
  <si>
    <t>DELOS REYES</t>
  </si>
  <si>
    <t xml:space="preserve">36E W STP </t>
  </si>
  <si>
    <t>BALANGHIG</t>
  </si>
  <si>
    <t xml:space="preserve">73E ROBB </t>
  </si>
  <si>
    <t>TUGOT</t>
  </si>
  <si>
    <t>LARONA</t>
  </si>
  <si>
    <t xml:space="preserve">8E XCS </t>
  </si>
  <si>
    <t xml:space="preserve">12W XCN </t>
  </si>
  <si>
    <t>NAVALES</t>
  </si>
  <si>
    <t xml:space="preserve">80E STP </t>
  </si>
  <si>
    <t>GONO</t>
  </si>
  <si>
    <t>BADBADON</t>
  </si>
  <si>
    <t xml:space="preserve">28W STP PREP </t>
  </si>
  <si>
    <t>LARGO</t>
  </si>
  <si>
    <t xml:space="preserve">7W DE </t>
  </si>
  <si>
    <t>BACALSO</t>
  </si>
  <si>
    <t xml:space="preserve">46E DE </t>
  </si>
  <si>
    <t xml:space="preserve">16E XCS </t>
  </si>
  <si>
    <t>SAMBERE</t>
  </si>
  <si>
    <t xml:space="preserve">4W RAISE </t>
  </si>
  <si>
    <t xml:space="preserve">40E W STP PREP </t>
  </si>
  <si>
    <t>COMAINGKING</t>
  </si>
  <si>
    <t xml:space="preserve">98E STP PREP </t>
  </si>
  <si>
    <t>BELICAN</t>
  </si>
  <si>
    <t xml:space="preserve">103E STP </t>
  </si>
  <si>
    <t xml:space="preserve">11E XCS </t>
  </si>
  <si>
    <t>GOC-ONG</t>
  </si>
  <si>
    <t xml:space="preserve">98E STP </t>
  </si>
  <si>
    <t>ALQUIZAR</t>
  </si>
  <si>
    <t>NITRO CR</t>
  </si>
  <si>
    <t xml:space="preserve">96E RAISE </t>
  </si>
  <si>
    <t>BAÑEZ</t>
  </si>
  <si>
    <t xml:space="preserve">104E STP </t>
  </si>
  <si>
    <t xml:space="preserve">40E STP PREP </t>
  </si>
  <si>
    <t xml:space="preserve">28E STP PREP </t>
  </si>
  <si>
    <t>CARVAJAL</t>
  </si>
  <si>
    <t xml:space="preserve">66E ROBB </t>
  </si>
  <si>
    <t xml:space="preserve">23E RAISE </t>
  </si>
  <si>
    <t>AMORES</t>
  </si>
  <si>
    <t>DURANGO</t>
  </si>
  <si>
    <t xml:space="preserve">51E DE </t>
  </si>
  <si>
    <t>DUHIG</t>
  </si>
  <si>
    <t xml:space="preserve">22E STP </t>
  </si>
  <si>
    <t>LANTACA</t>
  </si>
  <si>
    <t xml:space="preserve">5E RAISE </t>
  </si>
  <si>
    <t>BACLAS</t>
  </si>
  <si>
    <t xml:space="preserve">75E DE </t>
  </si>
  <si>
    <t>CAYMAN</t>
  </si>
  <si>
    <t xml:space="preserve">46E STP </t>
  </si>
  <si>
    <t xml:space="preserve">71E DW </t>
  </si>
  <si>
    <t>JOVITA</t>
  </si>
  <si>
    <t xml:space="preserve">45E STP </t>
  </si>
  <si>
    <t>40E CHAMBER</t>
  </si>
  <si>
    <t xml:space="preserve">78E STP </t>
  </si>
  <si>
    <t>BUENO</t>
  </si>
  <si>
    <t>HAGANAS</t>
  </si>
  <si>
    <t xml:space="preserve">65E STP </t>
  </si>
  <si>
    <t>SAMOSINO</t>
  </si>
  <si>
    <t>BABOR</t>
  </si>
  <si>
    <t xml:space="preserve">50E RAISE </t>
  </si>
  <si>
    <t xml:space="preserve">56E STP </t>
  </si>
  <si>
    <t>47E STP</t>
  </si>
  <si>
    <t>ESPINOSA</t>
  </si>
  <si>
    <t xml:space="preserve">L460 52E DE </t>
  </si>
  <si>
    <t>TURTOSA</t>
  </si>
  <si>
    <t>L460 60E DE</t>
  </si>
  <si>
    <t>TORMIS</t>
  </si>
  <si>
    <t xml:space="preserve">L460 48E DW </t>
  </si>
  <si>
    <t xml:space="preserve">42E STP </t>
  </si>
  <si>
    <t xml:space="preserve">L460 54E DW </t>
  </si>
  <si>
    <t>L460 56E DE</t>
  </si>
  <si>
    <t xml:space="preserve">60E RAISE </t>
  </si>
  <si>
    <t>REBOTE</t>
  </si>
  <si>
    <t xml:space="preserve">55E RAISE </t>
  </si>
  <si>
    <t xml:space="preserve">70E XCN </t>
  </si>
  <si>
    <t xml:space="preserve">31E STP PREP </t>
  </si>
  <si>
    <t>OLIVEROS</t>
  </si>
  <si>
    <t xml:space="preserve">36E DW </t>
  </si>
  <si>
    <t xml:space="preserve">68E DE </t>
  </si>
  <si>
    <t xml:space="preserve">33E RAISE </t>
  </si>
  <si>
    <t xml:space="preserve">57E RAISE </t>
  </si>
  <si>
    <t>NITRO CO</t>
  </si>
  <si>
    <t>NITRO CP</t>
  </si>
  <si>
    <t>52E DW ISL</t>
  </si>
  <si>
    <t xml:space="preserve">59E STP </t>
  </si>
  <si>
    <t>TABULO</t>
  </si>
  <si>
    <t xml:space="preserve">44E STP PREP </t>
  </si>
  <si>
    <t xml:space="preserve">76E DE </t>
  </si>
  <si>
    <t xml:space="preserve">66E WINZE </t>
  </si>
  <si>
    <t>NIRTO CO</t>
  </si>
  <si>
    <t>MAGLASANG</t>
  </si>
  <si>
    <t xml:space="preserve">L460 60E DE </t>
  </si>
  <si>
    <t>BALTAZAR</t>
  </si>
  <si>
    <t xml:space="preserve">41E STP </t>
  </si>
  <si>
    <t xml:space="preserve">47E STP </t>
  </si>
  <si>
    <t xml:space="preserve">32E DE </t>
  </si>
  <si>
    <t>LERIO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</si>
</sst>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_ ;\-#,##0\ "/>
    <numFmt numFmtId="167" formatCode="0.0"/>
    <numFmt numFmtId="168" formatCode="_-* #,##0.000_-;\-* #,##0.000_-;_-* &quot;-&quot;??_-;_-@_-"/>
  </numFmts>
  <fonts count="60">
    <font>
      <sz val="11"/>
      <color theme="1"/>
      <name val="Calibri"/>
      <family val="2"/>
      <scheme val="minor"/>
    </font>
    <font>
      <b/>
      <sz val="11"/>
      <color theme="1"/>
      <name val="BrowalliaUPC"/>
      <family val="2"/>
    </font>
    <font>
      <b/>
      <sz val="14"/>
      <color theme="1"/>
      <name val="BrowalliaUPC"/>
      <family val="2"/>
    </font>
    <font>
      <b/>
      <sz val="18"/>
      <color theme="1"/>
      <name val="Berlin Sans FB Demi"/>
      <family val="2"/>
    </font>
    <font>
      <b/>
      <sz val="10"/>
      <name val="Berlin Sans FB Demi"/>
      <family val="2"/>
    </font>
    <font>
      <b/>
      <sz val="14"/>
      <color theme="1"/>
      <name val="Arial"/>
      <family val="2"/>
    </font>
    <font>
      <b/>
      <sz val="20"/>
      <color theme="1"/>
      <name val="Berlin Sans FB Demi"/>
      <family val="2"/>
    </font>
    <font>
      <b/>
      <sz val="14"/>
      <color theme="1"/>
      <name val="Berlin Sans FB Dem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18"/>
      <color theme="1"/>
      <name val="Century Gothic"/>
      <family val="2"/>
    </font>
    <font>
      <sz val="18"/>
      <name val="Century Gothic"/>
      <family val="2"/>
    </font>
    <font>
      <sz val="18"/>
      <color rgb="FFC00000"/>
      <name val="Century Gothic"/>
      <family val="2"/>
    </font>
    <font>
      <b/>
      <sz val="18"/>
      <name val="Berlin Sans FB Demi"/>
      <family val="2"/>
    </font>
    <font>
      <sz val="18"/>
      <name val="Berlin Sans FB Demi"/>
      <family val="2"/>
    </font>
    <font>
      <b/>
      <sz val="18"/>
      <color rgb="FFC00000"/>
      <name val="Berlin Sans FB Demi"/>
      <family val="2"/>
    </font>
    <font>
      <sz val="18"/>
      <color rgb="FFC00000"/>
      <name val="Berlin Sans FB Demi"/>
      <family val="2"/>
    </font>
    <font>
      <b/>
      <sz val="11"/>
      <color theme="1"/>
      <name val="Berlin Sans FB Demi"/>
      <family val="2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b/>
      <sz val="26"/>
      <color theme="1"/>
      <name val="Century Gothic"/>
      <family val="2"/>
    </font>
    <font>
      <b/>
      <sz val="11"/>
      <color theme="1"/>
      <name val="Algerian"/>
      <family val="5"/>
    </font>
    <font>
      <b/>
      <sz val="18"/>
      <color theme="1"/>
      <name val="Arial Rounded MT Bold"/>
      <family val="2"/>
    </font>
    <font>
      <b/>
      <sz val="18"/>
      <color theme="1"/>
      <name val="Berlin Sans FB"/>
      <family val="2"/>
    </font>
    <font>
      <b/>
      <sz val="16"/>
      <color theme="1"/>
      <name val="Century Gothic"/>
      <family val="2"/>
    </font>
    <font>
      <b/>
      <u/>
      <sz val="18"/>
      <color theme="1"/>
      <name val="Arial Rounded MT Bold"/>
      <family val="2"/>
    </font>
    <font>
      <b/>
      <sz val="16"/>
      <color theme="1"/>
      <name val="Berlin Sans FB Demi"/>
      <family val="2"/>
    </font>
    <font>
      <sz val="18"/>
      <color theme="1"/>
      <name val="Berlin Sans FB Demi"/>
      <family val="2"/>
    </font>
    <font>
      <b/>
      <sz val="10"/>
      <color theme="1"/>
      <name val="Berlin Sans FB Demi"/>
      <family val="2"/>
    </font>
    <font>
      <sz val="10"/>
      <name val="Arial"/>
      <family val="2"/>
    </font>
    <font>
      <b/>
      <sz val="10"/>
      <color theme="1"/>
      <name val="Century Gothic"/>
      <family val="2"/>
    </font>
    <font>
      <b/>
      <sz val="11"/>
      <color theme="1"/>
      <name val="Berlin Sans FB"/>
      <family val="2"/>
    </font>
    <font>
      <b/>
      <sz val="11"/>
      <name val="Berlin Sans FB"/>
      <family val="2"/>
    </font>
    <font>
      <b/>
      <sz val="12"/>
      <name val="Century Gothic"/>
      <family val="2"/>
    </font>
    <font>
      <b/>
      <sz val="14"/>
      <name val="Berlin Sans FB Demi"/>
      <family val="2"/>
    </font>
    <font>
      <b/>
      <sz val="12"/>
      <name val="Berlin Sans FB Demi"/>
      <family val="2"/>
    </font>
    <font>
      <b/>
      <u/>
      <sz val="18"/>
      <color theme="1"/>
      <name val="Berlin Sans FB Demi"/>
      <family val="2"/>
    </font>
    <font>
      <b/>
      <sz val="22"/>
      <color theme="1"/>
      <name val="Berlin Sans FB Demi"/>
      <family val="2"/>
    </font>
    <font>
      <b/>
      <sz val="11"/>
      <color theme="1"/>
      <name val="Avenir Next LT Pro Light"/>
      <family val="2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Berlin Sans FB Demi"/>
      <family val="2"/>
    </font>
    <font>
      <b/>
      <sz val="28"/>
      <color theme="1"/>
      <name val="Berlin Sans FB"/>
      <family val="2"/>
    </font>
    <font>
      <b/>
      <sz val="28"/>
      <color theme="1"/>
      <name val="BrowalliaUPC"/>
      <family val="2"/>
    </font>
    <font>
      <b/>
      <sz val="12"/>
      <color theme="1"/>
      <name val="Century Gothic"/>
      <family val="2"/>
    </font>
    <font>
      <b/>
      <sz val="24"/>
      <color theme="1"/>
      <name val="Berlin Sans FB Demi"/>
      <family val="2"/>
    </font>
    <font>
      <sz val="8"/>
      <name val="Calibri"/>
      <family val="2"/>
      <scheme val="minor"/>
    </font>
    <font>
      <b/>
      <sz val="11"/>
      <name val="Berlin Sans FB Demi"/>
      <family val="2"/>
    </font>
    <font>
      <b/>
      <sz val="18"/>
      <color theme="1"/>
      <name val="Cavolini"/>
      <family val="4"/>
    </font>
    <font>
      <b/>
      <sz val="16"/>
      <color theme="1"/>
      <name val="Berlin Sans FB"/>
      <family val="2"/>
    </font>
    <font>
      <b/>
      <sz val="24"/>
      <color theme="1"/>
      <name val="Calibri"/>
      <family val="2"/>
      <scheme val="minor"/>
    </font>
    <font>
      <b/>
      <sz val="12"/>
      <color theme="1"/>
      <name val="BrowalliaUPC"/>
      <family val="2"/>
    </font>
    <font>
      <sz val="20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81">
    <xf numFmtId="0" fontId="0" fillId="0" borderId="0"/>
    <xf numFmtId="43" fontId="8" fillId="0" borderId="0" applyFont="0" applyFill="0" applyBorder="0" applyAlignment="0" applyProtection="0"/>
    <xf numFmtId="0" fontId="10" fillId="0" borderId="0"/>
    <xf numFmtId="0" fontId="9" fillId="0" borderId="0"/>
    <xf numFmtId="164" fontId="9" fillId="0" borderId="0" applyFont="0" applyFill="0" applyBorder="0" applyAlignment="0" applyProtection="0"/>
    <xf numFmtId="0" fontId="11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8" fillId="0" borderId="0"/>
    <xf numFmtId="0" fontId="9" fillId="0" borderId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3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" fillId="0" borderId="0"/>
  </cellStyleXfs>
  <cellXfs count="39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8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left"/>
    </xf>
    <xf numFmtId="165" fontId="14" fillId="0" borderId="15" xfId="0" applyNumberFormat="1" applyFont="1" applyBorder="1" applyAlignment="1">
      <alignment horizontal="center" vertical="center"/>
    </xf>
    <xf numFmtId="165" fontId="15" fillId="0" borderId="16" xfId="0" applyNumberFormat="1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/>
    </xf>
    <xf numFmtId="165" fontId="14" fillId="0" borderId="1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16" fillId="2" borderId="1" xfId="1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16" fillId="2" borderId="6" xfId="1" applyNumberFormat="1" applyFont="1" applyFill="1" applyBorder="1" applyAlignment="1">
      <alignment horizontal="center" vertical="center"/>
    </xf>
    <xf numFmtId="0" fontId="3" fillId="2" borderId="6" xfId="1" applyNumberFormat="1" applyFont="1" applyFill="1" applyBorder="1" applyAlignment="1">
      <alignment horizontal="center" vertical="center"/>
    </xf>
    <xf numFmtId="0" fontId="3" fillId="5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 vertical="center"/>
    </xf>
    <xf numFmtId="165" fontId="3" fillId="7" borderId="3" xfId="1" applyNumberFormat="1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17" fillId="0" borderId="13" xfId="0" applyNumberFormat="1" applyFont="1" applyBorder="1" applyAlignment="1">
      <alignment horizontal="center" vertical="center"/>
    </xf>
    <xf numFmtId="165" fontId="19" fillId="0" borderId="14" xfId="0" applyNumberFormat="1" applyFont="1" applyBorder="1" applyAlignment="1">
      <alignment horizontal="center" vertical="center"/>
    </xf>
    <xf numFmtId="165" fontId="3" fillId="3" borderId="7" xfId="1" applyNumberFormat="1" applyFont="1" applyFill="1" applyBorder="1" applyAlignment="1">
      <alignment horizontal="center" vertical="center"/>
    </xf>
    <xf numFmtId="165" fontId="3" fillId="3" borderId="2" xfId="1" applyNumberFormat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165" fontId="3" fillId="9" borderId="19" xfId="1" applyNumberFormat="1" applyFont="1" applyFill="1" applyBorder="1" applyAlignment="1">
      <alignment horizontal="center" vertical="center"/>
    </xf>
    <xf numFmtId="165" fontId="3" fillId="9" borderId="20" xfId="1" applyNumberFormat="1" applyFont="1" applyFill="1" applyBorder="1" applyAlignment="1">
      <alignment horizontal="center" vertical="center"/>
    </xf>
    <xf numFmtId="165" fontId="17" fillId="0" borderId="15" xfId="0" applyNumberFormat="1" applyFont="1" applyBorder="1" applyAlignment="1">
      <alignment horizontal="center" vertical="center"/>
    </xf>
    <xf numFmtId="165" fontId="19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165" fontId="3" fillId="4" borderId="2" xfId="1" applyNumberFormat="1" applyFont="1" applyFill="1" applyBorder="1" applyAlignment="1">
      <alignment horizontal="center" vertical="center"/>
    </xf>
    <xf numFmtId="0" fontId="20" fillId="2" borderId="0" xfId="0" applyFont="1" applyFill="1"/>
    <xf numFmtId="0" fontId="20" fillId="6" borderId="5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21" fillId="0" borderId="13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3" fillId="0" borderId="2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16" fillId="10" borderId="1" xfId="1" applyNumberFormat="1" applyFont="1" applyFill="1" applyBorder="1" applyAlignment="1">
      <alignment horizontal="center" vertical="center"/>
    </xf>
    <xf numFmtId="0" fontId="17" fillId="10" borderId="1" xfId="1" applyNumberFormat="1" applyFont="1" applyFill="1" applyBorder="1" applyAlignment="1">
      <alignment horizontal="center" vertical="center"/>
    </xf>
    <xf numFmtId="0" fontId="3" fillId="10" borderId="1" xfId="1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4" borderId="17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32" xfId="0" applyFont="1" applyBorder="1"/>
    <xf numFmtId="0" fontId="13" fillId="0" borderId="34" xfId="0" applyFont="1" applyBorder="1"/>
    <xf numFmtId="0" fontId="13" fillId="0" borderId="35" xfId="0" applyFont="1" applyBorder="1"/>
    <xf numFmtId="0" fontId="14" fillId="0" borderId="9" xfId="0" applyFont="1" applyBorder="1" applyAlignment="1">
      <alignment horizontal="left" vertical="center"/>
    </xf>
    <xf numFmtId="165" fontId="14" fillId="0" borderId="23" xfId="0" applyNumberFormat="1" applyFont="1" applyBorder="1" applyAlignment="1">
      <alignment horizontal="center" vertical="center"/>
    </xf>
    <xf numFmtId="165" fontId="15" fillId="0" borderId="3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3" fillId="0" borderId="0" xfId="1" applyNumberFormat="1" applyFont="1" applyAlignment="1">
      <alignment horizontal="left" vertical="center"/>
    </xf>
    <xf numFmtId="166" fontId="24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2" fontId="3" fillId="5" borderId="1" xfId="1" applyNumberFormat="1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1" fillId="2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13" fillId="0" borderId="1" xfId="0" applyFont="1" applyBorder="1"/>
    <xf numFmtId="0" fontId="27" fillId="0" borderId="1" xfId="0" applyFont="1" applyBorder="1" applyAlignment="1">
      <alignment horizontal="left"/>
    </xf>
    <xf numFmtId="165" fontId="32" fillId="0" borderId="1" xfId="1" applyNumberFormat="1" applyFont="1" applyBorder="1" applyAlignment="1">
      <alignment horizontal="left" vertical="center"/>
    </xf>
    <xf numFmtId="0" fontId="28" fillId="0" borderId="1" xfId="0" applyFont="1" applyBorder="1"/>
    <xf numFmtId="0" fontId="34" fillId="0" borderId="0" xfId="0" applyFont="1"/>
    <xf numFmtId="0" fontId="17" fillId="2" borderId="1" xfId="1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5" fontId="3" fillId="0" borderId="0" xfId="0" applyNumberFormat="1" applyFont="1" applyAlignment="1">
      <alignment horizontal="center" vertical="center"/>
    </xf>
    <xf numFmtId="15" fontId="40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5" fontId="40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38" fillId="16" borderId="3" xfId="0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horizontal="center" vertical="center"/>
    </xf>
    <xf numFmtId="43" fontId="37" fillId="13" borderId="1" xfId="1" applyFont="1" applyFill="1" applyBorder="1" applyAlignment="1">
      <alignment vertical="center"/>
    </xf>
    <xf numFmtId="0" fontId="20" fillId="17" borderId="5" xfId="0" applyFont="1" applyFill="1" applyBorder="1" applyAlignment="1">
      <alignment horizontal="center" vertical="center"/>
    </xf>
    <xf numFmtId="0" fontId="20" fillId="17" borderId="39" xfId="0" applyFont="1" applyFill="1" applyBorder="1" applyAlignment="1">
      <alignment horizontal="center" vertical="center"/>
    </xf>
    <xf numFmtId="0" fontId="20" fillId="17" borderId="40" xfId="0" applyFont="1" applyFill="1" applyBorder="1" applyAlignment="1">
      <alignment horizontal="center" vertical="center"/>
    </xf>
    <xf numFmtId="0" fontId="3" fillId="18" borderId="30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/>
    </xf>
    <xf numFmtId="0" fontId="3" fillId="19" borderId="13" xfId="0" applyFont="1" applyFill="1" applyBorder="1" applyAlignment="1">
      <alignment horizontal="center" vertical="center"/>
    </xf>
    <xf numFmtId="0" fontId="3" fillId="19" borderId="37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/>
    </xf>
    <xf numFmtId="165" fontId="16" fillId="0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65" fontId="17" fillId="0" borderId="1" xfId="1" applyNumberFormat="1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165" fontId="17" fillId="0" borderId="37" xfId="0" applyNumberFormat="1" applyFont="1" applyBorder="1" applyAlignment="1">
      <alignment horizontal="center" vertical="center"/>
    </xf>
    <xf numFmtId="165" fontId="19" fillId="0" borderId="38" xfId="0" applyNumberFormat="1" applyFont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0" fontId="3" fillId="2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0" fontId="14" fillId="0" borderId="41" xfId="0" applyFont="1" applyBorder="1" applyAlignment="1">
      <alignment horizontal="left" vertical="center"/>
    </xf>
    <xf numFmtId="0" fontId="30" fillId="2" borderId="0" xfId="1" applyNumberFormat="1" applyFont="1" applyFill="1" applyBorder="1" applyAlignment="1">
      <alignment horizontal="center" vertical="center"/>
    </xf>
    <xf numFmtId="0" fontId="30" fillId="0" borderId="0" xfId="1" applyNumberFormat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left"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3" xfId="1" applyNumberFormat="1" applyFont="1" applyBorder="1" applyAlignment="1">
      <alignment horizontal="center" vertical="center"/>
    </xf>
    <xf numFmtId="2" fontId="3" fillId="0" borderId="3" xfId="1" applyNumberFormat="1" applyFont="1" applyBorder="1" applyAlignment="1">
      <alignment horizontal="center" vertical="center"/>
    </xf>
    <xf numFmtId="165" fontId="16" fillId="0" borderId="3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0" fillId="17" borderId="1" xfId="0" applyFont="1" applyFill="1" applyBorder="1" applyAlignment="1">
      <alignment horizontal="center" vertical="center"/>
    </xf>
    <xf numFmtId="0" fontId="3" fillId="21" borderId="13" xfId="0" applyFont="1" applyFill="1" applyBorder="1" applyAlignment="1">
      <alignment horizontal="center" vertical="center"/>
    </xf>
    <xf numFmtId="0" fontId="3" fillId="21" borderId="37" xfId="0" applyFont="1" applyFill="1" applyBorder="1" applyAlignment="1">
      <alignment horizontal="center" vertical="center"/>
    </xf>
    <xf numFmtId="0" fontId="3" fillId="21" borderId="15" xfId="0" applyFont="1" applyFill="1" applyBorder="1" applyAlignment="1">
      <alignment horizontal="center" vertical="center"/>
    </xf>
    <xf numFmtId="0" fontId="3" fillId="21" borderId="17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165" fontId="3" fillId="5" borderId="3" xfId="1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65" fontId="16" fillId="5" borderId="1" xfId="1" applyNumberFormat="1" applyFont="1" applyFill="1" applyBorder="1" applyAlignment="1">
      <alignment horizontal="center" vertical="center"/>
    </xf>
    <xf numFmtId="0" fontId="16" fillId="5" borderId="1" xfId="1" applyNumberFormat="1" applyFont="1" applyFill="1" applyBorder="1" applyAlignment="1">
      <alignment horizontal="center" vertical="center"/>
    </xf>
    <xf numFmtId="165" fontId="3" fillId="5" borderId="12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23" borderId="13" xfId="0" applyFont="1" applyFill="1" applyBorder="1" applyAlignment="1">
      <alignment horizontal="center" vertical="center"/>
    </xf>
    <xf numFmtId="0" fontId="3" fillId="23" borderId="15" xfId="0" applyFont="1" applyFill="1" applyBorder="1" applyAlignment="1">
      <alignment horizontal="center" vertical="center"/>
    </xf>
    <xf numFmtId="0" fontId="3" fillId="23" borderId="17" xfId="0" applyFont="1" applyFill="1" applyBorder="1" applyAlignment="1">
      <alignment horizontal="center" vertical="center"/>
    </xf>
    <xf numFmtId="0" fontId="3" fillId="23" borderId="3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65" fontId="3" fillId="21" borderId="1" xfId="1" applyNumberFormat="1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left" vertical="center"/>
    </xf>
    <xf numFmtId="0" fontId="3" fillId="21" borderId="1" xfId="1" applyNumberFormat="1" applyFont="1" applyFill="1" applyBorder="1" applyAlignment="1">
      <alignment horizontal="center" vertical="center"/>
    </xf>
    <xf numFmtId="2" fontId="3" fillId="21" borderId="1" xfId="1" applyNumberFormat="1" applyFont="1" applyFill="1" applyBorder="1" applyAlignment="1">
      <alignment horizontal="center" vertical="center"/>
    </xf>
    <xf numFmtId="2" fontId="30" fillId="21" borderId="1" xfId="1" applyNumberFormat="1" applyFont="1" applyFill="1" applyBorder="1" applyAlignment="1">
      <alignment horizontal="center" vertical="center"/>
    </xf>
    <xf numFmtId="0" fontId="30" fillId="21" borderId="1" xfId="1" applyNumberFormat="1" applyFont="1" applyFill="1" applyBorder="1" applyAlignment="1">
      <alignment horizontal="center" vertical="center"/>
    </xf>
    <xf numFmtId="165" fontId="3" fillId="22" borderId="1" xfId="1" applyNumberFormat="1" applyFont="1" applyFill="1" applyBorder="1" applyAlignment="1">
      <alignment horizontal="center" vertical="center"/>
    </xf>
    <xf numFmtId="165" fontId="3" fillId="22" borderId="19" xfId="1" applyNumberFormat="1" applyFont="1" applyFill="1" applyBorder="1" applyAlignment="1">
      <alignment horizontal="center" vertical="center"/>
    </xf>
    <xf numFmtId="165" fontId="3" fillId="22" borderId="20" xfId="1" applyNumberFormat="1" applyFont="1" applyFill="1" applyBorder="1" applyAlignment="1">
      <alignment horizontal="center" vertical="center"/>
    </xf>
    <xf numFmtId="0" fontId="6" fillId="21" borderId="1" xfId="1" applyNumberFormat="1" applyFont="1" applyFill="1" applyBorder="1" applyAlignment="1">
      <alignment horizontal="center" vertical="center"/>
    </xf>
    <xf numFmtId="0" fontId="42" fillId="15" borderId="1" xfId="0" applyFont="1" applyFill="1" applyBorder="1" applyAlignment="1">
      <alignment vertical="center"/>
    </xf>
    <xf numFmtId="2" fontId="42" fillId="15" borderId="1" xfId="0" applyNumberFormat="1" applyFont="1" applyFill="1" applyBorder="1" applyAlignment="1">
      <alignment vertical="center"/>
    </xf>
    <xf numFmtId="167" fontId="42" fillId="15" borderId="1" xfId="0" applyNumberFormat="1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/>
    </xf>
    <xf numFmtId="165" fontId="43" fillId="0" borderId="17" xfId="1" applyNumberFormat="1" applyFont="1" applyBorder="1" applyAlignment="1">
      <alignment horizontal="center" vertical="center"/>
    </xf>
    <xf numFmtId="165" fontId="44" fillId="0" borderId="18" xfId="1" applyNumberFormat="1" applyFont="1" applyBorder="1" applyAlignment="1">
      <alignment horizontal="center" vertical="center"/>
    </xf>
    <xf numFmtId="165" fontId="45" fillId="0" borderId="27" xfId="1" applyNumberFormat="1" applyFont="1" applyBorder="1" applyAlignment="1">
      <alignment vertical="center"/>
    </xf>
    <xf numFmtId="165" fontId="46" fillId="0" borderId="27" xfId="1" applyNumberFormat="1" applyFont="1" applyBorder="1" applyAlignment="1">
      <alignment vertical="center"/>
    </xf>
    <xf numFmtId="165" fontId="45" fillId="0" borderId="19" xfId="1" applyNumberFormat="1" applyFont="1" applyBorder="1" applyAlignment="1">
      <alignment horizontal="center" vertical="center"/>
    </xf>
    <xf numFmtId="165" fontId="45" fillId="0" borderId="20" xfId="1" applyNumberFormat="1" applyFont="1" applyBorder="1" applyAlignment="1">
      <alignment horizontal="center" vertical="center"/>
    </xf>
    <xf numFmtId="165" fontId="45" fillId="0" borderId="0" xfId="1" applyNumberFormat="1" applyFont="1" applyBorder="1" applyAlignment="1">
      <alignment vertical="center"/>
    </xf>
    <xf numFmtId="165" fontId="46" fillId="0" borderId="0" xfId="1" applyNumberFormat="1" applyFont="1" applyBorder="1" applyAlignment="1">
      <alignment vertical="center"/>
    </xf>
    <xf numFmtId="165" fontId="45" fillId="0" borderId="13" xfId="1" applyNumberFormat="1" applyFont="1" applyBorder="1" applyAlignment="1">
      <alignment horizontal="center" vertical="center"/>
    </xf>
    <xf numFmtId="165" fontId="45" fillId="0" borderId="14" xfId="1" applyNumberFormat="1" applyFont="1" applyBorder="1" applyAlignment="1">
      <alignment horizontal="center" vertical="center"/>
    </xf>
    <xf numFmtId="165" fontId="45" fillId="0" borderId="15" xfId="1" applyNumberFormat="1" applyFont="1" applyBorder="1" applyAlignment="1">
      <alignment horizontal="center" vertical="center"/>
    </xf>
    <xf numFmtId="165" fontId="45" fillId="0" borderId="16" xfId="1" applyNumberFormat="1" applyFont="1" applyBorder="1" applyAlignment="1">
      <alignment horizontal="center" vertical="center"/>
    </xf>
    <xf numFmtId="165" fontId="45" fillId="0" borderId="17" xfId="1" applyNumberFormat="1" applyFont="1" applyBorder="1" applyAlignment="1">
      <alignment horizontal="center" vertical="center"/>
    </xf>
    <xf numFmtId="165" fontId="45" fillId="0" borderId="18" xfId="1" applyNumberFormat="1" applyFont="1" applyBorder="1" applyAlignment="1">
      <alignment horizontal="center" vertical="center"/>
    </xf>
    <xf numFmtId="165" fontId="47" fillId="0" borderId="0" xfId="1" applyNumberFormat="1" applyFont="1"/>
    <xf numFmtId="0" fontId="3" fillId="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6" xfId="1" applyNumberFormat="1" applyFont="1" applyFill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165" fontId="16" fillId="0" borderId="11" xfId="1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165" fontId="45" fillId="0" borderId="1" xfId="1" applyNumberFormat="1" applyFont="1" applyBorder="1" applyAlignment="1">
      <alignment horizontal="center" vertical="center"/>
    </xf>
    <xf numFmtId="165" fontId="45" fillId="0" borderId="28" xfId="1" applyNumberFormat="1" applyFont="1" applyBorder="1" applyAlignment="1">
      <alignment horizontal="center" vertical="center"/>
    </xf>
    <xf numFmtId="165" fontId="45" fillId="0" borderId="29" xfId="1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165" fontId="45" fillId="0" borderId="0" xfId="1" applyNumberFormat="1" applyFont="1" applyBorder="1" applyAlignment="1">
      <alignment horizontal="center" vertical="center"/>
    </xf>
    <xf numFmtId="165" fontId="0" fillId="0" borderId="0" xfId="0" applyNumberFormat="1"/>
    <xf numFmtId="0" fontId="4" fillId="4" borderId="2" xfId="0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43" fontId="37" fillId="0" borderId="0" xfId="1" applyFont="1" applyFill="1" applyBorder="1" applyAlignment="1">
      <alignment vertical="center"/>
    </xf>
    <xf numFmtId="0" fontId="20" fillId="17" borderId="10" xfId="0" applyFont="1" applyFill="1" applyBorder="1" applyAlignment="1">
      <alignment horizontal="center" vertical="center"/>
    </xf>
    <xf numFmtId="0" fontId="3" fillId="18" borderId="3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5" fontId="3" fillId="22" borderId="43" xfId="1" applyNumberFormat="1" applyFont="1" applyFill="1" applyBorder="1" applyAlignment="1">
      <alignment horizontal="center" vertical="center"/>
    </xf>
    <xf numFmtId="0" fontId="16" fillId="0" borderId="0" xfId="1" applyNumberFormat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165" fontId="13" fillId="21" borderId="1" xfId="1" applyNumberFormat="1" applyFont="1" applyFill="1" applyBorder="1" applyAlignment="1">
      <alignment horizontal="center" vertical="center"/>
    </xf>
    <xf numFmtId="0" fontId="51" fillId="0" borderId="1" xfId="0" applyFont="1" applyBorder="1"/>
    <xf numFmtId="164" fontId="13" fillId="0" borderId="0" xfId="0" applyNumberFormat="1" applyFont="1"/>
    <xf numFmtId="0" fontId="2" fillId="0" borderId="1" xfId="0" applyFont="1" applyBorder="1"/>
    <xf numFmtId="165" fontId="1" fillId="0" borderId="1" xfId="0" applyNumberFormat="1" applyFont="1" applyBorder="1"/>
    <xf numFmtId="0" fontId="1" fillId="0" borderId="1" xfId="0" applyFont="1" applyBorder="1"/>
    <xf numFmtId="0" fontId="12" fillId="0" borderId="1" xfId="0" applyFont="1" applyBorder="1"/>
    <xf numFmtId="165" fontId="12" fillId="0" borderId="1" xfId="0" applyNumberFormat="1" applyFont="1" applyBorder="1"/>
    <xf numFmtId="43" fontId="1" fillId="0" borderId="1" xfId="0" applyNumberFormat="1" applyFont="1" applyBorder="1"/>
    <xf numFmtId="0" fontId="12" fillId="0" borderId="1" xfId="0" applyFont="1" applyBorder="1" applyAlignment="1">
      <alignment horizontal="center"/>
    </xf>
    <xf numFmtId="0" fontId="29" fillId="0" borderId="0" xfId="0" applyFont="1" applyAlignment="1">
      <alignment vertical="center"/>
    </xf>
    <xf numFmtId="167" fontId="3" fillId="21" borderId="1" xfId="1" applyNumberFormat="1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3" fillId="2" borderId="0" xfId="1" applyNumberFormat="1" applyFont="1" applyFill="1" applyAlignment="1">
      <alignment horizontal="center" vertical="center"/>
    </xf>
    <xf numFmtId="165" fontId="13" fillId="8" borderId="0" xfId="0" applyNumberFormat="1" applyFont="1" applyFill="1"/>
    <xf numFmtId="43" fontId="13" fillId="21" borderId="1" xfId="1" applyNumberFormat="1" applyFont="1" applyFill="1" applyBorder="1" applyAlignment="1">
      <alignment horizontal="center" vertical="center"/>
    </xf>
    <xf numFmtId="168" fontId="13" fillId="21" borderId="1" xfId="1" applyNumberFormat="1" applyFont="1" applyFill="1" applyBorder="1" applyAlignment="1">
      <alignment horizontal="center" vertical="center"/>
    </xf>
    <xf numFmtId="0" fontId="56" fillId="0" borderId="1" xfId="0" applyFont="1" applyBorder="1" applyAlignment="1">
      <alignment horizontal="left"/>
    </xf>
    <xf numFmtId="0" fontId="48" fillId="0" borderId="0" xfId="0" applyFont="1" applyAlignment="1">
      <alignment horizontal="center" vertical="center"/>
    </xf>
    <xf numFmtId="15" fontId="40" fillId="0" borderId="8" xfId="0" applyNumberFormat="1" applyFont="1" applyBorder="1" applyAlignment="1">
      <alignment horizontal="center" vertical="center"/>
    </xf>
    <xf numFmtId="0" fontId="57" fillId="0" borderId="0" xfId="0" applyFont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horizontal="center" vertical="center"/>
    </xf>
    <xf numFmtId="0" fontId="58" fillId="0" borderId="1" xfId="0" applyFont="1" applyBorder="1"/>
    <xf numFmtId="167" fontId="16" fillId="2" borderId="1" xfId="1" applyNumberFormat="1" applyFont="1" applyFill="1" applyBorder="1" applyAlignment="1">
      <alignment horizontal="center" vertical="center"/>
    </xf>
    <xf numFmtId="1" fontId="16" fillId="2" borderId="1" xfId="1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20" borderId="24" xfId="0" applyFont="1" applyFill="1" applyBorder="1" applyAlignment="1">
      <alignment horizontal="left" vertical="center"/>
    </xf>
    <xf numFmtId="0" fontId="25" fillId="20" borderId="25" xfId="0" applyFont="1" applyFill="1" applyBorder="1" applyAlignment="1">
      <alignment horizontal="left" vertical="center"/>
    </xf>
    <xf numFmtId="0" fontId="25" fillId="20" borderId="33" xfId="0" applyFont="1" applyFill="1" applyBorder="1" applyAlignment="1">
      <alignment horizontal="left" vertical="center"/>
    </xf>
    <xf numFmtId="0" fontId="34" fillId="16" borderId="24" xfId="0" applyFont="1" applyFill="1" applyBorder="1" applyAlignment="1">
      <alignment horizontal="center" vertical="center"/>
    </xf>
    <xf numFmtId="0" fontId="34" fillId="16" borderId="25" xfId="0" applyFont="1" applyFill="1" applyBorder="1" applyAlignment="1">
      <alignment horizontal="center" vertical="center"/>
    </xf>
    <xf numFmtId="0" fontId="34" fillId="16" borderId="33" xfId="0" applyFont="1" applyFill="1" applyBorder="1" applyAlignment="1">
      <alignment horizontal="center" vertical="center"/>
    </xf>
    <xf numFmtId="0" fontId="34" fillId="22" borderId="24" xfId="0" applyFont="1" applyFill="1" applyBorder="1" applyAlignment="1">
      <alignment horizontal="center" vertical="center"/>
    </xf>
    <xf numFmtId="0" fontId="34" fillId="22" borderId="25" xfId="0" applyFont="1" applyFill="1" applyBorder="1" applyAlignment="1">
      <alignment horizontal="center" vertical="center"/>
    </xf>
    <xf numFmtId="0" fontId="34" fillId="22" borderId="33" xfId="0" applyFont="1" applyFill="1" applyBorder="1" applyAlignment="1">
      <alignment horizontal="center" vertical="center"/>
    </xf>
    <xf numFmtId="166" fontId="24" fillId="0" borderId="10" xfId="0" applyNumberFormat="1" applyFont="1" applyBorder="1" applyAlignment="1">
      <alignment horizontal="center" vertical="center"/>
    </xf>
    <xf numFmtId="166" fontId="24" fillId="0" borderId="42" xfId="0" applyNumberFormat="1" applyFont="1" applyBorder="1" applyAlignment="1">
      <alignment horizontal="center" vertical="center"/>
    </xf>
    <xf numFmtId="166" fontId="24" fillId="0" borderId="36" xfId="0" applyNumberFormat="1" applyFont="1" applyBorder="1" applyAlignment="1">
      <alignment horizontal="center" vertical="center"/>
    </xf>
    <xf numFmtId="0" fontId="13" fillId="22" borderId="24" xfId="0" applyFont="1" applyFill="1" applyBorder="1" applyAlignment="1">
      <alignment horizontal="center"/>
    </xf>
    <xf numFmtId="0" fontId="13" fillId="22" borderId="25" xfId="0" applyFont="1" applyFill="1" applyBorder="1" applyAlignment="1">
      <alignment horizontal="center"/>
    </xf>
    <xf numFmtId="0" fontId="13" fillId="22" borderId="33" xfId="0" applyFont="1" applyFill="1" applyBorder="1" applyAlignment="1">
      <alignment horizontal="center"/>
    </xf>
    <xf numFmtId="43" fontId="13" fillId="16" borderId="24" xfId="1" applyFont="1" applyFill="1" applyBorder="1" applyAlignment="1">
      <alignment horizontal="center" vertical="center"/>
    </xf>
    <xf numFmtId="43" fontId="13" fillId="16" borderId="25" xfId="1" applyFont="1" applyFill="1" applyBorder="1" applyAlignment="1">
      <alignment horizontal="center" vertical="center"/>
    </xf>
    <xf numFmtId="43" fontId="13" fillId="16" borderId="33" xfId="1" applyFont="1" applyFill="1" applyBorder="1" applyAlignment="1">
      <alignment horizontal="center" vertical="center"/>
    </xf>
    <xf numFmtId="0" fontId="24" fillId="0" borderId="23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4" fillId="0" borderId="36" xfId="0" applyFont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24" fillId="0" borderId="29" xfId="0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166" fontId="24" fillId="0" borderId="31" xfId="0" applyNumberFormat="1" applyFont="1" applyBorder="1" applyAlignment="1">
      <alignment horizontal="center" vertical="center"/>
    </xf>
    <xf numFmtId="166" fontId="24" fillId="0" borderId="29" xfId="0" applyNumberFormat="1" applyFont="1" applyBorder="1" applyAlignment="1">
      <alignment horizontal="center" vertical="center"/>
    </xf>
    <xf numFmtId="166" fontId="24" fillId="0" borderId="18" xfId="0" applyNumberFormat="1" applyFont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 wrapText="1"/>
    </xf>
    <xf numFmtId="0" fontId="20" fillId="17" borderId="10" xfId="0" applyFont="1" applyFill="1" applyBorder="1" applyAlignment="1">
      <alignment horizontal="center" vertical="center" wrapText="1"/>
    </xf>
    <xf numFmtId="0" fontId="20" fillId="17" borderId="11" xfId="0" applyFont="1" applyFill="1" applyBorder="1" applyAlignment="1">
      <alignment horizontal="center" vertical="center" wrapText="1"/>
    </xf>
    <xf numFmtId="0" fontId="20" fillId="17" borderId="12" xfId="0" applyFont="1" applyFill="1" applyBorder="1" applyAlignment="1">
      <alignment horizontal="center" vertical="center" wrapText="1"/>
    </xf>
    <xf numFmtId="0" fontId="20" fillId="17" borderId="42" xfId="0" applyFont="1" applyFill="1" applyBorder="1" applyAlignment="1">
      <alignment horizontal="center" vertical="center" wrapText="1"/>
    </xf>
    <xf numFmtId="0" fontId="20" fillId="17" borderId="8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3" fillId="21" borderId="6" xfId="0" applyFont="1" applyFill="1" applyBorder="1" applyAlignment="1">
      <alignment horizontal="left" vertical="center"/>
    </xf>
    <xf numFmtId="0" fontId="3" fillId="21" borderId="7" xfId="0" applyFont="1" applyFill="1" applyBorder="1" applyAlignment="1">
      <alignment horizontal="left" vertical="center"/>
    </xf>
    <xf numFmtId="0" fontId="3" fillId="21" borderId="2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5" fillId="21" borderId="6" xfId="0" applyFont="1" applyFill="1" applyBorder="1" applyAlignment="1">
      <alignment horizontal="left" vertical="center"/>
    </xf>
    <xf numFmtId="0" fontId="35" fillId="21" borderId="7" xfId="0" applyFont="1" applyFill="1" applyBorder="1" applyAlignment="1">
      <alignment horizontal="left" vertical="center"/>
    </xf>
    <xf numFmtId="0" fontId="35" fillId="21" borderId="2" xfId="0" applyFont="1" applyFill="1" applyBorder="1" applyAlignment="1">
      <alignment horizontal="left" vertical="center"/>
    </xf>
    <xf numFmtId="15" fontId="52" fillId="0" borderId="0" xfId="0" applyNumberFormat="1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3" fontId="55" fillId="3" borderId="9" xfId="1" applyFont="1" applyFill="1" applyBorder="1" applyAlignment="1">
      <alignment horizontal="center" vertical="center"/>
    </xf>
    <xf numFmtId="43" fontId="55" fillId="3" borderId="40" xfId="1" applyFont="1" applyFill="1" applyBorder="1" applyAlignment="1">
      <alignment horizontal="center" vertical="center"/>
    </xf>
    <xf numFmtId="166" fontId="24" fillId="0" borderId="30" xfId="0" applyNumberFormat="1" applyFont="1" applyBorder="1" applyAlignment="1">
      <alignment horizontal="center" vertical="center"/>
    </xf>
    <xf numFmtId="166" fontId="24" fillId="0" borderId="41" xfId="0" applyNumberFormat="1" applyFont="1" applyBorder="1" applyAlignment="1">
      <alignment horizontal="center" vertical="center"/>
    </xf>
    <xf numFmtId="166" fontId="24" fillId="0" borderId="14" xfId="0" applyNumberFormat="1" applyFont="1" applyBorder="1" applyAlignment="1">
      <alignment horizontal="center" vertical="center"/>
    </xf>
    <xf numFmtId="166" fontId="24" fillId="0" borderId="2" xfId="0" applyNumberFormat="1" applyFont="1" applyBorder="1" applyAlignment="1">
      <alignment horizontal="center" vertical="center"/>
    </xf>
    <xf numFmtId="166" fontId="24" fillId="0" borderId="7" xfId="0" applyNumberFormat="1" applyFont="1" applyBorder="1" applyAlignment="1">
      <alignment horizontal="center" vertical="center"/>
    </xf>
    <xf numFmtId="166" fontId="24" fillId="0" borderId="16" xfId="0" applyNumberFormat="1" applyFont="1" applyBorder="1" applyAlignment="1">
      <alignment horizontal="center" vertical="center"/>
    </xf>
    <xf numFmtId="0" fontId="24" fillId="0" borderId="13" xfId="0" applyFont="1" applyBorder="1" applyAlignment="1">
      <alignment horizontal="left" vertical="center"/>
    </xf>
    <xf numFmtId="0" fontId="24" fillId="0" borderId="28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36" fillId="1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15" fontId="40" fillId="0" borderId="8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1" fillId="0" borderId="0" xfId="0" applyFont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165" fontId="43" fillId="0" borderId="13" xfId="1" applyNumberFormat="1" applyFont="1" applyBorder="1" applyAlignment="1">
      <alignment horizontal="center" vertical="center"/>
    </xf>
    <xf numFmtId="165" fontId="43" fillId="0" borderId="14" xfId="1" applyNumberFormat="1" applyFont="1" applyBorder="1" applyAlignment="1">
      <alignment horizontal="center" vertical="center"/>
    </xf>
    <xf numFmtId="0" fontId="59" fillId="0" borderId="13" xfId="0" applyFont="1" applyBorder="1" applyAlignment="1">
      <alignment horizontal="center" vertical="center"/>
    </xf>
    <xf numFmtId="0" fontId="59" fillId="0" borderId="15" xfId="0" applyFont="1" applyBorder="1" applyAlignment="1">
      <alignment horizontal="center" vertical="center"/>
    </xf>
    <xf numFmtId="0" fontId="59" fillId="0" borderId="17" xfId="0" applyFont="1" applyBorder="1" applyAlignment="1">
      <alignment horizontal="center" vertical="center"/>
    </xf>
  </cellXfs>
  <cellStyles count="281">
    <cellStyle name="Comma" xfId="1" builtinId="3"/>
    <cellStyle name="Comma 10" xfId="14"/>
    <cellStyle name="Comma 11" xfId="15"/>
    <cellStyle name="Comma 12" xfId="16"/>
    <cellStyle name="Comma 13" xfId="17"/>
    <cellStyle name="Comma 14" xfId="18"/>
    <cellStyle name="Comma 15" xfId="19"/>
    <cellStyle name="Comma 16" xfId="20"/>
    <cellStyle name="Comma 17" xfId="21"/>
    <cellStyle name="Comma 18" xfId="66"/>
    <cellStyle name="Comma 18 2" xfId="76"/>
    <cellStyle name="Comma 19" xfId="13"/>
    <cellStyle name="Comma 2" xfId="7"/>
    <cellStyle name="Comma 20" xfId="81"/>
    <cellStyle name="Comma 21" xfId="84"/>
    <cellStyle name="Comma 22" xfId="87"/>
    <cellStyle name="Comma 23" xfId="90"/>
    <cellStyle name="Comma 24" xfId="93"/>
    <cellStyle name="Comma 25" xfId="96"/>
    <cellStyle name="Comma 26" xfId="99"/>
    <cellStyle name="Comma 27" xfId="102"/>
    <cellStyle name="Comma 28" xfId="105"/>
    <cellStyle name="Comma 29" xfId="108"/>
    <cellStyle name="Comma 3" xfId="11"/>
    <cellStyle name="Comma 3 2" xfId="279"/>
    <cellStyle name="Comma 30" xfId="111"/>
    <cellStyle name="Comma 31" xfId="114"/>
    <cellStyle name="Comma 32" xfId="117"/>
    <cellStyle name="Comma 33" xfId="120"/>
    <cellStyle name="Comma 34" xfId="123"/>
    <cellStyle name="Comma 35" xfId="126"/>
    <cellStyle name="Comma 36" xfId="131"/>
    <cellStyle name="Comma 37" xfId="134"/>
    <cellStyle name="Comma 38" xfId="137"/>
    <cellStyle name="Comma 39" xfId="140"/>
    <cellStyle name="Comma 4" xfId="4"/>
    <cellStyle name="Comma 4 2" xfId="22"/>
    <cellStyle name="Comma 40" xfId="143"/>
    <cellStyle name="Comma 41" xfId="146"/>
    <cellStyle name="Comma 42" xfId="149"/>
    <cellStyle name="Comma 43" xfId="152"/>
    <cellStyle name="Comma 44" xfId="155"/>
    <cellStyle name="Comma 45" xfId="158"/>
    <cellStyle name="Comma 46" xfId="161"/>
    <cellStyle name="Comma 47" xfId="164"/>
    <cellStyle name="Comma 48" xfId="167"/>
    <cellStyle name="Comma 49" xfId="170"/>
    <cellStyle name="Comma 5" xfId="23"/>
    <cellStyle name="Comma 50" xfId="173"/>
    <cellStyle name="Comma 51" xfId="176"/>
    <cellStyle name="Comma 52" xfId="179"/>
    <cellStyle name="Comma 53" xfId="182"/>
    <cellStyle name="Comma 54" xfId="185"/>
    <cellStyle name="Comma 55" xfId="188"/>
    <cellStyle name="Comma 56" xfId="191"/>
    <cellStyle name="Comma 57" xfId="194"/>
    <cellStyle name="Comma 58" xfId="197"/>
    <cellStyle name="Comma 59" xfId="200"/>
    <cellStyle name="Comma 6" xfId="24"/>
    <cellStyle name="Comma 60" xfId="203"/>
    <cellStyle name="Comma 61" xfId="206"/>
    <cellStyle name="Comma 62" xfId="209"/>
    <cellStyle name="Comma 63" xfId="212"/>
    <cellStyle name="Comma 64" xfId="215"/>
    <cellStyle name="Comma 65" xfId="218"/>
    <cellStyle name="Comma 66" xfId="221"/>
    <cellStyle name="Comma 67" xfId="224"/>
    <cellStyle name="Comma 68" xfId="227"/>
    <cellStyle name="Comma 69" xfId="230"/>
    <cellStyle name="Comma 7" xfId="25"/>
    <cellStyle name="Comma 70" xfId="233"/>
    <cellStyle name="Comma 71" xfId="236"/>
    <cellStyle name="Comma 72" xfId="239"/>
    <cellStyle name="Comma 73" xfId="242"/>
    <cellStyle name="Comma 74" xfId="245"/>
    <cellStyle name="Comma 75" xfId="248"/>
    <cellStyle name="Comma 76" xfId="251"/>
    <cellStyle name="Comma 77" xfId="254"/>
    <cellStyle name="Comma 78" xfId="257"/>
    <cellStyle name="Comma 79" xfId="260"/>
    <cellStyle name="Comma 8" xfId="26"/>
    <cellStyle name="Comma 80" xfId="263"/>
    <cellStyle name="Comma 81" xfId="266"/>
    <cellStyle name="Comma 82" xfId="269"/>
    <cellStyle name="Comma 83" xfId="272"/>
    <cellStyle name="Comma 84" xfId="275"/>
    <cellStyle name="Comma 85" xfId="278"/>
    <cellStyle name="Comma 9" xfId="27"/>
    <cellStyle name="Normal" xfId="0" builtinId="0"/>
    <cellStyle name="Normal 10" xfId="28"/>
    <cellStyle name="Normal 11" xfId="29"/>
    <cellStyle name="Normal 12" xfId="30"/>
    <cellStyle name="Normal 13" xfId="31"/>
    <cellStyle name="Normal 14" xfId="32"/>
    <cellStyle name="Normal 15" xfId="33"/>
    <cellStyle name="Normal 16" xfId="34"/>
    <cellStyle name="Normal 17" xfId="35"/>
    <cellStyle name="Normal 18" xfId="36"/>
    <cellStyle name="Normal 19" xfId="37"/>
    <cellStyle name="Normal 2" xfId="5"/>
    <cellStyle name="Normal 2 2" xfId="38"/>
    <cellStyle name="Normal 2 3" xfId="39"/>
    <cellStyle name="Normal 2 3 2" xfId="280"/>
    <cellStyle name="Normal 20" xfId="40"/>
    <cellStyle name="Normal 21" xfId="41"/>
    <cellStyle name="Normal 22" xfId="42"/>
    <cellStyle name="Normal 23" xfId="43"/>
    <cellStyle name="Normal 24" xfId="68"/>
    <cellStyle name="Normal 25" xfId="70"/>
    <cellStyle name="Normal 26" xfId="72"/>
    <cellStyle name="Normal 27" xfId="74"/>
    <cellStyle name="Normal 28" xfId="77"/>
    <cellStyle name="Normal 29" xfId="79"/>
    <cellStyle name="Normal 3" xfId="6"/>
    <cellStyle name="Normal 3 2" xfId="8"/>
    <cellStyle name="Normal 30" xfId="82"/>
    <cellStyle name="Normal 31" xfId="85"/>
    <cellStyle name="Normal 32" xfId="88"/>
    <cellStyle name="Normal 33" xfId="91"/>
    <cellStyle name="Normal 34" xfId="94"/>
    <cellStyle name="Normal 35" xfId="97"/>
    <cellStyle name="Normal 36" xfId="100"/>
    <cellStyle name="Normal 37" xfId="103"/>
    <cellStyle name="Normal 38" xfId="106"/>
    <cellStyle name="Normal 39" xfId="109"/>
    <cellStyle name="Normal 4" xfId="10"/>
    <cellStyle name="Normal 4 2" xfId="44"/>
    <cellStyle name="Normal 40" xfId="112"/>
    <cellStyle name="Normal 41" xfId="115"/>
    <cellStyle name="Normal 42" xfId="118"/>
    <cellStyle name="Normal 43" xfId="121"/>
    <cellStyle name="Normal 44" xfId="124"/>
    <cellStyle name="Normal 45" xfId="127"/>
    <cellStyle name="Normal 46" xfId="129"/>
    <cellStyle name="Normal 47" xfId="132"/>
    <cellStyle name="Normal 48" xfId="135"/>
    <cellStyle name="Normal 49" xfId="138"/>
    <cellStyle name="Normal 5" xfId="9"/>
    <cellStyle name="Normal 5 2" xfId="45"/>
    <cellStyle name="Normal 50" xfId="141"/>
    <cellStyle name="Normal 51" xfId="144"/>
    <cellStyle name="Normal 52" xfId="147"/>
    <cellStyle name="Normal 53" xfId="150"/>
    <cellStyle name="Normal 54" xfId="153"/>
    <cellStyle name="Normal 55" xfId="156"/>
    <cellStyle name="Normal 56" xfId="159"/>
    <cellStyle name="Normal 57" xfId="162"/>
    <cellStyle name="Normal 58" xfId="165"/>
    <cellStyle name="Normal 59" xfId="168"/>
    <cellStyle name="Normal 6" xfId="2"/>
    <cellStyle name="Normal 60" xfId="171"/>
    <cellStyle name="Normal 61" xfId="174"/>
    <cellStyle name="Normal 62" xfId="177"/>
    <cellStyle name="Normal 63" xfId="180"/>
    <cellStyle name="Normal 64" xfId="183"/>
    <cellStyle name="Normal 65" xfId="186"/>
    <cellStyle name="Normal 66" xfId="189"/>
    <cellStyle name="Normal 67" xfId="192"/>
    <cellStyle name="Normal 68" xfId="195"/>
    <cellStyle name="Normal 69" xfId="198"/>
    <cellStyle name="Normal 7" xfId="3"/>
    <cellStyle name="Normal 7 2" xfId="46"/>
    <cellStyle name="Normal 70" xfId="201"/>
    <cellStyle name="Normal 71" xfId="204"/>
    <cellStyle name="Normal 72" xfId="207"/>
    <cellStyle name="Normal 73" xfId="210"/>
    <cellStyle name="Normal 74" xfId="213"/>
    <cellStyle name="Normal 75" xfId="216"/>
    <cellStyle name="Normal 76" xfId="219"/>
    <cellStyle name="Normal 77" xfId="222"/>
    <cellStyle name="Normal 78" xfId="225"/>
    <cellStyle name="Normal 79" xfId="228"/>
    <cellStyle name="Normal 8" xfId="47"/>
    <cellStyle name="Normal 80" xfId="231"/>
    <cellStyle name="Normal 81" xfId="234"/>
    <cellStyle name="Normal 82" xfId="237"/>
    <cellStyle name="Normal 83" xfId="240"/>
    <cellStyle name="Normal 84" xfId="243"/>
    <cellStyle name="Normal 85" xfId="246"/>
    <cellStyle name="Normal 86" xfId="249"/>
    <cellStyle name="Normal 87" xfId="252"/>
    <cellStyle name="Normal 88" xfId="255"/>
    <cellStyle name="Normal 89" xfId="258"/>
    <cellStyle name="Normal 9" xfId="48"/>
    <cellStyle name="Normal 90" xfId="261"/>
    <cellStyle name="Normal 91" xfId="264"/>
    <cellStyle name="Normal 92" xfId="267"/>
    <cellStyle name="Normal 93" xfId="270"/>
    <cellStyle name="Normal 94" xfId="273"/>
    <cellStyle name="Normal 95" xfId="276"/>
    <cellStyle name="Normal 96" xfId="67"/>
    <cellStyle name="Percent 10" xfId="49"/>
    <cellStyle name="Percent 11" xfId="50"/>
    <cellStyle name="Percent 12" xfId="51"/>
    <cellStyle name="Percent 13" xfId="52"/>
    <cellStyle name="Percent 14" xfId="53"/>
    <cellStyle name="Percent 15" xfId="54"/>
    <cellStyle name="Percent 16" xfId="55"/>
    <cellStyle name="Percent 17" xfId="56"/>
    <cellStyle name="Percent 18" xfId="57"/>
    <cellStyle name="Percent 19" xfId="58"/>
    <cellStyle name="Percent 2" xfId="12"/>
    <cellStyle name="Percent 20" xfId="69"/>
    <cellStyle name="Percent 21" xfId="71"/>
    <cellStyle name="Percent 22" xfId="73"/>
    <cellStyle name="Percent 23" xfId="75"/>
    <cellStyle name="Percent 24" xfId="78"/>
    <cellStyle name="Percent 25" xfId="80"/>
    <cellStyle name="Percent 26" xfId="83"/>
    <cellStyle name="Percent 27" xfId="86"/>
    <cellStyle name="Percent 28" xfId="89"/>
    <cellStyle name="Percent 29" xfId="92"/>
    <cellStyle name="Percent 3" xfId="59"/>
    <cellStyle name="Percent 30" xfId="95"/>
    <cellStyle name="Percent 31" xfId="98"/>
    <cellStyle name="Percent 32" xfId="101"/>
    <cellStyle name="Percent 33" xfId="104"/>
    <cellStyle name="Percent 34" xfId="107"/>
    <cellStyle name="Percent 35" xfId="110"/>
    <cellStyle name="Percent 36" xfId="113"/>
    <cellStyle name="Percent 37" xfId="116"/>
    <cellStyle name="Percent 38" xfId="119"/>
    <cellStyle name="Percent 39" xfId="122"/>
    <cellStyle name="Percent 4" xfId="60"/>
    <cellStyle name="Percent 40" xfId="125"/>
    <cellStyle name="Percent 41" xfId="128"/>
    <cellStyle name="Percent 42" xfId="130"/>
    <cellStyle name="Percent 43" xfId="133"/>
    <cellStyle name="Percent 44" xfId="136"/>
    <cellStyle name="Percent 45" xfId="139"/>
    <cellStyle name="Percent 46" xfId="142"/>
    <cellStyle name="Percent 47" xfId="145"/>
    <cellStyle name="Percent 48" xfId="148"/>
    <cellStyle name="Percent 49" xfId="151"/>
    <cellStyle name="Percent 5" xfId="61"/>
    <cellStyle name="Percent 50" xfId="154"/>
    <cellStyle name="Percent 51" xfId="157"/>
    <cellStyle name="Percent 52" xfId="160"/>
    <cellStyle name="Percent 53" xfId="163"/>
    <cellStyle name="Percent 54" xfId="166"/>
    <cellStyle name="Percent 55" xfId="169"/>
    <cellStyle name="Percent 56" xfId="172"/>
    <cellStyle name="Percent 57" xfId="175"/>
    <cellStyle name="Percent 58" xfId="178"/>
    <cellStyle name="Percent 59" xfId="181"/>
    <cellStyle name="Percent 6" xfId="62"/>
    <cellStyle name="Percent 60" xfId="184"/>
    <cellStyle name="Percent 61" xfId="187"/>
    <cellStyle name="Percent 62" xfId="190"/>
    <cellStyle name="Percent 63" xfId="193"/>
    <cellStyle name="Percent 64" xfId="196"/>
    <cellStyle name="Percent 65" xfId="199"/>
    <cellStyle name="Percent 66" xfId="202"/>
    <cellStyle name="Percent 67" xfId="205"/>
    <cellStyle name="Percent 68" xfId="208"/>
    <cellStyle name="Percent 69" xfId="211"/>
    <cellStyle name="Percent 7" xfId="63"/>
    <cellStyle name="Percent 70" xfId="214"/>
    <cellStyle name="Percent 71" xfId="217"/>
    <cellStyle name="Percent 72" xfId="220"/>
    <cellStyle name="Percent 73" xfId="223"/>
    <cellStyle name="Percent 74" xfId="226"/>
    <cellStyle name="Percent 75" xfId="229"/>
    <cellStyle name="Percent 76" xfId="232"/>
    <cellStyle name="Percent 77" xfId="235"/>
    <cellStyle name="Percent 78" xfId="238"/>
    <cellStyle name="Percent 79" xfId="241"/>
    <cellStyle name="Percent 8" xfId="64"/>
    <cellStyle name="Percent 80" xfId="244"/>
    <cellStyle name="Percent 81" xfId="247"/>
    <cellStyle name="Percent 82" xfId="250"/>
    <cellStyle name="Percent 83" xfId="253"/>
    <cellStyle name="Percent 84" xfId="256"/>
    <cellStyle name="Percent 85" xfId="259"/>
    <cellStyle name="Percent 86" xfId="262"/>
    <cellStyle name="Percent 87" xfId="265"/>
    <cellStyle name="Percent 88" xfId="268"/>
    <cellStyle name="Percent 89" xfId="271"/>
    <cellStyle name="Percent 9" xfId="65"/>
    <cellStyle name="Percent 90" xfId="274"/>
    <cellStyle name="Percent 91" xfId="277"/>
  </cellStyles>
  <dxfs count="0"/>
  <tableStyles count="0" defaultTableStyle="TableStyleMedium9" defaultPivotStyle="PivotStyleLight16"/>
  <colors>
    <mruColors>
      <color rgb="FFFD7199"/>
      <color rgb="FF003300"/>
      <color rgb="FF4D7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S69"/>
  <sheetViews>
    <sheetView tabSelected="1" zoomScale="70" zoomScaleNormal="70" workbookViewId="0">
      <pane xSplit="4" ySplit="7" topLeftCell="E20" activePane="bottomRight" state="frozen"/>
      <selection pane="topRight" activeCell="D1" sqref="D1"/>
      <selection pane="bottomLeft" activeCell="A5" sqref="A5"/>
      <selection pane="bottomRight" activeCell="H35" sqref="H35"/>
    </sheetView>
  </sheetViews>
  <sheetFormatPr defaultColWidth="9.140625" defaultRowHeight="18"/>
  <cols>
    <col min="1" max="1" width="8.42578125" style="7" customWidth="1"/>
    <col min="2" max="2" width="18" style="6" bestFit="1" customWidth="1"/>
    <col min="3" max="3" width="12.85546875" style="6" customWidth="1"/>
    <col min="4" max="4" width="31.85546875" style="3" customWidth="1"/>
    <col min="5" max="5" width="16.28515625" style="1" customWidth="1"/>
    <col min="6" max="7" width="13.28515625" style="1" customWidth="1"/>
    <col min="8" max="8" width="14.5703125" style="1" customWidth="1"/>
    <col min="9" max="9" width="15.28515625" style="1" hidden="1" customWidth="1"/>
    <col min="10" max="10" width="16.7109375" style="1" customWidth="1"/>
    <col min="11" max="11" width="18.5703125" style="1" customWidth="1"/>
    <col min="12" max="12" width="18.85546875" style="1" customWidth="1"/>
    <col min="13" max="13" width="14.42578125" style="1" customWidth="1"/>
    <col min="14" max="15" width="14.42578125" style="1" hidden="1" customWidth="1"/>
    <col min="16" max="16" width="14.42578125" style="1" customWidth="1"/>
    <col min="17" max="17" width="15.85546875" style="1" bestFit="1" customWidth="1"/>
    <col min="18" max="18" width="11.85546875" style="1" customWidth="1"/>
    <col min="19" max="19" width="11" style="1" customWidth="1"/>
    <col min="20" max="20" width="18" style="1" customWidth="1"/>
    <col min="21" max="21" width="18.42578125" style="1" customWidth="1"/>
    <col min="22" max="22" width="7.5703125" style="1" hidden="1" customWidth="1"/>
    <col min="23" max="23" width="17.5703125" style="1" customWidth="1"/>
    <col min="24" max="24" width="16.7109375" style="1" customWidth="1"/>
    <col min="25" max="25" width="11.7109375" style="1" customWidth="1"/>
    <col min="26" max="26" width="10.7109375" style="1" customWidth="1"/>
    <col min="27" max="28" width="12.140625" style="1" customWidth="1"/>
    <col min="29" max="29" width="12.140625" style="1" bestFit="1" customWidth="1"/>
    <col min="30" max="30" width="17.85546875" style="1" customWidth="1"/>
    <col min="31" max="42" width="11.28515625" style="1" customWidth="1"/>
    <col min="43" max="43" width="32.7109375" style="1" bestFit="1" customWidth="1"/>
    <col min="44" max="45" width="10.5703125" style="1" bestFit="1" customWidth="1"/>
    <col min="46" max="16384" width="9.140625" style="1"/>
  </cols>
  <sheetData>
    <row r="3" spans="1:43" s="231" customFormat="1" ht="39.75" customHeight="1">
      <c r="A3" s="316" t="s">
        <v>24</v>
      </c>
      <c r="B3" s="316"/>
      <c r="C3" s="273"/>
      <c r="D3" s="332">
        <v>46153</v>
      </c>
      <c r="E3" s="332"/>
      <c r="F3" s="332"/>
      <c r="G3" s="332"/>
      <c r="H3" s="230"/>
      <c r="I3" s="230"/>
      <c r="J3" s="230"/>
      <c r="K3" s="232" t="s">
        <v>67</v>
      </c>
      <c r="L3" s="232"/>
      <c r="M3" s="232"/>
      <c r="N3" s="232"/>
      <c r="O3" s="232"/>
    </row>
    <row r="4" spans="1:43" s="4" customFormat="1" ht="16.5" customHeight="1">
      <c r="A4" s="96"/>
      <c r="B4" s="95"/>
      <c r="C4" s="95"/>
      <c r="D4" s="96"/>
      <c r="E4" s="96"/>
      <c r="F4" s="96"/>
      <c r="G4" s="96"/>
      <c r="H4" s="96"/>
      <c r="I4" s="96"/>
      <c r="J4" s="96"/>
      <c r="N4" s="5"/>
      <c r="O4" s="5"/>
    </row>
    <row r="5" spans="1:43" s="2" customFormat="1" ht="31.5" customHeight="1">
      <c r="A5" s="333" t="s">
        <v>12</v>
      </c>
      <c r="B5" s="334" t="s">
        <v>13</v>
      </c>
      <c r="C5" s="337" t="s">
        <v>101</v>
      </c>
      <c r="D5" s="323" t="s">
        <v>0</v>
      </c>
      <c r="E5" s="180" t="s">
        <v>21</v>
      </c>
      <c r="F5" s="181" t="s">
        <v>14</v>
      </c>
      <c r="G5" s="181" t="s">
        <v>71</v>
      </c>
      <c r="H5" s="181" t="s">
        <v>117</v>
      </c>
      <c r="I5" s="182" t="s">
        <v>14</v>
      </c>
      <c r="J5" s="182" t="s">
        <v>14</v>
      </c>
      <c r="K5" s="326" t="s">
        <v>2</v>
      </c>
      <c r="L5" s="327" t="s">
        <v>22</v>
      </c>
      <c r="M5" s="326" t="s">
        <v>3</v>
      </c>
      <c r="N5" s="320" t="s">
        <v>4</v>
      </c>
      <c r="O5" s="321"/>
      <c r="P5" s="181" t="s">
        <v>5</v>
      </c>
      <c r="Q5" s="320" t="s">
        <v>17</v>
      </c>
      <c r="R5" s="321"/>
      <c r="S5" s="229" t="s">
        <v>5</v>
      </c>
      <c r="T5" s="181" t="s">
        <v>5</v>
      </c>
      <c r="U5" s="181" t="s">
        <v>68</v>
      </c>
      <c r="V5" s="181" t="s">
        <v>56</v>
      </c>
      <c r="W5" s="356" t="s">
        <v>6</v>
      </c>
      <c r="X5" s="356"/>
      <c r="Y5" s="356"/>
      <c r="Z5" s="356"/>
      <c r="AA5" s="327" t="s">
        <v>19</v>
      </c>
      <c r="AB5" s="327" t="s">
        <v>7</v>
      </c>
      <c r="AC5" s="355" t="s">
        <v>20</v>
      </c>
      <c r="AD5" s="162"/>
      <c r="AE5" s="314" t="s">
        <v>28</v>
      </c>
      <c r="AF5" s="311"/>
      <c r="AG5" s="310" t="s">
        <v>29</v>
      </c>
      <c r="AH5" s="311"/>
      <c r="AI5" s="310" t="s">
        <v>25</v>
      </c>
      <c r="AJ5" s="311"/>
      <c r="AK5" s="310" t="s">
        <v>26</v>
      </c>
      <c r="AL5" s="311"/>
      <c r="AM5" s="310" t="s">
        <v>27</v>
      </c>
      <c r="AN5" s="311"/>
      <c r="AO5" s="310" t="s">
        <v>41</v>
      </c>
      <c r="AP5" s="311"/>
      <c r="AQ5" s="50"/>
    </row>
    <row r="6" spans="1:43" s="2" customFormat="1" ht="21" customHeight="1">
      <c r="A6" s="333"/>
      <c r="B6" s="335"/>
      <c r="C6" s="338"/>
      <c r="D6" s="324"/>
      <c r="E6" s="182">
        <v>208</v>
      </c>
      <c r="F6" s="182">
        <v>38</v>
      </c>
      <c r="G6" s="182">
        <v>200</v>
      </c>
      <c r="H6" s="182">
        <v>200</v>
      </c>
      <c r="I6" s="182">
        <v>135</v>
      </c>
      <c r="J6" s="182">
        <v>215</v>
      </c>
      <c r="K6" s="326"/>
      <c r="L6" s="328"/>
      <c r="M6" s="326"/>
      <c r="N6" s="180">
        <v>2.4</v>
      </c>
      <c r="O6" s="180">
        <v>3.6</v>
      </c>
      <c r="P6" s="180">
        <v>3.6</v>
      </c>
      <c r="Q6" s="181">
        <v>2.4</v>
      </c>
      <c r="R6" s="181">
        <v>3.6</v>
      </c>
      <c r="S6" s="181">
        <v>4.9000000000000004</v>
      </c>
      <c r="T6" s="180">
        <v>2.4</v>
      </c>
      <c r="U6" s="180">
        <v>2.4</v>
      </c>
      <c r="V6" s="180"/>
      <c r="W6" s="182">
        <v>5</v>
      </c>
      <c r="X6" s="182">
        <v>10</v>
      </c>
      <c r="Y6" s="182" t="s">
        <v>94</v>
      </c>
      <c r="Z6" s="182">
        <v>40</v>
      </c>
      <c r="AA6" s="328"/>
      <c r="AB6" s="328"/>
      <c r="AC6" s="355"/>
      <c r="AD6" s="162"/>
      <c r="AE6" s="315"/>
      <c r="AF6" s="313"/>
      <c r="AG6" s="312"/>
      <c r="AH6" s="313"/>
      <c r="AI6" s="312"/>
      <c r="AJ6" s="313"/>
      <c r="AK6" s="312"/>
      <c r="AL6" s="313"/>
      <c r="AM6" s="312"/>
      <c r="AN6" s="313"/>
      <c r="AO6" s="312"/>
      <c r="AP6" s="313"/>
      <c r="AQ6" s="50"/>
    </row>
    <row r="7" spans="1:43" s="2" customFormat="1" ht="24" customHeight="1">
      <c r="A7" s="333"/>
      <c r="B7" s="336"/>
      <c r="C7" s="339"/>
      <c r="D7" s="325"/>
      <c r="E7" s="182" t="s">
        <v>8</v>
      </c>
      <c r="F7" s="182" t="s">
        <v>8</v>
      </c>
      <c r="G7" s="182" t="s">
        <v>8</v>
      </c>
      <c r="H7" s="182" t="s">
        <v>8</v>
      </c>
      <c r="I7" s="182" t="s">
        <v>8</v>
      </c>
      <c r="J7" s="182" t="s">
        <v>8</v>
      </c>
      <c r="K7" s="182" t="s">
        <v>9</v>
      </c>
      <c r="L7" s="182" t="s">
        <v>23</v>
      </c>
      <c r="M7" s="182" t="s">
        <v>8</v>
      </c>
      <c r="N7" s="182" t="s">
        <v>8</v>
      </c>
      <c r="O7" s="182" t="s">
        <v>8</v>
      </c>
      <c r="P7" s="182" t="s">
        <v>8</v>
      </c>
      <c r="Q7" s="182" t="s">
        <v>8</v>
      </c>
      <c r="R7" s="182" t="s">
        <v>8</v>
      </c>
      <c r="S7" s="182" t="s">
        <v>8</v>
      </c>
      <c r="T7" s="182" t="s">
        <v>8</v>
      </c>
      <c r="U7" s="182" t="s">
        <v>8</v>
      </c>
      <c r="V7" s="182" t="s">
        <v>8</v>
      </c>
      <c r="W7" s="182" t="s">
        <v>10</v>
      </c>
      <c r="X7" s="182" t="s">
        <v>10</v>
      </c>
      <c r="Y7" s="182" t="s">
        <v>10</v>
      </c>
      <c r="Z7" s="182" t="s">
        <v>10</v>
      </c>
      <c r="AA7" s="182" t="s">
        <v>8</v>
      </c>
      <c r="AB7" s="182" t="s">
        <v>8</v>
      </c>
      <c r="AC7" s="182" t="s">
        <v>8</v>
      </c>
      <c r="AD7" s="163"/>
      <c r="AE7" s="235" t="s">
        <v>30</v>
      </c>
      <c r="AF7" s="131" t="s">
        <v>31</v>
      </c>
      <c r="AG7" s="131" t="s">
        <v>30</v>
      </c>
      <c r="AH7" s="131" t="s">
        <v>31</v>
      </c>
      <c r="AI7" s="131" t="s">
        <v>30</v>
      </c>
      <c r="AJ7" s="131" t="s">
        <v>31</v>
      </c>
      <c r="AK7" s="131" t="s">
        <v>30</v>
      </c>
      <c r="AL7" s="131" t="s">
        <v>31</v>
      </c>
      <c r="AM7" s="131" t="s">
        <v>30</v>
      </c>
      <c r="AN7" s="131" t="s">
        <v>31</v>
      </c>
      <c r="AO7" s="131" t="s">
        <v>30</v>
      </c>
      <c r="AP7" s="131" t="s">
        <v>31</v>
      </c>
      <c r="AQ7" s="50"/>
    </row>
    <row r="8" spans="1:43" s="119" customFormat="1" ht="33" customHeight="1">
      <c r="A8" s="126"/>
      <c r="B8" s="127"/>
      <c r="C8" s="127"/>
      <c r="D8" s="128" t="s">
        <v>60</v>
      </c>
      <c r="E8" s="129">
        <v>17457</v>
      </c>
      <c r="F8" s="129">
        <v>21811</v>
      </c>
      <c r="G8" s="129">
        <v>31496</v>
      </c>
      <c r="H8" s="129">
        <v>35245</v>
      </c>
      <c r="I8" s="129">
        <v>21810</v>
      </c>
      <c r="J8" s="129">
        <v>11082</v>
      </c>
      <c r="K8" s="129">
        <v>10128</v>
      </c>
      <c r="L8" s="129">
        <v>12487</v>
      </c>
      <c r="M8" s="129">
        <v>11966</v>
      </c>
      <c r="N8" s="129">
        <v>10962</v>
      </c>
      <c r="O8" s="129">
        <v>15427</v>
      </c>
      <c r="P8" s="129">
        <v>10966</v>
      </c>
      <c r="Q8" s="129">
        <v>16623</v>
      </c>
      <c r="R8" s="129">
        <v>16967</v>
      </c>
      <c r="S8" s="129">
        <v>21809</v>
      </c>
      <c r="T8" s="129">
        <v>10965</v>
      </c>
      <c r="U8" s="129">
        <v>28230</v>
      </c>
      <c r="V8" s="129">
        <v>10964</v>
      </c>
      <c r="W8" s="129">
        <v>10960</v>
      </c>
      <c r="X8" s="129">
        <v>10961</v>
      </c>
      <c r="Y8" s="129">
        <v>33442</v>
      </c>
      <c r="Z8" s="129">
        <v>10959</v>
      </c>
      <c r="AA8" s="129">
        <v>11342</v>
      </c>
      <c r="AB8" s="129">
        <v>11089</v>
      </c>
      <c r="AC8" s="129">
        <v>16823</v>
      </c>
      <c r="AD8" s="233"/>
      <c r="AE8" s="132"/>
      <c r="AF8" s="133"/>
      <c r="AG8" s="132"/>
      <c r="AH8" s="133"/>
      <c r="AI8" s="132"/>
      <c r="AJ8" s="133"/>
      <c r="AK8" s="132"/>
      <c r="AL8" s="133"/>
      <c r="AM8" s="132"/>
      <c r="AN8" s="133"/>
      <c r="AO8" s="132"/>
      <c r="AP8" s="133"/>
      <c r="AQ8" s="118"/>
    </row>
    <row r="9" spans="1:43" s="119" customFormat="1" ht="9" customHeight="1" thickBot="1">
      <c r="A9" s="126"/>
      <c r="B9" s="127"/>
      <c r="C9" s="127"/>
      <c r="D9" s="128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233"/>
      <c r="AE9" s="132"/>
      <c r="AF9" s="133"/>
      <c r="AG9" s="132"/>
      <c r="AH9" s="133"/>
      <c r="AI9" s="132"/>
      <c r="AJ9" s="133"/>
      <c r="AK9" s="132"/>
      <c r="AL9" s="133"/>
      <c r="AM9" s="132"/>
      <c r="AN9" s="133"/>
      <c r="AO9" s="132"/>
      <c r="AP9" s="133"/>
      <c r="AQ9" s="118"/>
    </row>
    <row r="10" spans="1:43" s="28" customFormat="1" ht="30" customHeight="1">
      <c r="A10" s="25">
        <v>1</v>
      </c>
      <c r="B10" s="26"/>
      <c r="C10" s="26"/>
      <c r="D10" s="27"/>
      <c r="E10" s="20"/>
      <c r="F10" s="20"/>
      <c r="G10" s="20"/>
      <c r="H10" s="20"/>
      <c r="I10" s="20"/>
      <c r="J10" s="20"/>
      <c r="K10" s="20"/>
      <c r="L10" s="21">
        <f>M10*2.43</f>
        <v>0</v>
      </c>
      <c r="M10" s="20"/>
      <c r="N10" s="20"/>
      <c r="O10" s="20"/>
      <c r="P10" s="20"/>
      <c r="Q10" s="20"/>
      <c r="R10" s="20"/>
      <c r="S10" s="20"/>
      <c r="T10" s="20"/>
      <c r="U10" s="67"/>
      <c r="V10" s="67"/>
      <c r="W10" s="20"/>
      <c r="X10" s="20"/>
      <c r="Y10" s="20"/>
      <c r="Z10" s="20"/>
      <c r="AA10" s="20"/>
      <c r="AB10" s="20"/>
      <c r="AC10" s="20"/>
      <c r="AD10" s="239"/>
      <c r="AE10" s="134"/>
      <c r="AF10" s="71"/>
      <c r="AG10" s="137"/>
      <c r="AH10" s="71"/>
      <c r="AI10" s="85"/>
      <c r="AJ10" s="71"/>
      <c r="AK10" s="165"/>
      <c r="AL10" s="71"/>
      <c r="AM10" s="176"/>
      <c r="AN10" s="71"/>
      <c r="AO10" s="88"/>
      <c r="AP10" s="71"/>
    </row>
    <row r="11" spans="1:43" s="28" customFormat="1" ht="30" customHeight="1">
      <c r="A11" s="25">
        <v>1</v>
      </c>
      <c r="B11" s="26"/>
      <c r="C11" s="26"/>
      <c r="D11" s="27"/>
      <c r="E11" s="20"/>
      <c r="F11" s="20"/>
      <c r="G11" s="20"/>
      <c r="H11" s="20"/>
      <c r="I11" s="20"/>
      <c r="J11" s="20"/>
      <c r="K11" s="20"/>
      <c r="L11" s="21">
        <f>M11*2.43</f>
        <v>0</v>
      </c>
      <c r="M11" s="20"/>
      <c r="N11" s="117"/>
      <c r="O11" s="20"/>
      <c r="P11" s="20"/>
      <c r="Q11" s="20"/>
      <c r="R11" s="20"/>
      <c r="S11" s="20"/>
      <c r="T11" s="20"/>
      <c r="U11" s="67"/>
      <c r="V11" s="67"/>
      <c r="W11" s="20"/>
      <c r="X11" s="20"/>
      <c r="Y11" s="20"/>
      <c r="Z11" s="20"/>
      <c r="AA11" s="20"/>
      <c r="AB11" s="20"/>
      <c r="AC11" s="20"/>
      <c r="AD11" s="239"/>
      <c r="AE11" s="143"/>
      <c r="AF11" s="73"/>
      <c r="AG11" s="136"/>
      <c r="AH11" s="73"/>
      <c r="AI11" s="86"/>
      <c r="AJ11" s="73"/>
      <c r="AK11" s="167"/>
      <c r="AL11" s="73"/>
      <c r="AM11" s="177"/>
      <c r="AN11" s="73"/>
      <c r="AO11" s="89"/>
      <c r="AP11" s="73"/>
    </row>
    <row r="12" spans="1:43" s="28" customFormat="1" ht="30" customHeight="1">
      <c r="A12" s="25">
        <v>1</v>
      </c>
      <c r="B12" s="26"/>
      <c r="C12" s="26"/>
      <c r="D12" s="27"/>
      <c r="E12" s="20"/>
      <c r="F12" s="20"/>
      <c r="G12" s="20"/>
      <c r="H12" s="20"/>
      <c r="I12" s="20"/>
      <c r="J12" s="20"/>
      <c r="K12" s="20"/>
      <c r="L12" s="21">
        <f>M12*2.43</f>
        <v>0</v>
      </c>
      <c r="M12" s="20"/>
      <c r="N12" s="20"/>
      <c r="O12" s="117"/>
      <c r="P12" s="20"/>
      <c r="Q12" s="20"/>
      <c r="R12" s="20"/>
      <c r="S12" s="20"/>
      <c r="T12" s="20"/>
      <c r="U12" s="67"/>
      <c r="V12" s="67"/>
      <c r="W12" s="20"/>
      <c r="X12" s="20"/>
      <c r="Y12" s="20"/>
      <c r="Z12" s="20"/>
      <c r="AA12" s="20"/>
      <c r="AB12" s="20"/>
      <c r="AC12" s="20"/>
      <c r="AD12" s="239"/>
      <c r="AE12" s="143"/>
      <c r="AF12" s="73"/>
      <c r="AG12" s="136"/>
      <c r="AH12" s="73"/>
      <c r="AI12" s="86"/>
      <c r="AJ12" s="73"/>
      <c r="AK12" s="167"/>
      <c r="AL12" s="73"/>
      <c r="AM12" s="177"/>
      <c r="AN12" s="73"/>
      <c r="AO12" s="89"/>
      <c r="AP12" s="73"/>
    </row>
    <row r="13" spans="1:43" s="28" customFormat="1" ht="37.5" customHeight="1">
      <c r="A13" s="171" t="s">
        <v>11</v>
      </c>
      <c r="B13" s="172"/>
      <c r="C13" s="172"/>
      <c r="D13" s="172"/>
      <c r="E13" s="173">
        <f>SUM(E10:E12)</f>
        <v>0</v>
      </c>
      <c r="F13" s="173">
        <f t="shared" ref="F13:AP13" si="0">SUM(F10:F12)</f>
        <v>0</v>
      </c>
      <c r="G13" s="173">
        <f t="shared" si="0"/>
        <v>0</v>
      </c>
      <c r="H13" s="173">
        <f t="shared" si="0"/>
        <v>0</v>
      </c>
      <c r="I13" s="173">
        <f t="shared" si="0"/>
        <v>0</v>
      </c>
      <c r="J13" s="173">
        <f t="shared" si="0"/>
        <v>0</v>
      </c>
      <c r="K13" s="173">
        <f t="shared" si="0"/>
        <v>0</v>
      </c>
      <c r="L13" s="173">
        <f t="shared" si="0"/>
        <v>0</v>
      </c>
      <c r="M13" s="173">
        <f t="shared" si="0"/>
        <v>0</v>
      </c>
      <c r="N13" s="173">
        <f t="shared" si="0"/>
        <v>0</v>
      </c>
      <c r="O13" s="173">
        <f t="shared" si="0"/>
        <v>0</v>
      </c>
      <c r="P13" s="173">
        <f t="shared" si="0"/>
        <v>0</v>
      </c>
      <c r="Q13" s="173">
        <f t="shared" si="0"/>
        <v>0</v>
      </c>
      <c r="R13" s="173">
        <f t="shared" si="0"/>
        <v>0</v>
      </c>
      <c r="S13" s="173">
        <f t="shared" si="0"/>
        <v>0</v>
      </c>
      <c r="T13" s="173">
        <f t="shared" si="0"/>
        <v>0</v>
      </c>
      <c r="U13" s="173">
        <f t="shared" si="0"/>
        <v>0</v>
      </c>
      <c r="V13" s="173">
        <f t="shared" si="0"/>
        <v>0</v>
      </c>
      <c r="W13" s="173">
        <f t="shared" si="0"/>
        <v>0</v>
      </c>
      <c r="X13" s="173">
        <f t="shared" si="0"/>
        <v>0</v>
      </c>
      <c r="Y13" s="173">
        <f t="shared" si="0"/>
        <v>0</v>
      </c>
      <c r="Z13" s="173">
        <f t="shared" si="0"/>
        <v>0</v>
      </c>
      <c r="AA13" s="173">
        <f t="shared" si="0"/>
        <v>0</v>
      </c>
      <c r="AB13" s="173">
        <f t="shared" si="0"/>
        <v>0</v>
      </c>
      <c r="AC13" s="173">
        <f t="shared" si="0"/>
        <v>0</v>
      </c>
      <c r="AD13" s="239"/>
      <c r="AE13" s="174">
        <f t="shared" si="0"/>
        <v>0</v>
      </c>
      <c r="AF13" s="170">
        <f t="shared" si="0"/>
        <v>0</v>
      </c>
      <c r="AG13" s="170">
        <f t="shared" si="0"/>
        <v>0</v>
      </c>
      <c r="AH13" s="170">
        <f t="shared" si="0"/>
        <v>0</v>
      </c>
      <c r="AI13" s="170">
        <f t="shared" si="0"/>
        <v>0</v>
      </c>
      <c r="AJ13" s="170">
        <f t="shared" si="0"/>
        <v>0</v>
      </c>
      <c r="AK13" s="170">
        <f t="shared" si="0"/>
        <v>0</v>
      </c>
      <c r="AL13" s="170">
        <f t="shared" si="0"/>
        <v>0</v>
      </c>
      <c r="AM13" s="170">
        <f t="shared" si="0"/>
        <v>0</v>
      </c>
      <c r="AN13" s="170">
        <f t="shared" si="0"/>
        <v>0</v>
      </c>
      <c r="AO13" s="170">
        <f t="shared" si="0"/>
        <v>0</v>
      </c>
      <c r="AP13" s="170">
        <f t="shared" si="0"/>
        <v>0</v>
      </c>
    </row>
    <row r="14" spans="1:43" s="28" customFormat="1" ht="29.25" customHeight="1">
      <c r="A14" s="25">
        <v>2</v>
      </c>
      <c r="B14" s="27"/>
      <c r="C14" s="27"/>
      <c r="D14" s="27"/>
      <c r="E14" s="21"/>
      <c r="F14" s="21"/>
      <c r="G14" s="21"/>
      <c r="H14" s="21"/>
      <c r="I14" s="21"/>
      <c r="J14" s="21"/>
      <c r="K14" s="21"/>
      <c r="L14" s="21">
        <f>M14*2.43</f>
        <v>0</v>
      </c>
      <c r="M14" s="21"/>
      <c r="N14" s="20"/>
      <c r="O14" s="20"/>
      <c r="P14" s="20"/>
      <c r="Q14" s="20"/>
      <c r="R14" s="20"/>
      <c r="S14" s="20"/>
      <c r="T14" s="20"/>
      <c r="U14" s="67"/>
      <c r="V14" s="67"/>
      <c r="W14" s="21"/>
      <c r="X14" s="21"/>
      <c r="Y14" s="21"/>
      <c r="Z14" s="21"/>
      <c r="AA14" s="21"/>
      <c r="AB14" s="21"/>
      <c r="AC14" s="21"/>
      <c r="AD14" s="151"/>
      <c r="AE14" s="143"/>
      <c r="AF14" s="73"/>
      <c r="AG14" s="136"/>
      <c r="AH14" s="73"/>
      <c r="AI14" s="86"/>
      <c r="AJ14" s="73"/>
      <c r="AK14" s="167"/>
      <c r="AL14" s="73"/>
      <c r="AM14" s="177"/>
      <c r="AN14" s="73"/>
      <c r="AO14" s="89"/>
      <c r="AP14" s="73"/>
    </row>
    <row r="15" spans="1:43" s="28" customFormat="1" ht="29.25" customHeight="1">
      <c r="A15" s="25">
        <v>2</v>
      </c>
      <c r="B15" s="27"/>
      <c r="C15" s="27"/>
      <c r="D15" s="27"/>
      <c r="E15" s="21"/>
      <c r="F15" s="21"/>
      <c r="G15" s="21"/>
      <c r="H15" s="21"/>
      <c r="I15" s="21"/>
      <c r="J15" s="21"/>
      <c r="K15" s="21"/>
      <c r="L15" s="21">
        <f>M15*2.43</f>
        <v>0</v>
      </c>
      <c r="M15" s="21"/>
      <c r="N15" s="21"/>
      <c r="O15" s="21"/>
      <c r="P15" s="21"/>
      <c r="Q15" s="21"/>
      <c r="R15" s="21"/>
      <c r="S15" s="21"/>
      <c r="T15" s="21"/>
      <c r="U15" s="69"/>
      <c r="V15" s="69"/>
      <c r="W15" s="21"/>
      <c r="X15" s="21"/>
      <c r="Y15" s="21"/>
      <c r="Z15" s="21"/>
      <c r="AA15" s="21"/>
      <c r="AB15" s="21"/>
      <c r="AC15" s="21"/>
      <c r="AD15" s="151"/>
      <c r="AE15" s="143"/>
      <c r="AF15" s="73"/>
      <c r="AG15" s="136"/>
      <c r="AH15" s="73"/>
      <c r="AI15" s="86"/>
      <c r="AJ15" s="73"/>
      <c r="AK15" s="167"/>
      <c r="AL15" s="73"/>
      <c r="AM15" s="177"/>
      <c r="AN15" s="73"/>
      <c r="AO15" s="89"/>
      <c r="AP15" s="73"/>
    </row>
    <row r="16" spans="1:43" s="28" customFormat="1" ht="29.25" customHeight="1" thickBot="1">
      <c r="A16" s="25">
        <v>2</v>
      </c>
      <c r="B16" s="27"/>
      <c r="C16" s="27"/>
      <c r="D16" s="27"/>
      <c r="E16" s="21"/>
      <c r="F16" s="21"/>
      <c r="G16" s="21"/>
      <c r="H16" s="21"/>
      <c r="I16" s="21"/>
      <c r="J16" s="21"/>
      <c r="K16" s="21"/>
      <c r="L16" s="21">
        <f>M16*2.43</f>
        <v>0</v>
      </c>
      <c r="M16" s="21"/>
      <c r="N16" s="21"/>
      <c r="O16" s="21"/>
      <c r="P16" s="21"/>
      <c r="Q16" s="21"/>
      <c r="R16" s="21"/>
      <c r="S16" s="21"/>
      <c r="T16" s="21"/>
      <c r="U16" s="69"/>
      <c r="V16" s="69"/>
      <c r="W16" s="21"/>
      <c r="X16" s="21"/>
      <c r="Y16" s="21"/>
      <c r="Z16" s="21"/>
      <c r="AA16" s="21"/>
      <c r="AB16" s="21"/>
      <c r="AC16" s="21"/>
      <c r="AD16" s="151"/>
      <c r="AE16" s="236"/>
      <c r="AF16" s="75"/>
      <c r="AG16" s="139"/>
      <c r="AH16" s="75"/>
      <c r="AI16" s="87"/>
      <c r="AJ16" s="75"/>
      <c r="AK16" s="168"/>
      <c r="AL16" s="75"/>
      <c r="AM16" s="178"/>
      <c r="AN16" s="75"/>
      <c r="AO16" s="90"/>
      <c r="AP16" s="75"/>
    </row>
    <row r="17" spans="1:45" s="28" customFormat="1" ht="37.5" customHeight="1">
      <c r="A17" s="29" t="s">
        <v>11</v>
      </c>
      <c r="B17" s="30"/>
      <c r="C17" s="30"/>
      <c r="D17" s="30"/>
      <c r="E17" s="24">
        <f t="shared" ref="E17:AP17" si="1">SUM(E14:E16)</f>
        <v>0</v>
      </c>
      <c r="F17" s="24">
        <f t="shared" si="1"/>
        <v>0</v>
      </c>
      <c r="G17" s="24">
        <f t="shared" si="1"/>
        <v>0</v>
      </c>
      <c r="H17" s="24">
        <f t="shared" si="1"/>
        <v>0</v>
      </c>
      <c r="I17" s="24">
        <f t="shared" si="1"/>
        <v>0</v>
      </c>
      <c r="J17" s="24">
        <f t="shared" si="1"/>
        <v>0</v>
      </c>
      <c r="K17" s="24">
        <f t="shared" si="1"/>
        <v>0</v>
      </c>
      <c r="L17" s="24">
        <f>SUM(L14:L16)</f>
        <v>0</v>
      </c>
      <c r="M17" s="24">
        <f t="shared" si="1"/>
        <v>0</v>
      </c>
      <c r="N17" s="24">
        <f t="shared" si="1"/>
        <v>0</v>
      </c>
      <c r="O17" s="24">
        <f t="shared" si="1"/>
        <v>0</v>
      </c>
      <c r="P17" s="24">
        <f t="shared" si="1"/>
        <v>0</v>
      </c>
      <c r="Q17" s="24">
        <f t="shared" si="1"/>
        <v>0</v>
      </c>
      <c r="R17" s="24">
        <f t="shared" si="1"/>
        <v>0</v>
      </c>
      <c r="S17" s="24">
        <f t="shared" si="1"/>
        <v>0</v>
      </c>
      <c r="T17" s="24">
        <f t="shared" si="1"/>
        <v>0</v>
      </c>
      <c r="U17" s="24">
        <f t="shared" si="1"/>
        <v>0</v>
      </c>
      <c r="V17" s="24">
        <f t="shared" si="1"/>
        <v>0</v>
      </c>
      <c r="W17" s="24">
        <f t="shared" si="1"/>
        <v>0</v>
      </c>
      <c r="X17" s="24">
        <f t="shared" si="1"/>
        <v>0</v>
      </c>
      <c r="Y17" s="24">
        <f t="shared" si="1"/>
        <v>0</v>
      </c>
      <c r="Z17" s="24">
        <f t="shared" si="1"/>
        <v>0</v>
      </c>
      <c r="AA17" s="24">
        <f t="shared" si="1"/>
        <v>0</v>
      </c>
      <c r="AB17" s="24">
        <f t="shared" si="1"/>
        <v>0</v>
      </c>
      <c r="AC17" s="24">
        <f t="shared" si="1"/>
        <v>0</v>
      </c>
      <c r="AD17" s="151"/>
      <c r="AE17" s="174">
        <f t="shared" si="1"/>
        <v>0</v>
      </c>
      <c r="AF17" s="170">
        <f t="shared" si="1"/>
        <v>0</v>
      </c>
      <c r="AG17" s="170">
        <f t="shared" si="1"/>
        <v>0</v>
      </c>
      <c r="AH17" s="170">
        <f t="shared" si="1"/>
        <v>0</v>
      </c>
      <c r="AI17" s="170">
        <f t="shared" si="1"/>
        <v>0</v>
      </c>
      <c r="AJ17" s="170">
        <f t="shared" si="1"/>
        <v>0</v>
      </c>
      <c r="AK17" s="170">
        <f t="shared" si="1"/>
        <v>0</v>
      </c>
      <c r="AL17" s="170">
        <f t="shared" si="1"/>
        <v>0</v>
      </c>
      <c r="AM17" s="170">
        <f t="shared" si="1"/>
        <v>0</v>
      </c>
      <c r="AN17" s="170">
        <f t="shared" si="1"/>
        <v>0</v>
      </c>
      <c r="AO17" s="170">
        <f t="shared" si="1"/>
        <v>0</v>
      </c>
      <c r="AP17" s="170">
        <f t="shared" si="1"/>
        <v>0</v>
      </c>
    </row>
    <row r="18" spans="1:45" s="28" customFormat="1" ht="29.25" customHeight="1">
      <c r="A18" s="25">
        <v>3</v>
      </c>
      <c r="B18" s="27"/>
      <c r="C18" s="32"/>
      <c r="D18" s="32"/>
      <c r="E18" s="21"/>
      <c r="F18" s="21"/>
      <c r="G18" s="21"/>
      <c r="H18" s="21"/>
      <c r="I18" s="21"/>
      <c r="J18" s="21"/>
      <c r="K18" s="21"/>
      <c r="L18" s="21">
        <f>M18*2.43</f>
        <v>0</v>
      </c>
      <c r="M18" s="21"/>
      <c r="N18" s="20"/>
      <c r="O18" s="20"/>
      <c r="P18" s="20"/>
      <c r="Q18" s="20"/>
      <c r="R18" s="20"/>
      <c r="S18" s="20"/>
      <c r="T18" s="20"/>
      <c r="U18" s="67"/>
      <c r="V18" s="67"/>
      <c r="W18" s="21"/>
      <c r="X18" s="21"/>
      <c r="Y18" s="21"/>
      <c r="Z18" s="21"/>
      <c r="AA18" s="21"/>
      <c r="AB18" s="21"/>
      <c r="AC18" s="21"/>
      <c r="AD18" s="151"/>
      <c r="AE18" s="143"/>
      <c r="AF18" s="73"/>
      <c r="AG18" s="136"/>
      <c r="AH18" s="73"/>
      <c r="AI18" s="86"/>
      <c r="AJ18" s="73"/>
      <c r="AK18" s="167"/>
      <c r="AL18" s="73"/>
      <c r="AM18" s="177"/>
      <c r="AN18" s="73"/>
      <c r="AO18" s="89"/>
      <c r="AP18" s="73"/>
    </row>
    <row r="19" spans="1:45" s="28" customFormat="1" ht="29.25" customHeight="1">
      <c r="A19" s="25">
        <v>3</v>
      </c>
      <c r="B19" s="27"/>
      <c r="C19" s="32"/>
      <c r="D19" s="32"/>
      <c r="E19" s="21"/>
      <c r="F19" s="21"/>
      <c r="G19" s="21"/>
      <c r="H19" s="21"/>
      <c r="I19" s="21"/>
      <c r="J19" s="21"/>
      <c r="K19" s="21"/>
      <c r="L19" s="21">
        <f>M19*2.43</f>
        <v>0</v>
      </c>
      <c r="M19" s="21"/>
      <c r="N19" s="20"/>
      <c r="O19" s="20"/>
      <c r="P19" s="20"/>
      <c r="Q19" s="20"/>
      <c r="R19" s="20"/>
      <c r="S19" s="20"/>
      <c r="T19" s="20"/>
      <c r="U19" s="67"/>
      <c r="V19" s="67"/>
      <c r="W19" s="21"/>
      <c r="X19" s="21"/>
      <c r="Y19" s="21"/>
      <c r="Z19" s="21"/>
      <c r="AA19" s="21"/>
      <c r="AB19" s="21"/>
      <c r="AC19" s="21"/>
      <c r="AD19" s="151"/>
      <c r="AE19" s="143"/>
      <c r="AF19" s="73"/>
      <c r="AG19" s="136"/>
      <c r="AH19" s="73"/>
      <c r="AI19" s="86"/>
      <c r="AJ19" s="73"/>
      <c r="AK19" s="167"/>
      <c r="AL19" s="73"/>
      <c r="AM19" s="177"/>
      <c r="AN19" s="73"/>
      <c r="AO19" s="89"/>
      <c r="AP19" s="73"/>
    </row>
    <row r="20" spans="1:45" s="28" customFormat="1" ht="29.25" customHeight="1">
      <c r="A20" s="25">
        <v>3</v>
      </c>
      <c r="B20" s="27"/>
      <c r="C20" s="32"/>
      <c r="D20" s="32"/>
      <c r="E20" s="21"/>
      <c r="F20" s="21"/>
      <c r="G20" s="21"/>
      <c r="H20" s="21"/>
      <c r="I20" s="21"/>
      <c r="J20" s="21"/>
      <c r="K20" s="21"/>
      <c r="L20" s="21">
        <f>M20*2.43</f>
        <v>0</v>
      </c>
      <c r="M20" s="21"/>
      <c r="N20" s="21"/>
      <c r="O20" s="21"/>
      <c r="P20" s="21"/>
      <c r="Q20" s="21"/>
      <c r="R20" s="21"/>
      <c r="S20" s="21"/>
      <c r="T20" s="21"/>
      <c r="U20" s="69"/>
      <c r="V20" s="69"/>
      <c r="W20" s="21"/>
      <c r="X20" s="21"/>
      <c r="Y20" s="21"/>
      <c r="Z20" s="21"/>
      <c r="AA20" s="21"/>
      <c r="AB20" s="21"/>
      <c r="AC20" s="21"/>
      <c r="AD20" s="151"/>
      <c r="AE20" s="143"/>
      <c r="AF20" s="73"/>
      <c r="AG20" s="136"/>
      <c r="AH20" s="73"/>
      <c r="AI20" s="86"/>
      <c r="AJ20" s="73"/>
      <c r="AK20" s="167"/>
      <c r="AL20" s="73"/>
      <c r="AM20" s="177"/>
      <c r="AN20" s="73"/>
      <c r="AO20" s="89"/>
      <c r="AP20" s="73"/>
    </row>
    <row r="21" spans="1:45" s="28" customFormat="1" ht="29.25" customHeight="1" thickBot="1">
      <c r="A21" s="25">
        <v>3</v>
      </c>
      <c r="B21" s="27"/>
      <c r="C21" s="32"/>
      <c r="D21" s="32"/>
      <c r="E21" s="21"/>
      <c r="F21" s="21"/>
      <c r="G21" s="21"/>
      <c r="H21" s="21"/>
      <c r="I21" s="21"/>
      <c r="J21" s="21"/>
      <c r="K21" s="21"/>
      <c r="L21" s="21">
        <f>M21*2.43</f>
        <v>0</v>
      </c>
      <c r="M21" s="21"/>
      <c r="N21" s="21"/>
      <c r="O21" s="21"/>
      <c r="P21" s="21"/>
      <c r="Q21" s="21"/>
      <c r="R21" s="21"/>
      <c r="S21" s="21"/>
      <c r="T21" s="21"/>
      <c r="U21" s="69"/>
      <c r="V21" s="69"/>
      <c r="W21" s="21"/>
      <c r="X21" s="21"/>
      <c r="Y21" s="21"/>
      <c r="Z21" s="21"/>
      <c r="AA21" s="21"/>
      <c r="AB21" s="21"/>
      <c r="AC21" s="21"/>
      <c r="AD21" s="151"/>
      <c r="AE21" s="236"/>
      <c r="AF21" s="75"/>
      <c r="AG21" s="139"/>
      <c r="AH21" s="75"/>
      <c r="AI21" s="87"/>
      <c r="AJ21" s="75"/>
      <c r="AK21" s="168"/>
      <c r="AL21" s="75"/>
      <c r="AM21" s="178"/>
      <c r="AN21" s="75"/>
      <c r="AO21" s="90"/>
      <c r="AP21" s="75"/>
    </row>
    <row r="22" spans="1:45" s="28" customFormat="1" ht="30" customHeight="1" thickBot="1">
      <c r="A22" s="29" t="s">
        <v>11</v>
      </c>
      <c r="B22" s="30"/>
      <c r="C22" s="30"/>
      <c r="D22" s="30"/>
      <c r="E22" s="24">
        <f t="shared" ref="E22:AP22" si="2">SUM(E18:E21)</f>
        <v>0</v>
      </c>
      <c r="F22" s="24">
        <f t="shared" si="2"/>
        <v>0</v>
      </c>
      <c r="G22" s="24">
        <f t="shared" si="2"/>
        <v>0</v>
      </c>
      <c r="H22" s="24">
        <f t="shared" ref="H22:I22" si="3">SUM(H18:H21)</f>
        <v>0</v>
      </c>
      <c r="I22" s="24">
        <f t="shared" si="3"/>
        <v>0</v>
      </c>
      <c r="J22" s="24">
        <f t="shared" si="2"/>
        <v>0</v>
      </c>
      <c r="K22" s="24">
        <f t="shared" si="2"/>
        <v>0</v>
      </c>
      <c r="L22" s="107">
        <f t="shared" si="2"/>
        <v>0</v>
      </c>
      <c r="M22" s="24">
        <f t="shared" si="2"/>
        <v>0</v>
      </c>
      <c r="N22" s="24">
        <f t="shared" si="2"/>
        <v>0</v>
      </c>
      <c r="O22" s="24">
        <f t="shared" si="2"/>
        <v>0</v>
      </c>
      <c r="P22" s="24">
        <f t="shared" si="2"/>
        <v>0</v>
      </c>
      <c r="Q22" s="24">
        <f t="shared" si="2"/>
        <v>0</v>
      </c>
      <c r="R22" s="24">
        <f t="shared" si="2"/>
        <v>0</v>
      </c>
      <c r="S22" s="24">
        <f t="shared" si="2"/>
        <v>0</v>
      </c>
      <c r="T22" s="24">
        <f t="shared" si="2"/>
        <v>0</v>
      </c>
      <c r="U22" s="24">
        <f t="shared" ref="U22:V22" si="4">SUM(U18:U21)</f>
        <v>0</v>
      </c>
      <c r="V22" s="24">
        <f t="shared" si="4"/>
        <v>0</v>
      </c>
      <c r="W22" s="24">
        <f t="shared" si="2"/>
        <v>0</v>
      </c>
      <c r="X22" s="24">
        <f t="shared" si="2"/>
        <v>0</v>
      </c>
      <c r="Y22" s="24">
        <f t="shared" si="2"/>
        <v>0</v>
      </c>
      <c r="Z22" s="24">
        <f t="shared" si="2"/>
        <v>0</v>
      </c>
      <c r="AA22" s="24">
        <f t="shared" si="2"/>
        <v>0</v>
      </c>
      <c r="AB22" s="24">
        <f t="shared" si="2"/>
        <v>0</v>
      </c>
      <c r="AC22" s="24">
        <f t="shared" si="2"/>
        <v>0</v>
      </c>
      <c r="AD22" s="151"/>
      <c r="AE22" s="174">
        <f t="shared" si="2"/>
        <v>0</v>
      </c>
      <c r="AF22" s="170">
        <f t="shared" si="2"/>
        <v>0</v>
      </c>
      <c r="AG22" s="170">
        <f t="shared" si="2"/>
        <v>0</v>
      </c>
      <c r="AH22" s="170">
        <f t="shared" si="2"/>
        <v>0</v>
      </c>
      <c r="AI22" s="170">
        <f t="shared" si="2"/>
        <v>0</v>
      </c>
      <c r="AJ22" s="170">
        <f t="shared" si="2"/>
        <v>0</v>
      </c>
      <c r="AK22" s="170">
        <f t="shared" si="2"/>
        <v>0</v>
      </c>
      <c r="AL22" s="170">
        <f t="shared" si="2"/>
        <v>0</v>
      </c>
      <c r="AM22" s="170">
        <f t="shared" si="2"/>
        <v>0</v>
      </c>
      <c r="AN22" s="170">
        <f t="shared" si="2"/>
        <v>0</v>
      </c>
      <c r="AO22" s="170">
        <f t="shared" si="2"/>
        <v>0</v>
      </c>
      <c r="AP22" s="170">
        <f t="shared" si="2"/>
        <v>0</v>
      </c>
      <c r="AQ22" s="33" t="s">
        <v>32</v>
      </c>
      <c r="AR22" s="34" t="s">
        <v>30</v>
      </c>
      <c r="AS22" s="35" t="s">
        <v>31</v>
      </c>
    </row>
    <row r="23" spans="1:45" s="28" customFormat="1" ht="30" customHeight="1" thickBot="1">
      <c r="A23" s="25"/>
      <c r="B23" s="27"/>
      <c r="C23" s="27"/>
      <c r="D23" s="2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151"/>
      <c r="AE23" s="237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53" t="s">
        <v>33</v>
      </c>
      <c r="AR23" s="37">
        <f>AI24</f>
        <v>0</v>
      </c>
      <c r="AS23" s="38">
        <f>AJ24</f>
        <v>0</v>
      </c>
    </row>
    <row r="24" spans="1:45" s="28" customFormat="1" ht="30" customHeight="1" thickBot="1">
      <c r="A24" s="317" t="s">
        <v>15</v>
      </c>
      <c r="B24" s="318"/>
      <c r="C24" s="318"/>
      <c r="D24" s="319"/>
      <c r="E24" s="185">
        <f t="shared" ref="E24:AP24" si="5">E22+E17+E13</f>
        <v>0</v>
      </c>
      <c r="F24" s="185">
        <f t="shared" si="5"/>
        <v>0</v>
      </c>
      <c r="G24" s="185">
        <f t="shared" si="5"/>
        <v>0</v>
      </c>
      <c r="H24" s="185">
        <f t="shared" ref="H24:I24" si="6">H22+H17+H13</f>
        <v>0</v>
      </c>
      <c r="I24" s="185">
        <f t="shared" si="6"/>
        <v>0</v>
      </c>
      <c r="J24" s="185">
        <f t="shared" si="5"/>
        <v>0</v>
      </c>
      <c r="K24" s="252">
        <f t="shared" si="5"/>
        <v>0</v>
      </c>
      <c r="L24" s="186">
        <f t="shared" si="5"/>
        <v>0</v>
      </c>
      <c r="M24" s="185">
        <f t="shared" si="5"/>
        <v>0</v>
      </c>
      <c r="N24" s="185">
        <f t="shared" si="5"/>
        <v>0</v>
      </c>
      <c r="O24" s="185">
        <f t="shared" si="5"/>
        <v>0</v>
      </c>
      <c r="P24" s="185">
        <f t="shared" si="5"/>
        <v>0</v>
      </c>
      <c r="Q24" s="185">
        <f t="shared" si="5"/>
        <v>0</v>
      </c>
      <c r="R24" s="185">
        <f t="shared" si="5"/>
        <v>0</v>
      </c>
      <c r="S24" s="185">
        <f t="shared" si="5"/>
        <v>0</v>
      </c>
      <c r="T24" s="185">
        <f t="shared" si="5"/>
        <v>0</v>
      </c>
      <c r="U24" s="185">
        <f t="shared" ref="U24:V24" si="7">U22+U17+U13</f>
        <v>0</v>
      </c>
      <c r="V24" s="185">
        <f t="shared" si="7"/>
        <v>0</v>
      </c>
      <c r="W24" s="185">
        <f t="shared" si="5"/>
        <v>0</v>
      </c>
      <c r="X24" s="185">
        <f t="shared" si="5"/>
        <v>0</v>
      </c>
      <c r="Y24" s="185">
        <f t="shared" si="5"/>
        <v>0</v>
      </c>
      <c r="Z24" s="185">
        <f t="shared" si="5"/>
        <v>0</v>
      </c>
      <c r="AA24" s="185">
        <f t="shared" si="5"/>
        <v>0</v>
      </c>
      <c r="AB24" s="185">
        <f t="shared" si="5"/>
        <v>0</v>
      </c>
      <c r="AC24" s="185">
        <f t="shared" si="5"/>
        <v>0</v>
      </c>
      <c r="AD24" s="151"/>
      <c r="AE24" s="238">
        <f t="shared" si="5"/>
        <v>0</v>
      </c>
      <c r="AF24" s="191">
        <f t="shared" si="5"/>
        <v>0</v>
      </c>
      <c r="AG24" s="190">
        <f t="shared" si="5"/>
        <v>0</v>
      </c>
      <c r="AH24" s="191">
        <f t="shared" si="5"/>
        <v>0</v>
      </c>
      <c r="AI24" s="190">
        <f t="shared" si="5"/>
        <v>0</v>
      </c>
      <c r="AJ24" s="191">
        <f t="shared" si="5"/>
        <v>0</v>
      </c>
      <c r="AK24" s="190">
        <f t="shared" si="5"/>
        <v>0</v>
      </c>
      <c r="AL24" s="191">
        <f t="shared" si="5"/>
        <v>0</v>
      </c>
      <c r="AM24" s="190">
        <f t="shared" si="5"/>
        <v>0</v>
      </c>
      <c r="AN24" s="191">
        <f t="shared" si="5"/>
        <v>0</v>
      </c>
      <c r="AO24" s="190">
        <f t="shared" si="5"/>
        <v>0</v>
      </c>
      <c r="AP24" s="191">
        <f t="shared" si="5"/>
        <v>0</v>
      </c>
      <c r="AQ24" s="54" t="s">
        <v>26</v>
      </c>
      <c r="AR24" s="44">
        <f>AK24</f>
        <v>0</v>
      </c>
      <c r="AS24" s="45">
        <f>AL24</f>
        <v>0</v>
      </c>
    </row>
    <row r="25" spans="1:45" s="46" customFormat="1" ht="30" customHeight="1">
      <c r="A25" s="103"/>
      <c r="B25" s="114" t="s">
        <v>58</v>
      </c>
      <c r="C25" s="114"/>
      <c r="D25" s="114"/>
      <c r="E25" s="111">
        <v>21.64</v>
      </c>
      <c r="F25" s="111">
        <v>26.83</v>
      </c>
      <c r="G25" s="111">
        <v>35.47</v>
      </c>
      <c r="H25" s="111">
        <v>26.67</v>
      </c>
      <c r="I25" s="111">
        <v>40</v>
      </c>
      <c r="J25" s="111">
        <v>26.42</v>
      </c>
      <c r="K25" s="111">
        <v>85.25</v>
      </c>
      <c r="L25" s="111">
        <v>26.5</v>
      </c>
      <c r="M25" s="111">
        <v>28.5</v>
      </c>
      <c r="N25" s="111">
        <v>192.35</v>
      </c>
      <c r="O25" s="111">
        <v>198</v>
      </c>
      <c r="P25" s="111">
        <v>198</v>
      </c>
      <c r="Q25" s="111">
        <v>192.35</v>
      </c>
      <c r="R25" s="111">
        <v>198</v>
      </c>
      <c r="S25" s="111"/>
      <c r="T25" s="111">
        <v>192</v>
      </c>
      <c r="U25" s="111">
        <v>359.83</v>
      </c>
      <c r="V25" s="111">
        <v>379.46</v>
      </c>
      <c r="W25" s="111">
        <v>35.200000000000003</v>
      </c>
      <c r="X25" s="111">
        <v>40.200000000000003</v>
      </c>
      <c r="Y25" s="111">
        <v>36.4</v>
      </c>
      <c r="Z25" s="111">
        <v>81.900000000000006</v>
      </c>
      <c r="AA25" s="111">
        <v>16.5</v>
      </c>
      <c r="AB25" s="111">
        <v>285</v>
      </c>
      <c r="AC25" s="111">
        <v>16.8</v>
      </c>
      <c r="AD25" s="151"/>
      <c r="AQ25" s="54" t="s">
        <v>27</v>
      </c>
      <c r="AR25" s="44">
        <f>AM24</f>
        <v>0</v>
      </c>
      <c r="AS25" s="45">
        <f>AN24</f>
        <v>0</v>
      </c>
    </row>
    <row r="26" spans="1:45" s="46" customFormat="1" ht="30" customHeight="1">
      <c r="A26" s="103"/>
      <c r="B26" s="114" t="s">
        <v>53</v>
      </c>
      <c r="C26" s="114"/>
      <c r="D26" s="114">
        <v>0</v>
      </c>
      <c r="E26" s="111">
        <f>E24*E25</f>
        <v>0</v>
      </c>
      <c r="F26" s="111">
        <f t="shared" ref="F26:AC26" si="8">F24*F25</f>
        <v>0</v>
      </c>
      <c r="G26" s="111">
        <f t="shared" si="8"/>
        <v>0</v>
      </c>
      <c r="H26" s="111">
        <f t="shared" si="8"/>
        <v>0</v>
      </c>
      <c r="I26" s="111">
        <f t="shared" ref="I26" si="9">I24*I25</f>
        <v>0</v>
      </c>
      <c r="J26" s="111">
        <f t="shared" si="8"/>
        <v>0</v>
      </c>
      <c r="K26" s="111">
        <f t="shared" si="8"/>
        <v>0</v>
      </c>
      <c r="L26" s="111">
        <f t="shared" si="8"/>
        <v>0</v>
      </c>
      <c r="M26" s="111">
        <f t="shared" si="8"/>
        <v>0</v>
      </c>
      <c r="N26" s="111">
        <f t="shared" si="8"/>
        <v>0</v>
      </c>
      <c r="O26" s="111">
        <f t="shared" si="8"/>
        <v>0</v>
      </c>
      <c r="P26" s="111">
        <f t="shared" si="8"/>
        <v>0</v>
      </c>
      <c r="Q26" s="111">
        <f t="shared" si="8"/>
        <v>0</v>
      </c>
      <c r="R26" s="111">
        <f t="shared" si="8"/>
        <v>0</v>
      </c>
      <c r="S26" s="111">
        <f t="shared" si="8"/>
        <v>0</v>
      </c>
      <c r="T26" s="111">
        <f t="shared" si="8"/>
        <v>0</v>
      </c>
      <c r="U26" s="111">
        <f t="shared" si="8"/>
        <v>0</v>
      </c>
      <c r="V26" s="111">
        <f t="shared" si="8"/>
        <v>0</v>
      </c>
      <c r="W26" s="111">
        <f t="shared" si="8"/>
        <v>0</v>
      </c>
      <c r="X26" s="111">
        <f t="shared" si="8"/>
        <v>0</v>
      </c>
      <c r="Y26" s="111">
        <f t="shared" si="8"/>
        <v>0</v>
      </c>
      <c r="Z26" s="111">
        <f t="shared" si="8"/>
        <v>0</v>
      </c>
      <c r="AA26" s="111">
        <f t="shared" si="8"/>
        <v>0</v>
      </c>
      <c r="AB26" s="111">
        <f t="shared" si="8"/>
        <v>0</v>
      </c>
      <c r="AC26" s="111">
        <f t="shared" si="8"/>
        <v>0</v>
      </c>
      <c r="AD26" s="151"/>
      <c r="AQ26" s="54"/>
      <c r="AR26" s="44"/>
      <c r="AS26" s="45"/>
    </row>
    <row r="27" spans="1:45" s="46" customFormat="1" ht="30" customHeight="1">
      <c r="A27" s="103"/>
      <c r="B27" s="104"/>
      <c r="C27" s="104"/>
      <c r="D27" s="104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151"/>
      <c r="AQ27" s="54"/>
      <c r="AR27" s="44"/>
      <c r="AS27" s="45"/>
    </row>
    <row r="28" spans="1:45" s="46" customFormat="1" ht="31.5" customHeight="1">
      <c r="A28" s="329" t="s">
        <v>16</v>
      </c>
      <c r="B28" s="330"/>
      <c r="C28" s="330"/>
      <c r="D28" s="331"/>
      <c r="E28" s="241">
        <f>'SINUG-ANG'!F19+'L03'!F13+'L6'!E13+'L7'!F14+'L8'!F28+'L9'!F17+'L10'!F18+'L11'!F27+'L12'!F24+'L425'!F38+'L460'!F23</f>
        <v>0</v>
      </c>
      <c r="F28" s="241">
        <f>'SINUG-ANG'!G19+'L03'!G13+'L6'!F13+'L7'!G14+'L8'!G28+'L9'!G17+'L10'!G18+'L11'!G27+'L12'!G24+'L425'!G38+'L460'!G23</f>
        <v>0</v>
      </c>
      <c r="G28" s="241">
        <f>'SINUG-ANG'!H19+'L03'!H13+'L6'!G13+'L7'!H14+'L8'!H28+'L9'!H17+'L10'!H18+'L11'!H27+'L12'!H24+'L425'!H38+'L460'!H23</f>
        <v>0</v>
      </c>
      <c r="H28" s="241">
        <f>'SINUG-ANG'!I19+'L03'!I13+'L6'!H13+'L7'!I14+'L8'!I28+'L9'!I17+'L10'!I18+'L11'!I27+'L12'!I24+'L425'!I38+'L460'!I23</f>
        <v>1697</v>
      </c>
      <c r="I28" s="241">
        <f>'SINUG-ANG'!J19+'L03'!J13+'L6'!I13+'L7'!J14+'L8'!J28+'L9'!J17+'L10'!J18+'L11'!J27+'L12'!J24+'L425'!J38+'L460'!J23</f>
        <v>0</v>
      </c>
      <c r="J28" s="241">
        <f>'SINUG-ANG'!K19+'L03'!K13+'L6'!J13+'L7'!K14+'L8'!K28+'L9'!K17+'L10'!K18+'L11'!K27+'L12'!K24+'L425'!K38+'L460'!K23</f>
        <v>1404</v>
      </c>
      <c r="K28" s="270">
        <f>'SINUG-ANG'!L19+'L03'!L13+'L6'!K13+'L7'!L14+'L8'!L28+'L9'!L17+'L10'!L18+'L11'!L27+'L12'!L24+'L425'!L38+'L460'!L23</f>
        <v>1179.0000000000002</v>
      </c>
      <c r="L28" s="271">
        <f>'SINUG-ANG'!M19+'L03'!M13+'L6'!L13+'L7'!M14+'L8'!M28+'L9'!M17+'L10'!M18+'L11'!M27+'L12'!M24+'L425'!M38+'L460'!M23</f>
        <v>464.13000000000005</v>
      </c>
      <c r="M28" s="241">
        <f>'SINUG-ANG'!N19+'L03'!N13+'L6'!M13+'L7'!N14+'L8'!N28+'L9'!N17+'L10'!N18+'L11'!N27+'L12'!N24+'L425'!N38+'L460'!N23</f>
        <v>191</v>
      </c>
      <c r="N28" s="241">
        <f>'SINUG-ANG'!O19+'L03'!O13+'L6'!N13+'L7'!O14+'L8'!O28+'L9'!O17+'L10'!O18+'L11'!O27+'L12'!O24+'L425'!O38+'L460'!O23</f>
        <v>0</v>
      </c>
      <c r="O28" s="241">
        <f>'SINUG-ANG'!P19+'L03'!P13+'L6'!O13+'L7'!P14+'L8'!P28+'L9'!P17+'L10'!P18+'L11'!P27+'L12'!P24+'L425'!P38+'L460'!P23</f>
        <v>0</v>
      </c>
      <c r="P28" s="241">
        <f>'SINUG-ANG'!Q19+'L03'!Q13+'L6'!P13+'L7'!Q14+'L8'!Q28+'L9'!Q17+'L10'!Q18+'L11'!Q27+'L12'!Q24+'L425'!Q38+'L460'!Q23</f>
        <v>39</v>
      </c>
      <c r="Q28" s="241">
        <f>'SINUG-ANG'!R19+'L03'!R13+'L6'!Q13+'L7'!R14+'L8'!R28+'L9'!R17+'L10'!R18+'L11'!R27+'L12'!R24+'L425'!R38+'L460'!R23</f>
        <v>0</v>
      </c>
      <c r="R28" s="241">
        <f>'SINUG-ANG'!S19+'L03'!S13+'L6'!R13+'L7'!S14+'L8'!S28+'L9'!S17+'L10'!S18+'L11'!S27+'L12'!S24+'L425'!S38+'L460'!S23</f>
        <v>0</v>
      </c>
      <c r="S28" s="241">
        <f>'SINUG-ANG'!T19+'L03'!T13+'L6'!S13+'L7'!T14+'L8'!T28+'L9'!T17+'L10'!T18+'L11'!T27+'L12'!T24+'L425'!T38+'L460'!T23</f>
        <v>0</v>
      </c>
      <c r="T28" s="241">
        <f>'SINUG-ANG'!U19+'L03'!U13+'L6'!T13+'L7'!U14+'L8'!U28+'L9'!U17+'L10'!U18+'L11'!U27+'L12'!U24+'L425'!U38+'L460'!U23</f>
        <v>1731</v>
      </c>
      <c r="U28" s="241">
        <f>'SINUG-ANG'!V19+'L03'!V13+'L6'!U13+'L7'!V14+'L8'!V28+'L9'!V17+'L10'!V18+'L11'!V27+'L12'!V24+'L425'!V38+'L460'!V23</f>
        <v>0</v>
      </c>
      <c r="V28" s="241">
        <f>'SINUG-ANG'!W19+'L03'!W13+'L6'!V13+'L7'!W14+'L8'!W28+'L9'!W17+'L10'!W18+'L11'!W27+'L12'!W24+'L425'!W38+'L460'!W23</f>
        <v>0</v>
      </c>
      <c r="W28" s="241">
        <f>'SINUG-ANG'!X19+'L03'!X13+'L6'!W13+'L7'!X14+'L8'!X28+'L9'!X17+'L10'!X18+'L11'!X27+'L12'!X24+'L425'!X38+'L460'!X23</f>
        <v>692</v>
      </c>
      <c r="X28" s="241">
        <f>'SINUG-ANG'!Y19+'L03'!Y13+'L6'!X13+'L7'!Y14+'L8'!Y28+'L9'!Y17+'L10'!Y18+'L11'!Y27+'L12'!Y24+'L425'!Y38+'L460'!Y23</f>
        <v>88</v>
      </c>
      <c r="Y28" s="241">
        <f>'SINUG-ANG'!Z19+'L03'!Z13+'L6'!Y13+'L7'!Z14+'L8'!Z28+'L9'!Z17+'L10'!Z18+'L11'!Z27+'L12'!Z24+'L425'!Z38+'L460'!Z23</f>
        <v>0</v>
      </c>
      <c r="Z28" s="241">
        <f>'SINUG-ANG'!AA19+'L03'!AA13+'L6'!Z13+'L7'!AA14+'L8'!AA28+'L9'!AA17+'L10'!AA18+'L11'!AA27+'L12'!AA24+'L425'!AA38+'L460'!AA23</f>
        <v>0</v>
      </c>
      <c r="AA28" s="241">
        <f>'SINUG-ANG'!AB19+'L03'!AB13+'L6'!AA13+'L7'!AB14+'L8'!AB28+'L9'!AB17+'L10'!AB18+'L11'!AB27+'L12'!AB24+'L425'!AB38+'L460'!AB23</f>
        <v>0</v>
      </c>
      <c r="AB28" s="241">
        <f>'SINUG-ANG'!AC19+'L03'!AC13+'L6'!AB13+'L7'!AC14+'L8'!AC28+'L9'!AC17+'L10'!AC18+'L11'!AC27+'L12'!AC24+'L425'!AC38+'L460'!AC23</f>
        <v>2</v>
      </c>
      <c r="AC28" s="241">
        <f>'SINUG-ANG'!AD19+'L03'!AD13+'L6'!AC13+'L7'!AD14+'L8'!AD28+'L9'!AD17+'L10'!AD18+'L11'!AD27+'L12'!AD24+'L425'!AD38+'L460'!AD23</f>
        <v>30</v>
      </c>
      <c r="AD28" s="340">
        <f>SUM(E28:AC28)</f>
        <v>7517.13</v>
      </c>
      <c r="AQ28" s="54" t="s">
        <v>34</v>
      </c>
      <c r="AR28" s="44">
        <f>AE24</f>
        <v>0</v>
      </c>
      <c r="AS28" s="45">
        <f>AF24</f>
        <v>0</v>
      </c>
    </row>
    <row r="29" spans="1:45" s="16" customFormat="1" ht="30" customHeight="1">
      <c r="A29" s="322" t="s">
        <v>52</v>
      </c>
      <c r="B29" s="322"/>
      <c r="C29" s="322"/>
      <c r="D29" s="322"/>
      <c r="E29" s="193">
        <v>26.292100000000001</v>
      </c>
      <c r="F29" s="193">
        <v>115.8</v>
      </c>
      <c r="G29" s="193">
        <v>35.47</v>
      </c>
      <c r="H29" s="193">
        <v>27.343800000000002</v>
      </c>
      <c r="I29" s="193">
        <v>40</v>
      </c>
      <c r="J29" s="193">
        <v>29.5639</v>
      </c>
      <c r="K29" s="193">
        <v>145.88</v>
      </c>
      <c r="L29" s="194">
        <v>27.66</v>
      </c>
      <c r="M29" s="193">
        <v>26.25</v>
      </c>
      <c r="N29" s="193">
        <v>171.74107142857142</v>
      </c>
      <c r="O29" s="194">
        <v>176.78571428571428</v>
      </c>
      <c r="P29" s="194">
        <v>195</v>
      </c>
      <c r="Q29" s="193">
        <v>180.35714285714283</v>
      </c>
      <c r="R29" s="194">
        <v>198</v>
      </c>
      <c r="S29" s="194">
        <v>195</v>
      </c>
      <c r="T29" s="194">
        <v>189.38</v>
      </c>
      <c r="U29" s="194">
        <v>207</v>
      </c>
      <c r="V29" s="195">
        <v>379.46</v>
      </c>
      <c r="W29" s="194">
        <v>35.15</v>
      </c>
      <c r="X29" s="194">
        <v>35.893000000000001</v>
      </c>
      <c r="Y29" s="194">
        <v>37.5</v>
      </c>
      <c r="Z29" s="194">
        <v>81.900000000000006</v>
      </c>
      <c r="AA29" s="194">
        <v>20.62</v>
      </c>
      <c r="AB29" s="194">
        <v>267.18</v>
      </c>
      <c r="AC29" s="194">
        <v>7.5</v>
      </c>
      <c r="AD29" s="341"/>
      <c r="AQ29" s="92"/>
      <c r="AR29" s="93"/>
      <c r="AS29" s="94"/>
    </row>
    <row r="30" spans="1:45" s="16" customFormat="1" ht="30" customHeight="1">
      <c r="A30" s="354" t="s">
        <v>53</v>
      </c>
      <c r="B30" s="354"/>
      <c r="C30" s="354"/>
      <c r="D30" s="354"/>
      <c r="E30" s="130">
        <f>E28*E29</f>
        <v>0</v>
      </c>
      <c r="F30" s="130">
        <f t="shared" ref="F30:AC30" si="10">F28*F29</f>
        <v>0</v>
      </c>
      <c r="G30" s="130">
        <f t="shared" si="10"/>
        <v>0</v>
      </c>
      <c r="H30" s="130">
        <f>H28*H29</f>
        <v>46402.428599999999</v>
      </c>
      <c r="I30" s="130">
        <f>I28*I29</f>
        <v>0</v>
      </c>
      <c r="J30" s="130">
        <f t="shared" si="10"/>
        <v>41507.715600000003</v>
      </c>
      <c r="K30" s="130">
        <f t="shared" si="10"/>
        <v>171992.52000000002</v>
      </c>
      <c r="L30" s="130">
        <f t="shared" si="10"/>
        <v>12837.835800000001</v>
      </c>
      <c r="M30" s="130">
        <f t="shared" si="10"/>
        <v>5013.75</v>
      </c>
      <c r="N30" s="130">
        <f t="shared" si="10"/>
        <v>0</v>
      </c>
      <c r="O30" s="130">
        <f t="shared" si="10"/>
        <v>0</v>
      </c>
      <c r="P30" s="130">
        <f t="shared" si="10"/>
        <v>7605</v>
      </c>
      <c r="Q30" s="130">
        <f t="shared" si="10"/>
        <v>0</v>
      </c>
      <c r="R30" s="130">
        <f t="shared" si="10"/>
        <v>0</v>
      </c>
      <c r="S30" s="130">
        <f t="shared" si="10"/>
        <v>0</v>
      </c>
      <c r="T30" s="130">
        <f t="shared" si="10"/>
        <v>327816.77999999997</v>
      </c>
      <c r="U30" s="130">
        <f t="shared" ref="U30:V30" si="11">U28*U29</f>
        <v>0</v>
      </c>
      <c r="V30" s="130">
        <f t="shared" si="11"/>
        <v>0</v>
      </c>
      <c r="W30" s="130">
        <f t="shared" si="10"/>
        <v>24323.8</v>
      </c>
      <c r="X30" s="130">
        <f t="shared" si="10"/>
        <v>3158.5839999999998</v>
      </c>
      <c r="Y30" s="130">
        <f t="shared" si="10"/>
        <v>0</v>
      </c>
      <c r="Z30" s="130">
        <f t="shared" si="10"/>
        <v>0</v>
      </c>
      <c r="AA30" s="130">
        <f t="shared" si="10"/>
        <v>0</v>
      </c>
      <c r="AB30" s="130">
        <f t="shared" si="10"/>
        <v>534.36</v>
      </c>
      <c r="AC30" s="130">
        <f t="shared" si="10"/>
        <v>225</v>
      </c>
      <c r="AD30" s="234"/>
      <c r="AQ30" s="92"/>
      <c r="AR30" s="93"/>
      <c r="AS30" s="94"/>
    </row>
    <row r="31" spans="1:45" s="16" customFormat="1" ht="30" customHeight="1" thickBot="1">
      <c r="B31" s="17"/>
      <c r="C31" s="17"/>
      <c r="AQ31" s="100"/>
      <c r="AR31" s="101"/>
      <c r="AS31" s="102"/>
    </row>
    <row r="32" spans="1:45" s="16" customFormat="1" ht="35.1" customHeight="1" thickBot="1">
      <c r="B32" s="17"/>
      <c r="C32" s="17"/>
      <c r="M32" s="348" t="s">
        <v>46</v>
      </c>
      <c r="N32" s="349"/>
      <c r="O32" s="349"/>
      <c r="P32" s="349"/>
      <c r="Q32" s="350"/>
      <c r="R32" s="342">
        <f>N28+O28</f>
        <v>0</v>
      </c>
      <c r="S32" s="343"/>
      <c r="T32" s="344"/>
      <c r="U32" s="105"/>
      <c r="V32" s="105"/>
      <c r="AQ32" s="55" t="s">
        <v>35</v>
      </c>
      <c r="AR32" s="18">
        <f>AO24</f>
        <v>0</v>
      </c>
      <c r="AS32" s="19">
        <f>AP24</f>
        <v>0</v>
      </c>
    </row>
    <row r="33" spans="1:45" s="16" customFormat="1" ht="35.1" customHeight="1" thickBot="1">
      <c r="A33" s="283" t="s">
        <v>47</v>
      </c>
      <c r="B33" s="284"/>
      <c r="C33" s="284"/>
      <c r="D33" s="285"/>
      <c r="E33" s="97"/>
      <c r="M33" s="351" t="s">
        <v>69</v>
      </c>
      <c r="N33" s="352"/>
      <c r="O33" s="352"/>
      <c r="P33" s="352"/>
      <c r="Q33" s="353"/>
      <c r="R33" s="345">
        <f>P28+T28+S28</f>
        <v>1770</v>
      </c>
      <c r="S33" s="346"/>
      <c r="T33" s="347"/>
      <c r="U33" s="105"/>
      <c r="V33" s="105"/>
      <c r="X33" s="357">
        <f>'L2'!D36+'SINUG-ANG'!E21+'L03'!E15+'L6'!D15+'L7'!E16+'L8'!E30+'L9'!E19+'L10'!E20+'L11'!E29+'L12'!E26</f>
        <v>408278.51279999997</v>
      </c>
      <c r="Y33" s="357"/>
      <c r="Z33" s="357"/>
      <c r="AA33" s="357"/>
      <c r="AB33" s="357"/>
      <c r="AQ33" s="92"/>
      <c r="AR33" s="93"/>
      <c r="AS33" s="94"/>
    </row>
    <row r="34" spans="1:45" s="16" customFormat="1" ht="35.1" customHeight="1" thickBot="1">
      <c r="A34" s="283" t="s">
        <v>48</v>
      </c>
      <c r="B34" s="284"/>
      <c r="C34" s="284"/>
      <c r="D34" s="285"/>
      <c r="E34" s="98"/>
      <c r="M34" s="351" t="s">
        <v>44</v>
      </c>
      <c r="N34" s="352"/>
      <c r="O34" s="352"/>
      <c r="P34" s="352"/>
      <c r="Q34" s="353"/>
      <c r="R34" s="345">
        <f>Q28+R28</f>
        <v>0</v>
      </c>
      <c r="S34" s="346"/>
      <c r="T34" s="347"/>
      <c r="U34" s="105"/>
      <c r="V34" s="105"/>
      <c r="AQ34" s="92"/>
      <c r="AR34" s="93"/>
      <c r="AS34" s="94"/>
    </row>
    <row r="35" spans="1:45" s="16" customFormat="1" ht="35.1" customHeight="1" thickBot="1">
      <c r="A35" s="283" t="s">
        <v>49</v>
      </c>
      <c r="B35" s="284"/>
      <c r="C35" s="284"/>
      <c r="D35" s="285"/>
      <c r="E35" s="97"/>
      <c r="M35" s="301" t="s">
        <v>45</v>
      </c>
      <c r="N35" s="302"/>
      <c r="O35" s="302"/>
      <c r="P35" s="302"/>
      <c r="Q35" s="303"/>
      <c r="R35" s="292">
        <f>W28+X28+Y28+Z28</f>
        <v>780</v>
      </c>
      <c r="S35" s="293"/>
      <c r="T35" s="294"/>
      <c r="U35" s="105"/>
      <c r="V35" s="105"/>
      <c r="W35" s="286" t="s">
        <v>54</v>
      </c>
      <c r="X35" s="287"/>
      <c r="Y35" s="288"/>
      <c r="Z35" s="298">
        <f>E30+F30+J30+K30+L30+M30+N30+O30+P30+Q30+R30+T30+W30+X30+Y30+Z30+AA30+AB30+AC30+U30+V30+G30+H30+S30</f>
        <v>641417.77400000009</v>
      </c>
      <c r="AA35" s="299"/>
      <c r="AB35" s="299"/>
      <c r="AC35" s="300"/>
      <c r="AD35" s="240"/>
      <c r="AQ35" s="92"/>
      <c r="AR35" s="93"/>
      <c r="AS35" s="94"/>
    </row>
    <row r="36" spans="1:45" s="16" customFormat="1" ht="30" customHeight="1" thickBot="1">
      <c r="A36" s="283" t="s">
        <v>48</v>
      </c>
      <c r="B36" s="284"/>
      <c r="C36" s="284"/>
      <c r="D36" s="285"/>
      <c r="E36" s="97"/>
      <c r="M36" s="304" t="s">
        <v>70</v>
      </c>
      <c r="N36" s="305"/>
      <c r="O36" s="305"/>
      <c r="P36" s="305"/>
      <c r="Q36" s="306"/>
      <c r="R36" s="307">
        <f>U28</f>
        <v>0</v>
      </c>
      <c r="S36" s="308"/>
      <c r="T36" s="309"/>
      <c r="X36" s="116"/>
      <c r="Y36" s="116"/>
      <c r="AQ36" s="92"/>
      <c r="AR36" s="93"/>
      <c r="AS36" s="94"/>
    </row>
    <row r="37" spans="1:45" s="16" customFormat="1" ht="30" customHeight="1" thickBot="1">
      <c r="A37" s="283" t="s">
        <v>50</v>
      </c>
      <c r="B37" s="284"/>
      <c r="C37" s="284"/>
      <c r="D37" s="285"/>
      <c r="E37" s="99"/>
      <c r="W37" s="289" t="s">
        <v>51</v>
      </c>
      <c r="X37" s="290"/>
      <c r="Y37" s="291"/>
      <c r="Z37" s="295"/>
      <c r="AA37" s="296"/>
      <c r="AB37" s="297"/>
      <c r="AQ37" s="92"/>
      <c r="AR37" s="93"/>
      <c r="AS37" s="94"/>
    </row>
    <row r="38" spans="1:45" s="16" customFormat="1" ht="43.5" customHeight="1">
      <c r="B38" s="17"/>
      <c r="C38" s="17"/>
      <c r="K38" s="243"/>
      <c r="AK38" s="92"/>
      <c r="AL38" s="93"/>
      <c r="AM38" s="94"/>
    </row>
    <row r="39" spans="1:45" s="16" customFormat="1" ht="30" customHeight="1">
      <c r="B39" s="17"/>
      <c r="C39" s="17"/>
      <c r="AQ39" s="92"/>
      <c r="AR39" s="93"/>
      <c r="AS39" s="94"/>
    </row>
    <row r="40" spans="1:45" s="106" customFormat="1" ht="30" customHeight="1">
      <c r="A40" s="106" t="s">
        <v>91</v>
      </c>
      <c r="E40" s="251"/>
      <c r="F40" s="251"/>
      <c r="G40" s="106" t="s">
        <v>93</v>
      </c>
      <c r="H40" s="251"/>
      <c r="J40" s="251"/>
      <c r="K40" s="251"/>
      <c r="P40" s="282" t="s">
        <v>90</v>
      </c>
      <c r="Q40" s="282"/>
      <c r="R40" s="282"/>
      <c r="S40" s="251" t="s">
        <v>92</v>
      </c>
      <c r="U40" s="251"/>
      <c r="V40" s="251"/>
      <c r="W40" s="251"/>
      <c r="X40" s="251"/>
    </row>
    <row r="41" spans="1:45" s="16" customFormat="1" ht="30" customHeight="1">
      <c r="B41" s="17"/>
      <c r="C41" s="17"/>
      <c r="AQ41" s="92"/>
      <c r="AR41" s="93"/>
      <c r="AS41" s="94"/>
    </row>
    <row r="43" spans="1:45" s="12" customFormat="1" ht="18" customHeight="1">
      <c r="B43" s="13"/>
      <c r="C43" s="13"/>
    </row>
    <row r="44" spans="1:45" s="12" customFormat="1" ht="18" customHeight="1">
      <c r="B44" s="13"/>
      <c r="C44" s="13"/>
      <c r="N44" s="12" t="s">
        <v>18</v>
      </c>
    </row>
    <row r="45" spans="1:45" s="12" customFormat="1">
      <c r="B45" s="13"/>
      <c r="C45" s="13"/>
      <c r="D45" s="250" t="s">
        <v>89</v>
      </c>
      <c r="E45" s="250" t="s">
        <v>86</v>
      </c>
      <c r="F45" s="250" t="s">
        <v>58</v>
      </c>
      <c r="G45" s="250" t="s">
        <v>87</v>
      </c>
    </row>
    <row r="46" spans="1:45" s="12" customFormat="1" ht="22.5">
      <c r="B46" s="13"/>
      <c r="C46" s="13"/>
      <c r="D46" s="247" t="s">
        <v>72</v>
      </c>
      <c r="E46" s="248">
        <f>E28</f>
        <v>0</v>
      </c>
      <c r="F46" s="247">
        <v>26.292100000000001</v>
      </c>
      <c r="G46" s="248">
        <f>E46*F46</f>
        <v>0</v>
      </c>
      <c r="U46" s="251"/>
      <c r="V46" s="251"/>
      <c r="W46" s="251"/>
      <c r="X46" s="251"/>
      <c r="Y46" s="251"/>
      <c r="Z46" s="251"/>
    </row>
    <row r="47" spans="1:45" s="12" customFormat="1" ht="22.5">
      <c r="B47" s="13"/>
      <c r="C47" s="13"/>
      <c r="D47" s="247" t="s">
        <v>100</v>
      </c>
      <c r="E47" s="248">
        <f>H28</f>
        <v>1697</v>
      </c>
      <c r="F47" s="247">
        <v>27.343800000000002</v>
      </c>
      <c r="G47" s="248"/>
      <c r="U47" s="251"/>
      <c r="V47" s="251"/>
      <c r="W47" s="251"/>
      <c r="X47" s="251"/>
      <c r="Y47" s="251"/>
      <c r="Z47" s="251"/>
    </row>
    <row r="48" spans="1:45" s="12" customFormat="1">
      <c r="B48" s="13"/>
      <c r="C48" s="13"/>
      <c r="D48" s="247" t="s">
        <v>73</v>
      </c>
      <c r="E48" s="248">
        <f>J28</f>
        <v>1404</v>
      </c>
      <c r="F48" s="247">
        <v>29.5639</v>
      </c>
      <c r="G48" s="248">
        <f t="shared" ref="G48:G68" si="12">E48*F48</f>
        <v>41507.715600000003</v>
      </c>
    </row>
    <row r="49" spans="4:7">
      <c r="D49" s="244" t="s">
        <v>2</v>
      </c>
      <c r="E49" s="245">
        <f>K28</f>
        <v>1179.0000000000002</v>
      </c>
      <c r="F49" s="246">
        <v>145.88</v>
      </c>
      <c r="G49" s="248">
        <f t="shared" si="12"/>
        <v>171992.52000000002</v>
      </c>
    </row>
    <row r="50" spans="4:7">
      <c r="D50" s="244" t="s">
        <v>74</v>
      </c>
      <c r="E50" s="249">
        <f>L28</f>
        <v>464.13000000000005</v>
      </c>
      <c r="F50" s="246">
        <v>27.66</v>
      </c>
      <c r="G50" s="248">
        <f t="shared" si="12"/>
        <v>12837.835800000001</v>
      </c>
    </row>
    <row r="51" spans="4:7">
      <c r="D51" s="244" t="s">
        <v>3</v>
      </c>
      <c r="E51" s="245">
        <f>M28</f>
        <v>191</v>
      </c>
      <c r="F51" s="246">
        <v>26.25</v>
      </c>
      <c r="G51" s="248">
        <f t="shared" si="12"/>
        <v>5013.75</v>
      </c>
    </row>
    <row r="52" spans="4:7">
      <c r="D52" s="244" t="s">
        <v>75</v>
      </c>
      <c r="E52" s="245">
        <f>AA28</f>
        <v>0</v>
      </c>
      <c r="F52" s="246">
        <v>20.62</v>
      </c>
      <c r="G52" s="248">
        <f t="shared" si="12"/>
        <v>0</v>
      </c>
    </row>
    <row r="53" spans="4:7">
      <c r="D53" s="244" t="s">
        <v>76</v>
      </c>
      <c r="E53" s="245">
        <f>N28</f>
        <v>0</v>
      </c>
      <c r="F53" s="246">
        <v>171.74107142857142</v>
      </c>
      <c r="G53" s="248">
        <f t="shared" si="12"/>
        <v>0</v>
      </c>
    </row>
    <row r="54" spans="4:7">
      <c r="D54" s="244" t="s">
        <v>77</v>
      </c>
      <c r="E54" s="245">
        <f>O28</f>
        <v>0</v>
      </c>
      <c r="F54" s="246">
        <v>176.78571428571428</v>
      </c>
      <c r="G54" s="248">
        <f t="shared" si="12"/>
        <v>0</v>
      </c>
    </row>
    <row r="55" spans="4:7">
      <c r="D55" s="244" t="s">
        <v>78</v>
      </c>
      <c r="E55" s="245">
        <f>Q28</f>
        <v>0</v>
      </c>
      <c r="F55" s="246">
        <v>180.35714285714283</v>
      </c>
      <c r="G55" s="248">
        <f t="shared" si="12"/>
        <v>0</v>
      </c>
    </row>
    <row r="56" spans="4:7">
      <c r="D56" s="244" t="s">
        <v>68</v>
      </c>
      <c r="E56" s="245">
        <f>U28</f>
        <v>0</v>
      </c>
      <c r="F56" s="246">
        <v>207</v>
      </c>
      <c r="G56" s="248">
        <f t="shared" si="12"/>
        <v>0</v>
      </c>
    </row>
    <row r="57" spans="4:7">
      <c r="D57" s="244" t="s">
        <v>79</v>
      </c>
      <c r="E57" s="246"/>
      <c r="F57" s="246">
        <v>331</v>
      </c>
      <c r="G57" s="248">
        <f t="shared" si="12"/>
        <v>0</v>
      </c>
    </row>
    <row r="58" spans="4:7">
      <c r="D58" s="244" t="s">
        <v>80</v>
      </c>
      <c r="E58" s="245">
        <f>T28</f>
        <v>1731</v>
      </c>
      <c r="F58" s="246">
        <v>189.38</v>
      </c>
      <c r="G58" s="248">
        <f t="shared" si="12"/>
        <v>327816.77999999997</v>
      </c>
    </row>
    <row r="59" spans="4:7">
      <c r="D59" s="244" t="s">
        <v>81</v>
      </c>
      <c r="E59" s="245">
        <f>S28</f>
        <v>0</v>
      </c>
      <c r="F59" s="246">
        <v>195</v>
      </c>
      <c r="G59" s="248">
        <f t="shared" si="12"/>
        <v>0</v>
      </c>
    </row>
    <row r="60" spans="4:7">
      <c r="D60" s="244" t="s">
        <v>82</v>
      </c>
      <c r="E60" s="245">
        <f>P28</f>
        <v>39</v>
      </c>
      <c r="F60" s="246">
        <v>195</v>
      </c>
      <c r="G60" s="248">
        <f t="shared" si="12"/>
        <v>7605</v>
      </c>
    </row>
    <row r="61" spans="4:7">
      <c r="D61" s="244" t="s">
        <v>55</v>
      </c>
      <c r="E61" s="246"/>
      <c r="F61" s="246">
        <v>359.83</v>
      </c>
      <c r="G61" s="248">
        <f t="shared" si="12"/>
        <v>0</v>
      </c>
    </row>
    <row r="62" spans="4:7">
      <c r="D62" s="244" t="s">
        <v>56</v>
      </c>
      <c r="E62" s="246"/>
      <c r="F62" s="246">
        <v>379.46</v>
      </c>
      <c r="G62" s="248">
        <f t="shared" si="12"/>
        <v>0</v>
      </c>
    </row>
    <row r="63" spans="4:7">
      <c r="D63" s="244" t="s">
        <v>83</v>
      </c>
      <c r="E63" s="245">
        <f>W28</f>
        <v>692</v>
      </c>
      <c r="F63" s="246">
        <v>35.15</v>
      </c>
      <c r="G63" s="248">
        <f t="shared" si="12"/>
        <v>24323.8</v>
      </c>
    </row>
    <row r="64" spans="4:7">
      <c r="D64" s="244" t="s">
        <v>84</v>
      </c>
      <c r="E64" s="245">
        <f>X28</f>
        <v>88</v>
      </c>
      <c r="F64" s="246">
        <v>35.893000000000001</v>
      </c>
      <c r="G64" s="248">
        <f t="shared" si="12"/>
        <v>3158.5839999999998</v>
      </c>
    </row>
    <row r="65" spans="4:7">
      <c r="D65" s="244" t="s">
        <v>95</v>
      </c>
      <c r="E65" s="245">
        <f>Y28</f>
        <v>0</v>
      </c>
      <c r="F65" s="246">
        <v>37.5</v>
      </c>
      <c r="G65" s="248">
        <f t="shared" si="12"/>
        <v>0</v>
      </c>
    </row>
    <row r="66" spans="4:7">
      <c r="D66" s="244" t="s">
        <v>85</v>
      </c>
      <c r="E66" s="246"/>
      <c r="F66" s="246">
        <v>81.900000000000006</v>
      </c>
      <c r="G66" s="248">
        <f t="shared" si="12"/>
        <v>0</v>
      </c>
    </row>
    <row r="67" spans="4:7">
      <c r="D67" s="244" t="s">
        <v>20</v>
      </c>
      <c r="E67" s="245">
        <f>AC28</f>
        <v>30</v>
      </c>
      <c r="F67" s="246">
        <v>7.5</v>
      </c>
      <c r="G67" s="248">
        <f t="shared" si="12"/>
        <v>225</v>
      </c>
    </row>
    <row r="68" spans="4:7">
      <c r="D68" s="244" t="s">
        <v>7</v>
      </c>
      <c r="E68" s="245">
        <f>AB28</f>
        <v>2</v>
      </c>
      <c r="F68" s="246">
        <v>267.18</v>
      </c>
      <c r="G68" s="248">
        <f t="shared" si="12"/>
        <v>534.36</v>
      </c>
    </row>
    <row r="69" spans="4:7">
      <c r="D69" s="244" t="s">
        <v>88</v>
      </c>
      <c r="E69" s="245">
        <f>SUM(E46:E68)</f>
        <v>7517.13</v>
      </c>
      <c r="F69" s="246"/>
      <c r="G69" s="245">
        <f>SUM(G46:G68)</f>
        <v>595015.34540000011</v>
      </c>
    </row>
  </sheetData>
  <mergeCells count="47">
    <mergeCell ref="AD28:AD29"/>
    <mergeCell ref="A34:D34"/>
    <mergeCell ref="N5:O5"/>
    <mergeCell ref="R32:T32"/>
    <mergeCell ref="R33:T33"/>
    <mergeCell ref="R34:T34"/>
    <mergeCell ref="M32:Q32"/>
    <mergeCell ref="M33:Q33"/>
    <mergeCell ref="M34:Q34"/>
    <mergeCell ref="A33:D33"/>
    <mergeCell ref="A30:D30"/>
    <mergeCell ref="AA5:AA6"/>
    <mergeCell ref="AB5:AB6"/>
    <mergeCell ref="AC5:AC6"/>
    <mergeCell ref="W5:Z5"/>
    <mergeCell ref="X33:AB33"/>
    <mergeCell ref="A3:B3"/>
    <mergeCell ref="A24:D24"/>
    <mergeCell ref="Q5:R5"/>
    <mergeCell ref="A29:D29"/>
    <mergeCell ref="D5:D7"/>
    <mergeCell ref="K5:K6"/>
    <mergeCell ref="M5:M6"/>
    <mergeCell ref="L5:L6"/>
    <mergeCell ref="A28:D28"/>
    <mergeCell ref="D3:G3"/>
    <mergeCell ref="A5:A7"/>
    <mergeCell ref="B5:B7"/>
    <mergeCell ref="C5:C7"/>
    <mergeCell ref="AO5:AP6"/>
    <mergeCell ref="AE5:AF6"/>
    <mergeCell ref="AG5:AH6"/>
    <mergeCell ref="AI5:AJ6"/>
    <mergeCell ref="AK5:AL6"/>
    <mergeCell ref="AM5:AN6"/>
    <mergeCell ref="Z37:AB37"/>
    <mergeCell ref="Z35:AC35"/>
    <mergeCell ref="M35:Q35"/>
    <mergeCell ref="M36:Q36"/>
    <mergeCell ref="R36:T36"/>
    <mergeCell ref="P40:R40"/>
    <mergeCell ref="A37:D37"/>
    <mergeCell ref="A36:D36"/>
    <mergeCell ref="W35:Y35"/>
    <mergeCell ref="W37:Y37"/>
    <mergeCell ref="R35:T35"/>
    <mergeCell ref="A35:D35"/>
  </mergeCells>
  <phoneticPr fontId="53" type="noConversion"/>
  <pageMargins left="0.19685039370078741" right="0.19685039370078741" top="0.59055118110236227" bottom="0.19685039370078741" header="0.31496062992125984" footer="0.31496062992125984"/>
  <pageSetup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zoomScale="85" zoomScaleNormal="85" workbookViewId="0">
      <pane xSplit="5" ySplit="5" topLeftCell="F6" activePane="bottomRight" state="frozen"/>
      <selection activeCell="D37" sqref="D37"/>
      <selection pane="topRight" activeCell="D37" sqref="D37"/>
      <selection pane="bottomLeft" activeCell="D37" sqref="D37"/>
      <selection pane="bottomRight" activeCell="B15" sqref="B15"/>
    </sheetView>
  </sheetViews>
  <sheetFormatPr defaultColWidth="9.140625" defaultRowHeight="18"/>
  <cols>
    <col min="1" max="1" width="11" style="7" bestFit="1" customWidth="1"/>
    <col min="2" max="2" width="29.42578125" style="6" customWidth="1"/>
    <col min="3" max="3" width="19.7109375" style="6" customWidth="1"/>
    <col min="4" max="4" width="10" style="6" customWidth="1"/>
    <col min="5" max="5" width="28.5703125" style="3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1" width="12.140625" style="1" customWidth="1"/>
    <col min="12" max="12" width="12.7109375" style="1" customWidth="1"/>
    <col min="13" max="13" width="9.7109375" style="1" customWidth="1"/>
    <col min="14" max="14" width="11.140625" style="1" customWidth="1"/>
    <col min="15" max="16" width="11.140625" style="1" hidden="1" customWidth="1"/>
    <col min="17" max="17" width="11.140625" style="1" customWidth="1"/>
    <col min="18" max="18" width="9.85546875" style="1" hidden="1" customWidth="1"/>
    <col min="19" max="19" width="8" style="1" hidden="1" customWidth="1"/>
    <col min="20" max="20" width="9.28515625" style="1" hidden="1" customWidth="1"/>
    <col min="21" max="21" width="11.140625" style="1" customWidth="1"/>
    <col min="22" max="22" width="12.85546875" style="1" hidden="1" customWidth="1"/>
    <col min="23" max="23" width="11.140625" style="1" hidden="1" customWidth="1"/>
    <col min="24" max="25" width="11.140625" style="1" customWidth="1"/>
    <col min="26" max="27" width="10.5703125" style="1" bestFit="1" customWidth="1"/>
    <col min="28" max="31" width="11.140625" style="1" customWidth="1"/>
    <col min="32" max="43" width="11.28515625" style="1" customWidth="1"/>
    <col min="44" max="44" width="32.7109375" style="1" bestFit="1" customWidth="1"/>
    <col min="45" max="46" width="10.5703125" style="1" bestFit="1" customWidth="1"/>
    <col min="47" max="16384" width="9.140625" style="1"/>
  </cols>
  <sheetData>
    <row r="1" spans="1:44" s="4" customFormat="1" ht="53.25" customHeight="1">
      <c r="A1" s="359" t="s">
        <v>24</v>
      </c>
      <c r="B1" s="359"/>
      <c r="C1" s="360">
        <f>TOTAL!D3</f>
        <v>46153</v>
      </c>
      <c r="D1" s="360"/>
      <c r="E1" s="360"/>
      <c r="F1" s="96"/>
      <c r="G1" s="96"/>
      <c r="H1" s="96"/>
      <c r="I1" s="96"/>
      <c r="J1" s="96"/>
      <c r="K1" s="96"/>
      <c r="N1" s="358" t="s">
        <v>97</v>
      </c>
      <c r="O1" s="358"/>
      <c r="P1" s="358"/>
      <c r="Q1" s="358"/>
      <c r="R1" s="358"/>
    </row>
    <row r="2" spans="1:44" s="4" customFormat="1" ht="14.25" customHeight="1">
      <c r="A2" s="46"/>
      <c r="B2" s="46"/>
      <c r="C2" s="121"/>
      <c r="D2" s="121"/>
      <c r="E2" s="121"/>
      <c r="F2" s="8"/>
      <c r="G2" s="8"/>
      <c r="H2" s="8"/>
      <c r="I2" s="8"/>
      <c r="J2" s="8"/>
      <c r="K2" s="8"/>
      <c r="O2" s="5"/>
      <c r="P2" s="5"/>
    </row>
    <row r="3" spans="1:44" s="2" customFormat="1" ht="31.5" customHeight="1">
      <c r="A3" s="334" t="s">
        <v>12</v>
      </c>
      <c r="B3" s="334" t="s">
        <v>13</v>
      </c>
      <c r="C3" s="334" t="s">
        <v>57</v>
      </c>
      <c r="D3" s="337" t="s">
        <v>101</v>
      </c>
      <c r="E3" s="323" t="s">
        <v>0</v>
      </c>
      <c r="F3" s="180" t="s">
        <v>21</v>
      </c>
      <c r="G3" s="181" t="s">
        <v>14</v>
      </c>
      <c r="H3" s="181" t="s">
        <v>71</v>
      </c>
      <c r="I3" s="181" t="s">
        <v>117</v>
      </c>
      <c r="J3" s="182" t="s">
        <v>14</v>
      </c>
      <c r="K3" s="182" t="s">
        <v>14</v>
      </c>
      <c r="L3" s="326" t="s">
        <v>2</v>
      </c>
      <c r="M3" s="327" t="s">
        <v>22</v>
      </c>
      <c r="N3" s="326" t="s">
        <v>3</v>
      </c>
      <c r="O3" s="320" t="s">
        <v>4</v>
      </c>
      <c r="P3" s="321"/>
      <c r="Q3" s="181" t="s">
        <v>5</v>
      </c>
      <c r="R3" s="320" t="s">
        <v>17</v>
      </c>
      <c r="S3" s="321"/>
      <c r="T3" s="229" t="s">
        <v>5</v>
      </c>
      <c r="U3" s="181" t="s">
        <v>5</v>
      </c>
      <c r="V3" s="181" t="s">
        <v>68</v>
      </c>
      <c r="W3" s="181" t="s">
        <v>56</v>
      </c>
      <c r="X3" s="356" t="s">
        <v>6</v>
      </c>
      <c r="Y3" s="356"/>
      <c r="Z3" s="356"/>
      <c r="AA3" s="356"/>
      <c r="AB3" s="327" t="s">
        <v>19</v>
      </c>
      <c r="AC3" s="327" t="s">
        <v>7</v>
      </c>
      <c r="AD3" s="327" t="s">
        <v>20</v>
      </c>
      <c r="AE3" s="162"/>
      <c r="AF3" s="361" t="s">
        <v>28</v>
      </c>
      <c r="AG3" s="361"/>
      <c r="AH3" s="310" t="s">
        <v>29</v>
      </c>
      <c r="AI3" s="311"/>
      <c r="AJ3" s="310" t="s">
        <v>25</v>
      </c>
      <c r="AK3" s="311"/>
      <c r="AL3" s="310" t="s">
        <v>26</v>
      </c>
      <c r="AM3" s="311"/>
      <c r="AN3" s="310" t="s">
        <v>27</v>
      </c>
      <c r="AO3" s="311"/>
      <c r="AP3" s="310" t="s">
        <v>41</v>
      </c>
      <c r="AQ3" s="311"/>
      <c r="AR3" s="50"/>
    </row>
    <row r="4" spans="1:44" s="2" customFormat="1" ht="21" customHeight="1">
      <c r="A4" s="335"/>
      <c r="B4" s="335"/>
      <c r="C4" s="335"/>
      <c r="D4" s="338"/>
      <c r="E4" s="324"/>
      <c r="F4" s="182">
        <v>208</v>
      </c>
      <c r="G4" s="182">
        <v>38</v>
      </c>
      <c r="H4" s="182">
        <v>200</v>
      </c>
      <c r="I4" s="182">
        <v>200</v>
      </c>
      <c r="J4" s="182">
        <v>135</v>
      </c>
      <c r="K4" s="182">
        <v>215</v>
      </c>
      <c r="L4" s="326"/>
      <c r="M4" s="328"/>
      <c r="N4" s="326"/>
      <c r="O4" s="180">
        <v>2.4</v>
      </c>
      <c r="P4" s="180">
        <v>3.6</v>
      </c>
      <c r="Q4" s="180">
        <v>3.6</v>
      </c>
      <c r="R4" s="181">
        <v>2.4</v>
      </c>
      <c r="S4" s="181">
        <v>3.6</v>
      </c>
      <c r="T4" s="181">
        <v>4.9000000000000004</v>
      </c>
      <c r="U4" s="180">
        <v>2.4</v>
      </c>
      <c r="V4" s="180">
        <v>2.4</v>
      </c>
      <c r="W4" s="180"/>
      <c r="X4" s="182">
        <v>5</v>
      </c>
      <c r="Y4" s="182">
        <v>10</v>
      </c>
      <c r="Z4" s="253" t="s">
        <v>94</v>
      </c>
      <c r="AA4" s="182">
        <v>40</v>
      </c>
      <c r="AB4" s="328"/>
      <c r="AC4" s="328"/>
      <c r="AD4" s="328"/>
      <c r="AE4" s="162"/>
      <c r="AF4" s="361"/>
      <c r="AG4" s="361"/>
      <c r="AH4" s="312"/>
      <c r="AI4" s="313"/>
      <c r="AJ4" s="312"/>
      <c r="AK4" s="313"/>
      <c r="AL4" s="312"/>
      <c r="AM4" s="313"/>
      <c r="AN4" s="312"/>
      <c r="AO4" s="313"/>
      <c r="AP4" s="312"/>
      <c r="AQ4" s="313"/>
      <c r="AR4" s="50"/>
    </row>
    <row r="5" spans="1:44" s="2" customFormat="1" ht="24" customHeight="1">
      <c r="A5" s="336"/>
      <c r="B5" s="336"/>
      <c r="C5" s="336"/>
      <c r="D5" s="339"/>
      <c r="E5" s="325"/>
      <c r="F5" s="182" t="s">
        <v>8</v>
      </c>
      <c r="G5" s="182" t="s">
        <v>8</v>
      </c>
      <c r="H5" s="182" t="s">
        <v>8</v>
      </c>
      <c r="I5" s="182" t="s">
        <v>8</v>
      </c>
      <c r="J5" s="182" t="s">
        <v>8</v>
      </c>
      <c r="K5" s="182" t="s">
        <v>8</v>
      </c>
      <c r="L5" s="182" t="s">
        <v>9</v>
      </c>
      <c r="M5" s="182" t="s">
        <v>23</v>
      </c>
      <c r="N5" s="182" t="s">
        <v>8</v>
      </c>
      <c r="O5" s="182" t="s">
        <v>8</v>
      </c>
      <c r="P5" s="182" t="s">
        <v>8</v>
      </c>
      <c r="Q5" s="182" t="s">
        <v>8</v>
      </c>
      <c r="R5" s="182" t="s">
        <v>8</v>
      </c>
      <c r="S5" s="182" t="s">
        <v>8</v>
      </c>
      <c r="T5" s="182" t="s">
        <v>8</v>
      </c>
      <c r="U5" s="182" t="s">
        <v>8</v>
      </c>
      <c r="V5" s="182" t="s">
        <v>8</v>
      </c>
      <c r="W5" s="182" t="s">
        <v>8</v>
      </c>
      <c r="X5" s="182" t="s">
        <v>10</v>
      </c>
      <c r="Y5" s="182" t="s">
        <v>10</v>
      </c>
      <c r="Z5" s="182" t="s">
        <v>10</v>
      </c>
      <c r="AA5" s="182" t="s">
        <v>10</v>
      </c>
      <c r="AB5" s="182" t="s">
        <v>8</v>
      </c>
      <c r="AC5" s="182" t="s">
        <v>8</v>
      </c>
      <c r="AD5" s="182" t="s">
        <v>8</v>
      </c>
      <c r="AE5" s="163"/>
      <c r="AF5" s="131" t="s">
        <v>30</v>
      </c>
      <c r="AG5" s="131" t="s">
        <v>31</v>
      </c>
      <c r="AH5" s="131" t="s">
        <v>30</v>
      </c>
      <c r="AI5" s="131" t="s">
        <v>31</v>
      </c>
      <c r="AJ5" s="131" t="s">
        <v>30</v>
      </c>
      <c r="AK5" s="131" t="s">
        <v>31</v>
      </c>
      <c r="AL5" s="131" t="s">
        <v>30</v>
      </c>
      <c r="AM5" s="131" t="s">
        <v>31</v>
      </c>
      <c r="AN5" s="131" t="s">
        <v>30</v>
      </c>
      <c r="AO5" s="131" t="s">
        <v>31</v>
      </c>
      <c r="AP5" s="131" t="s">
        <v>30</v>
      </c>
      <c r="AQ5" s="131" t="s">
        <v>31</v>
      </c>
      <c r="AR5" s="50"/>
    </row>
    <row r="6" spans="1:44" s="28" customFormat="1" ht="24.75" customHeight="1">
      <c r="A6" s="25">
        <v>1</v>
      </c>
      <c r="B6" s="26" t="s">
        <v>118</v>
      </c>
      <c r="C6" s="26"/>
      <c r="D6" s="26"/>
      <c r="E6" s="27"/>
      <c r="F6" s="20"/>
      <c r="G6" s="20"/>
      <c r="H6" s="20"/>
      <c r="I6" s="20"/>
      <c r="J6" s="20"/>
      <c r="K6" s="20"/>
      <c r="L6" s="20"/>
      <c r="M6" s="21">
        <f t="shared" ref="M6:M8" si="0">N6*2.43</f>
        <v>0</v>
      </c>
      <c r="N6" s="20"/>
      <c r="O6" s="67"/>
      <c r="P6" s="67"/>
      <c r="Q6" s="67"/>
      <c r="R6" s="67"/>
      <c r="S6" s="67"/>
      <c r="T6" s="67"/>
      <c r="U6" s="67"/>
      <c r="V6" s="67"/>
      <c r="W6" s="67"/>
      <c r="X6" s="20"/>
      <c r="Y6" s="20"/>
      <c r="Z6" s="20"/>
      <c r="AA6" s="20"/>
      <c r="AB6" s="20"/>
      <c r="AC6" s="20"/>
      <c r="AD6" s="20"/>
      <c r="AE6" s="220">
        <f t="shared" ref="AE6:AE8" si="1">O6+P6+Q6+R6+S6+T6+U6+V6</f>
        <v>0</v>
      </c>
      <c r="AF6" s="196"/>
      <c r="AG6" s="212"/>
      <c r="AH6" s="213"/>
      <c r="AI6" s="212"/>
      <c r="AJ6" s="214"/>
      <c r="AK6" s="212"/>
      <c r="AL6" s="215"/>
      <c r="AM6" s="212"/>
      <c r="AN6" s="216"/>
      <c r="AO6" s="212"/>
      <c r="AP6" s="217"/>
      <c r="AQ6" s="212"/>
    </row>
    <row r="7" spans="1:44" s="28" customFormat="1" ht="24.75" customHeight="1">
      <c r="A7" s="25">
        <v>1</v>
      </c>
      <c r="B7" s="26"/>
      <c r="C7" s="26"/>
      <c r="D7" s="26"/>
      <c r="E7" s="27"/>
      <c r="F7" s="20"/>
      <c r="G7" s="20"/>
      <c r="H7" s="20"/>
      <c r="I7" s="20"/>
      <c r="J7" s="20"/>
      <c r="K7" s="20"/>
      <c r="L7" s="20"/>
      <c r="M7" s="21">
        <f t="shared" ref="M7" si="2">N7*2.43</f>
        <v>0</v>
      </c>
      <c r="N7" s="20"/>
      <c r="O7" s="67"/>
      <c r="P7" s="67"/>
      <c r="Q7" s="67"/>
      <c r="R7" s="67"/>
      <c r="S7" s="67"/>
      <c r="T7" s="67"/>
      <c r="U7" s="67"/>
      <c r="V7" s="67"/>
      <c r="W7" s="67"/>
      <c r="X7" s="20"/>
      <c r="Y7" s="20"/>
      <c r="Z7" s="20"/>
      <c r="AA7" s="20"/>
      <c r="AB7" s="20"/>
      <c r="AC7" s="20"/>
      <c r="AD7" s="20"/>
      <c r="AE7" s="220">
        <f t="shared" ref="AE7" si="3">O7+P7+Q7+R7+S7+T7+U7+V7</f>
        <v>0</v>
      </c>
      <c r="AF7" s="196"/>
      <c r="AG7" s="212"/>
      <c r="AH7" s="213"/>
      <c r="AI7" s="212"/>
      <c r="AJ7" s="214"/>
      <c r="AK7" s="212"/>
      <c r="AL7" s="215"/>
      <c r="AM7" s="212"/>
      <c r="AN7" s="216"/>
      <c r="AO7" s="212"/>
      <c r="AP7" s="217"/>
      <c r="AQ7" s="212"/>
    </row>
    <row r="8" spans="1:44" s="28" customFormat="1" ht="24.75" customHeight="1">
      <c r="A8" s="25">
        <v>1</v>
      </c>
      <c r="B8" s="26"/>
      <c r="C8" s="26"/>
      <c r="D8" s="26"/>
      <c r="E8" s="27"/>
      <c r="F8" s="20"/>
      <c r="G8" s="20"/>
      <c r="H8" s="20"/>
      <c r="I8" s="20"/>
      <c r="J8" s="20"/>
      <c r="K8" s="20"/>
      <c r="L8" s="20"/>
      <c r="M8" s="21">
        <f t="shared" si="0"/>
        <v>0</v>
      </c>
      <c r="N8" s="20"/>
      <c r="O8" s="67"/>
      <c r="P8" s="67"/>
      <c r="Q8" s="67"/>
      <c r="R8" s="67"/>
      <c r="S8" s="67"/>
      <c r="T8" s="67"/>
      <c r="U8" s="67"/>
      <c r="V8" s="67"/>
      <c r="W8" s="67"/>
      <c r="X8" s="20"/>
      <c r="Y8" s="20"/>
      <c r="Z8" s="20"/>
      <c r="AA8" s="20"/>
      <c r="AB8" s="20"/>
      <c r="AC8" s="20"/>
      <c r="AD8" s="20"/>
      <c r="AE8" s="220">
        <f t="shared" si="1"/>
        <v>0</v>
      </c>
      <c r="AF8" s="196"/>
      <c r="AG8" s="212"/>
      <c r="AH8" s="213"/>
      <c r="AI8" s="212"/>
      <c r="AJ8" s="214"/>
      <c r="AK8" s="212"/>
      <c r="AL8" s="215"/>
      <c r="AM8" s="212"/>
      <c r="AN8" s="216"/>
      <c r="AO8" s="212"/>
      <c r="AP8" s="217"/>
      <c r="AQ8" s="212"/>
    </row>
    <row r="9" spans="1:44" s="28" customFormat="1" ht="37.5" customHeight="1">
      <c r="A9" s="29" t="s">
        <v>11</v>
      </c>
      <c r="B9" s="30"/>
      <c r="C9" s="30"/>
      <c r="D9" s="30"/>
      <c r="E9" s="30"/>
      <c r="F9" s="24">
        <f t="shared" ref="F9:AD9" si="4">SUM(F6:F8)</f>
        <v>0</v>
      </c>
      <c r="G9" s="24">
        <f t="shared" si="4"/>
        <v>0</v>
      </c>
      <c r="H9" s="24">
        <f t="shared" si="4"/>
        <v>0</v>
      </c>
      <c r="I9" s="24">
        <f t="shared" si="4"/>
        <v>0</v>
      </c>
      <c r="J9" s="24">
        <f t="shared" si="4"/>
        <v>0</v>
      </c>
      <c r="K9" s="24">
        <f t="shared" si="4"/>
        <v>0</v>
      </c>
      <c r="L9" s="24">
        <f t="shared" si="4"/>
        <v>0</v>
      </c>
      <c r="M9" s="24">
        <f t="shared" si="4"/>
        <v>0</v>
      </c>
      <c r="N9" s="24">
        <f t="shared" si="4"/>
        <v>0</v>
      </c>
      <c r="O9" s="24">
        <f t="shared" si="4"/>
        <v>0</v>
      </c>
      <c r="P9" s="24">
        <f t="shared" si="4"/>
        <v>0</v>
      </c>
      <c r="Q9" s="24">
        <f t="shared" si="4"/>
        <v>0</v>
      </c>
      <c r="R9" s="24">
        <f t="shared" si="4"/>
        <v>0</v>
      </c>
      <c r="S9" s="24">
        <f t="shared" si="4"/>
        <v>0</v>
      </c>
      <c r="T9" s="24">
        <f t="shared" si="4"/>
        <v>0</v>
      </c>
      <c r="U9" s="24">
        <f t="shared" si="4"/>
        <v>0</v>
      </c>
      <c r="V9" s="24">
        <f t="shared" si="4"/>
        <v>0</v>
      </c>
      <c r="W9" s="24">
        <f t="shared" si="4"/>
        <v>0</v>
      </c>
      <c r="X9" s="24">
        <f t="shared" si="4"/>
        <v>0</v>
      </c>
      <c r="Y9" s="24">
        <f t="shared" si="4"/>
        <v>0</v>
      </c>
      <c r="Z9" s="24">
        <f t="shared" si="4"/>
        <v>0</v>
      </c>
      <c r="AA9" s="24">
        <f t="shared" si="4"/>
        <v>0</v>
      </c>
      <c r="AB9" s="24">
        <f t="shared" si="4"/>
        <v>0</v>
      </c>
      <c r="AC9" s="24">
        <f t="shared" si="4"/>
        <v>0</v>
      </c>
      <c r="AD9" s="24">
        <f t="shared" si="4"/>
        <v>0</v>
      </c>
      <c r="AE9" s="218"/>
      <c r="AF9" s="30">
        <f>SUM(AF6:AF8)</f>
        <v>0</v>
      </c>
      <c r="AG9" s="30">
        <f t="shared" ref="AG9:AQ9" si="5">SUM(AG6:AG8)</f>
        <v>0</v>
      </c>
      <c r="AH9" s="30">
        <f t="shared" si="5"/>
        <v>0</v>
      </c>
      <c r="AI9" s="30">
        <f t="shared" si="5"/>
        <v>0</v>
      </c>
      <c r="AJ9" s="30">
        <f t="shared" si="5"/>
        <v>0</v>
      </c>
      <c r="AK9" s="30">
        <f t="shared" si="5"/>
        <v>0</v>
      </c>
      <c r="AL9" s="30">
        <f t="shared" si="5"/>
        <v>0</v>
      </c>
      <c r="AM9" s="30">
        <f t="shared" si="5"/>
        <v>0</v>
      </c>
      <c r="AN9" s="30">
        <f t="shared" si="5"/>
        <v>0</v>
      </c>
      <c r="AO9" s="30">
        <f t="shared" si="5"/>
        <v>0</v>
      </c>
      <c r="AP9" s="30">
        <f t="shared" si="5"/>
        <v>0</v>
      </c>
      <c r="AQ9" s="30">
        <f t="shared" si="5"/>
        <v>0</v>
      </c>
    </row>
    <row r="10" spans="1:44" s="28" customFormat="1" ht="24.95" customHeight="1">
      <c r="A10" s="25">
        <v>2</v>
      </c>
      <c r="B10" s="26" t="s">
        <v>118</v>
      </c>
      <c r="C10" s="26"/>
      <c r="D10" s="26"/>
      <c r="E10" s="27"/>
      <c r="F10" s="20"/>
      <c r="G10" s="20"/>
      <c r="H10" s="20"/>
      <c r="I10" s="20"/>
      <c r="J10" s="20"/>
      <c r="K10" s="20"/>
      <c r="L10" s="20"/>
      <c r="M10" s="21">
        <f t="shared" ref="M10:M11" si="6">N10*2.43</f>
        <v>0</v>
      </c>
      <c r="N10" s="20"/>
      <c r="O10" s="67"/>
      <c r="P10" s="67"/>
      <c r="Q10" s="67"/>
      <c r="R10" s="67"/>
      <c r="S10" s="67"/>
      <c r="T10" s="67"/>
      <c r="U10" s="67"/>
      <c r="V10" s="67"/>
      <c r="W10" s="67"/>
      <c r="X10" s="20"/>
      <c r="Y10" s="20"/>
      <c r="Z10" s="20"/>
      <c r="AA10" s="20"/>
      <c r="AB10" s="20"/>
      <c r="AC10" s="20"/>
      <c r="AD10" s="20"/>
      <c r="AE10" s="220">
        <f t="shared" ref="AE10:AE12" si="7">O10+P10+Q10+R10+S10+T10+U10+V10</f>
        <v>0</v>
      </c>
      <c r="AF10" s="196"/>
      <c r="AG10" s="212"/>
      <c r="AH10" s="213"/>
      <c r="AI10" s="212"/>
      <c r="AJ10" s="214"/>
      <c r="AK10" s="212"/>
      <c r="AL10" s="215"/>
      <c r="AM10" s="212"/>
      <c r="AN10" s="216"/>
      <c r="AO10" s="212"/>
      <c r="AP10" s="217"/>
      <c r="AQ10" s="212"/>
    </row>
    <row r="11" spans="1:44" s="28" customFormat="1" ht="24.95" customHeight="1">
      <c r="A11" s="25">
        <v>2</v>
      </c>
      <c r="B11" s="27"/>
      <c r="C11" s="27"/>
      <c r="D11" s="27"/>
      <c r="E11" s="27"/>
      <c r="F11" s="21"/>
      <c r="G11" s="21"/>
      <c r="H11" s="21"/>
      <c r="I11" s="21"/>
      <c r="J11" s="21"/>
      <c r="K11" s="21"/>
      <c r="L11" s="21"/>
      <c r="M11" s="21">
        <f t="shared" si="6"/>
        <v>0</v>
      </c>
      <c r="N11" s="21"/>
      <c r="O11" s="68"/>
      <c r="P11" s="67"/>
      <c r="Q11" s="67"/>
      <c r="R11" s="67"/>
      <c r="S11" s="67"/>
      <c r="T11" s="67"/>
      <c r="U11" s="67"/>
      <c r="V11" s="67"/>
      <c r="W11" s="67"/>
      <c r="X11" s="21"/>
      <c r="Y11" s="21"/>
      <c r="Z11" s="21"/>
      <c r="AA11" s="21"/>
      <c r="AB11" s="21"/>
      <c r="AC11" s="21"/>
      <c r="AD11" s="21"/>
      <c r="AE11" s="220">
        <f t="shared" ref="AE11" si="8">O11+P11+Q11+R11+S11+T11+U11+V11</f>
        <v>0</v>
      </c>
      <c r="AF11" s="196"/>
      <c r="AG11" s="212"/>
      <c r="AH11" s="213"/>
      <c r="AI11" s="212"/>
      <c r="AJ11" s="214"/>
      <c r="AK11" s="212"/>
      <c r="AL11" s="215"/>
      <c r="AM11" s="212"/>
      <c r="AN11" s="216"/>
      <c r="AO11" s="212"/>
      <c r="AP11" s="217"/>
      <c r="AQ11" s="212"/>
    </row>
    <row r="12" spans="1:44" s="28" customFormat="1" ht="24.95" customHeight="1">
      <c r="A12" s="25">
        <v>2</v>
      </c>
      <c r="B12" s="27"/>
      <c r="C12" s="27"/>
      <c r="D12" s="27"/>
      <c r="E12" s="27"/>
      <c r="F12" s="21"/>
      <c r="G12" s="21"/>
      <c r="H12" s="21"/>
      <c r="I12" s="21"/>
      <c r="J12" s="21"/>
      <c r="K12" s="21"/>
      <c r="L12" s="21"/>
      <c r="M12" s="21">
        <f t="shared" ref="M12" si="9">N12*2.43</f>
        <v>0</v>
      </c>
      <c r="N12" s="21"/>
      <c r="O12" s="68"/>
      <c r="P12" s="67"/>
      <c r="Q12" s="67"/>
      <c r="R12" s="67"/>
      <c r="S12" s="67"/>
      <c r="T12" s="67"/>
      <c r="U12" s="67"/>
      <c r="V12" s="67"/>
      <c r="W12" s="67"/>
      <c r="X12" s="21"/>
      <c r="Y12" s="21"/>
      <c r="Z12" s="21"/>
      <c r="AA12" s="21"/>
      <c r="AB12" s="21"/>
      <c r="AC12" s="21"/>
      <c r="AD12" s="21"/>
      <c r="AE12" s="220">
        <f t="shared" si="7"/>
        <v>0</v>
      </c>
      <c r="AF12" s="196"/>
      <c r="AG12" s="212"/>
      <c r="AH12" s="213"/>
      <c r="AI12" s="212"/>
      <c r="AJ12" s="214"/>
      <c r="AK12" s="212"/>
      <c r="AL12" s="215"/>
      <c r="AM12" s="212"/>
      <c r="AN12" s="216"/>
      <c r="AO12" s="212"/>
      <c r="AP12" s="217"/>
      <c r="AQ12" s="212"/>
    </row>
    <row r="13" spans="1:44" s="28" customFormat="1" ht="37.5" customHeight="1">
      <c r="A13" s="29" t="s">
        <v>11</v>
      </c>
      <c r="B13" s="30"/>
      <c r="C13" s="30"/>
      <c r="D13" s="30"/>
      <c r="E13" s="30"/>
      <c r="F13" s="24">
        <f t="shared" ref="F13:AD13" si="10">SUM(F10:F12)</f>
        <v>0</v>
      </c>
      <c r="G13" s="24">
        <f t="shared" si="10"/>
        <v>0</v>
      </c>
      <c r="H13" s="24">
        <f t="shared" si="10"/>
        <v>0</v>
      </c>
      <c r="I13" s="24">
        <f t="shared" si="10"/>
        <v>0</v>
      </c>
      <c r="J13" s="24">
        <f t="shared" si="10"/>
        <v>0</v>
      </c>
      <c r="K13" s="24">
        <f t="shared" si="10"/>
        <v>0</v>
      </c>
      <c r="L13" s="24">
        <f t="shared" si="10"/>
        <v>0</v>
      </c>
      <c r="M13" s="24">
        <f t="shared" si="10"/>
        <v>0</v>
      </c>
      <c r="N13" s="24">
        <f t="shared" si="10"/>
        <v>0</v>
      </c>
      <c r="O13" s="24">
        <f t="shared" si="10"/>
        <v>0</v>
      </c>
      <c r="P13" s="24">
        <f t="shared" si="10"/>
        <v>0</v>
      </c>
      <c r="Q13" s="24">
        <f t="shared" si="10"/>
        <v>0</v>
      </c>
      <c r="R13" s="24">
        <f t="shared" si="10"/>
        <v>0</v>
      </c>
      <c r="S13" s="24">
        <f t="shared" si="10"/>
        <v>0</v>
      </c>
      <c r="T13" s="24">
        <f t="shared" si="10"/>
        <v>0</v>
      </c>
      <c r="U13" s="24">
        <f t="shared" si="10"/>
        <v>0</v>
      </c>
      <c r="V13" s="24">
        <f t="shared" si="10"/>
        <v>0</v>
      </c>
      <c r="W13" s="24">
        <f t="shared" si="10"/>
        <v>0</v>
      </c>
      <c r="X13" s="24">
        <f t="shared" si="10"/>
        <v>0</v>
      </c>
      <c r="Y13" s="24">
        <f t="shared" si="10"/>
        <v>0</v>
      </c>
      <c r="Z13" s="24">
        <f t="shared" si="10"/>
        <v>0</v>
      </c>
      <c r="AA13" s="24">
        <f t="shared" si="10"/>
        <v>0</v>
      </c>
      <c r="AB13" s="24">
        <f t="shared" si="10"/>
        <v>0</v>
      </c>
      <c r="AC13" s="24">
        <f t="shared" si="10"/>
        <v>0</v>
      </c>
      <c r="AD13" s="24">
        <f t="shared" si="10"/>
        <v>0</v>
      </c>
      <c r="AE13" s="218"/>
      <c r="AF13" s="30">
        <f>SUM(AF10:AF12)</f>
        <v>0</v>
      </c>
      <c r="AG13" s="30">
        <f>SUM(AG10:AG12)</f>
        <v>0</v>
      </c>
      <c r="AH13" s="30">
        <f t="shared" ref="AH13:AQ13" si="11">SUM(AH10:AH12)</f>
        <v>0</v>
      </c>
      <c r="AI13" s="30">
        <f t="shared" si="11"/>
        <v>0</v>
      </c>
      <c r="AJ13" s="30">
        <f t="shared" si="11"/>
        <v>0</v>
      </c>
      <c r="AK13" s="30">
        <f t="shared" si="11"/>
        <v>0</v>
      </c>
      <c r="AL13" s="30">
        <f t="shared" si="11"/>
        <v>0</v>
      </c>
      <c r="AM13" s="30">
        <f t="shared" si="11"/>
        <v>0</v>
      </c>
      <c r="AN13" s="30">
        <f t="shared" si="11"/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</row>
    <row r="14" spans="1:44" s="28" customFormat="1" ht="24.95" customHeight="1">
      <c r="A14" s="25">
        <v>3</v>
      </c>
      <c r="B14" s="27" t="s">
        <v>118</v>
      </c>
      <c r="C14" s="32"/>
      <c r="D14" s="32"/>
      <c r="E14" s="32"/>
      <c r="F14" s="21"/>
      <c r="G14" s="21"/>
      <c r="H14" s="21"/>
      <c r="I14" s="21"/>
      <c r="J14" s="21"/>
      <c r="K14" s="21"/>
      <c r="L14" s="21"/>
      <c r="M14" s="21">
        <f t="shared" ref="M14:M15" si="12">N14*2.43</f>
        <v>0</v>
      </c>
      <c r="N14" s="21"/>
      <c r="O14" s="68"/>
      <c r="P14" s="67"/>
      <c r="Q14" s="67"/>
      <c r="R14" s="67"/>
      <c r="S14" s="67"/>
      <c r="T14" s="67"/>
      <c r="U14" s="67"/>
      <c r="V14" s="67"/>
      <c r="W14" s="67"/>
      <c r="X14" s="21"/>
      <c r="Y14" s="21"/>
      <c r="Z14" s="21"/>
      <c r="AA14" s="21"/>
      <c r="AB14" s="21"/>
      <c r="AC14" s="21"/>
      <c r="AD14" s="21"/>
      <c r="AE14" s="220">
        <f t="shared" ref="AE14:AE15" si="13">O14+P14+Q14+R14+S14+T14+U14+V14</f>
        <v>0</v>
      </c>
      <c r="AF14" s="261"/>
      <c r="AG14" s="212"/>
      <c r="AH14" s="213"/>
      <c r="AI14" s="212"/>
      <c r="AJ14" s="214"/>
      <c r="AK14" s="212"/>
      <c r="AL14" s="215"/>
      <c r="AM14" s="212"/>
      <c r="AN14" s="216"/>
      <c r="AO14" s="212"/>
      <c r="AP14" s="217"/>
      <c r="AQ14" s="212"/>
    </row>
    <row r="15" spans="1:44" s="28" customFormat="1" ht="24.95" customHeight="1">
      <c r="A15" s="25">
        <v>3</v>
      </c>
      <c r="B15" s="27"/>
      <c r="C15" s="32"/>
      <c r="D15" s="32"/>
      <c r="E15" s="32"/>
      <c r="F15" s="21"/>
      <c r="G15" s="21"/>
      <c r="H15" s="21"/>
      <c r="I15" s="21"/>
      <c r="J15" s="21"/>
      <c r="K15" s="21"/>
      <c r="L15" s="21"/>
      <c r="M15" s="21">
        <f t="shared" si="12"/>
        <v>0</v>
      </c>
      <c r="N15" s="21"/>
      <c r="O15" s="68"/>
      <c r="P15" s="67"/>
      <c r="Q15" s="67"/>
      <c r="R15" s="67"/>
      <c r="S15" s="67"/>
      <c r="T15" s="67"/>
      <c r="U15" s="67"/>
      <c r="V15" s="67"/>
      <c r="W15" s="67"/>
      <c r="X15" s="21"/>
      <c r="Y15" s="21"/>
      <c r="Z15" s="21"/>
      <c r="AA15" s="21"/>
      <c r="AB15" s="21"/>
      <c r="AC15" s="21"/>
      <c r="AD15" s="21"/>
      <c r="AE15" s="220">
        <f t="shared" si="13"/>
        <v>0</v>
      </c>
      <c r="AF15" s="261">
        <f t="shared" ref="AF15:AF16" si="14">SUM(AE15)</f>
        <v>0</v>
      </c>
      <c r="AG15" s="212"/>
      <c r="AH15" s="213"/>
      <c r="AI15" s="212"/>
      <c r="AJ15" s="214"/>
      <c r="AK15" s="212"/>
      <c r="AL15" s="215"/>
      <c r="AM15" s="212"/>
      <c r="AN15" s="216"/>
      <c r="AO15" s="212"/>
      <c r="AP15" s="217"/>
      <c r="AQ15" s="212"/>
    </row>
    <row r="16" spans="1:44" s="28" customFormat="1" ht="24.95" customHeight="1">
      <c r="A16" s="25">
        <v>3</v>
      </c>
      <c r="B16" s="27"/>
      <c r="C16" s="32"/>
      <c r="D16" s="32"/>
      <c r="E16" s="32"/>
      <c r="F16" s="21"/>
      <c r="G16" s="21"/>
      <c r="H16" s="21"/>
      <c r="I16" s="21"/>
      <c r="J16" s="21"/>
      <c r="K16" s="21"/>
      <c r="L16" s="21"/>
      <c r="M16" s="21">
        <f t="shared" ref="M16" si="15">N16*2.43</f>
        <v>0</v>
      </c>
      <c r="N16" s="21"/>
      <c r="O16" s="68"/>
      <c r="P16" s="67"/>
      <c r="Q16" s="67"/>
      <c r="R16" s="67"/>
      <c r="S16" s="67"/>
      <c r="T16" s="67"/>
      <c r="U16" s="67"/>
      <c r="V16" s="67"/>
      <c r="W16" s="67"/>
      <c r="X16" s="21"/>
      <c r="Y16" s="21"/>
      <c r="Z16" s="21"/>
      <c r="AA16" s="21"/>
      <c r="AB16" s="21"/>
      <c r="AC16" s="21"/>
      <c r="AD16" s="21"/>
      <c r="AE16" s="220">
        <f t="shared" ref="AE16" si="16">O16+P16+Q16+R16+S16+T16+U16+V16</f>
        <v>0</v>
      </c>
      <c r="AF16" s="261">
        <f t="shared" si="14"/>
        <v>0</v>
      </c>
      <c r="AG16" s="212"/>
      <c r="AH16" s="213"/>
      <c r="AI16" s="212"/>
      <c r="AJ16" s="214"/>
      <c r="AK16" s="212"/>
      <c r="AL16" s="215"/>
      <c r="AM16" s="212"/>
      <c r="AN16" s="216"/>
      <c r="AO16" s="212"/>
      <c r="AP16" s="217"/>
      <c r="AQ16" s="212"/>
    </row>
    <row r="17" spans="1:46" s="28" customFormat="1" ht="30" customHeight="1" thickBot="1">
      <c r="A17" s="29" t="s">
        <v>11</v>
      </c>
      <c r="B17" s="30"/>
      <c r="C17" s="30"/>
      <c r="D17" s="30"/>
      <c r="E17" s="30"/>
      <c r="F17" s="24">
        <f t="shared" ref="F17:AD17" si="17">SUM(F14:F16)</f>
        <v>0</v>
      </c>
      <c r="G17" s="24">
        <f t="shared" si="17"/>
        <v>0</v>
      </c>
      <c r="H17" s="24">
        <f t="shared" si="17"/>
        <v>0</v>
      </c>
      <c r="I17" s="24">
        <f t="shared" si="17"/>
        <v>0</v>
      </c>
      <c r="J17" s="24">
        <f t="shared" si="17"/>
        <v>0</v>
      </c>
      <c r="K17" s="24">
        <f t="shared" si="17"/>
        <v>0</v>
      </c>
      <c r="L17" s="24">
        <f t="shared" si="17"/>
        <v>0</v>
      </c>
      <c r="M17" s="24">
        <f t="shared" si="17"/>
        <v>0</v>
      </c>
      <c r="N17" s="24">
        <f t="shared" si="17"/>
        <v>0</v>
      </c>
      <c r="O17" s="24">
        <f t="shared" si="17"/>
        <v>0</v>
      </c>
      <c r="P17" s="24">
        <f t="shared" si="17"/>
        <v>0</v>
      </c>
      <c r="Q17" s="24">
        <f t="shared" si="17"/>
        <v>0</v>
      </c>
      <c r="R17" s="24">
        <f t="shared" si="17"/>
        <v>0</v>
      </c>
      <c r="S17" s="24">
        <f t="shared" si="17"/>
        <v>0</v>
      </c>
      <c r="T17" s="24">
        <f t="shared" si="17"/>
        <v>0</v>
      </c>
      <c r="U17" s="24">
        <f t="shared" si="17"/>
        <v>0</v>
      </c>
      <c r="V17" s="24">
        <f t="shared" si="17"/>
        <v>0</v>
      </c>
      <c r="W17" s="24">
        <f t="shared" si="17"/>
        <v>0</v>
      </c>
      <c r="X17" s="24">
        <f t="shared" si="17"/>
        <v>0</v>
      </c>
      <c r="Y17" s="24">
        <f t="shared" si="17"/>
        <v>0</v>
      </c>
      <c r="Z17" s="24">
        <f t="shared" si="17"/>
        <v>0</v>
      </c>
      <c r="AA17" s="24">
        <f t="shared" si="17"/>
        <v>0</v>
      </c>
      <c r="AB17" s="24">
        <f t="shared" si="17"/>
        <v>0</v>
      </c>
      <c r="AC17" s="24">
        <f t="shared" si="17"/>
        <v>0</v>
      </c>
      <c r="AD17" s="24">
        <f t="shared" si="17"/>
        <v>0</v>
      </c>
      <c r="AE17" s="151"/>
      <c r="AF17" s="30">
        <f>SUM(AF14:AF16)</f>
        <v>0</v>
      </c>
      <c r="AG17" s="30">
        <f t="shared" ref="AG17:AQ17" si="18">SUM(AG14:AG16)</f>
        <v>0</v>
      </c>
      <c r="AH17" s="30">
        <f t="shared" si="18"/>
        <v>0</v>
      </c>
      <c r="AI17" s="30">
        <f t="shared" si="18"/>
        <v>0</v>
      </c>
      <c r="AJ17" s="30">
        <f t="shared" si="18"/>
        <v>0</v>
      </c>
      <c r="AK17" s="30">
        <f t="shared" si="18"/>
        <v>0</v>
      </c>
      <c r="AL17" s="30">
        <f t="shared" si="18"/>
        <v>0</v>
      </c>
      <c r="AM17" s="30">
        <f t="shared" si="18"/>
        <v>0</v>
      </c>
      <c r="AN17" s="30">
        <f t="shared" si="18"/>
        <v>0</v>
      </c>
      <c r="AO17" s="30">
        <f t="shared" si="18"/>
        <v>0</v>
      </c>
      <c r="AP17" s="30">
        <f t="shared" si="18"/>
        <v>0</v>
      </c>
      <c r="AQ17" s="30">
        <f t="shared" si="18"/>
        <v>0</v>
      </c>
      <c r="AR17" s="219" t="s">
        <v>32</v>
      </c>
      <c r="AS17" s="34" t="s">
        <v>30</v>
      </c>
      <c r="AT17" s="35" t="s">
        <v>31</v>
      </c>
    </row>
    <row r="18" spans="1:46" s="28" customFormat="1" ht="30" customHeight="1">
      <c r="B18" s="149"/>
      <c r="C18" s="149"/>
      <c r="D18" s="149"/>
      <c r="E18" s="149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1"/>
      <c r="AR18" s="154" t="s">
        <v>33</v>
      </c>
      <c r="AS18" s="37">
        <f>AJ19</f>
        <v>0</v>
      </c>
      <c r="AT18" s="38">
        <f>AK19</f>
        <v>0</v>
      </c>
    </row>
    <row r="19" spans="1:46" s="28" customFormat="1" ht="30" customHeight="1">
      <c r="A19" s="184" t="s">
        <v>15</v>
      </c>
      <c r="B19" s="183"/>
      <c r="C19" s="183"/>
      <c r="D19" s="183"/>
      <c r="E19" s="183"/>
      <c r="F19" s="185">
        <f t="shared" ref="F19:AD19" si="19">F17+F13+F9</f>
        <v>0</v>
      </c>
      <c r="G19" s="185">
        <f t="shared" si="19"/>
        <v>0</v>
      </c>
      <c r="H19" s="185">
        <f t="shared" si="19"/>
        <v>0</v>
      </c>
      <c r="I19" s="185">
        <f t="shared" si="19"/>
        <v>0</v>
      </c>
      <c r="J19" s="185">
        <f t="shared" si="19"/>
        <v>0</v>
      </c>
      <c r="K19" s="185">
        <f t="shared" si="19"/>
        <v>0</v>
      </c>
      <c r="L19" s="192">
        <f t="shared" si="19"/>
        <v>0</v>
      </c>
      <c r="M19" s="186">
        <f t="shared" si="19"/>
        <v>0</v>
      </c>
      <c r="N19" s="192">
        <f t="shared" si="19"/>
        <v>0</v>
      </c>
      <c r="O19" s="185">
        <f t="shared" si="19"/>
        <v>0</v>
      </c>
      <c r="P19" s="185">
        <f t="shared" si="19"/>
        <v>0</v>
      </c>
      <c r="Q19" s="185">
        <f t="shared" si="19"/>
        <v>0</v>
      </c>
      <c r="R19" s="185">
        <f t="shared" si="19"/>
        <v>0</v>
      </c>
      <c r="S19" s="185">
        <f t="shared" si="19"/>
        <v>0</v>
      </c>
      <c r="T19" s="185">
        <f t="shared" si="19"/>
        <v>0</v>
      </c>
      <c r="U19" s="185">
        <f t="shared" si="19"/>
        <v>0</v>
      </c>
      <c r="V19" s="185">
        <f t="shared" si="19"/>
        <v>0</v>
      </c>
      <c r="W19" s="185">
        <f t="shared" si="19"/>
        <v>0</v>
      </c>
      <c r="X19" s="185">
        <f t="shared" si="19"/>
        <v>0</v>
      </c>
      <c r="Y19" s="185">
        <f t="shared" si="19"/>
        <v>0</v>
      </c>
      <c r="Z19" s="185">
        <f t="shared" si="19"/>
        <v>0</v>
      </c>
      <c r="AA19" s="185">
        <f t="shared" si="19"/>
        <v>0</v>
      </c>
      <c r="AB19" s="185">
        <f t="shared" si="19"/>
        <v>0</v>
      </c>
      <c r="AC19" s="185">
        <f t="shared" si="19"/>
        <v>0</v>
      </c>
      <c r="AD19" s="185">
        <f t="shared" si="19"/>
        <v>0</v>
      </c>
      <c r="AE19" s="151"/>
      <c r="AF19" s="189">
        <f t="shared" ref="AF19:AQ19" si="20">AF17+AF13+AF9</f>
        <v>0</v>
      </c>
      <c r="AG19" s="189">
        <f t="shared" si="20"/>
        <v>0</v>
      </c>
      <c r="AH19" s="189">
        <f t="shared" si="20"/>
        <v>0</v>
      </c>
      <c r="AI19" s="189">
        <f t="shared" si="20"/>
        <v>0</v>
      </c>
      <c r="AJ19" s="189">
        <f t="shared" si="20"/>
        <v>0</v>
      </c>
      <c r="AK19" s="189">
        <f t="shared" si="20"/>
        <v>0</v>
      </c>
      <c r="AL19" s="189">
        <f t="shared" si="20"/>
        <v>0</v>
      </c>
      <c r="AM19" s="189">
        <f t="shared" si="20"/>
        <v>0</v>
      </c>
      <c r="AN19" s="189">
        <f t="shared" si="20"/>
        <v>0</v>
      </c>
      <c r="AO19" s="189">
        <f t="shared" si="20"/>
        <v>0</v>
      </c>
      <c r="AP19" s="189">
        <f t="shared" si="20"/>
        <v>0</v>
      </c>
      <c r="AQ19" s="189">
        <f t="shared" si="20"/>
        <v>0</v>
      </c>
      <c r="AR19" s="54" t="s">
        <v>26</v>
      </c>
      <c r="AS19" s="44">
        <f>AL19</f>
        <v>0</v>
      </c>
      <c r="AT19" s="45">
        <f>AM19</f>
        <v>0</v>
      </c>
    </row>
    <row r="20" spans="1:46" s="46" customFormat="1" ht="30" customHeight="1">
      <c r="B20" s="47"/>
      <c r="C20" s="157" t="s">
        <v>58</v>
      </c>
      <c r="D20" s="157"/>
      <c r="E20" s="158"/>
      <c r="F20" s="159">
        <v>26.292100000000001</v>
      </c>
      <c r="G20" s="159">
        <v>115.8</v>
      </c>
      <c r="H20" s="160">
        <v>35.47</v>
      </c>
      <c r="I20" s="160">
        <v>27.343800000000002</v>
      </c>
      <c r="J20" s="160">
        <v>40</v>
      </c>
      <c r="K20" s="159">
        <v>29.5639</v>
      </c>
      <c r="L20" s="159">
        <v>145.88</v>
      </c>
      <c r="M20" s="159">
        <v>27.66</v>
      </c>
      <c r="N20" s="159">
        <v>26.25</v>
      </c>
      <c r="O20" s="159">
        <v>171.74107142857142</v>
      </c>
      <c r="P20" s="159">
        <v>176.78571428571428</v>
      </c>
      <c r="Q20" s="159">
        <v>195</v>
      </c>
      <c r="R20" s="159">
        <v>180.35714285714283</v>
      </c>
      <c r="S20" s="159">
        <v>198</v>
      </c>
      <c r="T20" s="159">
        <v>195</v>
      </c>
      <c r="U20" s="159">
        <v>189.38</v>
      </c>
      <c r="V20" s="159">
        <v>207</v>
      </c>
      <c r="W20" s="159">
        <v>379.46</v>
      </c>
      <c r="X20" s="159">
        <v>35.15</v>
      </c>
      <c r="Y20" s="159">
        <v>35.893000000000001</v>
      </c>
      <c r="Z20" s="159">
        <v>37.5</v>
      </c>
      <c r="AA20" s="159">
        <v>81.900000000000006</v>
      </c>
      <c r="AB20" s="159">
        <v>20.62</v>
      </c>
      <c r="AC20" s="159">
        <v>267.18</v>
      </c>
      <c r="AD20" s="159">
        <v>7.5</v>
      </c>
      <c r="AE20" s="48"/>
      <c r="AR20" s="54" t="s">
        <v>27</v>
      </c>
      <c r="AS20" s="44">
        <f>AN19</f>
        <v>0</v>
      </c>
      <c r="AT20" s="45">
        <f>AO19</f>
        <v>0</v>
      </c>
    </row>
    <row r="21" spans="1:46" s="46" customFormat="1" ht="30" customHeight="1">
      <c r="A21" s="16"/>
      <c r="B21" s="17"/>
      <c r="C21" s="272" t="s">
        <v>53</v>
      </c>
      <c r="D21" s="272"/>
      <c r="E21" s="27">
        <f>F21+G21+K21+L21+M21+N21+O21+P21+Q21+R21+S21+U21+X21+Y21+Z21+AA21+AB21+AC21+AD21+H21+I21</f>
        <v>0</v>
      </c>
      <c r="F21" s="112">
        <f>F19*F20</f>
        <v>0</v>
      </c>
      <c r="G21" s="112">
        <f t="shared" ref="G21:AD21" si="21">G19*G20</f>
        <v>0</v>
      </c>
      <c r="H21" s="112">
        <f t="shared" si="21"/>
        <v>0</v>
      </c>
      <c r="I21" s="112">
        <f t="shared" si="21"/>
        <v>0</v>
      </c>
      <c r="J21" s="112"/>
      <c r="K21" s="112">
        <f t="shared" si="21"/>
        <v>0</v>
      </c>
      <c r="L21" s="112">
        <f t="shared" si="21"/>
        <v>0</v>
      </c>
      <c r="M21" s="112">
        <f t="shared" si="21"/>
        <v>0</v>
      </c>
      <c r="N21" s="112">
        <f t="shared" si="21"/>
        <v>0</v>
      </c>
      <c r="O21" s="112">
        <f t="shared" si="21"/>
        <v>0</v>
      </c>
      <c r="P21" s="112">
        <f t="shared" si="21"/>
        <v>0</v>
      </c>
      <c r="Q21" s="112">
        <f t="shared" si="21"/>
        <v>0</v>
      </c>
      <c r="R21" s="242">
        <f t="shared" si="21"/>
        <v>0</v>
      </c>
      <c r="S21" s="112">
        <f t="shared" si="21"/>
        <v>0</v>
      </c>
      <c r="T21" s="112">
        <f t="shared" si="21"/>
        <v>0</v>
      </c>
      <c r="U21" s="112">
        <f t="shared" si="21"/>
        <v>0</v>
      </c>
      <c r="V21" s="112">
        <f t="shared" si="21"/>
        <v>0</v>
      </c>
      <c r="W21" s="112">
        <f t="shared" si="21"/>
        <v>0</v>
      </c>
      <c r="X21" s="112">
        <f t="shared" si="21"/>
        <v>0</v>
      </c>
      <c r="Y21" s="112">
        <f t="shared" si="21"/>
        <v>0</v>
      </c>
      <c r="Z21" s="112">
        <f t="shared" si="21"/>
        <v>0</v>
      </c>
      <c r="AA21" s="112">
        <f t="shared" si="21"/>
        <v>0</v>
      </c>
      <c r="AB21" s="112">
        <f t="shared" si="21"/>
        <v>0</v>
      </c>
      <c r="AC21" s="112">
        <f t="shared" si="21"/>
        <v>0</v>
      </c>
      <c r="AD21" s="112">
        <f t="shared" si="21"/>
        <v>0</v>
      </c>
      <c r="AE21" s="16"/>
      <c r="AR21" s="54" t="s">
        <v>34</v>
      </c>
      <c r="AS21" s="44">
        <f>AF19</f>
        <v>0</v>
      </c>
      <c r="AT21" s="45">
        <f>AG19</f>
        <v>0</v>
      </c>
    </row>
    <row r="22" spans="1:46" s="16" customFormat="1" ht="30" customHeight="1">
      <c r="B22" s="17"/>
      <c r="C22" s="17"/>
      <c r="D22" s="17"/>
      <c r="AR22" s="54" t="s">
        <v>29</v>
      </c>
      <c r="AS22" s="14">
        <f>AH19</f>
        <v>0</v>
      </c>
      <c r="AT22" s="15">
        <f>AI19</f>
        <v>0</v>
      </c>
    </row>
    <row r="23" spans="1:46" s="16" customFormat="1" ht="30" customHeight="1" thickBot="1">
      <c r="B23" s="17"/>
      <c r="C23" s="17"/>
      <c r="D23" s="17"/>
      <c r="AR23" s="55" t="s">
        <v>35</v>
      </c>
      <c r="AS23" s="18">
        <f>AP19</f>
        <v>0</v>
      </c>
      <c r="AT23" s="19">
        <f>AQ19</f>
        <v>0</v>
      </c>
    </row>
    <row r="24" spans="1:46" s="16" customFormat="1" ht="30" customHeight="1">
      <c r="B24" s="17"/>
      <c r="C24" s="17"/>
      <c r="D24" s="17"/>
    </row>
    <row r="25" spans="1:46" s="12" customFormat="1" ht="11.25" customHeight="1">
      <c r="B25" s="13"/>
      <c r="C25" s="13"/>
      <c r="D25" s="13"/>
    </row>
    <row r="26" spans="1:46" s="12" customFormat="1">
      <c r="B26" s="13"/>
      <c r="C26" s="13"/>
      <c r="D26" s="13"/>
      <c r="O26" s="12" t="s">
        <v>18</v>
      </c>
    </row>
    <row r="27" spans="1:46" s="12" customFormat="1">
      <c r="B27" s="250" t="s">
        <v>89</v>
      </c>
      <c r="C27" s="250" t="s">
        <v>86</v>
      </c>
      <c r="D27" s="250" t="s">
        <v>58</v>
      </c>
      <c r="E27" s="250" t="s">
        <v>87</v>
      </c>
    </row>
    <row r="28" spans="1:46" s="12" customFormat="1">
      <c r="B28" s="242" t="s">
        <v>72</v>
      </c>
      <c r="C28" s="248"/>
      <c r="D28" s="247">
        <v>26.292100000000001</v>
      </c>
      <c r="E28" s="248">
        <f>C28*D28</f>
        <v>0</v>
      </c>
    </row>
    <row r="29" spans="1:46" s="12" customFormat="1">
      <c r="B29" s="242" t="s">
        <v>100</v>
      </c>
      <c r="C29" s="248">
        <f>I19</f>
        <v>0</v>
      </c>
      <c r="D29" s="247">
        <v>27.343800000000002</v>
      </c>
      <c r="E29" s="248"/>
    </row>
    <row r="30" spans="1:46">
      <c r="B30" s="242" t="s">
        <v>73</v>
      </c>
      <c r="C30" s="248">
        <f>K19</f>
        <v>0</v>
      </c>
      <c r="D30" s="247">
        <v>29.5639</v>
      </c>
      <c r="E30" s="248">
        <f t="shared" ref="E30:E50" si="22">C30*D30</f>
        <v>0</v>
      </c>
    </row>
    <row r="31" spans="1:46">
      <c r="B31" s="279" t="s">
        <v>2</v>
      </c>
      <c r="C31" s="245">
        <f>L19</f>
        <v>0</v>
      </c>
      <c r="D31" s="246">
        <v>145.88</v>
      </c>
      <c r="E31" s="248">
        <f t="shared" si="22"/>
        <v>0</v>
      </c>
    </row>
    <row r="32" spans="1:46">
      <c r="B32" s="279" t="s">
        <v>74</v>
      </c>
      <c r="C32" s="249">
        <f>M19</f>
        <v>0</v>
      </c>
      <c r="D32" s="246">
        <v>27.66</v>
      </c>
      <c r="E32" s="248">
        <f t="shared" si="22"/>
        <v>0</v>
      </c>
    </row>
    <row r="33" spans="2:5">
      <c r="B33" s="279" t="s">
        <v>3</v>
      </c>
      <c r="C33" s="245">
        <f>N19</f>
        <v>0</v>
      </c>
      <c r="D33" s="246">
        <v>26.25</v>
      </c>
      <c r="E33" s="248">
        <f t="shared" si="22"/>
        <v>0</v>
      </c>
    </row>
    <row r="34" spans="2:5">
      <c r="B34" s="279" t="s">
        <v>75</v>
      </c>
      <c r="C34" s="245">
        <f>AB19</f>
        <v>0</v>
      </c>
      <c r="D34" s="246">
        <v>20.62</v>
      </c>
      <c r="E34" s="248">
        <f t="shared" si="22"/>
        <v>0</v>
      </c>
    </row>
    <row r="35" spans="2:5">
      <c r="B35" s="279" t="s">
        <v>76</v>
      </c>
      <c r="C35" s="245"/>
      <c r="D35" s="246">
        <v>171.74107142857142</v>
      </c>
      <c r="E35" s="248">
        <f t="shared" si="22"/>
        <v>0</v>
      </c>
    </row>
    <row r="36" spans="2:5">
      <c r="B36" s="279" t="s">
        <v>77</v>
      </c>
      <c r="C36" s="245"/>
      <c r="D36" s="246">
        <v>176.78571428571428</v>
      </c>
      <c r="E36" s="248">
        <f t="shared" si="22"/>
        <v>0</v>
      </c>
    </row>
    <row r="37" spans="2:5">
      <c r="B37" s="279" t="s">
        <v>78</v>
      </c>
      <c r="C37" s="245"/>
      <c r="D37" s="246">
        <v>180.35714285714283</v>
      </c>
      <c r="E37" s="248">
        <f t="shared" si="22"/>
        <v>0</v>
      </c>
    </row>
    <row r="38" spans="2:5">
      <c r="B38" s="279" t="s">
        <v>68</v>
      </c>
      <c r="C38" s="245"/>
      <c r="D38" s="246">
        <v>207</v>
      </c>
      <c r="E38" s="248">
        <f t="shared" si="22"/>
        <v>0</v>
      </c>
    </row>
    <row r="39" spans="2:5">
      <c r="B39" s="279" t="s">
        <v>79</v>
      </c>
      <c r="C39" s="246"/>
      <c r="D39" s="246">
        <v>331</v>
      </c>
      <c r="E39" s="248">
        <f t="shared" si="22"/>
        <v>0</v>
      </c>
    </row>
    <row r="40" spans="2:5">
      <c r="B40" s="279" t="s">
        <v>80</v>
      </c>
      <c r="C40" s="245">
        <f>U19</f>
        <v>0</v>
      </c>
      <c r="D40" s="246">
        <v>189.38</v>
      </c>
      <c r="E40" s="248">
        <f t="shared" si="22"/>
        <v>0</v>
      </c>
    </row>
    <row r="41" spans="2:5">
      <c r="B41" s="279" t="s">
        <v>81</v>
      </c>
      <c r="C41" s="245"/>
      <c r="D41" s="246">
        <v>195</v>
      </c>
      <c r="E41" s="248">
        <f t="shared" si="22"/>
        <v>0</v>
      </c>
    </row>
    <row r="42" spans="2:5">
      <c r="B42" s="279" t="s">
        <v>82</v>
      </c>
      <c r="C42" s="245">
        <f>Q19</f>
        <v>0</v>
      </c>
      <c r="D42" s="246">
        <v>195</v>
      </c>
      <c r="E42" s="248">
        <f t="shared" si="22"/>
        <v>0</v>
      </c>
    </row>
    <row r="43" spans="2:5">
      <c r="B43" s="279" t="s">
        <v>55</v>
      </c>
      <c r="C43" s="246"/>
      <c r="D43" s="246">
        <v>359.83</v>
      </c>
      <c r="E43" s="248">
        <f t="shared" si="22"/>
        <v>0</v>
      </c>
    </row>
    <row r="44" spans="2:5">
      <c r="B44" s="279" t="s">
        <v>56</v>
      </c>
      <c r="C44" s="246"/>
      <c r="D44" s="246">
        <v>379.46</v>
      </c>
      <c r="E44" s="248">
        <f t="shared" si="22"/>
        <v>0</v>
      </c>
    </row>
    <row r="45" spans="2:5">
      <c r="B45" s="279" t="s">
        <v>83</v>
      </c>
      <c r="C45" s="245">
        <f>X19</f>
        <v>0</v>
      </c>
      <c r="D45" s="246">
        <v>35.15</v>
      </c>
      <c r="E45" s="248">
        <f t="shared" si="22"/>
        <v>0</v>
      </c>
    </row>
    <row r="46" spans="2:5">
      <c r="B46" s="279" t="s">
        <v>84</v>
      </c>
      <c r="C46" s="245">
        <f>Y19</f>
        <v>0</v>
      </c>
      <c r="D46" s="246">
        <v>35.893000000000001</v>
      </c>
      <c r="E46" s="248">
        <f t="shared" si="22"/>
        <v>0</v>
      </c>
    </row>
    <row r="47" spans="2:5">
      <c r="B47" s="279" t="s">
        <v>95</v>
      </c>
      <c r="C47" s="245">
        <f>W10</f>
        <v>0</v>
      </c>
      <c r="D47" s="246">
        <v>37.5</v>
      </c>
      <c r="E47" s="248">
        <f t="shared" si="22"/>
        <v>0</v>
      </c>
    </row>
    <row r="48" spans="2:5">
      <c r="B48" s="279" t="s">
        <v>85</v>
      </c>
      <c r="C48" s="246">
        <f>AA19</f>
        <v>0</v>
      </c>
      <c r="D48" s="246">
        <v>81.900000000000006</v>
      </c>
      <c r="E48" s="248">
        <f t="shared" si="22"/>
        <v>0</v>
      </c>
    </row>
    <row r="49" spans="2:5">
      <c r="B49" s="279" t="s">
        <v>20</v>
      </c>
      <c r="C49" s="245">
        <f>AD19</f>
        <v>0</v>
      </c>
      <c r="D49" s="246">
        <v>7.5</v>
      </c>
      <c r="E49" s="248">
        <f t="shared" si="22"/>
        <v>0</v>
      </c>
    </row>
    <row r="50" spans="2:5">
      <c r="B50" s="279" t="s">
        <v>7</v>
      </c>
      <c r="C50" s="245">
        <f>AC19</f>
        <v>0</v>
      </c>
      <c r="D50" s="246">
        <v>267.18</v>
      </c>
      <c r="E50" s="248">
        <f t="shared" si="22"/>
        <v>0</v>
      </c>
    </row>
    <row r="51" spans="2:5">
      <c r="B51" s="279" t="s">
        <v>88</v>
      </c>
      <c r="C51" s="245">
        <f>SUM(C28:C50)</f>
        <v>0</v>
      </c>
      <c r="D51" s="246"/>
      <c r="E51" s="245">
        <f>SUM(E28:E50)</f>
        <v>0</v>
      </c>
    </row>
  </sheetData>
  <mergeCells count="23">
    <mergeCell ref="AP3:AQ4"/>
    <mergeCell ref="O3:P3"/>
    <mergeCell ref="R3:S3"/>
    <mergeCell ref="X3:AA3"/>
    <mergeCell ref="AB3:AB4"/>
    <mergeCell ref="AC3:AC4"/>
    <mergeCell ref="AD3:AD4"/>
    <mergeCell ref="AF3:AG4"/>
    <mergeCell ref="AH3:AI4"/>
    <mergeCell ref="AJ3:AK4"/>
    <mergeCell ref="AL3:AM4"/>
    <mergeCell ref="AN3:AO4"/>
    <mergeCell ref="N1:R1"/>
    <mergeCell ref="A3:A5"/>
    <mergeCell ref="B3:B5"/>
    <mergeCell ref="E3:E5"/>
    <mergeCell ref="L3:L4"/>
    <mergeCell ref="M3:M4"/>
    <mergeCell ref="C3:C5"/>
    <mergeCell ref="A1:B1"/>
    <mergeCell ref="C1:E1"/>
    <mergeCell ref="N3:N4"/>
    <mergeCell ref="D3:D5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4"/>
  <sheetViews>
    <sheetView zoomScale="55" zoomScaleNormal="55" workbookViewId="0">
      <pane xSplit="4" ySplit="5" topLeftCell="E6" activePane="bottomRight" state="frozen"/>
      <selection pane="topRight" activeCell="D1" sqref="D1"/>
      <selection pane="bottomLeft" activeCell="A5" sqref="A5"/>
      <selection pane="bottomRight" activeCell="O35" sqref="O35"/>
    </sheetView>
  </sheetViews>
  <sheetFormatPr defaultColWidth="9.140625" defaultRowHeight="18"/>
  <cols>
    <col min="1" max="1" width="9.85546875" style="7" customWidth="1"/>
    <col min="2" max="2" width="19.28515625" style="6" customWidth="1"/>
    <col min="3" max="3" width="18" style="6" customWidth="1"/>
    <col min="4" max="4" width="25.28515625" style="3" customWidth="1"/>
    <col min="5" max="5" width="17" style="1" customWidth="1"/>
    <col min="6" max="10" width="12.140625" style="1" customWidth="1"/>
    <col min="11" max="18" width="11.140625" style="1" customWidth="1"/>
    <col min="19" max="19" width="9.7109375" style="1" hidden="1" customWidth="1"/>
    <col min="20" max="20" width="7.7109375" style="1" hidden="1" customWidth="1"/>
    <col min="21" max="22" width="11.140625" style="1" customWidth="1"/>
    <col min="23" max="23" width="9.140625" style="1" hidden="1" customWidth="1"/>
    <col min="24" max="24" width="8.85546875" style="1" hidden="1" customWidth="1"/>
    <col min="25" max="25" width="8.5703125" style="1" customWidth="1"/>
    <col min="26" max="26" width="9.140625" style="1" customWidth="1"/>
    <col min="27" max="28" width="11.140625" style="1" customWidth="1"/>
    <col min="29" max="40" width="11.28515625" style="1" customWidth="1"/>
    <col min="41" max="41" width="32.7109375" style="1" bestFit="1" customWidth="1"/>
    <col min="42" max="43" width="10.5703125" style="1" bestFit="1" customWidth="1"/>
    <col min="44" max="16384" width="9.140625" style="1"/>
  </cols>
  <sheetData>
    <row r="1" spans="1:41" s="4" customFormat="1" ht="33.75" customHeight="1">
      <c r="A1" s="359" t="s">
        <v>24</v>
      </c>
      <c r="B1" s="359"/>
      <c r="C1" s="360" t="e">
        <f>TOTAL!D3:E3</f>
        <v>#VALUE!</v>
      </c>
      <c r="D1" s="360"/>
      <c r="E1" s="96"/>
      <c r="F1" s="96"/>
      <c r="G1" s="96"/>
      <c r="H1" s="96"/>
      <c r="I1" s="96"/>
      <c r="M1" s="364" t="s">
        <v>63</v>
      </c>
      <c r="N1" s="364"/>
      <c r="O1" s="364"/>
    </row>
    <row r="2" spans="1:41" s="4" customFormat="1" ht="18.75" customHeight="1">
      <c r="A2" s="46"/>
      <c r="B2" s="46"/>
      <c r="C2" s="120"/>
      <c r="D2" s="120"/>
      <c r="E2" s="8"/>
      <c r="F2" s="8"/>
      <c r="G2" s="8"/>
      <c r="H2" s="8"/>
      <c r="I2" s="8"/>
      <c r="M2" s="5"/>
      <c r="N2" s="5"/>
    </row>
    <row r="3" spans="1:41" s="2" customFormat="1" ht="31.5" customHeight="1">
      <c r="A3" s="334" t="s">
        <v>12</v>
      </c>
      <c r="B3" s="334" t="s">
        <v>13</v>
      </c>
      <c r="C3" s="334" t="s">
        <v>57</v>
      </c>
      <c r="D3" s="323" t="s">
        <v>0</v>
      </c>
      <c r="E3" s="180" t="s">
        <v>21</v>
      </c>
      <c r="F3" s="181" t="s">
        <v>1</v>
      </c>
      <c r="G3" s="181" t="s">
        <v>61</v>
      </c>
      <c r="H3" s="181" t="s">
        <v>62</v>
      </c>
      <c r="I3" s="182" t="s">
        <v>14</v>
      </c>
      <c r="J3" s="362" t="s">
        <v>2</v>
      </c>
      <c r="K3" s="327" t="s">
        <v>22</v>
      </c>
      <c r="L3" s="362" t="s">
        <v>3</v>
      </c>
      <c r="M3" s="320" t="s">
        <v>4</v>
      </c>
      <c r="N3" s="321"/>
      <c r="O3" s="181" t="s">
        <v>5</v>
      </c>
      <c r="P3" s="320" t="s">
        <v>17</v>
      </c>
      <c r="Q3" s="321"/>
      <c r="R3" s="181" t="s">
        <v>5</v>
      </c>
      <c r="S3" s="181" t="s">
        <v>55</v>
      </c>
      <c r="T3" s="181" t="s">
        <v>56</v>
      </c>
      <c r="U3" s="365" t="s">
        <v>6</v>
      </c>
      <c r="V3" s="366"/>
      <c r="W3" s="366"/>
      <c r="X3" s="367"/>
      <c r="Y3" s="327" t="s">
        <v>19</v>
      </c>
      <c r="Z3" s="327" t="s">
        <v>7</v>
      </c>
      <c r="AA3" s="355" t="s">
        <v>20</v>
      </c>
      <c r="AB3" s="162"/>
      <c r="AC3" s="361" t="s">
        <v>28</v>
      </c>
      <c r="AD3" s="361"/>
      <c r="AE3" s="310" t="s">
        <v>29</v>
      </c>
      <c r="AF3" s="311"/>
      <c r="AG3" s="310" t="s">
        <v>25</v>
      </c>
      <c r="AH3" s="311"/>
      <c r="AI3" s="310" t="s">
        <v>26</v>
      </c>
      <c r="AJ3" s="311"/>
      <c r="AK3" s="310" t="s">
        <v>27</v>
      </c>
      <c r="AL3" s="311"/>
      <c r="AM3" s="310" t="s">
        <v>41</v>
      </c>
      <c r="AN3" s="311"/>
      <c r="AO3" s="50"/>
    </row>
    <row r="4" spans="1:41" s="2" customFormat="1" ht="21" customHeight="1">
      <c r="A4" s="335"/>
      <c r="B4" s="335"/>
      <c r="C4" s="335"/>
      <c r="D4" s="324"/>
      <c r="E4" s="182">
        <v>208</v>
      </c>
      <c r="F4" s="182">
        <v>208</v>
      </c>
      <c r="G4" s="182">
        <v>150</v>
      </c>
      <c r="H4" s="182">
        <v>150</v>
      </c>
      <c r="I4" s="182">
        <v>215</v>
      </c>
      <c r="J4" s="363"/>
      <c r="K4" s="328"/>
      <c r="L4" s="363"/>
      <c r="M4" s="180">
        <v>2.4</v>
      </c>
      <c r="N4" s="180">
        <v>3.6</v>
      </c>
      <c r="O4" s="180">
        <v>3.6</v>
      </c>
      <c r="P4" s="181">
        <v>2.4</v>
      </c>
      <c r="Q4" s="181">
        <v>3.6</v>
      </c>
      <c r="R4" s="180">
        <v>2.4</v>
      </c>
      <c r="S4" s="180"/>
      <c r="T4" s="180"/>
      <c r="U4" s="182">
        <v>5</v>
      </c>
      <c r="V4" s="182">
        <v>10</v>
      </c>
      <c r="W4" s="182">
        <v>6</v>
      </c>
      <c r="X4" s="182">
        <v>40</v>
      </c>
      <c r="Y4" s="328"/>
      <c r="Z4" s="328"/>
      <c r="AA4" s="355"/>
      <c r="AB4" s="162"/>
      <c r="AC4" s="361"/>
      <c r="AD4" s="361"/>
      <c r="AE4" s="312"/>
      <c r="AF4" s="313"/>
      <c r="AG4" s="312"/>
      <c r="AH4" s="313"/>
      <c r="AI4" s="312"/>
      <c r="AJ4" s="313"/>
      <c r="AK4" s="312"/>
      <c r="AL4" s="313"/>
      <c r="AM4" s="312"/>
      <c r="AN4" s="313"/>
      <c r="AO4" s="50"/>
    </row>
    <row r="5" spans="1:41" s="2" customFormat="1" ht="24" customHeight="1">
      <c r="A5" s="336"/>
      <c r="B5" s="336"/>
      <c r="C5" s="336"/>
      <c r="D5" s="325"/>
      <c r="E5" s="182" t="s">
        <v>8</v>
      </c>
      <c r="F5" s="182" t="s">
        <v>8</v>
      </c>
      <c r="G5" s="182" t="s">
        <v>8</v>
      </c>
      <c r="H5" s="182" t="s">
        <v>8</v>
      </c>
      <c r="I5" s="182" t="s">
        <v>8</v>
      </c>
      <c r="J5" s="182" t="s">
        <v>9</v>
      </c>
      <c r="K5" s="182" t="s">
        <v>23</v>
      </c>
      <c r="L5" s="182" t="s">
        <v>8</v>
      </c>
      <c r="M5" s="182" t="s">
        <v>8</v>
      </c>
      <c r="N5" s="182" t="s">
        <v>8</v>
      </c>
      <c r="O5" s="182" t="s">
        <v>8</v>
      </c>
      <c r="P5" s="182" t="s">
        <v>8</v>
      </c>
      <c r="Q5" s="182" t="s">
        <v>8</v>
      </c>
      <c r="R5" s="182" t="s">
        <v>8</v>
      </c>
      <c r="S5" s="182" t="s">
        <v>8</v>
      </c>
      <c r="T5" s="182" t="s">
        <v>8</v>
      </c>
      <c r="U5" s="182" t="s">
        <v>10</v>
      </c>
      <c r="V5" s="182" t="s">
        <v>10</v>
      </c>
      <c r="W5" s="182" t="s">
        <v>10</v>
      </c>
      <c r="X5" s="182" t="s">
        <v>10</v>
      </c>
      <c r="Y5" s="182" t="s">
        <v>8</v>
      </c>
      <c r="Z5" s="182" t="s">
        <v>8</v>
      </c>
      <c r="AA5" s="182" t="s">
        <v>8</v>
      </c>
      <c r="AB5" s="163"/>
      <c r="AC5" s="164" t="s">
        <v>30</v>
      </c>
      <c r="AD5" s="164" t="s">
        <v>31</v>
      </c>
      <c r="AE5" s="131" t="s">
        <v>30</v>
      </c>
      <c r="AF5" s="131" t="s">
        <v>31</v>
      </c>
      <c r="AG5" s="131" t="s">
        <v>30</v>
      </c>
      <c r="AH5" s="131" t="s">
        <v>31</v>
      </c>
      <c r="AI5" s="131" t="s">
        <v>30</v>
      </c>
      <c r="AJ5" s="131" t="s">
        <v>31</v>
      </c>
      <c r="AK5" s="131" t="s">
        <v>30</v>
      </c>
      <c r="AL5" s="131" t="s">
        <v>31</v>
      </c>
      <c r="AM5" s="131" t="s">
        <v>30</v>
      </c>
      <c r="AN5" s="131" t="s">
        <v>31</v>
      </c>
      <c r="AO5" s="50"/>
    </row>
    <row r="6" spans="1:41" s="28" customFormat="1" ht="30" customHeight="1">
      <c r="A6" s="25">
        <v>1</v>
      </c>
      <c r="B6" s="26"/>
      <c r="C6" s="26"/>
      <c r="D6" s="27"/>
      <c r="E6" s="20"/>
      <c r="F6" s="20"/>
      <c r="G6" s="20"/>
      <c r="H6" s="20"/>
      <c r="I6" s="20"/>
      <c r="J6" s="20"/>
      <c r="K6" s="21">
        <f t="shared" ref="K6:K13" si="0">L6*2.43</f>
        <v>0</v>
      </c>
      <c r="L6" s="20"/>
      <c r="M6" s="67"/>
      <c r="N6" s="67"/>
      <c r="O6" s="67"/>
      <c r="P6" s="67"/>
      <c r="Q6" s="67"/>
      <c r="R6" s="67"/>
      <c r="S6" s="67"/>
      <c r="T6" s="67"/>
      <c r="U6" s="20"/>
      <c r="V6" s="20"/>
      <c r="W6" s="20"/>
      <c r="X6" s="20"/>
      <c r="Y6" s="20"/>
      <c r="Z6" s="20"/>
      <c r="AA6" s="20"/>
      <c r="AB6" s="161">
        <f t="shared" ref="AB6:AB12" si="1">M6+N6+O6+P6+Q6+R6</f>
        <v>0</v>
      </c>
      <c r="AC6" s="143"/>
      <c r="AD6" s="73"/>
      <c r="AE6" s="136"/>
      <c r="AF6" s="73"/>
      <c r="AG6" s="86"/>
      <c r="AH6" s="73"/>
      <c r="AI6" s="167"/>
      <c r="AJ6" s="73"/>
      <c r="AK6" s="177"/>
      <c r="AL6" s="73"/>
      <c r="AM6" s="89"/>
      <c r="AN6" s="73"/>
    </row>
    <row r="7" spans="1:41" s="28" customFormat="1" ht="30" customHeight="1">
      <c r="A7" s="25">
        <v>1</v>
      </c>
      <c r="B7" s="26"/>
      <c r="C7" s="26"/>
      <c r="D7" s="27"/>
      <c r="E7" s="20"/>
      <c r="F7" s="20"/>
      <c r="G7" s="20"/>
      <c r="H7" s="20"/>
      <c r="I7" s="20"/>
      <c r="J7" s="20"/>
      <c r="K7" s="21">
        <f t="shared" si="0"/>
        <v>0</v>
      </c>
      <c r="L7" s="20"/>
      <c r="M7" s="67"/>
      <c r="N7" s="67"/>
      <c r="O7" s="67"/>
      <c r="P7" s="67"/>
      <c r="Q7" s="67"/>
      <c r="R7" s="67"/>
      <c r="S7" s="67"/>
      <c r="T7" s="67"/>
      <c r="U7" s="20"/>
      <c r="V7" s="20"/>
      <c r="W7" s="20"/>
      <c r="X7" s="20"/>
      <c r="Y7" s="20"/>
      <c r="Z7" s="20"/>
      <c r="AA7" s="20"/>
      <c r="AB7" s="140">
        <f t="shared" si="1"/>
        <v>0</v>
      </c>
      <c r="AC7" s="143"/>
      <c r="AD7" s="73"/>
      <c r="AE7" s="136"/>
      <c r="AF7" s="73"/>
      <c r="AG7" s="86"/>
      <c r="AH7" s="73"/>
      <c r="AI7" s="167"/>
      <c r="AJ7" s="73"/>
      <c r="AK7" s="177"/>
      <c r="AL7" s="73"/>
      <c r="AM7" s="89"/>
      <c r="AN7" s="73"/>
    </row>
    <row r="8" spans="1:41" s="28" customFormat="1" ht="30" customHeight="1">
      <c r="A8" s="25">
        <v>1</v>
      </c>
      <c r="B8" s="26"/>
      <c r="C8" s="26"/>
      <c r="D8" s="27"/>
      <c r="E8" s="20"/>
      <c r="F8" s="20"/>
      <c r="G8" s="20"/>
      <c r="H8" s="20"/>
      <c r="I8" s="20"/>
      <c r="J8" s="20"/>
      <c r="K8" s="21">
        <f t="shared" si="0"/>
        <v>0</v>
      </c>
      <c r="L8" s="20"/>
      <c r="M8" s="67"/>
      <c r="N8" s="67"/>
      <c r="O8" s="67"/>
      <c r="P8" s="67"/>
      <c r="Q8" s="67"/>
      <c r="R8" s="67"/>
      <c r="S8" s="67"/>
      <c r="T8" s="67"/>
      <c r="U8" s="20"/>
      <c r="V8" s="20"/>
      <c r="W8" s="20"/>
      <c r="X8" s="20"/>
      <c r="Y8" s="20"/>
      <c r="Z8" s="20"/>
      <c r="AA8" s="20"/>
      <c r="AB8" s="140">
        <f t="shared" si="1"/>
        <v>0</v>
      </c>
      <c r="AC8" s="143"/>
      <c r="AD8" s="73"/>
      <c r="AE8" s="136"/>
      <c r="AF8" s="73"/>
      <c r="AG8" s="86"/>
      <c r="AH8" s="73"/>
      <c r="AI8" s="167"/>
      <c r="AJ8" s="73"/>
      <c r="AK8" s="177"/>
      <c r="AL8" s="73"/>
      <c r="AM8" s="89"/>
      <c r="AN8" s="73"/>
    </row>
    <row r="9" spans="1:41" s="28" customFormat="1" ht="30" customHeight="1">
      <c r="A9" s="25">
        <v>1</v>
      </c>
      <c r="B9" s="26"/>
      <c r="C9" s="26"/>
      <c r="D9" s="27"/>
      <c r="E9" s="20"/>
      <c r="F9" s="20"/>
      <c r="G9" s="20"/>
      <c r="H9" s="20"/>
      <c r="I9" s="20"/>
      <c r="J9" s="20"/>
      <c r="K9" s="21">
        <f t="shared" si="0"/>
        <v>0</v>
      </c>
      <c r="L9" s="20"/>
      <c r="M9" s="67"/>
      <c r="N9" s="67"/>
      <c r="O9" s="67"/>
      <c r="P9" s="67"/>
      <c r="Q9" s="67"/>
      <c r="R9" s="67"/>
      <c r="S9" s="67"/>
      <c r="T9" s="67"/>
      <c r="U9" s="20"/>
      <c r="V9" s="20"/>
      <c r="W9" s="20"/>
      <c r="X9" s="20"/>
      <c r="Y9" s="20"/>
      <c r="Z9" s="20"/>
      <c r="AA9" s="20"/>
      <c r="AB9" s="140">
        <f t="shared" ref="AB9" si="2">M9+N9+O9+P9+Q9+R9</f>
        <v>0</v>
      </c>
      <c r="AC9" s="143"/>
      <c r="AD9" s="73"/>
      <c r="AE9" s="136"/>
      <c r="AF9" s="73"/>
      <c r="AG9" s="86"/>
      <c r="AH9" s="73"/>
      <c r="AI9" s="167"/>
      <c r="AJ9" s="73"/>
      <c r="AK9" s="177"/>
      <c r="AL9" s="73"/>
      <c r="AM9" s="89"/>
      <c r="AN9" s="73"/>
    </row>
    <row r="10" spans="1:41" s="28" customFormat="1" ht="30" customHeight="1">
      <c r="A10" s="25">
        <v>1</v>
      </c>
      <c r="B10" s="26"/>
      <c r="C10" s="26"/>
      <c r="D10" s="27"/>
      <c r="E10" s="20"/>
      <c r="F10" s="20"/>
      <c r="G10" s="20"/>
      <c r="H10" s="20"/>
      <c r="I10" s="20"/>
      <c r="J10" s="20"/>
      <c r="K10" s="21">
        <f t="shared" si="0"/>
        <v>0</v>
      </c>
      <c r="L10" s="20"/>
      <c r="M10" s="67"/>
      <c r="N10" s="67"/>
      <c r="O10" s="67"/>
      <c r="P10" s="67"/>
      <c r="Q10" s="67"/>
      <c r="R10" s="67"/>
      <c r="S10" s="67"/>
      <c r="T10" s="67"/>
      <c r="U10" s="20"/>
      <c r="V10" s="20"/>
      <c r="W10" s="20"/>
      <c r="X10" s="20"/>
      <c r="Y10" s="20"/>
      <c r="Z10" s="20"/>
      <c r="AA10" s="20"/>
      <c r="AB10" s="140">
        <f t="shared" ref="AB10:AB11" si="3">M10+N10+O10+P10+Q10+R10</f>
        <v>0</v>
      </c>
      <c r="AC10" s="143"/>
      <c r="AD10" s="73"/>
      <c r="AE10" s="136"/>
      <c r="AF10" s="73"/>
      <c r="AG10" s="86"/>
      <c r="AH10" s="73"/>
      <c r="AI10" s="167"/>
      <c r="AJ10" s="73"/>
      <c r="AK10" s="177"/>
      <c r="AL10" s="73"/>
      <c r="AM10" s="89"/>
      <c r="AN10" s="73"/>
    </row>
    <row r="11" spans="1:41" s="28" customFormat="1" ht="30" customHeight="1">
      <c r="A11" s="25">
        <v>1</v>
      </c>
      <c r="B11" s="26"/>
      <c r="C11" s="26"/>
      <c r="D11" s="27"/>
      <c r="E11" s="20"/>
      <c r="F11" s="20"/>
      <c r="G11" s="20"/>
      <c r="H11" s="20"/>
      <c r="I11" s="20"/>
      <c r="J11" s="20"/>
      <c r="K11" s="21">
        <f t="shared" si="0"/>
        <v>0</v>
      </c>
      <c r="L11" s="20"/>
      <c r="M11" s="67"/>
      <c r="N11" s="67"/>
      <c r="O11" s="67"/>
      <c r="P11" s="67"/>
      <c r="Q11" s="67"/>
      <c r="R11" s="67"/>
      <c r="S11" s="67"/>
      <c r="T11" s="67"/>
      <c r="U11" s="20"/>
      <c r="V11" s="20"/>
      <c r="W11" s="20"/>
      <c r="X11" s="20"/>
      <c r="Y11" s="20"/>
      <c r="Z11" s="20"/>
      <c r="AA11" s="20"/>
      <c r="AB11" s="140">
        <f t="shared" si="3"/>
        <v>0</v>
      </c>
      <c r="AC11" s="143"/>
      <c r="AD11" s="73"/>
      <c r="AE11" s="136"/>
      <c r="AF11" s="73"/>
      <c r="AG11" s="86"/>
      <c r="AH11" s="73"/>
      <c r="AI11" s="167"/>
      <c r="AJ11" s="73"/>
      <c r="AK11" s="177"/>
      <c r="AL11" s="73"/>
      <c r="AM11" s="89"/>
      <c r="AN11" s="73"/>
    </row>
    <row r="12" spans="1:41" s="28" customFormat="1" ht="30" customHeight="1">
      <c r="A12" s="25">
        <v>1</v>
      </c>
      <c r="B12" s="26"/>
      <c r="C12" s="26"/>
      <c r="D12" s="27"/>
      <c r="E12" s="20"/>
      <c r="F12" s="20"/>
      <c r="G12" s="20"/>
      <c r="H12" s="20"/>
      <c r="I12" s="20"/>
      <c r="J12" s="20"/>
      <c r="K12" s="21">
        <f t="shared" si="0"/>
        <v>0</v>
      </c>
      <c r="L12" s="20"/>
      <c r="M12" s="67"/>
      <c r="N12" s="67"/>
      <c r="O12" s="67"/>
      <c r="P12" s="67"/>
      <c r="Q12" s="67"/>
      <c r="R12" s="67"/>
      <c r="S12" s="67"/>
      <c r="T12" s="67"/>
      <c r="U12" s="20"/>
      <c r="V12" s="20"/>
      <c r="W12" s="20"/>
      <c r="X12" s="20"/>
      <c r="Y12" s="20"/>
      <c r="Z12" s="20"/>
      <c r="AA12" s="20"/>
      <c r="AB12" s="140">
        <f t="shared" si="1"/>
        <v>0</v>
      </c>
      <c r="AC12" s="143"/>
      <c r="AD12" s="73"/>
      <c r="AE12" s="136"/>
      <c r="AF12" s="73"/>
      <c r="AG12" s="86"/>
      <c r="AH12" s="73"/>
      <c r="AI12" s="167"/>
      <c r="AJ12" s="73"/>
      <c r="AK12" s="177"/>
      <c r="AL12" s="73"/>
      <c r="AM12" s="89"/>
      <c r="AN12" s="73"/>
    </row>
    <row r="13" spans="1:41" s="28" customFormat="1" ht="30" customHeight="1">
      <c r="A13" s="25">
        <v>1</v>
      </c>
      <c r="B13" s="26"/>
      <c r="C13" s="26"/>
      <c r="D13" s="27"/>
      <c r="E13" s="20"/>
      <c r="F13" s="20"/>
      <c r="G13" s="20"/>
      <c r="H13" s="20"/>
      <c r="I13" s="20"/>
      <c r="J13" s="20"/>
      <c r="K13" s="21">
        <f t="shared" si="0"/>
        <v>0</v>
      </c>
      <c r="L13" s="20"/>
      <c r="M13" s="67"/>
      <c r="N13" s="67"/>
      <c r="O13" s="67"/>
      <c r="P13" s="67"/>
      <c r="Q13" s="67"/>
      <c r="R13" s="67"/>
      <c r="S13" s="67"/>
      <c r="T13" s="67"/>
      <c r="U13" s="20"/>
      <c r="V13" s="20"/>
      <c r="W13" s="20"/>
      <c r="X13" s="20"/>
      <c r="Y13" s="20"/>
      <c r="Z13" s="20"/>
      <c r="AA13" s="20"/>
      <c r="AB13" s="140">
        <f t="shared" ref="AB13" si="4">M13+N13+O13+P13+Q13+R13</f>
        <v>0</v>
      </c>
      <c r="AC13" s="143"/>
      <c r="AD13" s="73"/>
      <c r="AE13" s="136"/>
      <c r="AF13" s="73"/>
      <c r="AG13" s="86"/>
      <c r="AH13" s="73"/>
      <c r="AI13" s="167"/>
      <c r="AJ13" s="73"/>
      <c r="AK13" s="177"/>
      <c r="AL13" s="73"/>
      <c r="AM13" s="89"/>
      <c r="AN13" s="73"/>
    </row>
    <row r="14" spans="1:41" s="28" customFormat="1" ht="37.5" customHeight="1">
      <c r="A14" s="29" t="s">
        <v>11</v>
      </c>
      <c r="B14" s="30"/>
      <c r="C14" s="30"/>
      <c r="D14" s="30"/>
      <c r="E14" s="24">
        <f t="shared" ref="E14:AA14" si="5">SUM(E6:E13)</f>
        <v>0</v>
      </c>
      <c r="F14" s="24">
        <f t="shared" si="5"/>
        <v>0</v>
      </c>
      <c r="G14" s="24">
        <f t="shared" si="5"/>
        <v>0</v>
      </c>
      <c r="H14" s="24">
        <f t="shared" si="5"/>
        <v>0</v>
      </c>
      <c r="I14" s="24">
        <f t="shared" si="5"/>
        <v>0</v>
      </c>
      <c r="J14" s="24">
        <f t="shared" si="5"/>
        <v>0</v>
      </c>
      <c r="K14" s="24">
        <f t="shared" si="5"/>
        <v>0</v>
      </c>
      <c r="L14" s="24">
        <f t="shared" si="5"/>
        <v>0</v>
      </c>
      <c r="M14" s="24">
        <f t="shared" si="5"/>
        <v>0</v>
      </c>
      <c r="N14" s="24">
        <f t="shared" si="5"/>
        <v>0</v>
      </c>
      <c r="O14" s="24">
        <f t="shared" si="5"/>
        <v>0</v>
      </c>
      <c r="P14" s="24">
        <f t="shared" si="5"/>
        <v>0</v>
      </c>
      <c r="Q14" s="24">
        <f t="shared" si="5"/>
        <v>0</v>
      </c>
      <c r="R14" s="24">
        <f t="shared" si="5"/>
        <v>0</v>
      </c>
      <c r="S14" s="24">
        <f t="shared" si="5"/>
        <v>0</v>
      </c>
      <c r="T14" s="24">
        <f t="shared" si="5"/>
        <v>0</v>
      </c>
      <c r="U14" s="24">
        <f t="shared" si="5"/>
        <v>0</v>
      </c>
      <c r="V14" s="24">
        <f t="shared" si="5"/>
        <v>0</v>
      </c>
      <c r="W14" s="24">
        <f t="shared" si="5"/>
        <v>0</v>
      </c>
      <c r="X14" s="24">
        <f t="shared" si="5"/>
        <v>0</v>
      </c>
      <c r="Y14" s="24">
        <f t="shared" si="5"/>
        <v>0</v>
      </c>
      <c r="Z14" s="24">
        <f t="shared" si="5"/>
        <v>0</v>
      </c>
      <c r="AA14" s="24">
        <f t="shared" si="5"/>
        <v>0</v>
      </c>
      <c r="AB14" s="141"/>
      <c r="AC14" s="174">
        <f>SUM(AC6:AC13)</f>
        <v>0</v>
      </c>
      <c r="AD14" s="174">
        <f t="shared" ref="AD14:AN14" si="6">SUM(AD6:AD13)</f>
        <v>0</v>
      </c>
      <c r="AE14" s="174">
        <f t="shared" si="6"/>
        <v>0</v>
      </c>
      <c r="AF14" s="174">
        <f t="shared" si="6"/>
        <v>0</v>
      </c>
      <c r="AG14" s="174">
        <f t="shared" si="6"/>
        <v>0</v>
      </c>
      <c r="AH14" s="174">
        <f t="shared" si="6"/>
        <v>0</v>
      </c>
      <c r="AI14" s="174">
        <f t="shared" si="6"/>
        <v>0</v>
      </c>
      <c r="AJ14" s="174">
        <f t="shared" si="6"/>
        <v>0</v>
      </c>
      <c r="AK14" s="174">
        <f t="shared" si="6"/>
        <v>0</v>
      </c>
      <c r="AL14" s="174">
        <f t="shared" si="6"/>
        <v>0</v>
      </c>
      <c r="AM14" s="174">
        <f t="shared" si="6"/>
        <v>0</v>
      </c>
      <c r="AN14" s="174">
        <f t="shared" si="6"/>
        <v>0</v>
      </c>
    </row>
    <row r="15" spans="1:41" s="28" customFormat="1" ht="29.25" customHeight="1">
      <c r="A15" s="25">
        <v>2</v>
      </c>
      <c r="B15" s="27"/>
      <c r="C15" s="27"/>
      <c r="D15" s="27"/>
      <c r="E15" s="21"/>
      <c r="F15" s="21"/>
      <c r="G15" s="21"/>
      <c r="H15" s="21"/>
      <c r="I15" s="21"/>
      <c r="J15" s="21"/>
      <c r="K15" s="21">
        <f t="shared" ref="K15:K21" si="7">L15*2.43</f>
        <v>0</v>
      </c>
      <c r="L15" s="21"/>
      <c r="M15" s="68"/>
      <c r="N15" s="67"/>
      <c r="O15" s="67"/>
      <c r="P15" s="67"/>
      <c r="Q15" s="67"/>
      <c r="R15" s="67"/>
      <c r="S15" s="67"/>
      <c r="T15" s="67"/>
      <c r="U15" s="21"/>
      <c r="V15" s="21"/>
      <c r="W15" s="21"/>
      <c r="X15" s="21"/>
      <c r="Y15" s="21"/>
      <c r="Z15" s="21"/>
      <c r="AA15" s="21"/>
      <c r="AB15" s="140">
        <f t="shared" ref="AB15:AB18" si="8">M15+N15+O15+P15+Q15+R15</f>
        <v>0</v>
      </c>
      <c r="AC15" s="143"/>
      <c r="AD15" s="73"/>
      <c r="AE15" s="136"/>
      <c r="AF15" s="73"/>
      <c r="AG15" s="86"/>
      <c r="AH15" s="73"/>
      <c r="AI15" s="167"/>
      <c r="AJ15" s="73"/>
      <c r="AK15" s="177"/>
      <c r="AL15" s="73"/>
      <c r="AM15" s="89"/>
      <c r="AN15" s="73"/>
    </row>
    <row r="16" spans="1:41" s="28" customFormat="1" ht="29.25" customHeight="1">
      <c r="A16" s="25">
        <v>2</v>
      </c>
      <c r="B16" s="27"/>
      <c r="C16" s="27"/>
      <c r="D16" s="27"/>
      <c r="E16" s="21"/>
      <c r="F16" s="21"/>
      <c r="G16" s="21"/>
      <c r="H16" s="21"/>
      <c r="I16" s="21"/>
      <c r="J16" s="21"/>
      <c r="K16" s="21">
        <f t="shared" ref="K16:K18" si="9">L16*2.43</f>
        <v>0</v>
      </c>
      <c r="L16" s="21"/>
      <c r="M16" s="68"/>
      <c r="N16" s="67"/>
      <c r="O16" s="67"/>
      <c r="P16" s="67"/>
      <c r="Q16" s="67"/>
      <c r="R16" s="67"/>
      <c r="S16" s="67"/>
      <c r="T16" s="67"/>
      <c r="U16" s="21"/>
      <c r="V16" s="21"/>
      <c r="W16" s="21"/>
      <c r="X16" s="21"/>
      <c r="Y16" s="21"/>
      <c r="Z16" s="21"/>
      <c r="AA16" s="21"/>
      <c r="AB16" s="140">
        <f t="shared" si="8"/>
        <v>0</v>
      </c>
      <c r="AC16" s="143"/>
      <c r="AD16" s="73"/>
      <c r="AE16" s="136"/>
      <c r="AF16" s="73"/>
      <c r="AG16" s="86"/>
      <c r="AH16" s="73"/>
      <c r="AI16" s="167"/>
      <c r="AJ16" s="73"/>
      <c r="AK16" s="177"/>
      <c r="AL16" s="73"/>
      <c r="AM16" s="89"/>
      <c r="AN16" s="73"/>
    </row>
    <row r="17" spans="1:43" s="28" customFormat="1" ht="29.25" customHeight="1">
      <c r="A17" s="25">
        <v>2</v>
      </c>
      <c r="C17" s="27"/>
      <c r="D17" s="27"/>
      <c r="E17" s="21"/>
      <c r="F17" s="21"/>
      <c r="G17" s="21"/>
      <c r="H17" s="21"/>
      <c r="I17" s="21"/>
      <c r="J17" s="21"/>
      <c r="K17" s="21">
        <f t="shared" si="9"/>
        <v>0</v>
      </c>
      <c r="L17" s="21"/>
      <c r="M17" s="67"/>
      <c r="N17" s="68"/>
      <c r="O17" s="67"/>
      <c r="P17" s="67"/>
      <c r="Q17" s="67"/>
      <c r="R17" s="67"/>
      <c r="S17" s="67"/>
      <c r="T17" s="67"/>
      <c r="U17" s="21"/>
      <c r="V17" s="21"/>
      <c r="W17" s="21"/>
      <c r="X17" s="21"/>
      <c r="Y17" s="21"/>
      <c r="Z17" s="21"/>
      <c r="AA17" s="21"/>
      <c r="AB17" s="140">
        <f t="shared" si="8"/>
        <v>0</v>
      </c>
      <c r="AC17" s="143"/>
      <c r="AD17" s="73"/>
      <c r="AE17" s="136"/>
      <c r="AF17" s="73"/>
      <c r="AG17" s="86"/>
      <c r="AH17" s="73"/>
      <c r="AI17" s="167"/>
      <c r="AJ17" s="73"/>
      <c r="AK17" s="177"/>
      <c r="AL17" s="73"/>
      <c r="AM17" s="89"/>
      <c r="AN17" s="73"/>
    </row>
    <row r="18" spans="1:43" s="28" customFormat="1" ht="29.25" customHeight="1">
      <c r="A18" s="25">
        <v>2</v>
      </c>
      <c r="B18" s="27"/>
      <c r="C18" s="27"/>
      <c r="D18" s="27"/>
      <c r="E18" s="21"/>
      <c r="F18" s="21"/>
      <c r="G18" s="21"/>
      <c r="H18" s="21"/>
      <c r="I18" s="21"/>
      <c r="J18" s="21"/>
      <c r="K18" s="21">
        <f t="shared" si="9"/>
        <v>0</v>
      </c>
      <c r="L18" s="21"/>
      <c r="M18" s="67"/>
      <c r="N18" s="68"/>
      <c r="O18" s="67"/>
      <c r="P18" s="67"/>
      <c r="Q18" s="67"/>
      <c r="R18" s="67"/>
      <c r="S18" s="67"/>
      <c r="T18" s="67"/>
      <c r="U18" s="21"/>
      <c r="V18" s="21"/>
      <c r="W18" s="21"/>
      <c r="X18" s="21"/>
      <c r="Y18" s="21"/>
      <c r="Z18" s="21"/>
      <c r="AA18" s="21"/>
      <c r="AB18" s="140">
        <f t="shared" si="8"/>
        <v>0</v>
      </c>
      <c r="AC18" s="143"/>
      <c r="AD18" s="73"/>
      <c r="AE18" s="136"/>
      <c r="AF18" s="73"/>
      <c r="AG18" s="86"/>
      <c r="AH18" s="73"/>
      <c r="AI18" s="167"/>
      <c r="AJ18" s="73"/>
      <c r="AK18" s="177"/>
      <c r="AL18" s="73"/>
      <c r="AM18" s="89"/>
      <c r="AN18" s="73"/>
    </row>
    <row r="19" spans="1:43" s="28" customFormat="1" ht="29.25" customHeight="1">
      <c r="A19" s="25">
        <v>2</v>
      </c>
      <c r="B19" s="27"/>
      <c r="C19" s="27"/>
      <c r="D19" s="27"/>
      <c r="E19" s="21"/>
      <c r="F19" s="21"/>
      <c r="G19" s="21"/>
      <c r="H19" s="21"/>
      <c r="I19" s="21"/>
      <c r="J19" s="21"/>
      <c r="K19" s="21">
        <f t="shared" si="7"/>
        <v>0</v>
      </c>
      <c r="L19" s="21"/>
      <c r="M19" s="68"/>
      <c r="N19" s="67"/>
      <c r="O19" s="67"/>
      <c r="P19" s="67"/>
      <c r="Q19" s="67"/>
      <c r="R19" s="67"/>
      <c r="S19" s="67"/>
      <c r="T19" s="67"/>
      <c r="U19" s="21"/>
      <c r="V19" s="21"/>
      <c r="W19" s="21"/>
      <c r="X19" s="21"/>
      <c r="Y19" s="21"/>
      <c r="Z19" s="21"/>
      <c r="AA19" s="21"/>
      <c r="AB19" s="140">
        <f t="shared" ref="AB19:AB30" si="10">M19+N19+O19+P19+Q19+R19</f>
        <v>0</v>
      </c>
      <c r="AC19" s="143"/>
      <c r="AD19" s="73"/>
      <c r="AE19" s="136"/>
      <c r="AF19" s="73"/>
      <c r="AG19" s="86"/>
      <c r="AH19" s="73"/>
      <c r="AI19" s="167"/>
      <c r="AJ19" s="73"/>
      <c r="AK19" s="177"/>
      <c r="AL19" s="73"/>
      <c r="AM19" s="89"/>
      <c r="AN19" s="73"/>
    </row>
    <row r="20" spans="1:43" s="28" customFormat="1" ht="29.25" customHeight="1">
      <c r="A20" s="25">
        <v>2</v>
      </c>
      <c r="C20" s="27"/>
      <c r="D20" s="27"/>
      <c r="E20" s="21"/>
      <c r="F20" s="21"/>
      <c r="G20" s="21"/>
      <c r="H20" s="21"/>
      <c r="I20" s="21"/>
      <c r="J20" s="21"/>
      <c r="K20" s="21">
        <f t="shared" si="7"/>
        <v>0</v>
      </c>
      <c r="L20" s="21"/>
      <c r="M20" s="67"/>
      <c r="N20" s="68"/>
      <c r="O20" s="67"/>
      <c r="P20" s="67"/>
      <c r="Q20" s="67"/>
      <c r="R20" s="67"/>
      <c r="S20" s="67"/>
      <c r="T20" s="67"/>
      <c r="U20" s="21"/>
      <c r="V20" s="21"/>
      <c r="W20" s="21"/>
      <c r="X20" s="21"/>
      <c r="Y20" s="21"/>
      <c r="Z20" s="21"/>
      <c r="AA20" s="21"/>
      <c r="AB20" s="140">
        <f t="shared" si="10"/>
        <v>0</v>
      </c>
      <c r="AC20" s="143"/>
      <c r="AD20" s="73"/>
      <c r="AE20" s="136"/>
      <c r="AF20" s="73"/>
      <c r="AG20" s="86"/>
      <c r="AH20" s="73"/>
      <c r="AI20" s="167"/>
      <c r="AJ20" s="73"/>
      <c r="AK20" s="177"/>
      <c r="AL20" s="73"/>
      <c r="AM20" s="89"/>
      <c r="AN20" s="73"/>
    </row>
    <row r="21" spans="1:43" s="28" customFormat="1" ht="29.25" customHeight="1">
      <c r="A21" s="25">
        <v>2</v>
      </c>
      <c r="B21" s="27"/>
      <c r="C21" s="27"/>
      <c r="D21" s="27"/>
      <c r="E21" s="21"/>
      <c r="F21" s="21"/>
      <c r="G21" s="21"/>
      <c r="H21" s="21"/>
      <c r="I21" s="21"/>
      <c r="J21" s="21"/>
      <c r="K21" s="21">
        <f t="shared" si="7"/>
        <v>0</v>
      </c>
      <c r="L21" s="21"/>
      <c r="M21" s="67"/>
      <c r="N21" s="68"/>
      <c r="O21" s="67"/>
      <c r="P21" s="67"/>
      <c r="Q21" s="67"/>
      <c r="R21" s="67"/>
      <c r="S21" s="67"/>
      <c r="T21" s="67"/>
      <c r="U21" s="21"/>
      <c r="V21" s="21"/>
      <c r="W21" s="21"/>
      <c r="X21" s="21"/>
      <c r="Y21" s="21"/>
      <c r="Z21" s="21"/>
      <c r="AA21" s="21"/>
      <c r="AB21" s="140">
        <f t="shared" si="10"/>
        <v>0</v>
      </c>
      <c r="AC21" s="143"/>
      <c r="AD21" s="73"/>
      <c r="AE21" s="136"/>
      <c r="AF21" s="73"/>
      <c r="AG21" s="86"/>
      <c r="AH21" s="73"/>
      <c r="AI21" s="167"/>
      <c r="AJ21" s="73"/>
      <c r="AK21" s="177"/>
      <c r="AL21" s="73"/>
      <c r="AM21" s="89"/>
      <c r="AN21" s="73"/>
    </row>
    <row r="22" spans="1:43" s="28" customFormat="1" ht="37.5" customHeight="1" thickBot="1">
      <c r="A22" s="29" t="s">
        <v>11</v>
      </c>
      <c r="B22" s="30"/>
      <c r="C22" s="30"/>
      <c r="D22" s="30"/>
      <c r="E22" s="24">
        <f t="shared" ref="E22:AA22" si="11">SUM(E15:E21)</f>
        <v>0</v>
      </c>
      <c r="F22" s="24">
        <f t="shared" si="11"/>
        <v>0</v>
      </c>
      <c r="G22" s="24">
        <f t="shared" si="11"/>
        <v>0</v>
      </c>
      <c r="H22" s="24">
        <f t="shared" si="11"/>
        <v>0</v>
      </c>
      <c r="I22" s="24">
        <f t="shared" si="11"/>
        <v>0</v>
      </c>
      <c r="J22" s="24">
        <f t="shared" si="11"/>
        <v>0</v>
      </c>
      <c r="K22" s="24">
        <f t="shared" si="11"/>
        <v>0</v>
      </c>
      <c r="L22" s="24">
        <f t="shared" si="11"/>
        <v>0</v>
      </c>
      <c r="M22" s="24">
        <f t="shared" si="11"/>
        <v>0</v>
      </c>
      <c r="N22" s="24">
        <f t="shared" si="11"/>
        <v>0</v>
      </c>
      <c r="O22" s="24">
        <f t="shared" si="11"/>
        <v>0</v>
      </c>
      <c r="P22" s="24">
        <f t="shared" si="11"/>
        <v>0</v>
      </c>
      <c r="Q22" s="24">
        <f t="shared" si="11"/>
        <v>0</v>
      </c>
      <c r="R22" s="24">
        <f t="shared" si="11"/>
        <v>0</v>
      </c>
      <c r="S22" s="24">
        <f t="shared" si="11"/>
        <v>0</v>
      </c>
      <c r="T22" s="24">
        <f t="shared" si="11"/>
        <v>0</v>
      </c>
      <c r="U22" s="24">
        <f t="shared" si="11"/>
        <v>0</v>
      </c>
      <c r="V22" s="24">
        <f t="shared" si="11"/>
        <v>0</v>
      </c>
      <c r="W22" s="24">
        <f t="shared" si="11"/>
        <v>0</v>
      </c>
      <c r="X22" s="24">
        <f t="shared" si="11"/>
        <v>0</v>
      </c>
      <c r="Y22" s="24">
        <f t="shared" si="11"/>
        <v>0</v>
      </c>
      <c r="Z22" s="24">
        <f t="shared" si="11"/>
        <v>0</v>
      </c>
      <c r="AA22" s="24">
        <f t="shared" si="11"/>
        <v>0</v>
      </c>
      <c r="AB22" s="141"/>
      <c r="AC22" s="174">
        <f>SUM(AC15:AC21)</f>
        <v>0</v>
      </c>
      <c r="AD22" s="170">
        <f t="shared" ref="AD22:AN22" si="12">SUM(AD15:AD21)</f>
        <v>0</v>
      </c>
      <c r="AE22" s="170">
        <f t="shared" si="12"/>
        <v>0</v>
      </c>
      <c r="AF22" s="170">
        <f t="shared" si="12"/>
        <v>0</v>
      </c>
      <c r="AG22" s="170">
        <f t="shared" si="12"/>
        <v>0</v>
      </c>
      <c r="AH22" s="170">
        <f t="shared" si="12"/>
        <v>0</v>
      </c>
      <c r="AI22" s="170">
        <f t="shared" si="12"/>
        <v>0</v>
      </c>
      <c r="AJ22" s="170">
        <f t="shared" si="12"/>
        <v>0</v>
      </c>
      <c r="AK22" s="170">
        <f t="shared" si="12"/>
        <v>0</v>
      </c>
      <c r="AL22" s="170">
        <f t="shared" si="12"/>
        <v>0</v>
      </c>
      <c r="AM22" s="170">
        <f t="shared" si="12"/>
        <v>0</v>
      </c>
      <c r="AN22" s="170">
        <f t="shared" si="12"/>
        <v>0</v>
      </c>
    </row>
    <row r="23" spans="1:43" s="28" customFormat="1" ht="29.25" customHeight="1">
      <c r="A23" s="25">
        <v>3</v>
      </c>
      <c r="B23" s="27"/>
      <c r="C23" s="27"/>
      <c r="D23" s="27"/>
      <c r="E23" s="21"/>
      <c r="F23" s="21"/>
      <c r="G23" s="21"/>
      <c r="H23" s="21"/>
      <c r="I23" s="21"/>
      <c r="J23" s="21"/>
      <c r="K23" s="21">
        <f t="shared" ref="K23:K31" si="13">L23*2.43</f>
        <v>0</v>
      </c>
      <c r="L23" s="21"/>
      <c r="M23" s="67"/>
      <c r="N23" s="67"/>
      <c r="O23" s="67"/>
      <c r="P23" s="67"/>
      <c r="Q23" s="67"/>
      <c r="R23" s="67"/>
      <c r="S23" s="67"/>
      <c r="T23" s="67"/>
      <c r="U23" s="21"/>
      <c r="V23" s="21"/>
      <c r="W23" s="21"/>
      <c r="X23" s="21"/>
      <c r="Y23" s="21"/>
      <c r="Z23" s="21"/>
      <c r="AA23" s="110"/>
      <c r="AB23" s="142">
        <f t="shared" si="10"/>
        <v>0</v>
      </c>
      <c r="AC23" s="134"/>
      <c r="AD23" s="71"/>
      <c r="AE23" s="137"/>
      <c r="AF23" s="71"/>
      <c r="AG23" s="85"/>
      <c r="AH23" s="71"/>
      <c r="AI23" s="165"/>
      <c r="AJ23" s="71"/>
      <c r="AK23" s="176"/>
      <c r="AL23" s="71"/>
      <c r="AM23" s="88"/>
      <c r="AN23" s="71"/>
    </row>
    <row r="24" spans="1:43" s="28" customFormat="1" ht="29.25" customHeight="1">
      <c r="A24" s="25">
        <v>3</v>
      </c>
      <c r="B24" s="27"/>
      <c r="C24" s="32"/>
      <c r="D24" s="32"/>
      <c r="E24" s="21"/>
      <c r="F24" s="21"/>
      <c r="G24" s="21"/>
      <c r="H24" s="21"/>
      <c r="I24" s="21"/>
      <c r="J24" s="21"/>
      <c r="K24" s="21">
        <f t="shared" ref="K24:K27" si="14">L24*2.43</f>
        <v>0</v>
      </c>
      <c r="L24" s="21"/>
      <c r="M24" s="67"/>
      <c r="N24" s="67"/>
      <c r="O24" s="67"/>
      <c r="P24" s="67"/>
      <c r="Q24" s="67"/>
      <c r="R24" s="67"/>
      <c r="S24" s="67"/>
      <c r="T24" s="67"/>
      <c r="U24" s="21"/>
      <c r="V24" s="21"/>
      <c r="W24" s="21"/>
      <c r="X24" s="21"/>
      <c r="Y24" s="21"/>
      <c r="Z24" s="21"/>
      <c r="AA24" s="110"/>
      <c r="AB24" s="142">
        <f t="shared" si="10"/>
        <v>0</v>
      </c>
      <c r="AC24" s="135"/>
      <c r="AD24" s="108"/>
      <c r="AE24" s="138"/>
      <c r="AF24" s="108"/>
      <c r="AG24" s="169"/>
      <c r="AH24" s="108"/>
      <c r="AI24" s="166"/>
      <c r="AJ24" s="108"/>
      <c r="AK24" s="179"/>
      <c r="AL24" s="108"/>
      <c r="AM24" s="109"/>
      <c r="AN24" s="108"/>
    </row>
    <row r="25" spans="1:43" s="28" customFormat="1" ht="29.25" customHeight="1">
      <c r="A25" s="25">
        <v>3</v>
      </c>
      <c r="B25" s="27"/>
      <c r="C25" s="32"/>
      <c r="D25" s="32"/>
      <c r="E25" s="21"/>
      <c r="F25" s="21"/>
      <c r="G25" s="21"/>
      <c r="H25" s="21"/>
      <c r="I25" s="21"/>
      <c r="J25" s="21"/>
      <c r="K25" s="21">
        <f t="shared" si="14"/>
        <v>0</v>
      </c>
      <c r="L25" s="21"/>
      <c r="M25" s="67"/>
      <c r="N25" s="67"/>
      <c r="O25" s="67"/>
      <c r="P25" s="67"/>
      <c r="Q25" s="67"/>
      <c r="R25" s="67"/>
      <c r="S25" s="67"/>
      <c r="T25" s="67"/>
      <c r="U25" s="21"/>
      <c r="V25" s="21"/>
      <c r="W25" s="21"/>
      <c r="X25" s="21"/>
      <c r="Y25" s="21"/>
      <c r="Z25" s="21"/>
      <c r="AA25" s="110"/>
      <c r="AB25" s="142">
        <f t="shared" si="10"/>
        <v>0</v>
      </c>
      <c r="AC25" s="135"/>
      <c r="AD25" s="108"/>
      <c r="AE25" s="138"/>
      <c r="AF25" s="108"/>
      <c r="AG25" s="169"/>
      <c r="AH25" s="108"/>
      <c r="AI25" s="166"/>
      <c r="AJ25" s="108"/>
      <c r="AK25" s="179"/>
      <c r="AL25" s="108"/>
      <c r="AM25" s="109"/>
      <c r="AN25" s="108"/>
    </row>
    <row r="26" spans="1:43" s="28" customFormat="1" ht="29.25" customHeight="1">
      <c r="A26" s="25">
        <v>3</v>
      </c>
      <c r="B26" s="27"/>
      <c r="C26" s="32"/>
      <c r="D26" s="32"/>
      <c r="E26" s="21"/>
      <c r="F26" s="21"/>
      <c r="G26" s="21"/>
      <c r="H26" s="21"/>
      <c r="I26" s="21"/>
      <c r="J26" s="21"/>
      <c r="K26" s="21">
        <f t="shared" si="14"/>
        <v>0</v>
      </c>
      <c r="L26" s="21"/>
      <c r="M26" s="67"/>
      <c r="N26" s="67"/>
      <c r="O26" s="67"/>
      <c r="P26" s="67"/>
      <c r="Q26" s="67"/>
      <c r="R26" s="67"/>
      <c r="S26" s="67"/>
      <c r="T26" s="67"/>
      <c r="U26" s="21"/>
      <c r="V26" s="21"/>
      <c r="W26" s="21"/>
      <c r="X26" s="21"/>
      <c r="Y26" s="21"/>
      <c r="Z26" s="21"/>
      <c r="AA26" s="110"/>
      <c r="AB26" s="142">
        <f t="shared" ref="AB26:AB27" si="15">M26+N26+O26+P26+Q26+R26</f>
        <v>0</v>
      </c>
      <c r="AC26" s="135"/>
      <c r="AD26" s="108"/>
      <c r="AE26" s="138"/>
      <c r="AF26" s="108"/>
      <c r="AG26" s="169"/>
      <c r="AH26" s="108"/>
      <c r="AI26" s="166"/>
      <c r="AJ26" s="108"/>
      <c r="AK26" s="179"/>
      <c r="AL26" s="108"/>
      <c r="AM26" s="109"/>
      <c r="AN26" s="108"/>
    </row>
    <row r="27" spans="1:43" s="28" customFormat="1" ht="29.25" customHeight="1">
      <c r="A27" s="25">
        <v>3</v>
      </c>
      <c r="B27" s="27"/>
      <c r="C27" s="32"/>
      <c r="D27" s="32"/>
      <c r="E27" s="21"/>
      <c r="F27" s="21"/>
      <c r="G27" s="21"/>
      <c r="H27" s="21"/>
      <c r="I27" s="21"/>
      <c r="J27" s="21"/>
      <c r="K27" s="21">
        <f t="shared" si="14"/>
        <v>0</v>
      </c>
      <c r="L27" s="21"/>
      <c r="M27" s="67"/>
      <c r="N27" s="67"/>
      <c r="O27" s="67"/>
      <c r="P27" s="67"/>
      <c r="Q27" s="67"/>
      <c r="R27" s="67"/>
      <c r="S27" s="67"/>
      <c r="T27" s="67"/>
      <c r="U27" s="21"/>
      <c r="V27" s="21"/>
      <c r="W27" s="21"/>
      <c r="X27" s="21"/>
      <c r="Y27" s="21"/>
      <c r="Z27" s="21"/>
      <c r="AA27" s="110"/>
      <c r="AB27" s="142">
        <f t="shared" si="15"/>
        <v>0</v>
      </c>
      <c r="AC27" s="135"/>
      <c r="AD27" s="108"/>
      <c r="AE27" s="138"/>
      <c r="AF27" s="108"/>
      <c r="AG27" s="169"/>
      <c r="AH27" s="108"/>
      <c r="AI27" s="166"/>
      <c r="AJ27" s="108"/>
      <c r="AK27" s="179"/>
      <c r="AL27" s="108"/>
      <c r="AM27" s="109"/>
      <c r="AN27" s="108"/>
    </row>
    <row r="28" spans="1:43" s="28" customFormat="1" ht="29.25" customHeight="1">
      <c r="A28" s="25">
        <v>3</v>
      </c>
      <c r="B28" s="27"/>
      <c r="C28" s="32"/>
      <c r="D28" s="32"/>
      <c r="E28" s="21"/>
      <c r="F28" s="21"/>
      <c r="G28" s="21"/>
      <c r="H28" s="21"/>
      <c r="I28" s="21"/>
      <c r="J28" s="21"/>
      <c r="K28" s="21">
        <f t="shared" si="13"/>
        <v>0</v>
      </c>
      <c r="L28" s="21"/>
      <c r="M28" s="67"/>
      <c r="N28" s="67"/>
      <c r="O28" s="67"/>
      <c r="P28" s="67"/>
      <c r="Q28" s="67"/>
      <c r="R28" s="67"/>
      <c r="S28" s="67"/>
      <c r="T28" s="67"/>
      <c r="U28" s="21"/>
      <c r="V28" s="21"/>
      <c r="W28" s="21"/>
      <c r="X28" s="21"/>
      <c r="Y28" s="21"/>
      <c r="Z28" s="21"/>
      <c r="AA28" s="110"/>
      <c r="AB28" s="142">
        <f t="shared" ref="AB28:AB29" si="16">M28+N28+O28+P28+Q28+R28</f>
        <v>0</v>
      </c>
      <c r="AC28" s="135"/>
      <c r="AD28" s="108"/>
      <c r="AE28" s="138"/>
      <c r="AF28" s="108"/>
      <c r="AG28" s="169"/>
      <c r="AH28" s="108"/>
      <c r="AI28" s="166"/>
      <c r="AJ28" s="108"/>
      <c r="AK28" s="179"/>
      <c r="AL28" s="108"/>
      <c r="AM28" s="109"/>
      <c r="AN28" s="108"/>
    </row>
    <row r="29" spans="1:43" s="28" customFormat="1" ht="29.25" customHeight="1">
      <c r="A29" s="25">
        <v>3</v>
      </c>
      <c r="B29" s="27"/>
      <c r="C29" s="32"/>
      <c r="D29" s="32"/>
      <c r="E29" s="21"/>
      <c r="F29" s="21"/>
      <c r="G29" s="21"/>
      <c r="H29" s="21"/>
      <c r="I29" s="21"/>
      <c r="J29" s="21"/>
      <c r="K29" s="21">
        <f t="shared" ref="K29" si="17">L29*2.43</f>
        <v>0</v>
      </c>
      <c r="L29" s="21"/>
      <c r="M29" s="67"/>
      <c r="N29" s="67"/>
      <c r="O29" s="67"/>
      <c r="P29" s="67"/>
      <c r="Q29" s="67"/>
      <c r="R29" s="67"/>
      <c r="S29" s="67"/>
      <c r="T29" s="67"/>
      <c r="U29" s="21"/>
      <c r="V29" s="21"/>
      <c r="W29" s="21"/>
      <c r="X29" s="21"/>
      <c r="Y29" s="21"/>
      <c r="Z29" s="21"/>
      <c r="AA29" s="110"/>
      <c r="AB29" s="142">
        <f t="shared" si="16"/>
        <v>0</v>
      </c>
      <c r="AC29" s="135"/>
      <c r="AD29" s="108"/>
      <c r="AE29" s="138"/>
      <c r="AF29" s="108"/>
      <c r="AG29" s="169"/>
      <c r="AH29" s="108"/>
      <c r="AI29" s="166"/>
      <c r="AJ29" s="108"/>
      <c r="AK29" s="179"/>
      <c r="AL29" s="108"/>
      <c r="AM29" s="109"/>
      <c r="AN29" s="108"/>
    </row>
    <row r="30" spans="1:43" s="28" customFormat="1" ht="29.25" customHeight="1">
      <c r="A30" s="25">
        <v>3</v>
      </c>
      <c r="B30" s="27"/>
      <c r="C30" s="32"/>
      <c r="D30" s="32"/>
      <c r="E30" s="21"/>
      <c r="F30" s="21"/>
      <c r="G30" s="21"/>
      <c r="H30" s="21"/>
      <c r="I30" s="21"/>
      <c r="J30" s="21"/>
      <c r="K30" s="21">
        <f t="shared" ref="K30" si="18">L30*2.43</f>
        <v>0</v>
      </c>
      <c r="L30" s="21"/>
      <c r="M30" s="67"/>
      <c r="N30" s="67"/>
      <c r="O30" s="67"/>
      <c r="P30" s="67"/>
      <c r="Q30" s="67"/>
      <c r="R30" s="67"/>
      <c r="S30" s="67"/>
      <c r="T30" s="67"/>
      <c r="U30" s="21"/>
      <c r="V30" s="21"/>
      <c r="W30" s="21"/>
      <c r="X30" s="21"/>
      <c r="Y30" s="21"/>
      <c r="Z30" s="21"/>
      <c r="AA30" s="110"/>
      <c r="AB30" s="142">
        <f t="shared" si="10"/>
        <v>0</v>
      </c>
      <c r="AC30" s="135"/>
      <c r="AD30" s="108"/>
      <c r="AE30" s="138"/>
      <c r="AF30" s="108"/>
      <c r="AG30" s="169"/>
      <c r="AH30" s="108"/>
      <c r="AI30" s="166"/>
      <c r="AJ30" s="108"/>
      <c r="AK30" s="179"/>
      <c r="AL30" s="108"/>
      <c r="AM30" s="109"/>
      <c r="AN30" s="108"/>
    </row>
    <row r="31" spans="1:43" s="28" customFormat="1" ht="29.25" customHeight="1">
      <c r="A31" s="25">
        <v>3</v>
      </c>
      <c r="B31" s="27"/>
      <c r="C31" s="32"/>
      <c r="D31" s="32"/>
      <c r="E31" s="21"/>
      <c r="F31" s="21"/>
      <c r="G31" s="21"/>
      <c r="H31" s="21"/>
      <c r="I31" s="21"/>
      <c r="J31" s="21"/>
      <c r="K31" s="21">
        <f t="shared" si="13"/>
        <v>0</v>
      </c>
      <c r="L31" s="21"/>
      <c r="M31" s="67"/>
      <c r="N31" s="67"/>
      <c r="O31" s="67"/>
      <c r="P31" s="67"/>
      <c r="Q31" s="67"/>
      <c r="R31" s="67"/>
      <c r="S31" s="67"/>
      <c r="T31" s="67"/>
      <c r="U31" s="21"/>
      <c r="V31" s="21"/>
      <c r="W31" s="21"/>
      <c r="X31" s="21"/>
      <c r="Y31" s="21"/>
      <c r="Z31" s="21"/>
      <c r="AA31" s="110"/>
      <c r="AB31" s="142">
        <f t="shared" ref="AB31" si="19">M31+N31+O31+P31+Q31+R31</f>
        <v>0</v>
      </c>
      <c r="AC31" s="135"/>
      <c r="AD31" s="108"/>
      <c r="AE31" s="138"/>
      <c r="AF31" s="108"/>
      <c r="AG31" s="169"/>
      <c r="AH31" s="108"/>
      <c r="AI31" s="166"/>
      <c r="AJ31" s="108"/>
      <c r="AK31" s="179"/>
      <c r="AL31" s="108"/>
      <c r="AM31" s="109"/>
      <c r="AN31" s="108"/>
    </row>
    <row r="32" spans="1:43" s="28" customFormat="1" ht="30" customHeight="1" thickBot="1">
      <c r="A32" s="29" t="s">
        <v>11</v>
      </c>
      <c r="B32" s="30"/>
      <c r="C32" s="30"/>
      <c r="D32" s="30"/>
      <c r="E32" s="24">
        <f t="shared" ref="E32:AA32" si="20">SUM(E23:E31)</f>
        <v>0</v>
      </c>
      <c r="F32" s="24">
        <f t="shared" si="20"/>
        <v>0</v>
      </c>
      <c r="G32" s="24">
        <f t="shared" si="20"/>
        <v>0</v>
      </c>
      <c r="H32" s="24">
        <f t="shared" ref="H32" si="21">SUM(H23:H31)</f>
        <v>0</v>
      </c>
      <c r="I32" s="24">
        <f t="shared" si="20"/>
        <v>0</v>
      </c>
      <c r="J32" s="24">
        <f t="shared" si="20"/>
        <v>0</v>
      </c>
      <c r="K32" s="24">
        <f t="shared" si="20"/>
        <v>0</v>
      </c>
      <c r="L32" s="24">
        <f t="shared" si="20"/>
        <v>0</v>
      </c>
      <c r="M32" s="24">
        <f t="shared" si="20"/>
        <v>0</v>
      </c>
      <c r="N32" s="24">
        <f t="shared" si="20"/>
        <v>0</v>
      </c>
      <c r="O32" s="24">
        <f t="shared" si="20"/>
        <v>0</v>
      </c>
      <c r="P32" s="24">
        <f t="shared" si="20"/>
        <v>0</v>
      </c>
      <c r="Q32" s="24">
        <f t="shared" si="20"/>
        <v>0</v>
      </c>
      <c r="R32" s="24">
        <f t="shared" si="20"/>
        <v>0</v>
      </c>
      <c r="S32" s="24">
        <f t="shared" si="20"/>
        <v>0</v>
      </c>
      <c r="T32" s="24">
        <f t="shared" si="20"/>
        <v>0</v>
      </c>
      <c r="U32" s="24">
        <f t="shared" si="20"/>
        <v>0</v>
      </c>
      <c r="V32" s="24">
        <f t="shared" si="20"/>
        <v>0</v>
      </c>
      <c r="W32" s="24">
        <f t="shared" si="20"/>
        <v>0</v>
      </c>
      <c r="X32" s="24">
        <f t="shared" si="20"/>
        <v>0</v>
      </c>
      <c r="Y32" s="24">
        <f t="shared" si="20"/>
        <v>0</v>
      </c>
      <c r="Z32" s="24">
        <f t="shared" si="20"/>
        <v>0</v>
      </c>
      <c r="AA32" s="24">
        <f t="shared" si="20"/>
        <v>0</v>
      </c>
      <c r="AB32" s="151"/>
      <c r="AC32" s="30">
        <f>SUM(AC23:AC31)</f>
        <v>0</v>
      </c>
      <c r="AD32" s="30">
        <f t="shared" ref="AD32:AN32" si="22">SUM(AD23:AD31)</f>
        <v>0</v>
      </c>
      <c r="AE32" s="30">
        <f t="shared" si="22"/>
        <v>0</v>
      </c>
      <c r="AF32" s="30">
        <f t="shared" si="22"/>
        <v>0</v>
      </c>
      <c r="AG32" s="30">
        <f t="shared" si="22"/>
        <v>0</v>
      </c>
      <c r="AH32" s="30">
        <f t="shared" si="22"/>
        <v>0</v>
      </c>
      <c r="AI32" s="30">
        <f t="shared" si="22"/>
        <v>0</v>
      </c>
      <c r="AJ32" s="30">
        <f t="shared" si="22"/>
        <v>0</v>
      </c>
      <c r="AK32" s="30">
        <f t="shared" si="22"/>
        <v>0</v>
      </c>
      <c r="AL32" s="30">
        <f t="shared" si="22"/>
        <v>0</v>
      </c>
      <c r="AM32" s="30">
        <f t="shared" si="22"/>
        <v>0</v>
      </c>
      <c r="AN32" s="30">
        <f t="shared" si="22"/>
        <v>0</v>
      </c>
      <c r="AO32" s="33" t="s">
        <v>32</v>
      </c>
      <c r="AP32" s="34" t="s">
        <v>30</v>
      </c>
      <c r="AQ32" s="35" t="s">
        <v>31</v>
      </c>
    </row>
    <row r="33" spans="1:43" s="28" customFormat="1" ht="30" customHeight="1">
      <c r="B33" s="149"/>
      <c r="C33" s="149"/>
      <c r="D33" s="149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6"/>
      <c r="AO33" s="154" t="s">
        <v>33</v>
      </c>
      <c r="AP33" s="37">
        <f>AG34</f>
        <v>0</v>
      </c>
      <c r="AQ33" s="38">
        <f>AH34</f>
        <v>0</v>
      </c>
    </row>
    <row r="34" spans="1:43" s="28" customFormat="1" ht="30" customHeight="1">
      <c r="A34" s="184" t="s">
        <v>15</v>
      </c>
      <c r="B34" s="183"/>
      <c r="C34" s="183"/>
      <c r="D34" s="183"/>
      <c r="E34" s="185">
        <f t="shared" ref="E34:AA34" si="23">E32+E22+E14</f>
        <v>0</v>
      </c>
      <c r="F34" s="185">
        <f t="shared" si="23"/>
        <v>0</v>
      </c>
      <c r="G34" s="185">
        <f t="shared" si="23"/>
        <v>0</v>
      </c>
      <c r="H34" s="185">
        <f t="shared" ref="H34" si="24">H32+H22+H14</f>
        <v>0</v>
      </c>
      <c r="I34" s="185">
        <f t="shared" si="23"/>
        <v>0</v>
      </c>
      <c r="J34" s="185">
        <f t="shared" si="23"/>
        <v>0</v>
      </c>
      <c r="K34" s="186">
        <f t="shared" si="23"/>
        <v>0</v>
      </c>
      <c r="L34" s="185">
        <f t="shared" si="23"/>
        <v>0</v>
      </c>
      <c r="M34" s="185">
        <f t="shared" si="23"/>
        <v>0</v>
      </c>
      <c r="N34" s="185">
        <f t="shared" si="23"/>
        <v>0</v>
      </c>
      <c r="O34" s="185">
        <f t="shared" si="23"/>
        <v>0</v>
      </c>
      <c r="P34" s="185">
        <f t="shared" si="23"/>
        <v>0</v>
      </c>
      <c r="Q34" s="185">
        <f t="shared" si="23"/>
        <v>0</v>
      </c>
      <c r="R34" s="185">
        <f t="shared" si="23"/>
        <v>0</v>
      </c>
      <c r="S34" s="185">
        <f t="shared" si="23"/>
        <v>0</v>
      </c>
      <c r="T34" s="185">
        <f t="shared" si="23"/>
        <v>0</v>
      </c>
      <c r="U34" s="185">
        <f t="shared" si="23"/>
        <v>0</v>
      </c>
      <c r="V34" s="185">
        <f t="shared" si="23"/>
        <v>0</v>
      </c>
      <c r="W34" s="185">
        <f t="shared" si="23"/>
        <v>0</v>
      </c>
      <c r="X34" s="185">
        <f t="shared" si="23"/>
        <v>0</v>
      </c>
      <c r="Y34" s="185">
        <f t="shared" si="23"/>
        <v>0</v>
      </c>
      <c r="Z34" s="185">
        <f t="shared" si="23"/>
        <v>0</v>
      </c>
      <c r="AA34" s="185">
        <f t="shared" si="23"/>
        <v>0</v>
      </c>
      <c r="AB34" s="151"/>
      <c r="AC34" s="189">
        <f>AC32+AC22+AC14</f>
        <v>0</v>
      </c>
      <c r="AD34" s="189">
        <f t="shared" ref="AD34:AN34" si="25">AD32+AD22+AD14</f>
        <v>0</v>
      </c>
      <c r="AE34" s="189">
        <f t="shared" si="25"/>
        <v>0</v>
      </c>
      <c r="AF34" s="189">
        <f t="shared" si="25"/>
        <v>0</v>
      </c>
      <c r="AG34" s="189">
        <f t="shared" si="25"/>
        <v>0</v>
      </c>
      <c r="AH34" s="189">
        <f t="shared" si="25"/>
        <v>0</v>
      </c>
      <c r="AI34" s="189">
        <f t="shared" si="25"/>
        <v>0</v>
      </c>
      <c r="AJ34" s="189">
        <f t="shared" si="25"/>
        <v>0</v>
      </c>
      <c r="AK34" s="189">
        <f t="shared" si="25"/>
        <v>0</v>
      </c>
      <c r="AL34" s="189">
        <f t="shared" si="25"/>
        <v>0</v>
      </c>
      <c r="AM34" s="189">
        <f t="shared" si="25"/>
        <v>0</v>
      </c>
      <c r="AN34" s="189">
        <f t="shared" si="25"/>
        <v>0</v>
      </c>
      <c r="AO34" s="54" t="s">
        <v>26</v>
      </c>
      <c r="AP34" s="44">
        <f>AI34</f>
        <v>0</v>
      </c>
      <c r="AQ34" s="45">
        <f>AJ34</f>
        <v>0</v>
      </c>
    </row>
    <row r="35" spans="1:43" s="46" customFormat="1" ht="30" customHeight="1">
      <c r="B35" s="47"/>
      <c r="C35" s="157" t="s">
        <v>58</v>
      </c>
      <c r="D35" s="158"/>
      <c r="E35" s="159">
        <v>21.64</v>
      </c>
      <c r="F35" s="159">
        <v>26.83</v>
      </c>
      <c r="G35" s="160">
        <v>35.47</v>
      </c>
      <c r="H35" s="160">
        <v>26.67</v>
      </c>
      <c r="I35" s="159">
        <v>26.42</v>
      </c>
      <c r="J35" s="159">
        <v>85.25</v>
      </c>
      <c r="K35" s="159">
        <v>26.5</v>
      </c>
      <c r="L35" s="159">
        <v>28.5</v>
      </c>
      <c r="M35" s="159">
        <v>192.35</v>
      </c>
      <c r="N35" s="159">
        <v>198</v>
      </c>
      <c r="O35" s="159">
        <v>192</v>
      </c>
      <c r="P35" s="159">
        <v>192.35</v>
      </c>
      <c r="Q35" s="159">
        <v>198</v>
      </c>
      <c r="R35" s="159">
        <v>192</v>
      </c>
      <c r="S35" s="159">
        <v>359.83</v>
      </c>
      <c r="T35" s="159">
        <v>379.46</v>
      </c>
      <c r="U35" s="159">
        <v>35.200000000000003</v>
      </c>
      <c r="V35" s="159">
        <v>40.200000000000003</v>
      </c>
      <c r="W35" s="159">
        <v>36.4</v>
      </c>
      <c r="X35" s="159">
        <v>81.900000000000006</v>
      </c>
      <c r="Y35" s="159">
        <v>16.5</v>
      </c>
      <c r="Z35" s="159">
        <v>285</v>
      </c>
      <c r="AA35" s="159">
        <v>16.8</v>
      </c>
      <c r="AB35" s="48"/>
      <c r="AO35" s="54" t="s">
        <v>27</v>
      </c>
      <c r="AP35" s="44">
        <f>AK34</f>
        <v>0</v>
      </c>
      <c r="AQ35" s="45">
        <f>AL34</f>
        <v>0</v>
      </c>
    </row>
    <row r="36" spans="1:43" s="46" customFormat="1" ht="30" customHeight="1">
      <c r="A36" s="16"/>
      <c r="B36" s="17"/>
      <c r="C36" s="113" t="s">
        <v>53</v>
      </c>
      <c r="D36" s="27">
        <f>E36+F36+I36+J36+K36+L36+M36+N36+O36+P36+Q36+R36+U36+V36+W36+X36+Y36+Z36+AA36+G36+H36</f>
        <v>0</v>
      </c>
      <c r="E36" s="112">
        <f>E34*E35</f>
        <v>0</v>
      </c>
      <c r="F36" s="112">
        <f t="shared" ref="F36:AA36" si="26">F34*F35</f>
        <v>0</v>
      </c>
      <c r="G36" s="112">
        <f t="shared" si="26"/>
        <v>0</v>
      </c>
      <c r="H36" s="112">
        <f t="shared" si="26"/>
        <v>0</v>
      </c>
      <c r="I36" s="112">
        <f>I34*I35</f>
        <v>0</v>
      </c>
      <c r="J36" s="112">
        <f t="shared" si="26"/>
        <v>0</v>
      </c>
      <c r="K36" s="112">
        <f t="shared" si="26"/>
        <v>0</v>
      </c>
      <c r="L36" s="112">
        <f t="shared" si="26"/>
        <v>0</v>
      </c>
      <c r="M36" s="112">
        <f t="shared" si="26"/>
        <v>0</v>
      </c>
      <c r="N36" s="112">
        <f t="shared" si="26"/>
        <v>0</v>
      </c>
      <c r="O36" s="112">
        <f t="shared" si="26"/>
        <v>0</v>
      </c>
      <c r="P36" s="112">
        <f t="shared" si="26"/>
        <v>0</v>
      </c>
      <c r="Q36" s="112">
        <f t="shared" si="26"/>
        <v>0</v>
      </c>
      <c r="R36" s="112">
        <f t="shared" si="26"/>
        <v>0</v>
      </c>
      <c r="S36" s="112">
        <f t="shared" si="26"/>
        <v>0</v>
      </c>
      <c r="T36" s="112">
        <f t="shared" si="26"/>
        <v>0</v>
      </c>
      <c r="U36" s="112">
        <f t="shared" si="26"/>
        <v>0</v>
      </c>
      <c r="V36" s="112">
        <f t="shared" si="26"/>
        <v>0</v>
      </c>
      <c r="W36" s="112">
        <f t="shared" si="26"/>
        <v>0</v>
      </c>
      <c r="X36" s="112">
        <f t="shared" si="26"/>
        <v>0</v>
      </c>
      <c r="Y36" s="112">
        <f t="shared" si="26"/>
        <v>0</v>
      </c>
      <c r="Z36" s="112">
        <f t="shared" si="26"/>
        <v>0</v>
      </c>
      <c r="AA36" s="112">
        <f t="shared" si="26"/>
        <v>0</v>
      </c>
      <c r="AB36" s="16"/>
      <c r="AO36" s="54" t="s">
        <v>34</v>
      </c>
      <c r="AP36" s="44">
        <f>AC34</f>
        <v>0</v>
      </c>
      <c r="AQ36" s="45">
        <f>AD34</f>
        <v>0</v>
      </c>
    </row>
    <row r="37" spans="1:43" s="16" customFormat="1" ht="30" customHeight="1">
      <c r="B37" s="17"/>
      <c r="C37" s="17"/>
      <c r="AO37" s="54" t="s">
        <v>29</v>
      </c>
      <c r="AP37" s="14">
        <f>AE34</f>
        <v>0</v>
      </c>
      <c r="AQ37" s="15">
        <f>AF34</f>
        <v>0</v>
      </c>
    </row>
    <row r="38" spans="1:43" s="16" customFormat="1" ht="30" customHeight="1" thickBot="1">
      <c r="B38" s="17"/>
      <c r="C38" s="17"/>
      <c r="AO38" s="55" t="s">
        <v>35</v>
      </c>
      <c r="AP38" s="18">
        <f>AM34</f>
        <v>0</v>
      </c>
      <c r="AQ38" s="19">
        <f>AN34</f>
        <v>0</v>
      </c>
    </row>
    <row r="39" spans="1:43" s="16" customFormat="1" ht="30" customHeight="1">
      <c r="B39" s="17"/>
      <c r="C39" s="17"/>
    </row>
    <row r="40" spans="1:43" s="12" customFormat="1" ht="11.25" customHeight="1">
      <c r="B40" s="13"/>
      <c r="C40" s="13"/>
    </row>
    <row r="41" spans="1:43" s="12" customFormat="1">
      <c r="B41" s="13"/>
      <c r="C41" s="13"/>
      <c r="M41" s="12" t="s">
        <v>18</v>
      </c>
    </row>
    <row r="42" spans="1:43" s="12" customFormat="1">
      <c r="B42" s="13"/>
      <c r="C42" s="13"/>
    </row>
    <row r="43" spans="1:43" s="12" customFormat="1">
      <c r="B43" s="13"/>
      <c r="C43" s="13"/>
    </row>
    <row r="44" spans="1:43" s="12" customFormat="1">
      <c r="B44" s="13"/>
      <c r="C44" s="13"/>
    </row>
  </sheetData>
  <mergeCells count="22">
    <mergeCell ref="A1:B1"/>
    <mergeCell ref="C1:D1"/>
    <mergeCell ref="M1:O1"/>
    <mergeCell ref="AM3:AN4"/>
    <mergeCell ref="M3:N3"/>
    <mergeCell ref="P3:Q3"/>
    <mergeCell ref="U3:X3"/>
    <mergeCell ref="Y3:Y4"/>
    <mergeCell ref="Z3:Z4"/>
    <mergeCell ref="AA3:AA4"/>
    <mergeCell ref="AC3:AD4"/>
    <mergeCell ref="AE3:AF4"/>
    <mergeCell ref="AG3:AH4"/>
    <mergeCell ref="AI3:AJ4"/>
    <mergeCell ref="AK3:AL4"/>
    <mergeCell ref="L3:L4"/>
    <mergeCell ref="A3:A5"/>
    <mergeCell ref="B3:B5"/>
    <mergeCell ref="D3:D5"/>
    <mergeCell ref="J3:J4"/>
    <mergeCell ref="K3:K4"/>
    <mergeCell ref="C3:C5"/>
  </mergeCells>
  <pageMargins left="0.196850393700787" right="0.196850393700787" top="0.196850393700787" bottom="0.196850393700787" header="0.31496062992126" footer="0.31496062992126"/>
  <pageSetup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4"/>
  <sheetViews>
    <sheetView zoomScale="40" zoomScaleNormal="40" workbookViewId="0">
      <pane xSplit="3" ySplit="4" topLeftCell="D20" activePane="bottomRight" state="frozen"/>
      <selection activeCell="B2" sqref="B2:B4"/>
      <selection pane="topRight" activeCell="B2" sqref="B2:B4"/>
      <selection pane="bottomLeft" activeCell="B2" sqref="B2:B4"/>
      <selection pane="bottomRight" activeCell="A2" sqref="A2:A4"/>
    </sheetView>
  </sheetViews>
  <sheetFormatPr defaultColWidth="9.140625" defaultRowHeight="18"/>
  <cols>
    <col min="1" max="1" width="11" style="7" bestFit="1" customWidth="1"/>
    <col min="2" max="2" width="21.140625" style="6" customWidth="1"/>
    <col min="3" max="3" width="28.5703125" style="3" customWidth="1"/>
    <col min="4" max="7" width="12.140625" style="1" customWidth="1"/>
    <col min="8" max="15" width="11.140625" style="1" customWidth="1"/>
    <col min="16" max="17" width="11.140625" style="1" hidden="1" customWidth="1"/>
    <col min="18" max="24" width="11.140625" style="1" customWidth="1"/>
    <col min="25" max="36" width="11.28515625" style="1" customWidth="1"/>
    <col min="37" max="37" width="32.7109375" style="1" bestFit="1" customWidth="1"/>
    <col min="38" max="39" width="10.5703125" style="1" bestFit="1" customWidth="1"/>
    <col min="40" max="16384" width="9.140625" style="1"/>
  </cols>
  <sheetData>
    <row r="1" spans="1:37" s="4" customFormat="1" ht="26.25" customHeight="1">
      <c r="A1" s="359" t="s">
        <v>24</v>
      </c>
      <c r="B1" s="359"/>
      <c r="C1" s="371">
        <v>43497</v>
      </c>
      <c r="D1" s="371"/>
      <c r="E1" s="8"/>
      <c r="F1" s="8"/>
      <c r="J1" s="5" t="s">
        <v>36</v>
      </c>
      <c r="K1" s="5">
        <v>3</v>
      </c>
    </row>
    <row r="2" spans="1:37" s="2" customFormat="1" ht="31.5" customHeight="1">
      <c r="A2" s="372" t="s">
        <v>12</v>
      </c>
      <c r="B2" s="373" t="s">
        <v>13</v>
      </c>
      <c r="C2" s="376" t="s">
        <v>0</v>
      </c>
      <c r="D2" s="10" t="s">
        <v>1</v>
      </c>
      <c r="E2" s="10" t="s">
        <v>21</v>
      </c>
      <c r="F2" s="10" t="s">
        <v>14</v>
      </c>
      <c r="G2" s="368" t="s">
        <v>2</v>
      </c>
      <c r="H2" s="369" t="s">
        <v>22</v>
      </c>
      <c r="I2" s="368" t="s">
        <v>3</v>
      </c>
      <c r="J2" s="383" t="s">
        <v>4</v>
      </c>
      <c r="K2" s="384"/>
      <c r="L2" s="9" t="s">
        <v>5</v>
      </c>
      <c r="M2" s="383" t="s">
        <v>17</v>
      </c>
      <c r="N2" s="384"/>
      <c r="O2" s="9" t="s">
        <v>5</v>
      </c>
      <c r="P2" s="9" t="s">
        <v>55</v>
      </c>
      <c r="Q2" s="9" t="s">
        <v>56</v>
      </c>
      <c r="R2" s="385" t="s">
        <v>6</v>
      </c>
      <c r="S2" s="385"/>
      <c r="T2" s="385"/>
      <c r="U2" s="385"/>
      <c r="V2" s="369" t="s">
        <v>19</v>
      </c>
      <c r="W2" s="369" t="s">
        <v>7</v>
      </c>
      <c r="X2" s="369" t="s">
        <v>20</v>
      </c>
      <c r="Y2" s="379" t="s">
        <v>28</v>
      </c>
      <c r="Z2" s="380"/>
      <c r="AA2" s="379" t="s">
        <v>29</v>
      </c>
      <c r="AB2" s="380"/>
      <c r="AC2" s="379" t="s">
        <v>25</v>
      </c>
      <c r="AD2" s="380"/>
      <c r="AE2" s="379" t="s">
        <v>26</v>
      </c>
      <c r="AF2" s="380"/>
      <c r="AG2" s="379" t="s">
        <v>27</v>
      </c>
      <c r="AH2" s="380"/>
      <c r="AI2" s="379" t="s">
        <v>41</v>
      </c>
      <c r="AJ2" s="380"/>
      <c r="AK2" s="50"/>
    </row>
    <row r="3" spans="1:37" s="2" customFormat="1" ht="21" customHeight="1">
      <c r="A3" s="372"/>
      <c r="B3" s="374"/>
      <c r="C3" s="377"/>
      <c r="D3" s="10">
        <v>208</v>
      </c>
      <c r="E3" s="10">
        <v>150</v>
      </c>
      <c r="F3" s="10">
        <v>215</v>
      </c>
      <c r="G3" s="368"/>
      <c r="H3" s="370"/>
      <c r="I3" s="368"/>
      <c r="J3" s="11">
        <v>2.4</v>
      </c>
      <c r="K3" s="11">
        <v>3.6</v>
      </c>
      <c r="L3" s="11">
        <v>3.6</v>
      </c>
      <c r="M3" s="9">
        <v>2.4</v>
      </c>
      <c r="N3" s="9">
        <v>3.6</v>
      </c>
      <c r="O3" s="11">
        <v>2.4</v>
      </c>
      <c r="P3" s="11"/>
      <c r="Q3" s="11"/>
      <c r="R3" s="10">
        <v>5</v>
      </c>
      <c r="S3" s="10">
        <v>10</v>
      </c>
      <c r="T3" s="10">
        <v>6</v>
      </c>
      <c r="U3" s="10">
        <v>40</v>
      </c>
      <c r="V3" s="370"/>
      <c r="W3" s="370"/>
      <c r="X3" s="370"/>
      <c r="Y3" s="381"/>
      <c r="Z3" s="382"/>
      <c r="AA3" s="381"/>
      <c r="AB3" s="382"/>
      <c r="AC3" s="381"/>
      <c r="AD3" s="382"/>
      <c r="AE3" s="381"/>
      <c r="AF3" s="382"/>
      <c r="AG3" s="381"/>
      <c r="AH3" s="382"/>
      <c r="AI3" s="381"/>
      <c r="AJ3" s="382"/>
      <c r="AK3" s="50"/>
    </row>
    <row r="4" spans="1:37" s="2" customFormat="1" ht="24" customHeight="1" thickBot="1">
      <c r="A4" s="372"/>
      <c r="B4" s="375"/>
      <c r="C4" s="378"/>
      <c r="D4" s="10" t="s">
        <v>8</v>
      </c>
      <c r="E4" s="10" t="s">
        <v>8</v>
      </c>
      <c r="F4" s="10" t="s">
        <v>8</v>
      </c>
      <c r="G4" s="10" t="s">
        <v>9</v>
      </c>
      <c r="H4" s="10" t="s">
        <v>23</v>
      </c>
      <c r="I4" s="10" t="s">
        <v>8</v>
      </c>
      <c r="J4" s="10" t="s">
        <v>8</v>
      </c>
      <c r="K4" s="10" t="s">
        <v>8</v>
      </c>
      <c r="L4" s="10" t="s">
        <v>8</v>
      </c>
      <c r="M4" s="10" t="s">
        <v>8</v>
      </c>
      <c r="N4" s="10" t="s">
        <v>8</v>
      </c>
      <c r="O4" s="10" t="s">
        <v>8</v>
      </c>
      <c r="P4" s="10" t="s">
        <v>8</v>
      </c>
      <c r="Q4" s="10" t="s">
        <v>8</v>
      </c>
      <c r="R4" s="10" t="s">
        <v>10</v>
      </c>
      <c r="S4" s="10" t="s">
        <v>10</v>
      </c>
      <c r="T4" s="10" t="s">
        <v>10</v>
      </c>
      <c r="U4" s="10" t="s">
        <v>10</v>
      </c>
      <c r="V4" s="10" t="s">
        <v>8</v>
      </c>
      <c r="W4" s="10" t="s">
        <v>8</v>
      </c>
      <c r="X4" s="10" t="s">
        <v>8</v>
      </c>
      <c r="Y4" s="51" t="s">
        <v>30</v>
      </c>
      <c r="Z4" s="51" t="s">
        <v>31</v>
      </c>
      <c r="AA4" s="52" t="s">
        <v>30</v>
      </c>
      <c r="AB4" s="52" t="s">
        <v>31</v>
      </c>
      <c r="AC4" s="52" t="s">
        <v>30</v>
      </c>
      <c r="AD4" s="52" t="s">
        <v>31</v>
      </c>
      <c r="AE4" s="52" t="s">
        <v>30</v>
      </c>
      <c r="AF4" s="52" t="s">
        <v>31</v>
      </c>
      <c r="AG4" s="52" t="s">
        <v>30</v>
      </c>
      <c r="AH4" s="52" t="s">
        <v>31</v>
      </c>
      <c r="AI4" s="52" t="s">
        <v>30</v>
      </c>
      <c r="AJ4" s="52" t="s">
        <v>31</v>
      </c>
      <c r="AK4" s="50"/>
    </row>
    <row r="5" spans="1:37" s="28" customFormat="1" ht="30" customHeight="1">
      <c r="A5" s="25"/>
      <c r="B5" s="26"/>
      <c r="C5" s="27"/>
      <c r="D5" s="20"/>
      <c r="E5" s="20"/>
      <c r="F5" s="20"/>
      <c r="G5" s="20"/>
      <c r="H5" s="21"/>
      <c r="I5" s="20"/>
      <c r="J5" s="67"/>
      <c r="K5" s="67"/>
      <c r="L5" s="67"/>
      <c r="M5" s="67"/>
      <c r="N5" s="67"/>
      <c r="O5" s="67"/>
      <c r="P5" s="67"/>
      <c r="Q5" s="67"/>
      <c r="R5" s="20"/>
      <c r="S5" s="20"/>
      <c r="T5" s="20"/>
      <c r="U5" s="20"/>
      <c r="V5" s="20"/>
      <c r="W5" s="20"/>
      <c r="X5" s="22"/>
      <c r="Y5" s="70"/>
      <c r="Z5" s="71"/>
      <c r="AA5" s="76"/>
      <c r="AB5" s="71"/>
      <c r="AC5" s="79"/>
      <c r="AD5" s="71"/>
      <c r="AE5" s="82"/>
      <c r="AF5" s="71"/>
      <c r="AG5" s="85"/>
      <c r="AH5" s="71"/>
      <c r="AI5" s="88"/>
      <c r="AJ5" s="71"/>
    </row>
    <row r="6" spans="1:37" s="28" customFormat="1" ht="30" customHeight="1">
      <c r="A6" s="25"/>
      <c r="B6" s="26"/>
      <c r="C6" s="27"/>
      <c r="D6" s="20"/>
      <c r="E6" s="20"/>
      <c r="F6" s="20"/>
      <c r="G6" s="20"/>
      <c r="H6" s="21"/>
      <c r="I6" s="20"/>
      <c r="J6" s="68"/>
      <c r="K6" s="67"/>
      <c r="L6" s="67"/>
      <c r="M6" s="67"/>
      <c r="N6" s="67"/>
      <c r="O6" s="67"/>
      <c r="P6" s="67"/>
      <c r="Q6" s="67"/>
      <c r="R6" s="20"/>
      <c r="S6" s="20"/>
      <c r="T6" s="20"/>
      <c r="U6" s="20"/>
      <c r="V6" s="20"/>
      <c r="W6" s="20"/>
      <c r="X6" s="22"/>
      <c r="Y6" s="72"/>
      <c r="Z6" s="73"/>
      <c r="AA6" s="77"/>
      <c r="AB6" s="73"/>
      <c r="AC6" s="80"/>
      <c r="AD6" s="73"/>
      <c r="AE6" s="83"/>
      <c r="AF6" s="73"/>
      <c r="AG6" s="86"/>
      <c r="AH6" s="73"/>
      <c r="AI6" s="89"/>
      <c r="AJ6" s="73"/>
    </row>
    <row r="7" spans="1:37" s="28" customFormat="1" ht="30" customHeight="1">
      <c r="A7" s="25"/>
      <c r="B7" s="26"/>
      <c r="C7" s="27"/>
      <c r="D7" s="20"/>
      <c r="E7" s="20"/>
      <c r="F7" s="20"/>
      <c r="G7" s="20"/>
      <c r="H7" s="21"/>
      <c r="I7" s="20"/>
      <c r="J7" s="67"/>
      <c r="K7" s="68"/>
      <c r="L7" s="67"/>
      <c r="M7" s="67"/>
      <c r="N7" s="67"/>
      <c r="O7" s="67"/>
      <c r="P7" s="67"/>
      <c r="Q7" s="67"/>
      <c r="R7" s="20"/>
      <c r="S7" s="20"/>
      <c r="T7" s="20"/>
      <c r="U7" s="20"/>
      <c r="V7" s="20"/>
      <c r="W7" s="20"/>
      <c r="X7" s="22"/>
      <c r="Y7" s="72"/>
      <c r="Z7" s="73"/>
      <c r="AA7" s="77"/>
      <c r="AB7" s="73"/>
      <c r="AC7" s="80"/>
      <c r="AD7" s="73"/>
      <c r="AE7" s="83"/>
      <c r="AF7" s="73"/>
      <c r="AG7" s="86"/>
      <c r="AH7" s="73"/>
      <c r="AI7" s="89"/>
      <c r="AJ7" s="73"/>
    </row>
    <row r="8" spans="1:37" s="28" customFormat="1" ht="30" customHeight="1">
      <c r="A8" s="25"/>
      <c r="B8" s="27"/>
      <c r="C8" s="27"/>
      <c r="D8" s="21"/>
      <c r="E8" s="21"/>
      <c r="F8" s="21"/>
      <c r="G8" s="21"/>
      <c r="H8" s="21"/>
      <c r="I8" s="21"/>
      <c r="J8" s="69"/>
      <c r="K8" s="69"/>
      <c r="L8" s="69"/>
      <c r="M8" s="69"/>
      <c r="N8" s="69"/>
      <c r="O8" s="69"/>
      <c r="P8" s="69"/>
      <c r="Q8" s="69"/>
      <c r="R8" s="21"/>
      <c r="S8" s="21"/>
      <c r="T8" s="21"/>
      <c r="U8" s="21"/>
      <c r="V8" s="21"/>
      <c r="W8" s="21"/>
      <c r="X8" s="23"/>
      <c r="Y8" s="72"/>
      <c r="Z8" s="73"/>
      <c r="AA8" s="77"/>
      <c r="AB8" s="73"/>
      <c r="AC8" s="80"/>
      <c r="AD8" s="73"/>
      <c r="AE8" s="83"/>
      <c r="AF8" s="73"/>
      <c r="AG8" s="86"/>
      <c r="AH8" s="73"/>
      <c r="AI8" s="89"/>
      <c r="AJ8" s="73"/>
    </row>
    <row r="9" spans="1:37" s="28" customFormat="1" ht="30" customHeight="1">
      <c r="A9" s="25"/>
      <c r="B9" s="27"/>
      <c r="C9" s="27"/>
      <c r="D9" s="21"/>
      <c r="E9" s="21"/>
      <c r="F9" s="21"/>
      <c r="G9" s="21"/>
      <c r="H9" s="21"/>
      <c r="I9" s="21"/>
      <c r="J9" s="69"/>
      <c r="K9" s="69"/>
      <c r="L9" s="69"/>
      <c r="M9" s="69"/>
      <c r="N9" s="69"/>
      <c r="O9" s="69"/>
      <c r="P9" s="69"/>
      <c r="Q9" s="69"/>
      <c r="R9" s="21"/>
      <c r="S9" s="21"/>
      <c r="T9" s="21"/>
      <c r="U9" s="21"/>
      <c r="V9" s="21"/>
      <c r="W9" s="21"/>
      <c r="X9" s="23"/>
      <c r="Y9" s="72"/>
      <c r="Z9" s="73"/>
      <c r="AA9" s="77"/>
      <c r="AB9" s="73"/>
      <c r="AC9" s="80"/>
      <c r="AD9" s="73"/>
      <c r="AE9" s="83"/>
      <c r="AF9" s="73"/>
      <c r="AG9" s="86"/>
      <c r="AH9" s="73"/>
      <c r="AI9" s="89"/>
      <c r="AJ9" s="73"/>
    </row>
    <row r="10" spans="1:37" s="28" customFormat="1" ht="30" customHeight="1">
      <c r="A10" s="25"/>
      <c r="B10" s="26"/>
      <c r="C10" s="27"/>
      <c r="D10" s="20"/>
      <c r="E10" s="20"/>
      <c r="F10" s="20"/>
      <c r="G10" s="20"/>
      <c r="H10" s="21"/>
      <c r="I10" s="20"/>
      <c r="J10" s="67"/>
      <c r="K10" s="67"/>
      <c r="L10" s="67"/>
      <c r="M10" s="67"/>
      <c r="N10" s="67"/>
      <c r="O10" s="67"/>
      <c r="P10" s="67"/>
      <c r="Q10" s="67"/>
      <c r="R10" s="20"/>
      <c r="S10" s="20"/>
      <c r="T10" s="20"/>
      <c r="U10" s="20"/>
      <c r="V10" s="20"/>
      <c r="W10" s="20"/>
      <c r="X10" s="22"/>
      <c r="Y10" s="72"/>
      <c r="Z10" s="73"/>
      <c r="AA10" s="77"/>
      <c r="AB10" s="73"/>
      <c r="AC10" s="80"/>
      <c r="AD10" s="73"/>
      <c r="AE10" s="83"/>
      <c r="AF10" s="73"/>
      <c r="AG10" s="86"/>
      <c r="AH10" s="73"/>
      <c r="AI10" s="89"/>
      <c r="AJ10" s="73"/>
    </row>
    <row r="11" spans="1:37" s="28" customFormat="1" ht="30" customHeight="1">
      <c r="A11" s="25"/>
      <c r="B11" s="26"/>
      <c r="C11" s="27"/>
      <c r="D11" s="20"/>
      <c r="E11" s="20"/>
      <c r="F11" s="20"/>
      <c r="G11" s="20"/>
      <c r="H11" s="21"/>
      <c r="I11" s="20"/>
      <c r="J11" s="67"/>
      <c r="K11" s="67"/>
      <c r="L11" s="67"/>
      <c r="M11" s="67"/>
      <c r="N11" s="67"/>
      <c r="O11" s="67"/>
      <c r="P11" s="67"/>
      <c r="Q11" s="67"/>
      <c r="R11" s="20"/>
      <c r="S11" s="20"/>
      <c r="T11" s="20"/>
      <c r="U11" s="20"/>
      <c r="V11" s="20"/>
      <c r="W11" s="20"/>
      <c r="X11" s="22"/>
      <c r="Y11" s="72"/>
      <c r="Z11" s="73"/>
      <c r="AA11" s="77"/>
      <c r="AB11" s="73"/>
      <c r="AC11" s="80"/>
      <c r="AD11" s="73"/>
      <c r="AE11" s="83"/>
      <c r="AF11" s="73"/>
      <c r="AG11" s="86"/>
      <c r="AH11" s="73"/>
      <c r="AI11" s="89"/>
      <c r="AJ11" s="73"/>
    </row>
    <row r="12" spans="1:37" s="28" customFormat="1" ht="30" customHeight="1">
      <c r="A12" s="25"/>
      <c r="B12" s="26"/>
      <c r="C12" s="27"/>
      <c r="D12" s="20"/>
      <c r="E12" s="20"/>
      <c r="F12" s="20"/>
      <c r="G12" s="20"/>
      <c r="H12" s="21"/>
      <c r="I12" s="20"/>
      <c r="J12" s="67"/>
      <c r="K12" s="67"/>
      <c r="L12" s="67"/>
      <c r="M12" s="67"/>
      <c r="N12" s="67"/>
      <c r="O12" s="67"/>
      <c r="P12" s="67"/>
      <c r="Q12" s="67"/>
      <c r="R12" s="20"/>
      <c r="S12" s="20"/>
      <c r="T12" s="20"/>
      <c r="U12" s="20"/>
      <c r="V12" s="20"/>
      <c r="W12" s="20"/>
      <c r="X12" s="22"/>
      <c r="Y12" s="72"/>
      <c r="Z12" s="73"/>
      <c r="AA12" s="77"/>
      <c r="AB12" s="73"/>
      <c r="AC12" s="80"/>
      <c r="AD12" s="73"/>
      <c r="AE12" s="83"/>
      <c r="AF12" s="73"/>
      <c r="AG12" s="86"/>
      <c r="AH12" s="73"/>
      <c r="AI12" s="89"/>
      <c r="AJ12" s="73"/>
    </row>
    <row r="13" spans="1:37" s="28" customFormat="1" ht="30" customHeight="1">
      <c r="A13" s="25"/>
      <c r="B13" s="26"/>
      <c r="C13" s="27"/>
      <c r="D13" s="20"/>
      <c r="E13" s="20"/>
      <c r="F13" s="20"/>
      <c r="G13" s="20"/>
      <c r="H13" s="21"/>
      <c r="I13" s="20"/>
      <c r="J13" s="67"/>
      <c r="K13" s="67"/>
      <c r="L13" s="67"/>
      <c r="M13" s="67"/>
      <c r="N13" s="67"/>
      <c r="O13" s="67"/>
      <c r="P13" s="67"/>
      <c r="Q13" s="67"/>
      <c r="R13" s="20"/>
      <c r="S13" s="20"/>
      <c r="T13" s="20"/>
      <c r="U13" s="20"/>
      <c r="V13" s="20"/>
      <c r="W13" s="20"/>
      <c r="X13" s="22"/>
      <c r="Y13" s="72"/>
      <c r="Z13" s="73"/>
      <c r="AA13" s="77"/>
      <c r="AB13" s="73"/>
      <c r="AC13" s="80"/>
      <c r="AD13" s="73"/>
      <c r="AE13" s="83"/>
      <c r="AF13" s="73"/>
      <c r="AG13" s="86"/>
      <c r="AH13" s="73"/>
      <c r="AI13" s="89"/>
      <c r="AJ13" s="73"/>
    </row>
    <row r="14" spans="1:37" s="28" customFormat="1" ht="30" customHeight="1">
      <c r="A14" s="25"/>
      <c r="B14" s="26"/>
      <c r="C14" s="27"/>
      <c r="D14" s="20"/>
      <c r="E14" s="20"/>
      <c r="F14" s="20"/>
      <c r="G14" s="20"/>
      <c r="H14" s="21"/>
      <c r="I14" s="20"/>
      <c r="J14" s="67"/>
      <c r="K14" s="67"/>
      <c r="L14" s="67"/>
      <c r="M14" s="67"/>
      <c r="N14" s="67"/>
      <c r="O14" s="67"/>
      <c r="P14" s="67"/>
      <c r="Q14" s="67"/>
      <c r="R14" s="20"/>
      <c r="S14" s="20"/>
      <c r="T14" s="20"/>
      <c r="U14" s="20"/>
      <c r="V14" s="20"/>
      <c r="W14" s="20"/>
      <c r="X14" s="22"/>
      <c r="Y14" s="72"/>
      <c r="Z14" s="73"/>
      <c r="AA14" s="77"/>
      <c r="AB14" s="73"/>
      <c r="AC14" s="80"/>
      <c r="AD14" s="73"/>
      <c r="AE14" s="83"/>
      <c r="AF14" s="73"/>
      <c r="AG14" s="86"/>
      <c r="AH14" s="73"/>
      <c r="AI14" s="89"/>
      <c r="AJ14" s="73"/>
    </row>
    <row r="15" spans="1:37" s="28" customFormat="1" ht="30" customHeight="1">
      <c r="A15" s="25"/>
      <c r="B15" s="26"/>
      <c r="C15" s="27"/>
      <c r="D15" s="20"/>
      <c r="E15" s="20"/>
      <c r="F15" s="20"/>
      <c r="G15" s="20"/>
      <c r="H15" s="21"/>
      <c r="I15" s="20"/>
      <c r="J15" s="67"/>
      <c r="K15" s="67"/>
      <c r="L15" s="67"/>
      <c r="M15" s="67"/>
      <c r="N15" s="67"/>
      <c r="O15" s="67"/>
      <c r="P15" s="67"/>
      <c r="Q15" s="67"/>
      <c r="R15" s="20"/>
      <c r="S15" s="20"/>
      <c r="T15" s="20"/>
      <c r="U15" s="20"/>
      <c r="V15" s="20"/>
      <c r="W15" s="20"/>
      <c r="X15" s="22"/>
      <c r="Y15" s="72"/>
      <c r="Z15" s="73"/>
      <c r="AA15" s="77"/>
      <c r="AB15" s="73"/>
      <c r="AC15" s="80"/>
      <c r="AD15" s="73"/>
      <c r="AE15" s="83"/>
      <c r="AF15" s="73"/>
      <c r="AG15" s="86"/>
      <c r="AH15" s="73"/>
      <c r="AI15" s="89"/>
      <c r="AJ15" s="73"/>
    </row>
    <row r="16" spans="1:37" s="28" customFormat="1" ht="30" customHeight="1">
      <c r="A16" s="25">
        <v>1</v>
      </c>
      <c r="B16" s="26"/>
      <c r="C16" s="27"/>
      <c r="D16" s="20"/>
      <c r="E16" s="20"/>
      <c r="F16" s="20"/>
      <c r="G16" s="20"/>
      <c r="H16" s="21">
        <f t="shared" ref="H16:H19" si="0">I16*2.43</f>
        <v>0</v>
      </c>
      <c r="I16" s="20"/>
      <c r="J16" s="67"/>
      <c r="K16" s="67"/>
      <c r="L16" s="67"/>
      <c r="M16" s="67"/>
      <c r="N16" s="67"/>
      <c r="O16" s="67"/>
      <c r="P16" s="67"/>
      <c r="Q16" s="67"/>
      <c r="R16" s="20"/>
      <c r="S16" s="20"/>
      <c r="T16" s="20"/>
      <c r="U16" s="20"/>
      <c r="V16" s="20"/>
      <c r="W16" s="20"/>
      <c r="X16" s="22"/>
      <c r="Y16" s="72"/>
      <c r="Z16" s="73"/>
      <c r="AA16" s="77"/>
      <c r="AB16" s="73"/>
      <c r="AC16" s="80"/>
      <c r="AD16" s="73"/>
      <c r="AE16" s="83"/>
      <c r="AF16" s="73"/>
      <c r="AG16" s="86"/>
      <c r="AH16" s="73"/>
      <c r="AI16" s="89"/>
      <c r="AJ16" s="73"/>
    </row>
    <row r="17" spans="1:36" s="28" customFormat="1" ht="30" customHeight="1">
      <c r="A17" s="25">
        <v>1</v>
      </c>
      <c r="B17" s="26"/>
      <c r="C17" s="27"/>
      <c r="D17" s="20"/>
      <c r="E17" s="20"/>
      <c r="F17" s="20"/>
      <c r="G17" s="20"/>
      <c r="H17" s="21">
        <f t="shared" si="0"/>
        <v>0</v>
      </c>
      <c r="I17" s="20"/>
      <c r="J17" s="67"/>
      <c r="K17" s="67"/>
      <c r="L17" s="67"/>
      <c r="M17" s="67"/>
      <c r="N17" s="67"/>
      <c r="O17" s="67"/>
      <c r="P17" s="67"/>
      <c r="Q17" s="67"/>
      <c r="R17" s="20"/>
      <c r="S17" s="20"/>
      <c r="T17" s="20"/>
      <c r="U17" s="20"/>
      <c r="V17" s="20"/>
      <c r="W17" s="20"/>
      <c r="X17" s="22"/>
      <c r="Y17" s="72"/>
      <c r="Z17" s="73"/>
      <c r="AA17" s="77"/>
      <c r="AB17" s="73"/>
      <c r="AC17" s="80"/>
      <c r="AD17" s="73"/>
      <c r="AE17" s="83"/>
      <c r="AF17" s="73"/>
      <c r="AG17" s="86"/>
      <c r="AH17" s="73"/>
      <c r="AI17" s="89"/>
      <c r="AJ17" s="73"/>
    </row>
    <row r="18" spans="1:36" s="28" customFormat="1" ht="30" customHeight="1">
      <c r="A18" s="25">
        <v>1</v>
      </c>
      <c r="B18" s="27"/>
      <c r="C18" s="27"/>
      <c r="D18" s="21"/>
      <c r="E18" s="21"/>
      <c r="F18" s="21"/>
      <c r="G18" s="21"/>
      <c r="H18" s="21">
        <f t="shared" si="0"/>
        <v>0</v>
      </c>
      <c r="I18" s="21"/>
      <c r="J18" s="69"/>
      <c r="K18" s="69"/>
      <c r="L18" s="69"/>
      <c r="M18" s="69"/>
      <c r="N18" s="69"/>
      <c r="O18" s="69"/>
      <c r="P18" s="69"/>
      <c r="Q18" s="69"/>
      <c r="R18" s="21"/>
      <c r="S18" s="21"/>
      <c r="T18" s="21"/>
      <c r="U18" s="21"/>
      <c r="V18" s="21"/>
      <c r="W18" s="21"/>
      <c r="X18" s="23"/>
      <c r="Y18" s="72"/>
      <c r="Z18" s="73"/>
      <c r="AA18" s="77"/>
      <c r="AB18" s="73"/>
      <c r="AC18" s="80"/>
      <c r="AD18" s="73"/>
      <c r="AE18" s="83"/>
      <c r="AF18" s="73"/>
      <c r="AG18" s="86"/>
      <c r="AH18" s="73"/>
      <c r="AI18" s="89"/>
      <c r="AJ18" s="73"/>
    </row>
    <row r="19" spans="1:36" s="28" customFormat="1" ht="30" customHeight="1" thickBot="1">
      <c r="A19" s="25">
        <v>1</v>
      </c>
      <c r="B19" s="27"/>
      <c r="C19" s="27"/>
      <c r="D19" s="21"/>
      <c r="E19" s="21"/>
      <c r="F19" s="21"/>
      <c r="G19" s="21"/>
      <c r="H19" s="21">
        <f t="shared" si="0"/>
        <v>0</v>
      </c>
      <c r="I19" s="21"/>
      <c r="J19" s="69"/>
      <c r="K19" s="69"/>
      <c r="L19" s="69"/>
      <c r="M19" s="69"/>
      <c r="N19" s="69"/>
      <c r="O19" s="69"/>
      <c r="P19" s="69"/>
      <c r="Q19" s="69"/>
      <c r="R19" s="21"/>
      <c r="S19" s="21"/>
      <c r="T19" s="21"/>
      <c r="U19" s="21"/>
      <c r="V19" s="21"/>
      <c r="W19" s="21"/>
      <c r="X19" s="23"/>
      <c r="Y19" s="74"/>
      <c r="Z19" s="75"/>
      <c r="AA19" s="78"/>
      <c r="AB19" s="75"/>
      <c r="AC19" s="81"/>
      <c r="AD19" s="75"/>
      <c r="AE19" s="84"/>
      <c r="AF19" s="75"/>
      <c r="AG19" s="87"/>
      <c r="AH19" s="75"/>
      <c r="AI19" s="90"/>
      <c r="AJ19" s="75"/>
    </row>
    <row r="20" spans="1:36" s="28" customFormat="1" ht="37.5" customHeight="1" thickBot="1">
      <c r="A20" s="29" t="s">
        <v>11</v>
      </c>
      <c r="B20" s="30"/>
      <c r="C20" s="30"/>
      <c r="D20" s="24">
        <f>SUM(D5:D19)</f>
        <v>0</v>
      </c>
      <c r="E20" s="24">
        <f t="shared" ref="E20:X20" si="1">SUM(E5:E19)</f>
        <v>0</v>
      </c>
      <c r="F20" s="24">
        <f t="shared" si="1"/>
        <v>0</v>
      </c>
      <c r="G20" s="24">
        <f t="shared" si="1"/>
        <v>0</v>
      </c>
      <c r="H20" s="24">
        <f>SUM(H5:H19)</f>
        <v>0</v>
      </c>
      <c r="I20" s="24">
        <f t="shared" si="1"/>
        <v>0</v>
      </c>
      <c r="J20" s="24">
        <f t="shared" si="1"/>
        <v>0</v>
      </c>
      <c r="K20" s="24">
        <f t="shared" si="1"/>
        <v>0</v>
      </c>
      <c r="L20" s="24">
        <f t="shared" si="1"/>
        <v>0</v>
      </c>
      <c r="M20" s="24">
        <f t="shared" si="1"/>
        <v>0</v>
      </c>
      <c r="N20" s="24">
        <f t="shared" si="1"/>
        <v>0</v>
      </c>
      <c r="O20" s="24">
        <f t="shared" si="1"/>
        <v>0</v>
      </c>
      <c r="P20" s="24">
        <f t="shared" ref="P20:Q20" si="2">SUM(P5:P19)</f>
        <v>0</v>
      </c>
      <c r="Q20" s="24">
        <f t="shared" si="2"/>
        <v>0</v>
      </c>
      <c r="R20" s="24">
        <f t="shared" si="1"/>
        <v>0</v>
      </c>
      <c r="S20" s="24">
        <f t="shared" si="1"/>
        <v>0</v>
      </c>
      <c r="T20" s="24">
        <f t="shared" si="1"/>
        <v>0</v>
      </c>
      <c r="U20" s="24">
        <f t="shared" si="1"/>
        <v>0</v>
      </c>
      <c r="V20" s="24">
        <f t="shared" si="1"/>
        <v>0</v>
      </c>
      <c r="W20" s="24">
        <f t="shared" si="1"/>
        <v>0</v>
      </c>
      <c r="X20" s="24">
        <f t="shared" si="1"/>
        <v>0</v>
      </c>
      <c r="Y20" s="31">
        <f>SUM(Y5:Y19)</f>
        <v>0</v>
      </c>
      <c r="Z20" s="31">
        <f>SUM(Z5:Z19)</f>
        <v>0</v>
      </c>
      <c r="AA20" s="31">
        <f t="shared" ref="AA20:AJ20" si="3">SUM(AA5:AA19)</f>
        <v>0</v>
      </c>
      <c r="AB20" s="31">
        <f t="shared" si="3"/>
        <v>0</v>
      </c>
      <c r="AC20" s="31">
        <f t="shared" si="3"/>
        <v>0</v>
      </c>
      <c r="AD20" s="31">
        <f t="shared" si="3"/>
        <v>0</v>
      </c>
      <c r="AE20" s="31">
        <f t="shared" si="3"/>
        <v>0</v>
      </c>
      <c r="AF20" s="31">
        <f t="shared" si="3"/>
        <v>0</v>
      </c>
      <c r="AG20" s="31">
        <f t="shared" si="3"/>
        <v>0</v>
      </c>
      <c r="AH20" s="31">
        <f t="shared" si="3"/>
        <v>0</v>
      </c>
      <c r="AI20" s="31">
        <f t="shared" si="3"/>
        <v>0</v>
      </c>
      <c r="AJ20" s="31">
        <f t="shared" si="3"/>
        <v>0</v>
      </c>
    </row>
    <row r="21" spans="1:36" s="28" customFormat="1" ht="29.25" customHeight="1">
      <c r="A21" s="25">
        <v>2</v>
      </c>
      <c r="B21" s="26"/>
      <c r="C21" s="27"/>
      <c r="D21" s="20"/>
      <c r="E21" s="20"/>
      <c r="F21" s="20"/>
      <c r="G21" s="20"/>
      <c r="H21" s="21">
        <f t="shared" ref="H21:H35" si="4">I21*2.43</f>
        <v>0</v>
      </c>
      <c r="I21" s="20"/>
      <c r="J21" s="67"/>
      <c r="K21" s="67"/>
      <c r="L21" s="67"/>
      <c r="M21" s="67"/>
      <c r="N21" s="67"/>
      <c r="O21" s="67"/>
      <c r="P21" s="67"/>
      <c r="Q21" s="67"/>
      <c r="R21" s="20"/>
      <c r="S21" s="20"/>
      <c r="T21" s="20"/>
      <c r="U21" s="20"/>
      <c r="V21" s="20"/>
      <c r="W21" s="20"/>
      <c r="X21" s="20"/>
      <c r="Y21" s="70"/>
      <c r="Z21" s="71"/>
      <c r="AA21" s="76"/>
      <c r="AB21" s="71"/>
      <c r="AC21" s="79"/>
      <c r="AD21" s="71"/>
      <c r="AE21" s="82"/>
      <c r="AF21" s="71"/>
      <c r="AG21" s="85"/>
      <c r="AH21" s="71"/>
      <c r="AI21" s="88"/>
      <c r="AJ21" s="71"/>
    </row>
    <row r="22" spans="1:36" s="28" customFormat="1" ht="29.25" customHeight="1">
      <c r="A22" s="25">
        <v>2</v>
      </c>
      <c r="B22" s="27"/>
      <c r="C22" s="27"/>
      <c r="D22" s="21"/>
      <c r="E22" s="21"/>
      <c r="F22" s="21"/>
      <c r="G22" s="21"/>
      <c r="H22" s="21">
        <f t="shared" si="4"/>
        <v>0</v>
      </c>
      <c r="I22" s="21"/>
      <c r="J22" s="68"/>
      <c r="K22" s="67"/>
      <c r="L22" s="67"/>
      <c r="M22" s="67"/>
      <c r="N22" s="67"/>
      <c r="O22" s="67"/>
      <c r="P22" s="67"/>
      <c r="Q22" s="67"/>
      <c r="R22" s="21"/>
      <c r="S22" s="21"/>
      <c r="T22" s="21"/>
      <c r="U22" s="21"/>
      <c r="V22" s="21"/>
      <c r="W22" s="21"/>
      <c r="X22" s="21"/>
      <c r="Y22" s="72"/>
      <c r="Z22" s="73"/>
      <c r="AA22" s="77"/>
      <c r="AB22" s="73"/>
      <c r="AC22" s="80"/>
      <c r="AD22" s="73"/>
      <c r="AE22" s="83"/>
      <c r="AF22" s="73"/>
      <c r="AG22" s="86"/>
      <c r="AH22" s="73"/>
      <c r="AI22" s="89"/>
      <c r="AJ22" s="73"/>
    </row>
    <row r="23" spans="1:36" s="28" customFormat="1" ht="29.25" customHeight="1">
      <c r="A23" s="25">
        <v>2</v>
      </c>
      <c r="B23" s="27"/>
      <c r="C23" s="27"/>
      <c r="D23" s="21"/>
      <c r="E23" s="21"/>
      <c r="F23" s="21"/>
      <c r="G23" s="21"/>
      <c r="H23" s="21">
        <f t="shared" si="4"/>
        <v>0</v>
      </c>
      <c r="I23" s="21"/>
      <c r="J23" s="67"/>
      <c r="K23" s="68"/>
      <c r="L23" s="67"/>
      <c r="M23" s="67"/>
      <c r="N23" s="67"/>
      <c r="O23" s="67"/>
      <c r="P23" s="67"/>
      <c r="Q23" s="67"/>
      <c r="R23" s="21"/>
      <c r="S23" s="21"/>
      <c r="T23" s="21"/>
      <c r="U23" s="21"/>
      <c r="V23" s="21"/>
      <c r="W23" s="21"/>
      <c r="X23" s="21"/>
      <c r="Y23" s="72"/>
      <c r="Z23" s="73"/>
      <c r="AA23" s="77"/>
      <c r="AB23" s="73"/>
      <c r="AC23" s="80"/>
      <c r="AD23" s="73"/>
      <c r="AE23" s="83"/>
      <c r="AF23" s="73"/>
      <c r="AG23" s="86"/>
      <c r="AH23" s="73"/>
      <c r="AI23" s="89"/>
      <c r="AJ23" s="73"/>
    </row>
    <row r="24" spans="1:36" s="28" customFormat="1" ht="29.25" customHeight="1">
      <c r="A24" s="25">
        <v>2</v>
      </c>
      <c r="B24" s="27"/>
      <c r="C24" s="27"/>
      <c r="D24" s="21"/>
      <c r="E24" s="21"/>
      <c r="F24" s="21"/>
      <c r="G24" s="21"/>
      <c r="H24" s="21">
        <f t="shared" si="4"/>
        <v>0</v>
      </c>
      <c r="I24" s="21"/>
      <c r="J24" s="69"/>
      <c r="K24" s="69"/>
      <c r="L24" s="69"/>
      <c r="M24" s="69"/>
      <c r="N24" s="69"/>
      <c r="O24" s="69"/>
      <c r="P24" s="69"/>
      <c r="Q24" s="69"/>
      <c r="R24" s="21"/>
      <c r="S24" s="21"/>
      <c r="T24" s="21"/>
      <c r="U24" s="21"/>
      <c r="V24" s="21"/>
      <c r="W24" s="21"/>
      <c r="X24" s="21"/>
      <c r="Y24" s="72"/>
      <c r="Z24" s="73"/>
      <c r="AA24" s="77"/>
      <c r="AB24" s="73"/>
      <c r="AC24" s="80"/>
      <c r="AD24" s="73"/>
      <c r="AE24" s="83"/>
      <c r="AF24" s="73"/>
      <c r="AG24" s="86"/>
      <c r="AH24" s="73"/>
      <c r="AI24" s="89"/>
      <c r="AJ24" s="73"/>
    </row>
    <row r="25" spans="1:36" s="28" customFormat="1" ht="29.25" customHeight="1">
      <c r="A25" s="25">
        <v>2</v>
      </c>
      <c r="B25" s="27"/>
      <c r="C25" s="27"/>
      <c r="D25" s="21"/>
      <c r="E25" s="21"/>
      <c r="F25" s="21"/>
      <c r="G25" s="21"/>
      <c r="H25" s="21">
        <f t="shared" si="4"/>
        <v>0</v>
      </c>
      <c r="I25" s="21"/>
      <c r="J25" s="69"/>
      <c r="K25" s="69"/>
      <c r="L25" s="69"/>
      <c r="M25" s="69"/>
      <c r="N25" s="69"/>
      <c r="O25" s="69"/>
      <c r="P25" s="69"/>
      <c r="Q25" s="69"/>
      <c r="R25" s="21"/>
      <c r="S25" s="21"/>
      <c r="T25" s="21"/>
      <c r="U25" s="21"/>
      <c r="V25" s="21"/>
      <c r="W25" s="21"/>
      <c r="X25" s="21"/>
      <c r="Y25" s="72"/>
      <c r="Z25" s="73"/>
      <c r="AA25" s="77"/>
      <c r="AB25" s="73"/>
      <c r="AC25" s="80"/>
      <c r="AD25" s="73"/>
      <c r="AE25" s="83"/>
      <c r="AF25" s="73"/>
      <c r="AG25" s="86"/>
      <c r="AH25" s="73"/>
      <c r="AI25" s="89"/>
      <c r="AJ25" s="73"/>
    </row>
    <row r="26" spans="1:36" s="28" customFormat="1" ht="29.25" customHeight="1">
      <c r="A26" s="25">
        <v>2</v>
      </c>
      <c r="B26" s="26"/>
      <c r="C26" s="27"/>
      <c r="D26" s="20"/>
      <c r="E26" s="20"/>
      <c r="F26" s="20"/>
      <c r="G26" s="20"/>
      <c r="H26" s="21">
        <f t="shared" si="4"/>
        <v>0</v>
      </c>
      <c r="I26" s="20"/>
      <c r="J26" s="67"/>
      <c r="K26" s="67"/>
      <c r="L26" s="67"/>
      <c r="M26" s="67"/>
      <c r="N26" s="67"/>
      <c r="O26" s="67"/>
      <c r="P26" s="67"/>
      <c r="Q26" s="67"/>
      <c r="R26" s="20"/>
      <c r="S26" s="20"/>
      <c r="T26" s="20"/>
      <c r="U26" s="20"/>
      <c r="V26" s="20"/>
      <c r="W26" s="20"/>
      <c r="X26" s="20"/>
      <c r="Y26" s="72"/>
      <c r="Z26" s="73"/>
      <c r="AA26" s="77"/>
      <c r="AB26" s="73"/>
      <c r="AC26" s="80"/>
      <c r="AD26" s="73"/>
      <c r="AE26" s="83"/>
      <c r="AF26" s="73"/>
      <c r="AG26" s="86"/>
      <c r="AH26" s="73"/>
      <c r="AI26" s="89"/>
      <c r="AJ26" s="73"/>
    </row>
    <row r="27" spans="1:36" s="28" customFormat="1" ht="29.25" customHeight="1">
      <c r="A27" s="25">
        <v>2</v>
      </c>
      <c r="B27" s="26"/>
      <c r="C27" s="27"/>
      <c r="D27" s="20"/>
      <c r="E27" s="20"/>
      <c r="F27" s="20"/>
      <c r="G27" s="20"/>
      <c r="H27" s="21">
        <f t="shared" si="4"/>
        <v>0</v>
      </c>
      <c r="I27" s="20"/>
      <c r="J27" s="67"/>
      <c r="K27" s="67"/>
      <c r="L27" s="67"/>
      <c r="M27" s="67"/>
      <c r="N27" s="67"/>
      <c r="O27" s="67"/>
      <c r="P27" s="67"/>
      <c r="Q27" s="67"/>
      <c r="R27" s="20"/>
      <c r="S27" s="20"/>
      <c r="T27" s="20"/>
      <c r="U27" s="20"/>
      <c r="V27" s="20"/>
      <c r="W27" s="20"/>
      <c r="X27" s="20"/>
      <c r="Y27" s="72"/>
      <c r="Z27" s="73"/>
      <c r="AA27" s="77"/>
      <c r="AB27" s="73"/>
      <c r="AC27" s="80"/>
      <c r="AD27" s="73"/>
      <c r="AE27" s="83"/>
      <c r="AF27" s="73"/>
      <c r="AG27" s="86"/>
      <c r="AH27" s="73"/>
      <c r="AI27" s="89"/>
      <c r="AJ27" s="73"/>
    </row>
    <row r="28" spans="1:36" s="28" customFormat="1" ht="29.25" customHeight="1">
      <c r="A28" s="25">
        <v>2</v>
      </c>
      <c r="B28" s="26"/>
      <c r="C28" s="27"/>
      <c r="D28" s="20"/>
      <c r="E28" s="20"/>
      <c r="F28" s="20"/>
      <c r="G28" s="20"/>
      <c r="H28" s="21">
        <f t="shared" si="4"/>
        <v>0</v>
      </c>
      <c r="I28" s="20"/>
      <c r="J28" s="67"/>
      <c r="K28" s="67"/>
      <c r="L28" s="67"/>
      <c r="M28" s="67"/>
      <c r="N28" s="67"/>
      <c r="O28" s="67"/>
      <c r="P28" s="67"/>
      <c r="Q28" s="67"/>
      <c r="R28" s="20"/>
      <c r="S28" s="20"/>
      <c r="T28" s="20"/>
      <c r="U28" s="20"/>
      <c r="V28" s="20"/>
      <c r="W28" s="20"/>
      <c r="X28" s="20"/>
      <c r="Y28" s="72"/>
      <c r="Z28" s="73"/>
      <c r="AA28" s="77"/>
      <c r="AB28" s="73"/>
      <c r="AC28" s="80"/>
      <c r="AD28" s="73"/>
      <c r="AE28" s="83"/>
      <c r="AF28" s="73"/>
      <c r="AG28" s="86"/>
      <c r="AH28" s="73"/>
      <c r="AI28" s="89"/>
      <c r="AJ28" s="73"/>
    </row>
    <row r="29" spans="1:36" s="28" customFormat="1" ht="29.25" customHeight="1">
      <c r="A29" s="25">
        <v>2</v>
      </c>
      <c r="B29" s="26"/>
      <c r="C29" s="27"/>
      <c r="D29" s="20"/>
      <c r="E29" s="20"/>
      <c r="F29" s="20"/>
      <c r="G29" s="20"/>
      <c r="H29" s="21">
        <f t="shared" si="4"/>
        <v>0</v>
      </c>
      <c r="I29" s="20"/>
      <c r="J29" s="67"/>
      <c r="K29" s="67"/>
      <c r="L29" s="67"/>
      <c r="M29" s="67"/>
      <c r="N29" s="67"/>
      <c r="O29" s="67"/>
      <c r="P29" s="67"/>
      <c r="Q29" s="67"/>
      <c r="R29" s="20"/>
      <c r="S29" s="20"/>
      <c r="T29" s="20"/>
      <c r="U29" s="20"/>
      <c r="V29" s="20"/>
      <c r="W29" s="20"/>
      <c r="X29" s="20"/>
      <c r="Y29" s="72"/>
      <c r="Z29" s="73"/>
      <c r="AA29" s="77"/>
      <c r="AB29" s="73"/>
      <c r="AC29" s="80"/>
      <c r="AD29" s="73"/>
      <c r="AE29" s="83"/>
      <c r="AF29" s="73"/>
      <c r="AG29" s="86"/>
      <c r="AH29" s="73"/>
      <c r="AI29" s="89"/>
      <c r="AJ29" s="73"/>
    </row>
    <row r="30" spans="1:36" s="28" customFormat="1" ht="29.25" customHeight="1">
      <c r="A30" s="25">
        <v>2</v>
      </c>
      <c r="B30" s="26"/>
      <c r="C30" s="27"/>
      <c r="D30" s="20"/>
      <c r="E30" s="20"/>
      <c r="F30" s="20"/>
      <c r="G30" s="20"/>
      <c r="H30" s="21">
        <f t="shared" si="4"/>
        <v>0</v>
      </c>
      <c r="I30" s="20"/>
      <c r="J30" s="67"/>
      <c r="K30" s="67"/>
      <c r="L30" s="67"/>
      <c r="M30" s="67"/>
      <c r="N30" s="67"/>
      <c r="O30" s="67"/>
      <c r="P30" s="67"/>
      <c r="Q30" s="67"/>
      <c r="R30" s="20"/>
      <c r="S30" s="20"/>
      <c r="T30" s="20"/>
      <c r="U30" s="20"/>
      <c r="V30" s="20"/>
      <c r="W30" s="20"/>
      <c r="X30" s="20"/>
      <c r="Y30" s="72"/>
      <c r="Z30" s="73"/>
      <c r="AA30" s="77"/>
      <c r="AB30" s="73"/>
      <c r="AC30" s="80"/>
      <c r="AD30" s="73"/>
      <c r="AE30" s="83"/>
      <c r="AF30" s="73"/>
      <c r="AG30" s="86"/>
      <c r="AH30" s="73"/>
      <c r="AI30" s="89"/>
      <c r="AJ30" s="73"/>
    </row>
    <row r="31" spans="1:36" s="28" customFormat="1" ht="29.25" customHeight="1">
      <c r="A31" s="25">
        <v>2</v>
      </c>
      <c r="B31" s="27"/>
      <c r="C31" s="27"/>
      <c r="D31" s="21"/>
      <c r="E31" s="21"/>
      <c r="F31" s="21"/>
      <c r="G31" s="21"/>
      <c r="H31" s="21">
        <f t="shared" si="4"/>
        <v>0</v>
      </c>
      <c r="I31" s="21"/>
      <c r="J31" s="67"/>
      <c r="K31" s="67"/>
      <c r="L31" s="67"/>
      <c r="M31" s="67"/>
      <c r="N31" s="67"/>
      <c r="O31" s="67"/>
      <c r="P31" s="67"/>
      <c r="Q31" s="67"/>
      <c r="R31" s="21"/>
      <c r="S31" s="21"/>
      <c r="T31" s="21"/>
      <c r="U31" s="21"/>
      <c r="V31" s="21"/>
      <c r="W31" s="21"/>
      <c r="X31" s="21"/>
      <c r="Y31" s="72"/>
      <c r="Z31" s="73"/>
      <c r="AA31" s="77"/>
      <c r="AB31" s="73"/>
      <c r="AC31" s="80"/>
      <c r="AD31" s="73"/>
      <c r="AE31" s="83"/>
      <c r="AF31" s="73"/>
      <c r="AG31" s="86"/>
      <c r="AH31" s="73"/>
      <c r="AI31" s="89"/>
      <c r="AJ31" s="73"/>
    </row>
    <row r="32" spans="1:36" s="28" customFormat="1" ht="29.25" customHeight="1">
      <c r="A32" s="25">
        <v>2</v>
      </c>
      <c r="B32" s="27"/>
      <c r="C32" s="27"/>
      <c r="D32" s="21"/>
      <c r="E32" s="21"/>
      <c r="F32" s="21"/>
      <c r="G32" s="21"/>
      <c r="H32" s="21">
        <f t="shared" si="4"/>
        <v>0</v>
      </c>
      <c r="I32" s="21"/>
      <c r="J32" s="67"/>
      <c r="K32" s="67"/>
      <c r="L32" s="67"/>
      <c r="M32" s="67"/>
      <c r="N32" s="67"/>
      <c r="O32" s="67"/>
      <c r="P32" s="67"/>
      <c r="Q32" s="67"/>
      <c r="R32" s="21"/>
      <c r="S32" s="21"/>
      <c r="T32" s="21"/>
      <c r="U32" s="21"/>
      <c r="V32" s="21"/>
      <c r="W32" s="21"/>
      <c r="X32" s="21"/>
      <c r="Y32" s="72"/>
      <c r="Z32" s="73"/>
      <c r="AA32" s="77"/>
      <c r="AB32" s="73"/>
      <c r="AC32" s="80"/>
      <c r="AD32" s="73"/>
      <c r="AE32" s="83"/>
      <c r="AF32" s="73"/>
      <c r="AG32" s="86"/>
      <c r="AH32" s="73"/>
      <c r="AI32" s="89"/>
      <c r="AJ32" s="73"/>
    </row>
    <row r="33" spans="1:36" s="28" customFormat="1" ht="29.25" customHeight="1">
      <c r="A33" s="25">
        <v>2</v>
      </c>
      <c r="B33" s="27"/>
      <c r="C33" s="27"/>
      <c r="D33" s="21"/>
      <c r="E33" s="21"/>
      <c r="F33" s="21"/>
      <c r="G33" s="21"/>
      <c r="H33" s="21">
        <f t="shared" si="4"/>
        <v>0</v>
      </c>
      <c r="I33" s="21"/>
      <c r="J33" s="67"/>
      <c r="K33" s="67"/>
      <c r="L33" s="67"/>
      <c r="M33" s="67"/>
      <c r="N33" s="67"/>
      <c r="O33" s="67"/>
      <c r="P33" s="67"/>
      <c r="Q33" s="67"/>
      <c r="R33" s="21"/>
      <c r="S33" s="21"/>
      <c r="T33" s="21"/>
      <c r="U33" s="21"/>
      <c r="V33" s="21"/>
      <c r="W33" s="21"/>
      <c r="X33" s="21"/>
      <c r="Y33" s="72"/>
      <c r="Z33" s="73"/>
      <c r="AA33" s="77"/>
      <c r="AB33" s="73"/>
      <c r="AC33" s="80"/>
      <c r="AD33" s="73"/>
      <c r="AE33" s="83"/>
      <c r="AF33" s="73"/>
      <c r="AG33" s="86"/>
      <c r="AH33" s="73"/>
      <c r="AI33" s="89"/>
      <c r="AJ33" s="73"/>
    </row>
    <row r="34" spans="1:36" s="28" customFormat="1" ht="29.25" customHeight="1">
      <c r="A34" s="25">
        <v>2</v>
      </c>
      <c r="B34" s="27"/>
      <c r="C34" s="27"/>
      <c r="D34" s="21"/>
      <c r="E34" s="21"/>
      <c r="F34" s="21"/>
      <c r="G34" s="21"/>
      <c r="H34" s="21">
        <f t="shared" si="4"/>
        <v>0</v>
      </c>
      <c r="I34" s="21"/>
      <c r="J34" s="69"/>
      <c r="K34" s="69"/>
      <c r="L34" s="69"/>
      <c r="M34" s="69"/>
      <c r="N34" s="69"/>
      <c r="O34" s="69"/>
      <c r="P34" s="69"/>
      <c r="Q34" s="69"/>
      <c r="R34" s="21"/>
      <c r="S34" s="21"/>
      <c r="T34" s="21"/>
      <c r="U34" s="21"/>
      <c r="V34" s="21"/>
      <c r="W34" s="21"/>
      <c r="X34" s="21"/>
      <c r="Y34" s="72"/>
      <c r="Z34" s="73"/>
      <c r="AA34" s="77"/>
      <c r="AB34" s="73"/>
      <c r="AC34" s="80"/>
      <c r="AD34" s="73"/>
      <c r="AE34" s="83"/>
      <c r="AF34" s="73"/>
      <c r="AG34" s="86"/>
      <c r="AH34" s="73"/>
      <c r="AI34" s="89"/>
      <c r="AJ34" s="73"/>
    </row>
    <row r="35" spans="1:36" s="28" customFormat="1" ht="29.25" customHeight="1" thickBot="1">
      <c r="A35" s="25">
        <v>2</v>
      </c>
      <c r="B35" s="27"/>
      <c r="C35" s="27"/>
      <c r="D35" s="21"/>
      <c r="E35" s="21"/>
      <c r="F35" s="21"/>
      <c r="G35" s="21"/>
      <c r="H35" s="21">
        <f t="shared" si="4"/>
        <v>0</v>
      </c>
      <c r="I35" s="21"/>
      <c r="J35" s="69"/>
      <c r="K35" s="69"/>
      <c r="L35" s="69"/>
      <c r="M35" s="69"/>
      <c r="N35" s="69"/>
      <c r="O35" s="69"/>
      <c r="P35" s="69"/>
      <c r="Q35" s="69"/>
      <c r="R35" s="21"/>
      <c r="S35" s="21"/>
      <c r="T35" s="21"/>
      <c r="U35" s="21"/>
      <c r="V35" s="21"/>
      <c r="W35" s="21"/>
      <c r="X35" s="21"/>
      <c r="Y35" s="74"/>
      <c r="Z35" s="75"/>
      <c r="AA35" s="78"/>
      <c r="AB35" s="75"/>
      <c r="AC35" s="81"/>
      <c r="AD35" s="75"/>
      <c r="AE35" s="84"/>
      <c r="AF35" s="75"/>
      <c r="AG35" s="87"/>
      <c r="AH35" s="75"/>
      <c r="AI35" s="90"/>
      <c r="AJ35" s="75"/>
    </row>
    <row r="36" spans="1:36" s="28" customFormat="1" ht="37.5" customHeight="1" thickBot="1">
      <c r="A36" s="29" t="s">
        <v>11</v>
      </c>
      <c r="B36" s="30"/>
      <c r="C36" s="30"/>
      <c r="D36" s="24">
        <f>SUM(D21:D35)</f>
        <v>0</v>
      </c>
      <c r="E36" s="24">
        <f t="shared" ref="E36:X36" si="5">SUM(E21:E35)</f>
        <v>0</v>
      </c>
      <c r="F36" s="24">
        <f t="shared" si="5"/>
        <v>0</v>
      </c>
      <c r="G36" s="24">
        <f t="shared" si="5"/>
        <v>0</v>
      </c>
      <c r="H36" s="24">
        <f t="shared" si="5"/>
        <v>0</v>
      </c>
      <c r="I36" s="24">
        <f t="shared" si="5"/>
        <v>0</v>
      </c>
      <c r="J36" s="24">
        <f t="shared" si="5"/>
        <v>0</v>
      </c>
      <c r="K36" s="24">
        <f t="shared" si="5"/>
        <v>0</v>
      </c>
      <c r="L36" s="24">
        <f t="shared" si="5"/>
        <v>0</v>
      </c>
      <c r="M36" s="24">
        <f t="shared" si="5"/>
        <v>0</v>
      </c>
      <c r="N36" s="24">
        <f t="shared" si="5"/>
        <v>0</v>
      </c>
      <c r="O36" s="24">
        <f>SUM(O21:O35)</f>
        <v>0</v>
      </c>
      <c r="P36" s="24">
        <f t="shared" ref="P36:Q36" si="6">SUM(P21:P35)</f>
        <v>0</v>
      </c>
      <c r="Q36" s="24">
        <f t="shared" si="6"/>
        <v>0</v>
      </c>
      <c r="R36" s="24">
        <f t="shared" si="5"/>
        <v>0</v>
      </c>
      <c r="S36" s="24">
        <f t="shared" si="5"/>
        <v>0</v>
      </c>
      <c r="T36" s="24">
        <f t="shared" si="5"/>
        <v>0</v>
      </c>
      <c r="U36" s="24">
        <f t="shared" si="5"/>
        <v>0</v>
      </c>
      <c r="V36" s="24">
        <f t="shared" si="5"/>
        <v>0</v>
      </c>
      <c r="W36" s="24">
        <f t="shared" si="5"/>
        <v>0</v>
      </c>
      <c r="X36" s="24">
        <f t="shared" si="5"/>
        <v>0</v>
      </c>
      <c r="Y36" s="31">
        <f>SUM(Y21:Y35)</f>
        <v>0</v>
      </c>
      <c r="Z36" s="31">
        <f>SUM(Z21:Z35)</f>
        <v>0</v>
      </c>
      <c r="AA36" s="31">
        <f t="shared" ref="AA36:AJ36" si="7">SUM(AA21:AA35)</f>
        <v>0</v>
      </c>
      <c r="AB36" s="31">
        <f t="shared" si="7"/>
        <v>0</v>
      </c>
      <c r="AC36" s="31">
        <f t="shared" si="7"/>
        <v>0</v>
      </c>
      <c r="AD36" s="31">
        <f t="shared" si="7"/>
        <v>0</v>
      </c>
      <c r="AE36" s="31">
        <f t="shared" si="7"/>
        <v>0</v>
      </c>
      <c r="AF36" s="31">
        <f t="shared" si="7"/>
        <v>0</v>
      </c>
      <c r="AG36" s="31">
        <f t="shared" si="7"/>
        <v>0</v>
      </c>
      <c r="AH36" s="31">
        <f t="shared" si="7"/>
        <v>0</v>
      </c>
      <c r="AI36" s="31">
        <f t="shared" si="7"/>
        <v>0</v>
      </c>
      <c r="AJ36" s="31">
        <f t="shared" si="7"/>
        <v>0</v>
      </c>
    </row>
    <row r="37" spans="1:36" s="28" customFormat="1" ht="29.25" customHeight="1">
      <c r="A37" s="25">
        <v>3</v>
      </c>
      <c r="B37" s="27"/>
      <c r="C37" s="27"/>
      <c r="D37" s="21"/>
      <c r="E37" s="21"/>
      <c r="F37" s="21"/>
      <c r="G37" s="21"/>
      <c r="H37" s="21">
        <f t="shared" ref="H37:H51" si="8">I37*2.43</f>
        <v>0</v>
      </c>
      <c r="I37" s="21"/>
      <c r="J37" s="67"/>
      <c r="K37" s="67"/>
      <c r="L37" s="67"/>
      <c r="M37" s="67"/>
      <c r="N37" s="67"/>
      <c r="O37" s="67"/>
      <c r="P37" s="67"/>
      <c r="Q37" s="67"/>
      <c r="R37" s="21"/>
      <c r="S37" s="21"/>
      <c r="T37" s="21"/>
      <c r="U37" s="21"/>
      <c r="V37" s="21"/>
      <c r="W37" s="21"/>
      <c r="X37" s="21"/>
      <c r="Y37" s="70"/>
      <c r="Z37" s="71"/>
      <c r="AA37" s="76"/>
      <c r="AB37" s="71"/>
      <c r="AC37" s="79"/>
      <c r="AD37" s="71"/>
      <c r="AE37" s="82"/>
      <c r="AF37" s="71"/>
      <c r="AG37" s="85"/>
      <c r="AH37" s="71"/>
      <c r="AI37" s="88"/>
      <c r="AJ37" s="71"/>
    </row>
    <row r="38" spans="1:36" s="28" customFormat="1" ht="29.25" customHeight="1">
      <c r="A38" s="25">
        <v>3</v>
      </c>
      <c r="B38" s="27"/>
      <c r="C38" s="32"/>
      <c r="D38" s="21"/>
      <c r="E38" s="21"/>
      <c r="F38" s="21"/>
      <c r="G38" s="21"/>
      <c r="H38" s="21">
        <f t="shared" si="8"/>
        <v>0</v>
      </c>
      <c r="I38" s="21"/>
      <c r="J38" s="68"/>
      <c r="K38" s="67"/>
      <c r="L38" s="67"/>
      <c r="M38" s="67"/>
      <c r="N38" s="67"/>
      <c r="O38" s="67"/>
      <c r="P38" s="67"/>
      <c r="Q38" s="67"/>
      <c r="R38" s="21"/>
      <c r="S38" s="21"/>
      <c r="T38" s="21"/>
      <c r="U38" s="21"/>
      <c r="V38" s="21"/>
      <c r="W38" s="21"/>
      <c r="X38" s="21"/>
      <c r="Y38" s="72"/>
      <c r="Z38" s="73"/>
      <c r="AA38" s="77"/>
      <c r="AB38" s="73"/>
      <c r="AC38" s="80"/>
      <c r="AD38" s="73"/>
      <c r="AE38" s="83"/>
      <c r="AF38" s="73"/>
      <c r="AG38" s="86"/>
      <c r="AH38" s="73"/>
      <c r="AI38" s="89"/>
      <c r="AJ38" s="73"/>
    </row>
    <row r="39" spans="1:36" s="28" customFormat="1" ht="29.25" customHeight="1">
      <c r="A39" s="25">
        <v>3</v>
      </c>
      <c r="B39" s="27"/>
      <c r="C39" s="32"/>
      <c r="D39" s="21"/>
      <c r="E39" s="21"/>
      <c r="F39" s="21"/>
      <c r="G39" s="21"/>
      <c r="H39" s="21">
        <f t="shared" si="8"/>
        <v>0</v>
      </c>
      <c r="I39" s="21"/>
      <c r="J39" s="67"/>
      <c r="K39" s="68"/>
      <c r="L39" s="67"/>
      <c r="M39" s="67"/>
      <c r="N39" s="67"/>
      <c r="O39" s="67"/>
      <c r="P39" s="67"/>
      <c r="Q39" s="67"/>
      <c r="R39" s="21"/>
      <c r="S39" s="21"/>
      <c r="T39" s="21"/>
      <c r="U39" s="21"/>
      <c r="V39" s="21"/>
      <c r="W39" s="21"/>
      <c r="X39" s="21"/>
      <c r="Y39" s="72"/>
      <c r="Z39" s="73"/>
      <c r="AA39" s="77"/>
      <c r="AB39" s="73"/>
      <c r="AC39" s="80"/>
      <c r="AD39" s="73"/>
      <c r="AE39" s="83"/>
      <c r="AF39" s="73"/>
      <c r="AG39" s="86"/>
      <c r="AH39" s="73"/>
      <c r="AI39" s="89"/>
      <c r="AJ39" s="73"/>
    </row>
    <row r="40" spans="1:36" s="28" customFormat="1" ht="29.25" customHeight="1">
      <c r="A40" s="25">
        <v>3</v>
      </c>
      <c r="B40" s="27"/>
      <c r="C40" s="32"/>
      <c r="D40" s="21"/>
      <c r="E40" s="21"/>
      <c r="F40" s="21"/>
      <c r="G40" s="21"/>
      <c r="H40" s="21">
        <f t="shared" si="8"/>
        <v>0</v>
      </c>
      <c r="I40" s="21"/>
      <c r="J40" s="69"/>
      <c r="K40" s="69"/>
      <c r="L40" s="69"/>
      <c r="M40" s="69"/>
      <c r="N40" s="69"/>
      <c r="O40" s="69"/>
      <c r="P40" s="69"/>
      <c r="Q40" s="69"/>
      <c r="R40" s="21"/>
      <c r="S40" s="21"/>
      <c r="T40" s="21"/>
      <c r="U40" s="21"/>
      <c r="V40" s="21"/>
      <c r="W40" s="21"/>
      <c r="X40" s="21"/>
      <c r="Y40" s="72"/>
      <c r="Z40" s="73"/>
      <c r="AA40" s="77"/>
      <c r="AB40" s="73"/>
      <c r="AC40" s="80"/>
      <c r="AD40" s="73"/>
      <c r="AE40" s="83"/>
      <c r="AF40" s="73"/>
      <c r="AG40" s="86"/>
      <c r="AH40" s="73"/>
      <c r="AI40" s="89"/>
      <c r="AJ40" s="73"/>
    </row>
    <row r="41" spans="1:36" s="28" customFormat="1" ht="29.25" customHeight="1">
      <c r="A41" s="25">
        <v>3</v>
      </c>
      <c r="B41" s="27"/>
      <c r="C41" s="32"/>
      <c r="D41" s="21"/>
      <c r="E41" s="21"/>
      <c r="F41" s="21"/>
      <c r="G41" s="21"/>
      <c r="H41" s="21">
        <f t="shared" si="8"/>
        <v>0</v>
      </c>
      <c r="I41" s="21"/>
      <c r="J41" s="69"/>
      <c r="K41" s="69"/>
      <c r="L41" s="69"/>
      <c r="M41" s="69"/>
      <c r="N41" s="69"/>
      <c r="O41" s="69"/>
      <c r="P41" s="69"/>
      <c r="Q41" s="69"/>
      <c r="R41" s="21"/>
      <c r="S41" s="21"/>
      <c r="T41" s="21"/>
      <c r="U41" s="21"/>
      <c r="V41" s="21"/>
      <c r="W41" s="21"/>
      <c r="X41" s="21"/>
      <c r="Y41" s="72"/>
      <c r="Z41" s="73"/>
      <c r="AA41" s="77"/>
      <c r="AB41" s="73"/>
      <c r="AC41" s="80"/>
      <c r="AD41" s="73"/>
      <c r="AE41" s="83"/>
      <c r="AF41" s="73"/>
      <c r="AG41" s="86"/>
      <c r="AH41" s="73"/>
      <c r="AI41" s="89"/>
      <c r="AJ41" s="73"/>
    </row>
    <row r="42" spans="1:36" s="28" customFormat="1" ht="29.25" customHeight="1">
      <c r="A42" s="25">
        <v>3</v>
      </c>
      <c r="B42" s="27"/>
      <c r="C42" s="27"/>
      <c r="D42" s="21"/>
      <c r="E42" s="21"/>
      <c r="F42" s="21"/>
      <c r="G42" s="21"/>
      <c r="H42" s="21">
        <f t="shared" si="8"/>
        <v>0</v>
      </c>
      <c r="I42" s="21"/>
      <c r="J42" s="67"/>
      <c r="K42" s="67"/>
      <c r="L42" s="67"/>
      <c r="M42" s="67"/>
      <c r="N42" s="67"/>
      <c r="O42" s="67"/>
      <c r="P42" s="67"/>
      <c r="Q42" s="67"/>
      <c r="R42" s="21"/>
      <c r="S42" s="21"/>
      <c r="T42" s="21"/>
      <c r="U42" s="21"/>
      <c r="V42" s="21"/>
      <c r="W42" s="21"/>
      <c r="X42" s="21"/>
      <c r="Y42" s="72"/>
      <c r="Z42" s="73"/>
      <c r="AA42" s="77"/>
      <c r="AB42" s="73"/>
      <c r="AC42" s="80"/>
      <c r="AD42" s="73"/>
      <c r="AE42" s="83"/>
      <c r="AF42" s="73"/>
      <c r="AG42" s="86"/>
      <c r="AH42" s="73"/>
      <c r="AI42" s="89"/>
      <c r="AJ42" s="73"/>
    </row>
    <row r="43" spans="1:36" s="28" customFormat="1" ht="29.25" customHeight="1">
      <c r="A43" s="25">
        <v>3</v>
      </c>
      <c r="B43" s="27"/>
      <c r="C43" s="32"/>
      <c r="D43" s="21"/>
      <c r="E43" s="21"/>
      <c r="F43" s="21"/>
      <c r="G43" s="21"/>
      <c r="H43" s="21">
        <f t="shared" si="8"/>
        <v>0</v>
      </c>
      <c r="I43" s="21"/>
      <c r="J43" s="67"/>
      <c r="K43" s="67"/>
      <c r="L43" s="67"/>
      <c r="M43" s="67"/>
      <c r="N43" s="67"/>
      <c r="O43" s="67"/>
      <c r="P43" s="67"/>
      <c r="Q43" s="67"/>
      <c r="R43" s="21"/>
      <c r="S43" s="21"/>
      <c r="T43" s="21"/>
      <c r="U43" s="21"/>
      <c r="V43" s="21"/>
      <c r="W43" s="21"/>
      <c r="X43" s="21"/>
      <c r="Y43" s="72"/>
      <c r="Z43" s="73"/>
      <c r="AA43" s="77"/>
      <c r="AB43" s="73"/>
      <c r="AC43" s="80"/>
      <c r="AD43" s="73"/>
      <c r="AE43" s="83"/>
      <c r="AF43" s="73"/>
      <c r="AG43" s="86"/>
      <c r="AH43" s="73"/>
      <c r="AI43" s="89"/>
      <c r="AJ43" s="73"/>
    </row>
    <row r="44" spans="1:36" s="28" customFormat="1" ht="29.25" customHeight="1">
      <c r="A44" s="25">
        <v>3</v>
      </c>
      <c r="B44" s="27"/>
      <c r="C44" s="32"/>
      <c r="D44" s="21"/>
      <c r="E44" s="21"/>
      <c r="F44" s="21"/>
      <c r="G44" s="21"/>
      <c r="H44" s="21">
        <f t="shared" si="8"/>
        <v>0</v>
      </c>
      <c r="I44" s="21"/>
      <c r="J44" s="67"/>
      <c r="K44" s="67"/>
      <c r="L44" s="67"/>
      <c r="M44" s="67"/>
      <c r="N44" s="67"/>
      <c r="O44" s="67"/>
      <c r="P44" s="67"/>
      <c r="Q44" s="67"/>
      <c r="R44" s="21"/>
      <c r="S44" s="21"/>
      <c r="T44" s="21"/>
      <c r="U44" s="21"/>
      <c r="V44" s="21"/>
      <c r="W44" s="21"/>
      <c r="X44" s="21"/>
      <c r="Y44" s="72"/>
      <c r="Z44" s="73"/>
      <c r="AA44" s="77"/>
      <c r="AB44" s="73"/>
      <c r="AC44" s="80"/>
      <c r="AD44" s="73"/>
      <c r="AE44" s="83"/>
      <c r="AF44" s="73"/>
      <c r="AG44" s="86"/>
      <c r="AH44" s="73"/>
      <c r="AI44" s="89"/>
      <c r="AJ44" s="73"/>
    </row>
    <row r="45" spans="1:36" s="28" customFormat="1" ht="29.25" customHeight="1">
      <c r="A45" s="25">
        <v>3</v>
      </c>
      <c r="B45" s="27"/>
      <c r="C45" s="32"/>
      <c r="D45" s="21"/>
      <c r="E45" s="21"/>
      <c r="F45" s="21"/>
      <c r="G45" s="21"/>
      <c r="H45" s="21">
        <f t="shared" si="8"/>
        <v>0</v>
      </c>
      <c r="I45" s="21"/>
      <c r="J45" s="67"/>
      <c r="K45" s="67"/>
      <c r="L45" s="67"/>
      <c r="M45" s="67"/>
      <c r="N45" s="67"/>
      <c r="O45" s="67"/>
      <c r="P45" s="67"/>
      <c r="Q45" s="67"/>
      <c r="R45" s="21"/>
      <c r="S45" s="21"/>
      <c r="T45" s="21"/>
      <c r="U45" s="21"/>
      <c r="V45" s="21"/>
      <c r="W45" s="21"/>
      <c r="X45" s="21"/>
      <c r="Y45" s="72"/>
      <c r="Z45" s="73"/>
      <c r="AA45" s="77"/>
      <c r="AB45" s="73"/>
      <c r="AC45" s="80"/>
      <c r="AD45" s="73"/>
      <c r="AE45" s="83"/>
      <c r="AF45" s="73"/>
      <c r="AG45" s="86"/>
      <c r="AH45" s="73"/>
      <c r="AI45" s="89"/>
      <c r="AJ45" s="73"/>
    </row>
    <row r="46" spans="1:36" s="28" customFormat="1" ht="29.25" customHeight="1">
      <c r="A46" s="25">
        <v>3</v>
      </c>
      <c r="B46" s="27"/>
      <c r="C46" s="32"/>
      <c r="D46" s="21"/>
      <c r="E46" s="21"/>
      <c r="F46" s="21"/>
      <c r="G46" s="21"/>
      <c r="H46" s="21">
        <f t="shared" si="8"/>
        <v>0</v>
      </c>
      <c r="I46" s="21"/>
      <c r="J46" s="67"/>
      <c r="K46" s="67"/>
      <c r="L46" s="67"/>
      <c r="M46" s="67"/>
      <c r="N46" s="67"/>
      <c r="O46" s="67"/>
      <c r="P46" s="67"/>
      <c r="Q46" s="67"/>
      <c r="R46" s="21"/>
      <c r="S46" s="21"/>
      <c r="T46" s="21"/>
      <c r="U46" s="21"/>
      <c r="V46" s="21"/>
      <c r="W46" s="21"/>
      <c r="X46" s="21"/>
      <c r="Y46" s="72"/>
      <c r="Z46" s="73"/>
      <c r="AA46" s="77"/>
      <c r="AB46" s="73"/>
      <c r="AC46" s="80"/>
      <c r="AD46" s="73"/>
      <c r="AE46" s="83"/>
      <c r="AF46" s="73"/>
      <c r="AG46" s="86"/>
      <c r="AH46" s="73"/>
      <c r="AI46" s="89"/>
      <c r="AJ46" s="73"/>
    </row>
    <row r="47" spans="1:36" s="28" customFormat="1" ht="29.25" customHeight="1">
      <c r="A47" s="25">
        <v>3</v>
      </c>
      <c r="B47" s="27"/>
      <c r="C47" s="32"/>
      <c r="D47" s="21"/>
      <c r="E47" s="21"/>
      <c r="F47" s="21"/>
      <c r="G47" s="21"/>
      <c r="H47" s="21">
        <f t="shared" si="8"/>
        <v>0</v>
      </c>
      <c r="I47" s="21"/>
      <c r="J47" s="67"/>
      <c r="K47" s="67"/>
      <c r="L47" s="67"/>
      <c r="M47" s="67"/>
      <c r="N47" s="67"/>
      <c r="O47" s="67"/>
      <c r="P47" s="67"/>
      <c r="Q47" s="67"/>
      <c r="R47" s="21"/>
      <c r="S47" s="21"/>
      <c r="T47" s="21"/>
      <c r="U47" s="21"/>
      <c r="V47" s="21"/>
      <c r="W47" s="21"/>
      <c r="X47" s="21"/>
      <c r="Y47" s="72"/>
      <c r="Z47" s="73"/>
      <c r="AA47" s="77"/>
      <c r="AB47" s="73"/>
      <c r="AC47" s="80"/>
      <c r="AD47" s="73"/>
      <c r="AE47" s="83"/>
      <c r="AF47" s="73"/>
      <c r="AG47" s="86"/>
      <c r="AH47" s="73"/>
      <c r="AI47" s="89"/>
      <c r="AJ47" s="73"/>
    </row>
    <row r="48" spans="1:36" s="28" customFormat="1" ht="29.25" customHeight="1">
      <c r="A48" s="25">
        <v>3</v>
      </c>
      <c r="B48" s="27"/>
      <c r="C48" s="32"/>
      <c r="D48" s="21"/>
      <c r="E48" s="21"/>
      <c r="F48" s="21"/>
      <c r="G48" s="21"/>
      <c r="H48" s="21">
        <f t="shared" si="8"/>
        <v>0</v>
      </c>
      <c r="I48" s="21"/>
      <c r="J48" s="67"/>
      <c r="K48" s="67"/>
      <c r="L48" s="67"/>
      <c r="M48" s="67"/>
      <c r="N48" s="67"/>
      <c r="O48" s="67"/>
      <c r="P48" s="67"/>
      <c r="Q48" s="67"/>
      <c r="R48" s="21"/>
      <c r="S48" s="21"/>
      <c r="T48" s="21"/>
      <c r="U48" s="21"/>
      <c r="V48" s="21"/>
      <c r="W48" s="21"/>
      <c r="X48" s="21"/>
      <c r="Y48" s="72"/>
      <c r="Z48" s="73"/>
      <c r="AA48" s="77"/>
      <c r="AB48" s="73"/>
      <c r="AC48" s="80"/>
      <c r="AD48" s="73"/>
      <c r="AE48" s="83"/>
      <c r="AF48" s="73"/>
      <c r="AG48" s="86"/>
      <c r="AH48" s="73"/>
      <c r="AI48" s="89"/>
      <c r="AJ48" s="73"/>
    </row>
    <row r="49" spans="1:39" s="28" customFormat="1" ht="29.25" customHeight="1">
      <c r="A49" s="25">
        <v>3</v>
      </c>
      <c r="B49" s="27"/>
      <c r="C49" s="32"/>
      <c r="D49" s="21"/>
      <c r="E49" s="21"/>
      <c r="F49" s="21"/>
      <c r="G49" s="21"/>
      <c r="H49" s="21">
        <f t="shared" si="8"/>
        <v>0</v>
      </c>
      <c r="I49" s="21"/>
      <c r="J49" s="67"/>
      <c r="K49" s="67"/>
      <c r="L49" s="67"/>
      <c r="M49" s="67"/>
      <c r="N49" s="67"/>
      <c r="O49" s="67"/>
      <c r="P49" s="67"/>
      <c r="Q49" s="67"/>
      <c r="R49" s="21"/>
      <c r="S49" s="21"/>
      <c r="T49" s="21"/>
      <c r="U49" s="21"/>
      <c r="V49" s="21"/>
      <c r="W49" s="21"/>
      <c r="X49" s="21"/>
      <c r="Y49" s="72"/>
      <c r="Z49" s="73"/>
      <c r="AA49" s="77"/>
      <c r="AB49" s="73"/>
      <c r="AC49" s="80"/>
      <c r="AD49" s="73"/>
      <c r="AE49" s="83"/>
      <c r="AF49" s="73"/>
      <c r="AG49" s="86"/>
      <c r="AH49" s="73"/>
      <c r="AI49" s="89"/>
      <c r="AJ49" s="73"/>
    </row>
    <row r="50" spans="1:39" s="28" customFormat="1" ht="29.25" customHeight="1">
      <c r="A50" s="25">
        <v>3</v>
      </c>
      <c r="B50" s="27"/>
      <c r="C50" s="32"/>
      <c r="D50" s="21"/>
      <c r="E50" s="21"/>
      <c r="F50" s="21"/>
      <c r="G50" s="21"/>
      <c r="H50" s="21">
        <f t="shared" si="8"/>
        <v>0</v>
      </c>
      <c r="I50" s="21"/>
      <c r="J50" s="69"/>
      <c r="K50" s="69"/>
      <c r="L50" s="69"/>
      <c r="M50" s="69"/>
      <c r="N50" s="69"/>
      <c r="O50" s="69"/>
      <c r="P50" s="69"/>
      <c r="Q50" s="69"/>
      <c r="R50" s="21"/>
      <c r="S50" s="21"/>
      <c r="T50" s="21"/>
      <c r="U50" s="21"/>
      <c r="V50" s="21"/>
      <c r="W50" s="21"/>
      <c r="X50" s="21"/>
      <c r="Y50" s="72"/>
      <c r="Z50" s="73"/>
      <c r="AA50" s="77"/>
      <c r="AB50" s="73"/>
      <c r="AC50" s="80"/>
      <c r="AD50" s="73"/>
      <c r="AE50" s="83"/>
      <c r="AF50" s="73"/>
      <c r="AG50" s="86"/>
      <c r="AH50" s="73"/>
      <c r="AI50" s="89"/>
      <c r="AJ50" s="73"/>
    </row>
    <row r="51" spans="1:39" s="28" customFormat="1" ht="29.25" customHeight="1" thickBot="1">
      <c r="A51" s="25">
        <v>3</v>
      </c>
      <c r="B51" s="27"/>
      <c r="C51" s="32"/>
      <c r="D51" s="21"/>
      <c r="E51" s="21"/>
      <c r="F51" s="21"/>
      <c r="G51" s="21"/>
      <c r="H51" s="21">
        <f t="shared" si="8"/>
        <v>0</v>
      </c>
      <c r="I51" s="21"/>
      <c r="J51" s="69"/>
      <c r="K51" s="69"/>
      <c r="L51" s="69"/>
      <c r="M51" s="69"/>
      <c r="N51" s="69"/>
      <c r="O51" s="69"/>
      <c r="P51" s="69"/>
      <c r="Q51" s="69"/>
      <c r="R51" s="21"/>
      <c r="S51" s="21"/>
      <c r="T51" s="21"/>
      <c r="U51" s="21"/>
      <c r="V51" s="21"/>
      <c r="W51" s="21"/>
      <c r="X51" s="21"/>
      <c r="Y51" s="74"/>
      <c r="Z51" s="75"/>
      <c r="AA51" s="78"/>
      <c r="AB51" s="75"/>
      <c r="AC51" s="81"/>
      <c r="AD51" s="75"/>
      <c r="AE51" s="84"/>
      <c r="AF51" s="75"/>
      <c r="AG51" s="87"/>
      <c r="AH51" s="75"/>
      <c r="AI51" s="90"/>
      <c r="AJ51" s="75"/>
    </row>
    <row r="52" spans="1:39" s="28" customFormat="1" ht="30" customHeight="1" thickBot="1">
      <c r="A52" s="29" t="s">
        <v>11</v>
      </c>
      <c r="B52" s="30"/>
      <c r="C52" s="30"/>
      <c r="D52" s="24">
        <f>SUM(D37:D51)</f>
        <v>0</v>
      </c>
      <c r="E52" s="24">
        <f t="shared" ref="E52:X52" si="9">SUM(E37:E51)</f>
        <v>0</v>
      </c>
      <c r="F52" s="24">
        <f t="shared" si="9"/>
        <v>0</v>
      </c>
      <c r="G52" s="24">
        <f t="shared" si="9"/>
        <v>0</v>
      </c>
      <c r="H52" s="24">
        <f t="shared" si="9"/>
        <v>0</v>
      </c>
      <c r="I52" s="24">
        <f t="shared" si="9"/>
        <v>0</v>
      </c>
      <c r="J52" s="24">
        <f t="shared" si="9"/>
        <v>0</v>
      </c>
      <c r="K52" s="24">
        <f t="shared" si="9"/>
        <v>0</v>
      </c>
      <c r="L52" s="24">
        <f t="shared" si="9"/>
        <v>0</v>
      </c>
      <c r="M52" s="24">
        <f t="shared" si="9"/>
        <v>0</v>
      </c>
      <c r="N52" s="24">
        <f t="shared" si="9"/>
        <v>0</v>
      </c>
      <c r="O52" s="24">
        <f t="shared" si="9"/>
        <v>0</v>
      </c>
      <c r="P52" s="24">
        <f t="shared" ref="P52:Q52" si="10">SUM(P37:P51)</f>
        <v>0</v>
      </c>
      <c r="Q52" s="24">
        <f t="shared" si="10"/>
        <v>0</v>
      </c>
      <c r="R52" s="24">
        <f t="shared" si="9"/>
        <v>0</v>
      </c>
      <c r="S52" s="24">
        <f t="shared" si="9"/>
        <v>0</v>
      </c>
      <c r="T52" s="24">
        <f t="shared" si="9"/>
        <v>0</v>
      </c>
      <c r="U52" s="24">
        <f t="shared" si="9"/>
        <v>0</v>
      </c>
      <c r="V52" s="24">
        <f t="shared" si="9"/>
        <v>0</v>
      </c>
      <c r="W52" s="24">
        <f t="shared" si="9"/>
        <v>0</v>
      </c>
      <c r="X52" s="24">
        <f t="shared" si="9"/>
        <v>0</v>
      </c>
      <c r="Y52" s="31">
        <f>SUM(Y37:Y51)</f>
        <v>0</v>
      </c>
      <c r="Z52" s="31">
        <f>SUM(Z37:Z51)</f>
        <v>0</v>
      </c>
      <c r="AA52" s="31">
        <f t="shared" ref="AA52:AJ52" si="11">SUM(AA37:AA51)</f>
        <v>0</v>
      </c>
      <c r="AB52" s="31">
        <f t="shared" si="11"/>
        <v>0</v>
      </c>
      <c r="AC52" s="31">
        <f t="shared" si="11"/>
        <v>0</v>
      </c>
      <c r="AD52" s="31">
        <f t="shared" si="11"/>
        <v>0</v>
      </c>
      <c r="AE52" s="31">
        <f t="shared" si="11"/>
        <v>0</v>
      </c>
      <c r="AF52" s="31">
        <f t="shared" si="11"/>
        <v>0</v>
      </c>
      <c r="AG52" s="31">
        <f t="shared" si="11"/>
        <v>0</v>
      </c>
      <c r="AH52" s="31">
        <f t="shared" si="11"/>
        <v>0</v>
      </c>
      <c r="AI52" s="31">
        <f t="shared" si="11"/>
        <v>0</v>
      </c>
      <c r="AJ52" s="31">
        <f t="shared" si="11"/>
        <v>0</v>
      </c>
      <c r="AK52" s="33" t="s">
        <v>32</v>
      </c>
      <c r="AL52" s="34" t="s">
        <v>30</v>
      </c>
      <c r="AM52" s="35" t="s">
        <v>31</v>
      </c>
    </row>
    <row r="53" spans="1:39" s="28" customFormat="1" ht="30" customHeight="1" thickBot="1">
      <c r="A53" s="25"/>
      <c r="B53" s="27"/>
      <c r="C53" s="27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53" t="s">
        <v>33</v>
      </c>
      <c r="AL53" s="37">
        <f>AC54</f>
        <v>0</v>
      </c>
      <c r="AM53" s="38">
        <f>AD54</f>
        <v>0</v>
      </c>
    </row>
    <row r="54" spans="1:39" s="28" customFormat="1" ht="30" customHeight="1" thickBot="1">
      <c r="A54" s="56" t="s">
        <v>15</v>
      </c>
      <c r="B54" s="39"/>
      <c r="C54" s="40"/>
      <c r="D54" s="41">
        <f>D52+D36+D20</f>
        <v>0</v>
      </c>
      <c r="E54" s="41">
        <f t="shared" ref="E54:AJ54" si="12">E52+E36+E20</f>
        <v>0</v>
      </c>
      <c r="F54" s="41">
        <f t="shared" si="12"/>
        <v>0</v>
      </c>
      <c r="G54" s="41">
        <f t="shared" si="12"/>
        <v>0</v>
      </c>
      <c r="H54" s="91">
        <f t="shared" si="12"/>
        <v>0</v>
      </c>
      <c r="I54" s="41">
        <f t="shared" si="12"/>
        <v>0</v>
      </c>
      <c r="J54" s="41">
        <f t="shared" si="12"/>
        <v>0</v>
      </c>
      <c r="K54" s="41">
        <f t="shared" si="12"/>
        <v>0</v>
      </c>
      <c r="L54" s="41">
        <f t="shared" si="12"/>
        <v>0</v>
      </c>
      <c r="M54" s="41">
        <f t="shared" si="12"/>
        <v>0</v>
      </c>
      <c r="N54" s="41">
        <f t="shared" si="12"/>
        <v>0</v>
      </c>
      <c r="O54" s="41">
        <f t="shared" si="12"/>
        <v>0</v>
      </c>
      <c r="P54" s="41">
        <f t="shared" ref="P54:Q54" si="13">P52+P36+P20</f>
        <v>0</v>
      </c>
      <c r="Q54" s="41">
        <f t="shared" si="13"/>
        <v>0</v>
      </c>
      <c r="R54" s="41">
        <f t="shared" si="12"/>
        <v>0</v>
      </c>
      <c r="S54" s="41">
        <f t="shared" si="12"/>
        <v>0</v>
      </c>
      <c r="T54" s="41">
        <f t="shared" si="12"/>
        <v>0</v>
      </c>
      <c r="U54" s="41">
        <f t="shared" si="12"/>
        <v>0</v>
      </c>
      <c r="V54" s="41">
        <f t="shared" si="12"/>
        <v>0</v>
      </c>
      <c r="W54" s="41">
        <f t="shared" si="12"/>
        <v>0</v>
      </c>
      <c r="X54" s="41">
        <f t="shared" si="12"/>
        <v>0</v>
      </c>
      <c r="Y54" s="42">
        <f t="shared" si="12"/>
        <v>0</v>
      </c>
      <c r="Z54" s="43">
        <f t="shared" si="12"/>
        <v>0</v>
      </c>
      <c r="AA54" s="42">
        <f t="shared" si="12"/>
        <v>0</v>
      </c>
      <c r="AB54" s="43">
        <f t="shared" si="12"/>
        <v>0</v>
      </c>
      <c r="AC54" s="42">
        <f>AC52+AC36+AC20</f>
        <v>0</v>
      </c>
      <c r="AD54" s="43">
        <f t="shared" si="12"/>
        <v>0</v>
      </c>
      <c r="AE54" s="42">
        <f t="shared" si="12"/>
        <v>0</v>
      </c>
      <c r="AF54" s="43">
        <f t="shared" si="12"/>
        <v>0</v>
      </c>
      <c r="AG54" s="42">
        <f t="shared" si="12"/>
        <v>0</v>
      </c>
      <c r="AH54" s="43">
        <f t="shared" si="12"/>
        <v>0</v>
      </c>
      <c r="AI54" s="42">
        <f t="shared" si="12"/>
        <v>0</v>
      </c>
      <c r="AJ54" s="43">
        <f t="shared" si="12"/>
        <v>0</v>
      </c>
      <c r="AK54" s="54" t="s">
        <v>26</v>
      </c>
      <c r="AL54" s="44">
        <f>AE54</f>
        <v>0</v>
      </c>
      <c r="AM54" s="45">
        <f>AF54</f>
        <v>0</v>
      </c>
    </row>
    <row r="55" spans="1:39" s="46" customFormat="1" ht="30" customHeight="1">
      <c r="B55" s="47"/>
      <c r="C55" s="4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AK55" s="54" t="s">
        <v>27</v>
      </c>
      <c r="AL55" s="44">
        <f>AG54</f>
        <v>0</v>
      </c>
      <c r="AM55" s="45">
        <f>AH54</f>
        <v>0</v>
      </c>
    </row>
    <row r="56" spans="1:39" s="46" customFormat="1" ht="30" customHeight="1">
      <c r="A56" s="16"/>
      <c r="B56" s="17"/>
      <c r="C56" s="49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AK56" s="54" t="s">
        <v>34</v>
      </c>
      <c r="AL56" s="44">
        <f>Y54</f>
        <v>0</v>
      </c>
      <c r="AM56" s="45">
        <f>Z54</f>
        <v>0</v>
      </c>
    </row>
    <row r="57" spans="1:39" s="16" customFormat="1" ht="30" customHeight="1">
      <c r="B57" s="17"/>
      <c r="AK57" s="54" t="s">
        <v>29</v>
      </c>
      <c r="AL57" s="14">
        <f>AA54</f>
        <v>0</v>
      </c>
      <c r="AM57" s="15">
        <f>AB54</f>
        <v>0</v>
      </c>
    </row>
    <row r="58" spans="1:39" s="16" customFormat="1" ht="30" customHeight="1" thickBot="1">
      <c r="B58" s="17"/>
      <c r="AK58" s="55" t="s">
        <v>35</v>
      </c>
      <c r="AL58" s="18">
        <f>AI54</f>
        <v>0</v>
      </c>
      <c r="AM58" s="19">
        <f>AJ54</f>
        <v>0</v>
      </c>
    </row>
    <row r="59" spans="1:39" s="16" customFormat="1" ht="30" customHeight="1">
      <c r="B59" s="17"/>
    </row>
    <row r="60" spans="1:39" s="12" customFormat="1" ht="11.25" customHeight="1">
      <c r="B60" s="13"/>
    </row>
    <row r="61" spans="1:39" s="12" customFormat="1">
      <c r="B61" s="13"/>
      <c r="J61" s="12" t="s">
        <v>18</v>
      </c>
    </row>
    <row r="62" spans="1:39" s="12" customFormat="1">
      <c r="B62" s="13"/>
    </row>
    <row r="63" spans="1:39" s="12" customFormat="1">
      <c r="B63" s="13"/>
    </row>
    <row r="64" spans="1:39" s="12" customFormat="1">
      <c r="B64" s="13"/>
    </row>
  </sheetData>
  <mergeCells count="20">
    <mergeCell ref="AI2:AJ3"/>
    <mergeCell ref="J2:K2"/>
    <mergeCell ref="M2:N2"/>
    <mergeCell ref="R2:U2"/>
    <mergeCell ref="V2:V3"/>
    <mergeCell ref="W2:W3"/>
    <mergeCell ref="X2:X3"/>
    <mergeCell ref="Y2:Z3"/>
    <mergeCell ref="AA2:AB3"/>
    <mergeCell ref="AC2:AD3"/>
    <mergeCell ref="AE2:AF3"/>
    <mergeCell ref="AG2:AH3"/>
    <mergeCell ref="G2:G3"/>
    <mergeCell ref="H2:H3"/>
    <mergeCell ref="A1:B1"/>
    <mergeCell ref="C1:D1"/>
    <mergeCell ref="I2:I3"/>
    <mergeCell ref="A2:A4"/>
    <mergeCell ref="B2:B4"/>
    <mergeCell ref="C2:C4"/>
  </mergeCells>
  <pageMargins left="0.196850393700787" right="0.196850393700787" top="0.196850393700787" bottom="0.196850393700787" header="0.31496062992126" footer="0.31496062992126"/>
  <pageSetup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4"/>
  <sheetViews>
    <sheetView zoomScale="85" zoomScaleNormal="85" workbookViewId="0">
      <pane xSplit="5" ySplit="5" topLeftCell="AE6" activePane="bottomRight" state="frozen"/>
      <selection activeCell="AD26" sqref="AD26"/>
      <selection pane="topRight" activeCell="AD26" sqref="AD26"/>
      <selection pane="bottomLeft" activeCell="AD26" sqref="AD26"/>
      <selection pane="bottomRight" activeCell="AI9" sqref="AI9"/>
    </sheetView>
  </sheetViews>
  <sheetFormatPr defaultColWidth="9.140625" defaultRowHeight="18"/>
  <cols>
    <col min="1" max="1" width="9.85546875" style="7" customWidth="1"/>
    <col min="2" max="3" width="21.140625" style="6" customWidth="1"/>
    <col min="4" max="4" width="10" style="6" customWidth="1"/>
    <col min="5" max="5" width="33.140625" style="3" bestFit="1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2" width="12.140625" style="1" customWidth="1"/>
    <col min="13" max="13" width="14" style="1" customWidth="1"/>
    <col min="14" max="14" width="11.140625" style="1" customWidth="1"/>
    <col min="15" max="16" width="11.140625" style="1" hidden="1" customWidth="1"/>
    <col min="17" max="17" width="11.140625" style="1" customWidth="1"/>
    <col min="18" max="18" width="10.7109375" style="1" hidden="1" customWidth="1"/>
    <col min="19" max="19" width="8.7109375" style="1" hidden="1" customWidth="1"/>
    <col min="20" max="20" width="9.85546875" style="1" hidden="1" customWidth="1"/>
    <col min="21" max="21" width="11.140625" style="1" customWidth="1"/>
    <col min="22" max="23" width="11.140625" style="1" hidden="1" customWidth="1"/>
    <col min="24" max="24" width="11.140625" style="1" customWidth="1"/>
    <col min="25" max="27" width="10.5703125" style="1" bestFit="1" customWidth="1"/>
    <col min="28" max="28" width="11.140625" style="1" customWidth="1"/>
    <col min="29" max="29" width="8.85546875" style="1" customWidth="1"/>
    <col min="30" max="31" width="11.140625" style="1" customWidth="1"/>
    <col min="32" max="43" width="11.28515625" style="1" customWidth="1"/>
    <col min="44" max="44" width="32.7109375" style="1" bestFit="1" customWidth="1"/>
    <col min="45" max="46" width="10.5703125" style="1" bestFit="1" customWidth="1"/>
    <col min="47" max="47" width="9.140625" style="1"/>
    <col min="48" max="48" width="9.5703125" style="1" bestFit="1" customWidth="1"/>
    <col min="49" max="16384" width="9.140625" style="1"/>
  </cols>
  <sheetData>
    <row r="1" spans="1:48" s="4" customFormat="1" ht="44.25" customHeight="1">
      <c r="A1" s="359" t="s">
        <v>24</v>
      </c>
      <c r="B1" s="359"/>
      <c r="C1" s="371">
        <f>TOTAL!D3</f>
        <v>46153</v>
      </c>
      <c r="D1" s="371"/>
      <c r="E1" s="371"/>
      <c r="F1" s="96"/>
      <c r="G1" s="96"/>
      <c r="H1" s="96"/>
      <c r="I1" s="96"/>
      <c r="J1" s="96"/>
      <c r="K1" s="96"/>
      <c r="N1" s="386" t="s">
        <v>98</v>
      </c>
      <c r="O1" s="386"/>
      <c r="P1" s="386"/>
      <c r="Q1" s="386"/>
      <c r="R1" s="386"/>
    </row>
    <row r="2" spans="1:48" s="4" customFormat="1" ht="15.75" customHeight="1">
      <c r="A2" s="122"/>
      <c r="B2" s="122"/>
      <c r="C2" s="123"/>
      <c r="D2" s="274"/>
      <c r="E2" s="123"/>
      <c r="F2" s="8"/>
      <c r="G2" s="8"/>
      <c r="H2" s="8"/>
      <c r="I2" s="8"/>
      <c r="J2" s="8"/>
      <c r="K2" s="8"/>
      <c r="L2" s="124"/>
      <c r="M2" s="124"/>
      <c r="N2" s="124"/>
      <c r="O2" s="125"/>
      <c r="P2" s="125"/>
    </row>
    <row r="3" spans="1:48" s="2" customFormat="1" ht="31.5" customHeight="1">
      <c r="A3" s="334" t="s">
        <v>12</v>
      </c>
      <c r="B3" s="334" t="s">
        <v>13</v>
      </c>
      <c r="C3" s="334" t="s">
        <v>57</v>
      </c>
      <c r="D3" s="337" t="s">
        <v>101</v>
      </c>
      <c r="E3" s="323" t="s">
        <v>0</v>
      </c>
      <c r="F3" s="180" t="s">
        <v>21</v>
      </c>
      <c r="G3" s="181" t="s">
        <v>14</v>
      </c>
      <c r="H3" s="181" t="s">
        <v>71</v>
      </c>
      <c r="I3" s="181" t="s">
        <v>117</v>
      </c>
      <c r="J3" s="182" t="s">
        <v>14</v>
      </c>
      <c r="K3" s="182" t="s">
        <v>14</v>
      </c>
      <c r="L3" s="326" t="s">
        <v>2</v>
      </c>
      <c r="M3" s="327" t="s">
        <v>22</v>
      </c>
      <c r="N3" s="326" t="s">
        <v>3</v>
      </c>
      <c r="O3" s="320" t="s">
        <v>4</v>
      </c>
      <c r="P3" s="321"/>
      <c r="Q3" s="181" t="s">
        <v>5</v>
      </c>
      <c r="R3" s="320" t="s">
        <v>17</v>
      </c>
      <c r="S3" s="321"/>
      <c r="T3" s="229" t="s">
        <v>5</v>
      </c>
      <c r="U3" s="181" t="s">
        <v>5</v>
      </c>
      <c r="V3" s="181" t="s">
        <v>68</v>
      </c>
      <c r="W3" s="181" t="s">
        <v>56</v>
      </c>
      <c r="X3" s="356" t="s">
        <v>6</v>
      </c>
      <c r="Y3" s="356"/>
      <c r="Z3" s="356"/>
      <c r="AA3" s="356"/>
      <c r="AB3" s="327" t="s">
        <v>19</v>
      </c>
      <c r="AC3" s="327" t="s">
        <v>7</v>
      </c>
      <c r="AD3" s="327" t="s">
        <v>20</v>
      </c>
      <c r="AE3" s="162"/>
      <c r="AF3" s="361" t="s">
        <v>28</v>
      </c>
      <c r="AG3" s="361"/>
      <c r="AH3" s="310" t="s">
        <v>29</v>
      </c>
      <c r="AI3" s="311"/>
      <c r="AJ3" s="310" t="s">
        <v>25</v>
      </c>
      <c r="AK3" s="311"/>
      <c r="AL3" s="310" t="s">
        <v>26</v>
      </c>
      <c r="AM3" s="311"/>
      <c r="AN3" s="310" t="s">
        <v>27</v>
      </c>
      <c r="AO3" s="311"/>
      <c r="AP3" s="310" t="s">
        <v>41</v>
      </c>
      <c r="AQ3" s="311"/>
      <c r="AR3" s="50"/>
    </row>
    <row r="4" spans="1:48" s="2" customFormat="1" ht="21" customHeight="1">
      <c r="A4" s="335"/>
      <c r="B4" s="335"/>
      <c r="C4" s="335"/>
      <c r="D4" s="338"/>
      <c r="E4" s="324"/>
      <c r="F4" s="182">
        <v>208</v>
      </c>
      <c r="G4" s="182">
        <v>38</v>
      </c>
      <c r="H4" s="182">
        <v>200</v>
      </c>
      <c r="I4" s="182">
        <v>200</v>
      </c>
      <c r="J4" s="182">
        <v>135</v>
      </c>
      <c r="K4" s="182">
        <v>215</v>
      </c>
      <c r="L4" s="326"/>
      <c r="M4" s="328"/>
      <c r="N4" s="326"/>
      <c r="O4" s="180">
        <v>2.4</v>
      </c>
      <c r="P4" s="180">
        <v>3.6</v>
      </c>
      <c r="Q4" s="180">
        <v>3.6</v>
      </c>
      <c r="R4" s="181">
        <v>2.4</v>
      </c>
      <c r="S4" s="181">
        <v>3.6</v>
      </c>
      <c r="T4" s="181">
        <v>4.9000000000000004</v>
      </c>
      <c r="U4" s="180">
        <v>2.4</v>
      </c>
      <c r="V4" s="180">
        <v>2.4</v>
      </c>
      <c r="W4" s="180"/>
      <c r="X4" s="182">
        <v>5</v>
      </c>
      <c r="Y4" s="182">
        <v>10</v>
      </c>
      <c r="Z4" s="253" t="s">
        <v>96</v>
      </c>
      <c r="AA4" s="182">
        <v>40</v>
      </c>
      <c r="AB4" s="328"/>
      <c r="AC4" s="328"/>
      <c r="AD4" s="328"/>
      <c r="AE4" s="162"/>
      <c r="AF4" s="361"/>
      <c r="AG4" s="361"/>
      <c r="AH4" s="312"/>
      <c r="AI4" s="313"/>
      <c r="AJ4" s="312"/>
      <c r="AK4" s="313"/>
      <c r="AL4" s="312"/>
      <c r="AM4" s="313"/>
      <c r="AN4" s="312"/>
      <c r="AO4" s="313"/>
      <c r="AP4" s="312"/>
      <c r="AQ4" s="313"/>
      <c r="AR4" s="50"/>
    </row>
    <row r="5" spans="1:48" s="2" customFormat="1" ht="24" customHeight="1">
      <c r="A5" s="336"/>
      <c r="B5" s="336"/>
      <c r="C5" s="336"/>
      <c r="D5" s="339"/>
      <c r="E5" s="325"/>
      <c r="F5" s="182" t="s">
        <v>8</v>
      </c>
      <c r="G5" s="182" t="s">
        <v>8</v>
      </c>
      <c r="H5" s="182" t="s">
        <v>8</v>
      </c>
      <c r="I5" s="182" t="s">
        <v>8</v>
      </c>
      <c r="J5" s="182" t="s">
        <v>8</v>
      </c>
      <c r="K5" s="182" t="s">
        <v>8</v>
      </c>
      <c r="L5" s="182" t="s">
        <v>9</v>
      </c>
      <c r="M5" s="182" t="s">
        <v>23</v>
      </c>
      <c r="N5" s="182" t="s">
        <v>8</v>
      </c>
      <c r="O5" s="182" t="s">
        <v>8</v>
      </c>
      <c r="P5" s="182" t="s">
        <v>8</v>
      </c>
      <c r="Q5" s="182" t="s">
        <v>8</v>
      </c>
      <c r="R5" s="182" t="s">
        <v>8</v>
      </c>
      <c r="S5" s="182" t="s">
        <v>8</v>
      </c>
      <c r="T5" s="182" t="s">
        <v>8</v>
      </c>
      <c r="U5" s="182" t="s">
        <v>8</v>
      </c>
      <c r="V5" s="182" t="s">
        <v>8</v>
      </c>
      <c r="W5" s="182" t="s">
        <v>8</v>
      </c>
      <c r="X5" s="182" t="s">
        <v>10</v>
      </c>
      <c r="Y5" s="182" t="s">
        <v>10</v>
      </c>
      <c r="Z5" s="182" t="s">
        <v>10</v>
      </c>
      <c r="AA5" s="182" t="s">
        <v>10</v>
      </c>
      <c r="AB5" s="182" t="s">
        <v>8</v>
      </c>
      <c r="AC5" s="182" t="s">
        <v>8</v>
      </c>
      <c r="AD5" s="182" t="s">
        <v>8</v>
      </c>
      <c r="AE5" s="163"/>
      <c r="AF5" s="131" t="s">
        <v>30</v>
      </c>
      <c r="AG5" s="131" t="s">
        <v>31</v>
      </c>
      <c r="AH5" s="131" t="s">
        <v>30</v>
      </c>
      <c r="AI5" s="131" t="s">
        <v>31</v>
      </c>
      <c r="AJ5" s="131" t="s">
        <v>30</v>
      </c>
      <c r="AK5" s="131" t="s">
        <v>31</v>
      </c>
      <c r="AL5" s="131" t="s">
        <v>30</v>
      </c>
      <c r="AM5" s="131" t="s">
        <v>31</v>
      </c>
      <c r="AN5" s="131" t="s">
        <v>30</v>
      </c>
      <c r="AO5" s="131" t="s">
        <v>31</v>
      </c>
      <c r="AP5" s="131" t="s">
        <v>30</v>
      </c>
      <c r="AQ5" s="131" t="s">
        <v>31</v>
      </c>
      <c r="AR5" s="50"/>
    </row>
    <row r="6" spans="1:48" s="28" customFormat="1" ht="30" customHeight="1">
      <c r="A6" s="25">
        <v>1</v>
      </c>
      <c r="B6" s="26" t="s">
        <v>118</v>
      </c>
      <c r="C6" s="26"/>
      <c r="D6" s="26"/>
      <c r="E6" s="27"/>
      <c r="F6" s="20"/>
      <c r="G6" s="20"/>
      <c r="H6" s="20"/>
      <c r="I6" s="20"/>
      <c r="J6" s="20"/>
      <c r="K6" s="20"/>
      <c r="L6" s="20"/>
      <c r="M6" s="21">
        <f t="shared" ref="M6" si="0">N6*2.43</f>
        <v>0</v>
      </c>
      <c r="N6" s="20"/>
      <c r="O6" s="67"/>
      <c r="P6" s="67"/>
      <c r="Q6" s="67"/>
      <c r="R6" s="67"/>
      <c r="S6" s="67"/>
      <c r="T6" s="67"/>
      <c r="U6" s="67"/>
      <c r="V6" s="67"/>
      <c r="W6" s="67"/>
      <c r="X6" s="20"/>
      <c r="Y6" s="20"/>
      <c r="Z6" s="20"/>
      <c r="AA6" s="20"/>
      <c r="AB6" s="20"/>
      <c r="AC6" s="20"/>
      <c r="AD6" s="20"/>
      <c r="AE6" s="220">
        <f t="shared" ref="AE6" si="1">O6+P6+Q6+R6+S6+T6+U6+V6</f>
        <v>0</v>
      </c>
      <c r="AF6" s="196"/>
      <c r="AG6" s="212"/>
      <c r="AH6" s="213"/>
      <c r="AI6" s="212"/>
      <c r="AJ6" s="214"/>
      <c r="AK6" s="212"/>
      <c r="AL6" s="215"/>
      <c r="AM6" s="212"/>
      <c r="AN6" s="216"/>
      <c r="AO6" s="212"/>
      <c r="AP6" s="217"/>
      <c r="AQ6" s="212"/>
      <c r="AV6" s="268">
        <f t="shared" ref="AV6:AV10" si="2">COUNTIFS(AE6,"&gt;=11")</f>
        <v>0</v>
      </c>
    </row>
    <row r="7" spans="1:48" s="28" customFormat="1" ht="37.5" customHeight="1">
      <c r="A7" s="29" t="s">
        <v>11</v>
      </c>
      <c r="B7" s="30"/>
      <c r="C7" s="30"/>
      <c r="D7" s="30"/>
      <c r="E7" s="30"/>
      <c r="F7" s="24">
        <f t="shared" ref="F7:AD7" si="3">SUM(F6:F6)</f>
        <v>0</v>
      </c>
      <c r="G7" s="24">
        <f t="shared" si="3"/>
        <v>0</v>
      </c>
      <c r="H7" s="24">
        <f t="shared" si="3"/>
        <v>0</v>
      </c>
      <c r="I7" s="24">
        <f t="shared" si="3"/>
        <v>0</v>
      </c>
      <c r="J7" s="24">
        <f t="shared" si="3"/>
        <v>0</v>
      </c>
      <c r="K7" s="24">
        <f t="shared" si="3"/>
        <v>0</v>
      </c>
      <c r="L7" s="24">
        <f t="shared" si="3"/>
        <v>0</v>
      </c>
      <c r="M7" s="24">
        <f t="shared" si="3"/>
        <v>0</v>
      </c>
      <c r="N7" s="24">
        <f t="shared" si="3"/>
        <v>0</v>
      </c>
      <c r="O7" s="24">
        <f t="shared" si="3"/>
        <v>0</v>
      </c>
      <c r="P7" s="24">
        <f t="shared" si="3"/>
        <v>0</v>
      </c>
      <c r="Q7" s="24">
        <f t="shared" si="3"/>
        <v>0</v>
      </c>
      <c r="R7" s="24">
        <f t="shared" si="3"/>
        <v>0</v>
      </c>
      <c r="S7" s="24">
        <f t="shared" si="3"/>
        <v>0</v>
      </c>
      <c r="T7" s="24">
        <f t="shared" si="3"/>
        <v>0</v>
      </c>
      <c r="U7" s="24">
        <f t="shared" si="3"/>
        <v>0</v>
      </c>
      <c r="V7" s="24">
        <f t="shared" si="3"/>
        <v>0</v>
      </c>
      <c r="W7" s="24">
        <f t="shared" si="3"/>
        <v>0</v>
      </c>
      <c r="X7" s="24">
        <f t="shared" si="3"/>
        <v>0</v>
      </c>
      <c r="Y7" s="24">
        <f t="shared" si="3"/>
        <v>0</v>
      </c>
      <c r="Z7" s="24">
        <f t="shared" si="3"/>
        <v>0</v>
      </c>
      <c r="AA7" s="24">
        <f t="shared" si="3"/>
        <v>0</v>
      </c>
      <c r="AB7" s="24">
        <f t="shared" si="3"/>
        <v>0</v>
      </c>
      <c r="AC7" s="24">
        <f t="shared" si="3"/>
        <v>0</v>
      </c>
      <c r="AD7" s="24">
        <f t="shared" si="3"/>
        <v>0</v>
      </c>
      <c r="AE7" s="141"/>
      <c r="AF7" s="30">
        <f t="shared" ref="AF7:AQ7" si="4">SUM(AF6:AF6)</f>
        <v>0</v>
      </c>
      <c r="AG7" s="30">
        <f t="shared" si="4"/>
        <v>0</v>
      </c>
      <c r="AH7" s="30">
        <f t="shared" si="4"/>
        <v>0</v>
      </c>
      <c r="AI7" s="30">
        <f t="shared" si="4"/>
        <v>0</v>
      </c>
      <c r="AJ7" s="30">
        <f t="shared" si="4"/>
        <v>0</v>
      </c>
      <c r="AK7" s="30">
        <f t="shared" si="4"/>
        <v>0</v>
      </c>
      <c r="AL7" s="30">
        <f t="shared" si="4"/>
        <v>0</v>
      </c>
      <c r="AM7" s="30">
        <f t="shared" si="4"/>
        <v>0</v>
      </c>
      <c r="AN7" s="30">
        <f t="shared" si="4"/>
        <v>0</v>
      </c>
      <c r="AO7" s="30">
        <f t="shared" si="4"/>
        <v>0</v>
      </c>
      <c r="AP7" s="30">
        <f t="shared" si="4"/>
        <v>0</v>
      </c>
      <c r="AQ7" s="30">
        <f t="shared" si="4"/>
        <v>0</v>
      </c>
      <c r="AV7" s="268">
        <f t="shared" si="2"/>
        <v>0</v>
      </c>
    </row>
    <row r="8" spans="1:48" s="28" customFormat="1" ht="29.25" customHeight="1">
      <c r="A8" s="25">
        <v>2</v>
      </c>
      <c r="B8" s="26" t="s">
        <v>121</v>
      </c>
      <c r="C8" s="26" t="s">
        <v>122</v>
      </c>
      <c r="D8" s="26"/>
      <c r="E8" s="27" t="s">
        <v>123</v>
      </c>
      <c r="F8" s="20"/>
      <c r="G8" s="20"/>
      <c r="H8" s="20"/>
      <c r="I8" s="20"/>
      <c r="J8" s="20"/>
      <c r="K8" s="20">
        <v>20</v>
      </c>
      <c r="L8" s="20"/>
      <c r="M8" s="21">
        <f>N8*2.43</f>
        <v>12.15</v>
      </c>
      <c r="N8" s="20">
        <v>5</v>
      </c>
      <c r="O8" s="67"/>
      <c r="P8" s="67"/>
      <c r="Q8" s="67"/>
      <c r="R8" s="67"/>
      <c r="S8" s="67"/>
      <c r="T8" s="67"/>
      <c r="U8" s="67"/>
      <c r="V8" s="67"/>
      <c r="W8" s="67"/>
      <c r="X8" s="20">
        <v>20</v>
      </c>
      <c r="Y8" s="20"/>
      <c r="Z8" s="20"/>
      <c r="AA8" s="20"/>
      <c r="AB8" s="20"/>
      <c r="AC8" s="20"/>
      <c r="AD8" s="20"/>
      <c r="AE8" s="220">
        <f t="shared" ref="AE8" si="5">O8+P8+Q8+R8+S8+T8+U8+V8</f>
        <v>0</v>
      </c>
      <c r="AF8" s="196"/>
      <c r="AG8" s="212"/>
      <c r="AH8" s="213"/>
      <c r="AI8" s="212">
        <v>1</v>
      </c>
      <c r="AJ8" s="214"/>
      <c r="AK8" s="212"/>
      <c r="AL8" s="215"/>
      <c r="AM8" s="212"/>
      <c r="AN8" s="216"/>
      <c r="AO8" s="212"/>
      <c r="AP8" s="217"/>
      <c r="AQ8" s="212"/>
      <c r="AV8" s="268">
        <f t="shared" si="2"/>
        <v>0</v>
      </c>
    </row>
    <row r="9" spans="1:48" s="28" customFormat="1" ht="37.5" customHeight="1">
      <c r="A9" s="29" t="s">
        <v>11</v>
      </c>
      <c r="B9" s="30"/>
      <c r="C9" s="30"/>
      <c r="D9" s="30"/>
      <c r="E9" s="30"/>
      <c r="F9" s="24">
        <f t="shared" ref="F9:AD9" si="6">SUM(F8:F8)</f>
        <v>0</v>
      </c>
      <c r="G9" s="24">
        <f t="shared" si="6"/>
        <v>0</v>
      </c>
      <c r="H9" s="24">
        <f t="shared" si="6"/>
        <v>0</v>
      </c>
      <c r="I9" s="24">
        <f t="shared" si="6"/>
        <v>0</v>
      </c>
      <c r="J9" s="24">
        <f t="shared" si="6"/>
        <v>0</v>
      </c>
      <c r="K9" s="24">
        <f t="shared" si="6"/>
        <v>20</v>
      </c>
      <c r="L9" s="24">
        <f t="shared" si="6"/>
        <v>0</v>
      </c>
      <c r="M9" s="24">
        <f t="shared" si="6"/>
        <v>12.15</v>
      </c>
      <c r="N9" s="24">
        <f t="shared" si="6"/>
        <v>5</v>
      </c>
      <c r="O9" s="24">
        <f t="shared" si="6"/>
        <v>0</v>
      </c>
      <c r="P9" s="24">
        <f t="shared" si="6"/>
        <v>0</v>
      </c>
      <c r="Q9" s="24">
        <f t="shared" si="6"/>
        <v>0</v>
      </c>
      <c r="R9" s="24">
        <f t="shared" si="6"/>
        <v>0</v>
      </c>
      <c r="S9" s="24">
        <f t="shared" si="6"/>
        <v>0</v>
      </c>
      <c r="T9" s="24">
        <f t="shared" si="6"/>
        <v>0</v>
      </c>
      <c r="U9" s="24">
        <f t="shared" si="6"/>
        <v>0</v>
      </c>
      <c r="V9" s="24">
        <f t="shared" si="6"/>
        <v>0</v>
      </c>
      <c r="W9" s="24">
        <f t="shared" si="6"/>
        <v>0</v>
      </c>
      <c r="X9" s="24">
        <f t="shared" si="6"/>
        <v>20</v>
      </c>
      <c r="Y9" s="24">
        <f t="shared" si="6"/>
        <v>0</v>
      </c>
      <c r="Z9" s="24">
        <f t="shared" si="6"/>
        <v>0</v>
      </c>
      <c r="AA9" s="24">
        <f t="shared" si="6"/>
        <v>0</v>
      </c>
      <c r="AB9" s="24">
        <f t="shared" si="6"/>
        <v>0</v>
      </c>
      <c r="AC9" s="24">
        <f t="shared" si="6"/>
        <v>0</v>
      </c>
      <c r="AD9" s="24">
        <f t="shared" si="6"/>
        <v>0</v>
      </c>
      <c r="AE9" s="141"/>
      <c r="AF9" s="30">
        <f t="shared" ref="AF9:AQ9" si="7">SUM(AF8:AF8)</f>
        <v>0</v>
      </c>
      <c r="AG9" s="30">
        <f t="shared" si="7"/>
        <v>0</v>
      </c>
      <c r="AH9" s="30">
        <f t="shared" si="7"/>
        <v>0</v>
      </c>
      <c r="AI9" s="30">
        <f t="shared" si="7"/>
        <v>1</v>
      </c>
      <c r="AJ9" s="30">
        <f t="shared" si="7"/>
        <v>0</v>
      </c>
      <c r="AK9" s="30">
        <f t="shared" si="7"/>
        <v>0</v>
      </c>
      <c r="AL9" s="30">
        <f t="shared" si="7"/>
        <v>0</v>
      </c>
      <c r="AM9" s="30">
        <f t="shared" si="7"/>
        <v>0</v>
      </c>
      <c r="AN9" s="30">
        <f t="shared" si="7"/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V9" s="268">
        <f t="shared" si="2"/>
        <v>0</v>
      </c>
    </row>
    <row r="10" spans="1:48" s="28" customFormat="1" ht="29.25" customHeight="1">
      <c r="A10" s="25">
        <v>3</v>
      </c>
      <c r="B10" s="27" t="s">
        <v>118</v>
      </c>
      <c r="C10" s="27"/>
      <c r="D10" s="27"/>
      <c r="E10" s="27"/>
      <c r="F10" s="21"/>
      <c r="G10" s="21"/>
      <c r="H10" s="21"/>
      <c r="I10" s="21"/>
      <c r="J10" s="21"/>
      <c r="K10" s="21"/>
      <c r="L10" s="21"/>
      <c r="M10" s="21">
        <f t="shared" ref="M10" si="8">N10*2.43</f>
        <v>0</v>
      </c>
      <c r="N10" s="21"/>
      <c r="O10" s="67"/>
      <c r="P10" s="67"/>
      <c r="Q10" s="67"/>
      <c r="R10" s="67"/>
      <c r="S10" s="67"/>
      <c r="T10" s="67"/>
      <c r="U10" s="67"/>
      <c r="V10" s="67"/>
      <c r="W10" s="67"/>
      <c r="X10" s="21"/>
      <c r="Y10" s="21"/>
      <c r="Z10" s="21"/>
      <c r="AA10" s="21"/>
      <c r="AB10" s="21"/>
      <c r="AC10" s="21"/>
      <c r="AD10" s="21"/>
      <c r="AE10" s="220">
        <f t="shared" ref="AE10" si="9">O10+P10+Q10+R10+S10+T10+U10+V10</f>
        <v>0</v>
      </c>
      <c r="AF10" s="196"/>
      <c r="AG10" s="212"/>
      <c r="AH10" s="213"/>
      <c r="AI10" s="212"/>
      <c r="AJ10" s="214"/>
      <c r="AK10" s="212"/>
      <c r="AL10" s="215"/>
      <c r="AM10" s="212"/>
      <c r="AN10" s="216"/>
      <c r="AO10" s="212"/>
      <c r="AP10" s="217"/>
      <c r="AQ10" s="212"/>
      <c r="AV10" s="268">
        <f t="shared" si="2"/>
        <v>0</v>
      </c>
    </row>
    <row r="11" spans="1:48" s="28" customFormat="1" ht="30" customHeight="1" thickBot="1">
      <c r="A11" s="175" t="s">
        <v>11</v>
      </c>
      <c r="B11" s="30"/>
      <c r="C11" s="30"/>
      <c r="D11" s="30"/>
      <c r="E11" s="30"/>
      <c r="F11" s="24">
        <f t="shared" ref="F11:AD11" si="10">SUM(F10:F10)</f>
        <v>0</v>
      </c>
      <c r="G11" s="24">
        <f t="shared" si="10"/>
        <v>0</v>
      </c>
      <c r="H11" s="24">
        <f t="shared" si="10"/>
        <v>0</v>
      </c>
      <c r="I11" s="24">
        <f t="shared" si="10"/>
        <v>0</v>
      </c>
      <c r="J11" s="24">
        <f t="shared" si="10"/>
        <v>0</v>
      </c>
      <c r="K11" s="24">
        <f t="shared" si="10"/>
        <v>0</v>
      </c>
      <c r="L11" s="24">
        <f t="shared" si="10"/>
        <v>0</v>
      </c>
      <c r="M11" s="24">
        <f t="shared" si="10"/>
        <v>0</v>
      </c>
      <c r="N11" s="24">
        <f t="shared" si="10"/>
        <v>0</v>
      </c>
      <c r="O11" s="24">
        <f t="shared" si="10"/>
        <v>0</v>
      </c>
      <c r="P11" s="24">
        <f t="shared" si="10"/>
        <v>0</v>
      </c>
      <c r="Q11" s="24">
        <f t="shared" si="10"/>
        <v>0</v>
      </c>
      <c r="R11" s="24">
        <f t="shared" si="10"/>
        <v>0</v>
      </c>
      <c r="S11" s="24">
        <f t="shared" si="10"/>
        <v>0</v>
      </c>
      <c r="T11" s="24">
        <f t="shared" si="10"/>
        <v>0</v>
      </c>
      <c r="U11" s="24">
        <f t="shared" si="10"/>
        <v>0</v>
      </c>
      <c r="V11" s="24">
        <f t="shared" si="10"/>
        <v>0</v>
      </c>
      <c r="W11" s="24">
        <f t="shared" si="10"/>
        <v>0</v>
      </c>
      <c r="X11" s="24">
        <f t="shared" si="10"/>
        <v>0</v>
      </c>
      <c r="Y11" s="24">
        <f t="shared" si="10"/>
        <v>0</v>
      </c>
      <c r="Z11" s="24">
        <f t="shared" si="10"/>
        <v>0</v>
      </c>
      <c r="AA11" s="24">
        <f t="shared" si="10"/>
        <v>0</v>
      </c>
      <c r="AB11" s="24">
        <f t="shared" si="10"/>
        <v>0</v>
      </c>
      <c r="AC11" s="24">
        <f t="shared" si="10"/>
        <v>0</v>
      </c>
      <c r="AD11" s="24">
        <f t="shared" si="10"/>
        <v>0</v>
      </c>
      <c r="AE11" s="151"/>
      <c r="AF11" s="30">
        <f t="shared" ref="AF11:AQ11" si="11">SUM(AF10:AF10)</f>
        <v>0</v>
      </c>
      <c r="AG11" s="30">
        <f t="shared" si="11"/>
        <v>0</v>
      </c>
      <c r="AH11" s="30">
        <f t="shared" si="11"/>
        <v>0</v>
      </c>
      <c r="AI11" s="30">
        <f t="shared" si="11"/>
        <v>0</v>
      </c>
      <c r="AJ11" s="30">
        <f t="shared" si="11"/>
        <v>0</v>
      </c>
      <c r="AK11" s="30">
        <f t="shared" si="11"/>
        <v>0</v>
      </c>
      <c r="AL11" s="30">
        <f t="shared" si="11"/>
        <v>0</v>
      </c>
      <c r="AM11" s="30">
        <f t="shared" si="11"/>
        <v>0</v>
      </c>
      <c r="AN11" s="30">
        <f t="shared" si="11"/>
        <v>0</v>
      </c>
      <c r="AO11" s="30">
        <f t="shared" si="11"/>
        <v>0</v>
      </c>
      <c r="AP11" s="30">
        <f t="shared" si="11"/>
        <v>0</v>
      </c>
      <c r="AQ11" s="30">
        <f t="shared" si="11"/>
        <v>0</v>
      </c>
      <c r="AR11" s="219" t="s">
        <v>32</v>
      </c>
      <c r="AS11" s="34" t="s">
        <v>30</v>
      </c>
      <c r="AT11" s="35" t="s">
        <v>31</v>
      </c>
    </row>
    <row r="12" spans="1:48" s="28" customFormat="1" ht="30" customHeight="1">
      <c r="B12" s="149"/>
      <c r="C12" s="149"/>
      <c r="D12" s="149"/>
      <c r="E12" s="149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1"/>
      <c r="AR12" s="154" t="s">
        <v>33</v>
      </c>
      <c r="AS12" s="37">
        <f>AJ13</f>
        <v>0</v>
      </c>
      <c r="AT12" s="38">
        <f>AK13</f>
        <v>0</v>
      </c>
    </row>
    <row r="13" spans="1:48" s="28" customFormat="1" ht="30" customHeight="1">
      <c r="A13" s="184" t="s">
        <v>15</v>
      </c>
      <c r="B13" s="183"/>
      <c r="C13" s="183"/>
      <c r="D13" s="183"/>
      <c r="E13" s="183"/>
      <c r="F13" s="185">
        <f t="shared" ref="F13:AD13" si="12">F11+F9+F7</f>
        <v>0</v>
      </c>
      <c r="G13" s="185">
        <f t="shared" si="12"/>
        <v>0</v>
      </c>
      <c r="H13" s="185">
        <f t="shared" si="12"/>
        <v>0</v>
      </c>
      <c r="I13" s="185">
        <f t="shared" si="12"/>
        <v>0</v>
      </c>
      <c r="J13" s="185">
        <f t="shared" si="12"/>
        <v>0</v>
      </c>
      <c r="K13" s="185">
        <f t="shared" si="12"/>
        <v>20</v>
      </c>
      <c r="L13" s="185">
        <f t="shared" si="12"/>
        <v>0</v>
      </c>
      <c r="M13" s="186">
        <f t="shared" si="12"/>
        <v>12.15</v>
      </c>
      <c r="N13" s="185">
        <f t="shared" si="12"/>
        <v>5</v>
      </c>
      <c r="O13" s="185">
        <f t="shared" si="12"/>
        <v>0</v>
      </c>
      <c r="P13" s="185">
        <f t="shared" si="12"/>
        <v>0</v>
      </c>
      <c r="Q13" s="185">
        <f t="shared" si="12"/>
        <v>0</v>
      </c>
      <c r="R13" s="185">
        <f t="shared" si="12"/>
        <v>0</v>
      </c>
      <c r="S13" s="185">
        <f t="shared" si="12"/>
        <v>0</v>
      </c>
      <c r="T13" s="185">
        <f t="shared" si="12"/>
        <v>0</v>
      </c>
      <c r="U13" s="185">
        <f t="shared" si="12"/>
        <v>0</v>
      </c>
      <c r="V13" s="185">
        <f t="shared" si="12"/>
        <v>0</v>
      </c>
      <c r="W13" s="185">
        <f t="shared" si="12"/>
        <v>0</v>
      </c>
      <c r="X13" s="185">
        <f t="shared" si="12"/>
        <v>20</v>
      </c>
      <c r="Y13" s="185">
        <f t="shared" si="12"/>
        <v>0</v>
      </c>
      <c r="Z13" s="185">
        <f t="shared" si="12"/>
        <v>0</v>
      </c>
      <c r="AA13" s="185">
        <f t="shared" si="12"/>
        <v>0</v>
      </c>
      <c r="AB13" s="185">
        <f t="shared" si="12"/>
        <v>0</v>
      </c>
      <c r="AC13" s="185">
        <f t="shared" si="12"/>
        <v>0</v>
      </c>
      <c r="AD13" s="185">
        <f t="shared" si="12"/>
        <v>0</v>
      </c>
      <c r="AE13" s="151"/>
      <c r="AF13" s="189">
        <f t="shared" ref="AF13:AQ13" si="13">AF11+AF9+AF7</f>
        <v>0</v>
      </c>
      <c r="AG13" s="189">
        <f t="shared" si="13"/>
        <v>0</v>
      </c>
      <c r="AH13" s="189">
        <f t="shared" si="13"/>
        <v>0</v>
      </c>
      <c r="AI13" s="189">
        <f t="shared" si="13"/>
        <v>1</v>
      </c>
      <c r="AJ13" s="189">
        <f t="shared" si="13"/>
        <v>0</v>
      </c>
      <c r="AK13" s="189">
        <f t="shared" si="13"/>
        <v>0</v>
      </c>
      <c r="AL13" s="189">
        <f t="shared" si="13"/>
        <v>0</v>
      </c>
      <c r="AM13" s="189">
        <f t="shared" si="13"/>
        <v>0</v>
      </c>
      <c r="AN13" s="189">
        <f t="shared" si="13"/>
        <v>0</v>
      </c>
      <c r="AO13" s="189">
        <f t="shared" si="13"/>
        <v>0</v>
      </c>
      <c r="AP13" s="189">
        <f t="shared" si="13"/>
        <v>0</v>
      </c>
      <c r="AQ13" s="189">
        <f t="shared" si="13"/>
        <v>0</v>
      </c>
      <c r="AR13" s="54" t="s">
        <v>26</v>
      </c>
      <c r="AS13" s="44">
        <f>AL13</f>
        <v>0</v>
      </c>
      <c r="AT13" s="45">
        <f>AM13</f>
        <v>0</v>
      </c>
    </row>
    <row r="14" spans="1:48" s="46" customFormat="1" ht="30" customHeight="1">
      <c r="B14" s="47"/>
      <c r="C14" s="157" t="s">
        <v>58</v>
      </c>
      <c r="D14" s="157"/>
      <c r="E14" s="158"/>
      <c r="F14" s="159">
        <v>26.292100000000001</v>
      </c>
      <c r="G14" s="160">
        <v>115.8</v>
      </c>
      <c r="H14" s="160">
        <v>35.47</v>
      </c>
      <c r="I14" s="160">
        <v>27.343800000000002</v>
      </c>
      <c r="J14" s="160">
        <v>40</v>
      </c>
      <c r="K14" s="159">
        <v>29.5639</v>
      </c>
      <c r="L14" s="159">
        <v>145.88</v>
      </c>
      <c r="M14" s="159">
        <v>27.66</v>
      </c>
      <c r="N14" s="159">
        <v>26.25</v>
      </c>
      <c r="O14" s="159">
        <v>171.74107142857142</v>
      </c>
      <c r="P14" s="159">
        <v>176.78571428571428</v>
      </c>
      <c r="Q14" s="159">
        <v>195</v>
      </c>
      <c r="R14" s="159">
        <v>180.35714285714283</v>
      </c>
      <c r="S14" s="159">
        <v>198</v>
      </c>
      <c r="T14" s="159">
        <v>195</v>
      </c>
      <c r="U14" s="159">
        <v>189.38</v>
      </c>
      <c r="V14" s="159">
        <v>207</v>
      </c>
      <c r="W14" s="159">
        <v>379.46</v>
      </c>
      <c r="X14" s="159">
        <v>35.15</v>
      </c>
      <c r="Y14" s="159">
        <v>35.893000000000001</v>
      </c>
      <c r="Z14" s="159">
        <v>37.5</v>
      </c>
      <c r="AA14" s="159">
        <v>81.900000000000006</v>
      </c>
      <c r="AB14" s="159">
        <v>20.62</v>
      </c>
      <c r="AC14" s="159">
        <v>267.18</v>
      </c>
      <c r="AD14" s="159">
        <v>7.5</v>
      </c>
      <c r="AE14" s="48"/>
      <c r="AR14" s="54" t="s">
        <v>27</v>
      </c>
      <c r="AS14" s="44">
        <f>AN13</f>
        <v>0</v>
      </c>
      <c r="AT14" s="45">
        <f>AO13</f>
        <v>0</v>
      </c>
    </row>
    <row r="15" spans="1:48" s="46" customFormat="1" ht="30" customHeight="1">
      <c r="A15" s="16"/>
      <c r="B15" s="17"/>
      <c r="C15" s="113" t="s">
        <v>53</v>
      </c>
      <c r="D15" s="113"/>
      <c r="E15" s="27">
        <f>F15+G15+K15+L15+M15+N15+O15+P15+Q15+R15+S15+U15+X15+Y15+Z15+AA15+AB15+AC15+AD15+H15+I15</f>
        <v>1761.597</v>
      </c>
      <c r="F15" s="112">
        <f>F13*F14</f>
        <v>0</v>
      </c>
      <c r="G15" s="112">
        <f t="shared" ref="G15:AD15" si="14">G13*G14</f>
        <v>0</v>
      </c>
      <c r="H15" s="112">
        <f t="shared" si="14"/>
        <v>0</v>
      </c>
      <c r="I15" s="112">
        <f t="shared" si="14"/>
        <v>0</v>
      </c>
      <c r="J15" s="112">
        <f t="shared" ref="J15" si="15">J13*J14</f>
        <v>0</v>
      </c>
      <c r="K15" s="112">
        <f t="shared" si="14"/>
        <v>591.27800000000002</v>
      </c>
      <c r="L15" s="112">
        <f t="shared" si="14"/>
        <v>0</v>
      </c>
      <c r="M15" s="112">
        <f t="shared" si="14"/>
        <v>336.06900000000002</v>
      </c>
      <c r="N15" s="112">
        <f t="shared" si="14"/>
        <v>131.25</v>
      </c>
      <c r="O15" s="112">
        <f t="shared" si="14"/>
        <v>0</v>
      </c>
      <c r="P15" s="112">
        <f t="shared" si="14"/>
        <v>0</v>
      </c>
      <c r="Q15" s="112">
        <f t="shared" si="14"/>
        <v>0</v>
      </c>
      <c r="R15" s="115">
        <f t="shared" si="14"/>
        <v>0</v>
      </c>
      <c r="S15" s="112">
        <f t="shared" si="14"/>
        <v>0</v>
      </c>
      <c r="T15" s="112">
        <f t="shared" si="14"/>
        <v>0</v>
      </c>
      <c r="U15" s="112">
        <f t="shared" si="14"/>
        <v>0</v>
      </c>
      <c r="V15" s="112">
        <f t="shared" si="14"/>
        <v>0</v>
      </c>
      <c r="W15" s="112">
        <f t="shared" si="14"/>
        <v>0</v>
      </c>
      <c r="X15" s="112">
        <f t="shared" si="14"/>
        <v>703</v>
      </c>
      <c r="Y15" s="112">
        <f t="shared" si="14"/>
        <v>0</v>
      </c>
      <c r="Z15" s="112">
        <f t="shared" si="14"/>
        <v>0</v>
      </c>
      <c r="AA15" s="112">
        <f t="shared" si="14"/>
        <v>0</v>
      </c>
      <c r="AB15" s="112">
        <f t="shared" si="14"/>
        <v>0</v>
      </c>
      <c r="AC15" s="112">
        <f t="shared" si="14"/>
        <v>0</v>
      </c>
      <c r="AD15" s="112">
        <f t="shared" si="14"/>
        <v>0</v>
      </c>
      <c r="AE15" s="16"/>
      <c r="AR15" s="54" t="s">
        <v>34</v>
      </c>
      <c r="AS15" s="44">
        <f>AF13</f>
        <v>0</v>
      </c>
      <c r="AT15" s="45">
        <f>AG13</f>
        <v>0</v>
      </c>
    </row>
    <row r="16" spans="1:48" s="16" customFormat="1" ht="30" customHeight="1">
      <c r="B16" s="17"/>
      <c r="C16" s="17"/>
      <c r="D16" s="17"/>
      <c r="AR16" s="54" t="s">
        <v>29</v>
      </c>
      <c r="AS16" s="14">
        <f>AH13</f>
        <v>0</v>
      </c>
      <c r="AT16" s="15">
        <f>AI13</f>
        <v>1</v>
      </c>
    </row>
    <row r="17" spans="2:46" s="16" customFormat="1" ht="30" customHeight="1" thickBot="1">
      <c r="B17" s="17"/>
      <c r="C17" s="17"/>
      <c r="D17" s="17"/>
      <c r="AR17" s="55" t="s">
        <v>35</v>
      </c>
      <c r="AS17" s="18">
        <f>AP13</f>
        <v>0</v>
      </c>
      <c r="AT17" s="19">
        <f>AQ13</f>
        <v>0</v>
      </c>
    </row>
    <row r="18" spans="2:46" s="16" customFormat="1" ht="30" customHeight="1">
      <c r="B18" s="17"/>
      <c r="C18" s="17"/>
      <c r="D18" s="17"/>
      <c r="AQ18" s="269">
        <f>AR18-AS18</f>
        <v>0</v>
      </c>
      <c r="AR18" s="269">
        <f>SUM(AV6:AV10)</f>
        <v>0</v>
      </c>
      <c r="AS18" s="269">
        <f>SUM(AS12:AS17)</f>
        <v>0</v>
      </c>
    </row>
    <row r="19" spans="2:46" s="12" customFormat="1" ht="11.25" customHeight="1">
      <c r="B19" s="13"/>
      <c r="C19" s="13"/>
      <c r="D19" s="13"/>
    </row>
    <row r="20" spans="2:46" s="12" customFormat="1">
      <c r="B20" s="250" t="s">
        <v>89</v>
      </c>
      <c r="C20" s="250" t="s">
        <v>86</v>
      </c>
      <c r="D20" s="250" t="s">
        <v>58</v>
      </c>
      <c r="E20" s="250" t="s">
        <v>87</v>
      </c>
      <c r="O20" s="12" t="s">
        <v>18</v>
      </c>
    </row>
    <row r="21" spans="2:46" s="12" customFormat="1">
      <c r="B21" s="242" t="s">
        <v>72</v>
      </c>
      <c r="C21" s="248"/>
      <c r="D21" s="247">
        <v>26.292100000000001</v>
      </c>
      <c r="E21" s="248">
        <f>C21*D21</f>
        <v>0</v>
      </c>
    </row>
    <row r="22" spans="2:46" s="12" customFormat="1">
      <c r="B22" s="242" t="s">
        <v>100</v>
      </c>
      <c r="C22" s="248">
        <f>I13</f>
        <v>0</v>
      </c>
      <c r="D22" s="247">
        <v>27.343800000000002</v>
      </c>
      <c r="E22" s="248"/>
    </row>
    <row r="23" spans="2:46" s="12" customFormat="1">
      <c r="B23" s="242" t="s">
        <v>73</v>
      </c>
      <c r="C23" s="248">
        <f>K13</f>
        <v>20</v>
      </c>
      <c r="D23" s="247">
        <v>29.5639</v>
      </c>
      <c r="E23" s="248">
        <f t="shared" ref="E23:E43" si="16">C23*D23</f>
        <v>591.27800000000002</v>
      </c>
    </row>
    <row r="24" spans="2:46">
      <c r="B24" s="279" t="s">
        <v>2</v>
      </c>
      <c r="C24" s="245">
        <f>L13</f>
        <v>0</v>
      </c>
      <c r="D24" s="246">
        <v>145.88</v>
      </c>
      <c r="E24" s="248">
        <f t="shared" si="16"/>
        <v>0</v>
      </c>
    </row>
    <row r="25" spans="2:46">
      <c r="B25" s="279" t="s">
        <v>74</v>
      </c>
      <c r="C25" s="249">
        <f>M13</f>
        <v>12.15</v>
      </c>
      <c r="D25" s="246">
        <v>27.66</v>
      </c>
      <c r="E25" s="248">
        <f t="shared" si="16"/>
        <v>336.06900000000002</v>
      </c>
    </row>
    <row r="26" spans="2:46">
      <c r="B26" s="279" t="s">
        <v>3</v>
      </c>
      <c r="C26" s="245">
        <f>N13</f>
        <v>5</v>
      </c>
      <c r="D26" s="246">
        <v>26.25</v>
      </c>
      <c r="E26" s="248">
        <f t="shared" si="16"/>
        <v>131.25</v>
      </c>
    </row>
    <row r="27" spans="2:46">
      <c r="B27" s="279" t="s">
        <v>75</v>
      </c>
      <c r="C27" s="245">
        <f>AB13</f>
        <v>0</v>
      </c>
      <c r="D27" s="246">
        <v>20.62</v>
      </c>
      <c r="E27" s="248">
        <f t="shared" si="16"/>
        <v>0</v>
      </c>
    </row>
    <row r="28" spans="2:46">
      <c r="B28" s="279" t="s">
        <v>76</v>
      </c>
      <c r="C28" s="245"/>
      <c r="D28" s="246">
        <v>171.74107142857142</v>
      </c>
      <c r="E28" s="248">
        <f t="shared" si="16"/>
        <v>0</v>
      </c>
    </row>
    <row r="29" spans="2:46">
      <c r="B29" s="279" t="s">
        <v>77</v>
      </c>
      <c r="C29" s="245"/>
      <c r="D29" s="246">
        <v>176.78571428571428</v>
      </c>
      <c r="E29" s="248">
        <f t="shared" si="16"/>
        <v>0</v>
      </c>
    </row>
    <row r="30" spans="2:46">
      <c r="B30" s="279" t="s">
        <v>78</v>
      </c>
      <c r="C30" s="245"/>
      <c r="D30" s="246">
        <v>180.35714285714283</v>
      </c>
      <c r="E30" s="248">
        <f t="shared" si="16"/>
        <v>0</v>
      </c>
    </row>
    <row r="31" spans="2:46">
      <c r="B31" s="279" t="s">
        <v>68</v>
      </c>
      <c r="C31" s="245"/>
      <c r="D31" s="246">
        <v>207</v>
      </c>
      <c r="E31" s="248">
        <f t="shared" si="16"/>
        <v>0</v>
      </c>
    </row>
    <row r="32" spans="2:46">
      <c r="B32" s="279" t="s">
        <v>79</v>
      </c>
      <c r="C32" s="246"/>
      <c r="D32" s="246">
        <v>331</v>
      </c>
      <c r="E32" s="248">
        <f t="shared" si="16"/>
        <v>0</v>
      </c>
    </row>
    <row r="33" spans="2:5">
      <c r="B33" s="279" t="s">
        <v>80</v>
      </c>
      <c r="C33" s="245">
        <f>U13</f>
        <v>0</v>
      </c>
      <c r="D33" s="246">
        <v>189.38</v>
      </c>
      <c r="E33" s="248">
        <f t="shared" si="16"/>
        <v>0</v>
      </c>
    </row>
    <row r="34" spans="2:5">
      <c r="B34" s="279" t="s">
        <v>81</v>
      </c>
      <c r="C34" s="245"/>
      <c r="D34" s="246">
        <v>195</v>
      </c>
      <c r="E34" s="248">
        <f t="shared" si="16"/>
        <v>0</v>
      </c>
    </row>
    <row r="35" spans="2:5">
      <c r="B35" s="279" t="s">
        <v>82</v>
      </c>
      <c r="C35" s="245">
        <f>Q13</f>
        <v>0</v>
      </c>
      <c r="D35" s="246">
        <v>195</v>
      </c>
      <c r="E35" s="248">
        <f t="shared" si="16"/>
        <v>0</v>
      </c>
    </row>
    <row r="36" spans="2:5">
      <c r="B36" s="279" t="s">
        <v>55</v>
      </c>
      <c r="C36" s="246"/>
      <c r="D36" s="246">
        <v>359.83</v>
      </c>
      <c r="E36" s="248">
        <f t="shared" si="16"/>
        <v>0</v>
      </c>
    </row>
    <row r="37" spans="2:5">
      <c r="B37" s="279" t="s">
        <v>56</v>
      </c>
      <c r="C37" s="246"/>
      <c r="D37" s="246">
        <v>379.46</v>
      </c>
      <c r="E37" s="248">
        <f t="shared" si="16"/>
        <v>0</v>
      </c>
    </row>
    <row r="38" spans="2:5">
      <c r="B38" s="279" t="s">
        <v>83</v>
      </c>
      <c r="C38" s="245">
        <f>X13</f>
        <v>20</v>
      </c>
      <c r="D38" s="246">
        <v>35.15</v>
      </c>
      <c r="E38" s="248">
        <f t="shared" si="16"/>
        <v>703</v>
      </c>
    </row>
    <row r="39" spans="2:5">
      <c r="B39" s="279" t="s">
        <v>84</v>
      </c>
      <c r="C39" s="245">
        <f>Y13</f>
        <v>0</v>
      </c>
      <c r="D39" s="246">
        <v>35.893000000000001</v>
      </c>
      <c r="E39" s="248">
        <f t="shared" si="16"/>
        <v>0</v>
      </c>
    </row>
    <row r="40" spans="2:5">
      <c r="B40" s="279" t="s">
        <v>95</v>
      </c>
      <c r="C40" s="245">
        <f>W8</f>
        <v>0</v>
      </c>
      <c r="D40" s="246">
        <v>37.5</v>
      </c>
      <c r="E40" s="248">
        <f t="shared" si="16"/>
        <v>0</v>
      </c>
    </row>
    <row r="41" spans="2:5">
      <c r="B41" s="279" t="s">
        <v>85</v>
      </c>
      <c r="C41" s="246">
        <f>AA13</f>
        <v>0</v>
      </c>
      <c r="D41" s="246">
        <v>81.900000000000006</v>
      </c>
      <c r="E41" s="248">
        <f t="shared" si="16"/>
        <v>0</v>
      </c>
    </row>
    <row r="42" spans="2:5">
      <c r="B42" s="279" t="s">
        <v>20</v>
      </c>
      <c r="C42" s="245">
        <f>AD13</f>
        <v>0</v>
      </c>
      <c r="D42" s="246">
        <v>7.5</v>
      </c>
      <c r="E42" s="248">
        <f t="shared" si="16"/>
        <v>0</v>
      </c>
    </row>
    <row r="43" spans="2:5">
      <c r="B43" s="279" t="s">
        <v>7</v>
      </c>
      <c r="C43" s="245">
        <f>AC13</f>
        <v>0</v>
      </c>
      <c r="D43" s="246">
        <v>267.18</v>
      </c>
      <c r="E43" s="248">
        <f t="shared" si="16"/>
        <v>0</v>
      </c>
    </row>
    <row r="44" spans="2:5">
      <c r="B44" s="279" t="s">
        <v>88</v>
      </c>
      <c r="C44" s="245">
        <f>SUM(C21:C43)</f>
        <v>57.15</v>
      </c>
      <c r="D44" s="246"/>
      <c r="E44" s="245">
        <f>SUM(E21:E43)</f>
        <v>1761.597</v>
      </c>
    </row>
  </sheetData>
  <mergeCells count="23">
    <mergeCell ref="AP3:AQ4"/>
    <mergeCell ref="O3:P3"/>
    <mergeCell ref="R3:S3"/>
    <mergeCell ref="X3:AA3"/>
    <mergeCell ref="AB3:AB4"/>
    <mergeCell ref="AC3:AC4"/>
    <mergeCell ref="AD3:AD4"/>
    <mergeCell ref="AF3:AG4"/>
    <mergeCell ref="AH3:AI4"/>
    <mergeCell ref="AJ3:AK4"/>
    <mergeCell ref="AL3:AM4"/>
    <mergeCell ref="AN3:AO4"/>
    <mergeCell ref="N1:R1"/>
    <mergeCell ref="A3:A5"/>
    <mergeCell ref="B3:B5"/>
    <mergeCell ref="E3:E5"/>
    <mergeCell ref="L3:L4"/>
    <mergeCell ref="M3:M4"/>
    <mergeCell ref="C3:C5"/>
    <mergeCell ref="A1:B1"/>
    <mergeCell ref="C1:E1"/>
    <mergeCell ref="N3:N4"/>
    <mergeCell ref="D3:D5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3"/>
  <sheetViews>
    <sheetView zoomScale="85" zoomScaleNormal="85" workbookViewId="0">
      <pane xSplit="4" ySplit="5" topLeftCell="E6" activePane="bottomRight" state="frozen"/>
      <selection activeCell="C17" sqref="C17"/>
      <selection pane="topRight" activeCell="C17" sqref="C17"/>
      <selection pane="bottomLeft" activeCell="C17" sqref="C17"/>
      <selection pane="bottomRight" activeCell="C17" sqref="C17"/>
    </sheetView>
  </sheetViews>
  <sheetFormatPr defaultColWidth="9.140625" defaultRowHeight="18"/>
  <cols>
    <col min="1" max="1" width="9.5703125" style="7" customWidth="1"/>
    <col min="2" max="3" width="21.140625" style="6" customWidth="1"/>
    <col min="4" max="4" width="28.5703125" style="3" customWidth="1"/>
    <col min="5" max="7" width="12.140625" style="1" customWidth="1"/>
    <col min="8" max="9" width="12.140625" style="1" hidden="1" customWidth="1"/>
    <col min="10" max="11" width="12.140625" style="1" customWidth="1"/>
    <col min="12" max="13" width="11.140625" style="1" customWidth="1"/>
    <col min="14" max="14" width="15.85546875" style="1" hidden="1" customWidth="1"/>
    <col min="15" max="15" width="8.7109375" style="1" hidden="1" customWidth="1"/>
    <col min="16" max="16" width="11.140625" style="1" customWidth="1"/>
    <col min="17" max="17" width="11.85546875" style="1" customWidth="1"/>
    <col min="18" max="18" width="11.5703125" style="1" hidden="1" customWidth="1"/>
    <col min="19" max="19" width="11.5703125" style="1" customWidth="1"/>
    <col min="20" max="20" width="11.140625" style="1" customWidth="1"/>
    <col min="21" max="22" width="11.140625" style="1" hidden="1" customWidth="1"/>
    <col min="23" max="23" width="11" style="1" customWidth="1"/>
    <col min="24" max="24" width="11.140625" style="1" customWidth="1"/>
    <col min="25" max="25" width="8.5703125" style="1" hidden="1" customWidth="1"/>
    <col min="26" max="26" width="8.28515625" style="1" hidden="1" customWidth="1"/>
    <col min="27" max="30" width="11.140625" style="1" customWidth="1"/>
    <col min="31" max="42" width="11.28515625" style="1" customWidth="1"/>
    <col min="43" max="43" width="32.7109375" style="1" bestFit="1" customWidth="1"/>
    <col min="44" max="45" width="10.5703125" style="1" bestFit="1" customWidth="1"/>
    <col min="46" max="16384" width="9.140625" style="1"/>
  </cols>
  <sheetData>
    <row r="1" spans="1:45" s="4" customFormat="1" ht="42.75" customHeight="1">
      <c r="A1" s="359" t="s">
        <v>24</v>
      </c>
      <c r="B1" s="359"/>
      <c r="C1" s="360" t="e">
        <f>TOTAL!D3:E3</f>
        <v>#VALUE!</v>
      </c>
      <c r="D1" s="360"/>
      <c r="E1" s="96"/>
      <c r="F1" s="96"/>
      <c r="G1" s="96"/>
      <c r="H1" s="96"/>
      <c r="I1" s="96"/>
      <c r="J1" s="96"/>
      <c r="M1" s="364" t="s">
        <v>37</v>
      </c>
      <c r="N1" s="364"/>
      <c r="O1" s="364"/>
      <c r="P1" s="364"/>
      <c r="Q1" s="364"/>
    </row>
    <row r="2" spans="1:45" s="4" customFormat="1" ht="14.25" customHeight="1">
      <c r="A2" s="46"/>
      <c r="B2" s="46"/>
      <c r="C2" s="121"/>
      <c r="D2" s="121"/>
      <c r="E2" s="8"/>
      <c r="F2" s="8"/>
      <c r="G2" s="8"/>
      <c r="H2" s="8"/>
      <c r="I2" s="8"/>
      <c r="J2" s="8"/>
      <c r="N2" s="5"/>
      <c r="O2" s="5"/>
    </row>
    <row r="3" spans="1:45" s="2" customFormat="1" ht="31.5" customHeight="1">
      <c r="A3" s="334" t="s">
        <v>12</v>
      </c>
      <c r="B3" s="334" t="s">
        <v>13</v>
      </c>
      <c r="C3" s="334" t="s">
        <v>57</v>
      </c>
      <c r="D3" s="323" t="s">
        <v>0</v>
      </c>
      <c r="E3" s="180" t="s">
        <v>21</v>
      </c>
      <c r="F3" s="181" t="s">
        <v>14</v>
      </c>
      <c r="G3" s="181" t="s">
        <v>71</v>
      </c>
      <c r="H3" s="181" t="s">
        <v>62</v>
      </c>
      <c r="I3" s="182" t="s">
        <v>14</v>
      </c>
      <c r="J3" s="182" t="s">
        <v>14</v>
      </c>
      <c r="K3" s="326" t="s">
        <v>2</v>
      </c>
      <c r="L3" s="327" t="s">
        <v>22</v>
      </c>
      <c r="M3" s="326" t="s">
        <v>3</v>
      </c>
      <c r="N3" s="320" t="s">
        <v>4</v>
      </c>
      <c r="O3" s="321"/>
      <c r="P3" s="181" t="s">
        <v>5</v>
      </c>
      <c r="Q3" s="320" t="s">
        <v>17</v>
      </c>
      <c r="R3" s="321"/>
      <c r="S3" s="229" t="s">
        <v>5</v>
      </c>
      <c r="T3" s="181" t="s">
        <v>5</v>
      </c>
      <c r="U3" s="181" t="s">
        <v>68</v>
      </c>
      <c r="V3" s="181" t="s">
        <v>56</v>
      </c>
      <c r="W3" s="356" t="s">
        <v>6</v>
      </c>
      <c r="X3" s="356"/>
      <c r="Y3" s="356"/>
      <c r="Z3" s="356"/>
      <c r="AA3" s="327" t="s">
        <v>19</v>
      </c>
      <c r="AB3" s="327" t="s">
        <v>7</v>
      </c>
      <c r="AC3" s="327" t="s">
        <v>20</v>
      </c>
      <c r="AD3" s="162"/>
      <c r="AE3" s="361" t="s">
        <v>28</v>
      </c>
      <c r="AF3" s="361"/>
      <c r="AG3" s="310" t="s">
        <v>29</v>
      </c>
      <c r="AH3" s="311"/>
      <c r="AI3" s="310" t="s">
        <v>25</v>
      </c>
      <c r="AJ3" s="311"/>
      <c r="AK3" s="310" t="s">
        <v>26</v>
      </c>
      <c r="AL3" s="311"/>
      <c r="AM3" s="310" t="s">
        <v>27</v>
      </c>
      <c r="AN3" s="311"/>
      <c r="AO3" s="310" t="s">
        <v>41</v>
      </c>
      <c r="AP3" s="311"/>
      <c r="AQ3" s="50"/>
    </row>
    <row r="4" spans="1:45" s="2" customFormat="1" ht="21" customHeight="1">
      <c r="A4" s="335"/>
      <c r="B4" s="335"/>
      <c r="C4" s="335"/>
      <c r="D4" s="324"/>
      <c r="E4" s="182">
        <v>208</v>
      </c>
      <c r="F4" s="182">
        <v>38</v>
      </c>
      <c r="G4" s="182">
        <v>200</v>
      </c>
      <c r="H4" s="182">
        <v>150</v>
      </c>
      <c r="I4" s="182">
        <v>135</v>
      </c>
      <c r="J4" s="182">
        <v>215</v>
      </c>
      <c r="K4" s="326"/>
      <c r="L4" s="328"/>
      <c r="M4" s="326"/>
      <c r="N4" s="180">
        <v>2.4</v>
      </c>
      <c r="O4" s="180">
        <v>3.6</v>
      </c>
      <c r="P4" s="180">
        <v>3.6</v>
      </c>
      <c r="Q4" s="181">
        <v>2.4</v>
      </c>
      <c r="R4" s="181">
        <v>3.6</v>
      </c>
      <c r="S4" s="181">
        <v>4.9000000000000004</v>
      </c>
      <c r="T4" s="180">
        <v>2.4</v>
      </c>
      <c r="U4" s="180">
        <v>2.4</v>
      </c>
      <c r="V4" s="180"/>
      <c r="W4" s="182">
        <v>5</v>
      </c>
      <c r="X4" s="182">
        <v>10</v>
      </c>
      <c r="Y4" s="182">
        <v>6</v>
      </c>
      <c r="Z4" s="182">
        <v>40</v>
      </c>
      <c r="AA4" s="328"/>
      <c r="AB4" s="328"/>
      <c r="AC4" s="328"/>
      <c r="AD4" s="162"/>
      <c r="AE4" s="361"/>
      <c r="AF4" s="361"/>
      <c r="AG4" s="312"/>
      <c r="AH4" s="313"/>
      <c r="AI4" s="312"/>
      <c r="AJ4" s="313"/>
      <c r="AK4" s="312"/>
      <c r="AL4" s="313"/>
      <c r="AM4" s="312"/>
      <c r="AN4" s="313"/>
      <c r="AO4" s="312"/>
      <c r="AP4" s="313"/>
      <c r="AQ4" s="50"/>
    </row>
    <row r="5" spans="1:45" s="2" customFormat="1" ht="24" customHeight="1">
      <c r="A5" s="336"/>
      <c r="B5" s="336"/>
      <c r="C5" s="336"/>
      <c r="D5" s="325"/>
      <c r="E5" s="182" t="s">
        <v>8</v>
      </c>
      <c r="F5" s="182" t="s">
        <v>8</v>
      </c>
      <c r="G5" s="182" t="s">
        <v>8</v>
      </c>
      <c r="H5" s="182" t="s">
        <v>8</v>
      </c>
      <c r="I5" s="182" t="s">
        <v>8</v>
      </c>
      <c r="J5" s="182" t="s">
        <v>8</v>
      </c>
      <c r="K5" s="182" t="s">
        <v>9</v>
      </c>
      <c r="L5" s="182" t="s">
        <v>23</v>
      </c>
      <c r="M5" s="182" t="s">
        <v>8</v>
      </c>
      <c r="N5" s="182" t="s">
        <v>8</v>
      </c>
      <c r="O5" s="182" t="s">
        <v>8</v>
      </c>
      <c r="P5" s="182" t="s">
        <v>8</v>
      </c>
      <c r="Q5" s="182" t="s">
        <v>8</v>
      </c>
      <c r="R5" s="182" t="s">
        <v>8</v>
      </c>
      <c r="S5" s="182" t="s">
        <v>8</v>
      </c>
      <c r="T5" s="182" t="s">
        <v>8</v>
      </c>
      <c r="U5" s="182" t="s">
        <v>8</v>
      </c>
      <c r="V5" s="182" t="s">
        <v>8</v>
      </c>
      <c r="W5" s="182" t="s">
        <v>10</v>
      </c>
      <c r="X5" s="182" t="s">
        <v>10</v>
      </c>
      <c r="Y5" s="182" t="s">
        <v>10</v>
      </c>
      <c r="Z5" s="182" t="s">
        <v>10</v>
      </c>
      <c r="AA5" s="182" t="s">
        <v>8</v>
      </c>
      <c r="AB5" s="182" t="s">
        <v>8</v>
      </c>
      <c r="AC5" s="182" t="s">
        <v>8</v>
      </c>
      <c r="AD5" s="163"/>
      <c r="AE5" s="131" t="s">
        <v>30</v>
      </c>
      <c r="AF5" s="131" t="s">
        <v>31</v>
      </c>
      <c r="AG5" s="131" t="s">
        <v>30</v>
      </c>
      <c r="AH5" s="131" t="s">
        <v>31</v>
      </c>
      <c r="AI5" s="131" t="s">
        <v>30</v>
      </c>
      <c r="AJ5" s="131" t="s">
        <v>31</v>
      </c>
      <c r="AK5" s="131" t="s">
        <v>30</v>
      </c>
      <c r="AL5" s="131" t="s">
        <v>31</v>
      </c>
      <c r="AM5" s="131" t="s">
        <v>30</v>
      </c>
      <c r="AN5" s="131" t="s">
        <v>31</v>
      </c>
      <c r="AO5" s="131" t="s">
        <v>30</v>
      </c>
      <c r="AP5" s="131" t="s">
        <v>31</v>
      </c>
      <c r="AQ5" s="50"/>
    </row>
    <row r="6" spans="1:45" s="28" customFormat="1" ht="30" customHeight="1">
      <c r="A6" s="25">
        <v>1</v>
      </c>
      <c r="B6" s="26"/>
      <c r="C6" s="26"/>
      <c r="D6" s="27"/>
      <c r="E6" s="20"/>
      <c r="F6" s="20"/>
      <c r="G6" s="20"/>
      <c r="H6" s="20"/>
      <c r="I6" s="20"/>
      <c r="J6" s="20"/>
      <c r="K6" s="20"/>
      <c r="L6" s="21">
        <f>M6*2.43</f>
        <v>0</v>
      </c>
      <c r="M6" s="20"/>
      <c r="N6" s="67"/>
      <c r="O6" s="67"/>
      <c r="P6" s="67"/>
      <c r="Q6" s="67"/>
      <c r="R6" s="67"/>
      <c r="S6" s="67"/>
      <c r="T6" s="67"/>
      <c r="U6" s="67"/>
      <c r="V6" s="67"/>
      <c r="W6" s="20"/>
      <c r="X6" s="20"/>
      <c r="Y6" s="20"/>
      <c r="Z6" s="20"/>
      <c r="AA6" s="20"/>
      <c r="AB6" s="20"/>
      <c r="AC6" s="20"/>
      <c r="AD6" s="220">
        <f t="shared" ref="AD6" si="0">N6+O6+P6+Q6+R6+S6+T6+U6</f>
        <v>0</v>
      </c>
      <c r="AE6" s="196"/>
      <c r="AF6" s="212"/>
      <c r="AG6" s="213"/>
      <c r="AH6" s="212"/>
      <c r="AI6" s="214"/>
      <c r="AJ6" s="212"/>
      <c r="AK6" s="215"/>
      <c r="AL6" s="212"/>
      <c r="AM6" s="216"/>
      <c r="AN6" s="212"/>
      <c r="AO6" s="217"/>
      <c r="AP6" s="212"/>
    </row>
    <row r="7" spans="1:45" s="28" customFormat="1" ht="37.5" customHeight="1">
      <c r="A7" s="29" t="s">
        <v>11</v>
      </c>
      <c r="B7" s="30"/>
      <c r="C7" s="30"/>
      <c r="D7" s="30"/>
      <c r="E7" s="24">
        <f t="shared" ref="E7:AC7" si="1">SUM(E6:E6)</f>
        <v>0</v>
      </c>
      <c r="F7" s="24">
        <f t="shared" si="1"/>
        <v>0</v>
      </c>
      <c r="G7" s="24">
        <f t="shared" si="1"/>
        <v>0</v>
      </c>
      <c r="H7" s="24">
        <f t="shared" si="1"/>
        <v>0</v>
      </c>
      <c r="I7" s="24">
        <f t="shared" si="1"/>
        <v>0</v>
      </c>
      <c r="J7" s="24">
        <f t="shared" si="1"/>
        <v>0</v>
      </c>
      <c r="K7" s="24">
        <f t="shared" si="1"/>
        <v>0</v>
      </c>
      <c r="L7" s="24">
        <f t="shared" si="1"/>
        <v>0</v>
      </c>
      <c r="M7" s="24">
        <f t="shared" si="1"/>
        <v>0</v>
      </c>
      <c r="N7" s="24">
        <f t="shared" si="1"/>
        <v>0</v>
      </c>
      <c r="O7" s="24">
        <f t="shared" si="1"/>
        <v>0</v>
      </c>
      <c r="P7" s="24">
        <f t="shared" si="1"/>
        <v>0</v>
      </c>
      <c r="Q7" s="24">
        <f t="shared" si="1"/>
        <v>0</v>
      </c>
      <c r="R7" s="24">
        <f t="shared" si="1"/>
        <v>0</v>
      </c>
      <c r="S7" s="24">
        <f t="shared" si="1"/>
        <v>0</v>
      </c>
      <c r="T7" s="24">
        <f t="shared" si="1"/>
        <v>0</v>
      </c>
      <c r="U7" s="24">
        <f t="shared" si="1"/>
        <v>0</v>
      </c>
      <c r="V7" s="24">
        <f t="shared" si="1"/>
        <v>0</v>
      </c>
      <c r="W7" s="24">
        <f t="shared" si="1"/>
        <v>0</v>
      </c>
      <c r="X7" s="24">
        <f t="shared" si="1"/>
        <v>0</v>
      </c>
      <c r="Y7" s="24">
        <f t="shared" si="1"/>
        <v>0</v>
      </c>
      <c r="Z7" s="24">
        <f t="shared" si="1"/>
        <v>0</v>
      </c>
      <c r="AA7" s="24">
        <f t="shared" si="1"/>
        <v>0</v>
      </c>
      <c r="AB7" s="24">
        <f t="shared" si="1"/>
        <v>0</v>
      </c>
      <c r="AC7" s="24">
        <f t="shared" si="1"/>
        <v>0</v>
      </c>
      <c r="AD7" s="141"/>
      <c r="AE7" s="30">
        <f t="shared" ref="AE7:AP7" si="2">SUM(AE6:AE6)</f>
        <v>0</v>
      </c>
      <c r="AF7" s="30">
        <f t="shared" si="2"/>
        <v>0</v>
      </c>
      <c r="AG7" s="30">
        <f t="shared" si="2"/>
        <v>0</v>
      </c>
      <c r="AH7" s="30">
        <f t="shared" si="2"/>
        <v>0</v>
      </c>
      <c r="AI7" s="30">
        <f t="shared" si="2"/>
        <v>0</v>
      </c>
      <c r="AJ7" s="30">
        <f t="shared" si="2"/>
        <v>0</v>
      </c>
      <c r="AK7" s="30">
        <f t="shared" si="2"/>
        <v>0</v>
      </c>
      <c r="AL7" s="30">
        <f t="shared" si="2"/>
        <v>0</v>
      </c>
      <c r="AM7" s="30">
        <f t="shared" si="2"/>
        <v>0</v>
      </c>
      <c r="AN7" s="30">
        <f t="shared" si="2"/>
        <v>0</v>
      </c>
      <c r="AO7" s="30">
        <f t="shared" si="2"/>
        <v>0</v>
      </c>
      <c r="AP7" s="30">
        <f t="shared" si="2"/>
        <v>0</v>
      </c>
    </row>
    <row r="8" spans="1:45" s="28" customFormat="1" ht="29.25" customHeight="1">
      <c r="A8" s="25">
        <v>2</v>
      </c>
      <c r="B8" s="26"/>
      <c r="C8" s="26"/>
      <c r="D8" s="27"/>
      <c r="E8" s="20"/>
      <c r="F8" s="20"/>
      <c r="G8" s="20"/>
      <c r="H8" s="20"/>
      <c r="I8" s="20"/>
      <c r="J8" s="20"/>
      <c r="K8" s="20"/>
      <c r="L8" s="21">
        <f t="shared" ref="L8" si="3">M8*2.43</f>
        <v>0</v>
      </c>
      <c r="M8" s="20"/>
      <c r="N8" s="67"/>
      <c r="O8" s="67"/>
      <c r="P8" s="67"/>
      <c r="Q8" s="67"/>
      <c r="R8" s="67"/>
      <c r="S8" s="67"/>
      <c r="T8" s="67"/>
      <c r="U8" s="67"/>
      <c r="V8" s="67"/>
      <c r="W8" s="20"/>
      <c r="X8" s="20"/>
      <c r="Y8" s="20"/>
      <c r="Z8" s="20"/>
      <c r="AA8" s="20"/>
      <c r="AB8" s="20"/>
      <c r="AC8" s="20"/>
      <c r="AD8" s="220">
        <f t="shared" ref="AD8" si="4">N8+O8+P8+Q8+R8+S8+T8+U8</f>
        <v>0</v>
      </c>
      <c r="AE8" s="196"/>
      <c r="AF8" s="212"/>
      <c r="AG8" s="213"/>
      <c r="AH8" s="212"/>
      <c r="AI8" s="214"/>
      <c r="AJ8" s="212"/>
      <c r="AK8" s="215"/>
      <c r="AL8" s="212"/>
      <c r="AM8" s="216"/>
      <c r="AN8" s="212"/>
      <c r="AO8" s="217"/>
      <c r="AP8" s="212"/>
    </row>
    <row r="9" spans="1:45" s="28" customFormat="1" ht="37.5" customHeight="1">
      <c r="A9" s="29" t="s">
        <v>11</v>
      </c>
      <c r="B9" s="30"/>
      <c r="C9" s="30"/>
      <c r="D9" s="30"/>
      <c r="E9" s="24">
        <f t="shared" ref="E9:AC9" si="5">SUM(E8:E8)</f>
        <v>0</v>
      </c>
      <c r="F9" s="24">
        <f t="shared" si="5"/>
        <v>0</v>
      </c>
      <c r="G9" s="24">
        <f t="shared" si="5"/>
        <v>0</v>
      </c>
      <c r="H9" s="24">
        <f t="shared" si="5"/>
        <v>0</v>
      </c>
      <c r="I9" s="24">
        <f t="shared" si="5"/>
        <v>0</v>
      </c>
      <c r="J9" s="24">
        <f t="shared" si="5"/>
        <v>0</v>
      </c>
      <c r="K9" s="24">
        <f t="shared" si="5"/>
        <v>0</v>
      </c>
      <c r="L9" s="24">
        <f t="shared" si="5"/>
        <v>0</v>
      </c>
      <c r="M9" s="24">
        <f t="shared" si="5"/>
        <v>0</v>
      </c>
      <c r="N9" s="24">
        <f t="shared" si="5"/>
        <v>0</v>
      </c>
      <c r="O9" s="24">
        <f t="shared" si="5"/>
        <v>0</v>
      </c>
      <c r="P9" s="24">
        <f t="shared" si="5"/>
        <v>0</v>
      </c>
      <c r="Q9" s="24">
        <f t="shared" si="5"/>
        <v>0</v>
      </c>
      <c r="R9" s="24">
        <f t="shared" si="5"/>
        <v>0</v>
      </c>
      <c r="S9" s="24">
        <f t="shared" si="5"/>
        <v>0</v>
      </c>
      <c r="T9" s="24">
        <f t="shared" si="5"/>
        <v>0</v>
      </c>
      <c r="U9" s="24">
        <f t="shared" si="5"/>
        <v>0</v>
      </c>
      <c r="V9" s="24">
        <f t="shared" si="5"/>
        <v>0</v>
      </c>
      <c r="W9" s="24">
        <f t="shared" si="5"/>
        <v>0</v>
      </c>
      <c r="X9" s="24">
        <f t="shared" si="5"/>
        <v>0</v>
      </c>
      <c r="Y9" s="24">
        <f t="shared" si="5"/>
        <v>0</v>
      </c>
      <c r="Z9" s="24">
        <f t="shared" si="5"/>
        <v>0</v>
      </c>
      <c r="AA9" s="24">
        <f t="shared" si="5"/>
        <v>0</v>
      </c>
      <c r="AB9" s="24">
        <f t="shared" si="5"/>
        <v>0</v>
      </c>
      <c r="AC9" s="24">
        <f t="shared" si="5"/>
        <v>0</v>
      </c>
      <c r="AD9" s="141"/>
      <c r="AE9" s="30">
        <f t="shared" ref="AE9:AP9" si="6">SUM(AE8:AE8)</f>
        <v>0</v>
      </c>
      <c r="AF9" s="30">
        <f t="shared" si="6"/>
        <v>0</v>
      </c>
      <c r="AG9" s="30">
        <f t="shared" si="6"/>
        <v>0</v>
      </c>
      <c r="AH9" s="30">
        <f t="shared" si="6"/>
        <v>0</v>
      </c>
      <c r="AI9" s="30">
        <f t="shared" si="6"/>
        <v>0</v>
      </c>
      <c r="AJ9" s="30">
        <f t="shared" si="6"/>
        <v>0</v>
      </c>
      <c r="AK9" s="30">
        <f t="shared" si="6"/>
        <v>0</v>
      </c>
      <c r="AL9" s="30">
        <f t="shared" si="6"/>
        <v>0</v>
      </c>
      <c r="AM9" s="30">
        <f t="shared" si="6"/>
        <v>0</v>
      </c>
      <c r="AN9" s="30">
        <f t="shared" si="6"/>
        <v>0</v>
      </c>
      <c r="AO9" s="30">
        <f t="shared" si="6"/>
        <v>0</v>
      </c>
      <c r="AP9" s="30">
        <f t="shared" si="6"/>
        <v>0</v>
      </c>
    </row>
    <row r="10" spans="1:45" s="28" customFormat="1" ht="29.25" customHeight="1">
      <c r="A10" s="25">
        <v>3</v>
      </c>
      <c r="B10" s="26"/>
      <c r="C10" s="26"/>
      <c r="D10" s="27"/>
      <c r="E10" s="21"/>
      <c r="F10" s="21"/>
      <c r="G10" s="21"/>
      <c r="H10" s="21"/>
      <c r="I10" s="21"/>
      <c r="J10" s="21"/>
      <c r="K10" s="21"/>
      <c r="L10" s="21">
        <f>M10*2.43</f>
        <v>0</v>
      </c>
      <c r="M10" s="21"/>
      <c r="N10" s="67"/>
      <c r="O10" s="67"/>
      <c r="P10" s="67"/>
      <c r="Q10" s="67"/>
      <c r="R10" s="67"/>
      <c r="S10" s="67"/>
      <c r="T10" s="67"/>
      <c r="U10" s="67"/>
      <c r="V10" s="67"/>
      <c r="W10" s="21"/>
      <c r="X10" s="21"/>
      <c r="Y10" s="21"/>
      <c r="Z10" s="21"/>
      <c r="AA10" s="21"/>
      <c r="AB10" s="21"/>
      <c r="AC10" s="21"/>
      <c r="AD10" s="220">
        <f t="shared" ref="AD10" si="7">N10+O10+P10+Q10+R10+S10+T10+U10</f>
        <v>0</v>
      </c>
      <c r="AE10" s="196"/>
      <c r="AF10" s="212"/>
      <c r="AG10" s="213"/>
      <c r="AH10" s="212"/>
      <c r="AI10" s="214"/>
      <c r="AJ10" s="212"/>
      <c r="AK10" s="215"/>
      <c r="AL10" s="212"/>
      <c r="AM10" s="216"/>
      <c r="AN10" s="212"/>
      <c r="AO10" s="217"/>
      <c r="AP10" s="212"/>
    </row>
    <row r="11" spans="1:45" s="28" customFormat="1" ht="30" customHeight="1" thickBot="1">
      <c r="A11" s="29" t="s">
        <v>11</v>
      </c>
      <c r="B11" s="30"/>
      <c r="C11" s="30"/>
      <c r="D11" s="30"/>
      <c r="E11" s="24">
        <f t="shared" ref="E11:AC11" si="8">SUM(E10:E10)</f>
        <v>0</v>
      </c>
      <c r="F11" s="24">
        <f t="shared" si="8"/>
        <v>0</v>
      </c>
      <c r="G11" s="24">
        <f t="shared" si="8"/>
        <v>0</v>
      </c>
      <c r="H11" s="24">
        <f t="shared" si="8"/>
        <v>0</v>
      </c>
      <c r="I11" s="24">
        <f t="shared" si="8"/>
        <v>0</v>
      </c>
      <c r="J11" s="24">
        <f t="shared" si="8"/>
        <v>0</v>
      </c>
      <c r="K11" s="24">
        <f t="shared" si="8"/>
        <v>0</v>
      </c>
      <c r="L11" s="24">
        <f t="shared" si="8"/>
        <v>0</v>
      </c>
      <c r="M11" s="24">
        <f t="shared" si="8"/>
        <v>0</v>
      </c>
      <c r="N11" s="24">
        <f t="shared" si="8"/>
        <v>0</v>
      </c>
      <c r="O11" s="24">
        <f t="shared" si="8"/>
        <v>0</v>
      </c>
      <c r="P11" s="24">
        <f t="shared" si="8"/>
        <v>0</v>
      </c>
      <c r="Q11" s="24">
        <f t="shared" si="8"/>
        <v>0</v>
      </c>
      <c r="R11" s="24">
        <f t="shared" si="8"/>
        <v>0</v>
      </c>
      <c r="S11" s="24">
        <f t="shared" si="8"/>
        <v>0</v>
      </c>
      <c r="T11" s="24">
        <f t="shared" si="8"/>
        <v>0</v>
      </c>
      <c r="U11" s="24">
        <f t="shared" si="8"/>
        <v>0</v>
      </c>
      <c r="V11" s="24">
        <f t="shared" si="8"/>
        <v>0</v>
      </c>
      <c r="W11" s="24">
        <f t="shared" si="8"/>
        <v>0</v>
      </c>
      <c r="X11" s="24">
        <f t="shared" si="8"/>
        <v>0</v>
      </c>
      <c r="Y11" s="24">
        <f t="shared" si="8"/>
        <v>0</v>
      </c>
      <c r="Z11" s="24">
        <f t="shared" si="8"/>
        <v>0</v>
      </c>
      <c r="AA11" s="24">
        <f t="shared" si="8"/>
        <v>0</v>
      </c>
      <c r="AB11" s="24">
        <f t="shared" si="8"/>
        <v>0</v>
      </c>
      <c r="AC11" s="24">
        <f t="shared" si="8"/>
        <v>0</v>
      </c>
      <c r="AD11" s="151"/>
      <c r="AE11" s="30">
        <f t="shared" ref="AE11:AP11" si="9">SUM(AE10:AE10)</f>
        <v>0</v>
      </c>
      <c r="AF11" s="30">
        <f t="shared" si="9"/>
        <v>0</v>
      </c>
      <c r="AG11" s="30">
        <f t="shared" si="9"/>
        <v>0</v>
      </c>
      <c r="AH11" s="30">
        <f t="shared" si="9"/>
        <v>0</v>
      </c>
      <c r="AI11" s="30">
        <f t="shared" si="9"/>
        <v>0</v>
      </c>
      <c r="AJ11" s="30">
        <f t="shared" si="9"/>
        <v>0</v>
      </c>
      <c r="AK11" s="30">
        <f t="shared" si="9"/>
        <v>0</v>
      </c>
      <c r="AL11" s="30">
        <f t="shared" si="9"/>
        <v>0</v>
      </c>
      <c r="AM11" s="30">
        <f t="shared" si="9"/>
        <v>0</v>
      </c>
      <c r="AN11" s="30">
        <f t="shared" si="9"/>
        <v>0</v>
      </c>
      <c r="AO11" s="30">
        <f t="shared" si="9"/>
        <v>0</v>
      </c>
      <c r="AP11" s="30">
        <f t="shared" si="9"/>
        <v>0</v>
      </c>
      <c r="AQ11" s="219" t="s">
        <v>32</v>
      </c>
      <c r="AR11" s="34" t="s">
        <v>30</v>
      </c>
      <c r="AS11" s="35" t="s">
        <v>31</v>
      </c>
    </row>
    <row r="12" spans="1:45" s="28" customFormat="1" ht="30" customHeight="1">
      <c r="B12" s="149"/>
      <c r="C12" s="149"/>
      <c r="D12" s="149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1"/>
      <c r="AQ12" s="154" t="s">
        <v>33</v>
      </c>
      <c r="AR12" s="37">
        <f>AI13</f>
        <v>0</v>
      </c>
      <c r="AS12" s="38">
        <f>AJ13</f>
        <v>0</v>
      </c>
    </row>
    <row r="13" spans="1:45" s="28" customFormat="1" ht="30" customHeight="1">
      <c r="A13" s="184" t="s">
        <v>15</v>
      </c>
      <c r="B13" s="183"/>
      <c r="C13" s="183"/>
      <c r="D13" s="183"/>
      <c r="E13" s="185">
        <f t="shared" ref="E13:AC13" si="10">E11+E9+E7</f>
        <v>0</v>
      </c>
      <c r="F13" s="185">
        <f t="shared" si="10"/>
        <v>0</v>
      </c>
      <c r="G13" s="185">
        <f t="shared" si="10"/>
        <v>0</v>
      </c>
      <c r="H13" s="185">
        <f t="shared" si="10"/>
        <v>0</v>
      </c>
      <c r="I13" s="185">
        <f t="shared" si="10"/>
        <v>0</v>
      </c>
      <c r="J13" s="185">
        <f t="shared" si="10"/>
        <v>0</v>
      </c>
      <c r="K13" s="185">
        <f t="shared" si="10"/>
        <v>0</v>
      </c>
      <c r="L13" s="186">
        <f t="shared" si="10"/>
        <v>0</v>
      </c>
      <c r="M13" s="185">
        <f t="shared" si="10"/>
        <v>0</v>
      </c>
      <c r="N13" s="185">
        <f t="shared" si="10"/>
        <v>0</v>
      </c>
      <c r="O13" s="185">
        <f t="shared" si="10"/>
        <v>0</v>
      </c>
      <c r="P13" s="185">
        <f t="shared" si="10"/>
        <v>0</v>
      </c>
      <c r="Q13" s="185">
        <f t="shared" si="10"/>
        <v>0</v>
      </c>
      <c r="R13" s="185">
        <f t="shared" si="10"/>
        <v>0</v>
      </c>
      <c r="S13" s="185">
        <f t="shared" si="10"/>
        <v>0</v>
      </c>
      <c r="T13" s="185">
        <f t="shared" si="10"/>
        <v>0</v>
      </c>
      <c r="U13" s="185">
        <f t="shared" si="10"/>
        <v>0</v>
      </c>
      <c r="V13" s="185">
        <f t="shared" si="10"/>
        <v>0</v>
      </c>
      <c r="W13" s="185">
        <f t="shared" si="10"/>
        <v>0</v>
      </c>
      <c r="X13" s="185">
        <f t="shared" si="10"/>
        <v>0</v>
      </c>
      <c r="Y13" s="185">
        <f t="shared" si="10"/>
        <v>0</v>
      </c>
      <c r="Z13" s="185">
        <f t="shared" si="10"/>
        <v>0</v>
      </c>
      <c r="AA13" s="185">
        <f t="shared" si="10"/>
        <v>0</v>
      </c>
      <c r="AB13" s="185">
        <f t="shared" si="10"/>
        <v>0</v>
      </c>
      <c r="AC13" s="185">
        <f t="shared" si="10"/>
        <v>0</v>
      </c>
      <c r="AD13" s="151"/>
      <c r="AE13" s="189">
        <f t="shared" ref="AE13:AP13" si="11">AE11+AE9+AE7</f>
        <v>0</v>
      </c>
      <c r="AF13" s="189">
        <f t="shared" si="11"/>
        <v>0</v>
      </c>
      <c r="AG13" s="189">
        <f t="shared" si="11"/>
        <v>0</v>
      </c>
      <c r="AH13" s="189">
        <f t="shared" si="11"/>
        <v>0</v>
      </c>
      <c r="AI13" s="189">
        <f t="shared" si="11"/>
        <v>0</v>
      </c>
      <c r="AJ13" s="189">
        <f t="shared" si="11"/>
        <v>0</v>
      </c>
      <c r="AK13" s="189">
        <f t="shared" si="11"/>
        <v>0</v>
      </c>
      <c r="AL13" s="189">
        <f t="shared" si="11"/>
        <v>0</v>
      </c>
      <c r="AM13" s="189">
        <f t="shared" si="11"/>
        <v>0</v>
      </c>
      <c r="AN13" s="189">
        <f t="shared" si="11"/>
        <v>0</v>
      </c>
      <c r="AO13" s="189">
        <f t="shared" si="11"/>
        <v>0</v>
      </c>
      <c r="AP13" s="189">
        <f t="shared" si="11"/>
        <v>0</v>
      </c>
      <c r="AQ13" s="54" t="s">
        <v>26</v>
      </c>
      <c r="AR13" s="44">
        <f>AK13</f>
        <v>0</v>
      </c>
      <c r="AS13" s="45">
        <f>AL13</f>
        <v>0</v>
      </c>
    </row>
    <row r="14" spans="1:45" s="46" customFormat="1" ht="30" customHeight="1">
      <c r="B14" s="47"/>
      <c r="C14" s="157" t="s">
        <v>58</v>
      </c>
      <c r="D14" s="158"/>
      <c r="E14" s="159">
        <v>21.64</v>
      </c>
      <c r="F14" s="160">
        <v>115.8</v>
      </c>
      <c r="G14" s="160">
        <v>35.47</v>
      </c>
      <c r="H14" s="160">
        <v>26.67</v>
      </c>
      <c r="I14" s="160">
        <v>40</v>
      </c>
      <c r="J14" s="159">
        <v>26.42</v>
      </c>
      <c r="K14" s="159">
        <v>97.6</v>
      </c>
      <c r="L14" s="159">
        <v>26.5</v>
      </c>
      <c r="M14" s="159">
        <v>28.5</v>
      </c>
      <c r="N14" s="159">
        <v>192.35</v>
      </c>
      <c r="O14" s="159">
        <v>198</v>
      </c>
      <c r="P14" s="159">
        <v>192</v>
      </c>
      <c r="Q14" s="159">
        <v>192.35</v>
      </c>
      <c r="R14" s="159">
        <v>198</v>
      </c>
      <c r="S14" s="159">
        <v>207</v>
      </c>
      <c r="T14" s="159">
        <v>192</v>
      </c>
      <c r="U14" s="159">
        <v>192.35</v>
      </c>
      <c r="V14" s="159">
        <v>379.46</v>
      </c>
      <c r="W14" s="159">
        <v>35.200000000000003</v>
      </c>
      <c r="X14" s="159">
        <v>40.200000000000003</v>
      </c>
      <c r="Y14" s="159">
        <v>36.4</v>
      </c>
      <c r="Z14" s="159">
        <v>81.900000000000006</v>
      </c>
      <c r="AA14" s="159">
        <v>16.5</v>
      </c>
      <c r="AB14" s="159">
        <v>285</v>
      </c>
      <c r="AC14" s="159">
        <v>16.8</v>
      </c>
      <c r="AD14" s="48"/>
      <c r="AQ14" s="54" t="s">
        <v>27</v>
      </c>
      <c r="AR14" s="44">
        <f>AM13</f>
        <v>0</v>
      </c>
      <c r="AS14" s="45">
        <f>AN13</f>
        <v>0</v>
      </c>
    </row>
    <row r="15" spans="1:45" s="46" customFormat="1" ht="30" customHeight="1">
      <c r="A15" s="16"/>
      <c r="B15" s="17"/>
      <c r="C15" s="113" t="s">
        <v>53</v>
      </c>
      <c r="D15" s="27">
        <f>E15+F15+J15+K15+L15+M15+N15+O15+P15+Q15+R15+T15+W15+X15+Y15+Z15+AA15+AB15+AC15+G15+H15</f>
        <v>0</v>
      </c>
      <c r="E15" s="112">
        <f>E13*E14</f>
        <v>0</v>
      </c>
      <c r="F15" s="112">
        <f t="shared" ref="F15:AC15" si="12">F13*F14</f>
        <v>0</v>
      </c>
      <c r="G15" s="112">
        <f t="shared" si="12"/>
        <v>0</v>
      </c>
      <c r="H15" s="112">
        <f t="shared" si="12"/>
        <v>0</v>
      </c>
      <c r="I15" s="112">
        <f t="shared" si="12"/>
        <v>0</v>
      </c>
      <c r="J15" s="112">
        <f t="shared" si="12"/>
        <v>0</v>
      </c>
      <c r="K15" s="112">
        <f t="shared" si="12"/>
        <v>0</v>
      </c>
      <c r="L15" s="112">
        <f t="shared" si="12"/>
        <v>0</v>
      </c>
      <c r="M15" s="112">
        <f t="shared" si="12"/>
        <v>0</v>
      </c>
      <c r="N15" s="112">
        <f t="shared" si="12"/>
        <v>0</v>
      </c>
      <c r="O15" s="112">
        <f t="shared" si="12"/>
        <v>0</v>
      </c>
      <c r="P15" s="112">
        <f t="shared" si="12"/>
        <v>0</v>
      </c>
      <c r="Q15" s="112">
        <f t="shared" si="12"/>
        <v>0</v>
      </c>
      <c r="R15" s="112">
        <f t="shared" si="12"/>
        <v>0</v>
      </c>
      <c r="S15" s="112">
        <f t="shared" si="12"/>
        <v>0</v>
      </c>
      <c r="T15" s="112">
        <f t="shared" si="12"/>
        <v>0</v>
      </c>
      <c r="U15" s="112">
        <f t="shared" si="12"/>
        <v>0</v>
      </c>
      <c r="V15" s="112">
        <f t="shared" si="12"/>
        <v>0</v>
      </c>
      <c r="W15" s="112">
        <f t="shared" si="12"/>
        <v>0</v>
      </c>
      <c r="X15" s="112">
        <f t="shared" si="12"/>
        <v>0</v>
      </c>
      <c r="Y15" s="112">
        <f t="shared" si="12"/>
        <v>0</v>
      </c>
      <c r="Z15" s="112">
        <f t="shared" si="12"/>
        <v>0</v>
      </c>
      <c r="AA15" s="112">
        <f t="shared" si="12"/>
        <v>0</v>
      </c>
      <c r="AB15" s="112">
        <f t="shared" si="12"/>
        <v>0</v>
      </c>
      <c r="AC15" s="112">
        <f t="shared" si="12"/>
        <v>0</v>
      </c>
      <c r="AD15" s="16"/>
      <c r="AQ15" s="54" t="s">
        <v>34</v>
      </c>
      <c r="AR15" s="44">
        <f>AE13</f>
        <v>0</v>
      </c>
      <c r="AS15" s="45">
        <f>AF13</f>
        <v>0</v>
      </c>
    </row>
    <row r="16" spans="1:45" s="16" customFormat="1" ht="30" customHeight="1">
      <c r="B16" s="17"/>
      <c r="C16" s="17"/>
      <c r="AQ16" s="54" t="s">
        <v>29</v>
      </c>
      <c r="AR16" s="14">
        <f>AG13</f>
        <v>0</v>
      </c>
      <c r="AS16" s="15">
        <f>AH13</f>
        <v>0</v>
      </c>
    </row>
    <row r="17" spans="2:45" s="16" customFormat="1" ht="30" customHeight="1" thickBot="1">
      <c r="B17" s="17"/>
      <c r="C17" s="17"/>
      <c r="AQ17" s="55" t="s">
        <v>35</v>
      </c>
      <c r="AR17" s="18">
        <f>AO13</f>
        <v>0</v>
      </c>
      <c r="AS17" s="19">
        <f>AP13</f>
        <v>0</v>
      </c>
    </row>
    <row r="18" spans="2:45" s="16" customFormat="1" ht="30" customHeight="1">
      <c r="B18" s="17"/>
      <c r="C18" s="17"/>
    </row>
    <row r="19" spans="2:45" s="12" customFormat="1" ht="11.25" customHeight="1">
      <c r="B19" s="13"/>
      <c r="C19" s="13"/>
    </row>
    <row r="20" spans="2:45" s="12" customFormat="1">
      <c r="B20" s="13"/>
      <c r="C20" s="13"/>
      <c r="N20" s="12" t="s">
        <v>18</v>
      </c>
    </row>
    <row r="21" spans="2:45" s="12" customFormat="1">
      <c r="B21" s="13"/>
      <c r="C21" s="13"/>
    </row>
    <row r="22" spans="2:45" s="12" customFormat="1">
      <c r="B22" s="13"/>
      <c r="C22" s="13"/>
    </row>
    <row r="23" spans="2:45" s="12" customFormat="1">
      <c r="B23" s="13"/>
      <c r="C23" s="13"/>
    </row>
  </sheetData>
  <mergeCells count="22">
    <mergeCell ref="AO3:AP4"/>
    <mergeCell ref="N3:O3"/>
    <mergeCell ref="Q3:R3"/>
    <mergeCell ref="W3:Z3"/>
    <mergeCell ref="AA3:AA4"/>
    <mergeCell ref="AB3:AB4"/>
    <mergeCell ref="AC3:AC4"/>
    <mergeCell ref="AE3:AF4"/>
    <mergeCell ref="AG3:AH4"/>
    <mergeCell ref="AI3:AJ4"/>
    <mergeCell ref="AK3:AL4"/>
    <mergeCell ref="AM3:AN4"/>
    <mergeCell ref="M1:Q1"/>
    <mergeCell ref="B3:B5"/>
    <mergeCell ref="D3:D5"/>
    <mergeCell ref="K3:K4"/>
    <mergeCell ref="L3:L4"/>
    <mergeCell ref="C3:C5"/>
    <mergeCell ref="A1:B1"/>
    <mergeCell ref="C1:D1"/>
    <mergeCell ref="M3:M4"/>
    <mergeCell ref="A3:A5"/>
  </mergeCells>
  <pageMargins left="0.196850393700787" right="0.196850393700787" top="0.196850393700787" bottom="0.196850393700787" header="0.31496062992126" footer="0.31496062992126"/>
  <pageSetup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"/>
  <sheetViews>
    <sheetView zoomScale="85" zoomScaleNormal="85" workbookViewId="0">
      <pane xSplit="5" ySplit="5" topLeftCell="AE6" activePane="bottomRight" state="frozen"/>
      <selection activeCell="AD26" sqref="AD26"/>
      <selection pane="topRight" activeCell="AD26" sqref="AD26"/>
      <selection pane="bottomLeft" activeCell="AD26" sqref="AD26"/>
      <selection pane="bottomRight" activeCell="AK18" sqref="AK18"/>
    </sheetView>
  </sheetViews>
  <sheetFormatPr defaultColWidth="9.140625" defaultRowHeight="18"/>
  <cols>
    <col min="1" max="1" width="11" style="7" bestFit="1" customWidth="1"/>
    <col min="2" max="3" width="21.140625" style="6" customWidth="1"/>
    <col min="4" max="4" width="11.140625" style="6" customWidth="1"/>
    <col min="5" max="5" width="28.5703125" style="3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1" width="12.140625" style="1" customWidth="1"/>
    <col min="12" max="12" width="13.28515625" style="1" customWidth="1"/>
    <col min="13" max="13" width="12.42578125" style="1" customWidth="1"/>
    <col min="14" max="14" width="11.140625" style="1" customWidth="1"/>
    <col min="15" max="15" width="15.85546875" style="1" hidden="1" customWidth="1"/>
    <col min="16" max="16" width="8.7109375" style="1" hidden="1" customWidth="1"/>
    <col min="17" max="17" width="11.140625" style="1" customWidth="1"/>
    <col min="18" max="18" width="12.140625" style="1" hidden="1" customWidth="1"/>
    <col min="19" max="19" width="8.7109375" style="1" hidden="1" customWidth="1"/>
    <col min="20" max="20" width="10.42578125" style="1" hidden="1" customWidth="1"/>
    <col min="21" max="21" width="10.42578125" style="1" customWidth="1"/>
    <col min="22" max="23" width="11.140625" style="1" hidden="1" customWidth="1"/>
    <col min="24" max="24" width="11" style="1" customWidth="1"/>
    <col min="25" max="25" width="11.140625" style="1" customWidth="1"/>
    <col min="26" max="27" width="8.5703125" style="1" hidden="1" customWidth="1"/>
    <col min="28" max="28" width="11.140625" style="1" customWidth="1"/>
    <col min="29" max="29" width="9.140625" style="1" customWidth="1"/>
    <col min="30" max="31" width="11.140625" style="1" customWidth="1"/>
    <col min="32" max="43" width="11.28515625" style="1" customWidth="1"/>
    <col min="44" max="44" width="32.7109375" style="1" bestFit="1" customWidth="1"/>
    <col min="45" max="46" width="10.5703125" style="1" bestFit="1" customWidth="1"/>
    <col min="47" max="47" width="9.140625" style="1"/>
    <col min="48" max="48" width="9.5703125" style="1" bestFit="1" customWidth="1"/>
    <col min="49" max="16384" width="9.140625" style="1"/>
  </cols>
  <sheetData>
    <row r="1" spans="1:48" s="4" customFormat="1" ht="41.25" customHeight="1">
      <c r="A1" s="359" t="s">
        <v>24</v>
      </c>
      <c r="B1" s="359"/>
      <c r="C1" s="360">
        <f>TOTAL!D3</f>
        <v>46153</v>
      </c>
      <c r="D1" s="360"/>
      <c r="E1" s="360"/>
      <c r="F1" s="96"/>
      <c r="G1" s="96"/>
      <c r="H1" s="96"/>
      <c r="I1" s="96"/>
      <c r="J1" s="96"/>
      <c r="K1" s="96"/>
      <c r="N1" s="364" t="s">
        <v>38</v>
      </c>
      <c r="O1" s="364"/>
      <c r="P1" s="364"/>
      <c r="Q1" s="364"/>
      <c r="R1" s="364"/>
    </row>
    <row r="2" spans="1:48" s="4" customFormat="1" ht="12.75" customHeight="1">
      <c r="A2" s="46"/>
      <c r="B2" s="46"/>
      <c r="C2" s="121"/>
      <c r="D2" s="121"/>
      <c r="E2" s="121"/>
      <c r="F2" s="8"/>
      <c r="G2" s="8"/>
      <c r="H2" s="8"/>
      <c r="I2" s="8"/>
      <c r="J2" s="8"/>
      <c r="K2" s="8"/>
      <c r="O2" s="5"/>
      <c r="P2" s="5"/>
    </row>
    <row r="3" spans="1:48" s="2" customFormat="1" ht="31.5" customHeight="1">
      <c r="A3" s="334" t="s">
        <v>12</v>
      </c>
      <c r="B3" s="334" t="s">
        <v>13</v>
      </c>
      <c r="C3" s="334" t="s">
        <v>57</v>
      </c>
      <c r="D3" s="337" t="s">
        <v>101</v>
      </c>
      <c r="E3" s="323" t="s">
        <v>0</v>
      </c>
      <c r="F3" s="180" t="s">
        <v>21</v>
      </c>
      <c r="G3" s="181" t="s">
        <v>14</v>
      </c>
      <c r="H3" s="181" t="s">
        <v>71</v>
      </c>
      <c r="I3" s="181" t="s">
        <v>117</v>
      </c>
      <c r="J3" s="277" t="s">
        <v>14</v>
      </c>
      <c r="K3" s="182" t="s">
        <v>14</v>
      </c>
      <c r="L3" s="326" t="s">
        <v>2</v>
      </c>
      <c r="M3" s="327" t="s">
        <v>22</v>
      </c>
      <c r="N3" s="326" t="s">
        <v>3</v>
      </c>
      <c r="O3" s="320" t="s">
        <v>4</v>
      </c>
      <c r="P3" s="321"/>
      <c r="Q3" s="181" t="s">
        <v>5</v>
      </c>
      <c r="R3" s="320" t="s">
        <v>17</v>
      </c>
      <c r="S3" s="321"/>
      <c r="T3" s="229" t="s">
        <v>5</v>
      </c>
      <c r="U3" s="181" t="s">
        <v>5</v>
      </c>
      <c r="V3" s="181" t="s">
        <v>68</v>
      </c>
      <c r="W3" s="181" t="s">
        <v>56</v>
      </c>
      <c r="X3" s="356" t="s">
        <v>6</v>
      </c>
      <c r="Y3" s="356"/>
      <c r="Z3" s="356"/>
      <c r="AA3" s="356"/>
      <c r="AB3" s="327" t="s">
        <v>19</v>
      </c>
      <c r="AC3" s="327" t="s">
        <v>7</v>
      </c>
      <c r="AD3" s="327" t="s">
        <v>20</v>
      </c>
      <c r="AE3" s="162"/>
      <c r="AF3" s="361" t="s">
        <v>28</v>
      </c>
      <c r="AG3" s="361"/>
      <c r="AH3" s="310" t="s">
        <v>29</v>
      </c>
      <c r="AI3" s="311"/>
      <c r="AJ3" s="310" t="s">
        <v>25</v>
      </c>
      <c r="AK3" s="311"/>
      <c r="AL3" s="310" t="s">
        <v>26</v>
      </c>
      <c r="AM3" s="311"/>
      <c r="AN3" s="310" t="s">
        <v>27</v>
      </c>
      <c r="AO3" s="311"/>
      <c r="AP3" s="310" t="s">
        <v>41</v>
      </c>
      <c r="AQ3" s="311"/>
      <c r="AR3" s="50"/>
    </row>
    <row r="4" spans="1:48" s="2" customFormat="1" ht="21" customHeight="1">
      <c r="A4" s="335"/>
      <c r="B4" s="335"/>
      <c r="C4" s="335"/>
      <c r="D4" s="338"/>
      <c r="E4" s="324"/>
      <c r="F4" s="182">
        <v>208</v>
      </c>
      <c r="G4" s="182">
        <v>38</v>
      </c>
      <c r="H4" s="182">
        <v>200</v>
      </c>
      <c r="I4" s="182">
        <v>200</v>
      </c>
      <c r="J4" s="276">
        <v>135</v>
      </c>
      <c r="K4" s="182">
        <v>215</v>
      </c>
      <c r="L4" s="326"/>
      <c r="M4" s="328"/>
      <c r="N4" s="326"/>
      <c r="O4" s="180">
        <v>2.4</v>
      </c>
      <c r="P4" s="180">
        <v>3.6</v>
      </c>
      <c r="Q4" s="180">
        <v>3.6</v>
      </c>
      <c r="R4" s="181">
        <v>2.4</v>
      </c>
      <c r="S4" s="181">
        <v>3.6</v>
      </c>
      <c r="T4" s="181">
        <v>4.9000000000000004</v>
      </c>
      <c r="U4" s="180">
        <v>2.4</v>
      </c>
      <c r="V4" s="180">
        <v>2.4</v>
      </c>
      <c r="W4" s="180"/>
      <c r="X4" s="182">
        <v>5</v>
      </c>
      <c r="Y4" s="182">
        <v>10</v>
      </c>
      <c r="Z4" s="182">
        <v>6</v>
      </c>
      <c r="AA4" s="182">
        <v>40</v>
      </c>
      <c r="AB4" s="328"/>
      <c r="AC4" s="328"/>
      <c r="AD4" s="328"/>
      <c r="AE4" s="162"/>
      <c r="AF4" s="361"/>
      <c r="AG4" s="361"/>
      <c r="AH4" s="312"/>
      <c r="AI4" s="313"/>
      <c r="AJ4" s="312"/>
      <c r="AK4" s="313"/>
      <c r="AL4" s="312"/>
      <c r="AM4" s="313"/>
      <c r="AN4" s="312"/>
      <c r="AO4" s="313"/>
      <c r="AP4" s="312"/>
      <c r="AQ4" s="313"/>
      <c r="AR4" s="50"/>
    </row>
    <row r="5" spans="1:48" s="2" customFormat="1" ht="24" customHeight="1">
      <c r="A5" s="336"/>
      <c r="B5" s="336"/>
      <c r="C5" s="336"/>
      <c r="D5" s="339"/>
      <c r="E5" s="325"/>
      <c r="F5" s="182" t="s">
        <v>8</v>
      </c>
      <c r="G5" s="182" t="s">
        <v>8</v>
      </c>
      <c r="H5" s="182" t="s">
        <v>8</v>
      </c>
      <c r="I5" s="182" t="s">
        <v>8</v>
      </c>
      <c r="J5" s="276" t="s">
        <v>8</v>
      </c>
      <c r="K5" s="182" t="s">
        <v>8</v>
      </c>
      <c r="L5" s="182" t="s">
        <v>9</v>
      </c>
      <c r="M5" s="182" t="s">
        <v>23</v>
      </c>
      <c r="N5" s="182" t="s">
        <v>8</v>
      </c>
      <c r="O5" s="182" t="s">
        <v>8</v>
      </c>
      <c r="P5" s="182" t="s">
        <v>8</v>
      </c>
      <c r="Q5" s="182" t="s">
        <v>8</v>
      </c>
      <c r="R5" s="182" t="s">
        <v>8</v>
      </c>
      <c r="S5" s="182" t="s">
        <v>8</v>
      </c>
      <c r="T5" s="182" t="s">
        <v>8</v>
      </c>
      <c r="U5" s="182" t="s">
        <v>8</v>
      </c>
      <c r="V5" s="182" t="s">
        <v>8</v>
      </c>
      <c r="W5" s="182" t="s">
        <v>8</v>
      </c>
      <c r="X5" s="182" t="s">
        <v>10</v>
      </c>
      <c r="Y5" s="182" t="s">
        <v>10</v>
      </c>
      <c r="Z5" s="182" t="s">
        <v>10</v>
      </c>
      <c r="AA5" s="182" t="s">
        <v>10</v>
      </c>
      <c r="AB5" s="182" t="s">
        <v>8</v>
      </c>
      <c r="AC5" s="182" t="s">
        <v>8</v>
      </c>
      <c r="AD5" s="182" t="s">
        <v>8</v>
      </c>
      <c r="AE5" s="163"/>
      <c r="AF5" s="131" t="s">
        <v>30</v>
      </c>
      <c r="AG5" s="131" t="s">
        <v>31</v>
      </c>
      <c r="AH5" s="131" t="s">
        <v>30</v>
      </c>
      <c r="AI5" s="131" t="s">
        <v>31</v>
      </c>
      <c r="AJ5" s="131" t="s">
        <v>30</v>
      </c>
      <c r="AK5" s="131" t="s">
        <v>31</v>
      </c>
      <c r="AL5" s="131" t="s">
        <v>30</v>
      </c>
      <c r="AM5" s="131" t="s">
        <v>31</v>
      </c>
      <c r="AN5" s="131" t="s">
        <v>30</v>
      </c>
      <c r="AO5" s="131" t="s">
        <v>31</v>
      </c>
      <c r="AP5" s="131" t="s">
        <v>30</v>
      </c>
      <c r="AQ5" s="131" t="s">
        <v>31</v>
      </c>
      <c r="AR5" s="50"/>
    </row>
    <row r="6" spans="1:48" s="28" customFormat="1" ht="30" customHeight="1">
      <c r="A6" s="25">
        <v>1</v>
      </c>
      <c r="B6" s="26" t="s">
        <v>118</v>
      </c>
      <c r="C6" s="26"/>
      <c r="D6" s="26"/>
      <c r="E6" s="27"/>
      <c r="F6" s="20"/>
      <c r="G6" s="20"/>
      <c r="H6" s="20"/>
      <c r="I6" s="20"/>
      <c r="J6" s="20"/>
      <c r="K6" s="20"/>
      <c r="L6" s="20"/>
      <c r="M6" s="21">
        <f t="shared" ref="M6" si="0">N6*2.43</f>
        <v>0</v>
      </c>
      <c r="N6" s="20"/>
      <c r="O6" s="67"/>
      <c r="P6" s="67"/>
      <c r="Q6" s="67"/>
      <c r="R6" s="67"/>
      <c r="S6" s="67"/>
      <c r="T6" s="67"/>
      <c r="U6" s="67"/>
      <c r="V6" s="67"/>
      <c r="W6" s="67"/>
      <c r="X6" s="20"/>
      <c r="Y6" s="20"/>
      <c r="Z6" s="20"/>
      <c r="AA6" s="20"/>
      <c r="AB6" s="20"/>
      <c r="AC6" s="20"/>
      <c r="AD6" s="20"/>
      <c r="AE6" s="220">
        <f t="shared" ref="AE6" si="1">O6+P6+Q6+R6+S6+T6+U6+V6</f>
        <v>0</v>
      </c>
      <c r="AF6" s="196"/>
      <c r="AG6" s="212"/>
      <c r="AH6" s="213"/>
      <c r="AI6" s="212"/>
      <c r="AJ6" s="214"/>
      <c r="AK6" s="212"/>
      <c r="AL6" s="215"/>
      <c r="AM6" s="212"/>
      <c r="AN6" s="216"/>
      <c r="AO6" s="212"/>
      <c r="AP6" s="217"/>
      <c r="AQ6" s="212"/>
      <c r="AV6" s="268">
        <f>COUNTIFS(AE6,"&gt;=11")</f>
        <v>0</v>
      </c>
    </row>
    <row r="7" spans="1:48" s="28" customFormat="1" ht="30" customHeight="1">
      <c r="A7" s="25">
        <v>1</v>
      </c>
      <c r="B7" s="26"/>
      <c r="C7" s="26"/>
      <c r="D7" s="26"/>
      <c r="E7" s="27"/>
      <c r="F7" s="20"/>
      <c r="G7" s="20"/>
      <c r="H7" s="20"/>
      <c r="I7" s="20"/>
      <c r="J7" s="20"/>
      <c r="K7" s="20"/>
      <c r="L7" s="20"/>
      <c r="M7" s="21">
        <f>N7*2.43</f>
        <v>0</v>
      </c>
      <c r="N7" s="20"/>
      <c r="O7" s="67"/>
      <c r="P7" s="67"/>
      <c r="Q7" s="67"/>
      <c r="R7" s="67"/>
      <c r="S7" s="67"/>
      <c r="T7" s="67"/>
      <c r="U7" s="67"/>
      <c r="V7" s="67"/>
      <c r="W7" s="67"/>
      <c r="X7" s="20"/>
      <c r="Y7" s="20"/>
      <c r="Z7" s="20"/>
      <c r="AA7" s="20"/>
      <c r="AB7" s="20"/>
      <c r="AC7" s="20"/>
      <c r="AD7" s="20"/>
      <c r="AE7" s="220">
        <f>O7+P7+Q7+R7+S7+T7+U7+V7</f>
        <v>0</v>
      </c>
      <c r="AF7" s="196"/>
      <c r="AG7" s="212"/>
      <c r="AH7" s="213"/>
      <c r="AI7" s="212"/>
      <c r="AJ7" s="214"/>
      <c r="AK7" s="212"/>
      <c r="AL7" s="215"/>
      <c r="AM7" s="212"/>
      <c r="AN7" s="216"/>
      <c r="AO7" s="212"/>
      <c r="AP7" s="217"/>
      <c r="AQ7" s="212"/>
      <c r="AV7" s="268">
        <f t="shared" ref="AV7:AV11" si="2">COUNTIFS(AE7,"&gt;=11")</f>
        <v>0</v>
      </c>
    </row>
    <row r="8" spans="1:48" s="28" customFormat="1" ht="37.5" customHeight="1">
      <c r="A8" s="29" t="s">
        <v>11</v>
      </c>
      <c r="B8" s="30"/>
      <c r="C8" s="30"/>
      <c r="D8" s="30"/>
      <c r="E8" s="30"/>
      <c r="F8" s="24">
        <f t="shared" ref="F8:AD8" si="3">SUM(F6:F7)</f>
        <v>0</v>
      </c>
      <c r="G8" s="24">
        <f t="shared" si="3"/>
        <v>0</v>
      </c>
      <c r="H8" s="24">
        <f t="shared" si="3"/>
        <v>0</v>
      </c>
      <c r="I8" s="24">
        <f t="shared" si="3"/>
        <v>0</v>
      </c>
      <c r="J8" s="24">
        <f t="shared" si="3"/>
        <v>0</v>
      </c>
      <c r="K8" s="24">
        <f t="shared" si="3"/>
        <v>0</v>
      </c>
      <c r="L8" s="24">
        <f t="shared" si="3"/>
        <v>0</v>
      </c>
      <c r="M8" s="24">
        <f t="shared" si="3"/>
        <v>0</v>
      </c>
      <c r="N8" s="24">
        <f t="shared" si="3"/>
        <v>0</v>
      </c>
      <c r="O8" s="24">
        <f t="shared" si="3"/>
        <v>0</v>
      </c>
      <c r="P8" s="24">
        <f t="shared" si="3"/>
        <v>0</v>
      </c>
      <c r="Q8" s="24">
        <f t="shared" si="3"/>
        <v>0</v>
      </c>
      <c r="R8" s="24">
        <f t="shared" si="3"/>
        <v>0</v>
      </c>
      <c r="S8" s="24">
        <f t="shared" si="3"/>
        <v>0</v>
      </c>
      <c r="T8" s="24">
        <f t="shared" si="3"/>
        <v>0</v>
      </c>
      <c r="U8" s="24">
        <f t="shared" si="3"/>
        <v>0</v>
      </c>
      <c r="V8" s="24">
        <f t="shared" si="3"/>
        <v>0</v>
      </c>
      <c r="W8" s="24">
        <f t="shared" si="3"/>
        <v>0</v>
      </c>
      <c r="X8" s="24">
        <f t="shared" si="3"/>
        <v>0</v>
      </c>
      <c r="Y8" s="24">
        <f t="shared" si="3"/>
        <v>0</v>
      </c>
      <c r="Z8" s="24">
        <f t="shared" si="3"/>
        <v>0</v>
      </c>
      <c r="AA8" s="24">
        <f t="shared" si="3"/>
        <v>0</v>
      </c>
      <c r="AB8" s="24">
        <f t="shared" si="3"/>
        <v>0</v>
      </c>
      <c r="AC8" s="24">
        <f t="shared" si="3"/>
        <v>0</v>
      </c>
      <c r="AD8" s="24">
        <f t="shared" si="3"/>
        <v>0</v>
      </c>
      <c r="AE8" s="141"/>
      <c r="AF8" s="30">
        <f t="shared" ref="AF8:AQ8" si="4">SUM(AF6:AF7)</f>
        <v>0</v>
      </c>
      <c r="AG8" s="30">
        <f t="shared" si="4"/>
        <v>0</v>
      </c>
      <c r="AH8" s="30">
        <f t="shared" si="4"/>
        <v>0</v>
      </c>
      <c r="AI8" s="30">
        <f t="shared" si="4"/>
        <v>0</v>
      </c>
      <c r="AJ8" s="30">
        <f t="shared" si="4"/>
        <v>0</v>
      </c>
      <c r="AK8" s="30">
        <f t="shared" si="4"/>
        <v>0</v>
      </c>
      <c r="AL8" s="30">
        <f t="shared" si="4"/>
        <v>0</v>
      </c>
      <c r="AM8" s="30">
        <f t="shared" si="4"/>
        <v>0</v>
      </c>
      <c r="AN8" s="30">
        <f t="shared" si="4"/>
        <v>0</v>
      </c>
      <c r="AO8" s="30">
        <f t="shared" si="4"/>
        <v>0</v>
      </c>
      <c r="AP8" s="30">
        <f t="shared" si="4"/>
        <v>0</v>
      </c>
      <c r="AQ8" s="30">
        <f t="shared" si="4"/>
        <v>0</v>
      </c>
      <c r="AV8" s="268">
        <f t="shared" si="2"/>
        <v>0</v>
      </c>
    </row>
    <row r="9" spans="1:48" s="28" customFormat="1" ht="29.25" customHeight="1">
      <c r="A9" s="25">
        <v>2</v>
      </c>
      <c r="B9" s="26" t="s">
        <v>126</v>
      </c>
      <c r="C9" s="26" t="s">
        <v>125</v>
      </c>
      <c r="D9" s="26">
        <v>5</v>
      </c>
      <c r="E9" s="27" t="s">
        <v>124</v>
      </c>
      <c r="F9" s="20"/>
      <c r="G9" s="20"/>
      <c r="H9" s="20"/>
      <c r="I9" s="20"/>
      <c r="J9" s="20"/>
      <c r="K9" s="20">
        <v>48</v>
      </c>
      <c r="L9" s="20">
        <v>19.2</v>
      </c>
      <c r="M9" s="21">
        <f t="shared" ref="M9" si="5">N9*2.43</f>
        <v>4.8600000000000003</v>
      </c>
      <c r="N9" s="20">
        <v>2</v>
      </c>
      <c r="O9" s="67"/>
      <c r="P9" s="67"/>
      <c r="Q9" s="67"/>
      <c r="R9" s="67"/>
      <c r="S9" s="67"/>
      <c r="T9" s="67"/>
      <c r="U9" s="67">
        <v>28</v>
      </c>
      <c r="V9" s="67"/>
      <c r="W9" s="67"/>
      <c r="X9" s="20">
        <v>10</v>
      </c>
      <c r="Y9" s="20"/>
      <c r="Z9" s="20"/>
      <c r="AA9" s="20"/>
      <c r="AB9" s="20"/>
      <c r="AC9" s="20"/>
      <c r="AD9" s="20"/>
      <c r="AE9" s="220">
        <f t="shared" ref="AE9" si="6">O9+P9+Q9+R9+S9+T9+U9+V9</f>
        <v>28</v>
      </c>
      <c r="AF9" s="196"/>
      <c r="AG9" s="212"/>
      <c r="AH9" s="213"/>
      <c r="AI9" s="212"/>
      <c r="AJ9" s="214">
        <v>1</v>
      </c>
      <c r="AK9" s="212"/>
      <c r="AL9" s="215"/>
      <c r="AM9" s="212"/>
      <c r="AN9" s="216"/>
      <c r="AO9" s="212"/>
      <c r="AP9" s="217"/>
      <c r="AQ9" s="212"/>
      <c r="AV9" s="268">
        <f t="shared" si="2"/>
        <v>1</v>
      </c>
    </row>
    <row r="10" spans="1:48" s="28" customFormat="1" ht="37.5" customHeight="1">
      <c r="A10" s="29" t="s">
        <v>11</v>
      </c>
      <c r="B10" s="30"/>
      <c r="C10" s="30"/>
      <c r="D10" s="30"/>
      <c r="E10" s="30"/>
      <c r="F10" s="24">
        <f t="shared" ref="F10:AD10" si="7">SUM(F9:F9)</f>
        <v>0</v>
      </c>
      <c r="G10" s="24">
        <f t="shared" si="7"/>
        <v>0</v>
      </c>
      <c r="H10" s="24">
        <f t="shared" si="7"/>
        <v>0</v>
      </c>
      <c r="I10" s="24">
        <f t="shared" si="7"/>
        <v>0</v>
      </c>
      <c r="J10" s="24">
        <f t="shared" si="7"/>
        <v>0</v>
      </c>
      <c r="K10" s="24">
        <f t="shared" si="7"/>
        <v>48</v>
      </c>
      <c r="L10" s="24">
        <f t="shared" si="7"/>
        <v>19.2</v>
      </c>
      <c r="M10" s="24">
        <f t="shared" si="7"/>
        <v>4.8600000000000003</v>
      </c>
      <c r="N10" s="24">
        <f t="shared" si="7"/>
        <v>2</v>
      </c>
      <c r="O10" s="24">
        <f t="shared" si="7"/>
        <v>0</v>
      </c>
      <c r="P10" s="24">
        <f t="shared" si="7"/>
        <v>0</v>
      </c>
      <c r="Q10" s="24">
        <f t="shared" si="7"/>
        <v>0</v>
      </c>
      <c r="R10" s="24">
        <f t="shared" si="7"/>
        <v>0</v>
      </c>
      <c r="S10" s="24">
        <f t="shared" si="7"/>
        <v>0</v>
      </c>
      <c r="T10" s="24">
        <f t="shared" si="7"/>
        <v>0</v>
      </c>
      <c r="U10" s="24">
        <f t="shared" si="7"/>
        <v>28</v>
      </c>
      <c r="V10" s="24">
        <f t="shared" si="7"/>
        <v>0</v>
      </c>
      <c r="W10" s="24">
        <f t="shared" si="7"/>
        <v>0</v>
      </c>
      <c r="X10" s="24">
        <f t="shared" si="7"/>
        <v>10</v>
      </c>
      <c r="Y10" s="24">
        <f t="shared" si="7"/>
        <v>0</v>
      </c>
      <c r="Z10" s="24">
        <f t="shared" si="7"/>
        <v>0</v>
      </c>
      <c r="AA10" s="24">
        <f t="shared" si="7"/>
        <v>0</v>
      </c>
      <c r="AB10" s="24">
        <f t="shared" si="7"/>
        <v>0</v>
      </c>
      <c r="AC10" s="24">
        <f t="shared" si="7"/>
        <v>0</v>
      </c>
      <c r="AD10" s="24">
        <f t="shared" si="7"/>
        <v>0</v>
      </c>
      <c r="AE10" s="141"/>
      <c r="AF10" s="30">
        <f t="shared" ref="AF10:AQ10" si="8">SUM(AF9:AF9)</f>
        <v>0</v>
      </c>
      <c r="AG10" s="30">
        <f t="shared" si="8"/>
        <v>0</v>
      </c>
      <c r="AH10" s="30">
        <f t="shared" si="8"/>
        <v>0</v>
      </c>
      <c r="AI10" s="30">
        <f t="shared" si="8"/>
        <v>0</v>
      </c>
      <c r="AJ10" s="30">
        <f t="shared" si="8"/>
        <v>1</v>
      </c>
      <c r="AK10" s="30">
        <f t="shared" si="8"/>
        <v>0</v>
      </c>
      <c r="AL10" s="30">
        <f t="shared" si="8"/>
        <v>0</v>
      </c>
      <c r="AM10" s="30">
        <f t="shared" si="8"/>
        <v>0</v>
      </c>
      <c r="AN10" s="30">
        <f t="shared" si="8"/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V10" s="268">
        <f t="shared" si="2"/>
        <v>0</v>
      </c>
    </row>
    <row r="11" spans="1:48" s="28" customFormat="1" ht="29.25" customHeight="1">
      <c r="A11" s="25">
        <v>3</v>
      </c>
      <c r="B11" s="27" t="s">
        <v>118</v>
      </c>
      <c r="C11" s="27"/>
      <c r="D11" s="27"/>
      <c r="E11" s="27"/>
      <c r="F11" s="21"/>
      <c r="G11" s="21"/>
      <c r="H11" s="21"/>
      <c r="I11" s="21"/>
      <c r="J11" s="21"/>
      <c r="K11" s="21"/>
      <c r="L11" s="21"/>
      <c r="M11" s="21">
        <f t="shared" ref="M11" si="9">N11*2.43</f>
        <v>0</v>
      </c>
      <c r="N11" s="21"/>
      <c r="O11" s="67"/>
      <c r="P11" s="67"/>
      <c r="Q11" s="67"/>
      <c r="R11" s="67"/>
      <c r="S11" s="67"/>
      <c r="T11" s="67"/>
      <c r="U11" s="67"/>
      <c r="V11" s="67"/>
      <c r="W11" s="67"/>
      <c r="X11" s="21"/>
      <c r="Y11" s="21"/>
      <c r="Z11" s="21"/>
      <c r="AA11" s="21"/>
      <c r="AB11" s="21"/>
      <c r="AC11" s="21"/>
      <c r="AD11" s="21"/>
      <c r="AE11" s="220">
        <f t="shared" ref="AE11" si="10">O11+P11+Q11+R11+S11+T11+U11+V11</f>
        <v>0</v>
      </c>
      <c r="AF11" s="196"/>
      <c r="AG11" s="212"/>
      <c r="AH11" s="213"/>
      <c r="AI11" s="212"/>
      <c r="AJ11" s="214"/>
      <c r="AK11" s="212"/>
      <c r="AL11" s="215"/>
      <c r="AM11" s="212"/>
      <c r="AN11" s="216"/>
      <c r="AO11" s="212"/>
      <c r="AP11" s="217"/>
      <c r="AQ11" s="212"/>
      <c r="AV11" s="268">
        <f t="shared" si="2"/>
        <v>0</v>
      </c>
    </row>
    <row r="12" spans="1:48" s="28" customFormat="1" ht="30" customHeight="1" thickBot="1">
      <c r="A12" s="29" t="s">
        <v>11</v>
      </c>
      <c r="B12" s="30"/>
      <c r="C12" s="30"/>
      <c r="D12" s="30"/>
      <c r="E12" s="30"/>
      <c r="F12" s="24">
        <f t="shared" ref="F12:AD12" si="11">SUM(F11:F11)</f>
        <v>0</v>
      </c>
      <c r="G12" s="24">
        <f t="shared" si="11"/>
        <v>0</v>
      </c>
      <c r="H12" s="24">
        <f t="shared" si="11"/>
        <v>0</v>
      </c>
      <c r="I12" s="24">
        <f t="shared" si="11"/>
        <v>0</v>
      </c>
      <c r="J12" s="24">
        <f t="shared" si="11"/>
        <v>0</v>
      </c>
      <c r="K12" s="24">
        <f t="shared" si="11"/>
        <v>0</v>
      </c>
      <c r="L12" s="24">
        <f t="shared" si="11"/>
        <v>0</v>
      </c>
      <c r="M12" s="24">
        <f t="shared" si="11"/>
        <v>0</v>
      </c>
      <c r="N12" s="24">
        <f t="shared" si="11"/>
        <v>0</v>
      </c>
      <c r="O12" s="24">
        <f t="shared" si="11"/>
        <v>0</v>
      </c>
      <c r="P12" s="24">
        <f t="shared" si="11"/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U12" s="24">
        <f t="shared" si="11"/>
        <v>0</v>
      </c>
      <c r="V12" s="24">
        <f t="shared" si="11"/>
        <v>0</v>
      </c>
      <c r="W12" s="24">
        <f t="shared" si="11"/>
        <v>0</v>
      </c>
      <c r="X12" s="24">
        <f t="shared" si="11"/>
        <v>0</v>
      </c>
      <c r="Y12" s="24">
        <f t="shared" si="11"/>
        <v>0</v>
      </c>
      <c r="Z12" s="24">
        <f t="shared" si="11"/>
        <v>0</v>
      </c>
      <c r="AA12" s="24">
        <f t="shared" si="11"/>
        <v>0</v>
      </c>
      <c r="AB12" s="24">
        <f t="shared" si="11"/>
        <v>0</v>
      </c>
      <c r="AC12" s="24">
        <f t="shared" si="11"/>
        <v>0</v>
      </c>
      <c r="AD12" s="24">
        <f t="shared" si="11"/>
        <v>0</v>
      </c>
      <c r="AE12" s="151"/>
      <c r="AF12" s="30">
        <f t="shared" ref="AF12:AQ12" si="12">SUM(AF11:AF11)</f>
        <v>0</v>
      </c>
      <c r="AG12" s="30">
        <f t="shared" si="12"/>
        <v>0</v>
      </c>
      <c r="AH12" s="30">
        <f t="shared" si="12"/>
        <v>0</v>
      </c>
      <c r="AI12" s="30">
        <f t="shared" si="12"/>
        <v>0</v>
      </c>
      <c r="AJ12" s="30">
        <f t="shared" si="12"/>
        <v>0</v>
      </c>
      <c r="AK12" s="30">
        <f t="shared" si="12"/>
        <v>0</v>
      </c>
      <c r="AL12" s="30">
        <f t="shared" si="12"/>
        <v>0</v>
      </c>
      <c r="AM12" s="30">
        <f t="shared" si="12"/>
        <v>0</v>
      </c>
      <c r="AN12" s="30">
        <f t="shared" si="12"/>
        <v>0</v>
      </c>
      <c r="AO12" s="30">
        <f t="shared" si="12"/>
        <v>0</v>
      </c>
      <c r="AP12" s="30">
        <f t="shared" si="12"/>
        <v>0</v>
      </c>
      <c r="AQ12" s="30">
        <f t="shared" si="12"/>
        <v>0</v>
      </c>
      <c r="AR12" s="219" t="s">
        <v>32</v>
      </c>
      <c r="AS12" s="34" t="s">
        <v>30</v>
      </c>
      <c r="AT12" s="35" t="s">
        <v>31</v>
      </c>
    </row>
    <row r="13" spans="1:48" s="28" customFormat="1" ht="30" customHeight="1">
      <c r="B13" s="149"/>
      <c r="C13" s="149"/>
      <c r="D13" s="149"/>
      <c r="E13" s="149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1"/>
      <c r="AR13" s="154" t="s">
        <v>33</v>
      </c>
      <c r="AS13" s="37">
        <f>AJ14</f>
        <v>1</v>
      </c>
      <c r="AT13" s="38">
        <f>AK14</f>
        <v>0</v>
      </c>
    </row>
    <row r="14" spans="1:48" s="28" customFormat="1" ht="30" customHeight="1">
      <c r="A14" s="184" t="s">
        <v>15</v>
      </c>
      <c r="B14" s="183"/>
      <c r="C14" s="183"/>
      <c r="D14" s="183"/>
      <c r="E14" s="183"/>
      <c r="F14" s="185">
        <f t="shared" ref="F14:AD14" si="13">F12+F10+F8</f>
        <v>0</v>
      </c>
      <c r="G14" s="185">
        <f t="shared" si="13"/>
        <v>0</v>
      </c>
      <c r="H14" s="185">
        <f t="shared" si="13"/>
        <v>0</v>
      </c>
      <c r="I14" s="185">
        <f t="shared" si="13"/>
        <v>0</v>
      </c>
      <c r="J14" s="185">
        <f t="shared" si="13"/>
        <v>0</v>
      </c>
      <c r="K14" s="185">
        <f t="shared" si="13"/>
        <v>48</v>
      </c>
      <c r="L14" s="185">
        <f t="shared" si="13"/>
        <v>19.2</v>
      </c>
      <c r="M14" s="186">
        <f t="shared" si="13"/>
        <v>4.8600000000000003</v>
      </c>
      <c r="N14" s="185">
        <f t="shared" si="13"/>
        <v>2</v>
      </c>
      <c r="O14" s="185">
        <f t="shared" si="13"/>
        <v>0</v>
      </c>
      <c r="P14" s="185">
        <f t="shared" si="13"/>
        <v>0</v>
      </c>
      <c r="Q14" s="185">
        <f t="shared" si="13"/>
        <v>0</v>
      </c>
      <c r="R14" s="185">
        <f t="shared" si="13"/>
        <v>0</v>
      </c>
      <c r="S14" s="185">
        <f t="shared" si="13"/>
        <v>0</v>
      </c>
      <c r="T14" s="185">
        <f t="shared" si="13"/>
        <v>0</v>
      </c>
      <c r="U14" s="185">
        <f t="shared" si="13"/>
        <v>28</v>
      </c>
      <c r="V14" s="185">
        <f t="shared" si="13"/>
        <v>0</v>
      </c>
      <c r="W14" s="185">
        <f t="shared" si="13"/>
        <v>0</v>
      </c>
      <c r="X14" s="185">
        <f t="shared" si="13"/>
        <v>10</v>
      </c>
      <c r="Y14" s="185">
        <f t="shared" si="13"/>
        <v>0</v>
      </c>
      <c r="Z14" s="185">
        <f t="shared" si="13"/>
        <v>0</v>
      </c>
      <c r="AA14" s="185">
        <f t="shared" si="13"/>
        <v>0</v>
      </c>
      <c r="AB14" s="185">
        <f t="shared" si="13"/>
        <v>0</v>
      </c>
      <c r="AC14" s="185">
        <f t="shared" si="13"/>
        <v>0</v>
      </c>
      <c r="AD14" s="185">
        <f t="shared" si="13"/>
        <v>0</v>
      </c>
      <c r="AE14" s="151"/>
      <c r="AF14" s="189">
        <f t="shared" ref="AF14:AQ14" si="14">AF12+AF10+AF8</f>
        <v>0</v>
      </c>
      <c r="AG14" s="189">
        <f t="shared" si="14"/>
        <v>0</v>
      </c>
      <c r="AH14" s="189">
        <f t="shared" si="14"/>
        <v>0</v>
      </c>
      <c r="AI14" s="189">
        <f t="shared" si="14"/>
        <v>0</v>
      </c>
      <c r="AJ14" s="189">
        <f t="shared" si="14"/>
        <v>1</v>
      </c>
      <c r="AK14" s="189">
        <f t="shared" si="14"/>
        <v>0</v>
      </c>
      <c r="AL14" s="189">
        <f t="shared" si="14"/>
        <v>0</v>
      </c>
      <c r="AM14" s="189">
        <f t="shared" si="14"/>
        <v>0</v>
      </c>
      <c r="AN14" s="189">
        <f t="shared" si="14"/>
        <v>0</v>
      </c>
      <c r="AO14" s="189">
        <f t="shared" si="14"/>
        <v>0</v>
      </c>
      <c r="AP14" s="189">
        <f t="shared" si="14"/>
        <v>0</v>
      </c>
      <c r="AQ14" s="189">
        <f t="shared" si="14"/>
        <v>0</v>
      </c>
      <c r="AR14" s="54" t="s">
        <v>26</v>
      </c>
      <c r="AS14" s="44">
        <f>AL14</f>
        <v>0</v>
      </c>
      <c r="AT14" s="45">
        <f>AM14</f>
        <v>0</v>
      </c>
    </row>
    <row r="15" spans="1:48" s="46" customFormat="1" ht="30" customHeight="1">
      <c r="B15" s="47"/>
      <c r="C15" s="157" t="s">
        <v>58</v>
      </c>
      <c r="D15" s="157"/>
      <c r="E15" s="158"/>
      <c r="F15" s="159">
        <v>26.292100000000001</v>
      </c>
      <c r="G15" s="160">
        <v>115.8</v>
      </c>
      <c r="H15" s="160">
        <v>35.47</v>
      </c>
      <c r="I15" s="160">
        <v>27.343800000000002</v>
      </c>
      <c r="J15" s="160">
        <v>40</v>
      </c>
      <c r="K15" s="159">
        <v>29.5639</v>
      </c>
      <c r="L15" s="159">
        <v>145.88</v>
      </c>
      <c r="M15" s="159">
        <v>27.66</v>
      </c>
      <c r="N15" s="159">
        <v>26.25</v>
      </c>
      <c r="O15" s="159">
        <v>171.74107142857142</v>
      </c>
      <c r="P15" s="159">
        <v>176.78571428571428</v>
      </c>
      <c r="Q15" s="159">
        <v>195</v>
      </c>
      <c r="R15" s="159">
        <v>180.35714285714283</v>
      </c>
      <c r="S15" s="159">
        <v>198</v>
      </c>
      <c r="T15" s="159">
        <v>195</v>
      </c>
      <c r="U15" s="159">
        <v>189.38</v>
      </c>
      <c r="V15" s="159">
        <v>207</v>
      </c>
      <c r="W15" s="159">
        <v>379.46</v>
      </c>
      <c r="X15" s="159">
        <v>35.15</v>
      </c>
      <c r="Y15" s="159">
        <v>35.893000000000001</v>
      </c>
      <c r="Z15" s="159">
        <v>37.5</v>
      </c>
      <c r="AA15" s="159">
        <v>81.900000000000006</v>
      </c>
      <c r="AB15" s="159">
        <v>20.62</v>
      </c>
      <c r="AC15" s="159">
        <v>267.18</v>
      </c>
      <c r="AD15" s="159">
        <v>7.5</v>
      </c>
      <c r="AE15" s="48"/>
      <c r="AR15" s="54" t="s">
        <v>27</v>
      </c>
      <c r="AS15" s="44">
        <f>AN14</f>
        <v>0</v>
      </c>
      <c r="AT15" s="45">
        <f>AO14</f>
        <v>0</v>
      </c>
    </row>
    <row r="16" spans="1:48" s="46" customFormat="1" ht="30" customHeight="1">
      <c r="A16" s="16"/>
      <c r="B16" s="17"/>
      <c r="C16" s="113" t="s">
        <v>53</v>
      </c>
      <c r="D16" s="113"/>
      <c r="E16" s="27">
        <f>F16+G16+K16+L16+M16+N16+O16+P16+Q16+R16+S16+U16+X16+Y16+Z16+AA16+AB16+AC16+AD16+H16+I16</f>
        <v>10061.0308</v>
      </c>
      <c r="F16" s="112">
        <f>F14*F15</f>
        <v>0</v>
      </c>
      <c r="G16" s="112">
        <f t="shared" ref="G16:AD16" si="15">G14*G15</f>
        <v>0</v>
      </c>
      <c r="H16" s="112">
        <f t="shared" si="15"/>
        <v>0</v>
      </c>
      <c r="I16" s="112">
        <f t="shared" si="15"/>
        <v>0</v>
      </c>
      <c r="J16" s="112">
        <f t="shared" si="15"/>
        <v>0</v>
      </c>
      <c r="K16" s="112">
        <f t="shared" si="15"/>
        <v>1419.0672</v>
      </c>
      <c r="L16" s="112">
        <f t="shared" si="15"/>
        <v>2800.8959999999997</v>
      </c>
      <c r="M16" s="112">
        <f t="shared" si="15"/>
        <v>134.42760000000001</v>
      </c>
      <c r="N16" s="112">
        <f t="shared" si="15"/>
        <v>52.5</v>
      </c>
      <c r="O16" s="112">
        <f t="shared" si="15"/>
        <v>0</v>
      </c>
      <c r="P16" s="112">
        <f t="shared" si="15"/>
        <v>0</v>
      </c>
      <c r="Q16" s="112">
        <f t="shared" si="15"/>
        <v>0</v>
      </c>
      <c r="R16" s="112">
        <f t="shared" si="15"/>
        <v>0</v>
      </c>
      <c r="S16" s="112">
        <f t="shared" si="15"/>
        <v>0</v>
      </c>
      <c r="T16" s="112">
        <f t="shared" si="15"/>
        <v>0</v>
      </c>
      <c r="U16" s="112">
        <f t="shared" si="15"/>
        <v>5302.6399999999994</v>
      </c>
      <c r="V16" s="112">
        <f t="shared" si="15"/>
        <v>0</v>
      </c>
      <c r="W16" s="112">
        <f t="shared" si="15"/>
        <v>0</v>
      </c>
      <c r="X16" s="112">
        <f t="shared" si="15"/>
        <v>351.5</v>
      </c>
      <c r="Y16" s="112">
        <f t="shared" si="15"/>
        <v>0</v>
      </c>
      <c r="Z16" s="112">
        <f t="shared" si="15"/>
        <v>0</v>
      </c>
      <c r="AA16" s="112">
        <f t="shared" si="15"/>
        <v>0</v>
      </c>
      <c r="AB16" s="112">
        <f t="shared" si="15"/>
        <v>0</v>
      </c>
      <c r="AC16" s="112">
        <f t="shared" si="15"/>
        <v>0</v>
      </c>
      <c r="AD16" s="112">
        <f t="shared" si="15"/>
        <v>0</v>
      </c>
      <c r="AE16" s="16"/>
      <c r="AR16" s="54" t="s">
        <v>34</v>
      </c>
      <c r="AS16" s="44">
        <f>AF14</f>
        <v>0</v>
      </c>
      <c r="AT16" s="45">
        <f>AG14</f>
        <v>0</v>
      </c>
    </row>
    <row r="17" spans="2:46" s="16" customFormat="1" ht="30" customHeight="1">
      <c r="B17" s="17"/>
      <c r="C17" s="17"/>
      <c r="D17" s="17"/>
      <c r="AR17" s="54" t="s">
        <v>29</v>
      </c>
      <c r="AS17" s="14">
        <f>AH14</f>
        <v>0</v>
      </c>
      <c r="AT17" s="15">
        <f>AI14</f>
        <v>0</v>
      </c>
    </row>
    <row r="18" spans="2:46" s="16" customFormat="1" ht="30" customHeight="1" thickBot="1">
      <c r="B18" s="17"/>
      <c r="C18" s="17"/>
      <c r="D18" s="17"/>
      <c r="AR18" s="55" t="s">
        <v>35</v>
      </c>
      <c r="AS18" s="18">
        <f>AP14</f>
        <v>0</v>
      </c>
      <c r="AT18" s="19">
        <f>AQ14</f>
        <v>0</v>
      </c>
    </row>
    <row r="19" spans="2:46" s="16" customFormat="1" ht="30" customHeight="1">
      <c r="B19" s="17"/>
      <c r="C19" s="17"/>
      <c r="D19" s="17"/>
      <c r="AQ19" s="269">
        <f>AR19-AS19</f>
        <v>0</v>
      </c>
      <c r="AR19" s="269">
        <f>SUM(AV6:AV11)</f>
        <v>1</v>
      </c>
      <c r="AS19" s="269">
        <f>SUM(AS13:AS18)</f>
        <v>1</v>
      </c>
    </row>
    <row r="20" spans="2:46" s="12" customFormat="1" ht="11.25" customHeight="1">
      <c r="B20" s="13"/>
      <c r="C20" s="13"/>
      <c r="D20" s="13"/>
    </row>
    <row r="21" spans="2:46" s="12" customFormat="1">
      <c r="B21" s="13"/>
      <c r="C21" s="13"/>
      <c r="D21" s="13"/>
      <c r="O21" s="12" t="s">
        <v>18</v>
      </c>
    </row>
    <row r="22" spans="2:46" s="12" customFormat="1">
      <c r="B22" s="13"/>
      <c r="C22" s="13"/>
      <c r="D22" s="13"/>
    </row>
    <row r="23" spans="2:46" s="12" customFormat="1">
      <c r="B23" s="13"/>
      <c r="C23" s="13"/>
      <c r="D23" s="13"/>
    </row>
    <row r="24" spans="2:46" s="12" customFormat="1">
      <c r="B24" s="13"/>
      <c r="C24" s="13"/>
      <c r="D24" s="13"/>
    </row>
  </sheetData>
  <mergeCells count="23">
    <mergeCell ref="AP3:AQ4"/>
    <mergeCell ref="O3:P3"/>
    <mergeCell ref="R3:S3"/>
    <mergeCell ref="X3:AA3"/>
    <mergeCell ref="AB3:AB4"/>
    <mergeCell ref="AC3:AC4"/>
    <mergeCell ref="AD3:AD4"/>
    <mergeCell ref="AF3:AG4"/>
    <mergeCell ref="AH3:AI4"/>
    <mergeCell ref="AJ3:AK4"/>
    <mergeCell ref="AL3:AM4"/>
    <mergeCell ref="AN3:AO4"/>
    <mergeCell ref="N1:R1"/>
    <mergeCell ref="B3:B5"/>
    <mergeCell ref="E3:E5"/>
    <mergeCell ref="L3:L4"/>
    <mergeCell ref="M3:M4"/>
    <mergeCell ref="C3:C5"/>
    <mergeCell ref="A1:B1"/>
    <mergeCell ref="C1:E1"/>
    <mergeCell ref="N3:N4"/>
    <mergeCell ref="A3:A5"/>
    <mergeCell ref="D3:D5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59"/>
  <sheetViews>
    <sheetView zoomScale="85" zoomScaleNormal="85" workbookViewId="0">
      <pane xSplit="5" ySplit="7" topLeftCell="AE12" activePane="bottomRight" state="frozen"/>
      <selection activeCell="D37" sqref="D37"/>
      <selection pane="topRight" activeCell="D37" sqref="D37"/>
      <selection pane="bottomLeft" activeCell="D37" sqref="D37"/>
      <selection pane="bottomRight" activeCell="AN38" sqref="AN38"/>
    </sheetView>
  </sheetViews>
  <sheetFormatPr defaultColWidth="9.140625" defaultRowHeight="18"/>
  <cols>
    <col min="1" max="1" width="10.140625" style="7" customWidth="1"/>
    <col min="2" max="2" width="21.140625" style="6" customWidth="1"/>
    <col min="3" max="3" width="22" style="6" customWidth="1"/>
    <col min="4" max="4" width="11.5703125" style="6" customWidth="1"/>
    <col min="5" max="5" width="28.5703125" style="3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1" width="12.140625" style="1" customWidth="1"/>
    <col min="12" max="12" width="15.85546875" style="1" customWidth="1"/>
    <col min="13" max="13" width="15" style="1" customWidth="1"/>
    <col min="14" max="14" width="11.140625" style="1" customWidth="1"/>
    <col min="15" max="16" width="11.140625" style="1" hidden="1" customWidth="1"/>
    <col min="17" max="17" width="11.140625" style="1" customWidth="1"/>
    <col min="18" max="18" width="13.140625" style="1" hidden="1" customWidth="1"/>
    <col min="19" max="19" width="14" style="1" hidden="1" customWidth="1"/>
    <col min="20" max="20" width="11.42578125" style="1" hidden="1" customWidth="1"/>
    <col min="21" max="21" width="11.140625" style="1" customWidth="1"/>
    <col min="22" max="22" width="14.5703125" style="1" hidden="1" customWidth="1"/>
    <col min="23" max="23" width="11.42578125" style="1" hidden="1" customWidth="1"/>
    <col min="24" max="24" width="11" style="1" customWidth="1"/>
    <col min="25" max="25" width="11.140625" style="1" customWidth="1"/>
    <col min="26" max="27" width="10.5703125" style="1" bestFit="1" customWidth="1"/>
    <col min="28" max="28" width="10.28515625" style="1" customWidth="1"/>
    <col min="29" max="29" width="9.42578125" style="1" customWidth="1"/>
    <col min="30" max="30" width="11.140625" style="1" customWidth="1"/>
    <col min="31" max="31" width="13.28515625" style="1" customWidth="1"/>
    <col min="32" max="32" width="14" style="1" hidden="1" customWidth="1"/>
    <col min="33" max="33" width="20" style="1" hidden="1" customWidth="1"/>
    <col min="34" max="45" width="11.28515625" style="1" customWidth="1"/>
    <col min="46" max="46" width="32.7109375" style="1" bestFit="1" customWidth="1"/>
    <col min="47" max="48" width="10.5703125" style="1" bestFit="1" customWidth="1"/>
    <col min="49" max="49" width="9.140625" style="1"/>
    <col min="50" max="50" width="9.5703125" style="1" bestFit="1" customWidth="1"/>
    <col min="51" max="16384" width="9.140625" style="1"/>
  </cols>
  <sheetData>
    <row r="3" spans="1:50" s="4" customFormat="1" ht="35.25" customHeight="1">
      <c r="A3" s="359" t="s">
        <v>24</v>
      </c>
      <c r="B3" s="359"/>
      <c r="C3" s="371">
        <f>TOTAL!D3</f>
        <v>46153</v>
      </c>
      <c r="D3" s="371"/>
      <c r="E3" s="371"/>
      <c r="F3" s="96"/>
      <c r="G3" s="96"/>
      <c r="H3" s="96"/>
      <c r="I3" s="96"/>
      <c r="J3" s="96"/>
      <c r="K3" s="96"/>
      <c r="N3" s="254" t="s">
        <v>39</v>
      </c>
      <c r="O3" s="254"/>
      <c r="P3" s="254"/>
      <c r="Q3" s="254"/>
      <c r="R3" s="254"/>
    </row>
    <row r="4" spans="1:50" s="4" customFormat="1" ht="11.25" customHeight="1">
      <c r="A4" s="46"/>
      <c r="B4" s="46"/>
      <c r="C4" s="121"/>
      <c r="D4" s="121"/>
      <c r="E4" s="121"/>
      <c r="F4" s="8"/>
      <c r="G4" s="8"/>
      <c r="H4" s="8"/>
      <c r="I4" s="8"/>
      <c r="J4" s="8"/>
      <c r="K4" s="8"/>
      <c r="O4" s="5"/>
      <c r="P4" s="5"/>
    </row>
    <row r="5" spans="1:50" s="2" customFormat="1" ht="51" customHeight="1">
      <c r="A5" s="334" t="s">
        <v>12</v>
      </c>
      <c r="B5" s="334" t="s">
        <v>13</v>
      </c>
      <c r="C5" s="334" t="s">
        <v>57</v>
      </c>
      <c r="D5" s="337" t="s">
        <v>101</v>
      </c>
      <c r="E5" s="323" t="s">
        <v>0</v>
      </c>
      <c r="F5" s="180" t="s">
        <v>21</v>
      </c>
      <c r="G5" s="181" t="s">
        <v>14</v>
      </c>
      <c r="H5" s="181" t="s">
        <v>71</v>
      </c>
      <c r="I5" s="181" t="s">
        <v>117</v>
      </c>
      <c r="J5" s="182" t="s">
        <v>14</v>
      </c>
      <c r="K5" s="182" t="s">
        <v>14</v>
      </c>
      <c r="L5" s="326" t="s">
        <v>2</v>
      </c>
      <c r="M5" s="327" t="s">
        <v>22</v>
      </c>
      <c r="N5" s="326" t="s">
        <v>3</v>
      </c>
      <c r="O5" s="320" t="s">
        <v>4</v>
      </c>
      <c r="P5" s="321"/>
      <c r="Q5" s="181" t="s">
        <v>5</v>
      </c>
      <c r="R5" s="320" t="s">
        <v>17</v>
      </c>
      <c r="S5" s="321"/>
      <c r="T5" s="229" t="s">
        <v>5</v>
      </c>
      <c r="U5" s="181" t="s">
        <v>5</v>
      </c>
      <c r="V5" s="181" t="s">
        <v>68</v>
      </c>
      <c r="W5" s="181" t="s">
        <v>56</v>
      </c>
      <c r="X5" s="356" t="s">
        <v>6</v>
      </c>
      <c r="Y5" s="356"/>
      <c r="Z5" s="356"/>
      <c r="AA5" s="356"/>
      <c r="AB5" s="327" t="s">
        <v>19</v>
      </c>
      <c r="AC5" s="327" t="s">
        <v>7</v>
      </c>
      <c r="AD5" s="327" t="s">
        <v>20</v>
      </c>
      <c r="AE5" s="387" t="s">
        <v>115</v>
      </c>
      <c r="AF5" s="387" t="s">
        <v>113</v>
      </c>
      <c r="AG5" s="387" t="s">
        <v>114</v>
      </c>
      <c r="AH5" s="361" t="s">
        <v>28</v>
      </c>
      <c r="AI5" s="361"/>
      <c r="AJ5" s="310" t="s">
        <v>29</v>
      </c>
      <c r="AK5" s="311"/>
      <c r="AL5" s="310" t="s">
        <v>25</v>
      </c>
      <c r="AM5" s="311"/>
      <c r="AN5" s="310" t="s">
        <v>26</v>
      </c>
      <c r="AO5" s="311"/>
      <c r="AP5" s="310" t="s">
        <v>27</v>
      </c>
      <c r="AQ5" s="311"/>
      <c r="AR5" s="310" t="s">
        <v>41</v>
      </c>
      <c r="AS5" s="311"/>
      <c r="AT5" s="50"/>
    </row>
    <row r="6" spans="1:50" s="2" customFormat="1" ht="21" customHeight="1">
      <c r="A6" s="335"/>
      <c r="B6" s="335"/>
      <c r="C6" s="335"/>
      <c r="D6" s="338"/>
      <c r="E6" s="324"/>
      <c r="F6" s="182">
        <v>208</v>
      </c>
      <c r="G6" s="182">
        <v>38</v>
      </c>
      <c r="H6" s="182">
        <v>200</v>
      </c>
      <c r="I6" s="182">
        <v>200</v>
      </c>
      <c r="J6" s="182">
        <v>135</v>
      </c>
      <c r="K6" s="182">
        <v>215</v>
      </c>
      <c r="L6" s="326"/>
      <c r="M6" s="328"/>
      <c r="N6" s="326"/>
      <c r="O6" s="180">
        <v>2.4</v>
      </c>
      <c r="P6" s="180">
        <v>3.6</v>
      </c>
      <c r="Q6" s="180">
        <v>3.6</v>
      </c>
      <c r="R6" s="181">
        <v>2.4</v>
      </c>
      <c r="S6" s="181">
        <v>3.6</v>
      </c>
      <c r="T6" s="181">
        <v>4.9000000000000004</v>
      </c>
      <c r="U6" s="180">
        <v>2.4</v>
      </c>
      <c r="V6" s="180">
        <v>2.4</v>
      </c>
      <c r="W6" s="180"/>
      <c r="X6" s="182">
        <v>5</v>
      </c>
      <c r="Y6" s="182">
        <v>10</v>
      </c>
      <c r="Z6" s="253" t="s">
        <v>96</v>
      </c>
      <c r="AA6" s="182">
        <v>40</v>
      </c>
      <c r="AB6" s="328"/>
      <c r="AC6" s="328"/>
      <c r="AD6" s="328"/>
      <c r="AE6" s="388"/>
      <c r="AF6" s="388"/>
      <c r="AG6" s="388"/>
      <c r="AH6" s="361"/>
      <c r="AI6" s="361"/>
      <c r="AJ6" s="312"/>
      <c r="AK6" s="313"/>
      <c r="AL6" s="312"/>
      <c r="AM6" s="313"/>
      <c r="AN6" s="312"/>
      <c r="AO6" s="313"/>
      <c r="AP6" s="312"/>
      <c r="AQ6" s="313"/>
      <c r="AR6" s="312"/>
      <c r="AS6" s="313"/>
      <c r="AT6" s="50"/>
    </row>
    <row r="7" spans="1:50" s="2" customFormat="1" ht="24" customHeight="1">
      <c r="A7" s="336"/>
      <c r="B7" s="336"/>
      <c r="C7" s="336"/>
      <c r="D7" s="339"/>
      <c r="E7" s="325"/>
      <c r="F7" s="182" t="s">
        <v>8</v>
      </c>
      <c r="G7" s="182" t="s">
        <v>8</v>
      </c>
      <c r="H7" s="182" t="s">
        <v>8</v>
      </c>
      <c r="I7" s="182" t="s">
        <v>8</v>
      </c>
      <c r="J7" s="182" t="s">
        <v>8</v>
      </c>
      <c r="K7" s="182" t="s">
        <v>8</v>
      </c>
      <c r="L7" s="182" t="s">
        <v>9</v>
      </c>
      <c r="M7" s="182" t="s">
        <v>23</v>
      </c>
      <c r="N7" s="182" t="s">
        <v>8</v>
      </c>
      <c r="O7" s="182" t="s">
        <v>8</v>
      </c>
      <c r="P7" s="182" t="s">
        <v>8</v>
      </c>
      <c r="Q7" s="182" t="s">
        <v>8</v>
      </c>
      <c r="R7" s="182" t="s">
        <v>8</v>
      </c>
      <c r="S7" s="182" t="s">
        <v>8</v>
      </c>
      <c r="T7" s="182" t="s">
        <v>8</v>
      </c>
      <c r="U7" s="182" t="s">
        <v>8</v>
      </c>
      <c r="V7" s="182" t="s">
        <v>8</v>
      </c>
      <c r="W7" s="182" t="s">
        <v>8</v>
      </c>
      <c r="X7" s="182" t="s">
        <v>10</v>
      </c>
      <c r="Y7" s="182" t="s">
        <v>10</v>
      </c>
      <c r="Z7" s="182" t="s">
        <v>10</v>
      </c>
      <c r="AA7" s="182" t="s">
        <v>10</v>
      </c>
      <c r="AB7" s="182" t="s">
        <v>8</v>
      </c>
      <c r="AC7" s="182" t="s">
        <v>8</v>
      </c>
      <c r="AD7" s="182" t="s">
        <v>8</v>
      </c>
      <c r="AE7" s="389"/>
      <c r="AF7" s="389"/>
      <c r="AG7" s="389"/>
      <c r="AH7" s="131" t="s">
        <v>30</v>
      </c>
      <c r="AI7" s="131" t="s">
        <v>31</v>
      </c>
      <c r="AJ7" s="131" t="s">
        <v>30</v>
      </c>
      <c r="AK7" s="131" t="s">
        <v>31</v>
      </c>
      <c r="AL7" s="131" t="s">
        <v>30</v>
      </c>
      <c r="AM7" s="131" t="s">
        <v>31</v>
      </c>
      <c r="AN7" s="131" t="s">
        <v>30</v>
      </c>
      <c r="AO7" s="131" t="s">
        <v>31</v>
      </c>
      <c r="AP7" s="131" t="s">
        <v>30</v>
      </c>
      <c r="AQ7" s="131" t="s">
        <v>31</v>
      </c>
      <c r="AR7" s="131" t="s">
        <v>30</v>
      </c>
      <c r="AS7" s="131" t="s">
        <v>31</v>
      </c>
      <c r="AT7" s="50"/>
    </row>
    <row r="8" spans="1:50" s="28" customFormat="1" ht="30" customHeight="1">
      <c r="A8" s="25">
        <v>1</v>
      </c>
      <c r="B8" s="26" t="s">
        <v>118</v>
      </c>
      <c r="C8" s="26"/>
      <c r="D8" s="26"/>
      <c r="E8" s="27"/>
      <c r="F8" s="20"/>
      <c r="G8" s="20"/>
      <c r="H8" s="20"/>
      <c r="I8" s="20"/>
      <c r="J8" s="20"/>
      <c r="K8" s="20"/>
      <c r="L8" s="20"/>
      <c r="M8" s="21">
        <f t="shared" ref="M8" si="0">N8*2.43</f>
        <v>0</v>
      </c>
      <c r="N8" s="20"/>
      <c r="O8" s="67"/>
      <c r="P8" s="67"/>
      <c r="Q8" s="67"/>
      <c r="R8" s="67"/>
      <c r="S8" s="67"/>
      <c r="T8" s="67"/>
      <c r="U8" s="67"/>
      <c r="V8" s="67"/>
      <c r="W8" s="67"/>
      <c r="X8" s="20"/>
      <c r="Y8" s="20"/>
      <c r="Z8" s="20"/>
      <c r="AA8" s="20"/>
      <c r="AB8" s="20"/>
      <c r="AC8" s="20"/>
      <c r="AD8" s="20"/>
      <c r="AE8" s="220">
        <f t="shared" ref="AE8" si="1">O8+P8+Q8+R8+S8+T8+U8+V8</f>
        <v>0</v>
      </c>
      <c r="AF8" s="220"/>
      <c r="AG8" s="220"/>
      <c r="AH8" s="196"/>
      <c r="AI8" s="212"/>
      <c r="AJ8" s="213"/>
      <c r="AK8" s="212"/>
      <c r="AL8" s="214"/>
      <c r="AM8" s="212"/>
      <c r="AN8" s="215"/>
      <c r="AO8" s="212"/>
      <c r="AP8" s="216"/>
      <c r="AQ8" s="212"/>
      <c r="AR8" s="217"/>
      <c r="AS8" s="212"/>
      <c r="AX8" s="268">
        <f t="shared" ref="AX8:AX25" si="2">COUNTIFS(AE8,"&gt;=11")</f>
        <v>0</v>
      </c>
    </row>
    <row r="9" spans="1:50" s="28" customFormat="1" ht="37.5" customHeight="1">
      <c r="A9" s="29" t="s">
        <v>11</v>
      </c>
      <c r="B9" s="30"/>
      <c r="C9" s="30"/>
      <c r="D9" s="30"/>
      <c r="E9" s="30"/>
      <c r="F9" s="24">
        <f t="shared" ref="F9:AD9" si="3">SUM(F8:F8)</f>
        <v>0</v>
      </c>
      <c r="G9" s="24">
        <f t="shared" si="3"/>
        <v>0</v>
      </c>
      <c r="H9" s="24">
        <f t="shared" si="3"/>
        <v>0</v>
      </c>
      <c r="I9" s="24">
        <f t="shared" si="3"/>
        <v>0</v>
      </c>
      <c r="J9" s="24">
        <f t="shared" si="3"/>
        <v>0</v>
      </c>
      <c r="K9" s="24">
        <f t="shared" si="3"/>
        <v>0</v>
      </c>
      <c r="L9" s="24">
        <f t="shared" si="3"/>
        <v>0</v>
      </c>
      <c r="M9" s="24">
        <f t="shared" si="3"/>
        <v>0</v>
      </c>
      <c r="N9" s="24">
        <f t="shared" si="3"/>
        <v>0</v>
      </c>
      <c r="O9" s="24">
        <f t="shared" si="3"/>
        <v>0</v>
      </c>
      <c r="P9" s="24">
        <f t="shared" si="3"/>
        <v>0</v>
      </c>
      <c r="Q9" s="24">
        <f t="shared" si="3"/>
        <v>0</v>
      </c>
      <c r="R9" s="24">
        <f t="shared" si="3"/>
        <v>0</v>
      </c>
      <c r="S9" s="24">
        <f t="shared" si="3"/>
        <v>0</v>
      </c>
      <c r="T9" s="24">
        <f t="shared" si="3"/>
        <v>0</v>
      </c>
      <c r="U9" s="24">
        <f t="shared" si="3"/>
        <v>0</v>
      </c>
      <c r="V9" s="24">
        <f t="shared" si="3"/>
        <v>0</v>
      </c>
      <c r="W9" s="24">
        <f t="shared" si="3"/>
        <v>0</v>
      </c>
      <c r="X9" s="24">
        <f t="shared" si="3"/>
        <v>0</v>
      </c>
      <c r="Y9" s="24">
        <f t="shared" si="3"/>
        <v>0</v>
      </c>
      <c r="Z9" s="24">
        <f t="shared" si="3"/>
        <v>0</v>
      </c>
      <c r="AA9" s="24">
        <f t="shared" si="3"/>
        <v>0</v>
      </c>
      <c r="AB9" s="24">
        <f t="shared" si="3"/>
        <v>0</v>
      </c>
      <c r="AC9" s="24">
        <f t="shared" si="3"/>
        <v>0</v>
      </c>
      <c r="AD9" s="24">
        <f t="shared" si="3"/>
        <v>0</v>
      </c>
      <c r="AE9" s="41"/>
      <c r="AF9" s="41"/>
      <c r="AG9" s="41"/>
      <c r="AH9" s="30">
        <f t="shared" ref="AH9:AS9" si="4">SUM(AH8:AH8)</f>
        <v>0</v>
      </c>
      <c r="AI9" s="30">
        <f t="shared" si="4"/>
        <v>0</v>
      </c>
      <c r="AJ9" s="30">
        <f t="shared" si="4"/>
        <v>0</v>
      </c>
      <c r="AK9" s="30">
        <f t="shared" si="4"/>
        <v>0</v>
      </c>
      <c r="AL9" s="30">
        <f t="shared" si="4"/>
        <v>0</v>
      </c>
      <c r="AM9" s="30">
        <f t="shared" si="4"/>
        <v>0</v>
      </c>
      <c r="AN9" s="30">
        <f t="shared" si="4"/>
        <v>0</v>
      </c>
      <c r="AO9" s="30">
        <f t="shared" si="4"/>
        <v>0</v>
      </c>
      <c r="AP9" s="30">
        <f t="shared" si="4"/>
        <v>0</v>
      </c>
      <c r="AQ9" s="30">
        <f t="shared" si="4"/>
        <v>0</v>
      </c>
      <c r="AR9" s="30">
        <f t="shared" si="4"/>
        <v>0</v>
      </c>
      <c r="AS9" s="30">
        <f t="shared" si="4"/>
        <v>0</v>
      </c>
      <c r="AX9" s="268">
        <f t="shared" si="2"/>
        <v>0</v>
      </c>
    </row>
    <row r="10" spans="1:50" s="28" customFormat="1" ht="29.25" customHeight="1">
      <c r="A10" s="25">
        <v>2</v>
      </c>
      <c r="B10" s="26" t="s">
        <v>129</v>
      </c>
      <c r="C10" s="26" t="s">
        <v>128</v>
      </c>
      <c r="D10" s="26">
        <v>5</v>
      </c>
      <c r="E10" s="27" t="s">
        <v>127</v>
      </c>
      <c r="F10" s="20"/>
      <c r="G10" s="20"/>
      <c r="H10" s="20"/>
      <c r="I10" s="20"/>
      <c r="J10" s="20"/>
      <c r="K10" s="20">
        <v>35</v>
      </c>
      <c r="L10" s="20">
        <v>18.399999999999999</v>
      </c>
      <c r="M10" s="21">
        <f t="shared" ref="M10" si="5">N10*2.43</f>
        <v>4.8600000000000003</v>
      </c>
      <c r="N10" s="20">
        <v>2</v>
      </c>
      <c r="O10" s="67"/>
      <c r="P10" s="67"/>
      <c r="Q10" s="67"/>
      <c r="R10" s="67"/>
      <c r="S10" s="67"/>
      <c r="T10" s="67"/>
      <c r="U10" s="67">
        <v>25</v>
      </c>
      <c r="V10" s="67"/>
      <c r="W10" s="67"/>
      <c r="X10" s="20">
        <v>10</v>
      </c>
      <c r="Y10" s="20"/>
      <c r="Z10" s="20"/>
      <c r="AA10" s="20"/>
      <c r="AB10" s="20"/>
      <c r="AC10" s="20"/>
      <c r="AD10" s="20"/>
      <c r="AE10" s="220">
        <f t="shared" ref="AE10" si="6">O10+P10+Q10+R10+S10+T10+U10+V10</f>
        <v>25</v>
      </c>
      <c r="AF10" s="220"/>
      <c r="AG10" s="220"/>
      <c r="AH10" s="196"/>
      <c r="AI10" s="212"/>
      <c r="AJ10" s="213">
        <v>1</v>
      </c>
      <c r="AK10" s="212"/>
      <c r="AL10" s="214"/>
      <c r="AM10" s="212"/>
      <c r="AN10" s="215"/>
      <c r="AO10" s="212"/>
      <c r="AP10" s="216"/>
      <c r="AQ10" s="212"/>
      <c r="AR10" s="217"/>
      <c r="AS10" s="212"/>
      <c r="AX10" s="268">
        <f t="shared" si="2"/>
        <v>1</v>
      </c>
    </row>
    <row r="11" spans="1:50" s="28" customFormat="1" ht="29.25" customHeight="1">
      <c r="A11" s="25">
        <v>2</v>
      </c>
      <c r="B11" s="26" t="s">
        <v>131</v>
      </c>
      <c r="C11" s="26" t="s">
        <v>128</v>
      </c>
      <c r="D11" s="26">
        <v>5</v>
      </c>
      <c r="E11" s="27" t="s">
        <v>130</v>
      </c>
      <c r="F11" s="20"/>
      <c r="G11" s="20"/>
      <c r="H11" s="20"/>
      <c r="I11" s="20"/>
      <c r="J11" s="20"/>
      <c r="K11" s="20">
        <v>21</v>
      </c>
      <c r="L11" s="20">
        <v>16.8</v>
      </c>
      <c r="M11" s="21">
        <f t="shared" ref="M11:M17" si="7">N11*2.43</f>
        <v>4.8600000000000003</v>
      </c>
      <c r="N11" s="20">
        <v>2</v>
      </c>
      <c r="O11" s="67"/>
      <c r="P11" s="67"/>
      <c r="Q11" s="67"/>
      <c r="R11" s="67"/>
      <c r="S11" s="67"/>
      <c r="T11" s="67"/>
      <c r="U11" s="67">
        <v>21</v>
      </c>
      <c r="V11" s="67"/>
      <c r="W11" s="67"/>
      <c r="X11" s="20">
        <v>10</v>
      </c>
      <c r="Y11" s="20"/>
      <c r="Z11" s="20"/>
      <c r="AA11" s="20"/>
      <c r="AB11" s="20"/>
      <c r="AC11" s="20"/>
      <c r="AD11" s="20"/>
      <c r="AE11" s="220">
        <f t="shared" ref="AE11:AE17" si="8">O11+P11+Q11+R11+S11+T11+U11+V11</f>
        <v>21</v>
      </c>
      <c r="AF11" s="220"/>
      <c r="AG11" s="220"/>
      <c r="AH11" s="196"/>
      <c r="AI11" s="212"/>
      <c r="AJ11" s="213"/>
      <c r="AK11" s="212"/>
      <c r="AL11" s="214"/>
      <c r="AM11" s="212"/>
      <c r="AN11" s="215">
        <v>1</v>
      </c>
      <c r="AO11" s="212"/>
      <c r="AP11" s="216"/>
      <c r="AQ11" s="212"/>
      <c r="AR11" s="217"/>
      <c r="AS11" s="212"/>
      <c r="AX11" s="268">
        <f t="shared" si="2"/>
        <v>1</v>
      </c>
    </row>
    <row r="12" spans="1:50" s="28" customFormat="1" ht="29.25" customHeight="1">
      <c r="A12" s="25">
        <v>2</v>
      </c>
      <c r="B12" s="26" t="s">
        <v>129</v>
      </c>
      <c r="C12" s="26" t="s">
        <v>128</v>
      </c>
      <c r="D12" s="26"/>
      <c r="E12" s="27" t="s">
        <v>132</v>
      </c>
      <c r="F12" s="20"/>
      <c r="G12" s="20"/>
      <c r="H12" s="20"/>
      <c r="I12" s="20"/>
      <c r="J12" s="20"/>
      <c r="K12" s="20">
        <v>42</v>
      </c>
      <c r="L12" s="20">
        <v>20.8</v>
      </c>
      <c r="M12" s="21">
        <f t="shared" si="7"/>
        <v>4.8600000000000003</v>
      </c>
      <c r="N12" s="20">
        <v>2</v>
      </c>
      <c r="O12" s="67"/>
      <c r="P12" s="67"/>
      <c r="Q12" s="67"/>
      <c r="R12" s="67"/>
      <c r="S12" s="67"/>
      <c r="T12" s="67"/>
      <c r="U12" s="67">
        <v>30</v>
      </c>
      <c r="V12" s="67"/>
      <c r="W12" s="67"/>
      <c r="X12" s="20">
        <v>17</v>
      </c>
      <c r="Y12" s="20"/>
      <c r="Z12" s="20"/>
      <c r="AA12" s="20"/>
      <c r="AB12" s="20"/>
      <c r="AC12" s="20"/>
      <c r="AD12" s="20"/>
      <c r="AE12" s="220">
        <f t="shared" si="8"/>
        <v>30</v>
      </c>
      <c r="AF12" s="220"/>
      <c r="AG12" s="220"/>
      <c r="AH12" s="196"/>
      <c r="AI12" s="212"/>
      <c r="AJ12" s="213">
        <v>1</v>
      </c>
      <c r="AK12" s="212"/>
      <c r="AL12" s="214"/>
      <c r="AM12" s="212"/>
      <c r="AN12" s="215"/>
      <c r="AO12" s="212"/>
      <c r="AP12" s="216"/>
      <c r="AQ12" s="212"/>
      <c r="AR12" s="217"/>
      <c r="AS12" s="212"/>
      <c r="AX12" s="268">
        <f t="shared" si="2"/>
        <v>1</v>
      </c>
    </row>
    <row r="13" spans="1:50" s="28" customFormat="1" ht="29.25" customHeight="1">
      <c r="A13" s="25">
        <v>2</v>
      </c>
      <c r="B13" s="26" t="s">
        <v>121</v>
      </c>
      <c r="C13" s="26" t="s">
        <v>128</v>
      </c>
      <c r="D13" s="26">
        <v>5</v>
      </c>
      <c r="E13" s="27" t="s">
        <v>133</v>
      </c>
      <c r="F13" s="20"/>
      <c r="G13" s="20"/>
      <c r="H13" s="20"/>
      <c r="I13" s="20"/>
      <c r="J13" s="20"/>
      <c r="K13" s="20">
        <v>17</v>
      </c>
      <c r="L13" s="20">
        <v>13.6</v>
      </c>
      <c r="M13" s="21">
        <f t="shared" si="7"/>
        <v>4.8600000000000003</v>
      </c>
      <c r="N13" s="20">
        <v>2</v>
      </c>
      <c r="O13" s="67"/>
      <c r="P13" s="67"/>
      <c r="Q13" s="67"/>
      <c r="R13" s="67"/>
      <c r="S13" s="67"/>
      <c r="T13" s="67"/>
      <c r="U13" s="67">
        <v>17</v>
      </c>
      <c r="V13" s="67"/>
      <c r="W13" s="67"/>
      <c r="X13" s="20">
        <v>10</v>
      </c>
      <c r="Y13" s="20"/>
      <c r="Z13" s="20"/>
      <c r="AA13" s="20"/>
      <c r="AB13" s="20"/>
      <c r="AC13" s="20"/>
      <c r="AD13" s="20"/>
      <c r="AE13" s="220">
        <f t="shared" si="8"/>
        <v>17</v>
      </c>
      <c r="AF13" s="220"/>
      <c r="AG13" s="220"/>
      <c r="AH13" s="196">
        <v>1</v>
      </c>
      <c r="AI13" s="212"/>
      <c r="AJ13" s="213"/>
      <c r="AK13" s="212"/>
      <c r="AL13" s="214"/>
      <c r="AM13" s="212"/>
      <c r="AN13" s="215"/>
      <c r="AO13" s="212"/>
      <c r="AP13" s="216"/>
      <c r="AQ13" s="212"/>
      <c r="AR13" s="217"/>
      <c r="AS13" s="212"/>
      <c r="AX13" s="268">
        <f t="shared" si="2"/>
        <v>1</v>
      </c>
    </row>
    <row r="14" spans="1:50" s="28" customFormat="1" ht="29.25" customHeight="1">
      <c r="A14" s="25">
        <v>2</v>
      </c>
      <c r="B14" s="26" t="s">
        <v>121</v>
      </c>
      <c r="C14" s="26" t="s">
        <v>128</v>
      </c>
      <c r="D14" s="26">
        <v>5</v>
      </c>
      <c r="E14" s="27" t="s">
        <v>134</v>
      </c>
      <c r="F14" s="20"/>
      <c r="G14" s="20"/>
      <c r="H14" s="20"/>
      <c r="I14" s="20"/>
      <c r="J14" s="20"/>
      <c r="K14" s="20">
        <v>22</v>
      </c>
      <c r="L14" s="20">
        <v>17.600000000000001</v>
      </c>
      <c r="M14" s="21">
        <f t="shared" si="7"/>
        <v>4.8600000000000003</v>
      </c>
      <c r="N14" s="20">
        <v>2</v>
      </c>
      <c r="O14" s="67"/>
      <c r="P14" s="67"/>
      <c r="Q14" s="67"/>
      <c r="R14" s="67"/>
      <c r="S14" s="67"/>
      <c r="T14" s="67"/>
      <c r="U14" s="67">
        <v>22</v>
      </c>
      <c r="V14" s="67"/>
      <c r="W14" s="67"/>
      <c r="X14" s="20">
        <v>10</v>
      </c>
      <c r="Y14" s="20"/>
      <c r="Z14" s="20"/>
      <c r="AA14" s="20"/>
      <c r="AB14" s="20"/>
      <c r="AC14" s="20"/>
      <c r="AD14" s="20"/>
      <c r="AE14" s="220">
        <f t="shared" si="8"/>
        <v>22</v>
      </c>
      <c r="AF14" s="220"/>
      <c r="AG14" s="220"/>
      <c r="AH14" s="196">
        <v>1</v>
      </c>
      <c r="AI14" s="212"/>
      <c r="AJ14" s="213"/>
      <c r="AK14" s="212"/>
      <c r="AL14" s="214"/>
      <c r="AM14" s="212"/>
      <c r="AN14" s="215"/>
      <c r="AO14" s="212"/>
      <c r="AP14" s="216"/>
      <c r="AQ14" s="212"/>
      <c r="AR14" s="217"/>
      <c r="AS14" s="212"/>
      <c r="AX14" s="268">
        <f t="shared" si="2"/>
        <v>1</v>
      </c>
    </row>
    <row r="15" spans="1:50" s="28" customFormat="1" ht="29.25" customHeight="1">
      <c r="A15" s="25">
        <v>2</v>
      </c>
      <c r="B15" s="26" t="s">
        <v>136</v>
      </c>
      <c r="C15" s="26" t="s">
        <v>128</v>
      </c>
      <c r="D15" s="26">
        <v>5</v>
      </c>
      <c r="E15" s="27" t="s">
        <v>135</v>
      </c>
      <c r="F15" s="20"/>
      <c r="G15" s="20"/>
      <c r="H15" s="20"/>
      <c r="I15" s="20"/>
      <c r="J15" s="20"/>
      <c r="K15" s="20">
        <v>40</v>
      </c>
      <c r="L15" s="20">
        <v>12.8</v>
      </c>
      <c r="M15" s="21">
        <f t="shared" si="7"/>
        <v>4.8600000000000003</v>
      </c>
      <c r="N15" s="20">
        <v>2</v>
      </c>
      <c r="O15" s="67"/>
      <c r="P15" s="67"/>
      <c r="Q15" s="67"/>
      <c r="R15" s="67"/>
      <c r="S15" s="67"/>
      <c r="T15" s="67"/>
      <c r="U15" s="67">
        <v>20</v>
      </c>
      <c r="V15" s="67"/>
      <c r="W15" s="67"/>
      <c r="X15" s="20">
        <v>6</v>
      </c>
      <c r="Y15" s="20"/>
      <c r="Z15" s="20"/>
      <c r="AA15" s="20"/>
      <c r="AB15" s="20"/>
      <c r="AC15" s="20"/>
      <c r="AD15" s="20"/>
      <c r="AE15" s="220">
        <f t="shared" si="8"/>
        <v>20</v>
      </c>
      <c r="AF15" s="220"/>
      <c r="AG15" s="220"/>
      <c r="AH15" s="196"/>
      <c r="AI15" s="212"/>
      <c r="AJ15" s="213"/>
      <c r="AK15" s="212"/>
      <c r="AL15" s="214">
        <v>1</v>
      </c>
      <c r="AM15" s="212"/>
      <c r="AN15" s="215"/>
      <c r="AO15" s="212"/>
      <c r="AP15" s="216"/>
      <c r="AQ15" s="212"/>
      <c r="AR15" s="217"/>
      <c r="AS15" s="212"/>
      <c r="AX15" s="268">
        <f t="shared" si="2"/>
        <v>1</v>
      </c>
    </row>
    <row r="16" spans="1:50" s="28" customFormat="1" ht="29.25" customHeight="1">
      <c r="A16" s="25">
        <v>2</v>
      </c>
      <c r="B16" s="26" t="s">
        <v>121</v>
      </c>
      <c r="C16" s="26" t="s">
        <v>128</v>
      </c>
      <c r="D16" s="26">
        <v>5</v>
      </c>
      <c r="E16" s="27" t="s">
        <v>137</v>
      </c>
      <c r="F16" s="20"/>
      <c r="G16" s="20"/>
      <c r="H16" s="20"/>
      <c r="I16" s="20"/>
      <c r="J16" s="20"/>
      <c r="K16" s="20">
        <v>39</v>
      </c>
      <c r="L16" s="20">
        <v>16.8</v>
      </c>
      <c r="M16" s="21">
        <f t="shared" si="7"/>
        <v>4.8600000000000003</v>
      </c>
      <c r="N16" s="20">
        <v>2</v>
      </c>
      <c r="O16" s="67"/>
      <c r="P16" s="67"/>
      <c r="Q16" s="67"/>
      <c r="R16" s="67"/>
      <c r="S16" s="67"/>
      <c r="T16" s="67"/>
      <c r="U16" s="67">
        <v>24</v>
      </c>
      <c r="V16" s="67"/>
      <c r="W16" s="67"/>
      <c r="X16" s="20">
        <v>12</v>
      </c>
      <c r="Y16" s="20"/>
      <c r="Z16" s="20"/>
      <c r="AA16" s="20"/>
      <c r="AB16" s="20"/>
      <c r="AC16" s="20"/>
      <c r="AD16" s="20"/>
      <c r="AE16" s="220">
        <f t="shared" si="8"/>
        <v>24</v>
      </c>
      <c r="AF16" s="220"/>
      <c r="AG16" s="220"/>
      <c r="AH16" s="196"/>
      <c r="AI16" s="212"/>
      <c r="AJ16" s="213"/>
      <c r="AK16" s="212"/>
      <c r="AL16" s="214">
        <v>1</v>
      </c>
      <c r="AM16" s="212"/>
      <c r="AN16" s="215"/>
      <c r="AO16" s="212"/>
      <c r="AP16" s="216"/>
      <c r="AQ16" s="212"/>
      <c r="AR16" s="217"/>
      <c r="AS16" s="212"/>
      <c r="AX16" s="268">
        <f t="shared" si="2"/>
        <v>1</v>
      </c>
    </row>
    <row r="17" spans="1:50" s="28" customFormat="1" ht="29.25" customHeight="1">
      <c r="A17" s="25">
        <v>2</v>
      </c>
      <c r="B17" s="26" t="s">
        <v>121</v>
      </c>
      <c r="C17" s="26" t="s">
        <v>128</v>
      </c>
      <c r="D17" s="26">
        <v>3</v>
      </c>
      <c r="E17" s="27" t="s">
        <v>138</v>
      </c>
      <c r="F17" s="20"/>
      <c r="G17" s="20"/>
      <c r="H17" s="20"/>
      <c r="I17" s="20"/>
      <c r="J17" s="20"/>
      <c r="K17" s="20">
        <v>16</v>
      </c>
      <c r="L17" s="20">
        <v>9.6</v>
      </c>
      <c r="M17" s="21">
        <f t="shared" si="7"/>
        <v>4.8600000000000003</v>
      </c>
      <c r="N17" s="20">
        <v>2</v>
      </c>
      <c r="O17" s="67"/>
      <c r="P17" s="67"/>
      <c r="Q17" s="67"/>
      <c r="R17" s="67"/>
      <c r="S17" s="67"/>
      <c r="T17" s="67"/>
      <c r="U17" s="67">
        <v>16</v>
      </c>
      <c r="V17" s="67"/>
      <c r="W17" s="67"/>
      <c r="X17" s="20">
        <v>12</v>
      </c>
      <c r="Y17" s="20"/>
      <c r="Z17" s="20"/>
      <c r="AA17" s="20"/>
      <c r="AB17" s="20"/>
      <c r="AC17" s="20"/>
      <c r="AD17" s="20"/>
      <c r="AE17" s="220">
        <f t="shared" si="8"/>
        <v>16</v>
      </c>
      <c r="AF17" s="220"/>
      <c r="AG17" s="220"/>
      <c r="AH17" s="196"/>
      <c r="AI17" s="212"/>
      <c r="AJ17" s="213">
        <v>1</v>
      </c>
      <c r="AK17" s="212"/>
      <c r="AL17" s="214"/>
      <c r="AM17" s="212"/>
      <c r="AN17" s="215"/>
      <c r="AO17" s="212"/>
      <c r="AP17" s="216"/>
      <c r="AQ17" s="212"/>
      <c r="AR17" s="217"/>
      <c r="AS17" s="212"/>
      <c r="AX17" s="268">
        <f t="shared" si="2"/>
        <v>1</v>
      </c>
    </row>
    <row r="18" spans="1:50" s="28" customFormat="1" ht="37.5" customHeight="1">
      <c r="A18" s="29" t="s">
        <v>11</v>
      </c>
      <c r="B18" s="30"/>
      <c r="C18" s="30"/>
      <c r="D18" s="30"/>
      <c r="E18" s="30"/>
      <c r="F18" s="24">
        <f t="shared" ref="F18:AD18" si="9">SUM(F10:F17)</f>
        <v>0</v>
      </c>
      <c r="G18" s="24">
        <f t="shared" si="9"/>
        <v>0</v>
      </c>
      <c r="H18" s="24">
        <f t="shared" si="9"/>
        <v>0</v>
      </c>
      <c r="I18" s="24">
        <f t="shared" si="9"/>
        <v>0</v>
      </c>
      <c r="J18" s="24">
        <f t="shared" si="9"/>
        <v>0</v>
      </c>
      <c r="K18" s="24">
        <f t="shared" si="9"/>
        <v>232</v>
      </c>
      <c r="L18" s="24">
        <f t="shared" si="9"/>
        <v>126.39999999999998</v>
      </c>
      <c r="M18" s="24">
        <f t="shared" si="9"/>
        <v>38.880000000000003</v>
      </c>
      <c r="N18" s="24">
        <f t="shared" si="9"/>
        <v>16</v>
      </c>
      <c r="O18" s="24">
        <f t="shared" si="9"/>
        <v>0</v>
      </c>
      <c r="P18" s="24">
        <f t="shared" si="9"/>
        <v>0</v>
      </c>
      <c r="Q18" s="24">
        <f t="shared" si="9"/>
        <v>0</v>
      </c>
      <c r="R18" s="24">
        <f t="shared" si="9"/>
        <v>0</v>
      </c>
      <c r="S18" s="24">
        <f t="shared" si="9"/>
        <v>0</v>
      </c>
      <c r="T18" s="24">
        <f t="shared" si="9"/>
        <v>0</v>
      </c>
      <c r="U18" s="24">
        <f t="shared" si="9"/>
        <v>175</v>
      </c>
      <c r="V18" s="24">
        <f t="shared" si="9"/>
        <v>0</v>
      </c>
      <c r="W18" s="24">
        <f t="shared" si="9"/>
        <v>0</v>
      </c>
      <c r="X18" s="24">
        <f t="shared" si="9"/>
        <v>87</v>
      </c>
      <c r="Y18" s="24">
        <f t="shared" si="9"/>
        <v>0</v>
      </c>
      <c r="Z18" s="24">
        <f t="shared" si="9"/>
        <v>0</v>
      </c>
      <c r="AA18" s="24">
        <f t="shared" si="9"/>
        <v>0</v>
      </c>
      <c r="AB18" s="24">
        <f t="shared" si="9"/>
        <v>0</v>
      </c>
      <c r="AC18" s="24">
        <f t="shared" si="9"/>
        <v>0</v>
      </c>
      <c r="AD18" s="24">
        <f t="shared" si="9"/>
        <v>0</v>
      </c>
      <c r="AE18" s="41"/>
      <c r="AF18" s="41"/>
      <c r="AG18" s="41"/>
      <c r="AH18" s="30">
        <f t="shared" ref="AH18:AS18" si="10">SUM(AH10:AH17)</f>
        <v>2</v>
      </c>
      <c r="AI18" s="30">
        <f t="shared" si="10"/>
        <v>0</v>
      </c>
      <c r="AJ18" s="30">
        <f t="shared" si="10"/>
        <v>3</v>
      </c>
      <c r="AK18" s="30">
        <f t="shared" si="10"/>
        <v>0</v>
      </c>
      <c r="AL18" s="30">
        <f t="shared" si="10"/>
        <v>2</v>
      </c>
      <c r="AM18" s="30">
        <f t="shared" si="10"/>
        <v>0</v>
      </c>
      <c r="AN18" s="30">
        <f t="shared" si="10"/>
        <v>1</v>
      </c>
      <c r="AO18" s="30">
        <f t="shared" si="10"/>
        <v>0</v>
      </c>
      <c r="AP18" s="30">
        <f t="shared" si="10"/>
        <v>0</v>
      </c>
      <c r="AQ18" s="30">
        <f t="shared" si="10"/>
        <v>0</v>
      </c>
      <c r="AR18" s="30">
        <f t="shared" si="10"/>
        <v>0</v>
      </c>
      <c r="AS18" s="30">
        <f t="shared" si="10"/>
        <v>0</v>
      </c>
      <c r="AX18" s="268">
        <f t="shared" si="2"/>
        <v>0</v>
      </c>
    </row>
    <row r="19" spans="1:50" s="28" customFormat="1" ht="29.25" customHeight="1">
      <c r="A19" s="25">
        <v>3</v>
      </c>
      <c r="B19" s="27" t="s">
        <v>129</v>
      </c>
      <c r="C19" s="27" t="s">
        <v>140</v>
      </c>
      <c r="D19" s="27">
        <v>5</v>
      </c>
      <c r="E19" s="27" t="s">
        <v>139</v>
      </c>
      <c r="F19" s="21"/>
      <c r="G19" s="21"/>
      <c r="H19" s="21"/>
      <c r="I19" s="21"/>
      <c r="J19" s="21"/>
      <c r="K19" s="21">
        <v>30</v>
      </c>
      <c r="L19" s="21">
        <v>24</v>
      </c>
      <c r="M19" s="21">
        <f t="shared" ref="M19:M25" si="11">N19*2.43</f>
        <v>9.7200000000000006</v>
      </c>
      <c r="N19" s="21">
        <v>4</v>
      </c>
      <c r="O19" s="67"/>
      <c r="P19" s="67"/>
      <c r="Q19" s="67"/>
      <c r="R19" s="67"/>
      <c r="S19" s="67"/>
      <c r="T19" s="67"/>
      <c r="U19" s="67">
        <v>30</v>
      </c>
      <c r="V19" s="67"/>
      <c r="W19" s="67"/>
      <c r="X19" s="21">
        <v>12</v>
      </c>
      <c r="Y19" s="21"/>
      <c r="Z19" s="21"/>
      <c r="AA19" s="21"/>
      <c r="AB19" s="21"/>
      <c r="AC19" s="21"/>
      <c r="AD19" s="21"/>
      <c r="AE19" s="220">
        <f t="shared" ref="AE19:AE25" si="12">O19+P19+Q19+R19+S19+T19+U19+V19</f>
        <v>30</v>
      </c>
      <c r="AF19" s="220"/>
      <c r="AG19" s="220"/>
      <c r="AH19" s="196">
        <v>1</v>
      </c>
      <c r="AI19" s="212"/>
      <c r="AJ19" s="213"/>
      <c r="AK19" s="212"/>
      <c r="AL19" s="214"/>
      <c r="AM19" s="212"/>
      <c r="AN19" s="215"/>
      <c r="AO19" s="212"/>
      <c r="AP19" s="216"/>
      <c r="AQ19" s="212"/>
      <c r="AR19" s="217"/>
      <c r="AS19" s="212"/>
      <c r="AX19" s="268">
        <f t="shared" si="2"/>
        <v>1</v>
      </c>
    </row>
    <row r="20" spans="1:50" s="28" customFormat="1" ht="29.25" customHeight="1">
      <c r="A20" s="25">
        <v>3</v>
      </c>
      <c r="B20" s="27" t="s">
        <v>129</v>
      </c>
      <c r="C20" s="27" t="s">
        <v>140</v>
      </c>
      <c r="D20" s="27">
        <v>5</v>
      </c>
      <c r="E20" s="27" t="s">
        <v>141</v>
      </c>
      <c r="F20" s="21"/>
      <c r="G20" s="21"/>
      <c r="H20" s="21"/>
      <c r="I20" s="21"/>
      <c r="J20" s="21"/>
      <c r="K20" s="21">
        <v>21</v>
      </c>
      <c r="L20" s="21">
        <v>16.8</v>
      </c>
      <c r="M20" s="21">
        <f t="shared" ref="M20:M22" si="13">N20*2.43</f>
        <v>4.8600000000000003</v>
      </c>
      <c r="N20" s="21">
        <v>2</v>
      </c>
      <c r="O20" s="67"/>
      <c r="P20" s="67"/>
      <c r="Q20" s="67"/>
      <c r="R20" s="67"/>
      <c r="S20" s="67"/>
      <c r="T20" s="67"/>
      <c r="U20" s="67">
        <v>21</v>
      </c>
      <c r="V20" s="67"/>
      <c r="W20" s="67"/>
      <c r="X20" s="21">
        <v>9</v>
      </c>
      <c r="Y20" s="21"/>
      <c r="Z20" s="21"/>
      <c r="AA20" s="21"/>
      <c r="AB20" s="21"/>
      <c r="AC20" s="21"/>
      <c r="AD20" s="21"/>
      <c r="AE20" s="220">
        <f t="shared" ref="AE20:AE22" si="14">O20+P20+Q20+R20+S20+T20+U20+V20</f>
        <v>21</v>
      </c>
      <c r="AF20" s="220"/>
      <c r="AG20" s="220"/>
      <c r="AH20" s="196"/>
      <c r="AI20" s="212"/>
      <c r="AJ20" s="213"/>
      <c r="AK20" s="212"/>
      <c r="AL20" s="214"/>
      <c r="AM20" s="212"/>
      <c r="AN20" s="215">
        <v>1</v>
      </c>
      <c r="AO20" s="212"/>
      <c r="AP20" s="216"/>
      <c r="AQ20" s="212"/>
      <c r="AR20" s="217"/>
      <c r="AS20" s="212"/>
      <c r="AX20" s="268">
        <f t="shared" ref="AX20:AX22" si="15">COUNTIFS(AE20,"&gt;=11")</f>
        <v>1</v>
      </c>
    </row>
    <row r="21" spans="1:50" s="28" customFormat="1" ht="29.25" customHeight="1">
      <c r="A21" s="25">
        <v>3</v>
      </c>
      <c r="B21" s="27" t="s">
        <v>136</v>
      </c>
      <c r="C21" s="27" t="s">
        <v>140</v>
      </c>
      <c r="D21" s="27">
        <v>5</v>
      </c>
      <c r="E21" s="27" t="s">
        <v>142</v>
      </c>
      <c r="F21" s="21"/>
      <c r="G21" s="21"/>
      <c r="H21" s="21"/>
      <c r="I21" s="21"/>
      <c r="J21" s="21"/>
      <c r="K21" s="21">
        <v>11</v>
      </c>
      <c r="L21" s="21">
        <v>8.8000000000000007</v>
      </c>
      <c r="M21" s="21">
        <f t="shared" si="13"/>
        <v>4.8600000000000003</v>
      </c>
      <c r="N21" s="21">
        <v>2</v>
      </c>
      <c r="O21" s="67"/>
      <c r="P21" s="67"/>
      <c r="Q21" s="67"/>
      <c r="R21" s="67"/>
      <c r="S21" s="67"/>
      <c r="T21" s="67"/>
      <c r="U21" s="67">
        <v>11</v>
      </c>
      <c r="V21" s="67"/>
      <c r="W21" s="67"/>
      <c r="X21" s="21">
        <v>8</v>
      </c>
      <c r="Y21" s="21"/>
      <c r="Z21" s="21"/>
      <c r="AA21" s="21"/>
      <c r="AB21" s="21"/>
      <c r="AC21" s="21"/>
      <c r="AD21" s="21"/>
      <c r="AE21" s="220">
        <f t="shared" si="14"/>
        <v>11</v>
      </c>
      <c r="AF21" s="220"/>
      <c r="AG21" s="220"/>
      <c r="AH21" s="196">
        <v>1</v>
      </c>
      <c r="AI21" s="212"/>
      <c r="AJ21" s="213"/>
      <c r="AK21" s="212"/>
      <c r="AL21" s="214"/>
      <c r="AM21" s="212"/>
      <c r="AN21" s="215"/>
      <c r="AO21" s="212"/>
      <c r="AP21" s="216"/>
      <c r="AQ21" s="212"/>
      <c r="AR21" s="217"/>
      <c r="AS21" s="212"/>
      <c r="AX21" s="268">
        <f t="shared" si="15"/>
        <v>1</v>
      </c>
    </row>
    <row r="22" spans="1:50" s="28" customFormat="1" ht="29.25" customHeight="1">
      <c r="A22" s="25">
        <v>3</v>
      </c>
      <c r="B22" s="27" t="s">
        <v>129</v>
      </c>
      <c r="C22" s="27" t="s">
        <v>140</v>
      </c>
      <c r="D22" s="27">
        <v>5</v>
      </c>
      <c r="E22" s="27" t="s">
        <v>143</v>
      </c>
      <c r="F22" s="21"/>
      <c r="G22" s="21"/>
      <c r="H22" s="21"/>
      <c r="I22" s="21"/>
      <c r="J22" s="21"/>
      <c r="K22" s="21">
        <v>22</v>
      </c>
      <c r="L22" s="21">
        <v>17.2</v>
      </c>
      <c r="M22" s="21">
        <f t="shared" si="13"/>
        <v>4.8600000000000003</v>
      </c>
      <c r="N22" s="21">
        <v>2</v>
      </c>
      <c r="O22" s="67"/>
      <c r="P22" s="67"/>
      <c r="Q22" s="67"/>
      <c r="R22" s="67"/>
      <c r="S22" s="67"/>
      <c r="T22" s="67"/>
      <c r="U22" s="67">
        <v>22</v>
      </c>
      <c r="V22" s="67"/>
      <c r="W22" s="67"/>
      <c r="X22" s="21">
        <v>9</v>
      </c>
      <c r="Y22" s="21"/>
      <c r="Z22" s="21"/>
      <c r="AA22" s="21"/>
      <c r="AB22" s="21"/>
      <c r="AC22" s="21"/>
      <c r="AD22" s="21"/>
      <c r="AE22" s="220">
        <f t="shared" si="14"/>
        <v>22</v>
      </c>
      <c r="AF22" s="220"/>
      <c r="AG22" s="220"/>
      <c r="AH22" s="196">
        <v>1</v>
      </c>
      <c r="AI22" s="212"/>
      <c r="AJ22" s="213"/>
      <c r="AK22" s="212"/>
      <c r="AL22" s="214"/>
      <c r="AM22" s="212"/>
      <c r="AN22" s="215"/>
      <c r="AO22" s="212"/>
      <c r="AP22" s="216"/>
      <c r="AQ22" s="212"/>
      <c r="AR22" s="217"/>
      <c r="AS22" s="212"/>
      <c r="AX22" s="268">
        <f t="shared" si="15"/>
        <v>1</v>
      </c>
    </row>
    <row r="23" spans="1:50" s="28" customFormat="1" ht="29.25" customHeight="1">
      <c r="A23" s="25">
        <v>3</v>
      </c>
      <c r="B23" s="27" t="s">
        <v>145</v>
      </c>
      <c r="C23" s="27" t="s">
        <v>140</v>
      </c>
      <c r="D23" s="27">
        <v>5</v>
      </c>
      <c r="E23" s="27" t="s">
        <v>144</v>
      </c>
      <c r="F23" s="21"/>
      <c r="G23" s="21"/>
      <c r="H23" s="21"/>
      <c r="I23" s="21"/>
      <c r="J23" s="21"/>
      <c r="K23" s="21">
        <v>43</v>
      </c>
      <c r="L23" s="21">
        <v>15.2</v>
      </c>
      <c r="M23" s="21">
        <f t="shared" si="11"/>
        <v>4.8600000000000003</v>
      </c>
      <c r="N23" s="21">
        <v>2</v>
      </c>
      <c r="O23" s="67"/>
      <c r="P23" s="67"/>
      <c r="Q23" s="67"/>
      <c r="R23" s="67"/>
      <c r="S23" s="67"/>
      <c r="T23" s="67"/>
      <c r="U23" s="67">
        <v>23</v>
      </c>
      <c r="V23" s="67"/>
      <c r="W23" s="67"/>
      <c r="X23" s="21">
        <v>8</v>
      </c>
      <c r="Y23" s="21"/>
      <c r="Z23" s="21"/>
      <c r="AA23" s="21"/>
      <c r="AB23" s="21"/>
      <c r="AC23" s="21"/>
      <c r="AD23" s="21"/>
      <c r="AE23" s="220">
        <f t="shared" si="12"/>
        <v>23</v>
      </c>
      <c r="AF23" s="220"/>
      <c r="AG23" s="220"/>
      <c r="AH23" s="196"/>
      <c r="AI23" s="212"/>
      <c r="AJ23" s="213"/>
      <c r="AK23" s="212"/>
      <c r="AL23" s="214">
        <v>1</v>
      </c>
      <c r="AM23" s="212"/>
      <c r="AN23" s="215"/>
      <c r="AO23" s="212"/>
      <c r="AP23" s="216"/>
      <c r="AQ23" s="212"/>
      <c r="AR23" s="217"/>
      <c r="AS23" s="212"/>
      <c r="AX23" s="268">
        <f t="shared" si="2"/>
        <v>1</v>
      </c>
    </row>
    <row r="24" spans="1:50" s="28" customFormat="1" ht="29.25" customHeight="1">
      <c r="A24" s="25">
        <v>3</v>
      </c>
      <c r="B24" s="27" t="s">
        <v>121</v>
      </c>
      <c r="C24" s="27" t="s">
        <v>140</v>
      </c>
      <c r="D24" s="27">
        <v>3</v>
      </c>
      <c r="E24" s="27" t="s">
        <v>134</v>
      </c>
      <c r="F24" s="21"/>
      <c r="G24" s="21"/>
      <c r="H24" s="21"/>
      <c r="I24" s="21"/>
      <c r="J24" s="21"/>
      <c r="K24" s="21">
        <v>22</v>
      </c>
      <c r="L24" s="21">
        <v>13.2</v>
      </c>
      <c r="M24" s="21">
        <f t="shared" si="11"/>
        <v>4.8600000000000003</v>
      </c>
      <c r="N24" s="21">
        <v>2</v>
      </c>
      <c r="O24" s="67"/>
      <c r="P24" s="67"/>
      <c r="Q24" s="67"/>
      <c r="R24" s="67"/>
      <c r="S24" s="67"/>
      <c r="T24" s="67"/>
      <c r="U24" s="67">
        <v>22</v>
      </c>
      <c r="V24" s="67"/>
      <c r="W24" s="67"/>
      <c r="X24" s="21">
        <v>12</v>
      </c>
      <c r="Y24" s="21"/>
      <c r="Z24" s="21"/>
      <c r="AA24" s="21"/>
      <c r="AB24" s="21"/>
      <c r="AC24" s="21"/>
      <c r="AD24" s="21"/>
      <c r="AE24" s="220">
        <f t="shared" si="12"/>
        <v>22</v>
      </c>
      <c r="AF24" s="220"/>
      <c r="AG24" s="220"/>
      <c r="AH24" s="196">
        <v>1</v>
      </c>
      <c r="AI24" s="212"/>
      <c r="AJ24" s="213"/>
      <c r="AK24" s="212"/>
      <c r="AL24" s="214"/>
      <c r="AM24" s="212"/>
      <c r="AN24" s="215"/>
      <c r="AO24" s="212"/>
      <c r="AP24" s="216"/>
      <c r="AQ24" s="212"/>
      <c r="AR24" s="217"/>
      <c r="AS24" s="212"/>
      <c r="AX24" s="268">
        <f t="shared" si="2"/>
        <v>1</v>
      </c>
    </row>
    <row r="25" spans="1:50" s="28" customFormat="1" ht="29.25" customHeight="1">
      <c r="A25" s="25">
        <v>3</v>
      </c>
      <c r="B25" s="27" t="s">
        <v>131</v>
      </c>
      <c r="C25" s="27" t="s">
        <v>140</v>
      </c>
      <c r="D25" s="27">
        <v>3</v>
      </c>
      <c r="E25" s="27" t="s">
        <v>146</v>
      </c>
      <c r="F25" s="21"/>
      <c r="G25" s="21"/>
      <c r="H25" s="21"/>
      <c r="I25" s="21"/>
      <c r="J25" s="21"/>
      <c r="K25" s="21">
        <v>104</v>
      </c>
      <c r="L25" s="21"/>
      <c r="M25" s="21">
        <f t="shared" si="11"/>
        <v>4.8600000000000003</v>
      </c>
      <c r="N25" s="21">
        <v>2</v>
      </c>
      <c r="O25" s="67"/>
      <c r="P25" s="67"/>
      <c r="Q25" s="67"/>
      <c r="R25" s="67"/>
      <c r="S25" s="67"/>
      <c r="T25" s="67"/>
      <c r="U25" s="67">
        <v>26</v>
      </c>
      <c r="V25" s="67"/>
      <c r="W25" s="67"/>
      <c r="X25" s="21">
        <v>12</v>
      </c>
      <c r="Y25" s="21"/>
      <c r="Z25" s="21"/>
      <c r="AA25" s="21"/>
      <c r="AB25" s="21"/>
      <c r="AC25" s="21"/>
      <c r="AD25" s="21"/>
      <c r="AE25" s="220">
        <f t="shared" si="12"/>
        <v>26</v>
      </c>
      <c r="AF25" s="220"/>
      <c r="AG25" s="220"/>
      <c r="AH25" s="196"/>
      <c r="AI25" s="212"/>
      <c r="AJ25" s="213"/>
      <c r="AK25" s="212"/>
      <c r="AL25" s="214"/>
      <c r="AM25" s="212"/>
      <c r="AN25" s="215"/>
      <c r="AO25" s="212"/>
      <c r="AP25" s="216">
        <v>1</v>
      </c>
      <c r="AQ25" s="212"/>
      <c r="AR25" s="217"/>
      <c r="AS25" s="212"/>
      <c r="AX25" s="268">
        <f t="shared" si="2"/>
        <v>1</v>
      </c>
    </row>
    <row r="26" spans="1:50" s="28" customFormat="1" ht="30" customHeight="1" thickBot="1">
      <c r="A26" s="29" t="s">
        <v>11</v>
      </c>
      <c r="B26" s="30"/>
      <c r="C26" s="30"/>
      <c r="D26" s="30"/>
      <c r="E26" s="30"/>
      <c r="F26" s="24">
        <f t="shared" ref="F26:AD26" si="16">SUM(F19:F25)</f>
        <v>0</v>
      </c>
      <c r="G26" s="24">
        <f t="shared" si="16"/>
        <v>0</v>
      </c>
      <c r="H26" s="24">
        <f t="shared" si="16"/>
        <v>0</v>
      </c>
      <c r="I26" s="24">
        <f t="shared" si="16"/>
        <v>0</v>
      </c>
      <c r="J26" s="24">
        <f t="shared" si="16"/>
        <v>0</v>
      </c>
      <c r="K26" s="24">
        <f t="shared" si="16"/>
        <v>253</v>
      </c>
      <c r="L26" s="24">
        <f t="shared" si="16"/>
        <v>95.2</v>
      </c>
      <c r="M26" s="24">
        <f t="shared" si="16"/>
        <v>38.880000000000003</v>
      </c>
      <c r="N26" s="24">
        <f t="shared" si="16"/>
        <v>16</v>
      </c>
      <c r="O26" s="24">
        <f t="shared" si="16"/>
        <v>0</v>
      </c>
      <c r="P26" s="24">
        <f t="shared" si="16"/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U26" s="24">
        <f t="shared" si="16"/>
        <v>155</v>
      </c>
      <c r="V26" s="24">
        <f t="shared" si="16"/>
        <v>0</v>
      </c>
      <c r="W26" s="24">
        <f t="shared" si="16"/>
        <v>0</v>
      </c>
      <c r="X26" s="24">
        <f t="shared" si="16"/>
        <v>70</v>
      </c>
      <c r="Y26" s="24">
        <f t="shared" si="16"/>
        <v>0</v>
      </c>
      <c r="Z26" s="24">
        <f t="shared" si="16"/>
        <v>0</v>
      </c>
      <c r="AA26" s="24">
        <f t="shared" si="16"/>
        <v>0</v>
      </c>
      <c r="AB26" s="24">
        <f t="shared" si="16"/>
        <v>0</v>
      </c>
      <c r="AC26" s="24">
        <f t="shared" si="16"/>
        <v>0</v>
      </c>
      <c r="AD26" s="24">
        <f t="shared" si="16"/>
        <v>0</v>
      </c>
      <c r="AE26" s="278"/>
      <c r="AF26" s="278"/>
      <c r="AG26" s="278"/>
      <c r="AH26" s="30">
        <f t="shared" ref="AH26:AS26" si="17">SUM(AH19:AH25)</f>
        <v>4</v>
      </c>
      <c r="AI26" s="30">
        <f t="shared" si="17"/>
        <v>0</v>
      </c>
      <c r="AJ26" s="30">
        <f t="shared" si="17"/>
        <v>0</v>
      </c>
      <c r="AK26" s="30">
        <f t="shared" si="17"/>
        <v>0</v>
      </c>
      <c r="AL26" s="30">
        <f t="shared" si="17"/>
        <v>1</v>
      </c>
      <c r="AM26" s="30">
        <f t="shared" si="17"/>
        <v>0</v>
      </c>
      <c r="AN26" s="30">
        <f t="shared" si="17"/>
        <v>1</v>
      </c>
      <c r="AO26" s="30">
        <f t="shared" si="17"/>
        <v>0</v>
      </c>
      <c r="AP26" s="30">
        <f t="shared" si="17"/>
        <v>1</v>
      </c>
      <c r="AQ26" s="30">
        <f t="shared" si="17"/>
        <v>0</v>
      </c>
      <c r="AR26" s="30">
        <f t="shared" si="17"/>
        <v>0</v>
      </c>
      <c r="AS26" s="30">
        <f t="shared" si="17"/>
        <v>0</v>
      </c>
      <c r="AT26" s="219" t="s">
        <v>32</v>
      </c>
      <c r="AU26" s="34" t="s">
        <v>30</v>
      </c>
      <c r="AV26" s="35" t="s">
        <v>31</v>
      </c>
    </row>
    <row r="27" spans="1:50" s="28" customFormat="1" ht="30" customHeight="1">
      <c r="B27" s="149"/>
      <c r="C27" s="149"/>
      <c r="D27" s="149"/>
      <c r="E27" s="149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1"/>
      <c r="AF27" s="151"/>
      <c r="AG27" s="151"/>
      <c r="AT27" s="154" t="s">
        <v>33</v>
      </c>
      <c r="AU27" s="37">
        <f>AL28</f>
        <v>3</v>
      </c>
      <c r="AV27" s="38">
        <f>AM28</f>
        <v>0</v>
      </c>
    </row>
    <row r="28" spans="1:50" s="28" customFormat="1" ht="30" customHeight="1">
      <c r="A28" s="184" t="s">
        <v>15</v>
      </c>
      <c r="B28" s="183"/>
      <c r="C28" s="183"/>
      <c r="D28" s="183"/>
      <c r="E28" s="183"/>
      <c r="F28" s="185">
        <f t="shared" ref="F28:AD28" si="18">F26+F18+F9</f>
        <v>0</v>
      </c>
      <c r="G28" s="185">
        <f t="shared" si="18"/>
        <v>0</v>
      </c>
      <c r="H28" s="185">
        <f t="shared" si="18"/>
        <v>0</v>
      </c>
      <c r="I28" s="185">
        <f t="shared" si="18"/>
        <v>0</v>
      </c>
      <c r="J28" s="185">
        <f t="shared" si="18"/>
        <v>0</v>
      </c>
      <c r="K28" s="185">
        <f t="shared" si="18"/>
        <v>485</v>
      </c>
      <c r="L28" s="185">
        <f t="shared" si="18"/>
        <v>221.59999999999997</v>
      </c>
      <c r="M28" s="186">
        <f t="shared" si="18"/>
        <v>77.760000000000005</v>
      </c>
      <c r="N28" s="185">
        <f t="shared" si="18"/>
        <v>32</v>
      </c>
      <c r="O28" s="185">
        <f t="shared" si="18"/>
        <v>0</v>
      </c>
      <c r="P28" s="185">
        <f t="shared" si="18"/>
        <v>0</v>
      </c>
      <c r="Q28" s="185">
        <f t="shared" si="18"/>
        <v>0</v>
      </c>
      <c r="R28" s="185">
        <f t="shared" si="18"/>
        <v>0</v>
      </c>
      <c r="S28" s="185">
        <f t="shared" si="18"/>
        <v>0</v>
      </c>
      <c r="T28" s="185">
        <f t="shared" si="18"/>
        <v>0</v>
      </c>
      <c r="U28" s="185">
        <f t="shared" si="18"/>
        <v>330</v>
      </c>
      <c r="V28" s="185">
        <f t="shared" si="18"/>
        <v>0</v>
      </c>
      <c r="W28" s="185">
        <f t="shared" si="18"/>
        <v>0</v>
      </c>
      <c r="X28" s="185">
        <f t="shared" si="18"/>
        <v>157</v>
      </c>
      <c r="Y28" s="185">
        <f t="shared" si="18"/>
        <v>0</v>
      </c>
      <c r="Z28" s="185">
        <f t="shared" si="18"/>
        <v>0</v>
      </c>
      <c r="AA28" s="185">
        <f t="shared" si="18"/>
        <v>0</v>
      </c>
      <c r="AB28" s="185">
        <f t="shared" si="18"/>
        <v>0</v>
      </c>
      <c r="AC28" s="185">
        <f t="shared" si="18"/>
        <v>0</v>
      </c>
      <c r="AD28" s="185">
        <f t="shared" si="18"/>
        <v>0</v>
      </c>
      <c r="AE28" s="151"/>
      <c r="AF28" s="151"/>
      <c r="AG28" s="151"/>
      <c r="AH28" s="189">
        <f t="shared" ref="AH28:AS28" si="19">AH26+AH18+AH9</f>
        <v>6</v>
      </c>
      <c r="AI28" s="189">
        <f t="shared" si="19"/>
        <v>0</v>
      </c>
      <c r="AJ28" s="189">
        <f t="shared" si="19"/>
        <v>3</v>
      </c>
      <c r="AK28" s="189">
        <f t="shared" si="19"/>
        <v>0</v>
      </c>
      <c r="AL28" s="189">
        <f t="shared" si="19"/>
        <v>3</v>
      </c>
      <c r="AM28" s="189">
        <f t="shared" si="19"/>
        <v>0</v>
      </c>
      <c r="AN28" s="189">
        <f t="shared" si="19"/>
        <v>2</v>
      </c>
      <c r="AO28" s="189">
        <f t="shared" si="19"/>
        <v>0</v>
      </c>
      <c r="AP28" s="189">
        <f t="shared" si="19"/>
        <v>1</v>
      </c>
      <c r="AQ28" s="189">
        <f t="shared" si="19"/>
        <v>0</v>
      </c>
      <c r="AR28" s="189">
        <f t="shared" si="19"/>
        <v>0</v>
      </c>
      <c r="AS28" s="189">
        <f t="shared" si="19"/>
        <v>0</v>
      </c>
      <c r="AT28" s="54" t="s">
        <v>26</v>
      </c>
      <c r="AU28" s="44">
        <f>AN28</f>
        <v>2</v>
      </c>
      <c r="AV28" s="45">
        <f>AO28</f>
        <v>0</v>
      </c>
    </row>
    <row r="29" spans="1:50" s="46" customFormat="1" ht="30" customHeight="1">
      <c r="B29" s="47"/>
      <c r="C29" s="157" t="s">
        <v>58</v>
      </c>
      <c r="D29" s="157"/>
      <c r="E29" s="158"/>
      <c r="F29" s="159">
        <v>26.292100000000001</v>
      </c>
      <c r="G29" s="160">
        <v>115.8</v>
      </c>
      <c r="H29" s="160">
        <v>35.47</v>
      </c>
      <c r="I29" s="160">
        <v>27.343800000000002</v>
      </c>
      <c r="J29" s="160">
        <v>40</v>
      </c>
      <c r="K29" s="159">
        <v>29.5639</v>
      </c>
      <c r="L29" s="159">
        <v>145.88</v>
      </c>
      <c r="M29" s="159">
        <v>27.66</v>
      </c>
      <c r="N29" s="159">
        <v>26.25</v>
      </c>
      <c r="O29" s="159">
        <v>171.74107142857142</v>
      </c>
      <c r="P29" s="159">
        <v>176.78571428571428</v>
      </c>
      <c r="Q29" s="159">
        <v>195</v>
      </c>
      <c r="R29" s="159">
        <v>180.35714285714283</v>
      </c>
      <c r="S29" s="159">
        <v>198</v>
      </c>
      <c r="T29" s="159">
        <v>195</v>
      </c>
      <c r="U29" s="159">
        <v>189.38</v>
      </c>
      <c r="V29" s="159">
        <v>207</v>
      </c>
      <c r="W29" s="159">
        <v>379.46</v>
      </c>
      <c r="X29" s="159">
        <v>35.15</v>
      </c>
      <c r="Y29" s="159">
        <v>35.893000000000001</v>
      </c>
      <c r="Z29" s="159">
        <v>37.5</v>
      </c>
      <c r="AA29" s="159">
        <v>81.900000000000006</v>
      </c>
      <c r="AB29" s="159">
        <v>20.62</v>
      </c>
      <c r="AC29" s="159">
        <v>267.18</v>
      </c>
      <c r="AD29" s="159">
        <v>7.5</v>
      </c>
      <c r="AE29" s="48"/>
      <c r="AF29" s="48"/>
      <c r="AG29" s="48"/>
      <c r="AT29" s="54" t="s">
        <v>27</v>
      </c>
      <c r="AU29" s="44">
        <f>AP28</f>
        <v>1</v>
      </c>
      <c r="AV29" s="45">
        <f>AQ28</f>
        <v>0</v>
      </c>
    </row>
    <row r="30" spans="1:50" s="46" customFormat="1" ht="30" customHeight="1">
      <c r="A30" s="16"/>
      <c r="B30" s="17"/>
      <c r="C30" s="113" t="s">
        <v>53</v>
      </c>
      <c r="D30" s="113"/>
      <c r="E30" s="27">
        <f>F30+G30+K30+L30+M30+N30+O30+P30+Q30+R30+S30+U30+X30+Y30+Z30+AA30+AB30+AC30+AD30+H30+I30</f>
        <v>117670.29109999999</v>
      </c>
      <c r="F30" s="112">
        <f>F28*F29</f>
        <v>0</v>
      </c>
      <c r="G30" s="112">
        <f t="shared" ref="G30:AD30" si="20">G28*G29</f>
        <v>0</v>
      </c>
      <c r="H30" s="112">
        <f t="shared" si="20"/>
        <v>0</v>
      </c>
      <c r="I30" s="112">
        <f t="shared" si="20"/>
        <v>0</v>
      </c>
      <c r="J30" s="112">
        <f t="shared" ref="J30" si="21">J28*J29</f>
        <v>0</v>
      </c>
      <c r="K30" s="112">
        <f t="shared" si="20"/>
        <v>14338.4915</v>
      </c>
      <c r="L30" s="112">
        <f t="shared" si="20"/>
        <v>32327.007999999994</v>
      </c>
      <c r="M30" s="112">
        <f t="shared" si="20"/>
        <v>2150.8416000000002</v>
      </c>
      <c r="N30" s="112">
        <f t="shared" si="20"/>
        <v>840</v>
      </c>
      <c r="O30" s="112">
        <f t="shared" si="20"/>
        <v>0</v>
      </c>
      <c r="P30" s="112">
        <f t="shared" si="20"/>
        <v>0</v>
      </c>
      <c r="Q30" s="112">
        <f t="shared" si="20"/>
        <v>0</v>
      </c>
      <c r="R30" s="112">
        <f t="shared" si="20"/>
        <v>0</v>
      </c>
      <c r="S30" s="112">
        <f t="shared" si="20"/>
        <v>0</v>
      </c>
      <c r="T30" s="112">
        <f t="shared" si="20"/>
        <v>0</v>
      </c>
      <c r="U30" s="115">
        <f t="shared" si="20"/>
        <v>62495.4</v>
      </c>
      <c r="V30" s="112">
        <f t="shared" si="20"/>
        <v>0</v>
      </c>
      <c r="W30" s="112">
        <f t="shared" si="20"/>
        <v>0</v>
      </c>
      <c r="X30" s="112">
        <f t="shared" si="20"/>
        <v>5518.55</v>
      </c>
      <c r="Y30" s="112">
        <f t="shared" si="20"/>
        <v>0</v>
      </c>
      <c r="Z30" s="112">
        <f t="shared" si="20"/>
        <v>0</v>
      </c>
      <c r="AA30" s="112">
        <f t="shared" si="20"/>
        <v>0</v>
      </c>
      <c r="AB30" s="112">
        <f t="shared" si="20"/>
        <v>0</v>
      </c>
      <c r="AC30" s="112">
        <f t="shared" si="20"/>
        <v>0</v>
      </c>
      <c r="AD30" s="112">
        <f t="shared" si="20"/>
        <v>0</v>
      </c>
      <c r="AE30" s="16"/>
      <c r="AF30" s="16"/>
      <c r="AG30" s="16"/>
      <c r="AT30" s="54" t="s">
        <v>34</v>
      </c>
      <c r="AU30" s="44">
        <f>AH28</f>
        <v>6</v>
      </c>
      <c r="AV30" s="45">
        <f>AI28</f>
        <v>0</v>
      </c>
    </row>
    <row r="31" spans="1:50" s="16" customFormat="1" ht="30" customHeight="1">
      <c r="B31" s="17"/>
      <c r="C31" s="17"/>
      <c r="D31" s="17"/>
      <c r="AT31" s="54" t="s">
        <v>29</v>
      </c>
      <c r="AU31" s="14">
        <f>AJ28</f>
        <v>3</v>
      </c>
      <c r="AV31" s="15">
        <f>AK28</f>
        <v>0</v>
      </c>
    </row>
    <row r="32" spans="1:50" s="16" customFormat="1" ht="30" customHeight="1" thickBot="1">
      <c r="B32" s="17"/>
      <c r="C32" s="17"/>
      <c r="D32" s="17"/>
      <c r="AT32" s="55" t="s">
        <v>35</v>
      </c>
      <c r="AU32" s="18">
        <f>AR28</f>
        <v>0</v>
      </c>
      <c r="AV32" s="19">
        <f>AS28</f>
        <v>0</v>
      </c>
    </row>
    <row r="33" spans="2:47" s="16" customFormat="1" ht="30" customHeight="1">
      <c r="B33" s="17"/>
      <c r="C33" s="17"/>
      <c r="D33" s="17"/>
      <c r="AS33" s="269">
        <f>AT33-AU33</f>
        <v>0</v>
      </c>
      <c r="AT33" s="269">
        <f>SUM(AX8:AX25)</f>
        <v>15</v>
      </c>
      <c r="AU33" s="269">
        <f>SUM(AU27:AU32)</f>
        <v>15</v>
      </c>
    </row>
    <row r="34" spans="2:47" s="12" customFormat="1" ht="11.25" customHeight="1">
      <c r="B34" s="13"/>
      <c r="C34" s="13"/>
      <c r="D34" s="13"/>
    </row>
    <row r="35" spans="2:47" s="12" customFormat="1">
      <c r="B35" s="250" t="s">
        <v>89</v>
      </c>
      <c r="C35" s="250" t="s">
        <v>86</v>
      </c>
      <c r="D35" s="250" t="s">
        <v>58</v>
      </c>
      <c r="E35" s="250" t="s">
        <v>87</v>
      </c>
      <c r="O35" s="12" t="s">
        <v>18</v>
      </c>
    </row>
    <row r="36" spans="2:47" s="12" customFormat="1">
      <c r="B36" s="242" t="s">
        <v>72</v>
      </c>
      <c r="C36" s="248"/>
      <c r="D36" s="247">
        <v>26.292100000000001</v>
      </c>
      <c r="E36" s="248">
        <f>C36*D36</f>
        <v>0</v>
      </c>
    </row>
    <row r="37" spans="2:47" s="12" customFormat="1">
      <c r="B37" s="242" t="s">
        <v>100</v>
      </c>
      <c r="C37" s="248">
        <f>I28</f>
        <v>0</v>
      </c>
      <c r="D37" s="247">
        <v>27.343800000000002</v>
      </c>
      <c r="E37" s="248"/>
    </row>
    <row r="38" spans="2:47" s="12" customFormat="1">
      <c r="B38" s="242" t="s">
        <v>73</v>
      </c>
      <c r="C38" s="248">
        <f>K28</f>
        <v>485</v>
      </c>
      <c r="D38" s="247">
        <v>29.5639</v>
      </c>
      <c r="E38" s="248">
        <f t="shared" ref="E38:E58" si="22">C38*D38</f>
        <v>14338.4915</v>
      </c>
    </row>
    <row r="39" spans="2:47">
      <c r="B39" s="279" t="s">
        <v>2</v>
      </c>
      <c r="C39" s="245">
        <f>L28</f>
        <v>221.59999999999997</v>
      </c>
      <c r="D39" s="246">
        <v>145.88</v>
      </c>
      <c r="E39" s="248">
        <f t="shared" si="22"/>
        <v>32327.007999999994</v>
      </c>
    </row>
    <row r="40" spans="2:47">
      <c r="B40" s="279" t="s">
        <v>74</v>
      </c>
      <c r="C40" s="249">
        <f>M28</f>
        <v>77.760000000000005</v>
      </c>
      <c r="D40" s="246">
        <v>27.66</v>
      </c>
      <c r="E40" s="248">
        <f t="shared" si="22"/>
        <v>2150.8416000000002</v>
      </c>
    </row>
    <row r="41" spans="2:47">
      <c r="B41" s="279" t="s">
        <v>3</v>
      </c>
      <c r="C41" s="245">
        <f>N28</f>
        <v>32</v>
      </c>
      <c r="D41" s="246">
        <v>26.25</v>
      </c>
      <c r="E41" s="248">
        <f t="shared" si="22"/>
        <v>840</v>
      </c>
    </row>
    <row r="42" spans="2:47">
      <c r="B42" s="279" t="s">
        <v>75</v>
      </c>
      <c r="C42" s="245">
        <f>AB28</f>
        <v>0</v>
      </c>
      <c r="D42" s="246">
        <v>20.62</v>
      </c>
      <c r="E42" s="248">
        <f t="shared" si="22"/>
        <v>0</v>
      </c>
    </row>
    <row r="43" spans="2:47">
      <c r="B43" s="279" t="s">
        <v>76</v>
      </c>
      <c r="C43" s="245"/>
      <c r="D43" s="246">
        <v>171.74107142857142</v>
      </c>
      <c r="E43" s="248">
        <f t="shared" si="22"/>
        <v>0</v>
      </c>
    </row>
    <row r="44" spans="2:47">
      <c r="B44" s="279" t="s">
        <v>77</v>
      </c>
      <c r="C44" s="245"/>
      <c r="D44" s="246">
        <v>176.78571428571428</v>
      </c>
      <c r="E44" s="248">
        <f t="shared" si="22"/>
        <v>0</v>
      </c>
    </row>
    <row r="45" spans="2:47">
      <c r="B45" s="279" t="s">
        <v>78</v>
      </c>
      <c r="C45" s="245"/>
      <c r="D45" s="246">
        <v>180.35714285714283</v>
      </c>
      <c r="E45" s="248">
        <f t="shared" si="22"/>
        <v>0</v>
      </c>
    </row>
    <row r="46" spans="2:47">
      <c r="B46" s="279" t="s">
        <v>68</v>
      </c>
      <c r="C46" s="245"/>
      <c r="D46" s="246">
        <v>207</v>
      </c>
      <c r="E46" s="248">
        <f t="shared" si="22"/>
        <v>0</v>
      </c>
    </row>
    <row r="47" spans="2:47">
      <c r="B47" s="279" t="s">
        <v>79</v>
      </c>
      <c r="C47" s="246"/>
      <c r="D47" s="246">
        <v>331</v>
      </c>
      <c r="E47" s="248">
        <f t="shared" si="22"/>
        <v>0</v>
      </c>
    </row>
    <row r="48" spans="2:47">
      <c r="B48" s="279" t="s">
        <v>80</v>
      </c>
      <c r="C48" s="245">
        <f>U28</f>
        <v>330</v>
      </c>
      <c r="D48" s="246">
        <v>189.38</v>
      </c>
      <c r="E48" s="248">
        <f t="shared" si="22"/>
        <v>62495.4</v>
      </c>
    </row>
    <row r="49" spans="2:5">
      <c r="B49" s="279" t="s">
        <v>81</v>
      </c>
      <c r="C49" s="245"/>
      <c r="D49" s="246">
        <v>195</v>
      </c>
      <c r="E49" s="248">
        <f t="shared" si="22"/>
        <v>0</v>
      </c>
    </row>
    <row r="50" spans="2:5">
      <c r="B50" s="279" t="s">
        <v>82</v>
      </c>
      <c r="C50" s="245">
        <f>Q28</f>
        <v>0</v>
      </c>
      <c r="D50" s="246">
        <v>195</v>
      </c>
      <c r="E50" s="248">
        <f t="shared" si="22"/>
        <v>0</v>
      </c>
    </row>
    <row r="51" spans="2:5">
      <c r="B51" s="279" t="s">
        <v>55</v>
      </c>
      <c r="C51" s="246"/>
      <c r="D51" s="246">
        <v>359.83</v>
      </c>
      <c r="E51" s="248">
        <f t="shared" si="22"/>
        <v>0</v>
      </c>
    </row>
    <row r="52" spans="2:5">
      <c r="B52" s="279" t="s">
        <v>56</v>
      </c>
      <c r="C52" s="246"/>
      <c r="D52" s="246">
        <v>379.46</v>
      </c>
      <c r="E52" s="248">
        <f t="shared" si="22"/>
        <v>0</v>
      </c>
    </row>
    <row r="53" spans="2:5">
      <c r="B53" s="279" t="s">
        <v>83</v>
      </c>
      <c r="C53" s="245">
        <f>X28</f>
        <v>157</v>
      </c>
      <c r="D53" s="246">
        <v>35.15</v>
      </c>
      <c r="E53" s="248">
        <f t="shared" si="22"/>
        <v>5518.55</v>
      </c>
    </row>
    <row r="54" spans="2:5">
      <c r="B54" s="279" t="s">
        <v>84</v>
      </c>
      <c r="C54" s="245">
        <f>Y28</f>
        <v>0</v>
      </c>
      <c r="D54" s="246">
        <v>35.893000000000001</v>
      </c>
      <c r="E54" s="248">
        <f t="shared" si="22"/>
        <v>0</v>
      </c>
    </row>
    <row r="55" spans="2:5">
      <c r="B55" s="279" t="s">
        <v>95</v>
      </c>
      <c r="C55" s="245">
        <f>W23</f>
        <v>0</v>
      </c>
      <c r="D55" s="246">
        <v>37.5</v>
      </c>
      <c r="E55" s="248">
        <f t="shared" si="22"/>
        <v>0</v>
      </c>
    </row>
    <row r="56" spans="2:5">
      <c r="B56" s="279" t="s">
        <v>85</v>
      </c>
      <c r="C56" s="246">
        <f>AA28</f>
        <v>0</v>
      </c>
      <c r="D56" s="246">
        <v>81.900000000000006</v>
      </c>
      <c r="E56" s="248">
        <f t="shared" si="22"/>
        <v>0</v>
      </c>
    </row>
    <row r="57" spans="2:5">
      <c r="B57" s="279" t="s">
        <v>20</v>
      </c>
      <c r="C57" s="245">
        <f>AD28</f>
        <v>0</v>
      </c>
      <c r="D57" s="246">
        <v>7.5</v>
      </c>
      <c r="E57" s="248">
        <f t="shared" si="22"/>
        <v>0</v>
      </c>
    </row>
    <row r="58" spans="2:5">
      <c r="B58" s="279" t="s">
        <v>7</v>
      </c>
      <c r="C58" s="245">
        <f>AC28</f>
        <v>0</v>
      </c>
      <c r="D58" s="246">
        <v>267.18</v>
      </c>
      <c r="E58" s="248">
        <f t="shared" si="22"/>
        <v>0</v>
      </c>
    </row>
    <row r="59" spans="2:5">
      <c r="B59" s="279" t="s">
        <v>88</v>
      </c>
      <c r="C59" s="245">
        <f>SUM(C36:C58)</f>
        <v>1303.3599999999999</v>
      </c>
      <c r="D59" s="246"/>
      <c r="E59" s="245">
        <f>SUM(E36:E58)</f>
        <v>117670.29109999999</v>
      </c>
    </row>
  </sheetData>
  <mergeCells count="25">
    <mergeCell ref="AR5:AS6"/>
    <mergeCell ref="O5:P5"/>
    <mergeCell ref="R5:S5"/>
    <mergeCell ref="X5:AA5"/>
    <mergeCell ref="AB5:AB6"/>
    <mergeCell ref="AC5:AC6"/>
    <mergeCell ref="AD5:AD6"/>
    <mergeCell ref="AH5:AI6"/>
    <mergeCell ref="AJ5:AK6"/>
    <mergeCell ref="AL5:AM6"/>
    <mergeCell ref="AN5:AO6"/>
    <mergeCell ref="AP5:AQ6"/>
    <mergeCell ref="AE5:AE7"/>
    <mergeCell ref="AF5:AF7"/>
    <mergeCell ref="AG5:AG7"/>
    <mergeCell ref="A3:B3"/>
    <mergeCell ref="C3:E3"/>
    <mergeCell ref="N5:N6"/>
    <mergeCell ref="A5:A7"/>
    <mergeCell ref="B5:B7"/>
    <mergeCell ref="E5:E7"/>
    <mergeCell ref="L5:L6"/>
    <mergeCell ref="M5:M6"/>
    <mergeCell ref="C5:C7"/>
    <mergeCell ref="D5:D7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48"/>
  <sheetViews>
    <sheetView zoomScale="85" zoomScaleNormal="85" workbookViewId="0">
      <pane xSplit="5" ySplit="6" topLeftCell="AE7" activePane="bottomRight" state="frozen"/>
      <selection activeCell="D37" sqref="D37"/>
      <selection pane="topRight" activeCell="D37" sqref="D37"/>
      <selection pane="bottomLeft" activeCell="D37" sqref="D37"/>
      <selection pane="bottomRight" activeCell="AM18" sqref="AM18"/>
    </sheetView>
  </sheetViews>
  <sheetFormatPr defaultColWidth="9.140625" defaultRowHeight="18"/>
  <cols>
    <col min="1" max="1" width="9" style="7" customWidth="1"/>
    <col min="2" max="2" width="28.140625" style="6" customWidth="1"/>
    <col min="3" max="3" width="19.28515625" style="6" customWidth="1"/>
    <col min="4" max="4" width="10.7109375" style="6" customWidth="1"/>
    <col min="5" max="5" width="27.42578125" style="3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1" width="12.140625" style="1" customWidth="1"/>
    <col min="12" max="12" width="13.7109375" style="1" customWidth="1"/>
    <col min="13" max="13" width="13.5703125" style="1" customWidth="1"/>
    <col min="14" max="14" width="11.140625" style="1" customWidth="1"/>
    <col min="15" max="16" width="11.140625" style="1" hidden="1" customWidth="1"/>
    <col min="17" max="17" width="11.140625" style="1" customWidth="1"/>
    <col min="18" max="20" width="11.140625" style="1" hidden="1" customWidth="1"/>
    <col min="21" max="21" width="11.140625" style="1" customWidth="1"/>
    <col min="22" max="23" width="11.140625" style="1" hidden="1" customWidth="1"/>
    <col min="24" max="25" width="11.140625" style="1" customWidth="1"/>
    <col min="26" max="27" width="10.5703125" style="1" bestFit="1" customWidth="1"/>
    <col min="28" max="30" width="11.140625" style="1" customWidth="1"/>
    <col min="31" max="31" width="13" style="1" customWidth="1"/>
    <col min="32" max="32" width="13.85546875" style="1" hidden="1" customWidth="1"/>
    <col min="33" max="33" width="19.7109375" style="1" hidden="1" customWidth="1"/>
    <col min="34" max="45" width="11.28515625" style="1" customWidth="1"/>
    <col min="46" max="46" width="32.7109375" style="1" bestFit="1" customWidth="1"/>
    <col min="47" max="48" width="10.5703125" style="1" bestFit="1" customWidth="1"/>
    <col min="49" max="49" width="9.140625" style="1"/>
    <col min="50" max="50" width="9.5703125" style="1" bestFit="1" customWidth="1"/>
    <col min="51" max="16384" width="9.140625" style="1"/>
  </cols>
  <sheetData>
    <row r="2" spans="1:50" s="4" customFormat="1" ht="41.25" customHeight="1">
      <c r="A2" s="359" t="s">
        <v>24</v>
      </c>
      <c r="B2" s="359"/>
      <c r="C2" s="371">
        <f>TOTAL!D3</f>
        <v>46153</v>
      </c>
      <c r="D2" s="371"/>
      <c r="E2" s="371"/>
      <c r="F2" s="96"/>
      <c r="G2" s="96"/>
      <c r="H2" s="96"/>
      <c r="I2" s="96"/>
      <c r="J2" s="96"/>
      <c r="K2" s="96"/>
      <c r="N2" s="254" t="s">
        <v>40</v>
      </c>
      <c r="O2" s="254"/>
      <c r="P2" s="254"/>
      <c r="Q2" s="254"/>
    </row>
    <row r="3" spans="1:50" s="4" customFormat="1" ht="15.75" customHeight="1">
      <c r="A3" s="46"/>
      <c r="B3" s="46"/>
      <c r="C3" s="121"/>
      <c r="D3" s="121"/>
      <c r="E3" s="121"/>
      <c r="F3" s="8"/>
      <c r="G3" s="8"/>
      <c r="H3" s="8"/>
      <c r="I3" s="8"/>
      <c r="J3" s="8"/>
      <c r="K3" s="8"/>
      <c r="O3" s="5"/>
      <c r="P3" s="5"/>
    </row>
    <row r="4" spans="1:50" s="2" customFormat="1" ht="31.5" customHeight="1">
      <c r="A4" s="334" t="s">
        <v>12</v>
      </c>
      <c r="B4" s="334" t="s">
        <v>13</v>
      </c>
      <c r="C4" s="334" t="s">
        <v>57</v>
      </c>
      <c r="D4" s="337" t="s">
        <v>101</v>
      </c>
      <c r="E4" s="323" t="s">
        <v>0</v>
      </c>
      <c r="F4" s="180" t="s">
        <v>21</v>
      </c>
      <c r="G4" s="181" t="s">
        <v>14</v>
      </c>
      <c r="H4" s="181" t="s">
        <v>71</v>
      </c>
      <c r="I4" s="181" t="s">
        <v>117</v>
      </c>
      <c r="J4" s="182" t="s">
        <v>14</v>
      </c>
      <c r="K4" s="182" t="s">
        <v>14</v>
      </c>
      <c r="L4" s="326" t="s">
        <v>2</v>
      </c>
      <c r="M4" s="327" t="s">
        <v>22</v>
      </c>
      <c r="N4" s="326" t="s">
        <v>3</v>
      </c>
      <c r="O4" s="320" t="s">
        <v>4</v>
      </c>
      <c r="P4" s="321"/>
      <c r="Q4" s="181" t="s">
        <v>5</v>
      </c>
      <c r="R4" s="320" t="s">
        <v>17</v>
      </c>
      <c r="S4" s="321"/>
      <c r="T4" s="229" t="s">
        <v>5</v>
      </c>
      <c r="U4" s="181" t="s">
        <v>5</v>
      </c>
      <c r="V4" s="181" t="s">
        <v>68</v>
      </c>
      <c r="W4" s="181" t="s">
        <v>56</v>
      </c>
      <c r="X4" s="356" t="s">
        <v>6</v>
      </c>
      <c r="Y4" s="356"/>
      <c r="Z4" s="356"/>
      <c r="AA4" s="356"/>
      <c r="AB4" s="327" t="s">
        <v>19</v>
      </c>
      <c r="AC4" s="327" t="s">
        <v>7</v>
      </c>
      <c r="AD4" s="327" t="s">
        <v>20</v>
      </c>
      <c r="AE4" s="387" t="s">
        <v>115</v>
      </c>
      <c r="AF4" s="387" t="s">
        <v>113</v>
      </c>
      <c r="AG4" s="387" t="s">
        <v>114</v>
      </c>
      <c r="AH4" s="361" t="s">
        <v>28</v>
      </c>
      <c r="AI4" s="361"/>
      <c r="AJ4" s="310" t="s">
        <v>29</v>
      </c>
      <c r="AK4" s="311"/>
      <c r="AL4" s="310" t="s">
        <v>25</v>
      </c>
      <c r="AM4" s="311"/>
      <c r="AN4" s="310" t="s">
        <v>26</v>
      </c>
      <c r="AO4" s="311"/>
      <c r="AP4" s="310" t="s">
        <v>27</v>
      </c>
      <c r="AQ4" s="311"/>
      <c r="AR4" s="310" t="s">
        <v>41</v>
      </c>
      <c r="AS4" s="311"/>
      <c r="AT4" s="50"/>
    </row>
    <row r="5" spans="1:50" s="2" customFormat="1" ht="21" customHeight="1">
      <c r="A5" s="335"/>
      <c r="B5" s="335"/>
      <c r="C5" s="335"/>
      <c r="D5" s="338"/>
      <c r="E5" s="324"/>
      <c r="F5" s="182">
        <v>208</v>
      </c>
      <c r="G5" s="182">
        <v>38</v>
      </c>
      <c r="H5" s="182">
        <v>200</v>
      </c>
      <c r="I5" s="182">
        <v>200</v>
      </c>
      <c r="J5" s="182">
        <v>135</v>
      </c>
      <c r="K5" s="182">
        <v>215</v>
      </c>
      <c r="L5" s="326"/>
      <c r="M5" s="328"/>
      <c r="N5" s="326"/>
      <c r="O5" s="180">
        <v>2.4</v>
      </c>
      <c r="P5" s="180">
        <v>3.6</v>
      </c>
      <c r="Q5" s="180">
        <v>3.6</v>
      </c>
      <c r="R5" s="181">
        <v>2.4</v>
      </c>
      <c r="S5" s="181">
        <v>3.6</v>
      </c>
      <c r="T5" s="181">
        <v>4.9000000000000004</v>
      </c>
      <c r="U5" s="180">
        <v>2.4</v>
      </c>
      <c r="V5" s="180">
        <v>2.4</v>
      </c>
      <c r="W5" s="180"/>
      <c r="X5" s="182">
        <v>5</v>
      </c>
      <c r="Y5" s="182">
        <v>10</v>
      </c>
      <c r="Z5" s="253" t="s">
        <v>96</v>
      </c>
      <c r="AA5" s="182">
        <v>40</v>
      </c>
      <c r="AB5" s="328"/>
      <c r="AC5" s="328"/>
      <c r="AD5" s="328"/>
      <c r="AE5" s="388"/>
      <c r="AF5" s="388"/>
      <c r="AG5" s="388"/>
      <c r="AH5" s="361"/>
      <c r="AI5" s="361"/>
      <c r="AJ5" s="312"/>
      <c r="AK5" s="313"/>
      <c r="AL5" s="312"/>
      <c r="AM5" s="313"/>
      <c r="AN5" s="312"/>
      <c r="AO5" s="313"/>
      <c r="AP5" s="312"/>
      <c r="AQ5" s="313"/>
      <c r="AR5" s="312"/>
      <c r="AS5" s="313"/>
      <c r="AT5" s="50"/>
    </row>
    <row r="6" spans="1:50" s="2" customFormat="1" ht="24" customHeight="1">
      <c r="A6" s="336"/>
      <c r="B6" s="336"/>
      <c r="C6" s="336"/>
      <c r="D6" s="339"/>
      <c r="E6" s="325"/>
      <c r="F6" s="182" t="s">
        <v>8</v>
      </c>
      <c r="G6" s="182" t="s">
        <v>8</v>
      </c>
      <c r="H6" s="182" t="s">
        <v>8</v>
      </c>
      <c r="I6" s="182" t="s">
        <v>8</v>
      </c>
      <c r="J6" s="182" t="s">
        <v>8</v>
      </c>
      <c r="K6" s="182" t="s">
        <v>8</v>
      </c>
      <c r="L6" s="182" t="s">
        <v>9</v>
      </c>
      <c r="M6" s="182" t="s">
        <v>23</v>
      </c>
      <c r="N6" s="182" t="s">
        <v>8</v>
      </c>
      <c r="O6" s="182" t="s">
        <v>8</v>
      </c>
      <c r="P6" s="182" t="s">
        <v>8</v>
      </c>
      <c r="Q6" s="182" t="s">
        <v>8</v>
      </c>
      <c r="R6" s="182" t="s">
        <v>8</v>
      </c>
      <c r="S6" s="182" t="s">
        <v>8</v>
      </c>
      <c r="T6" s="182" t="s">
        <v>8</v>
      </c>
      <c r="U6" s="182" t="s">
        <v>8</v>
      </c>
      <c r="V6" s="182" t="s">
        <v>8</v>
      </c>
      <c r="W6" s="182" t="s">
        <v>8</v>
      </c>
      <c r="X6" s="182" t="s">
        <v>10</v>
      </c>
      <c r="Y6" s="182" t="s">
        <v>10</v>
      </c>
      <c r="Z6" s="182" t="s">
        <v>10</v>
      </c>
      <c r="AA6" s="182" t="s">
        <v>10</v>
      </c>
      <c r="AB6" s="182" t="s">
        <v>8</v>
      </c>
      <c r="AC6" s="182" t="s">
        <v>8</v>
      </c>
      <c r="AD6" s="182" t="s">
        <v>8</v>
      </c>
      <c r="AE6" s="389"/>
      <c r="AF6" s="389"/>
      <c r="AG6" s="389"/>
      <c r="AH6" s="131" t="s">
        <v>30</v>
      </c>
      <c r="AI6" s="131" t="s">
        <v>31</v>
      </c>
      <c r="AJ6" s="131" t="s">
        <v>30</v>
      </c>
      <c r="AK6" s="131" t="s">
        <v>31</v>
      </c>
      <c r="AL6" s="131" t="s">
        <v>30</v>
      </c>
      <c r="AM6" s="131" t="s">
        <v>31</v>
      </c>
      <c r="AN6" s="131" t="s">
        <v>30</v>
      </c>
      <c r="AO6" s="131" t="s">
        <v>31</v>
      </c>
      <c r="AP6" s="131" t="s">
        <v>30</v>
      </c>
      <c r="AQ6" s="131" t="s">
        <v>31</v>
      </c>
      <c r="AR6" s="131" t="s">
        <v>30</v>
      </c>
      <c r="AS6" s="131" t="s">
        <v>31</v>
      </c>
      <c r="AT6" s="50"/>
    </row>
    <row r="7" spans="1:50" s="28" customFormat="1" ht="23.1" customHeight="1">
      <c r="A7" s="25">
        <v>1</v>
      </c>
      <c r="B7" s="26" t="s">
        <v>118</v>
      </c>
      <c r="C7" s="26"/>
      <c r="D7" s="26"/>
      <c r="E7" s="27"/>
      <c r="F7" s="20"/>
      <c r="G7" s="20"/>
      <c r="H7" s="20"/>
      <c r="I7" s="20"/>
      <c r="J7" s="20"/>
      <c r="K7" s="20"/>
      <c r="L7" s="20"/>
      <c r="M7" s="21">
        <f t="shared" ref="M7" si="0">N7*2.43</f>
        <v>0</v>
      </c>
      <c r="N7" s="20"/>
      <c r="O7" s="67"/>
      <c r="P7" s="67"/>
      <c r="Q7" s="67"/>
      <c r="R7" s="67"/>
      <c r="S7" s="67"/>
      <c r="T7" s="67"/>
      <c r="U7" s="67"/>
      <c r="V7" s="67"/>
      <c r="W7" s="67"/>
      <c r="X7" s="20"/>
      <c r="Y7" s="20"/>
      <c r="Z7" s="20"/>
      <c r="AA7" s="20"/>
      <c r="AB7" s="20"/>
      <c r="AC7" s="20"/>
      <c r="AD7" s="20"/>
      <c r="AE7" s="220">
        <f t="shared" ref="AE7" si="1">O7+P7+Q7+R7+S7+T7+U7+V7</f>
        <v>0</v>
      </c>
      <c r="AF7" s="220"/>
      <c r="AG7" s="220"/>
      <c r="AH7" s="196"/>
      <c r="AI7" s="212"/>
      <c r="AJ7" s="213"/>
      <c r="AK7" s="212"/>
      <c r="AL7" s="214"/>
      <c r="AM7" s="212"/>
      <c r="AN7" s="215"/>
      <c r="AO7" s="212"/>
      <c r="AP7" s="216"/>
      <c r="AQ7" s="212"/>
      <c r="AR7" s="217"/>
      <c r="AS7" s="212"/>
      <c r="AX7" s="268">
        <f t="shared" ref="AX7:AX14" si="2">COUNTIFS(AE7,"&gt;=11")</f>
        <v>0</v>
      </c>
    </row>
    <row r="8" spans="1:50" s="28" customFormat="1" ht="23.1" customHeight="1">
      <c r="A8" s="29" t="s">
        <v>11</v>
      </c>
      <c r="B8" s="30"/>
      <c r="C8" s="30"/>
      <c r="D8" s="30"/>
      <c r="E8" s="30"/>
      <c r="F8" s="24">
        <f t="shared" ref="F8:AD8" si="3">SUM(F7:F7)</f>
        <v>0</v>
      </c>
      <c r="G8" s="24">
        <f t="shared" si="3"/>
        <v>0</v>
      </c>
      <c r="H8" s="24">
        <f t="shared" si="3"/>
        <v>0</v>
      </c>
      <c r="I8" s="24">
        <f t="shared" si="3"/>
        <v>0</v>
      </c>
      <c r="J8" s="24">
        <f t="shared" si="3"/>
        <v>0</v>
      </c>
      <c r="K8" s="24">
        <f t="shared" si="3"/>
        <v>0</v>
      </c>
      <c r="L8" s="24">
        <f t="shared" si="3"/>
        <v>0</v>
      </c>
      <c r="M8" s="24">
        <f t="shared" si="3"/>
        <v>0</v>
      </c>
      <c r="N8" s="24">
        <f t="shared" si="3"/>
        <v>0</v>
      </c>
      <c r="O8" s="24">
        <f t="shared" si="3"/>
        <v>0</v>
      </c>
      <c r="P8" s="24">
        <f t="shared" si="3"/>
        <v>0</v>
      </c>
      <c r="Q8" s="24">
        <f t="shared" si="3"/>
        <v>0</v>
      </c>
      <c r="R8" s="24">
        <f t="shared" si="3"/>
        <v>0</v>
      </c>
      <c r="S8" s="24">
        <f t="shared" si="3"/>
        <v>0</v>
      </c>
      <c r="T8" s="24">
        <f t="shared" si="3"/>
        <v>0</v>
      </c>
      <c r="U8" s="24">
        <f t="shared" si="3"/>
        <v>0</v>
      </c>
      <c r="V8" s="24">
        <f t="shared" si="3"/>
        <v>0</v>
      </c>
      <c r="W8" s="24">
        <f t="shared" si="3"/>
        <v>0</v>
      </c>
      <c r="X8" s="24">
        <f t="shared" si="3"/>
        <v>0</v>
      </c>
      <c r="Y8" s="24">
        <f t="shared" si="3"/>
        <v>0</v>
      </c>
      <c r="Z8" s="24">
        <f t="shared" si="3"/>
        <v>0</v>
      </c>
      <c r="AA8" s="24">
        <f t="shared" si="3"/>
        <v>0</v>
      </c>
      <c r="AB8" s="24">
        <f t="shared" si="3"/>
        <v>0</v>
      </c>
      <c r="AC8" s="24">
        <f t="shared" si="3"/>
        <v>0</v>
      </c>
      <c r="AD8" s="24">
        <f t="shared" si="3"/>
        <v>0</v>
      </c>
      <c r="AE8" s="41"/>
      <c r="AF8" s="41"/>
      <c r="AG8" s="41"/>
      <c r="AH8" s="30">
        <f t="shared" ref="AH8:AS8" si="4">SUM(AH7:AH7)</f>
        <v>0</v>
      </c>
      <c r="AI8" s="30">
        <f t="shared" si="4"/>
        <v>0</v>
      </c>
      <c r="AJ8" s="30">
        <f t="shared" si="4"/>
        <v>0</v>
      </c>
      <c r="AK8" s="30">
        <f t="shared" si="4"/>
        <v>0</v>
      </c>
      <c r="AL8" s="30">
        <f t="shared" si="4"/>
        <v>0</v>
      </c>
      <c r="AM8" s="30">
        <f t="shared" si="4"/>
        <v>0</v>
      </c>
      <c r="AN8" s="30">
        <f t="shared" si="4"/>
        <v>0</v>
      </c>
      <c r="AO8" s="30">
        <f t="shared" si="4"/>
        <v>0</v>
      </c>
      <c r="AP8" s="30">
        <f t="shared" si="4"/>
        <v>0</v>
      </c>
      <c r="AQ8" s="30">
        <f t="shared" si="4"/>
        <v>0</v>
      </c>
      <c r="AR8" s="30">
        <f t="shared" si="4"/>
        <v>0</v>
      </c>
      <c r="AS8" s="30">
        <f t="shared" si="4"/>
        <v>0</v>
      </c>
      <c r="AX8" s="268">
        <f t="shared" si="2"/>
        <v>0</v>
      </c>
    </row>
    <row r="9" spans="1:50" s="28" customFormat="1" ht="23.1" customHeight="1">
      <c r="A9" s="25">
        <v>2</v>
      </c>
      <c r="B9" s="26" t="s">
        <v>149</v>
      </c>
      <c r="C9" s="26" t="s">
        <v>148</v>
      </c>
      <c r="D9" s="26">
        <v>5</v>
      </c>
      <c r="E9" s="27" t="s">
        <v>147</v>
      </c>
      <c r="F9" s="20"/>
      <c r="G9" s="20"/>
      <c r="H9" s="20"/>
      <c r="I9" s="20"/>
      <c r="J9" s="20"/>
      <c r="K9" s="20">
        <v>24</v>
      </c>
      <c r="L9" s="20">
        <v>19.2</v>
      </c>
      <c r="M9" s="21">
        <f>N9*2.43</f>
        <v>4.8600000000000003</v>
      </c>
      <c r="N9" s="20">
        <v>2</v>
      </c>
      <c r="O9" s="67"/>
      <c r="P9" s="67"/>
      <c r="Q9" s="67">
        <v>2</v>
      </c>
      <c r="R9" s="67"/>
      <c r="S9" s="67"/>
      <c r="T9" s="67"/>
      <c r="U9" s="67">
        <v>22</v>
      </c>
      <c r="V9" s="67"/>
      <c r="W9" s="67"/>
      <c r="X9" s="20">
        <v>12</v>
      </c>
      <c r="Y9" s="20"/>
      <c r="Z9" s="20"/>
      <c r="AA9" s="20"/>
      <c r="AB9" s="20"/>
      <c r="AC9" s="20"/>
      <c r="AD9" s="20"/>
      <c r="AE9" s="220">
        <f t="shared" ref="AE9" si="5">O9+P9+Q9+R9+S9+T9+U9+V9</f>
        <v>24</v>
      </c>
      <c r="AF9" s="220"/>
      <c r="AG9" s="220"/>
      <c r="AH9" s="196">
        <v>1</v>
      </c>
      <c r="AI9" s="212"/>
      <c r="AJ9" s="213"/>
      <c r="AK9" s="212"/>
      <c r="AL9" s="214"/>
      <c r="AM9" s="212"/>
      <c r="AN9" s="215"/>
      <c r="AO9" s="212"/>
      <c r="AP9" s="216"/>
      <c r="AQ9" s="212"/>
      <c r="AR9" s="217"/>
      <c r="AS9" s="212"/>
      <c r="AX9" s="268">
        <f t="shared" si="2"/>
        <v>1</v>
      </c>
    </row>
    <row r="10" spans="1:50" s="28" customFormat="1" ht="23.1" customHeight="1">
      <c r="A10" s="25">
        <v>2</v>
      </c>
      <c r="B10" s="27" t="s">
        <v>151</v>
      </c>
      <c r="C10" s="27" t="s">
        <v>148</v>
      </c>
      <c r="D10" s="27">
        <v>5</v>
      </c>
      <c r="E10" s="27" t="s">
        <v>150</v>
      </c>
      <c r="F10" s="21"/>
      <c r="G10" s="21"/>
      <c r="H10" s="21"/>
      <c r="I10" s="21"/>
      <c r="J10" s="21"/>
      <c r="K10" s="21">
        <v>16</v>
      </c>
      <c r="L10" s="21">
        <v>12.8</v>
      </c>
      <c r="M10" s="21">
        <f t="shared" ref="M10" si="6">N10*2.43</f>
        <v>0</v>
      </c>
      <c r="N10" s="21"/>
      <c r="O10" s="68"/>
      <c r="P10" s="67"/>
      <c r="Q10" s="67">
        <v>2</v>
      </c>
      <c r="R10" s="67"/>
      <c r="S10" s="67"/>
      <c r="T10" s="67"/>
      <c r="U10" s="67">
        <v>14</v>
      </c>
      <c r="V10" s="67"/>
      <c r="W10" s="67"/>
      <c r="X10" s="21">
        <v>8</v>
      </c>
      <c r="Y10" s="21"/>
      <c r="Z10" s="21"/>
      <c r="AA10" s="21"/>
      <c r="AB10" s="21"/>
      <c r="AC10" s="21">
        <v>2</v>
      </c>
      <c r="AD10" s="21"/>
      <c r="AE10" s="220">
        <f t="shared" ref="AE10" si="7">O10+P10+Q10+R10+S10+T10+U10+V10</f>
        <v>16</v>
      </c>
      <c r="AF10" s="220"/>
      <c r="AG10" s="220"/>
      <c r="AH10" s="196"/>
      <c r="AI10" s="212"/>
      <c r="AJ10" s="213">
        <v>1</v>
      </c>
      <c r="AK10" s="212"/>
      <c r="AL10" s="214"/>
      <c r="AM10" s="212"/>
      <c r="AN10" s="215"/>
      <c r="AO10" s="212"/>
      <c r="AP10" s="216"/>
      <c r="AQ10" s="212"/>
      <c r="AR10" s="217"/>
      <c r="AS10" s="212"/>
      <c r="AX10" s="268">
        <f t="shared" si="2"/>
        <v>1</v>
      </c>
    </row>
    <row r="11" spans="1:50" s="28" customFormat="1" ht="23.1" customHeight="1">
      <c r="A11" s="29" t="s">
        <v>11</v>
      </c>
      <c r="B11" s="30"/>
      <c r="C11" s="30"/>
      <c r="D11" s="30"/>
      <c r="E11" s="30"/>
      <c r="F11" s="24">
        <f t="shared" ref="F11:AD11" si="8">SUM(F9:F10)</f>
        <v>0</v>
      </c>
      <c r="G11" s="24">
        <f t="shared" si="8"/>
        <v>0</v>
      </c>
      <c r="H11" s="24">
        <f t="shared" si="8"/>
        <v>0</v>
      </c>
      <c r="I11" s="24">
        <f t="shared" si="8"/>
        <v>0</v>
      </c>
      <c r="J11" s="24">
        <f t="shared" si="8"/>
        <v>0</v>
      </c>
      <c r="K11" s="24">
        <f t="shared" si="8"/>
        <v>40</v>
      </c>
      <c r="L11" s="24">
        <f t="shared" si="8"/>
        <v>32</v>
      </c>
      <c r="M11" s="107">
        <f t="shared" si="8"/>
        <v>4.8600000000000003</v>
      </c>
      <c r="N11" s="24">
        <f t="shared" si="8"/>
        <v>2</v>
      </c>
      <c r="O11" s="24">
        <f t="shared" si="8"/>
        <v>0</v>
      </c>
      <c r="P11" s="24">
        <f t="shared" si="8"/>
        <v>0</v>
      </c>
      <c r="Q11" s="24">
        <f t="shared" si="8"/>
        <v>4</v>
      </c>
      <c r="R11" s="24">
        <f t="shared" si="8"/>
        <v>0</v>
      </c>
      <c r="S11" s="24">
        <f t="shared" si="8"/>
        <v>0</v>
      </c>
      <c r="T11" s="24">
        <f t="shared" si="8"/>
        <v>0</v>
      </c>
      <c r="U11" s="24">
        <f t="shared" si="8"/>
        <v>36</v>
      </c>
      <c r="V11" s="24">
        <f t="shared" si="8"/>
        <v>0</v>
      </c>
      <c r="W11" s="24">
        <f t="shared" si="8"/>
        <v>0</v>
      </c>
      <c r="X11" s="24">
        <f t="shared" si="8"/>
        <v>20</v>
      </c>
      <c r="Y11" s="24">
        <f t="shared" si="8"/>
        <v>0</v>
      </c>
      <c r="Z11" s="24">
        <f t="shared" si="8"/>
        <v>0</v>
      </c>
      <c r="AA11" s="24">
        <f t="shared" si="8"/>
        <v>0</v>
      </c>
      <c r="AB11" s="24">
        <f t="shared" si="8"/>
        <v>0</v>
      </c>
      <c r="AC11" s="24">
        <f t="shared" si="8"/>
        <v>2</v>
      </c>
      <c r="AD11" s="24">
        <f t="shared" si="8"/>
        <v>0</v>
      </c>
      <c r="AE11" s="41"/>
      <c r="AF11" s="41"/>
      <c r="AG11" s="41"/>
      <c r="AH11" s="30">
        <f t="shared" ref="AH11:AS11" si="9">SUM(AH9:AH10)</f>
        <v>1</v>
      </c>
      <c r="AI11" s="30">
        <f t="shared" si="9"/>
        <v>0</v>
      </c>
      <c r="AJ11" s="30">
        <f t="shared" si="9"/>
        <v>1</v>
      </c>
      <c r="AK11" s="30">
        <f t="shared" si="9"/>
        <v>0</v>
      </c>
      <c r="AL11" s="30">
        <f t="shared" si="9"/>
        <v>0</v>
      </c>
      <c r="AM11" s="30">
        <f t="shared" si="9"/>
        <v>0</v>
      </c>
      <c r="AN11" s="30">
        <f t="shared" si="9"/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X11" s="268">
        <f t="shared" si="2"/>
        <v>0</v>
      </c>
    </row>
    <row r="12" spans="1:50" s="28" customFormat="1" ht="23.1" customHeight="1">
      <c r="A12" s="25">
        <v>3</v>
      </c>
      <c r="B12" s="27" t="s">
        <v>149</v>
      </c>
      <c r="C12" s="27" t="s">
        <v>153</v>
      </c>
      <c r="D12" s="27">
        <v>5</v>
      </c>
      <c r="E12" s="27" t="s">
        <v>152</v>
      </c>
      <c r="F12" s="21"/>
      <c r="G12" s="21"/>
      <c r="H12" s="21"/>
      <c r="I12" s="21"/>
      <c r="J12" s="21"/>
      <c r="K12" s="21">
        <v>18</v>
      </c>
      <c r="L12" s="21">
        <v>14.4</v>
      </c>
      <c r="M12" s="21">
        <f t="shared" ref="M12:M14" si="10">N12*2.43</f>
        <v>4.8600000000000003</v>
      </c>
      <c r="N12" s="21">
        <v>2</v>
      </c>
      <c r="O12" s="67"/>
      <c r="P12" s="67"/>
      <c r="Q12" s="67"/>
      <c r="R12" s="67"/>
      <c r="S12" s="67"/>
      <c r="T12" s="67"/>
      <c r="U12" s="67">
        <v>18</v>
      </c>
      <c r="V12" s="67"/>
      <c r="W12" s="67"/>
      <c r="X12" s="21">
        <v>12</v>
      </c>
      <c r="Y12" s="21"/>
      <c r="Z12" s="21"/>
      <c r="AA12" s="21"/>
      <c r="AB12" s="21"/>
      <c r="AC12" s="21"/>
      <c r="AD12" s="21"/>
      <c r="AE12" s="220">
        <f t="shared" ref="AE12:AE14" si="11">O12+P12+Q12+R12+S12+T12+U12+V12</f>
        <v>18</v>
      </c>
      <c r="AF12" s="220"/>
      <c r="AG12" s="220"/>
      <c r="AH12" s="196"/>
      <c r="AI12" s="212"/>
      <c r="AJ12" s="213">
        <v>1</v>
      </c>
      <c r="AK12" s="212"/>
      <c r="AL12" s="214"/>
      <c r="AM12" s="212"/>
      <c r="AN12" s="215"/>
      <c r="AO12" s="212"/>
      <c r="AP12" s="216"/>
      <c r="AQ12" s="212"/>
      <c r="AR12" s="217"/>
      <c r="AS12" s="212"/>
      <c r="AX12" s="268">
        <f t="shared" si="2"/>
        <v>1</v>
      </c>
    </row>
    <row r="13" spans="1:50" s="28" customFormat="1" ht="23.1" customHeight="1">
      <c r="A13" s="25">
        <v>3</v>
      </c>
      <c r="B13" s="27" t="s">
        <v>149</v>
      </c>
      <c r="C13" s="27" t="s">
        <v>154</v>
      </c>
      <c r="D13" s="27">
        <v>5</v>
      </c>
      <c r="E13" s="27" t="s">
        <v>147</v>
      </c>
      <c r="F13" s="21"/>
      <c r="G13" s="21"/>
      <c r="H13" s="21"/>
      <c r="I13" s="21"/>
      <c r="J13" s="21"/>
      <c r="K13" s="21">
        <v>29</v>
      </c>
      <c r="L13" s="21">
        <v>23.2</v>
      </c>
      <c r="M13" s="21">
        <f t="shared" si="10"/>
        <v>4.8600000000000003</v>
      </c>
      <c r="N13" s="21">
        <v>2</v>
      </c>
      <c r="O13" s="67"/>
      <c r="P13" s="67"/>
      <c r="Q13" s="67">
        <v>2</v>
      </c>
      <c r="R13" s="67"/>
      <c r="S13" s="67"/>
      <c r="T13" s="67"/>
      <c r="U13" s="67">
        <v>27</v>
      </c>
      <c r="V13" s="67"/>
      <c r="W13" s="67"/>
      <c r="X13" s="21">
        <v>12</v>
      </c>
      <c r="Y13" s="21"/>
      <c r="Z13" s="21"/>
      <c r="AA13" s="21"/>
      <c r="AB13" s="21"/>
      <c r="AC13" s="21"/>
      <c r="AD13" s="21"/>
      <c r="AE13" s="220">
        <f t="shared" si="11"/>
        <v>29</v>
      </c>
      <c r="AF13" s="220"/>
      <c r="AG13" s="220"/>
      <c r="AH13" s="196">
        <v>1</v>
      </c>
      <c r="AI13" s="212"/>
      <c r="AJ13" s="213"/>
      <c r="AK13" s="212"/>
      <c r="AL13" s="214"/>
      <c r="AM13" s="212"/>
      <c r="AN13" s="215"/>
      <c r="AO13" s="212"/>
      <c r="AP13" s="216"/>
      <c r="AQ13" s="212"/>
      <c r="AR13" s="217"/>
      <c r="AS13" s="212"/>
      <c r="AX13" s="268">
        <f t="shared" si="2"/>
        <v>1</v>
      </c>
    </row>
    <row r="14" spans="1:50" s="28" customFormat="1" ht="23.1" customHeight="1">
      <c r="A14" s="25">
        <v>3</v>
      </c>
      <c r="B14" s="27" t="s">
        <v>121</v>
      </c>
      <c r="C14" s="27" t="s">
        <v>154</v>
      </c>
      <c r="D14" s="27">
        <v>5</v>
      </c>
      <c r="E14" s="27" t="s">
        <v>155</v>
      </c>
      <c r="F14" s="21"/>
      <c r="G14" s="21"/>
      <c r="H14" s="21"/>
      <c r="I14" s="21"/>
      <c r="J14" s="21"/>
      <c r="K14" s="21">
        <v>156</v>
      </c>
      <c r="L14" s="21"/>
      <c r="M14" s="21">
        <f t="shared" si="10"/>
        <v>4.8600000000000003</v>
      </c>
      <c r="N14" s="21">
        <v>2</v>
      </c>
      <c r="O14" s="67"/>
      <c r="P14" s="67"/>
      <c r="Q14" s="67">
        <v>2</v>
      </c>
      <c r="R14" s="67"/>
      <c r="S14" s="67"/>
      <c r="T14" s="67"/>
      <c r="U14" s="67">
        <v>24</v>
      </c>
      <c r="V14" s="67"/>
      <c r="W14" s="67"/>
      <c r="X14" s="21">
        <v>8</v>
      </c>
      <c r="Y14" s="21"/>
      <c r="Z14" s="21"/>
      <c r="AA14" s="21"/>
      <c r="AB14" s="21"/>
      <c r="AC14" s="21"/>
      <c r="AD14" s="21"/>
      <c r="AE14" s="220">
        <f t="shared" si="11"/>
        <v>26</v>
      </c>
      <c r="AF14" s="220"/>
      <c r="AG14" s="220"/>
      <c r="AH14" s="196"/>
      <c r="AI14" s="212"/>
      <c r="AJ14" s="213"/>
      <c r="AK14" s="212"/>
      <c r="AL14" s="214">
        <v>1</v>
      </c>
      <c r="AM14" s="212"/>
      <c r="AN14" s="215"/>
      <c r="AO14" s="212"/>
      <c r="AP14" s="216"/>
      <c r="AQ14" s="212"/>
      <c r="AR14" s="217"/>
      <c r="AS14" s="212"/>
      <c r="AX14" s="268">
        <f t="shared" si="2"/>
        <v>1</v>
      </c>
    </row>
    <row r="15" spans="1:50" s="28" customFormat="1" ht="23.1" customHeight="1" thickBot="1">
      <c r="A15" s="29" t="s">
        <v>11</v>
      </c>
      <c r="B15" s="30"/>
      <c r="C15" s="30"/>
      <c r="D15" s="30"/>
      <c r="E15" s="30"/>
      <c r="F15" s="24">
        <f t="shared" ref="F15:AD15" si="12">SUM(F12:F14)</f>
        <v>0</v>
      </c>
      <c r="G15" s="24">
        <f t="shared" si="12"/>
        <v>0</v>
      </c>
      <c r="H15" s="24">
        <f t="shared" si="12"/>
        <v>0</v>
      </c>
      <c r="I15" s="24">
        <f t="shared" si="12"/>
        <v>0</v>
      </c>
      <c r="J15" s="24">
        <f t="shared" si="12"/>
        <v>0</v>
      </c>
      <c r="K15" s="24">
        <f t="shared" si="12"/>
        <v>203</v>
      </c>
      <c r="L15" s="24">
        <f t="shared" si="12"/>
        <v>37.6</v>
      </c>
      <c r="M15" s="24">
        <f t="shared" si="12"/>
        <v>14.580000000000002</v>
      </c>
      <c r="N15" s="24">
        <f t="shared" si="12"/>
        <v>6</v>
      </c>
      <c r="O15" s="24">
        <f t="shared" si="12"/>
        <v>0</v>
      </c>
      <c r="P15" s="24">
        <f t="shared" si="12"/>
        <v>0</v>
      </c>
      <c r="Q15" s="24">
        <f t="shared" si="12"/>
        <v>4</v>
      </c>
      <c r="R15" s="24">
        <f t="shared" si="12"/>
        <v>0</v>
      </c>
      <c r="S15" s="24">
        <f t="shared" si="12"/>
        <v>0</v>
      </c>
      <c r="T15" s="24">
        <f t="shared" si="12"/>
        <v>0</v>
      </c>
      <c r="U15" s="24">
        <f t="shared" si="12"/>
        <v>69</v>
      </c>
      <c r="V15" s="24">
        <f t="shared" si="12"/>
        <v>0</v>
      </c>
      <c r="W15" s="24">
        <f t="shared" si="12"/>
        <v>0</v>
      </c>
      <c r="X15" s="24">
        <f t="shared" si="12"/>
        <v>32</v>
      </c>
      <c r="Y15" s="24">
        <f t="shared" si="12"/>
        <v>0</v>
      </c>
      <c r="Z15" s="24">
        <f t="shared" si="12"/>
        <v>0</v>
      </c>
      <c r="AA15" s="24">
        <f t="shared" si="12"/>
        <v>0</v>
      </c>
      <c r="AB15" s="24">
        <f t="shared" si="12"/>
        <v>0</v>
      </c>
      <c r="AC15" s="24">
        <f t="shared" si="12"/>
        <v>0</v>
      </c>
      <c r="AD15" s="24">
        <f t="shared" si="12"/>
        <v>0</v>
      </c>
      <c r="AE15" s="41"/>
      <c r="AF15" s="41"/>
      <c r="AG15" s="41"/>
      <c r="AH15" s="30">
        <f t="shared" ref="AH15:AS15" si="13">SUM(AH12:AH14)</f>
        <v>1</v>
      </c>
      <c r="AI15" s="30">
        <f t="shared" si="13"/>
        <v>0</v>
      </c>
      <c r="AJ15" s="30">
        <f t="shared" si="13"/>
        <v>1</v>
      </c>
      <c r="AK15" s="30">
        <f t="shared" si="13"/>
        <v>0</v>
      </c>
      <c r="AL15" s="30">
        <f t="shared" si="13"/>
        <v>1</v>
      </c>
      <c r="AM15" s="30">
        <f t="shared" si="13"/>
        <v>0</v>
      </c>
      <c r="AN15" s="30">
        <f t="shared" si="13"/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219" t="s">
        <v>32</v>
      </c>
      <c r="AU15" s="34" t="s">
        <v>30</v>
      </c>
      <c r="AV15" s="35" t="s">
        <v>31</v>
      </c>
    </row>
    <row r="16" spans="1:50" s="28" customFormat="1" ht="30" customHeight="1">
      <c r="B16" s="149"/>
      <c r="C16" s="149"/>
      <c r="D16" s="149"/>
      <c r="E16" s="149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1"/>
      <c r="AF16" s="151"/>
      <c r="AG16" s="151"/>
      <c r="AT16" s="154" t="s">
        <v>33</v>
      </c>
      <c r="AU16" s="37">
        <f>AL17</f>
        <v>1</v>
      </c>
      <c r="AV16" s="38">
        <f>AM17</f>
        <v>0</v>
      </c>
    </row>
    <row r="17" spans="1:48" s="28" customFormat="1" ht="30" customHeight="1">
      <c r="A17" s="184" t="s">
        <v>15</v>
      </c>
      <c r="B17" s="183"/>
      <c r="C17" s="183"/>
      <c r="D17" s="183"/>
      <c r="E17" s="183"/>
      <c r="F17" s="185">
        <f t="shared" ref="F17:AD17" si="14">F15+F11+F8</f>
        <v>0</v>
      </c>
      <c r="G17" s="185">
        <f t="shared" si="14"/>
        <v>0</v>
      </c>
      <c r="H17" s="185">
        <f t="shared" si="14"/>
        <v>0</v>
      </c>
      <c r="I17" s="185">
        <f t="shared" si="14"/>
        <v>0</v>
      </c>
      <c r="J17" s="185">
        <f t="shared" si="14"/>
        <v>0</v>
      </c>
      <c r="K17" s="185">
        <f t="shared" si="14"/>
        <v>243</v>
      </c>
      <c r="L17" s="185">
        <f t="shared" si="14"/>
        <v>69.599999999999994</v>
      </c>
      <c r="M17" s="187">
        <f t="shared" si="14"/>
        <v>19.440000000000001</v>
      </c>
      <c r="N17" s="188">
        <f t="shared" si="14"/>
        <v>8</v>
      </c>
      <c r="O17" s="185">
        <f t="shared" si="14"/>
        <v>0</v>
      </c>
      <c r="P17" s="185">
        <f t="shared" si="14"/>
        <v>0</v>
      </c>
      <c r="Q17" s="185">
        <f t="shared" si="14"/>
        <v>8</v>
      </c>
      <c r="R17" s="185">
        <f t="shared" si="14"/>
        <v>0</v>
      </c>
      <c r="S17" s="185">
        <f t="shared" si="14"/>
        <v>0</v>
      </c>
      <c r="T17" s="185">
        <f t="shared" si="14"/>
        <v>0</v>
      </c>
      <c r="U17" s="185">
        <f t="shared" si="14"/>
        <v>105</v>
      </c>
      <c r="V17" s="185">
        <f t="shared" si="14"/>
        <v>0</v>
      </c>
      <c r="W17" s="185">
        <f t="shared" si="14"/>
        <v>0</v>
      </c>
      <c r="X17" s="185">
        <f t="shared" si="14"/>
        <v>52</v>
      </c>
      <c r="Y17" s="185">
        <f t="shared" si="14"/>
        <v>0</v>
      </c>
      <c r="Z17" s="185">
        <f t="shared" si="14"/>
        <v>0</v>
      </c>
      <c r="AA17" s="185">
        <f t="shared" si="14"/>
        <v>0</v>
      </c>
      <c r="AB17" s="185">
        <f t="shared" si="14"/>
        <v>0</v>
      </c>
      <c r="AC17" s="185">
        <f t="shared" si="14"/>
        <v>2</v>
      </c>
      <c r="AD17" s="185">
        <f t="shared" si="14"/>
        <v>0</v>
      </c>
      <c r="AE17" s="151"/>
      <c r="AF17" s="151"/>
      <c r="AG17" s="151"/>
      <c r="AH17" s="189">
        <f t="shared" ref="AH17:AS17" si="15">AH15+AH11+AH8</f>
        <v>2</v>
      </c>
      <c r="AI17" s="189">
        <f t="shared" si="15"/>
        <v>0</v>
      </c>
      <c r="AJ17" s="189">
        <f t="shared" si="15"/>
        <v>2</v>
      </c>
      <c r="AK17" s="189">
        <f t="shared" si="15"/>
        <v>0</v>
      </c>
      <c r="AL17" s="189">
        <f t="shared" si="15"/>
        <v>1</v>
      </c>
      <c r="AM17" s="189">
        <f t="shared" si="15"/>
        <v>0</v>
      </c>
      <c r="AN17" s="189">
        <f t="shared" si="15"/>
        <v>0</v>
      </c>
      <c r="AO17" s="189">
        <f t="shared" si="15"/>
        <v>0</v>
      </c>
      <c r="AP17" s="189">
        <f t="shared" si="15"/>
        <v>0</v>
      </c>
      <c r="AQ17" s="189">
        <f t="shared" si="15"/>
        <v>0</v>
      </c>
      <c r="AR17" s="189">
        <f t="shared" si="15"/>
        <v>0</v>
      </c>
      <c r="AS17" s="189">
        <f t="shared" si="15"/>
        <v>0</v>
      </c>
      <c r="AT17" s="54" t="s">
        <v>26</v>
      </c>
      <c r="AU17" s="44">
        <f>AN17</f>
        <v>0</v>
      </c>
      <c r="AV17" s="45">
        <f>AO17</f>
        <v>0</v>
      </c>
    </row>
    <row r="18" spans="1:48" s="46" customFormat="1" ht="30" customHeight="1">
      <c r="A18" s="16"/>
      <c r="B18" s="17"/>
      <c r="C18" s="157" t="s">
        <v>58</v>
      </c>
      <c r="D18" s="157"/>
      <c r="E18" s="158"/>
      <c r="F18" s="159">
        <v>26.292100000000001</v>
      </c>
      <c r="G18" s="160">
        <v>115.8</v>
      </c>
      <c r="H18" s="160">
        <v>35.47</v>
      </c>
      <c r="I18" s="160">
        <v>27.343800000000002</v>
      </c>
      <c r="J18" s="160">
        <v>40</v>
      </c>
      <c r="K18" s="159">
        <v>29.5639</v>
      </c>
      <c r="L18" s="159">
        <v>145.88</v>
      </c>
      <c r="M18" s="159">
        <v>27.66</v>
      </c>
      <c r="N18" s="159">
        <v>26.25</v>
      </c>
      <c r="O18" s="159">
        <v>171.74107142857142</v>
      </c>
      <c r="P18" s="159">
        <v>176.78571428571428</v>
      </c>
      <c r="Q18" s="159">
        <v>195</v>
      </c>
      <c r="R18" s="159">
        <v>180.35714285714283</v>
      </c>
      <c r="S18" s="159">
        <v>198</v>
      </c>
      <c r="T18" s="159">
        <v>195</v>
      </c>
      <c r="U18" s="159">
        <v>189.38</v>
      </c>
      <c r="V18" s="159">
        <v>207</v>
      </c>
      <c r="W18" s="159">
        <v>379.46</v>
      </c>
      <c r="X18" s="159">
        <v>35.15</v>
      </c>
      <c r="Y18" s="159">
        <v>35.893000000000001</v>
      </c>
      <c r="Z18" s="159">
        <v>37.5</v>
      </c>
      <c r="AA18" s="159">
        <v>81.900000000000006</v>
      </c>
      <c r="AB18" s="159">
        <v>20.62</v>
      </c>
      <c r="AC18" s="159">
        <v>267.18</v>
      </c>
      <c r="AD18" s="159">
        <v>7.5</v>
      </c>
      <c r="AE18" s="16"/>
      <c r="AF18" s="16"/>
      <c r="AG18" s="16"/>
      <c r="AT18" s="54" t="s">
        <v>27</v>
      </c>
      <c r="AU18" s="44">
        <f>AP17</f>
        <v>0</v>
      </c>
      <c r="AV18" s="45">
        <f>AQ17</f>
        <v>0</v>
      </c>
    </row>
    <row r="19" spans="1:48" s="46" customFormat="1" ht="30" customHeight="1">
      <c r="A19" s="16"/>
      <c r="B19" s="17"/>
      <c r="C19" s="113" t="s">
        <v>53</v>
      </c>
      <c r="D19" s="113"/>
      <c r="E19" s="27">
        <f>F19+G19+K19+L19+M19+N19+O19+P19+Q19+R19+S19+U19+X19+Y19+Z19+AA19+AB19+AC19+AD19+H19+I19</f>
        <v>41892.0461</v>
      </c>
      <c r="F19" s="112">
        <f>F17*F18</f>
        <v>0</v>
      </c>
      <c r="G19" s="112">
        <f t="shared" ref="G19:AD19" si="16">G17*G18</f>
        <v>0</v>
      </c>
      <c r="H19" s="112">
        <f t="shared" si="16"/>
        <v>0</v>
      </c>
      <c r="I19" s="112">
        <f t="shared" si="16"/>
        <v>0</v>
      </c>
      <c r="J19" s="112">
        <f t="shared" ref="J19" si="17">J17*J18</f>
        <v>0</v>
      </c>
      <c r="K19" s="112">
        <f t="shared" si="16"/>
        <v>7184.0276999999996</v>
      </c>
      <c r="L19" s="112">
        <f t="shared" si="16"/>
        <v>10153.248</v>
      </c>
      <c r="M19" s="112">
        <f t="shared" si="16"/>
        <v>537.71040000000005</v>
      </c>
      <c r="N19" s="112">
        <f t="shared" si="16"/>
        <v>210</v>
      </c>
      <c r="O19" s="112">
        <f t="shared" si="16"/>
        <v>0</v>
      </c>
      <c r="P19" s="112">
        <f t="shared" si="16"/>
        <v>0</v>
      </c>
      <c r="Q19" s="115">
        <f t="shared" si="16"/>
        <v>1560</v>
      </c>
      <c r="R19" s="112">
        <f t="shared" si="16"/>
        <v>0</v>
      </c>
      <c r="S19" s="112">
        <f t="shared" si="16"/>
        <v>0</v>
      </c>
      <c r="T19" s="112">
        <f t="shared" si="16"/>
        <v>0</v>
      </c>
      <c r="U19" s="115">
        <f t="shared" si="16"/>
        <v>19884.899999999998</v>
      </c>
      <c r="V19" s="112">
        <f t="shared" si="16"/>
        <v>0</v>
      </c>
      <c r="W19" s="112">
        <f t="shared" si="16"/>
        <v>0</v>
      </c>
      <c r="X19" s="112">
        <f t="shared" si="16"/>
        <v>1827.8</v>
      </c>
      <c r="Y19" s="112">
        <f t="shared" si="16"/>
        <v>0</v>
      </c>
      <c r="Z19" s="112">
        <f t="shared" si="16"/>
        <v>0</v>
      </c>
      <c r="AA19" s="112">
        <f t="shared" si="16"/>
        <v>0</v>
      </c>
      <c r="AB19" s="112">
        <f t="shared" si="16"/>
        <v>0</v>
      </c>
      <c r="AC19" s="112">
        <f t="shared" si="16"/>
        <v>534.36</v>
      </c>
      <c r="AD19" s="112">
        <f t="shared" si="16"/>
        <v>0</v>
      </c>
      <c r="AE19" s="16"/>
      <c r="AF19" s="16"/>
      <c r="AG19" s="16"/>
      <c r="AT19" s="54" t="s">
        <v>34</v>
      </c>
      <c r="AU19" s="44">
        <f>AH17</f>
        <v>2</v>
      </c>
      <c r="AV19" s="45">
        <f>AI17</f>
        <v>0</v>
      </c>
    </row>
    <row r="20" spans="1:48" s="16" customFormat="1" ht="30" customHeight="1">
      <c r="B20" s="17"/>
      <c r="C20" s="17"/>
      <c r="D20" s="17"/>
      <c r="AT20" s="54" t="s">
        <v>29</v>
      </c>
      <c r="AU20" s="14">
        <f>AJ17</f>
        <v>2</v>
      </c>
      <c r="AV20" s="15">
        <f>AK17</f>
        <v>0</v>
      </c>
    </row>
    <row r="21" spans="1:48" s="16" customFormat="1" ht="30" customHeight="1" thickBot="1">
      <c r="B21" s="17"/>
      <c r="C21" s="17"/>
      <c r="D21" s="17"/>
      <c r="AT21" s="55" t="s">
        <v>35</v>
      </c>
      <c r="AU21" s="18">
        <f>AR17</f>
        <v>0</v>
      </c>
      <c r="AV21" s="19">
        <f>AS17</f>
        <v>0</v>
      </c>
    </row>
    <row r="22" spans="1:48" s="16" customFormat="1" ht="30" customHeight="1">
      <c r="B22" s="17"/>
      <c r="C22" s="17"/>
      <c r="D22" s="17"/>
      <c r="AS22" s="269">
        <f>AT22-AU22</f>
        <v>0</v>
      </c>
      <c r="AT22" s="269">
        <f>SUM(AX7:AX14)</f>
        <v>5</v>
      </c>
      <c r="AU22" s="269">
        <f>SUM(AU16:AU21)</f>
        <v>5</v>
      </c>
    </row>
    <row r="23" spans="1:48" s="12" customFormat="1" ht="11.25" customHeight="1">
      <c r="B23" s="13"/>
      <c r="C23" s="13"/>
      <c r="D23" s="13"/>
    </row>
    <row r="24" spans="1:48" s="12" customFormat="1">
      <c r="B24" s="250" t="s">
        <v>89</v>
      </c>
      <c r="C24" s="250" t="s">
        <v>86</v>
      </c>
      <c r="D24" s="250" t="s">
        <v>58</v>
      </c>
      <c r="E24" s="250" t="s">
        <v>87</v>
      </c>
      <c r="O24" s="12" t="s">
        <v>18</v>
      </c>
    </row>
    <row r="25" spans="1:48" s="12" customFormat="1">
      <c r="B25" s="242" t="s">
        <v>72</v>
      </c>
      <c r="C25" s="248"/>
      <c r="D25" s="247">
        <v>26.292100000000001</v>
      </c>
      <c r="E25" s="248">
        <f>C25*D25</f>
        <v>0</v>
      </c>
    </row>
    <row r="26" spans="1:48" s="12" customFormat="1">
      <c r="B26" s="242" t="s">
        <v>100</v>
      </c>
      <c r="C26" s="248">
        <f>I17</f>
        <v>0</v>
      </c>
      <c r="D26" s="247">
        <v>27.343800000000002</v>
      </c>
      <c r="E26" s="248"/>
    </row>
    <row r="27" spans="1:48" s="12" customFormat="1">
      <c r="B27" s="242" t="s">
        <v>73</v>
      </c>
      <c r="C27" s="248">
        <f>K17</f>
        <v>243</v>
      </c>
      <c r="D27" s="247">
        <v>29.5639</v>
      </c>
      <c r="E27" s="248">
        <f t="shared" ref="E27:E47" si="18">C27*D27</f>
        <v>7184.0276999999996</v>
      </c>
    </row>
    <row r="28" spans="1:48">
      <c r="B28" s="279" t="s">
        <v>2</v>
      </c>
      <c r="C28" s="245">
        <f>L17</f>
        <v>69.599999999999994</v>
      </c>
      <c r="D28" s="246">
        <v>145.88</v>
      </c>
      <c r="E28" s="248">
        <f t="shared" si="18"/>
        <v>10153.248</v>
      </c>
    </row>
    <row r="29" spans="1:48">
      <c r="B29" s="279" t="s">
        <v>74</v>
      </c>
      <c r="C29" s="249">
        <f>M17</f>
        <v>19.440000000000001</v>
      </c>
      <c r="D29" s="246">
        <v>27.66</v>
      </c>
      <c r="E29" s="248">
        <f t="shared" si="18"/>
        <v>537.71040000000005</v>
      </c>
    </row>
    <row r="30" spans="1:48">
      <c r="B30" s="279" t="s">
        <v>3</v>
      </c>
      <c r="C30" s="245">
        <f>N17</f>
        <v>8</v>
      </c>
      <c r="D30" s="246">
        <v>26.25</v>
      </c>
      <c r="E30" s="248">
        <f t="shared" si="18"/>
        <v>210</v>
      </c>
    </row>
    <row r="31" spans="1:48">
      <c r="B31" s="279" t="s">
        <v>75</v>
      </c>
      <c r="C31" s="245">
        <f>AB17</f>
        <v>0</v>
      </c>
      <c r="D31" s="246">
        <v>20.62</v>
      </c>
      <c r="E31" s="248">
        <f t="shared" si="18"/>
        <v>0</v>
      </c>
    </row>
    <row r="32" spans="1:48">
      <c r="B32" s="279" t="s">
        <v>76</v>
      </c>
      <c r="C32" s="245"/>
      <c r="D32" s="246">
        <v>171.74107142857142</v>
      </c>
      <c r="E32" s="248">
        <f t="shared" si="18"/>
        <v>0</v>
      </c>
    </row>
    <row r="33" spans="2:5">
      <c r="B33" s="279" t="s">
        <v>77</v>
      </c>
      <c r="C33" s="245"/>
      <c r="D33" s="246">
        <v>176.78571428571428</v>
      </c>
      <c r="E33" s="248">
        <f t="shared" si="18"/>
        <v>0</v>
      </c>
    </row>
    <row r="34" spans="2:5">
      <c r="B34" s="279" t="s">
        <v>78</v>
      </c>
      <c r="C34" s="245"/>
      <c r="D34" s="246">
        <v>180.35714285714283</v>
      </c>
      <c r="E34" s="248">
        <f t="shared" si="18"/>
        <v>0</v>
      </c>
    </row>
    <row r="35" spans="2:5">
      <c r="B35" s="279" t="s">
        <v>68</v>
      </c>
      <c r="C35" s="245"/>
      <c r="D35" s="246">
        <v>207</v>
      </c>
      <c r="E35" s="248">
        <f t="shared" si="18"/>
        <v>0</v>
      </c>
    </row>
    <row r="36" spans="2:5">
      <c r="B36" s="279" t="s">
        <v>79</v>
      </c>
      <c r="C36" s="246"/>
      <c r="D36" s="246">
        <v>331</v>
      </c>
      <c r="E36" s="248">
        <f t="shared" si="18"/>
        <v>0</v>
      </c>
    </row>
    <row r="37" spans="2:5">
      <c r="B37" s="279" t="s">
        <v>80</v>
      </c>
      <c r="C37" s="245">
        <f>U17</f>
        <v>105</v>
      </c>
      <c r="D37" s="246">
        <v>189.38</v>
      </c>
      <c r="E37" s="248">
        <f t="shared" si="18"/>
        <v>19884.899999999998</v>
      </c>
    </row>
    <row r="38" spans="2:5">
      <c r="B38" s="279" t="s">
        <v>81</v>
      </c>
      <c r="C38" s="245"/>
      <c r="D38" s="246">
        <v>195</v>
      </c>
      <c r="E38" s="248">
        <f t="shared" si="18"/>
        <v>0</v>
      </c>
    </row>
    <row r="39" spans="2:5">
      <c r="B39" s="279" t="s">
        <v>82</v>
      </c>
      <c r="C39" s="245">
        <f>Q17</f>
        <v>8</v>
      </c>
      <c r="D39" s="246">
        <v>195</v>
      </c>
      <c r="E39" s="248">
        <f t="shared" si="18"/>
        <v>1560</v>
      </c>
    </row>
    <row r="40" spans="2:5">
      <c r="B40" s="279" t="s">
        <v>55</v>
      </c>
      <c r="C40" s="246"/>
      <c r="D40" s="246">
        <v>359.83</v>
      </c>
      <c r="E40" s="248">
        <f t="shared" si="18"/>
        <v>0</v>
      </c>
    </row>
    <row r="41" spans="2:5">
      <c r="B41" s="279" t="s">
        <v>56</v>
      </c>
      <c r="C41" s="246"/>
      <c r="D41" s="246">
        <v>379.46</v>
      </c>
      <c r="E41" s="248">
        <f t="shared" si="18"/>
        <v>0</v>
      </c>
    </row>
    <row r="42" spans="2:5">
      <c r="B42" s="279" t="s">
        <v>83</v>
      </c>
      <c r="C42" s="245">
        <f>X17</f>
        <v>52</v>
      </c>
      <c r="D42" s="246">
        <v>35.15</v>
      </c>
      <c r="E42" s="248">
        <f t="shared" si="18"/>
        <v>1827.8</v>
      </c>
    </row>
    <row r="43" spans="2:5">
      <c r="B43" s="279" t="s">
        <v>84</v>
      </c>
      <c r="C43" s="245">
        <f>Y17</f>
        <v>0</v>
      </c>
      <c r="D43" s="246">
        <v>35.893000000000001</v>
      </c>
      <c r="E43" s="248">
        <f t="shared" si="18"/>
        <v>0</v>
      </c>
    </row>
    <row r="44" spans="2:5">
      <c r="B44" s="279" t="s">
        <v>95</v>
      </c>
      <c r="C44" s="245" t="e">
        <f>#REF!</f>
        <v>#REF!</v>
      </c>
      <c r="D44" s="246">
        <v>37.5</v>
      </c>
      <c r="E44" s="248" t="e">
        <f t="shared" si="18"/>
        <v>#REF!</v>
      </c>
    </row>
    <row r="45" spans="2:5">
      <c r="B45" s="279" t="s">
        <v>85</v>
      </c>
      <c r="C45" s="246">
        <f>Z17</f>
        <v>0</v>
      </c>
      <c r="D45" s="246">
        <v>81.900000000000006</v>
      </c>
      <c r="E45" s="248">
        <f t="shared" si="18"/>
        <v>0</v>
      </c>
    </row>
    <row r="46" spans="2:5">
      <c r="B46" s="279" t="s">
        <v>20</v>
      </c>
      <c r="C46" s="245">
        <f>AD17</f>
        <v>0</v>
      </c>
      <c r="D46" s="246">
        <v>7.5</v>
      </c>
      <c r="E46" s="248">
        <f t="shared" si="18"/>
        <v>0</v>
      </c>
    </row>
    <row r="47" spans="2:5">
      <c r="B47" s="279" t="s">
        <v>7</v>
      </c>
      <c r="C47" s="245">
        <f>AC17</f>
        <v>2</v>
      </c>
      <c r="D47" s="246">
        <v>267.18</v>
      </c>
      <c r="E47" s="248">
        <f t="shared" si="18"/>
        <v>534.36</v>
      </c>
    </row>
    <row r="48" spans="2:5">
      <c r="B48" s="279" t="s">
        <v>88</v>
      </c>
      <c r="C48" s="245" t="e">
        <f>SUM(C25:C47)</f>
        <v>#REF!</v>
      </c>
      <c r="D48" s="246"/>
      <c r="E48" s="245" t="e">
        <f>SUM(E25:E47)</f>
        <v>#REF!</v>
      </c>
    </row>
  </sheetData>
  <mergeCells count="25">
    <mergeCell ref="AR4:AS5"/>
    <mergeCell ref="O4:P4"/>
    <mergeCell ref="R4:S4"/>
    <mergeCell ref="X4:AA4"/>
    <mergeCell ref="AB4:AB5"/>
    <mergeCell ref="AC4:AC5"/>
    <mergeCell ref="AD4:AD5"/>
    <mergeCell ref="AH4:AI5"/>
    <mergeCell ref="AJ4:AK5"/>
    <mergeCell ref="AL4:AM5"/>
    <mergeCell ref="AN4:AO5"/>
    <mergeCell ref="AP4:AQ5"/>
    <mergeCell ref="AF4:AF6"/>
    <mergeCell ref="AG4:AG6"/>
    <mergeCell ref="AE4:AE6"/>
    <mergeCell ref="A2:B2"/>
    <mergeCell ref="C2:E2"/>
    <mergeCell ref="N4:N5"/>
    <mergeCell ref="A4:A6"/>
    <mergeCell ref="B4:B6"/>
    <mergeCell ref="E4:E6"/>
    <mergeCell ref="L4:L5"/>
    <mergeCell ref="M4:M5"/>
    <mergeCell ref="C4:C6"/>
    <mergeCell ref="D4:D6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49"/>
  <sheetViews>
    <sheetView zoomScale="85" zoomScaleNormal="85" workbookViewId="0">
      <pane xSplit="5" ySplit="6" topLeftCell="AE7" activePane="bottomRight" state="frozen"/>
      <selection activeCell="D37" sqref="D37"/>
      <selection pane="topRight" activeCell="D37" sqref="D37"/>
      <selection pane="bottomLeft" activeCell="D37" sqref="D37"/>
      <selection pane="bottomRight" activeCell="AN22" sqref="AN22"/>
    </sheetView>
  </sheetViews>
  <sheetFormatPr defaultColWidth="9.140625" defaultRowHeight="18"/>
  <cols>
    <col min="1" max="1" width="7" style="7" customWidth="1"/>
    <col min="2" max="2" width="27.7109375" style="6" customWidth="1"/>
    <col min="3" max="3" width="22.28515625" style="6" customWidth="1"/>
    <col min="4" max="4" width="10.140625" style="6" customWidth="1"/>
    <col min="5" max="5" width="28.5703125" style="3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1" width="12.140625" style="1" customWidth="1"/>
    <col min="12" max="12" width="14.140625" style="1" customWidth="1"/>
    <col min="13" max="13" width="12.7109375" style="1" customWidth="1"/>
    <col min="14" max="14" width="11.140625" style="1" customWidth="1"/>
    <col min="15" max="16" width="11.140625" style="1" hidden="1" customWidth="1"/>
    <col min="17" max="17" width="11.140625" style="1" customWidth="1"/>
    <col min="18" max="20" width="11.140625" style="1" hidden="1" customWidth="1"/>
    <col min="21" max="21" width="11.140625" style="1" customWidth="1"/>
    <col min="22" max="23" width="11.140625" style="1" hidden="1" customWidth="1"/>
    <col min="24" max="24" width="10.28515625" style="1" customWidth="1"/>
    <col min="25" max="25" width="11.140625" style="1" customWidth="1"/>
    <col min="26" max="27" width="10.5703125" style="1" bestFit="1" customWidth="1"/>
    <col min="28" max="28" width="11.140625" style="1" customWidth="1"/>
    <col min="29" max="29" width="8.5703125" style="1" customWidth="1"/>
    <col min="30" max="30" width="8.85546875" style="1" customWidth="1"/>
    <col min="31" max="31" width="13.42578125" style="1" customWidth="1"/>
    <col min="32" max="32" width="12.7109375" style="1" hidden="1" customWidth="1"/>
    <col min="33" max="33" width="16.28515625" style="1" hidden="1" customWidth="1"/>
    <col min="34" max="45" width="11.28515625" style="1" customWidth="1"/>
    <col min="46" max="46" width="32.7109375" style="1" bestFit="1" customWidth="1"/>
    <col min="47" max="48" width="10.5703125" style="1" bestFit="1" customWidth="1"/>
    <col min="49" max="49" width="9.140625" style="1"/>
    <col min="50" max="50" width="10.5703125" style="1" bestFit="1" customWidth="1"/>
    <col min="51" max="16384" width="9.140625" style="1"/>
  </cols>
  <sheetData>
    <row r="2" spans="1:50" s="4" customFormat="1" ht="29.25" customHeight="1">
      <c r="A2" s="359" t="s">
        <v>24</v>
      </c>
      <c r="B2" s="359"/>
      <c r="C2" s="360">
        <f>TOTAL!D3</f>
        <v>46153</v>
      </c>
      <c r="D2" s="360"/>
      <c r="E2" s="360"/>
      <c r="F2" s="96"/>
      <c r="G2" s="96"/>
      <c r="H2" s="96"/>
      <c r="I2" s="96"/>
      <c r="J2" s="96"/>
      <c r="K2" s="96"/>
      <c r="N2" s="254" t="s">
        <v>59</v>
      </c>
      <c r="O2" s="254"/>
      <c r="P2" s="254"/>
      <c r="Q2" s="254"/>
    </row>
    <row r="3" spans="1:50" s="4" customFormat="1" ht="15.75" customHeight="1">
      <c r="A3" s="46"/>
      <c r="B3" s="46"/>
      <c r="C3" s="120"/>
      <c r="D3" s="120"/>
      <c r="E3" s="120"/>
      <c r="F3" s="8"/>
      <c r="G3" s="8"/>
      <c r="H3" s="8"/>
      <c r="I3" s="8"/>
      <c r="J3" s="8"/>
      <c r="K3" s="8"/>
      <c r="O3" s="5"/>
      <c r="P3" s="5"/>
    </row>
    <row r="4" spans="1:50" s="2" customFormat="1" ht="31.5" customHeight="1">
      <c r="A4" s="334" t="s">
        <v>12</v>
      </c>
      <c r="B4" s="334" t="s">
        <v>13</v>
      </c>
      <c r="C4" s="334" t="s">
        <v>57</v>
      </c>
      <c r="D4" s="337" t="s">
        <v>101</v>
      </c>
      <c r="E4" s="323" t="s">
        <v>0</v>
      </c>
      <c r="F4" s="180" t="s">
        <v>21</v>
      </c>
      <c r="G4" s="181" t="s">
        <v>14</v>
      </c>
      <c r="H4" s="181" t="s">
        <v>71</v>
      </c>
      <c r="I4" s="181" t="s">
        <v>117</v>
      </c>
      <c r="J4" s="182" t="s">
        <v>14</v>
      </c>
      <c r="K4" s="182" t="s">
        <v>14</v>
      </c>
      <c r="L4" s="326" t="s">
        <v>2</v>
      </c>
      <c r="M4" s="327" t="s">
        <v>22</v>
      </c>
      <c r="N4" s="326" t="s">
        <v>3</v>
      </c>
      <c r="O4" s="320" t="s">
        <v>4</v>
      </c>
      <c r="P4" s="321"/>
      <c r="Q4" s="181" t="s">
        <v>5</v>
      </c>
      <c r="R4" s="320" t="s">
        <v>17</v>
      </c>
      <c r="S4" s="321"/>
      <c r="T4" s="229" t="s">
        <v>5</v>
      </c>
      <c r="U4" s="181" t="s">
        <v>5</v>
      </c>
      <c r="V4" s="181" t="s">
        <v>68</v>
      </c>
      <c r="W4" s="181" t="s">
        <v>56</v>
      </c>
      <c r="X4" s="356" t="s">
        <v>6</v>
      </c>
      <c r="Y4" s="356"/>
      <c r="Z4" s="356"/>
      <c r="AA4" s="356"/>
      <c r="AB4" s="327" t="s">
        <v>19</v>
      </c>
      <c r="AC4" s="327" t="s">
        <v>7</v>
      </c>
      <c r="AD4" s="327" t="s">
        <v>20</v>
      </c>
      <c r="AE4" s="387" t="s">
        <v>115</v>
      </c>
      <c r="AF4" s="387" t="s">
        <v>113</v>
      </c>
      <c r="AG4" s="387" t="s">
        <v>114</v>
      </c>
      <c r="AH4" s="361" t="s">
        <v>28</v>
      </c>
      <c r="AI4" s="361"/>
      <c r="AJ4" s="310" t="s">
        <v>29</v>
      </c>
      <c r="AK4" s="311"/>
      <c r="AL4" s="310" t="s">
        <v>25</v>
      </c>
      <c r="AM4" s="311"/>
      <c r="AN4" s="310" t="s">
        <v>26</v>
      </c>
      <c r="AO4" s="311"/>
      <c r="AP4" s="310" t="s">
        <v>27</v>
      </c>
      <c r="AQ4" s="311"/>
      <c r="AR4" s="310" t="s">
        <v>41</v>
      </c>
      <c r="AS4" s="311"/>
      <c r="AT4" s="50"/>
    </row>
    <row r="5" spans="1:50" s="2" customFormat="1" ht="21" customHeight="1">
      <c r="A5" s="335"/>
      <c r="B5" s="335"/>
      <c r="C5" s="335"/>
      <c r="D5" s="338"/>
      <c r="E5" s="324"/>
      <c r="F5" s="182">
        <v>208</v>
      </c>
      <c r="G5" s="182">
        <v>38</v>
      </c>
      <c r="H5" s="182">
        <v>200</v>
      </c>
      <c r="I5" s="182">
        <v>200</v>
      </c>
      <c r="J5" s="182">
        <v>135</v>
      </c>
      <c r="K5" s="182">
        <v>215</v>
      </c>
      <c r="L5" s="326"/>
      <c r="M5" s="328"/>
      <c r="N5" s="326"/>
      <c r="O5" s="180">
        <v>2.4</v>
      </c>
      <c r="P5" s="180">
        <v>3.6</v>
      </c>
      <c r="Q5" s="180">
        <v>3.6</v>
      </c>
      <c r="R5" s="181">
        <v>2.4</v>
      </c>
      <c r="S5" s="181">
        <v>3.6</v>
      </c>
      <c r="T5" s="181">
        <v>4.9000000000000004</v>
      </c>
      <c r="U5" s="180">
        <v>2.4</v>
      </c>
      <c r="V5" s="180">
        <v>2.4</v>
      </c>
      <c r="W5" s="180"/>
      <c r="X5" s="182">
        <v>5</v>
      </c>
      <c r="Y5" s="182">
        <v>10</v>
      </c>
      <c r="Z5" s="253" t="s">
        <v>96</v>
      </c>
      <c r="AA5" s="182">
        <v>40</v>
      </c>
      <c r="AB5" s="328"/>
      <c r="AC5" s="328"/>
      <c r="AD5" s="328"/>
      <c r="AE5" s="388"/>
      <c r="AF5" s="388"/>
      <c r="AG5" s="388"/>
      <c r="AH5" s="361"/>
      <c r="AI5" s="361"/>
      <c r="AJ5" s="312"/>
      <c r="AK5" s="313"/>
      <c r="AL5" s="312"/>
      <c r="AM5" s="313"/>
      <c r="AN5" s="312"/>
      <c r="AO5" s="313"/>
      <c r="AP5" s="312"/>
      <c r="AQ5" s="313"/>
      <c r="AR5" s="312"/>
      <c r="AS5" s="313"/>
      <c r="AT5" s="50"/>
    </row>
    <row r="6" spans="1:50" s="2" customFormat="1" ht="24" customHeight="1">
      <c r="A6" s="336"/>
      <c r="B6" s="336"/>
      <c r="C6" s="336"/>
      <c r="D6" s="339"/>
      <c r="E6" s="325"/>
      <c r="F6" s="182" t="s">
        <v>8</v>
      </c>
      <c r="G6" s="182" t="s">
        <v>8</v>
      </c>
      <c r="H6" s="182" t="s">
        <v>8</v>
      </c>
      <c r="I6" s="182" t="s">
        <v>8</v>
      </c>
      <c r="J6" s="182" t="s">
        <v>8</v>
      </c>
      <c r="K6" s="182" t="s">
        <v>8</v>
      </c>
      <c r="L6" s="182" t="s">
        <v>9</v>
      </c>
      <c r="M6" s="182" t="s">
        <v>23</v>
      </c>
      <c r="N6" s="182" t="s">
        <v>8</v>
      </c>
      <c r="O6" s="182" t="s">
        <v>8</v>
      </c>
      <c r="P6" s="182" t="s">
        <v>8</v>
      </c>
      <c r="Q6" s="182" t="s">
        <v>8</v>
      </c>
      <c r="R6" s="182" t="s">
        <v>8</v>
      </c>
      <c r="S6" s="182" t="s">
        <v>8</v>
      </c>
      <c r="T6" s="182" t="s">
        <v>8</v>
      </c>
      <c r="U6" s="182" t="s">
        <v>8</v>
      </c>
      <c r="V6" s="182" t="s">
        <v>8</v>
      </c>
      <c r="W6" s="182" t="s">
        <v>8</v>
      </c>
      <c r="X6" s="182" t="s">
        <v>10</v>
      </c>
      <c r="Y6" s="182" t="s">
        <v>10</v>
      </c>
      <c r="Z6" s="182" t="s">
        <v>10</v>
      </c>
      <c r="AA6" s="182" t="s">
        <v>10</v>
      </c>
      <c r="AB6" s="182" t="s">
        <v>8</v>
      </c>
      <c r="AC6" s="182" t="s">
        <v>8</v>
      </c>
      <c r="AD6" s="182" t="s">
        <v>8</v>
      </c>
      <c r="AE6" s="389"/>
      <c r="AF6" s="389"/>
      <c r="AG6" s="389"/>
      <c r="AH6" s="131" t="s">
        <v>30</v>
      </c>
      <c r="AI6" s="131" t="s">
        <v>31</v>
      </c>
      <c r="AJ6" s="131" t="s">
        <v>30</v>
      </c>
      <c r="AK6" s="131" t="s">
        <v>31</v>
      </c>
      <c r="AL6" s="131" t="s">
        <v>30</v>
      </c>
      <c r="AM6" s="131" t="s">
        <v>31</v>
      </c>
      <c r="AN6" s="131" t="s">
        <v>30</v>
      </c>
      <c r="AO6" s="131" t="s">
        <v>31</v>
      </c>
      <c r="AP6" s="131" t="s">
        <v>30</v>
      </c>
      <c r="AQ6" s="131" t="s">
        <v>31</v>
      </c>
      <c r="AR6" s="131" t="s">
        <v>30</v>
      </c>
      <c r="AS6" s="131" t="s">
        <v>31</v>
      </c>
      <c r="AT6" s="50"/>
    </row>
    <row r="7" spans="1:50" s="28" customFormat="1" ht="21.95" customHeight="1">
      <c r="A7" s="25">
        <v>1</v>
      </c>
      <c r="B7" s="26" t="s">
        <v>118</v>
      </c>
      <c r="C7" s="26"/>
      <c r="D7" s="26"/>
      <c r="E7" s="27"/>
      <c r="F7" s="20"/>
      <c r="G7" s="20"/>
      <c r="H7" s="20"/>
      <c r="I7" s="20"/>
      <c r="J7" s="20"/>
      <c r="K7" s="20"/>
      <c r="L7" s="20"/>
      <c r="M7" s="21">
        <f t="shared" ref="M7" si="0">N7*2.43</f>
        <v>0</v>
      </c>
      <c r="N7" s="20"/>
      <c r="O7" s="67"/>
      <c r="P7" s="67"/>
      <c r="Q7" s="67"/>
      <c r="R7" s="67"/>
      <c r="S7" s="67"/>
      <c r="T7" s="67"/>
      <c r="U7" s="67"/>
      <c r="V7" s="67"/>
      <c r="W7" s="67"/>
      <c r="X7" s="20"/>
      <c r="Y7" s="20"/>
      <c r="Z7" s="20"/>
      <c r="AA7" s="20"/>
      <c r="AB7" s="20"/>
      <c r="AC7" s="20"/>
      <c r="AD7" s="20"/>
      <c r="AE7" s="220">
        <f t="shared" ref="AE7" si="1">O7+P7+Q7+R7+S7+T7+U7+V7</f>
        <v>0</v>
      </c>
      <c r="AF7" s="220"/>
      <c r="AG7" s="220"/>
      <c r="AH7" s="196"/>
      <c r="AI7" s="212"/>
      <c r="AJ7" s="213"/>
      <c r="AK7" s="212"/>
      <c r="AL7" s="221"/>
      <c r="AM7" s="212"/>
      <c r="AN7" s="215"/>
      <c r="AO7" s="212"/>
      <c r="AP7" s="216"/>
      <c r="AQ7" s="212"/>
      <c r="AR7" s="217"/>
      <c r="AS7" s="212"/>
      <c r="AX7" s="268">
        <f t="shared" ref="AX7:AX13" si="2">COUNTIFS(AE7,"&gt;=11")</f>
        <v>0</v>
      </c>
    </row>
    <row r="8" spans="1:50" s="28" customFormat="1" ht="24.95" customHeight="1">
      <c r="A8" s="29" t="s">
        <v>11</v>
      </c>
      <c r="B8" s="30"/>
      <c r="C8" s="30"/>
      <c r="D8" s="30"/>
      <c r="E8" s="30"/>
      <c r="F8" s="24">
        <f t="shared" ref="F8:AD8" si="3">SUM(F7:F7)</f>
        <v>0</v>
      </c>
      <c r="G8" s="24">
        <f t="shared" si="3"/>
        <v>0</v>
      </c>
      <c r="H8" s="24">
        <f t="shared" si="3"/>
        <v>0</v>
      </c>
      <c r="I8" s="24">
        <f t="shared" si="3"/>
        <v>0</v>
      </c>
      <c r="J8" s="24">
        <f t="shared" si="3"/>
        <v>0</v>
      </c>
      <c r="K8" s="24">
        <f t="shared" si="3"/>
        <v>0</v>
      </c>
      <c r="L8" s="24">
        <f t="shared" si="3"/>
        <v>0</v>
      </c>
      <c r="M8" s="107">
        <f t="shared" si="3"/>
        <v>0</v>
      </c>
      <c r="N8" s="24">
        <f t="shared" si="3"/>
        <v>0</v>
      </c>
      <c r="O8" s="24">
        <f t="shared" si="3"/>
        <v>0</v>
      </c>
      <c r="P8" s="24">
        <f t="shared" si="3"/>
        <v>0</v>
      </c>
      <c r="Q8" s="24">
        <f t="shared" si="3"/>
        <v>0</v>
      </c>
      <c r="R8" s="24">
        <f t="shared" si="3"/>
        <v>0</v>
      </c>
      <c r="S8" s="24">
        <f t="shared" si="3"/>
        <v>0</v>
      </c>
      <c r="T8" s="24">
        <f t="shared" si="3"/>
        <v>0</v>
      </c>
      <c r="U8" s="24">
        <f t="shared" si="3"/>
        <v>0</v>
      </c>
      <c r="V8" s="24">
        <f t="shared" si="3"/>
        <v>0</v>
      </c>
      <c r="W8" s="24">
        <f t="shared" si="3"/>
        <v>0</v>
      </c>
      <c r="X8" s="24">
        <f t="shared" si="3"/>
        <v>0</v>
      </c>
      <c r="Y8" s="24">
        <f t="shared" si="3"/>
        <v>0</v>
      </c>
      <c r="Z8" s="24">
        <f t="shared" si="3"/>
        <v>0</v>
      </c>
      <c r="AA8" s="24">
        <f t="shared" si="3"/>
        <v>0</v>
      </c>
      <c r="AB8" s="24">
        <f t="shared" si="3"/>
        <v>0</v>
      </c>
      <c r="AC8" s="24">
        <f t="shared" si="3"/>
        <v>0</v>
      </c>
      <c r="AD8" s="24">
        <f t="shared" si="3"/>
        <v>0</v>
      </c>
      <c r="AE8" s="41"/>
      <c r="AF8" s="41"/>
      <c r="AG8" s="41"/>
      <c r="AH8" s="30">
        <f t="shared" ref="AH8:AS8" si="4">SUM(AH7:AH7)</f>
        <v>0</v>
      </c>
      <c r="AI8" s="30">
        <f t="shared" si="4"/>
        <v>0</v>
      </c>
      <c r="AJ8" s="30">
        <f t="shared" si="4"/>
        <v>0</v>
      </c>
      <c r="AK8" s="30">
        <f t="shared" si="4"/>
        <v>0</v>
      </c>
      <c r="AL8" s="30">
        <f t="shared" si="4"/>
        <v>0</v>
      </c>
      <c r="AM8" s="30">
        <f t="shared" si="4"/>
        <v>0</v>
      </c>
      <c r="AN8" s="30">
        <f t="shared" si="4"/>
        <v>0</v>
      </c>
      <c r="AO8" s="30">
        <f t="shared" si="4"/>
        <v>0</v>
      </c>
      <c r="AP8" s="30">
        <f t="shared" si="4"/>
        <v>0</v>
      </c>
      <c r="AQ8" s="30">
        <f t="shared" si="4"/>
        <v>0</v>
      </c>
      <c r="AR8" s="30">
        <f t="shared" si="4"/>
        <v>0</v>
      </c>
      <c r="AS8" s="30">
        <f t="shared" si="4"/>
        <v>0</v>
      </c>
      <c r="AX8" s="268">
        <f t="shared" si="2"/>
        <v>0</v>
      </c>
    </row>
    <row r="9" spans="1:50" s="28" customFormat="1" ht="23.1" customHeight="1">
      <c r="A9" s="25">
        <v>2</v>
      </c>
      <c r="B9" s="27" t="s">
        <v>149</v>
      </c>
      <c r="C9" s="27" t="s">
        <v>157</v>
      </c>
      <c r="D9" s="27">
        <v>5</v>
      </c>
      <c r="E9" s="27" t="s">
        <v>156</v>
      </c>
      <c r="F9" s="21"/>
      <c r="G9" s="21"/>
      <c r="H9" s="21"/>
      <c r="I9" s="21"/>
      <c r="J9" s="21"/>
      <c r="K9" s="21">
        <v>44</v>
      </c>
      <c r="L9" s="21">
        <v>16</v>
      </c>
      <c r="M9" s="21">
        <f t="shared" ref="M9:M10" si="5">N9*2.43</f>
        <v>4.8600000000000003</v>
      </c>
      <c r="N9" s="21">
        <v>2</v>
      </c>
      <c r="O9" s="68"/>
      <c r="P9" s="67"/>
      <c r="Q9" s="67">
        <v>2</v>
      </c>
      <c r="R9" s="67"/>
      <c r="S9" s="67"/>
      <c r="T9" s="67"/>
      <c r="U9" s="67">
        <v>22</v>
      </c>
      <c r="V9" s="67"/>
      <c r="W9" s="67"/>
      <c r="X9" s="21">
        <v>8</v>
      </c>
      <c r="Y9" s="21"/>
      <c r="Z9" s="21"/>
      <c r="AA9" s="21"/>
      <c r="AB9" s="21"/>
      <c r="AC9" s="21"/>
      <c r="AD9" s="21"/>
      <c r="AE9" s="220">
        <f t="shared" ref="AE9:AE10" si="6">O9+P9+Q9+R9+S9+T9+U9+V9</f>
        <v>24</v>
      </c>
      <c r="AF9" s="220"/>
      <c r="AG9" s="220"/>
      <c r="AH9" s="196"/>
      <c r="AI9" s="212"/>
      <c r="AJ9" s="213"/>
      <c r="AK9" s="212"/>
      <c r="AL9" s="221">
        <v>1</v>
      </c>
      <c r="AM9" s="212"/>
      <c r="AN9" s="215"/>
      <c r="AO9" s="212"/>
      <c r="AP9" s="216"/>
      <c r="AQ9" s="212"/>
      <c r="AR9" s="217"/>
      <c r="AS9" s="212"/>
      <c r="AX9" s="268">
        <f t="shared" si="2"/>
        <v>1</v>
      </c>
    </row>
    <row r="10" spans="1:50" s="28" customFormat="1" ht="23.1" customHeight="1">
      <c r="A10" s="25">
        <v>2</v>
      </c>
      <c r="B10" s="27" t="s">
        <v>162</v>
      </c>
      <c r="C10" s="27" t="s">
        <v>157</v>
      </c>
      <c r="D10" s="27">
        <v>5</v>
      </c>
      <c r="E10" s="27" t="s">
        <v>161</v>
      </c>
      <c r="F10" s="21"/>
      <c r="G10" s="21"/>
      <c r="H10" s="21"/>
      <c r="I10" s="21"/>
      <c r="J10" s="21"/>
      <c r="K10" s="21">
        <v>13</v>
      </c>
      <c r="L10" s="21">
        <v>10.4</v>
      </c>
      <c r="M10" s="21">
        <f t="shared" si="5"/>
        <v>4.8600000000000003</v>
      </c>
      <c r="N10" s="21">
        <v>2</v>
      </c>
      <c r="O10" s="68"/>
      <c r="P10" s="67"/>
      <c r="Q10" s="67"/>
      <c r="R10" s="67"/>
      <c r="S10" s="67"/>
      <c r="T10" s="67"/>
      <c r="U10" s="67">
        <v>13</v>
      </c>
      <c r="V10" s="67"/>
      <c r="W10" s="67"/>
      <c r="X10" s="21">
        <v>5</v>
      </c>
      <c r="Y10" s="21"/>
      <c r="Z10" s="21"/>
      <c r="AA10" s="21"/>
      <c r="AB10" s="21"/>
      <c r="AC10" s="21"/>
      <c r="AD10" s="21"/>
      <c r="AE10" s="220">
        <f t="shared" si="6"/>
        <v>13</v>
      </c>
      <c r="AF10" s="220"/>
      <c r="AG10" s="220"/>
      <c r="AH10" s="196"/>
      <c r="AI10" s="212"/>
      <c r="AJ10" s="213">
        <v>1</v>
      </c>
      <c r="AK10" s="212"/>
      <c r="AL10" s="221"/>
      <c r="AM10" s="212"/>
      <c r="AN10" s="215"/>
      <c r="AO10" s="212"/>
      <c r="AP10" s="216"/>
      <c r="AQ10" s="212"/>
      <c r="AR10" s="217"/>
      <c r="AS10" s="212"/>
      <c r="AX10" s="268">
        <f t="shared" si="2"/>
        <v>1</v>
      </c>
    </row>
    <row r="11" spans="1:50" s="28" customFormat="1" ht="23.1" customHeight="1">
      <c r="A11" s="25">
        <v>2</v>
      </c>
      <c r="B11" s="27" t="s">
        <v>162</v>
      </c>
      <c r="C11" s="27" t="s">
        <v>157</v>
      </c>
      <c r="D11" s="27">
        <v>5</v>
      </c>
      <c r="E11" s="27" t="s">
        <v>165</v>
      </c>
      <c r="F11" s="21"/>
      <c r="G11" s="21"/>
      <c r="H11" s="21"/>
      <c r="I11" s="21"/>
      <c r="J11" s="21"/>
      <c r="K11" s="21">
        <v>44</v>
      </c>
      <c r="L11" s="21">
        <v>16</v>
      </c>
      <c r="M11" s="21">
        <f t="shared" ref="M11:M12" si="7">N11*2.43</f>
        <v>4.8600000000000003</v>
      </c>
      <c r="N11" s="21">
        <v>2</v>
      </c>
      <c r="O11" s="68"/>
      <c r="P11" s="67"/>
      <c r="Q11" s="67"/>
      <c r="R11" s="67"/>
      <c r="S11" s="67"/>
      <c r="T11" s="67"/>
      <c r="U11" s="67">
        <v>24</v>
      </c>
      <c r="V11" s="67"/>
      <c r="W11" s="67"/>
      <c r="X11" s="21">
        <v>8</v>
      </c>
      <c r="Y11" s="21"/>
      <c r="Z11" s="21"/>
      <c r="AA11" s="21"/>
      <c r="AB11" s="21"/>
      <c r="AC11" s="21"/>
      <c r="AD11" s="21"/>
      <c r="AE11" s="220">
        <f t="shared" ref="AE11:AE12" si="8">O11+P11+Q11+R11+S11+T11+U11+V11</f>
        <v>24</v>
      </c>
      <c r="AF11" s="220"/>
      <c r="AG11" s="220"/>
      <c r="AH11" s="196"/>
      <c r="AI11" s="212"/>
      <c r="AJ11" s="213"/>
      <c r="AK11" s="212"/>
      <c r="AL11" s="221">
        <v>1</v>
      </c>
      <c r="AM11" s="212"/>
      <c r="AN11" s="215"/>
      <c r="AO11" s="212"/>
      <c r="AP11" s="216"/>
      <c r="AQ11" s="212"/>
      <c r="AR11" s="217"/>
      <c r="AS11" s="212"/>
      <c r="AX11" s="268">
        <f t="shared" ref="AX11:AX12" si="9">COUNTIFS(AE11,"&gt;=11")</f>
        <v>1</v>
      </c>
    </row>
    <row r="12" spans="1:50" s="28" customFormat="1" ht="23.1" customHeight="1">
      <c r="A12" s="25">
        <v>2</v>
      </c>
      <c r="B12" s="27" t="s">
        <v>167</v>
      </c>
      <c r="C12" s="27" t="s">
        <v>157</v>
      </c>
      <c r="D12" s="27">
        <v>5</v>
      </c>
      <c r="E12" s="27" t="s">
        <v>166</v>
      </c>
      <c r="F12" s="21"/>
      <c r="G12" s="21"/>
      <c r="H12" s="21"/>
      <c r="I12" s="21"/>
      <c r="J12" s="21"/>
      <c r="K12" s="21">
        <v>42</v>
      </c>
      <c r="L12" s="21">
        <v>14.4</v>
      </c>
      <c r="M12" s="21">
        <f t="shared" si="7"/>
        <v>4.8600000000000003</v>
      </c>
      <c r="N12" s="21">
        <v>2</v>
      </c>
      <c r="O12" s="68"/>
      <c r="P12" s="67"/>
      <c r="Q12" s="67">
        <v>2</v>
      </c>
      <c r="R12" s="67"/>
      <c r="S12" s="67"/>
      <c r="T12" s="67"/>
      <c r="U12" s="67">
        <v>20</v>
      </c>
      <c r="V12" s="67"/>
      <c r="W12" s="67"/>
      <c r="X12" s="21">
        <v>8</v>
      </c>
      <c r="Y12" s="21"/>
      <c r="Z12" s="21"/>
      <c r="AA12" s="21"/>
      <c r="AB12" s="21"/>
      <c r="AC12" s="21"/>
      <c r="AD12" s="21"/>
      <c r="AE12" s="220">
        <f t="shared" si="8"/>
        <v>22</v>
      </c>
      <c r="AF12" s="220"/>
      <c r="AG12" s="220"/>
      <c r="AH12" s="196"/>
      <c r="AI12" s="212"/>
      <c r="AJ12" s="213"/>
      <c r="AK12" s="212"/>
      <c r="AL12" s="221">
        <v>1</v>
      </c>
      <c r="AM12" s="212"/>
      <c r="AN12" s="215"/>
      <c r="AO12" s="212"/>
      <c r="AP12" s="216"/>
      <c r="AQ12" s="212"/>
      <c r="AR12" s="217"/>
      <c r="AS12" s="212"/>
      <c r="AX12" s="268">
        <f t="shared" si="9"/>
        <v>1</v>
      </c>
    </row>
    <row r="13" spans="1:50" s="28" customFormat="1" ht="24.95" customHeight="1">
      <c r="A13" s="29" t="s">
        <v>11</v>
      </c>
      <c r="B13" s="30"/>
      <c r="C13" s="30"/>
      <c r="D13" s="30"/>
      <c r="E13" s="30"/>
      <c r="F13" s="24">
        <f t="shared" ref="F13:AD13" si="10">SUM(F9:F12)</f>
        <v>0</v>
      </c>
      <c r="G13" s="24">
        <f t="shared" si="10"/>
        <v>0</v>
      </c>
      <c r="H13" s="24">
        <f t="shared" si="10"/>
        <v>0</v>
      </c>
      <c r="I13" s="24">
        <f t="shared" si="10"/>
        <v>0</v>
      </c>
      <c r="J13" s="24">
        <f t="shared" si="10"/>
        <v>0</v>
      </c>
      <c r="K13" s="24">
        <f t="shared" si="10"/>
        <v>143</v>
      </c>
      <c r="L13" s="24">
        <f t="shared" si="10"/>
        <v>56.8</v>
      </c>
      <c r="M13" s="24">
        <f t="shared" si="10"/>
        <v>19.440000000000001</v>
      </c>
      <c r="N13" s="24">
        <f t="shared" si="10"/>
        <v>8</v>
      </c>
      <c r="O13" s="24">
        <f t="shared" si="10"/>
        <v>0</v>
      </c>
      <c r="P13" s="24">
        <f t="shared" si="10"/>
        <v>0</v>
      </c>
      <c r="Q13" s="24">
        <f t="shared" si="10"/>
        <v>4</v>
      </c>
      <c r="R13" s="24">
        <f t="shared" si="10"/>
        <v>0</v>
      </c>
      <c r="S13" s="24">
        <f t="shared" si="10"/>
        <v>0</v>
      </c>
      <c r="T13" s="24">
        <f t="shared" si="10"/>
        <v>0</v>
      </c>
      <c r="U13" s="24">
        <f t="shared" si="10"/>
        <v>79</v>
      </c>
      <c r="V13" s="24">
        <f t="shared" si="10"/>
        <v>0</v>
      </c>
      <c r="W13" s="24">
        <f t="shared" si="10"/>
        <v>0</v>
      </c>
      <c r="X13" s="24">
        <f t="shared" si="10"/>
        <v>29</v>
      </c>
      <c r="Y13" s="24">
        <f t="shared" si="10"/>
        <v>0</v>
      </c>
      <c r="Z13" s="24">
        <f t="shared" si="10"/>
        <v>0</v>
      </c>
      <c r="AA13" s="24">
        <f t="shared" si="10"/>
        <v>0</v>
      </c>
      <c r="AB13" s="24">
        <f t="shared" si="10"/>
        <v>0</v>
      </c>
      <c r="AC13" s="24">
        <f t="shared" si="10"/>
        <v>0</v>
      </c>
      <c r="AD13" s="24">
        <f t="shared" si="10"/>
        <v>0</v>
      </c>
      <c r="AE13" s="41"/>
      <c r="AF13" s="41"/>
      <c r="AG13" s="41"/>
      <c r="AH13" s="30">
        <f t="shared" ref="AH13:AS13" si="11">SUM(AH9:AH12)</f>
        <v>0</v>
      </c>
      <c r="AI13" s="30">
        <f t="shared" si="11"/>
        <v>0</v>
      </c>
      <c r="AJ13" s="30">
        <f t="shared" si="11"/>
        <v>1</v>
      </c>
      <c r="AK13" s="30">
        <f t="shared" si="11"/>
        <v>0</v>
      </c>
      <c r="AL13" s="30">
        <f t="shared" si="11"/>
        <v>3</v>
      </c>
      <c r="AM13" s="30">
        <f t="shared" si="11"/>
        <v>0</v>
      </c>
      <c r="AN13" s="30">
        <f t="shared" si="11"/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X13" s="268">
        <f t="shared" si="2"/>
        <v>0</v>
      </c>
    </row>
    <row r="14" spans="1:50" s="28" customFormat="1" ht="23.1" customHeight="1">
      <c r="A14" s="25">
        <v>3</v>
      </c>
      <c r="B14" s="27" t="s">
        <v>162</v>
      </c>
      <c r="C14" s="27" t="s">
        <v>184</v>
      </c>
      <c r="D14" s="27">
        <v>5</v>
      </c>
      <c r="E14" s="27" t="s">
        <v>183</v>
      </c>
      <c r="F14" s="21"/>
      <c r="G14" s="21"/>
      <c r="H14" s="21"/>
      <c r="I14" s="21"/>
      <c r="J14" s="21"/>
      <c r="K14" s="21">
        <v>19</v>
      </c>
      <c r="L14" s="21">
        <v>15.2</v>
      </c>
      <c r="M14" s="21">
        <f t="shared" ref="M14:M15" si="12">N14*2.43</f>
        <v>4.8600000000000003</v>
      </c>
      <c r="N14" s="21">
        <v>2</v>
      </c>
      <c r="O14" s="67"/>
      <c r="P14" s="67"/>
      <c r="Q14" s="67"/>
      <c r="R14" s="67"/>
      <c r="S14" s="67"/>
      <c r="T14" s="67"/>
      <c r="U14" s="67">
        <v>19</v>
      </c>
      <c r="V14" s="67"/>
      <c r="W14" s="67"/>
      <c r="X14" s="21">
        <v>6</v>
      </c>
      <c r="Y14" s="21"/>
      <c r="Z14" s="21"/>
      <c r="AA14" s="21"/>
      <c r="AB14" s="21"/>
      <c r="AC14" s="21"/>
      <c r="AD14" s="21"/>
      <c r="AE14" s="220">
        <f t="shared" ref="AE14:AE15" si="13">O14+P14+Q14+R14+S14+T14+U14+V14</f>
        <v>19</v>
      </c>
      <c r="AF14" s="220"/>
      <c r="AG14" s="220"/>
      <c r="AH14" s="196">
        <v>1</v>
      </c>
      <c r="AI14" s="212"/>
      <c r="AJ14" s="213"/>
      <c r="AK14" s="212"/>
      <c r="AL14" s="221"/>
      <c r="AM14" s="212"/>
      <c r="AN14" s="215"/>
      <c r="AO14" s="212"/>
      <c r="AP14" s="216"/>
      <c r="AQ14" s="212"/>
      <c r="AR14" s="217"/>
      <c r="AS14" s="212"/>
      <c r="AX14" s="268">
        <f>COUNTIFS(AE14,"&gt;=11")</f>
        <v>1</v>
      </c>
    </row>
    <row r="15" spans="1:50" s="28" customFormat="1" ht="23.1" customHeight="1">
      <c r="A15" s="25">
        <v>3</v>
      </c>
      <c r="B15" s="27" t="s">
        <v>121</v>
      </c>
      <c r="C15" s="27" t="s">
        <v>184</v>
      </c>
      <c r="D15" s="27"/>
      <c r="E15" s="27" t="s">
        <v>185</v>
      </c>
      <c r="F15" s="21"/>
      <c r="G15" s="21"/>
      <c r="H15" s="21"/>
      <c r="I15" s="21"/>
      <c r="J15" s="21"/>
      <c r="K15" s="21">
        <v>30</v>
      </c>
      <c r="L15" s="21"/>
      <c r="M15" s="21">
        <f t="shared" si="12"/>
        <v>14.580000000000002</v>
      </c>
      <c r="N15" s="21">
        <v>6</v>
      </c>
      <c r="O15" s="67"/>
      <c r="P15" s="67"/>
      <c r="Q15" s="67"/>
      <c r="R15" s="67"/>
      <c r="S15" s="67"/>
      <c r="T15" s="67"/>
      <c r="U15" s="67"/>
      <c r="V15" s="67"/>
      <c r="W15" s="67"/>
      <c r="X15" s="21">
        <v>15</v>
      </c>
      <c r="Y15" s="21"/>
      <c r="Z15" s="21"/>
      <c r="AA15" s="21"/>
      <c r="AB15" s="21"/>
      <c r="AC15" s="21"/>
      <c r="AD15" s="21"/>
      <c r="AE15" s="220">
        <f t="shared" si="13"/>
        <v>0</v>
      </c>
      <c r="AF15" s="220"/>
      <c r="AG15" s="220"/>
      <c r="AH15" s="196"/>
      <c r="AI15" s="212"/>
      <c r="AJ15" s="213"/>
      <c r="AK15" s="212">
        <v>1</v>
      </c>
      <c r="AL15" s="221"/>
      <c r="AM15" s="212"/>
      <c r="AN15" s="215"/>
      <c r="AO15" s="212"/>
      <c r="AP15" s="216"/>
      <c r="AQ15" s="212"/>
      <c r="AR15" s="217"/>
      <c r="AS15" s="212"/>
      <c r="AX15" s="268">
        <f t="shared" ref="AX15" si="14">COUNTIFS(AE15,"&gt;=11")</f>
        <v>0</v>
      </c>
    </row>
    <row r="16" spans="1:50" s="28" customFormat="1" ht="24.95" customHeight="1">
      <c r="A16" s="29" t="s">
        <v>11</v>
      </c>
      <c r="B16" s="30"/>
      <c r="C16" s="30"/>
      <c r="D16" s="30"/>
      <c r="E16" s="30"/>
      <c r="F16" s="24">
        <f t="shared" ref="F16:AD16" si="15">SUM(F14:F15)</f>
        <v>0</v>
      </c>
      <c r="G16" s="24">
        <f t="shared" si="15"/>
        <v>0</v>
      </c>
      <c r="H16" s="24">
        <f t="shared" si="15"/>
        <v>0</v>
      </c>
      <c r="I16" s="24">
        <f t="shared" si="15"/>
        <v>0</v>
      </c>
      <c r="J16" s="24">
        <f t="shared" si="15"/>
        <v>0</v>
      </c>
      <c r="K16" s="24">
        <f t="shared" si="15"/>
        <v>49</v>
      </c>
      <c r="L16" s="24">
        <f t="shared" si="15"/>
        <v>15.2</v>
      </c>
      <c r="M16" s="24">
        <f t="shared" si="15"/>
        <v>19.440000000000001</v>
      </c>
      <c r="N16" s="24">
        <f t="shared" si="15"/>
        <v>8</v>
      </c>
      <c r="O16" s="24">
        <f t="shared" si="15"/>
        <v>0</v>
      </c>
      <c r="P16" s="24">
        <f t="shared" si="15"/>
        <v>0</v>
      </c>
      <c r="Q16" s="24">
        <f t="shared" si="15"/>
        <v>0</v>
      </c>
      <c r="R16" s="24">
        <f t="shared" si="15"/>
        <v>0</v>
      </c>
      <c r="S16" s="24">
        <f t="shared" si="15"/>
        <v>0</v>
      </c>
      <c r="T16" s="24">
        <f t="shared" si="15"/>
        <v>0</v>
      </c>
      <c r="U16" s="24">
        <f t="shared" si="15"/>
        <v>19</v>
      </c>
      <c r="V16" s="24">
        <f t="shared" si="15"/>
        <v>0</v>
      </c>
      <c r="W16" s="24">
        <f t="shared" si="15"/>
        <v>0</v>
      </c>
      <c r="X16" s="24">
        <f t="shared" si="15"/>
        <v>21</v>
      </c>
      <c r="Y16" s="24">
        <f t="shared" si="15"/>
        <v>0</v>
      </c>
      <c r="Z16" s="24">
        <f t="shared" si="15"/>
        <v>0</v>
      </c>
      <c r="AA16" s="24">
        <f t="shared" si="15"/>
        <v>0</v>
      </c>
      <c r="AB16" s="24">
        <f t="shared" si="15"/>
        <v>0</v>
      </c>
      <c r="AC16" s="24">
        <f t="shared" si="15"/>
        <v>0</v>
      </c>
      <c r="AD16" s="24">
        <f t="shared" si="15"/>
        <v>0</v>
      </c>
      <c r="AE16" s="41"/>
      <c r="AF16" s="41"/>
      <c r="AG16" s="41"/>
      <c r="AH16" s="30">
        <f t="shared" ref="AH16:AS16" si="16">SUM(AH14:AH15)</f>
        <v>1</v>
      </c>
      <c r="AI16" s="30">
        <f t="shared" si="16"/>
        <v>0</v>
      </c>
      <c r="AJ16" s="30">
        <f t="shared" si="16"/>
        <v>0</v>
      </c>
      <c r="AK16" s="30">
        <f t="shared" si="16"/>
        <v>1</v>
      </c>
      <c r="AL16" s="30">
        <f t="shared" si="16"/>
        <v>0</v>
      </c>
      <c r="AM16" s="30">
        <f t="shared" si="16"/>
        <v>0</v>
      </c>
      <c r="AN16" s="30">
        <f t="shared" si="16"/>
        <v>0</v>
      </c>
      <c r="AO16" s="30">
        <f t="shared" si="16"/>
        <v>0</v>
      </c>
      <c r="AP16" s="30">
        <f t="shared" si="16"/>
        <v>0</v>
      </c>
      <c r="AQ16" s="30">
        <f t="shared" si="16"/>
        <v>0</v>
      </c>
      <c r="AR16" s="30">
        <f t="shared" si="16"/>
        <v>0</v>
      </c>
      <c r="AS16" s="30">
        <f t="shared" si="16"/>
        <v>0</v>
      </c>
      <c r="AT16" s="219" t="s">
        <v>32</v>
      </c>
      <c r="AU16" s="144" t="s">
        <v>30</v>
      </c>
      <c r="AV16" s="145" t="s">
        <v>31</v>
      </c>
    </row>
    <row r="17" spans="1:48" s="28" customFormat="1" ht="24.95" customHeight="1">
      <c r="B17" s="149"/>
      <c r="C17" s="149"/>
      <c r="D17" s="149"/>
      <c r="E17" s="149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1"/>
      <c r="AF17" s="151"/>
      <c r="AG17" s="151"/>
      <c r="AT17" s="92" t="s">
        <v>33</v>
      </c>
      <c r="AU17" s="152">
        <f>AL18</f>
        <v>3</v>
      </c>
      <c r="AV17" s="153">
        <f>AM18</f>
        <v>0</v>
      </c>
    </row>
    <row r="18" spans="1:48" s="28" customFormat="1" ht="30" customHeight="1">
      <c r="A18" s="184" t="s">
        <v>15</v>
      </c>
      <c r="B18" s="183"/>
      <c r="C18" s="183"/>
      <c r="D18" s="183"/>
      <c r="E18" s="183"/>
      <c r="F18" s="185">
        <f t="shared" ref="F18:AD18" si="17">F16+F13+F8</f>
        <v>0</v>
      </c>
      <c r="G18" s="185">
        <f t="shared" si="17"/>
        <v>0</v>
      </c>
      <c r="H18" s="185">
        <f t="shared" si="17"/>
        <v>0</v>
      </c>
      <c r="I18" s="185">
        <f t="shared" si="17"/>
        <v>0</v>
      </c>
      <c r="J18" s="185">
        <f t="shared" si="17"/>
        <v>0</v>
      </c>
      <c r="K18" s="185">
        <f t="shared" si="17"/>
        <v>192</v>
      </c>
      <c r="L18" s="185">
        <f t="shared" si="17"/>
        <v>72</v>
      </c>
      <c r="M18" s="187">
        <f t="shared" si="17"/>
        <v>38.880000000000003</v>
      </c>
      <c r="N18" s="185">
        <f t="shared" si="17"/>
        <v>16</v>
      </c>
      <c r="O18" s="185">
        <f t="shared" si="17"/>
        <v>0</v>
      </c>
      <c r="P18" s="185">
        <f t="shared" si="17"/>
        <v>0</v>
      </c>
      <c r="Q18" s="185">
        <f t="shared" si="17"/>
        <v>4</v>
      </c>
      <c r="R18" s="185">
        <f t="shared" si="17"/>
        <v>0</v>
      </c>
      <c r="S18" s="185">
        <f t="shared" si="17"/>
        <v>0</v>
      </c>
      <c r="T18" s="185">
        <f t="shared" si="17"/>
        <v>0</v>
      </c>
      <c r="U18" s="185">
        <f t="shared" si="17"/>
        <v>98</v>
      </c>
      <c r="V18" s="185">
        <f t="shared" si="17"/>
        <v>0</v>
      </c>
      <c r="W18" s="185">
        <f t="shared" si="17"/>
        <v>0</v>
      </c>
      <c r="X18" s="185">
        <f t="shared" si="17"/>
        <v>50</v>
      </c>
      <c r="Y18" s="185">
        <f t="shared" si="17"/>
        <v>0</v>
      </c>
      <c r="Z18" s="185">
        <f t="shared" si="17"/>
        <v>0</v>
      </c>
      <c r="AA18" s="185">
        <f t="shared" si="17"/>
        <v>0</v>
      </c>
      <c r="AB18" s="185">
        <f t="shared" si="17"/>
        <v>0</v>
      </c>
      <c r="AC18" s="185">
        <f t="shared" si="17"/>
        <v>0</v>
      </c>
      <c r="AD18" s="185">
        <f t="shared" si="17"/>
        <v>0</v>
      </c>
      <c r="AE18" s="151"/>
      <c r="AF18" s="151"/>
      <c r="AG18" s="151"/>
      <c r="AH18" s="189">
        <f t="shared" ref="AH18:AS18" si="18">AH16+AH13+AH8</f>
        <v>1</v>
      </c>
      <c r="AI18" s="189">
        <f t="shared" si="18"/>
        <v>0</v>
      </c>
      <c r="AJ18" s="189">
        <f t="shared" si="18"/>
        <v>1</v>
      </c>
      <c r="AK18" s="189">
        <f t="shared" si="18"/>
        <v>1</v>
      </c>
      <c r="AL18" s="189">
        <f t="shared" si="18"/>
        <v>3</v>
      </c>
      <c r="AM18" s="189">
        <f t="shared" si="18"/>
        <v>0</v>
      </c>
      <c r="AN18" s="189">
        <f t="shared" si="18"/>
        <v>0</v>
      </c>
      <c r="AO18" s="189">
        <f t="shared" si="18"/>
        <v>0</v>
      </c>
      <c r="AP18" s="189">
        <f t="shared" si="18"/>
        <v>0</v>
      </c>
      <c r="AQ18" s="189">
        <f t="shared" si="18"/>
        <v>0</v>
      </c>
      <c r="AR18" s="189">
        <f t="shared" si="18"/>
        <v>0</v>
      </c>
      <c r="AS18" s="189">
        <f t="shared" si="18"/>
        <v>0</v>
      </c>
      <c r="AT18" s="146" t="s">
        <v>26</v>
      </c>
      <c r="AU18" s="147">
        <f>AN18</f>
        <v>0</v>
      </c>
      <c r="AV18" s="148">
        <f>AO18</f>
        <v>0</v>
      </c>
    </row>
    <row r="19" spans="1:48" s="46" customFormat="1" ht="30" customHeight="1">
      <c r="A19" s="16"/>
      <c r="B19" s="17"/>
      <c r="C19" s="157" t="s">
        <v>58</v>
      </c>
      <c r="D19" s="157"/>
      <c r="E19" s="158"/>
      <c r="F19" s="159">
        <v>26.292100000000001</v>
      </c>
      <c r="G19" s="160">
        <v>115.8</v>
      </c>
      <c r="H19" s="160">
        <v>35.47</v>
      </c>
      <c r="I19" s="160">
        <v>27.343800000000002</v>
      </c>
      <c r="J19" s="160">
        <v>40</v>
      </c>
      <c r="K19" s="159">
        <v>29.5639</v>
      </c>
      <c r="L19" s="159">
        <v>145.88</v>
      </c>
      <c r="M19" s="159">
        <v>27.66</v>
      </c>
      <c r="N19" s="159">
        <v>26.25</v>
      </c>
      <c r="O19" s="159">
        <v>171.74107142857142</v>
      </c>
      <c r="P19" s="159">
        <v>176.78571428571428</v>
      </c>
      <c r="Q19" s="159">
        <v>195</v>
      </c>
      <c r="R19" s="159">
        <v>180.35714285714283</v>
      </c>
      <c r="S19" s="159">
        <v>198</v>
      </c>
      <c r="T19" s="159">
        <v>195</v>
      </c>
      <c r="U19" s="159">
        <v>189.38</v>
      </c>
      <c r="V19" s="159">
        <v>207</v>
      </c>
      <c r="W19" s="159">
        <v>379.46</v>
      </c>
      <c r="X19" s="159">
        <v>35.15</v>
      </c>
      <c r="Y19" s="159">
        <v>35.893000000000001</v>
      </c>
      <c r="Z19" s="159">
        <v>37.5</v>
      </c>
      <c r="AA19" s="159">
        <v>81.900000000000006</v>
      </c>
      <c r="AB19" s="159">
        <v>20.62</v>
      </c>
      <c r="AC19" s="159">
        <v>267.18</v>
      </c>
      <c r="AD19" s="159">
        <v>7.5</v>
      </c>
      <c r="AE19" s="16"/>
      <c r="AF19" s="16"/>
      <c r="AG19" s="16"/>
      <c r="AT19" s="54" t="s">
        <v>27</v>
      </c>
      <c r="AU19" s="44">
        <f>AP18</f>
        <v>0</v>
      </c>
      <c r="AV19" s="45">
        <f>AQ18</f>
        <v>0</v>
      </c>
    </row>
    <row r="20" spans="1:48" s="46" customFormat="1" ht="30" customHeight="1">
      <c r="A20" s="16"/>
      <c r="B20" s="17"/>
      <c r="C20" s="113" t="s">
        <v>53</v>
      </c>
      <c r="D20" s="113"/>
      <c r="E20" s="27">
        <f>F20+G20+K20+L20+M20+N20+O20+P20+Q20+R20+S20+U20+X20+Y20+Z20+AA20+AB20+AC20+AD20+H20+I20</f>
        <v>38771.789600000004</v>
      </c>
      <c r="F20" s="112">
        <f>F18*F19</f>
        <v>0</v>
      </c>
      <c r="G20" s="112">
        <f t="shared" ref="G20:AD20" si="19">G18*G19</f>
        <v>0</v>
      </c>
      <c r="H20" s="112">
        <f t="shared" si="19"/>
        <v>0</v>
      </c>
      <c r="I20" s="112">
        <f t="shared" si="19"/>
        <v>0</v>
      </c>
      <c r="J20" s="112">
        <f t="shared" ref="J20" si="20">J18*J19</f>
        <v>0</v>
      </c>
      <c r="K20" s="112">
        <f t="shared" si="19"/>
        <v>5676.2687999999998</v>
      </c>
      <c r="L20" s="112">
        <f t="shared" si="19"/>
        <v>10503.36</v>
      </c>
      <c r="M20" s="112">
        <f t="shared" si="19"/>
        <v>1075.4208000000001</v>
      </c>
      <c r="N20" s="112">
        <f t="shared" si="19"/>
        <v>420</v>
      </c>
      <c r="O20" s="112">
        <f t="shared" si="19"/>
        <v>0</v>
      </c>
      <c r="P20" s="112">
        <f t="shared" si="19"/>
        <v>0</v>
      </c>
      <c r="Q20" s="115">
        <f t="shared" si="19"/>
        <v>780</v>
      </c>
      <c r="R20" s="112">
        <f t="shared" si="19"/>
        <v>0</v>
      </c>
      <c r="S20" s="112">
        <f t="shared" si="19"/>
        <v>0</v>
      </c>
      <c r="T20" s="112">
        <f t="shared" si="19"/>
        <v>0</v>
      </c>
      <c r="U20" s="115">
        <f t="shared" si="19"/>
        <v>18559.239999999998</v>
      </c>
      <c r="V20" s="112">
        <f t="shared" si="19"/>
        <v>0</v>
      </c>
      <c r="W20" s="112">
        <f t="shared" si="19"/>
        <v>0</v>
      </c>
      <c r="X20" s="115">
        <f t="shared" si="19"/>
        <v>1757.5</v>
      </c>
      <c r="Y20" s="112">
        <f t="shared" si="19"/>
        <v>0</v>
      </c>
      <c r="Z20" s="112">
        <f t="shared" si="19"/>
        <v>0</v>
      </c>
      <c r="AA20" s="112">
        <f t="shared" si="19"/>
        <v>0</v>
      </c>
      <c r="AB20" s="112">
        <f t="shared" si="19"/>
        <v>0</v>
      </c>
      <c r="AC20" s="112">
        <f t="shared" si="19"/>
        <v>0</v>
      </c>
      <c r="AD20" s="112">
        <f t="shared" si="19"/>
        <v>0</v>
      </c>
      <c r="AE20" s="16"/>
      <c r="AF20" s="16"/>
      <c r="AG20" s="16"/>
      <c r="AT20" s="54" t="s">
        <v>34</v>
      </c>
      <c r="AU20" s="44">
        <f>AH18</f>
        <v>1</v>
      </c>
      <c r="AV20" s="45">
        <f>AI18</f>
        <v>0</v>
      </c>
    </row>
    <row r="21" spans="1:48" s="16" customFormat="1" ht="30" customHeight="1">
      <c r="B21" s="17"/>
      <c r="C21" s="17"/>
      <c r="D21" s="17"/>
      <c r="AT21" s="54" t="s">
        <v>29</v>
      </c>
      <c r="AU21" s="14">
        <f>AJ18</f>
        <v>1</v>
      </c>
      <c r="AV21" s="15">
        <f>AK18</f>
        <v>1</v>
      </c>
    </row>
    <row r="22" spans="1:48" s="16" customFormat="1" ht="30" customHeight="1" thickBot="1">
      <c r="B22" s="17"/>
      <c r="C22" s="17"/>
      <c r="D22" s="17"/>
      <c r="AT22" s="55" t="s">
        <v>35</v>
      </c>
      <c r="AU22" s="18">
        <f>AR18</f>
        <v>0</v>
      </c>
      <c r="AV22" s="19">
        <f>AS18</f>
        <v>0</v>
      </c>
    </row>
    <row r="23" spans="1:48" s="16" customFormat="1" ht="30" customHeight="1">
      <c r="B23" s="17"/>
      <c r="C23" s="17"/>
      <c r="D23" s="17"/>
      <c r="AS23" s="269">
        <f>AT23-AU23</f>
        <v>0</v>
      </c>
      <c r="AT23" s="269">
        <f>SUM(AX7:AX15)</f>
        <v>5</v>
      </c>
      <c r="AU23" s="269">
        <f>SUM(AU17:AU22)</f>
        <v>5</v>
      </c>
    </row>
    <row r="24" spans="1:48" s="12" customFormat="1" ht="11.25" customHeight="1">
      <c r="B24" s="13"/>
      <c r="C24" s="13"/>
      <c r="D24" s="13"/>
    </row>
    <row r="25" spans="1:48" s="12" customFormat="1">
      <c r="B25" s="250" t="s">
        <v>89</v>
      </c>
      <c r="C25" s="250" t="s">
        <v>86</v>
      </c>
      <c r="D25" s="250" t="s">
        <v>58</v>
      </c>
      <c r="E25" s="250" t="s">
        <v>87</v>
      </c>
      <c r="O25" s="12" t="s">
        <v>18</v>
      </c>
    </row>
    <row r="26" spans="1:48" s="12" customFormat="1">
      <c r="B26" s="242" t="s">
        <v>72</v>
      </c>
      <c r="C26" s="248"/>
      <c r="D26" s="247">
        <v>26.292100000000001</v>
      </c>
      <c r="E26" s="248">
        <f>C26*D26</f>
        <v>0</v>
      </c>
    </row>
    <row r="27" spans="1:48" s="12" customFormat="1">
      <c r="B27" s="242" t="s">
        <v>100</v>
      </c>
      <c r="C27" s="248">
        <f>I18</f>
        <v>0</v>
      </c>
      <c r="D27" s="247">
        <v>27.343800000000002</v>
      </c>
      <c r="E27" s="248"/>
    </row>
    <row r="28" spans="1:48" s="12" customFormat="1">
      <c r="B28" s="242" t="s">
        <v>73</v>
      </c>
      <c r="C28" s="248">
        <f>K18</f>
        <v>192</v>
      </c>
      <c r="D28" s="247">
        <v>29.5639</v>
      </c>
      <c r="E28" s="248">
        <f t="shared" ref="E28:E48" si="21">C28*D28</f>
        <v>5676.2687999999998</v>
      </c>
    </row>
    <row r="29" spans="1:48">
      <c r="B29" s="279" t="s">
        <v>2</v>
      </c>
      <c r="C29" s="245">
        <f>L18</f>
        <v>72</v>
      </c>
      <c r="D29" s="246">
        <v>145.88</v>
      </c>
      <c r="E29" s="248">
        <f t="shared" si="21"/>
        <v>10503.36</v>
      </c>
    </row>
    <row r="30" spans="1:48">
      <c r="B30" s="279" t="s">
        <v>74</v>
      </c>
      <c r="C30" s="249">
        <f>M18</f>
        <v>38.880000000000003</v>
      </c>
      <c r="D30" s="246">
        <v>27.66</v>
      </c>
      <c r="E30" s="248">
        <f t="shared" si="21"/>
        <v>1075.4208000000001</v>
      </c>
    </row>
    <row r="31" spans="1:48">
      <c r="B31" s="279" t="s">
        <v>3</v>
      </c>
      <c r="C31" s="245">
        <f>N18</f>
        <v>16</v>
      </c>
      <c r="D31" s="246">
        <v>26.25</v>
      </c>
      <c r="E31" s="248">
        <f t="shared" si="21"/>
        <v>420</v>
      </c>
    </row>
    <row r="32" spans="1:48">
      <c r="B32" s="279" t="s">
        <v>75</v>
      </c>
      <c r="C32" s="245">
        <f>AB18</f>
        <v>0</v>
      </c>
      <c r="D32" s="246">
        <v>20.62</v>
      </c>
      <c r="E32" s="248">
        <f t="shared" si="21"/>
        <v>0</v>
      </c>
    </row>
    <row r="33" spans="2:5">
      <c r="B33" s="279" t="s">
        <v>76</v>
      </c>
      <c r="C33" s="245"/>
      <c r="D33" s="246">
        <v>171.74107142857142</v>
      </c>
      <c r="E33" s="248">
        <f t="shared" si="21"/>
        <v>0</v>
      </c>
    </row>
    <row r="34" spans="2:5">
      <c r="B34" s="279" t="s">
        <v>77</v>
      </c>
      <c r="C34" s="245"/>
      <c r="D34" s="246">
        <v>176.78571428571428</v>
      </c>
      <c r="E34" s="248">
        <f t="shared" si="21"/>
        <v>0</v>
      </c>
    </row>
    <row r="35" spans="2:5">
      <c r="B35" s="279" t="s">
        <v>78</v>
      </c>
      <c r="C35" s="245"/>
      <c r="D35" s="246">
        <v>180.35714285714283</v>
      </c>
      <c r="E35" s="248">
        <f t="shared" si="21"/>
        <v>0</v>
      </c>
    </row>
    <row r="36" spans="2:5">
      <c r="B36" s="279" t="s">
        <v>68</v>
      </c>
      <c r="C36" s="245"/>
      <c r="D36" s="246">
        <v>207</v>
      </c>
      <c r="E36" s="248">
        <f t="shared" si="21"/>
        <v>0</v>
      </c>
    </row>
    <row r="37" spans="2:5">
      <c r="B37" s="279" t="s">
        <v>79</v>
      </c>
      <c r="C37" s="246"/>
      <c r="D37" s="246">
        <v>331</v>
      </c>
      <c r="E37" s="248">
        <f t="shared" si="21"/>
        <v>0</v>
      </c>
    </row>
    <row r="38" spans="2:5">
      <c r="B38" s="279" t="s">
        <v>80</v>
      </c>
      <c r="C38" s="245">
        <f>U18</f>
        <v>98</v>
      </c>
      <c r="D38" s="246">
        <v>189.38</v>
      </c>
      <c r="E38" s="248">
        <f t="shared" si="21"/>
        <v>18559.239999999998</v>
      </c>
    </row>
    <row r="39" spans="2:5">
      <c r="B39" s="279" t="s">
        <v>81</v>
      </c>
      <c r="C39" s="245"/>
      <c r="D39" s="246">
        <v>195</v>
      </c>
      <c r="E39" s="248">
        <f t="shared" si="21"/>
        <v>0</v>
      </c>
    </row>
    <row r="40" spans="2:5">
      <c r="B40" s="279" t="s">
        <v>82</v>
      </c>
      <c r="C40" s="245">
        <f>Q18</f>
        <v>4</v>
      </c>
      <c r="D40" s="246">
        <v>195</v>
      </c>
      <c r="E40" s="248">
        <f t="shared" si="21"/>
        <v>780</v>
      </c>
    </row>
    <row r="41" spans="2:5">
      <c r="B41" s="279" t="s">
        <v>55</v>
      </c>
      <c r="C41" s="246"/>
      <c r="D41" s="246">
        <v>359.83</v>
      </c>
      <c r="E41" s="248">
        <f t="shared" si="21"/>
        <v>0</v>
      </c>
    </row>
    <row r="42" spans="2:5">
      <c r="B42" s="279" t="s">
        <v>56</v>
      </c>
      <c r="C42" s="246"/>
      <c r="D42" s="246">
        <v>379.46</v>
      </c>
      <c r="E42" s="248">
        <f t="shared" si="21"/>
        <v>0</v>
      </c>
    </row>
    <row r="43" spans="2:5">
      <c r="B43" s="279" t="s">
        <v>83</v>
      </c>
      <c r="C43" s="245">
        <f>X18</f>
        <v>50</v>
      </c>
      <c r="D43" s="246">
        <v>35.15</v>
      </c>
      <c r="E43" s="248">
        <f t="shared" si="21"/>
        <v>1757.5</v>
      </c>
    </row>
    <row r="44" spans="2:5">
      <c r="B44" s="279" t="s">
        <v>84</v>
      </c>
      <c r="C44" s="245">
        <f>Y18</f>
        <v>0</v>
      </c>
      <c r="D44" s="246">
        <v>35.893000000000001</v>
      </c>
      <c r="E44" s="248">
        <f t="shared" si="21"/>
        <v>0</v>
      </c>
    </row>
    <row r="45" spans="2:5">
      <c r="B45" s="279" t="s">
        <v>95</v>
      </c>
      <c r="C45" s="245" t="e">
        <f>#REF!</f>
        <v>#REF!</v>
      </c>
      <c r="D45" s="246">
        <v>37.5</v>
      </c>
      <c r="E45" s="248" t="e">
        <f t="shared" si="21"/>
        <v>#REF!</v>
      </c>
    </row>
    <row r="46" spans="2:5">
      <c r="B46" s="279" t="s">
        <v>85</v>
      </c>
      <c r="C46" s="246">
        <f>AA18</f>
        <v>0</v>
      </c>
      <c r="D46" s="246">
        <v>81.900000000000006</v>
      </c>
      <c r="E46" s="248">
        <f t="shared" si="21"/>
        <v>0</v>
      </c>
    </row>
    <row r="47" spans="2:5">
      <c r="B47" s="279" t="s">
        <v>20</v>
      </c>
      <c r="C47" s="245">
        <f>AD18</f>
        <v>0</v>
      </c>
      <c r="D47" s="246">
        <v>7.5</v>
      </c>
      <c r="E47" s="248">
        <f t="shared" si="21"/>
        <v>0</v>
      </c>
    </row>
    <row r="48" spans="2:5">
      <c r="B48" s="279" t="s">
        <v>7</v>
      </c>
      <c r="C48" s="245">
        <f>AC18</f>
        <v>0</v>
      </c>
      <c r="D48" s="246">
        <v>267.18</v>
      </c>
      <c r="E48" s="248">
        <f t="shared" si="21"/>
        <v>0</v>
      </c>
    </row>
    <row r="49" spans="2:5">
      <c r="B49" s="279" t="s">
        <v>88</v>
      </c>
      <c r="C49" s="245" t="e">
        <f>SUM(C26:C48)</f>
        <v>#REF!</v>
      </c>
      <c r="D49" s="246"/>
      <c r="E49" s="245" t="e">
        <f>SUM(E26:E48)</f>
        <v>#REF!</v>
      </c>
    </row>
  </sheetData>
  <mergeCells count="25">
    <mergeCell ref="D4:D6"/>
    <mergeCell ref="A2:B2"/>
    <mergeCell ref="C2:E2"/>
    <mergeCell ref="AR4:AS5"/>
    <mergeCell ref="AD4:AD5"/>
    <mergeCell ref="AH4:AI5"/>
    <mergeCell ref="AJ4:AK5"/>
    <mergeCell ref="AL4:AM5"/>
    <mergeCell ref="AN4:AO5"/>
    <mergeCell ref="AP4:AQ5"/>
    <mergeCell ref="AC4:AC5"/>
    <mergeCell ref="A4:A6"/>
    <mergeCell ref="B4:B6"/>
    <mergeCell ref="C4:C6"/>
    <mergeCell ref="E4:E6"/>
    <mergeCell ref="L4:L5"/>
    <mergeCell ref="AE4:AE6"/>
    <mergeCell ref="AF4:AF6"/>
    <mergeCell ref="AG4:AG6"/>
    <mergeCell ref="AB4:AB5"/>
    <mergeCell ref="M4:M5"/>
    <mergeCell ref="N4:N5"/>
    <mergeCell ref="O4:P4"/>
    <mergeCell ref="R4:S4"/>
    <mergeCell ref="X4:AA4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58"/>
  <sheetViews>
    <sheetView zoomScale="85" zoomScaleNormal="85" workbookViewId="0">
      <pane xSplit="5" ySplit="6" topLeftCell="AE16" activePane="bottomRight" state="frozen"/>
      <selection activeCell="D37" sqref="D37"/>
      <selection pane="topRight" activeCell="D37" sqref="D37"/>
      <selection pane="bottomLeft" activeCell="D37" sqref="D37"/>
      <selection pane="bottomRight" activeCell="AO31" sqref="AO31"/>
    </sheetView>
  </sheetViews>
  <sheetFormatPr defaultColWidth="9.140625" defaultRowHeight="18"/>
  <cols>
    <col min="1" max="1" width="7" style="7" customWidth="1"/>
    <col min="2" max="2" width="28" style="6" customWidth="1"/>
    <col min="3" max="3" width="21.140625" style="6" customWidth="1"/>
    <col min="4" max="4" width="12" style="6" customWidth="1"/>
    <col min="5" max="5" width="28.5703125" style="3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1" width="12.140625" style="1" customWidth="1"/>
    <col min="12" max="12" width="15.28515625" style="1" customWidth="1"/>
    <col min="13" max="13" width="13.85546875" style="1" customWidth="1"/>
    <col min="14" max="14" width="11.140625" style="1" customWidth="1"/>
    <col min="15" max="16" width="11.140625" style="1" hidden="1" customWidth="1"/>
    <col min="17" max="17" width="11.140625" style="1" customWidth="1"/>
    <col min="18" max="20" width="11.140625" style="1" hidden="1" customWidth="1"/>
    <col min="21" max="21" width="11.140625" style="1" customWidth="1"/>
    <col min="22" max="23" width="11.140625" style="1" hidden="1" customWidth="1"/>
    <col min="24" max="24" width="10.28515625" style="1" customWidth="1"/>
    <col min="25" max="25" width="11.140625" style="1" customWidth="1"/>
    <col min="26" max="26" width="9.140625" style="1" customWidth="1"/>
    <col min="27" max="27" width="8" style="1" customWidth="1"/>
    <col min="28" max="28" width="11.140625" style="1" customWidth="1"/>
    <col min="29" max="29" width="8.5703125" style="1" customWidth="1"/>
    <col min="30" max="30" width="8.85546875" style="1" customWidth="1"/>
    <col min="31" max="31" width="13" style="1" customWidth="1"/>
    <col min="32" max="32" width="12.7109375" style="1" hidden="1" customWidth="1"/>
    <col min="33" max="33" width="15.42578125" style="1" hidden="1" customWidth="1"/>
    <col min="34" max="45" width="11.28515625" style="1" customWidth="1"/>
    <col min="46" max="46" width="32.7109375" style="1" bestFit="1" customWidth="1"/>
    <col min="47" max="48" width="10.5703125" style="1" bestFit="1" customWidth="1"/>
    <col min="49" max="49" width="9.140625" style="1"/>
    <col min="50" max="50" width="9.5703125" style="1" bestFit="1" customWidth="1"/>
    <col min="51" max="16384" width="9.140625" style="1"/>
  </cols>
  <sheetData>
    <row r="2" spans="1:50" s="4" customFormat="1" ht="29.25" customHeight="1">
      <c r="A2" s="359" t="s">
        <v>24</v>
      </c>
      <c r="B2" s="359"/>
      <c r="C2" s="360">
        <f>TOTAL!D3</f>
        <v>46153</v>
      </c>
      <c r="D2" s="360"/>
      <c r="E2" s="360"/>
      <c r="F2" s="96"/>
      <c r="G2" s="96"/>
      <c r="H2" s="96"/>
      <c r="I2" s="96"/>
      <c r="J2" s="96"/>
      <c r="K2" s="96"/>
      <c r="N2" s="254" t="s">
        <v>64</v>
      </c>
      <c r="O2" s="254"/>
      <c r="P2" s="254"/>
      <c r="Q2" s="254"/>
    </row>
    <row r="3" spans="1:50" s="4" customFormat="1" ht="15.75" customHeight="1">
      <c r="A3" s="46"/>
      <c r="B3" s="46"/>
      <c r="C3" s="120"/>
      <c r="D3" s="120"/>
      <c r="E3" s="120"/>
      <c r="F3" s="8"/>
      <c r="G3" s="8"/>
      <c r="H3" s="8"/>
      <c r="I3" s="8"/>
      <c r="J3" s="8"/>
      <c r="K3" s="8"/>
      <c r="O3" s="5"/>
      <c r="P3" s="5"/>
    </row>
    <row r="4" spans="1:50" s="2" customFormat="1" ht="31.5" customHeight="1">
      <c r="A4" s="334" t="s">
        <v>12</v>
      </c>
      <c r="B4" s="334" t="s">
        <v>13</v>
      </c>
      <c r="C4" s="334" t="s">
        <v>57</v>
      </c>
      <c r="D4" s="337" t="s">
        <v>101</v>
      </c>
      <c r="E4" s="323" t="s">
        <v>0</v>
      </c>
      <c r="F4" s="180" t="s">
        <v>21</v>
      </c>
      <c r="G4" s="181" t="s">
        <v>14</v>
      </c>
      <c r="H4" s="181" t="s">
        <v>71</v>
      </c>
      <c r="I4" s="181" t="s">
        <v>117</v>
      </c>
      <c r="J4" s="182" t="s">
        <v>14</v>
      </c>
      <c r="K4" s="182" t="s">
        <v>14</v>
      </c>
      <c r="L4" s="326" t="s">
        <v>2</v>
      </c>
      <c r="M4" s="327" t="s">
        <v>22</v>
      </c>
      <c r="N4" s="326" t="s">
        <v>3</v>
      </c>
      <c r="O4" s="320" t="s">
        <v>4</v>
      </c>
      <c r="P4" s="321"/>
      <c r="Q4" s="181" t="s">
        <v>5</v>
      </c>
      <c r="R4" s="320" t="s">
        <v>17</v>
      </c>
      <c r="S4" s="321"/>
      <c r="T4" s="229" t="s">
        <v>5</v>
      </c>
      <c r="U4" s="181" t="s">
        <v>5</v>
      </c>
      <c r="V4" s="181" t="s">
        <v>68</v>
      </c>
      <c r="W4" s="181" t="s">
        <v>56</v>
      </c>
      <c r="X4" s="356" t="s">
        <v>6</v>
      </c>
      <c r="Y4" s="356"/>
      <c r="Z4" s="356"/>
      <c r="AA4" s="356"/>
      <c r="AB4" s="327" t="s">
        <v>19</v>
      </c>
      <c r="AC4" s="327" t="s">
        <v>7</v>
      </c>
      <c r="AD4" s="327" t="s">
        <v>20</v>
      </c>
      <c r="AE4" s="387" t="s">
        <v>115</v>
      </c>
      <c r="AF4" s="387" t="s">
        <v>113</v>
      </c>
      <c r="AG4" s="387" t="s">
        <v>114</v>
      </c>
      <c r="AH4" s="361" t="s">
        <v>28</v>
      </c>
      <c r="AI4" s="361"/>
      <c r="AJ4" s="310" t="s">
        <v>29</v>
      </c>
      <c r="AK4" s="311"/>
      <c r="AL4" s="310" t="s">
        <v>25</v>
      </c>
      <c r="AM4" s="311"/>
      <c r="AN4" s="310" t="s">
        <v>26</v>
      </c>
      <c r="AO4" s="311"/>
      <c r="AP4" s="310" t="s">
        <v>27</v>
      </c>
      <c r="AQ4" s="311"/>
      <c r="AR4" s="310" t="s">
        <v>41</v>
      </c>
      <c r="AS4" s="311"/>
      <c r="AT4" s="50"/>
    </row>
    <row r="5" spans="1:50" s="2" customFormat="1" ht="21" customHeight="1">
      <c r="A5" s="335"/>
      <c r="B5" s="335"/>
      <c r="C5" s="335"/>
      <c r="D5" s="338"/>
      <c r="E5" s="324"/>
      <c r="F5" s="182">
        <v>208</v>
      </c>
      <c r="G5" s="182">
        <v>38</v>
      </c>
      <c r="H5" s="182">
        <v>200</v>
      </c>
      <c r="I5" s="182">
        <v>200</v>
      </c>
      <c r="J5" s="182">
        <v>135</v>
      </c>
      <c r="K5" s="182">
        <v>215</v>
      </c>
      <c r="L5" s="326"/>
      <c r="M5" s="328"/>
      <c r="N5" s="326"/>
      <c r="O5" s="180">
        <v>2.4</v>
      </c>
      <c r="P5" s="180">
        <v>3.6</v>
      </c>
      <c r="Q5" s="180">
        <v>3.6</v>
      </c>
      <c r="R5" s="181">
        <v>2.4</v>
      </c>
      <c r="S5" s="181">
        <v>3.6</v>
      </c>
      <c r="T5" s="181">
        <v>4.9000000000000004</v>
      </c>
      <c r="U5" s="180">
        <v>2.4</v>
      </c>
      <c r="V5" s="180">
        <v>2.4</v>
      </c>
      <c r="W5" s="180"/>
      <c r="X5" s="182">
        <v>5</v>
      </c>
      <c r="Y5" s="182">
        <v>10</v>
      </c>
      <c r="Z5" s="253" t="s">
        <v>96</v>
      </c>
      <c r="AA5" s="182">
        <v>40</v>
      </c>
      <c r="AB5" s="328"/>
      <c r="AC5" s="328"/>
      <c r="AD5" s="328"/>
      <c r="AE5" s="388"/>
      <c r="AF5" s="388"/>
      <c r="AG5" s="388"/>
      <c r="AH5" s="361"/>
      <c r="AI5" s="361"/>
      <c r="AJ5" s="312"/>
      <c r="AK5" s="313"/>
      <c r="AL5" s="312"/>
      <c r="AM5" s="313"/>
      <c r="AN5" s="312"/>
      <c r="AO5" s="313"/>
      <c r="AP5" s="312"/>
      <c r="AQ5" s="313"/>
      <c r="AR5" s="312"/>
      <c r="AS5" s="313"/>
      <c r="AT5" s="50"/>
    </row>
    <row r="6" spans="1:50" s="2" customFormat="1" ht="24" customHeight="1">
      <c r="A6" s="336"/>
      <c r="B6" s="336"/>
      <c r="C6" s="336"/>
      <c r="D6" s="339"/>
      <c r="E6" s="325"/>
      <c r="F6" s="182" t="s">
        <v>8</v>
      </c>
      <c r="G6" s="182" t="s">
        <v>8</v>
      </c>
      <c r="H6" s="182" t="s">
        <v>8</v>
      </c>
      <c r="I6" s="182" t="s">
        <v>8</v>
      </c>
      <c r="J6" s="182" t="s">
        <v>8</v>
      </c>
      <c r="K6" s="182" t="s">
        <v>8</v>
      </c>
      <c r="L6" s="182" t="s">
        <v>9</v>
      </c>
      <c r="M6" s="182" t="s">
        <v>23</v>
      </c>
      <c r="N6" s="182" t="s">
        <v>8</v>
      </c>
      <c r="O6" s="182" t="s">
        <v>8</v>
      </c>
      <c r="P6" s="182" t="s">
        <v>8</v>
      </c>
      <c r="Q6" s="182" t="s">
        <v>8</v>
      </c>
      <c r="R6" s="182" t="s">
        <v>8</v>
      </c>
      <c r="S6" s="182" t="s">
        <v>8</v>
      </c>
      <c r="T6" s="182" t="s">
        <v>8</v>
      </c>
      <c r="U6" s="182" t="s">
        <v>8</v>
      </c>
      <c r="V6" s="182" t="s">
        <v>8</v>
      </c>
      <c r="W6" s="182" t="s">
        <v>8</v>
      </c>
      <c r="X6" s="182" t="s">
        <v>10</v>
      </c>
      <c r="Y6" s="182" t="s">
        <v>10</v>
      </c>
      <c r="Z6" s="182" t="s">
        <v>10</v>
      </c>
      <c r="AA6" s="182" t="s">
        <v>10</v>
      </c>
      <c r="AB6" s="182" t="s">
        <v>8</v>
      </c>
      <c r="AC6" s="182" t="s">
        <v>8</v>
      </c>
      <c r="AD6" s="182" t="s">
        <v>8</v>
      </c>
      <c r="AE6" s="389"/>
      <c r="AF6" s="389"/>
      <c r="AG6" s="389"/>
      <c r="AH6" s="131" t="s">
        <v>30</v>
      </c>
      <c r="AI6" s="131" t="s">
        <v>31</v>
      </c>
      <c r="AJ6" s="131" t="s">
        <v>30</v>
      </c>
      <c r="AK6" s="131" t="s">
        <v>31</v>
      </c>
      <c r="AL6" s="131" t="s">
        <v>30</v>
      </c>
      <c r="AM6" s="131" t="s">
        <v>31</v>
      </c>
      <c r="AN6" s="131" t="s">
        <v>30</v>
      </c>
      <c r="AO6" s="131" t="s">
        <v>31</v>
      </c>
      <c r="AP6" s="131" t="s">
        <v>30</v>
      </c>
      <c r="AQ6" s="131" t="s">
        <v>31</v>
      </c>
      <c r="AR6" s="131" t="s">
        <v>30</v>
      </c>
      <c r="AS6" s="131" t="s">
        <v>31</v>
      </c>
      <c r="AT6" s="50"/>
    </row>
    <row r="7" spans="1:50" s="28" customFormat="1" ht="21.95" customHeight="1">
      <c r="A7" s="25">
        <v>1</v>
      </c>
      <c r="B7" s="26" t="s">
        <v>118</v>
      </c>
      <c r="C7" s="26"/>
      <c r="D7" s="26"/>
      <c r="E7" s="27"/>
      <c r="F7" s="20"/>
      <c r="G7" s="20"/>
      <c r="H7" s="20"/>
      <c r="I7" s="20"/>
      <c r="J7" s="20"/>
      <c r="K7" s="20"/>
      <c r="L7" s="20"/>
      <c r="M7" s="21">
        <f t="shared" ref="M7" si="0">N7*2.43</f>
        <v>0</v>
      </c>
      <c r="N7" s="20"/>
      <c r="O7" s="67"/>
      <c r="P7" s="67"/>
      <c r="Q7" s="67"/>
      <c r="R7" s="67"/>
      <c r="S7" s="67"/>
      <c r="T7" s="67"/>
      <c r="U7" s="67"/>
      <c r="V7" s="67"/>
      <c r="W7" s="67"/>
      <c r="X7" s="20"/>
      <c r="Y7" s="20"/>
      <c r="Z7" s="20"/>
      <c r="AA7" s="20"/>
      <c r="AB7" s="20"/>
      <c r="AC7" s="20"/>
      <c r="AD7" s="20"/>
      <c r="AE7" s="220">
        <f t="shared" ref="AE7" si="1">O7+P7+Q7+R7+S7+T7+U7+V7</f>
        <v>0</v>
      </c>
      <c r="AF7" s="220"/>
      <c r="AG7" s="220"/>
      <c r="AH7" s="196"/>
      <c r="AI7" s="212"/>
      <c r="AJ7" s="213"/>
      <c r="AK7" s="212"/>
      <c r="AL7" s="221"/>
      <c r="AM7" s="212"/>
      <c r="AN7" s="215"/>
      <c r="AO7" s="212"/>
      <c r="AP7" s="216"/>
      <c r="AQ7" s="212"/>
      <c r="AR7" s="217"/>
      <c r="AS7" s="212"/>
      <c r="AX7" s="268">
        <f t="shared" ref="AX7:AX24" si="2">COUNTIFS(AE7,"&gt;=11")</f>
        <v>0</v>
      </c>
    </row>
    <row r="8" spans="1:50" s="28" customFormat="1" ht="24.95" customHeight="1">
      <c r="A8" s="29" t="s">
        <v>11</v>
      </c>
      <c r="B8" s="30"/>
      <c r="C8" s="30"/>
      <c r="D8" s="30"/>
      <c r="E8" s="30"/>
      <c r="F8" s="24">
        <f t="shared" ref="F8:AD8" si="3">SUM(F7:F7)</f>
        <v>0</v>
      </c>
      <c r="G8" s="24">
        <f t="shared" si="3"/>
        <v>0</v>
      </c>
      <c r="H8" s="24">
        <f t="shared" si="3"/>
        <v>0</v>
      </c>
      <c r="I8" s="24">
        <f t="shared" si="3"/>
        <v>0</v>
      </c>
      <c r="J8" s="24">
        <f t="shared" si="3"/>
        <v>0</v>
      </c>
      <c r="K8" s="24">
        <f t="shared" si="3"/>
        <v>0</v>
      </c>
      <c r="L8" s="24">
        <f t="shared" si="3"/>
        <v>0</v>
      </c>
      <c r="M8" s="24">
        <f t="shared" si="3"/>
        <v>0</v>
      </c>
      <c r="N8" s="24">
        <f t="shared" si="3"/>
        <v>0</v>
      </c>
      <c r="O8" s="24">
        <f t="shared" si="3"/>
        <v>0</v>
      </c>
      <c r="P8" s="24">
        <f t="shared" si="3"/>
        <v>0</v>
      </c>
      <c r="Q8" s="24">
        <f t="shared" si="3"/>
        <v>0</v>
      </c>
      <c r="R8" s="24">
        <f t="shared" si="3"/>
        <v>0</v>
      </c>
      <c r="S8" s="24">
        <f t="shared" si="3"/>
        <v>0</v>
      </c>
      <c r="T8" s="24">
        <f t="shared" si="3"/>
        <v>0</v>
      </c>
      <c r="U8" s="24">
        <f t="shared" si="3"/>
        <v>0</v>
      </c>
      <c r="V8" s="24">
        <f t="shared" si="3"/>
        <v>0</v>
      </c>
      <c r="W8" s="24">
        <f t="shared" si="3"/>
        <v>0</v>
      </c>
      <c r="X8" s="24">
        <f t="shared" si="3"/>
        <v>0</v>
      </c>
      <c r="Y8" s="24">
        <f t="shared" si="3"/>
        <v>0</v>
      </c>
      <c r="Z8" s="24">
        <f t="shared" si="3"/>
        <v>0</v>
      </c>
      <c r="AA8" s="24">
        <f t="shared" si="3"/>
        <v>0</v>
      </c>
      <c r="AB8" s="24">
        <f t="shared" si="3"/>
        <v>0</v>
      </c>
      <c r="AC8" s="24">
        <f t="shared" si="3"/>
        <v>0</v>
      </c>
      <c r="AD8" s="24">
        <f t="shared" si="3"/>
        <v>0</v>
      </c>
      <c r="AE8" s="41"/>
      <c r="AF8" s="41"/>
      <c r="AG8" s="41"/>
      <c r="AH8" s="30">
        <f t="shared" ref="AH8:AS8" si="4">SUM(AH7:AH7)</f>
        <v>0</v>
      </c>
      <c r="AI8" s="30">
        <f t="shared" si="4"/>
        <v>0</v>
      </c>
      <c r="AJ8" s="30">
        <f t="shared" si="4"/>
        <v>0</v>
      </c>
      <c r="AK8" s="30">
        <f t="shared" si="4"/>
        <v>0</v>
      </c>
      <c r="AL8" s="30">
        <f t="shared" si="4"/>
        <v>0</v>
      </c>
      <c r="AM8" s="30">
        <f t="shared" si="4"/>
        <v>0</v>
      </c>
      <c r="AN8" s="30">
        <f t="shared" si="4"/>
        <v>0</v>
      </c>
      <c r="AO8" s="30">
        <f t="shared" si="4"/>
        <v>0</v>
      </c>
      <c r="AP8" s="30">
        <f t="shared" si="4"/>
        <v>0</v>
      </c>
      <c r="AQ8" s="30">
        <f t="shared" si="4"/>
        <v>0</v>
      </c>
      <c r="AR8" s="30">
        <f t="shared" si="4"/>
        <v>0</v>
      </c>
      <c r="AS8" s="30">
        <f t="shared" si="4"/>
        <v>0</v>
      </c>
      <c r="AX8" s="268">
        <f t="shared" si="2"/>
        <v>0</v>
      </c>
    </row>
    <row r="9" spans="1:50" s="28" customFormat="1" ht="23.1" customHeight="1">
      <c r="A9" s="25">
        <v>2</v>
      </c>
      <c r="B9" s="27" t="s">
        <v>160</v>
      </c>
      <c r="C9" s="27" t="s">
        <v>159</v>
      </c>
      <c r="D9" s="27">
        <v>5</v>
      </c>
      <c r="E9" s="27" t="s">
        <v>158</v>
      </c>
      <c r="F9" s="21"/>
      <c r="G9" s="21"/>
      <c r="H9" s="21"/>
      <c r="I9" s="21"/>
      <c r="J9" s="21"/>
      <c r="K9" s="21">
        <v>21</v>
      </c>
      <c r="L9" s="21">
        <v>16.8</v>
      </c>
      <c r="M9" s="21">
        <v>4.8600000000000003</v>
      </c>
      <c r="N9" s="21">
        <v>2</v>
      </c>
      <c r="O9" s="69"/>
      <c r="P9" s="69"/>
      <c r="Q9" s="69"/>
      <c r="R9" s="69"/>
      <c r="S9" s="69"/>
      <c r="T9" s="69"/>
      <c r="U9" s="69">
        <v>21</v>
      </c>
      <c r="V9" s="69"/>
      <c r="W9" s="69"/>
      <c r="X9" s="21">
        <v>10</v>
      </c>
      <c r="Y9" s="21"/>
      <c r="Z9" s="21"/>
      <c r="AA9" s="21"/>
      <c r="AB9" s="21"/>
      <c r="AC9" s="21"/>
      <c r="AD9" s="21"/>
      <c r="AE9" s="220">
        <f t="shared" ref="AE9" si="5">O9+P9+Q9+R9+S9+T9+U9+V9</f>
        <v>21</v>
      </c>
      <c r="AF9" s="220"/>
      <c r="AG9" s="220"/>
      <c r="AH9" s="196">
        <v>1</v>
      </c>
      <c r="AI9" s="212"/>
      <c r="AJ9" s="213"/>
      <c r="AK9" s="212"/>
      <c r="AL9" s="221"/>
      <c r="AM9" s="212"/>
      <c r="AN9" s="215"/>
      <c r="AO9" s="212"/>
      <c r="AP9" s="216"/>
      <c r="AQ9" s="212"/>
      <c r="AR9" s="217"/>
      <c r="AS9" s="212"/>
      <c r="AX9" s="268">
        <f t="shared" si="2"/>
        <v>1</v>
      </c>
    </row>
    <row r="10" spans="1:50" s="28" customFormat="1" ht="23.1" customHeight="1">
      <c r="A10" s="25">
        <v>2</v>
      </c>
      <c r="B10" s="27" t="s">
        <v>164</v>
      </c>
      <c r="C10" s="27" t="s">
        <v>159</v>
      </c>
      <c r="D10" s="27">
        <v>5</v>
      </c>
      <c r="E10" s="27" t="s">
        <v>163</v>
      </c>
      <c r="F10" s="21"/>
      <c r="G10" s="21"/>
      <c r="H10" s="21"/>
      <c r="I10" s="21"/>
      <c r="J10" s="21"/>
      <c r="K10" s="21">
        <v>44</v>
      </c>
      <c r="L10" s="21">
        <v>16</v>
      </c>
      <c r="M10" s="21">
        <v>4.8600000000000003</v>
      </c>
      <c r="N10" s="21">
        <v>2</v>
      </c>
      <c r="O10" s="69"/>
      <c r="P10" s="69"/>
      <c r="Q10" s="69">
        <v>2</v>
      </c>
      <c r="R10" s="69"/>
      <c r="S10" s="69"/>
      <c r="T10" s="69"/>
      <c r="U10" s="69">
        <v>22</v>
      </c>
      <c r="V10" s="69"/>
      <c r="W10" s="69"/>
      <c r="X10" s="21">
        <v>8</v>
      </c>
      <c r="Y10" s="21"/>
      <c r="Z10" s="21"/>
      <c r="AA10" s="21"/>
      <c r="AB10" s="21"/>
      <c r="AC10" s="21"/>
      <c r="AD10" s="21"/>
      <c r="AE10" s="220">
        <f t="shared" ref="AE10:AE13" si="6">O10+P10+Q10+R10+S10+T10+U10+V10</f>
        <v>24</v>
      </c>
      <c r="AF10" s="220"/>
      <c r="AG10" s="220"/>
      <c r="AH10" s="196"/>
      <c r="AI10" s="212"/>
      <c r="AJ10" s="213"/>
      <c r="AK10" s="212"/>
      <c r="AL10" s="221">
        <v>1</v>
      </c>
      <c r="AM10" s="212"/>
      <c r="AN10" s="215"/>
      <c r="AO10" s="212"/>
      <c r="AP10" s="216"/>
      <c r="AQ10" s="212"/>
      <c r="AR10" s="217"/>
      <c r="AS10" s="212"/>
      <c r="AX10" s="268">
        <f t="shared" si="2"/>
        <v>1</v>
      </c>
    </row>
    <row r="11" spans="1:50" s="28" customFormat="1" ht="23.1" customHeight="1">
      <c r="A11" s="25">
        <v>2</v>
      </c>
      <c r="B11" s="27" t="s">
        <v>164</v>
      </c>
      <c r="C11" s="27" t="s">
        <v>159</v>
      </c>
      <c r="D11" s="27">
        <v>5</v>
      </c>
      <c r="E11" s="27" t="s">
        <v>168</v>
      </c>
      <c r="F11" s="21"/>
      <c r="G11" s="21"/>
      <c r="H11" s="21"/>
      <c r="I11" s="21"/>
      <c r="J11" s="21"/>
      <c r="K11" s="21">
        <v>17</v>
      </c>
      <c r="L11" s="21">
        <v>13.6</v>
      </c>
      <c r="M11" s="21">
        <v>4.8600000000000003</v>
      </c>
      <c r="N11" s="21">
        <v>2</v>
      </c>
      <c r="O11" s="69"/>
      <c r="P11" s="69"/>
      <c r="Q11" s="69"/>
      <c r="R11" s="69"/>
      <c r="S11" s="69"/>
      <c r="T11" s="69"/>
      <c r="U11" s="69">
        <v>17</v>
      </c>
      <c r="V11" s="69"/>
      <c r="W11" s="69"/>
      <c r="X11" s="21">
        <v>8</v>
      </c>
      <c r="Y11" s="21"/>
      <c r="Z11" s="21"/>
      <c r="AA11" s="21"/>
      <c r="AB11" s="21"/>
      <c r="AC11" s="21"/>
      <c r="AD11" s="21"/>
      <c r="AE11" s="220">
        <f t="shared" si="6"/>
        <v>17</v>
      </c>
      <c r="AF11" s="220"/>
      <c r="AG11" s="220"/>
      <c r="AH11" s="196"/>
      <c r="AI11" s="212"/>
      <c r="AJ11" s="213"/>
      <c r="AK11" s="212"/>
      <c r="AL11" s="221"/>
      <c r="AM11" s="212"/>
      <c r="AN11" s="215">
        <v>1</v>
      </c>
      <c r="AO11" s="212"/>
      <c r="AP11" s="216"/>
      <c r="AQ11" s="212"/>
      <c r="AR11" s="217"/>
      <c r="AS11" s="212"/>
      <c r="AX11" s="268">
        <f t="shared" si="2"/>
        <v>1</v>
      </c>
    </row>
    <row r="12" spans="1:50" s="28" customFormat="1" ht="23.1" customHeight="1">
      <c r="A12" s="25">
        <v>2</v>
      </c>
      <c r="B12" s="27" t="s">
        <v>170</v>
      </c>
      <c r="C12" s="27" t="s">
        <v>159</v>
      </c>
      <c r="D12" s="27">
        <v>3</v>
      </c>
      <c r="E12" s="27" t="s">
        <v>169</v>
      </c>
      <c r="F12" s="21"/>
      <c r="G12" s="21"/>
      <c r="H12" s="21"/>
      <c r="I12" s="21"/>
      <c r="J12" s="21"/>
      <c r="K12" s="21">
        <v>22</v>
      </c>
      <c r="L12" s="21">
        <v>13.2</v>
      </c>
      <c r="M12" s="21">
        <v>4.8600000000000003</v>
      </c>
      <c r="N12" s="21">
        <v>2</v>
      </c>
      <c r="O12" s="69"/>
      <c r="P12" s="69"/>
      <c r="Q12" s="69"/>
      <c r="R12" s="69"/>
      <c r="S12" s="69"/>
      <c r="T12" s="69"/>
      <c r="U12" s="69">
        <v>22</v>
      </c>
      <c r="V12" s="69"/>
      <c r="W12" s="69"/>
      <c r="X12" s="21">
        <v>8</v>
      </c>
      <c r="Y12" s="21"/>
      <c r="Z12" s="21"/>
      <c r="AA12" s="21"/>
      <c r="AB12" s="21"/>
      <c r="AC12" s="21"/>
      <c r="AD12" s="21"/>
      <c r="AE12" s="220">
        <f t="shared" si="6"/>
        <v>22</v>
      </c>
      <c r="AF12" s="220"/>
      <c r="AG12" s="220"/>
      <c r="AH12" s="196"/>
      <c r="AI12" s="212"/>
      <c r="AJ12" s="213">
        <v>1</v>
      </c>
      <c r="AK12" s="212"/>
      <c r="AL12" s="221"/>
      <c r="AM12" s="212"/>
      <c r="AN12" s="215"/>
      <c r="AO12" s="212"/>
      <c r="AP12" s="216"/>
      <c r="AQ12" s="212"/>
      <c r="AR12" s="217"/>
      <c r="AS12" s="212"/>
      <c r="AX12" s="268">
        <f t="shared" si="2"/>
        <v>1</v>
      </c>
    </row>
    <row r="13" spans="1:50" s="28" customFormat="1" ht="23.1" customHeight="1">
      <c r="A13" s="25">
        <v>2</v>
      </c>
      <c r="B13" s="27" t="s">
        <v>170</v>
      </c>
      <c r="C13" s="27" t="s">
        <v>159</v>
      </c>
      <c r="D13" s="27">
        <v>5</v>
      </c>
      <c r="E13" s="27" t="s">
        <v>169</v>
      </c>
      <c r="F13" s="21"/>
      <c r="G13" s="21"/>
      <c r="H13" s="21"/>
      <c r="I13" s="21"/>
      <c r="J13" s="21"/>
      <c r="K13" s="21">
        <v>16</v>
      </c>
      <c r="L13" s="21">
        <v>12.8</v>
      </c>
      <c r="M13" s="21">
        <v>4.8600000000000003</v>
      </c>
      <c r="N13" s="21">
        <v>2</v>
      </c>
      <c r="O13" s="69"/>
      <c r="P13" s="69"/>
      <c r="Q13" s="69"/>
      <c r="R13" s="69"/>
      <c r="S13" s="69"/>
      <c r="T13" s="69"/>
      <c r="U13" s="69">
        <v>16</v>
      </c>
      <c r="V13" s="69"/>
      <c r="W13" s="69"/>
      <c r="X13" s="21">
        <v>8</v>
      </c>
      <c r="Y13" s="21"/>
      <c r="Z13" s="21"/>
      <c r="AA13" s="21"/>
      <c r="AB13" s="21"/>
      <c r="AC13" s="21"/>
      <c r="AD13" s="21"/>
      <c r="AE13" s="220">
        <f t="shared" si="6"/>
        <v>16</v>
      </c>
      <c r="AF13" s="220"/>
      <c r="AG13" s="220"/>
      <c r="AH13" s="196"/>
      <c r="AI13" s="212"/>
      <c r="AJ13" s="213">
        <v>1</v>
      </c>
      <c r="AK13" s="212"/>
      <c r="AL13" s="221"/>
      <c r="AM13" s="212"/>
      <c r="AN13" s="215"/>
      <c r="AO13" s="212"/>
      <c r="AP13" s="216"/>
      <c r="AQ13" s="212"/>
      <c r="AR13" s="217"/>
      <c r="AS13" s="212"/>
      <c r="AX13" s="268">
        <f t="shared" si="2"/>
        <v>1</v>
      </c>
    </row>
    <row r="14" spans="1:50" s="28" customFormat="1" ht="23.1" customHeight="1">
      <c r="A14" s="25">
        <v>2</v>
      </c>
      <c r="B14" s="27" t="s">
        <v>172</v>
      </c>
      <c r="C14" s="27" t="s">
        <v>159</v>
      </c>
      <c r="D14" s="27">
        <v>5</v>
      </c>
      <c r="E14" s="27" t="s">
        <v>171</v>
      </c>
      <c r="F14" s="21"/>
      <c r="G14" s="21"/>
      <c r="H14" s="21"/>
      <c r="I14" s="21"/>
      <c r="J14" s="21"/>
      <c r="K14" s="21">
        <v>26</v>
      </c>
      <c r="L14" s="21">
        <v>20.8</v>
      </c>
      <c r="M14" s="21">
        <v>4.8600000000000003</v>
      </c>
      <c r="N14" s="21">
        <v>2</v>
      </c>
      <c r="O14" s="69"/>
      <c r="P14" s="69"/>
      <c r="Q14" s="69">
        <v>1</v>
      </c>
      <c r="R14" s="69"/>
      <c r="S14" s="69"/>
      <c r="T14" s="69"/>
      <c r="U14" s="69">
        <v>25</v>
      </c>
      <c r="V14" s="69"/>
      <c r="W14" s="69"/>
      <c r="X14" s="21">
        <v>15</v>
      </c>
      <c r="Y14" s="21"/>
      <c r="Z14" s="21"/>
      <c r="AA14" s="21"/>
      <c r="AB14" s="21"/>
      <c r="AC14" s="21"/>
      <c r="AD14" s="21"/>
      <c r="AE14" s="220">
        <f t="shared" ref="AE14:AE16" si="7">O14+P14+Q14+R14+S14+T14+U14+V14</f>
        <v>26</v>
      </c>
      <c r="AF14" s="220"/>
      <c r="AG14" s="220"/>
      <c r="AH14" s="196">
        <v>1</v>
      </c>
      <c r="AI14" s="212"/>
      <c r="AJ14" s="213"/>
      <c r="AK14" s="212"/>
      <c r="AL14" s="221"/>
      <c r="AM14" s="212"/>
      <c r="AN14" s="215"/>
      <c r="AO14" s="212"/>
      <c r="AP14" s="216"/>
      <c r="AQ14" s="212"/>
      <c r="AR14" s="217"/>
      <c r="AS14" s="212"/>
      <c r="AX14" s="268">
        <f t="shared" si="2"/>
        <v>1</v>
      </c>
    </row>
    <row r="15" spans="1:50" s="28" customFormat="1" ht="23.1" customHeight="1">
      <c r="A15" s="25">
        <v>2</v>
      </c>
      <c r="B15" s="27" t="s">
        <v>170</v>
      </c>
      <c r="C15" s="27" t="s">
        <v>159</v>
      </c>
      <c r="D15" s="27">
        <v>5</v>
      </c>
      <c r="E15" s="27" t="s">
        <v>173</v>
      </c>
      <c r="F15" s="21"/>
      <c r="G15" s="21"/>
      <c r="H15" s="21"/>
      <c r="I15" s="21"/>
      <c r="J15" s="21"/>
      <c r="K15" s="21">
        <v>45</v>
      </c>
      <c r="L15" s="21">
        <v>16.8</v>
      </c>
      <c r="M15" s="21">
        <v>4.8600000000000003</v>
      </c>
      <c r="N15" s="21">
        <v>2</v>
      </c>
      <c r="O15" s="69"/>
      <c r="P15" s="69"/>
      <c r="Q15" s="69">
        <v>2</v>
      </c>
      <c r="R15" s="69"/>
      <c r="S15" s="69"/>
      <c r="T15" s="69"/>
      <c r="U15" s="69">
        <v>23</v>
      </c>
      <c r="V15" s="69"/>
      <c r="W15" s="69"/>
      <c r="X15" s="21">
        <v>8</v>
      </c>
      <c r="Y15" s="21"/>
      <c r="Z15" s="21"/>
      <c r="AA15" s="21"/>
      <c r="AB15" s="21"/>
      <c r="AC15" s="21"/>
      <c r="AD15" s="21"/>
      <c r="AE15" s="220">
        <f t="shared" si="7"/>
        <v>25</v>
      </c>
      <c r="AF15" s="220"/>
      <c r="AG15" s="220"/>
      <c r="AH15" s="196">
        <v>1</v>
      </c>
      <c r="AI15" s="212"/>
      <c r="AJ15" s="213"/>
      <c r="AK15" s="212"/>
      <c r="AL15" s="221"/>
      <c r="AM15" s="212"/>
      <c r="AN15" s="215"/>
      <c r="AO15" s="212"/>
      <c r="AP15" s="216"/>
      <c r="AQ15" s="212"/>
      <c r="AR15" s="217"/>
      <c r="AS15" s="212"/>
      <c r="AX15" s="268">
        <f t="shared" si="2"/>
        <v>1</v>
      </c>
    </row>
    <row r="16" spans="1:50" s="28" customFormat="1" ht="23.1" customHeight="1">
      <c r="A16" s="25">
        <v>2</v>
      </c>
      <c r="B16" s="27" t="s">
        <v>175</v>
      </c>
      <c r="C16" s="27" t="s">
        <v>159</v>
      </c>
      <c r="D16" s="27">
        <v>5</v>
      </c>
      <c r="E16" s="27" t="s">
        <v>174</v>
      </c>
      <c r="F16" s="21"/>
      <c r="G16" s="21"/>
      <c r="H16" s="21"/>
      <c r="I16" s="21"/>
      <c r="J16" s="21"/>
      <c r="K16" s="21">
        <v>45</v>
      </c>
      <c r="L16" s="21">
        <v>16.8</v>
      </c>
      <c r="M16" s="21">
        <v>4.8600000000000003</v>
      </c>
      <c r="N16" s="21">
        <v>2</v>
      </c>
      <c r="O16" s="69"/>
      <c r="P16" s="69"/>
      <c r="Q16" s="69">
        <v>2</v>
      </c>
      <c r="R16" s="69"/>
      <c r="S16" s="69"/>
      <c r="T16" s="69"/>
      <c r="U16" s="69">
        <v>23</v>
      </c>
      <c r="V16" s="69"/>
      <c r="W16" s="69"/>
      <c r="X16" s="21">
        <v>8</v>
      </c>
      <c r="Y16" s="21"/>
      <c r="Z16" s="21"/>
      <c r="AA16" s="21"/>
      <c r="AB16" s="21"/>
      <c r="AC16" s="21"/>
      <c r="AD16" s="21"/>
      <c r="AE16" s="220">
        <f t="shared" si="7"/>
        <v>25</v>
      </c>
      <c r="AF16" s="220"/>
      <c r="AG16" s="220"/>
      <c r="AH16" s="196"/>
      <c r="AI16" s="212"/>
      <c r="AJ16" s="213"/>
      <c r="AK16" s="212"/>
      <c r="AL16" s="221">
        <v>1</v>
      </c>
      <c r="AM16" s="212"/>
      <c r="AN16" s="215"/>
      <c r="AO16" s="212"/>
      <c r="AP16" s="216"/>
      <c r="AQ16" s="212"/>
      <c r="AR16" s="217"/>
      <c r="AS16" s="212"/>
      <c r="AX16" s="268">
        <f t="shared" si="2"/>
        <v>1</v>
      </c>
    </row>
    <row r="17" spans="1:50" s="28" customFormat="1" ht="24.95" customHeight="1">
      <c r="A17" s="29" t="s">
        <v>11</v>
      </c>
      <c r="B17" s="30"/>
      <c r="C17" s="30"/>
      <c r="D17" s="30"/>
      <c r="E17" s="30"/>
      <c r="F17" s="24">
        <f t="shared" ref="F17:AD17" si="8">SUM(F9:F16)</f>
        <v>0</v>
      </c>
      <c r="G17" s="24">
        <f t="shared" si="8"/>
        <v>0</v>
      </c>
      <c r="H17" s="24">
        <f t="shared" si="8"/>
        <v>0</v>
      </c>
      <c r="I17" s="24">
        <f t="shared" si="8"/>
        <v>0</v>
      </c>
      <c r="J17" s="24">
        <f t="shared" si="8"/>
        <v>0</v>
      </c>
      <c r="K17" s="24">
        <f t="shared" si="8"/>
        <v>236</v>
      </c>
      <c r="L17" s="24">
        <f t="shared" si="8"/>
        <v>126.79999999999998</v>
      </c>
      <c r="M17" s="24">
        <f t="shared" si="8"/>
        <v>38.880000000000003</v>
      </c>
      <c r="N17" s="24">
        <f t="shared" si="8"/>
        <v>16</v>
      </c>
      <c r="O17" s="24">
        <f t="shared" si="8"/>
        <v>0</v>
      </c>
      <c r="P17" s="24">
        <f t="shared" si="8"/>
        <v>0</v>
      </c>
      <c r="Q17" s="24">
        <f t="shared" si="8"/>
        <v>7</v>
      </c>
      <c r="R17" s="24">
        <f t="shared" si="8"/>
        <v>0</v>
      </c>
      <c r="S17" s="24">
        <f t="shared" si="8"/>
        <v>0</v>
      </c>
      <c r="T17" s="24">
        <f t="shared" si="8"/>
        <v>0</v>
      </c>
      <c r="U17" s="24">
        <f t="shared" si="8"/>
        <v>169</v>
      </c>
      <c r="V17" s="24">
        <f t="shared" si="8"/>
        <v>0</v>
      </c>
      <c r="W17" s="24">
        <f t="shared" si="8"/>
        <v>0</v>
      </c>
      <c r="X17" s="24">
        <f t="shared" si="8"/>
        <v>73</v>
      </c>
      <c r="Y17" s="24">
        <f t="shared" si="8"/>
        <v>0</v>
      </c>
      <c r="Z17" s="24">
        <f t="shared" si="8"/>
        <v>0</v>
      </c>
      <c r="AA17" s="24">
        <f t="shared" si="8"/>
        <v>0</v>
      </c>
      <c r="AB17" s="24">
        <f t="shared" si="8"/>
        <v>0</v>
      </c>
      <c r="AC17" s="24">
        <f t="shared" si="8"/>
        <v>0</v>
      </c>
      <c r="AD17" s="24">
        <f t="shared" si="8"/>
        <v>0</v>
      </c>
      <c r="AE17" s="41"/>
      <c r="AF17" s="41"/>
      <c r="AG17" s="41"/>
      <c r="AH17" s="30">
        <f t="shared" ref="AH17:AS17" si="9">SUM(AH9:AH16)</f>
        <v>3</v>
      </c>
      <c r="AI17" s="30">
        <f t="shared" si="9"/>
        <v>0</v>
      </c>
      <c r="AJ17" s="30">
        <f t="shared" si="9"/>
        <v>2</v>
      </c>
      <c r="AK17" s="30">
        <f t="shared" si="9"/>
        <v>0</v>
      </c>
      <c r="AL17" s="30">
        <f t="shared" si="9"/>
        <v>2</v>
      </c>
      <c r="AM17" s="30">
        <f t="shared" si="9"/>
        <v>0</v>
      </c>
      <c r="AN17" s="30">
        <f t="shared" si="9"/>
        <v>1</v>
      </c>
      <c r="AO17" s="30">
        <f t="shared" si="9"/>
        <v>0</v>
      </c>
      <c r="AP17" s="30">
        <f t="shared" si="9"/>
        <v>0</v>
      </c>
      <c r="AQ17" s="30">
        <f t="shared" si="9"/>
        <v>0</v>
      </c>
      <c r="AR17" s="30">
        <f t="shared" si="9"/>
        <v>0</v>
      </c>
      <c r="AS17" s="30">
        <f t="shared" si="9"/>
        <v>0</v>
      </c>
      <c r="AX17" s="268">
        <f t="shared" si="2"/>
        <v>0</v>
      </c>
    </row>
    <row r="18" spans="1:50" s="28" customFormat="1" ht="23.1" customHeight="1">
      <c r="A18" s="25">
        <v>3</v>
      </c>
      <c r="B18" s="27" t="s">
        <v>172</v>
      </c>
      <c r="C18" s="27" t="s">
        <v>177</v>
      </c>
      <c r="D18" s="27">
        <v>5</v>
      </c>
      <c r="E18" s="27" t="s">
        <v>176</v>
      </c>
      <c r="F18" s="21"/>
      <c r="G18" s="21"/>
      <c r="H18" s="21"/>
      <c r="I18" s="21"/>
      <c r="J18" s="21"/>
      <c r="K18" s="21">
        <v>27</v>
      </c>
      <c r="L18" s="21">
        <v>21.6</v>
      </c>
      <c r="M18" s="21">
        <v>4.8600000000000003</v>
      </c>
      <c r="N18" s="21">
        <v>2</v>
      </c>
      <c r="O18" s="67"/>
      <c r="P18" s="67"/>
      <c r="Q18" s="67">
        <v>2</v>
      </c>
      <c r="R18" s="67"/>
      <c r="S18" s="67"/>
      <c r="T18" s="67"/>
      <c r="U18" s="67">
        <v>25</v>
      </c>
      <c r="V18" s="67"/>
      <c r="W18" s="67"/>
      <c r="X18" s="21">
        <v>8</v>
      </c>
      <c r="Y18" s="21"/>
      <c r="Z18" s="21"/>
      <c r="AA18" s="21"/>
      <c r="AB18" s="21"/>
      <c r="AC18" s="21"/>
      <c r="AD18" s="21"/>
      <c r="AE18" s="220">
        <f t="shared" ref="AE18:AE24" si="10">O18+P18+Q18+R18+S18+T18+U18+V18</f>
        <v>27</v>
      </c>
      <c r="AF18" s="220"/>
      <c r="AG18" s="220"/>
      <c r="AH18" s="196">
        <v>1</v>
      </c>
      <c r="AI18" s="212"/>
      <c r="AJ18" s="213"/>
      <c r="AK18" s="212"/>
      <c r="AL18" s="221"/>
      <c r="AM18" s="212"/>
      <c r="AN18" s="215"/>
      <c r="AO18" s="212"/>
      <c r="AP18" s="216"/>
      <c r="AQ18" s="212"/>
      <c r="AR18" s="217"/>
      <c r="AS18" s="212"/>
      <c r="AX18" s="268">
        <f t="shared" si="2"/>
        <v>1</v>
      </c>
    </row>
    <row r="19" spans="1:50" s="28" customFormat="1" ht="23.1" customHeight="1">
      <c r="A19" s="25">
        <v>3</v>
      </c>
      <c r="B19" s="27" t="s">
        <v>178</v>
      </c>
      <c r="C19" s="27" t="s">
        <v>177</v>
      </c>
      <c r="D19" s="27">
        <v>5</v>
      </c>
      <c r="E19" s="27" t="s">
        <v>158</v>
      </c>
      <c r="F19" s="21"/>
      <c r="G19" s="21"/>
      <c r="H19" s="21"/>
      <c r="I19" s="21"/>
      <c r="J19" s="21"/>
      <c r="K19" s="21">
        <v>24</v>
      </c>
      <c r="L19" s="21">
        <v>19.2</v>
      </c>
      <c r="M19" s="21">
        <v>4.8600000000000003</v>
      </c>
      <c r="N19" s="21">
        <v>2</v>
      </c>
      <c r="O19" s="67"/>
      <c r="P19" s="67"/>
      <c r="Q19" s="67"/>
      <c r="R19" s="67"/>
      <c r="S19" s="67"/>
      <c r="T19" s="67"/>
      <c r="U19" s="67">
        <v>24</v>
      </c>
      <c r="V19" s="67"/>
      <c r="W19" s="67"/>
      <c r="X19" s="21">
        <v>10</v>
      </c>
      <c r="Y19" s="21"/>
      <c r="Z19" s="21"/>
      <c r="AA19" s="21"/>
      <c r="AB19" s="21"/>
      <c r="AC19" s="21"/>
      <c r="AD19" s="21"/>
      <c r="AE19" s="220">
        <f t="shared" si="10"/>
        <v>24</v>
      </c>
      <c r="AF19" s="220"/>
      <c r="AG19" s="220"/>
      <c r="AH19" s="196">
        <v>1</v>
      </c>
      <c r="AI19" s="212"/>
      <c r="AJ19" s="213"/>
      <c r="AK19" s="212"/>
      <c r="AL19" s="221"/>
      <c r="AM19" s="212"/>
      <c r="AN19" s="215"/>
      <c r="AO19" s="212"/>
      <c r="AP19" s="216"/>
      <c r="AQ19" s="212"/>
      <c r="AR19" s="217"/>
      <c r="AS19" s="212"/>
      <c r="AX19" s="268">
        <f t="shared" si="2"/>
        <v>1</v>
      </c>
    </row>
    <row r="20" spans="1:50" s="28" customFormat="1" ht="23.1" customHeight="1">
      <c r="A20" s="25">
        <v>3</v>
      </c>
      <c r="B20" s="27" t="s">
        <v>180</v>
      </c>
      <c r="C20" s="27" t="s">
        <v>177</v>
      </c>
      <c r="D20" s="27">
        <v>5</v>
      </c>
      <c r="E20" s="27" t="s">
        <v>179</v>
      </c>
      <c r="F20" s="21"/>
      <c r="G20" s="21"/>
      <c r="H20" s="21"/>
      <c r="I20" s="21"/>
      <c r="J20" s="21"/>
      <c r="K20" s="21">
        <v>28</v>
      </c>
      <c r="L20" s="21">
        <v>22.4</v>
      </c>
      <c r="M20" s="21">
        <v>4.8600000000000003</v>
      </c>
      <c r="N20" s="21">
        <v>2</v>
      </c>
      <c r="O20" s="67"/>
      <c r="P20" s="67"/>
      <c r="Q20" s="67">
        <v>3</v>
      </c>
      <c r="R20" s="67"/>
      <c r="S20" s="67"/>
      <c r="T20" s="67"/>
      <c r="U20" s="67">
        <v>25</v>
      </c>
      <c r="V20" s="67"/>
      <c r="W20" s="67"/>
      <c r="X20" s="21">
        <v>8</v>
      </c>
      <c r="Y20" s="21"/>
      <c r="Z20" s="21"/>
      <c r="AA20" s="21"/>
      <c r="AB20" s="21"/>
      <c r="AC20" s="21"/>
      <c r="AD20" s="21"/>
      <c r="AE20" s="220">
        <f t="shared" si="10"/>
        <v>28</v>
      </c>
      <c r="AF20" s="220"/>
      <c r="AG20" s="220"/>
      <c r="AH20" s="196"/>
      <c r="AI20" s="212"/>
      <c r="AJ20" s="213"/>
      <c r="AK20" s="212"/>
      <c r="AL20" s="221"/>
      <c r="AM20" s="212"/>
      <c r="AN20" s="215">
        <v>1</v>
      </c>
      <c r="AO20" s="212"/>
      <c r="AP20" s="216"/>
      <c r="AQ20" s="212"/>
      <c r="AR20" s="217"/>
      <c r="AS20" s="212"/>
      <c r="AX20" s="268">
        <f t="shared" si="2"/>
        <v>1</v>
      </c>
    </row>
    <row r="21" spans="1:50" s="28" customFormat="1" ht="23.1" customHeight="1">
      <c r="A21" s="25">
        <v>3</v>
      </c>
      <c r="B21" s="27" t="s">
        <v>180</v>
      </c>
      <c r="C21" s="27" t="s">
        <v>177</v>
      </c>
      <c r="D21" s="27">
        <v>5</v>
      </c>
      <c r="E21" s="27" t="s">
        <v>181</v>
      </c>
      <c r="F21" s="21"/>
      <c r="G21" s="21"/>
      <c r="H21" s="21"/>
      <c r="I21" s="21"/>
      <c r="J21" s="21"/>
      <c r="K21" s="21">
        <v>24</v>
      </c>
      <c r="L21" s="21">
        <v>19.2</v>
      </c>
      <c r="M21" s="21">
        <v>4.8600000000000003</v>
      </c>
      <c r="N21" s="21">
        <v>2</v>
      </c>
      <c r="O21" s="67"/>
      <c r="P21" s="67"/>
      <c r="Q21" s="67">
        <v>2</v>
      </c>
      <c r="R21" s="67"/>
      <c r="S21" s="67"/>
      <c r="T21" s="67"/>
      <c r="U21" s="67">
        <v>22</v>
      </c>
      <c r="V21" s="67"/>
      <c r="W21" s="67"/>
      <c r="X21" s="21">
        <v>10</v>
      </c>
      <c r="Y21" s="21"/>
      <c r="Z21" s="21"/>
      <c r="AA21" s="21"/>
      <c r="AB21" s="21"/>
      <c r="AC21" s="21"/>
      <c r="AD21" s="21"/>
      <c r="AE21" s="220">
        <f t="shared" si="10"/>
        <v>24</v>
      </c>
      <c r="AF21" s="220"/>
      <c r="AG21" s="220"/>
      <c r="AH21" s="196">
        <v>1</v>
      </c>
      <c r="AI21" s="212"/>
      <c r="AJ21" s="213"/>
      <c r="AK21" s="212"/>
      <c r="AL21" s="221"/>
      <c r="AM21" s="212"/>
      <c r="AN21" s="215"/>
      <c r="AO21" s="212"/>
      <c r="AP21" s="216"/>
      <c r="AQ21" s="212"/>
      <c r="AR21" s="217"/>
      <c r="AS21" s="212"/>
      <c r="AX21" s="268">
        <f t="shared" si="2"/>
        <v>1</v>
      </c>
    </row>
    <row r="22" spans="1:50" s="28" customFormat="1" ht="23.1" customHeight="1">
      <c r="A22" s="25">
        <v>3</v>
      </c>
      <c r="B22" s="27" t="s">
        <v>170</v>
      </c>
      <c r="C22" s="27" t="s">
        <v>177</v>
      </c>
      <c r="D22" s="27">
        <v>5</v>
      </c>
      <c r="E22" s="27" t="s">
        <v>182</v>
      </c>
      <c r="F22" s="21"/>
      <c r="G22" s="21"/>
      <c r="H22" s="21"/>
      <c r="I22" s="21"/>
      <c r="J22" s="21"/>
      <c r="K22" s="21">
        <v>23</v>
      </c>
      <c r="L22" s="21">
        <v>18.399999999999999</v>
      </c>
      <c r="M22" s="21">
        <v>4.8600000000000003</v>
      </c>
      <c r="N22" s="21">
        <v>2</v>
      </c>
      <c r="O22" s="67"/>
      <c r="P22" s="67"/>
      <c r="Q22" s="67"/>
      <c r="R22" s="67"/>
      <c r="S22" s="67"/>
      <c r="T22" s="67"/>
      <c r="U22" s="67">
        <v>23</v>
      </c>
      <c r="V22" s="67"/>
      <c r="W22" s="67"/>
      <c r="X22" s="21">
        <v>10</v>
      </c>
      <c r="Y22" s="21"/>
      <c r="Z22" s="21"/>
      <c r="AA22" s="21"/>
      <c r="AB22" s="21"/>
      <c r="AC22" s="21"/>
      <c r="AD22" s="21"/>
      <c r="AE22" s="220">
        <f t="shared" si="10"/>
        <v>23</v>
      </c>
      <c r="AF22" s="220"/>
      <c r="AG22" s="220"/>
      <c r="AH22" s="196">
        <v>1</v>
      </c>
      <c r="AI22" s="212"/>
      <c r="AJ22" s="213"/>
      <c r="AK22" s="212"/>
      <c r="AL22" s="221"/>
      <c r="AM22" s="212"/>
      <c r="AN22" s="215"/>
      <c r="AO22" s="212"/>
      <c r="AP22" s="216"/>
      <c r="AQ22" s="212"/>
      <c r="AR22" s="217"/>
      <c r="AS22" s="212"/>
      <c r="AX22" s="268">
        <f t="shared" si="2"/>
        <v>1</v>
      </c>
    </row>
    <row r="23" spans="1:50" s="28" customFormat="1" ht="23.1" customHeight="1">
      <c r="A23" s="25">
        <v>3</v>
      </c>
      <c r="B23" s="27" t="s">
        <v>170</v>
      </c>
      <c r="C23" s="27" t="s">
        <v>177</v>
      </c>
      <c r="D23" s="27">
        <v>3</v>
      </c>
      <c r="E23" s="27" t="s">
        <v>182</v>
      </c>
      <c r="F23" s="21"/>
      <c r="G23" s="21"/>
      <c r="H23" s="21"/>
      <c r="I23" s="21"/>
      <c r="J23" s="21"/>
      <c r="K23" s="21">
        <v>12</v>
      </c>
      <c r="L23" s="21"/>
      <c r="M23" s="21">
        <v>7.2900000000000009</v>
      </c>
      <c r="N23" s="21">
        <v>3</v>
      </c>
      <c r="O23" s="67"/>
      <c r="P23" s="67"/>
      <c r="Q23" s="67"/>
      <c r="R23" s="67"/>
      <c r="S23" s="67"/>
      <c r="T23" s="67"/>
      <c r="U23" s="67"/>
      <c r="V23" s="67"/>
      <c r="W23" s="67"/>
      <c r="X23" s="21"/>
      <c r="Y23" s="21"/>
      <c r="Z23" s="21"/>
      <c r="AA23" s="21"/>
      <c r="AB23" s="21"/>
      <c r="AC23" s="21"/>
      <c r="AD23" s="21"/>
      <c r="AE23" s="220">
        <f t="shared" si="10"/>
        <v>0</v>
      </c>
      <c r="AF23" s="220"/>
      <c r="AG23" s="220"/>
      <c r="AH23" s="196"/>
      <c r="AI23" s="212">
        <v>1</v>
      </c>
      <c r="AJ23" s="213"/>
      <c r="AK23" s="212"/>
      <c r="AL23" s="221"/>
      <c r="AM23" s="212"/>
      <c r="AN23" s="215"/>
      <c r="AO23" s="212"/>
      <c r="AP23" s="216"/>
      <c r="AQ23" s="212"/>
      <c r="AR23" s="217"/>
      <c r="AS23" s="212"/>
      <c r="AX23" s="268">
        <f t="shared" si="2"/>
        <v>0</v>
      </c>
    </row>
    <row r="24" spans="1:50" s="28" customFormat="1" ht="23.1" customHeight="1">
      <c r="A24" s="25">
        <v>3</v>
      </c>
      <c r="B24" s="27" t="s">
        <v>170</v>
      </c>
      <c r="C24" s="27" t="s">
        <v>177</v>
      </c>
      <c r="D24" s="27">
        <v>5</v>
      </c>
      <c r="E24" s="27" t="s">
        <v>173</v>
      </c>
      <c r="F24" s="21"/>
      <c r="G24" s="21"/>
      <c r="H24" s="21"/>
      <c r="I24" s="21"/>
      <c r="J24" s="21"/>
      <c r="K24" s="21">
        <v>42</v>
      </c>
      <c r="L24" s="21">
        <v>14.4</v>
      </c>
      <c r="M24" s="21">
        <v>4.8600000000000003</v>
      </c>
      <c r="N24" s="21">
        <v>2</v>
      </c>
      <c r="O24" s="67"/>
      <c r="P24" s="67"/>
      <c r="Q24" s="67"/>
      <c r="R24" s="67"/>
      <c r="S24" s="67"/>
      <c r="T24" s="67"/>
      <c r="U24" s="67">
        <v>22</v>
      </c>
      <c r="V24" s="67"/>
      <c r="W24" s="67"/>
      <c r="X24" s="21">
        <v>7</v>
      </c>
      <c r="Y24" s="21"/>
      <c r="Z24" s="21"/>
      <c r="AA24" s="21"/>
      <c r="AB24" s="21"/>
      <c r="AC24" s="21"/>
      <c r="AD24" s="21"/>
      <c r="AE24" s="220">
        <f t="shared" si="10"/>
        <v>22</v>
      </c>
      <c r="AF24" s="220"/>
      <c r="AG24" s="220"/>
      <c r="AH24" s="196">
        <v>1</v>
      </c>
      <c r="AI24" s="212"/>
      <c r="AJ24" s="213"/>
      <c r="AK24" s="212"/>
      <c r="AL24" s="221"/>
      <c r="AM24" s="212"/>
      <c r="AN24" s="215"/>
      <c r="AO24" s="212"/>
      <c r="AP24" s="216"/>
      <c r="AQ24" s="212"/>
      <c r="AR24" s="217"/>
      <c r="AS24" s="212"/>
      <c r="AX24" s="268">
        <f t="shared" si="2"/>
        <v>1</v>
      </c>
    </row>
    <row r="25" spans="1:50" s="28" customFormat="1" ht="24.95" customHeight="1">
      <c r="A25" s="29" t="s">
        <v>11</v>
      </c>
      <c r="B25" s="30"/>
      <c r="C25" s="30"/>
      <c r="D25" s="30"/>
      <c r="E25" s="30"/>
      <c r="F25" s="24">
        <f t="shared" ref="F25:AD25" si="11">SUM(F18:F24)</f>
        <v>0</v>
      </c>
      <c r="G25" s="24">
        <f t="shared" si="11"/>
        <v>0</v>
      </c>
      <c r="H25" s="24">
        <f t="shared" si="11"/>
        <v>0</v>
      </c>
      <c r="I25" s="24">
        <f t="shared" si="11"/>
        <v>0</v>
      </c>
      <c r="J25" s="24">
        <f t="shared" si="11"/>
        <v>0</v>
      </c>
      <c r="K25" s="24">
        <f t="shared" si="11"/>
        <v>180</v>
      </c>
      <c r="L25" s="107">
        <f t="shared" si="11"/>
        <v>115.19999999999999</v>
      </c>
      <c r="M25" s="24">
        <f t="shared" si="11"/>
        <v>36.450000000000003</v>
      </c>
      <c r="N25" s="24">
        <f t="shared" si="11"/>
        <v>15</v>
      </c>
      <c r="O25" s="24">
        <f t="shared" si="11"/>
        <v>0</v>
      </c>
      <c r="P25" s="24">
        <f t="shared" si="11"/>
        <v>0</v>
      </c>
      <c r="Q25" s="24">
        <f t="shared" si="11"/>
        <v>7</v>
      </c>
      <c r="R25" s="24">
        <f t="shared" si="11"/>
        <v>0</v>
      </c>
      <c r="S25" s="24">
        <f t="shared" si="11"/>
        <v>0</v>
      </c>
      <c r="T25" s="24">
        <f t="shared" si="11"/>
        <v>0</v>
      </c>
      <c r="U25" s="24">
        <f t="shared" si="11"/>
        <v>141</v>
      </c>
      <c r="V25" s="24">
        <f t="shared" si="11"/>
        <v>0</v>
      </c>
      <c r="W25" s="24">
        <f t="shared" si="11"/>
        <v>0</v>
      </c>
      <c r="X25" s="24">
        <f t="shared" si="11"/>
        <v>53</v>
      </c>
      <c r="Y25" s="24">
        <f t="shared" si="11"/>
        <v>0</v>
      </c>
      <c r="Z25" s="24">
        <f t="shared" si="11"/>
        <v>0</v>
      </c>
      <c r="AA25" s="24">
        <f t="shared" si="11"/>
        <v>0</v>
      </c>
      <c r="AB25" s="24">
        <f t="shared" si="11"/>
        <v>0</v>
      </c>
      <c r="AC25" s="24">
        <f t="shared" si="11"/>
        <v>0</v>
      </c>
      <c r="AD25" s="24">
        <f t="shared" si="11"/>
        <v>0</v>
      </c>
      <c r="AE25" s="41"/>
      <c r="AF25" s="41"/>
      <c r="AG25" s="41"/>
      <c r="AH25" s="30">
        <f t="shared" ref="AH25:AS25" si="12">SUM(AH18:AH24)</f>
        <v>5</v>
      </c>
      <c r="AI25" s="30">
        <f t="shared" si="12"/>
        <v>1</v>
      </c>
      <c r="AJ25" s="30">
        <f t="shared" si="12"/>
        <v>0</v>
      </c>
      <c r="AK25" s="30">
        <f t="shared" si="12"/>
        <v>0</v>
      </c>
      <c r="AL25" s="30">
        <f t="shared" si="12"/>
        <v>0</v>
      </c>
      <c r="AM25" s="30">
        <f t="shared" si="12"/>
        <v>0</v>
      </c>
      <c r="AN25" s="30">
        <f t="shared" si="12"/>
        <v>1</v>
      </c>
      <c r="AO25" s="30">
        <f t="shared" si="12"/>
        <v>0</v>
      </c>
      <c r="AP25" s="30">
        <f t="shared" si="12"/>
        <v>0</v>
      </c>
      <c r="AQ25" s="30">
        <f t="shared" si="12"/>
        <v>0</v>
      </c>
      <c r="AR25" s="30">
        <f t="shared" si="12"/>
        <v>0</v>
      </c>
      <c r="AS25" s="30">
        <f t="shared" si="12"/>
        <v>0</v>
      </c>
      <c r="AT25" s="219" t="s">
        <v>32</v>
      </c>
      <c r="AU25" s="144" t="s">
        <v>30</v>
      </c>
      <c r="AV25" s="145" t="s">
        <v>31</v>
      </c>
    </row>
    <row r="26" spans="1:50" s="28" customFormat="1" ht="30" customHeight="1">
      <c r="B26" s="149"/>
      <c r="C26" s="149"/>
      <c r="D26" s="149"/>
      <c r="E26" s="149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1"/>
      <c r="AF26" s="151"/>
      <c r="AG26" s="151"/>
      <c r="AT26" s="92" t="s">
        <v>33</v>
      </c>
      <c r="AU26" s="152">
        <f>AL27</f>
        <v>2</v>
      </c>
      <c r="AV26" s="153">
        <f>AM27</f>
        <v>0</v>
      </c>
    </row>
    <row r="27" spans="1:50" s="28" customFormat="1" ht="30" customHeight="1">
      <c r="A27" s="184" t="s">
        <v>15</v>
      </c>
      <c r="B27" s="183"/>
      <c r="C27" s="183"/>
      <c r="D27" s="183"/>
      <c r="E27" s="183"/>
      <c r="F27" s="185">
        <f t="shared" ref="F27:AD27" si="13">F25+F17+F8</f>
        <v>0</v>
      </c>
      <c r="G27" s="185">
        <f t="shared" si="13"/>
        <v>0</v>
      </c>
      <c r="H27" s="185">
        <f t="shared" si="13"/>
        <v>0</v>
      </c>
      <c r="I27" s="185">
        <f t="shared" si="13"/>
        <v>0</v>
      </c>
      <c r="J27" s="185">
        <f t="shared" si="13"/>
        <v>0</v>
      </c>
      <c r="K27" s="185">
        <f t="shared" si="13"/>
        <v>416</v>
      </c>
      <c r="L27" s="185">
        <f t="shared" si="13"/>
        <v>241.99999999999997</v>
      </c>
      <c r="M27" s="186">
        <f t="shared" si="13"/>
        <v>75.330000000000013</v>
      </c>
      <c r="N27" s="185">
        <f t="shared" si="13"/>
        <v>31</v>
      </c>
      <c r="O27" s="185">
        <f t="shared" si="13"/>
        <v>0</v>
      </c>
      <c r="P27" s="185">
        <f t="shared" si="13"/>
        <v>0</v>
      </c>
      <c r="Q27" s="185">
        <f t="shared" si="13"/>
        <v>14</v>
      </c>
      <c r="R27" s="185">
        <f t="shared" si="13"/>
        <v>0</v>
      </c>
      <c r="S27" s="185">
        <f t="shared" si="13"/>
        <v>0</v>
      </c>
      <c r="T27" s="185">
        <f t="shared" si="13"/>
        <v>0</v>
      </c>
      <c r="U27" s="185">
        <f t="shared" si="13"/>
        <v>310</v>
      </c>
      <c r="V27" s="185">
        <f t="shared" si="13"/>
        <v>0</v>
      </c>
      <c r="W27" s="185">
        <f t="shared" si="13"/>
        <v>0</v>
      </c>
      <c r="X27" s="185">
        <f t="shared" si="13"/>
        <v>126</v>
      </c>
      <c r="Y27" s="185">
        <f t="shared" si="13"/>
        <v>0</v>
      </c>
      <c r="Z27" s="185">
        <f t="shared" si="13"/>
        <v>0</v>
      </c>
      <c r="AA27" s="185">
        <f t="shared" si="13"/>
        <v>0</v>
      </c>
      <c r="AB27" s="185">
        <f t="shared" si="13"/>
        <v>0</v>
      </c>
      <c r="AC27" s="185">
        <f t="shared" si="13"/>
        <v>0</v>
      </c>
      <c r="AD27" s="185">
        <f t="shared" si="13"/>
        <v>0</v>
      </c>
      <c r="AE27" s="151"/>
      <c r="AF27" s="151"/>
      <c r="AG27" s="151"/>
      <c r="AH27" s="189">
        <f t="shared" ref="AH27:AS27" si="14">AH25+AH17+AH8</f>
        <v>8</v>
      </c>
      <c r="AI27" s="189">
        <f t="shared" si="14"/>
        <v>1</v>
      </c>
      <c r="AJ27" s="189">
        <f t="shared" si="14"/>
        <v>2</v>
      </c>
      <c r="AK27" s="189">
        <f t="shared" si="14"/>
        <v>0</v>
      </c>
      <c r="AL27" s="189">
        <f t="shared" si="14"/>
        <v>2</v>
      </c>
      <c r="AM27" s="189">
        <f t="shared" si="14"/>
        <v>0</v>
      </c>
      <c r="AN27" s="189">
        <f t="shared" si="14"/>
        <v>2</v>
      </c>
      <c r="AO27" s="189">
        <f t="shared" si="14"/>
        <v>0</v>
      </c>
      <c r="AP27" s="189">
        <f t="shared" si="14"/>
        <v>0</v>
      </c>
      <c r="AQ27" s="189">
        <f t="shared" si="14"/>
        <v>0</v>
      </c>
      <c r="AR27" s="189">
        <f t="shared" si="14"/>
        <v>0</v>
      </c>
      <c r="AS27" s="189">
        <f t="shared" si="14"/>
        <v>0</v>
      </c>
      <c r="AT27" s="146" t="s">
        <v>26</v>
      </c>
      <c r="AU27" s="147">
        <f>AN27</f>
        <v>2</v>
      </c>
      <c r="AV27" s="148">
        <f>AO27</f>
        <v>0</v>
      </c>
    </row>
    <row r="28" spans="1:50" s="46" customFormat="1" ht="30" customHeight="1">
      <c r="A28" s="16"/>
      <c r="B28" s="17"/>
      <c r="C28" s="157" t="s">
        <v>58</v>
      </c>
      <c r="D28" s="157"/>
      <c r="E28" s="158"/>
      <c r="F28" s="159">
        <v>26.292100000000001</v>
      </c>
      <c r="G28" s="160">
        <v>115.8</v>
      </c>
      <c r="H28" s="160">
        <v>35.47</v>
      </c>
      <c r="I28" s="160">
        <v>27.343800000000002</v>
      </c>
      <c r="J28" s="160">
        <v>40</v>
      </c>
      <c r="K28" s="159">
        <v>29.5639</v>
      </c>
      <c r="L28" s="159">
        <v>145.88</v>
      </c>
      <c r="M28" s="159">
        <v>27.66</v>
      </c>
      <c r="N28" s="159">
        <v>26.25</v>
      </c>
      <c r="O28" s="159">
        <v>171.74107142857142</v>
      </c>
      <c r="P28" s="159">
        <v>176.78571428571428</v>
      </c>
      <c r="Q28" s="159">
        <v>195</v>
      </c>
      <c r="R28" s="159">
        <v>180.35714285714283</v>
      </c>
      <c r="S28" s="159">
        <v>198</v>
      </c>
      <c r="T28" s="159">
        <v>195</v>
      </c>
      <c r="U28" s="159">
        <v>189.38</v>
      </c>
      <c r="V28" s="159">
        <v>207</v>
      </c>
      <c r="W28" s="159">
        <v>379.46</v>
      </c>
      <c r="X28" s="159">
        <v>35.15</v>
      </c>
      <c r="Y28" s="159">
        <v>35.893000000000001</v>
      </c>
      <c r="Z28" s="159">
        <v>37.5</v>
      </c>
      <c r="AA28" s="159">
        <v>81.900000000000006</v>
      </c>
      <c r="AB28" s="159">
        <v>20.62</v>
      </c>
      <c r="AC28" s="159">
        <v>267.18</v>
      </c>
      <c r="AD28" s="159">
        <v>7.5</v>
      </c>
      <c r="AE28" s="16"/>
      <c r="AF28" s="16"/>
      <c r="AG28" s="16"/>
      <c r="AT28" s="54" t="s">
        <v>27</v>
      </c>
      <c r="AU28" s="44">
        <f>AP27</f>
        <v>0</v>
      </c>
      <c r="AV28" s="45">
        <f>AQ27</f>
        <v>0</v>
      </c>
    </row>
    <row r="29" spans="1:50" s="46" customFormat="1" ht="30" customHeight="1">
      <c r="A29" s="16"/>
      <c r="B29" s="17"/>
      <c r="C29" s="113" t="s">
        <v>53</v>
      </c>
      <c r="D29" s="113"/>
      <c r="E29" s="27">
        <f>F29+G29+K29+L29+M29+N29+O29+P29+Q29+R29+S29+U29+X29+Y29+Z29+AA29+AB29+AC29+AD29+H29+I29</f>
        <v>116365.62019999998</v>
      </c>
      <c r="F29" s="112">
        <f>F27*F28</f>
        <v>0</v>
      </c>
      <c r="G29" s="112">
        <f t="shared" ref="G29:AD29" si="15">G27*G28</f>
        <v>0</v>
      </c>
      <c r="H29" s="112">
        <f t="shared" si="15"/>
        <v>0</v>
      </c>
      <c r="I29" s="112">
        <f t="shared" si="15"/>
        <v>0</v>
      </c>
      <c r="J29" s="112">
        <f t="shared" si="15"/>
        <v>0</v>
      </c>
      <c r="K29" s="112">
        <f t="shared" si="15"/>
        <v>12298.582399999999</v>
      </c>
      <c r="L29" s="112">
        <f t="shared" si="15"/>
        <v>35302.959999999992</v>
      </c>
      <c r="M29" s="112">
        <f t="shared" si="15"/>
        <v>2083.6278000000002</v>
      </c>
      <c r="N29" s="112">
        <f t="shared" si="15"/>
        <v>813.75</v>
      </c>
      <c r="O29" s="112">
        <f t="shared" si="15"/>
        <v>0</v>
      </c>
      <c r="P29" s="112">
        <f t="shared" si="15"/>
        <v>0</v>
      </c>
      <c r="Q29" s="115">
        <f t="shared" si="15"/>
        <v>2730</v>
      </c>
      <c r="R29" s="112">
        <f t="shared" si="15"/>
        <v>0</v>
      </c>
      <c r="S29" s="112">
        <f t="shared" si="15"/>
        <v>0</v>
      </c>
      <c r="T29" s="112">
        <f t="shared" si="15"/>
        <v>0</v>
      </c>
      <c r="U29" s="115">
        <f t="shared" si="15"/>
        <v>58707.799999999996</v>
      </c>
      <c r="V29" s="112">
        <f t="shared" si="15"/>
        <v>0</v>
      </c>
      <c r="W29" s="112">
        <f t="shared" si="15"/>
        <v>0</v>
      </c>
      <c r="X29" s="112">
        <f t="shared" si="15"/>
        <v>4428.8999999999996</v>
      </c>
      <c r="Y29" s="112">
        <f t="shared" si="15"/>
        <v>0</v>
      </c>
      <c r="Z29" s="112">
        <f t="shared" si="15"/>
        <v>0</v>
      </c>
      <c r="AA29" s="112">
        <f t="shared" si="15"/>
        <v>0</v>
      </c>
      <c r="AB29" s="112">
        <f t="shared" si="15"/>
        <v>0</v>
      </c>
      <c r="AC29" s="112">
        <f t="shared" si="15"/>
        <v>0</v>
      </c>
      <c r="AD29" s="112">
        <f t="shared" si="15"/>
        <v>0</v>
      </c>
      <c r="AE29" s="16"/>
      <c r="AF29" s="16"/>
      <c r="AG29" s="16"/>
      <c r="AT29" s="54" t="s">
        <v>34</v>
      </c>
      <c r="AU29" s="44">
        <f>AH27</f>
        <v>8</v>
      </c>
      <c r="AV29" s="45">
        <f>AI27</f>
        <v>1</v>
      </c>
    </row>
    <row r="30" spans="1:50" s="16" customFormat="1" ht="30" customHeight="1">
      <c r="B30" s="17"/>
      <c r="C30" s="17"/>
      <c r="D30" s="17"/>
      <c r="AT30" s="54" t="s">
        <v>29</v>
      </c>
      <c r="AU30" s="14">
        <f>AJ27</f>
        <v>2</v>
      </c>
      <c r="AV30" s="15">
        <f>AK27</f>
        <v>0</v>
      </c>
    </row>
    <row r="31" spans="1:50" s="16" customFormat="1" ht="30" customHeight="1" thickBot="1">
      <c r="B31" s="17"/>
      <c r="C31" s="17"/>
      <c r="D31" s="17"/>
      <c r="AT31" s="55" t="s">
        <v>35</v>
      </c>
      <c r="AU31" s="18">
        <f>AR27</f>
        <v>0</v>
      </c>
      <c r="AV31" s="19">
        <f>AS27</f>
        <v>0</v>
      </c>
    </row>
    <row r="32" spans="1:50" s="16" customFormat="1" ht="30" customHeight="1">
      <c r="B32" s="17"/>
      <c r="C32" s="17"/>
      <c r="D32" s="17"/>
      <c r="AS32" s="269">
        <f>AT32-AU32</f>
        <v>0</v>
      </c>
      <c r="AT32" s="269">
        <f>SUM(AX7:AX24)</f>
        <v>14</v>
      </c>
      <c r="AU32" s="269">
        <f>SUM(AU26:AU31)</f>
        <v>14</v>
      </c>
    </row>
    <row r="33" spans="2:15" s="12" customFormat="1" ht="11.25" customHeight="1">
      <c r="B33" s="13"/>
      <c r="C33" s="13"/>
      <c r="D33" s="13"/>
    </row>
    <row r="34" spans="2:15" s="12" customFormat="1">
      <c r="B34" s="250" t="s">
        <v>89</v>
      </c>
      <c r="C34" s="250" t="s">
        <v>86</v>
      </c>
      <c r="D34" s="250" t="s">
        <v>58</v>
      </c>
      <c r="E34" s="250" t="s">
        <v>87</v>
      </c>
      <c r="O34" s="12" t="s">
        <v>18</v>
      </c>
    </row>
    <row r="35" spans="2:15" s="12" customFormat="1">
      <c r="B35" s="242" t="s">
        <v>72</v>
      </c>
      <c r="C35" s="248"/>
      <c r="D35" s="247">
        <v>26.292100000000001</v>
      </c>
      <c r="E35" s="248">
        <f>C35*D35</f>
        <v>0</v>
      </c>
    </row>
    <row r="36" spans="2:15" s="12" customFormat="1">
      <c r="B36" s="242" t="s">
        <v>100</v>
      </c>
      <c r="C36" s="248">
        <f>I27</f>
        <v>0</v>
      </c>
      <c r="D36" s="247">
        <v>27.343800000000002</v>
      </c>
      <c r="E36" s="248"/>
    </row>
    <row r="37" spans="2:15" s="12" customFormat="1">
      <c r="B37" s="242" t="s">
        <v>73</v>
      </c>
      <c r="C37" s="248">
        <f>K27</f>
        <v>416</v>
      </c>
      <c r="D37" s="247">
        <v>29.5639</v>
      </c>
      <c r="E37" s="248">
        <f t="shared" ref="E37:E57" si="16">C37*D37</f>
        <v>12298.582399999999</v>
      </c>
    </row>
    <row r="38" spans="2:15">
      <c r="B38" s="279" t="s">
        <v>2</v>
      </c>
      <c r="C38" s="245">
        <f>L27</f>
        <v>241.99999999999997</v>
      </c>
      <c r="D38" s="246">
        <v>145.88</v>
      </c>
      <c r="E38" s="248">
        <f t="shared" si="16"/>
        <v>35302.959999999992</v>
      </c>
    </row>
    <row r="39" spans="2:15">
      <c r="B39" s="279" t="s">
        <v>74</v>
      </c>
      <c r="C39" s="249">
        <f>M27</f>
        <v>75.330000000000013</v>
      </c>
      <c r="D39" s="246">
        <v>27.66</v>
      </c>
      <c r="E39" s="248">
        <f t="shared" si="16"/>
        <v>2083.6278000000002</v>
      </c>
    </row>
    <row r="40" spans="2:15">
      <c r="B40" s="279" t="s">
        <v>3</v>
      </c>
      <c r="C40" s="245">
        <f>N27</f>
        <v>31</v>
      </c>
      <c r="D40" s="246">
        <v>26.25</v>
      </c>
      <c r="E40" s="248">
        <f t="shared" si="16"/>
        <v>813.75</v>
      </c>
    </row>
    <row r="41" spans="2:15">
      <c r="B41" s="279" t="s">
        <v>75</v>
      </c>
      <c r="C41" s="245">
        <f>AB27</f>
        <v>0</v>
      </c>
      <c r="D41" s="246">
        <v>20.62</v>
      </c>
      <c r="E41" s="248">
        <f t="shared" si="16"/>
        <v>0</v>
      </c>
    </row>
    <row r="42" spans="2:15">
      <c r="B42" s="279" t="s">
        <v>76</v>
      </c>
      <c r="C42" s="245"/>
      <c r="D42" s="246">
        <v>171.74107142857142</v>
      </c>
      <c r="E42" s="248">
        <f t="shared" si="16"/>
        <v>0</v>
      </c>
    </row>
    <row r="43" spans="2:15">
      <c r="B43" s="279" t="s">
        <v>77</v>
      </c>
      <c r="C43" s="245"/>
      <c r="D43" s="246">
        <v>176.78571428571428</v>
      </c>
      <c r="E43" s="248">
        <f t="shared" si="16"/>
        <v>0</v>
      </c>
    </row>
    <row r="44" spans="2:15">
      <c r="B44" s="279" t="s">
        <v>78</v>
      </c>
      <c r="C44" s="245"/>
      <c r="D44" s="246">
        <v>180.35714285714283</v>
      </c>
      <c r="E44" s="248">
        <f t="shared" si="16"/>
        <v>0</v>
      </c>
    </row>
    <row r="45" spans="2:15">
      <c r="B45" s="279" t="s">
        <v>68</v>
      </c>
      <c r="C45" s="245"/>
      <c r="D45" s="246">
        <v>207</v>
      </c>
      <c r="E45" s="248">
        <f t="shared" si="16"/>
        <v>0</v>
      </c>
    </row>
    <row r="46" spans="2:15">
      <c r="B46" s="279" t="s">
        <v>79</v>
      </c>
      <c r="C46" s="246"/>
      <c r="D46" s="246">
        <v>331</v>
      </c>
      <c r="E46" s="248">
        <f t="shared" si="16"/>
        <v>0</v>
      </c>
    </row>
    <row r="47" spans="2:15">
      <c r="B47" s="279" t="s">
        <v>80</v>
      </c>
      <c r="C47" s="245">
        <f>U27</f>
        <v>310</v>
      </c>
      <c r="D47" s="246">
        <v>189.38</v>
      </c>
      <c r="E47" s="248">
        <f t="shared" si="16"/>
        <v>58707.799999999996</v>
      </c>
    </row>
    <row r="48" spans="2:15">
      <c r="B48" s="279" t="s">
        <v>81</v>
      </c>
      <c r="C48" s="245"/>
      <c r="D48" s="246">
        <v>195</v>
      </c>
      <c r="E48" s="248">
        <f t="shared" si="16"/>
        <v>0</v>
      </c>
    </row>
    <row r="49" spans="2:5">
      <c r="B49" s="279" t="s">
        <v>82</v>
      </c>
      <c r="C49" s="245">
        <f>Q27</f>
        <v>14</v>
      </c>
      <c r="D49" s="246">
        <v>195</v>
      </c>
      <c r="E49" s="248">
        <f t="shared" si="16"/>
        <v>2730</v>
      </c>
    </row>
    <row r="50" spans="2:5">
      <c r="B50" s="279" t="s">
        <v>55</v>
      </c>
      <c r="C50" s="246"/>
      <c r="D50" s="246">
        <v>359.83</v>
      </c>
      <c r="E50" s="248">
        <f t="shared" si="16"/>
        <v>0</v>
      </c>
    </row>
    <row r="51" spans="2:5">
      <c r="B51" s="279" t="s">
        <v>56</v>
      </c>
      <c r="C51" s="246"/>
      <c r="D51" s="246">
        <v>379.46</v>
      </c>
      <c r="E51" s="248">
        <f t="shared" si="16"/>
        <v>0</v>
      </c>
    </row>
    <row r="52" spans="2:5">
      <c r="B52" s="279" t="s">
        <v>83</v>
      </c>
      <c r="C52" s="245">
        <f>X27</f>
        <v>126</v>
      </c>
      <c r="D52" s="246">
        <v>35.15</v>
      </c>
      <c r="E52" s="248">
        <f t="shared" si="16"/>
        <v>4428.8999999999996</v>
      </c>
    </row>
    <row r="53" spans="2:5">
      <c r="B53" s="279" t="s">
        <v>84</v>
      </c>
      <c r="C53" s="245">
        <f>Y27</f>
        <v>0</v>
      </c>
      <c r="D53" s="246">
        <v>35.893000000000001</v>
      </c>
      <c r="E53" s="248">
        <f t="shared" si="16"/>
        <v>0</v>
      </c>
    </row>
    <row r="54" spans="2:5">
      <c r="B54" s="279" t="s">
        <v>95</v>
      </c>
      <c r="C54" s="245">
        <f>W21</f>
        <v>0</v>
      </c>
      <c r="D54" s="246">
        <v>37.5</v>
      </c>
      <c r="E54" s="248">
        <f t="shared" si="16"/>
        <v>0</v>
      </c>
    </row>
    <row r="55" spans="2:5">
      <c r="B55" s="279" t="s">
        <v>85</v>
      </c>
      <c r="C55" s="246">
        <f>AA27</f>
        <v>0</v>
      </c>
      <c r="D55" s="246">
        <v>81.900000000000006</v>
      </c>
      <c r="E55" s="248">
        <f t="shared" si="16"/>
        <v>0</v>
      </c>
    </row>
    <row r="56" spans="2:5">
      <c r="B56" s="279" t="s">
        <v>20</v>
      </c>
      <c r="C56" s="245">
        <f>AD27</f>
        <v>0</v>
      </c>
      <c r="D56" s="246">
        <v>7.5</v>
      </c>
      <c r="E56" s="248">
        <f t="shared" si="16"/>
        <v>0</v>
      </c>
    </row>
    <row r="57" spans="2:5">
      <c r="B57" s="279" t="s">
        <v>7</v>
      </c>
      <c r="C57" s="245">
        <f>AC27</f>
        <v>0</v>
      </c>
      <c r="D57" s="246">
        <v>267.18</v>
      </c>
      <c r="E57" s="248">
        <f t="shared" si="16"/>
        <v>0</v>
      </c>
    </row>
    <row r="58" spans="2:5">
      <c r="B58" s="279" t="s">
        <v>88</v>
      </c>
      <c r="C58" s="245">
        <f>SUM(C35:C57)</f>
        <v>1214.33</v>
      </c>
      <c r="D58" s="246"/>
      <c r="E58" s="245">
        <f>SUM(E35:E57)</f>
        <v>116365.62019999998</v>
      </c>
    </row>
  </sheetData>
  <mergeCells count="25">
    <mergeCell ref="L4:L5"/>
    <mergeCell ref="M4:M5"/>
    <mergeCell ref="N4:N5"/>
    <mergeCell ref="A2:B2"/>
    <mergeCell ref="C2:E2"/>
    <mergeCell ref="A4:A6"/>
    <mergeCell ref="B4:B6"/>
    <mergeCell ref="C4:C6"/>
    <mergeCell ref="E4:E6"/>
    <mergeCell ref="D4:D6"/>
    <mergeCell ref="AR4:AS5"/>
    <mergeCell ref="O4:P4"/>
    <mergeCell ref="R4:S4"/>
    <mergeCell ref="X4:AA4"/>
    <mergeCell ref="AB4:AB5"/>
    <mergeCell ref="AC4:AC5"/>
    <mergeCell ref="AD4:AD5"/>
    <mergeCell ref="AH4:AI5"/>
    <mergeCell ref="AJ4:AK5"/>
    <mergeCell ref="AL4:AM5"/>
    <mergeCell ref="AN4:AO5"/>
    <mergeCell ref="AP4:AQ5"/>
    <mergeCell ref="AE4:AE6"/>
    <mergeCell ref="AF4:AF6"/>
    <mergeCell ref="AG4:AG6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55"/>
  <sheetViews>
    <sheetView zoomScale="85" zoomScaleNormal="85" workbookViewId="0">
      <pane xSplit="5" ySplit="6" topLeftCell="AE7" activePane="bottomRight" state="frozen"/>
      <selection activeCell="D37" sqref="D37"/>
      <selection pane="topRight" activeCell="D37" sqref="D37"/>
      <selection pane="bottomLeft" activeCell="D37" sqref="D37"/>
      <selection pane="bottomRight" activeCell="AI17" sqref="AI17"/>
    </sheetView>
  </sheetViews>
  <sheetFormatPr defaultColWidth="9.140625" defaultRowHeight="18"/>
  <cols>
    <col min="1" max="1" width="7" style="7" customWidth="1"/>
    <col min="2" max="2" width="25.140625" style="6" customWidth="1"/>
    <col min="3" max="3" width="21.140625" style="6" customWidth="1"/>
    <col min="4" max="4" width="10.7109375" style="6" customWidth="1"/>
    <col min="5" max="5" width="28.5703125" style="3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1" width="12.140625" style="1" customWidth="1"/>
    <col min="12" max="12" width="13.85546875" style="1" customWidth="1"/>
    <col min="13" max="13" width="13.5703125" style="1" customWidth="1"/>
    <col min="14" max="14" width="11.140625" style="1" customWidth="1"/>
    <col min="15" max="16" width="11.140625" style="1" hidden="1" customWidth="1"/>
    <col min="17" max="17" width="11.140625" style="1" customWidth="1"/>
    <col min="18" max="20" width="11.140625" style="1" hidden="1" customWidth="1"/>
    <col min="21" max="21" width="11.140625" style="1" customWidth="1"/>
    <col min="22" max="23" width="11.140625" style="1" hidden="1" customWidth="1"/>
    <col min="24" max="24" width="10.28515625" style="1" customWidth="1"/>
    <col min="25" max="25" width="11.140625" style="1" customWidth="1"/>
    <col min="26" max="26" width="11.42578125" style="1" bestFit="1" customWidth="1"/>
    <col min="27" max="27" width="8" style="1" customWidth="1"/>
    <col min="28" max="28" width="11.140625" style="1" customWidth="1"/>
    <col min="29" max="29" width="8.5703125" style="1" customWidth="1"/>
    <col min="30" max="30" width="8.85546875" style="1" customWidth="1"/>
    <col min="31" max="31" width="12.85546875" style="1" customWidth="1"/>
    <col min="32" max="32" width="12.140625" style="1" hidden="1" customWidth="1"/>
    <col min="33" max="33" width="20" style="1" hidden="1" customWidth="1"/>
    <col min="34" max="45" width="11.28515625" style="1" customWidth="1"/>
    <col min="46" max="46" width="32.7109375" style="1" bestFit="1" customWidth="1"/>
    <col min="47" max="48" width="10.5703125" style="1" bestFit="1" customWidth="1"/>
    <col min="49" max="49" width="9.140625" style="1"/>
    <col min="50" max="50" width="9.5703125" style="1" bestFit="1" customWidth="1"/>
    <col min="51" max="16384" width="9.140625" style="1"/>
  </cols>
  <sheetData>
    <row r="2" spans="1:50" s="4" customFormat="1" ht="29.25" customHeight="1">
      <c r="A2" s="359" t="s">
        <v>24</v>
      </c>
      <c r="B2" s="359"/>
      <c r="C2" s="360">
        <f>TOTAL!D3</f>
        <v>46153</v>
      </c>
      <c r="D2" s="360"/>
      <c r="E2" s="360"/>
      <c r="F2" s="96"/>
      <c r="G2" s="96"/>
      <c r="H2" s="96"/>
      <c r="I2" s="96"/>
      <c r="J2" s="96"/>
      <c r="K2" s="96"/>
      <c r="N2" s="254" t="s">
        <v>65</v>
      </c>
      <c r="O2" s="254"/>
      <c r="P2" s="254"/>
      <c r="Q2" s="254"/>
    </row>
    <row r="3" spans="1:50" s="4" customFormat="1" ht="15.75" customHeight="1">
      <c r="A3" s="46"/>
      <c r="B3" s="46"/>
      <c r="C3" s="120"/>
      <c r="D3" s="120"/>
      <c r="E3" s="120"/>
      <c r="F3" s="8"/>
      <c r="G3" s="8"/>
      <c r="H3" s="8"/>
      <c r="I3" s="8"/>
      <c r="J3" s="8"/>
      <c r="K3" s="8"/>
      <c r="O3" s="5"/>
      <c r="P3" s="5"/>
    </row>
    <row r="4" spans="1:50" s="2" customFormat="1" ht="31.5" customHeight="1">
      <c r="A4" s="334" t="s">
        <v>12</v>
      </c>
      <c r="B4" s="334" t="s">
        <v>13</v>
      </c>
      <c r="C4" s="334" t="s">
        <v>57</v>
      </c>
      <c r="D4" s="337" t="s">
        <v>101</v>
      </c>
      <c r="E4" s="323" t="s">
        <v>0</v>
      </c>
      <c r="F4" s="180" t="s">
        <v>21</v>
      </c>
      <c r="G4" s="181" t="s">
        <v>14</v>
      </c>
      <c r="H4" s="181" t="s">
        <v>71</v>
      </c>
      <c r="I4" s="181" t="s">
        <v>117</v>
      </c>
      <c r="J4" s="276" t="s">
        <v>14</v>
      </c>
      <c r="K4" s="182" t="s">
        <v>14</v>
      </c>
      <c r="L4" s="326" t="s">
        <v>2</v>
      </c>
      <c r="M4" s="327" t="s">
        <v>22</v>
      </c>
      <c r="N4" s="326" t="s">
        <v>3</v>
      </c>
      <c r="O4" s="320" t="s">
        <v>4</v>
      </c>
      <c r="P4" s="321"/>
      <c r="Q4" s="181" t="s">
        <v>5</v>
      </c>
      <c r="R4" s="320" t="s">
        <v>17</v>
      </c>
      <c r="S4" s="321"/>
      <c r="T4" s="229" t="s">
        <v>5</v>
      </c>
      <c r="U4" s="181" t="s">
        <v>5</v>
      </c>
      <c r="V4" s="181" t="s">
        <v>68</v>
      </c>
      <c r="W4" s="181" t="s">
        <v>56</v>
      </c>
      <c r="X4" s="356" t="s">
        <v>6</v>
      </c>
      <c r="Y4" s="356"/>
      <c r="Z4" s="356"/>
      <c r="AA4" s="356"/>
      <c r="AB4" s="327" t="s">
        <v>19</v>
      </c>
      <c r="AC4" s="327" t="s">
        <v>7</v>
      </c>
      <c r="AD4" s="327" t="s">
        <v>20</v>
      </c>
      <c r="AE4" s="387" t="s">
        <v>115</v>
      </c>
      <c r="AF4" s="387" t="s">
        <v>113</v>
      </c>
      <c r="AG4" s="387" t="s">
        <v>114</v>
      </c>
      <c r="AH4" s="361" t="s">
        <v>28</v>
      </c>
      <c r="AI4" s="361"/>
      <c r="AJ4" s="310" t="s">
        <v>29</v>
      </c>
      <c r="AK4" s="311"/>
      <c r="AL4" s="310" t="s">
        <v>25</v>
      </c>
      <c r="AM4" s="311"/>
      <c r="AN4" s="310" t="s">
        <v>26</v>
      </c>
      <c r="AO4" s="311"/>
      <c r="AP4" s="310" t="s">
        <v>27</v>
      </c>
      <c r="AQ4" s="311"/>
      <c r="AR4" s="310" t="s">
        <v>41</v>
      </c>
      <c r="AS4" s="311"/>
      <c r="AT4" s="50"/>
    </row>
    <row r="5" spans="1:50" s="2" customFormat="1" ht="21" customHeight="1">
      <c r="A5" s="335"/>
      <c r="B5" s="335"/>
      <c r="C5" s="335"/>
      <c r="D5" s="338"/>
      <c r="E5" s="324"/>
      <c r="F5" s="182">
        <v>208</v>
      </c>
      <c r="G5" s="182">
        <v>38</v>
      </c>
      <c r="H5" s="182">
        <v>200</v>
      </c>
      <c r="I5" s="182">
        <v>200</v>
      </c>
      <c r="J5" s="276">
        <v>135</v>
      </c>
      <c r="K5" s="182">
        <v>215</v>
      </c>
      <c r="L5" s="326"/>
      <c r="M5" s="328"/>
      <c r="N5" s="326"/>
      <c r="O5" s="180">
        <v>2.4</v>
      </c>
      <c r="P5" s="180">
        <v>3.6</v>
      </c>
      <c r="Q5" s="180">
        <v>3.6</v>
      </c>
      <c r="R5" s="181">
        <v>2.4</v>
      </c>
      <c r="S5" s="181">
        <v>3.6</v>
      </c>
      <c r="T5" s="181">
        <v>4.9000000000000004</v>
      </c>
      <c r="U5" s="180">
        <v>2.4</v>
      </c>
      <c r="V5" s="180">
        <v>2.4</v>
      </c>
      <c r="W5" s="180"/>
      <c r="X5" s="182">
        <v>5</v>
      </c>
      <c r="Y5" s="182">
        <v>10</v>
      </c>
      <c r="Z5" s="253" t="s">
        <v>96</v>
      </c>
      <c r="AA5" s="182">
        <v>40</v>
      </c>
      <c r="AB5" s="328"/>
      <c r="AC5" s="328"/>
      <c r="AD5" s="328"/>
      <c r="AE5" s="388"/>
      <c r="AF5" s="388"/>
      <c r="AG5" s="388"/>
      <c r="AH5" s="361"/>
      <c r="AI5" s="361"/>
      <c r="AJ5" s="312"/>
      <c r="AK5" s="313"/>
      <c r="AL5" s="312"/>
      <c r="AM5" s="313"/>
      <c r="AN5" s="312"/>
      <c r="AO5" s="313"/>
      <c r="AP5" s="312"/>
      <c r="AQ5" s="313"/>
      <c r="AR5" s="312"/>
      <c r="AS5" s="313"/>
      <c r="AT5" s="50"/>
    </row>
    <row r="6" spans="1:50" s="2" customFormat="1" ht="24" customHeight="1">
      <c r="A6" s="336"/>
      <c r="B6" s="336"/>
      <c r="C6" s="336"/>
      <c r="D6" s="339"/>
      <c r="E6" s="325"/>
      <c r="F6" s="182" t="s">
        <v>8</v>
      </c>
      <c r="G6" s="182" t="s">
        <v>8</v>
      </c>
      <c r="H6" s="182" t="s">
        <v>8</v>
      </c>
      <c r="I6" s="182" t="s">
        <v>8</v>
      </c>
      <c r="J6" s="276" t="s">
        <v>8</v>
      </c>
      <c r="K6" s="182" t="s">
        <v>8</v>
      </c>
      <c r="L6" s="182" t="s">
        <v>9</v>
      </c>
      <c r="M6" s="182" t="s">
        <v>23</v>
      </c>
      <c r="N6" s="182" t="s">
        <v>8</v>
      </c>
      <c r="O6" s="182" t="s">
        <v>8</v>
      </c>
      <c r="P6" s="182" t="s">
        <v>8</v>
      </c>
      <c r="Q6" s="182" t="s">
        <v>8</v>
      </c>
      <c r="R6" s="182" t="s">
        <v>8</v>
      </c>
      <c r="S6" s="182" t="s">
        <v>8</v>
      </c>
      <c r="T6" s="182" t="s">
        <v>8</v>
      </c>
      <c r="U6" s="182" t="s">
        <v>8</v>
      </c>
      <c r="V6" s="182" t="s">
        <v>8</v>
      </c>
      <c r="W6" s="182" t="s">
        <v>8</v>
      </c>
      <c r="X6" s="182" t="s">
        <v>10</v>
      </c>
      <c r="Y6" s="182" t="s">
        <v>10</v>
      </c>
      <c r="Z6" s="182" t="s">
        <v>10</v>
      </c>
      <c r="AA6" s="182" t="s">
        <v>10</v>
      </c>
      <c r="AB6" s="182" t="s">
        <v>8</v>
      </c>
      <c r="AC6" s="182" t="s">
        <v>8</v>
      </c>
      <c r="AD6" s="182" t="s">
        <v>8</v>
      </c>
      <c r="AE6" s="389"/>
      <c r="AF6" s="389"/>
      <c r="AG6" s="389"/>
      <c r="AH6" s="131" t="s">
        <v>30</v>
      </c>
      <c r="AI6" s="131" t="s">
        <v>31</v>
      </c>
      <c r="AJ6" s="131" t="s">
        <v>30</v>
      </c>
      <c r="AK6" s="131" t="s">
        <v>31</v>
      </c>
      <c r="AL6" s="131" t="s">
        <v>30</v>
      </c>
      <c r="AM6" s="131" t="s">
        <v>31</v>
      </c>
      <c r="AN6" s="131" t="s">
        <v>30</v>
      </c>
      <c r="AO6" s="131" t="s">
        <v>31</v>
      </c>
      <c r="AP6" s="131" t="s">
        <v>30</v>
      </c>
      <c r="AQ6" s="131" t="s">
        <v>31</v>
      </c>
      <c r="AR6" s="131" t="s">
        <v>30</v>
      </c>
      <c r="AS6" s="131" t="s">
        <v>31</v>
      </c>
      <c r="AT6" s="50"/>
    </row>
    <row r="7" spans="1:50" s="28" customFormat="1" ht="21.95" customHeight="1">
      <c r="A7" s="25">
        <v>1</v>
      </c>
      <c r="B7" s="26" t="s">
        <v>118</v>
      </c>
      <c r="C7" s="26"/>
      <c r="D7" s="26"/>
      <c r="E7" s="27"/>
      <c r="F7" s="20"/>
      <c r="G7" s="20"/>
      <c r="H7" s="20"/>
      <c r="I7" s="20"/>
      <c r="J7" s="20"/>
      <c r="K7" s="20"/>
      <c r="L7" s="20"/>
      <c r="M7" s="21">
        <f t="shared" ref="M7" si="0">N7*2.43</f>
        <v>0</v>
      </c>
      <c r="N7" s="20"/>
      <c r="O7" s="67"/>
      <c r="P7" s="67"/>
      <c r="Q7" s="67"/>
      <c r="R7" s="67"/>
      <c r="S7" s="67"/>
      <c r="T7" s="67"/>
      <c r="U7" s="67"/>
      <c r="V7" s="67"/>
      <c r="W7" s="67"/>
      <c r="X7" s="20"/>
      <c r="Y7" s="20"/>
      <c r="Z7" s="20"/>
      <c r="AA7" s="20"/>
      <c r="AB7" s="20"/>
      <c r="AC7" s="20"/>
      <c r="AD7" s="20"/>
      <c r="AE7" s="220">
        <f t="shared" ref="AE7" si="1">O7+P7+Q7+R7+S7+T7+U7+V7</f>
        <v>0</v>
      </c>
      <c r="AF7" s="220"/>
      <c r="AG7" s="220"/>
      <c r="AH7" s="196"/>
      <c r="AI7" s="212"/>
      <c r="AJ7" s="213"/>
      <c r="AK7" s="212"/>
      <c r="AL7" s="221"/>
      <c r="AM7" s="212"/>
      <c r="AN7" s="215"/>
      <c r="AO7" s="212"/>
      <c r="AP7" s="216"/>
      <c r="AQ7" s="212"/>
      <c r="AR7" s="217"/>
      <c r="AS7" s="212"/>
      <c r="AX7" s="268">
        <f t="shared" ref="AX7:AX21" si="2">COUNTIFS(AE7,"&gt;=11")</f>
        <v>0</v>
      </c>
    </row>
    <row r="8" spans="1:50" s="28" customFormat="1" ht="24.95" customHeight="1">
      <c r="A8" s="29" t="s">
        <v>11</v>
      </c>
      <c r="B8" s="30"/>
      <c r="C8" s="30"/>
      <c r="D8" s="30"/>
      <c r="E8" s="30"/>
      <c r="F8" s="24">
        <f t="shared" ref="F8:AD8" si="3">SUM(F7:F7)</f>
        <v>0</v>
      </c>
      <c r="G8" s="24">
        <f t="shared" si="3"/>
        <v>0</v>
      </c>
      <c r="H8" s="24">
        <f t="shared" si="3"/>
        <v>0</v>
      </c>
      <c r="I8" s="24">
        <f t="shared" si="3"/>
        <v>0</v>
      </c>
      <c r="J8" s="24">
        <f t="shared" si="3"/>
        <v>0</v>
      </c>
      <c r="K8" s="24">
        <f t="shared" si="3"/>
        <v>0</v>
      </c>
      <c r="L8" s="24">
        <f t="shared" si="3"/>
        <v>0</v>
      </c>
      <c r="M8" s="24">
        <f t="shared" si="3"/>
        <v>0</v>
      </c>
      <c r="N8" s="24">
        <f t="shared" si="3"/>
        <v>0</v>
      </c>
      <c r="O8" s="24">
        <f t="shared" si="3"/>
        <v>0</v>
      </c>
      <c r="P8" s="24">
        <f t="shared" si="3"/>
        <v>0</v>
      </c>
      <c r="Q8" s="24">
        <f t="shared" si="3"/>
        <v>0</v>
      </c>
      <c r="R8" s="24">
        <f t="shared" si="3"/>
        <v>0</v>
      </c>
      <c r="S8" s="24">
        <f t="shared" si="3"/>
        <v>0</v>
      </c>
      <c r="T8" s="24">
        <f t="shared" si="3"/>
        <v>0</v>
      </c>
      <c r="U8" s="24">
        <f t="shared" si="3"/>
        <v>0</v>
      </c>
      <c r="V8" s="24">
        <f t="shared" si="3"/>
        <v>0</v>
      </c>
      <c r="W8" s="24">
        <f t="shared" si="3"/>
        <v>0</v>
      </c>
      <c r="X8" s="24">
        <f t="shared" si="3"/>
        <v>0</v>
      </c>
      <c r="Y8" s="24">
        <f t="shared" si="3"/>
        <v>0</v>
      </c>
      <c r="Z8" s="24">
        <f t="shared" si="3"/>
        <v>0</v>
      </c>
      <c r="AA8" s="24">
        <f t="shared" si="3"/>
        <v>0</v>
      </c>
      <c r="AB8" s="24">
        <f t="shared" si="3"/>
        <v>0</v>
      </c>
      <c r="AC8" s="24">
        <f t="shared" si="3"/>
        <v>0</v>
      </c>
      <c r="AD8" s="24">
        <f t="shared" si="3"/>
        <v>0</v>
      </c>
      <c r="AE8" s="41"/>
      <c r="AF8" s="41"/>
      <c r="AG8" s="41"/>
      <c r="AH8" s="30">
        <f t="shared" ref="AH8:AS8" si="4">SUM(AH7:AH7)</f>
        <v>0</v>
      </c>
      <c r="AI8" s="30">
        <f t="shared" si="4"/>
        <v>0</v>
      </c>
      <c r="AJ8" s="30">
        <f t="shared" si="4"/>
        <v>0</v>
      </c>
      <c r="AK8" s="30">
        <f t="shared" si="4"/>
        <v>0</v>
      </c>
      <c r="AL8" s="30">
        <f t="shared" si="4"/>
        <v>0</v>
      </c>
      <c r="AM8" s="30">
        <f t="shared" si="4"/>
        <v>0</v>
      </c>
      <c r="AN8" s="30">
        <f t="shared" si="4"/>
        <v>0</v>
      </c>
      <c r="AO8" s="30">
        <f t="shared" si="4"/>
        <v>0</v>
      </c>
      <c r="AP8" s="30">
        <f t="shared" si="4"/>
        <v>0</v>
      </c>
      <c r="AQ8" s="30">
        <f t="shared" si="4"/>
        <v>0</v>
      </c>
      <c r="AR8" s="30">
        <f t="shared" si="4"/>
        <v>0</v>
      </c>
      <c r="AS8" s="30">
        <f t="shared" si="4"/>
        <v>0</v>
      </c>
      <c r="AX8" s="268">
        <f t="shared" si="2"/>
        <v>0</v>
      </c>
    </row>
    <row r="9" spans="1:50" s="28" customFormat="1" ht="21.95" customHeight="1">
      <c r="A9" s="25">
        <v>2</v>
      </c>
      <c r="B9" s="26" t="s">
        <v>188</v>
      </c>
      <c r="C9" s="26" t="s">
        <v>187</v>
      </c>
      <c r="D9" s="26">
        <v>5</v>
      </c>
      <c r="E9" s="27" t="s">
        <v>186</v>
      </c>
      <c r="F9" s="20"/>
      <c r="G9" s="20"/>
      <c r="H9" s="20"/>
      <c r="I9" s="20">
        <v>18</v>
      </c>
      <c r="J9" s="20"/>
      <c r="K9" s="20"/>
      <c r="L9" s="20">
        <v>14.4</v>
      </c>
      <c r="M9" s="21">
        <f t="shared" ref="M9" si="5">N9*2.43</f>
        <v>4.8600000000000003</v>
      </c>
      <c r="N9" s="20">
        <v>2</v>
      </c>
      <c r="O9" s="67"/>
      <c r="P9" s="67"/>
      <c r="Q9" s="67"/>
      <c r="R9" s="67"/>
      <c r="S9" s="67"/>
      <c r="T9" s="67"/>
      <c r="U9" s="67">
        <v>18</v>
      </c>
      <c r="V9" s="67"/>
      <c r="W9" s="67"/>
      <c r="X9" s="20"/>
      <c r="Y9" s="20">
        <v>10</v>
      </c>
      <c r="Z9" s="20"/>
      <c r="AA9" s="20"/>
      <c r="AB9" s="20"/>
      <c r="AC9" s="20"/>
      <c r="AD9" s="20"/>
      <c r="AE9" s="220">
        <f t="shared" ref="AE9" si="6">O9+P9+Q9+R9+S9+T9+U9+V9</f>
        <v>18</v>
      </c>
      <c r="AF9" s="220"/>
      <c r="AG9" s="220"/>
      <c r="AH9" s="196"/>
      <c r="AI9" s="212"/>
      <c r="AJ9" s="213"/>
      <c r="AK9" s="212"/>
      <c r="AL9" s="221"/>
      <c r="AM9" s="212"/>
      <c r="AN9" s="215">
        <v>1</v>
      </c>
      <c r="AO9" s="212"/>
      <c r="AP9" s="216"/>
      <c r="AQ9" s="212"/>
      <c r="AR9" s="217"/>
      <c r="AS9" s="212"/>
      <c r="AX9" s="268">
        <f t="shared" si="2"/>
        <v>1</v>
      </c>
    </row>
    <row r="10" spans="1:50" s="28" customFormat="1" ht="21.95" customHeight="1">
      <c r="A10" s="25">
        <v>2</v>
      </c>
      <c r="B10" s="26" t="s">
        <v>190</v>
      </c>
      <c r="C10" s="26" t="s">
        <v>187</v>
      </c>
      <c r="D10" s="26">
        <v>5</v>
      </c>
      <c r="E10" s="27" t="s">
        <v>189</v>
      </c>
      <c r="F10" s="20"/>
      <c r="G10" s="20"/>
      <c r="H10" s="20"/>
      <c r="I10" s="20">
        <v>51</v>
      </c>
      <c r="J10" s="20"/>
      <c r="K10" s="20"/>
      <c r="L10" s="20">
        <v>16.8</v>
      </c>
      <c r="M10" s="21">
        <f t="shared" ref="M10:M11" si="7">N10*2.43</f>
        <v>4.8600000000000003</v>
      </c>
      <c r="N10" s="20">
        <v>2</v>
      </c>
      <c r="O10" s="67"/>
      <c r="P10" s="67"/>
      <c r="Q10" s="67">
        <v>2</v>
      </c>
      <c r="R10" s="67"/>
      <c r="S10" s="67"/>
      <c r="T10" s="67"/>
      <c r="U10" s="67">
        <v>24</v>
      </c>
      <c r="V10" s="67"/>
      <c r="W10" s="67"/>
      <c r="X10" s="20"/>
      <c r="Y10" s="20">
        <v>8</v>
      </c>
      <c r="Z10" s="20"/>
      <c r="AA10" s="20"/>
      <c r="AB10" s="20"/>
      <c r="AC10" s="20"/>
      <c r="AD10" s="20"/>
      <c r="AE10" s="220">
        <f t="shared" ref="AE10:AE11" si="8">O10+P10+Q10+R10+S10+T10+U10+V10</f>
        <v>26</v>
      </c>
      <c r="AF10" s="220"/>
      <c r="AG10" s="220"/>
      <c r="AH10" s="196"/>
      <c r="AI10" s="212"/>
      <c r="AJ10" s="213"/>
      <c r="AK10" s="212"/>
      <c r="AL10" s="221">
        <v>1</v>
      </c>
      <c r="AM10" s="212"/>
      <c r="AN10" s="215"/>
      <c r="AO10" s="212"/>
      <c r="AP10" s="216"/>
      <c r="AQ10" s="212"/>
      <c r="AR10" s="217"/>
      <c r="AS10" s="212"/>
      <c r="AX10" s="268">
        <f t="shared" si="2"/>
        <v>1</v>
      </c>
    </row>
    <row r="11" spans="1:50" s="28" customFormat="1" ht="21.95" customHeight="1">
      <c r="A11" s="25">
        <v>2</v>
      </c>
      <c r="B11" s="26" t="s">
        <v>192</v>
      </c>
      <c r="C11" s="26" t="s">
        <v>187</v>
      </c>
      <c r="D11" s="26">
        <v>5</v>
      </c>
      <c r="E11" s="27" t="s">
        <v>191</v>
      </c>
      <c r="F11" s="20"/>
      <c r="G11" s="20"/>
      <c r="H11" s="20"/>
      <c r="I11" s="20">
        <v>24</v>
      </c>
      <c r="J11" s="20"/>
      <c r="K11" s="20"/>
      <c r="L11" s="20">
        <v>19.2</v>
      </c>
      <c r="M11" s="21">
        <f t="shared" si="7"/>
        <v>4.8600000000000003</v>
      </c>
      <c r="N11" s="20">
        <v>2</v>
      </c>
      <c r="O11" s="67"/>
      <c r="P11" s="67"/>
      <c r="Q11" s="67"/>
      <c r="R11" s="67"/>
      <c r="S11" s="67"/>
      <c r="T11" s="67"/>
      <c r="U11" s="67">
        <v>24</v>
      </c>
      <c r="V11" s="67"/>
      <c r="W11" s="67"/>
      <c r="X11" s="20"/>
      <c r="Y11" s="20">
        <v>10</v>
      </c>
      <c r="Z11" s="20"/>
      <c r="AA11" s="20"/>
      <c r="AB11" s="20"/>
      <c r="AC11" s="20"/>
      <c r="AD11" s="20"/>
      <c r="AE11" s="220">
        <f t="shared" si="8"/>
        <v>24</v>
      </c>
      <c r="AF11" s="220"/>
      <c r="AG11" s="220"/>
      <c r="AH11" s="196">
        <v>1</v>
      </c>
      <c r="AI11" s="212"/>
      <c r="AJ11" s="213"/>
      <c r="AK11" s="212"/>
      <c r="AL11" s="221"/>
      <c r="AM11" s="212"/>
      <c r="AN11" s="215"/>
      <c r="AO11" s="212"/>
      <c r="AP11" s="216"/>
      <c r="AQ11" s="212"/>
      <c r="AR11" s="217"/>
      <c r="AS11" s="212"/>
      <c r="AX11" s="268">
        <f t="shared" si="2"/>
        <v>1</v>
      </c>
    </row>
    <row r="12" spans="1:50" s="28" customFormat="1" ht="21.95" customHeight="1">
      <c r="A12" s="25">
        <v>2</v>
      </c>
      <c r="B12" s="26" t="s">
        <v>194</v>
      </c>
      <c r="C12" s="26" t="s">
        <v>187</v>
      </c>
      <c r="D12" s="26">
        <v>5</v>
      </c>
      <c r="E12" s="27" t="s">
        <v>193</v>
      </c>
      <c r="F12" s="20"/>
      <c r="G12" s="20"/>
      <c r="H12" s="20"/>
      <c r="I12" s="20">
        <v>12</v>
      </c>
      <c r="J12" s="20"/>
      <c r="K12" s="20"/>
      <c r="L12" s="20"/>
      <c r="M12" s="21">
        <f t="shared" ref="M12:M13" si="9">N12*2.43</f>
        <v>4.8600000000000003</v>
      </c>
      <c r="N12" s="20">
        <v>2</v>
      </c>
      <c r="O12" s="67"/>
      <c r="P12" s="67"/>
      <c r="Q12" s="67"/>
      <c r="R12" s="67"/>
      <c r="S12" s="67"/>
      <c r="T12" s="67"/>
      <c r="U12" s="67"/>
      <c r="V12" s="67"/>
      <c r="W12" s="67"/>
      <c r="X12" s="20"/>
      <c r="Y12" s="20"/>
      <c r="Z12" s="20"/>
      <c r="AA12" s="20"/>
      <c r="AB12" s="20"/>
      <c r="AC12" s="20"/>
      <c r="AD12" s="20"/>
      <c r="AE12" s="220">
        <f t="shared" ref="AE12:AE13" si="10">O12+P12+Q12+R12+S12+T12+U12+V12</f>
        <v>0</v>
      </c>
      <c r="AF12" s="220"/>
      <c r="AG12" s="220"/>
      <c r="AH12" s="196"/>
      <c r="AI12" s="212"/>
      <c r="AJ12" s="213"/>
      <c r="AK12" s="212"/>
      <c r="AL12" s="221"/>
      <c r="AM12" s="212"/>
      <c r="AN12" s="215"/>
      <c r="AO12" s="212">
        <v>1</v>
      </c>
      <c r="AP12" s="216"/>
      <c r="AQ12" s="212"/>
      <c r="AR12" s="217"/>
      <c r="AS12" s="212"/>
      <c r="AX12" s="268">
        <f t="shared" si="2"/>
        <v>0</v>
      </c>
    </row>
    <row r="13" spans="1:50" s="28" customFormat="1" ht="21.95" customHeight="1">
      <c r="A13" s="25">
        <v>2</v>
      </c>
      <c r="B13" s="26" t="s">
        <v>196</v>
      </c>
      <c r="C13" s="26" t="s">
        <v>187</v>
      </c>
      <c r="D13" s="26">
        <v>5</v>
      </c>
      <c r="E13" s="27" t="s">
        <v>195</v>
      </c>
      <c r="F13" s="20"/>
      <c r="G13" s="20"/>
      <c r="H13" s="20"/>
      <c r="I13" s="20">
        <v>45</v>
      </c>
      <c r="J13" s="20"/>
      <c r="K13" s="20"/>
      <c r="L13" s="20">
        <v>16</v>
      </c>
      <c r="M13" s="21">
        <f t="shared" si="9"/>
        <v>4.8600000000000003</v>
      </c>
      <c r="N13" s="20">
        <v>2</v>
      </c>
      <c r="O13" s="67"/>
      <c r="P13" s="67"/>
      <c r="Q13" s="67">
        <v>3</v>
      </c>
      <c r="R13" s="67"/>
      <c r="S13" s="67"/>
      <c r="T13" s="67"/>
      <c r="U13" s="67">
        <v>22</v>
      </c>
      <c r="V13" s="67"/>
      <c r="W13" s="67"/>
      <c r="X13" s="20"/>
      <c r="Y13" s="20">
        <v>9</v>
      </c>
      <c r="Z13" s="20"/>
      <c r="AA13" s="20"/>
      <c r="AB13" s="20"/>
      <c r="AC13" s="20"/>
      <c r="AD13" s="20"/>
      <c r="AE13" s="220">
        <f t="shared" si="10"/>
        <v>25</v>
      </c>
      <c r="AF13" s="220"/>
      <c r="AG13" s="220"/>
      <c r="AH13" s="196"/>
      <c r="AI13" s="212"/>
      <c r="AJ13" s="213"/>
      <c r="AK13" s="212"/>
      <c r="AL13" s="221">
        <v>1</v>
      </c>
      <c r="AM13" s="212"/>
      <c r="AN13" s="215"/>
      <c r="AO13" s="212"/>
      <c r="AP13" s="216"/>
      <c r="AQ13" s="212"/>
      <c r="AR13" s="217"/>
      <c r="AS13" s="212"/>
      <c r="AX13" s="268">
        <f t="shared" si="2"/>
        <v>1</v>
      </c>
    </row>
    <row r="14" spans="1:50" s="28" customFormat="1" ht="21.95" customHeight="1">
      <c r="A14" s="25">
        <v>2</v>
      </c>
      <c r="B14" s="26" t="s">
        <v>196</v>
      </c>
      <c r="C14" s="26" t="s">
        <v>187</v>
      </c>
      <c r="D14" s="26"/>
      <c r="E14" s="27" t="s">
        <v>197</v>
      </c>
      <c r="F14" s="20"/>
      <c r="G14" s="20"/>
      <c r="H14" s="20"/>
      <c r="I14" s="20">
        <v>7</v>
      </c>
      <c r="J14" s="20"/>
      <c r="K14" s="20"/>
      <c r="L14" s="20"/>
      <c r="M14" s="21">
        <f t="shared" ref="M14" si="11">N14*2.43</f>
        <v>2.4300000000000002</v>
      </c>
      <c r="N14" s="20">
        <v>1</v>
      </c>
      <c r="O14" s="67"/>
      <c r="P14" s="67"/>
      <c r="Q14" s="67"/>
      <c r="R14" s="67"/>
      <c r="S14" s="67"/>
      <c r="T14" s="67"/>
      <c r="U14" s="67"/>
      <c r="V14" s="67"/>
      <c r="W14" s="67"/>
      <c r="X14" s="20"/>
      <c r="Y14" s="20">
        <v>4</v>
      </c>
      <c r="Z14" s="20"/>
      <c r="AA14" s="20"/>
      <c r="AB14" s="20"/>
      <c r="AC14" s="20"/>
      <c r="AD14" s="20"/>
      <c r="AE14" s="220">
        <f t="shared" ref="AE14" si="12">O14+P14+Q14+R14+S14+T14+U14+V14</f>
        <v>0</v>
      </c>
      <c r="AF14" s="220"/>
      <c r="AG14" s="220"/>
      <c r="AH14" s="196"/>
      <c r="AI14" s="212">
        <v>1</v>
      </c>
      <c r="AJ14" s="213"/>
      <c r="AK14" s="212"/>
      <c r="AL14" s="221"/>
      <c r="AM14" s="212"/>
      <c r="AN14" s="215"/>
      <c r="AO14" s="212"/>
      <c r="AP14" s="216"/>
      <c r="AQ14" s="212"/>
      <c r="AR14" s="217"/>
      <c r="AS14" s="212"/>
      <c r="AX14" s="268">
        <f t="shared" si="2"/>
        <v>0</v>
      </c>
    </row>
    <row r="15" spans="1:50" s="28" customFormat="1" ht="24.95" customHeight="1">
      <c r="A15" s="29" t="s">
        <v>11</v>
      </c>
      <c r="B15" s="30"/>
      <c r="C15" s="30"/>
      <c r="D15" s="30"/>
      <c r="E15" s="30"/>
      <c r="F15" s="24">
        <f t="shared" ref="F15:AD15" si="13">SUM(F9:F14)</f>
        <v>0</v>
      </c>
      <c r="G15" s="24">
        <f t="shared" si="13"/>
        <v>0</v>
      </c>
      <c r="H15" s="24">
        <f t="shared" si="13"/>
        <v>0</v>
      </c>
      <c r="I15" s="24">
        <f t="shared" si="13"/>
        <v>157</v>
      </c>
      <c r="J15" s="24">
        <f t="shared" si="13"/>
        <v>0</v>
      </c>
      <c r="K15" s="24">
        <f t="shared" si="13"/>
        <v>0</v>
      </c>
      <c r="L15" s="107">
        <f t="shared" si="13"/>
        <v>66.400000000000006</v>
      </c>
      <c r="M15" s="24">
        <f t="shared" si="13"/>
        <v>26.73</v>
      </c>
      <c r="N15" s="24">
        <f t="shared" si="13"/>
        <v>11</v>
      </c>
      <c r="O15" s="24">
        <f t="shared" si="13"/>
        <v>0</v>
      </c>
      <c r="P15" s="24">
        <f t="shared" si="13"/>
        <v>0</v>
      </c>
      <c r="Q15" s="24">
        <f t="shared" si="13"/>
        <v>5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U15" s="24">
        <f t="shared" si="13"/>
        <v>88</v>
      </c>
      <c r="V15" s="24">
        <f t="shared" si="13"/>
        <v>0</v>
      </c>
      <c r="W15" s="24">
        <f t="shared" si="13"/>
        <v>0</v>
      </c>
      <c r="X15" s="24">
        <f t="shared" si="13"/>
        <v>0</v>
      </c>
      <c r="Y15" s="24">
        <f t="shared" si="13"/>
        <v>41</v>
      </c>
      <c r="Z15" s="24">
        <f t="shared" si="13"/>
        <v>0</v>
      </c>
      <c r="AA15" s="24">
        <f t="shared" si="13"/>
        <v>0</v>
      </c>
      <c r="AB15" s="24">
        <f t="shared" si="13"/>
        <v>0</v>
      </c>
      <c r="AC15" s="24">
        <f t="shared" si="13"/>
        <v>0</v>
      </c>
      <c r="AD15" s="24">
        <f t="shared" si="13"/>
        <v>0</v>
      </c>
      <c r="AE15" s="41"/>
      <c r="AF15" s="41"/>
      <c r="AG15" s="41"/>
      <c r="AH15" s="30">
        <f t="shared" ref="AH15:AS15" si="14">SUM(AH9:AH14)</f>
        <v>1</v>
      </c>
      <c r="AI15" s="30">
        <f t="shared" si="14"/>
        <v>1</v>
      </c>
      <c r="AJ15" s="30">
        <f t="shared" si="14"/>
        <v>0</v>
      </c>
      <c r="AK15" s="30">
        <f t="shared" si="14"/>
        <v>0</v>
      </c>
      <c r="AL15" s="30">
        <f t="shared" si="14"/>
        <v>2</v>
      </c>
      <c r="AM15" s="30">
        <f t="shared" si="14"/>
        <v>0</v>
      </c>
      <c r="AN15" s="30">
        <f t="shared" si="14"/>
        <v>1</v>
      </c>
      <c r="AO15" s="30">
        <f t="shared" si="14"/>
        <v>1</v>
      </c>
      <c r="AP15" s="30">
        <f t="shared" si="14"/>
        <v>0</v>
      </c>
      <c r="AQ15" s="30">
        <f t="shared" si="14"/>
        <v>0</v>
      </c>
      <c r="AR15" s="30">
        <f t="shared" si="14"/>
        <v>0</v>
      </c>
      <c r="AS15" s="30">
        <f t="shared" si="14"/>
        <v>0</v>
      </c>
      <c r="AX15" s="268">
        <f t="shared" si="2"/>
        <v>0</v>
      </c>
    </row>
    <row r="16" spans="1:50" s="28" customFormat="1" ht="21.95" customHeight="1">
      <c r="A16" s="25">
        <v>3</v>
      </c>
      <c r="B16" s="26" t="s">
        <v>196</v>
      </c>
      <c r="C16" s="26" t="s">
        <v>199</v>
      </c>
      <c r="D16" s="26">
        <v>5</v>
      </c>
      <c r="E16" s="27" t="s">
        <v>198</v>
      </c>
      <c r="F16" s="20"/>
      <c r="G16" s="20"/>
      <c r="H16" s="20"/>
      <c r="I16" s="20">
        <v>44</v>
      </c>
      <c r="J16" s="20"/>
      <c r="K16" s="20"/>
      <c r="L16" s="20">
        <v>16</v>
      </c>
      <c r="M16" s="21">
        <f t="shared" ref="M16" si="15">N16*2.43</f>
        <v>4.8600000000000003</v>
      </c>
      <c r="N16" s="20">
        <v>2</v>
      </c>
      <c r="O16" s="67"/>
      <c r="P16" s="67"/>
      <c r="Q16" s="67"/>
      <c r="R16" s="67"/>
      <c r="S16" s="67"/>
      <c r="T16" s="67"/>
      <c r="U16" s="67">
        <v>24</v>
      </c>
      <c r="V16" s="67"/>
      <c r="W16" s="67"/>
      <c r="X16" s="20"/>
      <c r="Y16" s="20">
        <v>8</v>
      </c>
      <c r="Z16" s="20"/>
      <c r="AA16" s="20"/>
      <c r="AB16" s="20"/>
      <c r="AC16" s="20"/>
      <c r="AD16" s="20"/>
      <c r="AE16" s="220">
        <f t="shared" ref="AE16" si="16">O16+P16+Q16+R16+S16+T16+U16+V16</f>
        <v>24</v>
      </c>
      <c r="AF16" s="220"/>
      <c r="AG16" s="220"/>
      <c r="AH16" s="196"/>
      <c r="AI16" s="212"/>
      <c r="AJ16" s="213"/>
      <c r="AK16" s="212"/>
      <c r="AL16" s="221">
        <v>1</v>
      </c>
      <c r="AM16" s="212"/>
      <c r="AN16" s="215"/>
      <c r="AO16" s="212"/>
      <c r="AP16" s="216"/>
      <c r="AQ16" s="212"/>
      <c r="AR16" s="217"/>
      <c r="AS16" s="212"/>
      <c r="AX16" s="268">
        <f t="shared" si="2"/>
        <v>1</v>
      </c>
    </row>
    <row r="17" spans="1:50" s="28" customFormat="1" ht="21.95" customHeight="1">
      <c r="A17" s="25">
        <v>3</v>
      </c>
      <c r="B17" s="26" t="s">
        <v>194</v>
      </c>
      <c r="C17" s="26" t="s">
        <v>199</v>
      </c>
      <c r="D17" s="26">
        <v>5</v>
      </c>
      <c r="E17" s="27" t="s">
        <v>193</v>
      </c>
      <c r="F17" s="20"/>
      <c r="G17" s="20"/>
      <c r="H17" s="20"/>
      <c r="I17" s="20">
        <v>18</v>
      </c>
      <c r="J17" s="20"/>
      <c r="K17" s="20"/>
      <c r="L17" s="20">
        <v>14.4</v>
      </c>
      <c r="M17" s="21">
        <f t="shared" ref="M17:M18" si="17">N17*2.43</f>
        <v>4.8600000000000003</v>
      </c>
      <c r="N17" s="20">
        <v>2</v>
      </c>
      <c r="O17" s="67"/>
      <c r="P17" s="67"/>
      <c r="Q17" s="67"/>
      <c r="R17" s="67"/>
      <c r="S17" s="67"/>
      <c r="T17" s="67"/>
      <c r="U17" s="67">
        <v>18</v>
      </c>
      <c r="V17" s="67"/>
      <c r="W17" s="67"/>
      <c r="X17" s="20"/>
      <c r="Y17" s="20">
        <v>8</v>
      </c>
      <c r="Z17" s="20"/>
      <c r="AA17" s="20"/>
      <c r="AB17" s="20"/>
      <c r="AC17" s="20"/>
      <c r="AD17" s="20"/>
      <c r="AE17" s="220">
        <f t="shared" ref="AE17:AE18" si="18">O17+P17+Q17+R17+S17+T17+U17+V17</f>
        <v>18</v>
      </c>
      <c r="AF17" s="220"/>
      <c r="AG17" s="220"/>
      <c r="AH17" s="196"/>
      <c r="AI17" s="212"/>
      <c r="AJ17" s="213"/>
      <c r="AK17" s="212"/>
      <c r="AL17" s="221"/>
      <c r="AM17" s="212"/>
      <c r="AN17" s="215">
        <v>1</v>
      </c>
      <c r="AO17" s="212"/>
      <c r="AP17" s="216"/>
      <c r="AQ17" s="212"/>
      <c r="AR17" s="217"/>
      <c r="AS17" s="212"/>
      <c r="AX17" s="268">
        <f t="shared" si="2"/>
        <v>1</v>
      </c>
    </row>
    <row r="18" spans="1:50" s="28" customFormat="1" ht="21.95" customHeight="1">
      <c r="A18" s="25">
        <v>3</v>
      </c>
      <c r="B18" s="26" t="s">
        <v>188</v>
      </c>
      <c r="C18" s="26" t="s">
        <v>199</v>
      </c>
      <c r="D18" s="26">
        <v>5</v>
      </c>
      <c r="E18" s="27" t="s">
        <v>200</v>
      </c>
      <c r="F18" s="20"/>
      <c r="G18" s="20"/>
      <c r="H18" s="20"/>
      <c r="I18" s="20">
        <v>24</v>
      </c>
      <c r="J18" s="20"/>
      <c r="K18" s="20"/>
      <c r="L18" s="20">
        <v>19.2</v>
      </c>
      <c r="M18" s="21">
        <f t="shared" si="17"/>
        <v>4.8600000000000003</v>
      </c>
      <c r="N18" s="20">
        <v>2</v>
      </c>
      <c r="O18" s="67"/>
      <c r="P18" s="67"/>
      <c r="Q18" s="67">
        <v>2</v>
      </c>
      <c r="R18" s="67"/>
      <c r="S18" s="67"/>
      <c r="T18" s="67"/>
      <c r="U18" s="67">
        <v>22</v>
      </c>
      <c r="V18" s="67"/>
      <c r="W18" s="67"/>
      <c r="X18" s="20"/>
      <c r="Y18" s="20">
        <v>7</v>
      </c>
      <c r="Z18" s="20"/>
      <c r="AA18" s="20"/>
      <c r="AB18" s="20"/>
      <c r="AC18" s="20"/>
      <c r="AD18" s="20"/>
      <c r="AE18" s="220">
        <f t="shared" si="18"/>
        <v>24</v>
      </c>
      <c r="AF18" s="220"/>
      <c r="AG18" s="220"/>
      <c r="AH18" s="196">
        <v>1</v>
      </c>
      <c r="AI18" s="212"/>
      <c r="AJ18" s="213"/>
      <c r="AK18" s="212"/>
      <c r="AL18" s="221"/>
      <c r="AM18" s="212"/>
      <c r="AN18" s="215"/>
      <c r="AO18" s="212"/>
      <c r="AP18" s="216"/>
      <c r="AQ18" s="212"/>
      <c r="AR18" s="217"/>
      <c r="AS18" s="212"/>
      <c r="AX18" s="268">
        <f t="shared" si="2"/>
        <v>1</v>
      </c>
    </row>
    <row r="19" spans="1:50" s="28" customFormat="1" ht="21.95" customHeight="1">
      <c r="A19" s="25">
        <v>3</v>
      </c>
      <c r="B19" s="26" t="s">
        <v>188</v>
      </c>
      <c r="C19" s="26" t="s">
        <v>199</v>
      </c>
      <c r="D19" s="26"/>
      <c r="E19" s="27" t="s">
        <v>201</v>
      </c>
      <c r="F19" s="20"/>
      <c r="G19" s="20"/>
      <c r="H19" s="20"/>
      <c r="I19" s="20">
        <v>15</v>
      </c>
      <c r="J19" s="20"/>
      <c r="K19" s="20"/>
      <c r="L19" s="20"/>
      <c r="M19" s="21">
        <f t="shared" ref="M19:M21" si="19">N19*2.43</f>
        <v>12.15</v>
      </c>
      <c r="N19" s="20">
        <v>5</v>
      </c>
      <c r="O19" s="67"/>
      <c r="P19" s="67"/>
      <c r="Q19" s="67"/>
      <c r="R19" s="67"/>
      <c r="S19" s="67"/>
      <c r="T19" s="67"/>
      <c r="U19" s="67"/>
      <c r="V19" s="67"/>
      <c r="W19" s="67"/>
      <c r="X19" s="20"/>
      <c r="Y19" s="20"/>
      <c r="Z19" s="20"/>
      <c r="AA19" s="20"/>
      <c r="AB19" s="20"/>
      <c r="AC19" s="20"/>
      <c r="AD19" s="20"/>
      <c r="AE19" s="220">
        <f t="shared" ref="AE19:AE21" si="20">O19+P19+Q19+R19+S19+T19+U19+V19</f>
        <v>0</v>
      </c>
      <c r="AF19" s="220"/>
      <c r="AG19" s="220"/>
      <c r="AH19" s="196"/>
      <c r="AI19" s="212"/>
      <c r="AJ19" s="213"/>
      <c r="AK19" s="212"/>
      <c r="AL19" s="221"/>
      <c r="AM19" s="212"/>
      <c r="AN19" s="215"/>
      <c r="AO19" s="212"/>
      <c r="AP19" s="216"/>
      <c r="AQ19" s="212"/>
      <c r="AR19" s="217"/>
      <c r="AS19" s="212">
        <v>1</v>
      </c>
      <c r="AX19" s="268">
        <f t="shared" si="2"/>
        <v>0</v>
      </c>
    </row>
    <row r="20" spans="1:50" s="28" customFormat="1" ht="21.95" customHeight="1">
      <c r="A20" s="25">
        <v>3</v>
      </c>
      <c r="B20" s="26" t="s">
        <v>203</v>
      </c>
      <c r="C20" s="26" t="s">
        <v>199</v>
      </c>
      <c r="D20" s="26">
        <v>5</v>
      </c>
      <c r="E20" s="27" t="s">
        <v>202</v>
      </c>
      <c r="F20" s="20"/>
      <c r="G20" s="20"/>
      <c r="H20" s="20"/>
      <c r="I20" s="20">
        <v>36</v>
      </c>
      <c r="J20" s="20"/>
      <c r="K20" s="20"/>
      <c r="L20" s="20">
        <v>28.8</v>
      </c>
      <c r="M20" s="21">
        <f t="shared" si="19"/>
        <v>4.8600000000000003</v>
      </c>
      <c r="N20" s="20">
        <v>2</v>
      </c>
      <c r="O20" s="67"/>
      <c r="P20" s="67"/>
      <c r="Q20" s="67">
        <v>4</v>
      </c>
      <c r="R20" s="67"/>
      <c r="S20" s="67"/>
      <c r="T20" s="67"/>
      <c r="U20" s="67">
        <v>32</v>
      </c>
      <c r="V20" s="67"/>
      <c r="W20" s="67"/>
      <c r="X20" s="20"/>
      <c r="Y20" s="20">
        <v>12</v>
      </c>
      <c r="Z20" s="20"/>
      <c r="AA20" s="20"/>
      <c r="AB20" s="20"/>
      <c r="AC20" s="20"/>
      <c r="AD20" s="20"/>
      <c r="AE20" s="220">
        <f t="shared" si="20"/>
        <v>36</v>
      </c>
      <c r="AF20" s="220"/>
      <c r="AG20" s="220"/>
      <c r="AH20" s="196">
        <v>1</v>
      </c>
      <c r="AI20" s="212"/>
      <c r="AJ20" s="213"/>
      <c r="AK20" s="212"/>
      <c r="AL20" s="221"/>
      <c r="AM20" s="212"/>
      <c r="AN20" s="215"/>
      <c r="AO20" s="212"/>
      <c r="AP20" s="216"/>
      <c r="AQ20" s="212"/>
      <c r="AR20" s="217"/>
      <c r="AS20" s="212"/>
      <c r="AX20" s="268">
        <f t="shared" si="2"/>
        <v>1</v>
      </c>
    </row>
    <row r="21" spans="1:50" s="28" customFormat="1" ht="21.95" customHeight="1">
      <c r="A21" s="25">
        <v>3</v>
      </c>
      <c r="B21" s="26" t="s">
        <v>204</v>
      </c>
      <c r="C21" s="26" t="s">
        <v>199</v>
      </c>
      <c r="D21" s="26">
        <v>5</v>
      </c>
      <c r="E21" s="27" t="s">
        <v>133</v>
      </c>
      <c r="F21" s="20"/>
      <c r="G21" s="20"/>
      <c r="H21" s="20"/>
      <c r="I21" s="20">
        <v>30</v>
      </c>
      <c r="J21" s="20"/>
      <c r="K21" s="20"/>
      <c r="L21" s="20">
        <v>24</v>
      </c>
      <c r="M21" s="21">
        <f t="shared" si="19"/>
        <v>4.8600000000000003</v>
      </c>
      <c r="N21" s="20">
        <v>2</v>
      </c>
      <c r="O21" s="67"/>
      <c r="P21" s="67"/>
      <c r="Q21" s="67">
        <v>2</v>
      </c>
      <c r="R21" s="67"/>
      <c r="S21" s="67"/>
      <c r="T21" s="67"/>
      <c r="U21" s="67">
        <v>28</v>
      </c>
      <c r="V21" s="67"/>
      <c r="W21" s="67"/>
      <c r="X21" s="20"/>
      <c r="Y21" s="20">
        <v>12</v>
      </c>
      <c r="Z21" s="20"/>
      <c r="AA21" s="20"/>
      <c r="AB21" s="20"/>
      <c r="AC21" s="20"/>
      <c r="AD21" s="20"/>
      <c r="AE21" s="220">
        <f t="shared" si="20"/>
        <v>30</v>
      </c>
      <c r="AF21" s="220"/>
      <c r="AG21" s="220"/>
      <c r="AH21" s="196">
        <v>1</v>
      </c>
      <c r="AI21" s="212"/>
      <c r="AJ21" s="213"/>
      <c r="AK21" s="212"/>
      <c r="AL21" s="221"/>
      <c r="AM21" s="212"/>
      <c r="AN21" s="215"/>
      <c r="AO21" s="212"/>
      <c r="AP21" s="216"/>
      <c r="AQ21" s="212"/>
      <c r="AR21" s="217"/>
      <c r="AS21" s="212"/>
      <c r="AX21" s="268">
        <f t="shared" si="2"/>
        <v>1</v>
      </c>
    </row>
    <row r="22" spans="1:50" s="28" customFormat="1" ht="24.95" customHeight="1">
      <c r="A22" s="29" t="s">
        <v>11</v>
      </c>
      <c r="B22" s="30"/>
      <c r="C22" s="30"/>
      <c r="D22" s="30"/>
      <c r="E22" s="30"/>
      <c r="F22" s="24">
        <f t="shared" ref="F22:AD22" si="21">SUM(F16:F21)</f>
        <v>0</v>
      </c>
      <c r="G22" s="24">
        <f t="shared" si="21"/>
        <v>0</v>
      </c>
      <c r="H22" s="24">
        <f t="shared" si="21"/>
        <v>0</v>
      </c>
      <c r="I22" s="24">
        <f t="shared" si="21"/>
        <v>167</v>
      </c>
      <c r="J22" s="24">
        <f t="shared" si="21"/>
        <v>0</v>
      </c>
      <c r="K22" s="24">
        <f t="shared" si="21"/>
        <v>0</v>
      </c>
      <c r="L22" s="107">
        <f t="shared" si="21"/>
        <v>102.39999999999999</v>
      </c>
      <c r="M22" s="24">
        <f t="shared" si="21"/>
        <v>36.450000000000003</v>
      </c>
      <c r="N22" s="24">
        <f t="shared" si="21"/>
        <v>15</v>
      </c>
      <c r="O22" s="24">
        <f t="shared" si="21"/>
        <v>0</v>
      </c>
      <c r="P22" s="24">
        <f t="shared" si="21"/>
        <v>0</v>
      </c>
      <c r="Q22" s="24">
        <f t="shared" si="21"/>
        <v>8</v>
      </c>
      <c r="R22" s="24">
        <f t="shared" si="21"/>
        <v>0</v>
      </c>
      <c r="S22" s="24">
        <f t="shared" si="21"/>
        <v>0</v>
      </c>
      <c r="T22" s="24">
        <f t="shared" si="21"/>
        <v>0</v>
      </c>
      <c r="U22" s="24">
        <f t="shared" si="21"/>
        <v>124</v>
      </c>
      <c r="V22" s="24">
        <f t="shared" si="21"/>
        <v>0</v>
      </c>
      <c r="W22" s="24">
        <f t="shared" si="21"/>
        <v>0</v>
      </c>
      <c r="X22" s="24">
        <f t="shared" si="21"/>
        <v>0</v>
      </c>
      <c r="Y22" s="24">
        <f t="shared" si="21"/>
        <v>47</v>
      </c>
      <c r="Z22" s="24">
        <f t="shared" si="21"/>
        <v>0</v>
      </c>
      <c r="AA22" s="24">
        <f t="shared" si="21"/>
        <v>0</v>
      </c>
      <c r="AB22" s="24">
        <f t="shared" si="21"/>
        <v>0</v>
      </c>
      <c r="AC22" s="24">
        <f t="shared" si="21"/>
        <v>0</v>
      </c>
      <c r="AD22" s="24">
        <f t="shared" si="21"/>
        <v>0</v>
      </c>
      <c r="AE22" s="41"/>
      <c r="AF22" s="41"/>
      <c r="AG22" s="41"/>
      <c r="AH22" s="30">
        <f t="shared" ref="AH22:AS22" si="22">SUM(AH16:AH21)</f>
        <v>3</v>
      </c>
      <c r="AI22" s="30">
        <f t="shared" si="22"/>
        <v>0</v>
      </c>
      <c r="AJ22" s="30">
        <f t="shared" si="22"/>
        <v>0</v>
      </c>
      <c r="AK22" s="30">
        <f t="shared" si="22"/>
        <v>0</v>
      </c>
      <c r="AL22" s="30">
        <f t="shared" si="22"/>
        <v>1</v>
      </c>
      <c r="AM22" s="30">
        <f t="shared" si="22"/>
        <v>0</v>
      </c>
      <c r="AN22" s="30">
        <f t="shared" si="22"/>
        <v>1</v>
      </c>
      <c r="AO22" s="30">
        <f t="shared" si="22"/>
        <v>0</v>
      </c>
      <c r="AP22" s="30">
        <f t="shared" si="22"/>
        <v>0</v>
      </c>
      <c r="AQ22" s="30">
        <f t="shared" si="22"/>
        <v>0</v>
      </c>
      <c r="AR22" s="30">
        <f t="shared" si="22"/>
        <v>0</v>
      </c>
      <c r="AS22" s="30">
        <f t="shared" si="22"/>
        <v>1</v>
      </c>
      <c r="AT22" s="219" t="s">
        <v>32</v>
      </c>
      <c r="AU22" s="144" t="s">
        <v>30</v>
      </c>
      <c r="AV22" s="145" t="s">
        <v>31</v>
      </c>
    </row>
    <row r="23" spans="1:50" s="28" customFormat="1" ht="30" customHeight="1">
      <c r="B23" s="149"/>
      <c r="C23" s="149"/>
      <c r="D23" s="149"/>
      <c r="E23" s="149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1"/>
      <c r="AF23" s="151"/>
      <c r="AG23" s="151"/>
      <c r="AT23" s="92" t="s">
        <v>33</v>
      </c>
      <c r="AU23" s="152">
        <f>AL24</f>
        <v>3</v>
      </c>
      <c r="AV23" s="153">
        <f>AM24</f>
        <v>0</v>
      </c>
    </row>
    <row r="24" spans="1:50" s="28" customFormat="1" ht="30" customHeight="1">
      <c r="A24" s="184" t="s">
        <v>15</v>
      </c>
      <c r="B24" s="183"/>
      <c r="C24" s="183"/>
      <c r="D24" s="183"/>
      <c r="E24" s="183"/>
      <c r="F24" s="185">
        <f t="shared" ref="F24:AD24" si="23">F22+F15+F8</f>
        <v>0</v>
      </c>
      <c r="G24" s="185">
        <f t="shared" si="23"/>
        <v>0</v>
      </c>
      <c r="H24" s="185">
        <f t="shared" si="23"/>
        <v>0</v>
      </c>
      <c r="I24" s="185">
        <f t="shared" si="23"/>
        <v>324</v>
      </c>
      <c r="J24" s="185">
        <f t="shared" si="23"/>
        <v>0</v>
      </c>
      <c r="K24" s="185">
        <f t="shared" si="23"/>
        <v>0</v>
      </c>
      <c r="L24" s="185">
        <f t="shared" si="23"/>
        <v>168.8</v>
      </c>
      <c r="M24" s="186">
        <f t="shared" si="23"/>
        <v>63.180000000000007</v>
      </c>
      <c r="N24" s="185">
        <f t="shared" si="23"/>
        <v>26</v>
      </c>
      <c r="O24" s="185">
        <f t="shared" si="23"/>
        <v>0</v>
      </c>
      <c r="P24" s="185">
        <f t="shared" si="23"/>
        <v>0</v>
      </c>
      <c r="Q24" s="185">
        <f t="shared" si="23"/>
        <v>13</v>
      </c>
      <c r="R24" s="185">
        <f t="shared" si="23"/>
        <v>0</v>
      </c>
      <c r="S24" s="185">
        <f t="shared" si="23"/>
        <v>0</v>
      </c>
      <c r="T24" s="185">
        <f t="shared" si="23"/>
        <v>0</v>
      </c>
      <c r="U24" s="185">
        <f t="shared" si="23"/>
        <v>212</v>
      </c>
      <c r="V24" s="185">
        <f t="shared" si="23"/>
        <v>0</v>
      </c>
      <c r="W24" s="185">
        <f t="shared" si="23"/>
        <v>0</v>
      </c>
      <c r="X24" s="185">
        <f t="shared" si="23"/>
        <v>0</v>
      </c>
      <c r="Y24" s="185">
        <f t="shared" si="23"/>
        <v>88</v>
      </c>
      <c r="Z24" s="185">
        <f t="shared" si="23"/>
        <v>0</v>
      </c>
      <c r="AA24" s="185">
        <f t="shared" si="23"/>
        <v>0</v>
      </c>
      <c r="AB24" s="185">
        <f t="shared" si="23"/>
        <v>0</v>
      </c>
      <c r="AC24" s="185">
        <f t="shared" si="23"/>
        <v>0</v>
      </c>
      <c r="AD24" s="185">
        <f t="shared" si="23"/>
        <v>0</v>
      </c>
      <c r="AE24" s="151"/>
      <c r="AF24" s="151"/>
      <c r="AG24" s="151"/>
      <c r="AH24" s="189">
        <f t="shared" ref="AH24:AS24" si="24">AH22+AH15+AH8</f>
        <v>4</v>
      </c>
      <c r="AI24" s="189">
        <f t="shared" si="24"/>
        <v>1</v>
      </c>
      <c r="AJ24" s="189">
        <f t="shared" si="24"/>
        <v>0</v>
      </c>
      <c r="AK24" s="189">
        <f t="shared" si="24"/>
        <v>0</v>
      </c>
      <c r="AL24" s="189">
        <f t="shared" si="24"/>
        <v>3</v>
      </c>
      <c r="AM24" s="189">
        <f t="shared" si="24"/>
        <v>0</v>
      </c>
      <c r="AN24" s="189">
        <f t="shared" si="24"/>
        <v>2</v>
      </c>
      <c r="AO24" s="189">
        <f t="shared" si="24"/>
        <v>1</v>
      </c>
      <c r="AP24" s="189">
        <f t="shared" si="24"/>
        <v>0</v>
      </c>
      <c r="AQ24" s="189">
        <f t="shared" si="24"/>
        <v>0</v>
      </c>
      <c r="AR24" s="189">
        <f t="shared" si="24"/>
        <v>0</v>
      </c>
      <c r="AS24" s="189">
        <f t="shared" si="24"/>
        <v>1</v>
      </c>
      <c r="AT24" s="146" t="s">
        <v>26</v>
      </c>
      <c r="AU24" s="147">
        <f>AN24</f>
        <v>2</v>
      </c>
      <c r="AV24" s="148">
        <f>AO24</f>
        <v>1</v>
      </c>
    </row>
    <row r="25" spans="1:50" s="46" customFormat="1" ht="30" customHeight="1">
      <c r="A25" s="16"/>
      <c r="B25" s="17"/>
      <c r="C25" s="157" t="s">
        <v>58</v>
      </c>
      <c r="D25" s="157"/>
      <c r="E25" s="158"/>
      <c r="F25" s="159">
        <v>26.292100000000001</v>
      </c>
      <c r="G25" s="160">
        <v>115.8</v>
      </c>
      <c r="H25" s="160">
        <v>35.47</v>
      </c>
      <c r="I25" s="160">
        <v>27.343800000000002</v>
      </c>
      <c r="J25" s="160">
        <v>40</v>
      </c>
      <c r="K25" s="159">
        <v>29.5639</v>
      </c>
      <c r="L25" s="159">
        <v>145.88</v>
      </c>
      <c r="M25" s="159">
        <v>27.66</v>
      </c>
      <c r="N25" s="159">
        <v>26.25</v>
      </c>
      <c r="O25" s="159">
        <v>171.74107142857142</v>
      </c>
      <c r="P25" s="159">
        <v>176.78571428571428</v>
      </c>
      <c r="Q25" s="159">
        <v>195</v>
      </c>
      <c r="R25" s="159">
        <v>180.35714285714283</v>
      </c>
      <c r="S25" s="159">
        <v>198</v>
      </c>
      <c r="T25" s="159">
        <v>195</v>
      </c>
      <c r="U25" s="159">
        <v>189.38</v>
      </c>
      <c r="V25" s="159">
        <v>207</v>
      </c>
      <c r="W25" s="159">
        <v>379.46</v>
      </c>
      <c r="X25" s="159">
        <v>35.15</v>
      </c>
      <c r="Y25" s="159">
        <v>35.893000000000001</v>
      </c>
      <c r="Z25" s="159">
        <v>37.5</v>
      </c>
      <c r="AA25" s="159">
        <v>81.900000000000006</v>
      </c>
      <c r="AB25" s="159">
        <v>20.62</v>
      </c>
      <c r="AC25" s="159">
        <v>267.18</v>
      </c>
      <c r="AD25" s="159">
        <v>7.5</v>
      </c>
      <c r="AE25" s="16"/>
      <c r="AF25" s="16"/>
      <c r="AG25" s="16"/>
      <c r="AT25" s="54" t="s">
        <v>27</v>
      </c>
      <c r="AU25" s="44">
        <f>AP24</f>
        <v>0</v>
      </c>
      <c r="AV25" s="45">
        <f>AQ24</f>
        <v>0</v>
      </c>
    </row>
    <row r="26" spans="1:50" s="46" customFormat="1" ht="30" customHeight="1">
      <c r="A26" s="16"/>
      <c r="B26" s="17"/>
      <c r="C26" s="113" t="s">
        <v>53</v>
      </c>
      <c r="D26" s="113"/>
      <c r="E26" s="27">
        <f>F26+G26+K26+L26+M26+N26+O26+P26+Q26+R26+S26+U26+X26+Y26+Z26+AA26+AB26+AC26+AD26+H26+I26</f>
        <v>81756.137999999992</v>
      </c>
      <c r="F26" s="112">
        <f>F24*F25</f>
        <v>0</v>
      </c>
      <c r="G26" s="112">
        <f t="shared" ref="G26:AD26" si="25">G24*G25</f>
        <v>0</v>
      </c>
      <c r="H26" s="112">
        <f t="shared" si="25"/>
        <v>0</v>
      </c>
      <c r="I26" s="112">
        <f t="shared" si="25"/>
        <v>8859.3912</v>
      </c>
      <c r="J26" s="112">
        <f t="shared" si="25"/>
        <v>0</v>
      </c>
      <c r="K26" s="112">
        <f t="shared" si="25"/>
        <v>0</v>
      </c>
      <c r="L26" s="112">
        <f t="shared" si="25"/>
        <v>24624.544000000002</v>
      </c>
      <c r="M26" s="112">
        <f t="shared" si="25"/>
        <v>1747.5588000000002</v>
      </c>
      <c r="N26" s="112">
        <f t="shared" si="25"/>
        <v>682.5</v>
      </c>
      <c r="O26" s="112">
        <f t="shared" si="25"/>
        <v>0</v>
      </c>
      <c r="P26" s="112">
        <f t="shared" si="25"/>
        <v>0</v>
      </c>
      <c r="Q26" s="115">
        <f t="shared" si="25"/>
        <v>2535</v>
      </c>
      <c r="R26" s="112">
        <f t="shared" si="25"/>
        <v>0</v>
      </c>
      <c r="S26" s="112">
        <f t="shared" si="25"/>
        <v>0</v>
      </c>
      <c r="T26" s="112">
        <f t="shared" si="25"/>
        <v>0</v>
      </c>
      <c r="U26" s="115">
        <f t="shared" si="25"/>
        <v>40148.559999999998</v>
      </c>
      <c r="V26" s="112">
        <f t="shared" si="25"/>
        <v>0</v>
      </c>
      <c r="W26" s="112">
        <f t="shared" si="25"/>
        <v>0</v>
      </c>
      <c r="X26" s="112">
        <f t="shared" si="25"/>
        <v>0</v>
      </c>
      <c r="Y26" s="112">
        <f t="shared" si="25"/>
        <v>3158.5839999999998</v>
      </c>
      <c r="Z26" s="112">
        <f t="shared" si="25"/>
        <v>0</v>
      </c>
      <c r="AA26" s="112">
        <f t="shared" si="25"/>
        <v>0</v>
      </c>
      <c r="AB26" s="112">
        <f t="shared" si="25"/>
        <v>0</v>
      </c>
      <c r="AC26" s="112">
        <f t="shared" si="25"/>
        <v>0</v>
      </c>
      <c r="AD26" s="112">
        <f t="shared" si="25"/>
        <v>0</v>
      </c>
      <c r="AE26" s="16"/>
      <c r="AF26" s="16"/>
      <c r="AG26" s="16"/>
      <c r="AT26" s="54" t="s">
        <v>34</v>
      </c>
      <c r="AU26" s="44">
        <f>AH24</f>
        <v>4</v>
      </c>
      <c r="AV26" s="45">
        <f>AI24</f>
        <v>1</v>
      </c>
    </row>
    <row r="27" spans="1:50" s="16" customFormat="1" ht="30" customHeight="1">
      <c r="B27" s="17"/>
      <c r="C27" s="17"/>
      <c r="D27" s="17"/>
      <c r="AT27" s="54" t="s">
        <v>29</v>
      </c>
      <c r="AU27" s="14">
        <f>AJ24</f>
        <v>0</v>
      </c>
      <c r="AV27" s="15">
        <f>AK24</f>
        <v>0</v>
      </c>
    </row>
    <row r="28" spans="1:50" s="16" customFormat="1" ht="30" customHeight="1" thickBot="1">
      <c r="B28" s="17"/>
      <c r="C28" s="17"/>
      <c r="D28" s="17"/>
      <c r="AT28" s="55" t="s">
        <v>35</v>
      </c>
      <c r="AU28" s="18">
        <f>AR24</f>
        <v>0</v>
      </c>
      <c r="AV28" s="19">
        <f>AS24</f>
        <v>1</v>
      </c>
    </row>
    <row r="29" spans="1:50" s="16" customFormat="1" ht="30" customHeight="1">
      <c r="B29" s="17"/>
      <c r="C29" s="17"/>
      <c r="D29" s="17"/>
      <c r="AS29" s="269">
        <f>AT29-AU29</f>
        <v>0</v>
      </c>
      <c r="AT29" s="269">
        <f>SUM(AX7:AX21)</f>
        <v>9</v>
      </c>
      <c r="AU29" s="269">
        <f>SUM(AU23:AU28)</f>
        <v>9</v>
      </c>
    </row>
    <row r="30" spans="1:50" s="12" customFormat="1" ht="11.25" customHeight="1">
      <c r="B30" s="13"/>
      <c r="C30" s="13"/>
      <c r="D30" s="13"/>
    </row>
    <row r="31" spans="1:50" s="12" customFormat="1">
      <c r="B31" s="250" t="s">
        <v>89</v>
      </c>
      <c r="C31" s="250" t="s">
        <v>86</v>
      </c>
      <c r="D31" s="250" t="s">
        <v>58</v>
      </c>
      <c r="E31" s="250" t="s">
        <v>87</v>
      </c>
      <c r="O31" s="12" t="s">
        <v>18</v>
      </c>
    </row>
    <row r="32" spans="1:50" s="12" customFormat="1">
      <c r="B32" s="242" t="s">
        <v>72</v>
      </c>
      <c r="C32" s="248"/>
      <c r="D32" s="247">
        <v>26.292100000000001</v>
      </c>
      <c r="E32" s="248">
        <f>C32*D32</f>
        <v>0</v>
      </c>
    </row>
    <row r="33" spans="2:5" s="12" customFormat="1">
      <c r="B33" s="242" t="s">
        <v>100</v>
      </c>
      <c r="C33" s="248">
        <f>I24</f>
        <v>324</v>
      </c>
      <c r="D33" s="247">
        <v>27.343800000000002</v>
      </c>
      <c r="E33" s="248"/>
    </row>
    <row r="34" spans="2:5" s="12" customFormat="1">
      <c r="B34" s="242" t="s">
        <v>73</v>
      </c>
      <c r="C34" s="248">
        <f>K24</f>
        <v>0</v>
      </c>
      <c r="D34" s="247">
        <v>29.5639</v>
      </c>
      <c r="E34" s="248">
        <f t="shared" ref="E34:E54" si="26">C34*D34</f>
        <v>0</v>
      </c>
    </row>
    <row r="35" spans="2:5">
      <c r="B35" s="279" t="s">
        <v>2</v>
      </c>
      <c r="C35" s="245">
        <f>L24</f>
        <v>168.8</v>
      </c>
      <c r="D35" s="246">
        <v>145.88</v>
      </c>
      <c r="E35" s="248">
        <f t="shared" si="26"/>
        <v>24624.544000000002</v>
      </c>
    </row>
    <row r="36" spans="2:5">
      <c r="B36" s="279" t="s">
        <v>74</v>
      </c>
      <c r="C36" s="249">
        <f>M24</f>
        <v>63.180000000000007</v>
      </c>
      <c r="D36" s="246">
        <v>27.66</v>
      </c>
      <c r="E36" s="248">
        <f t="shared" si="26"/>
        <v>1747.5588000000002</v>
      </c>
    </row>
    <row r="37" spans="2:5">
      <c r="B37" s="279" t="s">
        <v>3</v>
      </c>
      <c r="C37" s="245">
        <f>N24</f>
        <v>26</v>
      </c>
      <c r="D37" s="246">
        <v>26.25</v>
      </c>
      <c r="E37" s="248">
        <f t="shared" si="26"/>
        <v>682.5</v>
      </c>
    </row>
    <row r="38" spans="2:5">
      <c r="B38" s="279" t="s">
        <v>75</v>
      </c>
      <c r="C38" s="245">
        <f>AB24</f>
        <v>0</v>
      </c>
      <c r="D38" s="246">
        <v>20.62</v>
      </c>
      <c r="E38" s="248">
        <f t="shared" si="26"/>
        <v>0</v>
      </c>
    </row>
    <row r="39" spans="2:5">
      <c r="B39" s="279" t="s">
        <v>76</v>
      </c>
      <c r="C39" s="245"/>
      <c r="D39" s="246">
        <v>171.74107142857142</v>
      </c>
      <c r="E39" s="248">
        <f t="shared" si="26"/>
        <v>0</v>
      </c>
    </row>
    <row r="40" spans="2:5">
      <c r="B40" s="279" t="s">
        <v>77</v>
      </c>
      <c r="C40" s="245"/>
      <c r="D40" s="246">
        <v>176.78571428571428</v>
      </c>
      <c r="E40" s="248">
        <f t="shared" si="26"/>
        <v>0</v>
      </c>
    </row>
    <row r="41" spans="2:5">
      <c r="B41" s="279" t="s">
        <v>78</v>
      </c>
      <c r="C41" s="245"/>
      <c r="D41" s="246">
        <v>180.35714285714283</v>
      </c>
      <c r="E41" s="248">
        <f t="shared" si="26"/>
        <v>0</v>
      </c>
    </row>
    <row r="42" spans="2:5">
      <c r="B42" s="279" t="s">
        <v>68</v>
      </c>
      <c r="C42" s="245"/>
      <c r="D42" s="246">
        <v>207</v>
      </c>
      <c r="E42" s="248">
        <f t="shared" si="26"/>
        <v>0</v>
      </c>
    </row>
    <row r="43" spans="2:5">
      <c r="B43" s="279" t="s">
        <v>79</v>
      </c>
      <c r="C43" s="246"/>
      <c r="D43" s="246">
        <v>331</v>
      </c>
      <c r="E43" s="248">
        <f t="shared" si="26"/>
        <v>0</v>
      </c>
    </row>
    <row r="44" spans="2:5">
      <c r="B44" s="279" t="s">
        <v>80</v>
      </c>
      <c r="C44" s="245">
        <f>U24</f>
        <v>212</v>
      </c>
      <c r="D44" s="246">
        <v>189.38</v>
      </c>
      <c r="E44" s="248">
        <f t="shared" si="26"/>
        <v>40148.559999999998</v>
      </c>
    </row>
    <row r="45" spans="2:5">
      <c r="B45" s="279" t="s">
        <v>81</v>
      </c>
      <c r="C45" s="245"/>
      <c r="D45" s="246">
        <v>195</v>
      </c>
      <c r="E45" s="248">
        <f t="shared" si="26"/>
        <v>0</v>
      </c>
    </row>
    <row r="46" spans="2:5">
      <c r="B46" s="279" t="s">
        <v>82</v>
      </c>
      <c r="C46" s="245">
        <f>Q24</f>
        <v>13</v>
      </c>
      <c r="D46" s="246">
        <v>195</v>
      </c>
      <c r="E46" s="248">
        <f t="shared" si="26"/>
        <v>2535</v>
      </c>
    </row>
    <row r="47" spans="2:5">
      <c r="B47" s="279" t="s">
        <v>55</v>
      </c>
      <c r="C47" s="246"/>
      <c r="D47" s="246">
        <v>359.83</v>
      </c>
      <c r="E47" s="248">
        <f t="shared" si="26"/>
        <v>0</v>
      </c>
    </row>
    <row r="48" spans="2:5">
      <c r="B48" s="279" t="s">
        <v>56</v>
      </c>
      <c r="C48" s="246"/>
      <c r="D48" s="246">
        <v>379.46</v>
      </c>
      <c r="E48" s="248">
        <f t="shared" si="26"/>
        <v>0</v>
      </c>
    </row>
    <row r="49" spans="2:5">
      <c r="B49" s="279" t="s">
        <v>83</v>
      </c>
      <c r="C49" s="245">
        <f>X24</f>
        <v>0</v>
      </c>
      <c r="D49" s="246">
        <v>35.15</v>
      </c>
      <c r="E49" s="248">
        <f t="shared" si="26"/>
        <v>0</v>
      </c>
    </row>
    <row r="50" spans="2:5">
      <c r="B50" s="279" t="s">
        <v>84</v>
      </c>
      <c r="C50" s="245">
        <f>Y24</f>
        <v>88</v>
      </c>
      <c r="D50" s="246">
        <v>35.893000000000001</v>
      </c>
      <c r="E50" s="248">
        <f t="shared" si="26"/>
        <v>3158.5839999999998</v>
      </c>
    </row>
    <row r="51" spans="2:5">
      <c r="B51" s="279" t="s">
        <v>95</v>
      </c>
      <c r="C51" s="245" t="e">
        <f>#REF!</f>
        <v>#REF!</v>
      </c>
      <c r="D51" s="246">
        <v>37.5</v>
      </c>
      <c r="E51" s="248" t="e">
        <f t="shared" si="26"/>
        <v>#REF!</v>
      </c>
    </row>
    <row r="52" spans="2:5">
      <c r="B52" s="279" t="s">
        <v>85</v>
      </c>
      <c r="C52" s="246">
        <f>AA24</f>
        <v>0</v>
      </c>
      <c r="D52" s="246">
        <v>81.900000000000006</v>
      </c>
      <c r="E52" s="248">
        <f t="shared" si="26"/>
        <v>0</v>
      </c>
    </row>
    <row r="53" spans="2:5">
      <c r="B53" s="279" t="s">
        <v>20</v>
      </c>
      <c r="C53" s="245">
        <f>AD23</f>
        <v>0</v>
      </c>
      <c r="D53" s="246">
        <v>7.5</v>
      </c>
      <c r="E53" s="248">
        <f t="shared" si="26"/>
        <v>0</v>
      </c>
    </row>
    <row r="54" spans="2:5">
      <c r="B54" s="279" t="s">
        <v>7</v>
      </c>
      <c r="C54" s="245">
        <f>AC24</f>
        <v>0</v>
      </c>
      <c r="D54" s="246">
        <v>267.18</v>
      </c>
      <c r="E54" s="248">
        <f t="shared" si="26"/>
        <v>0</v>
      </c>
    </row>
    <row r="55" spans="2:5">
      <c r="B55" s="279" t="s">
        <v>88</v>
      </c>
      <c r="C55" s="245" t="e">
        <f>SUM(C32:C54)</f>
        <v>#REF!</v>
      </c>
      <c r="D55" s="246"/>
      <c r="E55" s="245" t="e">
        <f>SUM(E32:E54)</f>
        <v>#REF!</v>
      </c>
    </row>
  </sheetData>
  <mergeCells count="25">
    <mergeCell ref="L4:L5"/>
    <mergeCell ref="M4:M5"/>
    <mergeCell ref="N4:N5"/>
    <mergeCell ref="A2:B2"/>
    <mergeCell ref="C2:E2"/>
    <mergeCell ref="A4:A6"/>
    <mergeCell ref="B4:B6"/>
    <mergeCell ref="C4:C6"/>
    <mergeCell ref="E4:E6"/>
    <mergeCell ref="D4:D6"/>
    <mergeCell ref="AR4:AS5"/>
    <mergeCell ref="O4:P4"/>
    <mergeCell ref="R4:S4"/>
    <mergeCell ref="X4:AA4"/>
    <mergeCell ref="AB4:AB5"/>
    <mergeCell ref="AC4:AC5"/>
    <mergeCell ref="AD4:AD5"/>
    <mergeCell ref="AH4:AI5"/>
    <mergeCell ref="AJ4:AK5"/>
    <mergeCell ref="AL4:AM5"/>
    <mergeCell ref="AN4:AO5"/>
    <mergeCell ref="AP4:AQ5"/>
    <mergeCell ref="AE4:AE6"/>
    <mergeCell ref="AF4:AF6"/>
    <mergeCell ref="AG4:AG6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69"/>
  <sheetViews>
    <sheetView zoomScale="85" zoomScaleNormal="85" workbookViewId="0">
      <pane xSplit="5" ySplit="6" topLeftCell="I13" activePane="bottomRight" state="frozen"/>
      <selection activeCell="D37" sqref="D37"/>
      <selection pane="topRight" activeCell="D37" sqref="D37"/>
      <selection pane="bottomLeft" activeCell="D37" sqref="D37"/>
      <selection pane="bottomRight" activeCell="AC30" sqref="AC30"/>
    </sheetView>
  </sheetViews>
  <sheetFormatPr defaultColWidth="9.140625" defaultRowHeight="18"/>
  <cols>
    <col min="1" max="1" width="7" style="7" customWidth="1"/>
    <col min="2" max="2" width="28.28515625" style="6" customWidth="1"/>
    <col min="3" max="3" width="21.140625" style="6" customWidth="1"/>
    <col min="4" max="4" width="10" style="6" customWidth="1"/>
    <col min="5" max="5" width="28.5703125" style="3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1" width="12.140625" style="1" customWidth="1"/>
    <col min="12" max="12" width="15.140625" style="1" customWidth="1"/>
    <col min="13" max="13" width="16.42578125" style="1" customWidth="1"/>
    <col min="14" max="14" width="13.28515625" style="1" customWidth="1"/>
    <col min="15" max="16" width="11.140625" style="1" hidden="1" customWidth="1"/>
    <col min="17" max="17" width="11.140625" style="1" customWidth="1"/>
    <col min="18" max="20" width="11.140625" style="1" hidden="1" customWidth="1"/>
    <col min="21" max="21" width="11.140625" style="1" customWidth="1"/>
    <col min="22" max="23" width="11.140625" style="1" hidden="1" customWidth="1"/>
    <col min="24" max="24" width="10.28515625" style="1" customWidth="1"/>
    <col min="25" max="25" width="11.140625" style="1" customWidth="1"/>
    <col min="26" max="26" width="11.42578125" style="1" bestFit="1" customWidth="1"/>
    <col min="27" max="27" width="8" style="1" customWidth="1"/>
    <col min="28" max="28" width="11.140625" style="1" customWidth="1"/>
    <col min="29" max="29" width="8.5703125" style="1" customWidth="1"/>
    <col min="30" max="30" width="8.85546875" style="1" customWidth="1"/>
    <col min="31" max="31" width="12.7109375" style="1" customWidth="1"/>
    <col min="32" max="32" width="12.85546875" style="1" hidden="1" customWidth="1"/>
    <col min="33" max="33" width="16.28515625" style="1" hidden="1" customWidth="1"/>
    <col min="34" max="45" width="11.28515625" style="1" customWidth="1"/>
    <col min="46" max="46" width="32.7109375" style="1" bestFit="1" customWidth="1"/>
    <col min="47" max="48" width="10.5703125" style="1" bestFit="1" customWidth="1"/>
    <col min="49" max="49" width="9.140625" style="1"/>
    <col min="50" max="50" width="9.5703125" style="1" bestFit="1" customWidth="1"/>
    <col min="51" max="16384" width="9.140625" style="1"/>
  </cols>
  <sheetData>
    <row r="2" spans="1:50" s="4" customFormat="1" ht="29.25" customHeight="1">
      <c r="A2" s="359" t="s">
        <v>24</v>
      </c>
      <c r="B2" s="359"/>
      <c r="C2" s="360">
        <f>TOTAL!D3</f>
        <v>46153</v>
      </c>
      <c r="D2" s="360"/>
      <c r="E2" s="360"/>
      <c r="F2" s="96"/>
      <c r="G2" s="96"/>
      <c r="H2" s="96"/>
      <c r="I2" s="96"/>
      <c r="J2" s="96"/>
      <c r="K2" s="96"/>
      <c r="N2" s="254" t="s">
        <v>99</v>
      </c>
      <c r="O2" s="254"/>
      <c r="P2" s="254"/>
      <c r="Q2" s="254"/>
    </row>
    <row r="3" spans="1:50" s="4" customFormat="1" ht="15.75" customHeight="1">
      <c r="A3" s="259"/>
      <c r="B3" s="259"/>
      <c r="C3" s="120"/>
      <c r="D3" s="120"/>
      <c r="E3" s="120"/>
      <c r="F3" s="8"/>
      <c r="G3" s="8"/>
      <c r="H3" s="8"/>
      <c r="I3" s="8"/>
      <c r="J3" s="8"/>
      <c r="K3" s="8"/>
      <c r="O3" s="260"/>
      <c r="P3" s="260"/>
    </row>
    <row r="4" spans="1:50" s="2" customFormat="1" ht="31.5" customHeight="1">
      <c r="A4" s="334" t="s">
        <v>12</v>
      </c>
      <c r="B4" s="334" t="s">
        <v>13</v>
      </c>
      <c r="C4" s="334" t="s">
        <v>57</v>
      </c>
      <c r="D4" s="337" t="s">
        <v>101</v>
      </c>
      <c r="E4" s="323" t="s">
        <v>0</v>
      </c>
      <c r="F4" s="257" t="s">
        <v>21</v>
      </c>
      <c r="G4" s="256" t="s">
        <v>14</v>
      </c>
      <c r="H4" s="256" t="s">
        <v>71</v>
      </c>
      <c r="I4" s="277" t="s">
        <v>117</v>
      </c>
      <c r="J4" s="258" t="s">
        <v>14</v>
      </c>
      <c r="K4" s="277" t="s">
        <v>14</v>
      </c>
      <c r="L4" s="326" t="s">
        <v>2</v>
      </c>
      <c r="M4" s="327" t="s">
        <v>22</v>
      </c>
      <c r="N4" s="326" t="s">
        <v>3</v>
      </c>
      <c r="O4" s="320" t="s">
        <v>4</v>
      </c>
      <c r="P4" s="321"/>
      <c r="Q4" s="256" t="s">
        <v>5</v>
      </c>
      <c r="R4" s="320" t="s">
        <v>17</v>
      </c>
      <c r="S4" s="321"/>
      <c r="T4" s="255" t="s">
        <v>5</v>
      </c>
      <c r="U4" s="256" t="s">
        <v>5</v>
      </c>
      <c r="V4" s="256" t="s">
        <v>68</v>
      </c>
      <c r="W4" s="256" t="s">
        <v>56</v>
      </c>
      <c r="X4" s="356" t="s">
        <v>6</v>
      </c>
      <c r="Y4" s="356"/>
      <c r="Z4" s="356"/>
      <c r="AA4" s="356"/>
      <c r="AB4" s="327" t="s">
        <v>19</v>
      </c>
      <c r="AC4" s="327" t="s">
        <v>7</v>
      </c>
      <c r="AD4" s="327" t="s">
        <v>20</v>
      </c>
      <c r="AE4" s="387" t="s">
        <v>116</v>
      </c>
      <c r="AF4" s="387" t="s">
        <v>113</v>
      </c>
      <c r="AG4" s="387" t="s">
        <v>114</v>
      </c>
      <c r="AH4" s="361" t="s">
        <v>28</v>
      </c>
      <c r="AI4" s="361"/>
      <c r="AJ4" s="310" t="s">
        <v>29</v>
      </c>
      <c r="AK4" s="311"/>
      <c r="AL4" s="310" t="s">
        <v>25</v>
      </c>
      <c r="AM4" s="311"/>
      <c r="AN4" s="310" t="s">
        <v>26</v>
      </c>
      <c r="AO4" s="311"/>
      <c r="AP4" s="310" t="s">
        <v>27</v>
      </c>
      <c r="AQ4" s="311"/>
      <c r="AR4" s="310" t="s">
        <v>41</v>
      </c>
      <c r="AS4" s="311"/>
      <c r="AT4" s="50"/>
    </row>
    <row r="5" spans="1:50" s="2" customFormat="1" ht="21" customHeight="1">
      <c r="A5" s="335"/>
      <c r="B5" s="335"/>
      <c r="C5" s="335"/>
      <c r="D5" s="338"/>
      <c r="E5" s="324"/>
      <c r="F5" s="258">
        <v>208</v>
      </c>
      <c r="G5" s="258">
        <v>38</v>
      </c>
      <c r="H5" s="258">
        <v>200</v>
      </c>
      <c r="I5" s="276">
        <v>200</v>
      </c>
      <c r="J5" s="258">
        <v>135</v>
      </c>
      <c r="K5" s="258">
        <v>215</v>
      </c>
      <c r="L5" s="326"/>
      <c r="M5" s="328"/>
      <c r="N5" s="326"/>
      <c r="O5" s="257">
        <v>2.4</v>
      </c>
      <c r="P5" s="257">
        <v>3.6</v>
      </c>
      <c r="Q5" s="257">
        <v>3.6</v>
      </c>
      <c r="R5" s="256">
        <v>2.4</v>
      </c>
      <c r="S5" s="256">
        <v>3.6</v>
      </c>
      <c r="T5" s="256">
        <v>4.9000000000000004</v>
      </c>
      <c r="U5" s="257">
        <v>2.4</v>
      </c>
      <c r="V5" s="257">
        <v>2.4</v>
      </c>
      <c r="W5" s="257"/>
      <c r="X5" s="258">
        <v>5</v>
      </c>
      <c r="Y5" s="258">
        <v>10</v>
      </c>
      <c r="Z5" s="253" t="s">
        <v>96</v>
      </c>
      <c r="AA5" s="258">
        <v>40</v>
      </c>
      <c r="AB5" s="328"/>
      <c r="AC5" s="328"/>
      <c r="AD5" s="328"/>
      <c r="AE5" s="388"/>
      <c r="AF5" s="388"/>
      <c r="AG5" s="388"/>
      <c r="AH5" s="361"/>
      <c r="AI5" s="361"/>
      <c r="AJ5" s="312"/>
      <c r="AK5" s="313"/>
      <c r="AL5" s="312"/>
      <c r="AM5" s="313"/>
      <c r="AN5" s="312"/>
      <c r="AO5" s="313"/>
      <c r="AP5" s="312"/>
      <c r="AQ5" s="313"/>
      <c r="AR5" s="312"/>
      <c r="AS5" s="313"/>
      <c r="AT5" s="50"/>
    </row>
    <row r="6" spans="1:50" s="2" customFormat="1" ht="24" customHeight="1">
      <c r="A6" s="336"/>
      <c r="B6" s="336"/>
      <c r="C6" s="336"/>
      <c r="D6" s="339"/>
      <c r="E6" s="325"/>
      <c r="F6" s="258" t="s">
        <v>8</v>
      </c>
      <c r="G6" s="258" t="s">
        <v>8</v>
      </c>
      <c r="H6" s="258" t="s">
        <v>8</v>
      </c>
      <c r="I6" s="276" t="s">
        <v>8</v>
      </c>
      <c r="J6" s="258" t="s">
        <v>8</v>
      </c>
      <c r="K6" s="258" t="s">
        <v>8</v>
      </c>
      <c r="L6" s="258" t="s">
        <v>9</v>
      </c>
      <c r="M6" s="258" t="s">
        <v>23</v>
      </c>
      <c r="N6" s="258" t="s">
        <v>8</v>
      </c>
      <c r="O6" s="258" t="s">
        <v>8</v>
      </c>
      <c r="P6" s="258" t="s">
        <v>8</v>
      </c>
      <c r="Q6" s="258" t="s">
        <v>8</v>
      </c>
      <c r="R6" s="258" t="s">
        <v>8</v>
      </c>
      <c r="S6" s="258" t="s">
        <v>8</v>
      </c>
      <c r="T6" s="258" t="s">
        <v>8</v>
      </c>
      <c r="U6" s="258" t="s">
        <v>8</v>
      </c>
      <c r="V6" s="258" t="s">
        <v>8</v>
      </c>
      <c r="W6" s="258" t="s">
        <v>8</v>
      </c>
      <c r="X6" s="258" t="s">
        <v>10</v>
      </c>
      <c r="Y6" s="258" t="s">
        <v>10</v>
      </c>
      <c r="Z6" s="258" t="s">
        <v>10</v>
      </c>
      <c r="AA6" s="258" t="s">
        <v>10</v>
      </c>
      <c r="AB6" s="258" t="s">
        <v>8</v>
      </c>
      <c r="AC6" s="258" t="s">
        <v>8</v>
      </c>
      <c r="AD6" s="258" t="s">
        <v>8</v>
      </c>
      <c r="AE6" s="389"/>
      <c r="AF6" s="389"/>
      <c r="AG6" s="389"/>
      <c r="AH6" s="131" t="s">
        <v>30</v>
      </c>
      <c r="AI6" s="131" t="s">
        <v>31</v>
      </c>
      <c r="AJ6" s="131" t="s">
        <v>30</v>
      </c>
      <c r="AK6" s="131" t="s">
        <v>31</v>
      </c>
      <c r="AL6" s="131" t="s">
        <v>30</v>
      </c>
      <c r="AM6" s="131" t="s">
        <v>31</v>
      </c>
      <c r="AN6" s="131" t="s">
        <v>30</v>
      </c>
      <c r="AO6" s="131" t="s">
        <v>31</v>
      </c>
      <c r="AP6" s="131" t="s">
        <v>30</v>
      </c>
      <c r="AQ6" s="131" t="s">
        <v>31</v>
      </c>
      <c r="AR6" s="131" t="s">
        <v>30</v>
      </c>
      <c r="AS6" s="131" t="s">
        <v>31</v>
      </c>
      <c r="AT6" s="50"/>
    </row>
    <row r="7" spans="1:50" s="28" customFormat="1" ht="21.95" customHeight="1">
      <c r="A7" s="25">
        <v>1</v>
      </c>
      <c r="B7" s="26" t="s">
        <v>118</v>
      </c>
      <c r="C7" s="26"/>
      <c r="D7" s="26"/>
      <c r="E7" s="27"/>
      <c r="F7" s="20"/>
      <c r="G7" s="20"/>
      <c r="H7" s="20"/>
      <c r="I7" s="20"/>
      <c r="J7" s="20"/>
      <c r="K7" s="20"/>
      <c r="L7" s="20"/>
      <c r="M7" s="21">
        <f t="shared" ref="M7" si="0">N7*2.43</f>
        <v>0</v>
      </c>
      <c r="N7" s="20"/>
      <c r="O7" s="67"/>
      <c r="P7" s="67"/>
      <c r="Q7" s="67"/>
      <c r="R7" s="67"/>
      <c r="S7" s="67"/>
      <c r="T7" s="67"/>
      <c r="U7" s="67"/>
      <c r="V7" s="67"/>
      <c r="W7" s="67"/>
      <c r="X7" s="20"/>
      <c r="Y7" s="20"/>
      <c r="Z7" s="20"/>
      <c r="AA7" s="20"/>
      <c r="AB7" s="20"/>
      <c r="AC7" s="20"/>
      <c r="AD7" s="20"/>
      <c r="AE7" s="220">
        <f t="shared" ref="AE7" si="1">O7+P7+Q7+R7+S7+T7+U7+V7</f>
        <v>0</v>
      </c>
      <c r="AF7" s="220"/>
      <c r="AG7" s="220"/>
      <c r="AH7" s="196"/>
      <c r="AI7" s="212"/>
      <c r="AJ7" s="213"/>
      <c r="AK7" s="212"/>
      <c r="AL7" s="221"/>
      <c r="AM7" s="212"/>
      <c r="AN7" s="215"/>
      <c r="AO7" s="212"/>
      <c r="AP7" s="216"/>
      <c r="AQ7" s="212"/>
      <c r="AR7" s="217"/>
      <c r="AS7" s="212"/>
      <c r="AX7" s="268">
        <f t="shared" ref="AX7:AX35" si="2">COUNTIFS(AE7,"&gt;=11")</f>
        <v>0</v>
      </c>
    </row>
    <row r="8" spans="1:50" s="28" customFormat="1" ht="24.95" customHeight="1">
      <c r="A8" s="29" t="s">
        <v>11</v>
      </c>
      <c r="B8" s="30"/>
      <c r="C8" s="30"/>
      <c r="D8" s="30"/>
      <c r="E8" s="30"/>
      <c r="F8" s="24">
        <f t="shared" ref="F8:AD8" si="3">SUM(F7:F7)</f>
        <v>0</v>
      </c>
      <c r="G8" s="24">
        <f t="shared" si="3"/>
        <v>0</v>
      </c>
      <c r="H8" s="24">
        <f t="shared" si="3"/>
        <v>0</v>
      </c>
      <c r="I8" s="24">
        <f t="shared" si="3"/>
        <v>0</v>
      </c>
      <c r="J8" s="24">
        <f t="shared" si="3"/>
        <v>0</v>
      </c>
      <c r="K8" s="24">
        <f t="shared" si="3"/>
        <v>0</v>
      </c>
      <c r="L8" s="24">
        <f t="shared" si="3"/>
        <v>0</v>
      </c>
      <c r="M8" s="24">
        <f t="shared" si="3"/>
        <v>0</v>
      </c>
      <c r="N8" s="24">
        <f t="shared" si="3"/>
        <v>0</v>
      </c>
      <c r="O8" s="24">
        <f t="shared" si="3"/>
        <v>0</v>
      </c>
      <c r="P8" s="24">
        <f t="shared" si="3"/>
        <v>0</v>
      </c>
      <c r="Q8" s="24">
        <f t="shared" si="3"/>
        <v>0</v>
      </c>
      <c r="R8" s="24">
        <f t="shared" si="3"/>
        <v>0</v>
      </c>
      <c r="S8" s="24">
        <f t="shared" si="3"/>
        <v>0</v>
      </c>
      <c r="T8" s="24">
        <f t="shared" si="3"/>
        <v>0</v>
      </c>
      <c r="U8" s="24">
        <f t="shared" si="3"/>
        <v>0</v>
      </c>
      <c r="V8" s="24">
        <f t="shared" si="3"/>
        <v>0</v>
      </c>
      <c r="W8" s="24">
        <f t="shared" si="3"/>
        <v>0</v>
      </c>
      <c r="X8" s="24">
        <f t="shared" si="3"/>
        <v>0</v>
      </c>
      <c r="Y8" s="24">
        <f t="shared" si="3"/>
        <v>0</v>
      </c>
      <c r="Z8" s="24">
        <f t="shared" si="3"/>
        <v>0</v>
      </c>
      <c r="AA8" s="24">
        <f t="shared" si="3"/>
        <v>0</v>
      </c>
      <c r="AB8" s="24">
        <f t="shared" si="3"/>
        <v>0</v>
      </c>
      <c r="AC8" s="24">
        <f t="shared" si="3"/>
        <v>0</v>
      </c>
      <c r="AD8" s="24">
        <f t="shared" si="3"/>
        <v>0</v>
      </c>
      <c r="AE8" s="41"/>
      <c r="AF8" s="41"/>
      <c r="AG8" s="41"/>
      <c r="AH8" s="30">
        <f t="shared" ref="AH8:AS8" si="4">SUM(AH7:AH7)</f>
        <v>0</v>
      </c>
      <c r="AI8" s="30">
        <f t="shared" si="4"/>
        <v>0</v>
      </c>
      <c r="AJ8" s="30">
        <f t="shared" si="4"/>
        <v>0</v>
      </c>
      <c r="AK8" s="30">
        <f t="shared" si="4"/>
        <v>0</v>
      </c>
      <c r="AL8" s="30">
        <f t="shared" si="4"/>
        <v>0</v>
      </c>
      <c r="AM8" s="30">
        <f t="shared" si="4"/>
        <v>0</v>
      </c>
      <c r="AN8" s="30">
        <f t="shared" si="4"/>
        <v>0</v>
      </c>
      <c r="AO8" s="30">
        <f t="shared" si="4"/>
        <v>0</v>
      </c>
      <c r="AP8" s="30">
        <f t="shared" si="4"/>
        <v>0</v>
      </c>
      <c r="AQ8" s="30">
        <f t="shared" si="4"/>
        <v>0</v>
      </c>
      <c r="AR8" s="30">
        <f t="shared" si="4"/>
        <v>0</v>
      </c>
      <c r="AS8" s="30">
        <f t="shared" si="4"/>
        <v>0</v>
      </c>
      <c r="AX8" s="268">
        <f t="shared" si="2"/>
        <v>0</v>
      </c>
    </row>
    <row r="9" spans="1:50" s="28" customFormat="1" ht="21.95" customHeight="1">
      <c r="A9" s="25">
        <v>2</v>
      </c>
      <c r="B9" s="26" t="s">
        <v>207</v>
      </c>
      <c r="C9" s="26" t="s">
        <v>206</v>
      </c>
      <c r="D9" s="26">
        <v>5</v>
      </c>
      <c r="E9" s="27" t="s">
        <v>205</v>
      </c>
      <c r="F9" s="20"/>
      <c r="G9" s="20"/>
      <c r="H9" s="20"/>
      <c r="I9" s="20">
        <v>34</v>
      </c>
      <c r="J9" s="20"/>
      <c r="K9" s="20"/>
      <c r="L9" s="20">
        <v>27.2</v>
      </c>
      <c r="M9" s="21">
        <f t="shared" ref="M9:M23" si="5">N9*2.43</f>
        <v>4.8600000000000003</v>
      </c>
      <c r="N9" s="20">
        <v>2</v>
      </c>
      <c r="O9" s="67"/>
      <c r="P9" s="67"/>
      <c r="Q9" s="67"/>
      <c r="R9" s="67"/>
      <c r="S9" s="67"/>
      <c r="T9" s="67"/>
      <c r="U9" s="67">
        <v>34</v>
      </c>
      <c r="V9" s="67"/>
      <c r="W9" s="67"/>
      <c r="X9" s="20">
        <v>13</v>
      </c>
      <c r="Y9" s="20"/>
      <c r="Z9" s="20"/>
      <c r="AA9" s="20"/>
      <c r="AB9" s="20"/>
      <c r="AC9" s="20"/>
      <c r="AD9" s="20"/>
      <c r="AE9" s="220">
        <f t="shared" ref="AE9:AE23" si="6">O9+P9+Q9+R9+S9+T9+U9+V9</f>
        <v>34</v>
      </c>
      <c r="AF9" s="220"/>
      <c r="AG9" s="220"/>
      <c r="AH9" s="196">
        <v>1</v>
      </c>
      <c r="AI9" s="212"/>
      <c r="AJ9" s="213"/>
      <c r="AK9" s="212"/>
      <c r="AL9" s="221"/>
      <c r="AM9" s="212"/>
      <c r="AN9" s="215"/>
      <c r="AO9" s="212"/>
      <c r="AP9" s="216"/>
      <c r="AQ9" s="212"/>
      <c r="AR9" s="217"/>
      <c r="AS9" s="212"/>
      <c r="AX9" s="268">
        <f t="shared" si="2"/>
        <v>1</v>
      </c>
    </row>
    <row r="10" spans="1:50" s="28" customFormat="1" ht="21.95" customHeight="1">
      <c r="A10" s="25">
        <v>2</v>
      </c>
      <c r="B10" s="26" t="s">
        <v>207</v>
      </c>
      <c r="C10" s="26" t="s">
        <v>206</v>
      </c>
      <c r="D10" s="26">
        <v>5</v>
      </c>
      <c r="E10" s="27" t="s">
        <v>208</v>
      </c>
      <c r="F10" s="20"/>
      <c r="G10" s="20"/>
      <c r="H10" s="20"/>
      <c r="I10" s="20">
        <v>19</v>
      </c>
      <c r="J10" s="20"/>
      <c r="K10" s="20"/>
      <c r="L10" s="20">
        <v>15.2</v>
      </c>
      <c r="M10" s="21">
        <f t="shared" si="5"/>
        <v>4.8600000000000003</v>
      </c>
      <c r="N10" s="20">
        <v>2</v>
      </c>
      <c r="O10" s="67"/>
      <c r="P10" s="67"/>
      <c r="Q10" s="67"/>
      <c r="R10" s="67"/>
      <c r="S10" s="67"/>
      <c r="T10" s="67"/>
      <c r="U10" s="67">
        <v>19</v>
      </c>
      <c r="V10" s="67"/>
      <c r="W10" s="67"/>
      <c r="X10" s="20">
        <v>9</v>
      </c>
      <c r="Y10" s="20"/>
      <c r="Z10" s="20"/>
      <c r="AA10" s="20"/>
      <c r="AB10" s="20"/>
      <c r="AC10" s="20"/>
      <c r="AD10" s="20"/>
      <c r="AE10" s="220">
        <f t="shared" si="6"/>
        <v>19</v>
      </c>
      <c r="AF10" s="220"/>
      <c r="AG10" s="220"/>
      <c r="AH10" s="196"/>
      <c r="AI10" s="212"/>
      <c r="AJ10" s="213"/>
      <c r="AK10" s="212"/>
      <c r="AL10" s="221"/>
      <c r="AM10" s="212"/>
      <c r="AN10" s="215">
        <v>1</v>
      </c>
      <c r="AO10" s="212"/>
      <c r="AP10" s="216"/>
      <c r="AQ10" s="212"/>
      <c r="AR10" s="217"/>
      <c r="AS10" s="212"/>
      <c r="AX10" s="268">
        <f t="shared" si="2"/>
        <v>1</v>
      </c>
    </row>
    <row r="11" spans="1:50" s="28" customFormat="1" ht="21.95" customHeight="1">
      <c r="A11" s="25">
        <v>2</v>
      </c>
      <c r="B11" s="26" t="s">
        <v>207</v>
      </c>
      <c r="C11" s="26" t="s">
        <v>206</v>
      </c>
      <c r="D11" s="26">
        <v>5</v>
      </c>
      <c r="E11" s="27" t="s">
        <v>209</v>
      </c>
      <c r="F11" s="20"/>
      <c r="G11" s="20"/>
      <c r="H11" s="20"/>
      <c r="I11" s="20">
        <v>56</v>
      </c>
      <c r="J11" s="20"/>
      <c r="K11" s="20"/>
      <c r="L11" s="20">
        <v>44.8</v>
      </c>
      <c r="M11" s="21">
        <f t="shared" si="5"/>
        <v>4.8600000000000003</v>
      </c>
      <c r="N11" s="20">
        <v>2</v>
      </c>
      <c r="O11" s="67"/>
      <c r="P11" s="67"/>
      <c r="Q11" s="67"/>
      <c r="R11" s="67"/>
      <c r="S11" s="67"/>
      <c r="T11" s="67"/>
      <c r="U11" s="67">
        <v>56</v>
      </c>
      <c r="V11" s="67"/>
      <c r="W11" s="67"/>
      <c r="X11" s="20">
        <v>25</v>
      </c>
      <c r="Y11" s="20"/>
      <c r="Z11" s="20"/>
      <c r="AA11" s="20"/>
      <c r="AB11" s="20"/>
      <c r="AC11" s="20"/>
      <c r="AD11" s="20"/>
      <c r="AE11" s="220">
        <f t="shared" si="6"/>
        <v>56</v>
      </c>
      <c r="AF11" s="220"/>
      <c r="AG11" s="220"/>
      <c r="AH11" s="196">
        <v>1</v>
      </c>
      <c r="AI11" s="212"/>
      <c r="AJ11" s="213"/>
      <c r="AK11" s="212"/>
      <c r="AL11" s="221"/>
      <c r="AM11" s="212"/>
      <c r="AN11" s="215"/>
      <c r="AO11" s="212"/>
      <c r="AP11" s="216"/>
      <c r="AQ11" s="212"/>
      <c r="AR11" s="217"/>
      <c r="AS11" s="212"/>
      <c r="AX11" s="268">
        <f t="shared" si="2"/>
        <v>1</v>
      </c>
    </row>
    <row r="12" spans="1:50" s="28" customFormat="1" ht="21.95" customHeight="1">
      <c r="A12" s="25">
        <v>2</v>
      </c>
      <c r="B12" s="26" t="s">
        <v>211</v>
      </c>
      <c r="C12" s="26" t="s">
        <v>206</v>
      </c>
      <c r="D12" s="26">
        <v>5</v>
      </c>
      <c r="E12" s="27" t="s">
        <v>210</v>
      </c>
      <c r="F12" s="20"/>
      <c r="G12" s="20"/>
      <c r="H12" s="20"/>
      <c r="I12" s="20">
        <v>46</v>
      </c>
      <c r="J12" s="20"/>
      <c r="K12" s="20"/>
      <c r="L12" s="20">
        <v>12.8</v>
      </c>
      <c r="M12" s="21">
        <f t="shared" si="5"/>
        <v>4.8600000000000003</v>
      </c>
      <c r="N12" s="20">
        <v>2</v>
      </c>
      <c r="O12" s="67"/>
      <c r="P12" s="67"/>
      <c r="Q12" s="67"/>
      <c r="R12" s="67"/>
      <c r="S12" s="67"/>
      <c r="T12" s="67"/>
      <c r="U12" s="67">
        <v>21</v>
      </c>
      <c r="V12" s="67"/>
      <c r="W12" s="67"/>
      <c r="X12" s="20">
        <v>12</v>
      </c>
      <c r="Y12" s="20"/>
      <c r="Z12" s="20"/>
      <c r="AA12" s="20"/>
      <c r="AB12" s="20"/>
      <c r="AC12" s="20"/>
      <c r="AD12" s="20"/>
      <c r="AE12" s="220">
        <f t="shared" si="6"/>
        <v>21</v>
      </c>
      <c r="AF12" s="220"/>
      <c r="AG12" s="220"/>
      <c r="AH12" s="196">
        <v>1</v>
      </c>
      <c r="AI12" s="212"/>
      <c r="AJ12" s="213"/>
      <c r="AK12" s="212"/>
      <c r="AL12" s="221"/>
      <c r="AM12" s="212"/>
      <c r="AN12" s="215"/>
      <c r="AO12" s="212"/>
      <c r="AP12" s="216"/>
      <c r="AQ12" s="212"/>
      <c r="AR12" s="217"/>
      <c r="AS12" s="212"/>
      <c r="AX12" s="268">
        <f t="shared" si="2"/>
        <v>1</v>
      </c>
    </row>
    <row r="13" spans="1:50" s="28" customFormat="1" ht="21.95" customHeight="1">
      <c r="A13" s="25">
        <v>2</v>
      </c>
      <c r="B13" s="26" t="s">
        <v>180</v>
      </c>
      <c r="C13" s="26" t="s">
        <v>206</v>
      </c>
      <c r="D13" s="26">
        <v>5</v>
      </c>
      <c r="E13" s="27" t="s">
        <v>217</v>
      </c>
      <c r="F13" s="20"/>
      <c r="G13" s="20"/>
      <c r="H13" s="20"/>
      <c r="I13" s="20">
        <v>24</v>
      </c>
      <c r="J13" s="20"/>
      <c r="K13" s="20"/>
      <c r="L13" s="20">
        <v>19.2</v>
      </c>
      <c r="M13" s="21">
        <f t="shared" si="5"/>
        <v>4.8600000000000003</v>
      </c>
      <c r="N13" s="20">
        <v>2</v>
      </c>
      <c r="O13" s="67"/>
      <c r="P13" s="67"/>
      <c r="Q13" s="67"/>
      <c r="R13" s="67"/>
      <c r="S13" s="67"/>
      <c r="T13" s="67"/>
      <c r="U13" s="67">
        <v>24</v>
      </c>
      <c r="V13" s="67"/>
      <c r="W13" s="67"/>
      <c r="X13" s="20">
        <v>10</v>
      </c>
      <c r="Y13" s="20"/>
      <c r="Z13" s="20"/>
      <c r="AA13" s="20"/>
      <c r="AB13" s="20"/>
      <c r="AC13" s="20"/>
      <c r="AD13" s="20"/>
      <c r="AE13" s="220">
        <f t="shared" si="6"/>
        <v>24</v>
      </c>
      <c r="AF13" s="220"/>
      <c r="AG13" s="220"/>
      <c r="AH13" s="196">
        <v>1</v>
      </c>
      <c r="AI13" s="212"/>
      <c r="AJ13" s="213"/>
      <c r="AK13" s="212"/>
      <c r="AL13" s="221"/>
      <c r="AM13" s="212"/>
      <c r="AN13" s="215"/>
      <c r="AO13" s="212"/>
      <c r="AP13" s="216"/>
      <c r="AQ13" s="212"/>
      <c r="AR13" s="217"/>
      <c r="AS13" s="212"/>
      <c r="AX13" s="268">
        <f t="shared" si="2"/>
        <v>1</v>
      </c>
    </row>
    <row r="14" spans="1:50" s="28" customFormat="1" ht="21.95" customHeight="1">
      <c r="A14" s="25">
        <v>2</v>
      </c>
      <c r="B14" s="26" t="s">
        <v>221</v>
      </c>
      <c r="C14" s="26" t="s">
        <v>206</v>
      </c>
      <c r="D14" s="26">
        <v>3</v>
      </c>
      <c r="E14" s="27" t="s">
        <v>220</v>
      </c>
      <c r="F14" s="20"/>
      <c r="G14" s="20"/>
      <c r="H14" s="20"/>
      <c r="I14" s="20">
        <v>10</v>
      </c>
      <c r="J14" s="20"/>
      <c r="K14" s="20"/>
      <c r="L14" s="20">
        <v>6</v>
      </c>
      <c r="M14" s="21">
        <f t="shared" si="5"/>
        <v>4.8600000000000003</v>
      </c>
      <c r="N14" s="20">
        <v>2</v>
      </c>
      <c r="O14" s="67"/>
      <c r="P14" s="67"/>
      <c r="Q14" s="67"/>
      <c r="R14" s="67"/>
      <c r="S14" s="67"/>
      <c r="T14" s="67"/>
      <c r="U14" s="67">
        <v>10</v>
      </c>
      <c r="V14" s="67"/>
      <c r="W14" s="67"/>
      <c r="X14" s="20">
        <v>5</v>
      </c>
      <c r="Y14" s="20"/>
      <c r="Z14" s="20"/>
      <c r="AA14" s="20"/>
      <c r="AB14" s="20"/>
      <c r="AC14" s="20"/>
      <c r="AD14" s="20"/>
      <c r="AE14" s="220">
        <f t="shared" si="6"/>
        <v>10</v>
      </c>
      <c r="AF14" s="220"/>
      <c r="AG14" s="220"/>
      <c r="AH14" s="196"/>
      <c r="AI14" s="212"/>
      <c r="AJ14" s="213"/>
      <c r="AK14" s="212"/>
      <c r="AL14" s="221"/>
      <c r="AM14" s="212"/>
      <c r="AN14" s="215"/>
      <c r="AO14" s="212">
        <v>1</v>
      </c>
      <c r="AP14" s="216"/>
      <c r="AQ14" s="212"/>
      <c r="AR14" s="217"/>
      <c r="AS14" s="212"/>
      <c r="AX14" s="268">
        <f t="shared" si="2"/>
        <v>0</v>
      </c>
    </row>
    <row r="15" spans="1:50" s="28" customFormat="1" ht="21.95" customHeight="1">
      <c r="A15" s="25">
        <v>2</v>
      </c>
      <c r="B15" s="26" t="s">
        <v>180</v>
      </c>
      <c r="C15" s="26" t="s">
        <v>206</v>
      </c>
      <c r="D15" s="26">
        <v>5</v>
      </c>
      <c r="E15" s="27" t="s">
        <v>222</v>
      </c>
      <c r="F15" s="20"/>
      <c r="G15" s="20"/>
      <c r="H15" s="20"/>
      <c r="I15" s="20">
        <v>20</v>
      </c>
      <c r="J15" s="20"/>
      <c r="K15" s="20"/>
      <c r="L15" s="20">
        <v>16</v>
      </c>
      <c r="M15" s="21">
        <f t="shared" si="5"/>
        <v>4.8600000000000003</v>
      </c>
      <c r="N15" s="20">
        <v>2</v>
      </c>
      <c r="O15" s="67"/>
      <c r="P15" s="67"/>
      <c r="Q15" s="67"/>
      <c r="R15" s="67"/>
      <c r="S15" s="67"/>
      <c r="T15" s="67"/>
      <c r="U15" s="67">
        <v>20</v>
      </c>
      <c r="V15" s="67"/>
      <c r="W15" s="67"/>
      <c r="X15" s="20">
        <v>10</v>
      </c>
      <c r="Y15" s="20"/>
      <c r="Z15" s="20"/>
      <c r="AA15" s="20"/>
      <c r="AB15" s="20"/>
      <c r="AC15" s="20"/>
      <c r="AD15" s="20"/>
      <c r="AE15" s="220">
        <f t="shared" si="6"/>
        <v>20</v>
      </c>
      <c r="AF15" s="220"/>
      <c r="AG15" s="220"/>
      <c r="AH15" s="196"/>
      <c r="AI15" s="212"/>
      <c r="AJ15" s="213"/>
      <c r="AK15" s="212"/>
      <c r="AL15" s="221"/>
      <c r="AM15" s="212"/>
      <c r="AN15" s="215">
        <v>1</v>
      </c>
      <c r="AO15" s="212"/>
      <c r="AP15" s="216"/>
      <c r="AQ15" s="212"/>
      <c r="AR15" s="217"/>
      <c r="AS15" s="212"/>
      <c r="AX15" s="268">
        <f t="shared" si="2"/>
        <v>1</v>
      </c>
    </row>
    <row r="16" spans="1:50" s="28" customFormat="1" ht="21.95" customHeight="1">
      <c r="A16" s="25">
        <v>2</v>
      </c>
      <c r="B16" s="26" t="s">
        <v>180</v>
      </c>
      <c r="C16" s="26" t="s">
        <v>206</v>
      </c>
      <c r="D16" s="26">
        <v>5</v>
      </c>
      <c r="E16" s="27" t="s">
        <v>223</v>
      </c>
      <c r="F16" s="20"/>
      <c r="G16" s="20"/>
      <c r="H16" s="20"/>
      <c r="I16" s="20">
        <v>20</v>
      </c>
      <c r="J16" s="20"/>
      <c r="K16" s="20"/>
      <c r="L16" s="20"/>
      <c r="M16" s="21">
        <f t="shared" si="5"/>
        <v>9.7200000000000006</v>
      </c>
      <c r="N16" s="20">
        <v>4</v>
      </c>
      <c r="O16" s="67"/>
      <c r="P16" s="67"/>
      <c r="Q16" s="67"/>
      <c r="R16" s="67"/>
      <c r="S16" s="67"/>
      <c r="T16" s="67"/>
      <c r="U16" s="67"/>
      <c r="V16" s="67"/>
      <c r="W16" s="67"/>
      <c r="X16" s="20"/>
      <c r="Y16" s="20"/>
      <c r="Z16" s="20"/>
      <c r="AA16" s="20"/>
      <c r="AB16" s="20"/>
      <c r="AC16" s="20"/>
      <c r="AD16" s="20"/>
      <c r="AE16" s="220">
        <f t="shared" si="6"/>
        <v>0</v>
      </c>
      <c r="AF16" s="220"/>
      <c r="AG16" s="220"/>
      <c r="AH16" s="196"/>
      <c r="AI16" s="212"/>
      <c r="AJ16" s="213"/>
      <c r="AK16" s="212"/>
      <c r="AL16" s="221"/>
      <c r="AM16" s="212">
        <v>1</v>
      </c>
      <c r="AN16" s="215"/>
      <c r="AO16" s="212"/>
      <c r="AP16" s="216"/>
      <c r="AQ16" s="212"/>
      <c r="AR16" s="217"/>
      <c r="AS16" s="212"/>
      <c r="AX16" s="268">
        <f t="shared" si="2"/>
        <v>0</v>
      </c>
    </row>
    <row r="17" spans="1:50" s="28" customFormat="1" ht="21.95" customHeight="1">
      <c r="A17" s="25">
        <v>2</v>
      </c>
      <c r="B17" s="26" t="s">
        <v>225</v>
      </c>
      <c r="C17" s="26" t="s">
        <v>206</v>
      </c>
      <c r="D17" s="26">
        <v>5</v>
      </c>
      <c r="E17" s="27" t="s">
        <v>224</v>
      </c>
      <c r="F17" s="20"/>
      <c r="G17" s="20"/>
      <c r="H17" s="20"/>
      <c r="I17" s="20">
        <v>18</v>
      </c>
      <c r="J17" s="20"/>
      <c r="K17" s="20"/>
      <c r="L17" s="280">
        <v>14.4</v>
      </c>
      <c r="M17" s="21">
        <f t="shared" si="5"/>
        <v>4.8600000000000003</v>
      </c>
      <c r="N17" s="20">
        <v>2</v>
      </c>
      <c r="O17" s="67"/>
      <c r="P17" s="67"/>
      <c r="Q17" s="67"/>
      <c r="R17" s="67"/>
      <c r="S17" s="67"/>
      <c r="T17" s="67"/>
      <c r="U17" s="67">
        <v>18</v>
      </c>
      <c r="V17" s="67"/>
      <c r="W17" s="67"/>
      <c r="X17" s="20">
        <v>8</v>
      </c>
      <c r="Y17" s="20"/>
      <c r="Z17" s="20"/>
      <c r="AA17" s="20"/>
      <c r="AB17" s="20"/>
      <c r="AC17" s="20"/>
      <c r="AD17" s="20"/>
      <c r="AE17" s="220">
        <f t="shared" si="6"/>
        <v>18</v>
      </c>
      <c r="AF17" s="220"/>
      <c r="AG17" s="220"/>
      <c r="AH17" s="196">
        <v>1</v>
      </c>
      <c r="AI17" s="212"/>
      <c r="AJ17" s="213"/>
      <c r="AK17" s="212"/>
      <c r="AL17" s="221"/>
      <c r="AM17" s="212"/>
      <c r="AN17" s="215"/>
      <c r="AO17" s="212"/>
      <c r="AP17" s="216"/>
      <c r="AQ17" s="212"/>
      <c r="AR17" s="217"/>
      <c r="AS17" s="212"/>
      <c r="AX17" s="268">
        <f t="shared" si="2"/>
        <v>1</v>
      </c>
    </row>
    <row r="18" spans="1:50" s="28" customFormat="1" ht="21.95" customHeight="1">
      <c r="A18" s="25">
        <v>2</v>
      </c>
      <c r="B18" s="26" t="s">
        <v>225</v>
      </c>
      <c r="C18" s="26" t="s">
        <v>206</v>
      </c>
      <c r="D18" s="26">
        <v>5</v>
      </c>
      <c r="E18" s="27" t="s">
        <v>226</v>
      </c>
      <c r="F18" s="20"/>
      <c r="G18" s="20"/>
      <c r="H18" s="20"/>
      <c r="I18" s="20">
        <v>144</v>
      </c>
      <c r="J18" s="20"/>
      <c r="K18" s="20"/>
      <c r="L18" s="20"/>
      <c r="M18" s="21">
        <f t="shared" si="5"/>
        <v>4.8600000000000003</v>
      </c>
      <c r="N18" s="20">
        <v>2</v>
      </c>
      <c r="O18" s="67"/>
      <c r="P18" s="67"/>
      <c r="Q18" s="67"/>
      <c r="R18" s="67"/>
      <c r="S18" s="67"/>
      <c r="T18" s="67"/>
      <c r="U18" s="67">
        <v>24</v>
      </c>
      <c r="V18" s="67"/>
      <c r="W18" s="67"/>
      <c r="X18" s="20">
        <v>8</v>
      </c>
      <c r="Y18" s="20"/>
      <c r="Z18" s="20"/>
      <c r="AA18" s="20"/>
      <c r="AB18" s="20"/>
      <c r="AC18" s="20"/>
      <c r="AD18" s="20"/>
      <c r="AE18" s="220">
        <f t="shared" si="6"/>
        <v>24</v>
      </c>
      <c r="AF18" s="220"/>
      <c r="AG18" s="220"/>
      <c r="AH18" s="196"/>
      <c r="AI18" s="212"/>
      <c r="AJ18" s="213"/>
      <c r="AK18" s="212"/>
      <c r="AL18" s="221">
        <v>1</v>
      </c>
      <c r="AM18" s="212"/>
      <c r="AN18" s="215"/>
      <c r="AO18" s="212"/>
      <c r="AP18" s="216"/>
      <c r="AQ18" s="212"/>
      <c r="AR18" s="217"/>
      <c r="AS18" s="212"/>
      <c r="AX18" s="268">
        <f t="shared" si="2"/>
        <v>1</v>
      </c>
    </row>
    <row r="19" spans="1:50" s="28" customFormat="1" ht="21.95" customHeight="1">
      <c r="A19" s="25">
        <v>2</v>
      </c>
      <c r="B19" s="26" t="s">
        <v>221</v>
      </c>
      <c r="C19" s="26" t="s">
        <v>206</v>
      </c>
      <c r="D19" s="26">
        <v>5</v>
      </c>
      <c r="E19" s="27" t="s">
        <v>227</v>
      </c>
      <c r="F19" s="20"/>
      <c r="G19" s="20"/>
      <c r="H19" s="20"/>
      <c r="I19" s="20">
        <v>51</v>
      </c>
      <c r="J19" s="20"/>
      <c r="K19" s="20"/>
      <c r="L19" s="20">
        <v>16.8</v>
      </c>
      <c r="M19" s="21">
        <f t="shared" si="5"/>
        <v>4.8600000000000003</v>
      </c>
      <c r="N19" s="20">
        <v>2</v>
      </c>
      <c r="O19" s="67"/>
      <c r="P19" s="67"/>
      <c r="Q19" s="67"/>
      <c r="R19" s="67"/>
      <c r="S19" s="67"/>
      <c r="T19" s="67"/>
      <c r="U19" s="67">
        <v>26</v>
      </c>
      <c r="V19" s="67"/>
      <c r="W19" s="67"/>
      <c r="X19" s="20">
        <v>8</v>
      </c>
      <c r="Y19" s="20"/>
      <c r="Z19" s="20"/>
      <c r="AA19" s="20"/>
      <c r="AB19" s="20"/>
      <c r="AC19" s="20"/>
      <c r="AD19" s="20"/>
      <c r="AE19" s="220">
        <f t="shared" si="6"/>
        <v>26</v>
      </c>
      <c r="AF19" s="220"/>
      <c r="AG19" s="220"/>
      <c r="AH19" s="196"/>
      <c r="AI19" s="212"/>
      <c r="AJ19" s="213"/>
      <c r="AK19" s="212"/>
      <c r="AL19" s="221">
        <v>1</v>
      </c>
      <c r="AM19" s="212"/>
      <c r="AN19" s="215"/>
      <c r="AO19" s="212"/>
      <c r="AP19" s="216"/>
      <c r="AQ19" s="212"/>
      <c r="AR19" s="217"/>
      <c r="AS19" s="212"/>
      <c r="AX19" s="268">
        <f t="shared" si="2"/>
        <v>1</v>
      </c>
    </row>
    <row r="20" spans="1:50" s="28" customFormat="1" ht="21.95" customHeight="1">
      <c r="A20" s="25">
        <v>2</v>
      </c>
      <c r="B20" s="26" t="s">
        <v>221</v>
      </c>
      <c r="C20" s="26" t="s">
        <v>206</v>
      </c>
      <c r="D20" s="26">
        <v>5</v>
      </c>
      <c r="E20" s="27" t="s">
        <v>227</v>
      </c>
      <c r="F20" s="20"/>
      <c r="G20" s="20"/>
      <c r="H20" s="20"/>
      <c r="I20" s="20">
        <v>27</v>
      </c>
      <c r="J20" s="20"/>
      <c r="K20" s="20"/>
      <c r="L20" s="20">
        <v>7.2</v>
      </c>
      <c r="M20" s="21">
        <f t="shared" si="5"/>
        <v>4.8600000000000003</v>
      </c>
      <c r="N20" s="20">
        <v>2</v>
      </c>
      <c r="O20" s="67"/>
      <c r="P20" s="67"/>
      <c r="Q20" s="67"/>
      <c r="R20" s="67"/>
      <c r="S20" s="67"/>
      <c r="T20" s="67"/>
      <c r="U20" s="67">
        <v>12</v>
      </c>
      <c r="V20" s="67"/>
      <c r="W20" s="67"/>
      <c r="X20" s="20">
        <v>8</v>
      </c>
      <c r="Y20" s="20"/>
      <c r="Z20" s="20"/>
      <c r="AA20" s="20"/>
      <c r="AB20" s="20"/>
      <c r="AC20" s="20"/>
      <c r="AD20" s="20"/>
      <c r="AE20" s="220">
        <f t="shared" si="6"/>
        <v>12</v>
      </c>
      <c r="AF20" s="220"/>
      <c r="AG20" s="220"/>
      <c r="AH20" s="196"/>
      <c r="AI20" s="212"/>
      <c r="AJ20" s="213"/>
      <c r="AK20" s="212"/>
      <c r="AL20" s="221">
        <v>1</v>
      </c>
      <c r="AM20" s="212"/>
      <c r="AN20" s="215"/>
      <c r="AO20" s="212"/>
      <c r="AP20" s="216"/>
      <c r="AQ20" s="212"/>
      <c r="AR20" s="217"/>
      <c r="AS20" s="212"/>
      <c r="AX20" s="268">
        <f t="shared" si="2"/>
        <v>1</v>
      </c>
    </row>
    <row r="21" spans="1:50" s="28" customFormat="1" ht="21.95" customHeight="1">
      <c r="A21" s="25">
        <v>2</v>
      </c>
      <c r="B21" s="26" t="s">
        <v>225</v>
      </c>
      <c r="C21" s="26" t="s">
        <v>206</v>
      </c>
      <c r="D21" s="26">
        <v>5</v>
      </c>
      <c r="E21" s="27" t="s">
        <v>228</v>
      </c>
      <c r="F21" s="20"/>
      <c r="G21" s="20"/>
      <c r="H21" s="20"/>
      <c r="I21" s="20">
        <v>17</v>
      </c>
      <c r="J21" s="20"/>
      <c r="K21" s="20"/>
      <c r="L21" s="20">
        <v>13.6</v>
      </c>
      <c r="M21" s="21">
        <f t="shared" si="5"/>
        <v>4.8600000000000003</v>
      </c>
      <c r="N21" s="20">
        <v>2</v>
      </c>
      <c r="O21" s="67"/>
      <c r="P21" s="67"/>
      <c r="Q21" s="67"/>
      <c r="R21" s="67"/>
      <c r="S21" s="67"/>
      <c r="T21" s="67"/>
      <c r="U21" s="67">
        <v>17</v>
      </c>
      <c r="V21" s="67"/>
      <c r="W21" s="67"/>
      <c r="X21" s="20">
        <v>9</v>
      </c>
      <c r="Y21" s="20"/>
      <c r="Z21" s="20"/>
      <c r="AA21" s="20"/>
      <c r="AB21" s="20"/>
      <c r="AC21" s="20"/>
      <c r="AD21" s="20"/>
      <c r="AE21" s="220">
        <f t="shared" si="6"/>
        <v>17</v>
      </c>
      <c r="AF21" s="220"/>
      <c r="AG21" s="220"/>
      <c r="AH21" s="196"/>
      <c r="AI21" s="212"/>
      <c r="AJ21" s="213"/>
      <c r="AK21" s="212"/>
      <c r="AL21" s="221"/>
      <c r="AM21" s="212"/>
      <c r="AN21" s="215">
        <v>1</v>
      </c>
      <c r="AO21" s="212"/>
      <c r="AP21" s="216"/>
      <c r="AQ21" s="212"/>
      <c r="AR21" s="217"/>
      <c r="AS21" s="212"/>
      <c r="AX21" s="268">
        <f t="shared" si="2"/>
        <v>1</v>
      </c>
    </row>
    <row r="22" spans="1:50" s="28" customFormat="1" ht="21.95" customHeight="1">
      <c r="A22" s="25">
        <v>2</v>
      </c>
      <c r="B22" s="26" t="s">
        <v>230</v>
      </c>
      <c r="C22" s="26" t="s">
        <v>206</v>
      </c>
      <c r="D22" s="26"/>
      <c r="E22" s="27" t="s">
        <v>229</v>
      </c>
      <c r="F22" s="20"/>
      <c r="G22" s="20"/>
      <c r="H22" s="20"/>
      <c r="I22" s="20">
        <v>8</v>
      </c>
      <c r="J22" s="20"/>
      <c r="K22" s="20"/>
      <c r="L22" s="20"/>
      <c r="M22" s="21">
        <f t="shared" si="5"/>
        <v>9.7200000000000006</v>
      </c>
      <c r="N22" s="20">
        <v>4</v>
      </c>
      <c r="O22" s="67"/>
      <c r="P22" s="67"/>
      <c r="Q22" s="67"/>
      <c r="R22" s="67"/>
      <c r="S22" s="67"/>
      <c r="T22" s="67"/>
      <c r="U22" s="67"/>
      <c r="V22" s="67"/>
      <c r="W22" s="67"/>
      <c r="X22" s="20"/>
      <c r="Y22" s="20"/>
      <c r="Z22" s="20"/>
      <c r="AA22" s="20"/>
      <c r="AB22" s="20"/>
      <c r="AC22" s="20"/>
      <c r="AD22" s="20"/>
      <c r="AE22" s="220">
        <f t="shared" si="6"/>
        <v>0</v>
      </c>
      <c r="AF22" s="220"/>
      <c r="AG22" s="220"/>
      <c r="AH22" s="196"/>
      <c r="AI22" s="212"/>
      <c r="AJ22" s="213"/>
      <c r="AK22" s="212"/>
      <c r="AL22" s="221"/>
      <c r="AM22" s="212"/>
      <c r="AN22" s="215"/>
      <c r="AO22" s="212">
        <v>1</v>
      </c>
      <c r="AP22" s="216"/>
      <c r="AQ22" s="212"/>
      <c r="AR22" s="217"/>
      <c r="AS22" s="212"/>
      <c r="AX22" s="268">
        <f t="shared" si="2"/>
        <v>0</v>
      </c>
    </row>
    <row r="23" spans="1:50" s="28" customFormat="1" ht="21.95" customHeight="1">
      <c r="A23" s="25">
        <v>2</v>
      </c>
      <c r="B23" s="26" t="s">
        <v>231</v>
      </c>
      <c r="C23" s="26" t="s">
        <v>206</v>
      </c>
      <c r="D23" s="26"/>
      <c r="E23" s="27" t="s">
        <v>232</v>
      </c>
      <c r="F23" s="20"/>
      <c r="G23" s="20"/>
      <c r="H23" s="20"/>
      <c r="I23" s="20"/>
      <c r="J23" s="20"/>
      <c r="K23" s="20"/>
      <c r="L23" s="20"/>
      <c r="M23" s="21">
        <f t="shared" si="5"/>
        <v>0</v>
      </c>
      <c r="N23" s="20"/>
      <c r="O23" s="67"/>
      <c r="P23" s="67"/>
      <c r="Q23" s="67"/>
      <c r="R23" s="67"/>
      <c r="S23" s="67"/>
      <c r="T23" s="67"/>
      <c r="U23" s="67"/>
      <c r="V23" s="67"/>
      <c r="W23" s="67"/>
      <c r="X23" s="20"/>
      <c r="Y23" s="20"/>
      <c r="Z23" s="20"/>
      <c r="AA23" s="20"/>
      <c r="AB23" s="20"/>
      <c r="AC23" s="20"/>
      <c r="AD23" s="20">
        <v>30</v>
      </c>
      <c r="AE23" s="220">
        <f t="shared" si="6"/>
        <v>0</v>
      </c>
      <c r="AF23" s="220"/>
      <c r="AG23" s="220"/>
      <c r="AH23" s="196"/>
      <c r="AI23" s="212"/>
      <c r="AJ23" s="213"/>
      <c r="AK23" s="212"/>
      <c r="AL23" s="221"/>
      <c r="AM23" s="212">
        <v>1</v>
      </c>
      <c r="AN23" s="215"/>
      <c r="AO23" s="212"/>
      <c r="AP23" s="216"/>
      <c r="AQ23" s="212"/>
      <c r="AR23" s="217"/>
      <c r="AS23" s="212"/>
      <c r="AX23" s="268">
        <f t="shared" si="2"/>
        <v>0</v>
      </c>
    </row>
    <row r="24" spans="1:50" s="28" customFormat="1" ht="24.95" customHeight="1">
      <c r="A24" s="29" t="s">
        <v>11</v>
      </c>
      <c r="B24" s="30"/>
      <c r="C24" s="30"/>
      <c r="D24" s="30"/>
      <c r="E24" s="30"/>
      <c r="F24" s="24">
        <f t="shared" ref="F24:AD24" si="7">SUM(F9:F23)</f>
        <v>0</v>
      </c>
      <c r="G24" s="24">
        <f t="shared" si="7"/>
        <v>0</v>
      </c>
      <c r="H24" s="24">
        <f t="shared" si="7"/>
        <v>0</v>
      </c>
      <c r="I24" s="24">
        <f t="shared" si="7"/>
        <v>494</v>
      </c>
      <c r="J24" s="24">
        <f t="shared" si="7"/>
        <v>0</v>
      </c>
      <c r="K24" s="24">
        <f t="shared" si="7"/>
        <v>0</v>
      </c>
      <c r="L24" s="107">
        <f t="shared" si="7"/>
        <v>193.2</v>
      </c>
      <c r="M24" s="24">
        <f t="shared" si="7"/>
        <v>77.760000000000005</v>
      </c>
      <c r="N24" s="24">
        <f t="shared" si="7"/>
        <v>32</v>
      </c>
      <c r="O24" s="24">
        <f t="shared" si="7"/>
        <v>0</v>
      </c>
      <c r="P24" s="24">
        <f t="shared" si="7"/>
        <v>0</v>
      </c>
      <c r="Q24" s="24">
        <f t="shared" si="7"/>
        <v>0</v>
      </c>
      <c r="R24" s="24">
        <f t="shared" si="7"/>
        <v>0</v>
      </c>
      <c r="S24" s="24">
        <f t="shared" si="7"/>
        <v>0</v>
      </c>
      <c r="T24" s="24">
        <f t="shared" si="7"/>
        <v>0</v>
      </c>
      <c r="U24" s="24">
        <f t="shared" si="7"/>
        <v>281</v>
      </c>
      <c r="V24" s="24">
        <f t="shared" si="7"/>
        <v>0</v>
      </c>
      <c r="W24" s="24">
        <f t="shared" si="7"/>
        <v>0</v>
      </c>
      <c r="X24" s="24">
        <f t="shared" si="7"/>
        <v>125</v>
      </c>
      <c r="Y24" s="24">
        <f t="shared" si="7"/>
        <v>0</v>
      </c>
      <c r="Z24" s="24">
        <f t="shared" si="7"/>
        <v>0</v>
      </c>
      <c r="AA24" s="24">
        <f t="shared" si="7"/>
        <v>0</v>
      </c>
      <c r="AB24" s="24">
        <f t="shared" si="7"/>
        <v>0</v>
      </c>
      <c r="AC24" s="24">
        <f t="shared" si="7"/>
        <v>0</v>
      </c>
      <c r="AD24" s="24">
        <f t="shared" si="7"/>
        <v>30</v>
      </c>
      <c r="AE24" s="41"/>
      <c r="AF24" s="41"/>
      <c r="AG24" s="41"/>
      <c r="AH24" s="30">
        <f t="shared" ref="AH24:AS24" si="8">SUM(AH9:AH23)</f>
        <v>5</v>
      </c>
      <c r="AI24" s="30">
        <f t="shared" si="8"/>
        <v>0</v>
      </c>
      <c r="AJ24" s="30">
        <f t="shared" si="8"/>
        <v>0</v>
      </c>
      <c r="AK24" s="30">
        <f t="shared" si="8"/>
        <v>0</v>
      </c>
      <c r="AL24" s="30">
        <f t="shared" si="8"/>
        <v>3</v>
      </c>
      <c r="AM24" s="30">
        <f t="shared" si="8"/>
        <v>2</v>
      </c>
      <c r="AN24" s="30">
        <f t="shared" si="8"/>
        <v>3</v>
      </c>
      <c r="AO24" s="30">
        <f t="shared" si="8"/>
        <v>2</v>
      </c>
      <c r="AP24" s="30">
        <f t="shared" si="8"/>
        <v>0</v>
      </c>
      <c r="AQ24" s="30">
        <f t="shared" si="8"/>
        <v>0</v>
      </c>
      <c r="AR24" s="30">
        <f t="shared" si="8"/>
        <v>0</v>
      </c>
      <c r="AS24" s="30">
        <f t="shared" si="8"/>
        <v>0</v>
      </c>
      <c r="AX24" s="268">
        <f t="shared" si="2"/>
        <v>0</v>
      </c>
    </row>
    <row r="25" spans="1:50" s="28" customFormat="1" ht="21.95" customHeight="1">
      <c r="A25" s="25">
        <v>3</v>
      </c>
      <c r="B25" s="26" t="s">
        <v>211</v>
      </c>
      <c r="C25" s="26" t="s">
        <v>234</v>
      </c>
      <c r="D25" s="26"/>
      <c r="E25" s="27" t="s">
        <v>233</v>
      </c>
      <c r="F25" s="20"/>
      <c r="G25" s="20"/>
      <c r="H25" s="20"/>
      <c r="I25" s="20">
        <v>16</v>
      </c>
      <c r="J25" s="20"/>
      <c r="K25" s="20"/>
      <c r="L25" s="20"/>
      <c r="M25" s="21">
        <f t="shared" ref="M25:M35" si="9">N25*2.43</f>
        <v>19.440000000000001</v>
      </c>
      <c r="N25" s="20">
        <v>8</v>
      </c>
      <c r="O25" s="67"/>
      <c r="P25" s="67"/>
      <c r="Q25" s="67"/>
      <c r="R25" s="67"/>
      <c r="S25" s="67"/>
      <c r="T25" s="67"/>
      <c r="U25" s="67"/>
      <c r="V25" s="67"/>
      <c r="W25" s="67"/>
      <c r="X25" s="20"/>
      <c r="Y25" s="20"/>
      <c r="Z25" s="20"/>
      <c r="AA25" s="20"/>
      <c r="AB25" s="20"/>
      <c r="AC25" s="20"/>
      <c r="AD25" s="20"/>
      <c r="AE25" s="220">
        <f t="shared" ref="AE25:AE35" si="10">O25+P25+Q25+R25+S25+T25+U25+V25</f>
        <v>0</v>
      </c>
      <c r="AF25" s="220"/>
      <c r="AG25" s="220"/>
      <c r="AH25" s="196"/>
      <c r="AI25" s="212">
        <v>1</v>
      </c>
      <c r="AJ25" s="213"/>
      <c r="AK25" s="212"/>
      <c r="AL25" s="221"/>
      <c r="AM25" s="212"/>
      <c r="AN25" s="215"/>
      <c r="AO25" s="212"/>
      <c r="AP25" s="216"/>
      <c r="AQ25" s="212"/>
      <c r="AR25" s="217"/>
      <c r="AS25" s="212"/>
      <c r="AX25" s="268">
        <f t="shared" si="2"/>
        <v>0</v>
      </c>
    </row>
    <row r="26" spans="1:50" s="28" customFormat="1" ht="21.95" customHeight="1">
      <c r="A26" s="25">
        <v>3</v>
      </c>
      <c r="B26" s="26" t="s">
        <v>180</v>
      </c>
      <c r="C26" s="26" t="s">
        <v>234</v>
      </c>
      <c r="D26" s="26">
        <v>3</v>
      </c>
      <c r="E26" s="27" t="s">
        <v>235</v>
      </c>
      <c r="F26" s="20"/>
      <c r="G26" s="20"/>
      <c r="H26" s="20"/>
      <c r="I26" s="20">
        <v>29</v>
      </c>
      <c r="J26" s="20"/>
      <c r="K26" s="20"/>
      <c r="L26" s="20">
        <v>17.399999999999999</v>
      </c>
      <c r="M26" s="21">
        <f t="shared" si="9"/>
        <v>9.7200000000000006</v>
      </c>
      <c r="N26" s="20">
        <v>4</v>
      </c>
      <c r="O26" s="67"/>
      <c r="P26" s="67"/>
      <c r="Q26" s="67"/>
      <c r="R26" s="67"/>
      <c r="S26" s="67"/>
      <c r="T26" s="67"/>
      <c r="U26" s="67">
        <v>29</v>
      </c>
      <c r="V26" s="67"/>
      <c r="W26" s="67"/>
      <c r="X26" s="20">
        <v>16</v>
      </c>
      <c r="Y26" s="20"/>
      <c r="Z26" s="20"/>
      <c r="AA26" s="20"/>
      <c r="AB26" s="20"/>
      <c r="AC26" s="20"/>
      <c r="AD26" s="20"/>
      <c r="AE26" s="220">
        <f t="shared" si="10"/>
        <v>29</v>
      </c>
      <c r="AF26" s="220"/>
      <c r="AG26" s="220"/>
      <c r="AH26" s="196">
        <v>1</v>
      </c>
      <c r="AI26" s="212"/>
      <c r="AJ26" s="213"/>
      <c r="AK26" s="212"/>
      <c r="AL26" s="221"/>
      <c r="AM26" s="212"/>
      <c r="AN26" s="215"/>
      <c r="AO26" s="212"/>
      <c r="AP26" s="216"/>
      <c r="AQ26" s="212"/>
      <c r="AR26" s="217"/>
      <c r="AS26" s="212"/>
      <c r="AX26" s="268">
        <f t="shared" si="2"/>
        <v>1</v>
      </c>
    </row>
    <row r="27" spans="1:50" s="28" customFormat="1" ht="21.95" customHeight="1">
      <c r="A27" s="25">
        <v>3</v>
      </c>
      <c r="B27" s="26" t="s">
        <v>149</v>
      </c>
      <c r="C27" s="26" t="s">
        <v>234</v>
      </c>
      <c r="D27" s="26">
        <v>5</v>
      </c>
      <c r="E27" s="27" t="s">
        <v>236</v>
      </c>
      <c r="F27" s="20"/>
      <c r="G27" s="20"/>
      <c r="H27" s="20"/>
      <c r="I27" s="20">
        <v>44</v>
      </c>
      <c r="J27" s="20"/>
      <c r="K27" s="20"/>
      <c r="L27" s="20">
        <v>16</v>
      </c>
      <c r="M27" s="21">
        <f t="shared" si="9"/>
        <v>4.8600000000000003</v>
      </c>
      <c r="N27" s="20">
        <v>2</v>
      </c>
      <c r="O27" s="67"/>
      <c r="P27" s="67"/>
      <c r="Q27" s="67"/>
      <c r="R27" s="67"/>
      <c r="S27" s="67"/>
      <c r="T27" s="67"/>
      <c r="U27" s="67">
        <v>24</v>
      </c>
      <c r="V27" s="67"/>
      <c r="W27" s="67"/>
      <c r="X27" s="20">
        <v>8</v>
      </c>
      <c r="Y27" s="20"/>
      <c r="Z27" s="20"/>
      <c r="AA27" s="20"/>
      <c r="AB27" s="20"/>
      <c r="AC27" s="20"/>
      <c r="AD27" s="20"/>
      <c r="AE27" s="220">
        <f t="shared" si="10"/>
        <v>24</v>
      </c>
      <c r="AF27" s="220"/>
      <c r="AG27" s="220"/>
      <c r="AH27" s="196"/>
      <c r="AI27" s="212"/>
      <c r="AJ27" s="213"/>
      <c r="AK27" s="212"/>
      <c r="AL27" s="221">
        <v>1</v>
      </c>
      <c r="AM27" s="212"/>
      <c r="AN27" s="215"/>
      <c r="AO27" s="212"/>
      <c r="AP27" s="216"/>
      <c r="AQ27" s="212"/>
      <c r="AR27" s="217"/>
      <c r="AS27" s="212"/>
      <c r="AX27" s="268">
        <f t="shared" si="2"/>
        <v>1</v>
      </c>
    </row>
    <row r="28" spans="1:50" s="28" customFormat="1" ht="21.95" customHeight="1">
      <c r="A28" s="25">
        <v>3</v>
      </c>
      <c r="B28" s="26" t="s">
        <v>238</v>
      </c>
      <c r="C28" s="26" t="s">
        <v>234</v>
      </c>
      <c r="D28" s="26">
        <v>3</v>
      </c>
      <c r="E28" s="27" t="s">
        <v>237</v>
      </c>
      <c r="F28" s="20"/>
      <c r="G28" s="20"/>
      <c r="H28" s="20"/>
      <c r="I28" s="20">
        <v>116</v>
      </c>
      <c r="J28" s="20"/>
      <c r="K28" s="20"/>
      <c r="L28" s="20"/>
      <c r="M28" s="21">
        <f t="shared" si="9"/>
        <v>4.8600000000000003</v>
      </c>
      <c r="N28" s="20">
        <v>2</v>
      </c>
      <c r="O28" s="67"/>
      <c r="P28" s="67"/>
      <c r="Q28" s="67"/>
      <c r="R28" s="67"/>
      <c r="S28" s="67"/>
      <c r="T28" s="67"/>
      <c r="U28" s="67">
        <v>29</v>
      </c>
      <c r="V28" s="67"/>
      <c r="W28" s="67"/>
      <c r="X28" s="20">
        <v>12</v>
      </c>
      <c r="Y28" s="20"/>
      <c r="Z28" s="20"/>
      <c r="AA28" s="20"/>
      <c r="AB28" s="20"/>
      <c r="AC28" s="20"/>
      <c r="AD28" s="20"/>
      <c r="AE28" s="220">
        <f t="shared" si="10"/>
        <v>29</v>
      </c>
      <c r="AF28" s="220"/>
      <c r="AG28" s="220"/>
      <c r="AH28" s="196"/>
      <c r="AI28" s="212"/>
      <c r="AJ28" s="213"/>
      <c r="AK28" s="212"/>
      <c r="AL28" s="221"/>
      <c r="AM28" s="212"/>
      <c r="AN28" s="215"/>
      <c r="AO28" s="212"/>
      <c r="AP28" s="216">
        <v>1</v>
      </c>
      <c r="AQ28" s="212"/>
      <c r="AR28" s="217"/>
      <c r="AS28" s="212"/>
      <c r="AX28" s="268">
        <f t="shared" si="2"/>
        <v>1</v>
      </c>
    </row>
    <row r="29" spans="1:50" s="28" customFormat="1" ht="21.95" customHeight="1">
      <c r="A29" s="25">
        <v>3</v>
      </c>
      <c r="B29" s="26" t="s">
        <v>207</v>
      </c>
      <c r="C29" s="26" t="s">
        <v>239</v>
      </c>
      <c r="D29" s="26">
        <v>5</v>
      </c>
      <c r="E29" s="27" t="s">
        <v>205</v>
      </c>
      <c r="F29" s="20"/>
      <c r="G29" s="20"/>
      <c r="H29" s="20"/>
      <c r="I29" s="20">
        <v>30</v>
      </c>
      <c r="J29" s="20"/>
      <c r="K29" s="20"/>
      <c r="L29" s="20">
        <v>24</v>
      </c>
      <c r="M29" s="21">
        <f t="shared" si="9"/>
        <v>4.8600000000000003</v>
      </c>
      <c r="N29" s="20">
        <v>2</v>
      </c>
      <c r="O29" s="67"/>
      <c r="P29" s="67"/>
      <c r="Q29" s="67"/>
      <c r="R29" s="67"/>
      <c r="S29" s="67"/>
      <c r="T29" s="67"/>
      <c r="U29" s="67">
        <v>30</v>
      </c>
      <c r="V29" s="67"/>
      <c r="W29" s="67"/>
      <c r="X29" s="20">
        <v>15</v>
      </c>
      <c r="Y29" s="20"/>
      <c r="Z29" s="20"/>
      <c r="AA29" s="20"/>
      <c r="AB29" s="20"/>
      <c r="AC29" s="20"/>
      <c r="AD29" s="20"/>
      <c r="AE29" s="220">
        <f t="shared" si="10"/>
        <v>30</v>
      </c>
      <c r="AF29" s="220"/>
      <c r="AG29" s="220"/>
      <c r="AH29" s="196">
        <v>1</v>
      </c>
      <c r="AI29" s="212"/>
      <c r="AJ29" s="213"/>
      <c r="AK29" s="212"/>
      <c r="AL29" s="221"/>
      <c r="AM29" s="212"/>
      <c r="AN29" s="215"/>
      <c r="AO29" s="212"/>
      <c r="AP29" s="216"/>
      <c r="AQ29" s="212"/>
      <c r="AR29" s="217"/>
      <c r="AS29" s="212"/>
      <c r="AX29" s="268">
        <f t="shared" si="2"/>
        <v>1</v>
      </c>
    </row>
    <row r="30" spans="1:50" s="28" customFormat="1" ht="21.95" customHeight="1">
      <c r="A30" s="25">
        <v>3</v>
      </c>
      <c r="B30" s="26" t="s">
        <v>211</v>
      </c>
      <c r="C30" s="26" t="s">
        <v>234</v>
      </c>
      <c r="D30" s="26"/>
      <c r="E30" s="27" t="s">
        <v>242</v>
      </c>
      <c r="F30" s="20"/>
      <c r="G30" s="20"/>
      <c r="H30" s="20"/>
      <c r="I30" s="20">
        <v>10</v>
      </c>
      <c r="J30" s="20"/>
      <c r="K30" s="20"/>
      <c r="L30" s="20"/>
      <c r="M30" s="21">
        <f t="shared" si="9"/>
        <v>0</v>
      </c>
      <c r="N30" s="20"/>
      <c r="O30" s="67"/>
      <c r="P30" s="67"/>
      <c r="Q30" s="67"/>
      <c r="R30" s="67"/>
      <c r="S30" s="67"/>
      <c r="T30" s="67"/>
      <c r="U30" s="67"/>
      <c r="V30" s="67"/>
      <c r="W30" s="67"/>
      <c r="X30" s="20">
        <v>10</v>
      </c>
      <c r="Y30" s="20"/>
      <c r="Z30" s="20"/>
      <c r="AA30" s="20"/>
      <c r="AB30" s="20"/>
      <c r="AC30" s="20"/>
      <c r="AD30" s="20"/>
      <c r="AE30" s="220">
        <f t="shared" si="10"/>
        <v>0</v>
      </c>
      <c r="AF30" s="220"/>
      <c r="AG30" s="220"/>
      <c r="AH30" s="196"/>
      <c r="AI30" s="212">
        <v>1</v>
      </c>
      <c r="AJ30" s="213"/>
      <c r="AK30" s="212"/>
      <c r="AL30" s="221"/>
      <c r="AM30" s="212"/>
      <c r="AN30" s="215"/>
      <c r="AO30" s="212"/>
      <c r="AP30" s="216"/>
      <c r="AQ30" s="212"/>
      <c r="AR30" s="217"/>
      <c r="AS30" s="212"/>
      <c r="AX30" s="268">
        <f t="shared" si="2"/>
        <v>0</v>
      </c>
    </row>
    <row r="31" spans="1:50" s="28" customFormat="1" ht="21.95" customHeight="1">
      <c r="A31" s="25">
        <v>3</v>
      </c>
      <c r="B31" s="26" t="s">
        <v>207</v>
      </c>
      <c r="C31" s="26" t="s">
        <v>239</v>
      </c>
      <c r="D31" s="26">
        <v>5</v>
      </c>
      <c r="E31" s="27" t="s">
        <v>209</v>
      </c>
      <c r="F31" s="20"/>
      <c r="G31" s="20"/>
      <c r="H31" s="20"/>
      <c r="I31" s="20">
        <v>47</v>
      </c>
      <c r="J31" s="20"/>
      <c r="K31" s="20"/>
      <c r="L31" s="281">
        <v>28</v>
      </c>
      <c r="M31" s="21">
        <f t="shared" si="9"/>
        <v>4.8600000000000003</v>
      </c>
      <c r="N31" s="20">
        <v>2</v>
      </c>
      <c r="O31" s="67"/>
      <c r="P31" s="67"/>
      <c r="Q31" s="67"/>
      <c r="R31" s="67"/>
      <c r="S31" s="67"/>
      <c r="T31" s="67"/>
      <c r="U31" s="67">
        <v>37</v>
      </c>
      <c r="V31" s="67"/>
      <c r="W31" s="67"/>
      <c r="X31" s="20">
        <v>15</v>
      </c>
      <c r="Y31" s="20"/>
      <c r="Z31" s="20"/>
      <c r="AA31" s="20"/>
      <c r="AB31" s="20"/>
      <c r="AC31" s="20"/>
      <c r="AD31" s="20"/>
      <c r="AE31" s="220">
        <f t="shared" si="10"/>
        <v>37</v>
      </c>
      <c r="AF31" s="220"/>
      <c r="AG31" s="220"/>
      <c r="AH31" s="196">
        <v>1</v>
      </c>
      <c r="AI31" s="212"/>
      <c r="AJ31" s="213"/>
      <c r="AK31" s="212"/>
      <c r="AL31" s="221"/>
      <c r="AM31" s="212"/>
      <c r="AN31" s="215"/>
      <c r="AO31" s="212"/>
      <c r="AP31" s="216"/>
      <c r="AQ31" s="212"/>
      <c r="AR31" s="217"/>
      <c r="AS31" s="212"/>
      <c r="AX31" s="268">
        <f t="shared" si="2"/>
        <v>1</v>
      </c>
    </row>
    <row r="32" spans="1:50" s="28" customFormat="1" ht="21.95" customHeight="1">
      <c r="A32" s="25">
        <v>3</v>
      </c>
      <c r="B32" s="26" t="s">
        <v>211</v>
      </c>
      <c r="C32" s="26" t="s">
        <v>234</v>
      </c>
      <c r="D32" s="26">
        <v>5</v>
      </c>
      <c r="E32" s="27" t="s">
        <v>243</v>
      </c>
      <c r="F32" s="20"/>
      <c r="G32" s="20"/>
      <c r="H32" s="20"/>
      <c r="I32" s="20">
        <v>78</v>
      </c>
      <c r="J32" s="20"/>
      <c r="K32" s="20"/>
      <c r="L32" s="20"/>
      <c r="M32" s="21">
        <f t="shared" si="9"/>
        <v>4.8600000000000003</v>
      </c>
      <c r="N32" s="20">
        <v>2</v>
      </c>
      <c r="O32" s="67"/>
      <c r="P32" s="67"/>
      <c r="Q32" s="67"/>
      <c r="R32" s="67"/>
      <c r="S32" s="67"/>
      <c r="T32" s="67"/>
      <c r="U32" s="67">
        <v>13</v>
      </c>
      <c r="V32" s="67"/>
      <c r="W32" s="67"/>
      <c r="X32" s="20">
        <v>10</v>
      </c>
      <c r="Y32" s="20"/>
      <c r="Z32" s="20"/>
      <c r="AA32" s="20"/>
      <c r="AB32" s="20"/>
      <c r="AC32" s="20"/>
      <c r="AD32" s="20"/>
      <c r="AE32" s="220">
        <f t="shared" si="10"/>
        <v>13</v>
      </c>
      <c r="AF32" s="220"/>
      <c r="AG32" s="220"/>
      <c r="AH32" s="196">
        <v>1</v>
      </c>
      <c r="AI32" s="212"/>
      <c r="AJ32" s="213"/>
      <c r="AK32" s="212"/>
      <c r="AL32" s="221"/>
      <c r="AM32" s="212"/>
      <c r="AN32" s="215"/>
      <c r="AO32" s="212"/>
      <c r="AP32" s="216"/>
      <c r="AQ32" s="212"/>
      <c r="AR32" s="217"/>
      <c r="AS32" s="212"/>
      <c r="AX32" s="268">
        <f t="shared" si="2"/>
        <v>1</v>
      </c>
    </row>
    <row r="33" spans="1:50" s="28" customFormat="1" ht="21.95" customHeight="1">
      <c r="A33" s="25">
        <v>3</v>
      </c>
      <c r="B33" s="26" t="s">
        <v>245</v>
      </c>
      <c r="C33" s="26" t="s">
        <v>234</v>
      </c>
      <c r="D33" s="26">
        <v>5</v>
      </c>
      <c r="E33" s="27" t="s">
        <v>244</v>
      </c>
      <c r="F33" s="20"/>
      <c r="G33" s="20"/>
      <c r="H33" s="20"/>
      <c r="I33" s="20">
        <v>44</v>
      </c>
      <c r="J33" s="20"/>
      <c r="K33" s="20"/>
      <c r="L33" s="20">
        <v>16</v>
      </c>
      <c r="M33" s="21">
        <f t="shared" si="9"/>
        <v>4.8600000000000003</v>
      </c>
      <c r="N33" s="20">
        <v>2</v>
      </c>
      <c r="O33" s="67"/>
      <c r="P33" s="67"/>
      <c r="Q33" s="67"/>
      <c r="R33" s="67"/>
      <c r="S33" s="67"/>
      <c r="T33" s="67"/>
      <c r="U33" s="67">
        <v>24</v>
      </c>
      <c r="V33" s="67"/>
      <c r="W33" s="67"/>
      <c r="X33" s="20">
        <v>8</v>
      </c>
      <c r="Y33" s="20"/>
      <c r="Z33" s="20"/>
      <c r="AA33" s="20"/>
      <c r="AB33" s="20"/>
      <c r="AC33" s="20"/>
      <c r="AD33" s="20"/>
      <c r="AE33" s="220">
        <f t="shared" si="10"/>
        <v>24</v>
      </c>
      <c r="AF33" s="220"/>
      <c r="AG33" s="220"/>
      <c r="AH33" s="196"/>
      <c r="AI33" s="212"/>
      <c r="AJ33" s="213"/>
      <c r="AK33" s="212"/>
      <c r="AL33" s="221">
        <v>1</v>
      </c>
      <c r="AM33" s="212"/>
      <c r="AN33" s="215"/>
      <c r="AO33" s="212"/>
      <c r="AP33" s="216"/>
      <c r="AQ33" s="212"/>
      <c r="AR33" s="217"/>
      <c r="AS33" s="212"/>
      <c r="AX33" s="268">
        <f t="shared" si="2"/>
        <v>1</v>
      </c>
    </row>
    <row r="34" spans="1:50" s="28" customFormat="1" ht="21.95" customHeight="1">
      <c r="A34" s="25">
        <v>3</v>
      </c>
      <c r="B34" s="26" t="s">
        <v>180</v>
      </c>
      <c r="C34" s="26" t="s">
        <v>234</v>
      </c>
      <c r="D34" s="26">
        <v>5</v>
      </c>
      <c r="E34" s="27" t="s">
        <v>222</v>
      </c>
      <c r="F34" s="20"/>
      <c r="G34" s="20"/>
      <c r="H34" s="20"/>
      <c r="I34" s="20">
        <v>5</v>
      </c>
      <c r="J34" s="20"/>
      <c r="K34" s="20"/>
      <c r="L34" s="20"/>
      <c r="M34" s="21">
        <f t="shared" si="9"/>
        <v>2.4300000000000002</v>
      </c>
      <c r="N34" s="20">
        <v>1</v>
      </c>
      <c r="O34" s="67"/>
      <c r="P34" s="67"/>
      <c r="Q34" s="67"/>
      <c r="R34" s="67"/>
      <c r="S34" s="67"/>
      <c r="T34" s="67"/>
      <c r="U34" s="67"/>
      <c r="V34" s="67"/>
      <c r="W34" s="67"/>
      <c r="X34" s="20"/>
      <c r="Y34" s="20"/>
      <c r="Z34" s="20"/>
      <c r="AA34" s="20"/>
      <c r="AB34" s="20"/>
      <c r="AC34" s="20"/>
      <c r="AD34" s="20"/>
      <c r="AE34" s="220">
        <f t="shared" si="10"/>
        <v>0</v>
      </c>
      <c r="AF34" s="220"/>
      <c r="AG34" s="220"/>
      <c r="AH34" s="196"/>
      <c r="AI34" s="212"/>
      <c r="AJ34" s="213"/>
      <c r="AK34" s="212"/>
      <c r="AL34" s="221"/>
      <c r="AM34" s="212"/>
      <c r="AN34" s="215"/>
      <c r="AO34" s="212">
        <v>1</v>
      </c>
      <c r="AP34" s="216"/>
      <c r="AQ34" s="212"/>
      <c r="AR34" s="217"/>
      <c r="AS34" s="212"/>
      <c r="AX34" s="268">
        <f t="shared" si="2"/>
        <v>0</v>
      </c>
    </row>
    <row r="35" spans="1:50" s="28" customFormat="1" ht="21.95" customHeight="1">
      <c r="A35" s="25">
        <v>3</v>
      </c>
      <c r="B35" s="26" t="s">
        <v>211</v>
      </c>
      <c r="C35" s="26" t="s">
        <v>234</v>
      </c>
      <c r="D35" s="26">
        <v>5</v>
      </c>
      <c r="E35" s="27" t="s">
        <v>242</v>
      </c>
      <c r="F35" s="20"/>
      <c r="G35" s="20"/>
      <c r="H35" s="20"/>
      <c r="I35" s="20">
        <v>20</v>
      </c>
      <c r="J35" s="20"/>
      <c r="K35" s="20"/>
      <c r="L35" s="20">
        <v>16</v>
      </c>
      <c r="M35" s="21">
        <f t="shared" si="9"/>
        <v>4.8600000000000003</v>
      </c>
      <c r="N35" s="20">
        <v>2</v>
      </c>
      <c r="O35" s="67"/>
      <c r="P35" s="67"/>
      <c r="Q35" s="67"/>
      <c r="R35" s="67"/>
      <c r="S35" s="67"/>
      <c r="T35" s="67"/>
      <c r="U35" s="67">
        <v>20</v>
      </c>
      <c r="V35" s="67"/>
      <c r="W35" s="67"/>
      <c r="X35" s="20">
        <v>8</v>
      </c>
      <c r="Y35" s="20"/>
      <c r="Z35" s="20"/>
      <c r="AA35" s="20"/>
      <c r="AB35" s="20"/>
      <c r="AC35" s="20"/>
      <c r="AD35" s="20"/>
      <c r="AE35" s="220">
        <f t="shared" si="10"/>
        <v>20</v>
      </c>
      <c r="AF35" s="220"/>
      <c r="AG35" s="220"/>
      <c r="AH35" s="196">
        <v>1</v>
      </c>
      <c r="AI35" s="212"/>
      <c r="AJ35" s="213"/>
      <c r="AK35" s="212"/>
      <c r="AL35" s="221"/>
      <c r="AM35" s="212"/>
      <c r="AN35" s="215"/>
      <c r="AO35" s="212"/>
      <c r="AP35" s="216"/>
      <c r="AQ35" s="212"/>
      <c r="AR35" s="217"/>
      <c r="AS35" s="212"/>
      <c r="AX35" s="268">
        <f t="shared" si="2"/>
        <v>1</v>
      </c>
    </row>
    <row r="36" spans="1:50" s="28" customFormat="1" ht="24.95" customHeight="1">
      <c r="A36" s="29" t="s">
        <v>11</v>
      </c>
      <c r="B36" s="30"/>
      <c r="C36" s="30"/>
      <c r="D36" s="30"/>
      <c r="E36" s="30"/>
      <c r="F36" s="24">
        <f t="shared" ref="F36:AD36" si="11">SUM(F25:F35)</f>
        <v>0</v>
      </c>
      <c r="G36" s="24">
        <f t="shared" si="11"/>
        <v>0</v>
      </c>
      <c r="H36" s="24">
        <f t="shared" si="11"/>
        <v>0</v>
      </c>
      <c r="I36" s="24">
        <f t="shared" si="11"/>
        <v>439</v>
      </c>
      <c r="J36" s="24">
        <f t="shared" si="11"/>
        <v>0</v>
      </c>
      <c r="K36" s="24">
        <f t="shared" si="11"/>
        <v>0</v>
      </c>
      <c r="L36" s="107">
        <f t="shared" si="11"/>
        <v>117.4</v>
      </c>
      <c r="M36" s="24">
        <f t="shared" si="11"/>
        <v>65.61</v>
      </c>
      <c r="N36" s="24">
        <f t="shared" si="11"/>
        <v>27</v>
      </c>
      <c r="O36" s="24">
        <f t="shared" si="11"/>
        <v>0</v>
      </c>
      <c r="P36" s="24">
        <f t="shared" si="11"/>
        <v>0</v>
      </c>
      <c r="Q36" s="24">
        <f t="shared" si="11"/>
        <v>0</v>
      </c>
      <c r="R36" s="24">
        <f t="shared" si="11"/>
        <v>0</v>
      </c>
      <c r="S36" s="24">
        <f t="shared" si="11"/>
        <v>0</v>
      </c>
      <c r="T36" s="24">
        <f t="shared" si="11"/>
        <v>0</v>
      </c>
      <c r="U36" s="24">
        <f t="shared" si="11"/>
        <v>206</v>
      </c>
      <c r="V36" s="24">
        <f t="shared" si="11"/>
        <v>0</v>
      </c>
      <c r="W36" s="24">
        <f t="shared" si="11"/>
        <v>0</v>
      </c>
      <c r="X36" s="24">
        <f t="shared" si="11"/>
        <v>102</v>
      </c>
      <c r="Y36" s="24">
        <f t="shared" si="11"/>
        <v>0</v>
      </c>
      <c r="Z36" s="24">
        <f t="shared" si="11"/>
        <v>0</v>
      </c>
      <c r="AA36" s="24">
        <f t="shared" si="11"/>
        <v>0</v>
      </c>
      <c r="AB36" s="24">
        <f t="shared" si="11"/>
        <v>0</v>
      </c>
      <c r="AC36" s="24">
        <f t="shared" si="11"/>
        <v>0</v>
      </c>
      <c r="AD36" s="24">
        <f t="shared" si="11"/>
        <v>0</v>
      </c>
      <c r="AE36" s="41"/>
      <c r="AF36" s="41"/>
      <c r="AG36" s="41"/>
      <c r="AH36" s="30">
        <f t="shared" ref="AH36:AS36" si="12">SUM(AH25:AH35)</f>
        <v>5</v>
      </c>
      <c r="AI36" s="30">
        <f t="shared" si="12"/>
        <v>2</v>
      </c>
      <c r="AJ36" s="30">
        <f t="shared" si="12"/>
        <v>0</v>
      </c>
      <c r="AK36" s="30">
        <f t="shared" si="12"/>
        <v>0</v>
      </c>
      <c r="AL36" s="30">
        <f t="shared" si="12"/>
        <v>2</v>
      </c>
      <c r="AM36" s="30">
        <f t="shared" si="12"/>
        <v>0</v>
      </c>
      <c r="AN36" s="30">
        <f t="shared" si="12"/>
        <v>0</v>
      </c>
      <c r="AO36" s="30">
        <f t="shared" si="12"/>
        <v>1</v>
      </c>
      <c r="AP36" s="30">
        <f t="shared" si="12"/>
        <v>1</v>
      </c>
      <c r="AQ36" s="30">
        <f t="shared" si="12"/>
        <v>0</v>
      </c>
      <c r="AR36" s="30">
        <f t="shared" si="12"/>
        <v>0</v>
      </c>
      <c r="AS36" s="30">
        <f t="shared" si="12"/>
        <v>0</v>
      </c>
      <c r="AT36" s="219" t="s">
        <v>32</v>
      </c>
      <c r="AU36" s="144" t="s">
        <v>30</v>
      </c>
      <c r="AV36" s="145" t="s">
        <v>31</v>
      </c>
    </row>
    <row r="37" spans="1:50" s="28" customFormat="1" ht="30" customHeight="1">
      <c r="B37" s="149"/>
      <c r="C37" s="149"/>
      <c r="D37" s="149"/>
      <c r="E37" s="149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1"/>
      <c r="AF37" s="151"/>
      <c r="AG37" s="151"/>
      <c r="AT37" s="92" t="s">
        <v>33</v>
      </c>
      <c r="AU37" s="152">
        <f>AL38</f>
        <v>5</v>
      </c>
      <c r="AV37" s="153">
        <f>AM38</f>
        <v>2</v>
      </c>
    </row>
    <row r="38" spans="1:50" s="28" customFormat="1" ht="30" customHeight="1">
      <c r="A38" s="184" t="s">
        <v>15</v>
      </c>
      <c r="B38" s="183"/>
      <c r="C38" s="183"/>
      <c r="D38" s="183"/>
      <c r="E38" s="183"/>
      <c r="F38" s="185">
        <f t="shared" ref="F38:AD38" si="13">F36+F24+F8</f>
        <v>0</v>
      </c>
      <c r="G38" s="185">
        <f t="shared" si="13"/>
        <v>0</v>
      </c>
      <c r="H38" s="185">
        <f t="shared" si="13"/>
        <v>0</v>
      </c>
      <c r="I38" s="185">
        <f t="shared" si="13"/>
        <v>933</v>
      </c>
      <c r="J38" s="185">
        <f t="shared" si="13"/>
        <v>0</v>
      </c>
      <c r="K38" s="185">
        <f t="shared" si="13"/>
        <v>0</v>
      </c>
      <c r="L38" s="185">
        <f t="shared" si="13"/>
        <v>310.60000000000002</v>
      </c>
      <c r="M38" s="186">
        <f t="shared" si="13"/>
        <v>143.37</v>
      </c>
      <c r="N38" s="185">
        <f t="shared" si="13"/>
        <v>59</v>
      </c>
      <c r="O38" s="185">
        <f t="shared" si="13"/>
        <v>0</v>
      </c>
      <c r="P38" s="185">
        <f t="shared" si="13"/>
        <v>0</v>
      </c>
      <c r="Q38" s="185">
        <f t="shared" si="13"/>
        <v>0</v>
      </c>
      <c r="R38" s="185">
        <f t="shared" si="13"/>
        <v>0</v>
      </c>
      <c r="S38" s="185">
        <f t="shared" si="13"/>
        <v>0</v>
      </c>
      <c r="T38" s="185">
        <f t="shared" si="13"/>
        <v>0</v>
      </c>
      <c r="U38" s="185">
        <f t="shared" si="13"/>
        <v>487</v>
      </c>
      <c r="V38" s="185">
        <f t="shared" si="13"/>
        <v>0</v>
      </c>
      <c r="W38" s="185">
        <f t="shared" si="13"/>
        <v>0</v>
      </c>
      <c r="X38" s="185">
        <f t="shared" si="13"/>
        <v>227</v>
      </c>
      <c r="Y38" s="185">
        <f t="shared" si="13"/>
        <v>0</v>
      </c>
      <c r="Z38" s="185">
        <f t="shared" si="13"/>
        <v>0</v>
      </c>
      <c r="AA38" s="185">
        <f t="shared" si="13"/>
        <v>0</v>
      </c>
      <c r="AB38" s="185">
        <f t="shared" si="13"/>
        <v>0</v>
      </c>
      <c r="AC38" s="185">
        <f t="shared" si="13"/>
        <v>0</v>
      </c>
      <c r="AD38" s="185">
        <f t="shared" si="13"/>
        <v>30</v>
      </c>
      <c r="AE38" s="151"/>
      <c r="AF38" s="151"/>
      <c r="AG38" s="151"/>
      <c r="AH38" s="189">
        <f t="shared" ref="AH38:AS38" si="14">AH36+AH24+AH8</f>
        <v>10</v>
      </c>
      <c r="AI38" s="189">
        <f t="shared" si="14"/>
        <v>2</v>
      </c>
      <c r="AJ38" s="189">
        <f t="shared" si="14"/>
        <v>0</v>
      </c>
      <c r="AK38" s="189">
        <f t="shared" si="14"/>
        <v>0</v>
      </c>
      <c r="AL38" s="189">
        <f t="shared" si="14"/>
        <v>5</v>
      </c>
      <c r="AM38" s="189">
        <f t="shared" si="14"/>
        <v>2</v>
      </c>
      <c r="AN38" s="189">
        <f t="shared" si="14"/>
        <v>3</v>
      </c>
      <c r="AO38" s="189">
        <f t="shared" si="14"/>
        <v>3</v>
      </c>
      <c r="AP38" s="189">
        <f t="shared" si="14"/>
        <v>1</v>
      </c>
      <c r="AQ38" s="189">
        <f t="shared" si="14"/>
        <v>0</v>
      </c>
      <c r="AR38" s="189">
        <f t="shared" si="14"/>
        <v>0</v>
      </c>
      <c r="AS38" s="189">
        <f t="shared" si="14"/>
        <v>0</v>
      </c>
      <c r="AT38" s="146" t="s">
        <v>26</v>
      </c>
      <c r="AU38" s="147">
        <f>AN38</f>
        <v>3</v>
      </c>
      <c r="AV38" s="148">
        <f>AO38</f>
        <v>3</v>
      </c>
    </row>
    <row r="39" spans="1:50" s="259" customFormat="1" ht="30" customHeight="1">
      <c r="A39" s="16"/>
      <c r="B39" s="17"/>
      <c r="C39" s="157" t="s">
        <v>58</v>
      </c>
      <c r="D39" s="157"/>
      <c r="E39" s="158"/>
      <c r="F39" s="159">
        <v>26.292100000000001</v>
      </c>
      <c r="G39" s="160">
        <v>115.8</v>
      </c>
      <c r="H39" s="160">
        <v>35.47</v>
      </c>
      <c r="I39" s="160">
        <v>27.343800000000002</v>
      </c>
      <c r="J39" s="160">
        <v>40</v>
      </c>
      <c r="K39" s="159">
        <v>29.5639</v>
      </c>
      <c r="L39" s="159">
        <v>145.88</v>
      </c>
      <c r="M39" s="159">
        <v>27.66</v>
      </c>
      <c r="N39" s="159">
        <v>26.25</v>
      </c>
      <c r="O39" s="159">
        <v>171.74107142857142</v>
      </c>
      <c r="P39" s="159">
        <v>176.78571428571428</v>
      </c>
      <c r="Q39" s="159">
        <v>195</v>
      </c>
      <c r="R39" s="159">
        <v>180.35714285714283</v>
      </c>
      <c r="S39" s="159">
        <v>198</v>
      </c>
      <c r="T39" s="159">
        <v>195</v>
      </c>
      <c r="U39" s="159">
        <v>189.38</v>
      </c>
      <c r="V39" s="159">
        <v>207</v>
      </c>
      <c r="W39" s="159">
        <v>379.46</v>
      </c>
      <c r="X39" s="159">
        <v>35.15</v>
      </c>
      <c r="Y39" s="159">
        <v>35.893000000000001</v>
      </c>
      <c r="Z39" s="159">
        <v>37.5</v>
      </c>
      <c r="AA39" s="159">
        <v>81.900000000000006</v>
      </c>
      <c r="AB39" s="159">
        <v>20.62</v>
      </c>
      <c r="AC39" s="159">
        <v>267.18</v>
      </c>
      <c r="AD39" s="159">
        <v>7.5</v>
      </c>
      <c r="AE39" s="16"/>
      <c r="AF39" s="16"/>
      <c r="AG39" s="16"/>
      <c r="AT39" s="54" t="s">
        <v>27</v>
      </c>
      <c r="AU39" s="44">
        <f>AP38</f>
        <v>1</v>
      </c>
      <c r="AV39" s="45">
        <f>AQ38</f>
        <v>0</v>
      </c>
    </row>
    <row r="40" spans="1:50" s="259" customFormat="1" ht="30" customHeight="1">
      <c r="A40" s="16"/>
      <c r="B40" s="17"/>
      <c r="C40" s="113" t="s">
        <v>53</v>
      </c>
      <c r="D40" s="113"/>
      <c r="E40" s="27">
        <f>F40+G40+K40+L40+M40+N40+O40+P40+Q40+R40+S40+U40+X40+Y40+Z40+AA40+AB40+AC40+AD40+H40+I40</f>
        <v>176768.56759999998</v>
      </c>
      <c r="F40" s="112">
        <f>F38*F39</f>
        <v>0</v>
      </c>
      <c r="G40" s="112">
        <f t="shared" ref="G40:AD40" si="15">G38*G39</f>
        <v>0</v>
      </c>
      <c r="H40" s="112">
        <f t="shared" si="15"/>
        <v>0</v>
      </c>
      <c r="I40" s="112">
        <f t="shared" si="15"/>
        <v>25511.7654</v>
      </c>
      <c r="J40" s="112">
        <f t="shared" si="15"/>
        <v>0</v>
      </c>
      <c r="K40" s="112">
        <f t="shared" si="15"/>
        <v>0</v>
      </c>
      <c r="L40" s="112">
        <f t="shared" si="15"/>
        <v>45310.328000000001</v>
      </c>
      <c r="M40" s="112">
        <f t="shared" si="15"/>
        <v>3965.6142</v>
      </c>
      <c r="N40" s="112">
        <f t="shared" si="15"/>
        <v>1548.75</v>
      </c>
      <c r="O40" s="112">
        <f t="shared" si="15"/>
        <v>0</v>
      </c>
      <c r="P40" s="112">
        <f t="shared" si="15"/>
        <v>0</v>
      </c>
      <c r="Q40" s="115">
        <f t="shared" si="15"/>
        <v>0</v>
      </c>
      <c r="R40" s="112">
        <f t="shared" si="15"/>
        <v>0</v>
      </c>
      <c r="S40" s="112">
        <f t="shared" si="15"/>
        <v>0</v>
      </c>
      <c r="T40" s="112">
        <f t="shared" si="15"/>
        <v>0</v>
      </c>
      <c r="U40" s="115">
        <f t="shared" si="15"/>
        <v>92228.06</v>
      </c>
      <c r="V40" s="112">
        <f t="shared" si="15"/>
        <v>0</v>
      </c>
      <c r="W40" s="112">
        <f t="shared" si="15"/>
        <v>0</v>
      </c>
      <c r="X40" s="112">
        <f t="shared" si="15"/>
        <v>7979.0499999999993</v>
      </c>
      <c r="Y40" s="112">
        <f t="shared" si="15"/>
        <v>0</v>
      </c>
      <c r="Z40" s="112">
        <f t="shared" si="15"/>
        <v>0</v>
      </c>
      <c r="AA40" s="112">
        <f t="shared" si="15"/>
        <v>0</v>
      </c>
      <c r="AB40" s="112">
        <f t="shared" si="15"/>
        <v>0</v>
      </c>
      <c r="AC40" s="112">
        <f t="shared" si="15"/>
        <v>0</v>
      </c>
      <c r="AD40" s="112">
        <f t="shared" si="15"/>
        <v>225</v>
      </c>
      <c r="AE40" s="16"/>
      <c r="AF40" s="16"/>
      <c r="AG40" s="16"/>
      <c r="AT40" s="54" t="s">
        <v>34</v>
      </c>
      <c r="AU40" s="44">
        <f>AH38</f>
        <v>10</v>
      </c>
      <c r="AV40" s="45">
        <f>AI38</f>
        <v>2</v>
      </c>
    </row>
    <row r="41" spans="1:50" s="16" customFormat="1" ht="30" customHeight="1">
      <c r="B41" s="17"/>
      <c r="C41" s="17"/>
      <c r="D41" s="17"/>
      <c r="AT41" s="54" t="s">
        <v>29</v>
      </c>
      <c r="AU41" s="14">
        <f>AJ38</f>
        <v>0</v>
      </c>
      <c r="AV41" s="15">
        <f>AK38</f>
        <v>0</v>
      </c>
    </row>
    <row r="42" spans="1:50" s="16" customFormat="1" ht="30" customHeight="1" thickBot="1">
      <c r="B42" s="17"/>
      <c r="C42" s="17"/>
      <c r="D42" s="17"/>
      <c r="AT42" s="55" t="s">
        <v>35</v>
      </c>
      <c r="AU42" s="18">
        <f>AR38</f>
        <v>0</v>
      </c>
      <c r="AV42" s="19">
        <f>AS38</f>
        <v>0</v>
      </c>
    </row>
    <row r="43" spans="1:50" s="16" customFormat="1" ht="30" customHeight="1">
      <c r="B43" s="17"/>
      <c r="C43" s="17"/>
      <c r="D43" s="17"/>
      <c r="AS43" s="269">
        <f>AT43-AU43</f>
        <v>0</v>
      </c>
      <c r="AT43" s="269">
        <f>SUM(AX7:AX35)</f>
        <v>19</v>
      </c>
      <c r="AU43" s="269">
        <f>SUM(AU37:AU42)</f>
        <v>19</v>
      </c>
    </row>
    <row r="44" spans="1:50" s="12" customFormat="1" ht="11.25" customHeight="1">
      <c r="B44" s="13"/>
      <c r="C44" s="13"/>
      <c r="D44" s="13"/>
    </row>
    <row r="45" spans="1:50" s="12" customFormat="1">
      <c r="B45" s="250" t="s">
        <v>89</v>
      </c>
      <c r="C45" s="250" t="s">
        <v>86</v>
      </c>
      <c r="D45" s="250" t="s">
        <v>58</v>
      </c>
      <c r="E45" s="250" t="s">
        <v>87</v>
      </c>
      <c r="O45" s="12" t="s">
        <v>18</v>
      </c>
    </row>
    <row r="46" spans="1:50" s="12" customFormat="1">
      <c r="B46" s="242" t="s">
        <v>72</v>
      </c>
      <c r="C46" s="248"/>
      <c r="D46" s="247">
        <v>26.292100000000001</v>
      </c>
      <c r="E46" s="248">
        <f>C46*D46</f>
        <v>0</v>
      </c>
    </row>
    <row r="47" spans="1:50" s="12" customFormat="1">
      <c r="B47" s="242" t="s">
        <v>100</v>
      </c>
      <c r="C47" s="248">
        <f>I38</f>
        <v>933</v>
      </c>
      <c r="D47" s="247">
        <v>27.343800000000002</v>
      </c>
      <c r="E47" s="248"/>
    </row>
    <row r="48" spans="1:50" s="12" customFormat="1">
      <c r="B48" s="242" t="s">
        <v>73</v>
      </c>
      <c r="C48" s="248">
        <f>K38</f>
        <v>0</v>
      </c>
      <c r="D48" s="247">
        <v>29.5639</v>
      </c>
      <c r="E48" s="248">
        <f t="shared" ref="E48:E68" si="16">C48*D48</f>
        <v>0</v>
      </c>
    </row>
    <row r="49" spans="2:5">
      <c r="B49" s="279" t="s">
        <v>2</v>
      </c>
      <c r="C49" s="245">
        <f>L38</f>
        <v>310.60000000000002</v>
      </c>
      <c r="D49" s="246">
        <v>145.88</v>
      </c>
      <c r="E49" s="248">
        <f t="shared" si="16"/>
        <v>45310.328000000001</v>
      </c>
    </row>
    <row r="50" spans="2:5">
      <c r="B50" s="279" t="s">
        <v>74</v>
      </c>
      <c r="C50" s="249">
        <f>M38</f>
        <v>143.37</v>
      </c>
      <c r="D50" s="246">
        <v>27.66</v>
      </c>
      <c r="E50" s="248">
        <f t="shared" si="16"/>
        <v>3965.6142</v>
      </c>
    </row>
    <row r="51" spans="2:5">
      <c r="B51" s="279" t="s">
        <v>3</v>
      </c>
      <c r="C51" s="245">
        <f>N38</f>
        <v>59</v>
      </c>
      <c r="D51" s="246">
        <v>26.25</v>
      </c>
      <c r="E51" s="248">
        <f t="shared" si="16"/>
        <v>1548.75</v>
      </c>
    </row>
    <row r="52" spans="2:5">
      <c r="B52" s="279" t="s">
        <v>75</v>
      </c>
      <c r="C52" s="245">
        <f>AB38</f>
        <v>0</v>
      </c>
      <c r="D52" s="246">
        <v>20.62</v>
      </c>
      <c r="E52" s="248">
        <f t="shared" si="16"/>
        <v>0</v>
      </c>
    </row>
    <row r="53" spans="2:5">
      <c r="B53" s="279" t="s">
        <v>76</v>
      </c>
      <c r="C53" s="245"/>
      <c r="D53" s="246">
        <v>171.74107142857142</v>
      </c>
      <c r="E53" s="248">
        <f t="shared" si="16"/>
        <v>0</v>
      </c>
    </row>
    <row r="54" spans="2:5">
      <c r="B54" s="279" t="s">
        <v>77</v>
      </c>
      <c r="C54" s="245"/>
      <c r="D54" s="246">
        <v>176.78571428571428</v>
      </c>
      <c r="E54" s="248">
        <f t="shared" si="16"/>
        <v>0</v>
      </c>
    </row>
    <row r="55" spans="2:5">
      <c r="B55" s="279" t="s">
        <v>78</v>
      </c>
      <c r="C55" s="245"/>
      <c r="D55" s="246">
        <v>180.35714285714283</v>
      </c>
      <c r="E55" s="248">
        <f t="shared" si="16"/>
        <v>0</v>
      </c>
    </row>
    <row r="56" spans="2:5">
      <c r="B56" s="279" t="s">
        <v>68</v>
      </c>
      <c r="C56" s="245"/>
      <c r="D56" s="246">
        <v>207</v>
      </c>
      <c r="E56" s="248">
        <f t="shared" si="16"/>
        <v>0</v>
      </c>
    </row>
    <row r="57" spans="2:5">
      <c r="B57" s="279" t="s">
        <v>79</v>
      </c>
      <c r="C57" s="246"/>
      <c r="D57" s="246">
        <v>331</v>
      </c>
      <c r="E57" s="248">
        <f t="shared" si="16"/>
        <v>0</v>
      </c>
    </row>
    <row r="58" spans="2:5">
      <c r="B58" s="279" t="s">
        <v>80</v>
      </c>
      <c r="C58" s="245">
        <f>U38</f>
        <v>487</v>
      </c>
      <c r="D58" s="246">
        <v>189.38</v>
      </c>
      <c r="E58" s="248">
        <f t="shared" si="16"/>
        <v>92228.06</v>
      </c>
    </row>
    <row r="59" spans="2:5">
      <c r="B59" s="279" t="s">
        <v>81</v>
      </c>
      <c r="C59" s="245"/>
      <c r="D59" s="246">
        <v>195</v>
      </c>
      <c r="E59" s="248">
        <f t="shared" si="16"/>
        <v>0</v>
      </c>
    </row>
    <row r="60" spans="2:5">
      <c r="B60" s="279" t="s">
        <v>82</v>
      </c>
      <c r="C60" s="245">
        <f>Q38</f>
        <v>0</v>
      </c>
      <c r="D60" s="246">
        <v>195</v>
      </c>
      <c r="E60" s="248">
        <f t="shared" si="16"/>
        <v>0</v>
      </c>
    </row>
    <row r="61" spans="2:5">
      <c r="B61" s="279" t="s">
        <v>55</v>
      </c>
      <c r="C61" s="246"/>
      <c r="D61" s="246">
        <v>359.83</v>
      </c>
      <c r="E61" s="248">
        <f t="shared" si="16"/>
        <v>0</v>
      </c>
    </row>
    <row r="62" spans="2:5">
      <c r="B62" s="279" t="s">
        <v>56</v>
      </c>
      <c r="C62" s="246"/>
      <c r="D62" s="246">
        <v>379.46</v>
      </c>
      <c r="E62" s="248">
        <f t="shared" si="16"/>
        <v>0</v>
      </c>
    </row>
    <row r="63" spans="2:5">
      <c r="B63" s="279" t="s">
        <v>83</v>
      </c>
      <c r="C63" s="245">
        <f>X38</f>
        <v>227</v>
      </c>
      <c r="D63" s="246">
        <v>35.15</v>
      </c>
      <c r="E63" s="248">
        <f t="shared" si="16"/>
        <v>7979.0499999999993</v>
      </c>
    </row>
    <row r="64" spans="2:5">
      <c r="B64" s="279" t="s">
        <v>84</v>
      </c>
      <c r="C64" s="245">
        <f>Y38</f>
        <v>0</v>
      </c>
      <c r="D64" s="246">
        <v>35.893000000000001</v>
      </c>
      <c r="E64" s="248">
        <f t="shared" si="16"/>
        <v>0</v>
      </c>
    </row>
    <row r="65" spans="2:5">
      <c r="B65" s="279" t="s">
        <v>95</v>
      </c>
      <c r="C65" s="245" t="e">
        <f>#REF!</f>
        <v>#REF!</v>
      </c>
      <c r="D65" s="246">
        <v>37.5</v>
      </c>
      <c r="E65" s="248" t="e">
        <f t="shared" si="16"/>
        <v>#REF!</v>
      </c>
    </row>
    <row r="66" spans="2:5">
      <c r="B66" s="279" t="s">
        <v>85</v>
      </c>
      <c r="C66" s="246">
        <f>AA38</f>
        <v>0</v>
      </c>
      <c r="D66" s="246">
        <v>81.900000000000006</v>
      </c>
      <c r="E66" s="248">
        <f t="shared" si="16"/>
        <v>0</v>
      </c>
    </row>
    <row r="67" spans="2:5">
      <c r="B67" s="279" t="s">
        <v>20</v>
      </c>
      <c r="C67" s="245">
        <f>AD38</f>
        <v>30</v>
      </c>
      <c r="D67" s="246">
        <v>7.5</v>
      </c>
      <c r="E67" s="248">
        <f t="shared" si="16"/>
        <v>225</v>
      </c>
    </row>
    <row r="68" spans="2:5">
      <c r="B68" s="279" t="s">
        <v>7</v>
      </c>
      <c r="C68" s="245">
        <f>AC38</f>
        <v>0</v>
      </c>
      <c r="D68" s="246">
        <v>267.18</v>
      </c>
      <c r="E68" s="248">
        <f t="shared" si="16"/>
        <v>0</v>
      </c>
    </row>
    <row r="69" spans="2:5">
      <c r="B69" s="279" t="s">
        <v>88</v>
      </c>
      <c r="C69" s="245" t="e">
        <f>SUM(C46:C68)</f>
        <v>#REF!</v>
      </c>
      <c r="D69" s="246"/>
      <c r="E69" s="245" t="e">
        <f>SUM(E46:E68)</f>
        <v>#REF!</v>
      </c>
    </row>
  </sheetData>
  <mergeCells count="25">
    <mergeCell ref="X4:AA4"/>
    <mergeCell ref="A2:B2"/>
    <mergeCell ref="C2:E2"/>
    <mergeCell ref="A4:A6"/>
    <mergeCell ref="B4:B6"/>
    <mergeCell ref="C4:C6"/>
    <mergeCell ref="E4:E6"/>
    <mergeCell ref="L4:L5"/>
    <mergeCell ref="M4:M5"/>
    <mergeCell ref="N4:N5"/>
    <mergeCell ref="O4:P4"/>
    <mergeCell ref="R4:S4"/>
    <mergeCell ref="D4:D6"/>
    <mergeCell ref="AN4:AO5"/>
    <mergeCell ref="AP4:AQ5"/>
    <mergeCell ref="AR4:AS5"/>
    <mergeCell ref="AB4:AB5"/>
    <mergeCell ref="AC4:AC5"/>
    <mergeCell ref="AD4:AD5"/>
    <mergeCell ref="AH4:AI5"/>
    <mergeCell ref="AJ4:AK5"/>
    <mergeCell ref="AL4:AM5"/>
    <mergeCell ref="AE4:AE6"/>
    <mergeCell ref="AF4:AF6"/>
    <mergeCell ref="AG4:AG6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3"/>
  <sheetViews>
    <sheetView zoomScale="85" zoomScaleNormal="85" workbookViewId="0">
      <pane xSplit="5" ySplit="5" topLeftCell="F12" activePane="bottomRight" state="frozen"/>
      <selection activeCell="AD26" sqref="AD26"/>
      <selection pane="topRight" activeCell="AD26" sqref="AD26"/>
      <selection pane="bottomLeft" activeCell="AD26" sqref="AD26"/>
      <selection pane="bottomRight" activeCell="AB12" sqref="AB12"/>
    </sheetView>
  </sheetViews>
  <sheetFormatPr defaultColWidth="9.140625" defaultRowHeight="18"/>
  <cols>
    <col min="1" max="1" width="11" style="7" bestFit="1" customWidth="1"/>
    <col min="2" max="3" width="21.140625" style="6" customWidth="1"/>
    <col min="4" max="4" width="10.42578125" style="6" customWidth="1"/>
    <col min="5" max="5" width="28.5703125" style="3" customWidth="1"/>
    <col min="6" max="8" width="12.140625" style="1" hidden="1" customWidth="1"/>
    <col min="9" max="9" width="12.140625" style="1" customWidth="1"/>
    <col min="10" max="10" width="12.140625" style="1" hidden="1" customWidth="1"/>
    <col min="11" max="12" width="12.140625" style="1" customWidth="1"/>
    <col min="13" max="14" width="11.140625" style="1" customWidth="1"/>
    <col min="15" max="15" width="15.85546875" style="1" hidden="1" customWidth="1"/>
    <col min="16" max="16" width="8.7109375" style="1" hidden="1" customWidth="1"/>
    <col min="17" max="17" width="11.140625" style="1" customWidth="1"/>
    <col min="18" max="18" width="12.140625" style="1" customWidth="1"/>
    <col min="19" max="19" width="8.7109375" style="1" hidden="1" customWidth="1"/>
    <col min="20" max="20" width="10.42578125" style="1" hidden="1" customWidth="1"/>
    <col min="21" max="21" width="10.42578125" style="1" customWidth="1"/>
    <col min="22" max="23" width="11.140625" style="1" hidden="1" customWidth="1"/>
    <col min="24" max="24" width="11" style="1" customWidth="1"/>
    <col min="25" max="25" width="11.140625" style="1" customWidth="1"/>
    <col min="26" max="27" width="8.5703125" style="1" hidden="1" customWidth="1"/>
    <col min="28" max="28" width="11.140625" style="1" customWidth="1"/>
    <col min="29" max="29" width="9.140625" style="1" customWidth="1"/>
    <col min="30" max="31" width="11.140625" style="1" customWidth="1"/>
    <col min="32" max="43" width="11.28515625" style="1" customWidth="1"/>
    <col min="44" max="44" width="32.7109375" style="1" bestFit="1" customWidth="1"/>
    <col min="45" max="46" width="10.5703125" style="1" bestFit="1" customWidth="1"/>
    <col min="47" max="47" width="9.140625" style="1"/>
    <col min="48" max="48" width="9.5703125" style="1" bestFit="1" customWidth="1"/>
    <col min="49" max="16384" width="9.140625" style="1"/>
  </cols>
  <sheetData>
    <row r="1" spans="1:48" s="4" customFormat="1" ht="41.25" customHeight="1">
      <c r="A1" s="359" t="s">
        <v>24</v>
      </c>
      <c r="B1" s="359"/>
      <c r="C1" s="360">
        <f>TOTAL!D3</f>
        <v>46153</v>
      </c>
      <c r="D1" s="360"/>
      <c r="E1" s="360"/>
      <c r="F1" s="96"/>
      <c r="G1" s="96"/>
      <c r="H1" s="96"/>
      <c r="I1" s="96"/>
      <c r="J1" s="96"/>
      <c r="K1" s="96"/>
      <c r="N1" s="364" t="s">
        <v>119</v>
      </c>
      <c r="O1" s="364"/>
      <c r="P1" s="364"/>
      <c r="Q1" s="364"/>
      <c r="R1" s="364"/>
    </row>
    <row r="2" spans="1:48" s="4" customFormat="1" ht="12.75" customHeight="1">
      <c r="A2" s="266"/>
      <c r="B2" s="266"/>
      <c r="C2" s="121"/>
      <c r="D2" s="121"/>
      <c r="E2" s="121"/>
      <c r="F2" s="8"/>
      <c r="G2" s="8"/>
      <c r="H2" s="8"/>
      <c r="I2" s="8"/>
      <c r="J2" s="8"/>
      <c r="K2" s="8"/>
      <c r="O2" s="267"/>
      <c r="P2" s="267"/>
    </row>
    <row r="3" spans="1:48" s="2" customFormat="1" ht="31.5" customHeight="1">
      <c r="A3" s="334" t="s">
        <v>12</v>
      </c>
      <c r="B3" s="334" t="s">
        <v>13</v>
      </c>
      <c r="C3" s="334" t="s">
        <v>57</v>
      </c>
      <c r="D3" s="337" t="s">
        <v>101</v>
      </c>
      <c r="E3" s="323" t="s">
        <v>0</v>
      </c>
      <c r="F3" s="263" t="s">
        <v>21</v>
      </c>
      <c r="G3" s="265" t="s">
        <v>14</v>
      </c>
      <c r="H3" s="265" t="s">
        <v>71</v>
      </c>
      <c r="I3" s="265" t="s">
        <v>117</v>
      </c>
      <c r="J3" s="264" t="s">
        <v>14</v>
      </c>
      <c r="K3" s="264" t="s">
        <v>14</v>
      </c>
      <c r="L3" s="326" t="s">
        <v>2</v>
      </c>
      <c r="M3" s="327" t="s">
        <v>22</v>
      </c>
      <c r="N3" s="326" t="s">
        <v>3</v>
      </c>
      <c r="O3" s="320" t="s">
        <v>4</v>
      </c>
      <c r="P3" s="321"/>
      <c r="Q3" s="265" t="s">
        <v>5</v>
      </c>
      <c r="R3" s="320" t="s">
        <v>17</v>
      </c>
      <c r="S3" s="321"/>
      <c r="T3" s="262" t="s">
        <v>5</v>
      </c>
      <c r="U3" s="265" t="s">
        <v>5</v>
      </c>
      <c r="V3" s="265" t="s">
        <v>68</v>
      </c>
      <c r="W3" s="265" t="s">
        <v>56</v>
      </c>
      <c r="X3" s="356" t="s">
        <v>6</v>
      </c>
      <c r="Y3" s="356"/>
      <c r="Z3" s="356"/>
      <c r="AA3" s="356"/>
      <c r="AB3" s="327" t="s">
        <v>19</v>
      </c>
      <c r="AC3" s="327" t="s">
        <v>7</v>
      </c>
      <c r="AD3" s="327" t="s">
        <v>20</v>
      </c>
      <c r="AE3" s="162"/>
      <c r="AF3" s="361" t="s">
        <v>28</v>
      </c>
      <c r="AG3" s="361"/>
      <c r="AH3" s="310" t="s">
        <v>29</v>
      </c>
      <c r="AI3" s="311"/>
      <c r="AJ3" s="310" t="s">
        <v>25</v>
      </c>
      <c r="AK3" s="311"/>
      <c r="AL3" s="310" t="s">
        <v>26</v>
      </c>
      <c r="AM3" s="311"/>
      <c r="AN3" s="310" t="s">
        <v>27</v>
      </c>
      <c r="AO3" s="311"/>
      <c r="AP3" s="310" t="s">
        <v>41</v>
      </c>
      <c r="AQ3" s="311"/>
      <c r="AR3" s="50"/>
    </row>
    <row r="4" spans="1:48" s="2" customFormat="1" ht="21" customHeight="1">
      <c r="A4" s="335"/>
      <c r="B4" s="335"/>
      <c r="C4" s="335"/>
      <c r="D4" s="338"/>
      <c r="E4" s="324"/>
      <c r="F4" s="264">
        <v>208</v>
      </c>
      <c r="G4" s="264">
        <v>38</v>
      </c>
      <c r="H4" s="264">
        <v>200</v>
      </c>
      <c r="I4" s="264">
        <v>200</v>
      </c>
      <c r="J4" s="264">
        <v>135</v>
      </c>
      <c r="K4" s="264">
        <v>215</v>
      </c>
      <c r="L4" s="326"/>
      <c r="M4" s="328"/>
      <c r="N4" s="326"/>
      <c r="O4" s="263">
        <v>2.4</v>
      </c>
      <c r="P4" s="263">
        <v>3.6</v>
      </c>
      <c r="Q4" s="263">
        <v>3.6</v>
      </c>
      <c r="R4" s="265">
        <v>2.4</v>
      </c>
      <c r="S4" s="265">
        <v>3.6</v>
      </c>
      <c r="T4" s="265">
        <v>4.9000000000000004</v>
      </c>
      <c r="U4" s="263">
        <v>2.4</v>
      </c>
      <c r="V4" s="263">
        <v>2.4</v>
      </c>
      <c r="W4" s="263"/>
      <c r="X4" s="264">
        <v>5</v>
      </c>
      <c r="Y4" s="264">
        <v>10</v>
      </c>
      <c r="Z4" s="264">
        <v>6</v>
      </c>
      <c r="AA4" s="264">
        <v>40</v>
      </c>
      <c r="AB4" s="328"/>
      <c r="AC4" s="328"/>
      <c r="AD4" s="328"/>
      <c r="AE4" s="162"/>
      <c r="AF4" s="361"/>
      <c r="AG4" s="361"/>
      <c r="AH4" s="312"/>
      <c r="AI4" s="313"/>
      <c r="AJ4" s="312"/>
      <c r="AK4" s="313"/>
      <c r="AL4" s="312"/>
      <c r="AM4" s="313"/>
      <c r="AN4" s="312"/>
      <c r="AO4" s="313"/>
      <c r="AP4" s="312"/>
      <c r="AQ4" s="313"/>
      <c r="AR4" s="50"/>
    </row>
    <row r="5" spans="1:48" s="2" customFormat="1" ht="24" customHeight="1">
      <c r="A5" s="336"/>
      <c r="B5" s="336"/>
      <c r="C5" s="336"/>
      <c r="D5" s="339"/>
      <c r="E5" s="325"/>
      <c r="F5" s="264" t="s">
        <v>8</v>
      </c>
      <c r="G5" s="264" t="s">
        <v>8</v>
      </c>
      <c r="H5" s="264" t="s">
        <v>8</v>
      </c>
      <c r="I5" s="264" t="s">
        <v>8</v>
      </c>
      <c r="J5" s="264" t="s">
        <v>8</v>
      </c>
      <c r="K5" s="264" t="s">
        <v>8</v>
      </c>
      <c r="L5" s="264" t="s">
        <v>9</v>
      </c>
      <c r="M5" s="264" t="s">
        <v>23</v>
      </c>
      <c r="N5" s="264" t="s">
        <v>8</v>
      </c>
      <c r="O5" s="264" t="s">
        <v>8</v>
      </c>
      <c r="P5" s="264" t="s">
        <v>8</v>
      </c>
      <c r="Q5" s="264" t="s">
        <v>8</v>
      </c>
      <c r="R5" s="264" t="s">
        <v>8</v>
      </c>
      <c r="S5" s="264" t="s">
        <v>8</v>
      </c>
      <c r="T5" s="264" t="s">
        <v>8</v>
      </c>
      <c r="U5" s="264" t="s">
        <v>8</v>
      </c>
      <c r="V5" s="264" t="s">
        <v>8</v>
      </c>
      <c r="W5" s="264" t="s">
        <v>8</v>
      </c>
      <c r="X5" s="264" t="s">
        <v>10</v>
      </c>
      <c r="Y5" s="264" t="s">
        <v>10</v>
      </c>
      <c r="Z5" s="264" t="s">
        <v>10</v>
      </c>
      <c r="AA5" s="264" t="s">
        <v>10</v>
      </c>
      <c r="AB5" s="264" t="s">
        <v>8</v>
      </c>
      <c r="AC5" s="264" t="s">
        <v>8</v>
      </c>
      <c r="AD5" s="264" t="s">
        <v>8</v>
      </c>
      <c r="AE5" s="163"/>
      <c r="AF5" s="131" t="s">
        <v>30</v>
      </c>
      <c r="AG5" s="131" t="s">
        <v>31</v>
      </c>
      <c r="AH5" s="131" t="s">
        <v>30</v>
      </c>
      <c r="AI5" s="131" t="s">
        <v>31</v>
      </c>
      <c r="AJ5" s="131" t="s">
        <v>30</v>
      </c>
      <c r="AK5" s="131" t="s">
        <v>31</v>
      </c>
      <c r="AL5" s="131" t="s">
        <v>30</v>
      </c>
      <c r="AM5" s="131" t="s">
        <v>31</v>
      </c>
      <c r="AN5" s="131" t="s">
        <v>30</v>
      </c>
      <c r="AO5" s="131" t="s">
        <v>31</v>
      </c>
      <c r="AP5" s="131" t="s">
        <v>30</v>
      </c>
      <c r="AQ5" s="131" t="s">
        <v>31</v>
      </c>
      <c r="AR5" s="50"/>
    </row>
    <row r="6" spans="1:48" s="28" customFormat="1" ht="30" customHeight="1">
      <c r="A6" s="25">
        <v>1</v>
      </c>
      <c r="B6" s="26" t="s">
        <v>118</v>
      </c>
      <c r="C6" s="26"/>
      <c r="D6" s="26"/>
      <c r="E6" s="27"/>
      <c r="F6" s="20"/>
      <c r="G6" s="20"/>
      <c r="H6" s="20"/>
      <c r="I6" s="20"/>
      <c r="J6" s="20"/>
      <c r="K6" s="20"/>
      <c r="L6" s="20"/>
      <c r="M6" s="21">
        <f t="shared" ref="M6:M7" si="0">N6*2.43</f>
        <v>0</v>
      </c>
      <c r="N6" s="20"/>
      <c r="O6" s="67"/>
      <c r="P6" s="67"/>
      <c r="Q6" s="67"/>
      <c r="R6" s="67"/>
      <c r="S6" s="67"/>
      <c r="T6" s="67"/>
      <c r="U6" s="67"/>
      <c r="V6" s="67"/>
      <c r="W6" s="67"/>
      <c r="X6" s="20"/>
      <c r="Y6" s="20"/>
      <c r="Z6" s="20"/>
      <c r="AA6" s="20"/>
      <c r="AB6" s="20"/>
      <c r="AC6" s="20"/>
      <c r="AD6" s="20"/>
      <c r="AE6" s="220">
        <f t="shared" ref="AE6:AE7" si="1">O6+P6+Q6+R6+S6+T6+U6+V6</f>
        <v>0</v>
      </c>
      <c r="AF6" s="196"/>
      <c r="AG6" s="212"/>
      <c r="AH6" s="213"/>
      <c r="AI6" s="212"/>
      <c r="AJ6" s="214"/>
      <c r="AK6" s="212"/>
      <c r="AL6" s="215"/>
      <c r="AM6" s="212"/>
      <c r="AN6" s="216"/>
      <c r="AO6" s="212"/>
      <c r="AP6" s="217"/>
      <c r="AQ6" s="212"/>
      <c r="AV6" s="268">
        <f>COUNTIFS(AE6,"&gt;=11")</f>
        <v>0</v>
      </c>
    </row>
    <row r="7" spans="1:48" s="28" customFormat="1" ht="30" customHeight="1">
      <c r="A7" s="25">
        <v>1</v>
      </c>
      <c r="B7" s="26"/>
      <c r="C7" s="26"/>
      <c r="D7" s="26"/>
      <c r="E7" s="27"/>
      <c r="F7" s="20"/>
      <c r="G7" s="20"/>
      <c r="H7" s="20"/>
      <c r="I7" s="20"/>
      <c r="J7" s="20"/>
      <c r="K7" s="20"/>
      <c r="L7" s="20"/>
      <c r="M7" s="21">
        <f t="shared" si="0"/>
        <v>0</v>
      </c>
      <c r="N7" s="20"/>
      <c r="O7" s="67"/>
      <c r="P7" s="67"/>
      <c r="Q7" s="67"/>
      <c r="R7" s="67"/>
      <c r="S7" s="67"/>
      <c r="T7" s="67"/>
      <c r="U7" s="67"/>
      <c r="V7" s="67"/>
      <c r="W7" s="67"/>
      <c r="X7" s="20"/>
      <c r="Y7" s="20"/>
      <c r="Z7" s="20"/>
      <c r="AA7" s="20"/>
      <c r="AB7" s="20"/>
      <c r="AC7" s="20"/>
      <c r="AD7" s="20"/>
      <c r="AE7" s="220">
        <f t="shared" si="1"/>
        <v>0</v>
      </c>
      <c r="AF7" s="196"/>
      <c r="AG7" s="212"/>
      <c r="AH7" s="213"/>
      <c r="AI7" s="212"/>
      <c r="AJ7" s="214"/>
      <c r="AK7" s="212"/>
      <c r="AL7" s="215"/>
      <c r="AM7" s="212"/>
      <c r="AN7" s="216"/>
      <c r="AO7" s="212"/>
      <c r="AP7" s="217"/>
      <c r="AQ7" s="212"/>
      <c r="AV7" s="268">
        <f t="shared" ref="AV7:AV20" si="2">COUNTIFS(AE7,"&gt;=11")</f>
        <v>0</v>
      </c>
    </row>
    <row r="8" spans="1:48" s="28" customFormat="1" ht="30" customHeight="1">
      <c r="A8" s="25">
        <v>1</v>
      </c>
      <c r="B8" s="26"/>
      <c r="C8" s="26"/>
      <c r="D8" s="26"/>
      <c r="E8" s="27"/>
      <c r="F8" s="20"/>
      <c r="G8" s="20"/>
      <c r="H8" s="20"/>
      <c r="I8" s="20"/>
      <c r="J8" s="20"/>
      <c r="K8" s="20"/>
      <c r="L8" s="20"/>
      <c r="M8" s="21">
        <f>N8*2.43</f>
        <v>0</v>
      </c>
      <c r="N8" s="20"/>
      <c r="O8" s="67"/>
      <c r="P8" s="67"/>
      <c r="Q8" s="67"/>
      <c r="R8" s="67"/>
      <c r="S8" s="67"/>
      <c r="T8" s="67"/>
      <c r="U8" s="67"/>
      <c r="V8" s="67"/>
      <c r="W8" s="67"/>
      <c r="X8" s="20"/>
      <c r="Y8" s="20"/>
      <c r="Z8" s="20"/>
      <c r="AA8" s="20"/>
      <c r="AB8" s="20"/>
      <c r="AC8" s="20"/>
      <c r="AD8" s="20"/>
      <c r="AE8" s="220">
        <f>O8+P8+Q8+R8+S8+T8+U8+V8</f>
        <v>0</v>
      </c>
      <c r="AF8" s="196"/>
      <c r="AG8" s="212"/>
      <c r="AH8" s="213"/>
      <c r="AI8" s="212"/>
      <c r="AJ8" s="214"/>
      <c r="AK8" s="212"/>
      <c r="AL8" s="215"/>
      <c r="AM8" s="212"/>
      <c r="AN8" s="216"/>
      <c r="AO8" s="212"/>
      <c r="AP8" s="217"/>
      <c r="AQ8" s="212"/>
      <c r="AV8" s="268">
        <f t="shared" si="2"/>
        <v>0</v>
      </c>
    </row>
    <row r="9" spans="1:48" s="28" customFormat="1" ht="37.5" customHeight="1">
      <c r="A9" s="29" t="s">
        <v>11</v>
      </c>
      <c r="B9" s="30"/>
      <c r="C9" s="30"/>
      <c r="D9" s="30"/>
      <c r="E9" s="30"/>
      <c r="F9" s="24">
        <f t="shared" ref="F9:AD9" si="3">SUM(F6:F8)</f>
        <v>0</v>
      </c>
      <c r="G9" s="24">
        <f t="shared" si="3"/>
        <v>0</v>
      </c>
      <c r="H9" s="24">
        <f t="shared" si="3"/>
        <v>0</v>
      </c>
      <c r="I9" s="24">
        <f t="shared" si="3"/>
        <v>0</v>
      </c>
      <c r="J9" s="24">
        <f t="shared" si="3"/>
        <v>0</v>
      </c>
      <c r="K9" s="24">
        <f t="shared" si="3"/>
        <v>0</v>
      </c>
      <c r="L9" s="24">
        <f t="shared" si="3"/>
        <v>0</v>
      </c>
      <c r="M9" s="24">
        <f t="shared" si="3"/>
        <v>0</v>
      </c>
      <c r="N9" s="24">
        <f t="shared" si="3"/>
        <v>0</v>
      </c>
      <c r="O9" s="24">
        <f t="shared" si="3"/>
        <v>0</v>
      </c>
      <c r="P9" s="24">
        <f t="shared" si="3"/>
        <v>0</v>
      </c>
      <c r="Q9" s="24">
        <f t="shared" si="3"/>
        <v>0</v>
      </c>
      <c r="R9" s="24">
        <f t="shared" si="3"/>
        <v>0</v>
      </c>
      <c r="S9" s="24">
        <f t="shared" si="3"/>
        <v>0</v>
      </c>
      <c r="T9" s="24">
        <f t="shared" si="3"/>
        <v>0</v>
      </c>
      <c r="U9" s="24">
        <f t="shared" si="3"/>
        <v>0</v>
      </c>
      <c r="V9" s="24">
        <f t="shared" si="3"/>
        <v>0</v>
      </c>
      <c r="W9" s="24">
        <f t="shared" si="3"/>
        <v>0</v>
      </c>
      <c r="X9" s="24">
        <f t="shared" si="3"/>
        <v>0</v>
      </c>
      <c r="Y9" s="24">
        <f t="shared" si="3"/>
        <v>0</v>
      </c>
      <c r="Z9" s="24">
        <f t="shared" si="3"/>
        <v>0</v>
      </c>
      <c r="AA9" s="24">
        <f t="shared" si="3"/>
        <v>0</v>
      </c>
      <c r="AB9" s="24">
        <f t="shared" si="3"/>
        <v>0</v>
      </c>
      <c r="AC9" s="24">
        <f t="shared" si="3"/>
        <v>0</v>
      </c>
      <c r="AD9" s="24">
        <f t="shared" si="3"/>
        <v>0</v>
      </c>
      <c r="AE9" s="141"/>
      <c r="AF9" s="30">
        <f t="shared" ref="AF9:AQ9" si="4">SUM(AF6:AF8)</f>
        <v>0</v>
      </c>
      <c r="AG9" s="30">
        <f t="shared" si="4"/>
        <v>0</v>
      </c>
      <c r="AH9" s="30">
        <f t="shared" si="4"/>
        <v>0</v>
      </c>
      <c r="AI9" s="30">
        <f t="shared" si="4"/>
        <v>0</v>
      </c>
      <c r="AJ9" s="30">
        <f t="shared" si="4"/>
        <v>0</v>
      </c>
      <c r="AK9" s="30">
        <f t="shared" si="4"/>
        <v>0</v>
      </c>
      <c r="AL9" s="30">
        <f t="shared" si="4"/>
        <v>0</v>
      </c>
      <c r="AM9" s="30">
        <f t="shared" si="4"/>
        <v>0</v>
      </c>
      <c r="AN9" s="30">
        <f t="shared" si="4"/>
        <v>0</v>
      </c>
      <c r="AO9" s="30">
        <f t="shared" si="4"/>
        <v>0</v>
      </c>
      <c r="AP9" s="30">
        <f t="shared" si="4"/>
        <v>0</v>
      </c>
      <c r="AQ9" s="30">
        <f t="shared" si="4"/>
        <v>0</v>
      </c>
      <c r="AV9" s="268">
        <f t="shared" si="2"/>
        <v>0</v>
      </c>
    </row>
    <row r="10" spans="1:48" s="28" customFormat="1" ht="29.25" customHeight="1">
      <c r="A10" s="25">
        <v>2</v>
      </c>
      <c r="B10" s="26" t="s">
        <v>190</v>
      </c>
      <c r="C10" s="26" t="s">
        <v>213</v>
      </c>
      <c r="D10" s="26">
        <v>5</v>
      </c>
      <c r="E10" s="27" t="s">
        <v>212</v>
      </c>
      <c r="F10" s="20"/>
      <c r="G10" s="20"/>
      <c r="H10" s="20"/>
      <c r="I10" s="20">
        <v>87</v>
      </c>
      <c r="J10" s="20"/>
      <c r="K10" s="20"/>
      <c r="L10" s="20">
        <v>12</v>
      </c>
      <c r="M10" s="21">
        <v>4.8600000000000003</v>
      </c>
      <c r="N10" s="20">
        <v>2</v>
      </c>
      <c r="O10" s="67"/>
      <c r="P10" s="67"/>
      <c r="Q10" s="67"/>
      <c r="R10" s="67"/>
      <c r="S10" s="67"/>
      <c r="T10" s="67"/>
      <c r="U10" s="67">
        <v>27</v>
      </c>
      <c r="V10" s="67"/>
      <c r="W10" s="67"/>
      <c r="X10" s="20">
        <v>9</v>
      </c>
      <c r="Y10" s="20"/>
      <c r="Z10" s="20"/>
      <c r="AA10" s="20"/>
      <c r="AB10" s="20"/>
      <c r="AC10" s="20"/>
      <c r="AD10" s="20"/>
      <c r="AE10" s="220">
        <f t="shared" ref="AE10:AE16" si="5">O10+P10+Q10+R10+S10+T10+U10+V10</f>
        <v>27</v>
      </c>
      <c r="AF10" s="196"/>
      <c r="AG10" s="212"/>
      <c r="AH10" s="213"/>
      <c r="AI10" s="212"/>
      <c r="AJ10" s="214"/>
      <c r="AK10" s="212"/>
      <c r="AL10" s="215"/>
      <c r="AM10" s="212"/>
      <c r="AN10" s="216"/>
      <c r="AO10" s="212"/>
      <c r="AP10" s="217"/>
      <c r="AQ10" s="212"/>
      <c r="AV10" s="268">
        <f t="shared" si="2"/>
        <v>1</v>
      </c>
    </row>
    <row r="11" spans="1:48" s="28" customFormat="1" ht="29.25" customHeight="1">
      <c r="A11" s="25">
        <v>2</v>
      </c>
      <c r="B11" s="26" t="s">
        <v>215</v>
      </c>
      <c r="C11" s="26" t="s">
        <v>213</v>
      </c>
      <c r="D11" s="26">
        <v>3</v>
      </c>
      <c r="E11" s="27" t="s">
        <v>214</v>
      </c>
      <c r="F11" s="20"/>
      <c r="G11" s="20"/>
      <c r="H11" s="20"/>
      <c r="I11" s="20">
        <v>112</v>
      </c>
      <c r="J11" s="20"/>
      <c r="K11" s="20"/>
      <c r="L11" s="20"/>
      <c r="M11" s="21">
        <v>4.8600000000000003</v>
      </c>
      <c r="N11" s="20">
        <v>2</v>
      </c>
      <c r="O11" s="67"/>
      <c r="P11" s="67"/>
      <c r="Q11" s="67"/>
      <c r="R11" s="67"/>
      <c r="S11" s="67"/>
      <c r="T11" s="67"/>
      <c r="U11" s="67">
        <v>28</v>
      </c>
      <c r="V11" s="67"/>
      <c r="W11" s="67"/>
      <c r="X11" s="20">
        <v>9</v>
      </c>
      <c r="Y11" s="20"/>
      <c r="Z11" s="20"/>
      <c r="AA11" s="20"/>
      <c r="AB11" s="20"/>
      <c r="AC11" s="20"/>
      <c r="AD11" s="20"/>
      <c r="AE11" s="220">
        <f t="shared" si="5"/>
        <v>28</v>
      </c>
      <c r="AF11" s="196"/>
      <c r="AG11" s="212"/>
      <c r="AH11" s="213"/>
      <c r="AI11" s="212"/>
      <c r="AJ11" s="214"/>
      <c r="AK11" s="212"/>
      <c r="AL11" s="215"/>
      <c r="AM11" s="212"/>
      <c r="AN11" s="216"/>
      <c r="AO11" s="212"/>
      <c r="AP11" s="217"/>
      <c r="AQ11" s="212"/>
      <c r="AV11" s="268">
        <f t="shared" si="2"/>
        <v>1</v>
      </c>
    </row>
    <row r="12" spans="1:48" s="28" customFormat="1" ht="29.25" customHeight="1">
      <c r="A12" s="25">
        <v>2</v>
      </c>
      <c r="B12" s="26" t="s">
        <v>190</v>
      </c>
      <c r="C12" s="26" t="s">
        <v>213</v>
      </c>
      <c r="D12" s="26">
        <v>5</v>
      </c>
      <c r="E12" s="27" t="s">
        <v>216</v>
      </c>
      <c r="F12" s="20"/>
      <c r="G12" s="20"/>
      <c r="H12" s="20"/>
      <c r="I12" s="20">
        <v>84</v>
      </c>
      <c r="J12" s="20"/>
      <c r="K12" s="20"/>
      <c r="L12" s="20">
        <v>9.6</v>
      </c>
      <c r="M12" s="21">
        <v>4.8600000000000003</v>
      </c>
      <c r="N12" s="20">
        <v>2</v>
      </c>
      <c r="O12" s="67"/>
      <c r="P12" s="67"/>
      <c r="Q12" s="67"/>
      <c r="R12" s="67"/>
      <c r="S12" s="67"/>
      <c r="T12" s="67"/>
      <c r="U12" s="67">
        <v>24</v>
      </c>
      <c r="V12" s="67"/>
      <c r="W12" s="67"/>
      <c r="X12" s="20">
        <v>7</v>
      </c>
      <c r="Y12" s="20"/>
      <c r="Z12" s="20"/>
      <c r="AA12" s="20"/>
      <c r="AB12" s="20"/>
      <c r="AC12" s="20"/>
      <c r="AD12" s="20"/>
      <c r="AE12" s="220">
        <f t="shared" si="5"/>
        <v>24</v>
      </c>
      <c r="AF12" s="196"/>
      <c r="AG12" s="212"/>
      <c r="AH12" s="213"/>
      <c r="AI12" s="212"/>
      <c r="AJ12" s="214"/>
      <c r="AK12" s="212"/>
      <c r="AL12" s="215"/>
      <c r="AM12" s="212"/>
      <c r="AN12" s="216"/>
      <c r="AO12" s="212"/>
      <c r="AP12" s="217"/>
      <c r="AQ12" s="212"/>
      <c r="AV12" s="268">
        <f t="shared" si="2"/>
        <v>1</v>
      </c>
    </row>
    <row r="13" spans="1:48" s="28" customFormat="1" ht="29.25" customHeight="1">
      <c r="A13" s="25">
        <v>2</v>
      </c>
      <c r="B13" s="26" t="s">
        <v>190</v>
      </c>
      <c r="C13" s="26" t="s">
        <v>213</v>
      </c>
      <c r="D13" s="26">
        <v>5</v>
      </c>
      <c r="E13" s="27" t="s">
        <v>218</v>
      </c>
      <c r="F13" s="20"/>
      <c r="G13" s="20"/>
      <c r="H13" s="20"/>
      <c r="I13" s="20">
        <v>48</v>
      </c>
      <c r="J13" s="20"/>
      <c r="K13" s="20"/>
      <c r="L13" s="20">
        <v>19.2</v>
      </c>
      <c r="M13" s="21">
        <v>4.8600000000000003</v>
      </c>
      <c r="N13" s="20">
        <v>2</v>
      </c>
      <c r="O13" s="67"/>
      <c r="P13" s="67"/>
      <c r="Q13" s="67"/>
      <c r="R13" s="67"/>
      <c r="S13" s="67"/>
      <c r="T13" s="67"/>
      <c r="U13" s="67">
        <v>28</v>
      </c>
      <c r="V13" s="67"/>
      <c r="W13" s="67"/>
      <c r="X13" s="20">
        <v>8</v>
      </c>
      <c r="Y13" s="20"/>
      <c r="Z13" s="20"/>
      <c r="AA13" s="20"/>
      <c r="AB13" s="20"/>
      <c r="AC13" s="20"/>
      <c r="AD13" s="20"/>
      <c r="AE13" s="220">
        <f t="shared" si="5"/>
        <v>28</v>
      </c>
      <c r="AF13" s="196"/>
      <c r="AG13" s="212"/>
      <c r="AH13" s="213"/>
      <c r="AI13" s="212"/>
      <c r="AJ13" s="214"/>
      <c r="AK13" s="212"/>
      <c r="AL13" s="215"/>
      <c r="AM13" s="212"/>
      <c r="AN13" s="216"/>
      <c r="AO13" s="212"/>
      <c r="AP13" s="217"/>
      <c r="AQ13" s="212"/>
      <c r="AV13" s="268">
        <f t="shared" si="2"/>
        <v>1</v>
      </c>
    </row>
    <row r="14" spans="1:48" s="28" customFormat="1" ht="29.25" customHeight="1">
      <c r="A14" s="25">
        <v>2</v>
      </c>
      <c r="B14" s="26" t="s">
        <v>190</v>
      </c>
      <c r="C14" s="26" t="s">
        <v>213</v>
      </c>
      <c r="D14" s="26">
        <v>5</v>
      </c>
      <c r="E14" s="27" t="s">
        <v>219</v>
      </c>
      <c r="F14" s="20"/>
      <c r="G14" s="20"/>
      <c r="H14" s="20"/>
      <c r="I14" s="20">
        <v>53</v>
      </c>
      <c r="J14" s="20"/>
      <c r="K14" s="20"/>
      <c r="L14" s="20">
        <v>18.399999999999999</v>
      </c>
      <c r="M14" s="21">
        <v>4.8600000000000003</v>
      </c>
      <c r="N14" s="20">
        <v>2</v>
      </c>
      <c r="O14" s="67"/>
      <c r="P14" s="67"/>
      <c r="Q14" s="67"/>
      <c r="R14" s="67"/>
      <c r="S14" s="67"/>
      <c r="T14" s="67"/>
      <c r="U14" s="67">
        <v>28</v>
      </c>
      <c r="V14" s="67"/>
      <c r="W14" s="67"/>
      <c r="X14" s="20">
        <v>9</v>
      </c>
      <c r="Y14" s="20"/>
      <c r="Z14" s="20"/>
      <c r="AA14" s="20"/>
      <c r="AB14" s="20"/>
      <c r="AC14" s="20"/>
      <c r="AD14" s="20"/>
      <c r="AE14" s="220">
        <f t="shared" si="5"/>
        <v>28</v>
      </c>
      <c r="AF14" s="196"/>
      <c r="AG14" s="212"/>
      <c r="AH14" s="213"/>
      <c r="AI14" s="212"/>
      <c r="AJ14" s="214"/>
      <c r="AK14" s="212"/>
      <c r="AL14" s="215"/>
      <c r="AM14" s="212"/>
      <c r="AN14" s="216"/>
      <c r="AO14" s="212"/>
      <c r="AP14" s="217"/>
      <c r="AQ14" s="212"/>
      <c r="AV14" s="268">
        <f t="shared" si="2"/>
        <v>1</v>
      </c>
    </row>
    <row r="15" spans="1:48" s="28" customFormat="1" ht="29.25" customHeight="1">
      <c r="A15" s="25">
        <v>2</v>
      </c>
      <c r="B15" s="26"/>
      <c r="C15" s="26"/>
      <c r="D15" s="26"/>
      <c r="E15" s="27"/>
      <c r="F15" s="20"/>
      <c r="G15" s="20"/>
      <c r="H15" s="20"/>
      <c r="I15" s="20"/>
      <c r="J15" s="20"/>
      <c r="K15" s="20"/>
      <c r="L15" s="20"/>
      <c r="M15" s="21">
        <f t="shared" ref="M15" si="6">N15*2.43</f>
        <v>0</v>
      </c>
      <c r="N15" s="20"/>
      <c r="O15" s="67"/>
      <c r="P15" s="67"/>
      <c r="Q15" s="67"/>
      <c r="R15" s="67"/>
      <c r="S15" s="67"/>
      <c r="T15" s="67"/>
      <c r="U15" s="67"/>
      <c r="V15" s="67"/>
      <c r="W15" s="67"/>
      <c r="X15" s="20"/>
      <c r="Y15" s="20"/>
      <c r="Z15" s="20"/>
      <c r="AA15" s="20"/>
      <c r="AB15" s="20"/>
      <c r="AC15" s="20"/>
      <c r="AD15" s="20"/>
      <c r="AE15" s="220">
        <f t="shared" si="5"/>
        <v>0</v>
      </c>
      <c r="AF15" s="196"/>
      <c r="AG15" s="212"/>
      <c r="AH15" s="213"/>
      <c r="AI15" s="212"/>
      <c r="AJ15" s="214"/>
      <c r="AK15" s="212"/>
      <c r="AL15" s="215"/>
      <c r="AM15" s="212"/>
      <c r="AN15" s="216"/>
      <c r="AO15" s="212"/>
      <c r="AP15" s="217"/>
      <c r="AQ15" s="212"/>
      <c r="AV15" s="268">
        <f t="shared" si="2"/>
        <v>0</v>
      </c>
    </row>
    <row r="16" spans="1:48" s="28" customFormat="1" ht="29.25" customHeight="1">
      <c r="A16" s="25">
        <v>2</v>
      </c>
      <c r="B16" s="26"/>
      <c r="C16" s="26"/>
      <c r="D16" s="26"/>
      <c r="E16" s="27"/>
      <c r="F16" s="20"/>
      <c r="G16" s="20"/>
      <c r="H16" s="20"/>
      <c r="I16" s="20"/>
      <c r="J16" s="20"/>
      <c r="K16" s="20"/>
      <c r="L16" s="20"/>
      <c r="M16" s="21">
        <f>N16*2.43</f>
        <v>0</v>
      </c>
      <c r="N16" s="20"/>
      <c r="O16" s="67"/>
      <c r="P16" s="67"/>
      <c r="Q16" s="67"/>
      <c r="R16" s="67"/>
      <c r="S16" s="67"/>
      <c r="T16" s="67"/>
      <c r="U16" s="67"/>
      <c r="V16" s="67"/>
      <c r="W16" s="67"/>
      <c r="X16" s="20"/>
      <c r="Y16" s="20"/>
      <c r="Z16" s="20"/>
      <c r="AA16" s="20"/>
      <c r="AB16" s="20"/>
      <c r="AC16" s="20"/>
      <c r="AD16" s="20"/>
      <c r="AE16" s="220">
        <f t="shared" si="5"/>
        <v>0</v>
      </c>
      <c r="AF16" s="196"/>
      <c r="AG16" s="212"/>
      <c r="AH16" s="213"/>
      <c r="AI16" s="212"/>
      <c r="AJ16" s="214"/>
      <c r="AK16" s="212"/>
      <c r="AL16" s="215"/>
      <c r="AM16" s="212"/>
      <c r="AN16" s="216"/>
      <c r="AO16" s="212"/>
      <c r="AP16" s="217"/>
      <c r="AQ16" s="212"/>
      <c r="AV16" s="268">
        <f t="shared" si="2"/>
        <v>0</v>
      </c>
    </row>
    <row r="17" spans="1:48" s="28" customFormat="1" ht="37.5" customHeight="1">
      <c r="A17" s="29" t="s">
        <v>11</v>
      </c>
      <c r="B17" s="30"/>
      <c r="C17" s="30"/>
      <c r="D17" s="30"/>
      <c r="E17" s="30"/>
      <c r="F17" s="24">
        <f>SUM(F10:F16)</f>
        <v>0</v>
      </c>
      <c r="G17" s="24">
        <f t="shared" ref="G17:AD17" si="7">SUM(G10:G16)</f>
        <v>0</v>
      </c>
      <c r="H17" s="24">
        <f t="shared" si="7"/>
        <v>0</v>
      </c>
      <c r="I17" s="24">
        <f t="shared" si="7"/>
        <v>384</v>
      </c>
      <c r="J17" s="24">
        <f t="shared" si="7"/>
        <v>0</v>
      </c>
      <c r="K17" s="24">
        <f t="shared" si="7"/>
        <v>0</v>
      </c>
      <c r="L17" s="24">
        <f t="shared" si="7"/>
        <v>59.199999999999996</v>
      </c>
      <c r="M17" s="24">
        <f t="shared" si="7"/>
        <v>24.3</v>
      </c>
      <c r="N17" s="24">
        <f t="shared" si="7"/>
        <v>10</v>
      </c>
      <c r="O17" s="24">
        <f t="shared" si="7"/>
        <v>0</v>
      </c>
      <c r="P17" s="24">
        <f t="shared" si="7"/>
        <v>0</v>
      </c>
      <c r="Q17" s="24">
        <f t="shared" si="7"/>
        <v>0</v>
      </c>
      <c r="R17" s="24">
        <f t="shared" si="7"/>
        <v>0</v>
      </c>
      <c r="S17" s="24">
        <f t="shared" si="7"/>
        <v>0</v>
      </c>
      <c r="T17" s="24">
        <f t="shared" si="7"/>
        <v>0</v>
      </c>
      <c r="U17" s="24">
        <f t="shared" si="7"/>
        <v>135</v>
      </c>
      <c r="V17" s="24">
        <f t="shared" si="7"/>
        <v>0</v>
      </c>
      <c r="W17" s="24">
        <f t="shared" si="7"/>
        <v>0</v>
      </c>
      <c r="X17" s="24">
        <f t="shared" si="7"/>
        <v>42</v>
      </c>
      <c r="Y17" s="24">
        <f t="shared" si="7"/>
        <v>0</v>
      </c>
      <c r="Z17" s="24">
        <f t="shared" si="7"/>
        <v>0</v>
      </c>
      <c r="AA17" s="24">
        <f t="shared" si="7"/>
        <v>0</v>
      </c>
      <c r="AB17" s="24">
        <f t="shared" si="7"/>
        <v>0</v>
      </c>
      <c r="AC17" s="24">
        <f t="shared" si="7"/>
        <v>0</v>
      </c>
      <c r="AD17" s="24">
        <f t="shared" si="7"/>
        <v>0</v>
      </c>
      <c r="AE17" s="141"/>
      <c r="AF17" s="30">
        <f>SUM(AF10:AF16)</f>
        <v>0</v>
      </c>
      <c r="AG17" s="30">
        <f t="shared" ref="AG17:AQ17" si="8">SUM(AG10:AG16)</f>
        <v>0</v>
      </c>
      <c r="AH17" s="30">
        <f t="shared" si="8"/>
        <v>0</v>
      </c>
      <c r="AI17" s="30">
        <f t="shared" si="8"/>
        <v>0</v>
      </c>
      <c r="AJ17" s="30">
        <f t="shared" si="8"/>
        <v>0</v>
      </c>
      <c r="AK17" s="30">
        <f t="shared" si="8"/>
        <v>0</v>
      </c>
      <c r="AL17" s="30">
        <f t="shared" si="8"/>
        <v>0</v>
      </c>
      <c r="AM17" s="30">
        <f t="shared" si="8"/>
        <v>0</v>
      </c>
      <c r="AN17" s="30">
        <f t="shared" si="8"/>
        <v>0</v>
      </c>
      <c r="AO17" s="30">
        <f t="shared" si="8"/>
        <v>0</v>
      </c>
      <c r="AP17" s="30">
        <f>SUM(AP10:AP16)</f>
        <v>0</v>
      </c>
      <c r="AQ17" s="30">
        <f t="shared" si="8"/>
        <v>0</v>
      </c>
      <c r="AV17" s="268">
        <f t="shared" si="2"/>
        <v>0</v>
      </c>
    </row>
    <row r="18" spans="1:48" s="28" customFormat="1" ht="29.25" customHeight="1">
      <c r="A18" s="25">
        <v>3</v>
      </c>
      <c r="B18" s="27" t="s">
        <v>215</v>
      </c>
      <c r="C18" s="27" t="s">
        <v>241</v>
      </c>
      <c r="D18" s="27">
        <v>5</v>
      </c>
      <c r="E18" s="27" t="s">
        <v>240</v>
      </c>
      <c r="F18" s="21"/>
      <c r="G18" s="21"/>
      <c r="H18" s="21"/>
      <c r="I18" s="21">
        <v>56</v>
      </c>
      <c r="J18" s="21"/>
      <c r="K18" s="21"/>
      <c r="L18" s="21">
        <v>16</v>
      </c>
      <c r="M18" s="21">
        <v>4.8600000000000003</v>
      </c>
      <c r="N18" s="21">
        <v>2</v>
      </c>
      <c r="O18" s="67"/>
      <c r="P18" s="67"/>
      <c r="Q18" s="67"/>
      <c r="R18" s="67"/>
      <c r="S18" s="67"/>
      <c r="T18" s="67"/>
      <c r="U18" s="67">
        <v>26</v>
      </c>
      <c r="V18" s="67"/>
      <c r="W18" s="67"/>
      <c r="X18" s="21">
        <v>8</v>
      </c>
      <c r="Y18" s="21"/>
      <c r="Z18" s="21"/>
      <c r="AA18" s="21"/>
      <c r="AB18" s="21"/>
      <c r="AC18" s="21"/>
      <c r="AD18" s="21"/>
      <c r="AE18" s="220">
        <f t="shared" ref="AE18:AE20" si="9">O18+P18+Q18+R18+S18+T18+U18+V18</f>
        <v>26</v>
      </c>
      <c r="AF18" s="196"/>
      <c r="AG18" s="212"/>
      <c r="AH18" s="213"/>
      <c r="AI18" s="212"/>
      <c r="AJ18" s="214"/>
      <c r="AK18" s="212"/>
      <c r="AL18" s="215"/>
      <c r="AM18" s="212"/>
      <c r="AN18" s="216"/>
      <c r="AO18" s="212"/>
      <c r="AP18" s="217"/>
      <c r="AQ18" s="212"/>
      <c r="AV18" s="268">
        <f t="shared" si="2"/>
        <v>1</v>
      </c>
    </row>
    <row r="19" spans="1:48" s="28" customFormat="1" ht="29.25" customHeight="1">
      <c r="A19" s="25">
        <v>3</v>
      </c>
      <c r="B19" s="27"/>
      <c r="C19" s="27"/>
      <c r="D19" s="27"/>
      <c r="E19" s="27"/>
      <c r="F19" s="21"/>
      <c r="G19" s="21"/>
      <c r="H19" s="21"/>
      <c r="I19" s="21"/>
      <c r="J19" s="21"/>
      <c r="K19" s="21"/>
      <c r="L19" s="21"/>
      <c r="M19" s="21">
        <f t="shared" ref="M19" si="10">N19*2.43</f>
        <v>0</v>
      </c>
      <c r="N19" s="21"/>
      <c r="O19" s="67"/>
      <c r="P19" s="67"/>
      <c r="Q19" s="67"/>
      <c r="R19" s="67"/>
      <c r="S19" s="67"/>
      <c r="T19" s="67"/>
      <c r="U19" s="67"/>
      <c r="V19" s="67"/>
      <c r="W19" s="67"/>
      <c r="X19" s="21"/>
      <c r="Y19" s="21"/>
      <c r="Z19" s="21"/>
      <c r="AA19" s="21"/>
      <c r="AB19" s="21"/>
      <c r="AC19" s="21"/>
      <c r="AD19" s="21"/>
      <c r="AE19" s="220">
        <f t="shared" si="9"/>
        <v>0</v>
      </c>
      <c r="AF19" s="196"/>
      <c r="AG19" s="212"/>
      <c r="AH19" s="213"/>
      <c r="AI19" s="212"/>
      <c r="AJ19" s="214"/>
      <c r="AK19" s="212"/>
      <c r="AL19" s="215"/>
      <c r="AM19" s="212"/>
      <c r="AN19" s="216"/>
      <c r="AO19" s="212"/>
      <c r="AP19" s="217"/>
      <c r="AQ19" s="212"/>
      <c r="AV19" s="268">
        <f t="shared" si="2"/>
        <v>0</v>
      </c>
    </row>
    <row r="20" spans="1:48" s="28" customFormat="1" ht="29.25" customHeight="1">
      <c r="A20" s="25">
        <v>3</v>
      </c>
      <c r="B20" s="27"/>
      <c r="C20" s="27"/>
      <c r="D20" s="27"/>
      <c r="E20" s="27"/>
      <c r="F20" s="21"/>
      <c r="G20" s="21"/>
      <c r="H20" s="21"/>
      <c r="I20" s="21"/>
      <c r="J20" s="21"/>
      <c r="K20" s="21"/>
      <c r="L20" s="21"/>
      <c r="M20" s="21">
        <f>N20*2.43</f>
        <v>0</v>
      </c>
      <c r="N20" s="21"/>
      <c r="O20" s="67"/>
      <c r="P20" s="67"/>
      <c r="Q20" s="67"/>
      <c r="R20" s="67"/>
      <c r="S20" s="67"/>
      <c r="T20" s="67"/>
      <c r="U20" s="67"/>
      <c r="V20" s="67"/>
      <c r="W20" s="67"/>
      <c r="X20" s="21"/>
      <c r="Y20" s="21"/>
      <c r="Z20" s="21"/>
      <c r="AA20" s="21"/>
      <c r="AB20" s="21"/>
      <c r="AC20" s="21"/>
      <c r="AD20" s="21"/>
      <c r="AE20" s="220">
        <f t="shared" si="9"/>
        <v>0</v>
      </c>
      <c r="AF20" s="196"/>
      <c r="AG20" s="212"/>
      <c r="AH20" s="213"/>
      <c r="AI20" s="212"/>
      <c r="AJ20" s="214"/>
      <c r="AK20" s="212"/>
      <c r="AL20" s="215"/>
      <c r="AM20" s="212"/>
      <c r="AN20" s="216"/>
      <c r="AO20" s="212"/>
      <c r="AP20" s="217"/>
      <c r="AQ20" s="212"/>
      <c r="AV20" s="268">
        <f t="shared" si="2"/>
        <v>0</v>
      </c>
    </row>
    <row r="21" spans="1:48" s="28" customFormat="1" ht="30" customHeight="1" thickBot="1">
      <c r="A21" s="29" t="s">
        <v>11</v>
      </c>
      <c r="B21" s="30"/>
      <c r="C21" s="30"/>
      <c r="D21" s="30"/>
      <c r="E21" s="30"/>
      <c r="F21" s="24">
        <f t="shared" ref="F21:AD21" si="11">SUM(F18:F20)</f>
        <v>0</v>
      </c>
      <c r="G21" s="24">
        <f t="shared" si="11"/>
        <v>0</v>
      </c>
      <c r="H21" s="24">
        <f t="shared" si="11"/>
        <v>0</v>
      </c>
      <c r="I21" s="24">
        <f t="shared" si="11"/>
        <v>56</v>
      </c>
      <c r="J21" s="24">
        <f t="shared" si="11"/>
        <v>0</v>
      </c>
      <c r="K21" s="24">
        <f t="shared" si="11"/>
        <v>0</v>
      </c>
      <c r="L21" s="24">
        <f t="shared" si="11"/>
        <v>16</v>
      </c>
      <c r="M21" s="24">
        <f t="shared" si="11"/>
        <v>4.8600000000000003</v>
      </c>
      <c r="N21" s="24">
        <f t="shared" si="11"/>
        <v>2</v>
      </c>
      <c r="O21" s="24">
        <f t="shared" si="11"/>
        <v>0</v>
      </c>
      <c r="P21" s="24">
        <f t="shared" si="11"/>
        <v>0</v>
      </c>
      <c r="Q21" s="24">
        <f t="shared" si="11"/>
        <v>0</v>
      </c>
      <c r="R21" s="24">
        <f t="shared" si="11"/>
        <v>0</v>
      </c>
      <c r="S21" s="24">
        <f t="shared" si="11"/>
        <v>0</v>
      </c>
      <c r="T21" s="24">
        <f t="shared" si="11"/>
        <v>0</v>
      </c>
      <c r="U21" s="24">
        <f t="shared" si="11"/>
        <v>26</v>
      </c>
      <c r="V21" s="24">
        <f t="shared" si="11"/>
        <v>0</v>
      </c>
      <c r="W21" s="24">
        <f t="shared" si="11"/>
        <v>0</v>
      </c>
      <c r="X21" s="24">
        <f t="shared" si="11"/>
        <v>8</v>
      </c>
      <c r="Y21" s="24">
        <f t="shared" si="11"/>
        <v>0</v>
      </c>
      <c r="Z21" s="24">
        <f t="shared" si="11"/>
        <v>0</v>
      </c>
      <c r="AA21" s="24">
        <f t="shared" si="11"/>
        <v>0</v>
      </c>
      <c r="AB21" s="24">
        <f t="shared" si="11"/>
        <v>0</v>
      </c>
      <c r="AC21" s="24">
        <f t="shared" si="11"/>
        <v>0</v>
      </c>
      <c r="AD21" s="24">
        <f t="shared" si="11"/>
        <v>0</v>
      </c>
      <c r="AE21" s="151"/>
      <c r="AF21" s="30">
        <f t="shared" ref="AF21:AQ21" si="12">SUM(AF18:AF20)</f>
        <v>0</v>
      </c>
      <c r="AG21" s="30">
        <f t="shared" si="12"/>
        <v>0</v>
      </c>
      <c r="AH21" s="30">
        <f t="shared" si="12"/>
        <v>0</v>
      </c>
      <c r="AI21" s="30">
        <f t="shared" si="12"/>
        <v>0</v>
      </c>
      <c r="AJ21" s="30">
        <f t="shared" si="12"/>
        <v>0</v>
      </c>
      <c r="AK21" s="30">
        <f t="shared" si="12"/>
        <v>0</v>
      </c>
      <c r="AL21" s="30">
        <f t="shared" si="12"/>
        <v>0</v>
      </c>
      <c r="AM21" s="30">
        <f t="shared" si="12"/>
        <v>0</v>
      </c>
      <c r="AN21" s="30">
        <f t="shared" si="12"/>
        <v>0</v>
      </c>
      <c r="AO21" s="30">
        <f t="shared" si="12"/>
        <v>0</v>
      </c>
      <c r="AP21" s="30">
        <f t="shared" si="12"/>
        <v>0</v>
      </c>
      <c r="AQ21" s="30">
        <f t="shared" si="12"/>
        <v>0</v>
      </c>
      <c r="AR21" s="219" t="s">
        <v>32</v>
      </c>
      <c r="AS21" s="34" t="s">
        <v>30</v>
      </c>
      <c r="AT21" s="35" t="s">
        <v>31</v>
      </c>
    </row>
    <row r="22" spans="1:48" s="28" customFormat="1" ht="30" customHeight="1">
      <c r="B22" s="149"/>
      <c r="C22" s="149"/>
      <c r="D22" s="149"/>
      <c r="E22" s="149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1"/>
      <c r="AR22" s="154" t="s">
        <v>33</v>
      </c>
      <c r="AS22" s="37">
        <f>AJ23</f>
        <v>0</v>
      </c>
      <c r="AT22" s="38">
        <f>AK23</f>
        <v>0</v>
      </c>
    </row>
    <row r="23" spans="1:48" s="28" customFormat="1" ht="30" customHeight="1">
      <c r="A23" s="184" t="s">
        <v>15</v>
      </c>
      <c r="B23" s="183"/>
      <c r="C23" s="183"/>
      <c r="D23" s="183"/>
      <c r="E23" s="183"/>
      <c r="F23" s="185">
        <f t="shared" ref="F23:AD23" si="13">F21+F17+F9</f>
        <v>0</v>
      </c>
      <c r="G23" s="185">
        <f t="shared" si="13"/>
        <v>0</v>
      </c>
      <c r="H23" s="185">
        <f t="shared" si="13"/>
        <v>0</v>
      </c>
      <c r="I23" s="185">
        <f t="shared" si="13"/>
        <v>440</v>
      </c>
      <c r="J23" s="185">
        <f t="shared" si="13"/>
        <v>0</v>
      </c>
      <c r="K23" s="185">
        <f t="shared" si="13"/>
        <v>0</v>
      </c>
      <c r="L23" s="185">
        <f t="shared" si="13"/>
        <v>75.199999999999989</v>
      </c>
      <c r="M23" s="186">
        <f t="shared" si="13"/>
        <v>29.16</v>
      </c>
      <c r="N23" s="185">
        <f t="shared" si="13"/>
        <v>12</v>
      </c>
      <c r="O23" s="185">
        <f t="shared" si="13"/>
        <v>0</v>
      </c>
      <c r="P23" s="185">
        <f t="shared" si="13"/>
        <v>0</v>
      </c>
      <c r="Q23" s="185">
        <f t="shared" si="13"/>
        <v>0</v>
      </c>
      <c r="R23" s="185">
        <f t="shared" si="13"/>
        <v>0</v>
      </c>
      <c r="S23" s="185">
        <f t="shared" si="13"/>
        <v>0</v>
      </c>
      <c r="T23" s="185">
        <f t="shared" si="13"/>
        <v>0</v>
      </c>
      <c r="U23" s="185">
        <f t="shared" si="13"/>
        <v>161</v>
      </c>
      <c r="V23" s="185">
        <f t="shared" si="13"/>
        <v>0</v>
      </c>
      <c r="W23" s="185">
        <f t="shared" si="13"/>
        <v>0</v>
      </c>
      <c r="X23" s="185">
        <f t="shared" si="13"/>
        <v>50</v>
      </c>
      <c r="Y23" s="185">
        <f t="shared" si="13"/>
        <v>0</v>
      </c>
      <c r="Z23" s="185">
        <f t="shared" si="13"/>
        <v>0</v>
      </c>
      <c r="AA23" s="185">
        <f t="shared" si="13"/>
        <v>0</v>
      </c>
      <c r="AB23" s="185">
        <f t="shared" si="13"/>
        <v>0</v>
      </c>
      <c r="AC23" s="185">
        <f t="shared" si="13"/>
        <v>0</v>
      </c>
      <c r="AD23" s="185">
        <f t="shared" si="13"/>
        <v>0</v>
      </c>
      <c r="AE23" s="151"/>
      <c r="AF23" s="189">
        <f t="shared" ref="AF23:AQ23" si="14">AF21+AF17+AF9</f>
        <v>0</v>
      </c>
      <c r="AG23" s="189">
        <f t="shared" si="14"/>
        <v>0</v>
      </c>
      <c r="AH23" s="189">
        <f t="shared" si="14"/>
        <v>0</v>
      </c>
      <c r="AI23" s="189">
        <f t="shared" si="14"/>
        <v>0</v>
      </c>
      <c r="AJ23" s="189">
        <f t="shared" si="14"/>
        <v>0</v>
      </c>
      <c r="AK23" s="189">
        <f t="shared" si="14"/>
        <v>0</v>
      </c>
      <c r="AL23" s="189">
        <f t="shared" si="14"/>
        <v>0</v>
      </c>
      <c r="AM23" s="189">
        <f t="shared" si="14"/>
        <v>0</v>
      </c>
      <c r="AN23" s="189">
        <f t="shared" si="14"/>
        <v>0</v>
      </c>
      <c r="AO23" s="189">
        <f t="shared" si="14"/>
        <v>0</v>
      </c>
      <c r="AP23" s="189">
        <f t="shared" si="14"/>
        <v>0</v>
      </c>
      <c r="AQ23" s="189">
        <f t="shared" si="14"/>
        <v>0</v>
      </c>
      <c r="AR23" s="54" t="s">
        <v>26</v>
      </c>
      <c r="AS23" s="44">
        <f>AL23</f>
        <v>0</v>
      </c>
      <c r="AT23" s="45">
        <f>AM23</f>
        <v>0</v>
      </c>
    </row>
    <row r="24" spans="1:48" s="266" customFormat="1" ht="30" customHeight="1">
      <c r="B24" s="47"/>
      <c r="C24" s="157" t="s">
        <v>58</v>
      </c>
      <c r="D24" s="157"/>
      <c r="E24" s="158"/>
      <c r="F24" s="159">
        <v>26.292100000000001</v>
      </c>
      <c r="G24" s="160">
        <v>115.8</v>
      </c>
      <c r="H24" s="160">
        <v>35.47</v>
      </c>
      <c r="I24" s="160">
        <v>27.343800000000002</v>
      </c>
      <c r="J24" s="160">
        <v>40</v>
      </c>
      <c r="K24" s="159">
        <v>29.5639</v>
      </c>
      <c r="L24" s="159">
        <v>145.88</v>
      </c>
      <c r="M24" s="159">
        <v>27.66</v>
      </c>
      <c r="N24" s="159">
        <v>26.25</v>
      </c>
      <c r="O24" s="159">
        <v>171.74107142857142</v>
      </c>
      <c r="P24" s="159">
        <v>176.78571428571428</v>
      </c>
      <c r="Q24" s="159">
        <v>195</v>
      </c>
      <c r="R24" s="159">
        <v>180.35714285714283</v>
      </c>
      <c r="S24" s="159">
        <v>198</v>
      </c>
      <c r="T24" s="159">
        <v>195</v>
      </c>
      <c r="U24" s="159">
        <v>189.38</v>
      </c>
      <c r="V24" s="159">
        <v>207</v>
      </c>
      <c r="W24" s="159">
        <v>379.46</v>
      </c>
      <c r="X24" s="159">
        <v>35.15</v>
      </c>
      <c r="Y24" s="159">
        <v>35.893000000000001</v>
      </c>
      <c r="Z24" s="159">
        <v>37.5</v>
      </c>
      <c r="AA24" s="159">
        <v>81.900000000000006</v>
      </c>
      <c r="AB24" s="159">
        <v>20.62</v>
      </c>
      <c r="AC24" s="159">
        <v>267.18</v>
      </c>
      <c r="AD24" s="159">
        <v>7.5</v>
      </c>
      <c r="AE24" s="48"/>
      <c r="AR24" s="54" t="s">
        <v>27</v>
      </c>
      <c r="AS24" s="44">
        <f>AN23</f>
        <v>0</v>
      </c>
      <c r="AT24" s="45">
        <f>AO23</f>
        <v>0</v>
      </c>
    </row>
    <row r="25" spans="1:48" s="266" customFormat="1" ht="30" customHeight="1">
      <c r="A25" s="16"/>
      <c r="B25" s="17"/>
      <c r="C25" s="113" t="s">
        <v>53</v>
      </c>
      <c r="D25" s="113"/>
      <c r="E25" s="27">
        <f>F25+G25+K25+L25+M25+N25+O25+P25+Q25+R25+S25+U25+X25+Y25+Z25+AA25+AB25+AC25+AD25+H25+I25</f>
        <v>56370.693599999999</v>
      </c>
      <c r="F25" s="112">
        <f>F23*F24</f>
        <v>0</v>
      </c>
      <c r="G25" s="112">
        <f t="shared" ref="G25:AD25" si="15">G23*G24</f>
        <v>0</v>
      </c>
      <c r="H25" s="112">
        <f t="shared" si="15"/>
        <v>0</v>
      </c>
      <c r="I25" s="112">
        <f t="shared" si="15"/>
        <v>12031.272000000001</v>
      </c>
      <c r="J25" s="112">
        <f t="shared" si="15"/>
        <v>0</v>
      </c>
      <c r="K25" s="112">
        <f t="shared" si="15"/>
        <v>0</v>
      </c>
      <c r="L25" s="112">
        <f t="shared" si="15"/>
        <v>10970.175999999998</v>
      </c>
      <c r="M25" s="112">
        <f t="shared" si="15"/>
        <v>806.56560000000002</v>
      </c>
      <c r="N25" s="112">
        <f t="shared" si="15"/>
        <v>315</v>
      </c>
      <c r="O25" s="112">
        <f t="shared" si="15"/>
        <v>0</v>
      </c>
      <c r="P25" s="112">
        <f t="shared" si="15"/>
        <v>0</v>
      </c>
      <c r="Q25" s="112">
        <f t="shared" si="15"/>
        <v>0</v>
      </c>
      <c r="R25" s="112">
        <f t="shared" si="15"/>
        <v>0</v>
      </c>
      <c r="S25" s="112">
        <f t="shared" si="15"/>
        <v>0</v>
      </c>
      <c r="T25" s="112">
        <f t="shared" si="15"/>
        <v>0</v>
      </c>
      <c r="U25" s="112">
        <f t="shared" si="15"/>
        <v>30490.18</v>
      </c>
      <c r="V25" s="112">
        <f t="shared" si="15"/>
        <v>0</v>
      </c>
      <c r="W25" s="112">
        <f t="shared" si="15"/>
        <v>0</v>
      </c>
      <c r="X25" s="112">
        <f t="shared" si="15"/>
        <v>1757.5</v>
      </c>
      <c r="Y25" s="112">
        <f t="shared" si="15"/>
        <v>0</v>
      </c>
      <c r="Z25" s="112">
        <f t="shared" si="15"/>
        <v>0</v>
      </c>
      <c r="AA25" s="112">
        <f t="shared" si="15"/>
        <v>0</v>
      </c>
      <c r="AB25" s="112">
        <f t="shared" si="15"/>
        <v>0</v>
      </c>
      <c r="AC25" s="112">
        <f t="shared" si="15"/>
        <v>0</v>
      </c>
      <c r="AD25" s="112">
        <f t="shared" si="15"/>
        <v>0</v>
      </c>
      <c r="AE25" s="16"/>
      <c r="AR25" s="54" t="s">
        <v>34</v>
      </c>
      <c r="AS25" s="44">
        <f>AF23</f>
        <v>0</v>
      </c>
      <c r="AT25" s="45">
        <f>AG23</f>
        <v>0</v>
      </c>
    </row>
    <row r="26" spans="1:48" s="16" customFormat="1" ht="30" customHeight="1">
      <c r="B26" s="17"/>
      <c r="C26" s="17"/>
      <c r="D26" s="17"/>
      <c r="AR26" s="54" t="s">
        <v>29</v>
      </c>
      <c r="AS26" s="14">
        <f>AH23</f>
        <v>0</v>
      </c>
      <c r="AT26" s="15">
        <f>AI23</f>
        <v>0</v>
      </c>
    </row>
    <row r="27" spans="1:48" s="16" customFormat="1" ht="30" customHeight="1" thickBot="1">
      <c r="B27" s="17"/>
      <c r="C27" s="17"/>
      <c r="D27" s="17"/>
      <c r="AR27" s="55" t="s">
        <v>35</v>
      </c>
      <c r="AS27" s="18">
        <f>AP23</f>
        <v>0</v>
      </c>
      <c r="AT27" s="19">
        <f>AQ23</f>
        <v>0</v>
      </c>
    </row>
    <row r="28" spans="1:48" s="16" customFormat="1" ht="30" customHeight="1">
      <c r="B28" s="17"/>
      <c r="C28" s="17"/>
      <c r="D28" s="17"/>
      <c r="AQ28" s="269">
        <f>AR28-AS28</f>
        <v>6</v>
      </c>
      <c r="AR28" s="269">
        <f>SUM(AV6:AV20)</f>
        <v>6</v>
      </c>
      <c r="AS28" s="269">
        <f>SUM(AS22:AS27)</f>
        <v>0</v>
      </c>
    </row>
    <row r="29" spans="1:48" s="12" customFormat="1" ht="11.25" customHeight="1">
      <c r="B29" s="13"/>
      <c r="C29" s="13"/>
      <c r="D29" s="13"/>
    </row>
    <row r="30" spans="1:48" s="12" customFormat="1">
      <c r="B30" s="13"/>
      <c r="C30" s="13"/>
      <c r="D30" s="13"/>
      <c r="O30" s="12" t="s">
        <v>18</v>
      </c>
    </row>
    <row r="31" spans="1:48" s="12" customFormat="1">
      <c r="B31" s="13"/>
      <c r="C31" s="13"/>
      <c r="D31" s="13"/>
    </row>
    <row r="32" spans="1:48" s="12" customFormat="1">
      <c r="B32" s="13"/>
      <c r="C32" s="13"/>
      <c r="D32" s="13"/>
    </row>
    <row r="33" spans="2:4" s="12" customFormat="1">
      <c r="B33" s="13"/>
      <c r="C33" s="13"/>
      <c r="D33" s="13"/>
    </row>
  </sheetData>
  <mergeCells count="23">
    <mergeCell ref="AP3:AQ4"/>
    <mergeCell ref="O3:P3"/>
    <mergeCell ref="R3:S3"/>
    <mergeCell ref="X3:AA3"/>
    <mergeCell ref="AB3:AB4"/>
    <mergeCell ref="AC3:AC4"/>
    <mergeCell ref="AD3:AD4"/>
    <mergeCell ref="AF3:AG4"/>
    <mergeCell ref="AH3:AI4"/>
    <mergeCell ref="AJ3:AK4"/>
    <mergeCell ref="AL3:AM4"/>
    <mergeCell ref="AN3:AO4"/>
    <mergeCell ref="A1:B1"/>
    <mergeCell ref="C1:E1"/>
    <mergeCell ref="N1:R1"/>
    <mergeCell ref="A3:A5"/>
    <mergeCell ref="B3:B5"/>
    <mergeCell ref="C3:C5"/>
    <mergeCell ref="E3:E5"/>
    <mergeCell ref="L3:L4"/>
    <mergeCell ref="M3:M4"/>
    <mergeCell ref="N3:N4"/>
    <mergeCell ref="D3:D5"/>
  </mergeCells>
  <pageMargins left="0.19685039370078741" right="0.19685039370078741" top="0.59055118110236227" bottom="0.19685039370078741" header="0.31496062992125984" footer="0.31496062992125984"/>
  <pageSetup scale="4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topLeftCell="A44" zoomScale="70" zoomScaleNormal="70" workbookViewId="0">
      <selection activeCell="AB75" sqref="AB75"/>
    </sheetView>
  </sheetViews>
  <sheetFormatPr defaultRowHeight="18.75"/>
  <cols>
    <col min="2" max="2" width="32.5703125" bestFit="1" customWidth="1"/>
    <col min="3" max="3" width="11" style="211" bestFit="1" customWidth="1"/>
    <col min="4" max="4" width="9.28515625" style="211" bestFit="1" customWidth="1"/>
  </cols>
  <sheetData>
    <row r="1" spans="1:4" ht="23.25">
      <c r="A1" s="57"/>
      <c r="B1" s="58"/>
      <c r="C1" s="393"/>
      <c r="D1" s="394"/>
    </row>
    <row r="2" spans="1:4" ht="27" thickBot="1">
      <c r="A2" s="59" t="s">
        <v>36</v>
      </c>
      <c r="B2" s="60" t="s">
        <v>32</v>
      </c>
      <c r="C2" s="197" t="s">
        <v>30</v>
      </c>
      <c r="D2" s="198" t="s">
        <v>31</v>
      </c>
    </row>
    <row r="3" spans="1:4" ht="9" customHeight="1" thickBot="1">
      <c r="A3" s="61"/>
      <c r="B3" s="62"/>
      <c r="C3" s="199"/>
      <c r="D3" s="200"/>
    </row>
    <row r="4" spans="1:4" ht="27" thickBot="1">
      <c r="A4" s="63" t="s">
        <v>42</v>
      </c>
      <c r="B4" s="64" t="s">
        <v>43</v>
      </c>
      <c r="C4" s="201">
        <f>TOTAL!AR32</f>
        <v>0</v>
      </c>
      <c r="D4" s="202">
        <f>TOTAL!AS32</f>
        <v>0</v>
      </c>
    </row>
    <row r="5" spans="1:4" ht="9" customHeight="1" thickBot="1">
      <c r="A5" s="61"/>
      <c r="B5" s="62"/>
      <c r="C5" s="203"/>
      <c r="D5" s="204"/>
    </row>
    <row r="6" spans="1:4" ht="26.25" hidden="1">
      <c r="A6" s="390">
        <v>2</v>
      </c>
      <c r="B6" s="65" t="s">
        <v>33</v>
      </c>
      <c r="C6" s="205">
        <f>'L2'!AP33</f>
        <v>0</v>
      </c>
      <c r="D6" s="206">
        <f>'L2'!AQ33</f>
        <v>0</v>
      </c>
    </row>
    <row r="7" spans="1:4" ht="26.25" hidden="1">
      <c r="A7" s="391"/>
      <c r="B7" s="66" t="s">
        <v>26</v>
      </c>
      <c r="C7" s="207">
        <f>'L2'!AP34</f>
        <v>0</v>
      </c>
      <c r="D7" s="208">
        <f>'L2'!AQ34</f>
        <v>0</v>
      </c>
    </row>
    <row r="8" spans="1:4" ht="26.25" hidden="1">
      <c r="A8" s="391"/>
      <c r="B8" s="66" t="s">
        <v>27</v>
      </c>
      <c r="C8" s="207">
        <f>'L2'!AP35</f>
        <v>0</v>
      </c>
      <c r="D8" s="208">
        <f>'L2'!AQ35</f>
        <v>0</v>
      </c>
    </row>
    <row r="9" spans="1:4" ht="26.25" hidden="1">
      <c r="A9" s="391"/>
      <c r="B9" s="66" t="s">
        <v>34</v>
      </c>
      <c r="C9" s="207">
        <f>'L2'!AP36</f>
        <v>0</v>
      </c>
      <c r="D9" s="208">
        <f>'L2'!AQ36</f>
        <v>0</v>
      </c>
    </row>
    <row r="10" spans="1:4" ht="26.25" hidden="1">
      <c r="A10" s="391"/>
      <c r="B10" s="66" t="s">
        <v>29</v>
      </c>
      <c r="C10" s="207">
        <f>'L2'!AP37</f>
        <v>0</v>
      </c>
      <c r="D10" s="208">
        <f>'L2'!AQ37</f>
        <v>0</v>
      </c>
    </row>
    <row r="11" spans="1:4" ht="27" hidden="1" thickBot="1">
      <c r="A11" s="392"/>
      <c r="B11" s="64" t="s">
        <v>35</v>
      </c>
      <c r="C11" s="209">
        <f>'L2'!AP38</f>
        <v>0</v>
      </c>
      <c r="D11" s="210">
        <f>'L2'!AQ38</f>
        <v>0</v>
      </c>
    </row>
    <row r="12" spans="1:4" ht="9" customHeight="1" thickBot="1">
      <c r="A12" s="61"/>
      <c r="B12" s="62"/>
      <c r="C12" s="203"/>
      <c r="D12" s="204"/>
    </row>
    <row r="13" spans="1:4" ht="26.25">
      <c r="A13" s="390">
        <v>3</v>
      </c>
      <c r="B13" s="65" t="s">
        <v>33</v>
      </c>
      <c r="C13" s="205">
        <f>'L03'!AS12</f>
        <v>0</v>
      </c>
      <c r="D13" s="206">
        <f>'L03'!AT12</f>
        <v>0</v>
      </c>
    </row>
    <row r="14" spans="1:4" ht="26.25">
      <c r="A14" s="391"/>
      <c r="B14" s="66" t="s">
        <v>26</v>
      </c>
      <c r="C14" s="207">
        <f>'L03'!AS13</f>
        <v>0</v>
      </c>
      <c r="D14" s="208">
        <f>'L03'!AT13</f>
        <v>0</v>
      </c>
    </row>
    <row r="15" spans="1:4" ht="26.25">
      <c r="A15" s="391"/>
      <c r="B15" s="66" t="s">
        <v>27</v>
      </c>
      <c r="C15" s="207">
        <f>'L03'!AS14</f>
        <v>0</v>
      </c>
      <c r="D15" s="208">
        <f>'L03'!AT14</f>
        <v>0</v>
      </c>
    </row>
    <row r="16" spans="1:4" ht="26.25">
      <c r="A16" s="391"/>
      <c r="B16" s="66" t="s">
        <v>34</v>
      </c>
      <c r="C16" s="207">
        <f>'L03'!AS15</f>
        <v>0</v>
      </c>
      <c r="D16" s="208">
        <f>'L03'!AT15</f>
        <v>0</v>
      </c>
    </row>
    <row r="17" spans="1:6" ht="26.25">
      <c r="A17" s="391"/>
      <c r="B17" s="66" t="s">
        <v>29</v>
      </c>
      <c r="C17" s="207">
        <f>'L03'!AS16</f>
        <v>0</v>
      </c>
      <c r="D17" s="208">
        <f>'L03'!AT16</f>
        <v>1</v>
      </c>
    </row>
    <row r="18" spans="1:6" ht="26.1" customHeight="1" thickBot="1">
      <c r="A18" s="392"/>
      <c r="B18" s="64" t="s">
        <v>35</v>
      </c>
      <c r="C18" s="209">
        <f>'L03'!AS17</f>
        <v>0</v>
      </c>
      <c r="D18" s="210">
        <f>'L03'!AT17</f>
        <v>0</v>
      </c>
    </row>
    <row r="19" spans="1:6" ht="25.5" customHeight="1" thickBot="1">
      <c r="A19" s="61"/>
      <c r="B19" s="62"/>
      <c r="C19" s="203">
        <f>SUM(C13:C18)</f>
        <v>0</v>
      </c>
      <c r="D19" s="203">
        <f>SUM(D13:D18)</f>
        <v>1</v>
      </c>
    </row>
    <row r="20" spans="1:6" ht="26.25" hidden="1">
      <c r="A20" s="390">
        <v>4</v>
      </c>
      <c r="B20" s="65" t="s">
        <v>33</v>
      </c>
      <c r="C20" s="205"/>
      <c r="D20" s="206"/>
    </row>
    <row r="21" spans="1:6" ht="26.25" hidden="1">
      <c r="A21" s="391"/>
      <c r="B21" s="66" t="s">
        <v>26</v>
      </c>
      <c r="C21" s="207"/>
      <c r="D21" s="208"/>
    </row>
    <row r="22" spans="1:6" ht="26.25" hidden="1">
      <c r="A22" s="391"/>
      <c r="B22" s="66" t="s">
        <v>27</v>
      </c>
      <c r="C22" s="207"/>
      <c r="D22" s="208"/>
    </row>
    <row r="23" spans="1:6" ht="26.25" hidden="1">
      <c r="A23" s="391"/>
      <c r="B23" s="66" t="s">
        <v>34</v>
      </c>
      <c r="C23" s="207"/>
      <c r="D23" s="208"/>
    </row>
    <row r="24" spans="1:6" ht="26.25" hidden="1">
      <c r="A24" s="391"/>
      <c r="B24" s="66" t="s">
        <v>29</v>
      </c>
      <c r="C24" s="207"/>
      <c r="D24" s="208"/>
    </row>
    <row r="25" spans="1:6" ht="27" hidden="1" thickBot="1">
      <c r="A25" s="392"/>
      <c r="B25" s="64" t="s">
        <v>35</v>
      </c>
      <c r="C25" s="209"/>
      <c r="D25" s="210"/>
      <c r="E25" s="228"/>
      <c r="F25" s="228"/>
    </row>
    <row r="26" spans="1:6" ht="27" hidden="1" thickBot="1">
      <c r="A26" s="61"/>
      <c r="B26" s="62"/>
      <c r="C26" s="203">
        <f>SUM(C20:C25)</f>
        <v>0</v>
      </c>
      <c r="D26" s="203">
        <f>SUM(D20:D25)</f>
        <v>0</v>
      </c>
    </row>
    <row r="27" spans="1:6" ht="26.25">
      <c r="A27" s="395" t="s">
        <v>120</v>
      </c>
      <c r="B27" s="65" t="s">
        <v>33</v>
      </c>
      <c r="C27" s="205">
        <f>'L460'!AS22</f>
        <v>0</v>
      </c>
      <c r="D27" s="206">
        <f>'L460'!AT22</f>
        <v>0</v>
      </c>
    </row>
    <row r="28" spans="1:6" ht="26.25">
      <c r="A28" s="396"/>
      <c r="B28" s="66" t="s">
        <v>26</v>
      </c>
      <c r="C28" s="207">
        <f>'L460'!AS23</f>
        <v>0</v>
      </c>
      <c r="D28" s="208">
        <f>'L460'!AT23</f>
        <v>0</v>
      </c>
    </row>
    <row r="29" spans="1:6" ht="26.25">
      <c r="A29" s="396"/>
      <c r="B29" s="66" t="s">
        <v>27</v>
      </c>
      <c r="C29" s="207">
        <f>'L460'!AS24</f>
        <v>0</v>
      </c>
      <c r="D29" s="208">
        <f>'L460'!AT24</f>
        <v>0</v>
      </c>
    </row>
    <row r="30" spans="1:6" ht="26.25">
      <c r="A30" s="396"/>
      <c r="B30" s="66" t="s">
        <v>34</v>
      </c>
      <c r="C30" s="207">
        <f>'L460'!AS25</f>
        <v>0</v>
      </c>
      <c r="D30" s="208">
        <f>'L460'!AT25</f>
        <v>0</v>
      </c>
    </row>
    <row r="31" spans="1:6" ht="26.25">
      <c r="A31" s="396"/>
      <c r="B31" s="66" t="s">
        <v>29</v>
      </c>
      <c r="C31" s="207">
        <f>'L460'!AS26</f>
        <v>0</v>
      </c>
      <c r="D31" s="208">
        <f>'L460'!AT26</f>
        <v>0</v>
      </c>
    </row>
    <row r="32" spans="1:6" ht="27" thickBot="1">
      <c r="A32" s="397"/>
      <c r="B32" s="64" t="s">
        <v>35</v>
      </c>
      <c r="C32" s="209">
        <f>'L460'!AS27</f>
        <v>0</v>
      </c>
      <c r="D32" s="210">
        <f>'L460'!AT27</f>
        <v>0</v>
      </c>
      <c r="E32" s="228"/>
      <c r="F32" s="228"/>
    </row>
    <row r="33" spans="1:6" ht="27" thickBot="1">
      <c r="A33" s="61"/>
      <c r="B33" s="62"/>
      <c r="C33" s="203">
        <f>SUM(C27:C32)</f>
        <v>0</v>
      </c>
      <c r="D33" s="203">
        <f>SUM(D27:D32)</f>
        <v>0</v>
      </c>
    </row>
    <row r="34" spans="1:6" ht="26.25" hidden="1">
      <c r="A34" s="390">
        <v>6</v>
      </c>
      <c r="B34" s="65" t="s">
        <v>33</v>
      </c>
      <c r="C34" s="205">
        <f>'L6'!AR12</f>
        <v>0</v>
      </c>
      <c r="D34" s="206">
        <f>'L6'!AS12</f>
        <v>0</v>
      </c>
    </row>
    <row r="35" spans="1:6" ht="26.25" hidden="1">
      <c r="A35" s="391"/>
      <c r="B35" s="66" t="s">
        <v>26</v>
      </c>
      <c r="C35" s="207">
        <f>'L6'!AR13</f>
        <v>0</v>
      </c>
      <c r="D35" s="208">
        <f>'L6'!AS13</f>
        <v>0</v>
      </c>
    </row>
    <row r="36" spans="1:6" ht="26.25" hidden="1">
      <c r="A36" s="391"/>
      <c r="B36" s="66" t="s">
        <v>27</v>
      </c>
      <c r="C36" s="207">
        <f>'L6'!AR14</f>
        <v>0</v>
      </c>
      <c r="D36" s="208">
        <f>'L6'!AS14</f>
        <v>0</v>
      </c>
    </row>
    <row r="37" spans="1:6" ht="26.25" hidden="1">
      <c r="A37" s="391"/>
      <c r="B37" s="66" t="s">
        <v>34</v>
      </c>
      <c r="C37" s="207">
        <f>'L6'!AR15</f>
        <v>0</v>
      </c>
      <c r="D37" s="208">
        <f>'L6'!AS15</f>
        <v>0</v>
      </c>
    </row>
    <row r="38" spans="1:6" ht="26.25" hidden="1">
      <c r="A38" s="391"/>
      <c r="B38" s="66" t="s">
        <v>29</v>
      </c>
      <c r="C38" s="207">
        <f>'L6'!AR16</f>
        <v>0</v>
      </c>
      <c r="D38" s="208">
        <f>'L6'!AS16</f>
        <v>0</v>
      </c>
    </row>
    <row r="39" spans="1:6" ht="27" hidden="1" thickBot="1">
      <c r="A39" s="392"/>
      <c r="B39" s="64" t="s">
        <v>35</v>
      </c>
      <c r="C39" s="209">
        <f>'L6'!AR17</f>
        <v>0</v>
      </c>
      <c r="D39" s="210">
        <f>'L6'!AS17</f>
        <v>0</v>
      </c>
      <c r="E39" s="228"/>
      <c r="F39" s="228"/>
    </row>
    <row r="40" spans="1:6" ht="27" hidden="1" thickBot="1">
      <c r="A40" s="61"/>
      <c r="B40" s="62"/>
      <c r="C40" s="203">
        <f>SUM(C34:C39)</f>
        <v>0</v>
      </c>
      <c r="D40" s="203">
        <f t="shared" ref="D40" si="0">SUM(D34:D39)</f>
        <v>0</v>
      </c>
      <c r="E40" s="203"/>
    </row>
    <row r="41" spans="1:6" ht="26.25">
      <c r="A41" s="390">
        <v>7</v>
      </c>
      <c r="B41" s="65" t="s">
        <v>33</v>
      </c>
      <c r="C41" s="205">
        <f>'L7'!AS13</f>
        <v>1</v>
      </c>
      <c r="D41" s="206">
        <f>'L7'!AT13</f>
        <v>0</v>
      </c>
    </row>
    <row r="42" spans="1:6" ht="26.25">
      <c r="A42" s="391"/>
      <c r="B42" s="66" t="s">
        <v>26</v>
      </c>
      <c r="C42" s="207">
        <f>'L7'!AS14</f>
        <v>0</v>
      </c>
      <c r="D42" s="208">
        <f>'L7'!AT14</f>
        <v>0</v>
      </c>
    </row>
    <row r="43" spans="1:6" ht="26.25">
      <c r="A43" s="391"/>
      <c r="B43" s="66" t="s">
        <v>27</v>
      </c>
      <c r="C43" s="207">
        <f>'L7'!AS15</f>
        <v>0</v>
      </c>
      <c r="D43" s="208">
        <f>'L7'!AT15</f>
        <v>0</v>
      </c>
    </row>
    <row r="44" spans="1:6" ht="26.25">
      <c r="A44" s="391"/>
      <c r="B44" s="66" t="s">
        <v>34</v>
      </c>
      <c r="C44" s="207">
        <f>'L7'!AS16</f>
        <v>0</v>
      </c>
      <c r="D44" s="208">
        <f>'L7'!AT16</f>
        <v>0</v>
      </c>
    </row>
    <row r="45" spans="1:6" ht="26.25">
      <c r="A45" s="391"/>
      <c r="B45" s="66" t="s">
        <v>29</v>
      </c>
      <c r="C45" s="207">
        <f>'L7'!AS17</f>
        <v>0</v>
      </c>
      <c r="D45" s="208">
        <f>'L7'!AT17</f>
        <v>0</v>
      </c>
    </row>
    <row r="46" spans="1:6" ht="27" thickBot="1">
      <c r="A46" s="392"/>
      <c r="B46" s="64" t="s">
        <v>35</v>
      </c>
      <c r="C46" s="209">
        <f>'L7'!AS18</f>
        <v>0</v>
      </c>
      <c r="D46" s="210">
        <f>'L7'!AT18</f>
        <v>0</v>
      </c>
      <c r="E46" s="228"/>
      <c r="F46" s="228"/>
    </row>
    <row r="47" spans="1:6" ht="27" thickBot="1">
      <c r="A47" s="61"/>
      <c r="B47" s="62"/>
      <c r="C47" s="203">
        <f>SUM(C41:C46)</f>
        <v>1</v>
      </c>
      <c r="D47" s="203">
        <f>SUM(D41:D46)</f>
        <v>0</v>
      </c>
    </row>
    <row r="48" spans="1:6" ht="26.25">
      <c r="A48" s="390">
        <v>8</v>
      </c>
      <c r="B48" s="65" t="s">
        <v>33</v>
      </c>
      <c r="C48" s="205">
        <f>'L8'!AU27</f>
        <v>3</v>
      </c>
      <c r="D48" s="206">
        <f>'L8'!AV27</f>
        <v>0</v>
      </c>
    </row>
    <row r="49" spans="1:22" ht="26.25">
      <c r="A49" s="391"/>
      <c r="B49" s="66" t="s">
        <v>26</v>
      </c>
      <c r="C49" s="207">
        <f>'L8'!AU28</f>
        <v>2</v>
      </c>
      <c r="D49" s="208">
        <f>'L8'!AV28</f>
        <v>0</v>
      </c>
    </row>
    <row r="50" spans="1:22" ht="26.25">
      <c r="A50" s="391"/>
      <c r="B50" s="66" t="s">
        <v>27</v>
      </c>
      <c r="C50" s="207">
        <f>'L8'!AU29</f>
        <v>1</v>
      </c>
      <c r="D50" s="208">
        <f>'L8'!AV29</f>
        <v>0</v>
      </c>
    </row>
    <row r="51" spans="1:22" ht="26.25">
      <c r="A51" s="391"/>
      <c r="B51" s="66" t="s">
        <v>34</v>
      </c>
      <c r="C51" s="207">
        <f>'L8'!AU30</f>
        <v>6</v>
      </c>
      <c r="D51" s="208">
        <f>'L8'!AV30</f>
        <v>0</v>
      </c>
    </row>
    <row r="52" spans="1:22" ht="26.25">
      <c r="A52" s="391"/>
      <c r="B52" s="66" t="s">
        <v>29</v>
      </c>
      <c r="C52" s="207">
        <f>'L8'!AU31</f>
        <v>3</v>
      </c>
      <c r="D52" s="208">
        <f>'L8'!AV31</f>
        <v>0</v>
      </c>
    </row>
    <row r="53" spans="1:22" ht="27" thickBot="1">
      <c r="A53" s="392"/>
      <c r="B53" s="64" t="s">
        <v>35</v>
      </c>
      <c r="C53" s="209">
        <f>'L8'!AU32</f>
        <v>0</v>
      </c>
      <c r="D53" s="210">
        <f>'L8'!AV32</f>
        <v>0</v>
      </c>
      <c r="E53" s="228"/>
      <c r="F53" s="228"/>
    </row>
    <row r="54" spans="1:22" ht="27" thickBot="1">
      <c r="A54" s="61"/>
      <c r="B54" s="62"/>
      <c r="C54" s="203">
        <f>SUM(C48:C53)</f>
        <v>15</v>
      </c>
      <c r="D54" s="203">
        <f>SUM(D48:D53)</f>
        <v>0</v>
      </c>
    </row>
    <row r="55" spans="1:22" ht="26.25">
      <c r="A55" s="390">
        <v>9</v>
      </c>
      <c r="B55" s="65" t="s">
        <v>33</v>
      </c>
      <c r="C55" s="205">
        <f>'L9'!AU16</f>
        <v>1</v>
      </c>
      <c r="D55" s="206">
        <f>'L9'!AV16</f>
        <v>0</v>
      </c>
    </row>
    <row r="56" spans="1:22" ht="31.5">
      <c r="A56" s="391"/>
      <c r="B56" s="66" t="s">
        <v>26</v>
      </c>
      <c r="C56" s="207">
        <f>'L9'!AU17</f>
        <v>0</v>
      </c>
      <c r="D56" s="208">
        <f>'L9'!AV17</f>
        <v>0</v>
      </c>
      <c r="O56" s="275"/>
      <c r="P56" s="275"/>
      <c r="Q56" s="275" t="s">
        <v>102</v>
      </c>
      <c r="R56" s="275" t="s">
        <v>103</v>
      </c>
      <c r="S56" s="275" t="s">
        <v>104</v>
      </c>
      <c r="T56" s="275" t="s">
        <v>105</v>
      </c>
      <c r="U56" s="275" t="s">
        <v>26</v>
      </c>
      <c r="V56" s="275" t="s">
        <v>27</v>
      </c>
    </row>
    <row r="57" spans="1:22" ht="31.5">
      <c r="A57" s="391"/>
      <c r="B57" s="66" t="s">
        <v>27</v>
      </c>
      <c r="C57" s="207">
        <f>'L9'!AU18</f>
        <v>0</v>
      </c>
      <c r="D57" s="208">
        <f>'L9'!AV18</f>
        <v>0</v>
      </c>
      <c r="O57" s="275"/>
      <c r="P57" s="275"/>
      <c r="Q57" s="275"/>
      <c r="R57" s="275"/>
      <c r="S57" s="275"/>
      <c r="T57" s="275"/>
      <c r="U57" s="275"/>
      <c r="V57" s="275"/>
    </row>
    <row r="58" spans="1:22" ht="31.5">
      <c r="A58" s="391"/>
      <c r="B58" s="66" t="s">
        <v>34</v>
      </c>
      <c r="C58" s="207">
        <f>'L9'!AU19</f>
        <v>2</v>
      </c>
      <c r="D58" s="208">
        <f>'L9'!AV19</f>
        <v>0</v>
      </c>
      <c r="O58" s="275"/>
      <c r="P58" s="275" t="s">
        <v>106</v>
      </c>
      <c r="Q58" s="275"/>
      <c r="R58" s="275"/>
      <c r="S58" s="275"/>
      <c r="T58" s="275"/>
      <c r="U58" s="275"/>
      <c r="V58" s="275"/>
    </row>
    <row r="59" spans="1:22" ht="31.5">
      <c r="A59" s="391"/>
      <c r="B59" s="66" t="s">
        <v>29</v>
      </c>
      <c r="C59" s="207">
        <f>'L9'!AU20</f>
        <v>2</v>
      </c>
      <c r="D59" s="208">
        <f>'L9'!AV20</f>
        <v>0</v>
      </c>
      <c r="O59" s="275"/>
      <c r="P59" s="275" t="s">
        <v>107</v>
      </c>
      <c r="Q59" s="275"/>
      <c r="R59" s="275"/>
      <c r="S59" s="275"/>
      <c r="T59" s="275"/>
      <c r="U59" s="275"/>
      <c r="V59" s="275"/>
    </row>
    <row r="60" spans="1:22" ht="32.25" thickBot="1">
      <c r="A60" s="392"/>
      <c r="B60" s="64" t="s">
        <v>35</v>
      </c>
      <c r="C60" s="209">
        <f>'L9'!AU21</f>
        <v>0</v>
      </c>
      <c r="D60" s="210">
        <f>'L9'!AV21</f>
        <v>0</v>
      </c>
      <c r="E60" s="228"/>
      <c r="F60" s="228"/>
      <c r="O60" s="275"/>
      <c r="P60" s="275" t="s">
        <v>108</v>
      </c>
      <c r="Q60" s="275"/>
      <c r="R60" s="275"/>
      <c r="S60" s="275"/>
      <c r="T60" s="275"/>
      <c r="U60" s="275"/>
      <c r="V60" s="275"/>
    </row>
    <row r="61" spans="1:22" ht="32.25" thickBot="1">
      <c r="A61" s="61"/>
      <c r="B61" s="62"/>
      <c r="C61" s="203">
        <f>SUM(C55:C60)</f>
        <v>5</v>
      </c>
      <c r="D61" s="203">
        <f>SUM(D55:D60)</f>
        <v>0</v>
      </c>
      <c r="O61" s="275"/>
      <c r="P61" s="275" t="s">
        <v>109</v>
      </c>
      <c r="Q61" s="275"/>
      <c r="R61" s="275"/>
      <c r="S61" s="275"/>
      <c r="T61" s="275"/>
      <c r="U61" s="275"/>
      <c r="V61" s="275"/>
    </row>
    <row r="62" spans="1:22" ht="31.5">
      <c r="A62" s="390">
        <v>10</v>
      </c>
      <c r="B62" s="65" t="s">
        <v>33</v>
      </c>
      <c r="C62" s="205">
        <f>'L10'!AU17</f>
        <v>3</v>
      </c>
      <c r="D62" s="206">
        <f>'L10'!AV17</f>
        <v>0</v>
      </c>
      <c r="O62" s="275"/>
      <c r="P62" s="275" t="s">
        <v>110</v>
      </c>
      <c r="Q62" s="275"/>
      <c r="R62" s="275"/>
      <c r="S62" s="275"/>
      <c r="T62" s="275"/>
      <c r="U62" s="275"/>
      <c r="V62" s="275"/>
    </row>
    <row r="63" spans="1:22" ht="31.5">
      <c r="A63" s="391"/>
      <c r="B63" s="66" t="s">
        <v>26</v>
      </c>
      <c r="C63" s="207">
        <f>'L10'!AU18</f>
        <v>0</v>
      </c>
      <c r="D63" s="208">
        <f>'L10'!AV18</f>
        <v>0</v>
      </c>
      <c r="O63" s="275"/>
      <c r="P63" s="275" t="s">
        <v>111</v>
      </c>
      <c r="Q63" s="275"/>
      <c r="R63" s="275"/>
      <c r="S63" s="275"/>
      <c r="T63" s="275"/>
      <c r="U63" s="275"/>
      <c r="V63" s="275"/>
    </row>
    <row r="64" spans="1:22" ht="31.5">
      <c r="A64" s="391"/>
      <c r="B64" s="66" t="s">
        <v>27</v>
      </c>
      <c r="C64" s="207">
        <f>'L10'!AU19</f>
        <v>0</v>
      </c>
      <c r="D64" s="208">
        <f>'L10'!AV19</f>
        <v>0</v>
      </c>
      <c r="O64" s="275"/>
      <c r="P64" s="275" t="s">
        <v>112</v>
      </c>
      <c r="Q64" s="275"/>
      <c r="R64" s="275"/>
      <c r="S64" s="275"/>
      <c r="T64" s="275"/>
      <c r="U64" s="275"/>
      <c r="V64" s="275"/>
    </row>
    <row r="65" spans="1:22" ht="31.5">
      <c r="A65" s="391"/>
      <c r="B65" s="66" t="s">
        <v>34</v>
      </c>
      <c r="C65" s="207">
        <f>'L10'!AU20</f>
        <v>1</v>
      </c>
      <c r="D65" s="208">
        <f>'L10'!AV20</f>
        <v>0</v>
      </c>
      <c r="O65" s="275" t="s">
        <v>11</v>
      </c>
      <c r="P65" s="275"/>
      <c r="Q65" s="275"/>
      <c r="R65" s="275"/>
      <c r="S65" s="275"/>
      <c r="T65" s="275"/>
      <c r="U65" s="275"/>
      <c r="V65" s="275"/>
    </row>
    <row r="66" spans="1:22" ht="31.5">
      <c r="A66" s="391"/>
      <c r="B66" s="66" t="s">
        <v>29</v>
      </c>
      <c r="C66" s="207">
        <f>'L10'!AU21</f>
        <v>1</v>
      </c>
      <c r="D66" s="208">
        <f>'L10'!AV21</f>
        <v>1</v>
      </c>
      <c r="O66" s="275"/>
      <c r="P66" s="275"/>
      <c r="Q66" s="275"/>
      <c r="R66" s="275"/>
      <c r="S66" s="275"/>
      <c r="T66" s="275"/>
      <c r="U66" s="275"/>
      <c r="V66" s="275"/>
    </row>
    <row r="67" spans="1:22" ht="27" thickBot="1">
      <c r="A67" s="392"/>
      <c r="B67" s="64" t="s">
        <v>35</v>
      </c>
      <c r="C67" s="209">
        <f>'L10'!AU22</f>
        <v>0</v>
      </c>
      <c r="D67" s="210">
        <f>'L10'!AV22</f>
        <v>0</v>
      </c>
      <c r="E67" s="228"/>
      <c r="F67" s="228"/>
    </row>
    <row r="68" spans="1:22" ht="27" thickBot="1">
      <c r="A68" s="225"/>
      <c r="B68" s="226"/>
      <c r="C68" s="227">
        <f>SUM(C62:C67)</f>
        <v>5</v>
      </c>
      <c r="D68" s="227">
        <f>SUM(D62:D67)</f>
        <v>1</v>
      </c>
    </row>
    <row r="69" spans="1:22" ht="26.25">
      <c r="A69" s="390">
        <v>11</v>
      </c>
      <c r="B69" s="65" t="s">
        <v>33</v>
      </c>
      <c r="C69" s="223">
        <f>'L11'!AU26</f>
        <v>2</v>
      </c>
      <c r="D69" s="206">
        <f>'L11'!AV26</f>
        <v>0</v>
      </c>
    </row>
    <row r="70" spans="1:22" ht="26.25">
      <c r="A70" s="391"/>
      <c r="B70" s="66" t="s">
        <v>26</v>
      </c>
      <c r="C70" s="222">
        <f>'L11'!AU27</f>
        <v>2</v>
      </c>
      <c r="D70" s="208">
        <f>'L11'!AV27</f>
        <v>0</v>
      </c>
    </row>
    <row r="71" spans="1:22" ht="26.25">
      <c r="A71" s="391"/>
      <c r="B71" s="66" t="s">
        <v>27</v>
      </c>
      <c r="C71" s="222">
        <f>'L11'!AU28</f>
        <v>0</v>
      </c>
      <c r="D71" s="208">
        <f>'L11'!AV28</f>
        <v>0</v>
      </c>
    </row>
    <row r="72" spans="1:22" ht="26.25">
      <c r="A72" s="391"/>
      <c r="B72" s="66" t="s">
        <v>34</v>
      </c>
      <c r="C72" s="222">
        <f>'L11'!AU29</f>
        <v>8</v>
      </c>
      <c r="D72" s="208">
        <f>'L11'!AV29</f>
        <v>1</v>
      </c>
    </row>
    <row r="73" spans="1:22" ht="26.25">
      <c r="A73" s="391"/>
      <c r="B73" s="66" t="s">
        <v>29</v>
      </c>
      <c r="C73" s="222">
        <f>'L11'!AU30</f>
        <v>2</v>
      </c>
      <c r="D73" s="208">
        <f>'L11'!AV30</f>
        <v>0</v>
      </c>
    </row>
    <row r="74" spans="1:22" ht="27" thickBot="1">
      <c r="A74" s="392"/>
      <c r="B74" s="64" t="s">
        <v>35</v>
      </c>
      <c r="C74" s="224">
        <f>'L11'!AU31</f>
        <v>0</v>
      </c>
      <c r="D74" s="210">
        <f>'L11'!AV31</f>
        <v>0</v>
      </c>
      <c r="E74" s="228"/>
      <c r="F74" s="228"/>
    </row>
    <row r="75" spans="1:22" ht="27" thickBot="1">
      <c r="A75" s="225"/>
      <c r="B75" s="226"/>
      <c r="C75" s="227">
        <f>SUM(C69:C74)</f>
        <v>14</v>
      </c>
      <c r="D75" s="227">
        <f>SUM(D69:D74)</f>
        <v>1</v>
      </c>
    </row>
    <row r="76" spans="1:22" ht="26.25">
      <c r="A76" s="390">
        <v>12</v>
      </c>
      <c r="B76" s="65" t="s">
        <v>33</v>
      </c>
      <c r="C76" s="223">
        <f>'L12'!AU23</f>
        <v>3</v>
      </c>
      <c r="D76" s="206">
        <f>'L12'!AV23</f>
        <v>0</v>
      </c>
    </row>
    <row r="77" spans="1:22" ht="26.25">
      <c r="A77" s="391"/>
      <c r="B77" s="66" t="s">
        <v>26</v>
      </c>
      <c r="C77" s="222">
        <f>'L12'!AU24</f>
        <v>2</v>
      </c>
      <c r="D77" s="208">
        <f>'L12'!AV24</f>
        <v>1</v>
      </c>
    </row>
    <row r="78" spans="1:22" ht="26.25">
      <c r="A78" s="391"/>
      <c r="B78" s="66" t="s">
        <v>27</v>
      </c>
      <c r="C78" s="222">
        <f>'L12'!AU25</f>
        <v>0</v>
      </c>
      <c r="D78" s="208">
        <f>'L12'!AV25</f>
        <v>0</v>
      </c>
    </row>
    <row r="79" spans="1:22" ht="26.25">
      <c r="A79" s="391"/>
      <c r="B79" s="66" t="s">
        <v>34</v>
      </c>
      <c r="C79" s="222">
        <f>'L12'!AU26</f>
        <v>4</v>
      </c>
      <c r="D79" s="208">
        <f>'L12'!AV26</f>
        <v>1</v>
      </c>
    </row>
    <row r="80" spans="1:22" ht="26.25">
      <c r="A80" s="391"/>
      <c r="B80" s="66" t="s">
        <v>29</v>
      </c>
      <c r="C80" s="222">
        <f>'L12'!AU27</f>
        <v>0</v>
      </c>
      <c r="D80" s="208">
        <f>'L12'!AV27</f>
        <v>0</v>
      </c>
    </row>
    <row r="81" spans="1:6" ht="27" thickBot="1">
      <c r="A81" s="392"/>
      <c r="B81" s="64" t="s">
        <v>35</v>
      </c>
      <c r="C81" s="224">
        <f>'L12'!AU28</f>
        <v>0</v>
      </c>
      <c r="D81" s="210">
        <f>'L12'!AV28</f>
        <v>1</v>
      </c>
      <c r="E81" s="228"/>
      <c r="F81" s="228"/>
    </row>
    <row r="82" spans="1:6" ht="27" thickBot="1">
      <c r="A82" s="225"/>
      <c r="B82" s="226"/>
      <c r="C82" s="227">
        <f>SUM(C76:C81)</f>
        <v>9</v>
      </c>
      <c r="D82" s="227">
        <f>SUM(D76:D81)</f>
        <v>3</v>
      </c>
    </row>
    <row r="83" spans="1:6" ht="26.25">
      <c r="A83" s="390">
        <v>425</v>
      </c>
      <c r="B83" s="65" t="s">
        <v>33</v>
      </c>
      <c r="C83" s="223">
        <f>'L425'!AU37</f>
        <v>5</v>
      </c>
      <c r="D83" s="223">
        <f>'L425'!AV37</f>
        <v>2</v>
      </c>
    </row>
    <row r="84" spans="1:6" ht="26.25">
      <c r="A84" s="391"/>
      <c r="B84" s="66" t="s">
        <v>26</v>
      </c>
      <c r="C84" s="222">
        <f>'L425'!AU38</f>
        <v>3</v>
      </c>
      <c r="D84" s="222">
        <f>'L425'!AV38</f>
        <v>3</v>
      </c>
    </row>
    <row r="85" spans="1:6" ht="26.25">
      <c r="A85" s="391"/>
      <c r="B85" s="66" t="s">
        <v>27</v>
      </c>
      <c r="C85" s="222">
        <f>'L425'!AU39</f>
        <v>1</v>
      </c>
      <c r="D85" s="222">
        <f>'L425'!AV39</f>
        <v>0</v>
      </c>
    </row>
    <row r="86" spans="1:6" ht="26.25">
      <c r="A86" s="391"/>
      <c r="B86" s="66" t="s">
        <v>34</v>
      </c>
      <c r="C86" s="222">
        <f>'L425'!AU40</f>
        <v>10</v>
      </c>
      <c r="D86" s="222">
        <f>'L425'!AV40</f>
        <v>2</v>
      </c>
    </row>
    <row r="87" spans="1:6" ht="26.25">
      <c r="A87" s="391"/>
      <c r="B87" s="66" t="s">
        <v>29</v>
      </c>
      <c r="C87" s="222">
        <f>'L425'!AU41</f>
        <v>0</v>
      </c>
      <c r="D87" s="222">
        <f>'L425'!AV41</f>
        <v>0</v>
      </c>
    </row>
    <row r="88" spans="1:6" ht="27" thickBot="1">
      <c r="A88" s="392"/>
      <c r="B88" s="64" t="s">
        <v>35</v>
      </c>
      <c r="C88" s="222">
        <f>'L425'!AU42</f>
        <v>0</v>
      </c>
      <c r="D88" s="222">
        <f>'L425'!AV42</f>
        <v>0</v>
      </c>
      <c r="E88" s="228"/>
      <c r="F88" s="228"/>
    </row>
    <row r="89" spans="1:6">
      <c r="C89" s="211">
        <f>SUM(C83:C88)</f>
        <v>19</v>
      </c>
      <c r="D89" s="211">
        <f t="shared" ref="D89" si="1">SUM(D83:D88)</f>
        <v>7</v>
      </c>
      <c r="E89" s="211"/>
    </row>
    <row r="91" spans="1:6" ht="26.25">
      <c r="B91" s="226" t="s">
        <v>66</v>
      </c>
      <c r="C91" s="211">
        <f>SUM(C19,C33,C40,C47,C54,C61,C68,C75,C82,C89)</f>
        <v>68</v>
      </c>
      <c r="D91" s="211">
        <f>SUM(D19,D33,D40,D47,D54,D61,D68,D75,D82,D89)</f>
        <v>13</v>
      </c>
      <c r="E91" s="228"/>
      <c r="F91" s="228"/>
    </row>
  </sheetData>
  <mergeCells count="13">
    <mergeCell ref="A34:A39"/>
    <mergeCell ref="C1:D1"/>
    <mergeCell ref="A6:A11"/>
    <mergeCell ref="A13:A18"/>
    <mergeCell ref="A20:A25"/>
    <mergeCell ref="A27:A32"/>
    <mergeCell ref="A69:A74"/>
    <mergeCell ref="A83:A88"/>
    <mergeCell ref="A41:A46"/>
    <mergeCell ref="A48:A53"/>
    <mergeCell ref="A55:A60"/>
    <mergeCell ref="A62:A67"/>
    <mergeCell ref="A76:A8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TOTAL</vt:lpstr>
      <vt:lpstr>SINUG-ANG</vt:lpstr>
      <vt:lpstr>L2</vt:lpstr>
      <vt:lpstr>L3</vt:lpstr>
      <vt:lpstr>L03</vt:lpstr>
      <vt:lpstr>L6</vt:lpstr>
      <vt:lpstr>L7</vt:lpstr>
      <vt:lpstr>L8</vt:lpstr>
      <vt:lpstr>L9</vt:lpstr>
      <vt:lpstr>L10</vt:lpstr>
      <vt:lpstr>L11</vt:lpstr>
      <vt:lpstr>L12</vt:lpstr>
      <vt:lpstr>L425</vt:lpstr>
      <vt:lpstr>L460</vt:lpstr>
      <vt:lpstr>SUMMARY</vt:lpstr>
      <vt:lpstr>'L03'!Print_Area</vt:lpstr>
      <vt:lpstr>'L10'!Print_Area</vt:lpstr>
      <vt:lpstr>'L11'!Print_Area</vt:lpstr>
      <vt:lpstr>'L12'!Print_Area</vt:lpstr>
      <vt:lpstr>'L2'!Print_Area</vt:lpstr>
      <vt:lpstr>'L3'!Print_Area</vt:lpstr>
      <vt:lpstr>'L425'!Print_Area</vt:lpstr>
      <vt:lpstr>'L460'!Print_Area</vt:lpstr>
      <vt:lpstr>'L6'!Print_Area</vt:lpstr>
      <vt:lpstr>'L7'!Print_Area</vt:lpstr>
      <vt:lpstr>'L8'!Print_Area</vt:lpstr>
      <vt:lpstr>'L9'!Print_Area</vt:lpstr>
      <vt:lpstr>'SINUG-ANG'!Print_Area</vt:lpstr>
      <vt:lpstr>TOTAL!Print_Area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Franklin Donald P. Arguelles</cp:lastModifiedBy>
  <cp:lastPrinted>2026-05-12T00:50:52Z</cp:lastPrinted>
  <dcterms:created xsi:type="dcterms:W3CDTF">2011-10-18T23:37:36Z</dcterms:created>
  <dcterms:modified xsi:type="dcterms:W3CDTF">2026-06-24T00:39:40Z</dcterms:modified>
</cp:coreProperties>
</file>