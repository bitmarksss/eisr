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8. SHARED\LOZADA FILES\EXPLOSIVES USAGE ANALYSIS\EXPLOSIVES USAGE ANALYSIS 2026\"/>
    </mc:Choice>
  </mc:AlternateContent>
  <xr:revisionPtr revIDLastSave="0" documentId="13_ncr:1_{56EA5C61-87E2-4B6D-8078-00592772B5D3}" xr6:coauthVersionLast="47" xr6:coauthVersionMax="47" xr10:uidLastSave="{00000000-0000-0000-0000-000000000000}"/>
  <bookViews>
    <workbookView xWindow="-120" yWindow="-120" windowWidth="29040" windowHeight="15720" tabRatio="855" firstSheet="3" activeTab="11" xr2:uid="{00000000-000D-0000-FFFF-FFFF00000000}"/>
  </bookViews>
  <sheets>
    <sheet name="MT.ROCK (PURCHASED &amp; SF)" sheetId="13" r:id="rId1"/>
    <sheet name="EXPEDITION (PURCHASED &amp; SF)" sheetId="14" r:id="rId2"/>
    <sheet name="PURCHASED &amp; SF ANALYSIS" sheetId="12" r:id="rId3"/>
    <sheet name="BUDGET VS USAGE ANALYSIS" sheetId="1" r:id="rId4"/>
    <sheet name="MONTHLY COST" sheetId="11" r:id="rId5"/>
    <sheet name="SOH-MAY" sheetId="6" r:id="rId6"/>
    <sheet name="INVENTORY-MAY" sheetId="10" r:id="rId7"/>
    <sheet name="EXEL 2.4 (SOH MINE)" sheetId="7" r:id="rId8"/>
    <sheet name="EXEL 3.6 (SOH MINE)" sheetId="8" r:id="rId9"/>
    <sheet name="SUPREME (SOH MINE)" sheetId="9" r:id="rId10"/>
    <sheet name="EXPEDITION " sheetId="2" r:id="rId11"/>
    <sheet name="MT.ROCK" sheetId="3" r:id="rId12"/>
    <sheet name="TOTAL COST CY2023-2026" sheetId="16" r:id="rId13"/>
    <sheet name="FORECAST SUPPLIER AND PMC STOCK" sheetId="15" r:id="rId14"/>
    <sheet name="MAGAZINE CAPACITY" sheetId="18" r:id="rId15"/>
  </sheets>
  <definedNames>
    <definedName name="_xlnm._FilterDatabase" localSheetId="1" hidden="1">'EXPEDITION (PURCHASED &amp; SF)'!$A$2:$I$106</definedName>
    <definedName name="_xlnm._FilterDatabase" localSheetId="0" hidden="1">'MT.ROCK (PURCHASED &amp; SF)'!$A$2:$D$105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B3" i="3" l="1"/>
  <c r="C16" i="3" l="1"/>
  <c r="C14" i="3"/>
  <c r="C11" i="3"/>
  <c r="BD14" i="6" l="1"/>
  <c r="AO12" i="10"/>
  <c r="C14" i="2" l="1"/>
  <c r="C13" i="2"/>
  <c r="C12" i="2"/>
  <c r="C11" i="2"/>
  <c r="AS15" i="6" l="1"/>
  <c r="AT15" i="6"/>
  <c r="AU15" i="6"/>
  <c r="AV15" i="6"/>
  <c r="AW15" i="6"/>
  <c r="AX15" i="6"/>
  <c r="AY15" i="6"/>
  <c r="AZ15" i="6"/>
  <c r="AR15" i="6"/>
  <c r="BC14" i="6" l="1"/>
  <c r="N5" i="7" l="1"/>
  <c r="O5" i="7" s="1"/>
  <c r="BI11" i="6" l="1"/>
  <c r="N6" i="7" l="1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BI12" i="6"/>
  <c r="N20" i="7" l="1"/>
  <c r="BI28" i="6"/>
  <c r="F19" i="8" l="1"/>
  <c r="AR25" i="6" s="1"/>
  <c r="A1" i="7" l="1"/>
  <c r="BA12" i="6" l="1"/>
  <c r="BB12" i="6" s="1"/>
  <c r="BL12" i="6" l="1"/>
  <c r="AM7" i="10" l="1"/>
  <c r="BI13" i="6" l="1"/>
  <c r="BI14" i="6"/>
  <c r="BI15" i="6"/>
  <c r="BI16" i="6"/>
  <c r="BI17" i="6"/>
  <c r="BI18" i="6"/>
  <c r="BI19" i="6"/>
  <c r="BI20" i="6"/>
  <c r="BI21" i="6"/>
  <c r="BI22" i="6"/>
  <c r="BI23" i="6"/>
  <c r="O21" i="7" s="1"/>
  <c r="BI24" i="6"/>
  <c r="BI25" i="6"/>
  <c r="R20" i="8" s="1"/>
  <c r="BI26" i="6"/>
  <c r="BI27" i="6"/>
  <c r="BI29" i="6"/>
  <c r="BI30" i="6"/>
  <c r="BI31" i="6"/>
  <c r="BI32" i="6"/>
  <c r="BI33" i="6"/>
  <c r="BJ11" i="6"/>
  <c r="BA14" i="6" l="1"/>
  <c r="BB14" i="6" s="1"/>
  <c r="I7" i="10" l="1"/>
  <c r="A6" i="10" l="1"/>
  <c r="J20" i="7" l="1"/>
  <c r="AW23" i="6" s="1"/>
  <c r="BA13" i="6" l="1"/>
  <c r="BB13" i="6" s="1"/>
  <c r="K44" i="18" l="1"/>
  <c r="J38" i="18"/>
  <c r="K43" i="18"/>
  <c r="H100" i="18" l="1"/>
  <c r="L63" i="18"/>
  <c r="H63" i="18"/>
  <c r="G63" i="18"/>
  <c r="F63" i="18"/>
  <c r="E63" i="18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K56" i="18" s="1"/>
  <c r="J55" i="18"/>
  <c r="K55" i="18" s="1"/>
  <c r="J54" i="18"/>
  <c r="K54" i="18" s="1"/>
  <c r="J53" i="18"/>
  <c r="K53" i="18" s="1"/>
  <c r="I52" i="18"/>
  <c r="I63" i="18" s="1"/>
  <c r="J51" i="18"/>
  <c r="K51" i="18" s="1"/>
  <c r="J50" i="18"/>
  <c r="K50" i="18" s="1"/>
  <c r="J49" i="18"/>
  <c r="K49" i="18" s="1"/>
  <c r="J48" i="18"/>
  <c r="K48" i="18" s="1"/>
  <c r="E42" i="18"/>
  <c r="J42" i="18" s="1"/>
  <c r="D42" i="18"/>
  <c r="E41" i="18"/>
  <c r="J41" i="18" s="1"/>
  <c r="D41" i="18"/>
  <c r="J40" i="18"/>
  <c r="K40" i="18" s="1"/>
  <c r="J39" i="18"/>
  <c r="K39" i="18" s="1"/>
  <c r="K38" i="18"/>
  <c r="L32" i="18"/>
  <c r="K32" i="18"/>
  <c r="J32" i="18"/>
  <c r="I32" i="18"/>
  <c r="H32" i="18"/>
  <c r="G32" i="18"/>
  <c r="F32" i="18"/>
  <c r="E32" i="18"/>
  <c r="M31" i="18"/>
  <c r="M30" i="18"/>
  <c r="M29" i="18"/>
  <c r="M28" i="18"/>
  <c r="M27" i="18"/>
  <c r="M26" i="18"/>
  <c r="M25" i="18"/>
  <c r="M24" i="18"/>
  <c r="M23" i="18"/>
  <c r="M22" i="18"/>
  <c r="M21" i="18"/>
  <c r="AD20" i="18"/>
  <c r="M20" i="18"/>
  <c r="AD19" i="18"/>
  <c r="M19" i="18"/>
  <c r="M18" i="18"/>
  <c r="M17" i="18"/>
  <c r="M13" i="18"/>
  <c r="M12" i="18"/>
  <c r="AD11" i="18"/>
  <c r="M11" i="18"/>
  <c r="M10" i="18"/>
  <c r="M9" i="18"/>
  <c r="M8" i="18"/>
  <c r="M7" i="18"/>
  <c r="K41" i="18" l="1"/>
  <c r="K42" i="18"/>
  <c r="J52" i="18"/>
  <c r="K52" i="18" s="1"/>
  <c r="K63" i="18" s="1"/>
  <c r="J63" i="18" l="1"/>
  <c r="AU10" i="10" l="1"/>
  <c r="E20" i="7"/>
  <c r="AR23" i="6" s="1"/>
  <c r="H16" i="3" l="1"/>
  <c r="AV10" i="10" l="1"/>
  <c r="AU11" i="10"/>
  <c r="AV11" i="10" s="1"/>
  <c r="AU12" i="10"/>
  <c r="AV12" i="10" s="1"/>
  <c r="AU13" i="10"/>
  <c r="AV13" i="10" s="1"/>
  <c r="AU14" i="10"/>
  <c r="AV14" i="10" s="1"/>
  <c r="AU15" i="10"/>
  <c r="AV15" i="10" s="1"/>
  <c r="AU16" i="10"/>
  <c r="AV16" i="10" s="1"/>
  <c r="AU17" i="10"/>
  <c r="AV17" i="10" s="1"/>
  <c r="AU18" i="10"/>
  <c r="AV18" i="10" s="1"/>
  <c r="AU19" i="10"/>
  <c r="AV19" i="10" s="1"/>
  <c r="AU20" i="10"/>
  <c r="AV20" i="10" s="1"/>
  <c r="AU21" i="10"/>
  <c r="AV21" i="10" s="1"/>
  <c r="AU22" i="10"/>
  <c r="AV22" i="10" s="1"/>
  <c r="AU23" i="10"/>
  <c r="AV23" i="10" s="1"/>
  <c r="AU24" i="10"/>
  <c r="AV24" i="10" s="1"/>
  <c r="AU25" i="10"/>
  <c r="AV25" i="10" s="1"/>
  <c r="AU26" i="10"/>
  <c r="AV26" i="10" s="1"/>
  <c r="AU27" i="10"/>
  <c r="AV27" i="10" s="1"/>
  <c r="AU28" i="10"/>
  <c r="AV28" i="10" s="1"/>
  <c r="AU29" i="10"/>
  <c r="AV29" i="10" s="1"/>
  <c r="AU30" i="10"/>
  <c r="AV30" i="10" s="1"/>
  <c r="AU31" i="10"/>
  <c r="AV31" i="10" s="1"/>
  <c r="I20" i="7" l="1"/>
  <c r="AK7" i="10" l="1"/>
  <c r="AL7" i="10"/>
  <c r="G20" i="7" l="1"/>
  <c r="AT23" i="6" s="1"/>
  <c r="M20" i="7" l="1"/>
  <c r="AZ23" i="6" s="1"/>
  <c r="D14" i="2" l="1"/>
  <c r="K20" i="7" l="1"/>
  <c r="AX23" i="6" s="1"/>
  <c r="O44" i="15" l="1"/>
  <c r="AV23" i="6"/>
  <c r="L20" i="7" l="1"/>
  <c r="AY23" i="6" s="1"/>
  <c r="E19" i="8" l="1"/>
  <c r="D2" i="8" l="1"/>
  <c r="F23" i="2" l="1"/>
  <c r="H23" i="2" s="1"/>
  <c r="F13" i="2" l="1"/>
  <c r="H13" i="2" s="1"/>
  <c r="D20" i="7" l="1"/>
  <c r="AP23" i="6" s="1"/>
  <c r="H20" i="7" l="1"/>
  <c r="AU23" i="6" s="1"/>
  <c r="A1" i="9"/>
  <c r="M19" i="8" l="1"/>
  <c r="AW25" i="6" s="1"/>
  <c r="O19" i="8"/>
  <c r="AY25" i="6" s="1"/>
  <c r="AN12" i="6" l="1"/>
  <c r="R5" i="7" l="1"/>
  <c r="P19" i="8" l="1"/>
  <c r="AZ25" i="6" s="1"/>
  <c r="AU9" i="10" l="1"/>
  <c r="BA29" i="6" l="1"/>
  <c r="BB29" i="6" s="1"/>
  <c r="BA30" i="6"/>
  <c r="BB30" i="6" s="1"/>
  <c r="BA31" i="6"/>
  <c r="BB31" i="6" s="1"/>
  <c r="BA32" i="6"/>
  <c r="BB32" i="6" s="1"/>
  <c r="BA24" i="6"/>
  <c r="BB24" i="6" s="1"/>
  <c r="BA17" i="6"/>
  <c r="BB17" i="6" s="1"/>
  <c r="BA18" i="6"/>
  <c r="BB18" i="6" s="1"/>
  <c r="BA19" i="6"/>
  <c r="BB19" i="6" s="1"/>
  <c r="BA20" i="6"/>
  <c r="BB20" i="6" s="1"/>
  <c r="BA21" i="6"/>
  <c r="BB21" i="6" s="1"/>
  <c r="BA22" i="6"/>
  <c r="BB22" i="6" s="1"/>
  <c r="BA16" i="6"/>
  <c r="BB16" i="6" s="1"/>
  <c r="E12" i="3" l="1"/>
  <c r="N19" i="8" l="1"/>
  <c r="AX25" i="6" s="1"/>
  <c r="Q8" i="8" l="1"/>
  <c r="R8" i="8" s="1"/>
  <c r="S8" i="8" s="1"/>
  <c r="U8" i="8"/>
  <c r="F21" i="2" l="1"/>
  <c r="H21" i="2" s="1"/>
  <c r="D25" i="2"/>
  <c r="H25" i="2" s="1"/>
  <c r="F24" i="2"/>
  <c r="H24" i="2" s="1"/>
  <c r="H14" i="2"/>
  <c r="E12" i="2"/>
  <c r="H12" i="2" s="1"/>
  <c r="D11" i="2"/>
  <c r="H11" i="2" s="1"/>
  <c r="H22" i="2"/>
  <c r="H20" i="2"/>
  <c r="H19" i="2"/>
  <c r="H17" i="2"/>
  <c r="D15" i="2"/>
  <c r="H15" i="2" s="1"/>
  <c r="CK12" i="6" l="1"/>
  <c r="CL12" i="6"/>
  <c r="CK13" i="6"/>
  <c r="L19" i="8" l="1"/>
  <c r="AV25" i="6" s="1"/>
  <c r="Q4" i="8"/>
  <c r="R4" i="8" s="1"/>
  <c r="O15" i="15" l="1"/>
  <c r="P15" i="15" s="1"/>
  <c r="BU12" i="6" l="1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T30" i="6"/>
  <c r="BT31" i="6"/>
  <c r="BT32" i="6"/>
  <c r="BT33" i="6"/>
  <c r="BS12" i="6"/>
  <c r="BS13" i="6"/>
  <c r="BS14" i="6"/>
  <c r="BS15" i="6"/>
  <c r="BS16" i="6"/>
  <c r="BS17" i="6"/>
  <c r="BS18" i="6"/>
  <c r="BS19" i="6"/>
  <c r="BS20" i="6"/>
  <c r="BS21" i="6"/>
  <c r="BS22" i="6"/>
  <c r="BS23" i="6"/>
  <c r="BS24" i="6"/>
  <c r="BS25" i="6"/>
  <c r="BS26" i="6"/>
  <c r="BS27" i="6"/>
  <c r="BS28" i="6"/>
  <c r="BS29" i="6"/>
  <c r="BS30" i="6"/>
  <c r="BS31" i="6"/>
  <c r="BS32" i="6"/>
  <c r="BS33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O12" i="6"/>
  <c r="BO13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28" i="6"/>
  <c r="BO29" i="6"/>
  <c r="BO30" i="6"/>
  <c r="BO31" i="6"/>
  <c r="BO32" i="6"/>
  <c r="BO33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M12" i="6"/>
  <c r="CN12" i="6"/>
  <c r="CO12" i="6"/>
  <c r="CP12" i="6"/>
  <c r="CQ12" i="6"/>
  <c r="CR12" i="6"/>
  <c r="CS12" i="6"/>
  <c r="CT12" i="6" l="1"/>
  <c r="BQ34" i="6"/>
  <c r="BO11" i="6"/>
  <c r="BO34" i="6" s="1"/>
  <c r="BP11" i="6"/>
  <c r="BP34" i="6" s="1"/>
  <c r="BP35" i="6" s="1"/>
  <c r="BR11" i="6"/>
  <c r="BR34" i="6" s="1"/>
  <c r="BS11" i="6"/>
  <c r="BS34" i="6" s="1"/>
  <c r="BT11" i="6"/>
  <c r="BT34" i="6" s="1"/>
  <c r="BU11" i="6"/>
  <c r="BU34" i="6" s="1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L11" i="6"/>
  <c r="CM11" i="6"/>
  <c r="CN11" i="6"/>
  <c r="CO11" i="6"/>
  <c r="CP11" i="6"/>
  <c r="CQ11" i="6"/>
  <c r="CR11" i="6"/>
  <c r="CS11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L13" i="6"/>
  <c r="CM13" i="6"/>
  <c r="CN13" i="6"/>
  <c r="CO13" i="6"/>
  <c r="CP13" i="6"/>
  <c r="CQ13" i="6"/>
  <c r="CR13" i="6"/>
  <c r="CS13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 l="1"/>
  <c r="CT13" i="6"/>
  <c r="CT32" i="6"/>
  <c r="CT31" i="6"/>
  <c r="CT30" i="6"/>
  <c r="CT28" i="6"/>
  <c r="CT27" i="6"/>
  <c r="CT26" i="6"/>
  <c r="CT25" i="6"/>
  <c r="CT24" i="6"/>
  <c r="CT23" i="6"/>
  <c r="CT22" i="6"/>
  <c r="CT21" i="6"/>
  <c r="CT20" i="6"/>
  <c r="CT19" i="6"/>
  <c r="CT18" i="6"/>
  <c r="CT17" i="6"/>
  <c r="CT16" i="6"/>
  <c r="CT15" i="6"/>
  <c r="CT14" i="6"/>
  <c r="CT29" i="6"/>
  <c r="CG34" i="6"/>
  <c r="CA34" i="6"/>
  <c r="BY34" i="6"/>
  <c r="CE34" i="6"/>
  <c r="CF34" i="6"/>
  <c r="BZ34" i="6"/>
  <c r="CN34" i="6"/>
  <c r="CM34" i="6"/>
  <c r="CL34" i="6"/>
  <c r="CK34" i="6"/>
  <c r="CQ34" i="6"/>
  <c r="CJ34" i="6"/>
  <c r="CD34" i="6"/>
  <c r="BX34" i="6"/>
  <c r="CR34" i="6"/>
  <c r="CP34" i="6"/>
  <c r="CI34" i="6"/>
  <c r="CC34" i="6"/>
  <c r="BW34" i="6"/>
  <c r="CS34" i="6"/>
  <c r="CO34" i="6"/>
  <c r="CH34" i="6"/>
  <c r="CB34" i="6"/>
  <c r="BV34" i="6"/>
  <c r="CD37" i="6" l="1"/>
  <c r="CT34" i="6"/>
  <c r="CU12" i="6"/>
  <c r="AO12" i="6"/>
  <c r="D2" i="9" l="1"/>
  <c r="B16" i="16" l="1"/>
  <c r="C16" i="16"/>
  <c r="E11" i="3" l="1"/>
  <c r="T2" i="8" l="1"/>
  <c r="U18" i="8" l="1"/>
  <c r="U17" i="8"/>
  <c r="U16" i="8"/>
  <c r="U15" i="8"/>
  <c r="U14" i="8"/>
  <c r="U13" i="8"/>
  <c r="U12" i="8"/>
  <c r="U11" i="8"/>
  <c r="U10" i="8"/>
  <c r="U9" i="8"/>
  <c r="U7" i="8"/>
  <c r="U6" i="8"/>
  <c r="U5" i="8"/>
  <c r="U4" i="8"/>
  <c r="U19" i="8" l="1"/>
  <c r="K32" i="10" l="1"/>
  <c r="AN15" i="6" l="1"/>
  <c r="AO15" i="6" s="1"/>
  <c r="O10" i="15" l="1"/>
  <c r="O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19" i="15"/>
  <c r="O11" i="15"/>
  <c r="O13" i="15"/>
  <c r="O14" i="15"/>
  <c r="P5" i="7"/>
  <c r="O12" i="15" l="1"/>
  <c r="D14" i="3" l="1"/>
  <c r="S4" i="8" l="1"/>
  <c r="G19" i="8"/>
  <c r="H19" i="8"/>
  <c r="I19" i="8"/>
  <c r="J19" i="8"/>
  <c r="AT25" i="6" s="1"/>
  <c r="K19" i="8"/>
  <c r="AU25" i="6" s="1"/>
  <c r="C47" i="2" l="1"/>
  <c r="C48" i="2" l="1"/>
  <c r="C16" i="2" s="1"/>
  <c r="AI34" i="6"/>
  <c r="BJ13" i="6" l="1"/>
  <c r="AN11" i="6"/>
  <c r="AO11" i="6" s="1"/>
  <c r="Q20" i="7"/>
  <c r="Q5" i="8" l="1"/>
  <c r="Q6" i="8"/>
  <c r="Q7" i="8"/>
  <c r="Q9" i="8"/>
  <c r="Q10" i="8"/>
  <c r="Q11" i="8"/>
  <c r="Q12" i="8"/>
  <c r="Q13" i="8"/>
  <c r="Q14" i="8"/>
  <c r="Q15" i="8"/>
  <c r="Q16" i="8"/>
  <c r="Q17" i="8"/>
  <c r="Q18" i="8"/>
  <c r="Q19" i="8" l="1"/>
  <c r="AN13" i="6"/>
  <c r="AO13" i="6" s="1"/>
  <c r="AN14" i="6"/>
  <c r="AO14" i="6" s="1"/>
  <c r="AN16" i="6"/>
  <c r="AO16" i="6" s="1"/>
  <c r="AN17" i="6"/>
  <c r="AO17" i="6" s="1"/>
  <c r="AN18" i="6"/>
  <c r="AO18" i="6" s="1"/>
  <c r="AN19" i="6"/>
  <c r="AO19" i="6" s="1"/>
  <c r="AN20" i="6"/>
  <c r="AO20" i="6" s="1"/>
  <c r="AN21" i="6"/>
  <c r="AO21" i="6" s="1"/>
  <c r="AN22" i="6"/>
  <c r="AO22" i="6" s="1"/>
  <c r="AN23" i="6"/>
  <c r="AO23" i="6" s="1"/>
  <c r="AN24" i="6"/>
  <c r="AO24" i="6" s="1"/>
  <c r="AN25" i="6"/>
  <c r="AO25" i="6" s="1"/>
  <c r="AN26" i="6"/>
  <c r="AO26" i="6" s="1"/>
  <c r="AN27" i="6"/>
  <c r="AO27" i="6" s="1"/>
  <c r="AN28" i="6"/>
  <c r="AO28" i="6" s="1"/>
  <c r="AN29" i="6"/>
  <c r="AO29" i="6" s="1"/>
  <c r="AN30" i="6"/>
  <c r="AO30" i="6" s="1"/>
  <c r="AN31" i="6"/>
  <c r="AO31" i="6" s="1"/>
  <c r="AN32" i="6"/>
  <c r="AO32" i="6" s="1"/>
  <c r="AN33" i="6"/>
  <c r="AO33" i="6" s="1"/>
  <c r="AO34" i="6" l="1"/>
  <c r="E8" i="16" s="1"/>
  <c r="E16" i="16" l="1"/>
  <c r="BJ21" i="6" l="1"/>
  <c r="T19" i="8" l="1"/>
  <c r="F34" i="6" l="1"/>
  <c r="X34" i="6" l="1"/>
  <c r="H11" i="3" l="1"/>
  <c r="AX10" i="10" l="1"/>
  <c r="BJ12" i="6" l="1"/>
  <c r="C40" i="3" l="1"/>
  <c r="Q2" i="9" l="1"/>
  <c r="BJ14" i="6"/>
  <c r="BJ15" i="6"/>
  <c r="BJ16" i="6"/>
  <c r="BJ17" i="6"/>
  <c r="BJ18" i="6"/>
  <c r="BJ19" i="6"/>
  <c r="O20" i="9"/>
  <c r="BJ23" i="6"/>
  <c r="BJ25" i="6"/>
  <c r="BJ26" i="6"/>
  <c r="BJ27" i="6"/>
  <c r="BJ28" i="6"/>
  <c r="BJ29" i="6"/>
  <c r="BJ30" i="6"/>
  <c r="BJ31" i="6"/>
  <c r="BJ32" i="6"/>
  <c r="L19" i="9"/>
  <c r="N4" i="9"/>
  <c r="O4" i="9" s="1"/>
  <c r="P4" i="9" s="1"/>
  <c r="T31" i="15"/>
  <c r="T32" i="15"/>
  <c r="T33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P33" i="15"/>
  <c r="P27" i="15"/>
  <c r="P24" i="15"/>
  <c r="P23" i="15"/>
  <c r="P22" i="15"/>
  <c r="N5" i="9"/>
  <c r="O5" i="9" s="1"/>
  <c r="P5" i="9" s="1"/>
  <c r="N6" i="9"/>
  <c r="O6" i="9" s="1"/>
  <c r="N7" i="9"/>
  <c r="O7" i="9" s="1"/>
  <c r="P7" i="9" s="1"/>
  <c r="N8" i="9"/>
  <c r="O8" i="9" s="1"/>
  <c r="P8" i="9" s="1"/>
  <c r="N9" i="9"/>
  <c r="O9" i="9" s="1"/>
  <c r="P9" i="9" s="1"/>
  <c r="N10" i="9"/>
  <c r="O10" i="9" s="1"/>
  <c r="P10" i="9" s="1"/>
  <c r="N11" i="9"/>
  <c r="O11" i="9" s="1"/>
  <c r="P11" i="9" s="1"/>
  <c r="N12" i="9"/>
  <c r="O12" i="9" s="1"/>
  <c r="P12" i="9" s="1"/>
  <c r="N13" i="9"/>
  <c r="O13" i="9" s="1"/>
  <c r="P13" i="9" s="1"/>
  <c r="N14" i="9"/>
  <c r="O14" i="9" s="1"/>
  <c r="P14" i="9" s="1"/>
  <c r="N15" i="9"/>
  <c r="O15" i="9" s="1"/>
  <c r="P15" i="9" s="1"/>
  <c r="N16" i="9"/>
  <c r="O16" i="9" s="1"/>
  <c r="P16" i="9" s="1"/>
  <c r="N17" i="9"/>
  <c r="O17" i="9" s="1"/>
  <c r="P17" i="9" s="1"/>
  <c r="N18" i="9"/>
  <c r="O18" i="9" s="1"/>
  <c r="P18" i="9" s="1"/>
  <c r="D19" i="9"/>
  <c r="O6" i="7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67" i="15"/>
  <c r="P67" i="15" s="1"/>
  <c r="O68" i="15"/>
  <c r="P68" i="15" s="1"/>
  <c r="P9" i="15"/>
  <c r="O54" i="15"/>
  <c r="P54" i="15" s="1"/>
  <c r="P10" i="15"/>
  <c r="P11" i="15"/>
  <c r="P13" i="15"/>
  <c r="P14" i="15"/>
  <c r="P19" i="15"/>
  <c r="P20" i="15"/>
  <c r="P21" i="15"/>
  <c r="P25" i="15"/>
  <c r="P26" i="15"/>
  <c r="P28" i="15"/>
  <c r="P29" i="15"/>
  <c r="P30" i="15"/>
  <c r="P31" i="15"/>
  <c r="P32" i="15"/>
  <c r="P44" i="15"/>
  <c r="O45" i="15"/>
  <c r="P45" i="15" s="1"/>
  <c r="O46" i="15"/>
  <c r="P46" i="15" s="1"/>
  <c r="O48" i="15"/>
  <c r="P48" i="15" s="1"/>
  <c r="O49" i="15"/>
  <c r="P49" i="15" s="1"/>
  <c r="O55" i="15"/>
  <c r="P55" i="15" s="1"/>
  <c r="O56" i="15"/>
  <c r="P56" i="15" s="1"/>
  <c r="O57" i="15"/>
  <c r="P57" i="15" s="1"/>
  <c r="O58" i="15"/>
  <c r="P58" i="15" s="1"/>
  <c r="O59" i="15"/>
  <c r="P59" i="15" s="1"/>
  <c r="O60" i="15"/>
  <c r="P60" i="15" s="1"/>
  <c r="O61" i="15"/>
  <c r="P61" i="15" s="1"/>
  <c r="O62" i="15"/>
  <c r="P62" i="15" s="1"/>
  <c r="O63" i="15"/>
  <c r="P63" i="15" s="1"/>
  <c r="O64" i="15"/>
  <c r="P64" i="15" s="1"/>
  <c r="O65" i="15"/>
  <c r="P65" i="15" s="1"/>
  <c r="O66" i="15"/>
  <c r="P66" i="15" s="1"/>
  <c r="O47" i="15"/>
  <c r="AV9" i="10"/>
  <c r="U6" i="11"/>
  <c r="U5" i="11"/>
  <c r="U4" i="11"/>
  <c r="E26" i="3"/>
  <c r="E27" i="3"/>
  <c r="E28" i="3"/>
  <c r="E29" i="3"/>
  <c r="E30" i="3"/>
  <c r="E31" i="3"/>
  <c r="E32" i="3"/>
  <c r="E33" i="3"/>
  <c r="E34" i="3"/>
  <c r="E35" i="3"/>
  <c r="E36" i="3"/>
  <c r="E25" i="3"/>
  <c r="F17" i="3"/>
  <c r="H17" i="3" s="1"/>
  <c r="H14" i="3"/>
  <c r="E10" i="3"/>
  <c r="H10" i="3" s="1"/>
  <c r="H12" i="3"/>
  <c r="AX9" i="10"/>
  <c r="AI32" i="10"/>
  <c r="AB32" i="10"/>
  <c r="U32" i="10"/>
  <c r="N32" i="10"/>
  <c r="C68" i="2"/>
  <c r="C69" i="2" s="1"/>
  <c r="C18" i="2" s="1"/>
  <c r="D18" i="2" s="1"/>
  <c r="H18" i="2" s="1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AM32" i="10"/>
  <c r="AJ32" i="10"/>
  <c r="AK32" i="10"/>
  <c r="AL32" i="10"/>
  <c r="AH32" i="10"/>
  <c r="AG32" i="10"/>
  <c r="AF32" i="10"/>
  <c r="AD32" i="10"/>
  <c r="AE32" i="10"/>
  <c r="F20" i="7"/>
  <c r="AC32" i="10"/>
  <c r="AA32" i="10"/>
  <c r="X32" i="10"/>
  <c r="Y32" i="10"/>
  <c r="Z32" i="10"/>
  <c r="W32" i="10"/>
  <c r="V32" i="10"/>
  <c r="T32" i="10"/>
  <c r="S32" i="10"/>
  <c r="R32" i="10"/>
  <c r="Q32" i="10"/>
  <c r="P32" i="10"/>
  <c r="O32" i="10"/>
  <c r="O34" i="6"/>
  <c r="P34" i="6"/>
  <c r="L32" i="10"/>
  <c r="M32" i="10"/>
  <c r="J32" i="10"/>
  <c r="I32" i="10"/>
  <c r="A1" i="8"/>
  <c r="AX12" i="10"/>
  <c r="AX11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O7" i="11"/>
  <c r="F13" i="3"/>
  <c r="H13" i="3" s="1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32" i="2"/>
  <c r="AL34" i="6"/>
  <c r="H30" i="6"/>
  <c r="I19" i="9"/>
  <c r="Y34" i="6"/>
  <c r="CL9" i="6"/>
  <c r="R9" i="8"/>
  <c r="S9" i="8" s="1"/>
  <c r="N2" i="9"/>
  <c r="Q2" i="8"/>
  <c r="AM34" i="6"/>
  <c r="D15" i="12"/>
  <c r="C18" i="12"/>
  <c r="D17" i="12"/>
  <c r="D16" i="12"/>
  <c r="D5" i="12"/>
  <c r="D6" i="12"/>
  <c r="D7" i="12"/>
  <c r="C8" i="12"/>
  <c r="H106" i="14"/>
  <c r="I106" i="14" s="1"/>
  <c r="C106" i="14"/>
  <c r="D106" i="14" s="1"/>
  <c r="H105" i="14"/>
  <c r="I105" i="14" s="1"/>
  <c r="C105" i="14"/>
  <c r="D105" i="14" s="1"/>
  <c r="H104" i="14"/>
  <c r="I104" i="14" s="1"/>
  <c r="C104" i="14"/>
  <c r="D104" i="14" s="1"/>
  <c r="H103" i="14"/>
  <c r="I103" i="14" s="1"/>
  <c r="C103" i="14"/>
  <c r="D103" i="14" s="1"/>
  <c r="H102" i="14"/>
  <c r="I102" i="14" s="1"/>
  <c r="C102" i="14"/>
  <c r="D102" i="14" s="1"/>
  <c r="H101" i="14"/>
  <c r="I101" i="14" s="1"/>
  <c r="C101" i="14"/>
  <c r="D101" i="14" s="1"/>
  <c r="H99" i="14"/>
  <c r="I99" i="14" s="1"/>
  <c r="C99" i="14"/>
  <c r="D99" i="14" s="1"/>
  <c r="H98" i="14"/>
  <c r="I98" i="14" s="1"/>
  <c r="C98" i="14"/>
  <c r="D98" i="14" s="1"/>
  <c r="H97" i="14"/>
  <c r="I97" i="14" s="1"/>
  <c r="C97" i="14"/>
  <c r="D97" i="14" s="1"/>
  <c r="H96" i="14"/>
  <c r="C96" i="14"/>
  <c r="D96" i="14" s="1"/>
  <c r="H95" i="14"/>
  <c r="I95" i="14" s="1"/>
  <c r="H94" i="14"/>
  <c r="I94" i="14" s="1"/>
  <c r="C94" i="14"/>
  <c r="D94" i="14" s="1"/>
  <c r="H93" i="14"/>
  <c r="I93" i="14" s="1"/>
  <c r="C93" i="14"/>
  <c r="D93" i="14" s="1"/>
  <c r="H92" i="14"/>
  <c r="I92" i="14" s="1"/>
  <c r="C92" i="14"/>
  <c r="D92" i="14" s="1"/>
  <c r="H91" i="14"/>
  <c r="I91" i="14" s="1"/>
  <c r="C91" i="14"/>
  <c r="D91" i="14" s="1"/>
  <c r="H90" i="14"/>
  <c r="I90" i="14" s="1"/>
  <c r="C90" i="14"/>
  <c r="D90" i="14" s="1"/>
  <c r="H89" i="14"/>
  <c r="I89" i="14" s="1"/>
  <c r="C89" i="14"/>
  <c r="D89" i="14" s="1"/>
  <c r="H88" i="14"/>
  <c r="I88" i="14" s="1"/>
  <c r="C88" i="14"/>
  <c r="D88" i="14" s="1"/>
  <c r="H87" i="14"/>
  <c r="I87" i="14" s="1"/>
  <c r="C87" i="14"/>
  <c r="D87" i="14" s="1"/>
  <c r="H86" i="14"/>
  <c r="I86" i="14" s="1"/>
  <c r="C86" i="14"/>
  <c r="D86" i="14" s="1"/>
  <c r="H85" i="14"/>
  <c r="I85" i="14" s="1"/>
  <c r="C85" i="14"/>
  <c r="D85" i="14" s="1"/>
  <c r="H84" i="14"/>
  <c r="I84" i="14" s="1"/>
  <c r="C84" i="14"/>
  <c r="H83" i="14"/>
  <c r="I83" i="14" s="1"/>
  <c r="C83" i="14"/>
  <c r="D83" i="14" s="1"/>
  <c r="H82" i="14"/>
  <c r="I82" i="14" s="1"/>
  <c r="C82" i="14"/>
  <c r="D82" i="14" s="1"/>
  <c r="H81" i="14"/>
  <c r="I81" i="14" s="1"/>
  <c r="C81" i="14"/>
  <c r="D81" i="14" s="1"/>
  <c r="H80" i="14"/>
  <c r="I80" i="14" s="1"/>
  <c r="C80" i="14"/>
  <c r="D80" i="14" s="1"/>
  <c r="H79" i="14"/>
  <c r="I79" i="14" s="1"/>
  <c r="C79" i="14"/>
  <c r="D79" i="14" s="1"/>
  <c r="H78" i="14"/>
  <c r="I78" i="14" s="1"/>
  <c r="C78" i="14"/>
  <c r="D78" i="14" s="1"/>
  <c r="H77" i="14"/>
  <c r="I77" i="14" s="1"/>
  <c r="C77" i="14"/>
  <c r="D77" i="14" s="1"/>
  <c r="H76" i="14"/>
  <c r="I76" i="14" s="1"/>
  <c r="C76" i="14"/>
  <c r="D76" i="14" s="1"/>
  <c r="H75" i="14"/>
  <c r="I75" i="14" s="1"/>
  <c r="C75" i="14"/>
  <c r="D75" i="14" s="1"/>
  <c r="H74" i="14"/>
  <c r="I74" i="14" s="1"/>
  <c r="C74" i="14"/>
  <c r="D74" i="14" s="1"/>
  <c r="H73" i="14"/>
  <c r="I73" i="14" s="1"/>
  <c r="C73" i="14"/>
  <c r="D73" i="14" s="1"/>
  <c r="H72" i="14"/>
  <c r="I72" i="14" s="1"/>
  <c r="C72" i="14"/>
  <c r="D72" i="14" s="1"/>
  <c r="H71" i="14"/>
  <c r="I71" i="14" s="1"/>
  <c r="C71" i="14"/>
  <c r="D71" i="14" s="1"/>
  <c r="H70" i="14"/>
  <c r="I70" i="14" s="1"/>
  <c r="C70" i="14"/>
  <c r="D70" i="14" s="1"/>
  <c r="H69" i="14"/>
  <c r="I69" i="14" s="1"/>
  <c r="C69" i="14"/>
  <c r="D69" i="14" s="1"/>
  <c r="H68" i="14"/>
  <c r="I68" i="14" s="1"/>
  <c r="C68" i="14"/>
  <c r="D68" i="14" s="1"/>
  <c r="H67" i="14"/>
  <c r="I67" i="14" s="1"/>
  <c r="D67" i="14"/>
  <c r="H66" i="14"/>
  <c r="I66" i="14" s="1"/>
  <c r="C66" i="14"/>
  <c r="D66" i="14" s="1"/>
  <c r="H65" i="14"/>
  <c r="I65" i="14" s="1"/>
  <c r="C65" i="14"/>
  <c r="D65" i="14" s="1"/>
  <c r="H64" i="14"/>
  <c r="I64" i="14" s="1"/>
  <c r="C64" i="14"/>
  <c r="D64" i="14" s="1"/>
  <c r="H63" i="14"/>
  <c r="I63" i="14" s="1"/>
  <c r="C63" i="14"/>
  <c r="D63" i="14" s="1"/>
  <c r="H62" i="14"/>
  <c r="I62" i="14" s="1"/>
  <c r="C62" i="14"/>
  <c r="D62" i="14" s="1"/>
  <c r="H61" i="14"/>
  <c r="I61" i="14" s="1"/>
  <c r="C61" i="14"/>
  <c r="D61" i="14" s="1"/>
  <c r="H60" i="14"/>
  <c r="I60" i="14" s="1"/>
  <c r="C60" i="14"/>
  <c r="D60" i="14" s="1"/>
  <c r="H59" i="14"/>
  <c r="I59" i="14" s="1"/>
  <c r="C59" i="14"/>
  <c r="D59" i="14" s="1"/>
  <c r="H58" i="14"/>
  <c r="I58" i="14" s="1"/>
  <c r="C58" i="14"/>
  <c r="D58" i="14" s="1"/>
  <c r="H57" i="14"/>
  <c r="I57" i="14" s="1"/>
  <c r="C57" i="14"/>
  <c r="D57" i="14" s="1"/>
  <c r="H56" i="14"/>
  <c r="I56" i="14" s="1"/>
  <c r="C56" i="14"/>
  <c r="D56" i="14" s="1"/>
  <c r="H55" i="14"/>
  <c r="I55" i="14" s="1"/>
  <c r="C55" i="14"/>
  <c r="D55" i="14" s="1"/>
  <c r="H54" i="14"/>
  <c r="I54" i="14" s="1"/>
  <c r="C54" i="14"/>
  <c r="D54" i="14" s="1"/>
  <c r="H53" i="14"/>
  <c r="I53" i="14" s="1"/>
  <c r="C53" i="14"/>
  <c r="D53" i="14" s="1"/>
  <c r="C52" i="14"/>
  <c r="D52" i="14" s="1"/>
  <c r="H51" i="14"/>
  <c r="I51" i="14" s="1"/>
  <c r="C51" i="14"/>
  <c r="D51" i="14" s="1"/>
  <c r="H50" i="14"/>
  <c r="I50" i="14" s="1"/>
  <c r="C50" i="14"/>
  <c r="D50" i="14" s="1"/>
  <c r="H49" i="14"/>
  <c r="I49" i="14" s="1"/>
  <c r="C49" i="14"/>
  <c r="D49" i="14" s="1"/>
  <c r="H48" i="14"/>
  <c r="I48" i="14" s="1"/>
  <c r="C48" i="14"/>
  <c r="D48" i="14" s="1"/>
  <c r="H47" i="14"/>
  <c r="I47" i="14" s="1"/>
  <c r="C47" i="14"/>
  <c r="D47" i="14" s="1"/>
  <c r="H46" i="14"/>
  <c r="I46" i="14" s="1"/>
  <c r="C46" i="14"/>
  <c r="D46" i="14" s="1"/>
  <c r="H45" i="14"/>
  <c r="I45" i="14" s="1"/>
  <c r="C45" i="14"/>
  <c r="D45" i="14" s="1"/>
  <c r="H44" i="14"/>
  <c r="I44" i="14" s="1"/>
  <c r="C44" i="14"/>
  <c r="D44" i="14" s="1"/>
  <c r="H43" i="14"/>
  <c r="I43" i="14" s="1"/>
  <c r="C43" i="14"/>
  <c r="D43" i="14" s="1"/>
  <c r="H42" i="14"/>
  <c r="I42" i="14" s="1"/>
  <c r="C42" i="14"/>
  <c r="D42" i="14" s="1"/>
  <c r="H41" i="14"/>
  <c r="I41" i="14" s="1"/>
  <c r="C41" i="14"/>
  <c r="D41" i="14" s="1"/>
  <c r="H40" i="14"/>
  <c r="I40" i="14" s="1"/>
  <c r="C40" i="14"/>
  <c r="D40" i="14" s="1"/>
  <c r="H39" i="14"/>
  <c r="I39" i="14" s="1"/>
  <c r="C39" i="14"/>
  <c r="D39" i="14" s="1"/>
  <c r="H38" i="14"/>
  <c r="I38" i="14" s="1"/>
  <c r="C38" i="14"/>
  <c r="D38" i="14" s="1"/>
  <c r="H37" i="14"/>
  <c r="I37" i="14" s="1"/>
  <c r="C37" i="14"/>
  <c r="D37" i="14" s="1"/>
  <c r="H36" i="14"/>
  <c r="I36" i="14" s="1"/>
  <c r="C36" i="14"/>
  <c r="D36" i="14" s="1"/>
  <c r="H35" i="14"/>
  <c r="I35" i="14" s="1"/>
  <c r="C35" i="14"/>
  <c r="D35" i="14" s="1"/>
  <c r="H34" i="14"/>
  <c r="I34" i="14" s="1"/>
  <c r="C34" i="14"/>
  <c r="D34" i="14" s="1"/>
  <c r="H33" i="14"/>
  <c r="I33" i="14" s="1"/>
  <c r="C33" i="14"/>
  <c r="D33" i="14" s="1"/>
  <c r="H32" i="14"/>
  <c r="I32" i="14" s="1"/>
  <c r="C32" i="14"/>
  <c r="D32" i="14" s="1"/>
  <c r="H31" i="14"/>
  <c r="I31" i="14" s="1"/>
  <c r="C31" i="14"/>
  <c r="D31" i="14" s="1"/>
  <c r="H30" i="14"/>
  <c r="I30" i="14" s="1"/>
  <c r="C30" i="14"/>
  <c r="D30" i="14" s="1"/>
  <c r="H29" i="14"/>
  <c r="I29" i="14" s="1"/>
  <c r="C29" i="14"/>
  <c r="D29" i="14" s="1"/>
  <c r="H28" i="14"/>
  <c r="I28" i="14" s="1"/>
  <c r="C28" i="14"/>
  <c r="D28" i="14" s="1"/>
  <c r="H27" i="14"/>
  <c r="I27" i="14" s="1"/>
  <c r="C27" i="14"/>
  <c r="D27" i="14" s="1"/>
  <c r="H26" i="14"/>
  <c r="I26" i="14" s="1"/>
  <c r="C26" i="14"/>
  <c r="D26" i="14" s="1"/>
  <c r="H25" i="14"/>
  <c r="I25" i="14" s="1"/>
  <c r="C25" i="14"/>
  <c r="D25" i="14" s="1"/>
  <c r="H24" i="14"/>
  <c r="I24" i="14" s="1"/>
  <c r="C24" i="14"/>
  <c r="D24" i="14" s="1"/>
  <c r="H23" i="14"/>
  <c r="I23" i="14" s="1"/>
  <c r="C23" i="14"/>
  <c r="D23" i="14" s="1"/>
  <c r="H22" i="14"/>
  <c r="I22" i="14" s="1"/>
  <c r="C22" i="14"/>
  <c r="D22" i="14" s="1"/>
  <c r="H21" i="14"/>
  <c r="I21" i="14" s="1"/>
  <c r="C21" i="14"/>
  <c r="D21" i="14" s="1"/>
  <c r="H20" i="14"/>
  <c r="I20" i="14" s="1"/>
  <c r="C20" i="14"/>
  <c r="D20" i="14" s="1"/>
  <c r="H19" i="14"/>
  <c r="I19" i="14" s="1"/>
  <c r="C19" i="14"/>
  <c r="D19" i="14" s="1"/>
  <c r="H18" i="14"/>
  <c r="I18" i="14" s="1"/>
  <c r="C18" i="14"/>
  <c r="D18" i="14" s="1"/>
  <c r="H17" i="14"/>
  <c r="I17" i="14" s="1"/>
  <c r="C17" i="14"/>
  <c r="D17" i="14" s="1"/>
  <c r="H16" i="14"/>
  <c r="I16" i="14" s="1"/>
  <c r="C16" i="14"/>
  <c r="D16" i="14" s="1"/>
  <c r="H15" i="14"/>
  <c r="I15" i="14" s="1"/>
  <c r="C15" i="14"/>
  <c r="D15" i="14" s="1"/>
  <c r="H14" i="14"/>
  <c r="I14" i="14" s="1"/>
  <c r="C14" i="14"/>
  <c r="D14" i="14" s="1"/>
  <c r="H13" i="14"/>
  <c r="I13" i="14" s="1"/>
  <c r="C13" i="14"/>
  <c r="D13" i="14" s="1"/>
  <c r="H12" i="14"/>
  <c r="I12" i="14" s="1"/>
  <c r="C12" i="14"/>
  <c r="D12" i="14" s="1"/>
  <c r="H11" i="14"/>
  <c r="I11" i="14" s="1"/>
  <c r="C11" i="14"/>
  <c r="D11" i="14" s="1"/>
  <c r="H10" i="14"/>
  <c r="I10" i="14" s="1"/>
  <c r="C10" i="14"/>
  <c r="D10" i="14" s="1"/>
  <c r="H9" i="14"/>
  <c r="I9" i="14" s="1"/>
  <c r="C9" i="14"/>
  <c r="D9" i="14" s="1"/>
  <c r="H8" i="14"/>
  <c r="I8" i="14" s="1"/>
  <c r="C8" i="14"/>
  <c r="D8" i="14" s="1"/>
  <c r="H7" i="14"/>
  <c r="I7" i="14" s="1"/>
  <c r="C7" i="14"/>
  <c r="D7" i="14" s="1"/>
  <c r="H6" i="14"/>
  <c r="I6" i="14" s="1"/>
  <c r="C6" i="14"/>
  <c r="D6" i="14" s="1"/>
  <c r="H5" i="14"/>
  <c r="I5" i="14" s="1"/>
  <c r="C5" i="14"/>
  <c r="D5" i="14" s="1"/>
  <c r="H4" i="14"/>
  <c r="I4" i="14" s="1"/>
  <c r="C4" i="14"/>
  <c r="H3" i="14"/>
  <c r="C3" i="14"/>
  <c r="D3" i="14" s="1"/>
  <c r="H105" i="13"/>
  <c r="I105" i="13" s="1"/>
  <c r="D105" i="13"/>
  <c r="I104" i="13"/>
  <c r="C104" i="13"/>
  <c r="D104" i="13" s="1"/>
  <c r="H103" i="13"/>
  <c r="I103" i="13" s="1"/>
  <c r="C103" i="13"/>
  <c r="D103" i="13" s="1"/>
  <c r="I102" i="13"/>
  <c r="C102" i="13"/>
  <c r="D102" i="13" s="1"/>
  <c r="I101" i="13"/>
  <c r="C101" i="13"/>
  <c r="D101" i="13" s="1"/>
  <c r="I100" i="13"/>
  <c r="C100" i="13"/>
  <c r="D100" i="13" s="1"/>
  <c r="I99" i="13"/>
  <c r="C99" i="13"/>
  <c r="D99" i="13" s="1"/>
  <c r="I98" i="13"/>
  <c r="C98" i="13"/>
  <c r="D98" i="13" s="1"/>
  <c r="I97" i="13"/>
  <c r="C97" i="13"/>
  <c r="D97" i="13" s="1"/>
  <c r="I96" i="13"/>
  <c r="C96" i="13"/>
  <c r="D96" i="13" s="1"/>
  <c r="I95" i="13"/>
  <c r="C95" i="13"/>
  <c r="D95" i="13" s="1"/>
  <c r="I94" i="13"/>
  <c r="C94" i="13"/>
  <c r="D94" i="13" s="1"/>
  <c r="I93" i="13"/>
  <c r="C93" i="13"/>
  <c r="D93" i="13" s="1"/>
  <c r="I92" i="13"/>
  <c r="C92" i="13"/>
  <c r="D92" i="13" s="1"/>
  <c r="H91" i="13"/>
  <c r="I91" i="13" s="1"/>
  <c r="C91" i="13"/>
  <c r="D91" i="13" s="1"/>
  <c r="I90" i="13"/>
  <c r="C90" i="13"/>
  <c r="D90" i="13" s="1"/>
  <c r="H89" i="13"/>
  <c r="I89" i="13" s="1"/>
  <c r="C89" i="13"/>
  <c r="D89" i="13" s="1"/>
  <c r="H88" i="13"/>
  <c r="I88" i="13" s="1"/>
  <c r="C88" i="13"/>
  <c r="D88" i="13" s="1"/>
  <c r="H87" i="13"/>
  <c r="I87" i="13" s="1"/>
  <c r="C87" i="13"/>
  <c r="D87" i="13" s="1"/>
  <c r="H86" i="13"/>
  <c r="I86" i="13" s="1"/>
  <c r="C86" i="13"/>
  <c r="D86" i="13" s="1"/>
  <c r="H85" i="13"/>
  <c r="I85" i="13" s="1"/>
  <c r="C85" i="13"/>
  <c r="D85" i="13" s="1"/>
  <c r="I84" i="13"/>
  <c r="C84" i="13"/>
  <c r="D84" i="13" s="1"/>
  <c r="H83" i="13"/>
  <c r="I83" i="13" s="1"/>
  <c r="C83" i="13"/>
  <c r="D83" i="13" s="1"/>
  <c r="H82" i="13"/>
  <c r="I82" i="13" s="1"/>
  <c r="C82" i="13"/>
  <c r="D82" i="13" s="1"/>
  <c r="H81" i="13"/>
  <c r="I81" i="13" s="1"/>
  <c r="C81" i="13"/>
  <c r="D81" i="13" s="1"/>
  <c r="H80" i="13"/>
  <c r="I80" i="13" s="1"/>
  <c r="C80" i="13"/>
  <c r="D80" i="13" s="1"/>
  <c r="H79" i="13"/>
  <c r="I79" i="13" s="1"/>
  <c r="C79" i="13"/>
  <c r="D79" i="13" s="1"/>
  <c r="H78" i="13"/>
  <c r="I78" i="13" s="1"/>
  <c r="C78" i="13"/>
  <c r="D78" i="13" s="1"/>
  <c r="H77" i="13"/>
  <c r="I77" i="13" s="1"/>
  <c r="C77" i="13"/>
  <c r="D77" i="13" s="1"/>
  <c r="H76" i="13"/>
  <c r="I76" i="13" s="1"/>
  <c r="C76" i="13"/>
  <c r="D76" i="13" s="1"/>
  <c r="H75" i="13"/>
  <c r="I75" i="13" s="1"/>
  <c r="C75" i="13"/>
  <c r="D75" i="13" s="1"/>
  <c r="H74" i="13"/>
  <c r="I74" i="13" s="1"/>
  <c r="H73" i="13"/>
  <c r="I73" i="13" s="1"/>
  <c r="C73" i="13"/>
  <c r="D73" i="13" s="1"/>
  <c r="H72" i="13"/>
  <c r="I72" i="13" s="1"/>
  <c r="C72" i="13"/>
  <c r="D72" i="13" s="1"/>
  <c r="H71" i="13"/>
  <c r="I71" i="13" s="1"/>
  <c r="C71" i="13"/>
  <c r="D71" i="13" s="1"/>
  <c r="H70" i="13"/>
  <c r="I70" i="13" s="1"/>
  <c r="C70" i="13"/>
  <c r="D70" i="13" s="1"/>
  <c r="H69" i="13"/>
  <c r="I69" i="13" s="1"/>
  <c r="C69" i="13"/>
  <c r="D69" i="13" s="1"/>
  <c r="H68" i="13"/>
  <c r="C68" i="13"/>
  <c r="D68" i="13" s="1"/>
  <c r="H67" i="13"/>
  <c r="I67" i="13" s="1"/>
  <c r="C67" i="13"/>
  <c r="D67" i="13" s="1"/>
  <c r="H66" i="13"/>
  <c r="I66" i="13" s="1"/>
  <c r="C66" i="13"/>
  <c r="D66" i="13" s="1"/>
  <c r="H65" i="13"/>
  <c r="I65" i="13" s="1"/>
  <c r="C65" i="13"/>
  <c r="D65" i="13" s="1"/>
  <c r="H64" i="13"/>
  <c r="I64" i="13" s="1"/>
  <c r="C64" i="13"/>
  <c r="D64" i="13" s="1"/>
  <c r="H63" i="13"/>
  <c r="I63" i="13" s="1"/>
  <c r="C63" i="13"/>
  <c r="D63" i="13" s="1"/>
  <c r="H62" i="13"/>
  <c r="I62" i="13" s="1"/>
  <c r="C62" i="13"/>
  <c r="D62" i="13" s="1"/>
  <c r="H61" i="13"/>
  <c r="I61" i="13" s="1"/>
  <c r="C61" i="13"/>
  <c r="D61" i="13" s="1"/>
  <c r="H60" i="13"/>
  <c r="I60" i="13" s="1"/>
  <c r="C60" i="13"/>
  <c r="D60" i="13" s="1"/>
  <c r="H59" i="13"/>
  <c r="I59" i="13" s="1"/>
  <c r="C59" i="13"/>
  <c r="D59" i="13" s="1"/>
  <c r="H58" i="13"/>
  <c r="I58" i="13" s="1"/>
  <c r="C58" i="13"/>
  <c r="D58" i="13" s="1"/>
  <c r="H57" i="13"/>
  <c r="I57" i="13" s="1"/>
  <c r="C57" i="13"/>
  <c r="D57" i="13" s="1"/>
  <c r="H56" i="13"/>
  <c r="I56" i="13" s="1"/>
  <c r="D56" i="13"/>
  <c r="H55" i="13"/>
  <c r="I55" i="13" s="1"/>
  <c r="C55" i="13"/>
  <c r="D55" i="13" s="1"/>
  <c r="H54" i="13"/>
  <c r="I54" i="13" s="1"/>
  <c r="C54" i="13"/>
  <c r="D54" i="13" s="1"/>
  <c r="H53" i="13"/>
  <c r="I53" i="13" s="1"/>
  <c r="C53" i="13"/>
  <c r="D53" i="13" s="1"/>
  <c r="H52" i="13"/>
  <c r="I52" i="13" s="1"/>
  <c r="C52" i="13"/>
  <c r="D52" i="13" s="1"/>
  <c r="I51" i="13"/>
  <c r="C51" i="13"/>
  <c r="D51" i="13" s="1"/>
  <c r="I50" i="13"/>
  <c r="C50" i="13"/>
  <c r="D50" i="13" s="1"/>
  <c r="C49" i="13"/>
  <c r="D49" i="13" s="1"/>
  <c r="H48" i="13"/>
  <c r="I48" i="13" s="1"/>
  <c r="C48" i="13"/>
  <c r="H47" i="13"/>
  <c r="I47" i="13" s="1"/>
  <c r="D47" i="13"/>
  <c r="H46" i="13"/>
  <c r="I46" i="13" s="1"/>
  <c r="C46" i="13"/>
  <c r="D46" i="13" s="1"/>
  <c r="H45" i="13"/>
  <c r="I45" i="13" s="1"/>
  <c r="C45" i="13"/>
  <c r="D45" i="13" s="1"/>
  <c r="H44" i="13"/>
  <c r="I44" i="13" s="1"/>
  <c r="C44" i="13"/>
  <c r="D44" i="13" s="1"/>
  <c r="H43" i="13"/>
  <c r="I43" i="13" s="1"/>
  <c r="C43" i="13"/>
  <c r="D43" i="13" s="1"/>
  <c r="H42" i="13"/>
  <c r="I42" i="13" s="1"/>
  <c r="C42" i="13"/>
  <c r="D42" i="13" s="1"/>
  <c r="H41" i="13"/>
  <c r="I41" i="13" s="1"/>
  <c r="C41" i="13"/>
  <c r="D41" i="13" s="1"/>
  <c r="H40" i="13"/>
  <c r="I40" i="13" s="1"/>
  <c r="C40" i="13"/>
  <c r="D40" i="13" s="1"/>
  <c r="H39" i="13"/>
  <c r="I39" i="13" s="1"/>
  <c r="C39" i="13"/>
  <c r="D39" i="13" s="1"/>
  <c r="H38" i="13"/>
  <c r="I38" i="13" s="1"/>
  <c r="C38" i="13"/>
  <c r="D38" i="13" s="1"/>
  <c r="H37" i="13"/>
  <c r="I37" i="13" s="1"/>
  <c r="C37" i="13"/>
  <c r="D37" i="13" s="1"/>
  <c r="H36" i="13"/>
  <c r="I36" i="13" s="1"/>
  <c r="C36" i="13"/>
  <c r="D36" i="13" s="1"/>
  <c r="H35" i="13"/>
  <c r="I35" i="13" s="1"/>
  <c r="C35" i="13"/>
  <c r="D35" i="13" s="1"/>
  <c r="H34" i="13"/>
  <c r="I34" i="13" s="1"/>
  <c r="C34" i="13"/>
  <c r="D34" i="13" s="1"/>
  <c r="H33" i="13"/>
  <c r="I33" i="13" s="1"/>
  <c r="C33" i="13"/>
  <c r="D33" i="13" s="1"/>
  <c r="H32" i="13"/>
  <c r="I32" i="13" s="1"/>
  <c r="C32" i="13"/>
  <c r="D32" i="13" s="1"/>
  <c r="H31" i="13"/>
  <c r="I31" i="13" s="1"/>
  <c r="C31" i="13"/>
  <c r="D31" i="13" s="1"/>
  <c r="H30" i="13"/>
  <c r="I30" i="13" s="1"/>
  <c r="C30" i="13"/>
  <c r="D30" i="13" s="1"/>
  <c r="H28" i="13"/>
  <c r="I28" i="13" s="1"/>
  <c r="C28" i="13"/>
  <c r="D28" i="13" s="1"/>
  <c r="H27" i="13"/>
  <c r="I27" i="13" s="1"/>
  <c r="C27" i="13"/>
  <c r="D27" i="13" s="1"/>
  <c r="H26" i="13"/>
  <c r="I26" i="13" s="1"/>
  <c r="C26" i="13"/>
  <c r="D26" i="13" s="1"/>
  <c r="H25" i="13"/>
  <c r="I25" i="13" s="1"/>
  <c r="C25" i="13"/>
  <c r="D25" i="13" s="1"/>
  <c r="H24" i="13"/>
  <c r="I24" i="13" s="1"/>
  <c r="C24" i="13"/>
  <c r="D24" i="13" s="1"/>
  <c r="H23" i="13"/>
  <c r="I23" i="13" s="1"/>
  <c r="C23" i="13"/>
  <c r="D23" i="13" s="1"/>
  <c r="H22" i="13"/>
  <c r="I22" i="13" s="1"/>
  <c r="C22" i="13"/>
  <c r="D22" i="13" s="1"/>
  <c r="H21" i="13"/>
  <c r="I21" i="13" s="1"/>
  <c r="C21" i="13"/>
  <c r="D21" i="13" s="1"/>
  <c r="H20" i="13"/>
  <c r="I20" i="13" s="1"/>
  <c r="C20" i="13"/>
  <c r="D20" i="13" s="1"/>
  <c r="H19" i="13"/>
  <c r="I19" i="13" s="1"/>
  <c r="C19" i="13"/>
  <c r="D19" i="13" s="1"/>
  <c r="H18" i="13"/>
  <c r="I18" i="13" s="1"/>
  <c r="C18" i="13"/>
  <c r="D18" i="13" s="1"/>
  <c r="H17" i="13"/>
  <c r="I17" i="13" s="1"/>
  <c r="C17" i="13"/>
  <c r="D17" i="13" s="1"/>
  <c r="H16" i="13"/>
  <c r="I16" i="13" s="1"/>
  <c r="D16" i="13"/>
  <c r="H15" i="13"/>
  <c r="I15" i="13" s="1"/>
  <c r="C15" i="13"/>
  <c r="D15" i="13" s="1"/>
  <c r="H14" i="13"/>
  <c r="I14" i="13" s="1"/>
  <c r="C14" i="13"/>
  <c r="D14" i="13" s="1"/>
  <c r="H13" i="13"/>
  <c r="I13" i="13" s="1"/>
  <c r="C13" i="13"/>
  <c r="D13" i="13" s="1"/>
  <c r="H12" i="13"/>
  <c r="I12" i="13" s="1"/>
  <c r="C12" i="13"/>
  <c r="D12" i="13" s="1"/>
  <c r="H11" i="13"/>
  <c r="I11" i="13" s="1"/>
  <c r="C11" i="13"/>
  <c r="D11" i="13" s="1"/>
  <c r="H10" i="13"/>
  <c r="I10" i="13" s="1"/>
  <c r="C10" i="13"/>
  <c r="D10" i="13" s="1"/>
  <c r="H9" i="13"/>
  <c r="I9" i="13" s="1"/>
  <c r="C9" i="13"/>
  <c r="D9" i="13" s="1"/>
  <c r="H8" i="13"/>
  <c r="I8" i="13" s="1"/>
  <c r="C8" i="13"/>
  <c r="D8" i="13" s="1"/>
  <c r="H7" i="13"/>
  <c r="C7" i="13"/>
  <c r="D7" i="13" s="1"/>
  <c r="I6" i="13"/>
  <c r="C6" i="13"/>
  <c r="D6" i="13" s="1"/>
  <c r="H5" i="13"/>
  <c r="I5" i="13" s="1"/>
  <c r="C5" i="13"/>
  <c r="D5" i="13" s="1"/>
  <c r="H4" i="13"/>
  <c r="I4" i="13" s="1"/>
  <c r="C4" i="13"/>
  <c r="D4" i="13" s="1"/>
  <c r="H3" i="13"/>
  <c r="I3" i="13" s="1"/>
  <c r="C3" i="13"/>
  <c r="D3" i="13" s="1"/>
  <c r="K19" i="9"/>
  <c r="C12" i="1"/>
  <c r="B7" i="1" s="1"/>
  <c r="N7" i="11"/>
  <c r="M7" i="11"/>
  <c r="L7" i="11"/>
  <c r="K7" i="11"/>
  <c r="J7" i="11"/>
  <c r="I7" i="11"/>
  <c r="H7" i="11"/>
  <c r="G7" i="11"/>
  <c r="F7" i="11"/>
  <c r="E7" i="11"/>
  <c r="D7" i="11"/>
  <c r="C7" i="11"/>
  <c r="C41" i="3"/>
  <c r="C15" i="3" s="1"/>
  <c r="E29" i="10"/>
  <c r="E22" i="10"/>
  <c r="E20" i="10"/>
  <c r="E17" i="10"/>
  <c r="E16" i="10"/>
  <c r="Q19" i="9"/>
  <c r="M19" i="9"/>
  <c r="J19" i="9"/>
  <c r="H19" i="9"/>
  <c r="G19" i="9"/>
  <c r="F19" i="9"/>
  <c r="E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BA25" i="6"/>
  <c r="D19" i="8"/>
  <c r="AP25" i="6" s="1"/>
  <c r="R18" i="8"/>
  <c r="S18" i="8" s="1"/>
  <c r="R17" i="8"/>
  <c r="S17" i="8" s="1"/>
  <c r="R16" i="8"/>
  <c r="S16" i="8" s="1"/>
  <c r="R15" i="8"/>
  <c r="S15" i="8" s="1"/>
  <c r="R14" i="8"/>
  <c r="S14" i="8" s="1"/>
  <c r="R13" i="8"/>
  <c r="S13" i="8" s="1"/>
  <c r="R12" i="8"/>
  <c r="S12" i="8" s="1"/>
  <c r="R11" i="8"/>
  <c r="S11" i="8" s="1"/>
  <c r="R10" i="8"/>
  <c r="S10" i="8" s="1"/>
  <c r="R7" i="8"/>
  <c r="S7" i="8" s="1"/>
  <c r="R6" i="8"/>
  <c r="S6" i="8" s="1"/>
  <c r="R5" i="8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AK34" i="6"/>
  <c r="AJ34" i="6"/>
  <c r="AH34" i="6"/>
  <c r="AG34" i="6"/>
  <c r="AF34" i="6"/>
  <c r="AE34" i="6"/>
  <c r="AD34" i="6"/>
  <c r="AC34" i="6"/>
  <c r="AB34" i="6"/>
  <c r="AA34" i="6"/>
  <c r="Z34" i="6"/>
  <c r="W34" i="6"/>
  <c r="V34" i="6"/>
  <c r="U34" i="6"/>
  <c r="T34" i="6"/>
  <c r="S34" i="6"/>
  <c r="R34" i="6"/>
  <c r="Q34" i="6"/>
  <c r="N34" i="6"/>
  <c r="M34" i="6"/>
  <c r="L34" i="6"/>
  <c r="K34" i="6"/>
  <c r="J34" i="6"/>
  <c r="I34" i="6"/>
  <c r="H33" i="6"/>
  <c r="H32" i="6"/>
  <c r="H31" i="6"/>
  <c r="H29" i="6"/>
  <c r="H28" i="6"/>
  <c r="H27" i="6"/>
  <c r="H26" i="6"/>
  <c r="H25" i="6"/>
  <c r="H24" i="6"/>
  <c r="H23" i="6"/>
  <c r="H22" i="6"/>
  <c r="H21" i="6"/>
  <c r="H20" i="6"/>
  <c r="H19" i="6"/>
  <c r="H18" i="6"/>
  <c r="CS9" i="6"/>
  <c r="CR9" i="6"/>
  <c r="CQ9" i="6"/>
  <c r="CP9" i="6"/>
  <c r="CO9" i="6"/>
  <c r="CN9" i="6"/>
  <c r="CM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B25" i="6" l="1"/>
  <c r="S5" i="8"/>
  <c r="S19" i="8" s="1"/>
  <c r="R19" i="8"/>
  <c r="R21" i="8" s="1"/>
  <c r="O20" i="7"/>
  <c r="O22" i="7" s="1"/>
  <c r="P47" i="15"/>
  <c r="E32" i="10"/>
  <c r="B4" i="1"/>
  <c r="P12" i="15"/>
  <c r="E7" i="12"/>
  <c r="M7" i="12" s="1"/>
  <c r="S7" i="12" s="1"/>
  <c r="C115" i="14"/>
  <c r="F5" i="12"/>
  <c r="X5" i="12" s="1"/>
  <c r="E6" i="12"/>
  <c r="W6" i="12" s="1"/>
  <c r="F7" i="12"/>
  <c r="X7" i="12" s="1"/>
  <c r="U7" i="11"/>
  <c r="C4" i="1" s="1"/>
  <c r="H7" i="12"/>
  <c r="P7" i="12" s="1"/>
  <c r="V7" i="12" s="1"/>
  <c r="D8" i="12"/>
  <c r="H111" i="13"/>
  <c r="H5" i="12"/>
  <c r="P5" i="12" s="1"/>
  <c r="H115" i="14"/>
  <c r="C8" i="11"/>
  <c r="D4" i="1" s="1"/>
  <c r="D7" i="1" s="1"/>
  <c r="G5" i="12"/>
  <c r="Y5" i="12" s="1"/>
  <c r="I68" i="13"/>
  <c r="E16" i="12" s="1"/>
  <c r="D4" i="14"/>
  <c r="E68" i="2"/>
  <c r="E5" i="12"/>
  <c r="W5" i="12" s="1"/>
  <c r="F15" i="12"/>
  <c r="X15" i="12" s="1"/>
  <c r="G7" i="12"/>
  <c r="Y7" i="12" s="1"/>
  <c r="H15" i="12"/>
  <c r="E15" i="12"/>
  <c r="G17" i="12"/>
  <c r="H16" i="12"/>
  <c r="Z16" i="12" s="1"/>
  <c r="F16" i="12"/>
  <c r="E17" i="12"/>
  <c r="G16" i="12"/>
  <c r="I3" i="14"/>
  <c r="I7" i="13"/>
  <c r="D48" i="13"/>
  <c r="D111" i="13" s="1"/>
  <c r="D84" i="14"/>
  <c r="H17" i="12" s="1"/>
  <c r="I96" i="14"/>
  <c r="F17" i="12" s="1"/>
  <c r="D18" i="12"/>
  <c r="G6" i="12"/>
  <c r="F6" i="12"/>
  <c r="H6" i="12"/>
  <c r="C111" i="13"/>
  <c r="BJ22" i="6"/>
  <c r="D15" i="3"/>
  <c r="H15" i="3" s="1"/>
  <c r="H18" i="3" s="1"/>
  <c r="G4" i="1" s="1"/>
  <c r="E40" i="3"/>
  <c r="R19" i="9"/>
  <c r="AX32" i="10"/>
  <c r="R19" i="7"/>
  <c r="R20" i="7" s="1"/>
  <c r="H34" i="6"/>
  <c r="E47" i="2"/>
  <c r="AN34" i="6"/>
  <c r="P6" i="9"/>
  <c r="P19" i="9" s="1"/>
  <c r="O19" i="9"/>
  <c r="O21" i="9" s="1"/>
  <c r="O22" i="9" s="1"/>
  <c r="N19" i="9"/>
  <c r="P6" i="7"/>
  <c r="P20" i="7" s="1"/>
  <c r="BJ20" i="6"/>
  <c r="BJ33" i="6"/>
  <c r="D16" i="2" l="1"/>
  <c r="H16" i="2" s="1"/>
  <c r="H26" i="2" s="1"/>
  <c r="Z5" i="12"/>
  <c r="CA35" i="6"/>
  <c r="E4" i="1"/>
  <c r="G15" i="12"/>
  <c r="G18" i="12" s="1"/>
  <c r="Y18" i="12" s="1"/>
  <c r="O5" i="12"/>
  <c r="U5" i="12" s="1"/>
  <c r="C7" i="1"/>
  <c r="E7" i="1" s="1"/>
  <c r="N5" i="12"/>
  <c r="T5" i="12" s="1"/>
  <c r="I111" i="13"/>
  <c r="O7" i="12"/>
  <c r="U7" i="12" s="1"/>
  <c r="I5" i="12"/>
  <c r="K5" i="12" s="1"/>
  <c r="Q5" i="12" s="1"/>
  <c r="I6" i="12"/>
  <c r="K6" i="12" s="1"/>
  <c r="Q6" i="12" s="1"/>
  <c r="M6" i="12"/>
  <c r="S6" i="12" s="1"/>
  <c r="P16" i="12"/>
  <c r="V16" i="12" s="1"/>
  <c r="N7" i="12"/>
  <c r="T7" i="12" s="1"/>
  <c r="I7" i="12"/>
  <c r="K7" i="12" s="1"/>
  <c r="Q7" i="12" s="1"/>
  <c r="N15" i="12"/>
  <c r="T15" i="12" s="1"/>
  <c r="W7" i="12"/>
  <c r="J7" i="12"/>
  <c r="L7" i="12" s="1"/>
  <c r="R7" i="12" s="1"/>
  <c r="I115" i="14"/>
  <c r="M5" i="12"/>
  <c r="S5" i="12" s="1"/>
  <c r="D115" i="14"/>
  <c r="Z7" i="12"/>
  <c r="H8" i="12"/>
  <c r="Z8" i="12" s="1"/>
  <c r="J5" i="12"/>
  <c r="L5" i="12" s="1"/>
  <c r="R5" i="12" s="1"/>
  <c r="G7" i="1"/>
  <c r="E8" i="12"/>
  <c r="W8" i="12" s="1"/>
  <c r="P17" i="12"/>
  <c r="V17" i="12" s="1"/>
  <c r="Z17" i="12"/>
  <c r="J6" i="12"/>
  <c r="L6" i="12" s="1"/>
  <c r="R6" i="12" s="1"/>
  <c r="O6" i="12"/>
  <c r="U6" i="12" s="1"/>
  <c r="Y6" i="12"/>
  <c r="J17" i="12"/>
  <c r="L17" i="12" s="1"/>
  <c r="R17" i="12" s="1"/>
  <c r="Y17" i="12"/>
  <c r="O17" i="12"/>
  <c r="U17" i="12" s="1"/>
  <c r="N17" i="12"/>
  <c r="T17" i="12" s="1"/>
  <c r="X17" i="12"/>
  <c r="V5" i="12"/>
  <c r="G8" i="12"/>
  <c r="Y8" i="12" s="1"/>
  <c r="W15" i="12"/>
  <c r="I15" i="12"/>
  <c r="M15" i="12"/>
  <c r="E18" i="12"/>
  <c r="W18" i="12" s="1"/>
  <c r="I16" i="12"/>
  <c r="K16" i="12" s="1"/>
  <c r="Q16" i="12" s="1"/>
  <c r="W16" i="12"/>
  <c r="M16" i="12"/>
  <c r="S16" i="12" s="1"/>
  <c r="H18" i="12"/>
  <c r="Z18" i="12" s="1"/>
  <c r="Z15" i="12"/>
  <c r="P15" i="12"/>
  <c r="X6" i="12"/>
  <c r="N6" i="12"/>
  <c r="T6" i="12" s="1"/>
  <c r="F8" i="12"/>
  <c r="X8" i="12" s="1"/>
  <c r="X16" i="12"/>
  <c r="N16" i="12"/>
  <c r="T16" i="12" s="1"/>
  <c r="M17" i="12"/>
  <c r="S17" i="12" s="1"/>
  <c r="W17" i="12"/>
  <c r="I17" i="12"/>
  <c r="K17" i="12" s="1"/>
  <c r="Q17" i="12" s="1"/>
  <c r="F18" i="12"/>
  <c r="X18" i="12" s="1"/>
  <c r="Z6" i="12"/>
  <c r="P6" i="12"/>
  <c r="V6" i="12" s="1"/>
  <c r="Y16" i="12"/>
  <c r="O16" i="12"/>
  <c r="U16" i="12" s="1"/>
  <c r="J16" i="12"/>
  <c r="L16" i="12" s="1"/>
  <c r="R16" i="12" s="1"/>
  <c r="O23" i="7"/>
  <c r="CB35" i="6"/>
  <c r="BJ34" i="6"/>
  <c r="R22" i="8"/>
  <c r="D16" i="16" l="1"/>
  <c r="Y15" i="12"/>
  <c r="J15" i="12"/>
  <c r="J18" i="12" s="1"/>
  <c r="L18" i="12" s="1"/>
  <c r="R18" i="12" s="1"/>
  <c r="O15" i="12"/>
  <c r="O18" i="12" s="1"/>
  <c r="U18" i="12" s="1"/>
  <c r="P8" i="12"/>
  <c r="V8" i="12" s="1"/>
  <c r="M8" i="12"/>
  <c r="S8" i="12" s="1"/>
  <c r="N18" i="12"/>
  <c r="T18" i="12" s="1"/>
  <c r="O8" i="12"/>
  <c r="U8" i="12" s="1"/>
  <c r="I8" i="12"/>
  <c r="K8" i="12" s="1"/>
  <c r="Q8" i="12" s="1"/>
  <c r="N8" i="12"/>
  <c r="T8" i="12" s="1"/>
  <c r="I18" i="12"/>
  <c r="K18" i="12" s="1"/>
  <c r="Q18" i="12" s="1"/>
  <c r="K15" i="12"/>
  <c r="Q15" i="12" s="1"/>
  <c r="M18" i="12"/>
  <c r="S18" i="12" s="1"/>
  <c r="S15" i="12"/>
  <c r="V15" i="12"/>
  <c r="P18" i="12"/>
  <c r="V18" i="12" s="1"/>
  <c r="J8" i="12"/>
  <c r="L8" i="12" s="1"/>
  <c r="R8" i="12" s="1"/>
  <c r="L15" i="12" l="1"/>
  <c r="R15" i="12" s="1"/>
  <c r="U15" i="12"/>
  <c r="F4" i="1"/>
  <c r="F7" i="1" l="1"/>
  <c r="BA11" i="6"/>
  <c r="BB11" i="6" l="1"/>
  <c r="BL11" i="6" s="1"/>
  <c r="BM11" i="6" s="1"/>
  <c r="BL20" i="6"/>
  <c r="BM20" i="6" s="1"/>
  <c r="BA28" i="6"/>
  <c r="BL30" i="6"/>
  <c r="BM30" i="6" s="1"/>
  <c r="BL32" i="6"/>
  <c r="BM32" i="6" s="1"/>
  <c r="BA26" i="6"/>
  <c r="BL21" i="6"/>
  <c r="BM21" i="6" s="1"/>
  <c r="BL31" i="6"/>
  <c r="BM31" i="6" s="1"/>
  <c r="BL19" i="6"/>
  <c r="BM19" i="6" s="1"/>
  <c r="BA23" i="6"/>
  <c r="BA27" i="6"/>
  <c r="BL24" i="6"/>
  <c r="BM24" i="6" s="1"/>
  <c r="BL22" i="6"/>
  <c r="BM22" i="6" s="1"/>
  <c r="BL29" i="6"/>
  <c r="BM29" i="6" s="1"/>
  <c r="BA33" i="6"/>
  <c r="BL18" i="6"/>
  <c r="BM18" i="6" s="1"/>
  <c r="BA15" i="6"/>
  <c r="BL16" i="6"/>
  <c r="BM16" i="6" s="1"/>
  <c r="BL17" i="6"/>
  <c r="BM17" i="6" s="1"/>
  <c r="BL13" i="6"/>
  <c r="BM13" i="6" s="1"/>
  <c r="BB15" i="6" l="1"/>
  <c r="BL15" i="6" s="1"/>
  <c r="BM15" i="6" s="1"/>
  <c r="BB33" i="6"/>
  <c r="BL33" i="6" s="1"/>
  <c r="BM33" i="6" s="1"/>
  <c r="BB27" i="6"/>
  <c r="BL27" i="6" s="1"/>
  <c r="BM27" i="6" s="1"/>
  <c r="BB23" i="6"/>
  <c r="BL23" i="6" s="1"/>
  <c r="BM23" i="6" s="1"/>
  <c r="BB28" i="6"/>
  <c r="BL28" i="6" s="1"/>
  <c r="BM28" i="6" s="1"/>
  <c r="BB26" i="6"/>
  <c r="BL26" i="6" s="1"/>
  <c r="BM26" i="6" s="1"/>
  <c r="BM12" i="6"/>
  <c r="BL14" i="6"/>
  <c r="BM14" i="6" s="1"/>
  <c r="BL25" i="6"/>
  <c r="BM25" i="6" s="1"/>
  <c r="BL4" i="6" l="1"/>
  <c r="BL3" i="6"/>
  <c r="BM4" i="6"/>
  <c r="BM3" i="6"/>
  <c r="BL5" i="6" l="1"/>
  <c r="BM5" i="6"/>
  <c r="AV32" i="10"/>
  <c r="AY32" i="10" s="1"/>
  <c r="H4" i="1" l="1"/>
  <c r="I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I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EDIT HERE</t>
        </r>
      </text>
    </comment>
    <comment ref="AP2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Airene B. Tabotabo
naka formula ayaw hilabte sa sheet exel 2.4 lang pag update</t>
        </r>
      </text>
    </comment>
    <comment ref="AP2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naka formula ayaw hilabte sa sheet exel 3.6 lang pag update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A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AYAW TANDUGA ANG DATE KAY NAKA FORMULA NA</t>
        </r>
      </text>
    </comment>
    <comment ref="G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DATA KUHAON KAY LOZADA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  <author>Sharme C. Dignos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AYAW TANDUGA ANG DATE KAY NAKA FORMULA NA</t>
        </r>
      </text>
    </comment>
    <comment ref="D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Sharme C. Dignos:</t>
        </r>
        <r>
          <rPr>
            <sz val="9"/>
            <color indexed="81"/>
            <rFont val="Tahoma"/>
            <family val="2"/>
          </rPr>
          <t xml:space="preserve">
update the date here</t>
        </r>
      </text>
    </comment>
    <comment ref="N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Sharme C. Dignos:</t>
        </r>
        <r>
          <rPr>
            <sz val="9"/>
            <color indexed="81"/>
            <rFont val="Tahoma"/>
            <family val="2"/>
          </rPr>
          <t xml:space="preserve">
Update the date here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AYAW TANDUGA ANG DATE KAY NAKA FORMULA NA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AYAW TANDUGA ANG DATE KAY NAKA FORMULA NA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B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UPDATE THE DATE HERE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B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AYAW TANDUGA ANG DATE KAY NAKA FORMULA NA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Airene B. Tabotabo</author>
  </authors>
  <commentList>
    <comment ref="D10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D1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D12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442,149.25 neogel cost
19,656,176.18</t>
        </r>
      </text>
    </comment>
  </commentList>
</comments>
</file>

<file path=xl/sharedStrings.xml><?xml version="1.0" encoding="utf-8"?>
<sst xmlns="http://schemas.openxmlformats.org/spreadsheetml/2006/main" count="1374" uniqueCount="725">
  <si>
    <t>2023-2024 BUDGET</t>
  </si>
  <si>
    <t>ESTIMATED TOTAL COST  on July 1, 2024</t>
  </si>
  <si>
    <t>ESTIMATED SOH OF EXPEDITION on July 1, 2024</t>
  </si>
  <si>
    <t>AVERAGE MONTHLY COST
(From July 23-April 24)</t>
  </si>
  <si>
    <t xml:space="preserve"> ESTIMATED AVERAGE MONTHLY COST
(From July 23-June  24)</t>
  </si>
  <si>
    <t>ESTIMATED SOH OF MT. ROCK on July 1, 2024</t>
  </si>
  <si>
    <t>2023-2024 ACTUAL COST
(As May 1)</t>
  </si>
  <si>
    <t xml:space="preserve">NAMELY: DYNA,OBC,SAFETY FUSE, NON-ELEC LP 2.4,ANFO </t>
  </si>
  <si>
    <t>NON-ELEC LP 3.6, DETCORD, EBC, FUSE LIGHTER &amp;BELLWIRE</t>
  </si>
  <si>
    <t>DESCRIPTION</t>
  </si>
  <si>
    <t>QUANTITY</t>
  </si>
  <si>
    <t>UNIT PRICE</t>
  </si>
  <si>
    <t>COSTING</t>
  </si>
  <si>
    <t xml:space="preserve">DYNAPULSAR  215 </t>
  </si>
  <si>
    <t>ANFO</t>
  </si>
  <si>
    <t>S/FUSE</t>
  </si>
  <si>
    <t>OBC</t>
  </si>
  <si>
    <t>F/LIGHTER</t>
  </si>
  <si>
    <t>EXEL 2.4</t>
  </si>
  <si>
    <t>EXEL 4.9</t>
  </si>
  <si>
    <t>EXEL 3.6</t>
  </si>
  <si>
    <t>MS 12</t>
  </si>
  <si>
    <t>MS 18</t>
  </si>
  <si>
    <t>CORDTEX 5</t>
  </si>
  <si>
    <t>CORDTEX 40</t>
  </si>
  <si>
    <t>BILL WIRE</t>
  </si>
  <si>
    <t>EBC</t>
  </si>
  <si>
    <t>TOTAL COST</t>
  </si>
  <si>
    <t>RE: MOUNT ROCK POWDER EXPLOSIVES STOCK INVENTORY AS OF TODAY</t>
  </si>
  <si>
    <t>NAMELY: DYNA,OBC,SAFETY FUSE, NON-ELEC LP 2.4, ANFO &amp; DETCORD</t>
  </si>
  <si>
    <t>DYNA SUPERPOWER 208</t>
  </si>
  <si>
    <t>SUPREME 2.4</t>
  </si>
  <si>
    <t>CORDTEX 10</t>
  </si>
  <si>
    <t>DAILY ISSUANCE</t>
  </si>
  <si>
    <t>DELIVERIES</t>
  </si>
  <si>
    <t>LOGBOOK</t>
  </si>
  <si>
    <t>UoM</t>
  </si>
  <si>
    <t>UNIT COST</t>
  </si>
  <si>
    <t xml:space="preserve"> FOR DISPOSAL -SOH</t>
  </si>
  <si>
    <t>PCS</t>
  </si>
  <si>
    <t>KLS</t>
  </si>
  <si>
    <t>MTR</t>
  </si>
  <si>
    <t>NONEL 2.4</t>
  </si>
  <si>
    <t>NONEL 3.6</t>
  </si>
  <si>
    <t>SHOCK STAR</t>
  </si>
  <si>
    <t>PENTEX STOPE PREIME</t>
  </si>
  <si>
    <t>ACTUAL COUNT SURFACE &amp; UNDERGROUND</t>
  </si>
  <si>
    <t>VARIANCE</t>
  </si>
  <si>
    <t>EXPLOSIVES ISSUANCE COSTING -DAILY</t>
  </si>
  <si>
    <t>SINUG-ANG</t>
  </si>
  <si>
    <t>MARATHON 3150</t>
  </si>
  <si>
    <t>L-8</t>
  </si>
  <si>
    <t>L-9</t>
  </si>
  <si>
    <t>L-10</t>
  </si>
  <si>
    <t>L-11</t>
  </si>
  <si>
    <t>TOTAL QTY</t>
  </si>
  <si>
    <t>AMOUNT</t>
  </si>
  <si>
    <t>WED</t>
  </si>
  <si>
    <t>THU</t>
  </si>
  <si>
    <t>FRI</t>
  </si>
  <si>
    <t>SAT</t>
  </si>
  <si>
    <t>SUN</t>
  </si>
  <si>
    <t>MON</t>
  </si>
  <si>
    <t>TUE</t>
  </si>
  <si>
    <t>COST PER DAY</t>
  </si>
  <si>
    <t xml:space="preserve">SINUG-ANG 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</si>
  <si>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</si>
  <si>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</si>
  <si>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</si>
  <si>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</si>
  <si>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</si>
  <si>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</si>
  <si>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</si>
  <si>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</si>
  <si>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</si>
  <si>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TOTAL</t>
  </si>
  <si>
    <t>EXEL 2.4M  DELAY #</t>
  </si>
  <si>
    <t>TOTAL CONSUMPTION</t>
  </si>
  <si>
    <t>ACTUAL</t>
  </si>
  <si>
    <t>EXEL 3.6M  DELAY #</t>
  </si>
  <si>
    <t>SUPREME 2.4M  DELAY #</t>
  </si>
  <si>
    <t>EXPLOSIVES STOCK INVENTORY</t>
  </si>
  <si>
    <t xml:space="preserve">INCOMING </t>
  </si>
  <si>
    <t>SOH SURFACE APRIL 31,2024</t>
  </si>
  <si>
    <t>SOH UNDERGROUND APRIL 31,2024</t>
  </si>
  <si>
    <t>DYNA SENATEL PULSAR 215</t>
  </si>
  <si>
    <t>SUPREME 2.4m  DELAY #</t>
  </si>
  <si>
    <t>MILL MAGAZINE STOCKS</t>
  </si>
  <si>
    <t>-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</si>
  <si>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</si>
  <si>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</si>
  <si>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</si>
  <si>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</si>
  <si>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</si>
  <si>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</si>
  <si>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</si>
  <si>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</si>
  <si>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</si>
  <si>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</si>
  <si>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MINES</t>
  </si>
  <si>
    <t>TIGERWAY</t>
  </si>
  <si>
    <t>RCV PROJECT</t>
  </si>
  <si>
    <t>MAY</t>
  </si>
  <si>
    <t>JUNE</t>
  </si>
  <si>
    <t>VAT EXCLUSIVE</t>
  </si>
  <si>
    <t>VAT INCLUSIVE</t>
  </si>
  <si>
    <t>AVERAGE</t>
  </si>
  <si>
    <t>L-12</t>
  </si>
  <si>
    <t>LEVEL 12</t>
  </si>
  <si>
    <t>2021-2022</t>
  </si>
  <si>
    <t>2022-2023</t>
  </si>
  <si>
    <t>2023-2024</t>
  </si>
  <si>
    <t>ACTUAL PURCHASED</t>
  </si>
  <si>
    <t>MT. ROCK</t>
  </si>
  <si>
    <t>EXPEDITION</t>
  </si>
  <si>
    <t>ACTUAL SERVICE FEE</t>
  </si>
  <si>
    <t>FISCAL YEAR</t>
  </si>
  <si>
    <t>STOCK</t>
  </si>
  <si>
    <t>SERVICE FEE</t>
  </si>
  <si>
    <t>BUDGET (VAT INCLUSIVE)</t>
  </si>
  <si>
    <t>VARIANCE PURCHASED</t>
  </si>
  <si>
    <t>VARIANCE SERVICE FEE</t>
  </si>
  <si>
    <t>VARIANCE SERVICE FEE (PERCENTAGE)</t>
  </si>
  <si>
    <t>DATE</t>
  </si>
  <si>
    <t>SERVICE FEES/DELIVERY</t>
  </si>
  <si>
    <t>GROSS AMOUNT BILLED</t>
  </si>
  <si>
    <t xml:space="preserve">NET OF VAT </t>
  </si>
  <si>
    <t>INVOICES/DELIVERY</t>
  </si>
  <si>
    <t>SI1125</t>
  </si>
  <si>
    <t>SI1148</t>
  </si>
  <si>
    <t>SI1140</t>
  </si>
  <si>
    <t>CI1166</t>
  </si>
  <si>
    <t>SI1166</t>
  </si>
  <si>
    <t>CI1179</t>
  </si>
  <si>
    <t>SI1179</t>
  </si>
  <si>
    <t>SI1176</t>
  </si>
  <si>
    <t>SI1203</t>
  </si>
  <si>
    <t>SI1187</t>
  </si>
  <si>
    <t>SI1232</t>
  </si>
  <si>
    <t>SI1211</t>
  </si>
  <si>
    <t>SI1238</t>
  </si>
  <si>
    <t>SI1245</t>
  </si>
  <si>
    <t>SI1257</t>
  </si>
  <si>
    <t>SI1256</t>
  </si>
  <si>
    <t>SI1273/BS3</t>
  </si>
  <si>
    <t>SI1273</t>
  </si>
  <si>
    <t>SI1274/BS4</t>
  </si>
  <si>
    <t>SI274</t>
  </si>
  <si>
    <t>SI1285/BS7</t>
  </si>
  <si>
    <t>SI1285</t>
  </si>
  <si>
    <t>SI1300/BS12</t>
  </si>
  <si>
    <t>SI1300</t>
  </si>
  <si>
    <t>SI1308/BS16</t>
  </si>
  <si>
    <t>SI1308</t>
  </si>
  <si>
    <t>SI1322/BS18</t>
  </si>
  <si>
    <t>SI1322</t>
  </si>
  <si>
    <t>SI1340/BS24</t>
  </si>
  <si>
    <t>SI1340</t>
  </si>
  <si>
    <t>SI1327/BS20</t>
  </si>
  <si>
    <t>SI1327</t>
  </si>
  <si>
    <t>SI1351/BS31</t>
  </si>
  <si>
    <t>SI1351</t>
  </si>
  <si>
    <t>SI1369/BS37</t>
  </si>
  <si>
    <t>SI1369</t>
  </si>
  <si>
    <t>SI1392/BS48</t>
  </si>
  <si>
    <t>SI1392</t>
  </si>
  <si>
    <t>SI1398/BS50</t>
  </si>
  <si>
    <t>SI1398</t>
  </si>
  <si>
    <t>SI1417/BS56</t>
  </si>
  <si>
    <t>SI1247</t>
  </si>
  <si>
    <t>SI1450/BS91</t>
  </si>
  <si>
    <t>SI1450</t>
  </si>
  <si>
    <t>SI1457/BS105</t>
  </si>
  <si>
    <t>SI1457</t>
  </si>
  <si>
    <t>SI1456/BS122</t>
  </si>
  <si>
    <t>SI1456</t>
  </si>
  <si>
    <t>SI1509/BS152</t>
  </si>
  <si>
    <t>SI1509</t>
  </si>
  <si>
    <t>SI1510/BS153</t>
  </si>
  <si>
    <t>SI1510</t>
  </si>
  <si>
    <t>SI1512/BS154</t>
  </si>
  <si>
    <t>SI1512</t>
  </si>
  <si>
    <t>SI1546/BS189</t>
  </si>
  <si>
    <t>SI1546</t>
  </si>
  <si>
    <t>SI1548/BS191</t>
  </si>
  <si>
    <t>SI1548</t>
  </si>
  <si>
    <t>SI1549/BS192</t>
  </si>
  <si>
    <t>SI1549</t>
  </si>
  <si>
    <t>SI1550/BS203</t>
  </si>
  <si>
    <t>SI1550</t>
  </si>
  <si>
    <t>SI1565/BS221</t>
  </si>
  <si>
    <t>SI1565</t>
  </si>
  <si>
    <t>SI1566/BS222</t>
  </si>
  <si>
    <t>SI1566</t>
  </si>
  <si>
    <t>SI1567/BS226</t>
  </si>
  <si>
    <t>SI1567</t>
  </si>
  <si>
    <t>SI1581/BS246</t>
  </si>
  <si>
    <t>SI1581</t>
  </si>
  <si>
    <t>SI1587/BS253</t>
  </si>
  <si>
    <t>SI1587</t>
  </si>
  <si>
    <t>SI582/BS248</t>
  </si>
  <si>
    <t>SI1582</t>
  </si>
  <si>
    <t>DR444</t>
  </si>
  <si>
    <t>SI1604/BS268</t>
  </si>
  <si>
    <t>SI1604</t>
  </si>
  <si>
    <t>BS287</t>
  </si>
  <si>
    <t>SI1638/BS318</t>
  </si>
  <si>
    <t>SI1638</t>
  </si>
  <si>
    <t>SI1627/BS306</t>
  </si>
  <si>
    <t>SI1627</t>
  </si>
  <si>
    <t>SI615/BS284</t>
  </si>
  <si>
    <t>SI1615</t>
  </si>
  <si>
    <t>BS349</t>
  </si>
  <si>
    <t>SI1618/1615</t>
  </si>
  <si>
    <t>SI1639/BS319</t>
  </si>
  <si>
    <t>SI1639-B</t>
  </si>
  <si>
    <t>SI1665/BS350</t>
  </si>
  <si>
    <t>SI1665</t>
  </si>
  <si>
    <t>SI1648</t>
  </si>
  <si>
    <t>SI1682/BS371</t>
  </si>
  <si>
    <t>SI1682</t>
  </si>
  <si>
    <t>SI1681/BS370</t>
  </si>
  <si>
    <t>SI1681</t>
  </si>
  <si>
    <t>SI1680/BS369</t>
  </si>
  <si>
    <t>SI1680</t>
  </si>
  <si>
    <t>SI1685/BS376</t>
  </si>
  <si>
    <t>SI1685</t>
  </si>
  <si>
    <t>SI1693/BS384</t>
  </si>
  <si>
    <t>SI1693</t>
  </si>
  <si>
    <t>SI1707/BS399</t>
  </si>
  <si>
    <t>SI1707</t>
  </si>
  <si>
    <t>SI1667/BS352</t>
  </si>
  <si>
    <t>SI1667</t>
  </si>
  <si>
    <t>SI1702/BS355</t>
  </si>
  <si>
    <t>SI1702</t>
  </si>
  <si>
    <t>SI1720/BS416</t>
  </si>
  <si>
    <t>SI1720</t>
  </si>
  <si>
    <t>SI1717/BS407</t>
  </si>
  <si>
    <t>SI1717</t>
  </si>
  <si>
    <t>SI1732/BS432</t>
  </si>
  <si>
    <t>SI1732</t>
  </si>
  <si>
    <t>SI1737/BS438</t>
  </si>
  <si>
    <t>SI1737</t>
  </si>
  <si>
    <t>SI1746/BS452</t>
  </si>
  <si>
    <t>SI1740</t>
  </si>
  <si>
    <t>SI1754/BS460</t>
  </si>
  <si>
    <t>SI1754</t>
  </si>
  <si>
    <t>SI1749/BS455</t>
  </si>
  <si>
    <t>SI1749</t>
  </si>
  <si>
    <t>SI1770/BS489</t>
  </si>
  <si>
    <t>SI1770</t>
  </si>
  <si>
    <t>SI1777/BS500</t>
  </si>
  <si>
    <t>SI1777</t>
  </si>
  <si>
    <t>BS48</t>
  </si>
  <si>
    <t>SI1782</t>
  </si>
  <si>
    <t>SI1802/BS538</t>
  </si>
  <si>
    <t>SI1802</t>
  </si>
  <si>
    <t>SI1800/BS535</t>
  </si>
  <si>
    <t>SI1800</t>
  </si>
  <si>
    <t>SI1816/BS558</t>
  </si>
  <si>
    <t>SI1816</t>
  </si>
  <si>
    <t>SI1827/BS572</t>
  </si>
  <si>
    <t>SI1827</t>
  </si>
  <si>
    <t>SI1855/BS613</t>
  </si>
  <si>
    <t>SI1855</t>
  </si>
  <si>
    <t>SI1866/BS628</t>
  </si>
  <si>
    <t>SI1866</t>
  </si>
  <si>
    <t>SI1865/BS627</t>
  </si>
  <si>
    <t>SI1865</t>
  </si>
  <si>
    <t>SI1856/BS614</t>
  </si>
  <si>
    <t>SI1856</t>
  </si>
  <si>
    <t>SI1875/BS647</t>
  </si>
  <si>
    <t>SI1875</t>
  </si>
  <si>
    <t>SI1884/BS663</t>
  </si>
  <si>
    <t>SI1884</t>
  </si>
  <si>
    <t>SI1889/BS668</t>
  </si>
  <si>
    <t>SI1889</t>
  </si>
  <si>
    <t>SI1897/BS680</t>
  </si>
  <si>
    <t>SI1897</t>
  </si>
  <si>
    <t>SI1901/BS684</t>
  </si>
  <si>
    <t>SI1901</t>
  </si>
  <si>
    <t>SI1914/BS700</t>
  </si>
  <si>
    <t>SI1914</t>
  </si>
  <si>
    <t>SI1905/BS693</t>
  </si>
  <si>
    <t>SI1905</t>
  </si>
  <si>
    <t>SI1928/BS722</t>
  </si>
  <si>
    <t>SI1928</t>
  </si>
  <si>
    <t>SI1931/BS725</t>
  </si>
  <si>
    <t>SI1931</t>
  </si>
  <si>
    <t>SI1930/BS724</t>
  </si>
  <si>
    <t>SI1930</t>
  </si>
  <si>
    <t>SI1934/BS735</t>
  </si>
  <si>
    <t>SI1934</t>
  </si>
  <si>
    <t>SI1945/BS748</t>
  </si>
  <si>
    <t>SI1945</t>
  </si>
  <si>
    <t>SI1937/BS739</t>
  </si>
  <si>
    <t>SI1937</t>
  </si>
  <si>
    <t>SI1968/BS774</t>
  </si>
  <si>
    <t>SI1968</t>
  </si>
  <si>
    <t>SI1972/BS793</t>
  </si>
  <si>
    <t>SI1972</t>
  </si>
  <si>
    <t>SI1986/BS817</t>
  </si>
  <si>
    <t>SI1986</t>
  </si>
  <si>
    <t>SI1985/BS816</t>
  </si>
  <si>
    <t>SI1985</t>
  </si>
  <si>
    <t>SI2000/BS838</t>
  </si>
  <si>
    <t>SI2000</t>
  </si>
  <si>
    <t>SI2006/BS846</t>
  </si>
  <si>
    <t>SI2006</t>
  </si>
  <si>
    <t>SI2018/BS857</t>
  </si>
  <si>
    <t>SI2018</t>
  </si>
  <si>
    <t>SI2034/BS880</t>
  </si>
  <si>
    <t>SI2034</t>
  </si>
  <si>
    <t>SI2058/BS907</t>
  </si>
  <si>
    <t>SI2058</t>
  </si>
  <si>
    <t>SI2082/BS928</t>
  </si>
  <si>
    <t>SI2082</t>
  </si>
  <si>
    <t>NET OF VAT</t>
  </si>
  <si>
    <t>CI3273</t>
  </si>
  <si>
    <t>CI3274</t>
  </si>
  <si>
    <t>CI3275</t>
  </si>
  <si>
    <t>AP25997-CI3277</t>
  </si>
  <si>
    <t>CI3277</t>
  </si>
  <si>
    <t>AP25997-CI3279</t>
  </si>
  <si>
    <t>CI3279</t>
  </si>
  <si>
    <t>AP25997-CI3281</t>
  </si>
  <si>
    <t>CI3281</t>
  </si>
  <si>
    <t>AP25932-CI3282</t>
  </si>
  <si>
    <t>CI3282</t>
  </si>
  <si>
    <t>AP25932-CI3285</t>
  </si>
  <si>
    <t>CI3285</t>
  </si>
  <si>
    <t>AP26253-CI3291</t>
  </si>
  <si>
    <t>CI3291</t>
  </si>
  <si>
    <t>AP26253-CI3289</t>
  </si>
  <si>
    <t>CI3289</t>
  </si>
  <si>
    <t>AP26384-CI3292</t>
  </si>
  <si>
    <t>CI3292</t>
  </si>
  <si>
    <t>AP26549-CI3296</t>
  </si>
  <si>
    <t>CI3296</t>
  </si>
  <si>
    <t>SI03298</t>
  </si>
  <si>
    <t>CI3298</t>
  </si>
  <si>
    <t>AP26849-1_CI3301</t>
  </si>
  <si>
    <t>CI3301</t>
  </si>
  <si>
    <t>AP29470-CI3303</t>
  </si>
  <si>
    <t>CI3303</t>
  </si>
  <si>
    <t>AP29538-CI3308</t>
  </si>
  <si>
    <t>CI3308</t>
  </si>
  <si>
    <t>AP29538-CI3304</t>
  </si>
  <si>
    <t>CI3304</t>
  </si>
  <si>
    <t>AP29647-CI3309</t>
  </si>
  <si>
    <t>CI3309</t>
  </si>
  <si>
    <t>AP29728-CI3310</t>
  </si>
  <si>
    <t>CI3310</t>
  </si>
  <si>
    <t>AP29832-CI3311</t>
  </si>
  <si>
    <t>CI3311</t>
  </si>
  <si>
    <t>AP2982-CI3312</t>
  </si>
  <si>
    <t>CI3312</t>
  </si>
  <si>
    <t>AP29982-CI3313</t>
  </si>
  <si>
    <t>CI3313</t>
  </si>
  <si>
    <t>AP30118-CI3314</t>
  </si>
  <si>
    <t>CI3314</t>
  </si>
  <si>
    <t>AP30179-CI3315</t>
  </si>
  <si>
    <t>CI3315</t>
  </si>
  <si>
    <t>AP30306-CI3316</t>
  </si>
  <si>
    <t>CI3316</t>
  </si>
  <si>
    <t>AP30343-CI3318</t>
  </si>
  <si>
    <t>CI3318</t>
  </si>
  <si>
    <t>AP30424-CI3321</t>
  </si>
  <si>
    <t>CI3321</t>
  </si>
  <si>
    <t>AP30235-CI3322</t>
  </si>
  <si>
    <t>CI3322</t>
  </si>
  <si>
    <t>AP30631-CI3325</t>
  </si>
  <si>
    <t>CI3325</t>
  </si>
  <si>
    <t>AP30846-CI3326</t>
  </si>
  <si>
    <t>CI3326</t>
  </si>
  <si>
    <t>AP30970-CI3327</t>
  </si>
  <si>
    <t>CI3327</t>
  </si>
  <si>
    <t>AP30988-CI3328</t>
  </si>
  <si>
    <t>CI3328</t>
  </si>
  <si>
    <t>AP30988-CI3329</t>
  </si>
  <si>
    <t>CI3329</t>
  </si>
  <si>
    <t>AP31250-CI3333</t>
  </si>
  <si>
    <t>CI3333</t>
  </si>
  <si>
    <t>AP31349-CI3334</t>
  </si>
  <si>
    <t>CI3334</t>
  </si>
  <si>
    <t>AP31349-CI3335</t>
  </si>
  <si>
    <t>CI3335</t>
  </si>
  <si>
    <t>AP31349-CI3338</t>
  </si>
  <si>
    <t>CI3338/3337</t>
  </si>
  <si>
    <t>AP31452-CI3339</t>
  </si>
  <si>
    <t>CI3339/3341</t>
  </si>
  <si>
    <t>AP31591-CI3342</t>
  </si>
  <si>
    <t>CI3342/3343</t>
  </si>
  <si>
    <t>AP31591-CI3344</t>
  </si>
  <si>
    <t>CI3344/3345</t>
  </si>
  <si>
    <t>AP31736-CI3346</t>
  </si>
  <si>
    <t>CI3346/3347</t>
  </si>
  <si>
    <t>AP31945-CI3348</t>
  </si>
  <si>
    <t>CI3348/3349</t>
  </si>
  <si>
    <t>AP31945-CI3351</t>
  </si>
  <si>
    <t>CI3351/3352</t>
  </si>
  <si>
    <t>AP32271-CI3353</t>
  </si>
  <si>
    <t>CI3353</t>
  </si>
  <si>
    <t>AP32424-CI3354</t>
  </si>
  <si>
    <t>CI3354</t>
  </si>
  <si>
    <t>AP32424-CI3355</t>
  </si>
  <si>
    <t>CI3355</t>
  </si>
  <si>
    <t>AP32603-CI3356</t>
  </si>
  <si>
    <t>CI3356</t>
  </si>
  <si>
    <t>AP32603-CI3358</t>
  </si>
  <si>
    <t>CI3358</t>
  </si>
  <si>
    <t>RFP-3107-CI3360</t>
  </si>
  <si>
    <t>CI3359-3360</t>
  </si>
  <si>
    <t>AP32906-RFP3452</t>
  </si>
  <si>
    <t>AP33031-CI3361</t>
  </si>
  <si>
    <t>CI3361</t>
  </si>
  <si>
    <t>AP39247-CI3363</t>
  </si>
  <si>
    <t>CI3363</t>
  </si>
  <si>
    <t>AP33198-CI3364</t>
  </si>
  <si>
    <t>CI3364</t>
  </si>
  <si>
    <t>AP33198-CI3367</t>
  </si>
  <si>
    <t>CI3367</t>
  </si>
  <si>
    <t>AP33507-CI3368</t>
  </si>
  <si>
    <t>CI3368</t>
  </si>
  <si>
    <t>AP33529-CI3369</t>
  </si>
  <si>
    <t>CI3369</t>
  </si>
  <si>
    <t>AP33604-CI3370</t>
  </si>
  <si>
    <t>CI3370</t>
  </si>
  <si>
    <t>AP33838-CI3372</t>
  </si>
  <si>
    <t>CI3372</t>
  </si>
  <si>
    <t>AP33838-CI3373</t>
  </si>
  <si>
    <t>CI3373</t>
  </si>
  <si>
    <t>AP33922-CI3374</t>
  </si>
  <si>
    <t>CI3374</t>
  </si>
  <si>
    <t>AP34073-CI3376</t>
  </si>
  <si>
    <t>CI3376</t>
  </si>
  <si>
    <t>AP34073-CI3377/3378</t>
  </si>
  <si>
    <t>CI3377/3378</t>
  </si>
  <si>
    <t>AP34258-CI3379</t>
  </si>
  <si>
    <t>CI3379</t>
  </si>
  <si>
    <t>AP34325-CI3381</t>
  </si>
  <si>
    <t>CI3381</t>
  </si>
  <si>
    <t>CI3382</t>
  </si>
  <si>
    <t>**OK</t>
  </si>
  <si>
    <t>AP34533-3CI3383</t>
  </si>
  <si>
    <t>CI3383</t>
  </si>
  <si>
    <t>AP34650-CI3384</t>
  </si>
  <si>
    <t>CI3384</t>
  </si>
  <si>
    <t>AP34650-CI3385</t>
  </si>
  <si>
    <t>CI3385</t>
  </si>
  <si>
    <t>AP34891-CI3388</t>
  </si>
  <si>
    <t>CI3388</t>
  </si>
  <si>
    <t>AP35042-CI3391</t>
  </si>
  <si>
    <t>CI3391</t>
  </si>
  <si>
    <t>AP35135-CI3392</t>
  </si>
  <si>
    <t>CI3392</t>
  </si>
  <si>
    <t>AP35369-CI3393</t>
  </si>
  <si>
    <t>CI3393</t>
  </si>
  <si>
    <t>AP35515-CI3394</t>
  </si>
  <si>
    <t>CI3394</t>
  </si>
  <si>
    <t>AP35693-CI3397</t>
  </si>
  <si>
    <t>CI3397</t>
  </si>
  <si>
    <t>AP35916-CI3398</t>
  </si>
  <si>
    <t>CI3398</t>
  </si>
  <si>
    <t>AP35929-CI3399</t>
  </si>
  <si>
    <t>CI3399</t>
  </si>
  <si>
    <t>AP36109-CI3400</t>
  </si>
  <si>
    <t>CI3400</t>
  </si>
  <si>
    <t>AP36213-CI3401</t>
  </si>
  <si>
    <t>CI3401</t>
  </si>
  <si>
    <t>AP36283-CI3403</t>
  </si>
  <si>
    <t>CI3403</t>
  </si>
  <si>
    <t>AP36490-CI3404</t>
  </si>
  <si>
    <t>CI3404</t>
  </si>
  <si>
    <t>AP36538-CI3406</t>
  </si>
  <si>
    <t>CI3406</t>
  </si>
  <si>
    <t>AP36570-CI3408</t>
  </si>
  <si>
    <t>CI3408</t>
  </si>
  <si>
    <t>AP36776-CI3410</t>
  </si>
  <si>
    <t>CI3410</t>
  </si>
  <si>
    <t>AP36776-CI3411</t>
  </si>
  <si>
    <t>CI3411</t>
  </si>
  <si>
    <t>AP36886-CI3412</t>
  </si>
  <si>
    <t>CI3412</t>
  </si>
  <si>
    <t>AP36968-CI3413</t>
  </si>
  <si>
    <t>CI3413</t>
  </si>
  <si>
    <t>AP37067-CI3418</t>
  </si>
  <si>
    <t>CI3418</t>
  </si>
  <si>
    <t>AP37067-CI3419</t>
  </si>
  <si>
    <t>CI3419</t>
  </si>
  <si>
    <t>AP37244-CI3420</t>
  </si>
  <si>
    <t>CI3420</t>
  </si>
  <si>
    <t>AP37548-CI3423</t>
  </si>
  <si>
    <t>CI3423</t>
  </si>
  <si>
    <t>AP37548-CI3424</t>
  </si>
  <si>
    <t>CI3424</t>
  </si>
  <si>
    <t>AP37548-CI3425</t>
  </si>
  <si>
    <t>CI3425</t>
  </si>
  <si>
    <t>AP38630-CI3426</t>
  </si>
  <si>
    <t>CI3426</t>
  </si>
  <si>
    <t>AP38121-3_CI3430</t>
  </si>
  <si>
    <t>CI3430</t>
  </si>
  <si>
    <t>AP38228-CI3431</t>
  </si>
  <si>
    <t>CI3431</t>
  </si>
  <si>
    <t>AP38346-CI3432</t>
  </si>
  <si>
    <t>CI3432</t>
  </si>
  <si>
    <t>AP38549-1_CI3435</t>
  </si>
  <si>
    <t>CI3435</t>
  </si>
  <si>
    <t>AP38751-CI3428</t>
  </si>
  <si>
    <t>CI3428</t>
  </si>
  <si>
    <t>AP39090-12_CI3440</t>
  </si>
  <si>
    <t>CI3440</t>
  </si>
  <si>
    <t>AP39090-11_CI3441</t>
  </si>
  <si>
    <t>CI3441</t>
  </si>
  <si>
    <t>AP39472-5_CI3442</t>
  </si>
  <si>
    <t>CI3442</t>
  </si>
  <si>
    <t>AP39768-3_CI3443</t>
  </si>
  <si>
    <t>CI3443</t>
  </si>
  <si>
    <t>AP39780-1_CI3445</t>
  </si>
  <si>
    <t>CI3445</t>
  </si>
  <si>
    <t>PERCENTAGE PURCHASED (OVER BUDGET)</t>
  </si>
  <si>
    <t>PERCENTAGE SERVICE FEE (OVER BUDGET)</t>
  </si>
  <si>
    <t>TOTAL PURCHASED</t>
  </si>
  <si>
    <t>TOTAL SERVICE FEE</t>
  </si>
  <si>
    <t>VARIANCE PURCHASED (OVER BUDGET)</t>
  </si>
  <si>
    <t>VARIANCE SERVICE FEE (OVER BUDGET)</t>
  </si>
  <si>
    <t>VARIANCE PURCHASED PERCENTAGE</t>
  </si>
  <si>
    <t>VARIANCE SERVICE FEE PERCENTAGE</t>
  </si>
  <si>
    <t>VARIANCE PURCHASED PERCENTAGE (OVER BUDGET)</t>
  </si>
  <si>
    <t>BUDGET (VAT EXCLUSIVE)</t>
  </si>
  <si>
    <t>1-15</t>
  </si>
  <si>
    <t>16-30</t>
  </si>
  <si>
    <t xml:space="preserve">LEVEL 9 </t>
  </si>
  <si>
    <t xml:space="preserve">LEVEL 8 </t>
  </si>
  <si>
    <t xml:space="preserve">LEVEL 12 </t>
  </si>
  <si>
    <t>DCORD 15</t>
  </si>
  <si>
    <t>MONTHLY CONSUMPTION</t>
  </si>
  <si>
    <t>DCORD I 5</t>
  </si>
  <si>
    <t>METERS</t>
  </si>
  <si>
    <t>BOXES/SACKS</t>
  </si>
  <si>
    <t>DCORD 1 5</t>
  </si>
  <si>
    <t>BOXES/SACKS/PACK</t>
  </si>
  <si>
    <t>3</t>
  </si>
  <si>
    <t>ESTIMATED VARIANCE
on  July 1, 2024</t>
  </si>
  <si>
    <t>L-7</t>
  </si>
  <si>
    <t xml:space="preserve">LEVEL 7 </t>
  </si>
  <si>
    <t>VARIANCE
(As of December 1, 2024)</t>
  </si>
  <si>
    <t>Pcs</t>
  </si>
  <si>
    <t>CONSUMPTION</t>
  </si>
  <si>
    <t>DUE UNTIL</t>
  </si>
  <si>
    <t>WEEK ESTIMATED</t>
  </si>
  <si>
    <t>level 9</t>
  </si>
  <si>
    <t>level 8</t>
  </si>
  <si>
    <t>MARATHON</t>
  </si>
  <si>
    <t>SINUG-AN</t>
  </si>
  <si>
    <t>SUPPLIER</t>
  </si>
  <si>
    <t>SURFACE</t>
  </si>
  <si>
    <t xml:space="preserve">WEEKLY </t>
  </si>
  <si>
    <t>UNIT</t>
  </si>
  <si>
    <t>DELAY</t>
  </si>
  <si>
    <t>MTRS</t>
  </si>
  <si>
    <t>CORDTXT 10</t>
  </si>
  <si>
    <t>SAFETY FUSE</t>
  </si>
  <si>
    <t>SACKS</t>
  </si>
  <si>
    <t>BOXES</t>
  </si>
  <si>
    <t>WEEKS ESTIMATED</t>
  </si>
  <si>
    <t>WEEKLY</t>
  </si>
  <si>
    <t>MONITORING STOCK FOR SUPPLIER AND PMC STOCK</t>
  </si>
  <si>
    <t>MT.ROCK</t>
  </si>
  <si>
    <t>CONSUMED</t>
  </si>
  <si>
    <t xml:space="preserve">WEEKS ESTIMATED </t>
  </si>
  <si>
    <t>CORDTXT 5</t>
  </si>
  <si>
    <t>SENATEL</t>
  </si>
  <si>
    <t>L-5</t>
  </si>
  <si>
    <t>BARROWED   MT. ROCK</t>
  </si>
  <si>
    <t>if mt. rock out of stock</t>
  </si>
  <si>
    <t>weekly consumption</t>
  </si>
  <si>
    <t>estimated week consume</t>
  </si>
  <si>
    <t>due untl</t>
  </si>
  <si>
    <t>conspt util october</t>
  </si>
  <si>
    <t>week estimated</t>
  </si>
  <si>
    <t>weeks consumed</t>
  </si>
  <si>
    <t>due untill</t>
  </si>
  <si>
    <t>If Mt rock arrive stock</t>
  </si>
  <si>
    <t>due until</t>
  </si>
  <si>
    <t>estimated weeks</t>
  </si>
  <si>
    <t>Arrival of dyna and anfo 1st week of april</t>
  </si>
  <si>
    <t>weeks</t>
  </si>
  <si>
    <t>to bedeliver/Boxes</t>
  </si>
  <si>
    <t>to be deliver until last week of october</t>
  </si>
  <si>
    <t xml:space="preserve">mt rock out of stock </t>
  </si>
  <si>
    <t>DYNA NEOGEL 200</t>
  </si>
  <si>
    <t>STOCK CODE</t>
  </si>
  <si>
    <t>L425</t>
  </si>
  <si>
    <t>LEVEL 425</t>
  </si>
  <si>
    <t>NEW PRICE  2025-2027</t>
  </si>
  <si>
    <t xml:space="preserve">BARROWED MT. ROCK  </t>
  </si>
  <si>
    <t>MONTHLY COSTING</t>
  </si>
  <si>
    <t xml:space="preserve">JANUARY </t>
  </si>
  <si>
    <t>MONTH</t>
  </si>
  <si>
    <t>COST PER YEAR</t>
  </si>
  <si>
    <t>NEOGEL CONSUMPTION</t>
  </si>
  <si>
    <t>LESS NEOGEL</t>
  </si>
  <si>
    <t>BELL WIRE</t>
  </si>
  <si>
    <t>PENTEX STOPE PRIME</t>
  </si>
  <si>
    <t>TOTAL COST WITHDRAWAL</t>
  </si>
  <si>
    <t>1st week of june</t>
  </si>
  <si>
    <t>3rd week of july</t>
  </si>
  <si>
    <t>FORECAST - STOCK WITHDRAWAL FROM EXPEDITION MAGAZINE</t>
  </si>
  <si>
    <t>WEEKLY AVE. WITHDRAWAL</t>
  </si>
  <si>
    <t>SUPPLIER  STOCK ON HAND @ MAIN MAGAZINE</t>
  </si>
  <si>
    <t>DATE OF WITHDRAWAL</t>
  </si>
  <si>
    <t>TO BE DELEVERED</t>
  </si>
  <si>
    <t>MARCH 12, 2026</t>
  </si>
  <si>
    <t>MARCH 26, 2026</t>
  </si>
  <si>
    <t>APRIL 9, 2026</t>
  </si>
  <si>
    <t>APRIL 23, 2026</t>
  </si>
  <si>
    <t>MAY 7, 2026</t>
  </si>
  <si>
    <t>MAY 21, 2026</t>
  </si>
  <si>
    <t>JUNE 4, 2026</t>
  </si>
  <si>
    <t>JUNE 18 2026</t>
  </si>
  <si>
    <t>REMAINING STOCK</t>
  </si>
  <si>
    <t>may  7 2026</t>
  </si>
  <si>
    <t>may 21 2026</t>
  </si>
  <si>
    <t>june 4 2026</t>
  </si>
  <si>
    <t>june 18 2026</t>
  </si>
  <si>
    <t>july 9 2026</t>
  </si>
  <si>
    <t>july 23 2026</t>
  </si>
  <si>
    <t>aug 13 2026</t>
  </si>
  <si>
    <t>aug 27 2026</t>
  </si>
  <si>
    <t>sep 102026</t>
  </si>
  <si>
    <t>sep 24 2026</t>
  </si>
  <si>
    <t>oct 8 2026</t>
  </si>
  <si>
    <t>oct 22 2026</t>
  </si>
  <si>
    <t>nov 12 2026</t>
  </si>
  <si>
    <t>nov 26 2026</t>
  </si>
  <si>
    <t>dec 10 2026</t>
  </si>
  <si>
    <t>dec 17 2026</t>
  </si>
  <si>
    <t>TOTAL BOXES TO BE DELIVERED</t>
  </si>
  <si>
    <t>500 BOXES</t>
  </si>
  <si>
    <t>8600 SACKS</t>
  </si>
  <si>
    <t>60 BOXES</t>
  </si>
  <si>
    <t>56 BOXES</t>
  </si>
  <si>
    <t>BELLWIRE</t>
  </si>
  <si>
    <t>DELAY #</t>
  </si>
  <si>
    <t>ON HAND</t>
  </si>
  <si>
    <t>MARCH 12 2026</t>
  </si>
  <si>
    <t>MARCH 19, 2026</t>
  </si>
  <si>
    <t>JUNE 18, 2026</t>
  </si>
  <si>
    <t>MAY 7 2026</t>
  </si>
  <si>
    <t>MAY 21 2026</t>
  </si>
  <si>
    <t>JUNE 4 2026</t>
  </si>
  <si>
    <t>JULY 9 2026</t>
  </si>
  <si>
    <t>JULY 23 2026</t>
  </si>
  <si>
    <t>AUG 13 2026</t>
  </si>
  <si>
    <t>AUG 27 2026</t>
  </si>
  <si>
    <t>SEPT 10 2026</t>
  </si>
  <si>
    <t>SEPT 24 2026</t>
  </si>
  <si>
    <t>OCT 8 2026</t>
  </si>
  <si>
    <t>OCT 22 2026</t>
  </si>
  <si>
    <t>NOV 12 2026</t>
  </si>
  <si>
    <t>NOV 26 2026</t>
  </si>
  <si>
    <t>DEC 10 2026</t>
  </si>
  <si>
    <t>DEC 17 2026</t>
  </si>
  <si>
    <t>TOTAL BOXES</t>
  </si>
  <si>
    <t>63 BOXES</t>
  </si>
  <si>
    <t>62 BOXES</t>
  </si>
  <si>
    <t>67 BOXES</t>
  </si>
  <si>
    <t>77 BOXES</t>
  </si>
  <si>
    <t>128 BOXES</t>
  </si>
  <si>
    <t>64 BOXES</t>
  </si>
  <si>
    <t>48 BOXES</t>
  </si>
  <si>
    <t>36 BOXES</t>
  </si>
  <si>
    <t>40 BOXES</t>
  </si>
  <si>
    <t>TOTAL WITHDRAWAL</t>
  </si>
  <si>
    <t>1302 BOXES</t>
  </si>
  <si>
    <t>boxes</t>
  </si>
  <si>
    <t>DATE WITHDRAWAL</t>
  </si>
  <si>
    <t>AVERAGE CAPACITY MAGZINE</t>
  </si>
  <si>
    <t>ON HAND MARCH 12 2026</t>
  </si>
  <si>
    <t>ON HAND MAY 7 2026</t>
  </si>
  <si>
    <t>DELIVERY TO MAINTAIN  THE CAPACITY OF MAGAZINE</t>
  </si>
  <si>
    <t>AVERAGE CAPACITY MAGAZINE</t>
  </si>
  <si>
    <t>PER BOXES</t>
  </si>
  <si>
    <t>1 contauner van 200 boxes capacity</t>
  </si>
  <si>
    <t>13 boxex per delay</t>
  </si>
  <si>
    <t>concreet 400 boxes</t>
  </si>
  <si>
    <t>26 per delay</t>
  </si>
  <si>
    <t>EM AUSTINE 200</t>
  </si>
  <si>
    <t>last week of september</t>
  </si>
  <si>
    <t>EXPLOSIVES SOH          APRIL 30, 2026</t>
  </si>
  <si>
    <t>EXPLOSIVES SOH               APRIL 30 ,2025</t>
  </si>
  <si>
    <t>2nd week of june 2027</t>
  </si>
  <si>
    <t>last week of november 2026</t>
  </si>
  <si>
    <t>1st week oj june 2027</t>
  </si>
  <si>
    <t>last week of december 2026</t>
  </si>
  <si>
    <t>2nd weeek of april 2027</t>
  </si>
  <si>
    <t>2nd week of may 2027</t>
  </si>
  <si>
    <t>2nd week of november</t>
  </si>
  <si>
    <t>3rd week of november</t>
  </si>
  <si>
    <t>2nd week of october</t>
  </si>
  <si>
    <t>2nd week of september</t>
  </si>
  <si>
    <t>1st week of september</t>
  </si>
  <si>
    <t>2nd week of august</t>
  </si>
  <si>
    <t>last week of august</t>
  </si>
  <si>
    <t>3rd week of september</t>
  </si>
  <si>
    <t>3rd week of june</t>
  </si>
  <si>
    <t>As Of May 23, 2026</t>
  </si>
  <si>
    <t>As Of  May 23, 2026</t>
  </si>
  <si>
    <t xml:space="preserve">TO BE WITHDRAWN FROM SUPPLIER MAGAZINE ON             </t>
  </si>
  <si>
    <t>EXPLOSIVES STOCK ON HAND/COSTING AS OF MAY 31, 2026</t>
  </si>
  <si>
    <t xml:space="preserve">REMAINING SOH AS MAY 31, 2026    </t>
  </si>
  <si>
    <t>TOTAL COST AS OF MAY 31,2026</t>
  </si>
  <si>
    <t>DATE: MAY 31,2026</t>
  </si>
  <si>
    <t>COSTING AS OF MAY 31, 2026</t>
  </si>
  <si>
    <t>SOH SURFACE AS OF MAY 31 2026</t>
  </si>
  <si>
    <t>SOH UNDERGROUND  MAY 31,2026</t>
  </si>
  <si>
    <t xml:space="preserve">REMAINING SOH AS MAY 31,2026          </t>
  </si>
  <si>
    <t>TOTAL COST AS OF        MAY 31, 2026</t>
  </si>
  <si>
    <t>SOH OF EXPEDITION
(As of MAY 31, 2026)</t>
  </si>
  <si>
    <t>SOH OF MT. ROCK         (MAY 31, 2026)</t>
  </si>
  <si>
    <t>SOH OF PMC AT MINE SITE
(As of MAY 31, 2026)</t>
  </si>
  <si>
    <t>SOH OF PMC AND SUPPLIER
(As of MAY 31,2026)</t>
  </si>
  <si>
    <t>SURFACE AS OF  MAY 31 2026</t>
  </si>
  <si>
    <t>UNDERGROUND AS OF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</si>
</sst>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[$-C09]dd\-mmm\-yy;@"/>
    <numFmt numFmtId="167" formatCode="#,##0_ ;\-#,##0\ "/>
    <numFmt numFmtId="168" formatCode="#,##0.00_ ;\-#,##0.00\ "/>
    <numFmt numFmtId="169" formatCode="#,##0.0_ ;\-#,##0.0\ "/>
    <numFmt numFmtId="170" formatCode="_-* #,##0_-;\-* #,##0_-;_-* &quot;-&quot;??_-;_-@_-"/>
    <numFmt numFmtId="171" formatCode="0.000"/>
    <numFmt numFmtId="172" formatCode="0.0000"/>
    <numFmt numFmtId="173" formatCode="_-* #,##0.0000_-;\-* #,##0.0000_-;_-* &quot;-&quot;??_-;_-@_-"/>
  </numFmts>
  <fonts count="6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u/>
      <sz val="12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 val="singleAccounting"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9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sz val="10"/>
      <color theme="1"/>
      <name val="Calibri Light"/>
      <family val="2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sz val="14"/>
      <color theme="1"/>
      <name val="Arial"/>
      <family val="2"/>
    </font>
    <font>
      <b/>
      <sz val="11"/>
      <name val="Aptos Narrow"/>
      <family val="2"/>
      <scheme val="minor"/>
    </font>
    <font>
      <b/>
      <sz val="20"/>
      <color theme="1"/>
      <name val="Arial Narrow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rial Unicode MS"/>
      <family val="2"/>
    </font>
    <font>
      <sz val="16"/>
      <color theme="1"/>
      <name val="Arial Unicode MS"/>
      <family val="2"/>
    </font>
    <font>
      <b/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8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0" fontId="3" fillId="0" borderId="0"/>
    <xf numFmtId="43" fontId="3" fillId="0" borderId="0" applyFont="0" applyFill="0" applyBorder="0" applyAlignment="0" applyProtection="0"/>
    <xf numFmtId="0" fontId="44" fillId="0" borderId="0"/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</cellStyleXfs>
  <cellXfs count="662">
    <xf numFmtId="0" fontId="0" fillId="0" borderId="0" xfId="0"/>
    <xf numFmtId="43" fontId="0" fillId="0" borderId="0" xfId="0" applyNumberFormat="1"/>
    <xf numFmtId="43" fontId="0" fillId="0" borderId="1" xfId="0" applyNumberFormat="1" applyBorder="1" applyAlignment="1">
      <alignment horizontal="right"/>
    </xf>
    <xf numFmtId="43" fontId="0" fillId="0" borderId="1" xfId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5" fillId="4" borderId="0" xfId="4" applyNumberFormat="1" applyFont="1" applyFill="1" applyAlignment="1">
      <alignment vertical="center"/>
    </xf>
    <xf numFmtId="49" fontId="5" fillId="4" borderId="0" xfId="4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4" applyFont="1" applyAlignment="1">
      <alignment vertical="center"/>
    </xf>
    <xf numFmtId="0" fontId="5" fillId="0" borderId="0" xfId="4" applyFont="1"/>
    <xf numFmtId="43" fontId="5" fillId="0" borderId="0" xfId="1" applyFont="1" applyAlignment="1">
      <alignment horizontal="left"/>
    </xf>
    <xf numFmtId="43" fontId="9" fillId="0" borderId="0" xfId="1" applyFont="1"/>
    <xf numFmtId="43" fontId="9" fillId="0" borderId="0" xfId="1" applyFont="1" applyAlignment="1">
      <alignment horizontal="center" vertical="center"/>
    </xf>
    <xf numFmtId="3" fontId="4" fillId="4" borderId="1" xfId="4" applyNumberFormat="1" applyFont="1" applyFill="1" applyBorder="1" applyAlignment="1">
      <alignment horizontal="center" vertical="center"/>
    </xf>
    <xf numFmtId="4" fontId="4" fillId="4" borderId="1" xfId="4" applyNumberFormat="1" applyFont="1" applyFill="1" applyBorder="1" applyAlignment="1">
      <alignment horizontal="center" vertical="center"/>
    </xf>
    <xf numFmtId="2" fontId="4" fillId="4" borderId="1" xfId="4" applyNumberFormat="1" applyFont="1" applyFill="1" applyBorder="1" applyAlignment="1">
      <alignment horizontal="center" vertical="center"/>
    </xf>
    <xf numFmtId="165" fontId="4" fillId="4" borderId="1" xfId="4" applyNumberFormat="1" applyFont="1" applyFill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center"/>
    </xf>
    <xf numFmtId="3" fontId="4" fillId="4" borderId="8" xfId="4" applyNumberFormat="1" applyFont="1" applyFill="1" applyBorder="1" applyAlignment="1">
      <alignment horizontal="center" vertical="center"/>
    </xf>
    <xf numFmtId="4" fontId="4" fillId="4" borderId="8" xfId="4" applyNumberFormat="1" applyFont="1" applyFill="1" applyBorder="1" applyAlignment="1">
      <alignment horizontal="center" vertical="center"/>
    </xf>
    <xf numFmtId="2" fontId="4" fillId="4" borderId="8" xfId="4" applyNumberFormat="1" applyFont="1" applyFill="1" applyBorder="1" applyAlignment="1">
      <alignment horizontal="center" vertical="center"/>
    </xf>
    <xf numFmtId="0" fontId="4" fillId="4" borderId="9" xfId="4" applyFont="1" applyFill="1" applyBorder="1" applyAlignment="1">
      <alignment horizontal="left" vertical="center"/>
    </xf>
    <xf numFmtId="4" fontId="4" fillId="4" borderId="10" xfId="5" applyNumberFormat="1" applyFont="1" applyFill="1" applyBorder="1" applyAlignment="1">
      <alignment horizontal="center" vertical="center"/>
    </xf>
    <xf numFmtId="4" fontId="5" fillId="5" borderId="14" xfId="5" applyNumberFormat="1" applyFont="1" applyFill="1" applyBorder="1" applyAlignment="1">
      <alignment horizontal="center" vertical="center"/>
    </xf>
    <xf numFmtId="0" fontId="4" fillId="4" borderId="15" xfId="4" applyFont="1" applyFill="1" applyBorder="1" applyAlignment="1">
      <alignment horizontal="left" vertical="center"/>
    </xf>
    <xf numFmtId="4" fontId="4" fillId="4" borderId="16" xfId="5" applyNumberFormat="1" applyFont="1" applyFill="1" applyBorder="1" applyAlignment="1">
      <alignment horizontal="center" vertical="center"/>
    </xf>
    <xf numFmtId="49" fontId="5" fillId="4" borderId="0" xfId="4" applyNumberFormat="1" applyFont="1" applyFill="1"/>
    <xf numFmtId="43" fontId="5" fillId="4" borderId="0" xfId="1" applyFont="1" applyFill="1" applyAlignment="1">
      <alignment horizontal="left"/>
    </xf>
    <xf numFmtId="0" fontId="10" fillId="4" borderId="1" xfId="4" applyFont="1" applyFill="1" applyBorder="1" applyAlignment="1">
      <alignment horizontal="center" vertical="center"/>
    </xf>
    <xf numFmtId="4" fontId="11" fillId="4" borderId="14" xfId="5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4" borderId="0" xfId="0" applyFill="1"/>
    <xf numFmtId="167" fontId="2" fillId="0" borderId="1" xfId="1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67" fontId="2" fillId="7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8" borderId="1" xfId="0" applyFont="1" applyFill="1" applyBorder="1" applyAlignment="1">
      <alignment horizontal="center"/>
    </xf>
    <xf numFmtId="43" fontId="2" fillId="8" borderId="8" xfId="1" applyFont="1" applyFill="1" applyBorder="1" applyAlignment="1">
      <alignment horizontal="center" vertical="center"/>
    </xf>
    <xf numFmtId="43" fontId="2" fillId="8" borderId="1" xfId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43" fontId="0" fillId="4" borderId="0" xfId="1" applyFont="1" applyFill="1" applyBorder="1"/>
    <xf numFmtId="167" fontId="0" fillId="4" borderId="0" xfId="0" applyNumberFormat="1" applyFill="1"/>
    <xf numFmtId="0" fontId="2" fillId="4" borderId="0" xfId="0" applyFont="1" applyFill="1" applyAlignment="1">
      <alignment horizontal="center"/>
    </xf>
    <xf numFmtId="167" fontId="2" fillId="4" borderId="0" xfId="0" applyNumberFormat="1" applyFont="1" applyFill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7" fontId="2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Border="1"/>
    <xf numFmtId="167" fontId="2" fillId="8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1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3" fontId="2" fillId="7" borderId="1" xfId="1" applyFont="1" applyFill="1" applyBorder="1" applyAlignment="1">
      <alignment horizontal="center" vertical="center"/>
    </xf>
    <xf numFmtId="3" fontId="4" fillId="6" borderId="1" xfId="4" applyNumberFormat="1" applyFont="1" applyFill="1" applyBorder="1" applyAlignment="1">
      <alignment horizontal="center" vertical="center"/>
    </xf>
    <xf numFmtId="0" fontId="5" fillId="5" borderId="11" xfId="4" applyFont="1" applyFill="1" applyBorder="1" applyAlignment="1">
      <alignment vertical="center"/>
    </xf>
    <xf numFmtId="0" fontId="5" fillId="5" borderId="12" xfId="4" applyFont="1" applyFill="1" applyBorder="1" applyAlignment="1">
      <alignment vertical="center"/>
    </xf>
    <xf numFmtId="0" fontId="5" fillId="5" borderId="13" xfId="4" applyFont="1" applyFill="1" applyBorder="1" applyAlignment="1">
      <alignment vertical="center"/>
    </xf>
    <xf numFmtId="0" fontId="16" fillId="0" borderId="0" xfId="0" applyFont="1"/>
    <xf numFmtId="0" fontId="17" fillId="6" borderId="1" xfId="0" applyFont="1" applyFill="1" applyBorder="1" applyAlignment="1">
      <alignment horizontal="center"/>
    </xf>
    <xf numFmtId="168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7" fontId="18" fillId="0" borderId="1" xfId="1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/>
    <xf numFmtId="167" fontId="18" fillId="7" borderId="1" xfId="1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/>
    </xf>
    <xf numFmtId="0" fontId="17" fillId="5" borderId="30" xfId="0" applyFont="1" applyFill="1" applyBorder="1" applyAlignment="1">
      <alignment horizontal="center"/>
    </xf>
    <xf numFmtId="168" fontId="17" fillId="5" borderId="31" xfId="1" applyNumberFormat="1" applyFont="1" applyFill="1" applyBorder="1" applyAlignment="1">
      <alignment horizontal="center" vertical="center"/>
    </xf>
    <xf numFmtId="168" fontId="17" fillId="5" borderId="14" xfId="1" applyNumberFormat="1" applyFont="1" applyFill="1" applyBorder="1" applyAlignment="1">
      <alignment horizontal="center" vertical="center"/>
    </xf>
    <xf numFmtId="4" fontId="16" fillId="0" borderId="0" xfId="0" applyNumberFormat="1" applyFont="1"/>
    <xf numFmtId="3" fontId="16" fillId="0" borderId="0" xfId="0" applyNumberFormat="1" applyFont="1"/>
    <xf numFmtId="0" fontId="0" fillId="0" borderId="4" xfId="0" applyBorder="1"/>
    <xf numFmtId="43" fontId="0" fillId="0" borderId="5" xfId="1" applyFont="1" applyBorder="1"/>
    <xf numFmtId="43" fontId="0" fillId="7" borderId="34" xfId="0" applyNumberFormat="1" applyFill="1" applyBorder="1"/>
    <xf numFmtId="0" fontId="0" fillId="0" borderId="6" xfId="0" applyBorder="1"/>
    <xf numFmtId="43" fontId="0" fillId="0" borderId="7" xfId="1" applyFont="1" applyBorder="1"/>
    <xf numFmtId="0" fontId="0" fillId="0" borderId="35" xfId="0" applyBorder="1"/>
    <xf numFmtId="43" fontId="0" fillId="0" borderId="32" xfId="0" applyNumberFormat="1" applyBorder="1"/>
    <xf numFmtId="43" fontId="0" fillId="7" borderId="32" xfId="0" applyNumberFormat="1" applyFill="1" applyBorder="1"/>
    <xf numFmtId="43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33" xfId="1" applyFont="1" applyBorder="1"/>
    <xf numFmtId="0" fontId="0" fillId="0" borderId="1" xfId="0" applyBorder="1"/>
    <xf numFmtId="43" fontId="0" fillId="0" borderId="1" xfId="0" applyNumberFormat="1" applyBorder="1"/>
    <xf numFmtId="0" fontId="0" fillId="0" borderId="0" xfId="0" applyAlignment="1">
      <alignment horizontal="center" vertical="center" wrapText="1"/>
    </xf>
    <xf numFmtId="14" fontId="2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43" fontId="2" fillId="12" borderId="0" xfId="1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14" borderId="0" xfId="0" applyFill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/>
    <xf numFmtId="43" fontId="2" fillId="13" borderId="0" xfId="1" applyFont="1" applyFill="1"/>
    <xf numFmtId="0" fontId="0" fillId="14" borderId="0" xfId="0" applyFill="1"/>
    <xf numFmtId="43" fontId="2" fillId="7" borderId="0" xfId="0" applyNumberFormat="1" applyFont="1" applyFill="1"/>
    <xf numFmtId="43" fontId="0" fillId="0" borderId="0" xfId="1" applyFont="1" applyFill="1"/>
    <xf numFmtId="0" fontId="2" fillId="7" borderId="0" xfId="0" applyFont="1" applyFill="1"/>
    <xf numFmtId="14" fontId="2" fillId="8" borderId="36" xfId="0" applyNumberFormat="1" applyFont="1" applyFill="1" applyBorder="1" applyAlignment="1">
      <alignment horizontal="right"/>
    </xf>
    <xf numFmtId="0" fontId="0" fillId="0" borderId="36" xfId="0" applyBorder="1"/>
    <xf numFmtId="43" fontId="2" fillId="0" borderId="36" xfId="1" applyFont="1" applyFill="1" applyBorder="1"/>
    <xf numFmtId="43" fontId="2" fillId="13" borderId="36" xfId="1" applyFont="1" applyFill="1" applyBorder="1"/>
    <xf numFmtId="0" fontId="0" fillId="14" borderId="36" xfId="0" applyFill="1" applyBorder="1"/>
    <xf numFmtId="14" fontId="0" fillId="0" borderId="36" xfId="0" applyNumberFormat="1" applyBorder="1"/>
    <xf numFmtId="43" fontId="2" fillId="7" borderId="0" xfId="1" applyFont="1" applyFill="1" applyAlignment="1">
      <alignment horizontal="center" vertical="center"/>
    </xf>
    <xf numFmtId="43" fontId="0" fillId="7" borderId="0" xfId="1" applyFont="1" applyFill="1"/>
    <xf numFmtId="43" fontId="2" fillId="7" borderId="36" xfId="1" applyFont="1" applyFill="1" applyBorder="1"/>
    <xf numFmtId="14" fontId="0" fillId="15" borderId="0" xfId="0" applyNumberFormat="1" applyFill="1"/>
    <xf numFmtId="0" fontId="0" fillId="15" borderId="0" xfId="0" applyFill="1"/>
    <xf numFmtId="14" fontId="0" fillId="7" borderId="2" xfId="0" applyNumberFormat="1" applyFill="1" applyBorder="1"/>
    <xf numFmtId="0" fontId="0" fillId="0" borderId="37" xfId="0" applyBorder="1"/>
    <xf numFmtId="43" fontId="0" fillId="0" borderId="37" xfId="1" applyFont="1" applyBorder="1"/>
    <xf numFmtId="43" fontId="2" fillId="13" borderId="24" xfId="1" applyFont="1" applyFill="1" applyBorder="1"/>
    <xf numFmtId="14" fontId="0" fillId="7" borderId="4" xfId="0" applyNumberFormat="1" applyFill="1" applyBorder="1"/>
    <xf numFmtId="43" fontId="2" fillId="13" borderId="34" xfId="1" applyFont="1" applyFill="1" applyBorder="1"/>
    <xf numFmtId="0" fontId="11" fillId="0" borderId="0" xfId="0" applyFont="1"/>
    <xf numFmtId="43" fontId="0" fillId="0" borderId="0" xfId="1" applyFont="1" applyFill="1" applyBorder="1"/>
    <xf numFmtId="14" fontId="0" fillId="7" borderId="6" xfId="0" applyNumberFormat="1" applyFill="1" applyBorder="1"/>
    <xf numFmtId="0" fontId="0" fillId="0" borderId="38" xfId="0" applyBorder="1"/>
    <xf numFmtId="43" fontId="0" fillId="0" borderId="38" xfId="1" applyFont="1" applyFill="1" applyBorder="1"/>
    <xf numFmtId="43" fontId="2" fillId="13" borderId="25" xfId="1" applyFont="1" applyFill="1" applyBorder="1"/>
    <xf numFmtId="14" fontId="0" fillId="10" borderId="2" xfId="0" applyNumberFormat="1" applyFill="1" applyBorder="1"/>
    <xf numFmtId="43" fontId="0" fillId="0" borderId="37" xfId="1" applyFont="1" applyFill="1" applyBorder="1"/>
    <xf numFmtId="14" fontId="0" fillId="10" borderId="4" xfId="0" applyNumberFormat="1" applyFill="1" applyBorder="1"/>
    <xf numFmtId="14" fontId="0" fillId="10" borderId="6" xfId="0" applyNumberFormat="1" applyFill="1" applyBorder="1"/>
    <xf numFmtId="43" fontId="0" fillId="0" borderId="38" xfId="1" applyFont="1" applyBorder="1"/>
    <xf numFmtId="14" fontId="2" fillId="8" borderId="39" xfId="0" applyNumberFormat="1" applyFont="1" applyFill="1" applyBorder="1" applyAlignment="1">
      <alignment horizontal="right"/>
    </xf>
    <xf numFmtId="0" fontId="0" fillId="0" borderId="39" xfId="0" applyBorder="1"/>
    <xf numFmtId="43" fontId="2" fillId="0" borderId="39" xfId="1" applyFont="1" applyFill="1" applyBorder="1"/>
    <xf numFmtId="43" fontId="2" fillId="13" borderId="39" xfId="1" applyFont="1" applyFill="1" applyBorder="1"/>
    <xf numFmtId="14" fontId="0" fillId="17" borderId="2" xfId="0" applyNumberFormat="1" applyFill="1" applyBorder="1"/>
    <xf numFmtId="14" fontId="0" fillId="17" borderId="4" xfId="0" applyNumberFormat="1" applyFill="1" applyBorder="1"/>
    <xf numFmtId="14" fontId="0" fillId="17" borderId="6" xfId="0" applyNumberFormat="1" applyFill="1" applyBorder="1"/>
    <xf numFmtId="14" fontId="0" fillId="16" borderId="2" xfId="0" applyNumberFormat="1" applyFill="1" applyBorder="1"/>
    <xf numFmtId="43" fontId="2" fillId="7" borderId="24" xfId="0" applyNumberFormat="1" applyFont="1" applyFill="1" applyBorder="1"/>
    <xf numFmtId="14" fontId="0" fillId="16" borderId="4" xfId="0" applyNumberFormat="1" applyFill="1" applyBorder="1"/>
    <xf numFmtId="43" fontId="2" fillId="7" borderId="34" xfId="0" applyNumberFormat="1" applyFont="1" applyFill="1" applyBorder="1"/>
    <xf numFmtId="14" fontId="0" fillId="16" borderId="6" xfId="0" applyNumberFormat="1" applyFill="1" applyBorder="1"/>
    <xf numFmtId="43" fontId="2" fillId="7" borderId="25" xfId="0" applyNumberFormat="1" applyFont="1" applyFill="1" applyBorder="1"/>
    <xf numFmtId="14" fontId="0" fillId="15" borderId="2" xfId="0" applyNumberFormat="1" applyFill="1" applyBorder="1"/>
    <xf numFmtId="14" fontId="0" fillId="15" borderId="4" xfId="0" applyNumberFormat="1" applyFill="1" applyBorder="1"/>
    <xf numFmtId="14" fontId="0" fillId="15" borderId="6" xfId="0" applyNumberFormat="1" applyFill="1" applyBorder="1"/>
    <xf numFmtId="14" fontId="0" fillId="0" borderId="39" xfId="0" applyNumberFormat="1" applyBorder="1"/>
    <xf numFmtId="43" fontId="2" fillId="7" borderId="39" xfId="0" applyNumberFormat="1" applyFont="1" applyFill="1" applyBorder="1"/>
    <xf numFmtId="0" fontId="2" fillId="7" borderId="25" xfId="0" applyFont="1" applyFill="1" applyBorder="1"/>
    <xf numFmtId="14" fontId="0" fillId="6" borderId="2" xfId="0" applyNumberFormat="1" applyFill="1" applyBorder="1"/>
    <xf numFmtId="14" fontId="0" fillId="6" borderId="4" xfId="0" applyNumberFormat="1" applyFill="1" applyBorder="1"/>
    <xf numFmtId="14" fontId="0" fillId="6" borderId="6" xfId="0" applyNumberFormat="1" applyFill="1" applyBorder="1"/>
    <xf numFmtId="43" fontId="0" fillId="7" borderId="24" xfId="1" applyFont="1" applyFill="1" applyBorder="1"/>
    <xf numFmtId="43" fontId="0" fillId="7" borderId="34" xfId="1" applyFont="1" applyFill="1" applyBorder="1"/>
    <xf numFmtId="43" fontId="0" fillId="7" borderId="25" xfId="1" applyFont="1" applyFill="1" applyBorder="1"/>
    <xf numFmtId="9" fontId="0" fillId="0" borderId="0" xfId="6" applyFont="1" applyBorder="1" applyAlignment="1">
      <alignment vertical="center"/>
    </xf>
    <xf numFmtId="9" fontId="0" fillId="0" borderId="43" xfId="6" applyFont="1" applyBorder="1" applyAlignment="1">
      <alignment vertical="center"/>
    </xf>
    <xf numFmtId="9" fontId="0" fillId="0" borderId="47" xfId="6" applyFont="1" applyBorder="1" applyAlignment="1">
      <alignment vertical="center"/>
    </xf>
    <xf numFmtId="0" fontId="0" fillId="0" borderId="45" xfId="0" applyBorder="1" applyAlignment="1">
      <alignment horizontal="center" vertical="center" wrapText="1"/>
    </xf>
    <xf numFmtId="9" fontId="0" fillId="0" borderId="49" xfId="6" applyFont="1" applyBorder="1" applyAlignment="1">
      <alignment vertical="center"/>
    </xf>
    <xf numFmtId="0" fontId="0" fillId="5" borderId="44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43" fontId="0" fillId="0" borderId="46" xfId="1" applyFont="1" applyBorder="1" applyAlignment="1">
      <alignment vertical="center"/>
    </xf>
    <xf numFmtId="43" fontId="0" fillId="0" borderId="47" xfId="0" applyNumberFormat="1" applyBorder="1" applyAlignment="1">
      <alignment vertical="center"/>
    </xf>
    <xf numFmtId="43" fontId="0" fillId="0" borderId="42" xfId="1" applyFont="1" applyBorder="1" applyAlignment="1">
      <alignment vertical="center"/>
    </xf>
    <xf numFmtId="43" fontId="0" fillId="0" borderId="43" xfId="0" applyNumberFormat="1" applyBorder="1" applyAlignment="1">
      <alignment vertical="center"/>
    </xf>
    <xf numFmtId="43" fontId="0" fillId="0" borderId="48" xfId="1" applyFont="1" applyBorder="1" applyAlignment="1">
      <alignment vertical="center"/>
    </xf>
    <xf numFmtId="43" fontId="0" fillId="0" borderId="49" xfId="0" applyNumberFormat="1" applyBorder="1" applyAlignment="1">
      <alignment vertical="center"/>
    </xf>
    <xf numFmtId="0" fontId="0" fillId="17" borderId="44" xfId="0" applyFill="1" applyBorder="1" applyAlignment="1">
      <alignment horizontal="center" vertical="center" wrapText="1"/>
    </xf>
    <xf numFmtId="0" fontId="0" fillId="17" borderId="45" xfId="0" applyFill="1" applyBorder="1" applyAlignment="1">
      <alignment horizontal="center" vertical="center" wrapText="1"/>
    </xf>
    <xf numFmtId="43" fontId="0" fillId="0" borderId="46" xfId="0" applyNumberFormat="1" applyBorder="1" applyAlignment="1">
      <alignment vertical="center"/>
    </xf>
    <xf numFmtId="43" fontId="0" fillId="0" borderId="42" xfId="0" applyNumberFormat="1" applyBorder="1" applyAlignment="1">
      <alignment vertical="center"/>
    </xf>
    <xf numFmtId="43" fontId="0" fillId="0" borderId="48" xfId="0" applyNumberFormat="1" applyBorder="1" applyAlignment="1">
      <alignment vertical="center"/>
    </xf>
    <xf numFmtId="43" fontId="0" fillId="0" borderId="59" xfId="0" applyNumberFormat="1" applyBorder="1" applyAlignment="1">
      <alignment vertical="center"/>
    </xf>
    <xf numFmtId="43" fontId="0" fillId="0" borderId="60" xfId="0" applyNumberFormat="1" applyBorder="1" applyAlignment="1">
      <alignment vertical="center"/>
    </xf>
    <xf numFmtId="43" fontId="0" fillId="0" borderId="61" xfId="0" applyNumberFormat="1" applyBorder="1" applyAlignment="1">
      <alignment vertical="center"/>
    </xf>
    <xf numFmtId="0" fontId="0" fillId="2" borderId="44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9" fontId="0" fillId="0" borderId="59" xfId="6" applyFont="1" applyBorder="1" applyAlignment="1">
      <alignment vertical="center"/>
    </xf>
    <xf numFmtId="9" fontId="0" fillId="0" borderId="60" xfId="6" applyFont="1" applyBorder="1" applyAlignment="1">
      <alignment vertical="center"/>
    </xf>
    <xf numFmtId="9" fontId="0" fillId="0" borderId="61" xfId="6" applyFont="1" applyBorder="1" applyAlignment="1">
      <alignment vertical="center"/>
    </xf>
    <xf numFmtId="0" fontId="0" fillId="7" borderId="44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9" fontId="0" fillId="0" borderId="46" xfId="6" applyFont="1" applyBorder="1" applyAlignment="1">
      <alignment vertical="center"/>
    </xf>
    <xf numFmtId="9" fontId="0" fillId="0" borderId="42" xfId="6" applyFont="1" applyBorder="1" applyAlignment="1">
      <alignment vertical="center"/>
    </xf>
    <xf numFmtId="9" fontId="0" fillId="0" borderId="48" xfId="6" applyFont="1" applyBorder="1" applyAlignment="1">
      <alignment vertical="center"/>
    </xf>
    <xf numFmtId="0" fontId="0" fillId="0" borderId="44" xfId="0" applyBorder="1" applyAlignment="1">
      <alignment horizontal="center" vertical="center" wrapText="1"/>
    </xf>
    <xf numFmtId="0" fontId="19" fillId="0" borderId="35" xfId="0" applyFont="1" applyBorder="1" applyAlignment="1">
      <alignment vertical="center"/>
    </xf>
    <xf numFmtId="43" fontId="19" fillId="0" borderId="50" xfId="0" applyNumberFormat="1" applyFont="1" applyBorder="1" applyAlignment="1">
      <alignment vertical="center"/>
    </xf>
    <xf numFmtId="43" fontId="19" fillId="0" borderId="51" xfId="0" applyNumberFormat="1" applyFont="1" applyBorder="1" applyAlignment="1">
      <alignment vertical="center"/>
    </xf>
    <xf numFmtId="43" fontId="19" fillId="0" borderId="32" xfId="0" applyNumberFormat="1" applyFont="1" applyBorder="1" applyAlignment="1">
      <alignment vertical="center"/>
    </xf>
    <xf numFmtId="9" fontId="19" fillId="0" borderId="32" xfId="6" applyFont="1" applyBorder="1" applyAlignment="1">
      <alignment vertical="center"/>
    </xf>
    <xf numFmtId="9" fontId="19" fillId="0" borderId="50" xfId="6" applyFont="1" applyBorder="1" applyAlignment="1">
      <alignment vertical="center"/>
    </xf>
    <xf numFmtId="9" fontId="19" fillId="0" borderId="51" xfId="6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0" fillId="8" borderId="0" xfId="0" applyFont="1" applyFill="1" applyAlignment="1">
      <alignment vertical="center"/>
    </xf>
    <xf numFmtId="0" fontId="0" fillId="8" borderId="0" xfId="0" applyFill="1"/>
    <xf numFmtId="169" fontId="17" fillId="0" borderId="1" xfId="1" applyNumberFormat="1" applyFont="1" applyBorder="1" applyAlignment="1">
      <alignment horizontal="center" vertical="center"/>
    </xf>
    <xf numFmtId="167" fontId="17" fillId="0" borderId="1" xfId="1" applyNumberFormat="1" applyFont="1" applyBorder="1" applyAlignment="1">
      <alignment horizontal="center" vertical="center"/>
    </xf>
    <xf numFmtId="43" fontId="16" fillId="0" borderId="0" xfId="1" applyFont="1"/>
    <xf numFmtId="0" fontId="22" fillId="0" borderId="0" xfId="0" applyFont="1"/>
    <xf numFmtId="0" fontId="22" fillId="0" borderId="0" xfId="0" applyFont="1" applyAlignment="1">
      <alignment horizontal="center"/>
    </xf>
    <xf numFmtId="49" fontId="21" fillId="4" borderId="0" xfId="4" applyNumberFormat="1" applyFont="1" applyFill="1" applyAlignment="1">
      <alignment horizontal="center" vertical="center"/>
    </xf>
    <xf numFmtId="164" fontId="23" fillId="4" borderId="0" xfId="0" applyNumberFormat="1" applyFont="1" applyFill="1"/>
    <xf numFmtId="164" fontId="24" fillId="4" borderId="0" xfId="0" applyNumberFormat="1" applyFont="1" applyFill="1"/>
    <xf numFmtId="164" fontId="25" fillId="4" borderId="0" xfId="1" applyNumberFormat="1" applyFont="1" applyFill="1"/>
    <xf numFmtId="49" fontId="26" fillId="4" borderId="0" xfId="4" applyNumberFormat="1" applyFont="1" applyFill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26" fillId="0" borderId="0" xfId="4" applyFont="1"/>
    <xf numFmtId="0" fontId="30" fillId="0" borderId="0" xfId="0" applyFont="1"/>
    <xf numFmtId="0" fontId="30" fillId="0" borderId="0" xfId="0" applyFont="1" applyAlignment="1">
      <alignment horizontal="center"/>
    </xf>
    <xf numFmtId="166" fontId="33" fillId="6" borderId="1" xfId="4" applyNumberFormat="1" applyFont="1" applyFill="1" applyBorder="1" applyAlignment="1">
      <alignment horizontal="center" vertical="center" wrapText="1"/>
    </xf>
    <xf numFmtId="166" fontId="33" fillId="10" borderId="1" xfId="4" applyNumberFormat="1" applyFont="1" applyFill="1" applyBorder="1" applyAlignment="1">
      <alignment horizontal="center" vertical="center" wrapText="1"/>
    </xf>
    <xf numFmtId="49" fontId="33" fillId="9" borderId="1" xfId="4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center"/>
    </xf>
    <xf numFmtId="166" fontId="23" fillId="4" borderId="1" xfId="0" applyNumberFormat="1" applyFont="1" applyFill="1" applyBorder="1" applyAlignment="1">
      <alignment horizontal="center" vertical="center"/>
    </xf>
    <xf numFmtId="0" fontId="33" fillId="9" borderId="1" xfId="4" applyFont="1" applyFill="1" applyBorder="1" applyAlignment="1">
      <alignment horizontal="center" vertical="center"/>
    </xf>
    <xf numFmtId="0" fontId="33" fillId="9" borderId="1" xfId="4" applyFont="1" applyFill="1" applyBorder="1" applyAlignment="1">
      <alignment horizontal="center" vertical="center" wrapText="1"/>
    </xf>
    <xf numFmtId="0" fontId="33" fillId="7" borderId="1" xfId="4" applyFont="1" applyFill="1" applyBorder="1" applyAlignment="1">
      <alignment horizontal="center" vertical="center"/>
    </xf>
    <xf numFmtId="0" fontId="33" fillId="7" borderId="1" xfId="4" applyFont="1" applyFill="1" applyBorder="1" applyAlignment="1">
      <alignment horizontal="center" vertical="center" wrapText="1"/>
    </xf>
    <xf numFmtId="49" fontId="33" fillId="6" borderId="8" xfId="4" applyNumberFormat="1" applyFont="1" applyFill="1" applyBorder="1" applyAlignment="1">
      <alignment horizontal="center" vertical="center" wrapText="1"/>
    </xf>
    <xf numFmtId="49" fontId="33" fillId="10" borderId="8" xfId="4" applyNumberFormat="1" applyFont="1" applyFill="1" applyBorder="1" applyAlignment="1">
      <alignment horizontal="center" vertical="center" wrapText="1"/>
    </xf>
    <xf numFmtId="49" fontId="33" fillId="7" borderId="8" xfId="4" applyNumberFormat="1" applyFont="1" applyFill="1" applyBorder="1" applyAlignment="1">
      <alignment horizontal="center" vertical="center" wrapText="1"/>
    </xf>
    <xf numFmtId="49" fontId="33" fillId="9" borderId="8" xfId="4" applyNumberFormat="1" applyFont="1" applyFill="1" applyBorder="1" applyAlignment="1">
      <alignment horizontal="center" vertical="center" wrapText="1"/>
    </xf>
    <xf numFmtId="0" fontId="23" fillId="11" borderId="17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33" fillId="4" borderId="1" xfId="4" applyFont="1" applyFill="1" applyBorder="1" applyAlignment="1">
      <alignment horizontal="left" vertical="center"/>
    </xf>
    <xf numFmtId="0" fontId="33" fillId="4" borderId="1" xfId="4" applyFont="1" applyFill="1" applyBorder="1" applyAlignment="1">
      <alignment horizontal="center" vertical="center"/>
    </xf>
    <xf numFmtId="2" fontId="33" fillId="4" borderId="17" xfId="4" applyNumberFormat="1" applyFont="1" applyFill="1" applyBorder="1" applyAlignment="1">
      <alignment horizontal="center" vertical="center"/>
    </xf>
    <xf numFmtId="3" fontId="21" fillId="9" borderId="1" xfId="4" applyNumberFormat="1" applyFont="1" applyFill="1" applyBorder="1" applyAlignment="1">
      <alignment horizontal="center" vertical="center"/>
    </xf>
    <xf numFmtId="3" fontId="21" fillId="7" borderId="18" xfId="4" applyNumberFormat="1" applyFont="1" applyFill="1" applyBorder="1" applyAlignment="1">
      <alignment horizontal="center" vertical="center"/>
    </xf>
    <xf numFmtId="3" fontId="21" fillId="7" borderId="1" xfId="4" applyNumberFormat="1" applyFont="1" applyFill="1" applyBorder="1" applyAlignment="1">
      <alignment horizontal="center" vertical="center"/>
    </xf>
    <xf numFmtId="3" fontId="21" fillId="6" borderId="1" xfId="4" applyNumberFormat="1" applyFont="1" applyFill="1" applyBorder="1" applyAlignment="1">
      <alignment horizontal="center" vertical="center"/>
    </xf>
    <xf numFmtId="3" fontId="21" fillId="10" borderId="1" xfId="4" applyNumberFormat="1" applyFont="1" applyFill="1" applyBorder="1" applyAlignment="1">
      <alignment horizontal="center" vertical="center"/>
    </xf>
    <xf numFmtId="43" fontId="34" fillId="7" borderId="1" xfId="1" applyFont="1" applyFill="1" applyBorder="1" applyAlignment="1">
      <alignment horizontal="center" vertical="center"/>
    </xf>
    <xf numFmtId="3" fontId="33" fillId="7" borderId="1" xfId="4" applyNumberFormat="1" applyFont="1" applyFill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2" fillId="11" borderId="17" xfId="0" applyNumberFormat="1" applyFont="1" applyFill="1" applyBorder="1" applyAlignment="1">
      <alignment horizontal="center" vertical="center"/>
    </xf>
    <xf numFmtId="3" fontId="22" fillId="11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3" fontId="22" fillId="4" borderId="1" xfId="1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" fontId="22" fillId="11" borderId="17" xfId="0" applyNumberFormat="1" applyFont="1" applyFill="1" applyBorder="1" applyAlignment="1">
      <alignment horizontal="center" vertical="center"/>
    </xf>
    <xf numFmtId="4" fontId="21" fillId="9" borderId="1" xfId="4" applyNumberFormat="1" applyFont="1" applyFill="1" applyBorder="1" applyAlignment="1">
      <alignment horizontal="center" vertical="center"/>
    </xf>
    <xf numFmtId="4" fontId="21" fillId="7" borderId="18" xfId="4" applyNumberFormat="1" applyFont="1" applyFill="1" applyBorder="1" applyAlignment="1">
      <alignment horizontal="center" vertical="center"/>
    </xf>
    <xf numFmtId="4" fontId="21" fillId="7" borderId="1" xfId="4" applyNumberFormat="1" applyFont="1" applyFill="1" applyBorder="1" applyAlignment="1">
      <alignment horizontal="center" vertical="center"/>
    </xf>
    <xf numFmtId="4" fontId="21" fillId="6" borderId="1" xfId="4" applyNumberFormat="1" applyFont="1" applyFill="1" applyBorder="1" applyAlignment="1">
      <alignment horizontal="center" vertical="center"/>
    </xf>
    <xf numFmtId="4" fontId="21" fillId="10" borderId="1" xfId="4" applyNumberFormat="1" applyFont="1" applyFill="1" applyBorder="1" applyAlignment="1">
      <alignment horizontal="center" vertical="center"/>
    </xf>
    <xf numFmtId="0" fontId="33" fillId="4" borderId="17" xfId="4" applyFont="1" applyFill="1" applyBorder="1" applyAlignment="1">
      <alignment horizontal="center" vertical="center"/>
    </xf>
    <xf numFmtId="4" fontId="22" fillId="11" borderId="1" xfId="0" applyNumberFormat="1" applyFont="1" applyFill="1" applyBorder="1" applyAlignment="1">
      <alignment horizontal="center" vertical="center"/>
    </xf>
    <xf numFmtId="165" fontId="21" fillId="9" borderId="1" xfId="4" applyNumberFormat="1" applyFont="1" applyFill="1" applyBorder="1" applyAlignment="1">
      <alignment horizontal="center" vertical="center"/>
    </xf>
    <xf numFmtId="165" fontId="21" fillId="7" borderId="18" xfId="4" applyNumberFormat="1" applyFont="1" applyFill="1" applyBorder="1" applyAlignment="1">
      <alignment horizontal="center" vertical="center"/>
    </xf>
    <xf numFmtId="0" fontId="33" fillId="0" borderId="0" xfId="4" applyFont="1" applyAlignment="1">
      <alignment vertical="center"/>
    </xf>
    <xf numFmtId="3" fontId="33" fillId="9" borderId="1" xfId="4" applyNumberFormat="1" applyFont="1" applyFill="1" applyBorder="1" applyAlignment="1">
      <alignment horizontal="center" vertical="center"/>
    </xf>
    <xf numFmtId="4" fontId="33" fillId="6" borderId="1" xfId="4" applyNumberFormat="1" applyFont="1" applyFill="1" applyBorder="1" applyAlignment="1">
      <alignment horizontal="center" vertical="center"/>
    </xf>
    <xf numFmtId="4" fontId="33" fillId="10" borderId="1" xfId="4" applyNumberFormat="1" applyFont="1" applyFill="1" applyBorder="1" applyAlignment="1">
      <alignment horizontal="center" vertical="center"/>
    </xf>
    <xf numFmtId="4" fontId="33" fillId="7" borderId="1" xfId="4" applyNumberFormat="1" applyFont="1" applyFill="1" applyBorder="1" applyAlignment="1">
      <alignment horizontal="center" vertical="center"/>
    </xf>
    <xf numFmtId="43" fontId="23" fillId="0" borderId="0" xfId="1" applyFont="1" applyAlignment="1">
      <alignment vertical="center"/>
    </xf>
    <xf numFmtId="43" fontId="23" fillId="11" borderId="1" xfId="1" applyFont="1" applyFill="1" applyBorder="1" applyAlignment="1">
      <alignment vertical="center"/>
    </xf>
    <xf numFmtId="0" fontId="23" fillId="8" borderId="0" xfId="0" applyFont="1" applyFill="1" applyAlignment="1">
      <alignment horizontal="center" vertical="center" wrapText="1"/>
    </xf>
    <xf numFmtId="43" fontId="23" fillId="4" borderId="1" xfId="0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3" fontId="22" fillId="0" borderId="0" xfId="0" applyNumberFormat="1" applyFont="1"/>
    <xf numFmtId="15" fontId="6" fillId="0" borderId="0" xfId="0" applyNumberFormat="1" applyFont="1" applyAlignment="1">
      <alignment horizontal="left" vertical="center"/>
    </xf>
    <xf numFmtId="168" fontId="16" fillId="0" borderId="0" xfId="0" applyNumberFormat="1" applyFont="1"/>
    <xf numFmtId="0" fontId="26" fillId="6" borderId="17" xfId="4" applyFont="1" applyFill="1" applyBorder="1" applyAlignment="1">
      <alignment horizontal="center"/>
    </xf>
    <xf numFmtId="3" fontId="4" fillId="4" borderId="35" xfId="4" applyNumberFormat="1" applyFont="1" applyFill="1" applyBorder="1" applyAlignment="1">
      <alignment horizontal="center" vertical="center"/>
    </xf>
    <xf numFmtId="3" fontId="4" fillId="4" borderId="32" xfId="4" applyNumberFormat="1" applyFont="1" applyFill="1" applyBorder="1" applyAlignment="1">
      <alignment horizontal="center" vertical="center"/>
    </xf>
    <xf numFmtId="4" fontId="4" fillId="4" borderId="0" xfId="5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/>
    </xf>
    <xf numFmtId="168" fontId="17" fillId="4" borderId="0" xfId="1" applyNumberFormat="1" applyFont="1" applyFill="1" applyBorder="1" applyAlignment="1">
      <alignment horizontal="center" vertical="center"/>
    </xf>
    <xf numFmtId="0" fontId="16" fillId="4" borderId="0" xfId="0" applyFont="1" applyFill="1"/>
    <xf numFmtId="0" fontId="17" fillId="0" borderId="9" xfId="0" applyFont="1" applyBorder="1" applyAlignment="1">
      <alignment horizontal="center"/>
    </xf>
    <xf numFmtId="0" fontId="17" fillId="6" borderId="8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4" borderId="0" xfId="0" applyFont="1" applyFill="1"/>
    <xf numFmtId="0" fontId="17" fillId="0" borderId="9" xfId="0" applyFont="1" applyBorder="1" applyAlignment="1">
      <alignment horizontal="left"/>
    </xf>
    <xf numFmtId="4" fontId="17" fillId="0" borderId="10" xfId="0" applyNumberFormat="1" applyFont="1" applyBorder="1" applyAlignment="1">
      <alignment horizontal="center" vertical="center"/>
    </xf>
    <xf numFmtId="0" fontId="17" fillId="0" borderId="10" xfId="0" applyFont="1" applyBorder="1"/>
    <xf numFmtId="43" fontId="0" fillId="0" borderId="34" xfId="1" applyFont="1" applyBorder="1"/>
    <xf numFmtId="43" fontId="0" fillId="0" borderId="25" xfId="1" applyFont="1" applyBorder="1"/>
    <xf numFmtId="2" fontId="4" fillId="4" borderId="1" xfId="1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/>
    <xf numFmtId="0" fontId="38" fillId="9" borderId="1" xfId="0" applyFont="1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 vertical="center" wrapText="1"/>
    </xf>
    <xf numFmtId="0" fontId="39" fillId="9" borderId="1" xfId="4" applyFont="1" applyFill="1" applyBorder="1" applyAlignment="1">
      <alignment horizontal="center" vertical="center"/>
    </xf>
    <xf numFmtId="0" fontId="39" fillId="9" borderId="1" xfId="4" applyFont="1" applyFill="1" applyBorder="1" applyAlignment="1">
      <alignment horizontal="center" vertical="center" wrapText="1"/>
    </xf>
    <xf numFmtId="0" fontId="39" fillId="7" borderId="1" xfId="4" applyFont="1" applyFill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0" fillId="0" borderId="1" xfId="0" applyFont="1" applyBorder="1" applyAlignment="1">
      <alignment horizontal="center" vertical="center"/>
    </xf>
    <xf numFmtId="43" fontId="40" fillId="0" borderId="1" xfId="1" applyFont="1" applyBorder="1" applyAlignment="1">
      <alignment horizontal="center" vertical="center"/>
    </xf>
    <xf numFmtId="3" fontId="39" fillId="4" borderId="1" xfId="4" applyNumberFormat="1" applyFont="1" applyFill="1" applyBorder="1" applyAlignment="1">
      <alignment horizontal="center" vertical="center"/>
    </xf>
    <xf numFmtId="43" fontId="40" fillId="7" borderId="1" xfId="1" applyFont="1" applyFill="1" applyBorder="1" applyAlignment="1">
      <alignment horizontal="center" vertical="center"/>
    </xf>
    <xf numFmtId="167" fontId="40" fillId="0" borderId="1" xfId="0" applyNumberFormat="1" applyFont="1" applyBorder="1" applyAlignment="1">
      <alignment horizontal="center" vertical="center"/>
    </xf>
    <xf numFmtId="43" fontId="40" fillId="4" borderId="1" xfId="1" applyFont="1" applyFill="1" applyBorder="1" applyAlignment="1">
      <alignment horizontal="center" vertical="center"/>
    </xf>
    <xf numFmtId="167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4" fontId="39" fillId="4" borderId="1" xfId="4" applyNumberFormat="1" applyFont="1" applyFill="1" applyBorder="1" applyAlignment="1">
      <alignment horizontal="center" vertical="center"/>
    </xf>
    <xf numFmtId="167" fontId="41" fillId="2" borderId="32" xfId="0" applyNumberFormat="1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/>
    </xf>
    <xf numFmtId="43" fontId="40" fillId="8" borderId="1" xfId="0" applyNumberFormat="1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 wrapText="1"/>
    </xf>
    <xf numFmtId="167" fontId="40" fillId="8" borderId="17" xfId="0" applyNumberFormat="1" applyFont="1" applyFill="1" applyBorder="1" applyAlignment="1">
      <alignment horizontal="center" vertical="center"/>
    </xf>
    <xf numFmtId="167" fontId="38" fillId="0" borderId="0" xfId="0" applyNumberFormat="1" applyFont="1" applyAlignment="1">
      <alignment horizontal="center"/>
    </xf>
    <xf numFmtId="43" fontId="38" fillId="0" borderId="0" xfId="1" applyFont="1"/>
    <xf numFmtId="167" fontId="38" fillId="0" borderId="0" xfId="0" applyNumberFormat="1" applyFont="1"/>
    <xf numFmtId="0" fontId="37" fillId="9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 wrapText="1"/>
    </xf>
    <xf numFmtId="166" fontId="37" fillId="9" borderId="1" xfId="0" applyNumberFormat="1" applyFont="1" applyFill="1" applyBorder="1" applyAlignment="1">
      <alignment horizontal="center" vertical="center" wrapText="1"/>
    </xf>
    <xf numFmtId="166" fontId="37" fillId="7" borderId="1" xfId="0" applyNumberFormat="1" applyFont="1" applyFill="1" applyBorder="1" applyAlignment="1">
      <alignment horizontal="center" vertical="center" wrapText="1"/>
    </xf>
    <xf numFmtId="14" fontId="37" fillId="7" borderId="1" xfId="0" applyNumberFormat="1" applyFont="1" applyFill="1" applyBorder="1" applyAlignment="1">
      <alignment horizontal="center" vertical="center" wrapText="1"/>
    </xf>
    <xf numFmtId="0" fontId="37" fillId="0" borderId="0" xfId="0" applyFont="1"/>
    <xf numFmtId="3" fontId="45" fillId="4" borderId="1" xfId="4" applyNumberFormat="1" applyFont="1" applyFill="1" applyBorder="1" applyAlignment="1">
      <alignment horizontal="center" vertical="center"/>
    </xf>
    <xf numFmtId="4" fontId="45" fillId="4" borderId="1" xfId="4" applyNumberFormat="1" applyFont="1" applyFill="1" applyBorder="1" applyAlignment="1">
      <alignment horizontal="center" vertical="center"/>
    </xf>
    <xf numFmtId="0" fontId="46" fillId="0" borderId="64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8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0" fillId="0" borderId="0" xfId="0" applyFont="1"/>
    <xf numFmtId="0" fontId="47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70" fontId="0" fillId="0" borderId="0" xfId="1" applyNumberFormat="1" applyFont="1" applyFill="1" applyBorder="1" applyAlignment="1">
      <alignment horizontal="center" vertical="center"/>
    </xf>
    <xf numFmtId="170" fontId="0" fillId="0" borderId="0" xfId="0" applyNumberFormat="1"/>
    <xf numFmtId="0" fontId="44" fillId="0" borderId="0" xfId="0" applyFont="1"/>
    <xf numFmtId="0" fontId="48" fillId="0" borderId="0" xfId="0" applyFont="1"/>
    <xf numFmtId="0" fontId="46" fillId="0" borderId="20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right" vertical="center"/>
    </xf>
    <xf numFmtId="170" fontId="0" fillId="0" borderId="1" xfId="0" applyNumberFormat="1" applyBorder="1" applyAlignment="1">
      <alignment vertical="center"/>
    </xf>
    <xf numFmtId="167" fontId="41" fillId="4" borderId="0" xfId="0" applyNumberFormat="1" applyFont="1" applyFill="1" applyAlignment="1">
      <alignment horizontal="center" vertical="center"/>
    </xf>
    <xf numFmtId="43" fontId="16" fillId="0" borderId="0" xfId="0" applyNumberFormat="1" applyFont="1"/>
    <xf numFmtId="0" fontId="39" fillId="18" borderId="1" xfId="4" applyFont="1" applyFill="1" applyBorder="1" applyAlignment="1">
      <alignment horizontal="center" vertical="center"/>
    </xf>
    <xf numFmtId="43" fontId="40" fillId="18" borderId="1" xfId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vertical="center"/>
    </xf>
    <xf numFmtId="43" fontId="22" fillId="4" borderId="17" xfId="1" applyFont="1" applyFill="1" applyBorder="1" applyAlignment="1">
      <alignment horizontal="center" vertical="center"/>
    </xf>
    <xf numFmtId="43" fontId="39" fillId="0" borderId="1" xfId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0" fontId="0" fillId="0" borderId="1" xfId="0" applyNumberFormat="1" applyBorder="1" applyAlignment="1">
      <alignment horizontal="center" vertical="top"/>
    </xf>
    <xf numFmtId="171" fontId="38" fillId="0" borderId="0" xfId="0" applyNumberFormat="1" applyFont="1"/>
    <xf numFmtId="169" fontId="17" fillId="4" borderId="0" xfId="0" applyNumberFormat="1" applyFont="1" applyFill="1" applyAlignment="1">
      <alignment horizontal="center"/>
    </xf>
    <xf numFmtId="4" fontId="4" fillId="8" borderId="16" xfId="5" applyNumberFormat="1" applyFont="1" applyFill="1" applyBorder="1" applyAlignment="1">
      <alignment horizontal="center" vertical="center"/>
    </xf>
    <xf numFmtId="2" fontId="4" fillId="8" borderId="8" xfId="4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/>
    </xf>
    <xf numFmtId="1" fontId="33" fillId="4" borderId="17" xfId="4" applyNumberFormat="1" applyFont="1" applyFill="1" applyBorder="1" applyAlignment="1">
      <alignment horizontal="center" vertical="center"/>
    </xf>
    <xf numFmtId="0" fontId="35" fillId="0" borderId="0" xfId="0" applyFont="1"/>
    <xf numFmtId="0" fontId="49" fillId="0" borderId="0" xfId="0" applyFont="1"/>
    <xf numFmtId="167" fontId="50" fillId="0" borderId="0" xfId="1" applyNumberFormat="1" applyFont="1" applyFill="1" applyBorder="1" applyAlignment="1">
      <alignment horizontal="center" vertical="center"/>
    </xf>
    <xf numFmtId="168" fontId="17" fillId="0" borderId="0" xfId="1" applyNumberFormat="1" applyFont="1" applyBorder="1" applyAlignment="1">
      <alignment horizontal="center" vertical="center"/>
    </xf>
    <xf numFmtId="170" fontId="0" fillId="0" borderId="1" xfId="1" applyNumberFormat="1" applyFont="1" applyBorder="1" applyAlignment="1">
      <alignment horizontal="left" vertical="center"/>
    </xf>
    <xf numFmtId="3" fontId="51" fillId="4" borderId="1" xfId="4" applyNumberFormat="1" applyFont="1" applyFill="1" applyBorder="1" applyAlignment="1">
      <alignment horizontal="center" vertical="center"/>
    </xf>
    <xf numFmtId="4" fontId="51" fillId="4" borderId="1" xfId="4" applyNumberFormat="1" applyFont="1" applyFill="1" applyBorder="1" applyAlignment="1">
      <alignment horizontal="center" vertical="center"/>
    </xf>
    <xf numFmtId="49" fontId="33" fillId="17" borderId="8" xfId="4" applyNumberFormat="1" applyFont="1" applyFill="1" applyBorder="1" applyAlignment="1">
      <alignment horizontal="center" vertical="center" wrapText="1"/>
    </xf>
    <xf numFmtId="43" fontId="2" fillId="17" borderId="1" xfId="1" applyFont="1" applyFill="1" applyBorder="1" applyAlignment="1">
      <alignment horizontal="center" vertical="center"/>
    </xf>
    <xf numFmtId="3" fontId="33" fillId="17" borderId="1" xfId="4" applyNumberFormat="1" applyFont="1" applyFill="1" applyBorder="1" applyAlignment="1">
      <alignment horizontal="center" vertical="center"/>
    </xf>
    <xf numFmtId="3" fontId="21" fillId="17" borderId="1" xfId="4" applyNumberFormat="1" applyFont="1" applyFill="1" applyBorder="1" applyAlignment="1">
      <alignment horizontal="center" vertical="center"/>
    </xf>
    <xf numFmtId="4" fontId="33" fillId="17" borderId="1" xfId="4" applyNumberFormat="1" applyFont="1" applyFill="1" applyBorder="1" applyAlignment="1">
      <alignment horizontal="center" vertical="center"/>
    </xf>
    <xf numFmtId="168" fontId="36" fillId="17" borderId="1" xfId="1" applyNumberFormat="1" applyFont="1" applyFill="1" applyBorder="1" applyAlignment="1">
      <alignment horizontal="center" vertical="center"/>
    </xf>
    <xf numFmtId="166" fontId="57" fillId="17" borderId="8" xfId="0" applyNumberFormat="1" applyFont="1" applyFill="1" applyBorder="1" applyAlignment="1">
      <alignment horizontal="center" vertical="center" wrapText="1"/>
    </xf>
    <xf numFmtId="167" fontId="58" fillId="7" borderId="1" xfId="1" applyNumberFormat="1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 wrapText="1"/>
    </xf>
    <xf numFmtId="166" fontId="57" fillId="18" borderId="8" xfId="0" applyNumberFormat="1" applyFont="1" applyFill="1" applyBorder="1" applyAlignment="1">
      <alignment horizontal="center" vertical="center" wrapText="1"/>
    </xf>
    <xf numFmtId="172" fontId="33" fillId="4" borderId="17" xfId="4" applyNumberFormat="1" applyFont="1" applyFill="1" applyBorder="1" applyAlignment="1">
      <alignment horizontal="center" vertical="center"/>
    </xf>
    <xf numFmtId="171" fontId="33" fillId="4" borderId="17" xfId="4" applyNumberFormat="1" applyFont="1" applyFill="1" applyBorder="1" applyAlignment="1">
      <alignment horizontal="center" vertical="center"/>
    </xf>
    <xf numFmtId="167" fontId="0" fillId="7" borderId="1" xfId="0" applyNumberFormat="1" applyFill="1" applyBorder="1"/>
    <xf numFmtId="0" fontId="35" fillId="10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7" borderId="1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vertical="center"/>
    </xf>
    <xf numFmtId="168" fontId="62" fillId="0" borderId="1" xfId="1" applyNumberFormat="1" applyFont="1" applyBorder="1" applyAlignment="1">
      <alignment horizontal="center" vertical="center"/>
    </xf>
    <xf numFmtId="0" fontId="61" fillId="8" borderId="1" xfId="0" applyFont="1" applyFill="1" applyBorder="1" applyAlignment="1">
      <alignment vertical="center"/>
    </xf>
    <xf numFmtId="168" fontId="61" fillId="8" borderId="1" xfId="0" applyNumberFormat="1" applyFont="1" applyFill="1" applyBorder="1" applyAlignment="1">
      <alignment horizontal="center" vertical="center"/>
    </xf>
    <xf numFmtId="0" fontId="60" fillId="0" borderId="0" xfId="0" applyFont="1"/>
    <xf numFmtId="0" fontId="22" fillId="0" borderId="0" xfId="0" applyFont="1" applyAlignment="1">
      <alignment vertical="center"/>
    </xf>
    <xf numFmtId="43" fontId="22" fillId="4" borderId="0" xfId="1" applyFont="1" applyFill="1" applyBorder="1" applyAlignment="1">
      <alignment vertical="center"/>
    </xf>
    <xf numFmtId="3" fontId="22" fillId="0" borderId="0" xfId="0" applyNumberFormat="1" applyFont="1" applyAlignment="1">
      <alignment vertical="center"/>
    </xf>
    <xf numFmtId="3" fontId="22" fillId="4" borderId="0" xfId="0" applyNumberFormat="1" applyFont="1" applyFill="1" applyAlignment="1">
      <alignment vertical="center"/>
    </xf>
    <xf numFmtId="43" fontId="22" fillId="8" borderId="1" xfId="0" applyNumberFormat="1" applyFont="1" applyFill="1" applyBorder="1" applyAlignment="1">
      <alignment vertical="center"/>
    </xf>
    <xf numFmtId="3" fontId="22" fillId="8" borderId="1" xfId="0" applyNumberFormat="1" applyFont="1" applyFill="1" applyBorder="1" applyAlignment="1">
      <alignment vertical="center"/>
    </xf>
    <xf numFmtId="164" fontId="22" fillId="0" borderId="0" xfId="0" applyNumberFormat="1" applyFont="1" applyAlignment="1">
      <alignment vertical="center"/>
    </xf>
    <xf numFmtId="0" fontId="22" fillId="8" borderId="1" xfId="0" applyFont="1" applyFill="1" applyBorder="1" applyAlignment="1">
      <alignment vertical="center"/>
    </xf>
    <xf numFmtId="43" fontId="22" fillId="8" borderId="1" xfId="1" applyFont="1" applyFill="1" applyBorder="1" applyAlignment="1">
      <alignment horizontal="center" vertical="center"/>
    </xf>
    <xf numFmtId="17" fontId="22" fillId="8" borderId="1" xfId="0" quotePrefix="1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43" fontId="22" fillId="0" borderId="0" xfId="0" applyNumberFormat="1" applyFont="1" applyAlignment="1">
      <alignment vertical="center"/>
    </xf>
    <xf numFmtId="0" fontId="22" fillId="6" borderId="1" xfId="0" applyFont="1" applyFill="1" applyBorder="1" applyAlignment="1">
      <alignment vertical="center"/>
    </xf>
    <xf numFmtId="43" fontId="22" fillId="6" borderId="1" xfId="0" applyNumberFormat="1" applyFont="1" applyFill="1" applyBorder="1" applyAlignment="1">
      <alignment vertical="center"/>
    </xf>
    <xf numFmtId="167" fontId="18" fillId="6" borderId="1" xfId="1" applyNumberFormat="1" applyFont="1" applyFill="1" applyBorder="1" applyAlignment="1">
      <alignment horizontal="center" vertical="center"/>
    </xf>
    <xf numFmtId="168" fontId="4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58" fillId="4" borderId="1" xfId="1" applyNumberFormat="1" applyFont="1" applyFill="1" applyBorder="1" applyAlignment="1">
      <alignment horizontal="center" vertical="center"/>
    </xf>
    <xf numFmtId="167" fontId="58" fillId="0" borderId="1" xfId="1" applyNumberFormat="1" applyFont="1" applyBorder="1" applyAlignment="1">
      <alignment horizontal="center" vertical="center"/>
    </xf>
    <xf numFmtId="173" fontId="22" fillId="7" borderId="1" xfId="0" applyNumberFormat="1" applyFont="1" applyFill="1" applyBorder="1" applyAlignment="1">
      <alignment vertical="center"/>
    </xf>
    <xf numFmtId="166" fontId="23" fillId="4" borderId="17" xfId="0" applyNumberFormat="1" applyFont="1" applyFill="1" applyBorder="1" applyAlignment="1">
      <alignment horizontal="center" vertical="center"/>
    </xf>
    <xf numFmtId="43" fontId="23" fillId="19" borderId="5" xfId="0" applyNumberFormat="1" applyFont="1" applyFill="1" applyBorder="1" applyAlignment="1">
      <alignment vertical="center"/>
    </xf>
    <xf numFmtId="0" fontId="30" fillId="9" borderId="1" xfId="0" applyFont="1" applyFill="1" applyBorder="1" applyAlignment="1">
      <alignment vertical="center"/>
    </xf>
    <xf numFmtId="0" fontId="23" fillId="9" borderId="1" xfId="0" applyFont="1" applyFill="1" applyBorder="1"/>
    <xf numFmtId="0" fontId="22" fillId="9" borderId="1" xfId="0" applyFont="1" applyFill="1" applyBorder="1" applyAlignment="1">
      <alignment horizontal="center" vertical="center"/>
    </xf>
    <xf numFmtId="43" fontId="22" fillId="9" borderId="1" xfId="0" applyNumberFormat="1" applyFont="1" applyFill="1" applyBorder="1" applyAlignment="1">
      <alignment horizontal="center" vertical="center"/>
    </xf>
    <xf numFmtId="43" fontId="22" fillId="9" borderId="0" xfId="0" applyNumberFormat="1" applyFont="1" applyFill="1" applyAlignment="1">
      <alignment horizontal="center" vertical="center"/>
    </xf>
    <xf numFmtId="165" fontId="21" fillId="6" borderId="1" xfId="4" applyNumberFormat="1" applyFont="1" applyFill="1" applyBorder="1" applyAlignment="1">
      <alignment horizontal="center" vertical="center"/>
    </xf>
    <xf numFmtId="4" fontId="25" fillId="9" borderId="1" xfId="4" applyNumberFormat="1" applyFont="1" applyFill="1" applyBorder="1" applyAlignment="1">
      <alignment horizontal="center" vertical="center"/>
    </xf>
    <xf numFmtId="167" fontId="2" fillId="0" borderId="0" xfId="0" applyNumberFormat="1" applyFont="1"/>
    <xf numFmtId="43" fontId="60" fillId="4" borderId="0" xfId="0" applyNumberFormat="1" applyFont="1" applyFill="1" applyAlignment="1">
      <alignment vertical="center"/>
    </xf>
    <xf numFmtId="0" fontId="64" fillId="4" borderId="0" xfId="0" applyFont="1" applyFill="1" applyAlignment="1">
      <alignment vertical="center"/>
    </xf>
    <xf numFmtId="165" fontId="21" fillId="10" borderId="1" xfId="4" applyNumberFormat="1" applyFont="1" applyFill="1" applyBorder="1" applyAlignment="1">
      <alignment horizontal="center" vertical="center"/>
    </xf>
    <xf numFmtId="170" fontId="0" fillId="0" borderId="0" xfId="1" applyNumberFormat="1" applyFont="1" applyFill="1" applyBorder="1" applyAlignment="1">
      <alignment vertical="center"/>
    </xf>
    <xf numFmtId="168" fontId="40" fillId="0" borderId="1" xfId="1" applyNumberFormat="1" applyFont="1" applyBorder="1" applyAlignment="1">
      <alignment horizontal="center" vertical="center"/>
    </xf>
    <xf numFmtId="43" fontId="21" fillId="10" borderId="1" xfId="1" applyFont="1" applyFill="1" applyBorder="1" applyAlignment="1">
      <alignment horizontal="center" vertical="center"/>
    </xf>
    <xf numFmtId="43" fontId="38" fillId="0" borderId="0" xfId="0" applyNumberFormat="1" applyFont="1"/>
    <xf numFmtId="165" fontId="22" fillId="0" borderId="0" xfId="0" applyNumberFormat="1" applyFont="1" applyAlignment="1">
      <alignment vertical="center"/>
    </xf>
    <xf numFmtId="0" fontId="2" fillId="8" borderId="18" xfId="0" applyFont="1" applyFill="1" applyBorder="1" applyAlignment="1">
      <alignment horizontal="center"/>
    </xf>
    <xf numFmtId="3" fontId="65" fillId="0" borderId="1" xfId="0" applyNumberFormat="1" applyFont="1" applyBorder="1" applyAlignment="1">
      <alignment horizontal="center" vertical="center"/>
    </xf>
    <xf numFmtId="3" fontId="65" fillId="20" borderId="1" xfId="0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168" fontId="60" fillId="0" borderId="0" xfId="0" applyNumberFormat="1" applyFont="1" applyAlignment="1">
      <alignment vertical="center"/>
    </xf>
    <xf numFmtId="0" fontId="60" fillId="0" borderId="1" xfId="0" applyFont="1" applyBorder="1" applyAlignment="1">
      <alignment vertical="center"/>
    </xf>
    <xf numFmtId="43" fontId="60" fillId="4" borderId="1" xfId="1" applyFont="1" applyFill="1" applyBorder="1" applyAlignment="1">
      <alignment vertical="center"/>
    </xf>
    <xf numFmtId="43" fontId="64" fillId="4" borderId="1" xfId="0" applyNumberFormat="1" applyFont="1" applyFill="1" applyBorder="1" applyAlignment="1">
      <alignment vertical="center"/>
    </xf>
    <xf numFmtId="4" fontId="60" fillId="0" borderId="1" xfId="0" applyNumberFormat="1" applyFont="1" applyBorder="1" applyAlignment="1">
      <alignment vertical="center"/>
    </xf>
    <xf numFmtId="3" fontId="35" fillId="0" borderId="0" xfId="0" applyNumberFormat="1" applyFont="1"/>
    <xf numFmtId="4" fontId="22" fillId="0" borderId="0" xfId="0" applyNumberFormat="1" applyFont="1"/>
    <xf numFmtId="43" fontId="23" fillId="7" borderId="1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47" fillId="4" borderId="0" xfId="0" applyFont="1" applyFill="1" applyAlignment="1">
      <alignment horizont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2" fillId="2" borderId="71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0" fillId="0" borderId="68" xfId="0" applyBorder="1" applyAlignment="1">
      <alignment horizontal="center" vertical="center"/>
    </xf>
    <xf numFmtId="168" fontId="0" fillId="0" borderId="68" xfId="1" applyNumberFormat="1" applyFont="1" applyBorder="1" applyAlignment="1">
      <alignment horizontal="center" vertical="center"/>
    </xf>
    <xf numFmtId="167" fontId="0" fillId="0" borderId="68" xfId="1" applyNumberFormat="1" applyFont="1" applyBorder="1" applyAlignment="1">
      <alignment horizontal="center" vertical="center"/>
    </xf>
    <xf numFmtId="167" fontId="0" fillId="0" borderId="68" xfId="1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68" fontId="0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1" fillId="0" borderId="30" xfId="0" applyFont="1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7" fontId="1" fillId="0" borderId="8" xfId="1" applyNumberFormat="1" applyFont="1" applyBorder="1" applyAlignment="1">
      <alignment horizontal="center" vertical="center"/>
    </xf>
    <xf numFmtId="167" fontId="1" fillId="0" borderId="8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167" fontId="1" fillId="0" borderId="64" xfId="1" applyNumberFormat="1" applyFont="1" applyBorder="1" applyAlignment="1">
      <alignment horizontal="center" vertical="center"/>
    </xf>
    <xf numFmtId="167" fontId="1" fillId="0" borderId="64" xfId="1" applyNumberFormat="1" applyFont="1" applyFill="1" applyBorder="1" applyAlignment="1">
      <alignment horizontal="center" vertical="center"/>
    </xf>
    <xf numFmtId="167" fontId="0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 vertical="center"/>
    </xf>
    <xf numFmtId="17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67" fontId="1" fillId="8" borderId="64" xfId="1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8" fontId="0" fillId="0" borderId="8" xfId="1" applyNumberFormat="1" applyFont="1" applyBorder="1" applyAlignment="1">
      <alignment horizontal="center" vertical="center"/>
    </xf>
    <xf numFmtId="167" fontId="0" fillId="0" borderId="8" xfId="1" applyNumberFormat="1" applyFont="1" applyBorder="1" applyAlignment="1">
      <alignment horizontal="center" vertical="center"/>
    </xf>
    <xf numFmtId="167" fontId="0" fillId="0" borderId="8" xfId="1" applyNumberFormat="1" applyFont="1" applyFill="1" applyBorder="1" applyAlignment="1">
      <alignment horizontal="center" vertical="center"/>
    </xf>
    <xf numFmtId="167" fontId="2" fillId="0" borderId="65" xfId="1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vertical="top"/>
    </xf>
    <xf numFmtId="169" fontId="40" fillId="8" borderId="1" xfId="0" applyNumberFormat="1" applyFont="1" applyFill="1" applyBorder="1" applyAlignment="1">
      <alignment horizontal="center" vertical="center"/>
    </xf>
    <xf numFmtId="0" fontId="54" fillId="7" borderId="19" xfId="4" applyFont="1" applyFill="1" applyBorder="1" applyAlignment="1">
      <alignment horizontal="center" vertical="center"/>
    </xf>
    <xf numFmtId="4" fontId="22" fillId="0" borderId="0" xfId="0" applyNumberFormat="1" applyFont="1" applyAlignment="1">
      <alignment vertical="center"/>
    </xf>
    <xf numFmtId="0" fontId="30" fillId="8" borderId="1" xfId="0" applyFont="1" applyFill="1" applyBorder="1" applyAlignment="1">
      <alignment horizontal="center"/>
    </xf>
    <xf numFmtId="0" fontId="30" fillId="8" borderId="17" xfId="0" applyFont="1" applyFill="1" applyBorder="1" applyAlignment="1">
      <alignment horizontal="center"/>
    </xf>
    <xf numFmtId="0" fontId="31" fillId="4" borderId="1" xfId="4" applyFont="1" applyFill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 wrapText="1"/>
    </xf>
    <xf numFmtId="49" fontId="32" fillId="9" borderId="1" xfId="4" applyNumberFormat="1" applyFont="1" applyFill="1" applyBorder="1" applyAlignment="1">
      <alignment horizontal="center" vertical="center" wrapText="1"/>
    </xf>
    <xf numFmtId="49" fontId="32" fillId="7" borderId="1" xfId="4" applyNumberFormat="1" applyFont="1" applyFill="1" applyBorder="1" applyAlignment="1">
      <alignment horizontal="center" vertical="center" wrapText="1"/>
    </xf>
    <xf numFmtId="166" fontId="53" fillId="17" borderId="17" xfId="0" applyNumberFormat="1" applyFont="1" applyFill="1" applyBorder="1" applyAlignment="1">
      <alignment horizontal="center" vertical="center" wrapText="1"/>
    </xf>
    <xf numFmtId="166" fontId="53" fillId="17" borderId="18" xfId="0" applyNumberFormat="1" applyFont="1" applyFill="1" applyBorder="1" applyAlignment="1">
      <alignment horizontal="center" vertical="center" wrapText="1"/>
    </xf>
    <xf numFmtId="49" fontId="21" fillId="4" borderId="0" xfId="4" applyNumberFormat="1" applyFont="1" applyFill="1" applyAlignment="1">
      <alignment horizontal="center" vertical="center"/>
    </xf>
    <xf numFmtId="49" fontId="26" fillId="4" borderId="0" xfId="4" applyNumberFormat="1" applyFont="1" applyFill="1" applyAlignment="1">
      <alignment horizontal="left" vertical="center"/>
    </xf>
    <xf numFmtId="164" fontId="28" fillId="4" borderId="0" xfId="0" applyNumberFormat="1" applyFont="1" applyFill="1" applyAlignment="1">
      <alignment horizontal="center" vertical="center"/>
    </xf>
    <xf numFmtId="49" fontId="29" fillId="4" borderId="0" xfId="4" applyNumberFormat="1" applyFont="1" applyFill="1" applyAlignment="1">
      <alignment horizontal="left" vertical="center"/>
    </xf>
    <xf numFmtId="0" fontId="26" fillId="6" borderId="1" xfId="4" applyFont="1" applyFill="1" applyBorder="1" applyAlignment="1">
      <alignment horizontal="center" vertical="center"/>
    </xf>
    <xf numFmtId="0" fontId="56" fillId="10" borderId="17" xfId="4" applyFont="1" applyFill="1" applyBorder="1" applyAlignment="1">
      <alignment horizontal="center" vertical="center"/>
    </xf>
    <xf numFmtId="0" fontId="56" fillId="10" borderId="19" xfId="4" applyFont="1" applyFill="1" applyBorder="1" applyAlignment="1">
      <alignment horizontal="center" vertical="center"/>
    </xf>
    <xf numFmtId="0" fontId="56" fillId="10" borderId="18" xfId="4" applyFont="1" applyFill="1" applyBorder="1" applyAlignment="1">
      <alignment horizontal="center" vertical="center"/>
    </xf>
    <xf numFmtId="0" fontId="54" fillId="7" borderId="17" xfId="4" applyFont="1" applyFill="1" applyBorder="1" applyAlignment="1">
      <alignment horizontal="center" vertical="center"/>
    </xf>
    <xf numFmtId="0" fontId="54" fillId="7" borderId="19" xfId="4" applyFont="1" applyFill="1" applyBorder="1" applyAlignment="1">
      <alignment horizontal="center" vertical="center"/>
    </xf>
    <xf numFmtId="0" fontId="54" fillId="7" borderId="18" xfId="4" applyFont="1" applyFill="1" applyBorder="1" applyAlignment="1">
      <alignment horizontal="center" vertical="center"/>
    </xf>
    <xf numFmtId="0" fontId="55" fillId="8" borderId="1" xfId="4" applyFont="1" applyFill="1" applyBorder="1" applyAlignment="1">
      <alignment horizontal="center" vertical="center"/>
    </xf>
    <xf numFmtId="0" fontId="52" fillId="11" borderId="20" xfId="0" applyFont="1" applyFill="1" applyBorder="1" applyAlignment="1">
      <alignment horizontal="center" vertical="center"/>
    </xf>
    <xf numFmtId="0" fontId="52" fillId="11" borderId="21" xfId="0" applyFont="1" applyFill="1" applyBorder="1" applyAlignment="1">
      <alignment horizontal="center" vertical="center"/>
    </xf>
    <xf numFmtId="0" fontId="52" fillId="11" borderId="22" xfId="0" applyFont="1" applyFill="1" applyBorder="1" applyAlignment="1">
      <alignment horizontal="center" vertical="center"/>
    </xf>
    <xf numFmtId="0" fontId="52" fillId="11" borderId="23" xfId="0" applyFont="1" applyFill="1" applyBorder="1" applyAlignment="1">
      <alignment horizontal="center" vertical="center"/>
    </xf>
    <xf numFmtId="0" fontId="31" fillId="4" borderId="64" xfId="4" applyFont="1" applyFill="1" applyBorder="1" applyAlignment="1">
      <alignment horizontal="center" vertical="center"/>
    </xf>
    <xf numFmtId="0" fontId="31" fillId="4" borderId="8" xfId="4" applyFont="1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17" borderId="40" xfId="0" applyFill="1" applyBorder="1" applyAlignment="1">
      <alignment horizontal="center" vertical="center" wrapText="1"/>
    </xf>
    <xf numFmtId="0" fontId="0" fillId="17" borderId="41" xfId="0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 wrapText="1"/>
    </xf>
    <xf numFmtId="0" fontId="0" fillId="9" borderId="58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58" xfId="0" applyFill="1" applyBorder="1" applyAlignment="1">
      <alignment horizontal="center" vertical="center" wrapText="1"/>
    </xf>
    <xf numFmtId="49" fontId="42" fillId="9" borderId="1" xfId="4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59" fillId="0" borderId="0" xfId="0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8" fillId="8" borderId="17" xfId="0" applyFont="1" applyFill="1" applyBorder="1" applyAlignment="1">
      <alignment horizontal="center" vertical="center"/>
    </xf>
    <xf numFmtId="0" fontId="38" fillId="8" borderId="19" xfId="0" applyFont="1" applyFill="1" applyBorder="1" applyAlignment="1">
      <alignment horizontal="center" vertical="center"/>
    </xf>
    <xf numFmtId="0" fontId="38" fillId="8" borderId="18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/>
    </xf>
    <xf numFmtId="166" fontId="57" fillId="18" borderId="1" xfId="0" applyNumberFormat="1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17" fillId="6" borderId="29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27" xfId="0" applyFont="1" applyFill="1" applyBorder="1" applyAlignment="1">
      <alignment horizontal="center" wrapText="1"/>
    </xf>
    <xf numFmtId="0" fontId="17" fillId="6" borderId="8" xfId="0" applyFont="1" applyFill="1" applyBorder="1" applyAlignment="1">
      <alignment horizontal="center" wrapText="1"/>
    </xf>
    <xf numFmtId="0" fontId="17" fillId="6" borderId="2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8" fillId="4" borderId="3" xfId="4" applyFont="1" applyFill="1" applyBorder="1" applyAlignment="1">
      <alignment horizontal="center" vertical="center" wrapText="1"/>
    </xf>
    <xf numFmtId="0" fontId="8" fillId="4" borderId="5" xfId="4" applyFont="1" applyFill="1" applyBorder="1" applyAlignment="1">
      <alignment horizontal="center" vertical="center" wrapText="1"/>
    </xf>
    <xf numFmtId="0" fontId="8" fillId="4" borderId="7" xfId="4" applyFont="1" applyFill="1" applyBorder="1" applyAlignment="1">
      <alignment horizontal="center" vertical="center" wrapText="1"/>
    </xf>
    <xf numFmtId="0" fontId="5" fillId="5" borderId="11" xfId="4" applyFont="1" applyFill="1" applyBorder="1" applyAlignment="1">
      <alignment horizontal="center" vertical="center"/>
    </xf>
    <xf numFmtId="0" fontId="5" fillId="5" borderId="12" xfId="4" applyFont="1" applyFill="1" applyBorder="1" applyAlignment="1">
      <alignment horizontal="center" vertical="center"/>
    </xf>
    <xf numFmtId="0" fontId="5" fillId="5" borderId="13" xfId="4" applyFont="1" applyFill="1" applyBorder="1" applyAlignment="1">
      <alignment horizontal="center" vertical="center"/>
    </xf>
    <xf numFmtId="49" fontId="7" fillId="0" borderId="0" xfId="4" applyNumberFormat="1" applyFont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0" fontId="8" fillId="4" borderId="4" xfId="4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8" fillId="4" borderId="2" xfId="4" applyFont="1" applyFill="1" applyBorder="1" applyAlignment="1">
      <alignment horizontal="center" vertical="center" wrapText="1"/>
    </xf>
    <xf numFmtId="0" fontId="8" fillId="4" borderId="4" xfId="4" applyFont="1" applyFill="1" applyBorder="1" applyAlignment="1">
      <alignment horizontal="center" vertical="center" wrapText="1"/>
    </xf>
    <xf numFmtId="0" fontId="8" fillId="4" borderId="6" xfId="4" applyFont="1" applyFill="1" applyBorder="1" applyAlignment="1">
      <alignment horizontal="center" vertical="center" wrapText="1"/>
    </xf>
    <xf numFmtId="0" fontId="8" fillId="4" borderId="37" xfId="4" applyFont="1" applyFill="1" applyBorder="1" applyAlignment="1">
      <alignment horizontal="center" vertical="center" wrapText="1"/>
    </xf>
    <xf numFmtId="0" fontId="8" fillId="4" borderId="24" xfId="4" applyFont="1" applyFill="1" applyBorder="1" applyAlignment="1">
      <alignment horizontal="center" vertical="center" wrapText="1"/>
    </xf>
    <xf numFmtId="0" fontId="8" fillId="4" borderId="0" xfId="4" applyFont="1" applyFill="1" applyAlignment="1">
      <alignment horizontal="center" vertical="center" wrapText="1"/>
    </xf>
    <xf numFmtId="0" fontId="8" fillId="4" borderId="34" xfId="4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8" fillId="6" borderId="1" xfId="4" applyFont="1" applyFill="1" applyBorder="1" applyAlignment="1">
      <alignment horizontal="center" vertical="center"/>
    </xf>
    <xf numFmtId="0" fontId="8" fillId="6" borderId="1" xfId="4" applyFont="1" applyFill="1" applyBorder="1" applyAlignment="1">
      <alignment horizontal="center" vertical="center" wrapText="1"/>
    </xf>
    <xf numFmtId="0" fontId="8" fillId="6" borderId="20" xfId="4" applyFont="1" applyFill="1" applyBorder="1" applyAlignment="1">
      <alignment horizontal="center" vertical="center" wrapText="1"/>
    </xf>
    <xf numFmtId="0" fontId="8" fillId="6" borderId="62" xfId="4" applyFont="1" applyFill="1" applyBorder="1" applyAlignment="1">
      <alignment horizontal="center" vertical="center" wrapText="1"/>
    </xf>
    <xf numFmtId="0" fontId="8" fillId="6" borderId="21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8" fillId="6" borderId="63" xfId="4" applyFont="1" applyFill="1" applyBorder="1" applyAlignment="1">
      <alignment horizontal="center" vertical="center" wrapText="1"/>
    </xf>
    <xf numFmtId="0" fontId="8" fillId="6" borderId="23" xfId="4" applyFont="1" applyFill="1" applyBorder="1" applyAlignment="1">
      <alignment horizontal="center" vertical="center" wrapText="1"/>
    </xf>
    <xf numFmtId="0" fontId="63" fillId="9" borderId="66" xfId="0" applyFont="1" applyFill="1" applyBorder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6" fillId="0" borderId="64" xfId="0" applyFont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46" fillId="0" borderId="64" xfId="0" applyFont="1" applyBorder="1" applyAlignment="1">
      <alignment horizontal="right" vertical="center"/>
    </xf>
    <xf numFmtId="0" fontId="46" fillId="0" borderId="8" xfId="0" applyFont="1" applyBorder="1" applyAlignment="1">
      <alignment horizontal="right" vertical="center"/>
    </xf>
    <xf numFmtId="0" fontId="47" fillId="4" borderId="0" xfId="0" applyFont="1" applyFill="1" applyAlignment="1">
      <alignment horizontal="center"/>
    </xf>
    <xf numFmtId="0" fontId="2" fillId="2" borderId="67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/>
    </xf>
    <xf numFmtId="0" fontId="2" fillId="8" borderId="70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6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67" fontId="0" fillId="8" borderId="20" xfId="1" applyNumberFormat="1" applyFont="1" applyFill="1" applyBorder="1" applyAlignment="1">
      <alignment horizontal="center" vertical="center"/>
    </xf>
    <xf numFmtId="167" fontId="0" fillId="8" borderId="62" xfId="1" applyNumberFormat="1" applyFont="1" applyFill="1" applyBorder="1" applyAlignment="1">
      <alignment horizontal="center" vertical="center"/>
    </xf>
    <xf numFmtId="167" fontId="0" fillId="8" borderId="21" xfId="1" applyNumberFormat="1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286">
    <cellStyle name="Comma" xfId="1" builtinId="3"/>
    <cellStyle name="Comma 10" xfId="19" xr:uid="{00000000-0005-0000-0000-000001000000}"/>
    <cellStyle name="Comma 11" xfId="20" xr:uid="{00000000-0005-0000-0000-000002000000}"/>
    <cellStyle name="Comma 12" xfId="21" xr:uid="{00000000-0005-0000-0000-000003000000}"/>
    <cellStyle name="Comma 13" xfId="22" xr:uid="{00000000-0005-0000-0000-000004000000}"/>
    <cellStyle name="Comma 14" xfId="23" xr:uid="{00000000-0005-0000-0000-000005000000}"/>
    <cellStyle name="Comma 15" xfId="24" xr:uid="{00000000-0005-0000-0000-000006000000}"/>
    <cellStyle name="Comma 16" xfId="25" xr:uid="{00000000-0005-0000-0000-000007000000}"/>
    <cellStyle name="Comma 17" xfId="26" xr:uid="{00000000-0005-0000-0000-000008000000}"/>
    <cellStyle name="Comma 18" xfId="71" xr:uid="{00000000-0005-0000-0000-000009000000}"/>
    <cellStyle name="Comma 18 2" xfId="81" xr:uid="{00000000-0005-0000-0000-00000A000000}"/>
    <cellStyle name="Comma 19" xfId="18" xr:uid="{00000000-0005-0000-0000-00000B000000}"/>
    <cellStyle name="Comma 2" xfId="3" xr:uid="{00000000-0005-0000-0000-00000C000000}"/>
    <cellStyle name="Comma 2 2" xfId="5" xr:uid="{00000000-0005-0000-0000-00000D000000}"/>
    <cellStyle name="Comma 20" xfId="86" xr:uid="{00000000-0005-0000-0000-00000E000000}"/>
    <cellStyle name="Comma 21" xfId="89" xr:uid="{00000000-0005-0000-0000-00000F000000}"/>
    <cellStyle name="Comma 22" xfId="92" xr:uid="{00000000-0005-0000-0000-000010000000}"/>
    <cellStyle name="Comma 23" xfId="95" xr:uid="{00000000-0005-0000-0000-000011000000}"/>
    <cellStyle name="Comma 24" xfId="98" xr:uid="{00000000-0005-0000-0000-000012000000}"/>
    <cellStyle name="Comma 25" xfId="101" xr:uid="{00000000-0005-0000-0000-000013000000}"/>
    <cellStyle name="Comma 26" xfId="104" xr:uid="{00000000-0005-0000-0000-000014000000}"/>
    <cellStyle name="Comma 27" xfId="107" xr:uid="{00000000-0005-0000-0000-000015000000}"/>
    <cellStyle name="Comma 28" xfId="110" xr:uid="{00000000-0005-0000-0000-000016000000}"/>
    <cellStyle name="Comma 29" xfId="113" xr:uid="{00000000-0005-0000-0000-000017000000}"/>
    <cellStyle name="Comma 3" xfId="2" xr:uid="{00000000-0005-0000-0000-000018000000}"/>
    <cellStyle name="Comma 3 2" xfId="284" xr:uid="{00000000-0005-0000-0000-000019000000}"/>
    <cellStyle name="Comma 3 3" xfId="16" xr:uid="{00000000-0005-0000-0000-00001A000000}"/>
    <cellStyle name="Comma 30" xfId="116" xr:uid="{00000000-0005-0000-0000-00001B000000}"/>
    <cellStyle name="Comma 31" xfId="119" xr:uid="{00000000-0005-0000-0000-00001C000000}"/>
    <cellStyle name="Comma 32" xfId="122" xr:uid="{00000000-0005-0000-0000-00001D000000}"/>
    <cellStyle name="Comma 33" xfId="125" xr:uid="{00000000-0005-0000-0000-00001E000000}"/>
    <cellStyle name="Comma 34" xfId="128" xr:uid="{00000000-0005-0000-0000-00001F000000}"/>
    <cellStyle name="Comma 35" xfId="131" xr:uid="{00000000-0005-0000-0000-000020000000}"/>
    <cellStyle name="Comma 36" xfId="136" xr:uid="{00000000-0005-0000-0000-000021000000}"/>
    <cellStyle name="Comma 37" xfId="139" xr:uid="{00000000-0005-0000-0000-000022000000}"/>
    <cellStyle name="Comma 38" xfId="142" xr:uid="{00000000-0005-0000-0000-000023000000}"/>
    <cellStyle name="Comma 39" xfId="145" xr:uid="{00000000-0005-0000-0000-000024000000}"/>
    <cellStyle name="Comma 4" xfId="10" xr:uid="{00000000-0005-0000-0000-000025000000}"/>
    <cellStyle name="Comma 4 2" xfId="27" xr:uid="{00000000-0005-0000-0000-000026000000}"/>
    <cellStyle name="Comma 40" xfId="148" xr:uid="{00000000-0005-0000-0000-000027000000}"/>
    <cellStyle name="Comma 41" xfId="151" xr:uid="{00000000-0005-0000-0000-000028000000}"/>
    <cellStyle name="Comma 42" xfId="154" xr:uid="{00000000-0005-0000-0000-000029000000}"/>
    <cellStyle name="Comma 43" xfId="157" xr:uid="{00000000-0005-0000-0000-00002A000000}"/>
    <cellStyle name="Comma 44" xfId="160" xr:uid="{00000000-0005-0000-0000-00002B000000}"/>
    <cellStyle name="Comma 45" xfId="163" xr:uid="{00000000-0005-0000-0000-00002C000000}"/>
    <cellStyle name="Comma 46" xfId="166" xr:uid="{00000000-0005-0000-0000-00002D000000}"/>
    <cellStyle name="Comma 47" xfId="169" xr:uid="{00000000-0005-0000-0000-00002E000000}"/>
    <cellStyle name="Comma 48" xfId="172" xr:uid="{00000000-0005-0000-0000-00002F000000}"/>
    <cellStyle name="Comma 49" xfId="175" xr:uid="{00000000-0005-0000-0000-000030000000}"/>
    <cellStyle name="Comma 5" xfId="28" xr:uid="{00000000-0005-0000-0000-000031000000}"/>
    <cellStyle name="Comma 50" xfId="178" xr:uid="{00000000-0005-0000-0000-000032000000}"/>
    <cellStyle name="Comma 51" xfId="181" xr:uid="{00000000-0005-0000-0000-000033000000}"/>
    <cellStyle name="Comma 52" xfId="184" xr:uid="{00000000-0005-0000-0000-000034000000}"/>
    <cellStyle name="Comma 53" xfId="187" xr:uid="{00000000-0005-0000-0000-000035000000}"/>
    <cellStyle name="Comma 54" xfId="190" xr:uid="{00000000-0005-0000-0000-000036000000}"/>
    <cellStyle name="Comma 55" xfId="193" xr:uid="{00000000-0005-0000-0000-000037000000}"/>
    <cellStyle name="Comma 56" xfId="196" xr:uid="{00000000-0005-0000-0000-000038000000}"/>
    <cellStyle name="Comma 57" xfId="199" xr:uid="{00000000-0005-0000-0000-000039000000}"/>
    <cellStyle name="Comma 58" xfId="202" xr:uid="{00000000-0005-0000-0000-00003A000000}"/>
    <cellStyle name="Comma 59" xfId="205" xr:uid="{00000000-0005-0000-0000-00003B000000}"/>
    <cellStyle name="Comma 6" xfId="29" xr:uid="{00000000-0005-0000-0000-00003C000000}"/>
    <cellStyle name="Comma 60" xfId="208" xr:uid="{00000000-0005-0000-0000-00003D000000}"/>
    <cellStyle name="Comma 61" xfId="211" xr:uid="{00000000-0005-0000-0000-00003E000000}"/>
    <cellStyle name="Comma 62" xfId="214" xr:uid="{00000000-0005-0000-0000-00003F000000}"/>
    <cellStyle name="Comma 63" xfId="217" xr:uid="{00000000-0005-0000-0000-000040000000}"/>
    <cellStyle name="Comma 64" xfId="220" xr:uid="{00000000-0005-0000-0000-000041000000}"/>
    <cellStyle name="Comma 65" xfId="223" xr:uid="{00000000-0005-0000-0000-000042000000}"/>
    <cellStyle name="Comma 66" xfId="226" xr:uid="{00000000-0005-0000-0000-000043000000}"/>
    <cellStyle name="Comma 67" xfId="229" xr:uid="{00000000-0005-0000-0000-000044000000}"/>
    <cellStyle name="Comma 68" xfId="232" xr:uid="{00000000-0005-0000-0000-000045000000}"/>
    <cellStyle name="Comma 69" xfId="235" xr:uid="{00000000-0005-0000-0000-000046000000}"/>
    <cellStyle name="Comma 7" xfId="30" xr:uid="{00000000-0005-0000-0000-000047000000}"/>
    <cellStyle name="Comma 70" xfId="238" xr:uid="{00000000-0005-0000-0000-000048000000}"/>
    <cellStyle name="Comma 71" xfId="241" xr:uid="{00000000-0005-0000-0000-000049000000}"/>
    <cellStyle name="Comma 72" xfId="244" xr:uid="{00000000-0005-0000-0000-00004A000000}"/>
    <cellStyle name="Comma 73" xfId="247" xr:uid="{00000000-0005-0000-0000-00004B000000}"/>
    <cellStyle name="Comma 74" xfId="250" xr:uid="{00000000-0005-0000-0000-00004C000000}"/>
    <cellStyle name="Comma 75" xfId="253" xr:uid="{00000000-0005-0000-0000-00004D000000}"/>
    <cellStyle name="Comma 76" xfId="256" xr:uid="{00000000-0005-0000-0000-00004E000000}"/>
    <cellStyle name="Comma 77" xfId="259" xr:uid="{00000000-0005-0000-0000-00004F000000}"/>
    <cellStyle name="Comma 78" xfId="262" xr:uid="{00000000-0005-0000-0000-000050000000}"/>
    <cellStyle name="Comma 79" xfId="265" xr:uid="{00000000-0005-0000-0000-000051000000}"/>
    <cellStyle name="Comma 8" xfId="31" xr:uid="{00000000-0005-0000-0000-000052000000}"/>
    <cellStyle name="Comma 80" xfId="268" xr:uid="{00000000-0005-0000-0000-000053000000}"/>
    <cellStyle name="Comma 81" xfId="271" xr:uid="{00000000-0005-0000-0000-000054000000}"/>
    <cellStyle name="Comma 82" xfId="274" xr:uid="{00000000-0005-0000-0000-000055000000}"/>
    <cellStyle name="Comma 83" xfId="277" xr:uid="{00000000-0005-0000-0000-000056000000}"/>
    <cellStyle name="Comma 84" xfId="280" xr:uid="{00000000-0005-0000-0000-000057000000}"/>
    <cellStyle name="Comma 85" xfId="283" xr:uid="{00000000-0005-0000-0000-000058000000}"/>
    <cellStyle name="Comma 86" xfId="7" xr:uid="{00000000-0005-0000-0000-000059000000}"/>
    <cellStyle name="Comma 9" xfId="32" xr:uid="{00000000-0005-0000-0000-00005A000000}"/>
    <cellStyle name="Normal" xfId="0" builtinId="0"/>
    <cellStyle name="Normal 10" xfId="33" xr:uid="{00000000-0005-0000-0000-00005C000000}"/>
    <cellStyle name="Normal 11" xfId="34" xr:uid="{00000000-0005-0000-0000-00005D000000}"/>
    <cellStyle name="Normal 12" xfId="35" xr:uid="{00000000-0005-0000-0000-00005E000000}"/>
    <cellStyle name="Normal 13" xfId="36" xr:uid="{00000000-0005-0000-0000-00005F000000}"/>
    <cellStyle name="Normal 14" xfId="37" xr:uid="{00000000-0005-0000-0000-000060000000}"/>
    <cellStyle name="Normal 15" xfId="38" xr:uid="{00000000-0005-0000-0000-000061000000}"/>
    <cellStyle name="Normal 16" xfId="39" xr:uid="{00000000-0005-0000-0000-000062000000}"/>
    <cellStyle name="Normal 17" xfId="40" xr:uid="{00000000-0005-0000-0000-000063000000}"/>
    <cellStyle name="Normal 18" xfId="41" xr:uid="{00000000-0005-0000-0000-000064000000}"/>
    <cellStyle name="Normal 19" xfId="42" xr:uid="{00000000-0005-0000-0000-000065000000}"/>
    <cellStyle name="Normal 2" xfId="4" xr:uid="{00000000-0005-0000-0000-000066000000}"/>
    <cellStyle name="Normal 2 2" xfId="43" xr:uid="{00000000-0005-0000-0000-000067000000}"/>
    <cellStyle name="Normal 2 3" xfId="44" xr:uid="{00000000-0005-0000-0000-000068000000}"/>
    <cellStyle name="Normal 2 3 2" xfId="285" xr:uid="{00000000-0005-0000-0000-000069000000}"/>
    <cellStyle name="Normal 2 4" xfId="11" xr:uid="{00000000-0005-0000-0000-00006A000000}"/>
    <cellStyle name="Normal 20" xfId="45" xr:uid="{00000000-0005-0000-0000-00006B000000}"/>
    <cellStyle name="Normal 21" xfId="46" xr:uid="{00000000-0005-0000-0000-00006C000000}"/>
    <cellStyle name="Normal 22" xfId="47" xr:uid="{00000000-0005-0000-0000-00006D000000}"/>
    <cellStyle name="Normal 23" xfId="48" xr:uid="{00000000-0005-0000-0000-00006E000000}"/>
    <cellStyle name="Normal 24" xfId="73" xr:uid="{00000000-0005-0000-0000-00006F000000}"/>
    <cellStyle name="Normal 25" xfId="75" xr:uid="{00000000-0005-0000-0000-000070000000}"/>
    <cellStyle name="Normal 26" xfId="77" xr:uid="{00000000-0005-0000-0000-000071000000}"/>
    <cellStyle name="Normal 27" xfId="79" xr:uid="{00000000-0005-0000-0000-000072000000}"/>
    <cellStyle name="Normal 28" xfId="82" xr:uid="{00000000-0005-0000-0000-000073000000}"/>
    <cellStyle name="Normal 29" xfId="84" xr:uid="{00000000-0005-0000-0000-000074000000}"/>
    <cellStyle name="Normal 3" xfId="12" xr:uid="{00000000-0005-0000-0000-000075000000}"/>
    <cellStyle name="Normal 3 2" xfId="13" xr:uid="{00000000-0005-0000-0000-000076000000}"/>
    <cellStyle name="Normal 30" xfId="87" xr:uid="{00000000-0005-0000-0000-000077000000}"/>
    <cellStyle name="Normal 31" xfId="90" xr:uid="{00000000-0005-0000-0000-000078000000}"/>
    <cellStyle name="Normal 32" xfId="93" xr:uid="{00000000-0005-0000-0000-000079000000}"/>
    <cellStyle name="Normal 33" xfId="96" xr:uid="{00000000-0005-0000-0000-00007A000000}"/>
    <cellStyle name="Normal 34" xfId="99" xr:uid="{00000000-0005-0000-0000-00007B000000}"/>
    <cellStyle name="Normal 35" xfId="102" xr:uid="{00000000-0005-0000-0000-00007C000000}"/>
    <cellStyle name="Normal 36" xfId="105" xr:uid="{00000000-0005-0000-0000-00007D000000}"/>
    <cellStyle name="Normal 37" xfId="108" xr:uid="{00000000-0005-0000-0000-00007E000000}"/>
    <cellStyle name="Normal 38" xfId="111" xr:uid="{00000000-0005-0000-0000-00007F000000}"/>
    <cellStyle name="Normal 39" xfId="114" xr:uid="{00000000-0005-0000-0000-000080000000}"/>
    <cellStyle name="Normal 4" xfId="15" xr:uid="{00000000-0005-0000-0000-000081000000}"/>
    <cellStyle name="Normal 4 2" xfId="49" xr:uid="{00000000-0005-0000-0000-000082000000}"/>
    <cellStyle name="Normal 40" xfId="117" xr:uid="{00000000-0005-0000-0000-000083000000}"/>
    <cellStyle name="Normal 41" xfId="120" xr:uid="{00000000-0005-0000-0000-000084000000}"/>
    <cellStyle name="Normal 42" xfId="123" xr:uid="{00000000-0005-0000-0000-000085000000}"/>
    <cellStyle name="Normal 43" xfId="126" xr:uid="{00000000-0005-0000-0000-000086000000}"/>
    <cellStyle name="Normal 44" xfId="129" xr:uid="{00000000-0005-0000-0000-000087000000}"/>
    <cellStyle name="Normal 45" xfId="132" xr:uid="{00000000-0005-0000-0000-000088000000}"/>
    <cellStyle name="Normal 46" xfId="134" xr:uid="{00000000-0005-0000-0000-000089000000}"/>
    <cellStyle name="Normal 47" xfId="137" xr:uid="{00000000-0005-0000-0000-00008A000000}"/>
    <cellStyle name="Normal 48" xfId="140" xr:uid="{00000000-0005-0000-0000-00008B000000}"/>
    <cellStyle name="Normal 49" xfId="143" xr:uid="{00000000-0005-0000-0000-00008C000000}"/>
    <cellStyle name="Normal 5" xfId="14" xr:uid="{00000000-0005-0000-0000-00008D000000}"/>
    <cellStyle name="Normal 5 2" xfId="50" xr:uid="{00000000-0005-0000-0000-00008E000000}"/>
    <cellStyle name="Normal 50" xfId="146" xr:uid="{00000000-0005-0000-0000-00008F000000}"/>
    <cellStyle name="Normal 51" xfId="149" xr:uid="{00000000-0005-0000-0000-000090000000}"/>
    <cellStyle name="Normal 52" xfId="152" xr:uid="{00000000-0005-0000-0000-000091000000}"/>
    <cellStyle name="Normal 53" xfId="155" xr:uid="{00000000-0005-0000-0000-000092000000}"/>
    <cellStyle name="Normal 54" xfId="158" xr:uid="{00000000-0005-0000-0000-000093000000}"/>
    <cellStyle name="Normal 55" xfId="161" xr:uid="{00000000-0005-0000-0000-000094000000}"/>
    <cellStyle name="Normal 56" xfId="164" xr:uid="{00000000-0005-0000-0000-000095000000}"/>
    <cellStyle name="Normal 57" xfId="167" xr:uid="{00000000-0005-0000-0000-000096000000}"/>
    <cellStyle name="Normal 58" xfId="170" xr:uid="{00000000-0005-0000-0000-000097000000}"/>
    <cellStyle name="Normal 59" xfId="173" xr:uid="{00000000-0005-0000-0000-000098000000}"/>
    <cellStyle name="Normal 6" xfId="8" xr:uid="{00000000-0005-0000-0000-000099000000}"/>
    <cellStyle name="Normal 60" xfId="176" xr:uid="{00000000-0005-0000-0000-00009A000000}"/>
    <cellStyle name="Normal 61" xfId="179" xr:uid="{00000000-0005-0000-0000-00009B000000}"/>
    <cellStyle name="Normal 62" xfId="182" xr:uid="{00000000-0005-0000-0000-00009C000000}"/>
    <cellStyle name="Normal 63" xfId="185" xr:uid="{00000000-0005-0000-0000-00009D000000}"/>
    <cellStyle name="Normal 64" xfId="188" xr:uid="{00000000-0005-0000-0000-00009E000000}"/>
    <cellStyle name="Normal 65" xfId="191" xr:uid="{00000000-0005-0000-0000-00009F000000}"/>
    <cellStyle name="Normal 66" xfId="194" xr:uid="{00000000-0005-0000-0000-0000A0000000}"/>
    <cellStyle name="Normal 67" xfId="197" xr:uid="{00000000-0005-0000-0000-0000A1000000}"/>
    <cellStyle name="Normal 68" xfId="200" xr:uid="{00000000-0005-0000-0000-0000A2000000}"/>
    <cellStyle name="Normal 69" xfId="203" xr:uid="{00000000-0005-0000-0000-0000A3000000}"/>
    <cellStyle name="Normal 7" xfId="9" xr:uid="{00000000-0005-0000-0000-0000A4000000}"/>
    <cellStyle name="Normal 7 2" xfId="51" xr:uid="{00000000-0005-0000-0000-0000A5000000}"/>
    <cellStyle name="Normal 70" xfId="206" xr:uid="{00000000-0005-0000-0000-0000A6000000}"/>
    <cellStyle name="Normal 71" xfId="209" xr:uid="{00000000-0005-0000-0000-0000A7000000}"/>
    <cellStyle name="Normal 72" xfId="212" xr:uid="{00000000-0005-0000-0000-0000A8000000}"/>
    <cellStyle name="Normal 73" xfId="215" xr:uid="{00000000-0005-0000-0000-0000A9000000}"/>
    <cellStyle name="Normal 74" xfId="218" xr:uid="{00000000-0005-0000-0000-0000AA000000}"/>
    <cellStyle name="Normal 75" xfId="221" xr:uid="{00000000-0005-0000-0000-0000AB000000}"/>
    <cellStyle name="Normal 76" xfId="224" xr:uid="{00000000-0005-0000-0000-0000AC000000}"/>
    <cellStyle name="Normal 77" xfId="227" xr:uid="{00000000-0005-0000-0000-0000AD000000}"/>
    <cellStyle name="Normal 78" xfId="230" xr:uid="{00000000-0005-0000-0000-0000AE000000}"/>
    <cellStyle name="Normal 79" xfId="233" xr:uid="{00000000-0005-0000-0000-0000AF000000}"/>
    <cellStyle name="Normal 8" xfId="52" xr:uid="{00000000-0005-0000-0000-0000B0000000}"/>
    <cellStyle name="Normal 80" xfId="236" xr:uid="{00000000-0005-0000-0000-0000B1000000}"/>
    <cellStyle name="Normal 81" xfId="239" xr:uid="{00000000-0005-0000-0000-0000B2000000}"/>
    <cellStyle name="Normal 82" xfId="242" xr:uid="{00000000-0005-0000-0000-0000B3000000}"/>
    <cellStyle name="Normal 83" xfId="245" xr:uid="{00000000-0005-0000-0000-0000B4000000}"/>
    <cellStyle name="Normal 84" xfId="248" xr:uid="{00000000-0005-0000-0000-0000B5000000}"/>
    <cellStyle name="Normal 85" xfId="251" xr:uid="{00000000-0005-0000-0000-0000B6000000}"/>
    <cellStyle name="Normal 86" xfId="254" xr:uid="{00000000-0005-0000-0000-0000B7000000}"/>
    <cellStyle name="Normal 87" xfId="257" xr:uid="{00000000-0005-0000-0000-0000B8000000}"/>
    <cellStyle name="Normal 88" xfId="260" xr:uid="{00000000-0005-0000-0000-0000B9000000}"/>
    <cellStyle name="Normal 89" xfId="263" xr:uid="{00000000-0005-0000-0000-0000BA000000}"/>
    <cellStyle name="Normal 9" xfId="53" xr:uid="{00000000-0005-0000-0000-0000BB000000}"/>
    <cellStyle name="Normal 90" xfId="266" xr:uid="{00000000-0005-0000-0000-0000BC000000}"/>
    <cellStyle name="Normal 91" xfId="269" xr:uid="{00000000-0005-0000-0000-0000BD000000}"/>
    <cellStyle name="Normal 92" xfId="272" xr:uid="{00000000-0005-0000-0000-0000BE000000}"/>
    <cellStyle name="Normal 93" xfId="275" xr:uid="{00000000-0005-0000-0000-0000BF000000}"/>
    <cellStyle name="Normal 94" xfId="278" xr:uid="{00000000-0005-0000-0000-0000C0000000}"/>
    <cellStyle name="Normal 95" xfId="281" xr:uid="{00000000-0005-0000-0000-0000C1000000}"/>
    <cellStyle name="Normal 96" xfId="72" xr:uid="{00000000-0005-0000-0000-0000C2000000}"/>
    <cellStyle name="Percent" xfId="6" builtinId="5"/>
    <cellStyle name="Percent 10" xfId="54" xr:uid="{00000000-0005-0000-0000-0000C4000000}"/>
    <cellStyle name="Percent 11" xfId="55" xr:uid="{00000000-0005-0000-0000-0000C5000000}"/>
    <cellStyle name="Percent 12" xfId="56" xr:uid="{00000000-0005-0000-0000-0000C6000000}"/>
    <cellStyle name="Percent 13" xfId="57" xr:uid="{00000000-0005-0000-0000-0000C7000000}"/>
    <cellStyle name="Percent 14" xfId="58" xr:uid="{00000000-0005-0000-0000-0000C8000000}"/>
    <cellStyle name="Percent 15" xfId="59" xr:uid="{00000000-0005-0000-0000-0000C9000000}"/>
    <cellStyle name="Percent 16" xfId="60" xr:uid="{00000000-0005-0000-0000-0000CA000000}"/>
    <cellStyle name="Percent 17" xfId="61" xr:uid="{00000000-0005-0000-0000-0000CB000000}"/>
    <cellStyle name="Percent 18" xfId="62" xr:uid="{00000000-0005-0000-0000-0000CC000000}"/>
    <cellStyle name="Percent 19" xfId="63" xr:uid="{00000000-0005-0000-0000-0000CD000000}"/>
    <cellStyle name="Percent 2" xfId="17" xr:uid="{00000000-0005-0000-0000-0000CE000000}"/>
    <cellStyle name="Percent 20" xfId="74" xr:uid="{00000000-0005-0000-0000-0000CF000000}"/>
    <cellStyle name="Percent 21" xfId="76" xr:uid="{00000000-0005-0000-0000-0000D0000000}"/>
    <cellStyle name="Percent 22" xfId="78" xr:uid="{00000000-0005-0000-0000-0000D1000000}"/>
    <cellStyle name="Percent 23" xfId="80" xr:uid="{00000000-0005-0000-0000-0000D2000000}"/>
    <cellStyle name="Percent 24" xfId="83" xr:uid="{00000000-0005-0000-0000-0000D3000000}"/>
    <cellStyle name="Percent 25" xfId="85" xr:uid="{00000000-0005-0000-0000-0000D4000000}"/>
    <cellStyle name="Percent 26" xfId="88" xr:uid="{00000000-0005-0000-0000-0000D5000000}"/>
    <cellStyle name="Percent 27" xfId="91" xr:uid="{00000000-0005-0000-0000-0000D6000000}"/>
    <cellStyle name="Percent 28" xfId="94" xr:uid="{00000000-0005-0000-0000-0000D7000000}"/>
    <cellStyle name="Percent 29" xfId="97" xr:uid="{00000000-0005-0000-0000-0000D8000000}"/>
    <cellStyle name="Percent 3" xfId="64" xr:uid="{00000000-0005-0000-0000-0000D9000000}"/>
    <cellStyle name="Percent 30" xfId="100" xr:uid="{00000000-0005-0000-0000-0000DA000000}"/>
    <cellStyle name="Percent 31" xfId="103" xr:uid="{00000000-0005-0000-0000-0000DB000000}"/>
    <cellStyle name="Percent 32" xfId="106" xr:uid="{00000000-0005-0000-0000-0000DC000000}"/>
    <cellStyle name="Percent 33" xfId="109" xr:uid="{00000000-0005-0000-0000-0000DD000000}"/>
    <cellStyle name="Percent 34" xfId="112" xr:uid="{00000000-0005-0000-0000-0000DE000000}"/>
    <cellStyle name="Percent 35" xfId="115" xr:uid="{00000000-0005-0000-0000-0000DF000000}"/>
    <cellStyle name="Percent 36" xfId="118" xr:uid="{00000000-0005-0000-0000-0000E0000000}"/>
    <cellStyle name="Percent 37" xfId="121" xr:uid="{00000000-0005-0000-0000-0000E1000000}"/>
    <cellStyle name="Percent 38" xfId="124" xr:uid="{00000000-0005-0000-0000-0000E2000000}"/>
    <cellStyle name="Percent 39" xfId="127" xr:uid="{00000000-0005-0000-0000-0000E3000000}"/>
    <cellStyle name="Percent 4" xfId="65" xr:uid="{00000000-0005-0000-0000-0000E4000000}"/>
    <cellStyle name="Percent 40" xfId="130" xr:uid="{00000000-0005-0000-0000-0000E5000000}"/>
    <cellStyle name="Percent 41" xfId="133" xr:uid="{00000000-0005-0000-0000-0000E6000000}"/>
    <cellStyle name="Percent 42" xfId="135" xr:uid="{00000000-0005-0000-0000-0000E7000000}"/>
    <cellStyle name="Percent 43" xfId="138" xr:uid="{00000000-0005-0000-0000-0000E8000000}"/>
    <cellStyle name="Percent 44" xfId="141" xr:uid="{00000000-0005-0000-0000-0000E9000000}"/>
    <cellStyle name="Percent 45" xfId="144" xr:uid="{00000000-0005-0000-0000-0000EA000000}"/>
    <cellStyle name="Percent 46" xfId="147" xr:uid="{00000000-0005-0000-0000-0000EB000000}"/>
    <cellStyle name="Percent 47" xfId="150" xr:uid="{00000000-0005-0000-0000-0000EC000000}"/>
    <cellStyle name="Percent 48" xfId="153" xr:uid="{00000000-0005-0000-0000-0000ED000000}"/>
    <cellStyle name="Percent 49" xfId="156" xr:uid="{00000000-0005-0000-0000-0000EE000000}"/>
    <cellStyle name="Percent 5" xfId="66" xr:uid="{00000000-0005-0000-0000-0000EF000000}"/>
    <cellStyle name="Percent 50" xfId="159" xr:uid="{00000000-0005-0000-0000-0000F0000000}"/>
    <cellStyle name="Percent 51" xfId="162" xr:uid="{00000000-0005-0000-0000-0000F1000000}"/>
    <cellStyle name="Percent 52" xfId="165" xr:uid="{00000000-0005-0000-0000-0000F2000000}"/>
    <cellStyle name="Percent 53" xfId="168" xr:uid="{00000000-0005-0000-0000-0000F3000000}"/>
    <cellStyle name="Percent 54" xfId="171" xr:uid="{00000000-0005-0000-0000-0000F4000000}"/>
    <cellStyle name="Percent 55" xfId="174" xr:uid="{00000000-0005-0000-0000-0000F5000000}"/>
    <cellStyle name="Percent 56" xfId="177" xr:uid="{00000000-0005-0000-0000-0000F6000000}"/>
    <cellStyle name="Percent 57" xfId="180" xr:uid="{00000000-0005-0000-0000-0000F7000000}"/>
    <cellStyle name="Percent 58" xfId="183" xr:uid="{00000000-0005-0000-0000-0000F8000000}"/>
    <cellStyle name="Percent 59" xfId="186" xr:uid="{00000000-0005-0000-0000-0000F9000000}"/>
    <cellStyle name="Percent 6" xfId="67" xr:uid="{00000000-0005-0000-0000-0000FA000000}"/>
    <cellStyle name="Percent 60" xfId="189" xr:uid="{00000000-0005-0000-0000-0000FB000000}"/>
    <cellStyle name="Percent 61" xfId="192" xr:uid="{00000000-0005-0000-0000-0000FC000000}"/>
    <cellStyle name="Percent 62" xfId="195" xr:uid="{00000000-0005-0000-0000-0000FD000000}"/>
    <cellStyle name="Percent 63" xfId="198" xr:uid="{00000000-0005-0000-0000-0000FE000000}"/>
    <cellStyle name="Percent 64" xfId="201" xr:uid="{00000000-0005-0000-0000-0000FF000000}"/>
    <cellStyle name="Percent 65" xfId="204" xr:uid="{00000000-0005-0000-0000-000000010000}"/>
    <cellStyle name="Percent 66" xfId="207" xr:uid="{00000000-0005-0000-0000-000001010000}"/>
    <cellStyle name="Percent 67" xfId="210" xr:uid="{00000000-0005-0000-0000-000002010000}"/>
    <cellStyle name="Percent 68" xfId="213" xr:uid="{00000000-0005-0000-0000-000003010000}"/>
    <cellStyle name="Percent 69" xfId="216" xr:uid="{00000000-0005-0000-0000-000004010000}"/>
    <cellStyle name="Percent 7" xfId="68" xr:uid="{00000000-0005-0000-0000-000005010000}"/>
    <cellStyle name="Percent 70" xfId="219" xr:uid="{00000000-0005-0000-0000-000006010000}"/>
    <cellStyle name="Percent 71" xfId="222" xr:uid="{00000000-0005-0000-0000-000007010000}"/>
    <cellStyle name="Percent 72" xfId="225" xr:uid="{00000000-0005-0000-0000-000008010000}"/>
    <cellStyle name="Percent 73" xfId="228" xr:uid="{00000000-0005-0000-0000-000009010000}"/>
    <cellStyle name="Percent 74" xfId="231" xr:uid="{00000000-0005-0000-0000-00000A010000}"/>
    <cellStyle name="Percent 75" xfId="234" xr:uid="{00000000-0005-0000-0000-00000B010000}"/>
    <cellStyle name="Percent 76" xfId="237" xr:uid="{00000000-0005-0000-0000-00000C010000}"/>
    <cellStyle name="Percent 77" xfId="240" xr:uid="{00000000-0005-0000-0000-00000D010000}"/>
    <cellStyle name="Percent 78" xfId="243" xr:uid="{00000000-0005-0000-0000-00000E010000}"/>
    <cellStyle name="Percent 79" xfId="246" xr:uid="{00000000-0005-0000-0000-00000F010000}"/>
    <cellStyle name="Percent 8" xfId="69" xr:uid="{00000000-0005-0000-0000-000010010000}"/>
    <cellStyle name="Percent 80" xfId="249" xr:uid="{00000000-0005-0000-0000-000011010000}"/>
    <cellStyle name="Percent 81" xfId="252" xr:uid="{00000000-0005-0000-0000-000012010000}"/>
    <cellStyle name="Percent 82" xfId="255" xr:uid="{00000000-0005-0000-0000-000013010000}"/>
    <cellStyle name="Percent 83" xfId="258" xr:uid="{00000000-0005-0000-0000-000014010000}"/>
    <cellStyle name="Percent 84" xfId="261" xr:uid="{00000000-0005-0000-0000-000015010000}"/>
    <cellStyle name="Percent 85" xfId="264" xr:uid="{00000000-0005-0000-0000-000016010000}"/>
    <cellStyle name="Percent 86" xfId="267" xr:uid="{00000000-0005-0000-0000-000017010000}"/>
    <cellStyle name="Percent 87" xfId="270" xr:uid="{00000000-0005-0000-0000-000018010000}"/>
    <cellStyle name="Percent 88" xfId="273" xr:uid="{00000000-0005-0000-0000-000019010000}"/>
    <cellStyle name="Percent 89" xfId="276" xr:uid="{00000000-0005-0000-0000-00001A010000}"/>
    <cellStyle name="Percent 9" xfId="70" xr:uid="{00000000-0005-0000-0000-00001B010000}"/>
    <cellStyle name="Percent 90" xfId="279" xr:uid="{00000000-0005-0000-0000-00001C010000}"/>
    <cellStyle name="Percent 91" xfId="282" xr:uid="{00000000-0005-0000-0000-00001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128867</xdr:rowOff>
    </xdr:from>
    <xdr:to>
      <xdr:col>57</xdr:col>
      <xdr:colOff>322749</xdr:colOff>
      <xdr:row>4</xdr:row>
      <xdr:rowOff>120318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867"/>
          <a:ext cx="39935978" cy="93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14"/>
  <sheetViews>
    <sheetView zoomScale="85" zoomScaleNormal="85" workbookViewId="0">
      <pane ySplit="2" topLeftCell="A3" activePane="bottomLeft" state="frozen"/>
      <selection pane="bottomLeft" activeCell="J28" sqref="J27:J28"/>
    </sheetView>
  </sheetViews>
  <sheetFormatPr defaultRowHeight="15"/>
  <cols>
    <col min="1" max="1" width="14.42578125" style="110" bestFit="1" customWidth="1"/>
    <col min="2" max="2" width="12.42578125" customWidth="1"/>
    <col min="3" max="3" width="14.42578125" style="94" customWidth="1"/>
    <col min="4" max="4" width="14.28515625" style="111" customWidth="1"/>
    <col min="5" max="5" width="2.140625" style="112" customWidth="1"/>
    <col min="6" max="6" width="12" style="110" customWidth="1"/>
    <col min="7" max="7" width="10.7109375" bestFit="1" customWidth="1"/>
    <col min="8" max="8" width="14" style="94" bestFit="1" customWidth="1"/>
    <col min="9" max="9" width="16.42578125" style="115" customWidth="1"/>
    <col min="10" max="10" width="9.85546875" bestFit="1" customWidth="1"/>
    <col min="11" max="11" width="10.5703125" bestFit="1" customWidth="1"/>
  </cols>
  <sheetData>
    <row r="2" spans="1:9" s="109" customFormat="1" ht="45">
      <c r="A2" s="103" t="s">
        <v>123</v>
      </c>
      <c r="B2" s="104" t="s">
        <v>124</v>
      </c>
      <c r="C2" s="105" t="s">
        <v>125</v>
      </c>
      <c r="D2" s="106" t="s">
        <v>126</v>
      </c>
      <c r="E2" s="107"/>
      <c r="F2" s="103" t="s">
        <v>123</v>
      </c>
      <c r="G2" s="104" t="s">
        <v>127</v>
      </c>
      <c r="H2" s="105" t="s">
        <v>125</v>
      </c>
      <c r="I2" s="108" t="s">
        <v>126</v>
      </c>
    </row>
    <row r="3" spans="1:9">
      <c r="A3" s="110">
        <v>44230</v>
      </c>
      <c r="B3" t="s">
        <v>128</v>
      </c>
      <c r="C3" s="94">
        <f>178716.38+21445.97</f>
        <v>200162.35</v>
      </c>
      <c r="D3" s="111">
        <f>C3/1.12</f>
        <v>178716.38392857142</v>
      </c>
      <c r="F3" s="110">
        <v>44226</v>
      </c>
      <c r="G3" t="s">
        <v>128</v>
      </c>
      <c r="H3" s="94">
        <f>3574327.08+428919.25</f>
        <v>4003246.33</v>
      </c>
      <c r="I3" s="113">
        <f>H3/1.12</f>
        <v>3574327.0803571427</v>
      </c>
    </row>
    <row r="4" spans="1:9">
      <c r="A4" s="110">
        <v>44260</v>
      </c>
      <c r="B4" t="s">
        <v>129</v>
      </c>
      <c r="C4" s="94">
        <f>168569.96+20228.39</f>
        <v>188798.34999999998</v>
      </c>
      <c r="D4" s="111">
        <f>C4/1.12</f>
        <v>168569.95535714281</v>
      </c>
      <c r="F4" s="110">
        <v>44246</v>
      </c>
      <c r="G4" t="s">
        <v>129</v>
      </c>
      <c r="H4" s="94">
        <f>3371400.4+404568.04</f>
        <v>3775968.44</v>
      </c>
      <c r="I4" s="113">
        <f t="shared" ref="I4:I68" si="0">H4/1.12</f>
        <v>3371400.3928571423</v>
      </c>
    </row>
    <row r="5" spans="1:9">
      <c r="A5" s="110">
        <v>44260</v>
      </c>
      <c r="B5" t="s">
        <v>130</v>
      </c>
      <c r="C5" s="94">
        <f>257303.97+30876.48</f>
        <v>288180.45</v>
      </c>
      <c r="D5" s="111">
        <f t="shared" ref="D5:D69" si="1">C5/1.12</f>
        <v>257303.97321428571</v>
      </c>
      <c r="F5" s="110">
        <v>44239</v>
      </c>
      <c r="G5" t="s">
        <v>130</v>
      </c>
      <c r="H5" s="94">
        <f>5146078.47+617592.42</f>
        <v>5763670.8899999997</v>
      </c>
      <c r="I5" s="113">
        <f t="shared" si="0"/>
        <v>5146134.7232142845</v>
      </c>
    </row>
    <row r="6" spans="1:9">
      <c r="A6" s="110">
        <v>44289</v>
      </c>
      <c r="B6" t="s">
        <v>131</v>
      </c>
      <c r="C6" s="94">
        <f>111814.51+13417.74</f>
        <v>125232.25</v>
      </c>
      <c r="D6" s="111">
        <f t="shared" si="1"/>
        <v>111814.50892857142</v>
      </c>
      <c r="F6" s="110">
        <v>44258</v>
      </c>
      <c r="G6" t="s">
        <v>132</v>
      </c>
      <c r="H6" s="94">
        <v>2236289.9500000002</v>
      </c>
      <c r="I6" s="113">
        <f t="shared" si="0"/>
        <v>1996687.4553571427</v>
      </c>
    </row>
    <row r="7" spans="1:9">
      <c r="A7" s="110">
        <v>44289</v>
      </c>
      <c r="B7" t="s">
        <v>133</v>
      </c>
      <c r="C7" s="94">
        <f>127662.01+15319.44</f>
        <v>142981.44999999998</v>
      </c>
      <c r="D7" s="111">
        <f t="shared" si="1"/>
        <v>127662.00892857141</v>
      </c>
      <c r="F7" s="110">
        <v>44272</v>
      </c>
      <c r="G7" t="s">
        <v>134</v>
      </c>
      <c r="H7" s="94">
        <f>2553239.67+306388.76</f>
        <v>2859628.4299999997</v>
      </c>
      <c r="I7" s="113">
        <f t="shared" si="0"/>
        <v>2553239.6696428568</v>
      </c>
    </row>
    <row r="8" spans="1:9">
      <c r="A8" s="110">
        <v>44289</v>
      </c>
      <c r="B8" t="s">
        <v>135</v>
      </c>
      <c r="C8" s="94">
        <f>128845.04+15461.41</f>
        <v>144306.44999999998</v>
      </c>
      <c r="D8" s="111">
        <f t="shared" si="1"/>
        <v>128845.04464285712</v>
      </c>
      <c r="F8" s="110">
        <v>44266</v>
      </c>
      <c r="G8" t="s">
        <v>135</v>
      </c>
      <c r="H8" s="94">
        <f>2576900.37+309228.04</f>
        <v>2886128.41</v>
      </c>
      <c r="I8" s="113">
        <f t="shared" si="0"/>
        <v>2576900.3660714286</v>
      </c>
    </row>
    <row r="9" spans="1:9">
      <c r="A9" s="110">
        <v>44319</v>
      </c>
      <c r="B9" t="s">
        <v>136</v>
      </c>
      <c r="C9" s="94">
        <f>95812.66+11497.52</f>
        <v>107310.18000000001</v>
      </c>
      <c r="D9" s="111">
        <f t="shared" si="1"/>
        <v>95812.66071428571</v>
      </c>
      <c r="F9" s="110">
        <v>44305</v>
      </c>
      <c r="G9" t="s">
        <v>136</v>
      </c>
      <c r="H9" s="94">
        <f>1916252.88+229950.35</f>
        <v>2146203.23</v>
      </c>
      <c r="I9" s="113">
        <f t="shared" si="0"/>
        <v>1916252.8839285711</v>
      </c>
    </row>
    <row r="10" spans="1:9">
      <c r="A10" s="110">
        <v>44319</v>
      </c>
      <c r="B10" t="s">
        <v>137</v>
      </c>
      <c r="C10" s="94">
        <f>116967.26+14036.07</f>
        <v>131003.32999999999</v>
      </c>
      <c r="D10" s="111">
        <f t="shared" si="1"/>
        <v>116967.25892857141</v>
      </c>
      <c r="F10" s="110">
        <v>44280</v>
      </c>
      <c r="G10" t="s">
        <v>137</v>
      </c>
      <c r="H10" s="94">
        <f>2339344.91+280721.39</f>
        <v>2620066.3000000003</v>
      </c>
      <c r="I10" s="113">
        <f t="shared" si="0"/>
        <v>2339344.9107142859</v>
      </c>
    </row>
    <row r="11" spans="1:9">
      <c r="A11" s="110">
        <v>44340</v>
      </c>
      <c r="B11" t="s">
        <v>138</v>
      </c>
      <c r="C11" s="94">
        <f>77569.29+9308.31</f>
        <v>86877.599999999991</v>
      </c>
      <c r="D11" s="111">
        <f t="shared" si="1"/>
        <v>77569.285714285696</v>
      </c>
      <c r="F11" s="110">
        <v>44326</v>
      </c>
      <c r="G11" t="s">
        <v>138</v>
      </c>
      <c r="H11" s="94">
        <f>1551385.33+186166.24</f>
        <v>1737551.57</v>
      </c>
      <c r="I11" s="113">
        <f t="shared" si="0"/>
        <v>1551385.3303571427</v>
      </c>
    </row>
    <row r="12" spans="1:9">
      <c r="A12" s="110">
        <v>44340</v>
      </c>
      <c r="B12" t="s">
        <v>139</v>
      </c>
      <c r="C12" s="94">
        <f>125946.99+15113.64</f>
        <v>141060.63</v>
      </c>
      <c r="D12" s="111">
        <f t="shared" si="1"/>
        <v>125946.99107142857</v>
      </c>
      <c r="F12" s="110">
        <v>44313</v>
      </c>
      <c r="G12" t="s">
        <v>139</v>
      </c>
      <c r="H12" s="94">
        <f>2518939.35+302272.73</f>
        <v>2821212.08</v>
      </c>
      <c r="I12" s="113">
        <f t="shared" si="0"/>
        <v>2518939.3571428568</v>
      </c>
    </row>
    <row r="13" spans="1:9">
      <c r="A13" s="110">
        <v>44347</v>
      </c>
      <c r="B13" t="s">
        <v>140</v>
      </c>
      <c r="C13" s="94">
        <f>147525.67+17703.08</f>
        <v>165228.75</v>
      </c>
      <c r="D13" s="111">
        <f t="shared" si="1"/>
        <v>147525.66964285713</v>
      </c>
      <c r="F13" s="110">
        <v>44331</v>
      </c>
      <c r="G13" t="s">
        <v>140</v>
      </c>
      <c r="H13" s="94">
        <f>2842834.37+341140.13</f>
        <v>3183974.5</v>
      </c>
      <c r="I13" s="113">
        <f>H13/1.12</f>
        <v>2842834.3749999995</v>
      </c>
    </row>
    <row r="14" spans="1:9">
      <c r="A14" s="110">
        <v>44355</v>
      </c>
      <c r="B14" t="s">
        <v>141</v>
      </c>
      <c r="C14" s="94">
        <f>150070.31+18008.44</f>
        <v>168078.75</v>
      </c>
      <c r="D14" s="111">
        <f t="shared" si="1"/>
        <v>150070.3125</v>
      </c>
      <c r="F14" s="110">
        <v>44337</v>
      </c>
      <c r="G14" t="s">
        <v>141</v>
      </c>
      <c r="H14" s="94">
        <f>2678369.72+321404.37</f>
        <v>2999774.0900000003</v>
      </c>
      <c r="I14" s="113">
        <f t="shared" si="0"/>
        <v>2678369.7232142859</v>
      </c>
    </row>
    <row r="15" spans="1:9">
      <c r="A15" s="110">
        <v>44368</v>
      </c>
      <c r="B15" t="s">
        <v>142</v>
      </c>
      <c r="C15" s="94">
        <f>202801.65+24336.2</f>
        <v>227137.85</v>
      </c>
      <c r="D15" s="111">
        <f t="shared" si="1"/>
        <v>202801.65178571426</v>
      </c>
      <c r="F15" s="110">
        <v>44355</v>
      </c>
      <c r="G15" t="s">
        <v>142</v>
      </c>
      <c r="H15" s="94">
        <f>4056032.75+486723.93</f>
        <v>4542756.68</v>
      </c>
      <c r="I15" s="113">
        <f t="shared" si="0"/>
        <v>4056032.7499999995</v>
      </c>
    </row>
    <row r="16" spans="1:9" ht="15.75" thickBot="1">
      <c r="A16" s="110">
        <v>44364</v>
      </c>
      <c r="B16" t="s">
        <v>143</v>
      </c>
      <c r="C16" s="94">
        <v>180327.25</v>
      </c>
      <c r="D16" s="111">
        <f t="shared" si="1"/>
        <v>161006.47321428571</v>
      </c>
      <c r="F16" s="110">
        <v>44350</v>
      </c>
      <c r="G16" t="s">
        <v>143</v>
      </c>
      <c r="H16" s="94">
        <f>3220130.69+386415.69</f>
        <v>3606546.38</v>
      </c>
      <c r="I16" s="113">
        <f t="shared" si="0"/>
        <v>3220130.6964285709</v>
      </c>
    </row>
    <row r="17" spans="1:9" ht="15.75" thickBot="1">
      <c r="A17" s="127">
        <v>44385</v>
      </c>
      <c r="B17" s="128" t="s">
        <v>144</v>
      </c>
      <c r="C17" s="129">
        <f>102076.59+12249.19</f>
        <v>114325.78</v>
      </c>
      <c r="D17" s="130">
        <f t="shared" si="1"/>
        <v>102076.58928571428</v>
      </c>
      <c r="F17" s="110">
        <v>44372</v>
      </c>
      <c r="G17" t="s">
        <v>145</v>
      </c>
      <c r="H17" s="94">
        <f>2041529.94+244983.59</f>
        <v>2286513.5299999998</v>
      </c>
      <c r="I17" s="113">
        <f t="shared" si="0"/>
        <v>2041529.9374999995</v>
      </c>
    </row>
    <row r="18" spans="1:9">
      <c r="A18" s="131">
        <v>44393</v>
      </c>
      <c r="B18" t="s">
        <v>146</v>
      </c>
      <c r="C18" s="57">
        <f>81336.61+9760.39</f>
        <v>91097</v>
      </c>
      <c r="D18" s="132">
        <f t="shared" si="1"/>
        <v>81336.60714285713</v>
      </c>
      <c r="F18" s="151">
        <v>44379</v>
      </c>
      <c r="G18" s="128" t="s">
        <v>147</v>
      </c>
      <c r="H18" s="129">
        <f>1626731.62+195207.8</f>
        <v>1821939.4200000002</v>
      </c>
      <c r="I18" s="152">
        <f t="shared" si="0"/>
        <v>1626731.625</v>
      </c>
    </row>
    <row r="19" spans="1:9">
      <c r="A19" s="131">
        <v>44393</v>
      </c>
      <c r="B19" t="s">
        <v>148</v>
      </c>
      <c r="C19" s="57">
        <f>53792.32+6455.08</f>
        <v>60247.4</v>
      </c>
      <c r="D19" s="132">
        <f t="shared" si="1"/>
        <v>53792.321428571428</v>
      </c>
      <c r="F19" s="153">
        <v>44385</v>
      </c>
      <c r="G19" t="s">
        <v>149</v>
      </c>
      <c r="H19" s="57">
        <f>1075845.83+129101.5</f>
        <v>1204947.33</v>
      </c>
      <c r="I19" s="154">
        <f t="shared" si="0"/>
        <v>1075845.8303571427</v>
      </c>
    </row>
    <row r="20" spans="1:9">
      <c r="A20" s="131">
        <v>44407</v>
      </c>
      <c r="B20" t="s">
        <v>150</v>
      </c>
      <c r="C20" s="57">
        <f>122184.73+14662.17</f>
        <v>136846.9</v>
      </c>
      <c r="D20" s="132">
        <f t="shared" si="1"/>
        <v>122184.73214285713</v>
      </c>
      <c r="F20" s="153">
        <v>44398</v>
      </c>
      <c r="G20" t="s">
        <v>151</v>
      </c>
      <c r="H20" s="57">
        <f>2443695.2+293243.42</f>
        <v>2736938.62</v>
      </c>
      <c r="I20" s="154">
        <f t="shared" si="0"/>
        <v>2443695.1964285714</v>
      </c>
    </row>
    <row r="21" spans="1:9">
      <c r="A21" s="131">
        <v>44413</v>
      </c>
      <c r="B21" t="s">
        <v>152</v>
      </c>
      <c r="C21" s="57">
        <f>106722.44+12806.69</f>
        <v>119529.13</v>
      </c>
      <c r="D21" s="132">
        <f t="shared" si="1"/>
        <v>106722.4375</v>
      </c>
      <c r="F21" s="153">
        <v>44406</v>
      </c>
      <c r="G21" t="s">
        <v>153</v>
      </c>
      <c r="H21" s="57">
        <f>2134448.35+256133.8</f>
        <v>2390582.15</v>
      </c>
      <c r="I21" s="154">
        <f t="shared" si="0"/>
        <v>2134448.3482142854</v>
      </c>
    </row>
    <row r="22" spans="1:9">
      <c r="A22" s="131">
        <v>44427</v>
      </c>
      <c r="B22" t="s">
        <v>154</v>
      </c>
      <c r="C22" s="57">
        <f>151117.62+18134.11</f>
        <v>169251.72999999998</v>
      </c>
      <c r="D22" s="132">
        <f t="shared" si="1"/>
        <v>151117.61607142855</v>
      </c>
      <c r="F22" s="153">
        <v>44413</v>
      </c>
      <c r="G22" t="s">
        <v>155</v>
      </c>
      <c r="H22" s="57">
        <f>3022351.9+362682.23</f>
        <v>3385034.13</v>
      </c>
      <c r="I22" s="154">
        <f t="shared" si="0"/>
        <v>3022351.9017857141</v>
      </c>
    </row>
    <row r="23" spans="1:9">
      <c r="A23" s="131">
        <v>44439</v>
      </c>
      <c r="B23" t="s">
        <v>156</v>
      </c>
      <c r="C23" s="57">
        <f>143693.3+17243.2</f>
        <v>160936.5</v>
      </c>
      <c r="D23" s="132">
        <f t="shared" si="1"/>
        <v>143693.30357142855</v>
      </c>
      <c r="F23" s="153">
        <v>44426</v>
      </c>
      <c r="G23" t="s">
        <v>157</v>
      </c>
      <c r="H23" s="57">
        <f>2873865.14+344863.82</f>
        <v>3218728.96</v>
      </c>
      <c r="I23" s="154">
        <f t="shared" si="0"/>
        <v>2873865.1428571427</v>
      </c>
    </row>
    <row r="24" spans="1:9">
      <c r="A24" s="131">
        <v>44439</v>
      </c>
      <c r="B24" t="s">
        <v>158</v>
      </c>
      <c r="C24" s="57">
        <f>146455.58+17574.67</f>
        <v>164030.25</v>
      </c>
      <c r="D24" s="132">
        <f t="shared" si="1"/>
        <v>146455.58035714284</v>
      </c>
      <c r="F24" s="153">
        <v>44420</v>
      </c>
      <c r="G24" t="s">
        <v>159</v>
      </c>
      <c r="H24" s="57">
        <f>2929111.36+351493.37</f>
        <v>3280604.73</v>
      </c>
      <c r="I24" s="154">
        <f t="shared" si="0"/>
        <v>2929111.3660714282</v>
      </c>
    </row>
    <row r="25" spans="1:9">
      <c r="A25" s="131">
        <v>44455</v>
      </c>
      <c r="B25" t="s">
        <v>160</v>
      </c>
      <c r="C25" s="57">
        <f>153671.54+18440.58</f>
        <v>172112.12</v>
      </c>
      <c r="D25" s="132">
        <f t="shared" si="1"/>
        <v>153671.53571428568</v>
      </c>
      <c r="F25" s="153">
        <v>44441</v>
      </c>
      <c r="G25" t="s">
        <v>161</v>
      </c>
      <c r="H25" s="57">
        <f>3073431.97+368811.84</f>
        <v>3442243.81</v>
      </c>
      <c r="I25" s="154">
        <f t="shared" si="0"/>
        <v>3073431.9732142854</v>
      </c>
    </row>
    <row r="26" spans="1:9">
      <c r="A26" s="131">
        <v>44463</v>
      </c>
      <c r="B26" t="s">
        <v>162</v>
      </c>
      <c r="C26" s="57">
        <f>114479.13+13737.5</f>
        <v>128216.63</v>
      </c>
      <c r="D26" s="132">
        <f t="shared" si="1"/>
        <v>114479.13392857142</v>
      </c>
      <c r="F26" s="153">
        <v>44447</v>
      </c>
      <c r="G26" t="s">
        <v>163</v>
      </c>
      <c r="H26" s="57">
        <f>2289581.89+274749.82</f>
        <v>2564331.71</v>
      </c>
      <c r="I26" s="154">
        <f t="shared" si="0"/>
        <v>2289581.8839285714</v>
      </c>
    </row>
    <row r="27" spans="1:9">
      <c r="A27" s="131">
        <v>44487</v>
      </c>
      <c r="B27" t="s">
        <v>164</v>
      </c>
      <c r="C27" s="57">
        <f>212107.71+25452.93</f>
        <v>237560.63999999998</v>
      </c>
      <c r="D27" s="132">
        <f t="shared" si="1"/>
        <v>212107.71428571426</v>
      </c>
      <c r="F27" s="153">
        <v>44462</v>
      </c>
      <c r="G27" t="s">
        <v>165</v>
      </c>
      <c r="H27" s="57">
        <f>4242154.83+509058.59</f>
        <v>4751213.42</v>
      </c>
      <c r="I27" s="154">
        <f t="shared" si="0"/>
        <v>4242154.8392857136</v>
      </c>
    </row>
    <row r="28" spans="1:9">
      <c r="A28" s="131">
        <v>44483</v>
      </c>
      <c r="B28" t="s">
        <v>166</v>
      </c>
      <c r="C28" s="57">
        <f>101471.3+12176.56</f>
        <v>113647.86</v>
      </c>
      <c r="D28" s="132">
        <f t="shared" si="1"/>
        <v>101471.30357142857</v>
      </c>
      <c r="F28" s="153">
        <v>44468</v>
      </c>
      <c r="G28" t="s">
        <v>167</v>
      </c>
      <c r="H28" s="57">
        <f>2029426.55+243531.19</f>
        <v>2272957.7400000002</v>
      </c>
      <c r="I28" s="154">
        <f t="shared" si="0"/>
        <v>2029426.5535714286</v>
      </c>
    </row>
    <row r="29" spans="1:9">
      <c r="A29" s="131">
        <v>44477</v>
      </c>
      <c r="B29" t="s">
        <v>253</v>
      </c>
      <c r="C29" s="57">
        <v>237560.63999999998</v>
      </c>
      <c r="D29" s="132">
        <v>212107.71428571426</v>
      </c>
      <c r="F29" s="153"/>
      <c r="H29" s="57"/>
      <c r="I29" s="154"/>
    </row>
    <row r="30" spans="1:9">
      <c r="A30" s="131">
        <v>44494</v>
      </c>
      <c r="B30" t="s">
        <v>168</v>
      </c>
      <c r="C30" s="57">
        <f>154464.87+18535.78</f>
        <v>173000.65</v>
      </c>
      <c r="D30" s="132">
        <f t="shared" si="1"/>
        <v>154464.86607142855</v>
      </c>
      <c r="F30" s="153">
        <v>44476</v>
      </c>
      <c r="G30" t="s">
        <v>169</v>
      </c>
      <c r="H30" s="57">
        <f>3089296.45+370715.57</f>
        <v>3460012.02</v>
      </c>
      <c r="I30" s="154">
        <f t="shared" si="0"/>
        <v>3089296.4464285714</v>
      </c>
    </row>
    <row r="31" spans="1:9">
      <c r="A31" s="131">
        <v>44510</v>
      </c>
      <c r="B31" t="s">
        <v>170</v>
      </c>
      <c r="C31" s="57">
        <f>84066.47+10087.98</f>
        <v>94154.45</v>
      </c>
      <c r="D31" s="132">
        <f t="shared" si="1"/>
        <v>84066.47321428571</v>
      </c>
      <c r="F31" s="153">
        <v>44496</v>
      </c>
      <c r="G31" t="s">
        <v>171</v>
      </c>
      <c r="H31" s="57">
        <f>1681329.5+201759.54</f>
        <v>1883089.04</v>
      </c>
      <c r="I31" s="154">
        <f t="shared" si="0"/>
        <v>1681329.4999999998</v>
      </c>
    </row>
    <row r="32" spans="1:9">
      <c r="A32" s="131">
        <v>44522</v>
      </c>
      <c r="B32" t="s">
        <v>172</v>
      </c>
      <c r="C32" s="57">
        <f>75519.96+9062.4</f>
        <v>84582.36</v>
      </c>
      <c r="D32" s="132">
        <f t="shared" si="1"/>
        <v>75519.964285714275</v>
      </c>
      <c r="F32" s="153">
        <v>44511</v>
      </c>
      <c r="G32" t="s">
        <v>173</v>
      </c>
      <c r="H32" s="57">
        <f>1510399.12+181247.89</f>
        <v>1691647.0100000002</v>
      </c>
      <c r="I32" s="154">
        <f t="shared" si="0"/>
        <v>1510399.1160714286</v>
      </c>
    </row>
    <row r="33" spans="1:9">
      <c r="A33" s="131">
        <v>44539</v>
      </c>
      <c r="B33" s="133" t="s">
        <v>174</v>
      </c>
      <c r="C33" s="57">
        <f>60004.33+7200.52</f>
        <v>67204.850000000006</v>
      </c>
      <c r="D33" s="132">
        <f t="shared" si="1"/>
        <v>60004.330357142855</v>
      </c>
      <c r="F33" s="153">
        <v>44530</v>
      </c>
      <c r="G33" t="s">
        <v>175</v>
      </c>
      <c r="H33" s="57">
        <f>1200086.62+144010.38</f>
        <v>1344097</v>
      </c>
      <c r="I33" s="154">
        <f t="shared" si="0"/>
        <v>1200086.607142857</v>
      </c>
    </row>
    <row r="34" spans="1:9">
      <c r="A34" s="131">
        <v>44561</v>
      </c>
      <c r="B34" t="s">
        <v>176</v>
      </c>
      <c r="C34" s="57">
        <f>61187.37+7342.48</f>
        <v>68529.850000000006</v>
      </c>
      <c r="D34" s="132">
        <f t="shared" si="1"/>
        <v>61187.366071428572</v>
      </c>
      <c r="F34" s="153">
        <v>44543</v>
      </c>
      <c r="G34" t="s">
        <v>177</v>
      </c>
      <c r="H34" s="57">
        <f>1223747.37+146849.69</f>
        <v>1370597.06</v>
      </c>
      <c r="I34" s="154">
        <f t="shared" si="0"/>
        <v>1223747.375</v>
      </c>
    </row>
    <row r="35" spans="1:9">
      <c r="A35" s="131">
        <v>44561</v>
      </c>
      <c r="B35" t="s">
        <v>178</v>
      </c>
      <c r="C35" s="57">
        <f>61187.37+7342.48</f>
        <v>68529.850000000006</v>
      </c>
      <c r="D35" s="132">
        <f t="shared" si="1"/>
        <v>61187.366071428572</v>
      </c>
      <c r="F35" s="153">
        <v>44551</v>
      </c>
      <c r="G35" t="s">
        <v>179</v>
      </c>
      <c r="H35" s="57">
        <f>1223747.37+146849.69</f>
        <v>1370597.06</v>
      </c>
      <c r="I35" s="154">
        <f t="shared" si="0"/>
        <v>1223747.375</v>
      </c>
    </row>
    <row r="36" spans="1:9">
      <c r="A36" s="131">
        <v>44561</v>
      </c>
      <c r="B36" t="s">
        <v>180</v>
      </c>
      <c r="C36" s="57">
        <f>27733.13+3327.98</f>
        <v>31061.11</v>
      </c>
      <c r="D36" s="132">
        <f t="shared" si="1"/>
        <v>27733.133928571428</v>
      </c>
      <c r="F36" s="153">
        <v>44551</v>
      </c>
      <c r="G36" t="s">
        <v>181</v>
      </c>
      <c r="H36" s="57">
        <f>554662.47+66559.5</f>
        <v>621221.97</v>
      </c>
      <c r="I36" s="154">
        <f t="shared" si="0"/>
        <v>554662.47321428568</v>
      </c>
    </row>
    <row r="37" spans="1:9">
      <c r="A37" s="131">
        <v>44601</v>
      </c>
      <c r="B37" t="s">
        <v>182</v>
      </c>
      <c r="C37" s="57">
        <f>91669.78+11000.37</f>
        <v>102670.15</v>
      </c>
      <c r="D37" s="132">
        <f t="shared" si="1"/>
        <v>91669.776785714275</v>
      </c>
      <c r="F37" s="153">
        <v>44581</v>
      </c>
      <c r="G37" t="s">
        <v>183</v>
      </c>
      <c r="H37" s="57">
        <f>1833395.56+220007.46</f>
        <v>2053403.02</v>
      </c>
      <c r="I37" s="154">
        <f t="shared" si="0"/>
        <v>1833395.5535714284</v>
      </c>
    </row>
    <row r="38" spans="1:9">
      <c r="A38" s="131">
        <v>44614</v>
      </c>
      <c r="B38" t="s">
        <v>184</v>
      </c>
      <c r="C38" s="57">
        <f>60640.31+7276.84</f>
        <v>67917.149999999994</v>
      </c>
      <c r="D38" s="132">
        <f t="shared" si="1"/>
        <v>60640.312499999985</v>
      </c>
      <c r="F38" s="153">
        <v>44588</v>
      </c>
      <c r="G38" t="s">
        <v>185</v>
      </c>
      <c r="H38" s="57">
        <f>1212806.37+145536.76</f>
        <v>1358343.1300000001</v>
      </c>
      <c r="I38" s="154">
        <f t="shared" si="0"/>
        <v>1212806.3660714286</v>
      </c>
    </row>
    <row r="39" spans="1:9">
      <c r="A39" s="131">
        <v>44615</v>
      </c>
      <c r="B39" t="s">
        <v>186</v>
      </c>
      <c r="C39" s="57">
        <f>35909.6+4309.15</f>
        <v>40218.75</v>
      </c>
      <c r="D39" s="132">
        <f t="shared" si="1"/>
        <v>35909.59821428571</v>
      </c>
      <c r="F39" s="153">
        <v>44595</v>
      </c>
      <c r="G39" t="s">
        <v>187</v>
      </c>
      <c r="H39" s="57">
        <f>718192+86183.04</f>
        <v>804375.04000000004</v>
      </c>
      <c r="I39" s="154">
        <f t="shared" si="0"/>
        <v>718192</v>
      </c>
    </row>
    <row r="40" spans="1:9">
      <c r="A40" s="131">
        <v>44615</v>
      </c>
      <c r="B40" t="s">
        <v>188</v>
      </c>
      <c r="C40" s="57">
        <f>15184.15+1822.1</f>
        <v>17006.25</v>
      </c>
      <c r="D40" s="132">
        <f t="shared" si="1"/>
        <v>15184.151785714284</v>
      </c>
      <c r="F40" s="153">
        <v>44602</v>
      </c>
      <c r="G40" t="s">
        <v>189</v>
      </c>
      <c r="H40" s="57">
        <f>303683+36441.96</f>
        <v>340124.96</v>
      </c>
      <c r="I40" s="154">
        <f t="shared" si="0"/>
        <v>303683</v>
      </c>
    </row>
    <row r="41" spans="1:9">
      <c r="A41" s="131">
        <v>44628</v>
      </c>
      <c r="B41" s="44" t="s">
        <v>190</v>
      </c>
      <c r="C41" s="57">
        <f>4821.43+578.57</f>
        <v>5400</v>
      </c>
      <c r="D41" s="132">
        <f t="shared" si="1"/>
        <v>4821.4285714285706</v>
      </c>
      <c r="F41" s="153">
        <v>44616</v>
      </c>
      <c r="G41" t="s">
        <v>191</v>
      </c>
      <c r="H41" s="57">
        <f>96428.5+11571.42</f>
        <v>107999.92</v>
      </c>
      <c r="I41" s="154">
        <f t="shared" si="0"/>
        <v>96428.499999999985</v>
      </c>
    </row>
    <row r="42" spans="1:9">
      <c r="A42" s="131">
        <v>44638</v>
      </c>
      <c r="B42" s="44" t="s">
        <v>192</v>
      </c>
      <c r="C42" s="57">
        <f>4821.43+578.57</f>
        <v>5400</v>
      </c>
      <c r="D42" s="132">
        <f t="shared" si="1"/>
        <v>4821.4285714285706</v>
      </c>
      <c r="F42" s="153">
        <v>44623</v>
      </c>
      <c r="G42" t="s">
        <v>193</v>
      </c>
      <c r="H42" s="57">
        <f>96428.5+11571.42</f>
        <v>107999.92</v>
      </c>
      <c r="I42" s="154">
        <f t="shared" si="0"/>
        <v>96428.499999999985</v>
      </c>
    </row>
    <row r="43" spans="1:9">
      <c r="A43" s="131">
        <v>44639</v>
      </c>
      <c r="B43" s="44" t="s">
        <v>194</v>
      </c>
      <c r="C43" s="57">
        <f>4821.43+43+578.57</f>
        <v>5443</v>
      </c>
      <c r="D43" s="132">
        <f t="shared" si="1"/>
        <v>4859.8214285714284</v>
      </c>
      <c r="F43" s="153">
        <v>44629</v>
      </c>
      <c r="G43" t="s">
        <v>195</v>
      </c>
      <c r="H43" s="57">
        <f>96428.5+11571.42</f>
        <v>107999.92</v>
      </c>
      <c r="I43" s="154">
        <f t="shared" si="0"/>
        <v>96428.499999999985</v>
      </c>
    </row>
    <row r="44" spans="1:9">
      <c r="A44" s="131">
        <v>44651</v>
      </c>
      <c r="B44" s="44" t="s">
        <v>196</v>
      </c>
      <c r="C44" s="57">
        <f>36545.76+730.92</f>
        <v>37276.68</v>
      </c>
      <c r="D44" s="132">
        <f t="shared" si="1"/>
        <v>33282.75</v>
      </c>
      <c r="F44" s="153">
        <v>44623</v>
      </c>
      <c r="G44" t="s">
        <v>197</v>
      </c>
      <c r="H44" s="57">
        <f>659933.1+79191.97</f>
        <v>739125.07</v>
      </c>
      <c r="I44" s="154">
        <f t="shared" si="0"/>
        <v>659933.09821428556</v>
      </c>
    </row>
    <row r="45" spans="1:9">
      <c r="A45" s="131">
        <v>44671</v>
      </c>
      <c r="B45" t="s">
        <v>198</v>
      </c>
      <c r="C45" s="134">
        <f>30728.24+3687.39</f>
        <v>34415.630000000005</v>
      </c>
      <c r="D45" s="132">
        <f t="shared" si="1"/>
        <v>30728.241071428572</v>
      </c>
      <c r="F45" s="153">
        <v>44658</v>
      </c>
      <c r="G45" t="s">
        <v>199</v>
      </c>
      <c r="H45" s="134">
        <f>543582.65+65229.92</f>
        <v>608812.57000000007</v>
      </c>
      <c r="I45" s="154">
        <f t="shared" si="0"/>
        <v>543582.65178571432</v>
      </c>
    </row>
    <row r="46" spans="1:9">
      <c r="A46" s="131">
        <v>44653</v>
      </c>
      <c r="B46" t="s">
        <v>200</v>
      </c>
      <c r="C46" s="134">
        <f>30728.24+3687.39</f>
        <v>34415.630000000005</v>
      </c>
      <c r="D46" s="132">
        <f t="shared" si="1"/>
        <v>30728.241071428572</v>
      </c>
      <c r="F46" s="153">
        <v>44651</v>
      </c>
      <c r="G46" t="s">
        <v>201</v>
      </c>
      <c r="H46" s="134">
        <f>614564.75+73747.77</f>
        <v>688312.52</v>
      </c>
      <c r="I46" s="154">
        <f t="shared" si="0"/>
        <v>614564.75</v>
      </c>
    </row>
    <row r="47" spans="1:9">
      <c r="A47" s="131"/>
      <c r="C47" s="134"/>
      <c r="D47" s="132">
        <f t="shared" si="1"/>
        <v>0</v>
      </c>
      <c r="F47" s="153">
        <v>44623</v>
      </c>
      <c r="G47" t="s">
        <v>202</v>
      </c>
      <c r="H47" s="134">
        <f>3572765.7+428731.88</f>
        <v>4001497.58</v>
      </c>
      <c r="I47" s="154">
        <f t="shared" si="0"/>
        <v>3572765.6964285714</v>
      </c>
    </row>
    <row r="48" spans="1:9" ht="15.75" thickBot="1">
      <c r="A48" s="135">
        <v>44700</v>
      </c>
      <c r="B48" s="136" t="s">
        <v>203</v>
      </c>
      <c r="C48" s="137">
        <f>5457.59+654.91</f>
        <v>6112.5</v>
      </c>
      <c r="D48" s="138">
        <f t="shared" si="1"/>
        <v>5457.5892857142853</v>
      </c>
      <c r="F48" s="153">
        <v>44678</v>
      </c>
      <c r="G48" t="s">
        <v>204</v>
      </c>
      <c r="H48" s="134">
        <f>109151.7+13098.2</f>
        <v>122249.9</v>
      </c>
      <c r="I48" s="154">
        <f t="shared" si="0"/>
        <v>109151.69642857142</v>
      </c>
    </row>
    <row r="49" spans="1:9">
      <c r="A49" s="139">
        <v>44748</v>
      </c>
      <c r="B49" s="128" t="s">
        <v>205</v>
      </c>
      <c r="C49" s="140">
        <f>16691.76+2003.01</f>
        <v>18694.769999999997</v>
      </c>
      <c r="D49" s="130">
        <f t="shared" si="1"/>
        <v>16691.758928571424</v>
      </c>
      <c r="F49" s="153"/>
      <c r="H49" s="134"/>
      <c r="I49" s="154"/>
    </row>
    <row r="50" spans="1:9">
      <c r="A50" s="141">
        <v>44749</v>
      </c>
      <c r="B50" t="s">
        <v>206</v>
      </c>
      <c r="C50" s="134">
        <f>45195+5423.4</f>
        <v>50618.400000000001</v>
      </c>
      <c r="D50" s="132">
        <f t="shared" si="1"/>
        <v>45195</v>
      </c>
      <c r="F50" s="153">
        <v>44629</v>
      </c>
      <c r="G50" t="s">
        <v>207</v>
      </c>
      <c r="H50" s="134">
        <v>1012368</v>
      </c>
      <c r="I50" s="154">
        <f t="shared" si="0"/>
        <v>903899.99999999988</v>
      </c>
    </row>
    <row r="51" spans="1:9">
      <c r="A51" s="141">
        <v>44749</v>
      </c>
      <c r="B51" t="s">
        <v>208</v>
      </c>
      <c r="C51" s="134">
        <f>26672.5+3200.7</f>
        <v>29873.200000000001</v>
      </c>
      <c r="D51" s="132">
        <f t="shared" si="1"/>
        <v>26672.499999999996</v>
      </c>
      <c r="F51" s="153">
        <v>44714</v>
      </c>
      <c r="G51" t="s">
        <v>209</v>
      </c>
      <c r="H51" s="134">
        <v>597464</v>
      </c>
      <c r="I51" s="154">
        <f t="shared" si="0"/>
        <v>533450</v>
      </c>
    </row>
    <row r="52" spans="1:9">
      <c r="A52" s="141">
        <v>44750</v>
      </c>
      <c r="B52" t="s">
        <v>210</v>
      </c>
      <c r="C52" s="134">
        <f>62089.76+7450.77</f>
        <v>69540.53</v>
      </c>
      <c r="D52" s="132">
        <f t="shared" si="1"/>
        <v>62089.75892857142</v>
      </c>
      <c r="F52" s="153">
        <v>44693</v>
      </c>
      <c r="G52" t="s">
        <v>211</v>
      </c>
      <c r="H52" s="134">
        <f>818625+98235</f>
        <v>916860</v>
      </c>
      <c r="I52" s="154">
        <f t="shared" si="0"/>
        <v>818624.99999999988</v>
      </c>
    </row>
    <row r="53" spans="1:9">
      <c r="A53" s="141">
        <v>44784</v>
      </c>
      <c r="B53" t="s">
        <v>212</v>
      </c>
      <c r="C53" s="134">
        <f>32624.33+3914.92</f>
        <v>36539.25</v>
      </c>
      <c r="D53" s="132">
        <f t="shared" si="1"/>
        <v>32624.330357142855</v>
      </c>
      <c r="F53" s="153">
        <v>44712</v>
      </c>
      <c r="G53" t="s">
        <v>213</v>
      </c>
      <c r="H53" s="134">
        <f>634755+76170.6+14670.1</f>
        <v>725595.7</v>
      </c>
      <c r="I53" s="154">
        <f t="shared" si="0"/>
        <v>647853.30357142852</v>
      </c>
    </row>
    <row r="54" spans="1:9" ht="15.75" thickBot="1">
      <c r="A54" s="141">
        <v>44756</v>
      </c>
      <c r="B54" t="s">
        <v>214</v>
      </c>
      <c r="C54" s="134">
        <f>20189.5+2422.74</f>
        <v>22612.239999999998</v>
      </c>
      <c r="D54" s="132">
        <f t="shared" si="1"/>
        <v>20189.499999999996</v>
      </c>
      <c r="F54" s="155">
        <v>44728</v>
      </c>
      <c r="G54" s="136" t="s">
        <v>215</v>
      </c>
      <c r="H54" s="137">
        <f>269290+32314.8+134500+16140</f>
        <v>452244.8</v>
      </c>
      <c r="I54" s="156">
        <f t="shared" si="0"/>
        <v>403789.99999999994</v>
      </c>
    </row>
    <row r="55" spans="1:9">
      <c r="A55" s="141">
        <v>44809</v>
      </c>
      <c r="B55" t="s">
        <v>216</v>
      </c>
      <c r="C55" s="134">
        <f>7276.79+873.21</f>
        <v>8150</v>
      </c>
      <c r="D55" s="132">
        <f t="shared" si="1"/>
        <v>7276.7857142857138</v>
      </c>
      <c r="F55" s="157">
        <v>44768</v>
      </c>
      <c r="G55" s="128" t="s">
        <v>217</v>
      </c>
      <c r="H55" s="140">
        <f>132812.4+15937.49</f>
        <v>148749.88999999998</v>
      </c>
      <c r="I55" s="152">
        <f t="shared" si="0"/>
        <v>132812.40178571426</v>
      </c>
    </row>
    <row r="56" spans="1:9">
      <c r="A56" s="141"/>
      <c r="C56" s="134"/>
      <c r="D56" s="132">
        <f t="shared" si="1"/>
        <v>0</v>
      </c>
      <c r="F56" s="158">
        <v>44741</v>
      </c>
      <c r="G56" t="s">
        <v>218</v>
      </c>
      <c r="H56" s="134">
        <f>134500+16140</f>
        <v>150640</v>
      </c>
      <c r="I56" s="154">
        <f t="shared" si="0"/>
        <v>134500</v>
      </c>
    </row>
    <row r="57" spans="1:9">
      <c r="A57" s="141">
        <v>44811</v>
      </c>
      <c r="B57" t="s">
        <v>219</v>
      </c>
      <c r="C57" s="134">
        <f>6640.63+796.88</f>
        <v>7437.51</v>
      </c>
      <c r="D57" s="132">
        <f t="shared" si="1"/>
        <v>6640.6339285714284</v>
      </c>
      <c r="F57" s="158">
        <v>44774</v>
      </c>
      <c r="G57" t="s">
        <v>220</v>
      </c>
      <c r="H57" s="134">
        <f>132812.4+15937.49</f>
        <v>148749.88999999998</v>
      </c>
      <c r="I57" s="154">
        <f t="shared" si="0"/>
        <v>132812.40178571426</v>
      </c>
    </row>
    <row r="58" spans="1:9">
      <c r="A58" s="141">
        <v>44811</v>
      </c>
      <c r="B58" t="s">
        <v>221</v>
      </c>
      <c r="C58" s="134">
        <f>6004.46+720.54</f>
        <v>6725</v>
      </c>
      <c r="D58" s="132">
        <f t="shared" si="1"/>
        <v>6004.4642857142853</v>
      </c>
      <c r="F58" s="158">
        <v>44791</v>
      </c>
      <c r="G58" t="s">
        <v>222</v>
      </c>
      <c r="H58" s="134">
        <f>120089.2+14410.71</f>
        <v>134499.91</v>
      </c>
      <c r="I58" s="154">
        <f t="shared" si="0"/>
        <v>120089.20535714286</v>
      </c>
    </row>
    <row r="59" spans="1:9">
      <c r="A59" s="141">
        <v>44811</v>
      </c>
      <c r="B59" t="s">
        <v>223</v>
      </c>
      <c r="C59" s="134">
        <f>7276.79+873.21</f>
        <v>8150</v>
      </c>
      <c r="D59" s="132">
        <f t="shared" si="1"/>
        <v>7276.7857142857138</v>
      </c>
      <c r="F59" s="158">
        <v>44777</v>
      </c>
      <c r="G59" t="s">
        <v>224</v>
      </c>
      <c r="H59" s="134">
        <f>145535.6+17464.28</f>
        <v>162999.88</v>
      </c>
      <c r="I59" s="154">
        <f t="shared" si="0"/>
        <v>145535.60714285713</v>
      </c>
    </row>
    <row r="60" spans="1:9">
      <c r="A60" s="141">
        <v>44839</v>
      </c>
      <c r="B60" t="s">
        <v>225</v>
      </c>
      <c r="C60" s="134">
        <f>6004.46+720.54</f>
        <v>6725</v>
      </c>
      <c r="D60" s="132">
        <f t="shared" si="1"/>
        <v>6004.4642857142853</v>
      </c>
      <c r="F60" s="158">
        <v>44805</v>
      </c>
      <c r="G60" t="s">
        <v>226</v>
      </c>
      <c r="H60" s="134">
        <f>120089.2+14410.71</f>
        <v>134499.91</v>
      </c>
      <c r="I60" s="154">
        <f t="shared" si="0"/>
        <v>120089.20535714286</v>
      </c>
    </row>
    <row r="61" spans="1:9">
      <c r="A61" s="141">
        <v>44839</v>
      </c>
      <c r="B61" t="s">
        <v>227</v>
      </c>
      <c r="C61" s="134">
        <f>37957.59+4554.91</f>
        <v>42512.5</v>
      </c>
      <c r="D61" s="132">
        <f t="shared" si="1"/>
        <v>37957.589285714283</v>
      </c>
      <c r="F61" s="158">
        <v>44817</v>
      </c>
      <c r="G61" t="s">
        <v>228</v>
      </c>
      <c r="H61" s="134">
        <f>759151.55+91098.19</f>
        <v>850249.74</v>
      </c>
      <c r="I61" s="154">
        <f t="shared" si="0"/>
        <v>759151.55357142852</v>
      </c>
    </row>
    <row r="62" spans="1:9">
      <c r="A62" s="141">
        <v>44848</v>
      </c>
      <c r="B62" t="s">
        <v>229</v>
      </c>
      <c r="C62" s="134">
        <f>4274.55+512.95</f>
        <v>4787.5</v>
      </c>
      <c r="D62" s="132">
        <f t="shared" si="1"/>
        <v>4274.5535714285706</v>
      </c>
      <c r="F62" s="158">
        <v>44833</v>
      </c>
      <c r="G62" t="s">
        <v>230</v>
      </c>
      <c r="H62" s="134">
        <f>85491+10258.92</f>
        <v>95749.92</v>
      </c>
      <c r="I62" s="154">
        <f t="shared" si="0"/>
        <v>85490.999999999985</v>
      </c>
    </row>
    <row r="63" spans="1:9">
      <c r="A63" s="141">
        <v>44851</v>
      </c>
      <c r="B63" t="s">
        <v>231</v>
      </c>
      <c r="C63" s="57">
        <f>6640.63+796.88</f>
        <v>7437.51</v>
      </c>
      <c r="D63" s="132">
        <f t="shared" si="1"/>
        <v>6640.6339285714284</v>
      </c>
      <c r="F63" s="158">
        <v>44798</v>
      </c>
      <c r="G63" t="s">
        <v>232</v>
      </c>
      <c r="H63" s="57">
        <f>132812.4+15937.49</f>
        <v>148749.88999999998</v>
      </c>
      <c r="I63" s="154">
        <f t="shared" si="0"/>
        <v>132812.40178571426</v>
      </c>
    </row>
    <row r="64" spans="1:9">
      <c r="A64" s="141">
        <v>44851</v>
      </c>
      <c r="B64" t="s">
        <v>233</v>
      </c>
      <c r="C64" s="57">
        <f>3638.39+436.61</f>
        <v>4075</v>
      </c>
      <c r="D64" s="132">
        <f t="shared" si="1"/>
        <v>3638.3928571428569</v>
      </c>
      <c r="F64" s="158">
        <v>44825</v>
      </c>
      <c r="G64" t="s">
        <v>234</v>
      </c>
      <c r="H64" s="57">
        <f>72767.8+8732.14</f>
        <v>81499.94</v>
      </c>
      <c r="I64" s="154">
        <f t="shared" si="0"/>
        <v>72767.803571428565</v>
      </c>
    </row>
    <row r="65" spans="1:10">
      <c r="A65" s="141">
        <v>44869</v>
      </c>
      <c r="B65" t="s">
        <v>235</v>
      </c>
      <c r="C65" s="57">
        <f>152806.26+18336.75</f>
        <v>171143.01</v>
      </c>
      <c r="D65" s="132">
        <f t="shared" si="1"/>
        <v>152806.25892857142</v>
      </c>
      <c r="F65" s="158">
        <v>44854</v>
      </c>
      <c r="G65" t="s">
        <v>236</v>
      </c>
      <c r="H65" s="57">
        <f>3056125.73+366735.09</f>
        <v>3422860.82</v>
      </c>
      <c r="I65" s="154">
        <f t="shared" si="0"/>
        <v>3056125.7321428568</v>
      </c>
    </row>
    <row r="66" spans="1:10">
      <c r="A66" s="141">
        <v>44869</v>
      </c>
      <c r="B66" t="s">
        <v>237</v>
      </c>
      <c r="C66" s="57">
        <f>126754.46+15210.54</f>
        <v>141965</v>
      </c>
      <c r="D66" s="132">
        <f t="shared" si="1"/>
        <v>126754.46428571428</v>
      </c>
      <c r="F66" s="158">
        <v>44847</v>
      </c>
      <c r="G66" t="s">
        <v>238</v>
      </c>
      <c r="H66" s="57">
        <f>2535090.6+304210.87</f>
        <v>2839301.47</v>
      </c>
      <c r="I66" s="154">
        <f t="shared" si="0"/>
        <v>2535090.5982142854</v>
      </c>
    </row>
    <row r="67" spans="1:10">
      <c r="A67" s="141">
        <v>44881</v>
      </c>
      <c r="B67" t="s">
        <v>239</v>
      </c>
      <c r="C67" s="57">
        <f>101951.12+12234.13</f>
        <v>114185.25</v>
      </c>
      <c r="D67" s="132">
        <f t="shared" si="1"/>
        <v>101951.11607142857</v>
      </c>
      <c r="F67" s="158">
        <v>44875</v>
      </c>
      <c r="G67" t="s">
        <v>240</v>
      </c>
      <c r="H67" s="57">
        <f>2039022.74+244682.73</f>
        <v>2283705.4700000002</v>
      </c>
      <c r="I67" s="154">
        <f t="shared" si="0"/>
        <v>2039022.7410714286</v>
      </c>
    </row>
    <row r="68" spans="1:10">
      <c r="A68" s="141">
        <v>44895</v>
      </c>
      <c r="B68" t="s">
        <v>241</v>
      </c>
      <c r="C68" s="57">
        <f>170126.12+20415.13</f>
        <v>190541.25</v>
      </c>
      <c r="D68" s="132">
        <f t="shared" si="1"/>
        <v>170126.11607142855</v>
      </c>
      <c r="F68" s="158">
        <v>44889</v>
      </c>
      <c r="G68" t="s">
        <v>242</v>
      </c>
      <c r="H68" s="57">
        <f>3402302.69+408302.69</f>
        <v>3810605.38</v>
      </c>
      <c r="I68" s="154">
        <f t="shared" si="0"/>
        <v>3402326.2321428568</v>
      </c>
      <c r="J68" s="110"/>
    </row>
    <row r="69" spans="1:10">
      <c r="A69" s="141">
        <v>44910</v>
      </c>
      <c r="B69" t="s">
        <v>243</v>
      </c>
      <c r="C69" s="57">
        <f>87973.44+10556.81</f>
        <v>98530.25</v>
      </c>
      <c r="D69" s="132">
        <f t="shared" si="1"/>
        <v>87973.437499999985</v>
      </c>
      <c r="F69" s="158">
        <v>44897</v>
      </c>
      <c r="G69" t="s">
        <v>244</v>
      </c>
      <c r="H69" s="57">
        <f>1757237.11+210868.46</f>
        <v>1968105.57</v>
      </c>
      <c r="I69" s="154">
        <f>H69/1.12</f>
        <v>1757237.1160714284</v>
      </c>
    </row>
    <row r="70" spans="1:10">
      <c r="A70" s="141">
        <v>44926</v>
      </c>
      <c r="B70" t="s">
        <v>245</v>
      </c>
      <c r="C70" s="134">
        <f>76763.84+9211.66</f>
        <v>85975.5</v>
      </c>
      <c r="D70" s="132">
        <f t="shared" ref="D70:D73" si="2">C70/1.12</f>
        <v>76763.839285714275</v>
      </c>
      <c r="F70" s="158">
        <v>44909</v>
      </c>
      <c r="G70" t="s">
        <v>246</v>
      </c>
      <c r="H70" s="134">
        <f>1535276.61+184233.19</f>
        <v>1719509.8</v>
      </c>
      <c r="I70" s="154">
        <f>H70/1.12</f>
        <v>1535276.607142857</v>
      </c>
    </row>
    <row r="71" spans="1:10">
      <c r="A71" s="141">
        <v>44926</v>
      </c>
      <c r="B71" t="s">
        <v>247</v>
      </c>
      <c r="C71" s="57">
        <f>87499.33+10499.92</f>
        <v>97999.25</v>
      </c>
      <c r="D71" s="132">
        <f t="shared" si="2"/>
        <v>87499.330357142855</v>
      </c>
      <c r="F71" s="158">
        <v>44903</v>
      </c>
      <c r="G71" t="s">
        <v>248</v>
      </c>
      <c r="H71" s="57">
        <f>1749987.13+209998.45</f>
        <v>1959985.5799999998</v>
      </c>
      <c r="I71" s="154">
        <f t="shared" ref="I71:I105" si="3">H71/1.12</f>
        <v>1749987.1249999998</v>
      </c>
    </row>
    <row r="72" spans="1:10">
      <c r="A72" s="141">
        <v>44967</v>
      </c>
      <c r="B72" t="s">
        <v>249</v>
      </c>
      <c r="C72" s="57">
        <f>148185.27+17782.23</f>
        <v>165967.5</v>
      </c>
      <c r="D72" s="132">
        <f t="shared" si="2"/>
        <v>148185.26785714284</v>
      </c>
      <c r="F72" s="158">
        <v>44945</v>
      </c>
      <c r="G72" t="s">
        <v>250</v>
      </c>
      <c r="H72" s="57">
        <f>2963704.84+355644.58</f>
        <v>3319349.42</v>
      </c>
      <c r="I72" s="154">
        <f t="shared" si="3"/>
        <v>2963704.8392857141</v>
      </c>
    </row>
    <row r="73" spans="1:10">
      <c r="A73" s="141">
        <v>45007</v>
      </c>
      <c r="B73" t="s">
        <v>251</v>
      </c>
      <c r="C73" s="57">
        <f>147585.27+17710.23</f>
        <v>165295.5</v>
      </c>
      <c r="D73" s="132">
        <f t="shared" si="2"/>
        <v>147585.26785714284</v>
      </c>
      <c r="F73" s="158">
        <v>44966</v>
      </c>
      <c r="G73" t="s">
        <v>252</v>
      </c>
      <c r="H73" s="57">
        <f>2951704.63+354204.55</f>
        <v>3305909.1799999997</v>
      </c>
      <c r="I73" s="154">
        <f>H73/1.12</f>
        <v>2951704.6249999995</v>
      </c>
    </row>
    <row r="74" spans="1:10">
      <c r="A74" s="141"/>
      <c r="C74" s="134"/>
      <c r="D74" s="132"/>
      <c r="F74" s="158">
        <v>44973</v>
      </c>
      <c r="G74" t="s">
        <v>254</v>
      </c>
      <c r="H74" s="134">
        <f>4388382.85+526605.94</f>
        <v>4914988.7899999991</v>
      </c>
      <c r="I74" s="154">
        <f t="shared" si="3"/>
        <v>4388382.8482142845</v>
      </c>
    </row>
    <row r="75" spans="1:10">
      <c r="A75" s="141">
        <v>45027</v>
      </c>
      <c r="B75" t="s">
        <v>255</v>
      </c>
      <c r="C75" s="57">
        <f>239011.16+28681.34</f>
        <v>267692.5</v>
      </c>
      <c r="D75" s="132">
        <f t="shared" ref="D75:D105" si="4">C75/1.12</f>
        <v>239011.16071428568</v>
      </c>
      <c r="F75" s="158">
        <v>44994</v>
      </c>
      <c r="G75" t="s">
        <v>256</v>
      </c>
      <c r="H75" s="57">
        <f>4780221.98+573626.64</f>
        <v>5353848.62</v>
      </c>
      <c r="I75" s="154">
        <f t="shared" si="3"/>
        <v>4780221.9821428563</v>
      </c>
    </row>
    <row r="76" spans="1:10">
      <c r="A76" s="141">
        <v>45027</v>
      </c>
      <c r="B76" t="s">
        <v>257</v>
      </c>
      <c r="C76" s="57">
        <f>116508.04+13980.96</f>
        <v>130489</v>
      </c>
      <c r="D76" s="132">
        <f t="shared" si="4"/>
        <v>116508.03571428571</v>
      </c>
      <c r="F76" s="158">
        <v>44988</v>
      </c>
      <c r="G76" t="s">
        <v>258</v>
      </c>
      <c r="H76" s="57">
        <f>2330160.09+279619.21</f>
        <v>2609779.2999999998</v>
      </c>
      <c r="I76" s="154">
        <f t="shared" si="3"/>
        <v>2330160.0892857141</v>
      </c>
    </row>
    <row r="77" spans="1:10">
      <c r="A77" s="141">
        <v>45046</v>
      </c>
      <c r="B77" t="s">
        <v>259</v>
      </c>
      <c r="C77" s="57">
        <f>123371.88+14804.63</f>
        <v>138176.51</v>
      </c>
      <c r="D77" s="132">
        <f t="shared" si="4"/>
        <v>123371.88392857142</v>
      </c>
      <c r="F77" s="158">
        <v>45027</v>
      </c>
      <c r="G77" t="s">
        <v>260</v>
      </c>
      <c r="H77" s="57">
        <f>2467436.84+296092.42</f>
        <v>2763529.26</v>
      </c>
      <c r="I77" s="154">
        <f t="shared" si="3"/>
        <v>2467436.8392857136</v>
      </c>
    </row>
    <row r="78" spans="1:10">
      <c r="A78" s="141">
        <v>45057</v>
      </c>
      <c r="B78" t="s">
        <v>261</v>
      </c>
      <c r="C78" s="57">
        <f>94496.88+11339.63</f>
        <v>105836.51000000001</v>
      </c>
      <c r="D78" s="132">
        <f t="shared" si="4"/>
        <v>94496.883928571435</v>
      </c>
      <c r="F78" s="158">
        <v>45041</v>
      </c>
      <c r="G78" t="s">
        <v>262</v>
      </c>
      <c r="H78" s="57">
        <f>1889937.08+226792.45</f>
        <v>2116729.5300000003</v>
      </c>
      <c r="I78" s="154">
        <f t="shared" si="3"/>
        <v>1889937.080357143</v>
      </c>
    </row>
    <row r="79" spans="1:10">
      <c r="A79" s="141">
        <v>45091</v>
      </c>
      <c r="B79" t="s">
        <v>263</v>
      </c>
      <c r="C79" s="57">
        <f>5178.57+621.43</f>
        <v>5800</v>
      </c>
      <c r="D79" s="132">
        <f t="shared" si="4"/>
        <v>5178.5714285714284</v>
      </c>
      <c r="F79" s="158">
        <v>45050</v>
      </c>
      <c r="G79" t="s">
        <v>264</v>
      </c>
      <c r="H79" s="57">
        <f>103571.4+12428.57</f>
        <v>115999.97</v>
      </c>
      <c r="I79" s="154">
        <f t="shared" si="3"/>
        <v>103571.40178571428</v>
      </c>
    </row>
    <row r="80" spans="1:10">
      <c r="A80" s="141">
        <v>45091</v>
      </c>
      <c r="B80" t="s">
        <v>265</v>
      </c>
      <c r="C80" s="57">
        <f>85546.88+10265.63</f>
        <v>95812.510000000009</v>
      </c>
      <c r="D80" s="132">
        <f t="shared" si="4"/>
        <v>85546.883928571435</v>
      </c>
      <c r="F80" s="158">
        <v>45085</v>
      </c>
      <c r="G80" t="s">
        <v>266</v>
      </c>
      <c r="H80" s="57">
        <f>1710937.35+205312.48</f>
        <v>1916249.83</v>
      </c>
      <c r="I80" s="154">
        <f t="shared" si="3"/>
        <v>1710937.3482142857</v>
      </c>
    </row>
    <row r="81" spans="1:9">
      <c r="A81" s="141">
        <v>45091</v>
      </c>
      <c r="B81" t="s">
        <v>267</v>
      </c>
      <c r="C81" s="57">
        <f>98667.41+11840.09</f>
        <v>110507.5</v>
      </c>
      <c r="D81" s="132">
        <f t="shared" si="4"/>
        <v>98667.41071428571</v>
      </c>
      <c r="F81" s="158">
        <v>45078</v>
      </c>
      <c r="G81" t="s">
        <v>268</v>
      </c>
      <c r="H81" s="57">
        <f>1973348.05+236801.77</f>
        <v>2210149.8199999998</v>
      </c>
      <c r="I81" s="154">
        <f t="shared" si="3"/>
        <v>1973348.0535714282</v>
      </c>
    </row>
    <row r="82" spans="1:9" ht="15.75" thickBot="1">
      <c r="A82" s="142">
        <v>45091</v>
      </c>
      <c r="B82" s="136" t="s">
        <v>269</v>
      </c>
      <c r="C82" s="143">
        <f>150209.82+18025.18</f>
        <v>168235</v>
      </c>
      <c r="D82" s="138">
        <f t="shared" si="4"/>
        <v>150209.82142857142</v>
      </c>
      <c r="F82" s="158">
        <v>45078</v>
      </c>
      <c r="G82" t="s">
        <v>270</v>
      </c>
      <c r="H82" s="57">
        <f>3004196.3+360503.56</f>
        <v>3364699.86</v>
      </c>
      <c r="I82" s="154">
        <f t="shared" si="3"/>
        <v>3004196.3035714282</v>
      </c>
    </row>
    <row r="83" spans="1:9" ht="15.75" thickBot="1">
      <c r="A83" s="148">
        <v>45124</v>
      </c>
      <c r="B83" s="128" t="s">
        <v>271</v>
      </c>
      <c r="C83" s="129">
        <f>163253.13+19590.38</f>
        <v>182843.51</v>
      </c>
      <c r="D83" s="130">
        <f t="shared" si="4"/>
        <v>163253.13392857142</v>
      </c>
      <c r="F83" s="159">
        <v>45098</v>
      </c>
      <c r="G83" s="136" t="s">
        <v>272</v>
      </c>
      <c r="H83" s="143">
        <f>3265061.93+391807.43</f>
        <v>3656869.3600000003</v>
      </c>
      <c r="I83" s="156">
        <f t="shared" si="3"/>
        <v>3265061.9285714286</v>
      </c>
    </row>
    <row r="84" spans="1:9">
      <c r="A84" s="149">
        <v>45124</v>
      </c>
      <c r="B84" t="s">
        <v>273</v>
      </c>
      <c r="C84" s="57">
        <f>163664.29+19639.71</f>
        <v>183304</v>
      </c>
      <c r="D84" s="132">
        <f t="shared" si="4"/>
        <v>163664.28571428571</v>
      </c>
      <c r="F84" s="148">
        <v>45112</v>
      </c>
      <c r="G84" s="128" t="s">
        <v>274</v>
      </c>
      <c r="H84" s="129">
        <v>3666079.4099999997</v>
      </c>
      <c r="I84" s="152">
        <f t="shared" si="3"/>
        <v>3273285.1874999995</v>
      </c>
    </row>
    <row r="85" spans="1:9">
      <c r="A85" s="149">
        <v>45127</v>
      </c>
      <c r="B85" t="s">
        <v>275</v>
      </c>
      <c r="C85" s="57">
        <f>140817.41+16898.09</f>
        <v>157715.5</v>
      </c>
      <c r="D85" s="132">
        <f t="shared" si="4"/>
        <v>140817.41071428571</v>
      </c>
      <c r="F85" s="149">
        <v>45120</v>
      </c>
      <c r="G85" t="s">
        <v>276</v>
      </c>
      <c r="H85" s="57">
        <f>2816347.45+337961.69</f>
        <v>3154309.14</v>
      </c>
      <c r="I85" s="154">
        <f t="shared" si="3"/>
        <v>2816347.4464285714</v>
      </c>
    </row>
    <row r="86" spans="1:9">
      <c r="A86" s="149">
        <v>45150</v>
      </c>
      <c r="B86" t="s">
        <v>277</v>
      </c>
      <c r="C86" s="57">
        <f>131028.57+15723.43</f>
        <v>146752</v>
      </c>
      <c r="D86" s="132">
        <f t="shared" si="4"/>
        <v>131028.57142857142</v>
      </c>
      <c r="F86" s="149">
        <v>45132</v>
      </c>
      <c r="G86" t="s">
        <v>278</v>
      </c>
      <c r="H86" s="57">
        <f>2620570.49+314468.46</f>
        <v>2935038.95</v>
      </c>
      <c r="I86" s="154">
        <f t="shared" si="3"/>
        <v>2620570.4910714286</v>
      </c>
    </row>
    <row r="87" spans="1:9">
      <c r="A87" s="149">
        <v>45161</v>
      </c>
      <c r="B87" t="s">
        <v>279</v>
      </c>
      <c r="C87" s="57">
        <f>102215.18+12265.82</f>
        <v>114481</v>
      </c>
      <c r="D87" s="132">
        <f t="shared" si="4"/>
        <v>102215.17857142857</v>
      </c>
      <c r="F87" s="149">
        <v>45140</v>
      </c>
      <c r="G87" t="s">
        <v>280</v>
      </c>
      <c r="H87" s="57">
        <f>2044302.68+245316.32</f>
        <v>2289619</v>
      </c>
      <c r="I87" s="154">
        <f t="shared" si="3"/>
        <v>2044302.6785714284</v>
      </c>
    </row>
    <row r="88" spans="1:9">
      <c r="A88" s="149">
        <v>45163</v>
      </c>
      <c r="B88" t="s">
        <v>281</v>
      </c>
      <c r="C88" s="57">
        <f>151489.73+18178.77</f>
        <v>169668.5</v>
      </c>
      <c r="D88" s="132">
        <f t="shared" si="4"/>
        <v>151489.73214285713</v>
      </c>
      <c r="F88" s="149">
        <v>45154</v>
      </c>
      <c r="G88" t="s">
        <v>282</v>
      </c>
      <c r="H88" s="57">
        <f>3029795.11+363575.41</f>
        <v>3393370.52</v>
      </c>
      <c r="I88" s="154">
        <f t="shared" si="3"/>
        <v>3029795.1071428568</v>
      </c>
    </row>
    <row r="89" spans="1:9">
      <c r="A89" s="149">
        <v>45163</v>
      </c>
      <c r="B89" t="s">
        <v>283</v>
      </c>
      <c r="C89" s="57">
        <f>149666.29+17959.95</f>
        <v>167626.24000000002</v>
      </c>
      <c r="D89" s="132">
        <f t="shared" si="4"/>
        <v>149666.28571428571</v>
      </c>
      <c r="F89" s="149">
        <v>45147</v>
      </c>
      <c r="G89" t="s">
        <v>284</v>
      </c>
      <c r="H89" s="57">
        <f>2993325.73+359199.08</f>
        <v>3352524.81</v>
      </c>
      <c r="I89" s="154">
        <f t="shared" si="3"/>
        <v>2993325.7232142854</v>
      </c>
    </row>
    <row r="90" spans="1:9">
      <c r="A90" s="149">
        <v>45209</v>
      </c>
      <c r="B90" t="s">
        <v>285</v>
      </c>
      <c r="C90" s="57">
        <f>124066.07+14887.93</f>
        <v>138954</v>
      </c>
      <c r="D90" s="132">
        <f t="shared" si="4"/>
        <v>124066.07142857142</v>
      </c>
      <c r="F90" s="149">
        <v>45170</v>
      </c>
      <c r="G90" t="s">
        <v>286</v>
      </c>
      <c r="H90" s="57">
        <v>2779080.49</v>
      </c>
      <c r="I90" s="154">
        <f t="shared" si="3"/>
        <v>2481321.8660714286</v>
      </c>
    </row>
    <row r="91" spans="1:9">
      <c r="A91" s="149">
        <v>45209</v>
      </c>
      <c r="B91" t="s">
        <v>287</v>
      </c>
      <c r="C91" s="57">
        <f>118682.37+14241.88</f>
        <v>132924.25</v>
      </c>
      <c r="D91" s="132">
        <f t="shared" si="4"/>
        <v>118682.36607142857</v>
      </c>
      <c r="F91" s="149">
        <v>45170</v>
      </c>
      <c r="G91" t="s">
        <v>288</v>
      </c>
      <c r="H91" s="57">
        <f>2373647.74+284837.73</f>
        <v>2658485.4700000002</v>
      </c>
      <c r="I91" s="154">
        <f t="shared" si="3"/>
        <v>2373647.7410714286</v>
      </c>
    </row>
    <row r="92" spans="1:9">
      <c r="A92" s="149">
        <v>45209</v>
      </c>
      <c r="B92" t="s">
        <v>289</v>
      </c>
      <c r="C92" s="57">
        <f>188049.55+22565.95</f>
        <v>210615.5</v>
      </c>
      <c r="D92" s="132">
        <f t="shared" si="4"/>
        <v>188049.55357142855</v>
      </c>
      <c r="F92" s="149">
        <v>45183</v>
      </c>
      <c r="G92" t="s">
        <v>290</v>
      </c>
      <c r="H92" s="57">
        <v>4212310.71</v>
      </c>
      <c r="I92" s="154">
        <f t="shared" si="3"/>
        <v>3760991.7053571423</v>
      </c>
    </row>
    <row r="93" spans="1:9">
      <c r="A93" s="149">
        <v>45222</v>
      </c>
      <c r="B93" t="s">
        <v>291</v>
      </c>
      <c r="C93" s="57">
        <f>89654.02+10758.48</f>
        <v>100412.5</v>
      </c>
      <c r="D93" s="132">
        <f t="shared" si="4"/>
        <v>89654.017857142855</v>
      </c>
      <c r="F93" s="149">
        <v>45199</v>
      </c>
      <c r="G93" t="s">
        <v>292</v>
      </c>
      <c r="H93" s="57">
        <v>2008251.09</v>
      </c>
      <c r="I93" s="154">
        <f t="shared" si="3"/>
        <v>1793081.3303571427</v>
      </c>
    </row>
    <row r="94" spans="1:9">
      <c r="A94" s="149">
        <v>45258</v>
      </c>
      <c r="B94" t="s">
        <v>293</v>
      </c>
      <c r="C94" s="57">
        <f>16738.84+2008.66</f>
        <v>18747.5</v>
      </c>
      <c r="D94" s="132">
        <f t="shared" si="4"/>
        <v>16738.839285714283</v>
      </c>
      <c r="F94" s="149">
        <v>45211</v>
      </c>
      <c r="G94" t="s">
        <v>294</v>
      </c>
      <c r="H94" s="57">
        <v>374950.39999999997</v>
      </c>
      <c r="I94" s="154">
        <f t="shared" si="3"/>
        <v>334777.14285714278</v>
      </c>
    </row>
    <row r="95" spans="1:9">
      <c r="A95" s="149">
        <v>45251</v>
      </c>
      <c r="B95" t="s">
        <v>295</v>
      </c>
      <c r="C95" s="57">
        <f>78301.9+9396.23</f>
        <v>87698.12999999999</v>
      </c>
      <c r="D95" s="132">
        <f t="shared" si="4"/>
        <v>78301.901785714275</v>
      </c>
      <c r="F95" s="149">
        <v>45206</v>
      </c>
      <c r="G95" t="s">
        <v>296</v>
      </c>
      <c r="H95" s="57">
        <v>1753963.2600000002</v>
      </c>
      <c r="I95" s="154">
        <f t="shared" si="3"/>
        <v>1566038.625</v>
      </c>
    </row>
    <row r="96" spans="1:9">
      <c r="A96" s="149">
        <v>45275</v>
      </c>
      <c r="B96" t="s">
        <v>297</v>
      </c>
      <c r="C96" s="57">
        <f>26686.38+3202.37</f>
        <v>29888.75</v>
      </c>
      <c r="D96" s="132">
        <f t="shared" si="4"/>
        <v>26686.383928571428</v>
      </c>
      <c r="F96" s="149">
        <v>45237</v>
      </c>
      <c r="G96" t="s">
        <v>298</v>
      </c>
      <c r="H96" s="57">
        <v>597767.82000000007</v>
      </c>
      <c r="I96" s="154">
        <f t="shared" si="3"/>
        <v>533721.26785714284</v>
      </c>
    </row>
    <row r="97" spans="1:9">
      <c r="A97" s="149">
        <v>45275</v>
      </c>
      <c r="B97" t="s">
        <v>299</v>
      </c>
      <c r="C97" s="57">
        <f>23574.78+2828.97</f>
        <v>26403.75</v>
      </c>
      <c r="D97" s="132">
        <f t="shared" si="4"/>
        <v>23574.776785714283</v>
      </c>
      <c r="F97" s="149">
        <v>45253</v>
      </c>
      <c r="G97" t="s">
        <v>300</v>
      </c>
      <c r="H97" s="57">
        <v>528074.03</v>
      </c>
      <c r="I97" s="154">
        <f t="shared" si="3"/>
        <v>471494.6696428571</v>
      </c>
    </row>
    <row r="98" spans="1:9">
      <c r="A98" s="149">
        <v>45308</v>
      </c>
      <c r="B98" t="s">
        <v>301</v>
      </c>
      <c r="C98" s="57">
        <f>19850.45+2382.05</f>
        <v>22232.5</v>
      </c>
      <c r="D98" s="132">
        <f t="shared" si="4"/>
        <v>19850.446428571428</v>
      </c>
      <c r="F98" s="149">
        <v>45267</v>
      </c>
      <c r="G98" t="s">
        <v>302</v>
      </c>
      <c r="H98" s="57">
        <v>444650.47</v>
      </c>
      <c r="I98" s="154">
        <f t="shared" si="3"/>
        <v>397009.34821428562</v>
      </c>
    </row>
    <row r="99" spans="1:9">
      <c r="A99" s="149">
        <v>45301</v>
      </c>
      <c r="B99" t="s">
        <v>303</v>
      </c>
      <c r="C99" s="57">
        <f>26005.58+3120.67</f>
        <v>29126.25</v>
      </c>
      <c r="D99" s="132">
        <f t="shared" si="4"/>
        <v>26005.580357142855</v>
      </c>
      <c r="F99" s="149">
        <v>45261</v>
      </c>
      <c r="G99" t="s">
        <v>304</v>
      </c>
      <c r="H99" s="57">
        <v>582525.62</v>
      </c>
      <c r="I99" s="154">
        <f t="shared" si="3"/>
        <v>520112.16071428568</v>
      </c>
    </row>
    <row r="100" spans="1:9">
      <c r="A100" s="149">
        <v>45377</v>
      </c>
      <c r="B100" t="s">
        <v>305</v>
      </c>
      <c r="C100" s="57">
        <f>21167.41+2540.09</f>
        <v>23707.5</v>
      </c>
      <c r="D100" s="132">
        <f t="shared" si="4"/>
        <v>21167.410714285714</v>
      </c>
      <c r="F100" s="149">
        <v>45302</v>
      </c>
      <c r="G100" t="s">
        <v>306</v>
      </c>
      <c r="H100" s="57">
        <v>474150.36</v>
      </c>
      <c r="I100" s="154">
        <f t="shared" si="3"/>
        <v>423348.53571428568</v>
      </c>
    </row>
    <row r="101" spans="1:9">
      <c r="A101" s="149">
        <v>45322</v>
      </c>
      <c r="B101" t="s">
        <v>307</v>
      </c>
      <c r="C101" s="57">
        <f>136978.57+16437.43</f>
        <v>153416</v>
      </c>
      <c r="D101" s="132">
        <f t="shared" si="4"/>
        <v>136978.57142857142</v>
      </c>
      <c r="F101" s="149">
        <v>45315</v>
      </c>
      <c r="G101" t="s">
        <v>308</v>
      </c>
      <c r="H101" s="57">
        <v>3068320.05</v>
      </c>
      <c r="I101" s="154">
        <f t="shared" si="3"/>
        <v>2739571.4732142854</v>
      </c>
    </row>
    <row r="102" spans="1:9">
      <c r="A102" s="149">
        <v>45363</v>
      </c>
      <c r="B102" t="s">
        <v>309</v>
      </c>
      <c r="C102" s="57">
        <f>175169.64+21020.36</f>
        <v>196190</v>
      </c>
      <c r="D102" s="132">
        <f t="shared" si="4"/>
        <v>175169.64285714284</v>
      </c>
      <c r="F102" s="149">
        <v>45337</v>
      </c>
      <c r="G102" t="s">
        <v>310</v>
      </c>
      <c r="H102" s="57">
        <v>3923800.24</v>
      </c>
      <c r="I102" s="154">
        <f t="shared" si="3"/>
        <v>3503393.0714285714</v>
      </c>
    </row>
    <row r="103" spans="1:9">
      <c r="A103" s="149">
        <v>45377</v>
      </c>
      <c r="B103" t="s">
        <v>311</v>
      </c>
      <c r="C103" s="57">
        <f>121545.98+14585.52</f>
        <v>136131.5</v>
      </c>
      <c r="D103" s="132">
        <f t="shared" si="4"/>
        <v>121545.98214285713</v>
      </c>
      <c r="F103" s="149">
        <v>45352</v>
      </c>
      <c r="G103" t="s">
        <v>312</v>
      </c>
      <c r="H103" s="57">
        <f>143571.6+17228.59+2287348.37+274481.8</f>
        <v>2722630.36</v>
      </c>
      <c r="I103" s="154">
        <f t="shared" si="3"/>
        <v>2430919.9642857141</v>
      </c>
    </row>
    <row r="104" spans="1:9">
      <c r="A104" s="149">
        <v>45425</v>
      </c>
      <c r="B104" t="s">
        <v>313</v>
      </c>
      <c r="C104" s="57">
        <f>61771.43+7412.57</f>
        <v>69184</v>
      </c>
      <c r="D104" s="132">
        <f t="shared" si="4"/>
        <v>61771.428571428565</v>
      </c>
      <c r="F104" s="149">
        <v>45383</v>
      </c>
      <c r="G104" t="s">
        <v>314</v>
      </c>
      <c r="H104" s="57">
        <v>1383680.19</v>
      </c>
      <c r="I104" s="154">
        <f t="shared" si="3"/>
        <v>1235428.7410714284</v>
      </c>
    </row>
    <row r="105" spans="1:9">
      <c r="A105" s="149">
        <v>45435</v>
      </c>
      <c r="B105" t="s">
        <v>315</v>
      </c>
      <c r="C105" s="57">
        <v>231074.5</v>
      </c>
      <c r="D105" s="132">
        <f t="shared" si="4"/>
        <v>206316.51785714284</v>
      </c>
      <c r="F105" s="149">
        <v>45413</v>
      </c>
      <c r="G105" t="s">
        <v>316</v>
      </c>
      <c r="H105" s="57">
        <f>71785.8+8614.3+4054544.45+486545.34</f>
        <v>4621489.8900000006</v>
      </c>
      <c r="I105" s="154">
        <f t="shared" si="3"/>
        <v>4126330.2589285714</v>
      </c>
    </row>
    <row r="106" spans="1:9">
      <c r="A106" s="149"/>
      <c r="C106" s="57"/>
      <c r="D106" s="132"/>
      <c r="F106" s="149"/>
      <c r="H106" s="57"/>
      <c r="I106" s="154"/>
    </row>
    <row r="107" spans="1:9">
      <c r="A107" s="149"/>
      <c r="C107" s="57"/>
      <c r="D107" s="132"/>
      <c r="F107" s="149"/>
      <c r="H107" s="57"/>
      <c r="I107" s="154"/>
    </row>
    <row r="108" spans="1:9">
      <c r="A108" s="149"/>
      <c r="C108" s="57"/>
      <c r="D108" s="132"/>
      <c r="F108" s="149"/>
      <c r="H108" s="57"/>
      <c r="I108" s="154"/>
    </row>
    <row r="109" spans="1:9">
      <c r="A109" s="149"/>
      <c r="C109" s="57"/>
      <c r="D109" s="132"/>
      <c r="F109" s="149"/>
      <c r="H109" s="57"/>
      <c r="I109" s="154"/>
    </row>
    <row r="110" spans="1:9" ht="15.75" thickBot="1">
      <c r="A110" s="150"/>
      <c r="B110" s="136"/>
      <c r="C110" s="143"/>
      <c r="D110" s="138"/>
      <c r="F110" s="150"/>
      <c r="G110" s="136"/>
      <c r="H110" s="143"/>
      <c r="I110" s="162"/>
    </row>
    <row r="111" spans="1:9" ht="15.75" thickBot="1">
      <c r="A111" s="144" t="s">
        <v>75</v>
      </c>
      <c r="B111" s="145"/>
      <c r="C111" s="146">
        <f>SUM(C3:C110)</f>
        <v>10452514.91</v>
      </c>
      <c r="D111" s="147">
        <f>SUM(D3:D110)</f>
        <v>9332602.5982142873</v>
      </c>
      <c r="E111" s="120"/>
      <c r="F111" s="160"/>
      <c r="G111" s="145"/>
      <c r="H111" s="146">
        <f>SUM(H3:H110)</f>
        <v>211658728.32000005</v>
      </c>
      <c r="I111" s="161">
        <f>SUM(I3:I110)</f>
        <v>188981007.42857149</v>
      </c>
    </row>
    <row r="112" spans="1:9" ht="15.75" thickTop="1"/>
    <row r="114" spans="9:9">
      <c r="I114" s="113"/>
    </row>
  </sheetData>
  <autoFilter ref="A2:D10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16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49" sqref="E49"/>
    </sheetView>
  </sheetViews>
  <sheetFormatPr defaultRowHeight="15"/>
  <cols>
    <col min="1" max="1" width="14.42578125" style="110" bestFit="1" customWidth="1"/>
    <col min="2" max="2" width="15.5703125" customWidth="1"/>
    <col min="3" max="3" width="16.28515625" style="94" customWidth="1"/>
    <col min="4" max="4" width="16.28515625" style="111" customWidth="1"/>
    <col min="5" max="5" width="3.28515625" style="112" customWidth="1"/>
    <col min="6" max="6" width="11.42578125" style="110" customWidth="1"/>
    <col min="7" max="7" width="13" customWidth="1"/>
    <col min="8" max="8" width="14" style="94" bestFit="1" customWidth="1"/>
    <col min="9" max="9" width="14" style="123" customWidth="1"/>
    <col min="10" max="10" width="13.140625" bestFit="1" customWidth="1"/>
    <col min="11" max="11" width="14" bestFit="1" customWidth="1"/>
  </cols>
  <sheetData>
    <row r="2" spans="1:9" ht="51.75" customHeight="1">
      <c r="A2" s="103" t="s">
        <v>123</v>
      </c>
      <c r="B2" s="104" t="s">
        <v>124</v>
      </c>
      <c r="C2" s="105" t="s">
        <v>125</v>
      </c>
      <c r="D2" s="106" t="s">
        <v>317</v>
      </c>
      <c r="F2" s="103" t="s">
        <v>123</v>
      </c>
      <c r="G2" s="104" t="s">
        <v>127</v>
      </c>
      <c r="H2" s="105" t="s">
        <v>125</v>
      </c>
      <c r="I2" s="122" t="s">
        <v>317</v>
      </c>
    </row>
    <row r="3" spans="1:9">
      <c r="A3" s="110">
        <v>44237</v>
      </c>
      <c r="B3" t="s">
        <v>318</v>
      </c>
      <c r="C3" s="94">
        <f>177736.61+21328.39</f>
        <v>199065</v>
      </c>
      <c r="D3" s="111">
        <f>C3/1.12</f>
        <v>177736.60714285713</v>
      </c>
      <c r="F3" s="110">
        <v>44226</v>
      </c>
      <c r="G3" t="s">
        <v>318</v>
      </c>
      <c r="H3" s="94">
        <f>3554731.85+426567.83</f>
        <v>3981299.68</v>
      </c>
      <c r="I3" s="123">
        <f>H3/1.12</f>
        <v>3554731.8571428568</v>
      </c>
    </row>
    <row r="4" spans="1:9">
      <c r="A4" s="110">
        <v>44260</v>
      </c>
      <c r="B4" t="s">
        <v>319</v>
      </c>
      <c r="C4" s="94">
        <f>259390.18+31126.82</f>
        <v>290517</v>
      </c>
      <c r="D4" s="111">
        <f>C4/1.12</f>
        <v>259390.17857142855</v>
      </c>
      <c r="F4" s="110">
        <v>44239</v>
      </c>
      <c r="G4" t="s">
        <v>319</v>
      </c>
      <c r="H4" s="94">
        <f>5187803.17+622536.38</f>
        <v>5810339.5499999998</v>
      </c>
      <c r="I4" s="123">
        <f t="shared" ref="I4:I51" si="0">H4/1.12</f>
        <v>5187803.1696428563</v>
      </c>
    </row>
    <row r="5" spans="1:9">
      <c r="A5" s="110">
        <v>44260</v>
      </c>
      <c r="B5" t="s">
        <v>320</v>
      </c>
      <c r="C5" s="94">
        <f>170235.27+20428.23</f>
        <v>190663.5</v>
      </c>
      <c r="D5" s="111">
        <f t="shared" ref="D5:D67" si="1">C5/1.12</f>
        <v>170235.26785714284</v>
      </c>
      <c r="F5" s="110">
        <v>44246</v>
      </c>
      <c r="G5" t="s">
        <v>320</v>
      </c>
      <c r="H5" s="94">
        <f>3404704.57+408564.55</f>
        <v>3813269.1199999996</v>
      </c>
      <c r="I5" s="123">
        <f t="shared" si="0"/>
        <v>3404704.5714285709</v>
      </c>
    </row>
    <row r="6" spans="1:9">
      <c r="A6" s="110">
        <v>44289</v>
      </c>
      <c r="B6" t="s">
        <v>321</v>
      </c>
      <c r="C6" s="94">
        <f>111817.86+13418.14</f>
        <v>125236</v>
      </c>
      <c r="D6" s="111">
        <f t="shared" si="1"/>
        <v>111817.85714285713</v>
      </c>
      <c r="F6" s="110">
        <v>44258</v>
      </c>
      <c r="G6" t="s">
        <v>322</v>
      </c>
      <c r="H6" s="94">
        <f>2236357.06+268362.85</f>
        <v>2504719.91</v>
      </c>
      <c r="I6" s="123">
        <f t="shared" si="0"/>
        <v>2236357.0625</v>
      </c>
    </row>
    <row r="7" spans="1:9">
      <c r="A7" s="110">
        <v>44289</v>
      </c>
      <c r="B7" t="s">
        <v>323</v>
      </c>
      <c r="C7" s="94">
        <f>129317.86+15518.14</f>
        <v>144836</v>
      </c>
      <c r="D7" s="111">
        <f t="shared" si="1"/>
        <v>129317.85714285713</v>
      </c>
      <c r="F7" s="110">
        <v>44265</v>
      </c>
      <c r="G7" t="s">
        <v>324</v>
      </c>
      <c r="H7" s="94">
        <f>2586356.91+310362.83</f>
        <v>2896719.74</v>
      </c>
      <c r="I7" s="123">
        <f t="shared" si="0"/>
        <v>2586356.9107142854</v>
      </c>
    </row>
    <row r="8" spans="1:9">
      <c r="A8" s="110">
        <v>44289</v>
      </c>
      <c r="B8" t="s">
        <v>325</v>
      </c>
      <c r="C8" s="94">
        <f>131460.71+15775.29</f>
        <v>147236</v>
      </c>
      <c r="D8" s="111">
        <f t="shared" si="1"/>
        <v>131460.71428571426</v>
      </c>
      <c r="F8" s="110">
        <v>44271</v>
      </c>
      <c r="G8" t="s">
        <v>326</v>
      </c>
      <c r="H8" s="94">
        <f>2629214.06+315505.69</f>
        <v>2944719.75</v>
      </c>
      <c r="I8" s="123">
        <f t="shared" si="0"/>
        <v>2629214.0624999995</v>
      </c>
    </row>
    <row r="9" spans="1:9">
      <c r="A9" s="110">
        <v>44319</v>
      </c>
      <c r="B9" t="s">
        <v>327</v>
      </c>
      <c r="C9" s="94">
        <f>119786.61+14374.39</f>
        <v>134161</v>
      </c>
      <c r="D9" s="111">
        <f t="shared" si="1"/>
        <v>119786.60714285713</v>
      </c>
      <c r="F9" s="110">
        <v>44280</v>
      </c>
      <c r="G9" t="s">
        <v>328</v>
      </c>
      <c r="H9" s="94">
        <f>2395732.14+287487.87</f>
        <v>2683220.0100000002</v>
      </c>
      <c r="I9" s="123">
        <f t="shared" si="0"/>
        <v>2395732.1517857141</v>
      </c>
    </row>
    <row r="10" spans="1:9">
      <c r="A10" s="110">
        <v>44319</v>
      </c>
      <c r="B10" t="s">
        <v>329</v>
      </c>
      <c r="C10" s="94">
        <f>96006.25+11520.75</f>
        <v>107527</v>
      </c>
      <c r="D10" s="111">
        <f t="shared" si="1"/>
        <v>96006.249999999985</v>
      </c>
      <c r="F10" s="110">
        <v>44305</v>
      </c>
      <c r="G10" t="s">
        <v>330</v>
      </c>
      <c r="H10" s="94">
        <f>1920124.9+230415</f>
        <v>2150539.9</v>
      </c>
      <c r="I10" s="123">
        <f t="shared" si="0"/>
        <v>1920124.9107142854</v>
      </c>
    </row>
    <row r="11" spans="1:9">
      <c r="A11" s="110">
        <v>44340</v>
      </c>
      <c r="B11" t="s">
        <v>331</v>
      </c>
      <c r="C11" s="94">
        <f>82063.39+9847.61</f>
        <v>91911</v>
      </c>
      <c r="D11" s="111">
        <f t="shared" si="1"/>
        <v>82063.392857142855</v>
      </c>
      <c r="F11" s="110">
        <v>44326</v>
      </c>
      <c r="G11" t="s">
        <v>332</v>
      </c>
      <c r="H11" s="94">
        <f>1641267.66+196952.13</f>
        <v>1838219.79</v>
      </c>
      <c r="I11" s="123">
        <f t="shared" si="0"/>
        <v>1641267.669642857</v>
      </c>
    </row>
    <row r="12" spans="1:9">
      <c r="A12" s="110">
        <v>44340</v>
      </c>
      <c r="B12" t="s">
        <v>333</v>
      </c>
      <c r="C12" s="94">
        <f>141110.71+16933.29</f>
        <v>158044</v>
      </c>
      <c r="D12" s="111">
        <f t="shared" si="1"/>
        <v>141110.71428571426</v>
      </c>
      <c r="F12" s="110">
        <v>44313</v>
      </c>
      <c r="G12" t="s">
        <v>334</v>
      </c>
      <c r="H12" s="94">
        <f>2822214.03+338665.69</f>
        <v>3160879.7199999997</v>
      </c>
      <c r="I12" s="123">
        <f t="shared" si="0"/>
        <v>2822214.035714285</v>
      </c>
    </row>
    <row r="13" spans="1:9">
      <c r="A13" s="110">
        <v>44347</v>
      </c>
      <c r="B13" t="s">
        <v>335</v>
      </c>
      <c r="C13" s="94">
        <f>148151.79+17778.21</f>
        <v>165930</v>
      </c>
      <c r="D13" s="111">
        <f t="shared" si="1"/>
        <v>148151.78571428571</v>
      </c>
      <c r="F13" s="110">
        <v>44331</v>
      </c>
      <c r="G13" t="s">
        <v>336</v>
      </c>
      <c r="H13" s="94">
        <f>2963035.61+355564.27</f>
        <v>3318599.88</v>
      </c>
      <c r="I13" s="123">
        <f t="shared" si="0"/>
        <v>2963035.6071428568</v>
      </c>
    </row>
    <row r="14" spans="1:9">
      <c r="A14" s="110">
        <v>44355</v>
      </c>
      <c r="B14" t="s">
        <v>337</v>
      </c>
      <c r="C14" s="94">
        <f>147669.64+17720.36</f>
        <v>165390</v>
      </c>
      <c r="D14" s="111">
        <f t="shared" si="1"/>
        <v>147669.64285714284</v>
      </c>
      <c r="F14" s="110">
        <v>44337</v>
      </c>
      <c r="G14" t="s">
        <v>338</v>
      </c>
      <c r="H14" s="94">
        <f>2953392.75+354407.13</f>
        <v>3307799.88</v>
      </c>
      <c r="I14" s="123">
        <f t="shared" si="0"/>
        <v>2953392.7499999995</v>
      </c>
    </row>
    <row r="15" spans="1:9">
      <c r="A15" s="110">
        <v>44364</v>
      </c>
      <c r="B15" t="s">
        <v>339</v>
      </c>
      <c r="C15" s="94">
        <f>158545.54+19025.46</f>
        <v>177571</v>
      </c>
      <c r="D15" s="111">
        <f t="shared" si="1"/>
        <v>158545.53571428571</v>
      </c>
      <c r="F15" s="110">
        <v>44350</v>
      </c>
      <c r="G15" t="s">
        <v>340</v>
      </c>
      <c r="H15" s="94">
        <f>3170910.52+380509.27</f>
        <v>3551419.79</v>
      </c>
      <c r="I15" s="123">
        <f t="shared" si="0"/>
        <v>3170910.5267857141</v>
      </c>
    </row>
    <row r="16" spans="1:9" ht="15.75" thickBot="1">
      <c r="A16" s="110">
        <v>44368</v>
      </c>
      <c r="B16" t="s">
        <v>341</v>
      </c>
      <c r="C16" s="94">
        <f>198718.75+23846.25</f>
        <v>222565</v>
      </c>
      <c r="D16" s="111">
        <f t="shared" si="1"/>
        <v>198718.74999999997</v>
      </c>
      <c r="F16" s="110">
        <v>44355</v>
      </c>
      <c r="G16" t="s">
        <v>342</v>
      </c>
      <c r="H16" s="94">
        <f>3974374.92+476924.99</f>
        <v>4451299.91</v>
      </c>
      <c r="I16" s="123">
        <f t="shared" si="0"/>
        <v>3974374.9196428568</v>
      </c>
    </row>
    <row r="17" spans="1:9" ht="15.75" thickBot="1">
      <c r="A17" s="127">
        <v>44383</v>
      </c>
      <c r="B17" s="128" t="s">
        <v>343</v>
      </c>
      <c r="C17" s="129">
        <f>101377.68+12165.32</f>
        <v>113543</v>
      </c>
      <c r="D17" s="130">
        <f t="shared" si="1"/>
        <v>101377.67857142857</v>
      </c>
      <c r="F17" s="110">
        <v>44372</v>
      </c>
      <c r="G17" t="s">
        <v>344</v>
      </c>
      <c r="H17" s="94">
        <f>2027553.01+243306.37</f>
        <v>2270859.38</v>
      </c>
      <c r="I17" s="123">
        <f t="shared" si="0"/>
        <v>2027553.0178571425</v>
      </c>
    </row>
    <row r="18" spans="1:9">
      <c r="A18" s="131">
        <v>44393</v>
      </c>
      <c r="B18" t="s">
        <v>345</v>
      </c>
      <c r="C18" s="57">
        <f>83035.71+9964.29</f>
        <v>93000</v>
      </c>
      <c r="D18" s="132">
        <f t="shared" si="1"/>
        <v>83035.714285714275</v>
      </c>
      <c r="F18" s="127">
        <v>44385</v>
      </c>
      <c r="G18" s="128" t="s">
        <v>346</v>
      </c>
      <c r="H18" s="129">
        <f>1660714.07+199285.69</f>
        <v>1859999.76</v>
      </c>
      <c r="I18" s="166">
        <f t="shared" si="0"/>
        <v>1660714.0714285714</v>
      </c>
    </row>
    <row r="19" spans="1:9">
      <c r="A19" s="131">
        <v>44393</v>
      </c>
      <c r="B19" t="s">
        <v>347</v>
      </c>
      <c r="C19" s="57">
        <f>99866.07+11983.93</f>
        <v>111850</v>
      </c>
      <c r="D19" s="132">
        <f t="shared" si="1"/>
        <v>99866.07142857142</v>
      </c>
      <c r="F19" s="131">
        <v>44379</v>
      </c>
      <c r="G19" t="s">
        <v>348</v>
      </c>
      <c r="H19" s="57">
        <f>1940535.58+232864.27+56785.73+6814.29</f>
        <v>2236999.87</v>
      </c>
      <c r="I19" s="167">
        <f t="shared" si="0"/>
        <v>1997321.3125</v>
      </c>
    </row>
    <row r="20" spans="1:9">
      <c r="A20" s="131">
        <v>44407</v>
      </c>
      <c r="B20" t="s">
        <v>349</v>
      </c>
      <c r="C20" s="57">
        <f>182790.18+21934.82</f>
        <v>204725</v>
      </c>
      <c r="D20" s="132">
        <f t="shared" si="1"/>
        <v>182790.17857142855</v>
      </c>
      <c r="F20" s="131">
        <v>44398</v>
      </c>
      <c r="G20" t="s">
        <v>350</v>
      </c>
      <c r="H20" s="57">
        <f>3655803.15+438696.38</f>
        <v>4094499.53</v>
      </c>
      <c r="I20" s="167">
        <f t="shared" si="0"/>
        <v>3655803.1517857136</v>
      </c>
    </row>
    <row r="21" spans="1:9">
      <c r="A21" s="131">
        <v>44413</v>
      </c>
      <c r="B21" t="s">
        <v>351</v>
      </c>
      <c r="C21" s="57">
        <f>103372.32+12404.68</f>
        <v>115777</v>
      </c>
      <c r="D21" s="132">
        <f t="shared" si="1"/>
        <v>103372.32142857142</v>
      </c>
      <c r="F21" s="131">
        <v>44406</v>
      </c>
      <c r="G21" t="s">
        <v>352</v>
      </c>
      <c r="H21" s="57">
        <f>2067446.35+248093.57</f>
        <v>2315539.92</v>
      </c>
      <c r="I21" s="167">
        <f t="shared" si="0"/>
        <v>2067446.3571428568</v>
      </c>
    </row>
    <row r="22" spans="1:9">
      <c r="A22" s="131">
        <v>44427</v>
      </c>
      <c r="B22" t="s">
        <v>353</v>
      </c>
      <c r="C22" s="57">
        <f>150459.82+18055.18</f>
        <v>168515</v>
      </c>
      <c r="D22" s="132">
        <f t="shared" si="1"/>
        <v>150459.82142857142</v>
      </c>
      <c r="F22" s="131">
        <v>44413</v>
      </c>
      <c r="G22" t="s">
        <v>354</v>
      </c>
      <c r="H22" s="57">
        <f>3009196.41+361103.57</f>
        <v>3370299.98</v>
      </c>
      <c r="I22" s="167">
        <f t="shared" si="0"/>
        <v>3009196.4107142854</v>
      </c>
    </row>
    <row r="23" spans="1:9">
      <c r="A23" s="131">
        <v>44439</v>
      </c>
      <c r="B23" t="s">
        <v>355</v>
      </c>
      <c r="C23" s="57">
        <f>143730.58+17247.67</f>
        <v>160978.25</v>
      </c>
      <c r="D23" s="132">
        <f t="shared" si="1"/>
        <v>143730.58035714284</v>
      </c>
      <c r="F23" s="131">
        <v>44420</v>
      </c>
      <c r="G23" t="s">
        <v>356</v>
      </c>
      <c r="H23" s="57">
        <f>2874611.49+344953.38</f>
        <v>3219564.87</v>
      </c>
      <c r="I23" s="167">
        <f t="shared" si="0"/>
        <v>2874611.4910714282</v>
      </c>
    </row>
    <row r="24" spans="1:9">
      <c r="A24" s="131">
        <v>44439</v>
      </c>
      <c r="B24" t="s">
        <v>357</v>
      </c>
      <c r="C24" s="57">
        <f>145599.11+17471.89</f>
        <v>163071</v>
      </c>
      <c r="D24" s="132">
        <f t="shared" si="1"/>
        <v>145599.10714285713</v>
      </c>
      <c r="F24" s="131">
        <v>44426</v>
      </c>
      <c r="G24" t="s">
        <v>358</v>
      </c>
      <c r="H24" s="57">
        <f>2911981.57+349437.78</f>
        <v>3261419.3499999996</v>
      </c>
      <c r="I24" s="167">
        <f t="shared" si="0"/>
        <v>2911981.5624999995</v>
      </c>
    </row>
    <row r="25" spans="1:9">
      <c r="A25" s="131">
        <v>44455</v>
      </c>
      <c r="B25" t="s">
        <v>359</v>
      </c>
      <c r="C25" s="57">
        <f>154565.85+18547.9</f>
        <v>173113.75</v>
      </c>
      <c r="D25" s="132">
        <f t="shared" si="1"/>
        <v>154565.84821428571</v>
      </c>
      <c r="F25" s="131">
        <v>44441</v>
      </c>
      <c r="G25" t="s">
        <v>360</v>
      </c>
      <c r="H25" s="57">
        <f>3091316.38+370957.97</f>
        <v>3462274.3499999996</v>
      </c>
      <c r="I25" s="167">
        <f t="shared" si="0"/>
        <v>3091316.3839285709</v>
      </c>
    </row>
    <row r="26" spans="1:9">
      <c r="A26" s="131">
        <v>44463</v>
      </c>
      <c r="B26" t="s">
        <v>361</v>
      </c>
      <c r="C26" s="57">
        <f>114243.97+13709.28</f>
        <v>127953.25</v>
      </c>
      <c r="D26" s="132">
        <f t="shared" si="1"/>
        <v>114243.97321428571</v>
      </c>
      <c r="F26" s="131">
        <v>44447</v>
      </c>
      <c r="G26" t="s">
        <v>362</v>
      </c>
      <c r="H26" s="57">
        <f>2284879.02+274185.49</f>
        <v>2559064.5099999998</v>
      </c>
      <c r="I26" s="167">
        <f t="shared" si="0"/>
        <v>2284879.0267857141</v>
      </c>
    </row>
    <row r="27" spans="1:9">
      <c r="A27" s="131">
        <v>44477</v>
      </c>
      <c r="B27" t="s">
        <v>363</v>
      </c>
      <c r="C27" s="57">
        <f>211887.5+25426.5</f>
        <v>237314</v>
      </c>
      <c r="D27" s="132">
        <f t="shared" si="1"/>
        <v>211887.49999999997</v>
      </c>
      <c r="F27" s="131">
        <v>44462</v>
      </c>
      <c r="G27" t="s">
        <v>364</v>
      </c>
      <c r="H27" s="57">
        <f>4237749.82+508529.99</f>
        <v>4746279.8100000005</v>
      </c>
      <c r="I27" s="167">
        <f t="shared" si="0"/>
        <v>4237749.8303571427</v>
      </c>
    </row>
    <row r="28" spans="1:9">
      <c r="A28" s="131">
        <v>44483</v>
      </c>
      <c r="B28" t="s">
        <v>365</v>
      </c>
      <c r="C28" s="57">
        <f>102368.97+12284.28</f>
        <v>114653.25</v>
      </c>
      <c r="D28" s="132">
        <f t="shared" si="1"/>
        <v>102368.97321428571</v>
      </c>
      <c r="F28" s="131">
        <v>44468</v>
      </c>
      <c r="G28" t="s">
        <v>366</v>
      </c>
      <c r="H28" s="57">
        <f>2047379.24+245685.51</f>
        <v>2293064.75</v>
      </c>
      <c r="I28" s="167">
        <f t="shared" si="0"/>
        <v>2047379.2410714284</v>
      </c>
    </row>
    <row r="29" spans="1:9">
      <c r="A29" s="131">
        <v>44494</v>
      </c>
      <c r="B29" t="s">
        <v>367</v>
      </c>
      <c r="C29" s="57">
        <f>225429.91+27051.59</f>
        <v>252481.5</v>
      </c>
      <c r="D29" s="132">
        <f t="shared" si="1"/>
        <v>225429.91071428568</v>
      </c>
      <c r="F29" s="131">
        <v>44476</v>
      </c>
      <c r="G29" t="s">
        <v>368</v>
      </c>
      <c r="H29" s="57">
        <f>4508598.83+541031.86</f>
        <v>5049630.6900000004</v>
      </c>
      <c r="I29" s="167">
        <f t="shared" si="0"/>
        <v>4508598.8303571427</v>
      </c>
    </row>
    <row r="30" spans="1:9">
      <c r="A30" s="131">
        <v>44510</v>
      </c>
      <c r="B30" t="s">
        <v>369</v>
      </c>
      <c r="C30" s="57">
        <f>179708.93+21565.07</f>
        <v>201274</v>
      </c>
      <c r="D30" s="132">
        <f t="shared" si="1"/>
        <v>179708.92857142855</v>
      </c>
      <c r="F30" s="131">
        <v>44496</v>
      </c>
      <c r="G30" t="s">
        <v>370</v>
      </c>
      <c r="H30" s="57">
        <f>3594178.44+431301.42</f>
        <v>4025479.86</v>
      </c>
      <c r="I30" s="167">
        <f t="shared" si="0"/>
        <v>3594178.4464285709</v>
      </c>
    </row>
    <row r="31" spans="1:9">
      <c r="A31" s="131">
        <v>44516</v>
      </c>
      <c r="B31" t="s">
        <v>371</v>
      </c>
      <c r="C31" s="57">
        <f>175314.73+21037.77</f>
        <v>196352.5</v>
      </c>
      <c r="D31" s="132">
        <f t="shared" si="1"/>
        <v>175314.73214285713</v>
      </c>
      <c r="F31" s="131">
        <v>44511</v>
      </c>
      <c r="G31" t="s">
        <v>372</v>
      </c>
      <c r="H31" s="57">
        <f>3506294.5+420755.34</f>
        <v>3927049.84</v>
      </c>
      <c r="I31" s="167">
        <f t="shared" si="0"/>
        <v>3506294.4999999995</v>
      </c>
    </row>
    <row r="32" spans="1:9">
      <c r="A32" s="131">
        <v>44539</v>
      </c>
      <c r="B32" t="s">
        <v>373</v>
      </c>
      <c r="C32" s="57">
        <f>222651.79+26718.21</f>
        <v>249370</v>
      </c>
      <c r="D32" s="132">
        <f t="shared" si="1"/>
        <v>222651.78571428568</v>
      </c>
      <c r="F32" s="131">
        <v>44526</v>
      </c>
      <c r="G32" t="s">
        <v>374</v>
      </c>
      <c r="H32" s="57">
        <f>4453035.75+534364.28</f>
        <v>4987400.03</v>
      </c>
      <c r="I32" s="167">
        <f t="shared" si="0"/>
        <v>4453035.7410714282</v>
      </c>
    </row>
    <row r="33" spans="1:10">
      <c r="A33" s="131">
        <v>44561</v>
      </c>
      <c r="B33" t="s">
        <v>375</v>
      </c>
      <c r="C33" s="57">
        <f>187019.2+22442.3</f>
        <v>209461.5</v>
      </c>
      <c r="D33" s="132">
        <f t="shared" si="1"/>
        <v>187019.19642857142</v>
      </c>
      <c r="F33" s="131">
        <v>44543</v>
      </c>
      <c r="G33" t="s">
        <v>376</v>
      </c>
      <c r="H33" s="57">
        <f>3740382.63+448845.91</f>
        <v>4189228.54</v>
      </c>
      <c r="I33" s="167">
        <f t="shared" si="0"/>
        <v>3740382.6249999995</v>
      </c>
    </row>
    <row r="34" spans="1:10">
      <c r="A34" s="131">
        <v>44561</v>
      </c>
      <c r="B34" t="s">
        <v>377</v>
      </c>
      <c r="C34" s="57">
        <f>214090.63+25690.88</f>
        <v>239781.51</v>
      </c>
      <c r="D34" s="132">
        <f t="shared" si="1"/>
        <v>214090.63392857142</v>
      </c>
      <c r="F34" s="131">
        <v>44551</v>
      </c>
      <c r="G34" t="s">
        <v>378</v>
      </c>
      <c r="H34" s="57">
        <f>4281811.48+513817.37</f>
        <v>4795628.8500000006</v>
      </c>
      <c r="I34" s="167">
        <f t="shared" si="0"/>
        <v>4281811.4732142854</v>
      </c>
    </row>
    <row r="35" spans="1:10">
      <c r="A35" s="131">
        <v>44561</v>
      </c>
      <c r="B35" t="s">
        <v>379</v>
      </c>
      <c r="C35" s="57">
        <f>133764.29+16051.71</f>
        <v>149816</v>
      </c>
      <c r="D35" s="132">
        <f t="shared" si="1"/>
        <v>133764.28571428571</v>
      </c>
      <c r="F35" s="131">
        <v>44551</v>
      </c>
      <c r="G35" t="s">
        <v>380</v>
      </c>
      <c r="H35" s="57">
        <f>2675285.04+321034.2</f>
        <v>2996319.24</v>
      </c>
      <c r="I35" s="167">
        <f t="shared" si="0"/>
        <v>2675285.0357142854</v>
      </c>
    </row>
    <row r="36" spans="1:10">
      <c r="A36" s="131">
        <v>44601</v>
      </c>
      <c r="B36" t="s">
        <v>381</v>
      </c>
      <c r="C36" s="57">
        <f>158620.54+19034.46</f>
        <v>177655</v>
      </c>
      <c r="D36" s="132">
        <f t="shared" si="1"/>
        <v>158620.53571428571</v>
      </c>
      <c r="F36" s="131">
        <v>44581</v>
      </c>
      <c r="G36" t="s">
        <v>382</v>
      </c>
      <c r="H36" s="57">
        <f>653571.75+78428.61+2518837.58+302260.52</f>
        <v>3553098.46</v>
      </c>
      <c r="I36" s="167">
        <f t="shared" si="0"/>
        <v>3172409.3392857141</v>
      </c>
    </row>
    <row r="37" spans="1:10">
      <c r="A37" s="131">
        <v>44615</v>
      </c>
      <c r="B37" t="s">
        <v>383</v>
      </c>
      <c r="C37" s="57">
        <f>158037.95+18964.55</f>
        <v>177002.5</v>
      </c>
      <c r="D37" s="132">
        <f t="shared" si="1"/>
        <v>158037.94642857142</v>
      </c>
      <c r="F37" s="131">
        <v>44588</v>
      </c>
      <c r="G37" t="s">
        <v>384</v>
      </c>
      <c r="H37" s="57">
        <f>653572.5+78428.7+2507186.15+300862.85</f>
        <v>3540050.1999999997</v>
      </c>
      <c r="I37" s="167">
        <f t="shared" si="0"/>
        <v>3160759.1071428568</v>
      </c>
    </row>
    <row r="38" spans="1:10">
      <c r="A38" s="131">
        <v>44615</v>
      </c>
      <c r="B38" t="s">
        <v>385</v>
      </c>
      <c r="C38" s="134">
        <f>177832.59+21339.91</f>
        <v>199172.5</v>
      </c>
      <c r="D38" s="132">
        <f t="shared" si="1"/>
        <v>177832.58928571426</v>
      </c>
      <c r="F38" s="131">
        <v>44595</v>
      </c>
      <c r="G38" t="s">
        <v>386</v>
      </c>
      <c r="H38" s="134">
        <f>4233795.7+508055.49+653571.75+78428.61</f>
        <v>5473851.5500000007</v>
      </c>
      <c r="I38" s="167">
        <f t="shared" si="0"/>
        <v>4887367.4553571427</v>
      </c>
      <c r="J38" s="114"/>
    </row>
    <row r="39" spans="1:10">
      <c r="A39" s="131">
        <v>44615</v>
      </c>
      <c r="B39" t="s">
        <v>387</v>
      </c>
      <c r="C39" s="134">
        <f>372680.8+44721.7</f>
        <v>417402.5</v>
      </c>
      <c r="D39" s="132">
        <f t="shared" si="1"/>
        <v>372680.80357142852</v>
      </c>
      <c r="F39" s="131">
        <v>44602</v>
      </c>
      <c r="G39" t="s">
        <v>388</v>
      </c>
      <c r="H39" s="134">
        <f>1089286.25+130714.35+7695046.28+923405.56</f>
        <v>9838452.4400000013</v>
      </c>
      <c r="I39" s="167">
        <f t="shared" si="0"/>
        <v>8784332.5357142854</v>
      </c>
      <c r="J39" s="114"/>
    </row>
    <row r="40" spans="1:10">
      <c r="A40" s="131">
        <v>44624</v>
      </c>
      <c r="B40" t="s">
        <v>389</v>
      </c>
      <c r="C40" s="134">
        <f>304130.58+36495.67</f>
        <v>340626.25</v>
      </c>
      <c r="D40" s="132">
        <f t="shared" si="1"/>
        <v>304130.58035714284</v>
      </c>
      <c r="F40" s="131">
        <v>44616</v>
      </c>
      <c r="G40" t="s">
        <v>390</v>
      </c>
      <c r="H40" s="134">
        <f>1307143.5+156857.22+5806773.83+696812.87</f>
        <v>7967587.4199999999</v>
      </c>
      <c r="I40" s="167">
        <f t="shared" si="0"/>
        <v>7113917.3392857136</v>
      </c>
    </row>
    <row r="41" spans="1:10">
      <c r="A41" s="131">
        <v>44638</v>
      </c>
      <c r="B41" t="s">
        <v>391</v>
      </c>
      <c r="C41" s="134">
        <f>214003.35+25680.4</f>
        <v>239683.75</v>
      </c>
      <c r="D41" s="132">
        <f t="shared" si="1"/>
        <v>214003.34821428568</v>
      </c>
      <c r="F41" s="131">
        <v>44623</v>
      </c>
      <c r="G41" t="s">
        <v>392</v>
      </c>
      <c r="H41" s="134">
        <f>1307143.5+156857.22+4603050.22+552366.03</f>
        <v>6619416.9699999997</v>
      </c>
      <c r="I41" s="167">
        <f t="shared" si="0"/>
        <v>5910193.7232142845</v>
      </c>
    </row>
    <row r="42" spans="1:10">
      <c r="A42" s="131">
        <v>44638</v>
      </c>
      <c r="B42" t="s">
        <v>393</v>
      </c>
      <c r="C42" s="134">
        <f>200637.28+24076.47</f>
        <v>224713.75</v>
      </c>
      <c r="D42" s="132">
        <f t="shared" si="1"/>
        <v>200637.27678571426</v>
      </c>
      <c r="F42" s="131">
        <v>44629</v>
      </c>
      <c r="G42" t="s">
        <v>394</v>
      </c>
      <c r="H42" s="134">
        <f>4801475.78+576177.09+1307143.5+156857.22</f>
        <v>6841653.5899999999</v>
      </c>
      <c r="I42" s="167">
        <f>H42/1.12</f>
        <v>6108619.2767857136</v>
      </c>
    </row>
    <row r="43" spans="1:10">
      <c r="A43" s="131">
        <v>44651</v>
      </c>
      <c r="B43" t="s">
        <v>395</v>
      </c>
      <c r="C43" s="134">
        <f>197975.45+23757.05</f>
        <v>221732.5</v>
      </c>
      <c r="D43" s="132">
        <f t="shared" si="1"/>
        <v>197975.44642857142</v>
      </c>
      <c r="F43" s="131">
        <v>44644</v>
      </c>
      <c r="G43" t="s">
        <v>396</v>
      </c>
      <c r="H43" s="134">
        <f>4358721.88+523046.63</f>
        <v>4881768.51</v>
      </c>
      <c r="I43" s="167">
        <f t="shared" si="0"/>
        <v>4358721.8839285709</v>
      </c>
    </row>
    <row r="44" spans="1:10">
      <c r="A44" s="131">
        <v>44671</v>
      </c>
      <c r="B44" t="s">
        <v>397</v>
      </c>
      <c r="C44" s="134">
        <f>245526.56+29463.19</f>
        <v>274989.75</v>
      </c>
      <c r="D44" s="132">
        <f t="shared" si="1"/>
        <v>245526.56249999997</v>
      </c>
      <c r="F44" s="131">
        <v>44651</v>
      </c>
      <c r="G44" t="s">
        <v>398</v>
      </c>
      <c r="H44" s="134">
        <f>5110139.97+613216.8</f>
        <v>5723356.7699999996</v>
      </c>
      <c r="I44" s="167">
        <f t="shared" si="0"/>
        <v>5110139.9732142845</v>
      </c>
    </row>
    <row r="45" spans="1:10">
      <c r="A45" s="131">
        <v>44671</v>
      </c>
      <c r="B45" t="s">
        <v>399</v>
      </c>
      <c r="C45" s="134">
        <f>144631.92+17355.83</f>
        <v>161987.75</v>
      </c>
      <c r="D45" s="132">
        <f t="shared" si="1"/>
        <v>144631.91964285713</v>
      </c>
      <c r="F45" s="131">
        <v>44658</v>
      </c>
      <c r="G45" t="s">
        <v>400</v>
      </c>
      <c r="H45" s="134">
        <f>3125515.18+375061.83</f>
        <v>3500577.0100000002</v>
      </c>
      <c r="I45" s="167">
        <f t="shared" si="0"/>
        <v>3125515.1875</v>
      </c>
    </row>
    <row r="46" spans="1:10">
      <c r="A46" s="131">
        <v>44700</v>
      </c>
      <c r="B46" t="s">
        <v>401</v>
      </c>
      <c r="C46" s="134">
        <f>274027.46+32883.3</f>
        <v>306910.76</v>
      </c>
      <c r="D46" s="132">
        <f t="shared" si="1"/>
        <v>274027.46428571426</v>
      </c>
      <c r="F46" s="131">
        <v>44678</v>
      </c>
      <c r="G46" t="s">
        <v>402</v>
      </c>
      <c r="H46" s="134">
        <f>5480547.5+657665.7</f>
        <v>6138213.2000000002</v>
      </c>
      <c r="I46" s="167">
        <f t="shared" si="0"/>
        <v>5480547.5</v>
      </c>
    </row>
    <row r="47" spans="1:10">
      <c r="A47" s="131">
        <v>44714</v>
      </c>
      <c r="B47" t="s">
        <v>403</v>
      </c>
      <c r="C47" s="134">
        <f>321828.57+38619.43</f>
        <v>360448</v>
      </c>
      <c r="D47" s="132">
        <f t="shared" si="1"/>
        <v>321828.57142857142</v>
      </c>
      <c r="F47" s="131">
        <v>44693</v>
      </c>
      <c r="G47" t="s">
        <v>404</v>
      </c>
      <c r="H47" s="134">
        <f>6436570.35+772388.44</f>
        <v>7208958.7899999991</v>
      </c>
      <c r="I47" s="167">
        <f t="shared" si="0"/>
        <v>6436570.3482142845</v>
      </c>
    </row>
    <row r="48" spans="1:10">
      <c r="A48" s="131">
        <v>44714</v>
      </c>
      <c r="B48" t="s">
        <v>405</v>
      </c>
      <c r="C48" s="134">
        <f>300604.91+36072.59</f>
        <v>336677.5</v>
      </c>
      <c r="D48" s="132">
        <f t="shared" si="1"/>
        <v>300604.91071428568</v>
      </c>
      <c r="F48" s="131">
        <v>44701</v>
      </c>
      <c r="G48" t="s">
        <v>406</v>
      </c>
      <c r="H48" s="134">
        <f>6012097.9+721451.75</f>
        <v>6733549.6500000004</v>
      </c>
      <c r="I48" s="167">
        <f t="shared" si="0"/>
        <v>6012097.9017857136</v>
      </c>
    </row>
    <row r="49" spans="1:9">
      <c r="A49" s="131">
        <v>44733</v>
      </c>
      <c r="B49" t="s">
        <v>407</v>
      </c>
      <c r="C49" s="134">
        <f>291422.99+34970.76</f>
        <v>326393.75</v>
      </c>
      <c r="D49" s="132">
        <f t="shared" si="1"/>
        <v>291422.99107142852</v>
      </c>
      <c r="F49" s="131">
        <v>44714</v>
      </c>
      <c r="G49" t="s">
        <v>408</v>
      </c>
      <c r="H49" s="134">
        <f>5828459.34+699415.12</f>
        <v>6527874.46</v>
      </c>
      <c r="I49" s="167">
        <f t="shared" si="0"/>
        <v>5828459.3392857136</v>
      </c>
    </row>
    <row r="50" spans="1:9">
      <c r="A50" s="131">
        <v>44733</v>
      </c>
      <c r="B50" t="s">
        <v>409</v>
      </c>
      <c r="C50" s="134">
        <f>284640.63+34156.88</f>
        <v>318797.51</v>
      </c>
      <c r="D50" s="132">
        <f t="shared" si="1"/>
        <v>284640.63392857142</v>
      </c>
      <c r="F50" s="131">
        <v>44714</v>
      </c>
      <c r="G50" t="s">
        <v>410</v>
      </c>
      <c r="H50" s="134">
        <f>5692812.22+683137.47</f>
        <v>6375949.6899999995</v>
      </c>
      <c r="I50" s="167">
        <f>H50/1.12</f>
        <v>5692812.2232142845</v>
      </c>
    </row>
    <row r="51" spans="1:9" ht="15.75" thickBot="1">
      <c r="A51" s="135">
        <v>44742</v>
      </c>
      <c r="B51" s="136" t="s">
        <v>411</v>
      </c>
      <c r="C51" s="137">
        <f>214032.81+25683.94</f>
        <v>239716.75</v>
      </c>
      <c r="D51" s="138">
        <f t="shared" si="1"/>
        <v>214032.81249999997</v>
      </c>
      <c r="F51" s="131">
        <v>44728</v>
      </c>
      <c r="G51" t="s">
        <v>412</v>
      </c>
      <c r="H51" s="134">
        <f>4280656.16+513678.74</f>
        <v>4794334.9000000004</v>
      </c>
      <c r="I51" s="167">
        <f t="shared" si="0"/>
        <v>4280656.1607142854</v>
      </c>
    </row>
    <row r="52" spans="1:9">
      <c r="A52" s="163">
        <v>44757</v>
      </c>
      <c r="B52" s="128" t="s">
        <v>413</v>
      </c>
      <c r="C52" s="140">
        <f>439135.71+52696.29</f>
        <v>491832</v>
      </c>
      <c r="D52" s="130">
        <f t="shared" si="1"/>
        <v>439135.71428571426</v>
      </c>
      <c r="F52" s="131"/>
      <c r="H52" s="134"/>
      <c r="I52" s="167"/>
    </row>
    <row r="53" spans="1:9" ht="15.75" thickBot="1">
      <c r="A53" s="164">
        <v>44771</v>
      </c>
      <c r="B53" t="s">
        <v>414</v>
      </c>
      <c r="C53" s="134">
        <f>254131.7+30495.8</f>
        <v>284627.5</v>
      </c>
      <c r="D53" s="132">
        <f t="shared" si="1"/>
        <v>254131.69642857139</v>
      </c>
      <c r="F53" s="135">
        <v>44741</v>
      </c>
      <c r="G53" s="136" t="s">
        <v>415</v>
      </c>
      <c r="H53" s="137">
        <f>5082633.95+609916.08</f>
        <v>5692550.0300000003</v>
      </c>
      <c r="I53" s="168">
        <f t="shared" ref="I53:I106" si="2">H53/1.12</f>
        <v>5082633.9553571427</v>
      </c>
    </row>
    <row r="54" spans="1:9">
      <c r="A54" s="164">
        <v>44770</v>
      </c>
      <c r="B54" t="s">
        <v>416</v>
      </c>
      <c r="C54" s="134">
        <f>499911.83+59989.42</f>
        <v>559901.25</v>
      </c>
      <c r="D54" s="132">
        <f t="shared" si="1"/>
        <v>499911.83035714278</v>
      </c>
      <c r="F54" s="163">
        <v>44758</v>
      </c>
      <c r="G54" s="128" t="s">
        <v>417</v>
      </c>
      <c r="H54" s="140">
        <f>9998237.24+1199788.46</f>
        <v>11198025.699999999</v>
      </c>
      <c r="I54" s="166">
        <f t="shared" si="2"/>
        <v>9998237.2321428563</v>
      </c>
    </row>
    <row r="55" spans="1:9">
      <c r="A55" s="164">
        <v>44784</v>
      </c>
      <c r="B55" t="s">
        <v>418</v>
      </c>
      <c r="C55" s="134">
        <f>392093.3+47051.2</f>
        <v>439144.5</v>
      </c>
      <c r="D55" s="132">
        <f t="shared" si="1"/>
        <v>392093.30357142852</v>
      </c>
      <c r="F55" s="164">
        <v>44768</v>
      </c>
      <c r="G55" t="s">
        <v>419</v>
      </c>
      <c r="H55" s="134">
        <f>7841867.34+941024.08</f>
        <v>8782891.4199999999</v>
      </c>
      <c r="I55" s="167">
        <f t="shared" si="2"/>
        <v>7841867.3392857136</v>
      </c>
    </row>
    <row r="56" spans="1:9">
      <c r="A56" s="164">
        <v>44784</v>
      </c>
      <c r="B56" t="s">
        <v>420</v>
      </c>
      <c r="C56" s="134">
        <f>293765.63+35251.88</f>
        <v>329017.51</v>
      </c>
      <c r="D56" s="132">
        <f t="shared" si="1"/>
        <v>293765.63392857142</v>
      </c>
      <c r="F56" s="164">
        <v>44777</v>
      </c>
      <c r="G56" t="s">
        <v>421</v>
      </c>
      <c r="H56" s="134">
        <f>5875314.78+705037.78</f>
        <v>6580352.5600000005</v>
      </c>
      <c r="I56" s="167">
        <f t="shared" si="2"/>
        <v>5875314.7857142854</v>
      </c>
    </row>
    <row r="57" spans="1:9">
      <c r="A57" s="164">
        <v>44809</v>
      </c>
      <c r="B57" t="s">
        <v>422</v>
      </c>
      <c r="C57" s="134">
        <f>366813.84+44017.66</f>
        <v>410831.5</v>
      </c>
      <c r="D57" s="132">
        <f t="shared" si="1"/>
        <v>366813.83928571426</v>
      </c>
      <c r="F57" s="164">
        <v>44791</v>
      </c>
      <c r="G57" t="s">
        <v>423</v>
      </c>
      <c r="H57" s="134">
        <f>7336279+880353.49</f>
        <v>8216632.4900000002</v>
      </c>
      <c r="I57" s="167">
        <f t="shared" si="2"/>
        <v>7336279.0089285709</v>
      </c>
    </row>
    <row r="58" spans="1:9">
      <c r="A58" s="164">
        <v>44811</v>
      </c>
      <c r="B58" t="s">
        <v>424</v>
      </c>
      <c r="C58" s="134">
        <f>324707.59+38964.91</f>
        <v>363672.5</v>
      </c>
      <c r="D58" s="132">
        <f t="shared" si="1"/>
        <v>324707.58928571426</v>
      </c>
      <c r="F58" s="164">
        <v>44798</v>
      </c>
      <c r="G58" t="s">
        <v>425</v>
      </c>
      <c r="H58" s="134">
        <f>6494154.14+779298.5</f>
        <v>7273452.6399999997</v>
      </c>
      <c r="I58" s="167">
        <f t="shared" si="2"/>
        <v>6494154.1428571418</v>
      </c>
    </row>
    <row r="59" spans="1:9">
      <c r="A59" s="164">
        <v>44819</v>
      </c>
      <c r="B59" t="s">
        <v>426</v>
      </c>
      <c r="C59" s="134">
        <f>268209.15+32185.1</f>
        <v>300394.25</v>
      </c>
      <c r="D59" s="132">
        <f t="shared" si="1"/>
        <v>268209.15178571426</v>
      </c>
      <c r="F59" s="164">
        <v>44805</v>
      </c>
      <c r="G59" t="s">
        <v>427</v>
      </c>
      <c r="H59" s="134">
        <f>5364184.95+643702.19</f>
        <v>6007887.1400000006</v>
      </c>
      <c r="I59" s="167">
        <f t="shared" si="2"/>
        <v>5364184.9464285718</v>
      </c>
    </row>
    <row r="60" spans="1:9">
      <c r="A60" s="164">
        <v>44841</v>
      </c>
      <c r="B60" t="s">
        <v>428</v>
      </c>
      <c r="C60" s="134">
        <f>343291.74+41195.01</f>
        <v>384486.75</v>
      </c>
      <c r="D60" s="132">
        <f t="shared" si="1"/>
        <v>343291.74107142852</v>
      </c>
      <c r="F60" s="164">
        <v>44817</v>
      </c>
      <c r="G60" t="s">
        <v>429</v>
      </c>
      <c r="H60" s="134">
        <f>6865836.03+823900.33</f>
        <v>7689736.3600000003</v>
      </c>
      <c r="I60" s="167">
        <f t="shared" si="2"/>
        <v>6865836.0357142854</v>
      </c>
    </row>
    <row r="61" spans="1:9">
      <c r="A61" s="164">
        <v>44841</v>
      </c>
      <c r="B61" t="s">
        <v>430</v>
      </c>
      <c r="C61" s="134">
        <f>305167.41+36620.09</f>
        <v>341787.5</v>
      </c>
      <c r="D61" s="132">
        <f t="shared" si="1"/>
        <v>305167.41071428568</v>
      </c>
      <c r="F61" s="164">
        <v>44825</v>
      </c>
      <c r="G61" t="s">
        <v>431</v>
      </c>
      <c r="H61" s="134">
        <f>6103350.02+732402</f>
        <v>6835752.0199999996</v>
      </c>
      <c r="I61" s="167">
        <f>H61/1.12</f>
        <v>6103350.0178571418</v>
      </c>
    </row>
    <row r="62" spans="1:9">
      <c r="A62" s="164">
        <v>44851</v>
      </c>
      <c r="B62" t="s">
        <v>432</v>
      </c>
      <c r="C62" s="134">
        <f>267343.08+32081.17</f>
        <v>299424.25</v>
      </c>
      <c r="D62" s="132">
        <f t="shared" si="1"/>
        <v>267343.08035714284</v>
      </c>
      <c r="F62" s="164">
        <v>44833</v>
      </c>
      <c r="G62" t="s">
        <v>433</v>
      </c>
      <c r="H62" s="134">
        <f>5346863.34+641623.6</f>
        <v>5988486.9399999995</v>
      </c>
      <c r="I62" s="167">
        <f t="shared" si="2"/>
        <v>5346863.3392857136</v>
      </c>
    </row>
    <row r="63" spans="1:9">
      <c r="A63" s="164">
        <v>44867</v>
      </c>
      <c r="B63" t="s">
        <v>434</v>
      </c>
      <c r="C63" s="134">
        <f>212271.43+25472.57</f>
        <v>237744</v>
      </c>
      <c r="D63" s="132">
        <f t="shared" si="1"/>
        <v>212271.42857142855</v>
      </c>
      <c r="F63" s="164">
        <v>44847</v>
      </c>
      <c r="G63" t="s">
        <v>435</v>
      </c>
      <c r="H63" s="134">
        <f>4245429.32+509451.53</f>
        <v>4754880.8500000006</v>
      </c>
      <c r="I63" s="167">
        <f t="shared" si="2"/>
        <v>4245429.3303571427</v>
      </c>
    </row>
    <row r="64" spans="1:9">
      <c r="A64" s="164">
        <v>44867</v>
      </c>
      <c r="B64" t="s">
        <v>436</v>
      </c>
      <c r="C64" s="134">
        <f>237316.96+28478.04</f>
        <v>265795</v>
      </c>
      <c r="D64" s="132">
        <f t="shared" si="1"/>
        <v>237316.96428571426</v>
      </c>
      <c r="F64" s="164">
        <v>44854</v>
      </c>
      <c r="G64" t="s">
        <v>437</v>
      </c>
      <c r="H64" s="134">
        <f>4746339.87+569560.78</f>
        <v>5315900.6500000004</v>
      </c>
      <c r="I64" s="167">
        <f t="shared" si="2"/>
        <v>4746339.8660714282</v>
      </c>
    </row>
    <row r="65" spans="1:10">
      <c r="A65" s="164">
        <v>44881</v>
      </c>
      <c r="B65" t="s">
        <v>438</v>
      </c>
      <c r="C65" s="134">
        <f>185248.66+22229.84</f>
        <v>207478.5</v>
      </c>
      <c r="D65" s="132">
        <f t="shared" si="1"/>
        <v>185248.66071428571</v>
      </c>
      <c r="F65" s="164">
        <v>44875</v>
      </c>
      <c r="G65" t="s">
        <v>439</v>
      </c>
      <c r="H65" s="134">
        <f>3703544.78+444425.37</f>
        <v>4147970.15</v>
      </c>
      <c r="I65" s="167">
        <f t="shared" si="2"/>
        <v>3703544.7767857136</v>
      </c>
    </row>
    <row r="66" spans="1:10">
      <c r="A66" s="164">
        <v>44894</v>
      </c>
      <c r="B66" t="s">
        <v>440</v>
      </c>
      <c r="C66" s="134">
        <f>271561.38+32587.37</f>
        <v>304148.75</v>
      </c>
      <c r="D66" s="132">
        <f t="shared" si="1"/>
        <v>271561.38392857142</v>
      </c>
      <c r="F66" s="164">
        <v>44889</v>
      </c>
      <c r="G66" t="s">
        <v>441</v>
      </c>
      <c r="H66" s="134">
        <f>5431227.47+651747.3</f>
        <v>6082974.7699999996</v>
      </c>
      <c r="I66" s="167">
        <f t="shared" si="2"/>
        <v>5431227.4732142845</v>
      </c>
    </row>
    <row r="67" spans="1:10">
      <c r="A67" s="164"/>
      <c r="C67" s="57"/>
      <c r="D67" s="132">
        <f t="shared" si="1"/>
        <v>0</v>
      </c>
      <c r="F67" s="164">
        <v>44886</v>
      </c>
      <c r="G67" t="s">
        <v>442</v>
      </c>
      <c r="H67" s="57">
        <f>1428.58+171.43</f>
        <v>1600.01</v>
      </c>
      <c r="I67" s="167">
        <f t="shared" si="2"/>
        <v>1428.5803571428571</v>
      </c>
      <c r="J67" s="94" t="s">
        <v>443</v>
      </c>
    </row>
    <row r="68" spans="1:10">
      <c r="A68" s="164">
        <v>44900</v>
      </c>
      <c r="B68" t="s">
        <v>444</v>
      </c>
      <c r="C68" s="57">
        <f>182960.49+21955.26</f>
        <v>204915.75</v>
      </c>
      <c r="D68" s="132">
        <f>C68/1.12</f>
        <v>182960.49107142855</v>
      </c>
      <c r="F68" s="164">
        <v>44896</v>
      </c>
      <c r="G68" t="s">
        <v>445</v>
      </c>
      <c r="H68" s="57">
        <f>3659210.03+439105.21</f>
        <v>4098315.2399999998</v>
      </c>
      <c r="I68" s="167">
        <f t="shared" si="2"/>
        <v>3659210.035714285</v>
      </c>
    </row>
    <row r="69" spans="1:10">
      <c r="A69" s="164">
        <v>44926</v>
      </c>
      <c r="B69" t="s">
        <v>446</v>
      </c>
      <c r="C69" s="57">
        <f>181552.46+21786.3</f>
        <v>203338.75999999998</v>
      </c>
      <c r="D69" s="132">
        <f>C69/1.12</f>
        <v>181552.46428571426</v>
      </c>
      <c r="F69" s="164">
        <v>44905</v>
      </c>
      <c r="G69" t="s">
        <v>447</v>
      </c>
      <c r="H69" s="57">
        <f>3631049.28+435725.92</f>
        <v>4066775.1999999997</v>
      </c>
      <c r="I69" s="167">
        <f>H69/1.12</f>
        <v>3631049.285714285</v>
      </c>
    </row>
    <row r="70" spans="1:10">
      <c r="A70" s="164">
        <v>44926</v>
      </c>
      <c r="B70" t="s">
        <v>448</v>
      </c>
      <c r="C70" s="57">
        <f>202056.03+24246.72</f>
        <v>226302.75</v>
      </c>
      <c r="D70" s="132">
        <f>C70/1.12</f>
        <v>202056.02678571426</v>
      </c>
      <c r="F70" s="164">
        <v>44909</v>
      </c>
      <c r="G70" t="s">
        <v>449</v>
      </c>
      <c r="H70" s="57">
        <f>4041121.42+484934.57</f>
        <v>4526055.99</v>
      </c>
      <c r="I70" s="167">
        <f t="shared" si="2"/>
        <v>4041121.4196428568</v>
      </c>
    </row>
    <row r="71" spans="1:10">
      <c r="A71" s="164">
        <v>44957</v>
      </c>
      <c r="B71" t="s">
        <v>450</v>
      </c>
      <c r="C71" s="57">
        <f>285503.35+34260.4</f>
        <v>319763.75</v>
      </c>
      <c r="D71" s="132">
        <f t="shared" ref="D71:D106" si="3">C71/1.12</f>
        <v>285503.34821428568</v>
      </c>
      <c r="F71" s="164">
        <v>44945</v>
      </c>
      <c r="G71" t="s">
        <v>451</v>
      </c>
      <c r="H71" s="57">
        <f>5710068.6+685208.24</f>
        <v>6395276.8399999999</v>
      </c>
      <c r="I71" s="167">
        <f t="shared" si="2"/>
        <v>5710068.6071428563</v>
      </c>
    </row>
    <row r="72" spans="1:10">
      <c r="A72" s="164">
        <v>44971</v>
      </c>
      <c r="B72" t="s">
        <v>452</v>
      </c>
      <c r="C72" s="57">
        <f>217502.23+26100.27</f>
        <v>243602.5</v>
      </c>
      <c r="D72" s="132">
        <f t="shared" si="3"/>
        <v>217502.23214285713</v>
      </c>
      <c r="F72" s="164">
        <v>44966</v>
      </c>
      <c r="G72" t="s">
        <v>453</v>
      </c>
      <c r="H72" s="57">
        <f>4350042.19+522005.07</f>
        <v>4872047.2600000007</v>
      </c>
      <c r="I72" s="167">
        <f t="shared" si="2"/>
        <v>4350042.1964285718</v>
      </c>
    </row>
    <row r="73" spans="1:10">
      <c r="A73" s="164">
        <v>44984</v>
      </c>
      <c r="B73" t="s">
        <v>454</v>
      </c>
      <c r="C73" s="57">
        <f>366631.7+43995.8</f>
        <v>410627.5</v>
      </c>
      <c r="D73" s="132">
        <f t="shared" si="3"/>
        <v>366631.69642857142</v>
      </c>
      <c r="F73" s="164">
        <v>44973</v>
      </c>
      <c r="G73" t="s">
        <v>455</v>
      </c>
      <c r="H73" s="57">
        <f>7332635.13+879916.22</f>
        <v>8212551.3499999996</v>
      </c>
      <c r="I73" s="167">
        <f t="shared" si="2"/>
        <v>7332635.13392857</v>
      </c>
    </row>
    <row r="74" spans="1:10">
      <c r="A74" s="164">
        <v>45007</v>
      </c>
      <c r="B74" t="s">
        <v>456</v>
      </c>
      <c r="C74" s="57">
        <f>194287.95+23314.55</f>
        <v>217602.5</v>
      </c>
      <c r="D74" s="132">
        <f t="shared" si="3"/>
        <v>194287.94642857142</v>
      </c>
      <c r="F74" s="164">
        <v>44988</v>
      </c>
      <c r="G74" t="s">
        <v>457</v>
      </c>
      <c r="H74" s="57">
        <f>3885760.8+466291.3</f>
        <v>4352052.0999999996</v>
      </c>
      <c r="I74" s="167">
        <f t="shared" si="2"/>
        <v>3885760.8035714277</v>
      </c>
    </row>
    <row r="75" spans="1:10">
      <c r="A75" s="164">
        <v>45016</v>
      </c>
      <c r="B75" t="s">
        <v>458</v>
      </c>
      <c r="C75" s="57">
        <f>345021.65+41402.6</f>
        <v>386424.25</v>
      </c>
      <c r="D75" s="132">
        <f t="shared" si="3"/>
        <v>345021.65178571426</v>
      </c>
      <c r="F75" s="164">
        <v>44994</v>
      </c>
      <c r="G75" t="s">
        <v>459</v>
      </c>
      <c r="H75" s="57">
        <f>6900435.03+828052.2</f>
        <v>7728487.2300000004</v>
      </c>
      <c r="I75" s="167">
        <f t="shared" si="2"/>
        <v>6900435.0267857136</v>
      </c>
    </row>
    <row r="76" spans="1:10">
      <c r="A76" s="164">
        <v>45042</v>
      </c>
      <c r="B76" t="s">
        <v>460</v>
      </c>
      <c r="C76" s="57">
        <f>274181.7+32901.8</f>
        <v>307083.5</v>
      </c>
      <c r="D76" s="132">
        <f t="shared" si="3"/>
        <v>274181.69642857142</v>
      </c>
      <c r="F76" s="164">
        <v>45027</v>
      </c>
      <c r="G76" t="s">
        <v>461</v>
      </c>
      <c r="H76" s="57">
        <f>5483636.21+658036.34</f>
        <v>6141672.5499999998</v>
      </c>
      <c r="I76" s="167">
        <f t="shared" si="2"/>
        <v>5483636.2053571418</v>
      </c>
    </row>
    <row r="77" spans="1:10">
      <c r="A77" s="164">
        <v>45062</v>
      </c>
      <c r="B77" t="s">
        <v>462</v>
      </c>
      <c r="C77" s="57">
        <f>326612.95+39193.55</f>
        <v>365806.5</v>
      </c>
      <c r="D77" s="132">
        <f t="shared" si="3"/>
        <v>326612.94642857142</v>
      </c>
      <c r="F77" s="164">
        <v>45041</v>
      </c>
      <c r="G77" t="s">
        <v>463</v>
      </c>
      <c r="H77" s="57">
        <f>6532260.46+783871.25</f>
        <v>7316131.71</v>
      </c>
      <c r="I77" s="167">
        <f t="shared" si="2"/>
        <v>6532260.4553571418</v>
      </c>
    </row>
    <row r="78" spans="1:10">
      <c r="A78" s="164">
        <v>45063</v>
      </c>
      <c r="B78" t="s">
        <v>464</v>
      </c>
      <c r="C78" s="57">
        <f>392488.84+47098.66</f>
        <v>439587.5</v>
      </c>
      <c r="D78" s="132">
        <f t="shared" si="3"/>
        <v>392488.83928571426</v>
      </c>
      <c r="F78" s="164">
        <v>45050</v>
      </c>
      <c r="G78" t="s">
        <v>465</v>
      </c>
      <c r="H78" s="57">
        <f>7849778.82+941973.46</f>
        <v>8791752.2800000012</v>
      </c>
      <c r="I78" s="167">
        <f t="shared" si="2"/>
        <v>7849778.8214285718</v>
      </c>
    </row>
    <row r="79" spans="1:10">
      <c r="A79" s="164">
        <v>45077</v>
      </c>
      <c r="B79" t="s">
        <v>466</v>
      </c>
      <c r="C79" s="57">
        <f>359073.66+43088.84</f>
        <v>402162.5</v>
      </c>
      <c r="D79" s="132">
        <f t="shared" si="3"/>
        <v>359073.66071428568</v>
      </c>
      <c r="F79" s="164">
        <v>45078</v>
      </c>
      <c r="G79" t="s">
        <v>467</v>
      </c>
      <c r="H79" s="57">
        <f>7181473.73+861776.85</f>
        <v>8043250.5800000001</v>
      </c>
      <c r="I79" s="167">
        <f t="shared" si="2"/>
        <v>7181473.7321428563</v>
      </c>
    </row>
    <row r="80" spans="1:10">
      <c r="A80" s="164">
        <v>45090</v>
      </c>
      <c r="B80" t="s">
        <v>468</v>
      </c>
      <c r="C80" s="57">
        <f>273035.71+32764.29</f>
        <v>305800</v>
      </c>
      <c r="D80" s="132">
        <f t="shared" si="3"/>
        <v>273035.71428571426</v>
      </c>
      <c r="F80" s="164">
        <v>45078</v>
      </c>
      <c r="G80" t="s">
        <v>469</v>
      </c>
      <c r="H80" s="57">
        <f>5460714.67+655285.76</f>
        <v>6116000.4299999997</v>
      </c>
      <c r="I80" s="167">
        <f t="shared" si="2"/>
        <v>5460714.6696428563</v>
      </c>
    </row>
    <row r="81" spans="1:11" ht="15.75" thickBot="1">
      <c r="A81" s="165">
        <v>45099</v>
      </c>
      <c r="B81" s="136" t="s">
        <v>470</v>
      </c>
      <c r="C81" s="143">
        <f>178147.32+21377.68</f>
        <v>199525</v>
      </c>
      <c r="D81" s="138">
        <f t="shared" si="3"/>
        <v>178147.32142857142</v>
      </c>
      <c r="F81" s="164">
        <v>45085</v>
      </c>
      <c r="G81" t="s">
        <v>471</v>
      </c>
      <c r="H81" s="57">
        <f>3562946.85+427553.62</f>
        <v>3990500.47</v>
      </c>
      <c r="I81" s="167">
        <f t="shared" si="2"/>
        <v>3562946.8482142854</v>
      </c>
    </row>
    <row r="82" spans="1:11" ht="15.75" thickBot="1">
      <c r="A82" s="125">
        <v>45118</v>
      </c>
      <c r="B82" t="s">
        <v>472</v>
      </c>
      <c r="C82" s="94">
        <f>173334.82+20800.18</f>
        <v>194135</v>
      </c>
      <c r="D82" s="111">
        <f t="shared" si="3"/>
        <v>173334.82142857142</v>
      </c>
      <c r="F82" s="165">
        <v>45098</v>
      </c>
      <c r="G82" s="136" t="s">
        <v>473</v>
      </c>
      <c r="H82" s="143">
        <f>3466697.36+416003.68</f>
        <v>3882701.04</v>
      </c>
      <c r="I82" s="168">
        <f t="shared" si="2"/>
        <v>3466697.3571428568</v>
      </c>
    </row>
    <row r="83" spans="1:11">
      <c r="A83" s="125">
        <v>45118</v>
      </c>
      <c r="B83" t="s">
        <v>474</v>
      </c>
      <c r="C83" s="94">
        <f>166819.2+20018.3</f>
        <v>186837.5</v>
      </c>
      <c r="D83" s="111">
        <f t="shared" si="3"/>
        <v>166819.19642857142</v>
      </c>
      <c r="F83" s="125">
        <v>45112</v>
      </c>
      <c r="G83" t="s">
        <v>475</v>
      </c>
      <c r="H83" s="94">
        <f>3336384.53+400366.14</f>
        <v>3736750.67</v>
      </c>
      <c r="I83" s="123">
        <f t="shared" si="2"/>
        <v>3336384.5267857141</v>
      </c>
    </row>
    <row r="84" spans="1:11">
      <c r="A84" s="125">
        <v>45127</v>
      </c>
      <c r="B84" t="s">
        <v>476</v>
      </c>
      <c r="C84" s="94">
        <f>250479.91+30057.59</f>
        <v>280537.5</v>
      </c>
      <c r="D84" s="111">
        <f t="shared" si="3"/>
        <v>250479.91071428568</v>
      </c>
      <c r="F84" s="125">
        <v>45118</v>
      </c>
      <c r="G84" t="s">
        <v>477</v>
      </c>
      <c r="H84" s="94">
        <f>5009598.88+601151.86</f>
        <v>5610750.7400000002</v>
      </c>
      <c r="I84" s="123">
        <f t="shared" si="2"/>
        <v>5009598.875</v>
      </c>
    </row>
    <row r="85" spans="1:11">
      <c r="A85" s="125">
        <v>45150</v>
      </c>
      <c r="B85" t="s">
        <v>478</v>
      </c>
      <c r="C85" s="94">
        <f>270790.18+32494.82</f>
        <v>303285</v>
      </c>
      <c r="D85" s="111">
        <f>C85/1.12</f>
        <v>270790.17857142852</v>
      </c>
      <c r="F85" s="125">
        <v>45132</v>
      </c>
      <c r="G85" t="s">
        <v>479</v>
      </c>
      <c r="H85" s="94">
        <f>5415803.72+649896.45</f>
        <v>6065700.1699999999</v>
      </c>
      <c r="I85" s="123">
        <f>H85/1.12</f>
        <v>5415803.7232142854</v>
      </c>
    </row>
    <row r="86" spans="1:11">
      <c r="A86" s="125">
        <v>45150</v>
      </c>
      <c r="B86" t="s">
        <v>480</v>
      </c>
      <c r="C86" s="94">
        <f>225312.5+27037.5</f>
        <v>252350</v>
      </c>
      <c r="D86" s="111">
        <f t="shared" si="3"/>
        <v>225312.49999999997</v>
      </c>
      <c r="F86" s="125">
        <v>45140</v>
      </c>
      <c r="G86" t="s">
        <v>481</v>
      </c>
      <c r="H86" s="94">
        <f>4502679.53+540321.54+3571.45+428.57</f>
        <v>5047001.0900000008</v>
      </c>
      <c r="I86" s="123">
        <f t="shared" si="2"/>
        <v>4506250.9732142864</v>
      </c>
    </row>
    <row r="87" spans="1:11">
      <c r="A87" s="125">
        <v>45162</v>
      </c>
      <c r="B87" t="s">
        <v>482</v>
      </c>
      <c r="C87" s="94">
        <f>157845.98+18941.52</f>
        <v>176787.5</v>
      </c>
      <c r="D87" s="111">
        <f t="shared" si="3"/>
        <v>157845.98214285713</v>
      </c>
      <c r="F87" s="125">
        <v>45147</v>
      </c>
      <c r="G87" t="s">
        <v>483</v>
      </c>
      <c r="H87" s="94">
        <f>3156920.67+378830.48</f>
        <v>3535751.15</v>
      </c>
      <c r="I87" s="123">
        <f t="shared" si="2"/>
        <v>3156920.6696428568</v>
      </c>
    </row>
    <row r="88" spans="1:11">
      <c r="A88" s="125">
        <v>45170</v>
      </c>
      <c r="B88" t="s">
        <v>484</v>
      </c>
      <c r="C88" s="94">
        <f>157834.82+18940.18</f>
        <v>176775</v>
      </c>
      <c r="D88" s="111">
        <f t="shared" si="3"/>
        <v>157834.82142857142</v>
      </c>
      <c r="F88" s="125">
        <v>45154</v>
      </c>
      <c r="G88" t="s">
        <v>485</v>
      </c>
      <c r="H88" s="94">
        <f>3156697.55+378803.71</f>
        <v>3535501.26</v>
      </c>
      <c r="I88" s="123">
        <f t="shared" si="2"/>
        <v>3156697.5535714282</v>
      </c>
    </row>
    <row r="89" spans="1:11">
      <c r="A89" s="125">
        <v>45176</v>
      </c>
      <c r="B89" t="s">
        <v>486</v>
      </c>
      <c r="C89" s="94">
        <f>123214.29+14785.71</f>
        <v>138000</v>
      </c>
      <c r="D89" s="111">
        <f t="shared" si="3"/>
        <v>123214.2857142857</v>
      </c>
      <c r="F89" s="125">
        <v>45161</v>
      </c>
      <c r="G89" t="s">
        <v>487</v>
      </c>
      <c r="H89" s="94">
        <f>2464286.68+295714.4</f>
        <v>2760001.08</v>
      </c>
      <c r="I89" s="123">
        <f t="shared" si="2"/>
        <v>2464286.6785714282</v>
      </c>
    </row>
    <row r="90" spans="1:11">
      <c r="A90" s="125">
        <v>45176</v>
      </c>
      <c r="B90" t="s">
        <v>488</v>
      </c>
      <c r="C90" s="94">
        <f>150290.18+18034.82</f>
        <v>168325</v>
      </c>
      <c r="D90" s="111">
        <f t="shared" si="3"/>
        <v>150290.17857142855</v>
      </c>
      <c r="F90" s="125">
        <v>45169</v>
      </c>
      <c r="G90" t="s">
        <v>489</v>
      </c>
      <c r="H90" s="94">
        <f>3005803.45+360696.42</f>
        <v>3366499.87</v>
      </c>
      <c r="I90" s="123">
        <f t="shared" si="2"/>
        <v>3005803.4553571427</v>
      </c>
    </row>
    <row r="91" spans="1:11">
      <c r="A91" s="125">
        <v>45195</v>
      </c>
      <c r="B91" t="s">
        <v>490</v>
      </c>
      <c r="C91" s="94">
        <f>313133.93+37576.07</f>
        <v>350710</v>
      </c>
      <c r="D91" s="111">
        <f t="shared" si="3"/>
        <v>313133.92857142852</v>
      </c>
      <c r="F91" s="125">
        <v>45183</v>
      </c>
      <c r="G91" t="s">
        <v>491</v>
      </c>
      <c r="H91" s="94">
        <f>6260535.91+751264.32+2142.87+257.14</f>
        <v>7014200.2400000002</v>
      </c>
      <c r="I91" s="123">
        <f t="shared" si="2"/>
        <v>6262678.7857142854</v>
      </c>
    </row>
    <row r="92" spans="1:11">
      <c r="A92" s="125">
        <v>45222</v>
      </c>
      <c r="B92" t="s">
        <v>492</v>
      </c>
      <c r="C92" s="94">
        <f>272276.79+32673.21</f>
        <v>304950</v>
      </c>
      <c r="D92" s="111">
        <f>C92/1.12</f>
        <v>272276.78571428568</v>
      </c>
      <c r="F92" s="125">
        <v>45199</v>
      </c>
      <c r="G92" t="s">
        <v>493</v>
      </c>
      <c r="H92" s="94">
        <f>5445535.88+653464.31</f>
        <v>6099000.1899999995</v>
      </c>
      <c r="I92" s="123">
        <f>H92/1.12</f>
        <v>5445535.8839285709</v>
      </c>
    </row>
    <row r="93" spans="1:11">
      <c r="A93" s="125">
        <v>45222</v>
      </c>
      <c r="B93" t="s">
        <v>494</v>
      </c>
      <c r="C93" s="94">
        <f>212294.64+25475.36</f>
        <v>237770</v>
      </c>
      <c r="D93" s="111">
        <f>C93/1.12</f>
        <v>212294.64285714284</v>
      </c>
      <c r="F93" s="125">
        <v>45204</v>
      </c>
      <c r="G93" t="s">
        <v>495</v>
      </c>
      <c r="H93" s="94">
        <f>4245893.22+509507.18</f>
        <v>4755400.3999999994</v>
      </c>
      <c r="I93" s="123">
        <f>H93/1.12</f>
        <v>4245893.2142857136</v>
      </c>
    </row>
    <row r="94" spans="1:11">
      <c r="A94" s="125">
        <v>45222</v>
      </c>
      <c r="B94" t="s">
        <v>496</v>
      </c>
      <c r="C94" s="94">
        <f>191227.68+22947.32</f>
        <v>214175</v>
      </c>
      <c r="D94" s="111">
        <f t="shared" si="3"/>
        <v>191227.67857142855</v>
      </c>
      <c r="F94" s="125">
        <v>45211</v>
      </c>
      <c r="G94" t="s">
        <v>497</v>
      </c>
      <c r="H94" s="94">
        <f>3824554.18+458946.5</f>
        <v>4283500.68</v>
      </c>
      <c r="I94" s="123">
        <f t="shared" si="2"/>
        <v>3824554.1785714282</v>
      </c>
    </row>
    <row r="95" spans="1:11">
      <c r="A95" s="126"/>
      <c r="F95" s="125">
        <v>45237</v>
      </c>
      <c r="G95" t="s">
        <v>499</v>
      </c>
      <c r="H95" s="94">
        <f>5623971.85+674876.8+1964.29+235.71</f>
        <v>6301048.6499999994</v>
      </c>
      <c r="I95" s="123">
        <f>H95/1.12</f>
        <v>5625936.2946428563</v>
      </c>
      <c r="K95" s="94"/>
    </row>
    <row r="96" spans="1:11">
      <c r="A96" s="125">
        <v>45275</v>
      </c>
      <c r="B96" t="s">
        <v>500</v>
      </c>
      <c r="C96" s="94">
        <f>352589.29+42310.71</f>
        <v>394900</v>
      </c>
      <c r="D96" s="111">
        <f t="shared" si="3"/>
        <v>352589.28571428568</v>
      </c>
      <c r="F96" s="125">
        <v>45253</v>
      </c>
      <c r="G96" t="s">
        <v>501</v>
      </c>
      <c r="H96" s="94">
        <f>9821.4+1178.57+7041961.34+845035.85</f>
        <v>7897997.1599999992</v>
      </c>
      <c r="I96" s="123">
        <f t="shared" si="2"/>
        <v>7051783.1785714272</v>
      </c>
      <c r="K96" s="94"/>
    </row>
    <row r="97" spans="1:11">
      <c r="A97" s="125">
        <v>45291</v>
      </c>
      <c r="B97" t="s">
        <v>502</v>
      </c>
      <c r="C97" s="94">
        <f>307633.93+36916.07</f>
        <v>344550</v>
      </c>
      <c r="D97" s="111">
        <f t="shared" si="3"/>
        <v>307633.92857142852</v>
      </c>
      <c r="F97" s="125">
        <v>45261</v>
      </c>
      <c r="G97" t="s">
        <v>503</v>
      </c>
      <c r="H97" s="94">
        <f>6152678.6+738321.43</f>
        <v>6891000.0299999993</v>
      </c>
      <c r="I97" s="123">
        <f t="shared" si="2"/>
        <v>6152678.5982142845</v>
      </c>
      <c r="K97" s="94"/>
    </row>
    <row r="98" spans="1:11">
      <c r="A98" s="125">
        <v>45301</v>
      </c>
      <c r="B98" t="s">
        <v>504</v>
      </c>
      <c r="C98" s="94">
        <f>227678.57+27321.43</f>
        <v>255000</v>
      </c>
      <c r="D98" s="111">
        <f t="shared" si="3"/>
        <v>227678.57142857142</v>
      </c>
      <c r="F98" s="125">
        <v>45267</v>
      </c>
      <c r="G98" t="s">
        <v>505</v>
      </c>
      <c r="H98" s="94">
        <f>4553571.53+546428.59</f>
        <v>5100000.12</v>
      </c>
      <c r="I98" s="123">
        <f t="shared" si="2"/>
        <v>4553571.5357142854</v>
      </c>
      <c r="K98" s="94"/>
    </row>
    <row r="99" spans="1:11">
      <c r="A99" s="125">
        <v>45321</v>
      </c>
      <c r="B99" t="s">
        <v>506</v>
      </c>
      <c r="C99" s="94">
        <f>267276.79+32073.21</f>
        <v>299350</v>
      </c>
      <c r="D99" s="111">
        <f t="shared" si="3"/>
        <v>267276.78571428568</v>
      </c>
      <c r="F99" s="125">
        <v>45302</v>
      </c>
      <c r="G99" t="s">
        <v>507</v>
      </c>
      <c r="H99" s="94">
        <f>25446.43+3053.57+5320089.18+638410.73</f>
        <v>5986999.9100000001</v>
      </c>
      <c r="I99" s="123">
        <f t="shared" si="2"/>
        <v>5345535.6339285709</v>
      </c>
      <c r="J99" s="94"/>
      <c r="K99" s="94"/>
    </row>
    <row r="100" spans="1:11">
      <c r="A100" s="125">
        <v>45322</v>
      </c>
      <c r="B100" t="s">
        <v>498</v>
      </c>
      <c r="C100" s="94">
        <v>315052.51</v>
      </c>
      <c r="D100" s="111">
        <v>281296.88392857142</v>
      </c>
      <c r="F100" s="125"/>
      <c r="J100" s="94"/>
      <c r="K100" s="94"/>
    </row>
    <row r="101" spans="1:11">
      <c r="A101" s="125">
        <v>45335</v>
      </c>
      <c r="B101" t="s">
        <v>508</v>
      </c>
      <c r="C101" s="94">
        <f>137622.77+16514.73</f>
        <v>154137.5</v>
      </c>
      <c r="D101" s="111">
        <f t="shared" si="3"/>
        <v>137622.76785714284</v>
      </c>
      <c r="F101" s="125">
        <v>45315</v>
      </c>
      <c r="G101" t="s">
        <v>509</v>
      </c>
      <c r="H101" s="94">
        <f>2752455.13+330294.62</f>
        <v>3082749.75</v>
      </c>
      <c r="I101" s="123">
        <f t="shared" si="2"/>
        <v>2752455.1339285714</v>
      </c>
      <c r="J101" s="94"/>
      <c r="K101" s="94"/>
    </row>
    <row r="102" spans="1:11">
      <c r="A102" s="125">
        <v>45363</v>
      </c>
      <c r="B102" t="s">
        <v>510</v>
      </c>
      <c r="C102" s="94">
        <f>218982.14+26277.86</f>
        <v>245260</v>
      </c>
      <c r="D102" s="111">
        <f t="shared" si="3"/>
        <v>218982.14285714284</v>
      </c>
      <c r="F102" s="125">
        <v>45337</v>
      </c>
      <c r="G102" t="s">
        <v>511</v>
      </c>
      <c r="H102" s="94">
        <f>8214.32+985.71+4371428.47+524571.42</f>
        <v>4905199.92</v>
      </c>
      <c r="I102" s="123">
        <f>H102/1.12</f>
        <v>4379642.7857142854</v>
      </c>
      <c r="J102" s="94"/>
      <c r="K102" s="94"/>
    </row>
    <row r="103" spans="1:11">
      <c r="A103" s="125">
        <v>45363</v>
      </c>
      <c r="B103" t="s">
        <v>512</v>
      </c>
      <c r="C103" s="94">
        <f>150033.48+18004.02</f>
        <v>168037.5</v>
      </c>
      <c r="D103" s="111">
        <f t="shared" si="3"/>
        <v>150033.48214285713</v>
      </c>
      <c r="F103" s="125">
        <v>45343</v>
      </c>
      <c r="G103" t="s">
        <v>513</v>
      </c>
      <c r="H103" s="94">
        <f>3000669.63+360080.35</f>
        <v>3360749.98</v>
      </c>
      <c r="I103" s="123">
        <f t="shared" si="2"/>
        <v>3000669.6249999995</v>
      </c>
      <c r="J103" s="94"/>
      <c r="K103" s="94"/>
    </row>
    <row r="104" spans="1:11">
      <c r="A104" s="125">
        <v>45397</v>
      </c>
      <c r="B104" t="s">
        <v>514</v>
      </c>
      <c r="C104" s="94">
        <f>63223.21+7586.79</f>
        <v>70810</v>
      </c>
      <c r="D104" s="111">
        <f t="shared" si="3"/>
        <v>63223.214285714283</v>
      </c>
      <c r="F104" s="125">
        <v>45378</v>
      </c>
      <c r="G104" t="s">
        <v>515</v>
      </c>
      <c r="H104" s="94">
        <f>1264464.38+151735.73</f>
        <v>1416200.1099999999</v>
      </c>
      <c r="I104" s="123">
        <f t="shared" si="2"/>
        <v>1264464.3839285711</v>
      </c>
      <c r="J104" s="94"/>
      <c r="K104" s="94"/>
    </row>
    <row r="105" spans="1:11">
      <c r="A105" s="125">
        <v>45425</v>
      </c>
      <c r="B105" t="s">
        <v>516</v>
      </c>
      <c r="C105" s="94">
        <f>74555.8+8946.7</f>
        <v>83502.5</v>
      </c>
      <c r="D105" s="111">
        <f t="shared" si="3"/>
        <v>74555.803571428565</v>
      </c>
      <c r="F105" s="125">
        <v>45394</v>
      </c>
      <c r="G105" t="s">
        <v>517</v>
      </c>
      <c r="H105" s="94">
        <f>1491116.07+178933.93</f>
        <v>1670050</v>
      </c>
      <c r="I105" s="123">
        <f t="shared" si="2"/>
        <v>1491116.0714285714</v>
      </c>
      <c r="J105" s="94"/>
      <c r="K105" s="94"/>
    </row>
    <row r="106" spans="1:11">
      <c r="A106" s="125">
        <v>45426</v>
      </c>
      <c r="B106" t="s">
        <v>518</v>
      </c>
      <c r="C106" s="94">
        <f>216350.89+25962.11</f>
        <v>242313</v>
      </c>
      <c r="D106" s="111">
        <f t="shared" si="3"/>
        <v>216350.89285714284</v>
      </c>
      <c r="F106" s="125">
        <v>45401</v>
      </c>
      <c r="G106" t="s">
        <v>519</v>
      </c>
      <c r="H106" s="94">
        <f>12723+1526.76+4314294.75+517715.37</f>
        <v>4846259.88</v>
      </c>
      <c r="I106" s="123">
        <f t="shared" si="2"/>
        <v>4327017.7499999991</v>
      </c>
      <c r="J106" s="94"/>
      <c r="K106" s="94"/>
    </row>
    <row r="107" spans="1:11">
      <c r="A107" s="125"/>
      <c r="F107" s="125"/>
      <c r="J107" s="94"/>
      <c r="K107" s="94"/>
    </row>
    <row r="108" spans="1:11">
      <c r="A108" s="125"/>
      <c r="F108" s="125"/>
      <c r="J108" s="94"/>
      <c r="K108" s="94"/>
    </row>
    <row r="109" spans="1:11">
      <c r="A109" s="125"/>
      <c r="F109" s="125"/>
      <c r="J109" s="94"/>
      <c r="K109" s="94"/>
    </row>
    <row r="110" spans="1:11">
      <c r="A110" s="125"/>
      <c r="F110" s="125"/>
      <c r="J110" s="94"/>
      <c r="K110" s="94"/>
    </row>
    <row r="111" spans="1:11">
      <c r="A111" s="125"/>
      <c r="F111" s="125"/>
      <c r="J111" s="94"/>
      <c r="K111" s="94"/>
    </row>
    <row r="112" spans="1:11">
      <c r="A112" s="125"/>
      <c r="F112" s="125"/>
      <c r="J112" s="94"/>
      <c r="K112" s="94"/>
    </row>
    <row r="113" spans="1:11">
      <c r="A113" s="125"/>
      <c r="F113" s="125"/>
      <c r="J113" s="94"/>
      <c r="K113" s="94"/>
    </row>
    <row r="114" spans="1:11">
      <c r="A114" s="125"/>
      <c r="F114" s="125"/>
    </row>
    <row r="115" spans="1:11" ht="15.75" thickBot="1">
      <c r="A115" s="116" t="s">
        <v>75</v>
      </c>
      <c r="B115" s="117"/>
      <c r="C115" s="118">
        <f>SUM(C3:C114)</f>
        <v>24937972.559999999</v>
      </c>
      <c r="D115" s="119">
        <f>SUM(D3:D114)</f>
        <v>22266046.928571433</v>
      </c>
      <c r="E115" s="120"/>
      <c r="F115" s="121"/>
      <c r="G115" s="117"/>
      <c r="H115" s="118">
        <f>SUM(H3:H114)</f>
        <v>498163320.41999996</v>
      </c>
      <c r="I115" s="124">
        <f>SUM(I3:I114)</f>
        <v>444788678.94642854</v>
      </c>
      <c r="J115" s="1"/>
      <c r="K115" s="1"/>
    </row>
    <row r="116" spans="1:11" ht="15.75" thickTop="1"/>
  </sheetData>
  <autoFilter ref="A2:I106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18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I19" sqref="I19"/>
    </sheetView>
  </sheetViews>
  <sheetFormatPr defaultRowHeight="15"/>
  <cols>
    <col min="2" max="2" width="12.5703125" bestFit="1" customWidth="1"/>
    <col min="3" max="6" width="15.42578125" bestFit="1" customWidth="1"/>
    <col min="7" max="7" width="13.28515625" bestFit="1" customWidth="1"/>
    <col min="8" max="8" width="14.42578125" bestFit="1" customWidth="1"/>
    <col min="9" max="9" width="15.42578125" bestFit="1" customWidth="1"/>
    <col min="10" max="12" width="15.42578125" customWidth="1"/>
    <col min="13" max="14" width="15.5703125" customWidth="1"/>
    <col min="15" max="18" width="14.7109375" customWidth="1"/>
    <col min="19" max="20" width="14.42578125" bestFit="1" customWidth="1"/>
    <col min="21" max="22" width="12.42578125" customWidth="1"/>
    <col min="23" max="24" width="14" customWidth="1"/>
    <col min="25" max="26" width="12.28515625" customWidth="1"/>
  </cols>
  <sheetData>
    <row r="2" spans="2:26" ht="25.5" customHeight="1" thickBot="1">
      <c r="B2" s="212" t="s">
        <v>105</v>
      </c>
      <c r="C2" s="213"/>
    </row>
    <row r="3" spans="2:26" s="102" customFormat="1" ht="51.95" customHeight="1">
      <c r="B3" s="561" t="s">
        <v>116</v>
      </c>
      <c r="C3" s="563" t="s">
        <v>119</v>
      </c>
      <c r="D3" s="564"/>
      <c r="E3" s="565" t="s">
        <v>112</v>
      </c>
      <c r="F3" s="566"/>
      <c r="G3" s="565" t="s">
        <v>115</v>
      </c>
      <c r="H3" s="566"/>
      <c r="I3" s="567" t="s">
        <v>522</v>
      </c>
      <c r="J3" s="567" t="s">
        <v>523</v>
      </c>
      <c r="K3" s="571" t="s">
        <v>120</v>
      </c>
      <c r="L3" s="571" t="s">
        <v>121</v>
      </c>
      <c r="M3" s="569" t="s">
        <v>524</v>
      </c>
      <c r="N3" s="570"/>
      <c r="O3" s="569" t="s">
        <v>525</v>
      </c>
      <c r="P3" s="570"/>
      <c r="Q3" s="555" t="s">
        <v>526</v>
      </c>
      <c r="R3" s="555" t="s">
        <v>527</v>
      </c>
      <c r="S3" s="557" t="s">
        <v>528</v>
      </c>
      <c r="T3" s="558"/>
      <c r="U3" s="557" t="s">
        <v>122</v>
      </c>
      <c r="V3" s="558"/>
      <c r="W3" s="559" t="s">
        <v>520</v>
      </c>
      <c r="X3" s="560"/>
      <c r="Y3" s="559" t="s">
        <v>521</v>
      </c>
      <c r="Z3" s="560"/>
    </row>
    <row r="4" spans="2:26" s="102" customFormat="1" ht="27.6" customHeight="1" thickBot="1">
      <c r="B4" s="562"/>
      <c r="C4" s="174" t="s">
        <v>117</v>
      </c>
      <c r="D4" s="175" t="s">
        <v>118</v>
      </c>
      <c r="E4" s="182" t="s">
        <v>113</v>
      </c>
      <c r="F4" s="183" t="s">
        <v>114</v>
      </c>
      <c r="G4" s="182" t="s">
        <v>113</v>
      </c>
      <c r="H4" s="183" t="s">
        <v>114</v>
      </c>
      <c r="I4" s="568"/>
      <c r="J4" s="568"/>
      <c r="K4" s="572"/>
      <c r="L4" s="572"/>
      <c r="M4" s="190" t="s">
        <v>113</v>
      </c>
      <c r="N4" s="191" t="s">
        <v>114</v>
      </c>
      <c r="O4" s="190" t="s">
        <v>113</v>
      </c>
      <c r="P4" s="191" t="s">
        <v>114</v>
      </c>
      <c r="Q4" s="556"/>
      <c r="R4" s="556"/>
      <c r="S4" s="195" t="s">
        <v>113</v>
      </c>
      <c r="T4" s="196" t="s">
        <v>114</v>
      </c>
      <c r="U4" s="195" t="s">
        <v>113</v>
      </c>
      <c r="V4" s="196" t="s">
        <v>114</v>
      </c>
      <c r="W4" s="200" t="s">
        <v>113</v>
      </c>
      <c r="X4" s="172" t="s">
        <v>114</v>
      </c>
      <c r="Y4" s="200" t="s">
        <v>113</v>
      </c>
      <c r="Z4" s="172" t="s">
        <v>114</v>
      </c>
    </row>
    <row r="5" spans="2:26" s="109" customFormat="1" ht="51" customHeight="1">
      <c r="B5" s="209" t="s">
        <v>109</v>
      </c>
      <c r="C5" s="176">
        <v>240578592.57288593</v>
      </c>
      <c r="D5" s="177">
        <f>C5*5%</f>
        <v>12028929.628644297</v>
      </c>
      <c r="E5" s="184">
        <f>SUM('MT.ROCK (PURCHASED &amp; SF)'!H18:H54)</f>
        <v>57555559.230000019</v>
      </c>
      <c r="F5" s="177">
        <f>SUM('EXPEDITION (PURCHASED &amp; SF)'!H18:H53)</f>
        <v>164800987.39000005</v>
      </c>
      <c r="G5" s="184">
        <f>SUM('MT.ROCK (PURCHASED &amp; SF)'!C17:C48)</f>
        <v>2848701.4399999995</v>
      </c>
      <c r="H5" s="177">
        <f>SUM('EXPEDITION (PURCHASED &amp; SF)'!C17:C51)</f>
        <v>7606941.0299999993</v>
      </c>
      <c r="I5" s="187">
        <f>E5+F5</f>
        <v>222356546.62000006</v>
      </c>
      <c r="J5" s="187">
        <f>G5+H5</f>
        <v>10455642.469999999</v>
      </c>
      <c r="K5" s="187">
        <f>C5-I5</f>
        <v>18222045.952885866</v>
      </c>
      <c r="L5" s="187">
        <f>D5-J5</f>
        <v>1573287.1586442981</v>
      </c>
      <c r="M5" s="184">
        <f>(C5/2)-E5</f>
        <v>62733737.056442946</v>
      </c>
      <c r="N5" s="177">
        <f>(C5/2)-F5</f>
        <v>-44511691.10355708</v>
      </c>
      <c r="O5" s="184">
        <f>(D5/2)-G5</f>
        <v>3165763.374322149</v>
      </c>
      <c r="P5" s="177">
        <f>(D5/2)-H5</f>
        <v>-1592476.2156778509</v>
      </c>
      <c r="Q5" s="192">
        <f>K5/C5</f>
        <v>7.5742591051052466E-2</v>
      </c>
      <c r="R5" s="192">
        <f>L5/D5</f>
        <v>0.13079194967587596</v>
      </c>
      <c r="S5" s="197">
        <f>M5/(C5/2)</f>
        <v>0.52152385119168132</v>
      </c>
      <c r="T5" s="171">
        <f>N5/(C5/2)</f>
        <v>-0.37003866908957639</v>
      </c>
      <c r="U5" s="197">
        <f>O5/(D5/2)</f>
        <v>0.52635828324800693</v>
      </c>
      <c r="V5" s="171">
        <f>P5/(D5/2)</f>
        <v>-0.26477438389625507</v>
      </c>
      <c r="W5" s="197">
        <f>E5/C5</f>
        <v>0.23923807440415934</v>
      </c>
      <c r="X5" s="171">
        <f t="shared" ref="X5:Y8" si="0">F5/C5</f>
        <v>0.68501933454478825</v>
      </c>
      <c r="Y5" s="197">
        <f t="shared" si="0"/>
        <v>0.23682085837599653</v>
      </c>
      <c r="Z5" s="171">
        <f>H5/D5</f>
        <v>0.63238719194812754</v>
      </c>
    </row>
    <row r="6" spans="2:26" s="109" customFormat="1" ht="51" customHeight="1">
      <c r="B6" s="210" t="s">
        <v>110</v>
      </c>
      <c r="C6" s="178">
        <v>270923692.73759997</v>
      </c>
      <c r="D6" s="179">
        <f t="shared" ref="D6:D7" si="1">C6*5%</f>
        <v>13546184.636879999</v>
      </c>
      <c r="E6" s="185">
        <f>SUM('MT.ROCK (PURCHASED &amp; SF)'!H55:H83)</f>
        <v>55708565.999999985</v>
      </c>
      <c r="F6" s="179">
        <f>SUM('EXPEDITION (PURCHASED &amp; SF)'!H54:H82)</f>
        <v>177410113.97000003</v>
      </c>
      <c r="G6" s="185">
        <f>SUM('MT.ROCK (PURCHASED &amp; SF)'!C49:C82)</f>
        <v>2578030.4500000002</v>
      </c>
      <c r="H6" s="179">
        <f>SUM('EXPEDITION (PURCHASED &amp; SF)'!C52:C81)</f>
        <v>9452828.5199999996</v>
      </c>
      <c r="I6" s="188">
        <f t="shared" ref="I6:I7" si="2">E6+F6</f>
        <v>233118679.97000003</v>
      </c>
      <c r="J6" s="188">
        <f t="shared" ref="J6:J7" si="3">G6+H6</f>
        <v>12030858.969999999</v>
      </c>
      <c r="K6" s="188">
        <f t="shared" ref="K6" si="4">C6-I6</f>
        <v>37805012.76759994</v>
      </c>
      <c r="L6" s="188">
        <f>D6-J6</f>
        <v>1515325.6668800004</v>
      </c>
      <c r="M6" s="185">
        <f>(C6/2)-E6</f>
        <v>79753280.368799999</v>
      </c>
      <c r="N6" s="179">
        <f>(C6/2)-F6</f>
        <v>-41948267.601200044</v>
      </c>
      <c r="O6" s="185">
        <f t="shared" ref="O6:O7" si="5">(D6/2)-G6</f>
        <v>4195061.8684399994</v>
      </c>
      <c r="P6" s="179">
        <f t="shared" ref="P6:P7" si="6">(D6/2)-H6</f>
        <v>-2679736.20156</v>
      </c>
      <c r="Q6" s="193">
        <f t="shared" ref="Q6:Q7" si="7">K6/C6</f>
        <v>0.13954118366537824</v>
      </c>
      <c r="R6" s="193">
        <f t="shared" ref="R6" si="8">L6/D6</f>
        <v>0.11186365072527278</v>
      </c>
      <c r="S6" s="198">
        <f t="shared" ref="S6:S8" si="9">M6/(C6/2)</f>
        <v>0.58875087345014243</v>
      </c>
      <c r="T6" s="170">
        <f t="shared" ref="T6:T8" si="10">N6/(C6/2)</f>
        <v>-0.30966850611938584</v>
      </c>
      <c r="U6" s="198">
        <f t="shared" ref="U6:U8" si="11">O6/(D6/2)</f>
        <v>0.61937172434794441</v>
      </c>
      <c r="V6" s="170">
        <f t="shared" ref="V6:V8" si="12">P6/(D6/2)</f>
        <v>-0.39564442289739904</v>
      </c>
      <c r="W6" s="198">
        <f>E6/C6</f>
        <v>0.20562456327492878</v>
      </c>
      <c r="X6" s="170">
        <f t="shared" si="0"/>
        <v>0.65483425305969289</v>
      </c>
      <c r="Y6" s="198">
        <f t="shared" si="0"/>
        <v>0.19031413782602777</v>
      </c>
      <c r="Z6" s="170">
        <f>H6/D6</f>
        <v>0.69782221144869949</v>
      </c>
    </row>
    <row r="7" spans="2:26" s="109" customFormat="1" ht="51" customHeight="1" thickBot="1">
      <c r="B7" s="211" t="s">
        <v>111</v>
      </c>
      <c r="C7" s="180">
        <v>293652315.46560001</v>
      </c>
      <c r="D7" s="181">
        <f t="shared" si="1"/>
        <v>14682615.773280002</v>
      </c>
      <c r="E7" s="186">
        <f>SUM('MT.ROCK (PURCHASED &amp; SF)'!H84:H110)</f>
        <v>50925072.279999994</v>
      </c>
      <c r="F7" s="181">
        <f>SUM('EXPEDITION (PURCHASED &amp; SF)'!H83:H114)</f>
        <v>107268313.05</v>
      </c>
      <c r="G7" s="186">
        <f>SUM('MT.ROCK (PURCHASED &amp; SF)'!C83:C110)</f>
        <v>2729097.38</v>
      </c>
      <c r="H7" s="181">
        <f>SUM('EXPEDITION (PURCHASED &amp; SF)'!C82:C114)</f>
        <v>5557550.5099999998</v>
      </c>
      <c r="I7" s="189">
        <f t="shared" si="2"/>
        <v>158193385.32999998</v>
      </c>
      <c r="J7" s="189">
        <f t="shared" si="3"/>
        <v>8286647.8899999997</v>
      </c>
      <c r="K7" s="189">
        <f>C7-I7</f>
        <v>135458930.13560003</v>
      </c>
      <c r="L7" s="189">
        <f>D7-J7</f>
        <v>6395967.8832800025</v>
      </c>
      <c r="M7" s="186">
        <f>(C7/2)-E7</f>
        <v>95901085.452800006</v>
      </c>
      <c r="N7" s="181">
        <f>(C7/2)-F7</f>
        <v>39557844.68280001</v>
      </c>
      <c r="O7" s="186">
        <f t="shared" si="5"/>
        <v>4612210.5066400012</v>
      </c>
      <c r="P7" s="181">
        <f t="shared" si="6"/>
        <v>1783757.3766400013</v>
      </c>
      <c r="Q7" s="194">
        <f t="shared" si="7"/>
        <v>0.46129018230564034</v>
      </c>
      <c r="R7" s="194">
        <f>L7/D7</f>
        <v>0.4356150145207528</v>
      </c>
      <c r="S7" s="199">
        <f t="shared" si="9"/>
        <v>0.65316076463244754</v>
      </c>
      <c r="T7" s="173">
        <f t="shared" si="10"/>
        <v>0.26941959997883297</v>
      </c>
      <c r="U7" s="199">
        <f t="shared" si="11"/>
        <v>0.62825460774278141</v>
      </c>
      <c r="V7" s="173">
        <f t="shared" si="12"/>
        <v>0.24297542129872426</v>
      </c>
      <c r="W7" s="199">
        <f>E7/C7</f>
        <v>0.1734196176837762</v>
      </c>
      <c r="X7" s="173">
        <f t="shared" si="0"/>
        <v>0.36529020001058354</v>
      </c>
      <c r="Y7" s="199">
        <f t="shared" si="0"/>
        <v>0.18587269612860932</v>
      </c>
      <c r="Z7" s="173">
        <f>H7/D7</f>
        <v>0.37851228935063785</v>
      </c>
    </row>
    <row r="8" spans="2:26" s="208" customFormat="1" ht="51" customHeight="1" thickBot="1">
      <c r="B8" s="201" t="s">
        <v>75</v>
      </c>
      <c r="C8" s="202">
        <f t="shared" ref="C8:D8" si="13">SUM(C5:C7)</f>
        <v>805154600.77608585</v>
      </c>
      <c r="D8" s="203">
        <f t="shared" si="13"/>
        <v>40257730.0388043</v>
      </c>
      <c r="E8" s="202">
        <f>SUM(E5:E7)</f>
        <v>164189197.50999999</v>
      </c>
      <c r="F8" s="203">
        <f>SUM(F5:F7)</f>
        <v>449479414.41000009</v>
      </c>
      <c r="G8" s="202">
        <f>SUM(G5:G7)</f>
        <v>8155829.2699999996</v>
      </c>
      <c r="H8" s="203">
        <f t="shared" ref="H8:P8" si="14">SUM(H5:H7)</f>
        <v>22617320.059999995</v>
      </c>
      <c r="I8" s="204">
        <f t="shared" si="14"/>
        <v>613668611.92000008</v>
      </c>
      <c r="J8" s="204">
        <f t="shared" si="14"/>
        <v>30773149.329999998</v>
      </c>
      <c r="K8" s="204">
        <f>C8-I8</f>
        <v>191485988.85608578</v>
      </c>
      <c r="L8" s="204">
        <f>D8-J8</f>
        <v>9484580.7088043019</v>
      </c>
      <c r="M8" s="202">
        <f t="shared" si="14"/>
        <v>238388102.87804297</v>
      </c>
      <c r="N8" s="203">
        <f t="shared" si="14"/>
        <v>-46902114.021957114</v>
      </c>
      <c r="O8" s="202">
        <f t="shared" si="14"/>
        <v>11973035.749402151</v>
      </c>
      <c r="P8" s="203">
        <f t="shared" si="14"/>
        <v>-2488455.0405978495</v>
      </c>
      <c r="Q8" s="205">
        <f>K8/C8</f>
        <v>0.23782511914048937</v>
      </c>
      <c r="R8" s="205">
        <f>L8/D8</f>
        <v>0.23559651027671316</v>
      </c>
      <c r="S8" s="206">
        <f t="shared" si="9"/>
        <v>0.59215485485212771</v>
      </c>
      <c r="T8" s="207">
        <f t="shared" si="10"/>
        <v>-0.11650461657114874</v>
      </c>
      <c r="U8" s="206">
        <f t="shared" si="11"/>
        <v>0.59481921796690373</v>
      </c>
      <c r="V8" s="207">
        <f t="shared" si="12"/>
        <v>-0.12362619741347738</v>
      </c>
      <c r="W8" s="206">
        <f>E8/C8</f>
        <v>0.2039225725739362</v>
      </c>
      <c r="X8" s="207">
        <f t="shared" si="0"/>
        <v>0.55825230828557448</v>
      </c>
      <c r="Y8" s="206">
        <f t="shared" si="0"/>
        <v>0.20259039101654816</v>
      </c>
      <c r="Z8" s="207">
        <f>H8/D8</f>
        <v>0.56181309870673857</v>
      </c>
    </row>
    <row r="9" spans="2:26">
      <c r="T9" s="169"/>
    </row>
    <row r="10" spans="2:26">
      <c r="T10" s="169"/>
    </row>
    <row r="11" spans="2:26">
      <c r="T11" s="169"/>
    </row>
    <row r="12" spans="2:26" ht="25.5" customHeight="1" thickBot="1">
      <c r="B12" s="212" t="s">
        <v>104</v>
      </c>
      <c r="C12" s="213"/>
    </row>
    <row r="13" spans="2:26" s="102" customFormat="1" ht="51.95" customHeight="1">
      <c r="B13" s="561" t="s">
        <v>116</v>
      </c>
      <c r="C13" s="563" t="s">
        <v>529</v>
      </c>
      <c r="D13" s="564"/>
      <c r="E13" s="565" t="s">
        <v>112</v>
      </c>
      <c r="F13" s="566"/>
      <c r="G13" s="565" t="s">
        <v>115</v>
      </c>
      <c r="H13" s="566"/>
      <c r="I13" s="567" t="s">
        <v>522</v>
      </c>
      <c r="J13" s="567" t="s">
        <v>523</v>
      </c>
      <c r="K13" s="571" t="s">
        <v>120</v>
      </c>
      <c r="L13" s="571" t="s">
        <v>121</v>
      </c>
      <c r="M13" s="569" t="s">
        <v>524</v>
      </c>
      <c r="N13" s="570"/>
      <c r="O13" s="569" t="s">
        <v>525</v>
      </c>
      <c r="P13" s="570"/>
      <c r="Q13" s="555" t="s">
        <v>526</v>
      </c>
      <c r="R13" s="555" t="s">
        <v>527</v>
      </c>
      <c r="S13" s="557" t="s">
        <v>528</v>
      </c>
      <c r="T13" s="558"/>
      <c r="U13" s="557" t="s">
        <v>122</v>
      </c>
      <c r="V13" s="558"/>
      <c r="W13" s="559" t="s">
        <v>520</v>
      </c>
      <c r="X13" s="560"/>
      <c r="Y13" s="559" t="s">
        <v>521</v>
      </c>
      <c r="Z13" s="560"/>
    </row>
    <row r="14" spans="2:26" s="102" customFormat="1" ht="27.6" customHeight="1" thickBot="1">
      <c r="B14" s="562"/>
      <c r="C14" s="174" t="s">
        <v>117</v>
      </c>
      <c r="D14" s="175" t="s">
        <v>118</v>
      </c>
      <c r="E14" s="182" t="s">
        <v>113</v>
      </c>
      <c r="F14" s="183" t="s">
        <v>114</v>
      </c>
      <c r="G14" s="182" t="s">
        <v>113</v>
      </c>
      <c r="H14" s="183" t="s">
        <v>114</v>
      </c>
      <c r="I14" s="568"/>
      <c r="J14" s="568"/>
      <c r="K14" s="572"/>
      <c r="L14" s="572"/>
      <c r="M14" s="190" t="s">
        <v>113</v>
      </c>
      <c r="N14" s="191" t="s">
        <v>114</v>
      </c>
      <c r="O14" s="190" t="s">
        <v>113</v>
      </c>
      <c r="P14" s="191" t="s">
        <v>114</v>
      </c>
      <c r="Q14" s="556"/>
      <c r="R14" s="556"/>
      <c r="S14" s="195" t="s">
        <v>113</v>
      </c>
      <c r="T14" s="196" t="s">
        <v>114</v>
      </c>
      <c r="U14" s="195" t="s">
        <v>113</v>
      </c>
      <c r="V14" s="196" t="s">
        <v>114</v>
      </c>
      <c r="W14" s="200" t="s">
        <v>113</v>
      </c>
      <c r="X14" s="172" t="s">
        <v>114</v>
      </c>
      <c r="Y14" s="200" t="s">
        <v>113</v>
      </c>
      <c r="Z14" s="172" t="s">
        <v>114</v>
      </c>
    </row>
    <row r="15" spans="2:26" s="109" customFormat="1" ht="51" customHeight="1">
      <c r="B15" s="209" t="s">
        <v>109</v>
      </c>
      <c r="C15" s="176">
        <v>214802314.79721957</v>
      </c>
      <c r="D15" s="177">
        <f>C15*5%</f>
        <v>10740115.73986098</v>
      </c>
      <c r="E15" s="184">
        <f>SUM('MT.ROCK (PURCHASED &amp; SF)'!I18:I54)</f>
        <v>51388892.169642851</v>
      </c>
      <c r="F15" s="177">
        <f>SUM('EXPEDITION (PURCHASED &amp; SF)'!I18:I53)</f>
        <v>147143738.74107143</v>
      </c>
      <c r="G15" s="184">
        <f>SUM('MT.ROCK (PURCHASED &amp; SF)'!D17:D48)</f>
        <v>2543483.4285714282</v>
      </c>
      <c r="H15" s="177">
        <f>SUM('EXPEDITION (PURCHASED &amp; SF)'!D17:D51)</f>
        <v>6791911.6339285728</v>
      </c>
      <c r="I15" s="187">
        <f>E15+F15</f>
        <v>198532630.91071427</v>
      </c>
      <c r="J15" s="187">
        <f>G15+H15</f>
        <v>9335395.0625</v>
      </c>
      <c r="K15" s="187">
        <f>C15-I15</f>
        <v>16269683.886505306</v>
      </c>
      <c r="L15" s="187">
        <f>D15-J15</f>
        <v>1404720.6773609798</v>
      </c>
      <c r="M15" s="184">
        <f>(C15/2)-E15</f>
        <v>56012265.228966936</v>
      </c>
      <c r="N15" s="177">
        <f>(C15/2)-F15</f>
        <v>-39742581.342461646</v>
      </c>
      <c r="O15" s="184">
        <f>(D15/2)-G15</f>
        <v>2826574.4413590617</v>
      </c>
      <c r="P15" s="177">
        <f>(D15/2)-H15</f>
        <v>-1421853.7639980828</v>
      </c>
      <c r="Q15" s="192">
        <f>K15/C15</f>
        <v>7.5742591051052785E-2</v>
      </c>
      <c r="R15" s="192">
        <f>L15/D15</f>
        <v>0.1307919496758759</v>
      </c>
      <c r="S15" s="197">
        <f>M15/(C15/2)</f>
        <v>0.52152385119168154</v>
      </c>
      <c r="T15" s="171">
        <f>N15/(C15/2)</f>
        <v>-0.37003866908957611</v>
      </c>
      <c r="U15" s="197">
        <f>O15/(D15/2)</f>
        <v>0.52635828324800693</v>
      </c>
      <c r="V15" s="171">
        <f>P15/(D15/2)</f>
        <v>-0.26477438389625535</v>
      </c>
      <c r="W15" s="197">
        <f>E15/C15</f>
        <v>0.23923807440415923</v>
      </c>
      <c r="X15" s="171">
        <f t="shared" ref="X15:Y18" si="15">F15/C15</f>
        <v>0.68501933454478803</v>
      </c>
      <c r="Y15" s="197">
        <f t="shared" si="15"/>
        <v>0.23682085837599651</v>
      </c>
      <c r="Z15" s="171">
        <f>H15/D15</f>
        <v>0.63238719194812765</v>
      </c>
    </row>
    <row r="16" spans="2:26" s="109" customFormat="1" ht="51" customHeight="1">
      <c r="B16" s="210" t="s">
        <v>110</v>
      </c>
      <c r="C16" s="178">
        <v>241896154.22999999</v>
      </c>
      <c r="D16" s="179">
        <f t="shared" ref="D16:D17" si="16">C16*5%</f>
        <v>12094807.7115</v>
      </c>
      <c r="E16" s="185">
        <f>SUM('MT.ROCK (PURCHASED &amp; SF)'!I55:I83)</f>
        <v>49739791.07142856</v>
      </c>
      <c r="F16" s="179">
        <f>SUM('EXPEDITION (PURCHASED &amp; SF)'!I54:I82)</f>
        <v>158401887.4732143</v>
      </c>
      <c r="G16" s="185">
        <f>SUM('MT.ROCK (PURCHASED &amp; SF)'!D49:D82)</f>
        <v>2301812.9017857136</v>
      </c>
      <c r="H16" s="179">
        <f>SUM('EXPEDITION (PURCHASED &amp; SF)'!D52:D81)</f>
        <v>8440025.4642857146</v>
      </c>
      <c r="I16" s="188">
        <f t="shared" ref="I16:I17" si="17">E16+F16</f>
        <v>208141678.54464287</v>
      </c>
      <c r="J16" s="188">
        <f t="shared" ref="J16:J17" si="18">G16+H16</f>
        <v>10741838.366071429</v>
      </c>
      <c r="K16" s="188">
        <f t="shared" ref="K16" si="19">C16-I16</f>
        <v>33754475.685357124</v>
      </c>
      <c r="L16" s="188">
        <f>D16-J16</f>
        <v>1352969.3454285711</v>
      </c>
      <c r="M16" s="185">
        <f>(C16/2)-E16</f>
        <v>71208286.043571442</v>
      </c>
      <c r="N16" s="179">
        <f>(C16/2)-F16</f>
        <v>-37453810.358214304</v>
      </c>
      <c r="O16" s="185">
        <f t="shared" ref="O16:O17" si="20">(D16/2)-G16</f>
        <v>3745590.9539642865</v>
      </c>
      <c r="P16" s="179">
        <f t="shared" ref="P16:P17" si="21">(D16/2)-H16</f>
        <v>-2392621.6085357144</v>
      </c>
      <c r="Q16" s="193">
        <f t="shared" ref="Q16:Q17" si="22">K16/C16</f>
        <v>0.13954118366537838</v>
      </c>
      <c r="R16" s="193">
        <f t="shared" ref="R16" si="23">L16/D16</f>
        <v>0.11186365072527273</v>
      </c>
      <c r="S16" s="198">
        <f t="shared" ref="S16:S18" si="24">M16/(C16/2)</f>
        <v>0.58875087345014254</v>
      </c>
      <c r="T16" s="170">
        <f t="shared" ref="T16:T18" si="25">N16/(C16/2)</f>
        <v>-0.30966850611938568</v>
      </c>
      <c r="U16" s="198">
        <f t="shared" ref="U16:U18" si="26">O16/(D16/2)</f>
        <v>0.61937172434794463</v>
      </c>
      <c r="V16" s="170">
        <f t="shared" ref="V16:V18" si="27">P16/(D16/2)</f>
        <v>-0.39564442289739904</v>
      </c>
      <c r="W16" s="198">
        <f>E16/C16</f>
        <v>0.20562456327492876</v>
      </c>
      <c r="X16" s="170">
        <f t="shared" si="15"/>
        <v>0.65483425305969278</v>
      </c>
      <c r="Y16" s="198">
        <f t="shared" si="15"/>
        <v>0.19031413782602769</v>
      </c>
      <c r="Z16" s="170">
        <f>H16/D16</f>
        <v>0.69782221144869949</v>
      </c>
    </row>
    <row r="17" spans="2:26" s="109" customFormat="1" ht="51" customHeight="1" thickBot="1">
      <c r="B17" s="211" t="s">
        <v>111</v>
      </c>
      <c r="C17" s="180">
        <v>262189567.38</v>
      </c>
      <c r="D17" s="181">
        <f t="shared" si="16"/>
        <v>13109478.369000001</v>
      </c>
      <c r="E17" s="186">
        <f>SUM('MT.ROCK (PURCHASED &amp; SF)'!I84:I110)</f>
        <v>45468814.535714291</v>
      </c>
      <c r="F17" s="181">
        <f>SUM('EXPEDITION (PURCHASED &amp; SF)'!I83:I114)</f>
        <v>95775279.508928552</v>
      </c>
      <c r="G17" s="186">
        <f>SUM('MT.ROCK (PURCHASED &amp; SF)'!D83:D110)</f>
        <v>2436694.0892857146</v>
      </c>
      <c r="H17" s="181">
        <f>SUM('EXPEDITION (PURCHASED &amp; SF)'!D82:D114)</f>
        <v>4962098.6696428563</v>
      </c>
      <c r="I17" s="189">
        <f t="shared" si="17"/>
        <v>141244094.04464284</v>
      </c>
      <c r="J17" s="189">
        <f t="shared" si="18"/>
        <v>7398792.7589285709</v>
      </c>
      <c r="K17" s="189">
        <f>C17-I17</f>
        <v>120945473.33535716</v>
      </c>
      <c r="L17" s="189">
        <f>D17-J17</f>
        <v>5710685.61007143</v>
      </c>
      <c r="M17" s="186">
        <f>(C17/2)-E17</f>
        <v>85625969.154285699</v>
      </c>
      <c r="N17" s="181">
        <f>(C17/2)-F17</f>
        <v>35319504.181071445</v>
      </c>
      <c r="O17" s="186">
        <f t="shared" si="20"/>
        <v>4118045.0952142859</v>
      </c>
      <c r="P17" s="181">
        <f t="shared" si="21"/>
        <v>1592640.5148571441</v>
      </c>
      <c r="Q17" s="194">
        <f t="shared" si="22"/>
        <v>0.46129018230564028</v>
      </c>
      <c r="R17" s="194">
        <f>L17/D17</f>
        <v>0.4356150145207528</v>
      </c>
      <c r="S17" s="199">
        <f t="shared" si="24"/>
        <v>0.65316076463244743</v>
      </c>
      <c r="T17" s="173">
        <f t="shared" si="25"/>
        <v>0.26941959997883302</v>
      </c>
      <c r="U17" s="199">
        <f t="shared" si="26"/>
        <v>0.6282546077427813</v>
      </c>
      <c r="V17" s="173">
        <f t="shared" si="27"/>
        <v>0.24297542129872429</v>
      </c>
      <c r="W17" s="199">
        <f>E17/C17</f>
        <v>0.17341961768377626</v>
      </c>
      <c r="X17" s="173">
        <f t="shared" si="15"/>
        <v>0.36529020001058349</v>
      </c>
      <c r="Y17" s="199">
        <f t="shared" si="15"/>
        <v>0.18587269612860935</v>
      </c>
      <c r="Z17" s="173">
        <f>H17/D17</f>
        <v>0.37851228935063785</v>
      </c>
    </row>
    <row r="18" spans="2:26" s="208" customFormat="1" ht="51" customHeight="1" thickBot="1">
      <c r="B18" s="201" t="s">
        <v>75</v>
      </c>
      <c r="C18" s="202">
        <f t="shared" ref="C18" si="28">SUM(C15:C17)</f>
        <v>718888036.40721953</v>
      </c>
      <c r="D18" s="203">
        <f t="shared" ref="D18" si="29">SUM(D15:D17)</f>
        <v>35944401.820360981</v>
      </c>
      <c r="E18" s="202">
        <f>SUM(E15:E17)</f>
        <v>146597497.7767857</v>
      </c>
      <c r="F18" s="203">
        <f>SUM(F15:F17)</f>
        <v>401320905.72321427</v>
      </c>
      <c r="G18" s="202">
        <f>SUM(G15:G17)</f>
        <v>7281990.4196428563</v>
      </c>
      <c r="H18" s="203">
        <f t="shared" ref="H18" si="30">SUM(H15:H17)</f>
        <v>20194035.767857142</v>
      </c>
      <c r="I18" s="204">
        <f t="shared" ref="I18" si="31">SUM(I15:I17)</f>
        <v>547918403.5</v>
      </c>
      <c r="J18" s="204">
        <f t="shared" ref="J18" si="32">SUM(J15:J17)</f>
        <v>27476026.1875</v>
      </c>
      <c r="K18" s="204">
        <f>C18-I18</f>
        <v>170969632.90721953</v>
      </c>
      <c r="L18" s="204">
        <f>D18-J18</f>
        <v>8468375.6328609809</v>
      </c>
      <c r="M18" s="202">
        <f t="shared" ref="M18" si="33">SUM(M15:M17)</f>
        <v>212846520.42682409</v>
      </c>
      <c r="N18" s="203">
        <f t="shared" ref="N18" si="34">SUM(N15:N17)</f>
        <v>-41876887.519604504</v>
      </c>
      <c r="O18" s="202">
        <f t="shared" ref="O18" si="35">SUM(O15:O17)</f>
        <v>10690210.490537634</v>
      </c>
      <c r="P18" s="203">
        <f t="shared" ref="P18" si="36">SUM(P15:P17)</f>
        <v>-2221834.8576766532</v>
      </c>
      <c r="Q18" s="205">
        <f>K18/C18</f>
        <v>0.23782511914048948</v>
      </c>
      <c r="R18" s="205">
        <f>L18/D18</f>
        <v>0.23559651027671311</v>
      </c>
      <c r="S18" s="206">
        <f t="shared" si="24"/>
        <v>0.59215485485212771</v>
      </c>
      <c r="T18" s="207">
        <f t="shared" si="25"/>
        <v>-0.11650461657114858</v>
      </c>
      <c r="U18" s="206">
        <f t="shared" si="26"/>
        <v>0.59481921796690373</v>
      </c>
      <c r="V18" s="207">
        <f t="shared" si="27"/>
        <v>-0.1236261974134775</v>
      </c>
      <c r="W18" s="206">
        <f>E18/C18</f>
        <v>0.20392257257393617</v>
      </c>
      <c r="X18" s="207">
        <f t="shared" si="15"/>
        <v>0.55825230828557426</v>
      </c>
      <c r="Y18" s="206">
        <f t="shared" si="15"/>
        <v>0.20259039101654816</v>
      </c>
      <c r="Z18" s="207">
        <f>H18/D18</f>
        <v>0.56181309870673868</v>
      </c>
    </row>
  </sheetData>
  <mergeCells count="32">
    <mergeCell ref="W3:X3"/>
    <mergeCell ref="Y3:Z3"/>
    <mergeCell ref="M3:N3"/>
    <mergeCell ref="I3:I4"/>
    <mergeCell ref="S3:T3"/>
    <mergeCell ref="U3:V3"/>
    <mergeCell ref="L3:L4"/>
    <mergeCell ref="K3:K4"/>
    <mergeCell ref="J3:J4"/>
    <mergeCell ref="Q3:Q4"/>
    <mergeCell ref="R3:R4"/>
    <mergeCell ref="Q13:Q14"/>
    <mergeCell ref="B3:B4"/>
    <mergeCell ref="B13:B14"/>
    <mergeCell ref="C13:D13"/>
    <mergeCell ref="E13:F13"/>
    <mergeCell ref="G13:H13"/>
    <mergeCell ref="I13:I14"/>
    <mergeCell ref="O3:P3"/>
    <mergeCell ref="G3:H3"/>
    <mergeCell ref="E3:F3"/>
    <mergeCell ref="C3:D3"/>
    <mergeCell ref="J13:J14"/>
    <mergeCell ref="K13:K14"/>
    <mergeCell ref="L13:L14"/>
    <mergeCell ref="M13:N13"/>
    <mergeCell ref="O13:P13"/>
    <mergeCell ref="R13:R14"/>
    <mergeCell ref="S13:T13"/>
    <mergeCell ref="U13:V13"/>
    <mergeCell ref="W13:X13"/>
    <mergeCell ref="Y13:Z1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12"/>
  <sheetViews>
    <sheetView zoomScale="90" zoomScaleNormal="90" workbookViewId="0">
      <selection activeCell="I10" sqref="H7:I10"/>
    </sheetView>
  </sheetViews>
  <sheetFormatPr defaultRowHeight="15"/>
  <cols>
    <col min="1" max="1" width="2.140625" customWidth="1"/>
    <col min="2" max="2" width="17.85546875" bestFit="1" customWidth="1"/>
    <col min="3" max="3" width="19.7109375" bestFit="1" customWidth="1"/>
    <col min="4" max="4" width="20.5703125" bestFit="1" customWidth="1"/>
    <col min="5" max="5" width="21.5703125" bestFit="1" customWidth="1"/>
    <col min="6" max="6" width="24.5703125" customWidth="1"/>
    <col min="7" max="7" width="25.140625" customWidth="1"/>
    <col min="8" max="8" width="24.5703125" customWidth="1"/>
    <col min="9" max="9" width="26.7109375" customWidth="1"/>
  </cols>
  <sheetData>
    <row r="3" spans="2:9" ht="54.6" customHeight="1">
      <c r="B3" s="4" t="s">
        <v>0</v>
      </c>
      <c r="C3" s="5" t="s">
        <v>6</v>
      </c>
      <c r="D3" s="5" t="s">
        <v>3</v>
      </c>
      <c r="E3" s="5" t="s">
        <v>546</v>
      </c>
      <c r="F3" s="5" t="s">
        <v>719</v>
      </c>
      <c r="G3" s="5" t="s">
        <v>720</v>
      </c>
      <c r="H3" s="5" t="s">
        <v>721</v>
      </c>
      <c r="I3" s="5" t="s">
        <v>722</v>
      </c>
    </row>
    <row r="4" spans="2:9" ht="15.75" thickBot="1">
      <c r="B4" s="2">
        <f>C12</f>
        <v>293652315.46560001</v>
      </c>
      <c r="C4" s="3">
        <f>'MONTHLY COST'!U7</f>
        <v>210592740.94999999</v>
      </c>
      <c r="D4" s="2">
        <f>'MONTHLY COST'!C8</f>
        <v>16199441.611538466</v>
      </c>
      <c r="E4" s="2">
        <f>B4-C4</f>
        <v>83059574.515600026</v>
      </c>
      <c r="F4" s="32">
        <f>'EXPEDITION '!H26</f>
        <v>68394081.954500005</v>
      </c>
      <c r="G4" s="3">
        <f>MT.ROCK!H18</f>
        <v>1488041.2285714285</v>
      </c>
      <c r="H4" s="3">
        <f>'INVENTORY-MAY'!AV32</f>
        <v>31451671.448371433</v>
      </c>
      <c r="I4" s="3">
        <f>F4+G4+H4</f>
        <v>101333794.63144287</v>
      </c>
    </row>
    <row r="6" spans="2:9" ht="75">
      <c r="B6" s="6" t="s">
        <v>0</v>
      </c>
      <c r="C6" s="7" t="s">
        <v>1</v>
      </c>
      <c r="D6" s="7" t="s">
        <v>4</v>
      </c>
      <c r="E6" s="7" t="s">
        <v>543</v>
      </c>
      <c r="F6" s="7" t="s">
        <v>2</v>
      </c>
      <c r="G6" s="7" t="s">
        <v>5</v>
      </c>
    </row>
    <row r="7" spans="2:9">
      <c r="B7" s="2">
        <f>C12</f>
        <v>293652315.46560001</v>
      </c>
      <c r="C7" s="2">
        <f>(C4+D7+D7)</f>
        <v>242991624.17307693</v>
      </c>
      <c r="D7" s="2">
        <f>D4</f>
        <v>16199441.611538466</v>
      </c>
      <c r="E7" s="2">
        <f>B7-C7</f>
        <v>50660691.292523086</v>
      </c>
      <c r="F7" s="2">
        <f>F4-(D7/2)</f>
        <v>60294361.14873077</v>
      </c>
      <c r="G7" s="2">
        <f>G4-(D7/2)</f>
        <v>-6611679.577197805</v>
      </c>
    </row>
    <row r="10" spans="2:9">
      <c r="H10" s="1"/>
    </row>
    <row r="11" spans="2:9">
      <c r="B11" s="100" t="s">
        <v>0</v>
      </c>
      <c r="C11" s="2">
        <v>262189567.38</v>
      </c>
      <c r="D11" s="100" t="s">
        <v>104</v>
      </c>
    </row>
    <row r="12" spans="2:9">
      <c r="C12" s="101">
        <f>C11+(C11*12%)</f>
        <v>293652315.46560001</v>
      </c>
      <c r="D12" s="100" t="s">
        <v>105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10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57" sqref="M57"/>
    </sheetView>
  </sheetViews>
  <sheetFormatPr defaultRowHeight="15"/>
  <cols>
    <col min="1" max="1" width="3.5703125" customWidth="1"/>
    <col min="2" max="2" width="14.42578125" bestFit="1" customWidth="1"/>
    <col min="3" max="20" width="14.85546875" customWidth="1"/>
    <col min="21" max="21" width="16.140625" customWidth="1"/>
  </cols>
  <sheetData>
    <row r="2" spans="2:21" ht="15.75" thickBot="1"/>
    <row r="3" spans="2:21" s="98" customFormat="1" ht="24.95" customHeight="1" thickBot="1">
      <c r="B3" s="95"/>
      <c r="C3" s="96" t="s">
        <v>89</v>
      </c>
      <c r="D3" s="96" t="s">
        <v>90</v>
      </c>
      <c r="E3" s="96" t="s">
        <v>91</v>
      </c>
      <c r="F3" s="96" t="s">
        <v>92</v>
      </c>
      <c r="G3" s="96" t="s">
        <v>93</v>
      </c>
      <c r="H3" s="96" t="s">
        <v>94</v>
      </c>
      <c r="I3" s="96" t="s">
        <v>95</v>
      </c>
      <c r="J3" s="96" t="s">
        <v>96</v>
      </c>
      <c r="K3" s="96" t="s">
        <v>97</v>
      </c>
      <c r="L3" s="96" t="s">
        <v>98</v>
      </c>
      <c r="M3" s="96" t="s">
        <v>102</v>
      </c>
      <c r="N3" s="96" t="s">
        <v>103</v>
      </c>
      <c r="O3" s="96" t="s">
        <v>89</v>
      </c>
      <c r="P3" s="96" t="s">
        <v>90</v>
      </c>
      <c r="Q3" s="96" t="s">
        <v>91</v>
      </c>
      <c r="R3" s="96" t="s">
        <v>92</v>
      </c>
      <c r="S3" s="96" t="s">
        <v>93</v>
      </c>
      <c r="T3" s="96" t="s">
        <v>94</v>
      </c>
      <c r="U3" s="97" t="s">
        <v>75</v>
      </c>
    </row>
    <row r="4" spans="2:21">
      <c r="B4" s="86" t="s">
        <v>99</v>
      </c>
      <c r="C4" s="87">
        <v>23482638.430000003</v>
      </c>
      <c r="D4" s="87">
        <v>20074334.005000003</v>
      </c>
      <c r="E4" s="87">
        <v>17770863.73</v>
      </c>
      <c r="F4" s="87">
        <v>17764002.074999996</v>
      </c>
      <c r="G4" s="87">
        <v>18199293.789999999</v>
      </c>
      <c r="H4" s="87">
        <v>6077470.4699999997</v>
      </c>
      <c r="I4" s="87">
        <v>12565354.600000001</v>
      </c>
      <c r="J4" s="87">
        <v>15490003.41</v>
      </c>
      <c r="K4" s="87">
        <v>12563498.284999998</v>
      </c>
      <c r="L4" s="87">
        <v>14517291.825000003</v>
      </c>
      <c r="M4" s="87">
        <v>14174044.424999999</v>
      </c>
      <c r="N4" s="87">
        <v>15446444.195</v>
      </c>
      <c r="O4" s="302">
        <v>17354880.010000002</v>
      </c>
      <c r="P4" s="302"/>
      <c r="Q4" s="302"/>
      <c r="R4" s="302"/>
      <c r="S4" s="302"/>
      <c r="T4" s="302"/>
      <c r="U4" s="88">
        <f>SUM(C4:T4)</f>
        <v>205480119.25</v>
      </c>
    </row>
    <row r="5" spans="2:21">
      <c r="B5" s="86" t="s">
        <v>100</v>
      </c>
      <c r="C5" s="87"/>
      <c r="D5" s="87">
        <v>113291.3</v>
      </c>
      <c r="E5" s="87">
        <v>125798.94</v>
      </c>
      <c r="F5" s="87"/>
      <c r="G5" s="87"/>
      <c r="H5" s="87">
        <v>76438.06</v>
      </c>
      <c r="I5" s="87">
        <v>312951.71000000002</v>
      </c>
      <c r="J5" s="87">
        <v>239744.38</v>
      </c>
      <c r="K5" s="87">
        <v>125298.98000000001</v>
      </c>
      <c r="L5" s="87">
        <v>236620.18</v>
      </c>
      <c r="M5" s="87">
        <v>345838.47499999998</v>
      </c>
      <c r="N5" s="87">
        <v>90171.48</v>
      </c>
      <c r="O5" s="302"/>
      <c r="P5" s="302"/>
      <c r="Q5" s="302"/>
      <c r="R5" s="302"/>
      <c r="S5" s="302"/>
      <c r="T5" s="302"/>
      <c r="U5" s="88">
        <f t="shared" ref="U5" si="0">SUM(C5:T5)</f>
        <v>1666153.5049999999</v>
      </c>
    </row>
    <row r="6" spans="2:21" ht="15.75" thickBot="1">
      <c r="B6" s="89" t="s">
        <v>101</v>
      </c>
      <c r="C6" s="90">
        <v>19540.099999999999</v>
      </c>
      <c r="D6" s="90">
        <v>111430.86</v>
      </c>
      <c r="E6" s="90">
        <v>119482.66</v>
      </c>
      <c r="F6" s="90">
        <v>405319.77</v>
      </c>
      <c r="G6" s="90">
        <v>223081.60000000001</v>
      </c>
      <c r="H6" s="90">
        <v>163595.25</v>
      </c>
      <c r="I6" s="90">
        <v>256777.86</v>
      </c>
      <c r="J6" s="90">
        <v>234803.02000000002</v>
      </c>
      <c r="K6" s="90">
        <v>260112.70500000002</v>
      </c>
      <c r="L6" s="90">
        <v>357097.01</v>
      </c>
      <c r="M6" s="90">
        <v>208625.66</v>
      </c>
      <c r="N6" s="90">
        <v>589204.35</v>
      </c>
      <c r="O6" s="303">
        <v>497397.35</v>
      </c>
      <c r="P6" s="303"/>
      <c r="Q6" s="303"/>
      <c r="R6" s="303"/>
      <c r="S6" s="303"/>
      <c r="T6" s="303"/>
      <c r="U6" s="88">
        <f>SUM(C6:T6)</f>
        <v>3446468.1950000003</v>
      </c>
    </row>
    <row r="7" spans="2:21" ht="15.75" thickBot="1">
      <c r="B7" s="91" t="s">
        <v>75</v>
      </c>
      <c r="C7" s="92">
        <f>SUM(C4:C6)</f>
        <v>23502178.530000005</v>
      </c>
      <c r="D7" s="92">
        <f t="shared" ref="D7:K7" si="1">SUM(D4:D6)</f>
        <v>20299056.165000003</v>
      </c>
      <c r="E7" s="92">
        <f t="shared" si="1"/>
        <v>18016145.330000002</v>
      </c>
      <c r="F7" s="92">
        <f t="shared" si="1"/>
        <v>18169321.844999995</v>
      </c>
      <c r="G7" s="92">
        <f t="shared" si="1"/>
        <v>18422375.390000001</v>
      </c>
      <c r="H7" s="92">
        <f t="shared" si="1"/>
        <v>6317503.7799999993</v>
      </c>
      <c r="I7" s="92">
        <f t="shared" si="1"/>
        <v>13135084.170000002</v>
      </c>
      <c r="J7" s="92">
        <f t="shared" si="1"/>
        <v>15964550.810000001</v>
      </c>
      <c r="K7" s="92">
        <f t="shared" si="1"/>
        <v>12948909.969999999</v>
      </c>
      <c r="L7" s="92">
        <f>SUM(L4:L6)</f>
        <v>15111009.015000002</v>
      </c>
      <c r="M7" s="92">
        <f>SUM(M4:M6)</f>
        <v>14728508.559999999</v>
      </c>
      <c r="N7" s="92">
        <f>SUM(N4:N6)</f>
        <v>16125820.025</v>
      </c>
      <c r="O7" s="92">
        <f>SUM(O4:O6)</f>
        <v>17852277.360000003</v>
      </c>
      <c r="P7" s="92"/>
      <c r="Q7" s="92"/>
      <c r="R7" s="92"/>
      <c r="S7" s="92"/>
      <c r="T7" s="92"/>
      <c r="U7" s="93">
        <f>SUM(U4:U6)</f>
        <v>210592740.94999999</v>
      </c>
    </row>
    <row r="8" spans="2:21" ht="15.75" thickBot="1">
      <c r="B8" s="91" t="s">
        <v>106</v>
      </c>
      <c r="C8" s="99">
        <f>AVERAGEA(C7:O7)</f>
        <v>16199441.611538466</v>
      </c>
    </row>
    <row r="9" spans="2:21"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</row>
    <row r="10" spans="2:21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U82"/>
  <sheetViews>
    <sheetView zoomScale="75" zoomScaleNormal="75" workbookViewId="0">
      <pane xSplit="3" ySplit="10" topLeftCell="AP19" activePane="bottomRight" state="frozen"/>
      <selection pane="topRight" activeCell="D1" sqref="D1"/>
      <selection pane="bottomLeft" activeCell="A7" sqref="A7"/>
      <selection pane="bottomRight" activeCell="AX40" sqref="AX40"/>
    </sheetView>
  </sheetViews>
  <sheetFormatPr defaultColWidth="9" defaultRowHeight="15"/>
  <cols>
    <col min="1" max="1" width="25" style="217" customWidth="1"/>
    <col min="2" max="2" width="5.7109375" style="217" bestFit="1" customWidth="1"/>
    <col min="3" max="3" width="16.28515625" style="217" customWidth="1"/>
    <col min="4" max="4" width="16" style="217" bestFit="1" customWidth="1"/>
    <col min="5" max="5" width="16.7109375" style="217" bestFit="1" customWidth="1"/>
    <col min="6" max="6" width="13.28515625" style="217" customWidth="1"/>
    <col min="7" max="7" width="13.42578125" style="217" customWidth="1"/>
    <col min="8" max="8" width="11.140625" style="217" customWidth="1"/>
    <col min="9" max="9" width="11.42578125" style="217" customWidth="1"/>
    <col min="10" max="10" width="12" style="217" customWidth="1"/>
    <col min="11" max="11" width="11.7109375" style="217" customWidth="1"/>
    <col min="12" max="12" width="12" style="217" customWidth="1"/>
    <col min="13" max="13" width="13.42578125" style="217" customWidth="1"/>
    <col min="14" max="14" width="12" style="217" customWidth="1"/>
    <col min="15" max="15" width="11.85546875" style="217" customWidth="1"/>
    <col min="16" max="16" width="13.85546875" style="217" customWidth="1"/>
    <col min="17" max="17" width="11.7109375" style="217" customWidth="1"/>
    <col min="18" max="20" width="13.42578125" style="217" customWidth="1"/>
    <col min="21" max="21" width="15.42578125" style="217" customWidth="1"/>
    <col min="22" max="22" width="12.140625" style="217" customWidth="1"/>
    <col min="23" max="23" width="13.85546875" style="217" customWidth="1"/>
    <col min="24" max="24" width="14.42578125" style="217" customWidth="1"/>
    <col min="25" max="26" width="15" style="217" customWidth="1"/>
    <col min="27" max="27" width="14.7109375" style="217" customWidth="1"/>
    <col min="28" max="28" width="12.140625" style="217" customWidth="1"/>
    <col min="29" max="29" width="16.42578125" style="217" customWidth="1"/>
    <col min="30" max="35" width="14.85546875" style="217" customWidth="1"/>
    <col min="36" max="37" width="14.42578125" style="217" customWidth="1"/>
    <col min="38" max="38" width="11.28515625" style="217" customWidth="1"/>
    <col min="39" max="39" width="11.28515625" style="217" bestFit="1" customWidth="1"/>
    <col min="40" max="41" width="20.28515625" style="217" customWidth="1"/>
    <col min="42" max="42" width="20" style="217" bestFit="1" customWidth="1"/>
    <col min="43" max="43" width="11.42578125" style="217" customWidth="1"/>
    <col min="44" max="44" width="12.5703125" style="217" customWidth="1"/>
    <col min="45" max="45" width="10.5703125" style="217" hidden="1" customWidth="1"/>
    <col min="46" max="46" width="10.85546875" style="217" customWidth="1"/>
    <col min="47" max="47" width="12.140625" style="217" customWidth="1"/>
    <col min="48" max="48" width="11.140625" style="217" customWidth="1"/>
    <col min="49" max="49" width="11" style="217" customWidth="1"/>
    <col min="50" max="50" width="11.42578125" style="217" customWidth="1"/>
    <col min="51" max="51" width="13.7109375" style="217" customWidth="1"/>
    <col min="52" max="52" width="12.42578125" style="217" customWidth="1"/>
    <col min="53" max="53" width="22.42578125" style="217" customWidth="1"/>
    <col min="54" max="54" width="28.7109375" style="217" customWidth="1"/>
    <col min="55" max="55" width="20.7109375" style="217" customWidth="1"/>
    <col min="56" max="56" width="20.5703125" style="217" customWidth="1"/>
    <col min="57" max="58" width="21.140625" style="217" hidden="1" customWidth="1"/>
    <col min="59" max="60" width="25.42578125" style="217" hidden="1" customWidth="1"/>
    <col min="61" max="61" width="20.85546875" style="217" customWidth="1"/>
    <col min="62" max="62" width="20.28515625" style="217" customWidth="1"/>
    <col min="63" max="63" width="1.28515625" style="217" customWidth="1"/>
    <col min="64" max="64" width="14.7109375" style="217" bestFit="1" customWidth="1"/>
    <col min="65" max="65" width="16.42578125" style="217" customWidth="1"/>
    <col min="66" max="66" width="9.140625" style="218" customWidth="1"/>
    <col min="67" max="67" width="22.140625" style="217" customWidth="1"/>
    <col min="68" max="68" width="21.42578125" style="217" customWidth="1"/>
    <col min="69" max="69" width="23.42578125" style="217" customWidth="1"/>
    <col min="70" max="70" width="25.42578125" style="217" customWidth="1"/>
    <col min="71" max="71" width="26.5703125" style="217" customWidth="1"/>
    <col min="72" max="72" width="26.42578125" style="217" customWidth="1"/>
    <col min="73" max="73" width="25.85546875" style="217" customWidth="1"/>
    <col min="74" max="74" width="27.28515625" style="217" customWidth="1"/>
    <col min="75" max="75" width="27.85546875" style="217" customWidth="1"/>
    <col min="76" max="76" width="25.28515625" style="217" customWidth="1"/>
    <col min="77" max="77" width="29.42578125" style="217" customWidth="1"/>
    <col min="78" max="78" width="27.85546875" style="217" customWidth="1"/>
    <col min="79" max="79" width="28.42578125" style="217" customWidth="1"/>
    <col min="80" max="80" width="26.5703125" style="217" customWidth="1"/>
    <col min="81" max="81" width="28.5703125" style="217" customWidth="1"/>
    <col min="82" max="82" width="29.42578125" style="217" customWidth="1"/>
    <col min="83" max="83" width="27.85546875" style="217" customWidth="1"/>
    <col min="84" max="84" width="25.85546875" style="217" customWidth="1"/>
    <col min="85" max="85" width="28.140625" style="217" customWidth="1"/>
    <col min="86" max="86" width="27.7109375" style="217" customWidth="1"/>
    <col min="87" max="87" width="26.42578125" style="217" customWidth="1"/>
    <col min="88" max="88" width="27.5703125" style="217" customWidth="1"/>
    <col min="89" max="89" width="25.5703125" style="217" customWidth="1"/>
    <col min="90" max="90" width="24.5703125" style="217" customWidth="1"/>
    <col min="91" max="91" width="26.28515625" style="217" customWidth="1"/>
    <col min="92" max="92" width="28.42578125" style="217" customWidth="1"/>
    <col min="93" max="93" width="25.140625" style="217" customWidth="1"/>
    <col min="94" max="94" width="30" style="217" customWidth="1"/>
    <col min="95" max="95" width="25.28515625" style="217" customWidth="1"/>
    <col min="96" max="96" width="27.140625" style="217" customWidth="1"/>
    <col min="97" max="97" width="24.85546875" style="217" bestFit="1" customWidth="1"/>
    <col min="98" max="98" width="17.28515625" style="217" customWidth="1"/>
    <col min="99" max="99" width="15.28515625" style="217" bestFit="1" customWidth="1"/>
    <col min="100" max="16384" width="9" style="217"/>
  </cols>
  <sheetData>
    <row r="1" spans="1:99" ht="9.75" customHeight="1">
      <c r="A1" s="537"/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537"/>
      <c r="AO1" s="537"/>
      <c r="AP1" s="537"/>
      <c r="AQ1" s="537"/>
      <c r="AR1" s="537"/>
      <c r="AS1" s="537"/>
      <c r="AT1" s="537"/>
      <c r="AU1" s="537"/>
      <c r="AV1" s="537"/>
      <c r="AW1" s="537"/>
      <c r="AX1" s="537"/>
      <c r="AY1" s="537"/>
      <c r="AZ1" s="537"/>
      <c r="BA1" s="537"/>
      <c r="BB1" s="537"/>
      <c r="BC1" s="537"/>
      <c r="BD1" s="537"/>
      <c r="BE1" s="537"/>
      <c r="BF1" s="537"/>
      <c r="BG1" s="537"/>
      <c r="BH1" s="537"/>
      <c r="BI1" s="537"/>
      <c r="BJ1" s="537"/>
    </row>
    <row r="2" spans="1:99" ht="15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I2" s="219"/>
      <c r="BJ2" s="219"/>
    </row>
    <row r="3" spans="1:99" ht="15.75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L3" s="220">
        <f>SUMIF(BL11:BL33,"&lt;0",BL11:BL34)</f>
        <v>-12078.020000000004</v>
      </c>
      <c r="BM3" s="220">
        <f>SUMIF(BM11:BM33,"&lt;0",BM11:BM34)</f>
        <v>-1124666.546771429</v>
      </c>
    </row>
    <row r="4" spans="1:99" ht="20.25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L4" s="221">
        <f>SUMIF(BL11:BL33,"&gt;0",BL11:BL34)</f>
        <v>5095.5200000000077</v>
      </c>
      <c r="BM4" s="221">
        <f>SUMIF(BM11:BM33,"&gt;0",BM11:BM34)</f>
        <v>183245.94110000023</v>
      </c>
    </row>
    <row r="5" spans="1:99" ht="15" customHeight="1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L5" s="222">
        <f>SUM(BL3:BL4)</f>
        <v>-6982.4999999999964</v>
      </c>
      <c r="BM5" s="222">
        <f>SUM(BM3:BM4)</f>
        <v>-941420.60567142884</v>
      </c>
    </row>
    <row r="6" spans="1:99" s="224" customFormat="1" ht="20.25">
      <c r="A6" s="538" t="s">
        <v>710</v>
      </c>
      <c r="B6" s="538"/>
      <c r="C6" s="538"/>
      <c r="D6" s="538"/>
      <c r="E6" s="538"/>
      <c r="F6" s="538"/>
      <c r="G6" s="538"/>
      <c r="H6" s="538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L6" s="539"/>
      <c r="BM6" s="539"/>
      <c r="BN6" s="225"/>
    </row>
    <row r="7" spans="1:99" s="224" customFormat="1" ht="0.75" customHeight="1">
      <c r="A7" s="540" t="s">
        <v>542</v>
      </c>
      <c r="B7" s="540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  <c r="AA7" s="540"/>
      <c r="AB7" s="540"/>
      <c r="AC7" s="540"/>
      <c r="AD7" s="540"/>
      <c r="AE7" s="540"/>
      <c r="AF7" s="540"/>
      <c r="AG7" s="540"/>
      <c r="AH7" s="540"/>
      <c r="AI7" s="540"/>
      <c r="AJ7" s="540"/>
      <c r="AK7" s="540"/>
      <c r="AL7" s="540"/>
      <c r="AM7" s="540"/>
      <c r="AN7" s="540"/>
      <c r="AO7" s="540"/>
      <c r="AP7" s="540"/>
      <c r="AQ7" s="540"/>
      <c r="AR7" s="540"/>
      <c r="AS7" s="540"/>
      <c r="AT7" s="540"/>
      <c r="AU7" s="540"/>
      <c r="AV7" s="540"/>
      <c r="AW7" s="540"/>
      <c r="AX7" s="540"/>
      <c r="AY7" s="540"/>
      <c r="AZ7" s="540"/>
      <c r="BA7" s="540"/>
      <c r="BB7" s="540"/>
      <c r="BC7" s="540"/>
      <c r="BD7" s="540"/>
      <c r="BE7" s="540"/>
      <c r="BF7" s="540"/>
      <c r="BG7" s="540"/>
      <c r="BH7" s="540"/>
      <c r="BI7" s="540"/>
      <c r="BJ7" s="540"/>
      <c r="BN7" s="225"/>
    </row>
    <row r="8" spans="1:99" s="227" customFormat="1" ht="52.5" customHeight="1">
      <c r="A8" s="226"/>
      <c r="B8" s="226"/>
      <c r="C8" s="226"/>
      <c r="D8" s="226"/>
      <c r="E8" s="226"/>
      <c r="F8" s="226"/>
      <c r="G8" s="226"/>
      <c r="H8" s="226"/>
      <c r="I8" s="541" t="s">
        <v>33</v>
      </c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41"/>
      <c r="V8" s="541"/>
      <c r="W8" s="541"/>
      <c r="X8" s="541"/>
      <c r="Y8" s="541"/>
      <c r="Z8" s="541"/>
      <c r="AA8" s="541"/>
      <c r="AB8" s="541"/>
      <c r="AC8" s="541"/>
      <c r="AD8" s="541"/>
      <c r="AE8" s="541"/>
      <c r="AF8" s="541"/>
      <c r="AG8" s="541"/>
      <c r="AH8" s="541"/>
      <c r="AI8" s="541"/>
      <c r="AJ8" s="541"/>
      <c r="AK8" s="541"/>
      <c r="AL8" s="541"/>
      <c r="AM8" s="541"/>
      <c r="AN8" s="287"/>
      <c r="AO8" s="287"/>
      <c r="AP8" s="542" t="s">
        <v>46</v>
      </c>
      <c r="AQ8" s="543"/>
      <c r="AR8" s="543"/>
      <c r="AS8" s="543"/>
      <c r="AT8" s="543"/>
      <c r="AU8" s="543"/>
      <c r="AV8" s="543"/>
      <c r="AW8" s="543"/>
      <c r="AX8" s="543"/>
      <c r="AY8" s="543"/>
      <c r="AZ8" s="543"/>
      <c r="BA8" s="543"/>
      <c r="BB8" s="544"/>
      <c r="BC8" s="545" t="s">
        <v>34</v>
      </c>
      <c r="BD8" s="546"/>
      <c r="BE8" s="547"/>
      <c r="BF8" s="527"/>
      <c r="BG8" s="535" t="s">
        <v>574</v>
      </c>
      <c r="BH8" s="536"/>
      <c r="BI8" s="548" t="s">
        <v>35</v>
      </c>
      <c r="BJ8" s="548"/>
      <c r="BL8" s="549" t="s">
        <v>47</v>
      </c>
      <c r="BM8" s="550"/>
      <c r="BN8" s="228"/>
      <c r="BO8" s="529" t="s">
        <v>48</v>
      </c>
      <c r="BP8" s="529"/>
      <c r="BQ8" s="529"/>
      <c r="BR8" s="529"/>
      <c r="BS8" s="529"/>
      <c r="BT8" s="529"/>
      <c r="BU8" s="529"/>
      <c r="BV8" s="529"/>
      <c r="BW8" s="529"/>
      <c r="BX8" s="529"/>
      <c r="BY8" s="529"/>
      <c r="BZ8" s="529"/>
      <c r="CA8" s="529"/>
      <c r="CB8" s="529"/>
      <c r="CC8" s="529"/>
      <c r="CD8" s="529"/>
      <c r="CE8" s="529"/>
      <c r="CF8" s="529"/>
      <c r="CG8" s="529"/>
      <c r="CH8" s="529"/>
      <c r="CI8" s="529"/>
      <c r="CJ8" s="529"/>
      <c r="CK8" s="529"/>
      <c r="CL8" s="529"/>
      <c r="CM8" s="529"/>
      <c r="CN8" s="529"/>
      <c r="CO8" s="529"/>
      <c r="CP8" s="529"/>
      <c r="CQ8" s="529"/>
      <c r="CR8" s="529"/>
      <c r="CS8" s="530"/>
      <c r="CT8" s="438" t="s">
        <v>27</v>
      </c>
    </row>
    <row r="9" spans="1:99" s="232" customFormat="1" ht="51.75" customHeight="1">
      <c r="A9" s="531" t="s">
        <v>9</v>
      </c>
      <c r="B9" s="531" t="s">
        <v>36</v>
      </c>
      <c r="C9" s="532" t="s">
        <v>595</v>
      </c>
      <c r="D9" s="553" t="s">
        <v>592</v>
      </c>
      <c r="E9" s="533" t="s">
        <v>690</v>
      </c>
      <c r="F9" s="533"/>
      <c r="G9" s="534" t="s">
        <v>38</v>
      </c>
      <c r="H9" s="534"/>
      <c r="I9" s="229">
        <v>46143</v>
      </c>
      <c r="J9" s="229">
        <v>46144</v>
      </c>
      <c r="K9" s="229">
        <v>46145</v>
      </c>
      <c r="L9" s="229">
        <v>46146</v>
      </c>
      <c r="M9" s="229">
        <v>46147</v>
      </c>
      <c r="N9" s="229">
        <v>46148</v>
      </c>
      <c r="O9" s="229">
        <v>46149</v>
      </c>
      <c r="P9" s="229">
        <v>46150</v>
      </c>
      <c r="Q9" s="229">
        <v>46151</v>
      </c>
      <c r="R9" s="229">
        <v>46152</v>
      </c>
      <c r="S9" s="229">
        <v>46153</v>
      </c>
      <c r="T9" s="229">
        <v>46154</v>
      </c>
      <c r="U9" s="229">
        <v>46155</v>
      </c>
      <c r="V9" s="229">
        <v>46156</v>
      </c>
      <c r="W9" s="229">
        <v>46157</v>
      </c>
      <c r="X9" s="229">
        <v>46158</v>
      </c>
      <c r="Y9" s="229">
        <v>46159</v>
      </c>
      <c r="Z9" s="229">
        <v>46160</v>
      </c>
      <c r="AA9" s="229">
        <v>46161</v>
      </c>
      <c r="AB9" s="229">
        <v>46162</v>
      </c>
      <c r="AC9" s="229">
        <v>46163</v>
      </c>
      <c r="AD9" s="229">
        <v>46164</v>
      </c>
      <c r="AE9" s="229">
        <v>46165</v>
      </c>
      <c r="AF9" s="229">
        <v>46166</v>
      </c>
      <c r="AG9" s="229">
        <v>46167</v>
      </c>
      <c r="AH9" s="229">
        <v>46168</v>
      </c>
      <c r="AI9" s="229">
        <v>46169</v>
      </c>
      <c r="AJ9" s="229">
        <v>46170</v>
      </c>
      <c r="AK9" s="229">
        <v>46171</v>
      </c>
      <c r="AL9" s="229">
        <v>46172</v>
      </c>
      <c r="AM9" s="229">
        <v>46173</v>
      </c>
      <c r="AN9" s="229" t="s">
        <v>536</v>
      </c>
      <c r="AO9" s="229" t="s">
        <v>597</v>
      </c>
      <c r="AP9" s="230" t="s">
        <v>723</v>
      </c>
      <c r="AQ9" s="230" t="s">
        <v>49</v>
      </c>
      <c r="AR9" s="230" t="s">
        <v>50</v>
      </c>
      <c r="AS9" s="230" t="s">
        <v>573</v>
      </c>
      <c r="AT9" s="230" t="s">
        <v>544</v>
      </c>
      <c r="AU9" s="230" t="s">
        <v>51</v>
      </c>
      <c r="AV9" s="230" t="s">
        <v>52</v>
      </c>
      <c r="AW9" s="230" t="s">
        <v>53</v>
      </c>
      <c r="AX9" s="230" t="s">
        <v>54</v>
      </c>
      <c r="AY9" s="230" t="s">
        <v>107</v>
      </c>
      <c r="AZ9" s="230" t="s">
        <v>593</v>
      </c>
      <c r="BA9" s="230" t="s">
        <v>724</v>
      </c>
      <c r="BB9" s="230" t="s">
        <v>55</v>
      </c>
      <c r="BC9" s="335">
        <v>46162</v>
      </c>
      <c r="BD9" s="335">
        <v>46168</v>
      </c>
      <c r="BE9" s="335"/>
      <c r="BF9" s="335"/>
      <c r="BG9" s="399"/>
      <c r="BH9" s="399"/>
      <c r="BI9" s="231" t="s">
        <v>711</v>
      </c>
      <c r="BJ9" s="231" t="s">
        <v>712</v>
      </c>
      <c r="BL9" s="551"/>
      <c r="BM9" s="552"/>
      <c r="BN9" s="233"/>
      <c r="BO9" s="234">
        <f t="shared" ref="BO9:CS9" si="0">I9</f>
        <v>46143</v>
      </c>
      <c r="BP9" s="234">
        <f t="shared" si="0"/>
        <v>46144</v>
      </c>
      <c r="BQ9" s="234">
        <f t="shared" si="0"/>
        <v>46145</v>
      </c>
      <c r="BR9" s="234">
        <f t="shared" si="0"/>
        <v>46146</v>
      </c>
      <c r="BS9" s="234">
        <f t="shared" si="0"/>
        <v>46147</v>
      </c>
      <c r="BT9" s="234">
        <f t="shared" si="0"/>
        <v>46148</v>
      </c>
      <c r="BU9" s="234">
        <f t="shared" si="0"/>
        <v>46149</v>
      </c>
      <c r="BV9" s="234">
        <f t="shared" si="0"/>
        <v>46150</v>
      </c>
      <c r="BW9" s="234">
        <f t="shared" si="0"/>
        <v>46151</v>
      </c>
      <c r="BX9" s="234">
        <f t="shared" si="0"/>
        <v>46152</v>
      </c>
      <c r="BY9" s="234">
        <f t="shared" si="0"/>
        <v>46153</v>
      </c>
      <c r="BZ9" s="234">
        <f t="shared" si="0"/>
        <v>46154</v>
      </c>
      <c r="CA9" s="234">
        <f t="shared" si="0"/>
        <v>46155</v>
      </c>
      <c r="CB9" s="234">
        <f t="shared" si="0"/>
        <v>46156</v>
      </c>
      <c r="CC9" s="234">
        <f t="shared" si="0"/>
        <v>46157</v>
      </c>
      <c r="CD9" s="234">
        <f t="shared" si="0"/>
        <v>46158</v>
      </c>
      <c r="CE9" s="234">
        <f t="shared" si="0"/>
        <v>46159</v>
      </c>
      <c r="CF9" s="234">
        <f t="shared" si="0"/>
        <v>46160</v>
      </c>
      <c r="CG9" s="234">
        <f t="shared" si="0"/>
        <v>46161</v>
      </c>
      <c r="CH9" s="234">
        <f t="shared" si="0"/>
        <v>46162</v>
      </c>
      <c r="CI9" s="234">
        <f t="shared" si="0"/>
        <v>46163</v>
      </c>
      <c r="CJ9" s="234">
        <f t="shared" si="0"/>
        <v>46164</v>
      </c>
      <c r="CK9" s="234">
        <f t="shared" si="0"/>
        <v>46165</v>
      </c>
      <c r="CL9" s="234">
        <f t="shared" si="0"/>
        <v>46166</v>
      </c>
      <c r="CM9" s="234">
        <f t="shared" si="0"/>
        <v>46167</v>
      </c>
      <c r="CN9" s="234">
        <f t="shared" si="0"/>
        <v>46168</v>
      </c>
      <c r="CO9" s="234">
        <f t="shared" si="0"/>
        <v>46169</v>
      </c>
      <c r="CP9" s="234">
        <f t="shared" si="0"/>
        <v>46170</v>
      </c>
      <c r="CQ9" s="234">
        <f t="shared" si="0"/>
        <v>46171</v>
      </c>
      <c r="CR9" s="234">
        <f t="shared" si="0"/>
        <v>46172</v>
      </c>
      <c r="CS9" s="436">
        <f t="shared" si="0"/>
        <v>46173</v>
      </c>
      <c r="CT9" s="439"/>
    </row>
    <row r="10" spans="1:99" s="232" customFormat="1" ht="60" customHeight="1">
      <c r="A10" s="531"/>
      <c r="B10" s="531"/>
      <c r="C10" s="532"/>
      <c r="D10" s="554"/>
      <c r="E10" s="235" t="s">
        <v>10</v>
      </c>
      <c r="F10" s="236" t="s">
        <v>12</v>
      </c>
      <c r="G10" s="237" t="s">
        <v>10</v>
      </c>
      <c r="H10" s="238" t="s">
        <v>12</v>
      </c>
      <c r="I10" s="239" t="s">
        <v>10</v>
      </c>
      <c r="J10" s="239" t="s">
        <v>10</v>
      </c>
      <c r="K10" s="239" t="s">
        <v>10</v>
      </c>
      <c r="L10" s="239" t="s">
        <v>10</v>
      </c>
      <c r="M10" s="239" t="s">
        <v>10</v>
      </c>
      <c r="N10" s="239" t="s">
        <v>10</v>
      </c>
      <c r="O10" s="239" t="s">
        <v>10</v>
      </c>
      <c r="P10" s="239" t="s">
        <v>10</v>
      </c>
      <c r="Q10" s="239" t="s">
        <v>10</v>
      </c>
      <c r="R10" s="239" t="s">
        <v>10</v>
      </c>
      <c r="S10" s="239" t="s">
        <v>10</v>
      </c>
      <c r="T10" s="239" t="s">
        <v>10</v>
      </c>
      <c r="U10" s="239" t="s">
        <v>10</v>
      </c>
      <c r="V10" s="239" t="s">
        <v>10</v>
      </c>
      <c r="W10" s="239" t="s">
        <v>10</v>
      </c>
      <c r="X10" s="239" t="s">
        <v>10</v>
      </c>
      <c r="Y10" s="239" t="s">
        <v>10</v>
      </c>
      <c r="Z10" s="239" t="s">
        <v>10</v>
      </c>
      <c r="AA10" s="239" t="s">
        <v>10</v>
      </c>
      <c r="AB10" s="239" t="s">
        <v>10</v>
      </c>
      <c r="AC10" s="239" t="s">
        <v>10</v>
      </c>
      <c r="AD10" s="239" t="s">
        <v>10</v>
      </c>
      <c r="AE10" s="239" t="s">
        <v>10</v>
      </c>
      <c r="AF10" s="239" t="s">
        <v>10</v>
      </c>
      <c r="AG10" s="239" t="s">
        <v>10</v>
      </c>
      <c r="AH10" s="239" t="s">
        <v>10</v>
      </c>
      <c r="AI10" s="239" t="s">
        <v>10</v>
      </c>
      <c r="AJ10" s="239" t="s">
        <v>10</v>
      </c>
      <c r="AK10" s="239" t="s">
        <v>10</v>
      </c>
      <c r="AL10" s="239" t="s">
        <v>10</v>
      </c>
      <c r="AM10" s="239" t="s">
        <v>10</v>
      </c>
      <c r="AN10" s="239" t="s">
        <v>10</v>
      </c>
      <c r="AO10" s="239" t="s">
        <v>10</v>
      </c>
      <c r="AP10" s="240" t="s">
        <v>10</v>
      </c>
      <c r="AQ10" s="240" t="s">
        <v>10</v>
      </c>
      <c r="AR10" s="240" t="s">
        <v>10</v>
      </c>
      <c r="AS10" s="240" t="s">
        <v>10</v>
      </c>
      <c r="AT10" s="240" t="s">
        <v>10</v>
      </c>
      <c r="AU10" s="240" t="s">
        <v>10</v>
      </c>
      <c r="AV10" s="240" t="s">
        <v>10</v>
      </c>
      <c r="AW10" s="240" t="s">
        <v>10</v>
      </c>
      <c r="AX10" s="240" t="s">
        <v>10</v>
      </c>
      <c r="AY10" s="240" t="s">
        <v>10</v>
      </c>
      <c r="AZ10" s="240" t="s">
        <v>10</v>
      </c>
      <c r="BA10" s="240" t="s">
        <v>10</v>
      </c>
      <c r="BB10" s="240" t="s">
        <v>10</v>
      </c>
      <c r="BC10" s="237" t="s">
        <v>10</v>
      </c>
      <c r="BD10" s="237" t="s">
        <v>10</v>
      </c>
      <c r="BE10" s="241" t="s">
        <v>10</v>
      </c>
      <c r="BF10" s="241" t="s">
        <v>10</v>
      </c>
      <c r="BG10" s="393" t="s">
        <v>10</v>
      </c>
      <c r="BH10" s="393" t="s">
        <v>10</v>
      </c>
      <c r="BI10" s="242" t="s">
        <v>10</v>
      </c>
      <c r="BJ10" s="231" t="s">
        <v>12</v>
      </c>
      <c r="BL10" s="243" t="s">
        <v>10</v>
      </c>
      <c r="BM10" s="244" t="s">
        <v>56</v>
      </c>
      <c r="BN10" s="233"/>
      <c r="BO10" s="245" t="s">
        <v>59</v>
      </c>
      <c r="BP10" s="245" t="s">
        <v>60</v>
      </c>
      <c r="BQ10" s="245" t="s">
        <v>61</v>
      </c>
      <c r="BR10" s="245" t="s">
        <v>62</v>
      </c>
      <c r="BS10" s="245" t="s">
        <v>63</v>
      </c>
      <c r="BT10" s="245" t="s">
        <v>57</v>
      </c>
      <c r="BU10" s="245" t="s">
        <v>58</v>
      </c>
      <c r="BV10" s="245" t="s">
        <v>59</v>
      </c>
      <c r="BW10" s="245" t="s">
        <v>60</v>
      </c>
      <c r="BX10" s="245" t="s">
        <v>61</v>
      </c>
      <c r="BY10" s="245" t="s">
        <v>62</v>
      </c>
      <c r="BZ10" s="245" t="s">
        <v>63</v>
      </c>
      <c r="CA10" s="245" t="s">
        <v>57</v>
      </c>
      <c r="CB10" s="245" t="s">
        <v>58</v>
      </c>
      <c r="CC10" s="245" t="s">
        <v>59</v>
      </c>
      <c r="CD10" s="245" t="s">
        <v>60</v>
      </c>
      <c r="CE10" s="245" t="s">
        <v>61</v>
      </c>
      <c r="CF10" s="245" t="s">
        <v>62</v>
      </c>
      <c r="CG10" s="245" t="s">
        <v>63</v>
      </c>
      <c r="CH10" s="245" t="s">
        <v>57</v>
      </c>
      <c r="CI10" s="245" t="s">
        <v>58</v>
      </c>
      <c r="CJ10" s="245" t="s">
        <v>59</v>
      </c>
      <c r="CK10" s="245" t="s">
        <v>60</v>
      </c>
      <c r="CL10" s="245" t="s">
        <v>61</v>
      </c>
      <c r="CM10" s="245" t="s">
        <v>62</v>
      </c>
      <c r="CN10" s="245" t="s">
        <v>63</v>
      </c>
      <c r="CO10" s="245" t="s">
        <v>57</v>
      </c>
      <c r="CP10" s="245" t="s">
        <v>58</v>
      </c>
      <c r="CQ10" s="245" t="s">
        <v>59</v>
      </c>
      <c r="CR10" s="245" t="s">
        <v>60</v>
      </c>
      <c r="CS10" s="245" t="s">
        <v>61</v>
      </c>
      <c r="CT10" s="439"/>
    </row>
    <row r="11" spans="1:99" s="259" customFormat="1" ht="18.75" customHeight="1">
      <c r="A11" s="246" t="s">
        <v>688</v>
      </c>
      <c r="B11" s="247" t="s">
        <v>39</v>
      </c>
      <c r="C11" s="248">
        <v>26.292100000000001</v>
      </c>
      <c r="D11" s="248"/>
      <c r="E11" s="249">
        <v>0</v>
      </c>
      <c r="F11" s="249">
        <v>0</v>
      </c>
      <c r="G11" s="250"/>
      <c r="H11" s="251"/>
      <c r="I11" s="252"/>
      <c r="J11" s="252">
        <v>0</v>
      </c>
      <c r="K11" s="252">
        <v>0</v>
      </c>
      <c r="L11" s="252">
        <v>0</v>
      </c>
      <c r="M11" s="252">
        <v>0</v>
      </c>
      <c r="N11" s="252">
        <v>0</v>
      </c>
      <c r="O11" s="252">
        <v>0</v>
      </c>
      <c r="P11" s="252">
        <v>0</v>
      </c>
      <c r="Q11" s="252">
        <v>0</v>
      </c>
      <c r="R11" s="252">
        <v>0</v>
      </c>
      <c r="S11" s="252">
        <v>0</v>
      </c>
      <c r="T11" s="252">
        <v>0</v>
      </c>
      <c r="U11" s="252">
        <v>0</v>
      </c>
      <c r="V11" s="252">
        <v>0</v>
      </c>
      <c r="W11" s="252">
        <v>0</v>
      </c>
      <c r="X11" s="252">
        <v>0</v>
      </c>
      <c r="Y11" s="252">
        <v>0</v>
      </c>
      <c r="Z11" s="252">
        <v>0</v>
      </c>
      <c r="AA11" s="252">
        <v>0</v>
      </c>
      <c r="AB11" s="252">
        <v>0</v>
      </c>
      <c r="AC11" s="252">
        <v>0</v>
      </c>
      <c r="AD11" s="252">
        <v>0</v>
      </c>
      <c r="AE11" s="252">
        <v>0</v>
      </c>
      <c r="AF11" s="252">
        <v>0</v>
      </c>
      <c r="AG11" s="252">
        <v>0</v>
      </c>
      <c r="AH11" s="252">
        <v>0</v>
      </c>
      <c r="AI11" s="252">
        <v>0</v>
      </c>
      <c r="AJ11" s="252">
        <v>0</v>
      </c>
      <c r="AK11" s="252">
        <v>0</v>
      </c>
      <c r="AL11" s="252">
        <v>0</v>
      </c>
      <c r="AM11" s="252">
        <v>0</v>
      </c>
      <c r="AN11" s="252">
        <f t="shared" ref="AN11:AN33" si="1">SUM(I11:AM11)</f>
        <v>0</v>
      </c>
      <c r="AO11" s="268">
        <f t="shared" ref="AO11:AO33" si="2">C11*AN11</f>
        <v>0</v>
      </c>
      <c r="AP11" s="253"/>
      <c r="AQ11" s="253"/>
      <c r="AR11" s="253"/>
      <c r="AS11" s="253"/>
      <c r="AT11" s="253"/>
      <c r="AU11" s="253"/>
      <c r="AV11" s="253"/>
      <c r="AW11" s="253"/>
      <c r="AX11" s="253"/>
      <c r="AY11" s="253"/>
      <c r="AZ11" s="253"/>
      <c r="BA11" s="253">
        <f>SUM(AQ11:AY11)</f>
        <v>0</v>
      </c>
      <c r="BB11" s="253">
        <f t="shared" ref="BB11:BB33" si="3">BA11+AP11</f>
        <v>0</v>
      </c>
      <c r="BC11" s="465"/>
      <c r="BD11" s="254"/>
      <c r="BE11" s="62"/>
      <c r="BF11" s="62"/>
      <c r="BG11" s="394"/>
      <c r="BH11" s="394"/>
      <c r="BI11" s="265">
        <f t="shared" ref="BI11:BI33" si="4">E11-I11-J11-K11-L11-M11-N11-O11-P11-Q11-R11-S11-T11-U11-V11-Y11-W11-Z11-AA11-AB11-AC11-AD11-AE11-AF11-AG11-AH11-AI11-AJ11-AK11-AM11-X11-AL11+BC11+BE11+BD11+BF11</f>
        <v>0</v>
      </c>
      <c r="BJ11" s="249">
        <f t="shared" ref="BJ11:BJ23" si="5">BI11*C11</f>
        <v>0</v>
      </c>
      <c r="BK11" s="256"/>
      <c r="BL11" s="257">
        <f t="shared" ref="BL11:BL33" si="6">BB11-BI11</f>
        <v>0</v>
      </c>
      <c r="BM11" s="258">
        <f t="shared" ref="BM11:BM33" si="7">BL11*C11</f>
        <v>0</v>
      </c>
      <c r="BO11" s="260">
        <f t="shared" ref="BO11:BO33" si="8">I11*C11</f>
        <v>0</v>
      </c>
      <c r="BP11" s="260">
        <f t="shared" ref="BP11:BP33" si="9">J11*C11</f>
        <v>0</v>
      </c>
      <c r="BQ11" s="260">
        <f t="shared" ref="BQ11:BQ33" si="10">K11*C11</f>
        <v>0</v>
      </c>
      <c r="BR11" s="260">
        <f t="shared" ref="BR11:BR33" si="11">L11*C11</f>
        <v>0</v>
      </c>
      <c r="BS11" s="260">
        <f t="shared" ref="BS11:BS33" si="12">M11*C11</f>
        <v>0</v>
      </c>
      <c r="BT11" s="260">
        <f t="shared" ref="BT11:BT33" si="13">N11*C11</f>
        <v>0</v>
      </c>
      <c r="BU11" s="260">
        <f t="shared" ref="BU11:BU33" si="14">O11*C11</f>
        <v>0</v>
      </c>
      <c r="BV11" s="261">
        <f t="shared" ref="BV11:BV33" si="15">P11*C11</f>
        <v>0</v>
      </c>
      <c r="BW11" s="262">
        <f t="shared" ref="BW11:BW33" si="16">Q11*C11</f>
        <v>0</v>
      </c>
      <c r="BX11" s="260">
        <f t="shared" ref="BX11:BX33" si="17">R11*C11</f>
        <v>0</v>
      </c>
      <c r="BY11" s="260">
        <f t="shared" ref="BY11:BY33" si="18">S11*C11</f>
        <v>0</v>
      </c>
      <c r="BZ11" s="260">
        <f t="shared" ref="BZ11:BZ33" si="19">T11*C11</f>
        <v>0</v>
      </c>
      <c r="CA11" s="260">
        <f t="shared" ref="CA11:CA33" si="20">U11*C11</f>
        <v>0</v>
      </c>
      <c r="CB11" s="260">
        <f t="shared" ref="CB11:CB33" si="21">V11*C11</f>
        <v>0</v>
      </c>
      <c r="CC11" s="260">
        <f t="shared" ref="CC11:CC33" si="22">W11*C11</f>
        <v>0</v>
      </c>
      <c r="CD11" s="260">
        <f t="shared" ref="CD11:CD33" si="23">X11*C11</f>
        <v>0</v>
      </c>
      <c r="CE11" s="260">
        <f t="shared" ref="CE11:CE33" si="24">C11*Y11</f>
        <v>0</v>
      </c>
      <c r="CF11" s="260">
        <f t="shared" ref="CF11:CF33" si="25">C11*Z11</f>
        <v>0</v>
      </c>
      <c r="CG11" s="260">
        <f t="shared" ref="CG11:CG33" si="26">AA11*C11</f>
        <v>0</v>
      </c>
      <c r="CH11" s="260">
        <f t="shared" ref="CH11:CH33" si="27">C11*AB11</f>
        <v>0</v>
      </c>
      <c r="CI11" s="260">
        <f t="shared" ref="CI11:CI33" si="28">C11*AC11</f>
        <v>0</v>
      </c>
      <c r="CJ11" s="260">
        <f t="shared" ref="CJ11:CJ33" si="29">C11*AD11</f>
        <v>0</v>
      </c>
      <c r="CK11" s="262"/>
      <c r="CL11" s="260">
        <f t="shared" ref="CL11:CL33" si="30">C11*AF11</f>
        <v>0</v>
      </c>
      <c r="CM11" s="260">
        <f t="shared" ref="CM11:CM33" si="31">C11*AG11</f>
        <v>0</v>
      </c>
      <c r="CN11" s="260">
        <f t="shared" ref="CN11:CN33" si="32">C11*AH11</f>
        <v>0</v>
      </c>
      <c r="CO11" s="260">
        <f t="shared" ref="CO11:CO33" si="33">C11*AI11</f>
        <v>0</v>
      </c>
      <c r="CP11" s="260">
        <f t="shared" ref="CP11:CP33" si="34">C11*AJ11</f>
        <v>0</v>
      </c>
      <c r="CQ11" s="260">
        <f t="shared" ref="CQ11:CQ33" si="35">C11*AK11</f>
        <v>0</v>
      </c>
      <c r="CR11" s="260">
        <f t="shared" ref="CR11:CR33" si="36">C11*AL11</f>
        <v>0</v>
      </c>
      <c r="CS11" s="369">
        <f t="shared" ref="CS11:CS33" si="37">C11*AM11</f>
        <v>0</v>
      </c>
      <c r="CT11" s="440"/>
    </row>
    <row r="12" spans="1:99" s="259" customFormat="1" ht="19.5" customHeight="1">
      <c r="A12" s="246" t="s">
        <v>591</v>
      </c>
      <c r="B12" s="247" t="s">
        <v>39</v>
      </c>
      <c r="C12" s="403">
        <v>27.343800000000002</v>
      </c>
      <c r="D12" s="248">
        <v>35245</v>
      </c>
      <c r="E12" s="249">
        <v>38714</v>
      </c>
      <c r="F12" s="249">
        <v>1559389.5702000002</v>
      </c>
      <c r="G12" s="250"/>
      <c r="H12" s="251"/>
      <c r="I12" s="252"/>
      <c r="J12" s="252">
        <v>1307</v>
      </c>
      <c r="K12" s="252">
        <v>1453</v>
      </c>
      <c r="L12" s="252">
        <v>1895</v>
      </c>
      <c r="M12" s="252">
        <v>1665</v>
      </c>
      <c r="N12" s="252">
        <v>2165</v>
      </c>
      <c r="O12" s="252">
        <v>1665</v>
      </c>
      <c r="P12" s="252">
        <v>1983</v>
      </c>
      <c r="Q12" s="252">
        <v>1996</v>
      </c>
      <c r="R12" s="252">
        <v>1611</v>
      </c>
      <c r="S12" s="252">
        <v>1697</v>
      </c>
      <c r="T12" s="252">
        <v>1731</v>
      </c>
      <c r="U12" s="252">
        <v>1811</v>
      </c>
      <c r="V12" s="252">
        <v>1339</v>
      </c>
      <c r="W12" s="252">
        <v>1513</v>
      </c>
      <c r="X12" s="252">
        <v>1192</v>
      </c>
      <c r="Y12" s="252">
        <v>1434</v>
      </c>
      <c r="Z12" s="252">
        <v>1427</v>
      </c>
      <c r="AA12" s="252">
        <v>1674</v>
      </c>
      <c r="AB12" s="252">
        <v>1779</v>
      </c>
      <c r="AC12" s="252">
        <v>1679</v>
      </c>
      <c r="AD12" s="252">
        <v>1676</v>
      </c>
      <c r="AE12" s="252">
        <v>1461</v>
      </c>
      <c r="AF12" s="252">
        <v>448</v>
      </c>
      <c r="AG12" s="252">
        <v>183</v>
      </c>
      <c r="AH12" s="252">
        <v>1626</v>
      </c>
      <c r="AI12" s="252">
        <v>1432</v>
      </c>
      <c r="AJ12" s="252">
        <v>1848</v>
      </c>
      <c r="AK12" s="252">
        <v>1795</v>
      </c>
      <c r="AL12" s="252">
        <v>1347</v>
      </c>
      <c r="AM12" s="252">
        <v>1532</v>
      </c>
      <c r="AN12" s="252">
        <f>SUM(I12:AM12)</f>
        <v>46364</v>
      </c>
      <c r="AO12" s="268">
        <f t="shared" si="2"/>
        <v>1267767.9432000001</v>
      </c>
      <c r="AP12" s="253">
        <v>8000</v>
      </c>
      <c r="AQ12" s="253"/>
      <c r="AR12" s="253"/>
      <c r="AS12" s="253"/>
      <c r="AT12" s="253"/>
      <c r="AU12" s="253"/>
      <c r="AV12" s="253"/>
      <c r="AW12" s="253"/>
      <c r="AX12" s="253"/>
      <c r="AY12" s="253">
        <v>9661</v>
      </c>
      <c r="AZ12" s="253">
        <v>4052</v>
      </c>
      <c r="BA12" s="253">
        <f>SUM(AQ12:AZ12)</f>
        <v>13713</v>
      </c>
      <c r="BB12" s="253">
        <f t="shared" si="3"/>
        <v>21713</v>
      </c>
      <c r="BC12" s="465">
        <v>20000</v>
      </c>
      <c r="BD12" s="254">
        <v>15000</v>
      </c>
      <c r="BE12" s="62"/>
      <c r="BF12" s="62"/>
      <c r="BG12" s="394"/>
      <c r="BH12" s="394"/>
      <c r="BI12" s="265">
        <f t="shared" si="4"/>
        <v>27350</v>
      </c>
      <c r="BJ12" s="249">
        <f t="shared" si="5"/>
        <v>747852.93</v>
      </c>
      <c r="BK12" s="256"/>
      <c r="BL12" s="257">
        <f>BB12-BI12</f>
        <v>-5637</v>
      </c>
      <c r="BM12" s="258">
        <f t="shared" si="7"/>
        <v>-154137.0006</v>
      </c>
      <c r="BO12" s="260">
        <f t="shared" si="8"/>
        <v>0</v>
      </c>
      <c r="BP12" s="260">
        <f t="shared" si="9"/>
        <v>35738.346600000004</v>
      </c>
      <c r="BQ12" s="260">
        <f t="shared" si="10"/>
        <v>39730.541400000002</v>
      </c>
      <c r="BR12" s="260">
        <f t="shared" si="11"/>
        <v>51816.501000000004</v>
      </c>
      <c r="BS12" s="260">
        <f t="shared" si="12"/>
        <v>45527.427000000003</v>
      </c>
      <c r="BT12" s="260">
        <f t="shared" si="13"/>
        <v>59199.327000000005</v>
      </c>
      <c r="BU12" s="260">
        <f t="shared" si="14"/>
        <v>45527.427000000003</v>
      </c>
      <c r="BV12" s="261">
        <f t="shared" si="15"/>
        <v>54222.755400000002</v>
      </c>
      <c r="BW12" s="262">
        <f t="shared" si="16"/>
        <v>54578.224800000004</v>
      </c>
      <c r="BX12" s="260">
        <f t="shared" si="17"/>
        <v>44050.861800000006</v>
      </c>
      <c r="BY12" s="260">
        <f t="shared" si="18"/>
        <v>46402.428599999999</v>
      </c>
      <c r="BZ12" s="260">
        <f t="shared" si="19"/>
        <v>47332.1178</v>
      </c>
      <c r="CA12" s="260">
        <f t="shared" si="20"/>
        <v>49519.621800000001</v>
      </c>
      <c r="CB12" s="260">
        <f t="shared" si="21"/>
        <v>36613.3482</v>
      </c>
      <c r="CC12" s="260">
        <f t="shared" si="22"/>
        <v>41371.169400000006</v>
      </c>
      <c r="CD12" s="260">
        <f t="shared" si="23"/>
        <v>32593.809600000001</v>
      </c>
      <c r="CE12" s="260">
        <f t="shared" si="24"/>
        <v>39211.0092</v>
      </c>
      <c r="CF12" s="260">
        <f t="shared" si="25"/>
        <v>39019.602600000006</v>
      </c>
      <c r="CG12" s="260">
        <f t="shared" si="26"/>
        <v>45773.521200000003</v>
      </c>
      <c r="CH12" s="260">
        <f t="shared" si="27"/>
        <v>48644.620200000005</v>
      </c>
      <c r="CI12" s="260">
        <f t="shared" si="28"/>
        <v>45910.2402</v>
      </c>
      <c r="CJ12" s="260">
        <f t="shared" si="29"/>
        <v>45828.2088</v>
      </c>
      <c r="CK12" s="262">
        <f t="shared" ref="CK12:CK33" si="38">C12*AE12</f>
        <v>39949.291799999999</v>
      </c>
      <c r="CL12" s="260">
        <f t="shared" si="30"/>
        <v>12250.022400000002</v>
      </c>
      <c r="CM12" s="260">
        <f t="shared" si="31"/>
        <v>5003.9153999999999</v>
      </c>
      <c r="CN12" s="260">
        <f t="shared" si="32"/>
        <v>44461.018800000005</v>
      </c>
      <c r="CO12" s="260">
        <f t="shared" si="33"/>
        <v>39156.321600000003</v>
      </c>
      <c r="CP12" s="260">
        <f t="shared" si="34"/>
        <v>50531.342400000001</v>
      </c>
      <c r="CQ12" s="260">
        <f t="shared" si="35"/>
        <v>49082.121000000006</v>
      </c>
      <c r="CR12" s="260">
        <f t="shared" si="36"/>
        <v>36832.098600000005</v>
      </c>
      <c r="CS12" s="369">
        <f t="shared" si="37"/>
        <v>41890.7016</v>
      </c>
      <c r="CT12" s="441">
        <f>SUM(BO12:CS12)</f>
        <v>1267767.9432000001</v>
      </c>
      <c r="CU12" s="442">
        <f>CT12+CT13+CT14+CT15+CT16+CT17+CT18+CT19+CT20+CT21+CT22+CT23+CT24+CT25+CT28+CT29+CT30+CT31+CT32+CT33</f>
        <v>17329053.726214286</v>
      </c>
    </row>
    <row r="13" spans="1:99" s="259" customFormat="1" ht="21.75" customHeight="1">
      <c r="A13" s="246" t="s">
        <v>13</v>
      </c>
      <c r="B13" s="247" t="s">
        <v>39</v>
      </c>
      <c r="C13" s="248">
        <v>29.5639</v>
      </c>
      <c r="D13" s="385">
        <v>11082</v>
      </c>
      <c r="E13" s="249">
        <v>105602</v>
      </c>
      <c r="F13" s="249">
        <v>3595650.2097</v>
      </c>
      <c r="G13" s="250"/>
      <c r="H13" s="251"/>
      <c r="I13" s="252"/>
      <c r="J13" s="252">
        <v>822</v>
      </c>
      <c r="K13" s="252">
        <v>1065</v>
      </c>
      <c r="L13" s="252">
        <v>1552</v>
      </c>
      <c r="M13" s="252">
        <v>1323</v>
      </c>
      <c r="N13" s="252">
        <v>1186</v>
      </c>
      <c r="O13" s="252">
        <v>1103</v>
      </c>
      <c r="P13" s="252">
        <v>956</v>
      </c>
      <c r="Q13" s="252">
        <v>1172</v>
      </c>
      <c r="R13" s="252">
        <v>811</v>
      </c>
      <c r="S13" s="252">
        <v>1404</v>
      </c>
      <c r="T13" s="252">
        <v>1752</v>
      </c>
      <c r="U13" s="252">
        <v>1617</v>
      </c>
      <c r="V13" s="252">
        <v>1490</v>
      </c>
      <c r="W13" s="252">
        <v>926</v>
      </c>
      <c r="X13" s="252">
        <v>1081</v>
      </c>
      <c r="Y13" s="252">
        <v>1084</v>
      </c>
      <c r="Z13" s="252">
        <v>1052</v>
      </c>
      <c r="AA13" s="252">
        <v>1463</v>
      </c>
      <c r="AB13" s="252">
        <v>1644</v>
      </c>
      <c r="AC13" s="252">
        <v>1069</v>
      </c>
      <c r="AD13" s="252">
        <v>1302</v>
      </c>
      <c r="AE13" s="252">
        <v>2070</v>
      </c>
      <c r="AF13" s="252">
        <v>2127</v>
      </c>
      <c r="AG13" s="252">
        <v>2846</v>
      </c>
      <c r="AH13" s="252">
        <v>1591</v>
      </c>
      <c r="AI13" s="252">
        <v>2436</v>
      </c>
      <c r="AJ13" s="252">
        <v>1278</v>
      </c>
      <c r="AK13" s="252">
        <v>1503</v>
      </c>
      <c r="AL13" s="252">
        <v>1622</v>
      </c>
      <c r="AM13" s="252">
        <v>876</v>
      </c>
      <c r="AN13" s="252">
        <f t="shared" si="1"/>
        <v>42223</v>
      </c>
      <c r="AO13" s="268">
        <f t="shared" si="2"/>
        <v>1248276.5497000001</v>
      </c>
      <c r="AP13" s="253">
        <v>59770</v>
      </c>
      <c r="AQ13" s="253"/>
      <c r="AR13" s="253">
        <v>502</v>
      </c>
      <c r="AS13" s="253"/>
      <c r="AT13" s="253">
        <v>3690</v>
      </c>
      <c r="AU13" s="253">
        <v>14589</v>
      </c>
      <c r="AV13" s="253">
        <v>11133</v>
      </c>
      <c r="AW13" s="253">
        <v>9326</v>
      </c>
      <c r="AX13" s="253"/>
      <c r="AY13" s="253">
        <v>3655</v>
      </c>
      <c r="AZ13" s="253">
        <v>0</v>
      </c>
      <c r="BA13" s="253">
        <f t="shared" ref="BA13:BA33" si="39">SUM(AQ13:AZ13)</f>
        <v>42895</v>
      </c>
      <c r="BB13" s="253">
        <f t="shared" si="3"/>
        <v>102665</v>
      </c>
      <c r="BC13" s="465">
        <v>21500</v>
      </c>
      <c r="BD13" s="254">
        <v>16125</v>
      </c>
      <c r="BE13" s="62"/>
      <c r="BF13" s="62"/>
      <c r="BG13" s="394"/>
      <c r="BH13" s="394"/>
      <c r="BI13" s="265">
        <f t="shared" si="4"/>
        <v>101004</v>
      </c>
      <c r="BJ13" s="249">
        <f t="shared" si="5"/>
        <v>2986072.1556000002</v>
      </c>
      <c r="BK13" s="256"/>
      <c r="BL13" s="257">
        <f t="shared" si="6"/>
        <v>1661</v>
      </c>
      <c r="BM13" s="258">
        <f t="shared" si="7"/>
        <v>49105.637900000002</v>
      </c>
      <c r="BN13" s="263"/>
      <c r="BO13" s="260">
        <f t="shared" si="8"/>
        <v>0</v>
      </c>
      <c r="BP13" s="260">
        <f t="shared" si="9"/>
        <v>24301.525799999999</v>
      </c>
      <c r="BQ13" s="260">
        <f t="shared" si="10"/>
        <v>31485.553500000002</v>
      </c>
      <c r="BR13" s="260">
        <f t="shared" si="11"/>
        <v>45883.1728</v>
      </c>
      <c r="BS13" s="260">
        <f t="shared" si="12"/>
        <v>39113.039700000001</v>
      </c>
      <c r="BT13" s="260">
        <f t="shared" si="13"/>
        <v>35062.785400000001</v>
      </c>
      <c r="BU13" s="260">
        <f t="shared" si="14"/>
        <v>32608.9817</v>
      </c>
      <c r="BV13" s="261">
        <f t="shared" si="15"/>
        <v>28263.088400000001</v>
      </c>
      <c r="BW13" s="262">
        <f t="shared" si="16"/>
        <v>34648.890800000001</v>
      </c>
      <c r="BX13" s="260">
        <f t="shared" si="17"/>
        <v>23976.322899999999</v>
      </c>
      <c r="BY13" s="260">
        <f t="shared" si="18"/>
        <v>41507.715600000003</v>
      </c>
      <c r="BZ13" s="260">
        <f t="shared" si="19"/>
        <v>51795.952799999999</v>
      </c>
      <c r="CA13" s="260">
        <f t="shared" si="20"/>
        <v>47804.826300000001</v>
      </c>
      <c r="CB13" s="260">
        <f t="shared" si="21"/>
        <v>44050.211000000003</v>
      </c>
      <c r="CC13" s="260">
        <f t="shared" si="22"/>
        <v>27376.171399999999</v>
      </c>
      <c r="CD13" s="260">
        <f t="shared" si="23"/>
        <v>31958.5759</v>
      </c>
      <c r="CE13" s="260">
        <f t="shared" si="24"/>
        <v>32047.267599999999</v>
      </c>
      <c r="CF13" s="260">
        <f t="shared" si="25"/>
        <v>31101.2228</v>
      </c>
      <c r="CG13" s="260">
        <f t="shared" si="26"/>
        <v>43251.985699999997</v>
      </c>
      <c r="CH13" s="260">
        <f t="shared" si="27"/>
        <v>48603.051599999999</v>
      </c>
      <c r="CI13" s="260">
        <f t="shared" si="28"/>
        <v>31603.809099999999</v>
      </c>
      <c r="CJ13" s="260">
        <f t="shared" si="29"/>
        <v>38492.197800000002</v>
      </c>
      <c r="CK13" s="262">
        <f t="shared" si="38"/>
        <v>61197.273000000001</v>
      </c>
      <c r="CL13" s="260">
        <f t="shared" si="30"/>
        <v>62882.415300000001</v>
      </c>
      <c r="CM13" s="260">
        <f t="shared" si="31"/>
        <v>84138.859400000001</v>
      </c>
      <c r="CN13" s="260">
        <f t="shared" si="32"/>
        <v>47036.164900000003</v>
      </c>
      <c r="CO13" s="260">
        <f t="shared" si="33"/>
        <v>72017.660400000008</v>
      </c>
      <c r="CP13" s="260">
        <f t="shared" si="34"/>
        <v>37782.664199999999</v>
      </c>
      <c r="CQ13" s="260">
        <f t="shared" si="35"/>
        <v>44434.541700000002</v>
      </c>
      <c r="CR13" s="260">
        <f t="shared" si="36"/>
        <v>47952.645799999998</v>
      </c>
      <c r="CS13" s="369">
        <f t="shared" si="37"/>
        <v>25897.9764</v>
      </c>
      <c r="CT13" s="441">
        <f t="shared" ref="CT13:CT31" si="40">SUM(BO13:CS13)</f>
        <v>1248276.5496999999</v>
      </c>
    </row>
    <row r="14" spans="1:99" s="259" customFormat="1" ht="21.75" customHeight="1">
      <c r="A14" s="246" t="s">
        <v>14</v>
      </c>
      <c r="B14" s="247" t="s">
        <v>40</v>
      </c>
      <c r="C14" s="248">
        <v>145.88</v>
      </c>
      <c r="D14" s="385">
        <v>10128</v>
      </c>
      <c r="E14" s="265">
        <v>94798.320000000022</v>
      </c>
      <c r="F14" s="249">
        <v>10136193.169200003</v>
      </c>
      <c r="G14" s="250"/>
      <c r="H14" s="251"/>
      <c r="I14" s="268"/>
      <c r="J14" s="268">
        <v>667</v>
      </c>
      <c r="K14" s="268">
        <v>757.00000000000011</v>
      </c>
      <c r="L14" s="268">
        <v>1183</v>
      </c>
      <c r="M14" s="268">
        <v>1201.2</v>
      </c>
      <c r="N14" s="268">
        <v>1224</v>
      </c>
      <c r="O14" s="268">
        <v>1035.2</v>
      </c>
      <c r="P14" s="268">
        <v>1041.2</v>
      </c>
      <c r="Q14" s="268">
        <v>1028.8000000000002</v>
      </c>
      <c r="R14" s="268">
        <v>897.59999999999991</v>
      </c>
      <c r="S14" s="268">
        <v>1179.0000000000002</v>
      </c>
      <c r="T14" s="268">
        <v>1151.2</v>
      </c>
      <c r="U14" s="268">
        <v>1137.2000000000003</v>
      </c>
      <c r="V14" s="268">
        <v>974.6</v>
      </c>
      <c r="W14" s="268">
        <v>826.6</v>
      </c>
      <c r="X14" s="268">
        <v>757.4</v>
      </c>
      <c r="Y14" s="268">
        <v>799.5</v>
      </c>
      <c r="Z14" s="268">
        <v>988.2</v>
      </c>
      <c r="AA14" s="268">
        <v>1145.8000000000002</v>
      </c>
      <c r="AB14" s="268">
        <v>1253.9999999999998</v>
      </c>
      <c r="AC14" s="268">
        <v>1045</v>
      </c>
      <c r="AD14" s="268">
        <v>1166.6000000000001</v>
      </c>
      <c r="AE14" s="268">
        <v>1117.8</v>
      </c>
      <c r="AF14" s="268">
        <v>980.6</v>
      </c>
      <c r="AG14" s="268">
        <v>1160.4000000000001</v>
      </c>
      <c r="AH14" s="268">
        <v>1111.2</v>
      </c>
      <c r="AI14" s="268">
        <v>1256.3999999999999</v>
      </c>
      <c r="AJ14" s="268">
        <v>1243.8</v>
      </c>
      <c r="AK14" s="268">
        <v>938.99999999999989</v>
      </c>
      <c r="AL14" s="268">
        <v>915.8</v>
      </c>
      <c r="AM14" s="268">
        <v>776.4</v>
      </c>
      <c r="AN14" s="268">
        <f t="shared" si="1"/>
        <v>30961.5</v>
      </c>
      <c r="AO14" s="268">
        <f t="shared" si="2"/>
        <v>4516663.62</v>
      </c>
      <c r="AP14" s="253">
        <v>67600</v>
      </c>
      <c r="AQ14" s="448"/>
      <c r="AR14" s="448">
        <v>195.2</v>
      </c>
      <c r="AS14" s="253"/>
      <c r="AT14" s="448">
        <v>263</v>
      </c>
      <c r="AU14" s="448">
        <v>3969</v>
      </c>
      <c r="AV14" s="448">
        <v>1436.2</v>
      </c>
      <c r="AW14" s="269">
        <v>2042.8</v>
      </c>
      <c r="AX14" s="253"/>
      <c r="AY14" s="451">
        <v>2702.6</v>
      </c>
      <c r="AZ14" s="253">
        <v>1722</v>
      </c>
      <c r="BA14" s="253">
        <f>SUM(AQ14:AZ14)</f>
        <v>12330.8</v>
      </c>
      <c r="BB14" s="253">
        <f t="shared" si="3"/>
        <v>79930.8</v>
      </c>
      <c r="BC14" s="465">
        <f>350*25</f>
        <v>8750</v>
      </c>
      <c r="BD14" s="254">
        <f>350*25</f>
        <v>8750</v>
      </c>
      <c r="BE14" s="62"/>
      <c r="BF14" s="62"/>
      <c r="BG14" s="398"/>
      <c r="BH14" s="398"/>
      <c r="BI14" s="265">
        <f t="shared" si="4"/>
        <v>81336.820000000007</v>
      </c>
      <c r="BJ14" s="249">
        <f t="shared" si="5"/>
        <v>11865415.3016</v>
      </c>
      <c r="BK14" s="256"/>
      <c r="BL14" s="264">
        <f t="shared" si="6"/>
        <v>-1406.0200000000041</v>
      </c>
      <c r="BM14" s="258">
        <f t="shared" si="7"/>
        <v>-205110.1976000006</v>
      </c>
      <c r="BN14" s="256"/>
      <c r="BO14" s="260">
        <f t="shared" si="8"/>
        <v>0</v>
      </c>
      <c r="BP14" s="260">
        <f t="shared" si="9"/>
        <v>97301.959999999992</v>
      </c>
      <c r="BQ14" s="260">
        <f t="shared" si="10"/>
        <v>110431.16000000002</v>
      </c>
      <c r="BR14" s="260">
        <f t="shared" si="11"/>
        <v>172576.04</v>
      </c>
      <c r="BS14" s="260">
        <f t="shared" si="12"/>
        <v>175231.05600000001</v>
      </c>
      <c r="BT14" s="260">
        <f t="shared" si="13"/>
        <v>178557.12</v>
      </c>
      <c r="BU14" s="260">
        <f t="shared" si="14"/>
        <v>151014.976</v>
      </c>
      <c r="BV14" s="261">
        <f t="shared" si="15"/>
        <v>151890.25599999999</v>
      </c>
      <c r="BW14" s="262">
        <f t="shared" si="16"/>
        <v>150081.34400000001</v>
      </c>
      <c r="BX14" s="260">
        <f t="shared" si="17"/>
        <v>130941.88799999998</v>
      </c>
      <c r="BY14" s="260">
        <f t="shared" si="18"/>
        <v>171992.52000000002</v>
      </c>
      <c r="BZ14" s="260">
        <f t="shared" si="19"/>
        <v>167937.05600000001</v>
      </c>
      <c r="CA14" s="260">
        <f t="shared" si="20"/>
        <v>165894.73600000003</v>
      </c>
      <c r="CB14" s="260">
        <f t="shared" si="21"/>
        <v>142174.64799999999</v>
      </c>
      <c r="CC14" s="260">
        <f t="shared" si="22"/>
        <v>120584.408</v>
      </c>
      <c r="CD14" s="260">
        <f t="shared" si="23"/>
        <v>110489.51199999999</v>
      </c>
      <c r="CE14" s="260">
        <f t="shared" si="24"/>
        <v>116631.06</v>
      </c>
      <c r="CF14" s="260">
        <f t="shared" si="25"/>
        <v>144158.61600000001</v>
      </c>
      <c r="CG14" s="260">
        <f t="shared" si="26"/>
        <v>167149.30400000003</v>
      </c>
      <c r="CH14" s="260">
        <f t="shared" si="27"/>
        <v>182933.51999999996</v>
      </c>
      <c r="CI14" s="260">
        <f t="shared" si="28"/>
        <v>152444.6</v>
      </c>
      <c r="CJ14" s="260">
        <f t="shared" si="29"/>
        <v>170183.60800000001</v>
      </c>
      <c r="CK14" s="262">
        <f t="shared" si="38"/>
        <v>163064.66399999999</v>
      </c>
      <c r="CL14" s="260">
        <f t="shared" si="30"/>
        <v>143049.92799999999</v>
      </c>
      <c r="CM14" s="260">
        <f t="shared" si="31"/>
        <v>169279.152</v>
      </c>
      <c r="CN14" s="260">
        <f t="shared" si="32"/>
        <v>162101.856</v>
      </c>
      <c r="CO14" s="260">
        <f t="shared" si="33"/>
        <v>183283.63199999998</v>
      </c>
      <c r="CP14" s="260">
        <f t="shared" si="34"/>
        <v>181445.54399999999</v>
      </c>
      <c r="CQ14" s="260">
        <f t="shared" si="35"/>
        <v>136981.31999999998</v>
      </c>
      <c r="CR14" s="260">
        <f t="shared" si="36"/>
        <v>133596.90399999998</v>
      </c>
      <c r="CS14" s="369">
        <f t="shared" si="37"/>
        <v>113261.23199999999</v>
      </c>
      <c r="CT14" s="441">
        <f t="shared" si="40"/>
        <v>4516663.62</v>
      </c>
    </row>
    <row r="15" spans="1:99" s="259" customFormat="1" ht="21.75" customHeight="1">
      <c r="A15" s="246" t="s">
        <v>15</v>
      </c>
      <c r="B15" s="247" t="s">
        <v>41</v>
      </c>
      <c r="C15" s="404">
        <v>27.66</v>
      </c>
      <c r="D15" s="385">
        <v>12487</v>
      </c>
      <c r="E15" s="265">
        <v>23542.469999999994</v>
      </c>
      <c r="F15" s="249">
        <v>779447.18279999995</v>
      </c>
      <c r="G15" s="266"/>
      <c r="H15" s="267"/>
      <c r="I15" s="268"/>
      <c r="J15" s="268">
        <v>240.57</v>
      </c>
      <c r="K15" s="268">
        <v>323.19</v>
      </c>
      <c r="L15" s="268">
        <v>447.12000000000006</v>
      </c>
      <c r="M15" s="268">
        <v>434.97</v>
      </c>
      <c r="N15" s="268">
        <v>425.25</v>
      </c>
      <c r="O15" s="268">
        <v>388.8</v>
      </c>
      <c r="P15" s="268">
        <v>391.23</v>
      </c>
      <c r="Q15" s="268">
        <v>413.1</v>
      </c>
      <c r="R15" s="268">
        <v>330.48</v>
      </c>
      <c r="S15" s="268">
        <v>464.13000000000005</v>
      </c>
      <c r="T15" s="268">
        <v>422.82</v>
      </c>
      <c r="U15" s="268">
        <v>456.84000000000003</v>
      </c>
      <c r="V15" s="268">
        <v>349.92</v>
      </c>
      <c r="W15" s="268">
        <v>332.91</v>
      </c>
      <c r="X15" s="268">
        <v>313.47000000000003</v>
      </c>
      <c r="Y15" s="268">
        <v>345.06000000000006</v>
      </c>
      <c r="Z15" s="268">
        <v>405.81000000000006</v>
      </c>
      <c r="AA15" s="268">
        <v>417.96000000000004</v>
      </c>
      <c r="AB15" s="268">
        <v>500.58</v>
      </c>
      <c r="AC15" s="268">
        <v>410.66999999999996</v>
      </c>
      <c r="AD15" s="268">
        <v>447.12</v>
      </c>
      <c r="AE15" s="268">
        <v>444.69000000000005</v>
      </c>
      <c r="AF15" s="268">
        <v>371.78999999999996</v>
      </c>
      <c r="AG15" s="268">
        <v>432.54</v>
      </c>
      <c r="AH15" s="268">
        <v>422.82000000000005</v>
      </c>
      <c r="AI15" s="268">
        <v>476.28000000000009</v>
      </c>
      <c r="AJ15" s="268">
        <v>490.86</v>
      </c>
      <c r="AK15" s="268">
        <v>510.3</v>
      </c>
      <c r="AL15" s="268">
        <v>425.25</v>
      </c>
      <c r="AM15" s="268">
        <v>318.33000000000004</v>
      </c>
      <c r="AN15" s="268">
        <f t="shared" si="1"/>
        <v>12154.860000000004</v>
      </c>
      <c r="AO15" s="268">
        <f t="shared" si="2"/>
        <v>336203.42760000011</v>
      </c>
      <c r="AP15" s="269">
        <v>15682.5</v>
      </c>
      <c r="AQ15" s="253"/>
      <c r="AR15" s="269">
        <f>AR16*2.43</f>
        <v>546.75</v>
      </c>
      <c r="AS15" s="253">
        <f t="shared" ref="AS15:AZ15" si="41">AS16*2.43</f>
        <v>0</v>
      </c>
      <c r="AT15" s="253">
        <f t="shared" si="41"/>
        <v>422.82000000000005</v>
      </c>
      <c r="AU15" s="253">
        <f t="shared" si="41"/>
        <v>1873.5300000000002</v>
      </c>
      <c r="AV15" s="253">
        <f t="shared" si="41"/>
        <v>993.87000000000012</v>
      </c>
      <c r="AW15" s="253">
        <f t="shared" si="41"/>
        <v>879.66000000000008</v>
      </c>
      <c r="AX15" s="253">
        <f t="shared" si="41"/>
        <v>0</v>
      </c>
      <c r="AY15" s="253">
        <f t="shared" si="41"/>
        <v>1025.46</v>
      </c>
      <c r="AZ15" s="253">
        <f t="shared" si="41"/>
        <v>189.54000000000002</v>
      </c>
      <c r="BA15" s="253">
        <f t="shared" si="39"/>
        <v>5931.63</v>
      </c>
      <c r="BB15" s="253">
        <f t="shared" si="3"/>
        <v>21614.13</v>
      </c>
      <c r="BC15" s="465">
        <v>4000</v>
      </c>
      <c r="BD15" s="254">
        <v>4000</v>
      </c>
      <c r="BE15" s="62"/>
      <c r="BF15" s="62"/>
      <c r="BG15" s="394"/>
      <c r="BH15" s="394"/>
      <c r="BI15" s="265">
        <f t="shared" si="4"/>
        <v>19387.609999999993</v>
      </c>
      <c r="BJ15" s="249">
        <f t="shared" si="5"/>
        <v>536261.29259999981</v>
      </c>
      <c r="BK15" s="256"/>
      <c r="BL15" s="257">
        <f t="shared" si="6"/>
        <v>2226.5200000000077</v>
      </c>
      <c r="BM15" s="258">
        <f t="shared" si="7"/>
        <v>61585.543200000211</v>
      </c>
      <c r="BO15" s="260">
        <f t="shared" si="8"/>
        <v>0</v>
      </c>
      <c r="BP15" s="260">
        <f t="shared" si="9"/>
        <v>6654.1661999999997</v>
      </c>
      <c r="BQ15" s="260">
        <f t="shared" si="10"/>
        <v>8939.4354000000003</v>
      </c>
      <c r="BR15" s="260">
        <f t="shared" si="11"/>
        <v>12367.339200000002</v>
      </c>
      <c r="BS15" s="260">
        <f t="shared" si="12"/>
        <v>12031.270200000001</v>
      </c>
      <c r="BT15" s="260">
        <f t="shared" si="13"/>
        <v>11762.415000000001</v>
      </c>
      <c r="BU15" s="260">
        <f t="shared" si="14"/>
        <v>10754.208000000001</v>
      </c>
      <c r="BV15" s="261">
        <f t="shared" si="15"/>
        <v>10821.4218</v>
      </c>
      <c r="BW15" s="262">
        <f t="shared" si="16"/>
        <v>11426.346000000001</v>
      </c>
      <c r="BX15" s="260">
        <f t="shared" si="17"/>
        <v>9141.0768000000007</v>
      </c>
      <c r="BY15" s="260">
        <f t="shared" si="18"/>
        <v>12837.835800000001</v>
      </c>
      <c r="BZ15" s="260">
        <f t="shared" si="19"/>
        <v>11695.2012</v>
      </c>
      <c r="CA15" s="260">
        <f t="shared" si="20"/>
        <v>12636.1944</v>
      </c>
      <c r="CB15" s="260">
        <f t="shared" si="21"/>
        <v>9678.7872000000007</v>
      </c>
      <c r="CC15" s="260">
        <f t="shared" si="22"/>
        <v>9208.2906000000003</v>
      </c>
      <c r="CD15" s="260">
        <f t="shared" si="23"/>
        <v>8670.5802000000003</v>
      </c>
      <c r="CE15" s="260">
        <f t="shared" si="24"/>
        <v>9544.3596000000016</v>
      </c>
      <c r="CF15" s="260">
        <f t="shared" si="25"/>
        <v>11224.704600000001</v>
      </c>
      <c r="CG15" s="260">
        <f t="shared" si="26"/>
        <v>11560.7736</v>
      </c>
      <c r="CH15" s="260">
        <f t="shared" si="27"/>
        <v>13846.042799999999</v>
      </c>
      <c r="CI15" s="260">
        <f t="shared" si="28"/>
        <v>11359.132199999998</v>
      </c>
      <c r="CJ15" s="260">
        <f t="shared" si="29"/>
        <v>12367.3392</v>
      </c>
      <c r="CK15" s="262">
        <f t="shared" si="38"/>
        <v>12300.125400000001</v>
      </c>
      <c r="CL15" s="260">
        <f t="shared" si="30"/>
        <v>10283.711399999998</v>
      </c>
      <c r="CM15" s="260">
        <f t="shared" si="31"/>
        <v>11964.056400000001</v>
      </c>
      <c r="CN15" s="260">
        <f t="shared" si="32"/>
        <v>11695.201200000001</v>
      </c>
      <c r="CO15" s="260">
        <f t="shared" si="33"/>
        <v>13173.904800000002</v>
      </c>
      <c r="CP15" s="260">
        <f t="shared" si="34"/>
        <v>13577.187600000001</v>
      </c>
      <c r="CQ15" s="260">
        <f t="shared" si="35"/>
        <v>14114.898000000001</v>
      </c>
      <c r="CR15" s="260">
        <f t="shared" si="36"/>
        <v>11762.415000000001</v>
      </c>
      <c r="CS15" s="369">
        <f t="shared" si="37"/>
        <v>8805.0078000000012</v>
      </c>
      <c r="CT15" s="441">
        <f t="shared" si="40"/>
        <v>336203.4276</v>
      </c>
    </row>
    <row r="16" spans="1:99" s="259" customFormat="1" ht="21.75" customHeight="1">
      <c r="A16" s="246" t="s">
        <v>16</v>
      </c>
      <c r="B16" s="247" t="s">
        <v>39</v>
      </c>
      <c r="C16" s="270">
        <v>26.25</v>
      </c>
      <c r="D16" s="385">
        <v>11966</v>
      </c>
      <c r="E16" s="249">
        <v>7429</v>
      </c>
      <c r="F16" s="249">
        <v>328282.5</v>
      </c>
      <c r="G16" s="250"/>
      <c r="H16" s="251"/>
      <c r="I16" s="252"/>
      <c r="J16" s="252">
        <v>99</v>
      </c>
      <c r="K16" s="252">
        <v>133</v>
      </c>
      <c r="L16" s="252">
        <v>184</v>
      </c>
      <c r="M16" s="252">
        <v>179</v>
      </c>
      <c r="N16" s="252">
        <v>175</v>
      </c>
      <c r="O16" s="252">
        <v>160</v>
      </c>
      <c r="P16" s="252">
        <v>161</v>
      </c>
      <c r="Q16" s="252">
        <v>170</v>
      </c>
      <c r="R16" s="252">
        <v>136</v>
      </c>
      <c r="S16" s="252">
        <v>191</v>
      </c>
      <c r="T16" s="252">
        <v>174</v>
      </c>
      <c r="U16" s="252">
        <v>188</v>
      </c>
      <c r="V16" s="252">
        <v>144</v>
      </c>
      <c r="W16" s="252">
        <v>137</v>
      </c>
      <c r="X16" s="252">
        <v>129</v>
      </c>
      <c r="Y16" s="252">
        <v>142</v>
      </c>
      <c r="Z16" s="252">
        <v>167</v>
      </c>
      <c r="AA16" s="252">
        <v>172</v>
      </c>
      <c r="AB16" s="252">
        <v>206</v>
      </c>
      <c r="AC16" s="252">
        <v>169</v>
      </c>
      <c r="AD16" s="252">
        <v>184</v>
      </c>
      <c r="AE16" s="252">
        <v>183</v>
      </c>
      <c r="AF16" s="252">
        <v>153</v>
      </c>
      <c r="AG16" s="252">
        <v>178</v>
      </c>
      <c r="AH16" s="252">
        <v>174</v>
      </c>
      <c r="AI16" s="252">
        <v>196</v>
      </c>
      <c r="AJ16" s="252">
        <v>202</v>
      </c>
      <c r="AK16" s="252">
        <v>210</v>
      </c>
      <c r="AL16" s="252">
        <v>175</v>
      </c>
      <c r="AM16" s="252">
        <v>131</v>
      </c>
      <c r="AN16" s="252">
        <f t="shared" si="1"/>
        <v>5002</v>
      </c>
      <c r="AO16" s="268">
        <f t="shared" si="2"/>
        <v>131302.5</v>
      </c>
      <c r="AP16" s="253">
        <v>4550</v>
      </c>
      <c r="AQ16" s="253"/>
      <c r="AR16" s="253">
        <v>225</v>
      </c>
      <c r="AS16" s="253"/>
      <c r="AT16" s="253">
        <v>174</v>
      </c>
      <c r="AU16" s="253">
        <v>771</v>
      </c>
      <c r="AV16" s="253">
        <v>409</v>
      </c>
      <c r="AW16" s="253">
        <v>362</v>
      </c>
      <c r="AX16" s="253"/>
      <c r="AY16" s="253">
        <v>422</v>
      </c>
      <c r="AZ16" s="253">
        <v>78</v>
      </c>
      <c r="BA16" s="253">
        <f t="shared" si="39"/>
        <v>2441</v>
      </c>
      <c r="BB16" s="253">
        <f t="shared" si="3"/>
        <v>6991</v>
      </c>
      <c r="BC16" s="465">
        <v>3000</v>
      </c>
      <c r="BD16" s="254">
        <v>2000</v>
      </c>
      <c r="BE16" s="62"/>
      <c r="BF16" s="62"/>
      <c r="BG16" s="394"/>
      <c r="BH16" s="394"/>
      <c r="BI16" s="265">
        <f t="shared" si="4"/>
        <v>7427</v>
      </c>
      <c r="BJ16" s="249">
        <f t="shared" si="5"/>
        <v>194958.75</v>
      </c>
      <c r="BK16" s="256"/>
      <c r="BL16" s="257">
        <f t="shared" si="6"/>
        <v>-436</v>
      </c>
      <c r="BM16" s="258">
        <f t="shared" si="7"/>
        <v>-11445</v>
      </c>
      <c r="BO16" s="260">
        <f t="shared" si="8"/>
        <v>0</v>
      </c>
      <c r="BP16" s="260">
        <f t="shared" si="9"/>
        <v>2598.75</v>
      </c>
      <c r="BQ16" s="260">
        <f t="shared" si="10"/>
        <v>3491.25</v>
      </c>
      <c r="BR16" s="260">
        <f t="shared" si="11"/>
        <v>4830</v>
      </c>
      <c r="BS16" s="260">
        <f t="shared" si="12"/>
        <v>4698.75</v>
      </c>
      <c r="BT16" s="260">
        <f t="shared" si="13"/>
        <v>4593.75</v>
      </c>
      <c r="BU16" s="260">
        <f t="shared" si="14"/>
        <v>4200</v>
      </c>
      <c r="BV16" s="261">
        <f t="shared" si="15"/>
        <v>4226.25</v>
      </c>
      <c r="BW16" s="262">
        <f t="shared" si="16"/>
        <v>4462.5</v>
      </c>
      <c r="BX16" s="260">
        <f t="shared" si="17"/>
        <v>3570</v>
      </c>
      <c r="BY16" s="260">
        <f t="shared" si="18"/>
        <v>5013.75</v>
      </c>
      <c r="BZ16" s="260">
        <f t="shared" si="19"/>
        <v>4567.5</v>
      </c>
      <c r="CA16" s="260">
        <f t="shared" si="20"/>
        <v>4935</v>
      </c>
      <c r="CB16" s="260">
        <f t="shared" si="21"/>
        <v>3780</v>
      </c>
      <c r="CC16" s="260">
        <f t="shared" si="22"/>
        <v>3596.25</v>
      </c>
      <c r="CD16" s="260">
        <f t="shared" si="23"/>
        <v>3386.25</v>
      </c>
      <c r="CE16" s="260">
        <f t="shared" si="24"/>
        <v>3727.5</v>
      </c>
      <c r="CF16" s="260">
        <f t="shared" si="25"/>
        <v>4383.75</v>
      </c>
      <c r="CG16" s="260">
        <f t="shared" si="26"/>
        <v>4515</v>
      </c>
      <c r="CH16" s="260">
        <f t="shared" si="27"/>
        <v>5407.5</v>
      </c>
      <c r="CI16" s="260">
        <f t="shared" si="28"/>
        <v>4436.25</v>
      </c>
      <c r="CJ16" s="260">
        <f t="shared" si="29"/>
        <v>4830</v>
      </c>
      <c r="CK16" s="262">
        <f t="shared" si="38"/>
        <v>4803.75</v>
      </c>
      <c r="CL16" s="260">
        <f t="shared" si="30"/>
        <v>4016.25</v>
      </c>
      <c r="CM16" s="260">
        <f t="shared" si="31"/>
        <v>4672.5</v>
      </c>
      <c r="CN16" s="260">
        <f t="shared" si="32"/>
        <v>4567.5</v>
      </c>
      <c r="CO16" s="260">
        <f t="shared" si="33"/>
        <v>5145</v>
      </c>
      <c r="CP16" s="260">
        <f t="shared" si="34"/>
        <v>5302.5</v>
      </c>
      <c r="CQ16" s="260">
        <f t="shared" si="35"/>
        <v>5512.5</v>
      </c>
      <c r="CR16" s="260">
        <f t="shared" si="36"/>
        <v>4593.75</v>
      </c>
      <c r="CS16" s="369">
        <f t="shared" si="37"/>
        <v>3438.75</v>
      </c>
      <c r="CT16" s="441">
        <f t="shared" si="40"/>
        <v>131302.5</v>
      </c>
    </row>
    <row r="17" spans="1:98" s="259" customFormat="1" ht="23.1" customHeight="1">
      <c r="A17" s="246" t="s">
        <v>17</v>
      </c>
      <c r="B17" s="247" t="s">
        <v>39</v>
      </c>
      <c r="C17" s="270">
        <v>20.62</v>
      </c>
      <c r="D17" s="385">
        <v>11342</v>
      </c>
      <c r="E17" s="249">
        <v>275</v>
      </c>
      <c r="F17" s="249">
        <v>5691.12</v>
      </c>
      <c r="G17" s="250"/>
      <c r="H17" s="251"/>
      <c r="I17" s="252"/>
      <c r="J17" s="252">
        <v>0</v>
      </c>
      <c r="K17" s="252">
        <v>0</v>
      </c>
      <c r="L17" s="252">
        <v>0</v>
      </c>
      <c r="M17" s="252">
        <v>0</v>
      </c>
      <c r="N17" s="252">
        <v>0</v>
      </c>
      <c r="O17" s="252">
        <v>0</v>
      </c>
      <c r="P17" s="252">
        <v>0</v>
      </c>
      <c r="Q17" s="252">
        <v>0</v>
      </c>
      <c r="R17" s="252">
        <v>0</v>
      </c>
      <c r="S17" s="252">
        <v>0</v>
      </c>
      <c r="T17" s="252">
        <v>0</v>
      </c>
      <c r="U17" s="252">
        <v>0</v>
      </c>
      <c r="V17" s="252">
        <v>0</v>
      </c>
      <c r="W17" s="252">
        <v>0</v>
      </c>
      <c r="X17" s="252">
        <v>0</v>
      </c>
      <c r="Y17" s="252">
        <v>0</v>
      </c>
      <c r="Z17" s="252">
        <v>0</v>
      </c>
      <c r="AA17" s="252">
        <v>0</v>
      </c>
      <c r="AB17" s="252">
        <v>0</v>
      </c>
      <c r="AC17" s="252">
        <v>0</v>
      </c>
      <c r="AD17" s="252">
        <v>0</v>
      </c>
      <c r="AE17" s="252">
        <v>0</v>
      </c>
      <c r="AF17" s="252">
        <v>0</v>
      </c>
      <c r="AG17" s="252">
        <v>0</v>
      </c>
      <c r="AH17" s="252">
        <v>0</v>
      </c>
      <c r="AI17" s="252">
        <v>0</v>
      </c>
      <c r="AJ17" s="252">
        <v>0</v>
      </c>
      <c r="AK17" s="252">
        <v>0</v>
      </c>
      <c r="AL17" s="252">
        <v>0</v>
      </c>
      <c r="AM17" s="252">
        <v>0</v>
      </c>
      <c r="AN17" s="252">
        <f t="shared" si="1"/>
        <v>0</v>
      </c>
      <c r="AO17" s="268">
        <f t="shared" si="2"/>
        <v>0</v>
      </c>
      <c r="AP17" s="253">
        <v>150</v>
      </c>
      <c r="AQ17" s="253"/>
      <c r="AR17" s="253">
        <v>38</v>
      </c>
      <c r="AS17" s="253"/>
      <c r="AT17" s="253"/>
      <c r="AU17" s="253"/>
      <c r="AV17" s="253"/>
      <c r="AW17" s="253">
        <v>87</v>
      </c>
      <c r="AX17" s="253"/>
      <c r="AY17" s="253"/>
      <c r="AZ17" s="253"/>
      <c r="BA17" s="253">
        <f t="shared" si="39"/>
        <v>125</v>
      </c>
      <c r="BB17" s="253">
        <f t="shared" si="3"/>
        <v>275</v>
      </c>
      <c r="BC17" s="465"/>
      <c r="BD17" s="254"/>
      <c r="BE17" s="62"/>
      <c r="BF17" s="62"/>
      <c r="BG17" s="394"/>
      <c r="BH17" s="394"/>
      <c r="BI17" s="265">
        <f t="shared" si="4"/>
        <v>275</v>
      </c>
      <c r="BJ17" s="249">
        <f t="shared" si="5"/>
        <v>5670.5</v>
      </c>
      <c r="BK17" s="256"/>
      <c r="BL17" s="257">
        <f t="shared" si="6"/>
        <v>0</v>
      </c>
      <c r="BM17" s="258">
        <f t="shared" si="7"/>
        <v>0</v>
      </c>
      <c r="BO17" s="260">
        <f t="shared" si="8"/>
        <v>0</v>
      </c>
      <c r="BP17" s="260">
        <f t="shared" si="9"/>
        <v>0</v>
      </c>
      <c r="BQ17" s="260">
        <f t="shared" si="10"/>
        <v>0</v>
      </c>
      <c r="BR17" s="260">
        <f t="shared" si="11"/>
        <v>0</v>
      </c>
      <c r="BS17" s="260">
        <f t="shared" si="12"/>
        <v>0</v>
      </c>
      <c r="BT17" s="260">
        <f t="shared" si="13"/>
        <v>0</v>
      </c>
      <c r="BU17" s="260">
        <f t="shared" si="14"/>
        <v>0</v>
      </c>
      <c r="BV17" s="261">
        <f t="shared" si="15"/>
        <v>0</v>
      </c>
      <c r="BW17" s="262">
        <f t="shared" si="16"/>
        <v>0</v>
      </c>
      <c r="BX17" s="260">
        <f t="shared" si="17"/>
        <v>0</v>
      </c>
      <c r="BY17" s="260">
        <f t="shared" si="18"/>
        <v>0</v>
      </c>
      <c r="BZ17" s="260">
        <f t="shared" si="19"/>
        <v>0</v>
      </c>
      <c r="CA17" s="260">
        <f t="shared" si="20"/>
        <v>0</v>
      </c>
      <c r="CB17" s="260">
        <f t="shared" si="21"/>
        <v>0</v>
      </c>
      <c r="CC17" s="260">
        <f t="shared" si="22"/>
        <v>0</v>
      </c>
      <c r="CD17" s="260">
        <f t="shared" si="23"/>
        <v>0</v>
      </c>
      <c r="CE17" s="260">
        <f t="shared" si="24"/>
        <v>0</v>
      </c>
      <c r="CF17" s="260">
        <f t="shared" si="25"/>
        <v>0</v>
      </c>
      <c r="CG17" s="260">
        <f t="shared" si="26"/>
        <v>0</v>
      </c>
      <c r="CH17" s="260">
        <f t="shared" si="27"/>
        <v>0</v>
      </c>
      <c r="CI17" s="260">
        <f t="shared" si="28"/>
        <v>0</v>
      </c>
      <c r="CJ17" s="260">
        <f t="shared" si="29"/>
        <v>0</v>
      </c>
      <c r="CK17" s="262">
        <f t="shared" si="38"/>
        <v>0</v>
      </c>
      <c r="CL17" s="260">
        <f t="shared" si="30"/>
        <v>0</v>
      </c>
      <c r="CM17" s="260">
        <f t="shared" si="31"/>
        <v>0</v>
      </c>
      <c r="CN17" s="260">
        <f t="shared" si="32"/>
        <v>0</v>
      </c>
      <c r="CO17" s="260">
        <f t="shared" si="33"/>
        <v>0</v>
      </c>
      <c r="CP17" s="260">
        <f t="shared" si="34"/>
        <v>0</v>
      </c>
      <c r="CQ17" s="260">
        <f t="shared" si="35"/>
        <v>0</v>
      </c>
      <c r="CR17" s="260">
        <f t="shared" si="36"/>
        <v>0</v>
      </c>
      <c r="CS17" s="369">
        <f t="shared" si="37"/>
        <v>0</v>
      </c>
      <c r="CT17" s="441">
        <f t="shared" si="40"/>
        <v>0</v>
      </c>
    </row>
    <row r="18" spans="1:98" s="259" customFormat="1" ht="23.1" customHeight="1">
      <c r="A18" s="246" t="s">
        <v>42</v>
      </c>
      <c r="B18" s="247" t="s">
        <v>39</v>
      </c>
      <c r="C18" s="248">
        <v>171.74107142857142</v>
      </c>
      <c r="D18" s="385">
        <v>10962</v>
      </c>
      <c r="E18" s="249">
        <v>0</v>
      </c>
      <c r="F18" s="249">
        <v>0</v>
      </c>
      <c r="G18" s="250">
        <v>264</v>
      </c>
      <c r="H18" s="251">
        <f t="shared" ref="H18:H33" si="42">G18*C18</f>
        <v>45339.642857142855</v>
      </c>
      <c r="I18" s="252"/>
      <c r="J18" s="252">
        <v>0</v>
      </c>
      <c r="K18" s="252">
        <v>0</v>
      </c>
      <c r="L18" s="252">
        <v>0</v>
      </c>
      <c r="M18" s="252">
        <v>0</v>
      </c>
      <c r="N18" s="252">
        <v>0</v>
      </c>
      <c r="O18" s="252">
        <v>0</v>
      </c>
      <c r="P18" s="252">
        <v>0</v>
      </c>
      <c r="Q18" s="252">
        <v>0</v>
      </c>
      <c r="R18" s="252">
        <v>0</v>
      </c>
      <c r="S18" s="252">
        <v>0</v>
      </c>
      <c r="T18" s="252">
        <v>0</v>
      </c>
      <c r="U18" s="252">
        <v>0</v>
      </c>
      <c r="V18" s="252">
        <v>0</v>
      </c>
      <c r="W18" s="252">
        <v>0</v>
      </c>
      <c r="X18" s="252">
        <v>0</v>
      </c>
      <c r="Y18" s="252">
        <v>0</v>
      </c>
      <c r="Z18" s="252">
        <v>0</v>
      </c>
      <c r="AA18" s="252">
        <v>0</v>
      </c>
      <c r="AB18" s="252">
        <v>0</v>
      </c>
      <c r="AC18" s="252">
        <v>0</v>
      </c>
      <c r="AD18" s="252">
        <v>0</v>
      </c>
      <c r="AE18" s="252">
        <v>0</v>
      </c>
      <c r="AF18" s="252">
        <v>0</v>
      </c>
      <c r="AG18" s="252">
        <v>0</v>
      </c>
      <c r="AH18" s="252">
        <v>0</v>
      </c>
      <c r="AI18" s="252">
        <v>0</v>
      </c>
      <c r="AJ18" s="252">
        <v>0</v>
      </c>
      <c r="AK18" s="252">
        <v>0</v>
      </c>
      <c r="AL18" s="252">
        <v>0</v>
      </c>
      <c r="AM18" s="252">
        <v>0</v>
      </c>
      <c r="AN18" s="252">
        <f t="shared" si="1"/>
        <v>0</v>
      </c>
      <c r="AO18" s="268">
        <f t="shared" si="2"/>
        <v>0</v>
      </c>
      <c r="AP18" s="253">
        <v>0</v>
      </c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>
        <f t="shared" si="39"/>
        <v>0</v>
      </c>
      <c r="BB18" s="253">
        <f t="shared" si="3"/>
        <v>0</v>
      </c>
      <c r="BC18" s="465"/>
      <c r="BD18" s="254"/>
      <c r="BE18" s="62"/>
      <c r="BF18" s="62"/>
      <c r="BG18" s="394"/>
      <c r="BH18" s="394"/>
      <c r="BI18" s="265">
        <f t="shared" si="4"/>
        <v>0</v>
      </c>
      <c r="BJ18" s="249">
        <f t="shared" si="5"/>
        <v>0</v>
      </c>
      <c r="BK18" s="256"/>
      <c r="BL18" s="257">
        <f t="shared" si="6"/>
        <v>0</v>
      </c>
      <c r="BM18" s="258">
        <f t="shared" si="7"/>
        <v>0</v>
      </c>
      <c r="BO18" s="260">
        <f t="shared" si="8"/>
        <v>0</v>
      </c>
      <c r="BP18" s="260">
        <f t="shared" si="9"/>
        <v>0</v>
      </c>
      <c r="BQ18" s="260">
        <f t="shared" si="10"/>
        <v>0</v>
      </c>
      <c r="BR18" s="260">
        <f t="shared" si="11"/>
        <v>0</v>
      </c>
      <c r="BS18" s="260">
        <f t="shared" si="12"/>
        <v>0</v>
      </c>
      <c r="BT18" s="260">
        <f t="shared" si="13"/>
        <v>0</v>
      </c>
      <c r="BU18" s="260">
        <f t="shared" si="14"/>
        <v>0</v>
      </c>
      <c r="BV18" s="261">
        <f t="shared" si="15"/>
        <v>0</v>
      </c>
      <c r="BW18" s="262">
        <f t="shared" si="16"/>
        <v>0</v>
      </c>
      <c r="BX18" s="260">
        <f t="shared" si="17"/>
        <v>0</v>
      </c>
      <c r="BY18" s="260">
        <f t="shared" si="18"/>
        <v>0</v>
      </c>
      <c r="BZ18" s="260">
        <f t="shared" si="19"/>
        <v>0</v>
      </c>
      <c r="CA18" s="260">
        <f t="shared" si="20"/>
        <v>0</v>
      </c>
      <c r="CB18" s="260">
        <f t="shared" si="21"/>
        <v>0</v>
      </c>
      <c r="CC18" s="260">
        <f t="shared" si="22"/>
        <v>0</v>
      </c>
      <c r="CD18" s="260">
        <f t="shared" si="23"/>
        <v>0</v>
      </c>
      <c r="CE18" s="260">
        <f t="shared" si="24"/>
        <v>0</v>
      </c>
      <c r="CF18" s="260">
        <f t="shared" si="25"/>
        <v>0</v>
      </c>
      <c r="CG18" s="260">
        <f t="shared" si="26"/>
        <v>0</v>
      </c>
      <c r="CH18" s="260">
        <f t="shared" si="27"/>
        <v>0</v>
      </c>
      <c r="CI18" s="260">
        <f t="shared" si="28"/>
        <v>0</v>
      </c>
      <c r="CJ18" s="260">
        <f t="shared" si="29"/>
        <v>0</v>
      </c>
      <c r="CK18" s="262">
        <f t="shared" si="38"/>
        <v>0</v>
      </c>
      <c r="CL18" s="260">
        <f t="shared" si="30"/>
        <v>0</v>
      </c>
      <c r="CM18" s="260">
        <f t="shared" si="31"/>
        <v>0</v>
      </c>
      <c r="CN18" s="260">
        <f t="shared" si="32"/>
        <v>0</v>
      </c>
      <c r="CO18" s="260">
        <f t="shared" si="33"/>
        <v>0</v>
      </c>
      <c r="CP18" s="260">
        <f t="shared" si="34"/>
        <v>0</v>
      </c>
      <c r="CQ18" s="260">
        <f t="shared" si="35"/>
        <v>0</v>
      </c>
      <c r="CR18" s="260">
        <f t="shared" si="36"/>
        <v>0</v>
      </c>
      <c r="CS18" s="369">
        <f t="shared" si="37"/>
        <v>0</v>
      </c>
      <c r="CT18" s="441">
        <f t="shared" si="40"/>
        <v>0</v>
      </c>
    </row>
    <row r="19" spans="1:98" s="259" customFormat="1" ht="22.5" customHeight="1">
      <c r="A19" s="246" t="s">
        <v>43</v>
      </c>
      <c r="B19" s="247" t="s">
        <v>39</v>
      </c>
      <c r="C19" s="248">
        <v>176.78571428571428</v>
      </c>
      <c r="D19" s="385">
        <v>15427</v>
      </c>
      <c r="E19" s="249">
        <v>0</v>
      </c>
      <c r="F19" s="249">
        <v>0</v>
      </c>
      <c r="G19" s="250">
        <v>847</v>
      </c>
      <c r="H19" s="251">
        <f t="shared" si="42"/>
        <v>149737.5</v>
      </c>
      <c r="I19" s="252"/>
      <c r="J19" s="252">
        <v>0</v>
      </c>
      <c r="K19" s="252">
        <v>0</v>
      </c>
      <c r="L19" s="252">
        <v>0</v>
      </c>
      <c r="M19" s="252">
        <v>0</v>
      </c>
      <c r="N19" s="252">
        <v>0</v>
      </c>
      <c r="O19" s="252">
        <v>0</v>
      </c>
      <c r="P19" s="252">
        <v>0</v>
      </c>
      <c r="Q19" s="252">
        <v>0</v>
      </c>
      <c r="R19" s="252">
        <v>0</v>
      </c>
      <c r="S19" s="252">
        <v>0</v>
      </c>
      <c r="T19" s="252">
        <v>0</v>
      </c>
      <c r="U19" s="252">
        <v>0</v>
      </c>
      <c r="V19" s="252">
        <v>0</v>
      </c>
      <c r="W19" s="252">
        <v>0</v>
      </c>
      <c r="X19" s="252">
        <v>0</v>
      </c>
      <c r="Y19" s="252">
        <v>0</v>
      </c>
      <c r="Z19" s="252">
        <v>0</v>
      </c>
      <c r="AA19" s="252">
        <v>0</v>
      </c>
      <c r="AB19" s="252">
        <v>0</v>
      </c>
      <c r="AC19" s="252">
        <v>0</v>
      </c>
      <c r="AD19" s="252">
        <v>0</v>
      </c>
      <c r="AE19" s="252">
        <v>0</v>
      </c>
      <c r="AF19" s="252">
        <v>0</v>
      </c>
      <c r="AG19" s="252">
        <v>0</v>
      </c>
      <c r="AH19" s="252">
        <v>0</v>
      </c>
      <c r="AI19" s="252">
        <v>0</v>
      </c>
      <c r="AJ19" s="252">
        <v>0</v>
      </c>
      <c r="AK19" s="252">
        <v>0</v>
      </c>
      <c r="AL19" s="252">
        <v>0</v>
      </c>
      <c r="AM19" s="252">
        <v>0</v>
      </c>
      <c r="AN19" s="252">
        <f t="shared" si="1"/>
        <v>0</v>
      </c>
      <c r="AO19" s="268">
        <f t="shared" si="2"/>
        <v>0</v>
      </c>
      <c r="AP19" s="253">
        <v>0</v>
      </c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>
        <f t="shared" si="39"/>
        <v>0</v>
      </c>
      <c r="BB19" s="253">
        <f t="shared" si="3"/>
        <v>0</v>
      </c>
      <c r="BC19" s="465"/>
      <c r="BD19" s="254"/>
      <c r="BE19" s="62"/>
      <c r="BF19" s="62"/>
      <c r="BG19" s="394"/>
      <c r="BH19" s="394"/>
      <c r="BI19" s="265">
        <f t="shared" si="4"/>
        <v>0</v>
      </c>
      <c r="BJ19" s="249">
        <f t="shared" si="5"/>
        <v>0</v>
      </c>
      <c r="BK19" s="256"/>
      <c r="BL19" s="257">
        <f t="shared" si="6"/>
        <v>0</v>
      </c>
      <c r="BM19" s="258">
        <f t="shared" si="7"/>
        <v>0</v>
      </c>
      <c r="BO19" s="260">
        <f t="shared" si="8"/>
        <v>0</v>
      </c>
      <c r="BP19" s="260">
        <f t="shared" si="9"/>
        <v>0</v>
      </c>
      <c r="BQ19" s="260">
        <f t="shared" si="10"/>
        <v>0</v>
      </c>
      <c r="BR19" s="260">
        <f t="shared" si="11"/>
        <v>0</v>
      </c>
      <c r="BS19" s="260">
        <f t="shared" si="12"/>
        <v>0</v>
      </c>
      <c r="BT19" s="260">
        <f t="shared" si="13"/>
        <v>0</v>
      </c>
      <c r="BU19" s="260">
        <f t="shared" si="14"/>
        <v>0</v>
      </c>
      <c r="BV19" s="261">
        <f t="shared" si="15"/>
        <v>0</v>
      </c>
      <c r="BW19" s="262">
        <f t="shared" si="16"/>
        <v>0</v>
      </c>
      <c r="BX19" s="260">
        <f t="shared" si="17"/>
        <v>0</v>
      </c>
      <c r="BY19" s="260">
        <f t="shared" si="18"/>
        <v>0</v>
      </c>
      <c r="BZ19" s="260">
        <f t="shared" si="19"/>
        <v>0</v>
      </c>
      <c r="CA19" s="260">
        <f t="shared" si="20"/>
        <v>0</v>
      </c>
      <c r="CB19" s="260">
        <f t="shared" si="21"/>
        <v>0</v>
      </c>
      <c r="CC19" s="260">
        <f t="shared" si="22"/>
        <v>0</v>
      </c>
      <c r="CD19" s="260">
        <f t="shared" si="23"/>
        <v>0</v>
      </c>
      <c r="CE19" s="260">
        <f t="shared" si="24"/>
        <v>0</v>
      </c>
      <c r="CF19" s="260">
        <f t="shared" si="25"/>
        <v>0</v>
      </c>
      <c r="CG19" s="260">
        <f t="shared" si="26"/>
        <v>0</v>
      </c>
      <c r="CH19" s="260">
        <f t="shared" si="27"/>
        <v>0</v>
      </c>
      <c r="CI19" s="260">
        <f t="shared" si="28"/>
        <v>0</v>
      </c>
      <c r="CJ19" s="260">
        <f t="shared" si="29"/>
        <v>0</v>
      </c>
      <c r="CK19" s="262">
        <f t="shared" si="38"/>
        <v>0</v>
      </c>
      <c r="CL19" s="260">
        <f t="shared" si="30"/>
        <v>0</v>
      </c>
      <c r="CM19" s="260">
        <f t="shared" si="31"/>
        <v>0</v>
      </c>
      <c r="CN19" s="260">
        <f t="shared" si="32"/>
        <v>0</v>
      </c>
      <c r="CO19" s="260">
        <f t="shared" si="33"/>
        <v>0</v>
      </c>
      <c r="CP19" s="260">
        <f t="shared" si="34"/>
        <v>0</v>
      </c>
      <c r="CQ19" s="260">
        <f t="shared" si="35"/>
        <v>0</v>
      </c>
      <c r="CR19" s="260">
        <f t="shared" si="36"/>
        <v>0</v>
      </c>
      <c r="CS19" s="369">
        <f t="shared" si="37"/>
        <v>0</v>
      </c>
      <c r="CT19" s="441">
        <f t="shared" si="40"/>
        <v>0</v>
      </c>
    </row>
    <row r="20" spans="1:98" s="259" customFormat="1" ht="22.5" customHeight="1">
      <c r="A20" s="246" t="s">
        <v>31</v>
      </c>
      <c r="B20" s="247" t="s">
        <v>39</v>
      </c>
      <c r="C20" s="248">
        <v>180.35714285714283</v>
      </c>
      <c r="D20" s="385">
        <v>16623</v>
      </c>
      <c r="E20" s="249">
        <v>16364</v>
      </c>
      <c r="F20" s="249">
        <v>2951364.2857142854</v>
      </c>
      <c r="G20" s="250"/>
      <c r="H20" s="251">
        <f t="shared" si="42"/>
        <v>0</v>
      </c>
      <c r="I20" s="252"/>
      <c r="J20" s="252">
        <v>0</v>
      </c>
      <c r="K20" s="252">
        <v>0</v>
      </c>
      <c r="L20" s="252">
        <v>0</v>
      </c>
      <c r="M20" s="252">
        <v>0</v>
      </c>
      <c r="N20" s="252">
        <v>0</v>
      </c>
      <c r="O20" s="252">
        <v>0</v>
      </c>
      <c r="P20" s="252">
        <v>0</v>
      </c>
      <c r="Q20" s="252">
        <v>0</v>
      </c>
      <c r="R20" s="252">
        <v>0</v>
      </c>
      <c r="S20" s="252">
        <v>0</v>
      </c>
      <c r="T20" s="252">
        <v>0</v>
      </c>
      <c r="U20" s="252">
        <v>0</v>
      </c>
      <c r="V20" s="252">
        <v>0</v>
      </c>
      <c r="W20" s="252">
        <v>0</v>
      </c>
      <c r="X20" s="252">
        <v>0</v>
      </c>
      <c r="Y20" s="252">
        <v>0</v>
      </c>
      <c r="Z20" s="252">
        <v>0</v>
      </c>
      <c r="AA20" s="252">
        <v>0</v>
      </c>
      <c r="AB20" s="252">
        <v>0</v>
      </c>
      <c r="AC20" s="252">
        <v>0</v>
      </c>
      <c r="AD20" s="252">
        <v>0</v>
      </c>
      <c r="AE20" s="252">
        <v>0</v>
      </c>
      <c r="AF20" s="252">
        <v>0</v>
      </c>
      <c r="AG20" s="252">
        <v>0</v>
      </c>
      <c r="AH20" s="252">
        <v>0</v>
      </c>
      <c r="AI20" s="252">
        <v>0</v>
      </c>
      <c r="AJ20" s="252">
        <v>0</v>
      </c>
      <c r="AK20" s="252">
        <v>0</v>
      </c>
      <c r="AL20" s="252">
        <v>0</v>
      </c>
      <c r="AM20" s="252">
        <v>0</v>
      </c>
      <c r="AN20" s="252">
        <f t="shared" si="1"/>
        <v>0</v>
      </c>
      <c r="AO20" s="268">
        <f t="shared" si="2"/>
        <v>0</v>
      </c>
      <c r="AP20" s="253">
        <v>16361</v>
      </c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>
        <f t="shared" si="39"/>
        <v>0</v>
      </c>
      <c r="BB20" s="253">
        <f t="shared" si="3"/>
        <v>16361</v>
      </c>
      <c r="BC20" s="465"/>
      <c r="BD20" s="254"/>
      <c r="BE20" s="62"/>
      <c r="BF20" s="62"/>
      <c r="BG20" s="394"/>
      <c r="BH20" s="394"/>
      <c r="BI20" s="265">
        <f t="shared" si="4"/>
        <v>16364</v>
      </c>
      <c r="BJ20" s="249">
        <f t="shared" si="5"/>
        <v>2951364.2857142854</v>
      </c>
      <c r="BK20" s="256"/>
      <c r="BL20" s="257">
        <f t="shared" si="6"/>
        <v>-3</v>
      </c>
      <c r="BM20" s="258">
        <f t="shared" si="7"/>
        <v>-541.07142857142844</v>
      </c>
      <c r="BO20" s="260">
        <f t="shared" si="8"/>
        <v>0</v>
      </c>
      <c r="BP20" s="260">
        <f t="shared" si="9"/>
        <v>0</v>
      </c>
      <c r="BQ20" s="260">
        <f t="shared" si="10"/>
        <v>0</v>
      </c>
      <c r="BR20" s="260">
        <f t="shared" si="11"/>
        <v>0</v>
      </c>
      <c r="BS20" s="260">
        <f t="shared" si="12"/>
        <v>0</v>
      </c>
      <c r="BT20" s="260">
        <f t="shared" si="13"/>
        <v>0</v>
      </c>
      <c r="BU20" s="260">
        <f t="shared" si="14"/>
        <v>0</v>
      </c>
      <c r="BV20" s="261">
        <f t="shared" si="15"/>
        <v>0</v>
      </c>
      <c r="BW20" s="262">
        <f t="shared" si="16"/>
        <v>0</v>
      </c>
      <c r="BX20" s="260">
        <f t="shared" si="17"/>
        <v>0</v>
      </c>
      <c r="BY20" s="260">
        <f t="shared" si="18"/>
        <v>0</v>
      </c>
      <c r="BZ20" s="260">
        <f t="shared" si="19"/>
        <v>0</v>
      </c>
      <c r="CA20" s="260">
        <f t="shared" si="20"/>
        <v>0</v>
      </c>
      <c r="CB20" s="260">
        <f t="shared" si="21"/>
        <v>0</v>
      </c>
      <c r="CC20" s="260">
        <f t="shared" si="22"/>
        <v>0</v>
      </c>
      <c r="CD20" s="260">
        <f t="shared" si="23"/>
        <v>0</v>
      </c>
      <c r="CE20" s="260">
        <f t="shared" si="24"/>
        <v>0</v>
      </c>
      <c r="CF20" s="260">
        <f t="shared" si="25"/>
        <v>0</v>
      </c>
      <c r="CG20" s="260">
        <f t="shared" si="26"/>
        <v>0</v>
      </c>
      <c r="CH20" s="260">
        <f t="shared" si="27"/>
        <v>0</v>
      </c>
      <c r="CI20" s="260">
        <f t="shared" si="28"/>
        <v>0</v>
      </c>
      <c r="CJ20" s="260">
        <f t="shared" si="29"/>
        <v>0</v>
      </c>
      <c r="CK20" s="262">
        <f t="shared" si="38"/>
        <v>0</v>
      </c>
      <c r="CL20" s="260">
        <f t="shared" si="30"/>
        <v>0</v>
      </c>
      <c r="CM20" s="260">
        <f t="shared" si="31"/>
        <v>0</v>
      </c>
      <c r="CN20" s="260">
        <f t="shared" si="32"/>
        <v>0</v>
      </c>
      <c r="CO20" s="260">
        <f t="shared" si="33"/>
        <v>0</v>
      </c>
      <c r="CP20" s="260">
        <f t="shared" si="34"/>
        <v>0</v>
      </c>
      <c r="CQ20" s="260">
        <f t="shared" si="35"/>
        <v>0</v>
      </c>
      <c r="CR20" s="260">
        <f t="shared" si="36"/>
        <v>0</v>
      </c>
      <c r="CS20" s="369">
        <f t="shared" si="37"/>
        <v>0</v>
      </c>
      <c r="CT20" s="441">
        <f t="shared" si="40"/>
        <v>0</v>
      </c>
    </row>
    <row r="21" spans="1:98" s="259" customFormat="1" ht="23.1" customHeight="1">
      <c r="A21" s="246" t="s">
        <v>44</v>
      </c>
      <c r="B21" s="247" t="s">
        <v>39</v>
      </c>
      <c r="C21" s="270">
        <v>207</v>
      </c>
      <c r="D21" s="385"/>
      <c r="E21" s="249">
        <v>0</v>
      </c>
      <c r="F21" s="249">
        <v>0</v>
      </c>
      <c r="G21" s="250"/>
      <c r="H21" s="251">
        <f t="shared" si="42"/>
        <v>0</v>
      </c>
      <c r="I21" s="252"/>
      <c r="J21" s="252">
        <v>0</v>
      </c>
      <c r="K21" s="252">
        <v>0</v>
      </c>
      <c r="L21" s="252">
        <v>0</v>
      </c>
      <c r="M21" s="252">
        <v>0</v>
      </c>
      <c r="N21" s="252">
        <v>0</v>
      </c>
      <c r="O21" s="252">
        <v>0</v>
      </c>
      <c r="P21" s="252">
        <v>0</v>
      </c>
      <c r="Q21" s="252">
        <v>0</v>
      </c>
      <c r="R21" s="252">
        <v>0</v>
      </c>
      <c r="S21" s="252">
        <v>0</v>
      </c>
      <c r="T21" s="252">
        <v>0</v>
      </c>
      <c r="U21" s="252">
        <v>0</v>
      </c>
      <c r="V21" s="252">
        <v>0</v>
      </c>
      <c r="W21" s="252">
        <v>0</v>
      </c>
      <c r="X21" s="252">
        <v>0</v>
      </c>
      <c r="Y21" s="252">
        <v>0</v>
      </c>
      <c r="Z21" s="252">
        <v>0</v>
      </c>
      <c r="AA21" s="252">
        <v>0</v>
      </c>
      <c r="AB21" s="252">
        <v>0</v>
      </c>
      <c r="AC21" s="252">
        <v>0</v>
      </c>
      <c r="AD21" s="252">
        <v>0</v>
      </c>
      <c r="AE21" s="252">
        <v>0</v>
      </c>
      <c r="AF21" s="252">
        <v>0</v>
      </c>
      <c r="AG21" s="252">
        <v>0</v>
      </c>
      <c r="AH21" s="252">
        <v>0</v>
      </c>
      <c r="AI21" s="252">
        <v>0</v>
      </c>
      <c r="AJ21" s="252">
        <v>0</v>
      </c>
      <c r="AK21" s="252">
        <v>0</v>
      </c>
      <c r="AL21" s="252">
        <v>0</v>
      </c>
      <c r="AM21" s="252">
        <v>0</v>
      </c>
      <c r="AN21" s="252">
        <f t="shared" si="1"/>
        <v>0</v>
      </c>
      <c r="AO21" s="268">
        <f t="shared" si="2"/>
        <v>0</v>
      </c>
      <c r="AP21" s="253">
        <v>0</v>
      </c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>
        <f t="shared" si="39"/>
        <v>0</v>
      </c>
      <c r="BB21" s="253">
        <f t="shared" si="3"/>
        <v>0</v>
      </c>
      <c r="BC21" s="465"/>
      <c r="BD21" s="254"/>
      <c r="BE21" s="62"/>
      <c r="BF21" s="62"/>
      <c r="BG21" s="394"/>
      <c r="BH21" s="394"/>
      <c r="BI21" s="265">
        <f t="shared" si="4"/>
        <v>0</v>
      </c>
      <c r="BJ21" s="249">
        <f t="shared" si="5"/>
        <v>0</v>
      </c>
      <c r="BK21" s="256"/>
      <c r="BL21" s="257">
        <f t="shared" si="6"/>
        <v>0</v>
      </c>
      <c r="BM21" s="258">
        <f t="shared" si="7"/>
        <v>0</v>
      </c>
      <c r="BO21" s="260">
        <f t="shared" si="8"/>
        <v>0</v>
      </c>
      <c r="BP21" s="260">
        <f t="shared" si="9"/>
        <v>0</v>
      </c>
      <c r="BQ21" s="260">
        <f t="shared" si="10"/>
        <v>0</v>
      </c>
      <c r="BR21" s="260">
        <f t="shared" si="11"/>
        <v>0</v>
      </c>
      <c r="BS21" s="260">
        <f t="shared" si="12"/>
        <v>0</v>
      </c>
      <c r="BT21" s="260">
        <f t="shared" si="13"/>
        <v>0</v>
      </c>
      <c r="BU21" s="260">
        <f t="shared" si="14"/>
        <v>0</v>
      </c>
      <c r="BV21" s="261">
        <f t="shared" si="15"/>
        <v>0</v>
      </c>
      <c r="BW21" s="262">
        <f t="shared" si="16"/>
        <v>0</v>
      </c>
      <c r="BX21" s="260">
        <f t="shared" si="17"/>
        <v>0</v>
      </c>
      <c r="BY21" s="260">
        <f t="shared" si="18"/>
        <v>0</v>
      </c>
      <c r="BZ21" s="260">
        <f t="shared" si="19"/>
        <v>0</v>
      </c>
      <c r="CA21" s="260">
        <f t="shared" si="20"/>
        <v>0</v>
      </c>
      <c r="CB21" s="260">
        <f t="shared" si="21"/>
        <v>0</v>
      </c>
      <c r="CC21" s="260">
        <f t="shared" si="22"/>
        <v>0</v>
      </c>
      <c r="CD21" s="260">
        <f t="shared" si="23"/>
        <v>0</v>
      </c>
      <c r="CE21" s="260">
        <f t="shared" si="24"/>
        <v>0</v>
      </c>
      <c r="CF21" s="260">
        <f t="shared" si="25"/>
        <v>0</v>
      </c>
      <c r="CG21" s="260">
        <f t="shared" si="26"/>
        <v>0</v>
      </c>
      <c r="CH21" s="260">
        <f t="shared" si="27"/>
        <v>0</v>
      </c>
      <c r="CI21" s="260">
        <f t="shared" si="28"/>
        <v>0</v>
      </c>
      <c r="CJ21" s="260">
        <f t="shared" si="29"/>
        <v>0</v>
      </c>
      <c r="CK21" s="262">
        <f t="shared" si="38"/>
        <v>0</v>
      </c>
      <c r="CL21" s="260">
        <f t="shared" si="30"/>
        <v>0</v>
      </c>
      <c r="CM21" s="260">
        <f t="shared" si="31"/>
        <v>0</v>
      </c>
      <c r="CN21" s="260">
        <f t="shared" si="32"/>
        <v>0</v>
      </c>
      <c r="CO21" s="260">
        <f t="shared" si="33"/>
        <v>0</v>
      </c>
      <c r="CP21" s="260">
        <f t="shared" si="34"/>
        <v>0</v>
      </c>
      <c r="CQ21" s="260">
        <f t="shared" si="35"/>
        <v>0</v>
      </c>
      <c r="CR21" s="260">
        <f t="shared" si="36"/>
        <v>0</v>
      </c>
      <c r="CS21" s="369">
        <f t="shared" si="37"/>
        <v>0</v>
      </c>
      <c r="CT21" s="441">
        <f t="shared" si="40"/>
        <v>0</v>
      </c>
    </row>
    <row r="22" spans="1:98" s="259" customFormat="1" ht="21.75" customHeight="1">
      <c r="A22" s="246" t="s">
        <v>45</v>
      </c>
      <c r="B22" s="247" t="s">
        <v>39</v>
      </c>
      <c r="C22" s="270">
        <v>331</v>
      </c>
      <c r="D22" s="385">
        <v>12151</v>
      </c>
      <c r="E22" s="249">
        <v>0</v>
      </c>
      <c r="F22" s="249">
        <v>0</v>
      </c>
      <c r="G22" s="250">
        <v>95</v>
      </c>
      <c r="H22" s="251">
        <f t="shared" si="42"/>
        <v>31445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>
        <f t="shared" si="1"/>
        <v>0</v>
      </c>
      <c r="AO22" s="268">
        <f t="shared" si="2"/>
        <v>0</v>
      </c>
      <c r="AP22" s="253">
        <v>0</v>
      </c>
      <c r="AQ22" s="253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>
        <f t="shared" si="39"/>
        <v>0</v>
      </c>
      <c r="BB22" s="253">
        <f t="shared" si="3"/>
        <v>0</v>
      </c>
      <c r="BC22" s="465"/>
      <c r="BD22" s="254"/>
      <c r="BE22" s="62"/>
      <c r="BF22" s="62"/>
      <c r="BG22" s="394"/>
      <c r="BH22" s="394"/>
      <c r="BI22" s="265">
        <f t="shared" si="4"/>
        <v>0</v>
      </c>
      <c r="BJ22" s="249">
        <f t="shared" si="5"/>
        <v>0</v>
      </c>
      <c r="BK22" s="256"/>
      <c r="BL22" s="257">
        <f t="shared" si="6"/>
        <v>0</v>
      </c>
      <c r="BM22" s="258">
        <f t="shared" si="7"/>
        <v>0</v>
      </c>
      <c r="BO22" s="260">
        <f t="shared" si="8"/>
        <v>0</v>
      </c>
      <c r="BP22" s="260">
        <f t="shared" si="9"/>
        <v>0</v>
      </c>
      <c r="BQ22" s="260">
        <f t="shared" si="10"/>
        <v>0</v>
      </c>
      <c r="BR22" s="260">
        <f t="shared" si="11"/>
        <v>0</v>
      </c>
      <c r="BS22" s="260">
        <f t="shared" si="12"/>
        <v>0</v>
      </c>
      <c r="BT22" s="260">
        <f t="shared" si="13"/>
        <v>0</v>
      </c>
      <c r="BU22" s="260">
        <f t="shared" si="14"/>
        <v>0</v>
      </c>
      <c r="BV22" s="261">
        <f t="shared" si="15"/>
        <v>0</v>
      </c>
      <c r="BW22" s="262">
        <f t="shared" si="16"/>
        <v>0</v>
      </c>
      <c r="BX22" s="260">
        <f t="shared" si="17"/>
        <v>0</v>
      </c>
      <c r="BY22" s="260">
        <f t="shared" si="18"/>
        <v>0</v>
      </c>
      <c r="BZ22" s="260">
        <f t="shared" si="19"/>
        <v>0</v>
      </c>
      <c r="CA22" s="260">
        <f t="shared" si="20"/>
        <v>0</v>
      </c>
      <c r="CB22" s="260">
        <f t="shared" si="21"/>
        <v>0</v>
      </c>
      <c r="CC22" s="260">
        <f t="shared" si="22"/>
        <v>0</v>
      </c>
      <c r="CD22" s="260">
        <f t="shared" si="23"/>
        <v>0</v>
      </c>
      <c r="CE22" s="260">
        <f t="shared" si="24"/>
        <v>0</v>
      </c>
      <c r="CF22" s="260">
        <f t="shared" si="25"/>
        <v>0</v>
      </c>
      <c r="CG22" s="260">
        <f t="shared" si="26"/>
        <v>0</v>
      </c>
      <c r="CH22" s="260">
        <f t="shared" si="27"/>
        <v>0</v>
      </c>
      <c r="CI22" s="260">
        <f t="shared" si="28"/>
        <v>0</v>
      </c>
      <c r="CJ22" s="260">
        <f t="shared" si="29"/>
        <v>0</v>
      </c>
      <c r="CK22" s="262">
        <f t="shared" si="38"/>
        <v>0</v>
      </c>
      <c r="CL22" s="260">
        <f t="shared" si="30"/>
        <v>0</v>
      </c>
      <c r="CM22" s="260">
        <f t="shared" si="31"/>
        <v>0</v>
      </c>
      <c r="CN22" s="260">
        <f t="shared" si="32"/>
        <v>0</v>
      </c>
      <c r="CO22" s="260">
        <f t="shared" si="33"/>
        <v>0</v>
      </c>
      <c r="CP22" s="260">
        <f t="shared" si="34"/>
        <v>0</v>
      </c>
      <c r="CQ22" s="260">
        <f t="shared" si="35"/>
        <v>0</v>
      </c>
      <c r="CR22" s="260">
        <f t="shared" si="36"/>
        <v>0</v>
      </c>
      <c r="CS22" s="369">
        <f t="shared" si="37"/>
        <v>0</v>
      </c>
      <c r="CT22" s="441">
        <f t="shared" si="40"/>
        <v>0</v>
      </c>
    </row>
    <row r="23" spans="1:98" s="259" customFormat="1" ht="23.25" customHeight="1">
      <c r="A23" s="246" t="s">
        <v>18</v>
      </c>
      <c r="B23" s="247" t="s">
        <v>39</v>
      </c>
      <c r="C23" s="248">
        <v>189.38</v>
      </c>
      <c r="D23" s="385">
        <v>10965</v>
      </c>
      <c r="E23" s="249">
        <v>59481</v>
      </c>
      <c r="F23" s="249">
        <v>14524877.859999999</v>
      </c>
      <c r="G23" s="250"/>
      <c r="H23" s="251">
        <f t="shared" si="42"/>
        <v>0</v>
      </c>
      <c r="I23" s="252"/>
      <c r="J23" s="252">
        <v>1057</v>
      </c>
      <c r="K23" s="252">
        <v>1226</v>
      </c>
      <c r="L23" s="252">
        <v>1840</v>
      </c>
      <c r="M23" s="252">
        <v>1733</v>
      </c>
      <c r="N23" s="252">
        <v>1820</v>
      </c>
      <c r="O23" s="252">
        <v>1531</v>
      </c>
      <c r="P23" s="252">
        <v>1548</v>
      </c>
      <c r="Q23" s="252">
        <v>1597</v>
      </c>
      <c r="R23" s="252">
        <v>1328</v>
      </c>
      <c r="S23" s="252">
        <v>1731</v>
      </c>
      <c r="T23" s="252">
        <v>1779</v>
      </c>
      <c r="U23" s="252">
        <v>1743</v>
      </c>
      <c r="V23" s="252">
        <v>1490</v>
      </c>
      <c r="W23" s="252">
        <v>1298</v>
      </c>
      <c r="X23" s="252">
        <v>1201</v>
      </c>
      <c r="Y23" s="252">
        <v>1266</v>
      </c>
      <c r="Z23" s="252">
        <v>1450</v>
      </c>
      <c r="AA23" s="252">
        <v>1554</v>
      </c>
      <c r="AB23" s="252">
        <v>1627</v>
      </c>
      <c r="AC23" s="252">
        <v>1311</v>
      </c>
      <c r="AD23" s="252">
        <v>1432</v>
      </c>
      <c r="AE23" s="252">
        <v>1486</v>
      </c>
      <c r="AF23" s="252">
        <v>1144</v>
      </c>
      <c r="AG23" s="252">
        <v>1398</v>
      </c>
      <c r="AH23" s="252">
        <v>1398</v>
      </c>
      <c r="AI23" s="252">
        <v>1687</v>
      </c>
      <c r="AJ23" s="252">
        <v>1665</v>
      </c>
      <c r="AK23" s="252">
        <v>1406</v>
      </c>
      <c r="AL23" s="252">
        <v>1366</v>
      </c>
      <c r="AM23" s="252">
        <v>1110</v>
      </c>
      <c r="AN23" s="252">
        <f t="shared" si="1"/>
        <v>44222</v>
      </c>
      <c r="AO23" s="268">
        <f t="shared" si="2"/>
        <v>8374762.3599999994</v>
      </c>
      <c r="AP23" s="251">
        <f>'EXEL 2.4 (SOH MINE)'!D20</f>
        <v>10350</v>
      </c>
      <c r="AQ23" s="251"/>
      <c r="AR23" s="251">
        <f>'EXEL 2.4 (SOH MINE)'!E20</f>
        <v>2175</v>
      </c>
      <c r="AS23" s="251"/>
      <c r="AT23" s="251">
        <f>'EXEL 2.4 (SOH MINE)'!G20</f>
        <v>3650</v>
      </c>
      <c r="AU23" s="251">
        <f>'EXEL 2.4 (SOH MINE)'!H20</f>
        <v>6543</v>
      </c>
      <c r="AV23" s="251">
        <f>'EXEL 2.4 (SOH MINE)'!I20</f>
        <v>6292</v>
      </c>
      <c r="AW23" s="251">
        <f>'EXEL 2.4 (SOH MINE)'!J20</f>
        <v>5081</v>
      </c>
      <c r="AX23" s="251">
        <f>'EXEL 2.4 (SOH MINE)'!K20</f>
        <v>0</v>
      </c>
      <c r="AY23" s="251">
        <f>'EXEL 2.4 (SOH MINE)'!L20</f>
        <v>6240</v>
      </c>
      <c r="AZ23" s="251">
        <f>'EXEL 2.4 (SOH MINE)'!M20</f>
        <v>2594</v>
      </c>
      <c r="BA23" s="253">
        <f t="shared" si="39"/>
        <v>32575</v>
      </c>
      <c r="BB23" s="253">
        <f t="shared" si="3"/>
        <v>42925</v>
      </c>
      <c r="BC23" s="465">
        <v>25500</v>
      </c>
      <c r="BD23" s="254">
        <v>6000</v>
      </c>
      <c r="BE23" s="62"/>
      <c r="BF23" s="62"/>
      <c r="BG23" s="394"/>
      <c r="BH23" s="394"/>
      <c r="BI23" s="265">
        <f t="shared" si="4"/>
        <v>46759</v>
      </c>
      <c r="BJ23" s="249">
        <f t="shared" si="5"/>
        <v>8855219.4199999999</v>
      </c>
      <c r="BK23" s="256"/>
      <c r="BL23" s="257">
        <f t="shared" si="6"/>
        <v>-3834</v>
      </c>
      <c r="BM23" s="258">
        <f t="shared" si="7"/>
        <v>-726082.91999999993</v>
      </c>
      <c r="BO23" s="260">
        <f t="shared" si="8"/>
        <v>0</v>
      </c>
      <c r="BP23" s="260">
        <f t="shared" si="9"/>
        <v>200174.66</v>
      </c>
      <c r="BQ23" s="260">
        <f t="shared" si="10"/>
        <v>232179.88</v>
      </c>
      <c r="BR23" s="260">
        <f t="shared" si="11"/>
        <v>348459.2</v>
      </c>
      <c r="BS23" s="260">
        <f t="shared" si="12"/>
        <v>328195.53999999998</v>
      </c>
      <c r="BT23" s="260">
        <f t="shared" si="13"/>
        <v>344671.6</v>
      </c>
      <c r="BU23" s="260">
        <f t="shared" si="14"/>
        <v>289940.77999999997</v>
      </c>
      <c r="BV23" s="261">
        <f t="shared" si="15"/>
        <v>293160.24</v>
      </c>
      <c r="BW23" s="262">
        <f t="shared" si="16"/>
        <v>302439.86</v>
      </c>
      <c r="BX23" s="260">
        <f t="shared" si="17"/>
        <v>251496.63999999998</v>
      </c>
      <c r="BY23" s="260">
        <f t="shared" si="18"/>
        <v>327816.77999999997</v>
      </c>
      <c r="BZ23" s="260">
        <f t="shared" si="19"/>
        <v>336907.02</v>
      </c>
      <c r="CA23" s="260">
        <f t="shared" si="20"/>
        <v>330089.33999999997</v>
      </c>
      <c r="CB23" s="260">
        <f t="shared" si="21"/>
        <v>282176.2</v>
      </c>
      <c r="CC23" s="260">
        <f t="shared" si="22"/>
        <v>245815.24</v>
      </c>
      <c r="CD23" s="260">
        <f t="shared" si="23"/>
        <v>227445.38</v>
      </c>
      <c r="CE23" s="260">
        <f t="shared" si="24"/>
        <v>239755.08</v>
      </c>
      <c r="CF23" s="260">
        <f t="shared" si="25"/>
        <v>274601</v>
      </c>
      <c r="CG23" s="260">
        <f t="shared" si="26"/>
        <v>294296.52</v>
      </c>
      <c r="CH23" s="260">
        <f t="shared" si="27"/>
        <v>308121.26</v>
      </c>
      <c r="CI23" s="260">
        <f t="shared" si="28"/>
        <v>248277.18</v>
      </c>
      <c r="CJ23" s="260">
        <f t="shared" si="29"/>
        <v>271192.15999999997</v>
      </c>
      <c r="CK23" s="262">
        <f t="shared" si="38"/>
        <v>281418.68</v>
      </c>
      <c r="CL23" s="260">
        <f t="shared" si="30"/>
        <v>216650.72</v>
      </c>
      <c r="CM23" s="260">
        <f t="shared" si="31"/>
        <v>264753.24</v>
      </c>
      <c r="CN23" s="260">
        <f t="shared" si="32"/>
        <v>264753.24</v>
      </c>
      <c r="CO23" s="260">
        <f t="shared" si="33"/>
        <v>319484.06</v>
      </c>
      <c r="CP23" s="260">
        <f t="shared" si="34"/>
        <v>315317.7</v>
      </c>
      <c r="CQ23" s="260">
        <f t="shared" si="35"/>
        <v>266268.27999999997</v>
      </c>
      <c r="CR23" s="260">
        <f t="shared" si="36"/>
        <v>258693.08</v>
      </c>
      <c r="CS23" s="369">
        <f t="shared" si="37"/>
        <v>210211.8</v>
      </c>
      <c r="CT23" s="441">
        <f t="shared" si="40"/>
        <v>8374762.3599999985</v>
      </c>
    </row>
    <row r="24" spans="1:98" s="259" customFormat="1" ht="22.5" customHeight="1">
      <c r="A24" s="246" t="s">
        <v>19</v>
      </c>
      <c r="B24" s="247" t="s">
        <v>39</v>
      </c>
      <c r="C24" s="248">
        <v>195</v>
      </c>
      <c r="D24" s="385">
        <v>21809</v>
      </c>
      <c r="E24" s="249">
        <v>0</v>
      </c>
      <c r="F24" s="249">
        <v>0</v>
      </c>
      <c r="G24" s="250">
        <v>646</v>
      </c>
      <c r="H24" s="251">
        <f t="shared" si="42"/>
        <v>125970</v>
      </c>
      <c r="I24" s="252"/>
      <c r="J24" s="252">
        <v>0</v>
      </c>
      <c r="K24" s="252">
        <v>0</v>
      </c>
      <c r="L24" s="252">
        <v>0</v>
      </c>
      <c r="M24" s="252">
        <v>0</v>
      </c>
      <c r="N24" s="252">
        <v>0</v>
      </c>
      <c r="O24" s="252">
        <v>0</v>
      </c>
      <c r="P24" s="252">
        <v>0</v>
      </c>
      <c r="Q24" s="252">
        <v>0</v>
      </c>
      <c r="R24" s="252">
        <v>0</v>
      </c>
      <c r="S24" s="252">
        <v>0</v>
      </c>
      <c r="T24" s="252">
        <v>0</v>
      </c>
      <c r="U24" s="252">
        <v>0</v>
      </c>
      <c r="V24" s="252">
        <v>0</v>
      </c>
      <c r="W24" s="252">
        <v>0</v>
      </c>
      <c r="X24" s="252">
        <v>0</v>
      </c>
      <c r="Y24" s="252">
        <v>0</v>
      </c>
      <c r="Z24" s="252">
        <v>0</v>
      </c>
      <c r="AA24" s="252">
        <v>0</v>
      </c>
      <c r="AB24" s="252">
        <v>0</v>
      </c>
      <c r="AC24" s="252">
        <v>0</v>
      </c>
      <c r="AD24" s="252">
        <v>0</v>
      </c>
      <c r="AE24" s="252">
        <v>0</v>
      </c>
      <c r="AF24" s="252">
        <v>0</v>
      </c>
      <c r="AG24" s="252">
        <v>0</v>
      </c>
      <c r="AH24" s="252">
        <v>0</v>
      </c>
      <c r="AI24" s="252">
        <v>0</v>
      </c>
      <c r="AJ24" s="252">
        <v>0</v>
      </c>
      <c r="AK24" s="252">
        <v>0</v>
      </c>
      <c r="AL24" s="252">
        <v>0</v>
      </c>
      <c r="AM24" s="252">
        <v>0</v>
      </c>
      <c r="AN24" s="252">
        <f t="shared" si="1"/>
        <v>0</v>
      </c>
      <c r="AO24" s="268">
        <f t="shared" si="2"/>
        <v>0</v>
      </c>
      <c r="AP24" s="253">
        <v>0</v>
      </c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>
        <f t="shared" si="39"/>
        <v>0</v>
      </c>
      <c r="BB24" s="253">
        <f t="shared" si="3"/>
        <v>0</v>
      </c>
      <c r="BC24" s="465"/>
      <c r="BD24" s="254"/>
      <c r="BE24" s="62"/>
      <c r="BF24" s="62"/>
      <c r="BG24" s="394"/>
      <c r="BH24" s="394"/>
      <c r="BI24" s="265">
        <f t="shared" si="4"/>
        <v>0</v>
      </c>
      <c r="BJ24" s="249">
        <v>0</v>
      </c>
      <c r="BK24" s="256"/>
      <c r="BL24" s="257">
        <f t="shared" si="6"/>
        <v>0</v>
      </c>
      <c r="BM24" s="258">
        <f t="shared" si="7"/>
        <v>0</v>
      </c>
      <c r="BO24" s="260">
        <f t="shared" si="8"/>
        <v>0</v>
      </c>
      <c r="BP24" s="260">
        <f t="shared" si="9"/>
        <v>0</v>
      </c>
      <c r="BQ24" s="260">
        <f t="shared" si="10"/>
        <v>0</v>
      </c>
      <c r="BR24" s="260">
        <f t="shared" si="11"/>
        <v>0</v>
      </c>
      <c r="BS24" s="260">
        <f t="shared" si="12"/>
        <v>0</v>
      </c>
      <c r="BT24" s="260">
        <f t="shared" si="13"/>
        <v>0</v>
      </c>
      <c r="BU24" s="260">
        <f t="shared" si="14"/>
        <v>0</v>
      </c>
      <c r="BV24" s="261">
        <f t="shared" si="15"/>
        <v>0</v>
      </c>
      <c r="BW24" s="262">
        <f t="shared" si="16"/>
        <v>0</v>
      </c>
      <c r="BX24" s="260">
        <f t="shared" si="17"/>
        <v>0</v>
      </c>
      <c r="BY24" s="260">
        <f t="shared" si="18"/>
        <v>0</v>
      </c>
      <c r="BZ24" s="260">
        <f t="shared" si="19"/>
        <v>0</v>
      </c>
      <c r="CA24" s="260">
        <f t="shared" si="20"/>
        <v>0</v>
      </c>
      <c r="CB24" s="260">
        <f t="shared" si="21"/>
        <v>0</v>
      </c>
      <c r="CC24" s="260">
        <f t="shared" si="22"/>
        <v>0</v>
      </c>
      <c r="CD24" s="260">
        <f t="shared" si="23"/>
        <v>0</v>
      </c>
      <c r="CE24" s="260">
        <f t="shared" si="24"/>
        <v>0</v>
      </c>
      <c r="CF24" s="260">
        <f t="shared" si="25"/>
        <v>0</v>
      </c>
      <c r="CG24" s="260">
        <f t="shared" si="26"/>
        <v>0</v>
      </c>
      <c r="CH24" s="260">
        <f t="shared" si="27"/>
        <v>0</v>
      </c>
      <c r="CI24" s="260">
        <f t="shared" si="28"/>
        <v>0</v>
      </c>
      <c r="CJ24" s="260">
        <f t="shared" si="29"/>
        <v>0</v>
      </c>
      <c r="CK24" s="262">
        <f t="shared" si="38"/>
        <v>0</v>
      </c>
      <c r="CL24" s="260">
        <f t="shared" si="30"/>
        <v>0</v>
      </c>
      <c r="CM24" s="260">
        <f t="shared" si="31"/>
        <v>0</v>
      </c>
      <c r="CN24" s="260">
        <f t="shared" si="32"/>
        <v>0</v>
      </c>
      <c r="CO24" s="260">
        <f t="shared" si="33"/>
        <v>0</v>
      </c>
      <c r="CP24" s="260">
        <f t="shared" si="34"/>
        <v>0</v>
      </c>
      <c r="CQ24" s="260">
        <f t="shared" si="35"/>
        <v>0</v>
      </c>
      <c r="CR24" s="260">
        <f t="shared" si="36"/>
        <v>0</v>
      </c>
      <c r="CS24" s="369">
        <f t="shared" si="37"/>
        <v>0</v>
      </c>
      <c r="CT24" s="441">
        <f t="shared" si="40"/>
        <v>0</v>
      </c>
    </row>
    <row r="25" spans="1:98" s="259" customFormat="1" ht="18" customHeight="1">
      <c r="A25" s="246" t="s">
        <v>20</v>
      </c>
      <c r="B25" s="247" t="s">
        <v>39</v>
      </c>
      <c r="C25" s="248">
        <v>195</v>
      </c>
      <c r="D25" s="385">
        <v>10966</v>
      </c>
      <c r="E25" s="249">
        <v>15644</v>
      </c>
      <c r="F25" s="249">
        <v>2275455</v>
      </c>
      <c r="G25" s="250"/>
      <c r="H25" s="251">
        <f t="shared" si="42"/>
        <v>0</v>
      </c>
      <c r="I25" s="252"/>
      <c r="J25" s="252">
        <v>13</v>
      </c>
      <c r="K25" s="252">
        <v>19</v>
      </c>
      <c r="L25" s="252">
        <v>28</v>
      </c>
      <c r="M25" s="252">
        <v>48</v>
      </c>
      <c r="N25" s="252">
        <v>65</v>
      </c>
      <c r="O25" s="252">
        <v>45</v>
      </c>
      <c r="P25" s="252">
        <v>51</v>
      </c>
      <c r="Q25" s="252">
        <v>55</v>
      </c>
      <c r="R25" s="252">
        <v>26</v>
      </c>
      <c r="S25" s="252">
        <v>39</v>
      </c>
      <c r="T25" s="252">
        <v>51</v>
      </c>
      <c r="U25" s="252">
        <v>59</v>
      </c>
      <c r="V25" s="252">
        <v>40</v>
      </c>
      <c r="W25" s="252">
        <v>26</v>
      </c>
      <c r="X25" s="252">
        <v>29</v>
      </c>
      <c r="Y25" s="252">
        <v>27</v>
      </c>
      <c r="Z25" s="252">
        <v>25</v>
      </c>
      <c r="AA25" s="252">
        <v>146</v>
      </c>
      <c r="AB25" s="252">
        <v>252</v>
      </c>
      <c r="AC25" s="252">
        <v>232</v>
      </c>
      <c r="AD25" s="252">
        <v>292</v>
      </c>
      <c r="AE25" s="252">
        <v>309</v>
      </c>
      <c r="AF25" s="252">
        <v>293</v>
      </c>
      <c r="AG25" s="252">
        <v>333</v>
      </c>
      <c r="AH25" s="252">
        <v>273</v>
      </c>
      <c r="AI25" s="252">
        <v>266</v>
      </c>
      <c r="AJ25" s="252">
        <v>128</v>
      </c>
      <c r="AK25" s="252">
        <v>122</v>
      </c>
      <c r="AL25" s="252">
        <v>98</v>
      </c>
      <c r="AM25" s="252">
        <v>63</v>
      </c>
      <c r="AN25" s="252">
        <f t="shared" si="1"/>
        <v>3453</v>
      </c>
      <c r="AO25" s="268">
        <f t="shared" si="2"/>
        <v>673335</v>
      </c>
      <c r="AP25" s="251">
        <f>'EXEL 3.6 (SOH MINE)'!D19</f>
        <v>8060</v>
      </c>
      <c r="AQ25" s="251"/>
      <c r="AR25" s="251">
        <f>'EXEL 3.6 (SOH MINE)'!F19</f>
        <v>990</v>
      </c>
      <c r="AS25" s="251"/>
      <c r="AT25" s="251">
        <f>'EXEL 3.6 (SOH MINE)'!J19</f>
        <v>440</v>
      </c>
      <c r="AU25" s="251">
        <f>'EXEL 3.6 (SOH MINE)'!K19</f>
        <v>1162</v>
      </c>
      <c r="AV25" s="251">
        <f>'EXEL 3.6 (SOH MINE)'!L19</f>
        <v>440</v>
      </c>
      <c r="AW25" s="251">
        <f>'EXEL 3.6 (SOH MINE)'!M19</f>
        <v>493</v>
      </c>
      <c r="AX25" s="251">
        <f>'EXEL 3.6 (SOH MINE)'!N19</f>
        <v>0</v>
      </c>
      <c r="AY25" s="251">
        <f>'EXEL 3.6 (SOH MINE)'!O19</f>
        <v>668</v>
      </c>
      <c r="AZ25" s="251">
        <f>'EXEL 3.6 (SOH MINE)'!P19</f>
        <v>5</v>
      </c>
      <c r="BA25" s="253">
        <f t="shared" si="39"/>
        <v>4198</v>
      </c>
      <c r="BB25" s="253">
        <f t="shared" si="3"/>
        <v>12258</v>
      </c>
      <c r="BC25" s="465"/>
      <c r="BD25" s="254"/>
      <c r="BE25" s="62"/>
      <c r="BF25" s="62"/>
      <c r="BG25" s="394"/>
      <c r="BH25" s="394"/>
      <c r="BI25" s="265">
        <f t="shared" si="4"/>
        <v>12191</v>
      </c>
      <c r="BJ25" s="249">
        <f t="shared" ref="BJ25:BJ33" si="43">BI25*C25</f>
        <v>2377245</v>
      </c>
      <c r="BK25" s="256"/>
      <c r="BL25" s="257">
        <f t="shared" si="6"/>
        <v>67</v>
      </c>
      <c r="BM25" s="258">
        <f t="shared" si="7"/>
        <v>13065</v>
      </c>
      <c r="BO25" s="260">
        <f t="shared" si="8"/>
        <v>0</v>
      </c>
      <c r="BP25" s="260">
        <f t="shared" si="9"/>
        <v>2535</v>
      </c>
      <c r="BQ25" s="260">
        <f t="shared" si="10"/>
        <v>3705</v>
      </c>
      <c r="BR25" s="260">
        <f t="shared" si="11"/>
        <v>5460</v>
      </c>
      <c r="BS25" s="260">
        <f t="shared" si="12"/>
        <v>9360</v>
      </c>
      <c r="BT25" s="260">
        <f t="shared" si="13"/>
        <v>12675</v>
      </c>
      <c r="BU25" s="260">
        <f t="shared" si="14"/>
        <v>8775</v>
      </c>
      <c r="BV25" s="261">
        <f t="shared" si="15"/>
        <v>9945</v>
      </c>
      <c r="BW25" s="262">
        <f t="shared" si="16"/>
        <v>10725</v>
      </c>
      <c r="BX25" s="260">
        <f t="shared" si="17"/>
        <v>5070</v>
      </c>
      <c r="BY25" s="260">
        <f t="shared" si="18"/>
        <v>7605</v>
      </c>
      <c r="BZ25" s="260">
        <f t="shared" si="19"/>
        <v>9945</v>
      </c>
      <c r="CA25" s="260">
        <f t="shared" si="20"/>
        <v>11505</v>
      </c>
      <c r="CB25" s="260">
        <f t="shared" si="21"/>
        <v>7800</v>
      </c>
      <c r="CC25" s="260">
        <f t="shared" si="22"/>
        <v>5070</v>
      </c>
      <c r="CD25" s="260">
        <f t="shared" si="23"/>
        <v>5655</v>
      </c>
      <c r="CE25" s="260">
        <f t="shared" si="24"/>
        <v>5265</v>
      </c>
      <c r="CF25" s="260">
        <f t="shared" si="25"/>
        <v>4875</v>
      </c>
      <c r="CG25" s="260">
        <f t="shared" si="26"/>
        <v>28470</v>
      </c>
      <c r="CH25" s="260">
        <f t="shared" si="27"/>
        <v>49140</v>
      </c>
      <c r="CI25" s="260">
        <f t="shared" si="28"/>
        <v>45240</v>
      </c>
      <c r="CJ25" s="260">
        <f t="shared" si="29"/>
        <v>56940</v>
      </c>
      <c r="CK25" s="262">
        <f t="shared" si="38"/>
        <v>60255</v>
      </c>
      <c r="CL25" s="260">
        <f t="shared" si="30"/>
        <v>57135</v>
      </c>
      <c r="CM25" s="260">
        <f t="shared" si="31"/>
        <v>64935</v>
      </c>
      <c r="CN25" s="260">
        <f t="shared" si="32"/>
        <v>53235</v>
      </c>
      <c r="CO25" s="260">
        <f t="shared" si="33"/>
        <v>51870</v>
      </c>
      <c r="CP25" s="260">
        <f t="shared" si="34"/>
        <v>24960</v>
      </c>
      <c r="CQ25" s="260">
        <f t="shared" si="35"/>
        <v>23790</v>
      </c>
      <c r="CR25" s="260">
        <f t="shared" si="36"/>
        <v>19110</v>
      </c>
      <c r="CS25" s="369">
        <f t="shared" si="37"/>
        <v>12285</v>
      </c>
      <c r="CT25" s="441">
        <f t="shared" si="40"/>
        <v>673335</v>
      </c>
    </row>
    <row r="26" spans="1:98" s="259" customFormat="1" ht="15.75" hidden="1" customHeight="1">
      <c r="A26" s="246" t="s">
        <v>21</v>
      </c>
      <c r="B26" s="247" t="s">
        <v>39</v>
      </c>
      <c r="C26" s="270">
        <v>359.83</v>
      </c>
      <c r="D26" s="385"/>
      <c r="E26" s="249">
        <v>0</v>
      </c>
      <c r="F26" s="249">
        <v>0</v>
      </c>
      <c r="G26" s="250"/>
      <c r="H26" s="251">
        <f t="shared" si="42"/>
        <v>0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>
        <f t="shared" si="1"/>
        <v>0</v>
      </c>
      <c r="AO26" s="268">
        <f t="shared" si="2"/>
        <v>0</v>
      </c>
      <c r="AP26" s="253">
        <v>0</v>
      </c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>
        <f t="shared" si="39"/>
        <v>0</v>
      </c>
      <c r="BB26" s="253">
        <f t="shared" si="3"/>
        <v>0</v>
      </c>
      <c r="BC26" s="465"/>
      <c r="BD26" s="254"/>
      <c r="BE26" s="62"/>
      <c r="BF26" s="62"/>
      <c r="BG26" s="394"/>
      <c r="BH26" s="394"/>
      <c r="BI26" s="265">
        <f t="shared" si="4"/>
        <v>0</v>
      </c>
      <c r="BJ26" s="249">
        <f t="shared" si="43"/>
        <v>0</v>
      </c>
      <c r="BK26" s="256"/>
      <c r="BL26" s="257">
        <f t="shared" si="6"/>
        <v>0</v>
      </c>
      <c r="BM26" s="258">
        <f t="shared" si="7"/>
        <v>0</v>
      </c>
      <c r="BO26" s="260">
        <f t="shared" si="8"/>
        <v>0</v>
      </c>
      <c r="BP26" s="260">
        <f t="shared" si="9"/>
        <v>0</v>
      </c>
      <c r="BQ26" s="260">
        <f t="shared" si="10"/>
        <v>0</v>
      </c>
      <c r="BR26" s="260">
        <f t="shared" si="11"/>
        <v>0</v>
      </c>
      <c r="BS26" s="260">
        <f t="shared" si="12"/>
        <v>0</v>
      </c>
      <c r="BT26" s="260">
        <f t="shared" si="13"/>
        <v>0</v>
      </c>
      <c r="BU26" s="260">
        <f t="shared" si="14"/>
        <v>0</v>
      </c>
      <c r="BV26" s="261">
        <f t="shared" si="15"/>
        <v>0</v>
      </c>
      <c r="BW26" s="262">
        <f t="shared" si="16"/>
        <v>0</v>
      </c>
      <c r="BX26" s="260">
        <f t="shared" si="17"/>
        <v>0</v>
      </c>
      <c r="BY26" s="260">
        <f t="shared" si="18"/>
        <v>0</v>
      </c>
      <c r="BZ26" s="260">
        <f t="shared" si="19"/>
        <v>0</v>
      </c>
      <c r="CA26" s="260">
        <f t="shared" si="20"/>
        <v>0</v>
      </c>
      <c r="CB26" s="260">
        <f t="shared" si="21"/>
        <v>0</v>
      </c>
      <c r="CC26" s="260">
        <f t="shared" si="22"/>
        <v>0</v>
      </c>
      <c r="CD26" s="260">
        <f t="shared" si="23"/>
        <v>0</v>
      </c>
      <c r="CE26" s="260">
        <f t="shared" si="24"/>
        <v>0</v>
      </c>
      <c r="CF26" s="260">
        <f t="shared" si="25"/>
        <v>0</v>
      </c>
      <c r="CG26" s="260">
        <f t="shared" si="26"/>
        <v>0</v>
      </c>
      <c r="CH26" s="260">
        <f t="shared" si="27"/>
        <v>0</v>
      </c>
      <c r="CI26" s="260">
        <f t="shared" si="28"/>
        <v>0</v>
      </c>
      <c r="CJ26" s="260">
        <f t="shared" si="29"/>
        <v>0</v>
      </c>
      <c r="CK26" s="262">
        <f t="shared" si="38"/>
        <v>0</v>
      </c>
      <c r="CL26" s="260">
        <f t="shared" si="30"/>
        <v>0</v>
      </c>
      <c r="CM26" s="260">
        <f t="shared" si="31"/>
        <v>0</v>
      </c>
      <c r="CN26" s="260">
        <f t="shared" si="32"/>
        <v>0</v>
      </c>
      <c r="CO26" s="260">
        <f t="shared" si="33"/>
        <v>0</v>
      </c>
      <c r="CP26" s="260">
        <f t="shared" si="34"/>
        <v>0</v>
      </c>
      <c r="CQ26" s="260">
        <f t="shared" si="35"/>
        <v>0</v>
      </c>
      <c r="CR26" s="260">
        <f t="shared" si="36"/>
        <v>0</v>
      </c>
      <c r="CS26" s="369">
        <f t="shared" si="37"/>
        <v>0</v>
      </c>
      <c r="CT26" s="441">
        <f t="shared" si="40"/>
        <v>0</v>
      </c>
    </row>
    <row r="27" spans="1:98" s="259" customFormat="1" ht="15.75" hidden="1" customHeight="1">
      <c r="A27" s="246" t="s">
        <v>22</v>
      </c>
      <c r="B27" s="247" t="s">
        <v>39</v>
      </c>
      <c r="C27" s="270">
        <v>379.46</v>
      </c>
      <c r="D27" s="385"/>
      <c r="E27" s="249">
        <v>0</v>
      </c>
      <c r="F27" s="249">
        <v>0</v>
      </c>
      <c r="G27" s="250"/>
      <c r="H27" s="251">
        <f t="shared" si="42"/>
        <v>0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>
        <f t="shared" si="1"/>
        <v>0</v>
      </c>
      <c r="AO27" s="268">
        <f t="shared" si="2"/>
        <v>0</v>
      </c>
      <c r="AP27" s="253">
        <v>0</v>
      </c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>
        <f t="shared" si="39"/>
        <v>0</v>
      </c>
      <c r="BB27" s="253">
        <f t="shared" si="3"/>
        <v>0</v>
      </c>
      <c r="BC27" s="465"/>
      <c r="BD27" s="254"/>
      <c r="BE27" s="62"/>
      <c r="BF27" s="62"/>
      <c r="BG27" s="394"/>
      <c r="BH27" s="394"/>
      <c r="BI27" s="265">
        <f t="shared" si="4"/>
        <v>0</v>
      </c>
      <c r="BJ27" s="249">
        <f t="shared" si="43"/>
        <v>0</v>
      </c>
      <c r="BK27" s="256"/>
      <c r="BL27" s="257">
        <f t="shared" si="6"/>
        <v>0</v>
      </c>
      <c r="BM27" s="258">
        <f t="shared" si="7"/>
        <v>0</v>
      </c>
      <c r="BO27" s="260">
        <f t="shared" si="8"/>
        <v>0</v>
      </c>
      <c r="BP27" s="260">
        <f t="shared" si="9"/>
        <v>0</v>
      </c>
      <c r="BQ27" s="260">
        <f t="shared" si="10"/>
        <v>0</v>
      </c>
      <c r="BR27" s="260">
        <f t="shared" si="11"/>
        <v>0</v>
      </c>
      <c r="BS27" s="260">
        <f t="shared" si="12"/>
        <v>0</v>
      </c>
      <c r="BT27" s="260">
        <f t="shared" si="13"/>
        <v>0</v>
      </c>
      <c r="BU27" s="260">
        <f t="shared" si="14"/>
        <v>0</v>
      </c>
      <c r="BV27" s="261">
        <f t="shared" si="15"/>
        <v>0</v>
      </c>
      <c r="BW27" s="262">
        <f t="shared" si="16"/>
        <v>0</v>
      </c>
      <c r="BX27" s="260">
        <f t="shared" si="17"/>
        <v>0</v>
      </c>
      <c r="BY27" s="260">
        <f t="shared" si="18"/>
        <v>0</v>
      </c>
      <c r="BZ27" s="260">
        <f t="shared" si="19"/>
        <v>0</v>
      </c>
      <c r="CA27" s="260">
        <f t="shared" si="20"/>
        <v>0</v>
      </c>
      <c r="CB27" s="260">
        <f t="shared" si="21"/>
        <v>0</v>
      </c>
      <c r="CC27" s="260">
        <f t="shared" si="22"/>
        <v>0</v>
      </c>
      <c r="CD27" s="260">
        <f t="shared" si="23"/>
        <v>0</v>
      </c>
      <c r="CE27" s="260">
        <f t="shared" si="24"/>
        <v>0</v>
      </c>
      <c r="CF27" s="260">
        <f t="shared" si="25"/>
        <v>0</v>
      </c>
      <c r="CG27" s="260">
        <f t="shared" si="26"/>
        <v>0</v>
      </c>
      <c r="CH27" s="260">
        <f t="shared" si="27"/>
        <v>0</v>
      </c>
      <c r="CI27" s="260">
        <f t="shared" si="28"/>
        <v>0</v>
      </c>
      <c r="CJ27" s="260">
        <f t="shared" si="29"/>
        <v>0</v>
      </c>
      <c r="CK27" s="262">
        <f t="shared" si="38"/>
        <v>0</v>
      </c>
      <c r="CL27" s="260">
        <f t="shared" si="30"/>
        <v>0</v>
      </c>
      <c r="CM27" s="260">
        <f t="shared" si="31"/>
        <v>0</v>
      </c>
      <c r="CN27" s="260">
        <f t="shared" si="32"/>
        <v>0</v>
      </c>
      <c r="CO27" s="260">
        <f t="shared" si="33"/>
        <v>0</v>
      </c>
      <c r="CP27" s="260">
        <f t="shared" si="34"/>
        <v>0</v>
      </c>
      <c r="CQ27" s="260">
        <f t="shared" si="35"/>
        <v>0</v>
      </c>
      <c r="CR27" s="260">
        <f t="shared" si="36"/>
        <v>0</v>
      </c>
      <c r="CS27" s="369">
        <f t="shared" si="37"/>
        <v>0</v>
      </c>
      <c r="CT27" s="441">
        <f t="shared" si="40"/>
        <v>0</v>
      </c>
    </row>
    <row r="28" spans="1:98" s="259" customFormat="1" ht="21.75" customHeight="1">
      <c r="A28" s="246" t="s">
        <v>23</v>
      </c>
      <c r="B28" s="247" t="s">
        <v>41</v>
      </c>
      <c r="C28" s="248">
        <v>35.15</v>
      </c>
      <c r="D28" s="385">
        <v>10960</v>
      </c>
      <c r="E28" s="249">
        <v>17184</v>
      </c>
      <c r="F28" s="249">
        <v>1110669.7</v>
      </c>
      <c r="G28" s="250"/>
      <c r="H28" s="251">
        <f t="shared" si="42"/>
        <v>0</v>
      </c>
      <c r="I28" s="252"/>
      <c r="J28" s="252">
        <v>187</v>
      </c>
      <c r="K28" s="252">
        <v>313</v>
      </c>
      <c r="L28" s="252">
        <v>418</v>
      </c>
      <c r="M28" s="252">
        <v>396</v>
      </c>
      <c r="N28" s="252">
        <v>318</v>
      </c>
      <c r="O28" s="252">
        <v>257</v>
      </c>
      <c r="P28" s="252">
        <v>271</v>
      </c>
      <c r="Q28" s="252">
        <v>373</v>
      </c>
      <c r="R28" s="252">
        <v>509</v>
      </c>
      <c r="S28" s="252">
        <v>692</v>
      </c>
      <c r="T28" s="252">
        <v>646</v>
      </c>
      <c r="U28" s="252">
        <v>680</v>
      </c>
      <c r="V28" s="252">
        <v>591</v>
      </c>
      <c r="W28" s="252">
        <v>481</v>
      </c>
      <c r="X28" s="252">
        <v>430</v>
      </c>
      <c r="Y28" s="252">
        <v>343</v>
      </c>
      <c r="Z28" s="252">
        <v>339</v>
      </c>
      <c r="AA28" s="252">
        <v>495</v>
      </c>
      <c r="AB28" s="252">
        <v>399</v>
      </c>
      <c r="AC28" s="252">
        <v>329</v>
      </c>
      <c r="AD28" s="252">
        <v>357</v>
      </c>
      <c r="AE28" s="252">
        <v>365</v>
      </c>
      <c r="AF28" s="252">
        <v>252</v>
      </c>
      <c r="AG28" s="252">
        <v>453</v>
      </c>
      <c r="AH28" s="252">
        <v>459</v>
      </c>
      <c r="AI28" s="252">
        <v>389</v>
      </c>
      <c r="AJ28" s="252">
        <v>416</v>
      </c>
      <c r="AK28" s="252">
        <v>405</v>
      </c>
      <c r="AL28" s="252">
        <v>413</v>
      </c>
      <c r="AM28" s="252">
        <v>284</v>
      </c>
      <c r="AN28" s="252">
        <f t="shared" si="1"/>
        <v>12260</v>
      </c>
      <c r="AO28" s="268">
        <f t="shared" si="2"/>
        <v>430939</v>
      </c>
      <c r="AP28" s="253">
        <v>3600</v>
      </c>
      <c r="AQ28" s="253"/>
      <c r="AR28" s="253">
        <v>240</v>
      </c>
      <c r="AS28" s="253"/>
      <c r="AT28" s="253">
        <v>780</v>
      </c>
      <c r="AU28" s="253">
        <v>4484</v>
      </c>
      <c r="AV28" s="253">
        <v>1601</v>
      </c>
      <c r="AW28" s="253">
        <v>597</v>
      </c>
      <c r="AX28" s="253"/>
      <c r="AY28" s="253">
        <v>0</v>
      </c>
      <c r="AZ28" s="253"/>
      <c r="BA28" s="253">
        <f t="shared" si="39"/>
        <v>7702</v>
      </c>
      <c r="BB28" s="253">
        <f t="shared" si="3"/>
        <v>11302</v>
      </c>
      <c r="BC28" s="465">
        <v>2700</v>
      </c>
      <c r="BD28" s="254">
        <v>2700</v>
      </c>
      <c r="BE28" s="62"/>
      <c r="BF28" s="62"/>
      <c r="BG28" s="394"/>
      <c r="BH28" s="394"/>
      <c r="BI28" s="265">
        <f t="shared" si="4"/>
        <v>10324</v>
      </c>
      <c r="BJ28" s="249">
        <f t="shared" si="43"/>
        <v>362888.6</v>
      </c>
      <c r="BK28" s="256"/>
      <c r="BL28" s="257">
        <f t="shared" si="6"/>
        <v>978</v>
      </c>
      <c r="BM28" s="258">
        <f t="shared" si="7"/>
        <v>34376.699999999997</v>
      </c>
      <c r="BO28" s="260">
        <f t="shared" si="8"/>
        <v>0</v>
      </c>
      <c r="BP28" s="260">
        <f t="shared" si="9"/>
        <v>6573.05</v>
      </c>
      <c r="BQ28" s="260">
        <f t="shared" si="10"/>
        <v>11001.949999999999</v>
      </c>
      <c r="BR28" s="260">
        <f t="shared" si="11"/>
        <v>14692.699999999999</v>
      </c>
      <c r="BS28" s="260">
        <f t="shared" si="12"/>
        <v>13919.4</v>
      </c>
      <c r="BT28" s="260">
        <f t="shared" si="13"/>
        <v>11177.699999999999</v>
      </c>
      <c r="BU28" s="260">
        <f t="shared" si="14"/>
        <v>9033.5499999999993</v>
      </c>
      <c r="BV28" s="261">
        <f t="shared" si="15"/>
        <v>9525.65</v>
      </c>
      <c r="BW28" s="262">
        <f t="shared" si="16"/>
        <v>13110.949999999999</v>
      </c>
      <c r="BX28" s="260">
        <f t="shared" si="17"/>
        <v>17891.349999999999</v>
      </c>
      <c r="BY28" s="260">
        <f t="shared" si="18"/>
        <v>24323.8</v>
      </c>
      <c r="BZ28" s="260">
        <f t="shared" si="19"/>
        <v>22706.899999999998</v>
      </c>
      <c r="CA28" s="260">
        <f t="shared" si="20"/>
        <v>23902</v>
      </c>
      <c r="CB28" s="260">
        <f t="shared" si="21"/>
        <v>20773.649999999998</v>
      </c>
      <c r="CC28" s="260">
        <f t="shared" si="22"/>
        <v>16907.149999999998</v>
      </c>
      <c r="CD28" s="260">
        <f t="shared" si="23"/>
        <v>15114.5</v>
      </c>
      <c r="CE28" s="260">
        <f t="shared" si="24"/>
        <v>12056.449999999999</v>
      </c>
      <c r="CF28" s="260">
        <f t="shared" si="25"/>
        <v>11915.85</v>
      </c>
      <c r="CG28" s="260">
        <f t="shared" si="26"/>
        <v>17399.25</v>
      </c>
      <c r="CH28" s="260">
        <f t="shared" si="27"/>
        <v>14024.849999999999</v>
      </c>
      <c r="CI28" s="260">
        <f t="shared" si="28"/>
        <v>11564.35</v>
      </c>
      <c r="CJ28" s="260">
        <f t="shared" si="29"/>
        <v>12548.55</v>
      </c>
      <c r="CK28" s="262">
        <f t="shared" si="38"/>
        <v>12829.75</v>
      </c>
      <c r="CL28" s="260">
        <f t="shared" si="30"/>
        <v>8857.7999999999993</v>
      </c>
      <c r="CM28" s="260">
        <f t="shared" si="31"/>
        <v>15922.949999999999</v>
      </c>
      <c r="CN28" s="260">
        <f t="shared" si="32"/>
        <v>16133.849999999999</v>
      </c>
      <c r="CO28" s="260">
        <f t="shared" si="33"/>
        <v>13673.349999999999</v>
      </c>
      <c r="CP28" s="260">
        <f t="shared" si="34"/>
        <v>14622.4</v>
      </c>
      <c r="CQ28" s="260">
        <f t="shared" si="35"/>
        <v>14235.75</v>
      </c>
      <c r="CR28" s="260">
        <f t="shared" si="36"/>
        <v>14516.949999999999</v>
      </c>
      <c r="CS28" s="369">
        <f t="shared" si="37"/>
        <v>9982.6</v>
      </c>
      <c r="CT28" s="441">
        <f t="shared" si="40"/>
        <v>430938.99999999988</v>
      </c>
    </row>
    <row r="29" spans="1:98" s="259" customFormat="1" ht="21.75" customHeight="1">
      <c r="A29" s="246" t="s">
        <v>32</v>
      </c>
      <c r="B29" s="247" t="s">
        <v>41</v>
      </c>
      <c r="C29" s="403">
        <v>35.892857142857139</v>
      </c>
      <c r="D29" s="385">
        <v>10961</v>
      </c>
      <c r="E29" s="249">
        <v>16123</v>
      </c>
      <c r="F29" s="249">
        <v>54987.857142857138</v>
      </c>
      <c r="G29" s="250"/>
      <c r="H29" s="251">
        <f t="shared" si="42"/>
        <v>0</v>
      </c>
      <c r="I29" s="252"/>
      <c r="J29" s="252">
        <v>290</v>
      </c>
      <c r="K29" s="252">
        <v>239</v>
      </c>
      <c r="L29" s="252">
        <v>412</v>
      </c>
      <c r="M29" s="252">
        <v>358</v>
      </c>
      <c r="N29" s="252">
        <v>454</v>
      </c>
      <c r="O29" s="252">
        <v>422</v>
      </c>
      <c r="P29" s="252">
        <v>413</v>
      </c>
      <c r="Q29" s="252">
        <v>324</v>
      </c>
      <c r="R29" s="252">
        <v>85</v>
      </c>
      <c r="S29" s="252">
        <v>88</v>
      </c>
      <c r="T29" s="252">
        <v>104</v>
      </c>
      <c r="U29" s="252">
        <v>86</v>
      </c>
      <c r="V29" s="252">
        <v>90</v>
      </c>
      <c r="W29" s="252">
        <v>77</v>
      </c>
      <c r="X29" s="252">
        <v>85</v>
      </c>
      <c r="Y29" s="252">
        <v>218</v>
      </c>
      <c r="Z29" s="252">
        <v>272</v>
      </c>
      <c r="AA29" s="252">
        <v>269</v>
      </c>
      <c r="AB29" s="252">
        <v>423</v>
      </c>
      <c r="AC29" s="252">
        <v>364</v>
      </c>
      <c r="AD29" s="252">
        <v>387</v>
      </c>
      <c r="AE29" s="252">
        <v>437</v>
      </c>
      <c r="AF29" s="252">
        <v>384</v>
      </c>
      <c r="AG29" s="252">
        <v>333</v>
      </c>
      <c r="AH29" s="252">
        <v>314</v>
      </c>
      <c r="AI29" s="252">
        <v>452</v>
      </c>
      <c r="AJ29" s="252">
        <v>448</v>
      </c>
      <c r="AK29" s="252">
        <v>322</v>
      </c>
      <c r="AL29" s="252">
        <v>292</v>
      </c>
      <c r="AM29" s="252">
        <v>282</v>
      </c>
      <c r="AN29" s="443">
        <f t="shared" si="1"/>
        <v>8724</v>
      </c>
      <c r="AO29" s="268">
        <f t="shared" si="2"/>
        <v>313129.28571428568</v>
      </c>
      <c r="AP29" s="253">
        <v>8000</v>
      </c>
      <c r="AQ29" s="253"/>
      <c r="AR29" s="253"/>
      <c r="AS29" s="253"/>
      <c r="AT29" s="253"/>
      <c r="AU29" s="253"/>
      <c r="AV29" s="253">
        <v>0</v>
      </c>
      <c r="AW29" s="253">
        <v>1000</v>
      </c>
      <c r="AX29" s="253"/>
      <c r="AY29" s="253">
        <v>2396</v>
      </c>
      <c r="AZ29" s="253">
        <v>1241</v>
      </c>
      <c r="BA29" s="253">
        <f t="shared" si="39"/>
        <v>4637</v>
      </c>
      <c r="BB29" s="253">
        <f t="shared" si="3"/>
        <v>12637</v>
      </c>
      <c r="BC29" s="465">
        <v>3000</v>
      </c>
      <c r="BD29" s="254">
        <v>3000</v>
      </c>
      <c r="BE29" s="62"/>
      <c r="BF29" s="62"/>
      <c r="BG29" s="394"/>
      <c r="BH29" s="394"/>
      <c r="BI29" s="265">
        <f t="shared" si="4"/>
        <v>13399</v>
      </c>
      <c r="BJ29" s="249">
        <f t="shared" si="43"/>
        <v>480928.39285714278</v>
      </c>
      <c r="BK29" s="256"/>
      <c r="BL29" s="257">
        <f t="shared" si="6"/>
        <v>-762</v>
      </c>
      <c r="BM29" s="271">
        <f t="shared" si="7"/>
        <v>-27350.357142857141</v>
      </c>
      <c r="BO29" s="260">
        <f t="shared" si="8"/>
        <v>0</v>
      </c>
      <c r="BP29" s="260">
        <f t="shared" si="9"/>
        <v>10408.928571428571</v>
      </c>
      <c r="BQ29" s="260">
        <f t="shared" si="10"/>
        <v>8578.3928571428569</v>
      </c>
      <c r="BR29" s="260">
        <f t="shared" si="11"/>
        <v>14787.857142857141</v>
      </c>
      <c r="BS29" s="260">
        <f t="shared" si="12"/>
        <v>12849.642857142855</v>
      </c>
      <c r="BT29" s="260">
        <f t="shared" si="13"/>
        <v>16295.357142857141</v>
      </c>
      <c r="BU29" s="260">
        <f t="shared" si="14"/>
        <v>15146.785714285712</v>
      </c>
      <c r="BV29" s="261">
        <f t="shared" si="15"/>
        <v>14823.749999999998</v>
      </c>
      <c r="BW29" s="262">
        <f t="shared" si="16"/>
        <v>11629.285714285714</v>
      </c>
      <c r="BX29" s="260">
        <f t="shared" si="17"/>
        <v>3050.8928571428569</v>
      </c>
      <c r="BY29" s="260">
        <f t="shared" si="18"/>
        <v>3158.5714285714284</v>
      </c>
      <c r="BZ29" s="260">
        <f t="shared" si="19"/>
        <v>3732.8571428571422</v>
      </c>
      <c r="CA29" s="260">
        <f t="shared" si="20"/>
        <v>3086.7857142857138</v>
      </c>
      <c r="CB29" s="260">
        <f t="shared" si="21"/>
        <v>3230.3571428571427</v>
      </c>
      <c r="CC29" s="260">
        <f t="shared" si="22"/>
        <v>2763.7499999999995</v>
      </c>
      <c r="CD29" s="260">
        <f t="shared" si="23"/>
        <v>3050.8928571428569</v>
      </c>
      <c r="CE29" s="260">
        <f t="shared" si="24"/>
        <v>7824.642857142856</v>
      </c>
      <c r="CF29" s="260">
        <f t="shared" si="25"/>
        <v>9762.8571428571413</v>
      </c>
      <c r="CG29" s="260">
        <f t="shared" si="26"/>
        <v>9655.1785714285706</v>
      </c>
      <c r="CH29" s="260">
        <f t="shared" si="27"/>
        <v>15182.678571428569</v>
      </c>
      <c r="CI29" s="260">
        <f t="shared" si="28"/>
        <v>13064.999999999998</v>
      </c>
      <c r="CJ29" s="260">
        <f t="shared" si="29"/>
        <v>13890.535714285712</v>
      </c>
      <c r="CK29" s="262">
        <f t="shared" si="38"/>
        <v>15685.178571428569</v>
      </c>
      <c r="CL29" s="260">
        <f t="shared" si="30"/>
        <v>13782.857142857141</v>
      </c>
      <c r="CM29" s="260">
        <f t="shared" si="31"/>
        <v>11952.321428571428</v>
      </c>
      <c r="CN29" s="260">
        <f t="shared" si="32"/>
        <v>11270.357142857141</v>
      </c>
      <c r="CO29" s="260">
        <f t="shared" si="33"/>
        <v>16223.571428571428</v>
      </c>
      <c r="CP29" s="260">
        <f t="shared" si="34"/>
        <v>16079.999999999998</v>
      </c>
      <c r="CQ29" s="260">
        <f t="shared" si="35"/>
        <v>11557.499999999998</v>
      </c>
      <c r="CR29" s="260">
        <f t="shared" si="36"/>
        <v>10480.714285714284</v>
      </c>
      <c r="CS29" s="369">
        <f t="shared" si="37"/>
        <v>10121.785714285714</v>
      </c>
      <c r="CT29" s="441">
        <f t="shared" si="40"/>
        <v>313129.28571428568</v>
      </c>
    </row>
    <row r="30" spans="1:98" s="259" customFormat="1" ht="23.1" customHeight="1">
      <c r="A30" s="305" t="s">
        <v>537</v>
      </c>
      <c r="B30" s="247" t="s">
        <v>41</v>
      </c>
      <c r="C30" s="248">
        <v>37.5</v>
      </c>
      <c r="D30" s="385"/>
      <c r="E30" s="249">
        <v>0</v>
      </c>
      <c r="F30" s="249">
        <v>29887.5</v>
      </c>
      <c r="G30" s="250"/>
      <c r="H30" s="251">
        <f t="shared" si="42"/>
        <v>0</v>
      </c>
      <c r="I30" s="252"/>
      <c r="J30" s="252">
        <v>0</v>
      </c>
      <c r="K30" s="252">
        <v>0</v>
      </c>
      <c r="L30" s="252">
        <v>0</v>
      </c>
      <c r="M30" s="252">
        <v>0</v>
      </c>
      <c r="N30" s="252">
        <v>0</v>
      </c>
      <c r="O30" s="252">
        <v>0</v>
      </c>
      <c r="P30" s="252">
        <v>0</v>
      </c>
      <c r="Q30" s="252">
        <v>0</v>
      </c>
      <c r="R30" s="252">
        <v>0</v>
      </c>
      <c r="S30" s="252">
        <v>0</v>
      </c>
      <c r="T30" s="252">
        <v>0</v>
      </c>
      <c r="U30" s="252">
        <v>0</v>
      </c>
      <c r="V30" s="252">
        <v>0</v>
      </c>
      <c r="W30" s="252">
        <v>0</v>
      </c>
      <c r="X30" s="252">
        <v>0</v>
      </c>
      <c r="Y30" s="252">
        <v>0</v>
      </c>
      <c r="Z30" s="252">
        <v>0</v>
      </c>
      <c r="AA30" s="252">
        <v>0</v>
      </c>
      <c r="AB30" s="252">
        <v>0</v>
      </c>
      <c r="AC30" s="252">
        <v>0</v>
      </c>
      <c r="AD30" s="252">
        <v>0</v>
      </c>
      <c r="AE30" s="252">
        <v>0</v>
      </c>
      <c r="AF30" s="252">
        <v>0</v>
      </c>
      <c r="AG30" s="252">
        <v>0</v>
      </c>
      <c r="AH30" s="252">
        <v>0</v>
      </c>
      <c r="AI30" s="252">
        <v>0</v>
      </c>
      <c r="AJ30" s="252">
        <v>0</v>
      </c>
      <c r="AK30" s="252">
        <v>0</v>
      </c>
      <c r="AL30" s="252">
        <v>0</v>
      </c>
      <c r="AM30" s="252">
        <v>0</v>
      </c>
      <c r="AN30" s="252">
        <f t="shared" si="1"/>
        <v>0</v>
      </c>
      <c r="AO30" s="268">
        <f t="shared" si="2"/>
        <v>0</v>
      </c>
      <c r="AP30" s="253">
        <v>0</v>
      </c>
      <c r="AQ30" s="253"/>
      <c r="AR30" s="253"/>
      <c r="AS30" s="253"/>
      <c r="AT30" s="253"/>
      <c r="AU30" s="253"/>
      <c r="AV30" s="253">
        <v>0</v>
      </c>
      <c r="AW30" s="253"/>
      <c r="AX30" s="253"/>
      <c r="AY30" s="253"/>
      <c r="AZ30" s="253"/>
      <c r="BA30" s="253">
        <f t="shared" si="39"/>
        <v>0</v>
      </c>
      <c r="BB30" s="253">
        <f t="shared" si="3"/>
        <v>0</v>
      </c>
      <c r="BC30" s="465"/>
      <c r="BD30" s="254"/>
      <c r="BE30" s="255"/>
      <c r="BF30" s="255"/>
      <c r="BG30" s="395"/>
      <c r="BH30" s="395"/>
      <c r="BI30" s="265">
        <f t="shared" si="4"/>
        <v>0</v>
      </c>
      <c r="BJ30" s="249">
        <f t="shared" si="43"/>
        <v>0</v>
      </c>
      <c r="BK30" s="256"/>
      <c r="BL30" s="257">
        <f t="shared" si="6"/>
        <v>0</v>
      </c>
      <c r="BM30" s="271">
        <f t="shared" si="7"/>
        <v>0</v>
      </c>
      <c r="BO30" s="260">
        <f t="shared" si="8"/>
        <v>0</v>
      </c>
      <c r="BP30" s="260">
        <f t="shared" si="9"/>
        <v>0</v>
      </c>
      <c r="BQ30" s="260">
        <f t="shared" si="10"/>
        <v>0</v>
      </c>
      <c r="BR30" s="260">
        <f t="shared" si="11"/>
        <v>0</v>
      </c>
      <c r="BS30" s="260">
        <f t="shared" si="12"/>
        <v>0</v>
      </c>
      <c r="BT30" s="260">
        <f t="shared" si="13"/>
        <v>0</v>
      </c>
      <c r="BU30" s="260">
        <f t="shared" si="14"/>
        <v>0</v>
      </c>
      <c r="BV30" s="261">
        <f t="shared" si="15"/>
        <v>0</v>
      </c>
      <c r="BW30" s="262">
        <f t="shared" si="16"/>
        <v>0</v>
      </c>
      <c r="BX30" s="260">
        <f t="shared" si="17"/>
        <v>0</v>
      </c>
      <c r="BY30" s="260">
        <f t="shared" si="18"/>
        <v>0</v>
      </c>
      <c r="BZ30" s="260">
        <f t="shared" si="19"/>
        <v>0</v>
      </c>
      <c r="CA30" s="260">
        <f t="shared" si="20"/>
        <v>0</v>
      </c>
      <c r="CB30" s="260">
        <f t="shared" si="21"/>
        <v>0</v>
      </c>
      <c r="CC30" s="260">
        <f t="shared" si="22"/>
        <v>0</v>
      </c>
      <c r="CD30" s="260">
        <f t="shared" si="23"/>
        <v>0</v>
      </c>
      <c r="CE30" s="260">
        <f t="shared" si="24"/>
        <v>0</v>
      </c>
      <c r="CF30" s="260">
        <f t="shared" si="25"/>
        <v>0</v>
      </c>
      <c r="CG30" s="260">
        <f t="shared" si="26"/>
        <v>0</v>
      </c>
      <c r="CH30" s="260">
        <f t="shared" si="27"/>
        <v>0</v>
      </c>
      <c r="CI30" s="260">
        <f t="shared" si="28"/>
        <v>0</v>
      </c>
      <c r="CJ30" s="260">
        <f t="shared" si="29"/>
        <v>0</v>
      </c>
      <c r="CK30" s="262">
        <f t="shared" si="38"/>
        <v>0</v>
      </c>
      <c r="CL30" s="260">
        <f t="shared" si="30"/>
        <v>0</v>
      </c>
      <c r="CM30" s="260">
        <f t="shared" si="31"/>
        <v>0</v>
      </c>
      <c r="CN30" s="260">
        <f t="shared" si="32"/>
        <v>0</v>
      </c>
      <c r="CO30" s="260">
        <f t="shared" si="33"/>
        <v>0</v>
      </c>
      <c r="CP30" s="260">
        <f t="shared" si="34"/>
        <v>0</v>
      </c>
      <c r="CQ30" s="260">
        <f t="shared" si="35"/>
        <v>0</v>
      </c>
      <c r="CR30" s="260">
        <f t="shared" si="36"/>
        <v>0</v>
      </c>
      <c r="CS30" s="369">
        <f t="shared" si="37"/>
        <v>0</v>
      </c>
      <c r="CT30" s="441">
        <f t="shared" si="40"/>
        <v>0</v>
      </c>
    </row>
    <row r="31" spans="1:98" s="259" customFormat="1" ht="22.5" customHeight="1">
      <c r="A31" s="246" t="s">
        <v>24</v>
      </c>
      <c r="B31" s="247" t="s">
        <v>41</v>
      </c>
      <c r="C31" s="270">
        <v>81.900000000000006</v>
      </c>
      <c r="D31" s="385">
        <v>10959</v>
      </c>
      <c r="E31" s="249">
        <v>0</v>
      </c>
      <c r="F31" s="249">
        <v>0</v>
      </c>
      <c r="G31" s="250">
        <v>1060</v>
      </c>
      <c r="H31" s="251">
        <f t="shared" si="42"/>
        <v>86814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>
        <f t="shared" si="1"/>
        <v>0</v>
      </c>
      <c r="AO31" s="268">
        <f t="shared" si="2"/>
        <v>0</v>
      </c>
      <c r="AP31" s="253">
        <v>0</v>
      </c>
      <c r="AQ31" s="253"/>
      <c r="AR31" s="253"/>
      <c r="AS31" s="253"/>
      <c r="AT31" s="406"/>
      <c r="AU31" s="253"/>
      <c r="AV31" s="253"/>
      <c r="AW31" s="253"/>
      <c r="AX31" s="253"/>
      <c r="AY31" s="253"/>
      <c r="AZ31" s="253"/>
      <c r="BA31" s="253">
        <f t="shared" si="39"/>
        <v>0</v>
      </c>
      <c r="BB31" s="253">
        <f t="shared" si="3"/>
        <v>0</v>
      </c>
      <c r="BC31" s="465"/>
      <c r="BD31" s="254"/>
      <c r="BE31" s="251"/>
      <c r="BF31" s="251"/>
      <c r="BG31" s="396"/>
      <c r="BH31" s="396"/>
      <c r="BI31" s="265">
        <f t="shared" si="4"/>
        <v>0</v>
      </c>
      <c r="BJ31" s="249">
        <f t="shared" si="43"/>
        <v>0</v>
      </c>
      <c r="BK31" s="256"/>
      <c r="BL31" s="257">
        <f t="shared" si="6"/>
        <v>0</v>
      </c>
      <c r="BM31" s="258">
        <f t="shared" si="7"/>
        <v>0</v>
      </c>
      <c r="BO31" s="260">
        <f t="shared" si="8"/>
        <v>0</v>
      </c>
      <c r="BP31" s="260">
        <f t="shared" si="9"/>
        <v>0</v>
      </c>
      <c r="BQ31" s="260">
        <f t="shared" si="10"/>
        <v>0</v>
      </c>
      <c r="BR31" s="260">
        <f t="shared" si="11"/>
        <v>0</v>
      </c>
      <c r="BS31" s="260">
        <f t="shared" si="12"/>
        <v>0</v>
      </c>
      <c r="BT31" s="260">
        <f t="shared" si="13"/>
        <v>0</v>
      </c>
      <c r="BU31" s="260">
        <f t="shared" si="14"/>
        <v>0</v>
      </c>
      <c r="BV31" s="261">
        <f t="shared" si="15"/>
        <v>0</v>
      </c>
      <c r="BW31" s="262">
        <f t="shared" si="16"/>
        <v>0</v>
      </c>
      <c r="BX31" s="260">
        <f t="shared" si="17"/>
        <v>0</v>
      </c>
      <c r="BY31" s="260">
        <f t="shared" si="18"/>
        <v>0</v>
      </c>
      <c r="BZ31" s="260">
        <f t="shared" si="19"/>
        <v>0</v>
      </c>
      <c r="CA31" s="260">
        <f t="shared" si="20"/>
        <v>0</v>
      </c>
      <c r="CB31" s="260">
        <f t="shared" si="21"/>
        <v>0</v>
      </c>
      <c r="CC31" s="260">
        <f t="shared" si="22"/>
        <v>0</v>
      </c>
      <c r="CD31" s="260">
        <f t="shared" si="23"/>
        <v>0</v>
      </c>
      <c r="CE31" s="260">
        <f t="shared" si="24"/>
        <v>0</v>
      </c>
      <c r="CF31" s="260">
        <f t="shared" si="25"/>
        <v>0</v>
      </c>
      <c r="CG31" s="260">
        <f t="shared" si="26"/>
        <v>0</v>
      </c>
      <c r="CH31" s="260">
        <f t="shared" si="27"/>
        <v>0</v>
      </c>
      <c r="CI31" s="260">
        <f t="shared" si="28"/>
        <v>0</v>
      </c>
      <c r="CJ31" s="260">
        <f t="shared" si="29"/>
        <v>0</v>
      </c>
      <c r="CK31" s="262">
        <f t="shared" si="38"/>
        <v>0</v>
      </c>
      <c r="CL31" s="260">
        <f t="shared" si="30"/>
        <v>0</v>
      </c>
      <c r="CM31" s="260">
        <f t="shared" si="31"/>
        <v>0</v>
      </c>
      <c r="CN31" s="260">
        <f t="shared" si="32"/>
        <v>0</v>
      </c>
      <c r="CO31" s="260">
        <f t="shared" si="33"/>
        <v>0</v>
      </c>
      <c r="CP31" s="260">
        <f t="shared" si="34"/>
        <v>0</v>
      </c>
      <c r="CQ31" s="260">
        <f t="shared" si="35"/>
        <v>0</v>
      </c>
      <c r="CR31" s="260">
        <f t="shared" si="36"/>
        <v>0</v>
      </c>
      <c r="CS31" s="369">
        <f t="shared" si="37"/>
        <v>0</v>
      </c>
      <c r="CT31" s="441">
        <f t="shared" si="40"/>
        <v>0</v>
      </c>
    </row>
    <row r="32" spans="1:98" s="259" customFormat="1" ht="22.5" customHeight="1">
      <c r="A32" s="246" t="s">
        <v>25</v>
      </c>
      <c r="B32" s="247" t="s">
        <v>41</v>
      </c>
      <c r="C32" s="270">
        <v>7.5</v>
      </c>
      <c r="D32" s="385">
        <v>16823</v>
      </c>
      <c r="E32" s="272">
        <v>2275</v>
      </c>
      <c r="F32" s="249">
        <v>16012.5</v>
      </c>
      <c r="G32" s="273"/>
      <c r="H32" s="251">
        <f t="shared" si="42"/>
        <v>0</v>
      </c>
      <c r="I32" s="252"/>
      <c r="J32" s="252">
        <v>0</v>
      </c>
      <c r="K32" s="252">
        <v>0</v>
      </c>
      <c r="L32" s="252">
        <v>0</v>
      </c>
      <c r="M32" s="252">
        <v>0</v>
      </c>
      <c r="N32" s="252">
        <v>0</v>
      </c>
      <c r="O32" s="252">
        <v>0</v>
      </c>
      <c r="P32" s="252">
        <v>0</v>
      </c>
      <c r="Q32" s="252">
        <v>0</v>
      </c>
      <c r="R32" s="252">
        <v>0</v>
      </c>
      <c r="S32" s="252">
        <v>30</v>
      </c>
      <c r="T32" s="252">
        <v>0</v>
      </c>
      <c r="U32" s="252">
        <v>0</v>
      </c>
      <c r="V32" s="252">
        <v>0</v>
      </c>
      <c r="W32" s="252">
        <v>0</v>
      </c>
      <c r="X32" s="252">
        <v>0</v>
      </c>
      <c r="Y32" s="252">
        <v>0</v>
      </c>
      <c r="Z32" s="252">
        <v>0</v>
      </c>
      <c r="AA32" s="252">
        <v>0</v>
      </c>
      <c r="AB32" s="252">
        <v>0</v>
      </c>
      <c r="AC32" s="252">
        <v>300</v>
      </c>
      <c r="AD32" s="252">
        <v>0</v>
      </c>
      <c r="AE32" s="252">
        <v>0</v>
      </c>
      <c r="AF32" s="252">
        <v>0</v>
      </c>
      <c r="AG32" s="252">
        <v>0</v>
      </c>
      <c r="AH32" s="252">
        <v>0</v>
      </c>
      <c r="AI32" s="252">
        <v>0</v>
      </c>
      <c r="AJ32" s="252">
        <v>0</v>
      </c>
      <c r="AK32" s="252">
        <v>0</v>
      </c>
      <c r="AL32" s="252">
        <v>0</v>
      </c>
      <c r="AM32" s="252">
        <v>0</v>
      </c>
      <c r="AN32" s="252">
        <f t="shared" si="1"/>
        <v>330</v>
      </c>
      <c r="AO32" s="268">
        <f t="shared" si="2"/>
        <v>2475</v>
      </c>
      <c r="AP32" s="253">
        <v>915</v>
      </c>
      <c r="AQ32" s="253"/>
      <c r="AR32" s="253"/>
      <c r="AS32" s="253"/>
      <c r="AT32" s="253"/>
      <c r="AU32" s="253">
        <v>180</v>
      </c>
      <c r="AV32" s="253">
        <v>446</v>
      </c>
      <c r="AW32" s="253">
        <v>285</v>
      </c>
      <c r="AX32" s="253"/>
      <c r="AY32" s="253">
        <v>70</v>
      </c>
      <c r="AZ32" s="253">
        <v>120</v>
      </c>
      <c r="BA32" s="253">
        <f t="shared" si="39"/>
        <v>1101</v>
      </c>
      <c r="BB32" s="253">
        <f t="shared" si="3"/>
        <v>2016</v>
      </c>
      <c r="BC32" s="465"/>
      <c r="BD32" s="254"/>
      <c r="BE32" s="251"/>
      <c r="BF32" s="251"/>
      <c r="BG32" s="396"/>
      <c r="BH32" s="396"/>
      <c r="BI32" s="265">
        <f t="shared" si="4"/>
        <v>1945</v>
      </c>
      <c r="BJ32" s="249">
        <f t="shared" si="43"/>
        <v>14587.5</v>
      </c>
      <c r="BK32" s="256"/>
      <c r="BL32" s="257">
        <f t="shared" si="6"/>
        <v>71</v>
      </c>
      <c r="BM32" s="258">
        <f t="shared" si="7"/>
        <v>532.5</v>
      </c>
      <c r="BO32" s="260">
        <f t="shared" si="8"/>
        <v>0</v>
      </c>
      <c r="BP32" s="260">
        <f t="shared" si="9"/>
        <v>0</v>
      </c>
      <c r="BQ32" s="260">
        <f t="shared" si="10"/>
        <v>0</v>
      </c>
      <c r="BR32" s="260">
        <f t="shared" si="11"/>
        <v>0</v>
      </c>
      <c r="BS32" s="260">
        <f t="shared" si="12"/>
        <v>0</v>
      </c>
      <c r="BT32" s="260">
        <f t="shared" si="13"/>
        <v>0</v>
      </c>
      <c r="BU32" s="260">
        <f t="shared" si="14"/>
        <v>0</v>
      </c>
      <c r="BV32" s="261">
        <f t="shared" si="15"/>
        <v>0</v>
      </c>
      <c r="BW32" s="262">
        <f t="shared" si="16"/>
        <v>0</v>
      </c>
      <c r="BX32" s="260">
        <f t="shared" si="17"/>
        <v>0</v>
      </c>
      <c r="BY32" s="260">
        <f t="shared" si="18"/>
        <v>225</v>
      </c>
      <c r="BZ32" s="260">
        <f t="shared" si="19"/>
        <v>0</v>
      </c>
      <c r="CA32" s="260">
        <f t="shared" si="20"/>
        <v>0</v>
      </c>
      <c r="CB32" s="260">
        <f t="shared" si="21"/>
        <v>0</v>
      </c>
      <c r="CC32" s="260">
        <f t="shared" si="22"/>
        <v>0</v>
      </c>
      <c r="CD32" s="260">
        <f t="shared" si="23"/>
        <v>0</v>
      </c>
      <c r="CE32" s="260">
        <f t="shared" si="24"/>
        <v>0</v>
      </c>
      <c r="CF32" s="260">
        <f t="shared" si="25"/>
        <v>0</v>
      </c>
      <c r="CG32" s="260">
        <f t="shared" si="26"/>
        <v>0</v>
      </c>
      <c r="CH32" s="260">
        <f t="shared" si="27"/>
        <v>0</v>
      </c>
      <c r="CI32" s="260">
        <f t="shared" si="28"/>
        <v>2250</v>
      </c>
      <c r="CJ32" s="260">
        <f t="shared" si="29"/>
        <v>0</v>
      </c>
      <c r="CK32" s="262">
        <f t="shared" si="38"/>
        <v>0</v>
      </c>
      <c r="CL32" s="260">
        <f t="shared" si="30"/>
        <v>0</v>
      </c>
      <c r="CM32" s="260">
        <f t="shared" si="31"/>
        <v>0</v>
      </c>
      <c r="CN32" s="260">
        <f t="shared" si="32"/>
        <v>0</v>
      </c>
      <c r="CO32" s="260">
        <f t="shared" si="33"/>
        <v>0</v>
      </c>
      <c r="CP32" s="260">
        <f t="shared" si="34"/>
        <v>0</v>
      </c>
      <c r="CQ32" s="260">
        <f t="shared" si="35"/>
        <v>0</v>
      </c>
      <c r="CR32" s="260">
        <f t="shared" si="36"/>
        <v>0</v>
      </c>
      <c r="CS32" s="369">
        <f t="shared" si="37"/>
        <v>0</v>
      </c>
      <c r="CT32" s="441">
        <f>SUM(BO32:CS32)</f>
        <v>2475</v>
      </c>
    </row>
    <row r="33" spans="1:98" s="259" customFormat="1" ht="23.1" customHeight="1">
      <c r="A33" s="246" t="s">
        <v>26</v>
      </c>
      <c r="B33" s="247" t="s">
        <v>39</v>
      </c>
      <c r="C33" s="270">
        <v>267.18</v>
      </c>
      <c r="D33" s="385">
        <v>11089</v>
      </c>
      <c r="E33" s="249">
        <v>322</v>
      </c>
      <c r="F33" s="249">
        <v>54504.72</v>
      </c>
      <c r="G33" s="250"/>
      <c r="H33" s="251">
        <f t="shared" si="42"/>
        <v>0</v>
      </c>
      <c r="I33" s="252"/>
      <c r="J33" s="252">
        <v>4</v>
      </c>
      <c r="K33" s="252">
        <v>8</v>
      </c>
      <c r="L33" s="252">
        <v>4</v>
      </c>
      <c r="M33" s="252">
        <v>8</v>
      </c>
      <c r="N33" s="252">
        <v>6</v>
      </c>
      <c r="O33" s="252">
        <v>8</v>
      </c>
      <c r="P33" s="252">
        <v>2</v>
      </c>
      <c r="Q33" s="252">
        <v>6</v>
      </c>
      <c r="R33" s="252">
        <v>4</v>
      </c>
      <c r="S33" s="252">
        <v>2</v>
      </c>
      <c r="T33" s="252">
        <v>6</v>
      </c>
      <c r="U33" s="252">
        <v>4</v>
      </c>
      <c r="V33" s="252">
        <v>6</v>
      </c>
      <c r="W33" s="252">
        <v>4</v>
      </c>
      <c r="X33" s="252">
        <v>2</v>
      </c>
      <c r="Y33" s="252">
        <v>0</v>
      </c>
      <c r="Z33" s="252">
        <v>2</v>
      </c>
      <c r="AA33" s="252">
        <v>2</v>
      </c>
      <c r="AB33" s="252">
        <v>0</v>
      </c>
      <c r="AC33" s="252">
        <v>4</v>
      </c>
      <c r="AD33" s="252">
        <v>4</v>
      </c>
      <c r="AE33" s="252">
        <v>6</v>
      </c>
      <c r="AF33" s="252">
        <v>4</v>
      </c>
      <c r="AG33" s="252">
        <v>6</v>
      </c>
      <c r="AH33" s="252">
        <v>6</v>
      </c>
      <c r="AI33" s="252">
        <v>4</v>
      </c>
      <c r="AJ33" s="252">
        <v>4</v>
      </c>
      <c r="AK33" s="252">
        <v>4</v>
      </c>
      <c r="AL33" s="252">
        <v>6</v>
      </c>
      <c r="AM33" s="252">
        <v>2</v>
      </c>
      <c r="AN33" s="252">
        <f t="shared" si="1"/>
        <v>128</v>
      </c>
      <c r="AO33" s="268">
        <f t="shared" si="2"/>
        <v>34199.040000000001</v>
      </c>
      <c r="AP33" s="253">
        <v>177</v>
      </c>
      <c r="AQ33" s="253"/>
      <c r="AR33" s="253"/>
      <c r="AS33" s="253"/>
      <c r="AT33" s="253">
        <v>10</v>
      </c>
      <c r="AU33" s="253">
        <v>56</v>
      </c>
      <c r="AV33" s="253">
        <v>94</v>
      </c>
      <c r="AW33" s="253">
        <v>0</v>
      </c>
      <c r="AX33" s="253"/>
      <c r="AY33" s="253">
        <v>0</v>
      </c>
      <c r="AZ33" s="253">
        <v>29</v>
      </c>
      <c r="BA33" s="253">
        <f t="shared" si="39"/>
        <v>189</v>
      </c>
      <c r="BB33" s="253">
        <f t="shared" si="3"/>
        <v>366</v>
      </c>
      <c r="BC33" s="465">
        <v>80</v>
      </c>
      <c r="BD33" s="254"/>
      <c r="BE33" s="255"/>
      <c r="BF33" s="255"/>
      <c r="BG33" s="395"/>
      <c r="BH33" s="395"/>
      <c r="BI33" s="265">
        <f t="shared" si="4"/>
        <v>274</v>
      </c>
      <c r="BJ33" s="249">
        <f t="shared" si="43"/>
        <v>73207.320000000007</v>
      </c>
      <c r="BK33" s="256"/>
      <c r="BL33" s="258">
        <f t="shared" si="6"/>
        <v>92</v>
      </c>
      <c r="BM33" s="258">
        <f t="shared" si="7"/>
        <v>24580.560000000001</v>
      </c>
      <c r="BO33" s="260">
        <f t="shared" si="8"/>
        <v>0</v>
      </c>
      <c r="BP33" s="260">
        <f t="shared" si="9"/>
        <v>1068.72</v>
      </c>
      <c r="BQ33" s="260">
        <f t="shared" si="10"/>
        <v>2137.44</v>
      </c>
      <c r="BR33" s="260">
        <f t="shared" si="11"/>
        <v>1068.72</v>
      </c>
      <c r="BS33" s="260">
        <f t="shared" si="12"/>
        <v>2137.44</v>
      </c>
      <c r="BT33" s="260">
        <f t="shared" si="13"/>
        <v>1603.08</v>
      </c>
      <c r="BU33" s="260">
        <f t="shared" si="14"/>
        <v>2137.44</v>
      </c>
      <c r="BV33" s="261">
        <f t="shared" si="15"/>
        <v>534.36</v>
      </c>
      <c r="BW33" s="262">
        <f t="shared" si="16"/>
        <v>1603.08</v>
      </c>
      <c r="BX33" s="260">
        <f t="shared" si="17"/>
        <v>1068.72</v>
      </c>
      <c r="BY33" s="260">
        <f t="shared" si="18"/>
        <v>534.36</v>
      </c>
      <c r="BZ33" s="260">
        <f t="shared" si="19"/>
        <v>1603.08</v>
      </c>
      <c r="CA33" s="260">
        <f t="shared" si="20"/>
        <v>1068.72</v>
      </c>
      <c r="CB33" s="260">
        <f t="shared" si="21"/>
        <v>1603.08</v>
      </c>
      <c r="CC33" s="260">
        <f t="shared" si="22"/>
        <v>1068.72</v>
      </c>
      <c r="CD33" s="260">
        <f t="shared" si="23"/>
        <v>534.36</v>
      </c>
      <c r="CE33" s="260">
        <f t="shared" si="24"/>
        <v>0</v>
      </c>
      <c r="CF33" s="260">
        <f t="shared" si="25"/>
        <v>534.36</v>
      </c>
      <c r="CG33" s="260">
        <f t="shared" si="26"/>
        <v>534.36</v>
      </c>
      <c r="CH33" s="260">
        <f t="shared" si="27"/>
        <v>0</v>
      </c>
      <c r="CI33" s="260">
        <f t="shared" si="28"/>
        <v>1068.72</v>
      </c>
      <c r="CJ33" s="260">
        <f t="shared" si="29"/>
        <v>1068.72</v>
      </c>
      <c r="CK33" s="262">
        <f t="shared" si="38"/>
        <v>1603.08</v>
      </c>
      <c r="CL33" s="260">
        <f t="shared" si="30"/>
        <v>1068.72</v>
      </c>
      <c r="CM33" s="260">
        <f t="shared" si="31"/>
        <v>1603.08</v>
      </c>
      <c r="CN33" s="260">
        <f t="shared" si="32"/>
        <v>1603.08</v>
      </c>
      <c r="CO33" s="260">
        <f t="shared" si="33"/>
        <v>1068.72</v>
      </c>
      <c r="CP33" s="260">
        <f t="shared" si="34"/>
        <v>1068.72</v>
      </c>
      <c r="CQ33" s="260">
        <f t="shared" si="35"/>
        <v>1068.72</v>
      </c>
      <c r="CR33" s="260">
        <f t="shared" si="36"/>
        <v>1603.08</v>
      </c>
      <c r="CS33" s="369">
        <f t="shared" si="37"/>
        <v>534.36</v>
      </c>
      <c r="CT33" s="441">
        <f>SUM(BO33:CS33)</f>
        <v>34199.040000000015</v>
      </c>
    </row>
    <row r="34" spans="1:98" s="283" customFormat="1" ht="30" customHeight="1">
      <c r="A34" s="274"/>
      <c r="B34" s="274"/>
      <c r="C34" s="274"/>
      <c r="D34" s="274"/>
      <c r="E34" s="235" t="s">
        <v>27</v>
      </c>
      <c r="F34" s="275">
        <f>SUM(F11:F33)</f>
        <v>37422413.174757145</v>
      </c>
      <c r="G34" s="237" t="s">
        <v>27</v>
      </c>
      <c r="H34" s="255">
        <f t="shared" ref="H34:X34" si="44">SUM(H11:H33)</f>
        <v>439306.14285714284</v>
      </c>
      <c r="I34" s="276">
        <f t="shared" si="44"/>
        <v>0</v>
      </c>
      <c r="J34" s="276">
        <f t="shared" si="44"/>
        <v>4686.57</v>
      </c>
      <c r="K34" s="276">
        <f t="shared" si="44"/>
        <v>5536.1900000000005</v>
      </c>
      <c r="L34" s="276">
        <f t="shared" si="44"/>
        <v>7963.12</v>
      </c>
      <c r="M34" s="276">
        <f t="shared" si="44"/>
        <v>7346.17</v>
      </c>
      <c r="N34" s="276">
        <f t="shared" si="44"/>
        <v>7838.25</v>
      </c>
      <c r="O34" s="276">
        <f t="shared" si="44"/>
        <v>6615</v>
      </c>
      <c r="P34" s="276">
        <f t="shared" si="44"/>
        <v>6817.43</v>
      </c>
      <c r="Q34" s="276">
        <f t="shared" si="44"/>
        <v>7134.9000000000005</v>
      </c>
      <c r="R34" s="276">
        <f t="shared" si="44"/>
        <v>5738.08</v>
      </c>
      <c r="S34" s="276">
        <f t="shared" si="44"/>
        <v>7517.13</v>
      </c>
      <c r="T34" s="276">
        <f t="shared" si="44"/>
        <v>7817.0199999999995</v>
      </c>
      <c r="U34" s="276">
        <f t="shared" si="44"/>
        <v>7782.0400000000009</v>
      </c>
      <c r="V34" s="276">
        <f t="shared" si="44"/>
        <v>6514.5199999999995</v>
      </c>
      <c r="W34" s="276">
        <f t="shared" si="44"/>
        <v>5621.51</v>
      </c>
      <c r="X34" s="276">
        <f t="shared" si="44"/>
        <v>5219.87</v>
      </c>
      <c r="Y34" s="276">
        <f t="shared" ref="Y34:AN34" si="45">SUM(Y11:Y33)</f>
        <v>5658.5599999999995</v>
      </c>
      <c r="Z34" s="276">
        <f t="shared" si="45"/>
        <v>6128.01</v>
      </c>
      <c r="AA34" s="276">
        <f t="shared" si="45"/>
        <v>7338.76</v>
      </c>
      <c r="AB34" s="276">
        <f t="shared" si="45"/>
        <v>8084.58</v>
      </c>
      <c r="AC34" s="276">
        <f t="shared" si="45"/>
        <v>6912.67</v>
      </c>
      <c r="AD34" s="276">
        <f t="shared" si="45"/>
        <v>7247.72</v>
      </c>
      <c r="AE34" s="276">
        <f t="shared" si="45"/>
        <v>7879.49</v>
      </c>
      <c r="AF34" s="276">
        <f t="shared" si="45"/>
        <v>6157.3899999999994</v>
      </c>
      <c r="AG34" s="276">
        <f t="shared" si="45"/>
        <v>7322.94</v>
      </c>
      <c r="AH34" s="276">
        <f t="shared" si="45"/>
        <v>7375.0199999999995</v>
      </c>
      <c r="AI34" s="276">
        <f>SUM(AI11:AI33)</f>
        <v>8594.68</v>
      </c>
      <c r="AJ34" s="276">
        <f t="shared" si="45"/>
        <v>7723.66</v>
      </c>
      <c r="AK34" s="276">
        <f t="shared" si="45"/>
        <v>7216.3</v>
      </c>
      <c r="AL34" s="276">
        <f t="shared" si="45"/>
        <v>6660.05</v>
      </c>
      <c r="AM34" s="276">
        <f t="shared" si="45"/>
        <v>5374.73</v>
      </c>
      <c r="AN34" s="276">
        <f t="shared" si="45"/>
        <v>205822.36000000002</v>
      </c>
      <c r="AO34" s="276">
        <f>SUM(AO11:AO33)</f>
        <v>17329053.726214286</v>
      </c>
      <c r="AP34" s="277">
        <v>0</v>
      </c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7"/>
      <c r="BB34" s="277"/>
      <c r="BC34" s="278"/>
      <c r="BD34" s="278"/>
      <c r="BE34" s="278"/>
      <c r="BF34" s="278"/>
      <c r="BG34" s="397"/>
      <c r="BH34" s="397"/>
      <c r="BI34" s="249"/>
      <c r="BJ34" s="444">
        <f>SUM(BJ11:BJ33)</f>
        <v>31451671.448371433</v>
      </c>
      <c r="BK34" s="279"/>
      <c r="BL34" s="280"/>
      <c r="BM34" s="280"/>
      <c r="BN34" s="281" t="s">
        <v>64</v>
      </c>
      <c r="BO34" s="282">
        <f>SUM(BO11:BO33)</f>
        <v>0</v>
      </c>
      <c r="BP34" s="282">
        <f t="shared" ref="BP34:CS35" si="46">SUM(BP11:BP33)</f>
        <v>387355.10717142856</v>
      </c>
      <c r="BQ34" s="282">
        <f t="shared" si="46"/>
        <v>451680.60315714288</v>
      </c>
      <c r="BR34" s="282">
        <f t="shared" si="46"/>
        <v>671941.53014285711</v>
      </c>
      <c r="BS34" s="282">
        <f t="shared" si="46"/>
        <v>643063.56575714285</v>
      </c>
      <c r="BT34" s="282">
        <f t="shared" si="46"/>
        <v>675598.13454285706</v>
      </c>
      <c r="BU34" s="282">
        <f t="shared" si="46"/>
        <v>569139.14841428562</v>
      </c>
      <c r="BV34" s="282">
        <f t="shared" si="46"/>
        <v>577412.77159999998</v>
      </c>
      <c r="BW34" s="282">
        <f t="shared" si="46"/>
        <v>594705.48131428554</v>
      </c>
      <c r="BX34" s="282">
        <f t="shared" si="46"/>
        <v>490257.75235714274</v>
      </c>
      <c r="BY34" s="282">
        <f t="shared" si="46"/>
        <v>641417.76142857154</v>
      </c>
      <c r="BZ34" s="282">
        <f t="shared" si="46"/>
        <v>658222.68494285725</v>
      </c>
      <c r="CA34" s="282">
        <f t="shared" si="46"/>
        <v>650442.22421428561</v>
      </c>
      <c r="CB34" s="282">
        <f t="shared" si="46"/>
        <v>551880.28154285718</v>
      </c>
      <c r="CC34" s="282">
        <f t="shared" si="46"/>
        <v>473761.14939999999</v>
      </c>
      <c r="CD34" s="282">
        <f t="shared" si="46"/>
        <v>438898.86055714282</v>
      </c>
      <c r="CE34" s="282">
        <f t="shared" si="46"/>
        <v>466062.36925714283</v>
      </c>
      <c r="CF34" s="282">
        <f t="shared" si="46"/>
        <v>531576.96314285707</v>
      </c>
      <c r="CG34" s="282">
        <f t="shared" si="46"/>
        <v>622605.89307142864</v>
      </c>
      <c r="CH34" s="282">
        <f t="shared" si="46"/>
        <v>685903.52317142847</v>
      </c>
      <c r="CI34" s="282">
        <f t="shared" si="46"/>
        <v>567219.28149999992</v>
      </c>
      <c r="CJ34" s="282">
        <f t="shared" si="46"/>
        <v>627341.31951428566</v>
      </c>
      <c r="CK34" s="282">
        <f t="shared" si="46"/>
        <v>653106.79277142847</v>
      </c>
      <c r="CL34" s="282">
        <f t="shared" si="46"/>
        <v>529977.42424285703</v>
      </c>
      <c r="CM34" s="282">
        <f t="shared" si="46"/>
        <v>634225.0746285714</v>
      </c>
      <c r="CN34" s="282">
        <f t="shared" si="46"/>
        <v>616857.26804285718</v>
      </c>
      <c r="CO34" s="282">
        <f t="shared" si="46"/>
        <v>715096.22022857144</v>
      </c>
      <c r="CP34" s="282">
        <f t="shared" si="46"/>
        <v>660688.05819999997</v>
      </c>
      <c r="CQ34" s="282">
        <f t="shared" si="46"/>
        <v>567045.63069999986</v>
      </c>
      <c r="CR34" s="282">
        <f t="shared" si="46"/>
        <v>539141.63768571417</v>
      </c>
      <c r="CS34" s="282">
        <f t="shared" si="46"/>
        <v>436429.21351428569</v>
      </c>
      <c r="CT34" s="437">
        <f>SUM(BO34:CS34)</f>
        <v>17329053.726214286</v>
      </c>
    </row>
    <row r="35" spans="1:98" s="415" customFormat="1" ht="19.5" customHeight="1">
      <c r="X35" s="416"/>
      <c r="Y35" s="416"/>
      <c r="Z35" s="416"/>
      <c r="AA35" s="416"/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  <c r="AL35" s="416"/>
      <c r="AM35" s="416"/>
      <c r="AN35" s="417"/>
      <c r="AO35" s="417"/>
      <c r="AP35" s="417"/>
      <c r="AR35" s="417"/>
      <c r="AS35" s="417"/>
      <c r="AT35" s="418"/>
      <c r="AU35" s="417"/>
      <c r="AV35" s="418"/>
      <c r="AW35" s="417"/>
      <c r="AX35" s="417"/>
      <c r="AY35" s="417"/>
      <c r="AZ35" s="417"/>
      <c r="BH35" s="417"/>
      <c r="BL35" s="259"/>
      <c r="BP35" s="282">
        <f t="shared" si="46"/>
        <v>774710.21434285713</v>
      </c>
      <c r="CA35" s="419">
        <f>BO34+BP34+BQ34+BR34+BS34+BT34+BU34+BV34+BW34+BX34+BY34+CA34+CB34+CC34</f>
        <v>7378655.5110428575</v>
      </c>
      <c r="CB35" s="420">
        <f>CD34+CE34+CF34+CG34+CH34+CI34+CJ34+CK34+CL34+CM34+CN34+CO34+CP34+CQ34+CR34</f>
        <v>8855746.3167142831</v>
      </c>
      <c r="CR35" s="421"/>
      <c r="CS35" s="422" t="s">
        <v>601</v>
      </c>
      <c r="CT35" s="423"/>
    </row>
    <row r="36" spans="1:98" s="415" customFormat="1" ht="19.5" customHeight="1">
      <c r="AP36" s="417"/>
      <c r="AQ36" s="417"/>
      <c r="AR36" s="418"/>
      <c r="AS36" s="417"/>
      <c r="AT36" s="417"/>
      <c r="AU36" s="417"/>
      <c r="AV36" s="417"/>
      <c r="AW36" s="417"/>
      <c r="AX36" s="417"/>
      <c r="AY36" s="417"/>
      <c r="AZ36" s="417"/>
      <c r="BA36" s="417"/>
      <c r="BB36" s="417"/>
      <c r="BI36" s="528"/>
      <c r="BJ36" s="528"/>
      <c r="BL36" s="417"/>
      <c r="BN36" s="259"/>
      <c r="CC36" s="424" t="s">
        <v>530</v>
      </c>
      <c r="CD36" s="425" t="s">
        <v>531</v>
      </c>
      <c r="CS36" s="426" t="s">
        <v>11</v>
      </c>
      <c r="CT36" s="435"/>
    </row>
    <row r="37" spans="1:98" s="415" customFormat="1" ht="19.5" customHeight="1">
      <c r="AQ37" s="417"/>
      <c r="AR37" s="417"/>
      <c r="AS37" s="417"/>
      <c r="AT37" s="417"/>
      <c r="AU37" s="417"/>
      <c r="AV37" s="417"/>
      <c r="AW37" s="417"/>
      <c r="AX37" s="417"/>
      <c r="AY37" s="417"/>
      <c r="AZ37" s="417"/>
      <c r="BJ37" s="427"/>
      <c r="BN37" s="259"/>
      <c r="CD37" s="427">
        <f>CD34+CE34+CF34+CG34+CH34+CI34+CJ34+CK34+CL34+CM34+CN34+CO34+CP34+CQ34+CR34</f>
        <v>8855746.3167142831</v>
      </c>
      <c r="CS37" s="422" t="s">
        <v>27</v>
      </c>
      <c r="CT37" s="419"/>
    </row>
    <row r="38" spans="1:98" s="415" customFormat="1" ht="19.5" customHeight="1">
      <c r="AP38" s="417"/>
      <c r="AR38" s="417"/>
      <c r="AV38" s="453"/>
      <c r="AW38" s="417"/>
      <c r="AX38" s="453"/>
      <c r="AY38" s="417"/>
      <c r="AZ38" s="417"/>
      <c r="BL38" s="259"/>
      <c r="CS38" s="428" t="s">
        <v>602</v>
      </c>
      <c r="CT38" s="429"/>
    </row>
    <row r="39" spans="1:98">
      <c r="AR39" s="284"/>
      <c r="AT39" s="386"/>
      <c r="AU39" s="386"/>
      <c r="AV39" s="386"/>
      <c r="AW39" s="463"/>
      <c r="AX39" s="386"/>
    </row>
    <row r="40" spans="1:98">
      <c r="AR40" s="284"/>
      <c r="AW40" s="464"/>
    </row>
    <row r="41" spans="1:98">
      <c r="AR41" s="464"/>
      <c r="AW41" s="284"/>
    </row>
    <row r="42" spans="1:98">
      <c r="AR42" s="284"/>
    </row>
    <row r="45" spans="1:98">
      <c r="AW45" s="284"/>
    </row>
    <row r="46" spans="1:98">
      <c r="Q46" s="284"/>
      <c r="AR46" s="284"/>
    </row>
    <row r="48" spans="1:98">
      <c r="AW48" s="284"/>
    </row>
    <row r="49" spans="17:66">
      <c r="AR49" s="284"/>
    </row>
    <row r="50" spans="17:66">
      <c r="AW50" s="284"/>
    </row>
    <row r="51" spans="17:66">
      <c r="AR51" s="284"/>
      <c r="AW51" s="284"/>
    </row>
    <row r="52" spans="17:66">
      <c r="Q52" s="284"/>
      <c r="AR52" s="284"/>
      <c r="AW52" s="284"/>
    </row>
    <row r="53" spans="17:66">
      <c r="AR53" s="284"/>
    </row>
    <row r="55" spans="17:66">
      <c r="AW55" s="284"/>
    </row>
    <row r="56" spans="17:66">
      <c r="AR56" s="284"/>
    </row>
    <row r="57" spans="17:66">
      <c r="BC57" s="218"/>
      <c r="BN57" s="217"/>
    </row>
    <row r="58" spans="17:66">
      <c r="BC58" s="218"/>
      <c r="BN58" s="217"/>
    </row>
    <row r="59" spans="17:66">
      <c r="BC59" s="218"/>
      <c r="BN59" s="217"/>
    </row>
    <row r="60" spans="17:66">
      <c r="BC60" s="218"/>
      <c r="BN60" s="217"/>
    </row>
    <row r="61" spans="17:66">
      <c r="BC61" s="218"/>
      <c r="BN61" s="217"/>
    </row>
    <row r="62" spans="17:66">
      <c r="BC62" s="218"/>
      <c r="BN62" s="217"/>
    </row>
    <row r="63" spans="17:66">
      <c r="BC63" s="218"/>
      <c r="BN63" s="217"/>
    </row>
    <row r="64" spans="17:66">
      <c r="BC64" s="218"/>
      <c r="BN64" s="217"/>
    </row>
    <row r="65" spans="55:66">
      <c r="BC65" s="218"/>
      <c r="BN65" s="217"/>
    </row>
    <row r="66" spans="55:66">
      <c r="BC66" s="218"/>
      <c r="BN66" s="217"/>
    </row>
    <row r="67" spans="55:66">
      <c r="BC67" s="218"/>
      <c r="BN67" s="217"/>
    </row>
    <row r="68" spans="55:66">
      <c r="BC68" s="218"/>
      <c r="BN68" s="217"/>
    </row>
    <row r="69" spans="55:66">
      <c r="BC69" s="218"/>
      <c r="BN69" s="217"/>
    </row>
    <row r="70" spans="55:66">
      <c r="BC70" s="218"/>
      <c r="BN70" s="217"/>
    </row>
    <row r="71" spans="55:66">
      <c r="BC71" s="218"/>
      <c r="BN71" s="217"/>
    </row>
    <row r="72" spans="55:66">
      <c r="BC72" s="218"/>
      <c r="BN72" s="217"/>
    </row>
    <row r="73" spans="55:66">
      <c r="BC73" s="218"/>
      <c r="BN73" s="217"/>
    </row>
    <row r="74" spans="55:66">
      <c r="BC74" s="218"/>
      <c r="BN74" s="217"/>
    </row>
    <row r="75" spans="55:66">
      <c r="BC75" s="218"/>
      <c r="BN75" s="217"/>
    </row>
    <row r="76" spans="55:66">
      <c r="BC76" s="218"/>
      <c r="BN76" s="217"/>
    </row>
    <row r="77" spans="55:66">
      <c r="BC77" s="218"/>
      <c r="BN77" s="217"/>
    </row>
    <row r="78" spans="55:66">
      <c r="BC78" s="218"/>
      <c r="BN78" s="217"/>
    </row>
    <row r="79" spans="55:66">
      <c r="BC79" s="218"/>
      <c r="BN79" s="217"/>
    </row>
    <row r="80" spans="55:66">
      <c r="BC80" s="218"/>
      <c r="BN80" s="217"/>
    </row>
    <row r="81" spans="55:66">
      <c r="BC81" s="218"/>
      <c r="BN81" s="217"/>
    </row>
    <row r="82" spans="55:66">
      <c r="BC82" s="218"/>
      <c r="BN82" s="217"/>
    </row>
  </sheetData>
  <mergeCells count="17">
    <mergeCell ref="A1:BJ1"/>
    <mergeCell ref="A6:H6"/>
    <mergeCell ref="BL6:BM6"/>
    <mergeCell ref="A7:BJ7"/>
    <mergeCell ref="I8:AM8"/>
    <mergeCell ref="AP8:BB8"/>
    <mergeCell ref="BC8:BE8"/>
    <mergeCell ref="BI8:BJ8"/>
    <mergeCell ref="BL8:BM9"/>
    <mergeCell ref="D9:D10"/>
    <mergeCell ref="BO8:CS8"/>
    <mergeCell ref="A9:A10"/>
    <mergeCell ref="B9:B10"/>
    <mergeCell ref="C9:C10"/>
    <mergeCell ref="E9:F9"/>
    <mergeCell ref="G9:H9"/>
    <mergeCell ref="BG8:BH8"/>
  </mergeCells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  <ignoredErrors>
    <ignoredError sqref="BA11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B39"/>
  <sheetViews>
    <sheetView zoomScale="71" zoomScaleNormal="71" workbookViewId="0">
      <pane xSplit="3" ySplit="8" topLeftCell="AE9" activePane="bottomRight" state="frozen"/>
      <selection pane="topRight" activeCell="D1" sqref="D1"/>
      <selection pane="bottomLeft" activeCell="A10" sqref="A10"/>
      <selection pane="bottomRight" activeCell="AM9" sqref="AM9:AM31"/>
    </sheetView>
  </sheetViews>
  <sheetFormatPr defaultColWidth="9" defaultRowHeight="18"/>
  <cols>
    <col min="1" max="1" width="35.42578125" style="308" bestFit="1" customWidth="1"/>
    <col min="2" max="2" width="8.7109375" style="307" customWidth="1"/>
    <col min="3" max="3" width="9.42578125" style="307" bestFit="1" customWidth="1"/>
    <col min="4" max="4" width="17" style="307" bestFit="1" customWidth="1"/>
    <col min="5" max="5" width="15" style="307" customWidth="1"/>
    <col min="6" max="6" width="12.85546875" style="308" hidden="1" customWidth="1"/>
    <col min="7" max="7" width="13.28515625" style="308" hidden="1" customWidth="1"/>
    <col min="8" max="8" width="23.140625" style="308" customWidth="1"/>
    <col min="9" max="9" width="15.42578125" style="308" hidden="1" customWidth="1"/>
    <col min="10" max="10" width="15.140625" style="308" hidden="1" customWidth="1"/>
    <col min="11" max="11" width="15.28515625" style="308" hidden="1" customWidth="1"/>
    <col min="12" max="12" width="15.7109375" style="308" hidden="1" customWidth="1"/>
    <col min="13" max="13" width="15.85546875" style="308" hidden="1" customWidth="1"/>
    <col min="14" max="14" width="13" style="308" hidden="1" customWidth="1"/>
    <col min="15" max="15" width="12" style="308" hidden="1" customWidth="1"/>
    <col min="16" max="16" width="12.28515625" style="308" hidden="1" customWidth="1"/>
    <col min="17" max="17" width="13.5703125" style="308" hidden="1" customWidth="1"/>
    <col min="18" max="18" width="14" style="308" hidden="1" customWidth="1"/>
    <col min="19" max="19" width="15.5703125" style="308" hidden="1" customWidth="1"/>
    <col min="20" max="20" width="12.85546875" style="308" hidden="1" customWidth="1"/>
    <col min="21" max="21" width="13.140625" style="308" hidden="1" customWidth="1"/>
    <col min="22" max="22" width="12.5703125" style="308" hidden="1" customWidth="1"/>
    <col min="23" max="23" width="13.5703125" style="308" hidden="1" customWidth="1"/>
    <col min="24" max="24" width="13.42578125" style="308" hidden="1" customWidth="1"/>
    <col min="25" max="26" width="13.5703125" style="308" hidden="1" customWidth="1"/>
    <col min="27" max="28" width="13.5703125" style="308" customWidth="1"/>
    <col min="29" max="29" width="13.140625" style="308" customWidth="1"/>
    <col min="30" max="30" width="12.85546875" style="308" customWidth="1"/>
    <col min="31" max="31" width="13.140625" style="308" customWidth="1"/>
    <col min="32" max="32" width="13.28515625" style="308" customWidth="1"/>
    <col min="33" max="33" width="13.42578125" style="308" customWidth="1"/>
    <col min="34" max="34" width="13" style="308" customWidth="1"/>
    <col min="35" max="35" width="12.5703125" style="308" customWidth="1"/>
    <col min="36" max="36" width="14.42578125" style="308" customWidth="1"/>
    <col min="37" max="37" width="13.7109375" style="308" customWidth="1"/>
    <col min="38" max="38" width="16" style="308" customWidth="1"/>
    <col min="39" max="39" width="13.42578125" style="308" bestFit="1" customWidth="1"/>
    <col min="40" max="40" width="21" style="308" customWidth="1"/>
    <col min="41" max="41" width="22.28515625" style="308" customWidth="1"/>
    <col min="42" max="42" width="22.28515625" style="308" hidden="1" customWidth="1"/>
    <col min="43" max="43" width="13.42578125" style="308" hidden="1" customWidth="1"/>
    <col min="44" max="44" width="2.42578125" style="308" hidden="1" customWidth="1"/>
    <col min="45" max="45" width="23.28515625" style="308" hidden="1" customWidth="1"/>
    <col min="46" max="46" width="20.42578125" style="308" hidden="1" customWidth="1"/>
    <col min="47" max="47" width="25.5703125" style="307" bestFit="1" customWidth="1"/>
    <col min="48" max="48" width="30.42578125" style="307" customWidth="1"/>
    <col min="49" max="49" width="25" style="308" customWidth="1"/>
    <col min="50" max="50" width="16.42578125" style="308" customWidth="1"/>
    <col min="51" max="51" width="19" style="308" bestFit="1" customWidth="1"/>
    <col min="52" max="52" width="16.7109375" style="308" customWidth="1"/>
    <col min="53" max="53" width="14.5703125" style="308" customWidth="1"/>
    <col min="54" max="54" width="16.140625" style="308" customWidth="1"/>
    <col min="55" max="16384" width="9" style="308"/>
  </cols>
  <sheetData>
    <row r="3" spans="1:54" ht="18.75" customHeight="1">
      <c r="A3" s="574"/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  <c r="AK3" s="574"/>
      <c r="AL3" s="574"/>
      <c r="AM3" s="574"/>
      <c r="AN3" s="574"/>
      <c r="AO3" s="574"/>
      <c r="AP3" s="574"/>
      <c r="AQ3" s="574"/>
      <c r="AR3" s="574"/>
      <c r="AS3" s="574"/>
      <c r="AT3" s="574"/>
      <c r="AU3" s="574"/>
      <c r="AV3" s="574"/>
      <c r="AW3" s="574"/>
    </row>
    <row r="4" spans="1:54" ht="18.75" customHeight="1">
      <c r="A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  <c r="AW4" s="307"/>
    </row>
    <row r="5" spans="1:54" ht="42.75" customHeight="1">
      <c r="A5" s="575" t="s">
        <v>81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  <c r="O5" s="575"/>
      <c r="P5" s="575"/>
      <c r="Q5" s="575"/>
      <c r="R5" s="575"/>
      <c r="S5" s="575"/>
      <c r="T5" s="575"/>
      <c r="U5" s="575"/>
      <c r="V5" s="575"/>
      <c r="W5" s="575"/>
      <c r="X5" s="575"/>
      <c r="Y5" s="575"/>
      <c r="Z5" s="575"/>
      <c r="AA5" s="575"/>
      <c r="AB5" s="575"/>
      <c r="AC5" s="575"/>
      <c r="AD5" s="575"/>
      <c r="AE5" s="575"/>
      <c r="AF5" s="575"/>
      <c r="AG5" s="575"/>
      <c r="AH5" s="575"/>
      <c r="AI5" s="575"/>
      <c r="AJ5" s="575"/>
      <c r="AK5" s="575"/>
      <c r="AL5" s="575"/>
      <c r="AM5" s="575"/>
      <c r="AN5" s="575"/>
      <c r="AO5" s="575"/>
      <c r="AP5" s="575"/>
      <c r="AQ5" s="575"/>
      <c r="AR5" s="575"/>
      <c r="AS5" s="575"/>
      <c r="AT5" s="575"/>
      <c r="AU5" s="575"/>
      <c r="AV5" s="575"/>
      <c r="AW5" s="575"/>
      <c r="AX5" s="575"/>
    </row>
    <row r="6" spans="1:54" ht="39" customHeight="1">
      <c r="A6" s="576" t="str">
        <f>'EXPEDITION '!B3</f>
        <v>DATE: MAY 31,2026</v>
      </c>
      <c r="B6" s="576"/>
      <c r="C6" s="576"/>
      <c r="D6" s="576"/>
      <c r="E6" s="576"/>
      <c r="F6" s="576"/>
      <c r="I6" s="577" t="s">
        <v>33</v>
      </c>
      <c r="J6" s="578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  <c r="AA6" s="578"/>
      <c r="AB6" s="578"/>
      <c r="AC6" s="578"/>
      <c r="AD6" s="578"/>
      <c r="AE6" s="578"/>
      <c r="AF6" s="578"/>
      <c r="AG6" s="578"/>
      <c r="AH6" s="578"/>
      <c r="AI6" s="578"/>
      <c r="AJ6" s="578"/>
      <c r="AK6" s="578"/>
      <c r="AL6" s="578"/>
      <c r="AM6" s="579"/>
      <c r="AN6" s="580" t="s">
        <v>82</v>
      </c>
      <c r="AO6" s="580"/>
      <c r="AP6" s="580"/>
      <c r="AQ6" s="580"/>
      <c r="AR6" s="580"/>
      <c r="AS6" s="582" t="s">
        <v>596</v>
      </c>
      <c r="AT6" s="582"/>
      <c r="AU6" s="581"/>
      <c r="AV6" s="581"/>
    </row>
    <row r="7" spans="1:54" s="337" customFormat="1" ht="120" customHeight="1">
      <c r="A7" s="332" t="s">
        <v>9</v>
      </c>
      <c r="B7" s="332" t="s">
        <v>36</v>
      </c>
      <c r="C7" s="333" t="s">
        <v>37</v>
      </c>
      <c r="D7" s="573" t="s">
        <v>38</v>
      </c>
      <c r="E7" s="573"/>
      <c r="F7" s="333" t="s">
        <v>83</v>
      </c>
      <c r="G7" s="333" t="s">
        <v>84</v>
      </c>
      <c r="H7" s="333" t="s">
        <v>691</v>
      </c>
      <c r="I7" s="334">
        <f>'SOH-MAY'!I9</f>
        <v>46143</v>
      </c>
      <c r="J7" s="334">
        <f>'SOH-MAY'!J9</f>
        <v>46144</v>
      </c>
      <c r="K7" s="334">
        <f>'SOH-MAY'!K9</f>
        <v>46145</v>
      </c>
      <c r="L7" s="334">
        <f>'SOH-MAY'!L9</f>
        <v>46146</v>
      </c>
      <c r="M7" s="334">
        <f>'SOH-MAY'!M9</f>
        <v>46147</v>
      </c>
      <c r="N7" s="334">
        <f>'SOH-MAY'!N9</f>
        <v>46148</v>
      </c>
      <c r="O7" s="334">
        <f>'SOH-MAY'!O9</f>
        <v>46149</v>
      </c>
      <c r="P7" s="334">
        <f>'SOH-MAY'!P9</f>
        <v>46150</v>
      </c>
      <c r="Q7" s="334">
        <f>'SOH-MAY'!Q9</f>
        <v>46151</v>
      </c>
      <c r="R7" s="334">
        <f>'SOH-MAY'!R9</f>
        <v>46152</v>
      </c>
      <c r="S7" s="334">
        <f>'SOH-MAY'!S9</f>
        <v>46153</v>
      </c>
      <c r="T7" s="334">
        <f>'SOH-MAY'!T9</f>
        <v>46154</v>
      </c>
      <c r="U7" s="334">
        <f>'SOH-MAY'!U9</f>
        <v>46155</v>
      </c>
      <c r="V7" s="334">
        <f>'SOH-MAY'!V9</f>
        <v>46156</v>
      </c>
      <c r="W7" s="334">
        <f>'SOH-MAY'!W9</f>
        <v>46157</v>
      </c>
      <c r="X7" s="334">
        <f>'SOH-MAY'!X9</f>
        <v>46158</v>
      </c>
      <c r="Y7" s="334">
        <f>'SOH-MAY'!Y9</f>
        <v>46159</v>
      </c>
      <c r="Z7" s="334">
        <f>'SOH-MAY'!Z9</f>
        <v>46160</v>
      </c>
      <c r="AA7" s="334">
        <f>'SOH-MAY'!AA9</f>
        <v>46161</v>
      </c>
      <c r="AB7" s="334">
        <f>'SOH-MAY'!AB9</f>
        <v>46162</v>
      </c>
      <c r="AC7" s="334">
        <f>'SOH-MAY'!AC9</f>
        <v>46163</v>
      </c>
      <c r="AD7" s="334">
        <f>'SOH-MAY'!AD9</f>
        <v>46164</v>
      </c>
      <c r="AE7" s="334">
        <f>'SOH-MAY'!AE9</f>
        <v>46165</v>
      </c>
      <c r="AF7" s="334">
        <f>'SOH-MAY'!AF9</f>
        <v>46166</v>
      </c>
      <c r="AG7" s="334">
        <f>'SOH-MAY'!AG9</f>
        <v>46167</v>
      </c>
      <c r="AH7" s="334">
        <f>'SOH-MAY'!AH9</f>
        <v>46168</v>
      </c>
      <c r="AI7" s="334">
        <f>'SOH-MAY'!AI9</f>
        <v>46169</v>
      </c>
      <c r="AJ7" s="334">
        <f>'SOH-MAY'!AJ9</f>
        <v>46170</v>
      </c>
      <c r="AK7" s="334">
        <f>'SOH-MAY'!AK9</f>
        <v>46171</v>
      </c>
      <c r="AL7" s="334">
        <f>'SOH-MAY'!AL9</f>
        <v>46172</v>
      </c>
      <c r="AM7" s="334">
        <f>'SOH-MAY'!AM9</f>
        <v>46173</v>
      </c>
      <c r="AN7" s="335">
        <v>46162</v>
      </c>
      <c r="AO7" s="335">
        <v>46168</v>
      </c>
      <c r="AP7" s="335"/>
      <c r="AQ7" s="335"/>
      <c r="AR7" s="336"/>
      <c r="AS7" s="402"/>
      <c r="AT7" s="402"/>
      <c r="AU7" s="333" t="s">
        <v>717</v>
      </c>
      <c r="AV7" s="333" t="s">
        <v>718</v>
      </c>
      <c r="AW7" s="333" t="s">
        <v>709</v>
      </c>
      <c r="AX7" s="333" t="s">
        <v>27</v>
      </c>
      <c r="BA7" s="401"/>
    </row>
    <row r="8" spans="1:54" ht="18.75">
      <c r="A8" s="309"/>
      <c r="B8" s="309"/>
      <c r="C8" s="310"/>
      <c r="D8" s="311" t="s">
        <v>10</v>
      </c>
      <c r="E8" s="312" t="s">
        <v>12</v>
      </c>
      <c r="F8" s="311" t="s">
        <v>10</v>
      </c>
      <c r="G8" s="311" t="s">
        <v>10</v>
      </c>
      <c r="H8" s="311" t="s">
        <v>10</v>
      </c>
      <c r="I8" s="311" t="s">
        <v>10</v>
      </c>
      <c r="J8" s="311" t="s">
        <v>10</v>
      </c>
      <c r="K8" s="311" t="s">
        <v>10</v>
      </c>
      <c r="L8" s="311" t="s">
        <v>10</v>
      </c>
      <c r="M8" s="311" t="s">
        <v>10</v>
      </c>
      <c r="N8" s="311" t="s">
        <v>10</v>
      </c>
      <c r="O8" s="311" t="s">
        <v>10</v>
      </c>
      <c r="P8" s="311" t="s">
        <v>10</v>
      </c>
      <c r="Q8" s="311" t="s">
        <v>10</v>
      </c>
      <c r="R8" s="311" t="s">
        <v>10</v>
      </c>
      <c r="S8" s="311" t="s">
        <v>10</v>
      </c>
      <c r="T8" s="311" t="s">
        <v>10</v>
      </c>
      <c r="U8" s="311" t="s">
        <v>10</v>
      </c>
      <c r="V8" s="311" t="s">
        <v>10</v>
      </c>
      <c r="W8" s="311" t="s">
        <v>10</v>
      </c>
      <c r="X8" s="311" t="s">
        <v>10</v>
      </c>
      <c r="Y8" s="311" t="s">
        <v>10</v>
      </c>
      <c r="Z8" s="311" t="s">
        <v>10</v>
      </c>
      <c r="AA8" s="311" t="s">
        <v>10</v>
      </c>
      <c r="AB8" s="311" t="s">
        <v>10</v>
      </c>
      <c r="AC8" s="311" t="s">
        <v>10</v>
      </c>
      <c r="AD8" s="311" t="s">
        <v>10</v>
      </c>
      <c r="AE8" s="311" t="s">
        <v>10</v>
      </c>
      <c r="AF8" s="311" t="s">
        <v>10</v>
      </c>
      <c r="AG8" s="311" t="s">
        <v>10</v>
      </c>
      <c r="AH8" s="311" t="s">
        <v>10</v>
      </c>
      <c r="AI8" s="311" t="s">
        <v>10</v>
      </c>
      <c r="AJ8" s="311" t="s">
        <v>10</v>
      </c>
      <c r="AK8" s="311" t="s">
        <v>10</v>
      </c>
      <c r="AL8" s="311" t="s">
        <v>10</v>
      </c>
      <c r="AM8" s="311" t="s">
        <v>10</v>
      </c>
      <c r="AN8" s="313" t="s">
        <v>10</v>
      </c>
      <c r="AO8" s="313" t="s">
        <v>10</v>
      </c>
      <c r="AP8" s="313" t="s">
        <v>10</v>
      </c>
      <c r="AQ8" s="313" t="s">
        <v>10</v>
      </c>
      <c r="AR8" s="313" t="s">
        <v>10</v>
      </c>
      <c r="AS8" s="366" t="s">
        <v>10</v>
      </c>
      <c r="AT8" s="366" t="s">
        <v>10</v>
      </c>
      <c r="AU8" s="311" t="s">
        <v>10</v>
      </c>
      <c r="AV8" s="312" t="s">
        <v>12</v>
      </c>
      <c r="AW8" s="310"/>
      <c r="AX8" s="310"/>
    </row>
    <row r="9" spans="1:54" s="322" customFormat="1" ht="19.5" customHeight="1">
      <c r="A9" s="314" t="s">
        <v>688</v>
      </c>
      <c r="B9" s="315" t="s">
        <v>39</v>
      </c>
      <c r="C9" s="315">
        <v>26.292100000000001</v>
      </c>
      <c r="D9" s="316"/>
      <c r="E9" s="316"/>
      <c r="F9" s="316"/>
      <c r="G9" s="316"/>
      <c r="H9" s="450">
        <v>0</v>
      </c>
      <c r="I9" s="316"/>
      <c r="J9" s="316">
        <v>0</v>
      </c>
      <c r="K9" s="316">
        <v>0</v>
      </c>
      <c r="L9" s="316">
        <v>0</v>
      </c>
      <c r="M9" s="316">
        <v>0</v>
      </c>
      <c r="N9" s="316">
        <v>0</v>
      </c>
      <c r="O9" s="316">
        <v>0</v>
      </c>
      <c r="P9" s="316">
        <v>0</v>
      </c>
      <c r="Q9" s="370">
        <v>0</v>
      </c>
      <c r="R9" s="316">
        <v>0</v>
      </c>
      <c r="S9" s="316">
        <v>0</v>
      </c>
      <c r="T9" s="316">
        <v>0</v>
      </c>
      <c r="U9" s="316">
        <v>0</v>
      </c>
      <c r="V9" s="316">
        <v>0</v>
      </c>
      <c r="W9" s="316">
        <v>0</v>
      </c>
      <c r="X9" s="316">
        <v>0</v>
      </c>
      <c r="Y9" s="316">
        <v>0</v>
      </c>
      <c r="Z9" s="316">
        <v>0</v>
      </c>
      <c r="AA9" s="316">
        <v>0</v>
      </c>
      <c r="AB9" s="316">
        <v>0</v>
      </c>
      <c r="AC9" s="316">
        <v>0</v>
      </c>
      <c r="AD9" s="316">
        <v>0</v>
      </c>
      <c r="AE9" s="316">
        <v>0</v>
      </c>
      <c r="AF9" s="316">
        <v>0</v>
      </c>
      <c r="AG9" s="316">
        <v>0</v>
      </c>
      <c r="AH9" s="316">
        <v>0</v>
      </c>
      <c r="AI9" s="316">
        <v>0</v>
      </c>
      <c r="AJ9" s="316">
        <v>0</v>
      </c>
      <c r="AK9" s="317">
        <v>0</v>
      </c>
      <c r="AL9" s="338">
        <v>0</v>
      </c>
      <c r="AM9" s="391">
        <v>0</v>
      </c>
      <c r="AN9" s="318"/>
      <c r="AO9" s="318"/>
      <c r="AP9" s="318"/>
      <c r="AQ9" s="318"/>
      <c r="AR9" s="318"/>
      <c r="AS9" s="367"/>
      <c r="AT9" s="367"/>
      <c r="AU9" s="431">
        <f t="shared" ref="AU9:AU31" si="0">H9-I9-J9-K9-L9-M9-N9-O9-P9-Q9-R9-S9-T9-U9-V9-W9-X9-Y9-Z9-AA9-AB9-AC9-AD9-AE9-AF9-AG9-AH9-AI9-AJ9-AK9-AL9-AM9+AN9+AQ9+AR9+AP9+AO9</f>
        <v>0</v>
      </c>
      <c r="AV9" s="319">
        <f t="shared" ref="AV9:AV31" si="1">C9*AU9</f>
        <v>0</v>
      </c>
      <c r="AW9" s="320"/>
      <c r="AX9" s="319">
        <f t="shared" ref="AX9:AX31" si="2">AW9*C9</f>
        <v>0</v>
      </c>
      <c r="AY9" s="321"/>
      <c r="AZ9" s="321"/>
      <c r="BA9" s="321"/>
      <c r="BB9" s="321"/>
    </row>
    <row r="10" spans="1:54" s="322" customFormat="1" ht="19.5" customHeight="1">
      <c r="A10" s="314" t="s">
        <v>591</v>
      </c>
      <c r="B10" s="315" t="s">
        <v>39</v>
      </c>
      <c r="C10" s="315">
        <v>27.343800000000002</v>
      </c>
      <c r="D10" s="316"/>
      <c r="E10" s="316"/>
      <c r="F10" s="316"/>
      <c r="G10" s="316"/>
      <c r="H10" s="450">
        <v>38714</v>
      </c>
      <c r="I10" s="316"/>
      <c r="J10" s="316">
        <v>1307</v>
      </c>
      <c r="K10" s="316">
        <v>1453</v>
      </c>
      <c r="L10" s="316">
        <v>1895</v>
      </c>
      <c r="M10" s="316">
        <v>1665</v>
      </c>
      <c r="N10" s="316">
        <v>2165</v>
      </c>
      <c r="O10" s="316">
        <v>1665</v>
      </c>
      <c r="P10" s="316">
        <v>1983</v>
      </c>
      <c r="Q10" s="370">
        <v>1996</v>
      </c>
      <c r="R10" s="316">
        <v>1611</v>
      </c>
      <c r="S10" s="316">
        <v>1697</v>
      </c>
      <c r="T10" s="316">
        <v>1731</v>
      </c>
      <c r="U10" s="316">
        <v>1811</v>
      </c>
      <c r="V10" s="316">
        <v>1339</v>
      </c>
      <c r="W10" s="316">
        <v>1513</v>
      </c>
      <c r="X10" s="316">
        <v>1192</v>
      </c>
      <c r="Y10" s="316">
        <v>1434</v>
      </c>
      <c r="Z10" s="316">
        <v>1427</v>
      </c>
      <c r="AA10" s="316">
        <v>1674</v>
      </c>
      <c r="AB10" s="316">
        <v>1779</v>
      </c>
      <c r="AC10" s="316">
        <v>1679</v>
      </c>
      <c r="AD10" s="316">
        <v>1676</v>
      </c>
      <c r="AE10" s="316">
        <v>1461</v>
      </c>
      <c r="AF10" s="316">
        <v>448</v>
      </c>
      <c r="AG10" s="316">
        <v>183</v>
      </c>
      <c r="AH10" s="316">
        <v>1626</v>
      </c>
      <c r="AI10" s="316">
        <v>1432</v>
      </c>
      <c r="AJ10" s="316">
        <v>1848</v>
      </c>
      <c r="AK10" s="317">
        <v>1795</v>
      </c>
      <c r="AL10" s="338">
        <v>1347</v>
      </c>
      <c r="AM10" s="391">
        <v>1532</v>
      </c>
      <c r="AN10" s="318">
        <v>20000</v>
      </c>
      <c r="AO10" s="318">
        <v>15000</v>
      </c>
      <c r="AP10" s="318"/>
      <c r="AQ10" s="318"/>
      <c r="AR10" s="318"/>
      <c r="AS10" s="367"/>
      <c r="AT10" s="367"/>
      <c r="AU10" s="431">
        <f t="shared" si="0"/>
        <v>27350</v>
      </c>
      <c r="AV10" s="319">
        <f t="shared" si="1"/>
        <v>747852.93</v>
      </c>
      <c r="AW10" s="320"/>
      <c r="AX10" s="319">
        <f t="shared" si="2"/>
        <v>0</v>
      </c>
      <c r="AY10" s="321"/>
      <c r="AZ10" s="321"/>
      <c r="BA10" s="321"/>
      <c r="BB10" s="321"/>
    </row>
    <row r="11" spans="1:54" s="322" customFormat="1" ht="19.5" customHeight="1">
      <c r="A11" s="314" t="s">
        <v>85</v>
      </c>
      <c r="B11" s="315" t="s">
        <v>39</v>
      </c>
      <c r="C11" s="315">
        <v>29.5639</v>
      </c>
      <c r="D11" s="316"/>
      <c r="E11" s="316"/>
      <c r="F11" s="316"/>
      <c r="G11" s="316"/>
      <c r="H11" s="450">
        <v>105602</v>
      </c>
      <c r="I11" s="316"/>
      <c r="J11" s="316">
        <v>822</v>
      </c>
      <c r="K11" s="316">
        <v>1065</v>
      </c>
      <c r="L11" s="316">
        <v>1552</v>
      </c>
      <c r="M11" s="316">
        <v>1323</v>
      </c>
      <c r="N11" s="316">
        <v>1186</v>
      </c>
      <c r="O11" s="316">
        <v>1103</v>
      </c>
      <c r="P11" s="316">
        <v>956</v>
      </c>
      <c r="Q11" s="370">
        <v>1172</v>
      </c>
      <c r="R11" s="316">
        <v>811</v>
      </c>
      <c r="S11" s="316">
        <v>1404</v>
      </c>
      <c r="T11" s="316">
        <v>1752</v>
      </c>
      <c r="U11" s="316">
        <v>1617</v>
      </c>
      <c r="V11" s="316">
        <v>1490</v>
      </c>
      <c r="W11" s="316">
        <v>926</v>
      </c>
      <c r="X11" s="316">
        <v>1081</v>
      </c>
      <c r="Y11" s="316">
        <v>1084</v>
      </c>
      <c r="Z11" s="316">
        <v>1052</v>
      </c>
      <c r="AA11" s="316">
        <v>1463</v>
      </c>
      <c r="AB11" s="316">
        <v>1644</v>
      </c>
      <c r="AC11" s="316">
        <v>1069</v>
      </c>
      <c r="AD11" s="316">
        <v>1302</v>
      </c>
      <c r="AE11" s="316">
        <v>2070</v>
      </c>
      <c r="AF11" s="316">
        <v>2127</v>
      </c>
      <c r="AG11" s="316">
        <v>2846</v>
      </c>
      <c r="AH11" s="316">
        <v>1591</v>
      </c>
      <c r="AI11" s="316">
        <v>2436</v>
      </c>
      <c r="AJ11" s="316">
        <v>1278</v>
      </c>
      <c r="AK11" s="317">
        <v>1503</v>
      </c>
      <c r="AL11" s="338">
        <v>1622</v>
      </c>
      <c r="AM11" s="391">
        <v>876</v>
      </c>
      <c r="AN11" s="318">
        <v>21500</v>
      </c>
      <c r="AO11" s="318">
        <v>16125</v>
      </c>
      <c r="AP11" s="318"/>
      <c r="AQ11" s="318"/>
      <c r="AR11" s="318"/>
      <c r="AS11" s="367"/>
      <c r="AT11" s="367"/>
      <c r="AU11" s="431">
        <f t="shared" si="0"/>
        <v>101004</v>
      </c>
      <c r="AV11" s="319">
        <f t="shared" si="1"/>
        <v>2986072.1556000002</v>
      </c>
      <c r="AW11" s="320"/>
      <c r="AX11" s="319">
        <f t="shared" si="2"/>
        <v>0</v>
      </c>
      <c r="AY11" s="321"/>
      <c r="AZ11" s="321"/>
      <c r="BA11" s="321"/>
      <c r="BB11" s="321"/>
    </row>
    <row r="12" spans="1:54" s="322" customFormat="1" ht="19.5" customHeight="1">
      <c r="A12" s="314" t="s">
        <v>14</v>
      </c>
      <c r="B12" s="315" t="s">
        <v>40</v>
      </c>
      <c r="C12" s="315">
        <v>145.88</v>
      </c>
      <c r="D12" s="316"/>
      <c r="E12" s="316"/>
      <c r="F12" s="320"/>
      <c r="G12" s="316"/>
      <c r="H12" s="450">
        <v>94798.320000000022</v>
      </c>
      <c r="I12" s="316"/>
      <c r="J12" s="316">
        <v>667</v>
      </c>
      <c r="K12" s="316">
        <v>757.00000000000011</v>
      </c>
      <c r="L12" s="316">
        <v>1183</v>
      </c>
      <c r="M12" s="316">
        <v>1201.2</v>
      </c>
      <c r="N12" s="316">
        <v>1224</v>
      </c>
      <c r="O12" s="316">
        <v>1035.2</v>
      </c>
      <c r="P12" s="316">
        <v>1041.2</v>
      </c>
      <c r="Q12" s="370">
        <v>1028.8000000000002</v>
      </c>
      <c r="R12" s="316">
        <v>897.59999999999991</v>
      </c>
      <c r="S12" s="316">
        <v>1179.0000000000002</v>
      </c>
      <c r="T12" s="316">
        <v>1151.2</v>
      </c>
      <c r="U12" s="316">
        <v>1137.2000000000003</v>
      </c>
      <c r="V12" s="316">
        <v>974.6</v>
      </c>
      <c r="W12" s="316">
        <v>826.6</v>
      </c>
      <c r="X12" s="316">
        <v>757.4</v>
      </c>
      <c r="Y12" s="316">
        <v>799.5</v>
      </c>
      <c r="Z12" s="316">
        <v>988.2</v>
      </c>
      <c r="AA12" s="316">
        <v>1145.8000000000002</v>
      </c>
      <c r="AB12" s="316">
        <v>1253.9999999999998</v>
      </c>
      <c r="AC12" s="316">
        <v>1045</v>
      </c>
      <c r="AD12" s="316">
        <v>1166.6000000000001</v>
      </c>
      <c r="AE12" s="316">
        <v>1117.8</v>
      </c>
      <c r="AF12" s="316">
        <v>980.6</v>
      </c>
      <c r="AG12" s="316">
        <v>1160.4000000000001</v>
      </c>
      <c r="AH12" s="316">
        <v>1111.2</v>
      </c>
      <c r="AI12" s="316">
        <v>1256.3999999999999</v>
      </c>
      <c r="AJ12" s="316">
        <v>1243.8</v>
      </c>
      <c r="AK12" s="317">
        <v>938.99999999999989</v>
      </c>
      <c r="AL12" s="338">
        <v>915.8</v>
      </c>
      <c r="AM12" s="391">
        <v>776.4</v>
      </c>
      <c r="AN12" s="318">
        <v>8750</v>
      </c>
      <c r="AO12" s="318">
        <f>350*25</f>
        <v>8750</v>
      </c>
      <c r="AP12" s="318"/>
      <c r="AQ12" s="318"/>
      <c r="AR12" s="318"/>
      <c r="AS12" s="367"/>
      <c r="AT12" s="367"/>
      <c r="AU12" s="431">
        <f t="shared" si="0"/>
        <v>81336.820000000007</v>
      </c>
      <c r="AV12" s="319">
        <f t="shared" si="1"/>
        <v>11865415.3016</v>
      </c>
      <c r="AW12" s="320"/>
      <c r="AX12" s="319">
        <f t="shared" si="2"/>
        <v>0</v>
      </c>
      <c r="AY12" s="321"/>
      <c r="AZ12" s="321"/>
      <c r="BA12" s="321"/>
      <c r="BB12" s="321"/>
    </row>
    <row r="13" spans="1:54" s="322" customFormat="1" ht="20.100000000000001" customHeight="1">
      <c r="A13" s="314" t="s">
        <v>15</v>
      </c>
      <c r="B13" s="315" t="s">
        <v>41</v>
      </c>
      <c r="C13" s="315">
        <v>27.66</v>
      </c>
      <c r="D13" s="316"/>
      <c r="E13" s="316"/>
      <c r="F13" s="316"/>
      <c r="G13" s="316"/>
      <c r="H13" s="450">
        <v>23542.469999999994</v>
      </c>
      <c r="I13" s="316"/>
      <c r="J13" s="316">
        <v>240.57</v>
      </c>
      <c r="K13" s="316">
        <v>323.19</v>
      </c>
      <c r="L13" s="316">
        <v>447.12000000000006</v>
      </c>
      <c r="M13" s="316">
        <v>434.97</v>
      </c>
      <c r="N13" s="316">
        <v>425.25</v>
      </c>
      <c r="O13" s="316">
        <v>388.8</v>
      </c>
      <c r="P13" s="316">
        <v>391.23</v>
      </c>
      <c r="Q13" s="370">
        <v>413.1</v>
      </c>
      <c r="R13" s="316">
        <v>330.48</v>
      </c>
      <c r="S13" s="316">
        <v>464.13000000000005</v>
      </c>
      <c r="T13" s="316">
        <v>422.82</v>
      </c>
      <c r="U13" s="316">
        <v>456.84000000000003</v>
      </c>
      <c r="V13" s="316">
        <v>349.92</v>
      </c>
      <c r="W13" s="316">
        <v>332.91</v>
      </c>
      <c r="X13" s="316">
        <v>313.47000000000003</v>
      </c>
      <c r="Y13" s="316">
        <v>345.06000000000006</v>
      </c>
      <c r="Z13" s="316">
        <v>405.81000000000006</v>
      </c>
      <c r="AA13" s="316">
        <v>417.96000000000004</v>
      </c>
      <c r="AB13" s="316">
        <v>500.58</v>
      </c>
      <c r="AC13" s="316">
        <v>410.66999999999996</v>
      </c>
      <c r="AD13" s="316">
        <v>447.12</v>
      </c>
      <c r="AE13" s="316">
        <v>444.69000000000005</v>
      </c>
      <c r="AF13" s="316">
        <v>371.78999999999996</v>
      </c>
      <c r="AG13" s="316">
        <v>432.54</v>
      </c>
      <c r="AH13" s="316">
        <v>422.82000000000005</v>
      </c>
      <c r="AI13" s="316">
        <v>476.28000000000009</v>
      </c>
      <c r="AJ13" s="316">
        <v>490.86</v>
      </c>
      <c r="AK13" s="323">
        <v>510.3</v>
      </c>
      <c r="AL13" s="339">
        <v>425.25</v>
      </c>
      <c r="AM13" s="392">
        <v>318.33000000000004</v>
      </c>
      <c r="AN13" s="318">
        <v>4000</v>
      </c>
      <c r="AO13" s="318">
        <v>4000</v>
      </c>
      <c r="AP13" s="318"/>
      <c r="AQ13" s="318"/>
      <c r="AR13" s="318"/>
      <c r="AS13" s="367"/>
      <c r="AT13" s="367"/>
      <c r="AU13" s="431">
        <f t="shared" si="0"/>
        <v>19387.609999999993</v>
      </c>
      <c r="AV13" s="319">
        <f t="shared" si="1"/>
        <v>536261.29259999981</v>
      </c>
      <c r="AW13" s="320"/>
      <c r="AX13" s="319">
        <f t="shared" si="2"/>
        <v>0</v>
      </c>
      <c r="AY13" s="321"/>
      <c r="AZ13" s="321"/>
      <c r="BA13" s="321"/>
      <c r="BB13" s="321"/>
    </row>
    <row r="14" spans="1:54" s="322" customFormat="1" ht="20.100000000000001" customHeight="1">
      <c r="A14" s="314" t="s">
        <v>16</v>
      </c>
      <c r="B14" s="315" t="s">
        <v>39</v>
      </c>
      <c r="C14" s="315">
        <v>26.25</v>
      </c>
      <c r="D14" s="316"/>
      <c r="E14" s="316"/>
      <c r="F14" s="316"/>
      <c r="G14" s="316"/>
      <c r="H14" s="450">
        <v>7429</v>
      </c>
      <c r="I14" s="316"/>
      <c r="J14" s="316">
        <v>99</v>
      </c>
      <c r="K14" s="316">
        <v>133</v>
      </c>
      <c r="L14" s="316">
        <v>184</v>
      </c>
      <c r="M14" s="316">
        <v>179</v>
      </c>
      <c r="N14" s="316">
        <v>175</v>
      </c>
      <c r="O14" s="316">
        <v>160</v>
      </c>
      <c r="P14" s="316">
        <v>161</v>
      </c>
      <c r="Q14" s="370">
        <v>170</v>
      </c>
      <c r="R14" s="316">
        <v>136</v>
      </c>
      <c r="S14" s="316">
        <v>191</v>
      </c>
      <c r="T14" s="316">
        <v>174</v>
      </c>
      <c r="U14" s="316">
        <v>188</v>
      </c>
      <c r="V14" s="316">
        <v>144</v>
      </c>
      <c r="W14" s="316">
        <v>137</v>
      </c>
      <c r="X14" s="316">
        <v>129</v>
      </c>
      <c r="Y14" s="316">
        <v>142</v>
      </c>
      <c r="Z14" s="316">
        <v>167</v>
      </c>
      <c r="AA14" s="316">
        <v>172</v>
      </c>
      <c r="AB14" s="316">
        <v>206</v>
      </c>
      <c r="AC14" s="316">
        <v>169</v>
      </c>
      <c r="AD14" s="316">
        <v>184</v>
      </c>
      <c r="AE14" s="316">
        <v>183</v>
      </c>
      <c r="AF14" s="316">
        <v>153</v>
      </c>
      <c r="AG14" s="316">
        <v>178</v>
      </c>
      <c r="AH14" s="316">
        <v>174</v>
      </c>
      <c r="AI14" s="316">
        <v>196</v>
      </c>
      <c r="AJ14" s="316">
        <v>202</v>
      </c>
      <c r="AK14" s="317">
        <v>210</v>
      </c>
      <c r="AL14" s="338">
        <v>175</v>
      </c>
      <c r="AM14" s="391">
        <v>131</v>
      </c>
      <c r="AN14" s="318">
        <v>3000</v>
      </c>
      <c r="AO14" s="318">
        <v>2000</v>
      </c>
      <c r="AP14" s="318"/>
      <c r="AQ14" s="318"/>
      <c r="AR14" s="318"/>
      <c r="AS14" s="367"/>
      <c r="AT14" s="367"/>
      <c r="AU14" s="431">
        <f t="shared" si="0"/>
        <v>7427</v>
      </c>
      <c r="AV14" s="319">
        <f t="shared" si="1"/>
        <v>194958.75</v>
      </c>
      <c r="AW14" s="320"/>
      <c r="AX14" s="319">
        <f t="shared" si="2"/>
        <v>0</v>
      </c>
      <c r="AY14" s="321"/>
      <c r="AZ14" s="321"/>
      <c r="BA14" s="321"/>
      <c r="BB14" s="321"/>
    </row>
    <row r="15" spans="1:54" s="322" customFormat="1" ht="20.100000000000001" customHeight="1">
      <c r="A15" s="314" t="s">
        <v>17</v>
      </c>
      <c r="B15" s="315" t="s">
        <v>39</v>
      </c>
      <c r="C15" s="315">
        <v>20.62</v>
      </c>
      <c r="D15" s="316"/>
      <c r="E15" s="316"/>
      <c r="F15" s="316"/>
      <c r="G15" s="316"/>
      <c r="H15" s="450">
        <v>275</v>
      </c>
      <c r="I15" s="316"/>
      <c r="J15" s="316">
        <v>0</v>
      </c>
      <c r="K15" s="316">
        <v>0</v>
      </c>
      <c r="L15" s="316">
        <v>0</v>
      </c>
      <c r="M15" s="316">
        <v>0</v>
      </c>
      <c r="N15" s="316">
        <v>0</v>
      </c>
      <c r="O15" s="316">
        <v>0</v>
      </c>
      <c r="P15" s="316">
        <v>0</v>
      </c>
      <c r="Q15" s="370">
        <v>0</v>
      </c>
      <c r="R15" s="316">
        <v>0</v>
      </c>
      <c r="S15" s="316">
        <v>0</v>
      </c>
      <c r="T15" s="316">
        <v>0</v>
      </c>
      <c r="U15" s="316">
        <v>0</v>
      </c>
      <c r="V15" s="316">
        <v>0</v>
      </c>
      <c r="W15" s="316">
        <v>0</v>
      </c>
      <c r="X15" s="316">
        <v>0</v>
      </c>
      <c r="Y15" s="316">
        <v>0</v>
      </c>
      <c r="Z15" s="316">
        <v>0</v>
      </c>
      <c r="AA15" s="316">
        <v>0</v>
      </c>
      <c r="AB15" s="316">
        <v>0</v>
      </c>
      <c r="AC15" s="316">
        <v>0</v>
      </c>
      <c r="AD15" s="316">
        <v>0</v>
      </c>
      <c r="AE15" s="316">
        <v>0</v>
      </c>
      <c r="AF15" s="316">
        <v>0</v>
      </c>
      <c r="AG15" s="316">
        <v>0</v>
      </c>
      <c r="AH15" s="316">
        <v>0</v>
      </c>
      <c r="AI15" s="316">
        <v>0</v>
      </c>
      <c r="AJ15" s="316">
        <v>0</v>
      </c>
      <c r="AK15" s="317">
        <v>0</v>
      </c>
      <c r="AL15" s="338">
        <v>0</v>
      </c>
      <c r="AM15" s="391">
        <v>0</v>
      </c>
      <c r="AN15" s="318"/>
      <c r="AO15" s="318"/>
      <c r="AP15" s="318"/>
      <c r="AQ15" s="318"/>
      <c r="AR15" s="318"/>
      <c r="AS15" s="367"/>
      <c r="AT15" s="367"/>
      <c r="AU15" s="431">
        <f t="shared" si="0"/>
        <v>275</v>
      </c>
      <c r="AV15" s="319">
        <f t="shared" si="1"/>
        <v>5670.5</v>
      </c>
      <c r="AW15" s="320"/>
      <c r="AX15" s="319">
        <f t="shared" si="2"/>
        <v>0</v>
      </c>
      <c r="AY15" s="321"/>
      <c r="AZ15" s="321"/>
      <c r="BA15" s="321"/>
      <c r="BB15" s="321"/>
    </row>
    <row r="16" spans="1:54" s="322" customFormat="1" ht="20.100000000000001" customHeight="1">
      <c r="A16" s="314" t="s">
        <v>42</v>
      </c>
      <c r="B16" s="315" t="s">
        <v>39</v>
      </c>
      <c r="C16" s="315">
        <v>171.74107142857142</v>
      </c>
      <c r="D16" s="316">
        <v>264</v>
      </c>
      <c r="E16" s="316">
        <f>C16*D16</f>
        <v>45339.642857142855</v>
      </c>
      <c r="F16" s="316"/>
      <c r="G16" s="316"/>
      <c r="H16" s="450">
        <v>0</v>
      </c>
      <c r="I16" s="316"/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70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X16" s="316">
        <v>0</v>
      </c>
      <c r="Y16" s="316">
        <v>0</v>
      </c>
      <c r="Z16" s="316">
        <v>0</v>
      </c>
      <c r="AA16" s="316">
        <v>0</v>
      </c>
      <c r="AB16" s="316">
        <v>0</v>
      </c>
      <c r="AC16" s="316">
        <v>0</v>
      </c>
      <c r="AD16" s="316">
        <v>0</v>
      </c>
      <c r="AE16" s="316">
        <v>0</v>
      </c>
      <c r="AF16" s="316">
        <v>0</v>
      </c>
      <c r="AG16" s="316">
        <v>0</v>
      </c>
      <c r="AH16" s="316">
        <v>0</v>
      </c>
      <c r="AI16" s="316">
        <v>0</v>
      </c>
      <c r="AJ16" s="316">
        <v>0</v>
      </c>
      <c r="AK16" s="317">
        <v>0</v>
      </c>
      <c r="AL16" s="338">
        <v>0</v>
      </c>
      <c r="AM16" s="391">
        <v>0</v>
      </c>
      <c r="AN16" s="318"/>
      <c r="AO16" s="318"/>
      <c r="AP16" s="318"/>
      <c r="AQ16" s="318"/>
      <c r="AR16" s="318"/>
      <c r="AS16" s="367"/>
      <c r="AT16" s="367"/>
      <c r="AU16" s="431">
        <f t="shared" si="0"/>
        <v>0</v>
      </c>
      <c r="AV16" s="319">
        <f t="shared" si="1"/>
        <v>0</v>
      </c>
      <c r="AW16" s="320"/>
      <c r="AX16" s="319">
        <f t="shared" si="2"/>
        <v>0</v>
      </c>
      <c r="AY16" s="321"/>
      <c r="AZ16" s="321"/>
      <c r="BA16" s="321"/>
      <c r="BB16" s="321"/>
    </row>
    <row r="17" spans="1:54" s="322" customFormat="1" ht="20.100000000000001" customHeight="1">
      <c r="A17" s="314" t="s">
        <v>43</v>
      </c>
      <c r="B17" s="315" t="s">
        <v>39</v>
      </c>
      <c r="C17" s="315">
        <v>176.78571428571428</v>
      </c>
      <c r="D17" s="316">
        <v>847</v>
      </c>
      <c r="E17" s="316">
        <f t="shared" ref="E17:E29" si="3">C17*D17</f>
        <v>149737.5</v>
      </c>
      <c r="F17" s="316"/>
      <c r="G17" s="316"/>
      <c r="H17" s="450">
        <v>0</v>
      </c>
      <c r="I17" s="316"/>
      <c r="J17" s="316">
        <v>0</v>
      </c>
      <c r="K17" s="316">
        <v>0</v>
      </c>
      <c r="L17" s="316">
        <v>0</v>
      </c>
      <c r="M17" s="316">
        <v>0</v>
      </c>
      <c r="N17" s="316">
        <v>0</v>
      </c>
      <c r="O17" s="316">
        <v>0</v>
      </c>
      <c r="P17" s="316">
        <v>0</v>
      </c>
      <c r="Q17" s="370">
        <v>0</v>
      </c>
      <c r="R17" s="316">
        <v>0</v>
      </c>
      <c r="S17" s="316">
        <v>0</v>
      </c>
      <c r="T17" s="316">
        <v>0</v>
      </c>
      <c r="U17" s="316">
        <v>0</v>
      </c>
      <c r="V17" s="316">
        <v>0</v>
      </c>
      <c r="W17" s="316">
        <v>0</v>
      </c>
      <c r="X17" s="316">
        <v>0</v>
      </c>
      <c r="Y17" s="316">
        <v>0</v>
      </c>
      <c r="Z17" s="316">
        <v>0</v>
      </c>
      <c r="AA17" s="316">
        <v>0</v>
      </c>
      <c r="AB17" s="316">
        <v>0</v>
      </c>
      <c r="AC17" s="316">
        <v>0</v>
      </c>
      <c r="AD17" s="316">
        <v>0</v>
      </c>
      <c r="AE17" s="316">
        <v>0</v>
      </c>
      <c r="AF17" s="316">
        <v>0</v>
      </c>
      <c r="AG17" s="316">
        <v>0</v>
      </c>
      <c r="AH17" s="316">
        <v>0</v>
      </c>
      <c r="AI17" s="316">
        <v>0</v>
      </c>
      <c r="AJ17" s="316">
        <v>0</v>
      </c>
      <c r="AK17" s="317">
        <v>0</v>
      </c>
      <c r="AL17" s="338">
        <v>0</v>
      </c>
      <c r="AM17" s="391">
        <v>0</v>
      </c>
      <c r="AN17" s="318"/>
      <c r="AO17" s="318"/>
      <c r="AP17" s="318"/>
      <c r="AQ17" s="318"/>
      <c r="AR17" s="318"/>
      <c r="AS17" s="367"/>
      <c r="AT17" s="367"/>
      <c r="AU17" s="431">
        <f t="shared" si="0"/>
        <v>0</v>
      </c>
      <c r="AV17" s="319">
        <f t="shared" si="1"/>
        <v>0</v>
      </c>
      <c r="AW17" s="320"/>
      <c r="AX17" s="319">
        <f t="shared" si="2"/>
        <v>0</v>
      </c>
      <c r="AY17" s="321"/>
      <c r="AZ17" s="321"/>
      <c r="BA17" s="321"/>
      <c r="BB17" s="321"/>
    </row>
    <row r="18" spans="1:54" s="322" customFormat="1" ht="19.5" customHeight="1">
      <c r="A18" s="314" t="s">
        <v>31</v>
      </c>
      <c r="B18" s="315" t="s">
        <v>39</v>
      </c>
      <c r="C18" s="315">
        <v>180.35714285714283</v>
      </c>
      <c r="D18" s="316"/>
      <c r="E18" s="316"/>
      <c r="F18" s="320"/>
      <c r="G18" s="316"/>
      <c r="H18" s="450">
        <v>16364</v>
      </c>
      <c r="I18" s="316"/>
      <c r="J18" s="316">
        <v>0</v>
      </c>
      <c r="K18" s="316">
        <v>0</v>
      </c>
      <c r="L18" s="316">
        <v>0</v>
      </c>
      <c r="M18" s="316">
        <v>0</v>
      </c>
      <c r="N18" s="316">
        <v>0</v>
      </c>
      <c r="O18" s="316">
        <v>0</v>
      </c>
      <c r="P18" s="316">
        <v>0</v>
      </c>
      <c r="Q18" s="370">
        <v>0</v>
      </c>
      <c r="R18" s="316">
        <v>0</v>
      </c>
      <c r="S18" s="316">
        <v>0</v>
      </c>
      <c r="T18" s="316">
        <v>0</v>
      </c>
      <c r="U18" s="316">
        <v>0</v>
      </c>
      <c r="V18" s="316">
        <v>0</v>
      </c>
      <c r="W18" s="316">
        <v>0</v>
      </c>
      <c r="X18" s="316">
        <v>0</v>
      </c>
      <c r="Y18" s="316">
        <v>0</v>
      </c>
      <c r="Z18" s="316">
        <v>0</v>
      </c>
      <c r="AA18" s="316">
        <v>0</v>
      </c>
      <c r="AB18" s="316">
        <v>0</v>
      </c>
      <c r="AC18" s="316">
        <v>0</v>
      </c>
      <c r="AD18" s="316">
        <v>0</v>
      </c>
      <c r="AE18" s="316">
        <v>0</v>
      </c>
      <c r="AF18" s="316">
        <v>0</v>
      </c>
      <c r="AG18" s="316">
        <v>0</v>
      </c>
      <c r="AH18" s="316">
        <v>0</v>
      </c>
      <c r="AI18" s="316">
        <v>0</v>
      </c>
      <c r="AJ18" s="316">
        <v>0</v>
      </c>
      <c r="AK18" s="317">
        <v>0</v>
      </c>
      <c r="AL18" s="338">
        <v>0</v>
      </c>
      <c r="AM18" s="391">
        <v>0</v>
      </c>
      <c r="AN18" s="318"/>
      <c r="AO18" s="318"/>
      <c r="AP18" s="318"/>
      <c r="AQ18" s="318"/>
      <c r="AR18" s="318"/>
      <c r="AS18" s="367"/>
      <c r="AT18" s="367"/>
      <c r="AU18" s="431">
        <f t="shared" si="0"/>
        <v>16364</v>
      </c>
      <c r="AV18" s="319">
        <f t="shared" si="1"/>
        <v>2951364.2857142854</v>
      </c>
      <c r="AW18" s="320"/>
      <c r="AX18" s="319">
        <f t="shared" si="2"/>
        <v>0</v>
      </c>
      <c r="AY18" s="321"/>
      <c r="AZ18" s="321"/>
      <c r="BA18" s="321"/>
      <c r="BB18" s="321"/>
    </row>
    <row r="19" spans="1:54" s="322" customFormat="1" ht="20.100000000000001" customHeight="1">
      <c r="A19" s="314" t="s">
        <v>44</v>
      </c>
      <c r="B19" s="315" t="s">
        <v>39</v>
      </c>
      <c r="C19" s="315">
        <v>207</v>
      </c>
      <c r="D19" s="316"/>
      <c r="E19" s="316"/>
      <c r="F19" s="316"/>
      <c r="G19" s="316"/>
      <c r="H19" s="450">
        <v>0</v>
      </c>
      <c r="I19" s="316"/>
      <c r="J19" s="316">
        <v>0</v>
      </c>
      <c r="K19" s="316">
        <v>0</v>
      </c>
      <c r="L19" s="316">
        <v>0</v>
      </c>
      <c r="M19" s="316">
        <v>0</v>
      </c>
      <c r="N19" s="316">
        <v>0</v>
      </c>
      <c r="O19" s="316">
        <v>0</v>
      </c>
      <c r="P19" s="316">
        <v>0</v>
      </c>
      <c r="Q19" s="370">
        <v>0</v>
      </c>
      <c r="R19" s="316">
        <v>0</v>
      </c>
      <c r="S19" s="316">
        <v>0</v>
      </c>
      <c r="T19" s="316">
        <v>0</v>
      </c>
      <c r="U19" s="316">
        <v>0</v>
      </c>
      <c r="V19" s="316">
        <v>0</v>
      </c>
      <c r="W19" s="316">
        <v>0</v>
      </c>
      <c r="X19" s="316">
        <v>0</v>
      </c>
      <c r="Y19" s="316">
        <v>0</v>
      </c>
      <c r="Z19" s="316">
        <v>0</v>
      </c>
      <c r="AA19" s="316">
        <v>0</v>
      </c>
      <c r="AB19" s="316">
        <v>0</v>
      </c>
      <c r="AC19" s="316">
        <v>0</v>
      </c>
      <c r="AD19" s="316">
        <v>0</v>
      </c>
      <c r="AE19" s="316">
        <v>0</v>
      </c>
      <c r="AF19" s="316">
        <v>0</v>
      </c>
      <c r="AG19" s="316">
        <v>0</v>
      </c>
      <c r="AH19" s="316">
        <v>0</v>
      </c>
      <c r="AI19" s="316">
        <v>0</v>
      </c>
      <c r="AJ19" s="316">
        <v>0</v>
      </c>
      <c r="AK19" s="317">
        <v>0</v>
      </c>
      <c r="AL19" s="338">
        <v>0</v>
      </c>
      <c r="AM19" s="391">
        <v>0</v>
      </c>
      <c r="AN19" s="318"/>
      <c r="AO19" s="318"/>
      <c r="AP19" s="318"/>
      <c r="AQ19" s="318"/>
      <c r="AR19" s="318"/>
      <c r="AS19" s="367"/>
      <c r="AT19" s="367"/>
      <c r="AU19" s="431">
        <f t="shared" si="0"/>
        <v>0</v>
      </c>
      <c r="AV19" s="319">
        <f t="shared" si="1"/>
        <v>0</v>
      </c>
      <c r="AW19" s="320"/>
      <c r="AX19" s="319">
        <f t="shared" si="2"/>
        <v>0</v>
      </c>
      <c r="AY19" s="321"/>
      <c r="AZ19" s="321"/>
      <c r="BA19" s="321"/>
      <c r="BB19" s="321"/>
    </row>
    <row r="20" spans="1:54" s="322" customFormat="1" ht="20.100000000000001" customHeight="1">
      <c r="A20" s="314" t="s">
        <v>604</v>
      </c>
      <c r="B20" s="315" t="s">
        <v>39</v>
      </c>
      <c r="C20" s="315">
        <v>331</v>
      </c>
      <c r="D20" s="316">
        <v>95</v>
      </c>
      <c r="E20" s="316">
        <f>C20*D20</f>
        <v>31445</v>
      </c>
      <c r="F20" s="320"/>
      <c r="G20" s="316"/>
      <c r="H20" s="450">
        <v>0</v>
      </c>
      <c r="I20" s="316"/>
      <c r="J20" s="316"/>
      <c r="K20" s="316"/>
      <c r="L20" s="316"/>
      <c r="M20" s="316"/>
      <c r="N20" s="316"/>
      <c r="O20" s="316"/>
      <c r="P20" s="316"/>
      <c r="Q20" s="370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7"/>
      <c r="AL20" s="338"/>
      <c r="AM20" s="391"/>
      <c r="AN20" s="318"/>
      <c r="AO20" s="318"/>
      <c r="AP20" s="318"/>
      <c r="AQ20" s="318"/>
      <c r="AR20" s="318"/>
      <c r="AS20" s="367"/>
      <c r="AT20" s="367"/>
      <c r="AU20" s="431">
        <f t="shared" si="0"/>
        <v>0</v>
      </c>
      <c r="AV20" s="319">
        <f t="shared" si="1"/>
        <v>0</v>
      </c>
      <c r="AW20" s="320"/>
      <c r="AX20" s="319">
        <f t="shared" si="2"/>
        <v>0</v>
      </c>
      <c r="AY20" s="321"/>
      <c r="AZ20" s="321"/>
      <c r="BA20" s="321"/>
      <c r="BB20" s="321"/>
    </row>
    <row r="21" spans="1:54" s="322" customFormat="1" ht="20.100000000000001" customHeight="1">
      <c r="A21" s="314" t="s">
        <v>18</v>
      </c>
      <c r="B21" s="315" t="s">
        <v>39</v>
      </c>
      <c r="C21" s="315">
        <v>189.38</v>
      </c>
      <c r="D21" s="316"/>
      <c r="E21" s="316"/>
      <c r="F21" s="316"/>
      <c r="G21" s="316"/>
      <c r="H21" s="450">
        <v>59481</v>
      </c>
      <c r="I21" s="316"/>
      <c r="J21" s="316">
        <v>1057</v>
      </c>
      <c r="K21" s="316">
        <v>1226</v>
      </c>
      <c r="L21" s="316">
        <v>1840</v>
      </c>
      <c r="M21" s="316">
        <v>1733</v>
      </c>
      <c r="N21" s="316">
        <v>1820</v>
      </c>
      <c r="O21" s="316">
        <v>1531</v>
      </c>
      <c r="P21" s="316">
        <v>1548</v>
      </c>
      <c r="Q21" s="370">
        <v>1597</v>
      </c>
      <c r="R21" s="316">
        <v>1328</v>
      </c>
      <c r="S21" s="316">
        <v>1731</v>
      </c>
      <c r="T21" s="316">
        <v>1779</v>
      </c>
      <c r="U21" s="316">
        <v>1743</v>
      </c>
      <c r="V21" s="316">
        <v>1490</v>
      </c>
      <c r="W21" s="316">
        <v>1298</v>
      </c>
      <c r="X21" s="316">
        <v>1201</v>
      </c>
      <c r="Y21" s="316">
        <v>1266</v>
      </c>
      <c r="Z21" s="316">
        <v>1450</v>
      </c>
      <c r="AA21" s="316">
        <v>1554</v>
      </c>
      <c r="AB21" s="316">
        <v>1627</v>
      </c>
      <c r="AC21" s="316">
        <v>1311</v>
      </c>
      <c r="AD21" s="316">
        <v>1432</v>
      </c>
      <c r="AE21" s="316">
        <v>1486</v>
      </c>
      <c r="AF21" s="316">
        <v>1144</v>
      </c>
      <c r="AG21" s="316">
        <v>1398</v>
      </c>
      <c r="AH21" s="316">
        <v>1398</v>
      </c>
      <c r="AI21" s="316">
        <v>1687</v>
      </c>
      <c r="AJ21" s="316">
        <v>1665</v>
      </c>
      <c r="AK21" s="317">
        <v>1406</v>
      </c>
      <c r="AL21" s="338">
        <v>1366</v>
      </c>
      <c r="AM21" s="391">
        <v>1110</v>
      </c>
      <c r="AN21" s="318">
        <v>25500</v>
      </c>
      <c r="AO21" s="318">
        <v>6000</v>
      </c>
      <c r="AP21" s="318"/>
      <c r="AQ21" s="318"/>
      <c r="AR21" s="318"/>
      <c r="AS21" s="367"/>
      <c r="AT21" s="367"/>
      <c r="AU21" s="431">
        <f t="shared" si="0"/>
        <v>46759</v>
      </c>
      <c r="AV21" s="319">
        <f t="shared" si="1"/>
        <v>8855219.4199999999</v>
      </c>
      <c r="AW21" s="320"/>
      <c r="AX21" s="319">
        <f t="shared" si="2"/>
        <v>0</v>
      </c>
      <c r="AY21" s="321"/>
      <c r="AZ21" s="321"/>
      <c r="BA21" s="321"/>
      <c r="BB21" s="321"/>
    </row>
    <row r="22" spans="1:54" s="322" customFormat="1" ht="19.5" customHeight="1">
      <c r="A22" s="314" t="s">
        <v>19</v>
      </c>
      <c r="B22" s="315" t="s">
        <v>39</v>
      </c>
      <c r="C22" s="315">
        <v>207</v>
      </c>
      <c r="D22" s="316">
        <v>646</v>
      </c>
      <c r="E22" s="316">
        <f t="shared" si="3"/>
        <v>133722</v>
      </c>
      <c r="F22" s="316"/>
      <c r="G22" s="316"/>
      <c r="H22" s="450">
        <v>0</v>
      </c>
      <c r="I22" s="316"/>
      <c r="J22" s="316">
        <v>0</v>
      </c>
      <c r="K22" s="316">
        <v>0</v>
      </c>
      <c r="L22" s="316">
        <v>0</v>
      </c>
      <c r="M22" s="316">
        <v>0</v>
      </c>
      <c r="N22" s="316">
        <v>0</v>
      </c>
      <c r="O22" s="316">
        <v>0</v>
      </c>
      <c r="P22" s="316">
        <v>0</v>
      </c>
      <c r="Q22" s="370">
        <v>0</v>
      </c>
      <c r="R22" s="316">
        <v>0</v>
      </c>
      <c r="S22" s="316">
        <v>0</v>
      </c>
      <c r="T22" s="316">
        <v>0</v>
      </c>
      <c r="U22" s="316">
        <v>0</v>
      </c>
      <c r="V22" s="316">
        <v>0</v>
      </c>
      <c r="W22" s="316">
        <v>0</v>
      </c>
      <c r="X22" s="316">
        <v>0</v>
      </c>
      <c r="Y22" s="316">
        <v>0</v>
      </c>
      <c r="Z22" s="316">
        <v>0</v>
      </c>
      <c r="AA22" s="316">
        <v>0</v>
      </c>
      <c r="AB22" s="316">
        <v>0</v>
      </c>
      <c r="AC22" s="316">
        <v>0</v>
      </c>
      <c r="AD22" s="316">
        <v>0</v>
      </c>
      <c r="AE22" s="316">
        <v>0</v>
      </c>
      <c r="AF22" s="316">
        <v>0</v>
      </c>
      <c r="AG22" s="316">
        <v>0</v>
      </c>
      <c r="AH22" s="316">
        <v>0</v>
      </c>
      <c r="AI22" s="316">
        <v>0</v>
      </c>
      <c r="AJ22" s="316">
        <v>0</v>
      </c>
      <c r="AK22" s="317">
        <v>0</v>
      </c>
      <c r="AL22" s="338">
        <v>0</v>
      </c>
      <c r="AM22" s="391">
        <v>0</v>
      </c>
      <c r="AN22" s="318"/>
      <c r="AO22" s="318"/>
      <c r="AP22" s="318"/>
      <c r="AQ22" s="318"/>
      <c r="AR22" s="318"/>
      <c r="AS22" s="367"/>
      <c r="AT22" s="367"/>
      <c r="AU22" s="431">
        <f t="shared" si="0"/>
        <v>0</v>
      </c>
      <c r="AV22" s="319">
        <f t="shared" si="1"/>
        <v>0</v>
      </c>
      <c r="AW22" s="320"/>
      <c r="AX22" s="319">
        <f t="shared" si="2"/>
        <v>0</v>
      </c>
      <c r="AY22" s="321"/>
      <c r="AZ22" s="321"/>
      <c r="BA22" s="321"/>
      <c r="BB22" s="321"/>
    </row>
    <row r="23" spans="1:54" s="322" customFormat="1" ht="20.100000000000001" customHeight="1">
      <c r="A23" s="314" t="s">
        <v>20</v>
      </c>
      <c r="B23" s="315" t="s">
        <v>39</v>
      </c>
      <c r="C23" s="315">
        <v>195</v>
      </c>
      <c r="D23" s="316"/>
      <c r="E23" s="316"/>
      <c r="F23" s="316"/>
      <c r="G23" s="316"/>
      <c r="H23" s="450">
        <v>15644</v>
      </c>
      <c r="I23" s="316"/>
      <c r="J23" s="316">
        <v>13</v>
      </c>
      <c r="K23" s="316">
        <v>19</v>
      </c>
      <c r="L23" s="316">
        <v>28</v>
      </c>
      <c r="M23" s="316">
        <v>48</v>
      </c>
      <c r="N23" s="316">
        <v>65</v>
      </c>
      <c r="O23" s="316">
        <v>45</v>
      </c>
      <c r="P23" s="316">
        <v>51</v>
      </c>
      <c r="Q23" s="370">
        <v>55</v>
      </c>
      <c r="R23" s="316">
        <v>26</v>
      </c>
      <c r="S23" s="316">
        <v>39</v>
      </c>
      <c r="T23" s="316">
        <v>51</v>
      </c>
      <c r="U23" s="316">
        <v>59</v>
      </c>
      <c r="V23" s="316">
        <v>40</v>
      </c>
      <c r="W23" s="316">
        <v>26</v>
      </c>
      <c r="X23" s="316">
        <v>29</v>
      </c>
      <c r="Y23" s="316">
        <v>27</v>
      </c>
      <c r="Z23" s="316">
        <v>25</v>
      </c>
      <c r="AA23" s="316">
        <v>146</v>
      </c>
      <c r="AB23" s="316">
        <v>252</v>
      </c>
      <c r="AC23" s="316">
        <v>232</v>
      </c>
      <c r="AD23" s="316">
        <v>292</v>
      </c>
      <c r="AE23" s="316">
        <v>309</v>
      </c>
      <c r="AF23" s="316">
        <v>293</v>
      </c>
      <c r="AG23" s="316">
        <v>333</v>
      </c>
      <c r="AH23" s="316">
        <v>273</v>
      </c>
      <c r="AI23" s="316">
        <v>266</v>
      </c>
      <c r="AJ23" s="316">
        <v>128</v>
      </c>
      <c r="AK23" s="317">
        <v>122</v>
      </c>
      <c r="AL23" s="338">
        <v>98</v>
      </c>
      <c r="AM23" s="391">
        <v>63</v>
      </c>
      <c r="AN23" s="318"/>
      <c r="AO23" s="318"/>
      <c r="AP23" s="318"/>
      <c r="AQ23" s="318"/>
      <c r="AR23" s="318"/>
      <c r="AS23" s="367"/>
      <c r="AT23" s="367"/>
      <c r="AU23" s="431">
        <f t="shared" si="0"/>
        <v>12191</v>
      </c>
      <c r="AV23" s="319">
        <f t="shared" si="1"/>
        <v>2377245</v>
      </c>
      <c r="AW23" s="320"/>
      <c r="AX23" s="319">
        <f t="shared" si="2"/>
        <v>0</v>
      </c>
      <c r="AY23" s="321"/>
      <c r="AZ23" s="321"/>
      <c r="BA23" s="321"/>
      <c r="BB23" s="321"/>
    </row>
    <row r="24" spans="1:54" s="322" customFormat="1" ht="20.100000000000001" customHeight="1">
      <c r="A24" s="314" t="s">
        <v>21</v>
      </c>
      <c r="B24" s="315" t="s">
        <v>39</v>
      </c>
      <c r="C24" s="315">
        <v>359.83</v>
      </c>
      <c r="D24" s="316"/>
      <c r="E24" s="316"/>
      <c r="F24" s="316"/>
      <c r="G24" s="316"/>
      <c r="H24" s="450">
        <v>0</v>
      </c>
      <c r="I24" s="316"/>
      <c r="J24" s="316"/>
      <c r="K24" s="316"/>
      <c r="L24" s="316"/>
      <c r="M24" s="316"/>
      <c r="N24" s="316"/>
      <c r="O24" s="316"/>
      <c r="P24" s="316"/>
      <c r="Q24" s="370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  <c r="AG24" s="316"/>
      <c r="AH24" s="316"/>
      <c r="AI24" s="316"/>
      <c r="AJ24" s="316"/>
      <c r="AK24" s="317"/>
      <c r="AL24" s="338"/>
      <c r="AM24" s="391"/>
      <c r="AN24" s="318"/>
      <c r="AO24" s="318"/>
      <c r="AP24" s="318"/>
      <c r="AQ24" s="318"/>
      <c r="AR24" s="318"/>
      <c r="AS24" s="367"/>
      <c r="AT24" s="367"/>
      <c r="AU24" s="431">
        <f t="shared" si="0"/>
        <v>0</v>
      </c>
      <c r="AV24" s="319">
        <f t="shared" si="1"/>
        <v>0</v>
      </c>
      <c r="AW24" s="320"/>
      <c r="AX24" s="319">
        <f t="shared" si="2"/>
        <v>0</v>
      </c>
      <c r="AY24" s="321"/>
      <c r="AZ24" s="321"/>
      <c r="BA24" s="321"/>
      <c r="BB24" s="321"/>
    </row>
    <row r="25" spans="1:54" s="322" customFormat="1" ht="20.100000000000001" customHeight="1">
      <c r="A25" s="314" t="s">
        <v>22</v>
      </c>
      <c r="B25" s="315" t="s">
        <v>39</v>
      </c>
      <c r="C25" s="315">
        <v>379.46</v>
      </c>
      <c r="D25" s="316"/>
      <c r="E25" s="316"/>
      <c r="F25" s="316"/>
      <c r="G25" s="316"/>
      <c r="H25" s="450">
        <v>0</v>
      </c>
      <c r="I25" s="316"/>
      <c r="J25" s="316"/>
      <c r="K25" s="316"/>
      <c r="L25" s="316"/>
      <c r="M25" s="316"/>
      <c r="N25" s="316"/>
      <c r="O25" s="316"/>
      <c r="P25" s="316"/>
      <c r="Q25" s="370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7"/>
      <c r="AL25" s="338"/>
      <c r="AM25" s="391"/>
      <c r="AN25" s="318"/>
      <c r="AO25" s="318"/>
      <c r="AP25" s="318"/>
      <c r="AQ25" s="318"/>
      <c r="AR25" s="318"/>
      <c r="AS25" s="367"/>
      <c r="AT25" s="367"/>
      <c r="AU25" s="431">
        <f t="shared" si="0"/>
        <v>0</v>
      </c>
      <c r="AV25" s="319">
        <f t="shared" si="1"/>
        <v>0</v>
      </c>
      <c r="AW25" s="320"/>
      <c r="AX25" s="319">
        <f t="shared" si="2"/>
        <v>0</v>
      </c>
      <c r="AY25" s="321"/>
      <c r="AZ25" s="321"/>
      <c r="BA25" s="321"/>
      <c r="BB25" s="321"/>
    </row>
    <row r="26" spans="1:54" s="322" customFormat="1" ht="19.5" customHeight="1">
      <c r="A26" s="314" t="s">
        <v>23</v>
      </c>
      <c r="B26" s="315" t="s">
        <v>41</v>
      </c>
      <c r="C26" s="315">
        <v>35.15</v>
      </c>
      <c r="D26" s="316"/>
      <c r="E26" s="316"/>
      <c r="F26" s="316"/>
      <c r="G26" s="316"/>
      <c r="H26" s="450">
        <v>17184</v>
      </c>
      <c r="I26" s="316"/>
      <c r="J26" s="316">
        <v>187</v>
      </c>
      <c r="K26" s="316">
        <v>313</v>
      </c>
      <c r="L26" s="316">
        <v>418</v>
      </c>
      <c r="M26" s="316">
        <v>396</v>
      </c>
      <c r="N26" s="316">
        <v>318</v>
      </c>
      <c r="O26" s="316">
        <v>257</v>
      </c>
      <c r="P26" s="316">
        <v>271</v>
      </c>
      <c r="Q26" s="370">
        <v>373</v>
      </c>
      <c r="R26" s="316">
        <v>509</v>
      </c>
      <c r="S26" s="316">
        <v>692</v>
      </c>
      <c r="T26" s="316">
        <v>646</v>
      </c>
      <c r="U26" s="316">
        <v>680</v>
      </c>
      <c r="V26" s="316">
        <v>591</v>
      </c>
      <c r="W26" s="316">
        <v>481</v>
      </c>
      <c r="X26" s="316">
        <v>430</v>
      </c>
      <c r="Y26" s="316">
        <v>343</v>
      </c>
      <c r="Z26" s="316">
        <v>339</v>
      </c>
      <c r="AA26" s="316">
        <v>495</v>
      </c>
      <c r="AB26" s="316">
        <v>399</v>
      </c>
      <c r="AC26" s="316">
        <v>329</v>
      </c>
      <c r="AD26" s="316">
        <v>357</v>
      </c>
      <c r="AE26" s="316">
        <v>365</v>
      </c>
      <c r="AF26" s="316">
        <v>252</v>
      </c>
      <c r="AG26" s="316">
        <v>453</v>
      </c>
      <c r="AH26" s="316">
        <v>459</v>
      </c>
      <c r="AI26" s="316">
        <v>389</v>
      </c>
      <c r="AJ26" s="316">
        <v>416</v>
      </c>
      <c r="AK26" s="317">
        <v>405</v>
      </c>
      <c r="AL26" s="338">
        <v>413</v>
      </c>
      <c r="AM26" s="391">
        <v>284</v>
      </c>
      <c r="AN26" s="318">
        <v>2700</v>
      </c>
      <c r="AO26" s="318">
        <v>2700</v>
      </c>
      <c r="AP26" s="318"/>
      <c r="AQ26" s="318"/>
      <c r="AR26" s="318"/>
      <c r="AS26" s="367"/>
      <c r="AT26" s="367"/>
      <c r="AU26" s="431">
        <f t="shared" si="0"/>
        <v>10324</v>
      </c>
      <c r="AV26" s="319">
        <f t="shared" si="1"/>
        <v>362888.6</v>
      </c>
      <c r="AW26" s="320"/>
      <c r="AX26" s="319">
        <f t="shared" si="2"/>
        <v>0</v>
      </c>
      <c r="AY26" s="321"/>
      <c r="AZ26" s="321"/>
      <c r="BA26" s="321"/>
      <c r="BB26" s="321"/>
    </row>
    <row r="27" spans="1:54" s="322" customFormat="1" ht="20.100000000000001" customHeight="1">
      <c r="A27" s="314" t="s">
        <v>32</v>
      </c>
      <c r="B27" s="315" t="s">
        <v>41</v>
      </c>
      <c r="C27" s="315">
        <v>35.892857142857139</v>
      </c>
      <c r="D27" s="316"/>
      <c r="E27" s="316"/>
      <c r="F27" s="316"/>
      <c r="G27" s="316"/>
      <c r="H27" s="450">
        <v>16123</v>
      </c>
      <c r="I27" s="316"/>
      <c r="J27" s="316">
        <v>290</v>
      </c>
      <c r="K27" s="316">
        <v>239</v>
      </c>
      <c r="L27" s="316">
        <v>412</v>
      </c>
      <c r="M27" s="316">
        <v>358</v>
      </c>
      <c r="N27" s="316">
        <v>454</v>
      </c>
      <c r="O27" s="316">
        <v>422</v>
      </c>
      <c r="P27" s="316">
        <v>413</v>
      </c>
      <c r="Q27" s="370">
        <v>324</v>
      </c>
      <c r="R27" s="316">
        <v>85</v>
      </c>
      <c r="S27" s="316">
        <v>88</v>
      </c>
      <c r="T27" s="316">
        <v>104</v>
      </c>
      <c r="U27" s="316">
        <v>86</v>
      </c>
      <c r="V27" s="316">
        <v>90</v>
      </c>
      <c r="W27" s="316">
        <v>77</v>
      </c>
      <c r="X27" s="316">
        <v>85</v>
      </c>
      <c r="Y27" s="316">
        <v>218</v>
      </c>
      <c r="Z27" s="316">
        <v>272</v>
      </c>
      <c r="AA27" s="316">
        <v>269</v>
      </c>
      <c r="AB27" s="316">
        <v>423</v>
      </c>
      <c r="AC27" s="316">
        <v>364</v>
      </c>
      <c r="AD27" s="316">
        <v>387</v>
      </c>
      <c r="AE27" s="316">
        <v>437</v>
      </c>
      <c r="AF27" s="316">
        <v>384</v>
      </c>
      <c r="AG27" s="316">
        <v>333</v>
      </c>
      <c r="AH27" s="316">
        <v>314</v>
      </c>
      <c r="AI27" s="316">
        <v>452</v>
      </c>
      <c r="AJ27" s="316">
        <v>448</v>
      </c>
      <c r="AK27" s="317">
        <v>322</v>
      </c>
      <c r="AL27" s="338">
        <v>292</v>
      </c>
      <c r="AM27" s="391">
        <v>282</v>
      </c>
      <c r="AN27" s="318">
        <v>3000</v>
      </c>
      <c r="AO27" s="318">
        <v>3000</v>
      </c>
      <c r="AP27" s="318"/>
      <c r="AQ27" s="318"/>
      <c r="AR27" s="318"/>
      <c r="AS27" s="367"/>
      <c r="AT27" s="367"/>
      <c r="AU27" s="431">
        <f t="shared" si="0"/>
        <v>13399</v>
      </c>
      <c r="AV27" s="319">
        <f t="shared" si="1"/>
        <v>480928.39285714278</v>
      </c>
      <c r="AW27" s="320"/>
      <c r="AX27" s="319">
        <f t="shared" si="2"/>
        <v>0</v>
      </c>
      <c r="AY27" s="321"/>
      <c r="AZ27" s="321"/>
      <c r="BA27" s="321"/>
      <c r="BB27" s="321"/>
    </row>
    <row r="28" spans="1:54" s="322" customFormat="1" ht="20.100000000000001" customHeight="1">
      <c r="A28" s="314" t="s">
        <v>540</v>
      </c>
      <c r="B28" s="315" t="s">
        <v>41</v>
      </c>
      <c r="C28" s="315">
        <v>37.5</v>
      </c>
      <c r="D28" s="316"/>
      <c r="E28" s="316"/>
      <c r="F28" s="316"/>
      <c r="G28" s="316"/>
      <c r="H28" s="450">
        <v>0</v>
      </c>
      <c r="I28" s="316"/>
      <c r="J28" s="316">
        <v>0</v>
      </c>
      <c r="K28" s="316">
        <v>0</v>
      </c>
      <c r="L28" s="316">
        <v>0</v>
      </c>
      <c r="M28" s="316">
        <v>0</v>
      </c>
      <c r="N28" s="316">
        <v>0</v>
      </c>
      <c r="O28" s="316">
        <v>0</v>
      </c>
      <c r="P28" s="316">
        <v>0</v>
      </c>
      <c r="Q28" s="370">
        <v>0</v>
      </c>
      <c r="R28" s="316">
        <v>0</v>
      </c>
      <c r="S28" s="316">
        <v>0</v>
      </c>
      <c r="T28" s="316">
        <v>0</v>
      </c>
      <c r="U28" s="316">
        <v>0</v>
      </c>
      <c r="V28" s="316">
        <v>0</v>
      </c>
      <c r="W28" s="316">
        <v>0</v>
      </c>
      <c r="X28" s="316">
        <v>0</v>
      </c>
      <c r="Y28" s="316">
        <v>0</v>
      </c>
      <c r="Z28" s="316">
        <v>0</v>
      </c>
      <c r="AA28" s="316">
        <v>0</v>
      </c>
      <c r="AB28" s="316">
        <v>0</v>
      </c>
      <c r="AC28" s="316">
        <v>0</v>
      </c>
      <c r="AD28" s="316">
        <v>0</v>
      </c>
      <c r="AE28" s="316">
        <v>0</v>
      </c>
      <c r="AF28" s="316">
        <v>0</v>
      </c>
      <c r="AG28" s="316">
        <v>0</v>
      </c>
      <c r="AH28" s="316">
        <v>0</v>
      </c>
      <c r="AI28" s="316">
        <v>0</v>
      </c>
      <c r="AJ28" s="316">
        <v>0</v>
      </c>
      <c r="AK28" s="317">
        <v>0</v>
      </c>
      <c r="AL28" s="338">
        <v>0</v>
      </c>
      <c r="AM28" s="391">
        <v>0</v>
      </c>
      <c r="AN28" s="318"/>
      <c r="AO28" s="318"/>
      <c r="AP28" s="318"/>
      <c r="AQ28" s="318"/>
      <c r="AR28" s="318"/>
      <c r="AS28" s="367"/>
      <c r="AT28" s="367"/>
      <c r="AU28" s="431">
        <f t="shared" si="0"/>
        <v>0</v>
      </c>
      <c r="AV28" s="319">
        <f t="shared" si="1"/>
        <v>0</v>
      </c>
      <c r="AW28" s="320"/>
      <c r="AX28" s="319">
        <f t="shared" si="2"/>
        <v>0</v>
      </c>
      <c r="AY28" s="321"/>
      <c r="AZ28" s="321"/>
      <c r="BA28" s="321"/>
      <c r="BB28" s="321"/>
    </row>
    <row r="29" spans="1:54" s="322" customFormat="1" ht="20.100000000000001" customHeight="1">
      <c r="A29" s="314" t="s">
        <v>24</v>
      </c>
      <c r="B29" s="315" t="s">
        <v>41</v>
      </c>
      <c r="C29" s="315">
        <v>81.900000000000006</v>
      </c>
      <c r="D29" s="316">
        <v>1060</v>
      </c>
      <c r="E29" s="316">
        <f t="shared" si="3"/>
        <v>86814</v>
      </c>
      <c r="F29" s="316"/>
      <c r="G29" s="316"/>
      <c r="H29" s="450">
        <v>0</v>
      </c>
      <c r="I29" s="316"/>
      <c r="J29" s="316"/>
      <c r="K29" s="316"/>
      <c r="L29" s="316"/>
      <c r="M29" s="316"/>
      <c r="N29" s="316"/>
      <c r="O29" s="316"/>
      <c r="P29" s="316"/>
      <c r="Q29" s="370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7"/>
      <c r="AL29" s="338"/>
      <c r="AM29" s="391"/>
      <c r="AN29" s="318"/>
      <c r="AO29" s="318"/>
      <c r="AP29" s="318"/>
      <c r="AQ29" s="318"/>
      <c r="AR29" s="318"/>
      <c r="AS29" s="367"/>
      <c r="AT29" s="367"/>
      <c r="AU29" s="431">
        <f t="shared" si="0"/>
        <v>0</v>
      </c>
      <c r="AV29" s="319">
        <f t="shared" si="1"/>
        <v>0</v>
      </c>
      <c r="AW29" s="316"/>
      <c r="AX29" s="319">
        <f t="shared" si="2"/>
        <v>0</v>
      </c>
      <c r="AY29" s="321"/>
      <c r="AZ29" s="321"/>
      <c r="BA29" s="321"/>
      <c r="BB29" s="321"/>
    </row>
    <row r="30" spans="1:54" s="322" customFormat="1" ht="20.100000000000001" customHeight="1">
      <c r="A30" s="314" t="s">
        <v>25</v>
      </c>
      <c r="B30" s="315" t="s">
        <v>41</v>
      </c>
      <c r="C30" s="315">
        <v>7.5</v>
      </c>
      <c r="D30" s="316"/>
      <c r="E30" s="316"/>
      <c r="F30" s="316"/>
      <c r="G30" s="316"/>
      <c r="H30" s="450">
        <v>2275</v>
      </c>
      <c r="I30" s="316"/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70">
        <v>0</v>
      </c>
      <c r="R30" s="316">
        <v>0</v>
      </c>
      <c r="S30" s="316">
        <v>30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Z30" s="316">
        <v>0</v>
      </c>
      <c r="AA30" s="316">
        <v>0</v>
      </c>
      <c r="AB30" s="316">
        <v>0</v>
      </c>
      <c r="AC30" s="316">
        <v>300</v>
      </c>
      <c r="AD30" s="316">
        <v>0</v>
      </c>
      <c r="AE30" s="316">
        <v>0</v>
      </c>
      <c r="AF30" s="316">
        <v>0</v>
      </c>
      <c r="AG30" s="316">
        <v>0</v>
      </c>
      <c r="AH30" s="316">
        <v>0</v>
      </c>
      <c r="AI30" s="316">
        <v>0</v>
      </c>
      <c r="AJ30" s="316">
        <v>0</v>
      </c>
      <c r="AK30" s="317">
        <v>0</v>
      </c>
      <c r="AL30" s="338">
        <v>0</v>
      </c>
      <c r="AM30" s="391">
        <v>0</v>
      </c>
      <c r="AN30" s="318"/>
      <c r="AO30" s="318"/>
      <c r="AP30" s="318"/>
      <c r="AQ30" s="318"/>
      <c r="AR30" s="318"/>
      <c r="AS30" s="367"/>
      <c r="AT30" s="367"/>
      <c r="AU30" s="431">
        <f t="shared" si="0"/>
        <v>1945</v>
      </c>
      <c r="AV30" s="319">
        <f t="shared" si="1"/>
        <v>14587.5</v>
      </c>
      <c r="AW30" s="316"/>
      <c r="AX30" s="319">
        <f t="shared" si="2"/>
        <v>0</v>
      </c>
      <c r="AY30" s="321"/>
      <c r="AZ30" s="321"/>
      <c r="BA30" s="321"/>
      <c r="BB30" s="321"/>
    </row>
    <row r="31" spans="1:54" s="322" customFormat="1" ht="20.100000000000001" customHeight="1" thickBot="1">
      <c r="A31" s="314" t="s">
        <v>26</v>
      </c>
      <c r="B31" s="315" t="s">
        <v>39</v>
      </c>
      <c r="C31" s="315">
        <v>267.18</v>
      </c>
      <c r="D31" s="316"/>
      <c r="E31" s="316"/>
      <c r="F31" s="316"/>
      <c r="G31" s="316"/>
      <c r="H31" s="450">
        <v>322</v>
      </c>
      <c r="I31" s="316"/>
      <c r="J31" s="316">
        <v>4</v>
      </c>
      <c r="K31" s="316">
        <v>8</v>
      </c>
      <c r="L31" s="316">
        <v>4</v>
      </c>
      <c r="M31" s="316">
        <v>8</v>
      </c>
      <c r="N31" s="316">
        <v>6</v>
      </c>
      <c r="O31" s="316">
        <v>8</v>
      </c>
      <c r="P31" s="316">
        <v>2</v>
      </c>
      <c r="Q31" s="370">
        <v>6</v>
      </c>
      <c r="R31" s="316">
        <v>4</v>
      </c>
      <c r="S31" s="316">
        <v>2</v>
      </c>
      <c r="T31" s="316">
        <v>6</v>
      </c>
      <c r="U31" s="316">
        <v>4</v>
      </c>
      <c r="V31" s="316">
        <v>6</v>
      </c>
      <c r="W31" s="316">
        <v>4</v>
      </c>
      <c r="X31" s="316">
        <v>2</v>
      </c>
      <c r="Y31" s="316">
        <v>0</v>
      </c>
      <c r="Z31" s="316">
        <v>2</v>
      </c>
      <c r="AA31" s="316">
        <v>2</v>
      </c>
      <c r="AB31" s="316">
        <v>0</v>
      </c>
      <c r="AC31" s="316">
        <v>4</v>
      </c>
      <c r="AD31" s="316">
        <v>4</v>
      </c>
      <c r="AE31" s="316">
        <v>6</v>
      </c>
      <c r="AF31" s="316">
        <v>4</v>
      </c>
      <c r="AG31" s="316">
        <v>6</v>
      </c>
      <c r="AH31" s="316">
        <v>6</v>
      </c>
      <c r="AI31" s="316">
        <v>4</v>
      </c>
      <c r="AJ31" s="316">
        <v>4</v>
      </c>
      <c r="AK31" s="317">
        <v>4</v>
      </c>
      <c r="AL31" s="338">
        <v>6</v>
      </c>
      <c r="AM31" s="391">
        <v>2</v>
      </c>
      <c r="AN31" s="318">
        <v>80</v>
      </c>
      <c r="AO31" s="318"/>
      <c r="AP31" s="318"/>
      <c r="AQ31" s="318"/>
      <c r="AR31" s="318"/>
      <c r="AS31" s="367"/>
      <c r="AT31" s="367"/>
      <c r="AU31" s="431">
        <f t="shared" si="0"/>
        <v>274</v>
      </c>
      <c r="AV31" s="319">
        <f t="shared" si="1"/>
        <v>73207.320000000007</v>
      </c>
      <c r="AW31" s="316"/>
      <c r="AX31" s="319">
        <f t="shared" si="2"/>
        <v>0</v>
      </c>
      <c r="AY31" s="364"/>
      <c r="AZ31" s="321"/>
      <c r="BA31" s="321"/>
      <c r="BB31" s="321"/>
    </row>
    <row r="32" spans="1:54" s="322" customFormat="1" ht="42.75" customHeight="1" thickBot="1">
      <c r="A32" s="314"/>
      <c r="B32" s="315"/>
      <c r="C32" s="315"/>
      <c r="D32" s="325" t="s">
        <v>27</v>
      </c>
      <c r="E32" s="326">
        <f>SUM(E9:E31)</f>
        <v>447058.14285714284</v>
      </c>
      <c r="F32" s="316"/>
      <c r="G32" s="316"/>
      <c r="H32" s="316"/>
      <c r="I32" s="316">
        <f>SUM(I9:I31)</f>
        <v>0</v>
      </c>
      <c r="J32" s="316">
        <f>SUM(J9:J31)</f>
        <v>4686.57</v>
      </c>
      <c r="K32" s="316">
        <f t="shared" ref="K32:M32" si="4">SUM(K9:K31)</f>
        <v>5536.1900000000005</v>
      </c>
      <c r="L32" s="316">
        <f t="shared" si="4"/>
        <v>7963.12</v>
      </c>
      <c r="M32" s="316">
        <f t="shared" si="4"/>
        <v>7346.17</v>
      </c>
      <c r="N32" s="316">
        <f>SUM(N9:N31)</f>
        <v>7838.25</v>
      </c>
      <c r="O32" s="316">
        <f t="shared" ref="O32:T32" si="5">SUM(O9:O31)</f>
        <v>6615</v>
      </c>
      <c r="P32" s="316">
        <f t="shared" si="5"/>
        <v>6817.43</v>
      </c>
      <c r="Q32" s="316">
        <f t="shared" si="5"/>
        <v>7134.9000000000005</v>
      </c>
      <c r="R32" s="316">
        <f t="shared" si="5"/>
        <v>5738.08</v>
      </c>
      <c r="S32" s="316">
        <f t="shared" si="5"/>
        <v>7517.13</v>
      </c>
      <c r="T32" s="316">
        <f t="shared" si="5"/>
        <v>7817.0199999999995</v>
      </c>
      <c r="U32" s="316">
        <f>SUM(U9:U31)</f>
        <v>7782.0400000000009</v>
      </c>
      <c r="V32" s="316">
        <f t="shared" ref="V32:AA32" si="6">SUM(V9:V31)</f>
        <v>6514.5199999999995</v>
      </c>
      <c r="W32" s="316">
        <f t="shared" si="6"/>
        <v>5621.51</v>
      </c>
      <c r="X32" s="316">
        <f t="shared" si="6"/>
        <v>5219.87</v>
      </c>
      <c r="Y32" s="316">
        <f t="shared" si="6"/>
        <v>5658.5599999999995</v>
      </c>
      <c r="Z32" s="316">
        <f t="shared" si="6"/>
        <v>6128.01</v>
      </c>
      <c r="AA32" s="316">
        <f t="shared" si="6"/>
        <v>7338.76</v>
      </c>
      <c r="AB32" s="316">
        <f>SUM(AB9:AB31)</f>
        <v>8084.58</v>
      </c>
      <c r="AC32" s="316">
        <f t="shared" ref="AC32:AH32" si="7">SUM(AC9:AC31)</f>
        <v>6912.67</v>
      </c>
      <c r="AD32" s="316">
        <f t="shared" si="7"/>
        <v>7247.72</v>
      </c>
      <c r="AE32" s="316">
        <f t="shared" si="7"/>
        <v>7879.49</v>
      </c>
      <c r="AF32" s="316">
        <f t="shared" si="7"/>
        <v>6157.3899999999994</v>
      </c>
      <c r="AG32" s="316">
        <f t="shared" si="7"/>
        <v>7322.94</v>
      </c>
      <c r="AH32" s="316">
        <f t="shared" si="7"/>
        <v>7375.0199999999995</v>
      </c>
      <c r="AI32" s="316">
        <f>SUM(AI9:AI31)</f>
        <v>8594.68</v>
      </c>
      <c r="AJ32" s="316">
        <f>SUM(AJ9:AJ31)</f>
        <v>7723.66</v>
      </c>
      <c r="AK32" s="316">
        <f>SUM(AK9:AK31)</f>
        <v>7216.3</v>
      </c>
      <c r="AL32" s="316">
        <f>SUM(AL9:AL31)</f>
        <v>6660.05</v>
      </c>
      <c r="AM32" s="316">
        <f>SUM(AM9:AM31)</f>
        <v>5374.73</v>
      </c>
      <c r="AN32" s="318"/>
      <c r="AO32" s="318"/>
      <c r="AP32" s="318"/>
      <c r="AQ32" s="318"/>
      <c r="AR32" s="318"/>
      <c r="AS32" s="367"/>
      <c r="AT32" s="367"/>
      <c r="AU32" s="327" t="s">
        <v>712</v>
      </c>
      <c r="AV32" s="526">
        <f>SUM(AV9:AV31)</f>
        <v>31451671.448371433</v>
      </c>
      <c r="AW32" s="327" t="s">
        <v>605</v>
      </c>
      <c r="AX32" s="328">
        <f>SUM(AX9:AX31)</f>
        <v>0</v>
      </c>
      <c r="AY32" s="324">
        <f>AV32+AX32</f>
        <v>31451671.448371433</v>
      </c>
      <c r="AZ32" s="321"/>
    </row>
    <row r="33" spans="11:51">
      <c r="AV33" s="329"/>
      <c r="AW33" s="330"/>
      <c r="AX33" s="380"/>
      <c r="AY33" s="331"/>
    </row>
    <row r="34" spans="11:51">
      <c r="AV34" s="329"/>
      <c r="AX34" s="331"/>
    </row>
    <row r="35" spans="11:51"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AY35" s="331"/>
    </row>
    <row r="36" spans="11:51">
      <c r="U36" s="330"/>
    </row>
    <row r="38" spans="11:51">
      <c r="AO38" s="452"/>
    </row>
    <row r="39" spans="11:51">
      <c r="AO39" s="452"/>
    </row>
  </sheetData>
  <mergeCells count="8">
    <mergeCell ref="D7:E7"/>
    <mergeCell ref="A3:AW3"/>
    <mergeCell ref="A5:AX5"/>
    <mergeCell ref="A6:F6"/>
    <mergeCell ref="I6:AM6"/>
    <mergeCell ref="AN6:AR6"/>
    <mergeCell ref="AU6:AV6"/>
    <mergeCell ref="AS6:AT6"/>
  </mergeCells>
  <pageMargins left="0.39370078740157483" right="0.39370078740157483" top="0.39370078740157483" bottom="0.39370078740157483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6"/>
  <sheetViews>
    <sheetView zoomScale="95" zoomScaleNormal="95" workbookViewId="0">
      <selection activeCell="W14" sqref="W14"/>
    </sheetView>
  </sheetViews>
  <sheetFormatPr defaultRowHeight="15"/>
  <cols>
    <col min="1" max="1" width="18.28515625" bestFit="1" customWidth="1"/>
    <col min="2" max="2" width="8" customWidth="1"/>
    <col min="4" max="4" width="18.7109375" customWidth="1"/>
    <col min="5" max="6" width="11.7109375" customWidth="1"/>
    <col min="7" max="10" width="9.5703125" customWidth="1"/>
    <col min="11" max="11" width="9.7109375" customWidth="1"/>
    <col min="12" max="13" width="9.5703125" customWidth="1"/>
    <col min="14" max="14" width="18.42578125" customWidth="1"/>
    <col min="15" max="15" width="11.140625" customWidth="1"/>
    <col min="16" max="16" width="11.7109375" bestFit="1" customWidth="1"/>
    <col min="17" max="17" width="15.42578125" customWidth="1"/>
    <col min="18" max="18" width="11.5703125" bestFit="1" customWidth="1"/>
  </cols>
  <sheetData>
    <row r="1" spans="1:26" ht="20.25">
      <c r="A1" s="10" t="str">
        <f>'EXPEDITION '!B3</f>
        <v>DATE: MAY 31,2026</v>
      </c>
    </row>
    <row r="2" spans="1:26" ht="20.25">
      <c r="A2" s="8"/>
      <c r="D2" s="387"/>
      <c r="E2" s="388"/>
    </row>
    <row r="3" spans="1:26" ht="82.5">
      <c r="A3" s="33" t="s">
        <v>9</v>
      </c>
      <c r="B3" s="33" t="s">
        <v>36</v>
      </c>
      <c r="C3" s="34" t="s">
        <v>37</v>
      </c>
      <c r="D3" s="34" t="s">
        <v>715</v>
      </c>
      <c r="E3" s="34" t="s">
        <v>66</v>
      </c>
      <c r="F3" s="34" t="s">
        <v>68</v>
      </c>
      <c r="G3" s="34" t="s">
        <v>545</v>
      </c>
      <c r="H3" s="34" t="s">
        <v>533</v>
      </c>
      <c r="I3" s="34" t="s">
        <v>532</v>
      </c>
      <c r="J3" s="34" t="s">
        <v>73</v>
      </c>
      <c r="K3" s="34" t="s">
        <v>74</v>
      </c>
      <c r="L3" s="34" t="s">
        <v>534</v>
      </c>
      <c r="M3" s="34" t="s">
        <v>594</v>
      </c>
      <c r="N3" s="34" t="s">
        <v>716</v>
      </c>
      <c r="O3" s="34" t="s">
        <v>75</v>
      </c>
      <c r="P3" s="34" t="s">
        <v>27</v>
      </c>
      <c r="Q3" s="34" t="str">
        <f>'INVENTORY-MAY'!AW7</f>
        <v xml:space="preserve">TO BE WITHDRAWN FROM SUPPLIER MAGAZINE ON             </v>
      </c>
      <c r="R3" s="34" t="s">
        <v>27</v>
      </c>
    </row>
    <row r="4" spans="1:26" s="39" customFormat="1" ht="16.5">
      <c r="A4" s="35" t="s">
        <v>76</v>
      </c>
      <c r="B4" s="36"/>
      <c r="C4" s="36"/>
      <c r="D4" s="31"/>
      <c r="E4" s="31"/>
      <c r="F4" s="31"/>
      <c r="G4" s="78"/>
      <c r="H4" s="31"/>
      <c r="I4" s="31"/>
      <c r="J4" s="31"/>
      <c r="K4" s="31"/>
      <c r="L4" s="31"/>
      <c r="M4" s="31"/>
      <c r="N4" s="31"/>
      <c r="O4" s="31"/>
      <c r="P4" s="37"/>
      <c r="Q4" s="38"/>
      <c r="R4" s="38"/>
    </row>
    <row r="5" spans="1:26">
      <c r="A5" s="61">
        <v>1</v>
      </c>
      <c r="B5" s="36" t="s">
        <v>39</v>
      </c>
      <c r="C5" s="36">
        <v>189.38</v>
      </c>
      <c r="D5" s="455">
        <v>750</v>
      </c>
      <c r="E5" s="40">
        <v>18</v>
      </c>
      <c r="F5" s="40"/>
      <c r="G5" s="40">
        <v>282</v>
      </c>
      <c r="H5" s="40">
        <v>518</v>
      </c>
      <c r="I5" s="40">
        <v>470</v>
      </c>
      <c r="J5" s="40">
        <v>454</v>
      </c>
      <c r="K5" s="434"/>
      <c r="L5" s="40">
        <v>349</v>
      </c>
      <c r="M5" s="40">
        <v>117</v>
      </c>
      <c r="N5" s="40">
        <f>SUM(E5:M5)</f>
        <v>2208</v>
      </c>
      <c r="O5" s="40">
        <f t="shared" ref="O5:O19" si="0">N5+D5</f>
        <v>2958</v>
      </c>
      <c r="P5" s="40">
        <f t="shared" ref="P5:P19" si="1">C5*O5</f>
        <v>560186.04</v>
      </c>
      <c r="Q5" s="40"/>
      <c r="R5" s="40">
        <f t="shared" ref="R5:R18" si="2">C5*Q5</f>
        <v>0</v>
      </c>
      <c r="S5" s="59"/>
      <c r="T5" s="59"/>
      <c r="U5" s="59"/>
      <c r="V5" s="59"/>
      <c r="W5" s="59"/>
      <c r="X5" s="59"/>
      <c r="Y5" s="59"/>
      <c r="Z5" s="59"/>
    </row>
    <row r="6" spans="1:26">
      <c r="A6" s="61">
        <v>2</v>
      </c>
      <c r="B6" s="36" t="s">
        <v>39</v>
      </c>
      <c r="C6" s="36">
        <v>189.38</v>
      </c>
      <c r="D6" s="455">
        <v>250</v>
      </c>
      <c r="E6" s="433">
        <v>197</v>
      </c>
      <c r="F6" s="40"/>
      <c r="G6" s="40">
        <v>278</v>
      </c>
      <c r="H6" s="40">
        <v>543</v>
      </c>
      <c r="I6" s="40">
        <v>486</v>
      </c>
      <c r="J6" s="40">
        <v>327</v>
      </c>
      <c r="K6" s="434"/>
      <c r="L6" s="40">
        <v>431</v>
      </c>
      <c r="M6" s="79">
        <v>228</v>
      </c>
      <c r="N6" s="40">
        <f t="shared" ref="N6:N19" si="3">SUM(E6:M6)</f>
        <v>2490</v>
      </c>
      <c r="O6" s="40">
        <f t="shared" si="0"/>
        <v>2740</v>
      </c>
      <c r="P6" s="40">
        <f t="shared" si="1"/>
        <v>518901.2</v>
      </c>
      <c r="Q6" s="40"/>
      <c r="R6" s="40">
        <f t="shared" si="2"/>
        <v>0</v>
      </c>
      <c r="S6" s="59"/>
      <c r="T6" s="59"/>
      <c r="U6" s="59"/>
      <c r="V6" s="59"/>
      <c r="W6" s="59"/>
      <c r="X6" s="59"/>
      <c r="Y6" s="59"/>
      <c r="Z6" s="59"/>
    </row>
    <row r="7" spans="1:26">
      <c r="A7" s="61">
        <v>3</v>
      </c>
      <c r="B7" s="36" t="s">
        <v>39</v>
      </c>
      <c r="C7" s="36">
        <v>189.38</v>
      </c>
      <c r="D7" s="455">
        <v>750</v>
      </c>
      <c r="E7" s="40">
        <v>186</v>
      </c>
      <c r="F7" s="40"/>
      <c r="G7" s="40">
        <v>278</v>
      </c>
      <c r="H7" s="40">
        <v>525</v>
      </c>
      <c r="I7" s="40">
        <v>467</v>
      </c>
      <c r="J7" s="40">
        <v>506</v>
      </c>
      <c r="K7" s="434"/>
      <c r="L7" s="40">
        <v>376</v>
      </c>
      <c r="M7" s="40">
        <v>59</v>
      </c>
      <c r="N7" s="40">
        <f t="shared" si="3"/>
        <v>2397</v>
      </c>
      <c r="O7" s="40">
        <f t="shared" si="0"/>
        <v>3147</v>
      </c>
      <c r="P7" s="40">
        <f t="shared" si="1"/>
        <v>595978.86</v>
      </c>
      <c r="Q7" s="40"/>
      <c r="R7" s="40">
        <f t="shared" si="2"/>
        <v>0</v>
      </c>
      <c r="S7" s="59"/>
      <c r="T7" s="59"/>
      <c r="U7" s="59"/>
      <c r="V7" s="59"/>
      <c r="W7" s="59"/>
      <c r="X7" s="59"/>
      <c r="Y7" s="59"/>
      <c r="Z7" s="59"/>
    </row>
    <row r="8" spans="1:26" ht="14.25" customHeight="1">
      <c r="A8" s="61">
        <v>4</v>
      </c>
      <c r="B8" s="36" t="s">
        <v>39</v>
      </c>
      <c r="C8" s="36">
        <v>189.38</v>
      </c>
      <c r="D8" s="456">
        <v>500</v>
      </c>
      <c r="E8" s="40">
        <v>96</v>
      </c>
      <c r="F8" s="40"/>
      <c r="G8" s="40">
        <v>274</v>
      </c>
      <c r="H8" s="40">
        <v>583</v>
      </c>
      <c r="I8" s="40">
        <v>424</v>
      </c>
      <c r="J8" s="40">
        <v>494</v>
      </c>
      <c r="K8" s="434"/>
      <c r="L8" s="40">
        <v>427</v>
      </c>
      <c r="M8" s="40">
        <v>3</v>
      </c>
      <c r="N8" s="40">
        <f t="shared" si="3"/>
        <v>2301</v>
      </c>
      <c r="O8" s="40">
        <f t="shared" si="0"/>
        <v>2801</v>
      </c>
      <c r="P8" s="40">
        <f t="shared" si="1"/>
        <v>530453.38</v>
      </c>
      <c r="Q8" s="40"/>
      <c r="R8" s="40">
        <f t="shared" si="2"/>
        <v>0</v>
      </c>
      <c r="S8" s="59"/>
      <c r="T8" s="59"/>
      <c r="U8" s="59"/>
      <c r="V8" s="59"/>
      <c r="W8" s="59"/>
      <c r="X8" s="59"/>
      <c r="Y8" s="59"/>
      <c r="Z8" s="59"/>
    </row>
    <row r="9" spans="1:26" ht="15.75" customHeight="1">
      <c r="A9" s="61">
        <v>5</v>
      </c>
      <c r="B9" s="36" t="s">
        <v>39</v>
      </c>
      <c r="C9" s="36">
        <v>189.38</v>
      </c>
      <c r="D9" s="455">
        <v>410</v>
      </c>
      <c r="E9" s="40">
        <v>170</v>
      </c>
      <c r="F9" s="40"/>
      <c r="G9" s="40">
        <v>270</v>
      </c>
      <c r="H9" s="40">
        <v>344</v>
      </c>
      <c r="I9" s="40">
        <v>386</v>
      </c>
      <c r="J9" s="40">
        <v>265</v>
      </c>
      <c r="K9" s="434"/>
      <c r="L9" s="40">
        <v>541</v>
      </c>
      <c r="M9" s="40">
        <v>116</v>
      </c>
      <c r="N9" s="40">
        <f t="shared" si="3"/>
        <v>2092</v>
      </c>
      <c r="O9" s="40">
        <f t="shared" si="0"/>
        <v>2502</v>
      </c>
      <c r="P9" s="40">
        <f t="shared" si="1"/>
        <v>473828.76</v>
      </c>
      <c r="Q9" s="40"/>
      <c r="R9" s="40">
        <f t="shared" si="2"/>
        <v>0</v>
      </c>
      <c r="S9" s="59"/>
      <c r="T9" s="59"/>
      <c r="U9" s="59"/>
      <c r="V9" s="59"/>
      <c r="W9" s="59"/>
      <c r="X9" s="59"/>
      <c r="Y9" s="59"/>
      <c r="Z9" s="59"/>
    </row>
    <row r="10" spans="1:26">
      <c r="A10" s="61">
        <v>6</v>
      </c>
      <c r="B10" s="36" t="s">
        <v>39</v>
      </c>
      <c r="C10" s="36">
        <v>189.38</v>
      </c>
      <c r="D10" s="457">
        <v>410</v>
      </c>
      <c r="E10" s="40">
        <v>167</v>
      </c>
      <c r="F10" s="40"/>
      <c r="G10" s="40">
        <v>270</v>
      </c>
      <c r="H10" s="40">
        <v>492</v>
      </c>
      <c r="I10" s="40">
        <v>367</v>
      </c>
      <c r="J10" s="40">
        <v>335</v>
      </c>
      <c r="K10" s="434"/>
      <c r="L10" s="40">
        <v>455</v>
      </c>
      <c r="M10" s="40">
        <v>191</v>
      </c>
      <c r="N10" s="40">
        <f t="shared" si="3"/>
        <v>2277</v>
      </c>
      <c r="O10" s="40">
        <f t="shared" si="0"/>
        <v>2687</v>
      </c>
      <c r="P10" s="40">
        <f t="shared" si="1"/>
        <v>508864.06</v>
      </c>
      <c r="Q10" s="40"/>
      <c r="R10" s="40">
        <f t="shared" si="2"/>
        <v>0</v>
      </c>
      <c r="S10" s="59"/>
      <c r="T10" s="59"/>
      <c r="U10" s="59"/>
      <c r="V10" s="59"/>
      <c r="W10" s="59"/>
      <c r="X10" s="59"/>
      <c r="Y10" s="59"/>
      <c r="Z10" s="59"/>
    </row>
    <row r="11" spans="1:26">
      <c r="A11" s="61">
        <v>7</v>
      </c>
      <c r="B11" s="36" t="s">
        <v>39</v>
      </c>
      <c r="C11" s="36">
        <v>189.38</v>
      </c>
      <c r="D11" s="457">
        <v>850</v>
      </c>
      <c r="E11" s="40">
        <v>162</v>
      </c>
      <c r="F11" s="40"/>
      <c r="G11" s="40">
        <v>20</v>
      </c>
      <c r="H11" s="40">
        <v>250</v>
      </c>
      <c r="I11" s="40">
        <v>344</v>
      </c>
      <c r="J11" s="40">
        <v>295</v>
      </c>
      <c r="K11" s="434"/>
      <c r="L11" s="40">
        <v>392</v>
      </c>
      <c r="M11" s="40">
        <v>251</v>
      </c>
      <c r="N11" s="40">
        <f t="shared" si="3"/>
        <v>1714</v>
      </c>
      <c r="O11" s="40">
        <f t="shared" si="0"/>
        <v>2564</v>
      </c>
      <c r="P11" s="40">
        <f t="shared" si="1"/>
        <v>485570.32</v>
      </c>
      <c r="Q11" s="40"/>
      <c r="R11" s="40">
        <f t="shared" si="2"/>
        <v>0</v>
      </c>
      <c r="S11" s="59"/>
      <c r="T11" s="59"/>
      <c r="U11" s="59"/>
      <c r="V11" s="59"/>
      <c r="W11" s="59"/>
      <c r="X11" s="59"/>
      <c r="Y11" s="59"/>
      <c r="Z11" s="59"/>
    </row>
    <row r="12" spans="1:26">
      <c r="A12" s="61">
        <v>8</v>
      </c>
      <c r="B12" s="36" t="s">
        <v>39</v>
      </c>
      <c r="C12" s="36">
        <v>189.38</v>
      </c>
      <c r="D12" s="457">
        <v>360</v>
      </c>
      <c r="E12" s="79">
        <v>163</v>
      </c>
      <c r="F12" s="40"/>
      <c r="G12" s="40">
        <v>20</v>
      </c>
      <c r="H12" s="40">
        <v>250</v>
      </c>
      <c r="I12" s="40">
        <v>371</v>
      </c>
      <c r="J12" s="40">
        <v>378</v>
      </c>
      <c r="K12" s="434"/>
      <c r="L12" s="40">
        <v>562</v>
      </c>
      <c r="M12" s="40">
        <v>67</v>
      </c>
      <c r="N12" s="40">
        <f t="shared" si="3"/>
        <v>1811</v>
      </c>
      <c r="O12" s="40">
        <f t="shared" si="0"/>
        <v>2171</v>
      </c>
      <c r="P12" s="40">
        <f t="shared" si="1"/>
        <v>411143.98</v>
      </c>
      <c r="Q12" s="40"/>
      <c r="R12" s="40">
        <f t="shared" si="2"/>
        <v>0</v>
      </c>
      <c r="S12" s="59"/>
      <c r="T12" s="59"/>
      <c r="U12" s="59"/>
      <c r="V12" s="59"/>
      <c r="W12" s="59"/>
      <c r="X12" s="59"/>
      <c r="Y12" s="59"/>
      <c r="Z12" s="59"/>
    </row>
    <row r="13" spans="1:26">
      <c r="A13" s="61">
        <v>9</v>
      </c>
      <c r="B13" s="36" t="s">
        <v>39</v>
      </c>
      <c r="C13" s="36">
        <v>189.38</v>
      </c>
      <c r="D13" s="457">
        <v>90</v>
      </c>
      <c r="E13" s="40">
        <v>282</v>
      </c>
      <c r="F13" s="40"/>
      <c r="G13" s="40">
        <v>272</v>
      </c>
      <c r="H13" s="79">
        <v>511</v>
      </c>
      <c r="I13" s="40">
        <v>159</v>
      </c>
      <c r="J13" s="40">
        <v>337</v>
      </c>
      <c r="K13" s="434"/>
      <c r="L13" s="40">
        <v>540</v>
      </c>
      <c r="M13" s="40">
        <v>57</v>
      </c>
      <c r="N13" s="40">
        <f t="shared" si="3"/>
        <v>2158</v>
      </c>
      <c r="O13" s="40">
        <f t="shared" si="0"/>
        <v>2248</v>
      </c>
      <c r="P13" s="40">
        <f t="shared" si="1"/>
        <v>425726.24</v>
      </c>
      <c r="Q13" s="40"/>
      <c r="R13" s="40">
        <f t="shared" si="2"/>
        <v>0</v>
      </c>
      <c r="S13" s="59"/>
      <c r="T13" s="59"/>
      <c r="U13" s="59"/>
      <c r="V13" s="59"/>
      <c r="W13" s="59"/>
      <c r="X13" s="59"/>
      <c r="Y13" s="59"/>
      <c r="Z13" s="59"/>
    </row>
    <row r="14" spans="1:26">
      <c r="A14" s="61">
        <v>10</v>
      </c>
      <c r="B14" s="36" t="s">
        <v>39</v>
      </c>
      <c r="C14" s="36">
        <v>189.38</v>
      </c>
      <c r="D14" s="455">
        <v>620</v>
      </c>
      <c r="E14" s="40">
        <v>277</v>
      </c>
      <c r="F14" s="40"/>
      <c r="G14" s="40">
        <v>278</v>
      </c>
      <c r="H14" s="40">
        <v>513</v>
      </c>
      <c r="I14" s="40">
        <v>327</v>
      </c>
      <c r="J14" s="434">
        <v>462</v>
      </c>
      <c r="K14" s="434"/>
      <c r="L14" s="40">
        <v>512</v>
      </c>
      <c r="M14" s="40">
        <v>87</v>
      </c>
      <c r="N14" s="40">
        <f t="shared" si="3"/>
        <v>2456</v>
      </c>
      <c r="O14" s="40">
        <f t="shared" si="0"/>
        <v>3076</v>
      </c>
      <c r="P14" s="40">
        <f t="shared" si="1"/>
        <v>582532.88</v>
      </c>
      <c r="Q14" s="40"/>
      <c r="R14" s="40">
        <f t="shared" si="2"/>
        <v>0</v>
      </c>
      <c r="S14" s="59"/>
      <c r="T14" s="59"/>
      <c r="U14" s="59"/>
      <c r="V14" s="59"/>
      <c r="W14" s="59"/>
      <c r="Y14" s="59"/>
      <c r="Z14" s="59"/>
    </row>
    <row r="15" spans="1:26">
      <c r="A15" s="61">
        <v>11</v>
      </c>
      <c r="B15" s="36" t="s">
        <v>39</v>
      </c>
      <c r="C15" s="36">
        <v>189.38</v>
      </c>
      <c r="D15" s="455">
        <v>1250</v>
      </c>
      <c r="E15" s="40">
        <v>110</v>
      </c>
      <c r="F15" s="40"/>
      <c r="G15" s="40">
        <v>278</v>
      </c>
      <c r="H15" s="40">
        <v>781</v>
      </c>
      <c r="I15" s="40">
        <v>361</v>
      </c>
      <c r="J15" s="40">
        <v>343</v>
      </c>
      <c r="K15" s="434"/>
      <c r="L15" s="524">
        <v>500</v>
      </c>
      <c r="M15" s="40">
        <v>271</v>
      </c>
      <c r="N15" s="40">
        <f t="shared" si="3"/>
        <v>2644</v>
      </c>
      <c r="O15" s="40">
        <f t="shared" si="0"/>
        <v>3894</v>
      </c>
      <c r="P15" s="40">
        <f t="shared" si="1"/>
        <v>737445.72</v>
      </c>
      <c r="Q15" s="40"/>
      <c r="R15" s="40">
        <f t="shared" si="2"/>
        <v>0</v>
      </c>
      <c r="S15" s="59"/>
      <c r="T15" s="59"/>
      <c r="U15" s="59"/>
      <c r="V15" s="59"/>
      <c r="W15" s="59"/>
      <c r="Y15" s="59"/>
      <c r="Z15" s="59"/>
    </row>
    <row r="16" spans="1:26">
      <c r="A16" s="61">
        <v>12</v>
      </c>
      <c r="B16" s="36" t="s">
        <v>39</v>
      </c>
      <c r="C16" s="36">
        <v>189.38</v>
      </c>
      <c r="D16" s="457">
        <v>830</v>
      </c>
      <c r="E16" s="40">
        <v>166</v>
      </c>
      <c r="F16" s="40"/>
      <c r="G16" s="40">
        <v>277</v>
      </c>
      <c r="H16" s="40">
        <v>250</v>
      </c>
      <c r="I16" s="40">
        <v>691</v>
      </c>
      <c r="J16" s="40">
        <v>239</v>
      </c>
      <c r="K16" s="434"/>
      <c r="L16" s="40">
        <v>250</v>
      </c>
      <c r="M16" s="40">
        <v>172</v>
      </c>
      <c r="N16" s="40">
        <f t="shared" si="3"/>
        <v>2045</v>
      </c>
      <c r="O16" s="40">
        <f t="shared" si="0"/>
        <v>2875</v>
      </c>
      <c r="P16" s="40">
        <f t="shared" si="1"/>
        <v>544467.5</v>
      </c>
      <c r="Q16" s="40"/>
      <c r="R16" s="40">
        <f t="shared" si="2"/>
        <v>0</v>
      </c>
      <c r="S16" s="59"/>
      <c r="T16" s="59"/>
      <c r="U16" s="59"/>
      <c r="V16" s="59"/>
      <c r="W16" s="59"/>
      <c r="Y16" s="59"/>
      <c r="Z16" s="59"/>
    </row>
    <row r="17" spans="1:26">
      <c r="A17" s="61">
        <v>13</v>
      </c>
      <c r="B17" s="36" t="s">
        <v>39</v>
      </c>
      <c r="C17" s="36">
        <v>189.38</v>
      </c>
      <c r="D17" s="455">
        <v>530</v>
      </c>
      <c r="E17" s="40">
        <v>76</v>
      </c>
      <c r="F17" s="40"/>
      <c r="G17" s="40">
        <v>277</v>
      </c>
      <c r="H17" s="40">
        <v>387</v>
      </c>
      <c r="I17" s="40">
        <v>412</v>
      </c>
      <c r="J17" s="40">
        <v>250</v>
      </c>
      <c r="K17" s="434"/>
      <c r="L17" s="40">
        <v>250</v>
      </c>
      <c r="M17" s="40">
        <v>308</v>
      </c>
      <c r="N17" s="40">
        <f t="shared" si="3"/>
        <v>1960</v>
      </c>
      <c r="O17" s="40">
        <f t="shared" si="0"/>
        <v>2490</v>
      </c>
      <c r="P17" s="40">
        <f t="shared" si="1"/>
        <v>471556.2</v>
      </c>
      <c r="Q17" s="40"/>
      <c r="R17" s="40">
        <f t="shared" si="2"/>
        <v>0</v>
      </c>
      <c r="S17" s="59"/>
      <c r="T17" s="59"/>
      <c r="U17" s="59"/>
      <c r="V17" s="59"/>
      <c r="Y17" s="59"/>
      <c r="Z17" s="59"/>
    </row>
    <row r="18" spans="1:26">
      <c r="A18" s="61">
        <v>14</v>
      </c>
      <c r="B18" s="36" t="s">
        <v>39</v>
      </c>
      <c r="C18" s="36">
        <v>189.38</v>
      </c>
      <c r="D18" s="457">
        <v>1250</v>
      </c>
      <c r="E18" s="40">
        <v>0</v>
      </c>
      <c r="F18" s="40"/>
      <c r="G18" s="40">
        <v>288</v>
      </c>
      <c r="H18" s="40">
        <v>285</v>
      </c>
      <c r="I18" s="40">
        <v>528</v>
      </c>
      <c r="J18" s="40">
        <v>133</v>
      </c>
      <c r="K18" s="434"/>
      <c r="L18" s="40">
        <v>332</v>
      </c>
      <c r="M18" s="40">
        <v>277</v>
      </c>
      <c r="N18" s="40">
        <f t="shared" si="3"/>
        <v>1843</v>
      </c>
      <c r="O18" s="40">
        <f t="shared" si="0"/>
        <v>3093</v>
      </c>
      <c r="P18" s="40">
        <f t="shared" si="1"/>
        <v>585752.34</v>
      </c>
      <c r="Q18" s="40"/>
      <c r="R18" s="40">
        <f t="shared" si="2"/>
        <v>0</v>
      </c>
      <c r="S18" s="59"/>
      <c r="T18" s="59"/>
      <c r="U18" s="59"/>
      <c r="V18" s="59"/>
      <c r="Y18" s="59"/>
      <c r="Z18" s="59"/>
    </row>
    <row r="19" spans="1:26">
      <c r="A19" s="61">
        <v>15</v>
      </c>
      <c r="B19" s="36" t="s">
        <v>39</v>
      </c>
      <c r="C19" s="36">
        <v>189.38</v>
      </c>
      <c r="D19" s="455">
        <v>1500</v>
      </c>
      <c r="E19" s="40">
        <v>105</v>
      </c>
      <c r="F19" s="40"/>
      <c r="G19" s="40">
        <v>288</v>
      </c>
      <c r="H19" s="40">
        <v>311</v>
      </c>
      <c r="I19" s="40">
        <v>499</v>
      </c>
      <c r="J19" s="40">
        <v>263</v>
      </c>
      <c r="K19" s="434"/>
      <c r="L19" s="40">
        <v>323</v>
      </c>
      <c r="M19" s="40">
        <v>390</v>
      </c>
      <c r="N19" s="40">
        <f t="shared" si="3"/>
        <v>2179</v>
      </c>
      <c r="O19" s="40">
        <f t="shared" si="0"/>
        <v>3679</v>
      </c>
      <c r="P19" s="40">
        <f t="shared" si="1"/>
        <v>696729.02</v>
      </c>
      <c r="Q19" s="40"/>
      <c r="R19" s="40">
        <f>SUM(R5:R18)</f>
        <v>0</v>
      </c>
      <c r="S19" s="59"/>
      <c r="T19" s="59"/>
      <c r="U19" s="59"/>
      <c r="V19" s="59"/>
      <c r="Y19" s="59"/>
      <c r="Z19" s="59"/>
    </row>
    <row r="20" spans="1:26" s="44" customFormat="1">
      <c r="A20" s="41" t="s">
        <v>77</v>
      </c>
      <c r="B20" s="42"/>
      <c r="C20" s="42"/>
      <c r="D20" s="43">
        <f>SUM(D5:D19)</f>
        <v>10350</v>
      </c>
      <c r="E20" s="43">
        <f>SUM(E5:E19)</f>
        <v>2175</v>
      </c>
      <c r="F20" s="43">
        <f t="shared" ref="F20:G20" si="4">SUM(F5:F19)</f>
        <v>0</v>
      </c>
      <c r="G20" s="43">
        <f t="shared" si="4"/>
        <v>3650</v>
      </c>
      <c r="H20" s="43">
        <f>SUM(H5:H19)</f>
        <v>6543</v>
      </c>
      <c r="I20" s="43">
        <f>SUM(I5:I19)</f>
        <v>6292</v>
      </c>
      <c r="J20" s="43">
        <f>SUM(J5:J19)</f>
        <v>5081</v>
      </c>
      <c r="K20" s="43">
        <f t="shared" ref="K20:O20" si="5">SUM(K5:K19)</f>
        <v>0</v>
      </c>
      <c r="L20" s="43">
        <f>SUM(L5:L19)</f>
        <v>6240</v>
      </c>
      <c r="M20" s="43">
        <f>SUM(M5:M19)</f>
        <v>2594</v>
      </c>
      <c r="N20" s="43">
        <f t="shared" si="5"/>
        <v>32575</v>
      </c>
      <c r="O20" s="43">
        <f t="shared" si="5"/>
        <v>42925</v>
      </c>
      <c r="P20" s="43">
        <f t="shared" ref="P20" si="6">SUM(P5:P19)</f>
        <v>8129136.5</v>
      </c>
      <c r="Q20" s="43">
        <f t="shared" ref="Q20" si="7">SUM(Q5:Q19)</f>
        <v>0</v>
      </c>
      <c r="R20" s="43">
        <f>SUM(R5:R19)</f>
        <v>0</v>
      </c>
      <c r="S20" s="445"/>
      <c r="T20" s="445"/>
      <c r="V20" s="445"/>
      <c r="W20" s="445"/>
      <c r="X20" s="445"/>
      <c r="Y20" s="445"/>
    </row>
    <row r="21" spans="1:26">
      <c r="E21" s="306"/>
      <c r="G21" s="306"/>
      <c r="H21" s="59"/>
      <c r="M21" s="306"/>
      <c r="N21" s="454" t="s">
        <v>35</v>
      </c>
      <c r="O21" s="46">
        <f>'SOH-MAY'!BI23</f>
        <v>46759</v>
      </c>
    </row>
    <row r="22" spans="1:26">
      <c r="E22" s="50"/>
      <c r="F22" s="50"/>
      <c r="G22" s="306"/>
      <c r="H22" s="59"/>
      <c r="I22" s="306"/>
      <c r="M22" s="59"/>
      <c r="N22" s="45" t="s">
        <v>78</v>
      </c>
      <c r="O22" s="47">
        <f>O20</f>
        <v>42925</v>
      </c>
    </row>
    <row r="23" spans="1:26" s="39" customFormat="1">
      <c r="A23" s="48"/>
      <c r="D23" s="49"/>
      <c r="E23" s="306"/>
      <c r="F23"/>
      <c r="G23" s="306"/>
      <c r="H23" s="59"/>
      <c r="L23" s="49"/>
      <c r="M23" s="49"/>
      <c r="N23" s="51"/>
      <c r="O23" s="52">
        <f>O22-O21</f>
        <v>-3834</v>
      </c>
      <c r="P23" s="50"/>
    </row>
    <row r="24" spans="1:26">
      <c r="E24" s="306"/>
      <c r="G24" s="306"/>
      <c r="H24" s="59"/>
      <c r="J24" s="59"/>
      <c r="L24" s="59"/>
      <c r="N24" s="59"/>
      <c r="O24" s="59"/>
    </row>
    <row r="25" spans="1:26">
      <c r="E25" s="306"/>
      <c r="G25" s="306"/>
      <c r="H25" s="59"/>
      <c r="I25" s="59"/>
      <c r="J25" s="59"/>
      <c r="K25" s="59"/>
      <c r="M25" s="59"/>
      <c r="N25" s="59"/>
      <c r="O25" s="59"/>
    </row>
    <row r="26" spans="1:26">
      <c r="E26" s="306"/>
      <c r="G26" s="306"/>
      <c r="H26" s="59"/>
      <c r="I26" s="59"/>
      <c r="J26" s="59"/>
      <c r="K26" s="59"/>
      <c r="M26" s="59"/>
      <c r="N26" s="59"/>
      <c r="O26" s="59"/>
      <c r="P26" s="59"/>
    </row>
    <row r="27" spans="1:26">
      <c r="D27" s="387"/>
      <c r="E27" s="306"/>
      <c r="F27" s="387"/>
      <c r="G27" s="306"/>
      <c r="H27" s="59"/>
      <c r="I27" s="59"/>
      <c r="J27" s="59"/>
      <c r="K27" s="59"/>
      <c r="M27" s="59"/>
      <c r="N27" s="59"/>
      <c r="O27" s="59"/>
      <c r="P27" s="59"/>
    </row>
    <row r="28" spans="1:26">
      <c r="D28" s="387"/>
      <c r="E28" s="306"/>
      <c r="F28" s="387"/>
      <c r="G28" s="306"/>
      <c r="H28" s="59"/>
      <c r="I28" s="59"/>
      <c r="J28" s="59"/>
      <c r="K28" s="59"/>
      <c r="M28" s="59"/>
      <c r="N28" s="59"/>
      <c r="O28" s="59"/>
      <c r="P28" s="59"/>
    </row>
    <row r="29" spans="1:26">
      <c r="E29" s="306"/>
      <c r="G29" s="306"/>
      <c r="H29" s="59"/>
      <c r="I29" s="59"/>
      <c r="J29" s="59"/>
      <c r="K29" s="59"/>
      <c r="M29" s="59"/>
      <c r="N29" s="59"/>
      <c r="O29" s="59"/>
      <c r="P29" s="59"/>
    </row>
    <row r="30" spans="1:26">
      <c r="E30" s="306"/>
      <c r="G30" s="306"/>
      <c r="H30" s="59"/>
      <c r="I30" s="59"/>
      <c r="J30" s="59"/>
      <c r="K30" s="59"/>
      <c r="M30" s="59"/>
      <c r="N30" s="59"/>
      <c r="O30" s="59"/>
      <c r="P30" s="59"/>
    </row>
    <row r="31" spans="1:26">
      <c r="E31" s="306"/>
      <c r="G31" s="306"/>
      <c r="H31" s="59"/>
      <c r="I31" s="59"/>
      <c r="J31" s="59"/>
      <c r="K31" s="59"/>
      <c r="L31" s="59"/>
      <c r="M31" s="59"/>
      <c r="N31" s="59"/>
      <c r="O31" s="59"/>
      <c r="P31" s="59"/>
    </row>
    <row r="32" spans="1:26">
      <c r="E32" s="306"/>
      <c r="G32" s="306"/>
      <c r="H32" s="59"/>
      <c r="I32" s="59"/>
      <c r="J32" s="59"/>
      <c r="K32" s="59"/>
      <c r="L32" s="59"/>
      <c r="M32" s="59"/>
      <c r="N32" s="59"/>
      <c r="O32" s="59"/>
      <c r="P32" s="59"/>
    </row>
    <row r="33" spans="5:16">
      <c r="E33" s="306"/>
      <c r="G33" s="306"/>
      <c r="H33" s="59"/>
      <c r="I33" s="59"/>
      <c r="J33" s="59"/>
      <c r="K33" s="59"/>
      <c r="L33" s="59"/>
      <c r="M33" s="59"/>
      <c r="N33" s="59"/>
      <c r="O33" s="59"/>
      <c r="P33" s="59"/>
    </row>
    <row r="34" spans="5:16">
      <c r="E34" s="306"/>
      <c r="G34" s="306"/>
      <c r="H34" s="59"/>
      <c r="I34" s="59"/>
      <c r="J34" s="59"/>
      <c r="K34" s="59"/>
      <c r="L34" s="59"/>
      <c r="M34" s="59"/>
      <c r="N34" s="59"/>
      <c r="O34" s="59"/>
      <c r="P34" s="59"/>
    </row>
    <row r="35" spans="5:16">
      <c r="E35" s="306"/>
      <c r="G35" s="306"/>
      <c r="H35" s="59"/>
      <c r="I35" s="59"/>
      <c r="J35" s="59"/>
      <c r="K35" s="59"/>
      <c r="L35" s="59"/>
      <c r="M35" s="59"/>
      <c r="N35" s="59"/>
      <c r="O35" s="59"/>
      <c r="P35" s="59"/>
    </row>
    <row r="36" spans="5:16">
      <c r="E36" s="306"/>
      <c r="G36" s="306"/>
      <c r="H36" s="59"/>
      <c r="I36" s="59"/>
      <c r="J36" s="59"/>
      <c r="K36" s="59"/>
      <c r="L36" s="59"/>
      <c r="M36" s="59"/>
      <c r="N36" s="59"/>
      <c r="O36" s="59"/>
      <c r="P36" s="59"/>
    </row>
    <row r="37" spans="5:16">
      <c r="E37" s="306"/>
      <c r="G37" s="306"/>
      <c r="H37" s="59"/>
      <c r="I37" s="59"/>
      <c r="J37" s="59"/>
      <c r="K37" s="59"/>
      <c r="L37" s="59"/>
      <c r="M37" s="59"/>
      <c r="N37" s="59"/>
      <c r="O37" s="59"/>
      <c r="P37" s="59"/>
    </row>
    <row r="38" spans="5:16">
      <c r="E38" s="306"/>
      <c r="G38" s="306"/>
      <c r="H38" s="59"/>
      <c r="I38" s="59"/>
      <c r="J38" s="59"/>
      <c r="K38" s="59"/>
      <c r="L38" s="59"/>
      <c r="M38" s="59"/>
      <c r="N38" s="59"/>
      <c r="O38" s="59"/>
      <c r="P38" s="59"/>
    </row>
    <row r="39" spans="5:16">
      <c r="E39" s="306"/>
      <c r="G39" s="306"/>
      <c r="H39" s="59"/>
      <c r="I39" s="59"/>
      <c r="J39" s="59"/>
      <c r="K39" s="59"/>
      <c r="L39" s="59"/>
      <c r="M39" s="59"/>
      <c r="N39" s="59"/>
      <c r="O39" s="59"/>
      <c r="P39" s="59"/>
    </row>
    <row r="40" spans="5:16">
      <c r="E40" s="306"/>
      <c r="G40" s="306"/>
      <c r="H40" s="59"/>
      <c r="I40" s="59"/>
      <c r="J40" s="59"/>
      <c r="K40" s="59"/>
      <c r="L40" s="59"/>
      <c r="M40" s="59"/>
      <c r="N40" s="59"/>
      <c r="O40" s="59"/>
      <c r="P40" s="59"/>
    </row>
    <row r="41" spans="5:16">
      <c r="E41" s="306"/>
      <c r="H41" s="59"/>
      <c r="I41" s="59"/>
      <c r="J41" s="59"/>
      <c r="K41" s="59"/>
      <c r="L41" s="59"/>
      <c r="M41" s="59"/>
      <c r="N41" s="59"/>
      <c r="O41" s="59"/>
      <c r="P41" s="59"/>
    </row>
    <row r="42" spans="5:16">
      <c r="E42" s="306"/>
      <c r="H42" s="59"/>
      <c r="I42" s="59"/>
      <c r="J42" s="59"/>
      <c r="K42" s="59"/>
      <c r="L42" s="59"/>
      <c r="M42" s="59"/>
      <c r="N42" s="59"/>
      <c r="O42" s="59"/>
    </row>
    <row r="43" spans="5:16">
      <c r="H43" s="59"/>
      <c r="I43" s="59"/>
      <c r="J43" s="59"/>
      <c r="K43" s="59"/>
      <c r="L43" s="59"/>
      <c r="M43" s="59"/>
      <c r="N43" s="59"/>
      <c r="O43" s="59"/>
    </row>
    <row r="44" spans="5:16">
      <c r="H44" s="59"/>
      <c r="I44" s="59"/>
      <c r="J44" s="59"/>
      <c r="K44" s="59"/>
      <c r="L44" s="59"/>
      <c r="N44" s="59"/>
    </row>
    <row r="45" spans="5:16">
      <c r="J45" s="59"/>
      <c r="K45" s="59"/>
      <c r="L45" s="59"/>
    </row>
    <row r="46" spans="5:16">
      <c r="J46" s="59"/>
      <c r="L46" s="59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2"/>
  <sheetViews>
    <sheetView workbookViewId="0">
      <selection activeCell="O17" sqref="O17"/>
    </sheetView>
  </sheetViews>
  <sheetFormatPr defaultRowHeight="15"/>
  <cols>
    <col min="1" max="1" width="18.28515625" bestFit="1" customWidth="1"/>
    <col min="2" max="2" width="8" customWidth="1"/>
    <col min="4" max="4" width="15.5703125" customWidth="1"/>
    <col min="5" max="6" width="11.7109375" customWidth="1"/>
    <col min="7" max="9" width="9.5703125" hidden="1" customWidth="1"/>
    <col min="10" max="10" width="7" bestFit="1" customWidth="1"/>
    <col min="11" max="14" width="9.5703125" customWidth="1"/>
    <col min="15" max="15" width="7.85546875" bestFit="1" customWidth="1"/>
    <col min="16" max="16" width="8.42578125" customWidth="1"/>
    <col min="17" max="17" width="18.42578125" customWidth="1"/>
    <col min="18" max="18" width="9.5703125" bestFit="1" customWidth="1"/>
    <col min="19" max="19" width="11" bestFit="1" customWidth="1"/>
    <col min="20" max="20" width="19" customWidth="1"/>
  </cols>
  <sheetData>
    <row r="1" spans="1:24" ht="20.25">
      <c r="A1" s="285" t="str">
        <f>'EXPEDITION '!B3</f>
        <v>DATE: MAY 31,2026</v>
      </c>
    </row>
    <row r="2" spans="1:24" ht="64.5" customHeight="1">
      <c r="A2" s="33" t="s">
        <v>9</v>
      </c>
      <c r="B2" s="33" t="s">
        <v>36</v>
      </c>
      <c r="C2" s="34" t="s">
        <v>37</v>
      </c>
      <c r="D2" s="34" t="str">
        <f>'EXEL 2.4 (SOH MINE)'!D3</f>
        <v>SOH SURFACE AS OF MAY 31 2026</v>
      </c>
      <c r="E2" s="34" t="s">
        <v>65</v>
      </c>
      <c r="F2" s="34" t="s">
        <v>66</v>
      </c>
      <c r="G2" s="34" t="s">
        <v>67</v>
      </c>
      <c r="H2" s="34" t="s">
        <v>68</v>
      </c>
      <c r="I2" s="34" t="s">
        <v>69</v>
      </c>
      <c r="J2" s="34" t="s">
        <v>70</v>
      </c>
      <c r="K2" s="34" t="s">
        <v>71</v>
      </c>
      <c r="L2" s="34" t="s">
        <v>72</v>
      </c>
      <c r="M2" s="34" t="s">
        <v>73</v>
      </c>
      <c r="N2" s="34" t="s">
        <v>74</v>
      </c>
      <c r="O2" s="34" t="s">
        <v>108</v>
      </c>
      <c r="P2" s="34" t="s">
        <v>594</v>
      </c>
      <c r="Q2" s="34" t="str">
        <f>'EXEL 2.4 (SOH MINE)'!N3</f>
        <v>SOH UNDERGROUND  MAY 31,2026</v>
      </c>
      <c r="R2" s="34" t="s">
        <v>75</v>
      </c>
      <c r="S2" s="34" t="s">
        <v>27</v>
      </c>
      <c r="T2" s="34" t="str">
        <f>'EXEL 2.4 (SOH MINE)'!Q3</f>
        <v xml:space="preserve">TO BE WITHDRAWN FROM SUPPLIER MAGAZINE ON             </v>
      </c>
      <c r="U2" s="34" t="s">
        <v>27</v>
      </c>
    </row>
    <row r="3" spans="1:24" s="39" customFormat="1" ht="16.5">
      <c r="A3" s="35" t="s">
        <v>79</v>
      </c>
      <c r="B3" s="36"/>
      <c r="C3" s="36"/>
      <c r="D3" s="31"/>
      <c r="E3" s="31"/>
      <c r="F3" s="31"/>
      <c r="G3" s="78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7"/>
      <c r="T3" s="38"/>
      <c r="U3" s="38"/>
    </row>
    <row r="4" spans="1:24">
      <c r="A4" s="61">
        <v>1</v>
      </c>
      <c r="B4" s="36" t="s">
        <v>39</v>
      </c>
      <c r="C4" s="36">
        <v>195</v>
      </c>
      <c r="D4" s="40">
        <v>210</v>
      </c>
      <c r="E4" s="40"/>
      <c r="F4" s="53">
        <v>114</v>
      </c>
      <c r="G4" s="53"/>
      <c r="H4" s="53"/>
      <c r="I4" s="53"/>
      <c r="J4" s="53"/>
      <c r="K4" s="53"/>
      <c r="L4" s="53">
        <v>220</v>
      </c>
      <c r="M4" s="53"/>
      <c r="N4" s="40"/>
      <c r="O4" s="40"/>
      <c r="P4" s="40"/>
      <c r="Q4" s="53">
        <f>SUM(E4:P4)</f>
        <v>334</v>
      </c>
      <c r="R4" s="53">
        <f>Q4+D4</f>
        <v>544</v>
      </c>
      <c r="S4" s="53">
        <f t="shared" ref="S4:S18" si="0">R4*C4</f>
        <v>106080</v>
      </c>
      <c r="T4" s="40"/>
      <c r="U4" s="53">
        <f t="shared" ref="U4:U18" si="1">E4*T4</f>
        <v>0</v>
      </c>
      <c r="V4" s="59"/>
      <c r="W4" s="59"/>
      <c r="X4" s="59"/>
    </row>
    <row r="5" spans="1:24">
      <c r="A5" s="61">
        <v>2</v>
      </c>
      <c r="B5" s="36" t="s">
        <v>39</v>
      </c>
      <c r="C5" s="36">
        <v>195</v>
      </c>
      <c r="D5" s="40">
        <v>460</v>
      </c>
      <c r="E5" s="40"/>
      <c r="F5" s="53">
        <v>121</v>
      </c>
      <c r="G5" s="53"/>
      <c r="H5" s="53"/>
      <c r="I5" s="53"/>
      <c r="J5" s="53"/>
      <c r="K5" s="53"/>
      <c r="L5" s="53">
        <v>220</v>
      </c>
      <c r="M5" s="53"/>
      <c r="N5" s="40"/>
      <c r="O5" s="79"/>
      <c r="P5" s="79"/>
      <c r="Q5" s="53">
        <f t="shared" ref="Q5:Q18" si="2">SUM(E5:P5)</f>
        <v>341</v>
      </c>
      <c r="R5" s="53">
        <f t="shared" ref="R5:R18" si="3">Q5+D5</f>
        <v>801</v>
      </c>
      <c r="S5" s="53">
        <f t="shared" si="0"/>
        <v>156195</v>
      </c>
      <c r="T5" s="40"/>
      <c r="U5" s="53">
        <f t="shared" si="1"/>
        <v>0</v>
      </c>
      <c r="V5" s="59"/>
      <c r="W5" s="59"/>
      <c r="X5" s="59"/>
    </row>
    <row r="6" spans="1:24">
      <c r="A6" s="61">
        <v>3</v>
      </c>
      <c r="B6" s="36" t="s">
        <v>39</v>
      </c>
      <c r="C6" s="36">
        <v>195</v>
      </c>
      <c r="D6" s="40">
        <v>440</v>
      </c>
      <c r="E6" s="40"/>
      <c r="F6" s="53">
        <v>95</v>
      </c>
      <c r="G6" s="53"/>
      <c r="H6" s="53"/>
      <c r="I6" s="53"/>
      <c r="J6" s="53"/>
      <c r="K6" s="53"/>
      <c r="L6" s="53"/>
      <c r="M6" s="53"/>
      <c r="N6" s="434"/>
      <c r="O6" s="40"/>
      <c r="P6" s="40"/>
      <c r="Q6" s="53">
        <f t="shared" si="2"/>
        <v>95</v>
      </c>
      <c r="R6" s="53">
        <f t="shared" si="3"/>
        <v>535</v>
      </c>
      <c r="S6" s="53">
        <f t="shared" si="0"/>
        <v>104325</v>
      </c>
      <c r="T6" s="40"/>
      <c r="U6" s="53">
        <f t="shared" si="1"/>
        <v>0</v>
      </c>
      <c r="V6" s="59"/>
      <c r="W6" s="59"/>
      <c r="X6" s="59"/>
    </row>
    <row r="7" spans="1:24">
      <c r="A7" s="61">
        <v>4</v>
      </c>
      <c r="B7" s="36" t="s">
        <v>39</v>
      </c>
      <c r="C7" s="36">
        <v>195</v>
      </c>
      <c r="D7" s="40">
        <v>440</v>
      </c>
      <c r="E7" s="40"/>
      <c r="F7" s="53">
        <v>97</v>
      </c>
      <c r="G7" s="53"/>
      <c r="H7" s="53"/>
      <c r="I7" s="53"/>
      <c r="J7" s="53"/>
      <c r="K7" s="53"/>
      <c r="L7" s="53">
        <v>0</v>
      </c>
      <c r="M7" s="53"/>
      <c r="N7" s="40"/>
      <c r="O7" s="40">
        <v>0</v>
      </c>
      <c r="P7" s="40"/>
      <c r="Q7" s="53">
        <f t="shared" si="2"/>
        <v>97</v>
      </c>
      <c r="R7" s="53">
        <f t="shared" si="3"/>
        <v>537</v>
      </c>
      <c r="S7" s="53">
        <f t="shared" si="0"/>
        <v>104715</v>
      </c>
      <c r="T7" s="40"/>
      <c r="U7" s="53">
        <f t="shared" si="1"/>
        <v>0</v>
      </c>
      <c r="V7" s="59"/>
      <c r="W7" s="59"/>
      <c r="X7" s="59"/>
    </row>
    <row r="8" spans="1:24">
      <c r="A8" s="61">
        <v>5</v>
      </c>
      <c r="B8" s="36" t="s">
        <v>39</v>
      </c>
      <c r="C8" s="36">
        <v>195</v>
      </c>
      <c r="D8" s="40">
        <v>880</v>
      </c>
      <c r="E8" s="40"/>
      <c r="F8" s="53"/>
      <c r="G8" s="53"/>
      <c r="H8" s="53"/>
      <c r="I8" s="53"/>
      <c r="J8" s="53"/>
      <c r="K8" s="53"/>
      <c r="L8" s="53">
        <v>0</v>
      </c>
      <c r="M8" s="53"/>
      <c r="N8" s="40"/>
      <c r="O8" s="40"/>
      <c r="P8" s="40"/>
      <c r="Q8" s="53">
        <f t="shared" si="2"/>
        <v>0</v>
      </c>
      <c r="R8" s="53">
        <f t="shared" si="3"/>
        <v>880</v>
      </c>
      <c r="S8" s="53">
        <f t="shared" si="0"/>
        <v>171600</v>
      </c>
      <c r="T8" s="40"/>
      <c r="U8" s="53">
        <f t="shared" si="1"/>
        <v>0</v>
      </c>
      <c r="V8" s="59"/>
      <c r="W8" s="59"/>
      <c r="X8" s="59"/>
    </row>
    <row r="9" spans="1:24">
      <c r="A9" s="61">
        <v>6</v>
      </c>
      <c r="B9" s="36" t="s">
        <v>39</v>
      </c>
      <c r="C9" s="36">
        <v>195</v>
      </c>
      <c r="D9" s="40">
        <v>660</v>
      </c>
      <c r="E9" s="40"/>
      <c r="F9" s="53"/>
      <c r="G9" s="53"/>
      <c r="H9" s="53"/>
      <c r="I9" s="53"/>
      <c r="J9" s="53"/>
      <c r="K9" s="53"/>
      <c r="L9" s="53">
        <v>0</v>
      </c>
      <c r="M9" s="53"/>
      <c r="N9" s="40"/>
      <c r="O9" s="79"/>
      <c r="P9" s="40">
        <v>0</v>
      </c>
      <c r="Q9" s="53">
        <f t="shared" si="2"/>
        <v>0</v>
      </c>
      <c r="R9" s="53">
        <f t="shared" si="3"/>
        <v>660</v>
      </c>
      <c r="S9" s="53">
        <f t="shared" si="0"/>
        <v>128700</v>
      </c>
      <c r="T9" s="40"/>
      <c r="U9" s="53">
        <f t="shared" si="1"/>
        <v>0</v>
      </c>
      <c r="V9" s="59"/>
      <c r="W9" s="59"/>
      <c r="X9" s="59"/>
    </row>
    <row r="10" spans="1:24">
      <c r="A10" s="61">
        <v>7</v>
      </c>
      <c r="B10" s="36" t="s">
        <v>39</v>
      </c>
      <c r="C10" s="36">
        <v>195</v>
      </c>
      <c r="D10" s="40">
        <v>440</v>
      </c>
      <c r="E10" s="40"/>
      <c r="F10" s="53"/>
      <c r="G10" s="53"/>
      <c r="H10" s="53"/>
      <c r="I10" s="53"/>
      <c r="J10" s="53">
        <v>220</v>
      </c>
      <c r="K10" s="53">
        <v>112</v>
      </c>
      <c r="L10" s="53"/>
      <c r="M10" s="53"/>
      <c r="N10" s="40"/>
      <c r="O10" s="40"/>
      <c r="P10" s="40">
        <v>0</v>
      </c>
      <c r="Q10" s="53">
        <f t="shared" si="2"/>
        <v>332</v>
      </c>
      <c r="R10" s="53">
        <f t="shared" si="3"/>
        <v>772</v>
      </c>
      <c r="S10" s="53">
        <f t="shared" si="0"/>
        <v>150540</v>
      </c>
      <c r="T10" s="40"/>
      <c r="U10" s="53">
        <f t="shared" si="1"/>
        <v>0</v>
      </c>
      <c r="V10" s="59"/>
      <c r="W10" s="59"/>
      <c r="X10" s="59"/>
    </row>
    <row r="11" spans="1:24">
      <c r="A11" s="61">
        <v>8</v>
      </c>
      <c r="B11" s="36" t="s">
        <v>39</v>
      </c>
      <c r="C11" s="36">
        <v>195</v>
      </c>
      <c r="D11" s="40">
        <v>1100</v>
      </c>
      <c r="E11" s="40"/>
      <c r="F11" s="53"/>
      <c r="G11" s="53"/>
      <c r="H11" s="53"/>
      <c r="I11" s="53"/>
      <c r="J11" s="53">
        <v>220</v>
      </c>
      <c r="K11" s="53">
        <v>174</v>
      </c>
      <c r="L11" s="53">
        <v>0</v>
      </c>
      <c r="M11" s="53"/>
      <c r="N11" s="40"/>
      <c r="O11" s="40"/>
      <c r="P11" s="40">
        <v>0</v>
      </c>
      <c r="Q11" s="53">
        <f t="shared" si="2"/>
        <v>394</v>
      </c>
      <c r="R11" s="53">
        <f t="shared" si="3"/>
        <v>1494</v>
      </c>
      <c r="S11" s="53">
        <f t="shared" si="0"/>
        <v>291330</v>
      </c>
      <c r="T11" s="40"/>
      <c r="U11" s="53">
        <f t="shared" si="1"/>
        <v>0</v>
      </c>
      <c r="V11" s="59"/>
      <c r="W11" s="59"/>
      <c r="X11" s="59"/>
    </row>
    <row r="12" spans="1:24">
      <c r="A12" s="61">
        <v>9</v>
      </c>
      <c r="B12" s="36" t="s">
        <v>39</v>
      </c>
      <c r="C12" s="36">
        <v>195</v>
      </c>
      <c r="D12" s="40">
        <v>1320</v>
      </c>
      <c r="E12" s="40"/>
      <c r="F12" s="53"/>
      <c r="G12" s="53"/>
      <c r="H12" s="53"/>
      <c r="I12" s="53"/>
      <c r="J12" s="53"/>
      <c r="K12" s="53"/>
      <c r="L12" s="53"/>
      <c r="M12" s="53"/>
      <c r="N12" s="40"/>
      <c r="O12" s="40"/>
      <c r="P12" s="40">
        <v>0</v>
      </c>
      <c r="Q12" s="53">
        <f t="shared" si="2"/>
        <v>0</v>
      </c>
      <c r="R12" s="53">
        <f t="shared" si="3"/>
        <v>1320</v>
      </c>
      <c r="S12" s="53">
        <f t="shared" si="0"/>
        <v>257400</v>
      </c>
      <c r="T12" s="40"/>
      <c r="U12" s="53">
        <f t="shared" si="1"/>
        <v>0</v>
      </c>
      <c r="V12" s="59"/>
      <c r="W12" s="59"/>
      <c r="X12" s="59"/>
    </row>
    <row r="13" spans="1:24">
      <c r="A13" s="61">
        <v>10</v>
      </c>
      <c r="B13" s="36" t="s">
        <v>39</v>
      </c>
      <c r="C13" s="36">
        <v>195</v>
      </c>
      <c r="D13" s="40">
        <v>440</v>
      </c>
      <c r="E13" s="40"/>
      <c r="F13" s="53">
        <v>105</v>
      </c>
      <c r="G13" s="53"/>
      <c r="H13" s="53"/>
      <c r="I13" s="53"/>
      <c r="J13" s="53"/>
      <c r="K13" s="53"/>
      <c r="L13" s="53"/>
      <c r="M13" s="53"/>
      <c r="N13" s="40"/>
      <c r="O13" s="40">
        <v>0</v>
      </c>
      <c r="P13" s="40">
        <v>0</v>
      </c>
      <c r="Q13" s="53">
        <f t="shared" si="2"/>
        <v>105</v>
      </c>
      <c r="R13" s="53">
        <f t="shared" si="3"/>
        <v>545</v>
      </c>
      <c r="S13" s="53">
        <f t="shared" si="0"/>
        <v>106275</v>
      </c>
      <c r="T13" s="40"/>
      <c r="U13" s="53">
        <f t="shared" si="1"/>
        <v>0</v>
      </c>
      <c r="V13" s="59"/>
      <c r="W13" s="59"/>
      <c r="X13" s="59"/>
    </row>
    <row r="14" spans="1:24">
      <c r="A14" s="61">
        <v>11</v>
      </c>
      <c r="B14" s="36" t="s">
        <v>39</v>
      </c>
      <c r="C14" s="36">
        <v>195</v>
      </c>
      <c r="D14" s="40">
        <v>320</v>
      </c>
      <c r="E14" s="40"/>
      <c r="F14" s="53">
        <v>93</v>
      </c>
      <c r="G14" s="53"/>
      <c r="H14" s="53"/>
      <c r="I14" s="53"/>
      <c r="J14" s="53"/>
      <c r="K14" s="53"/>
      <c r="L14" s="53"/>
      <c r="M14" s="53"/>
      <c r="N14" s="40"/>
      <c r="O14" s="40"/>
      <c r="P14" s="40">
        <v>0</v>
      </c>
      <c r="Q14" s="53">
        <f t="shared" si="2"/>
        <v>93</v>
      </c>
      <c r="R14" s="53">
        <f t="shared" si="3"/>
        <v>413</v>
      </c>
      <c r="S14" s="53">
        <f t="shared" si="0"/>
        <v>80535</v>
      </c>
      <c r="T14" s="40"/>
      <c r="U14" s="53">
        <f t="shared" si="1"/>
        <v>0</v>
      </c>
      <c r="V14" s="59"/>
      <c r="W14" s="59"/>
      <c r="X14" s="59"/>
    </row>
    <row r="15" spans="1:24">
      <c r="A15" s="61">
        <v>12</v>
      </c>
      <c r="B15" s="36" t="s">
        <v>39</v>
      </c>
      <c r="C15" s="36">
        <v>195</v>
      </c>
      <c r="D15" s="40">
        <v>70</v>
      </c>
      <c r="E15" s="40"/>
      <c r="F15" s="53">
        <v>96</v>
      </c>
      <c r="G15" s="53"/>
      <c r="H15" s="53"/>
      <c r="I15" s="53"/>
      <c r="J15" s="53"/>
      <c r="K15" s="53">
        <v>216</v>
      </c>
      <c r="L15" s="53"/>
      <c r="M15" s="53"/>
      <c r="N15" s="40"/>
      <c r="O15" s="40">
        <v>108</v>
      </c>
      <c r="P15" s="40">
        <v>5</v>
      </c>
      <c r="Q15" s="53">
        <f t="shared" si="2"/>
        <v>425</v>
      </c>
      <c r="R15" s="53">
        <f t="shared" si="3"/>
        <v>495</v>
      </c>
      <c r="S15" s="53">
        <f t="shared" si="0"/>
        <v>96525</v>
      </c>
      <c r="T15" s="40"/>
      <c r="U15" s="53">
        <f t="shared" si="1"/>
        <v>0</v>
      </c>
      <c r="V15" s="59"/>
      <c r="W15" s="59"/>
      <c r="X15" s="59"/>
    </row>
    <row r="16" spans="1:24">
      <c r="A16" s="61">
        <v>13</v>
      </c>
      <c r="B16" s="36" t="s">
        <v>39</v>
      </c>
      <c r="C16" s="36">
        <v>195</v>
      </c>
      <c r="D16" s="40">
        <v>440</v>
      </c>
      <c r="E16" s="40"/>
      <c r="F16" s="53">
        <v>102</v>
      </c>
      <c r="G16" s="53"/>
      <c r="H16" s="53"/>
      <c r="I16" s="53"/>
      <c r="J16" s="53"/>
      <c r="K16" s="53">
        <v>220</v>
      </c>
      <c r="L16" s="53"/>
      <c r="M16" s="53">
        <v>53</v>
      </c>
      <c r="N16" s="40"/>
      <c r="O16" s="40">
        <v>120</v>
      </c>
      <c r="P16" s="40"/>
      <c r="Q16" s="53">
        <f t="shared" si="2"/>
        <v>495</v>
      </c>
      <c r="R16" s="53">
        <f t="shared" si="3"/>
        <v>935</v>
      </c>
      <c r="S16" s="53">
        <f t="shared" si="0"/>
        <v>182325</v>
      </c>
      <c r="T16" s="40"/>
      <c r="U16" s="53">
        <f t="shared" si="1"/>
        <v>0</v>
      </c>
      <c r="V16" s="59"/>
      <c r="W16" s="59"/>
      <c r="X16" s="59"/>
    </row>
    <row r="17" spans="1:26">
      <c r="A17" s="61">
        <v>14</v>
      </c>
      <c r="B17" s="36" t="s">
        <v>39</v>
      </c>
      <c r="C17" s="36">
        <v>195</v>
      </c>
      <c r="D17" s="40">
        <v>420</v>
      </c>
      <c r="E17" s="40"/>
      <c r="F17" s="53">
        <v>85</v>
      </c>
      <c r="G17" s="53"/>
      <c r="H17" s="53"/>
      <c r="I17" s="53"/>
      <c r="J17" s="53"/>
      <c r="K17" s="53">
        <v>220</v>
      </c>
      <c r="L17" s="53"/>
      <c r="M17" s="53">
        <v>220</v>
      </c>
      <c r="N17" s="40"/>
      <c r="O17" s="40">
        <v>220</v>
      </c>
      <c r="P17" s="40"/>
      <c r="Q17" s="53">
        <f t="shared" si="2"/>
        <v>745</v>
      </c>
      <c r="R17" s="53">
        <f t="shared" si="3"/>
        <v>1165</v>
      </c>
      <c r="S17" s="53">
        <f t="shared" si="0"/>
        <v>227175</v>
      </c>
      <c r="T17" s="40"/>
      <c r="U17" s="53">
        <f t="shared" si="1"/>
        <v>0</v>
      </c>
      <c r="V17" s="59"/>
      <c r="W17" s="59"/>
      <c r="X17" s="59"/>
    </row>
    <row r="18" spans="1:26">
      <c r="A18" s="61">
        <v>15</v>
      </c>
      <c r="B18" s="36" t="s">
        <v>39</v>
      </c>
      <c r="C18" s="36">
        <v>195</v>
      </c>
      <c r="D18" s="40">
        <v>420</v>
      </c>
      <c r="E18" s="40"/>
      <c r="F18" s="53">
        <v>82</v>
      </c>
      <c r="G18" s="53"/>
      <c r="H18" s="53"/>
      <c r="I18" s="53"/>
      <c r="J18" s="53"/>
      <c r="K18" s="53">
        <v>220</v>
      </c>
      <c r="L18" s="53"/>
      <c r="M18" s="53">
        <v>220</v>
      </c>
      <c r="N18" s="40"/>
      <c r="O18" s="40">
        <v>220</v>
      </c>
      <c r="P18" s="40"/>
      <c r="Q18" s="53">
        <f t="shared" si="2"/>
        <v>742</v>
      </c>
      <c r="R18" s="53">
        <f t="shared" si="3"/>
        <v>1162</v>
      </c>
      <c r="S18" s="53">
        <f t="shared" si="0"/>
        <v>226590</v>
      </c>
      <c r="T18" s="40"/>
      <c r="U18" s="53">
        <f t="shared" si="1"/>
        <v>0</v>
      </c>
      <c r="V18" s="59"/>
      <c r="W18" s="59"/>
      <c r="X18" s="59"/>
    </row>
    <row r="19" spans="1:26">
      <c r="A19" s="41" t="s">
        <v>77</v>
      </c>
      <c r="B19" s="42"/>
      <c r="C19" s="42"/>
      <c r="D19" s="43">
        <f>SUM(D4:D18)</f>
        <v>8060</v>
      </c>
      <c r="E19" s="43">
        <f>SUM(E4:E18)</f>
        <v>0</v>
      </c>
      <c r="F19" s="55">
        <f>SUM(F4:F18)</f>
        <v>990</v>
      </c>
      <c r="G19" s="55">
        <f t="shared" ref="G19:L19" si="4">SUM(G4:G18)</f>
        <v>0</v>
      </c>
      <c r="H19" s="55">
        <f t="shared" si="4"/>
        <v>0</v>
      </c>
      <c r="I19" s="55">
        <f t="shared" si="4"/>
        <v>0</v>
      </c>
      <c r="J19" s="55">
        <f t="shared" si="4"/>
        <v>440</v>
      </c>
      <c r="K19" s="55">
        <f t="shared" si="4"/>
        <v>1162</v>
      </c>
      <c r="L19" s="55">
        <f t="shared" si="4"/>
        <v>440</v>
      </c>
      <c r="M19" s="55">
        <f t="shared" ref="M19:P19" si="5">SUM(M4:M18)</f>
        <v>493</v>
      </c>
      <c r="N19" s="43">
        <f t="shared" si="5"/>
        <v>0</v>
      </c>
      <c r="O19" s="400">
        <f t="shared" si="5"/>
        <v>668</v>
      </c>
      <c r="P19" s="400">
        <f t="shared" si="5"/>
        <v>5</v>
      </c>
      <c r="Q19" s="55">
        <f>SUM(Q4:Q18)</f>
        <v>4198</v>
      </c>
      <c r="R19" s="55">
        <f>SUM(R4:R18)</f>
        <v>12258</v>
      </c>
      <c r="S19" s="55">
        <f t="shared" ref="S19:T19" si="6">SUM(S4:S18)</f>
        <v>2390310</v>
      </c>
      <c r="T19" s="55">
        <f t="shared" si="6"/>
        <v>0</v>
      </c>
      <c r="U19" s="405">
        <f>SUM(U4:U18)</f>
        <v>0</v>
      </c>
    </row>
    <row r="20" spans="1:26">
      <c r="A20" s="56"/>
      <c r="D20" s="57"/>
      <c r="E20" s="57"/>
      <c r="N20" s="57"/>
      <c r="O20" s="57"/>
      <c r="P20" s="57"/>
      <c r="Q20" s="45" t="s">
        <v>35</v>
      </c>
      <c r="R20" s="58">
        <f>'SOH-MAY'!BI25</f>
        <v>12191</v>
      </c>
      <c r="S20" s="59"/>
    </row>
    <row r="21" spans="1:26">
      <c r="A21" s="56"/>
      <c r="D21" s="57"/>
      <c r="E21" s="57"/>
      <c r="N21" s="57"/>
      <c r="O21" s="57"/>
      <c r="P21" s="57"/>
      <c r="Q21" s="45" t="s">
        <v>78</v>
      </c>
      <c r="R21" s="58">
        <f>R19</f>
        <v>12258</v>
      </c>
      <c r="S21" s="59"/>
    </row>
    <row r="22" spans="1:26" s="39" customFormat="1">
      <c r="A22" s="48"/>
      <c r="D22" s="49"/>
      <c r="E22" s="49"/>
      <c r="N22" s="49"/>
      <c r="O22" s="49"/>
      <c r="P22" s="49"/>
      <c r="Q22" s="51"/>
      <c r="R22" s="52">
        <f>R21-R20</f>
        <v>67</v>
      </c>
      <c r="S22" s="50"/>
      <c r="V22"/>
      <c r="W22"/>
      <c r="X22"/>
      <c r="Y22"/>
      <c r="Z22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1"/>
  <sheetViews>
    <sheetView workbookViewId="0">
      <selection activeCell="AA18" sqref="AA18"/>
    </sheetView>
  </sheetViews>
  <sheetFormatPr defaultRowHeight="15"/>
  <cols>
    <col min="1" max="1" width="18.28515625" bestFit="1" customWidth="1"/>
    <col min="2" max="2" width="4.42578125" bestFit="1" customWidth="1"/>
    <col min="3" max="3" width="5.28515625" bestFit="1" customWidth="1"/>
    <col min="4" max="4" width="12.140625" bestFit="1" customWidth="1"/>
    <col min="5" max="5" width="8.42578125" hidden="1" customWidth="1"/>
    <col min="6" max="8" width="7" hidden="1" customWidth="1"/>
    <col min="9" max="9" width="7.42578125" hidden="1" customWidth="1"/>
    <col min="10" max="10" width="7.85546875" hidden="1" customWidth="1"/>
    <col min="11" max="11" width="8.140625" hidden="1" customWidth="1"/>
    <col min="12" max="12" width="9.28515625" bestFit="1" customWidth="1"/>
    <col min="13" max="13" width="8" customWidth="1"/>
    <col min="14" max="14" width="16.140625" customWidth="1"/>
    <col min="15" max="15" width="10.140625" bestFit="1" customWidth="1"/>
    <col min="16" max="16" width="13.28515625" customWidth="1"/>
    <col min="17" max="17" width="10.5703125" customWidth="1"/>
    <col min="18" max="18" width="11.5703125" bestFit="1" customWidth="1"/>
  </cols>
  <sheetData>
    <row r="1" spans="1:26" ht="20.25">
      <c r="A1" s="10" t="str">
        <f>'EXPEDITION '!B3</f>
        <v>DATE: MAY 31,2026</v>
      </c>
    </row>
    <row r="2" spans="1:26" ht="99">
      <c r="A2" s="33" t="s">
        <v>9</v>
      </c>
      <c r="B2" s="33" t="s">
        <v>36</v>
      </c>
      <c r="C2" s="34" t="s">
        <v>37</v>
      </c>
      <c r="D2" s="34" t="str">
        <f>'EXEL 2.4 (SOH MINE)'!D3</f>
        <v>SOH SURFACE AS OF MAY 31 2026</v>
      </c>
      <c r="E2" s="34" t="s">
        <v>67</v>
      </c>
      <c r="F2" s="34" t="s">
        <v>68</v>
      </c>
      <c r="G2" s="34" t="s">
        <v>69</v>
      </c>
      <c r="H2" s="34" t="s">
        <v>70</v>
      </c>
      <c r="I2" s="34" t="s">
        <v>71</v>
      </c>
      <c r="J2" s="34" t="s">
        <v>72</v>
      </c>
      <c r="K2" s="34" t="s">
        <v>73</v>
      </c>
      <c r="L2" s="34" t="s">
        <v>108</v>
      </c>
      <c r="M2" s="34" t="s">
        <v>74</v>
      </c>
      <c r="N2" s="34" t="str">
        <f>'EXEL 2.4 (SOH MINE)'!N3</f>
        <v>SOH UNDERGROUND  MAY 31,2026</v>
      </c>
      <c r="O2" s="34" t="s">
        <v>75</v>
      </c>
      <c r="P2" s="34" t="s">
        <v>27</v>
      </c>
      <c r="Q2" s="34" t="str">
        <f>'INVENTORY-MAY'!AW7</f>
        <v xml:space="preserve">TO BE WITHDRAWN FROM SUPPLIER MAGAZINE ON             </v>
      </c>
      <c r="R2" s="34" t="s">
        <v>27</v>
      </c>
    </row>
    <row r="3" spans="1:26" ht="25.5">
      <c r="A3" s="35" t="s">
        <v>80</v>
      </c>
      <c r="B3" s="60"/>
      <c r="C3" s="38"/>
      <c r="D3" s="31"/>
      <c r="E3" s="78"/>
      <c r="F3" s="31"/>
      <c r="G3" s="31"/>
      <c r="H3" s="31"/>
      <c r="I3" s="31"/>
      <c r="J3" s="31"/>
      <c r="K3" s="31"/>
      <c r="L3" s="31"/>
      <c r="M3" s="31"/>
      <c r="N3" s="31"/>
      <c r="O3" s="31"/>
      <c r="P3" s="37"/>
      <c r="Q3" s="38"/>
      <c r="R3" s="38"/>
    </row>
    <row r="4" spans="1:26">
      <c r="A4" s="61">
        <v>1</v>
      </c>
      <c r="B4" s="72" t="s">
        <v>39</v>
      </c>
      <c r="C4" s="72">
        <v>180.35714285714283</v>
      </c>
      <c r="D4" s="73">
        <v>0</v>
      </c>
      <c r="E4" s="73"/>
      <c r="F4" s="73"/>
      <c r="G4" s="73"/>
      <c r="H4" s="73"/>
      <c r="I4" s="40"/>
      <c r="J4" s="40"/>
      <c r="K4" s="40"/>
      <c r="L4" s="40"/>
      <c r="M4" s="74"/>
      <c r="N4" s="73">
        <f>M4+L4+J4+I4+H4+G4+F4+E4+K4</f>
        <v>0</v>
      </c>
      <c r="O4" s="74">
        <f>N4+D4</f>
        <v>0</v>
      </c>
      <c r="P4" s="74">
        <f t="shared" ref="P4:P18" si="0">O4*C4</f>
        <v>0</v>
      </c>
      <c r="Q4" s="73"/>
      <c r="R4" s="53">
        <f t="shared" ref="R4:R18" si="1">C4*Q4</f>
        <v>0</v>
      </c>
      <c r="S4" s="59"/>
      <c r="T4" s="59"/>
      <c r="U4" s="59"/>
      <c r="V4" s="59"/>
      <c r="W4" s="59"/>
      <c r="X4" s="59"/>
      <c r="Z4" s="59"/>
    </row>
    <row r="5" spans="1:26">
      <c r="A5" s="61">
        <v>2</v>
      </c>
      <c r="B5" s="72" t="s">
        <v>39</v>
      </c>
      <c r="C5" s="72">
        <v>180.35714285714283</v>
      </c>
      <c r="D5" s="73">
        <v>204</v>
      </c>
      <c r="E5" s="73"/>
      <c r="F5" s="73"/>
      <c r="G5" s="73"/>
      <c r="H5" s="73"/>
      <c r="I5" s="40"/>
      <c r="J5" s="40"/>
      <c r="K5" s="40"/>
      <c r="L5" s="40"/>
      <c r="M5" s="74"/>
      <c r="N5" s="73">
        <f t="shared" ref="N5:N18" si="2">M5+L5+J5+I5+H5+G5+F5+E5+K5</f>
        <v>0</v>
      </c>
      <c r="O5" s="74">
        <f t="shared" ref="O5:O18" si="3">N5+D5</f>
        <v>204</v>
      </c>
      <c r="P5" s="74">
        <f t="shared" si="0"/>
        <v>36792.857142857138</v>
      </c>
      <c r="Q5" s="73"/>
      <c r="R5" s="53">
        <f t="shared" si="1"/>
        <v>0</v>
      </c>
      <c r="S5" s="59"/>
      <c r="T5" s="59"/>
      <c r="U5" s="59"/>
      <c r="V5" s="59"/>
      <c r="W5" s="59"/>
      <c r="X5" s="59"/>
      <c r="Z5" s="59"/>
    </row>
    <row r="6" spans="1:26">
      <c r="A6" s="61">
        <v>3</v>
      </c>
      <c r="B6" s="72" t="s">
        <v>39</v>
      </c>
      <c r="C6" s="72">
        <v>180.35714285714283</v>
      </c>
      <c r="D6" s="73">
        <v>1956</v>
      </c>
      <c r="E6" s="73"/>
      <c r="F6" s="73"/>
      <c r="G6" s="73"/>
      <c r="H6" s="73"/>
      <c r="I6" s="73"/>
      <c r="J6" s="73"/>
      <c r="K6" s="73"/>
      <c r="L6" s="73"/>
      <c r="M6" s="74"/>
      <c r="N6" s="73">
        <f t="shared" si="2"/>
        <v>0</v>
      </c>
      <c r="O6" s="74">
        <f t="shared" si="3"/>
        <v>1956</v>
      </c>
      <c r="P6" s="74">
        <f t="shared" si="0"/>
        <v>352778.57142857136</v>
      </c>
      <c r="Q6" s="73"/>
      <c r="R6" s="53">
        <f t="shared" si="1"/>
        <v>0</v>
      </c>
      <c r="S6" s="59"/>
      <c r="T6" s="59"/>
      <c r="U6" s="59"/>
      <c r="V6" s="59"/>
      <c r="W6" s="59"/>
      <c r="X6" s="59"/>
      <c r="Z6" s="59"/>
    </row>
    <row r="7" spans="1:26">
      <c r="A7" s="61">
        <v>4</v>
      </c>
      <c r="B7" s="72" t="s">
        <v>39</v>
      </c>
      <c r="C7" s="72">
        <v>180.35714285714283</v>
      </c>
      <c r="D7" s="73">
        <v>766</v>
      </c>
      <c r="E7" s="73"/>
      <c r="F7" s="73"/>
      <c r="G7" s="73"/>
      <c r="H7" s="73"/>
      <c r="I7" s="73"/>
      <c r="J7" s="73"/>
      <c r="K7" s="73"/>
      <c r="L7" s="73"/>
      <c r="M7" s="74"/>
      <c r="N7" s="73">
        <f t="shared" si="2"/>
        <v>0</v>
      </c>
      <c r="O7" s="74">
        <f t="shared" si="3"/>
        <v>766</v>
      </c>
      <c r="P7" s="74">
        <f t="shared" si="0"/>
        <v>138153.57142857142</v>
      </c>
      <c r="Q7" s="73"/>
      <c r="R7" s="53">
        <f t="shared" si="1"/>
        <v>0</v>
      </c>
      <c r="S7" s="59"/>
      <c r="T7" s="59"/>
      <c r="U7" s="59"/>
      <c r="V7" s="59"/>
      <c r="W7" s="59"/>
      <c r="X7" s="59"/>
      <c r="Z7" s="59"/>
    </row>
    <row r="8" spans="1:26">
      <c r="A8" s="61">
        <v>5</v>
      </c>
      <c r="B8" s="72" t="s">
        <v>39</v>
      </c>
      <c r="C8" s="72">
        <v>180.35714285714283</v>
      </c>
      <c r="D8" s="73">
        <v>1</v>
      </c>
      <c r="E8" s="73"/>
      <c r="F8" s="73"/>
      <c r="G8" s="73"/>
      <c r="H8" s="73"/>
      <c r="I8" s="73"/>
      <c r="J8" s="73"/>
      <c r="K8" s="73"/>
      <c r="L8" s="73"/>
      <c r="M8" s="74"/>
      <c r="N8" s="73">
        <f t="shared" si="2"/>
        <v>0</v>
      </c>
      <c r="O8" s="74">
        <f t="shared" si="3"/>
        <v>1</v>
      </c>
      <c r="P8" s="74">
        <f t="shared" si="0"/>
        <v>180.35714285714283</v>
      </c>
      <c r="Q8" s="73"/>
      <c r="R8" s="53">
        <f t="shared" si="1"/>
        <v>0</v>
      </c>
      <c r="S8" s="59"/>
      <c r="T8" s="59"/>
      <c r="U8" s="59"/>
      <c r="V8" s="59"/>
      <c r="W8" s="59"/>
      <c r="X8" s="59"/>
      <c r="Z8" s="59"/>
    </row>
    <row r="9" spans="1:26">
      <c r="A9" s="61">
        <v>6</v>
      </c>
      <c r="B9" s="72" t="s">
        <v>39</v>
      </c>
      <c r="C9" s="72">
        <v>180.35714285714283</v>
      </c>
      <c r="D9" s="73">
        <v>69</v>
      </c>
      <c r="E9" s="73"/>
      <c r="F9" s="73"/>
      <c r="G9" s="73"/>
      <c r="H9" s="73"/>
      <c r="I9" s="73"/>
      <c r="J9" s="73"/>
      <c r="K9" s="73"/>
      <c r="L9" s="73"/>
      <c r="M9" s="74"/>
      <c r="N9" s="73">
        <f t="shared" si="2"/>
        <v>0</v>
      </c>
      <c r="O9" s="74">
        <f t="shared" si="3"/>
        <v>69</v>
      </c>
      <c r="P9" s="74">
        <f t="shared" si="0"/>
        <v>12444.642857142855</v>
      </c>
      <c r="Q9" s="73"/>
      <c r="R9" s="53">
        <f t="shared" si="1"/>
        <v>0</v>
      </c>
      <c r="S9" s="59"/>
      <c r="T9" s="59"/>
      <c r="U9" s="59"/>
      <c r="V9" s="59"/>
      <c r="W9" s="59"/>
      <c r="X9" s="59"/>
      <c r="Z9" s="59"/>
    </row>
    <row r="10" spans="1:26">
      <c r="A10" s="61">
        <v>7</v>
      </c>
      <c r="B10" s="72" t="s">
        <v>39</v>
      </c>
      <c r="C10" s="72">
        <v>180.35714285714283</v>
      </c>
      <c r="D10" s="73">
        <v>217</v>
      </c>
      <c r="E10" s="73"/>
      <c r="F10" s="73"/>
      <c r="G10" s="73"/>
      <c r="H10" s="73"/>
      <c r="I10" s="73"/>
      <c r="J10" s="73"/>
      <c r="K10" s="73"/>
      <c r="L10" s="73"/>
      <c r="M10" s="74"/>
      <c r="N10" s="73">
        <f t="shared" si="2"/>
        <v>0</v>
      </c>
      <c r="O10" s="74">
        <f t="shared" si="3"/>
        <v>217</v>
      </c>
      <c r="P10" s="74">
        <f t="shared" si="0"/>
        <v>39137.499999999993</v>
      </c>
      <c r="Q10" s="73"/>
      <c r="R10" s="53">
        <f t="shared" si="1"/>
        <v>0</v>
      </c>
      <c r="S10" s="59"/>
      <c r="T10" s="59"/>
      <c r="U10" s="59"/>
      <c r="V10" s="59"/>
      <c r="W10" s="59"/>
      <c r="X10" s="59"/>
      <c r="Z10" s="59"/>
    </row>
    <row r="11" spans="1:26">
      <c r="A11" s="61">
        <v>8</v>
      </c>
      <c r="B11" s="72" t="s">
        <v>39</v>
      </c>
      <c r="C11" s="72">
        <v>180.35714285714283</v>
      </c>
      <c r="D11" s="73">
        <v>846</v>
      </c>
      <c r="E11" s="73"/>
      <c r="F11" s="73"/>
      <c r="G11" s="73"/>
      <c r="H11" s="73"/>
      <c r="I11" s="73"/>
      <c r="J11" s="73"/>
      <c r="K11" s="73"/>
      <c r="L11" s="73"/>
      <c r="M11" s="74"/>
      <c r="N11" s="73">
        <f t="shared" si="2"/>
        <v>0</v>
      </c>
      <c r="O11" s="74">
        <f t="shared" si="3"/>
        <v>846</v>
      </c>
      <c r="P11" s="74">
        <f t="shared" si="0"/>
        <v>152582.14285714284</v>
      </c>
      <c r="Q11" s="73"/>
      <c r="R11" s="53">
        <f t="shared" si="1"/>
        <v>0</v>
      </c>
      <c r="S11" s="59"/>
      <c r="T11" s="59"/>
      <c r="U11" s="59"/>
      <c r="V11" s="59"/>
      <c r="W11" s="59"/>
      <c r="X11" s="59"/>
      <c r="Z11" s="59"/>
    </row>
    <row r="12" spans="1:26">
      <c r="A12" s="61">
        <v>9</v>
      </c>
      <c r="B12" s="72" t="s">
        <v>39</v>
      </c>
      <c r="C12" s="72">
        <v>180.35714285714283</v>
      </c>
      <c r="D12" s="73">
        <v>2296</v>
      </c>
      <c r="E12" s="73"/>
      <c r="F12" s="73"/>
      <c r="G12" s="73"/>
      <c r="H12" s="73"/>
      <c r="I12" s="73"/>
      <c r="J12" s="73"/>
      <c r="K12" s="73"/>
      <c r="L12" s="73"/>
      <c r="M12" s="74"/>
      <c r="N12" s="73">
        <f t="shared" si="2"/>
        <v>0</v>
      </c>
      <c r="O12" s="74">
        <f t="shared" si="3"/>
        <v>2296</v>
      </c>
      <c r="P12" s="74">
        <f t="shared" si="0"/>
        <v>414099.99999999994</v>
      </c>
      <c r="Q12" s="73"/>
      <c r="R12" s="53">
        <f t="shared" si="1"/>
        <v>0</v>
      </c>
      <c r="S12" s="59"/>
      <c r="T12" s="59"/>
      <c r="U12" s="59"/>
      <c r="V12" s="59"/>
      <c r="W12" s="59"/>
      <c r="X12" s="59"/>
      <c r="Z12" s="59"/>
    </row>
    <row r="13" spans="1:26">
      <c r="A13" s="61">
        <v>10</v>
      </c>
      <c r="B13" s="72" t="s">
        <v>39</v>
      </c>
      <c r="C13" s="72">
        <v>180.35714285714283</v>
      </c>
      <c r="D13" s="73">
        <v>3418</v>
      </c>
      <c r="E13" s="73"/>
      <c r="F13" s="73"/>
      <c r="G13" s="73"/>
      <c r="H13" s="73"/>
      <c r="I13" s="73"/>
      <c r="J13" s="73"/>
      <c r="K13" s="73"/>
      <c r="L13" s="73"/>
      <c r="M13" s="74"/>
      <c r="N13" s="73">
        <f t="shared" si="2"/>
        <v>0</v>
      </c>
      <c r="O13" s="74">
        <f t="shared" si="3"/>
        <v>3418</v>
      </c>
      <c r="P13" s="74">
        <f t="shared" si="0"/>
        <v>616460.7142857142</v>
      </c>
      <c r="Q13" s="73"/>
      <c r="R13" s="53">
        <f t="shared" si="1"/>
        <v>0</v>
      </c>
      <c r="S13" s="59"/>
      <c r="T13" s="59"/>
      <c r="U13" s="59"/>
      <c r="V13" s="59"/>
      <c r="W13" s="59"/>
      <c r="X13" s="59"/>
      <c r="Z13" s="59"/>
    </row>
    <row r="14" spans="1:26">
      <c r="A14" s="61">
        <v>11</v>
      </c>
      <c r="B14" s="72" t="s">
        <v>39</v>
      </c>
      <c r="C14" s="72">
        <v>180.35714285714283</v>
      </c>
      <c r="D14" s="73">
        <v>3678</v>
      </c>
      <c r="E14" s="73"/>
      <c r="F14" s="73"/>
      <c r="G14" s="73"/>
      <c r="H14" s="73"/>
      <c r="I14" s="73"/>
      <c r="J14" s="73"/>
      <c r="K14" s="73"/>
      <c r="L14" s="73"/>
      <c r="M14" s="74"/>
      <c r="N14" s="73">
        <f t="shared" si="2"/>
        <v>0</v>
      </c>
      <c r="O14" s="74">
        <f t="shared" si="3"/>
        <v>3678</v>
      </c>
      <c r="P14" s="74">
        <f t="shared" si="0"/>
        <v>663353.57142857136</v>
      </c>
      <c r="Q14" s="73"/>
      <c r="R14" s="53">
        <f t="shared" si="1"/>
        <v>0</v>
      </c>
      <c r="S14" s="59"/>
      <c r="T14" s="59"/>
      <c r="U14" s="59"/>
      <c r="V14" s="59"/>
      <c r="W14" s="59"/>
      <c r="X14" s="59"/>
      <c r="Z14" s="59"/>
    </row>
    <row r="15" spans="1:26">
      <c r="A15" s="61">
        <v>12</v>
      </c>
      <c r="B15" s="72" t="s">
        <v>39</v>
      </c>
      <c r="C15" s="72">
        <v>180.35714285714283</v>
      </c>
      <c r="D15" s="73">
        <v>2908</v>
      </c>
      <c r="E15" s="73"/>
      <c r="F15" s="73"/>
      <c r="G15" s="73"/>
      <c r="H15" s="73"/>
      <c r="I15" s="73"/>
      <c r="J15" s="73"/>
      <c r="K15" s="73"/>
      <c r="L15" s="73"/>
      <c r="M15" s="74"/>
      <c r="N15" s="73">
        <f t="shared" si="2"/>
        <v>0</v>
      </c>
      <c r="O15" s="74">
        <f t="shared" si="3"/>
        <v>2908</v>
      </c>
      <c r="P15" s="74">
        <f t="shared" si="0"/>
        <v>524478.57142857136</v>
      </c>
      <c r="Q15" s="73"/>
      <c r="R15" s="53">
        <f t="shared" si="1"/>
        <v>0</v>
      </c>
      <c r="S15" s="59"/>
      <c r="T15" s="59"/>
      <c r="U15" s="59"/>
      <c r="V15" s="59"/>
      <c r="W15" s="59"/>
      <c r="X15" s="59"/>
      <c r="Z15" s="59"/>
    </row>
    <row r="16" spans="1:26">
      <c r="A16" s="61">
        <v>13</v>
      </c>
      <c r="B16" s="72" t="s">
        <v>39</v>
      </c>
      <c r="C16" s="72">
        <v>180.35714285714283</v>
      </c>
      <c r="D16" s="73">
        <v>0</v>
      </c>
      <c r="E16" s="73"/>
      <c r="F16" s="73"/>
      <c r="G16" s="73"/>
      <c r="H16" s="73"/>
      <c r="I16" s="73"/>
      <c r="J16" s="73"/>
      <c r="K16" s="73"/>
      <c r="L16" s="73"/>
      <c r="M16" s="74"/>
      <c r="N16" s="73">
        <f t="shared" si="2"/>
        <v>0</v>
      </c>
      <c r="O16" s="74">
        <f t="shared" si="3"/>
        <v>0</v>
      </c>
      <c r="P16" s="74">
        <f t="shared" si="0"/>
        <v>0</v>
      </c>
      <c r="Q16" s="73"/>
      <c r="R16" s="53">
        <f t="shared" si="1"/>
        <v>0</v>
      </c>
      <c r="S16" s="59"/>
      <c r="T16" s="59"/>
      <c r="U16" s="59"/>
      <c r="V16" s="59"/>
      <c r="W16" s="59"/>
      <c r="X16" s="59"/>
      <c r="Y16" s="59"/>
      <c r="Z16" s="59"/>
    </row>
    <row r="17" spans="1:21">
      <c r="A17" s="61">
        <v>14</v>
      </c>
      <c r="B17" s="72" t="s">
        <v>39</v>
      </c>
      <c r="C17" s="72">
        <v>180.35714285714283</v>
      </c>
      <c r="D17" s="73">
        <v>0</v>
      </c>
      <c r="E17" s="73"/>
      <c r="F17" s="73"/>
      <c r="G17" s="73"/>
      <c r="H17" s="73"/>
      <c r="I17" s="73"/>
      <c r="J17" s="73"/>
      <c r="K17" s="73"/>
      <c r="L17" s="73"/>
      <c r="M17" s="74"/>
      <c r="N17" s="73">
        <f t="shared" si="2"/>
        <v>0</v>
      </c>
      <c r="O17" s="74">
        <f t="shared" si="3"/>
        <v>0</v>
      </c>
      <c r="P17" s="74">
        <f t="shared" si="0"/>
        <v>0</v>
      </c>
      <c r="Q17" s="73"/>
      <c r="R17" s="53">
        <f t="shared" si="1"/>
        <v>0</v>
      </c>
      <c r="S17" s="59"/>
      <c r="T17" s="59"/>
      <c r="U17" s="59"/>
    </row>
    <row r="18" spans="1:21">
      <c r="A18" s="61">
        <v>15</v>
      </c>
      <c r="B18" s="72" t="s">
        <v>39</v>
      </c>
      <c r="C18" s="72">
        <v>180.35714285714283</v>
      </c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4"/>
      <c r="N18" s="73">
        <f t="shared" si="2"/>
        <v>0</v>
      </c>
      <c r="O18" s="74">
        <f t="shared" si="3"/>
        <v>0</v>
      </c>
      <c r="P18" s="74">
        <f t="shared" si="0"/>
        <v>0</v>
      </c>
      <c r="Q18" s="73"/>
      <c r="R18" s="53">
        <f t="shared" si="1"/>
        <v>0</v>
      </c>
      <c r="S18" s="59"/>
      <c r="T18" s="59"/>
      <c r="U18" s="59"/>
    </row>
    <row r="19" spans="1:21">
      <c r="A19" s="41" t="s">
        <v>77</v>
      </c>
      <c r="B19" s="75"/>
      <c r="C19" s="75"/>
      <c r="D19" s="76">
        <f>SUM(D4:D18)</f>
        <v>16359</v>
      </c>
      <c r="E19" s="76">
        <f>SUM(E4:E18)</f>
        <v>0</v>
      </c>
      <c r="F19" s="76">
        <f t="shared" ref="F19:J19" si="4">SUM(F4:F18)</f>
        <v>0</v>
      </c>
      <c r="G19" s="76">
        <f t="shared" si="4"/>
        <v>0</v>
      </c>
      <c r="H19" s="76">
        <f t="shared" si="4"/>
        <v>0</v>
      </c>
      <c r="I19" s="76">
        <f>SUM(I4:I18)</f>
        <v>0</v>
      </c>
      <c r="J19" s="76">
        <f t="shared" si="4"/>
        <v>0</v>
      </c>
      <c r="K19" s="76">
        <f t="shared" ref="K19" si="5">SUM(K4:K18)</f>
        <v>0</v>
      </c>
      <c r="L19" s="430">
        <f>SUM(L4:L18)</f>
        <v>0</v>
      </c>
      <c r="M19" s="76">
        <f>SUM(M4:M15)</f>
        <v>0</v>
      </c>
      <c r="N19" s="76">
        <f t="shared" ref="N19:R19" si="6">SUM(N4:N18)</f>
        <v>0</v>
      </c>
      <c r="O19" s="77">
        <f>SUM(O4:O18)</f>
        <v>16359</v>
      </c>
      <c r="P19" s="77">
        <f t="shared" si="6"/>
        <v>2950462.4999999995</v>
      </c>
      <c r="Q19" s="77">
        <f t="shared" si="6"/>
        <v>0</v>
      </c>
      <c r="R19" s="54">
        <f t="shared" si="6"/>
        <v>0</v>
      </c>
    </row>
    <row r="20" spans="1:21">
      <c r="N20" s="45" t="s">
        <v>35</v>
      </c>
      <c r="O20" s="58">
        <f>'SOH-MAY'!BI20</f>
        <v>16364</v>
      </c>
    </row>
    <row r="21" spans="1:21">
      <c r="N21" s="45" t="s">
        <v>78</v>
      </c>
      <c r="O21" s="58">
        <f>O19</f>
        <v>16359</v>
      </c>
    </row>
    <row r="22" spans="1:21">
      <c r="D22" s="59"/>
      <c r="O22" s="59">
        <f>O21-O20</f>
        <v>-5</v>
      </c>
    </row>
    <row r="40" spans="14:15">
      <c r="N40">
        <v>6</v>
      </c>
      <c r="O40">
        <v>100</v>
      </c>
    </row>
    <row r="41" spans="14:15">
      <c r="N41">
        <v>11</v>
      </c>
      <c r="O41">
        <v>100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S69"/>
  <sheetViews>
    <sheetView topLeftCell="B1" zoomScale="91" zoomScaleNormal="91" workbookViewId="0">
      <selection activeCell="C28" sqref="C28"/>
    </sheetView>
  </sheetViews>
  <sheetFormatPr defaultColWidth="9" defaultRowHeight="15"/>
  <cols>
    <col min="1" max="1" width="9" style="67"/>
    <col min="2" max="2" width="22.7109375" style="67" customWidth="1"/>
    <col min="3" max="3" width="22" style="67" customWidth="1"/>
    <col min="4" max="4" width="14" style="67" customWidth="1"/>
    <col min="5" max="5" width="16.85546875" style="67" customWidth="1"/>
    <col min="6" max="6" width="11.42578125" style="67" bestFit="1" customWidth="1"/>
    <col min="7" max="7" width="13.28515625" style="67" bestFit="1" customWidth="1"/>
    <col min="8" max="8" width="19.42578125" style="67" bestFit="1" customWidth="1"/>
    <col min="9" max="9" width="10.140625" style="67" customWidth="1"/>
    <col min="10" max="10" width="9" style="67"/>
    <col min="11" max="11" width="10.7109375" style="67" bestFit="1" customWidth="1"/>
    <col min="12" max="13" width="9.5703125" style="67" bestFit="1" customWidth="1"/>
    <col min="14" max="14" width="11.42578125" style="67" bestFit="1" customWidth="1"/>
    <col min="15" max="15" width="9.5703125" style="67" bestFit="1" customWidth="1"/>
    <col min="16" max="16" width="9" style="67"/>
    <col min="17" max="17" width="9.5703125" style="67" bestFit="1" customWidth="1"/>
    <col min="18" max="16384" width="9" style="67"/>
  </cols>
  <sheetData>
    <row r="2" spans="2:14" ht="20.25">
      <c r="C2" s="8"/>
      <c r="D2" s="8"/>
      <c r="E2" s="8"/>
      <c r="F2" s="8"/>
      <c r="G2" s="8"/>
      <c r="H2" s="8"/>
    </row>
    <row r="3" spans="2:14" ht="20.25">
      <c r="B3" s="10" t="s">
        <v>713</v>
      </c>
      <c r="C3" s="9"/>
      <c r="D3" s="9"/>
      <c r="E3" s="9"/>
      <c r="F3" s="9"/>
      <c r="G3" s="9"/>
      <c r="H3" s="9"/>
    </row>
    <row r="4" spans="2:14" ht="20.25">
      <c r="B4" s="10"/>
      <c r="C4" s="8"/>
      <c r="D4" s="8"/>
      <c r="E4" s="8"/>
      <c r="F4" s="8"/>
      <c r="G4" s="8"/>
      <c r="H4" s="8"/>
    </row>
    <row r="5" spans="2:14" ht="20.25">
      <c r="B5" s="11" t="s">
        <v>7</v>
      </c>
      <c r="C5" s="11"/>
      <c r="D5" s="11"/>
      <c r="E5" s="11"/>
      <c r="F5" s="11"/>
      <c r="G5" s="11"/>
      <c r="H5" s="11"/>
    </row>
    <row r="6" spans="2:14" ht="20.25">
      <c r="B6" s="11" t="s">
        <v>8</v>
      </c>
      <c r="C6" s="11"/>
      <c r="D6" s="11"/>
      <c r="E6" s="11"/>
      <c r="F6" s="11"/>
      <c r="G6" s="11"/>
      <c r="H6" s="11"/>
    </row>
    <row r="7" spans="2:14" ht="16.5" thickBot="1">
      <c r="B7" s="598"/>
      <c r="C7" s="598"/>
      <c r="D7" s="598"/>
      <c r="E7" s="598"/>
      <c r="F7" s="598"/>
      <c r="G7" s="598"/>
      <c r="H7" s="598"/>
    </row>
    <row r="8" spans="2:14" ht="17.25" customHeight="1">
      <c r="B8" s="599" t="s">
        <v>9</v>
      </c>
      <c r="C8" s="603" t="s">
        <v>10</v>
      </c>
      <c r="D8" s="606"/>
      <c r="E8" s="606"/>
      <c r="F8" s="607"/>
      <c r="G8" s="603" t="s">
        <v>11</v>
      </c>
      <c r="H8" s="592" t="s">
        <v>12</v>
      </c>
    </row>
    <row r="9" spans="2:14" ht="15.75" thickBot="1">
      <c r="B9" s="600"/>
      <c r="C9" s="604"/>
      <c r="D9" s="608"/>
      <c r="E9" s="608"/>
      <c r="F9" s="609"/>
      <c r="G9" s="604"/>
      <c r="H9" s="593"/>
    </row>
    <row r="10" spans="2:14" ht="16.5" thickBot="1">
      <c r="B10" s="601"/>
      <c r="C10" s="288" t="s">
        <v>541</v>
      </c>
      <c r="D10" s="289" t="s">
        <v>39</v>
      </c>
      <c r="E10" s="288" t="s">
        <v>40</v>
      </c>
      <c r="F10" s="289" t="s">
        <v>538</v>
      </c>
      <c r="G10" s="605"/>
      <c r="H10" s="594"/>
    </row>
    <row r="11" spans="2:14" ht="15.75">
      <c r="B11" s="24" t="s">
        <v>13</v>
      </c>
      <c r="C11" s="16">
        <f>2392-100-75</f>
        <v>2217</v>
      </c>
      <c r="D11" s="17">
        <f>C11*215</f>
        <v>476655</v>
      </c>
      <c r="E11" s="17"/>
      <c r="F11" s="17"/>
      <c r="G11" s="248">
        <v>29.5639</v>
      </c>
      <c r="H11" s="25">
        <f>D11*G11</f>
        <v>14091780.7545</v>
      </c>
    </row>
    <row r="12" spans="2:14" ht="15.75">
      <c r="B12" s="24" t="s">
        <v>14</v>
      </c>
      <c r="C12" s="16">
        <f>5250-600-350</f>
        <v>4300</v>
      </c>
      <c r="D12" s="17"/>
      <c r="E12" s="17">
        <f>C12*25</f>
        <v>107500</v>
      </c>
      <c r="F12" s="17"/>
      <c r="G12" s="18">
        <v>145.88</v>
      </c>
      <c r="H12" s="25">
        <f>E12*G12</f>
        <v>15682100</v>
      </c>
      <c r="I12" s="85"/>
    </row>
    <row r="13" spans="2:14" ht="15.75">
      <c r="B13" s="24" t="s">
        <v>15</v>
      </c>
      <c r="C13" s="17">
        <f>105-4-4</f>
        <v>97</v>
      </c>
      <c r="D13" s="19"/>
      <c r="E13" s="19"/>
      <c r="F13" s="16">
        <f>C13*1000</f>
        <v>97000</v>
      </c>
      <c r="G13" s="18">
        <v>27.66</v>
      </c>
      <c r="H13" s="25">
        <f>F13*G13</f>
        <v>2683020</v>
      </c>
    </row>
    <row r="14" spans="2:14" ht="15.75">
      <c r="B14" s="24" t="s">
        <v>16</v>
      </c>
      <c r="C14" s="16">
        <f>355-15-10</f>
        <v>330</v>
      </c>
      <c r="D14" s="16">
        <f>C14*100</f>
        <v>33000</v>
      </c>
      <c r="E14" s="16"/>
      <c r="F14" s="16"/>
      <c r="G14" s="304">
        <v>26.25</v>
      </c>
      <c r="H14" s="25">
        <f>D14*G14</f>
        <v>866250</v>
      </c>
      <c r="N14" s="216"/>
    </row>
    <row r="15" spans="2:14" ht="15.75">
      <c r="B15" s="24" t="s">
        <v>17</v>
      </c>
      <c r="C15" s="16">
        <v>85</v>
      </c>
      <c r="D15" s="16">
        <f>C15*50</f>
        <v>4250</v>
      </c>
      <c r="E15" s="16"/>
      <c r="F15" s="16"/>
      <c r="G15" s="18">
        <v>20.62</v>
      </c>
      <c r="H15" s="25">
        <f>D15*G15</f>
        <v>87635</v>
      </c>
    </row>
    <row r="16" spans="2:14" ht="15.75">
      <c r="B16" s="24" t="s">
        <v>18</v>
      </c>
      <c r="C16" s="17">
        <f>C48</f>
        <v>548</v>
      </c>
      <c r="D16" s="16">
        <f>C16*250</f>
        <v>137000</v>
      </c>
      <c r="E16" s="16"/>
      <c r="F16" s="16"/>
      <c r="G16" s="18">
        <v>189.38</v>
      </c>
      <c r="H16" s="25">
        <f>D16*G16</f>
        <v>25945060</v>
      </c>
    </row>
    <row r="17" spans="2:19" ht="15.75" hidden="1">
      <c r="B17" s="24" t="s">
        <v>19</v>
      </c>
      <c r="C17" s="16">
        <v>0</v>
      </c>
      <c r="D17" s="16"/>
      <c r="E17" s="16"/>
      <c r="F17" s="16"/>
      <c r="G17" s="18">
        <v>207</v>
      </c>
      <c r="H17" s="25">
        <f t="shared" ref="H17:H20" si="0">D17*G17</f>
        <v>0</v>
      </c>
    </row>
    <row r="18" spans="2:19" ht="15.75">
      <c r="B18" s="24" t="s">
        <v>20</v>
      </c>
      <c r="C18" s="16">
        <f>C69</f>
        <v>100</v>
      </c>
      <c r="D18" s="16">
        <f>C18*220</f>
        <v>22000</v>
      </c>
      <c r="E18" s="16"/>
      <c r="F18" s="16"/>
      <c r="G18" s="18">
        <v>195</v>
      </c>
      <c r="H18" s="25">
        <f>D18*G18</f>
        <v>4290000</v>
      </c>
    </row>
    <row r="19" spans="2:19" ht="15.75" hidden="1">
      <c r="B19" s="24" t="s">
        <v>21</v>
      </c>
      <c r="C19" s="16">
        <v>0</v>
      </c>
      <c r="D19" s="16"/>
      <c r="E19" s="16"/>
      <c r="F19" s="16"/>
      <c r="G19" s="18">
        <v>359.83</v>
      </c>
      <c r="H19" s="25">
        <f t="shared" si="0"/>
        <v>0</v>
      </c>
    </row>
    <row r="20" spans="2:19" ht="15.75" hidden="1">
      <c r="B20" s="24" t="s">
        <v>22</v>
      </c>
      <c r="C20" s="16">
        <v>0</v>
      </c>
      <c r="D20" s="16"/>
      <c r="E20" s="16"/>
      <c r="F20" s="16"/>
      <c r="G20" s="18">
        <v>379.46</v>
      </c>
      <c r="H20" s="25">
        <f t="shared" si="0"/>
        <v>0</v>
      </c>
    </row>
    <row r="21" spans="2:19" ht="15.75">
      <c r="B21" s="24" t="s">
        <v>23</v>
      </c>
      <c r="C21" s="16">
        <v>143</v>
      </c>
      <c r="D21" s="16"/>
      <c r="E21" s="16"/>
      <c r="F21" s="16">
        <f>C21*900</f>
        <v>128700</v>
      </c>
      <c r="G21" s="18">
        <v>35.15</v>
      </c>
      <c r="H21" s="25">
        <f>F21*G21</f>
        <v>4523805</v>
      </c>
    </row>
    <row r="22" spans="2:19" ht="15.75" hidden="1">
      <c r="B22" s="24" t="s">
        <v>24</v>
      </c>
      <c r="C22" s="16">
        <v>0</v>
      </c>
      <c r="D22" s="16"/>
      <c r="E22" s="16"/>
      <c r="F22" s="16"/>
      <c r="G22" s="18">
        <v>38.5</v>
      </c>
      <c r="H22" s="25">
        <f t="shared" ref="H22" si="1">F22*G22</f>
        <v>0</v>
      </c>
    </row>
    <row r="23" spans="2:19" ht="15.75">
      <c r="B23" s="24" t="s">
        <v>535</v>
      </c>
      <c r="C23" s="16">
        <v>0</v>
      </c>
      <c r="D23" s="16"/>
      <c r="E23" s="16"/>
      <c r="F23" s="16">
        <f>C23*150</f>
        <v>0</v>
      </c>
      <c r="G23" s="18">
        <v>37.5</v>
      </c>
      <c r="H23" s="25">
        <f>F23*G23</f>
        <v>0</v>
      </c>
    </row>
    <row r="24" spans="2:19" ht="15.75">
      <c r="B24" s="24" t="s">
        <v>25</v>
      </c>
      <c r="C24" s="19">
        <v>0</v>
      </c>
      <c r="D24" s="16"/>
      <c r="E24" s="16"/>
      <c r="F24" s="16">
        <f>C24*300</f>
        <v>0</v>
      </c>
      <c r="G24" s="18">
        <v>7.5</v>
      </c>
      <c r="H24" s="25">
        <f>F24*G24</f>
        <v>0</v>
      </c>
    </row>
    <row r="25" spans="2:19" ht="15.75">
      <c r="B25" s="24" t="s">
        <v>26</v>
      </c>
      <c r="C25" s="16">
        <v>840</v>
      </c>
      <c r="D25" s="16">
        <f>C25</f>
        <v>840</v>
      </c>
      <c r="E25" s="16"/>
      <c r="F25" s="16"/>
      <c r="G25" s="18">
        <v>267.18</v>
      </c>
      <c r="H25" s="25">
        <f>D25*G25</f>
        <v>224431.2</v>
      </c>
    </row>
    <row r="26" spans="2:19" ht="21" thickBot="1">
      <c r="B26" s="595" t="s">
        <v>27</v>
      </c>
      <c r="C26" s="596"/>
      <c r="D26" s="596"/>
      <c r="E26" s="596"/>
      <c r="F26" s="596"/>
      <c r="G26" s="597"/>
      <c r="H26" s="26">
        <f>SUM(H11:H25)</f>
        <v>68394081.954500005</v>
      </c>
    </row>
    <row r="28" spans="2:19" ht="15.75" thickBot="1">
      <c r="H28" s="84"/>
    </row>
    <row r="29" spans="2:19" ht="15" customHeight="1">
      <c r="B29" s="583" t="s">
        <v>76</v>
      </c>
      <c r="C29" s="586" t="s">
        <v>87</v>
      </c>
      <c r="D29" s="588" t="s">
        <v>11</v>
      </c>
      <c r="E29" s="590" t="s">
        <v>12</v>
      </c>
      <c r="F29" s="291"/>
      <c r="G29" s="602"/>
    </row>
    <row r="30" spans="2:19">
      <c r="B30" s="584"/>
      <c r="C30" s="587"/>
      <c r="D30" s="589"/>
      <c r="E30" s="591"/>
      <c r="F30" s="291"/>
      <c r="G30" s="602"/>
      <c r="H30" s="365"/>
    </row>
    <row r="31" spans="2:19">
      <c r="B31" s="585"/>
      <c r="C31" s="68" t="s">
        <v>39</v>
      </c>
      <c r="D31" s="68" t="s">
        <v>39</v>
      </c>
      <c r="E31" s="80" t="s">
        <v>39</v>
      </c>
      <c r="F31" s="292"/>
      <c r="G31" s="292"/>
    </row>
    <row r="32" spans="2:19" ht="15.75">
      <c r="B32" s="295">
        <v>1</v>
      </c>
      <c r="C32" s="69">
        <v>10750</v>
      </c>
      <c r="D32" s="71">
        <v>189.38</v>
      </c>
      <c r="E32" s="25">
        <f>C32*D32</f>
        <v>2035835</v>
      </c>
      <c r="F32" s="292"/>
      <c r="G32" s="290"/>
      <c r="H32" s="286"/>
      <c r="I32" s="286"/>
      <c r="J32" s="286"/>
      <c r="K32" s="389"/>
      <c r="L32" s="286"/>
      <c r="M32" s="286"/>
      <c r="N32" s="286"/>
      <c r="O32" s="286"/>
      <c r="Q32" s="286"/>
      <c r="S32" s="286"/>
    </row>
    <row r="33" spans="2:19" ht="15.75">
      <c r="B33" s="295">
        <v>2</v>
      </c>
      <c r="C33" s="69">
        <v>11750</v>
      </c>
      <c r="D33" s="71">
        <v>189.38</v>
      </c>
      <c r="E33" s="25">
        <f t="shared" ref="E33:E46" si="2">C33*D33</f>
        <v>2225215</v>
      </c>
      <c r="F33" s="292"/>
      <c r="G33" s="290"/>
      <c r="H33" s="286"/>
      <c r="I33" s="286"/>
      <c r="J33" s="286"/>
      <c r="K33" s="389"/>
      <c r="L33" s="286"/>
      <c r="M33" s="286"/>
      <c r="N33" s="286"/>
      <c r="O33" s="286"/>
      <c r="Q33" s="286"/>
      <c r="S33" s="286"/>
    </row>
    <row r="34" spans="2:19" ht="15.75">
      <c r="B34" s="295">
        <v>3</v>
      </c>
      <c r="C34" s="69">
        <v>9500</v>
      </c>
      <c r="D34" s="71">
        <v>189.38</v>
      </c>
      <c r="E34" s="25">
        <f t="shared" si="2"/>
        <v>1799110</v>
      </c>
      <c r="F34" s="292"/>
      <c r="G34" s="290"/>
      <c r="H34" s="286"/>
      <c r="I34" s="286"/>
      <c r="J34" s="286"/>
      <c r="K34" s="389"/>
      <c r="L34" s="286"/>
      <c r="M34" s="286"/>
      <c r="N34" s="286"/>
      <c r="O34" s="286"/>
      <c r="Q34" s="286"/>
      <c r="S34" s="286"/>
    </row>
    <row r="35" spans="2:19" ht="15.75">
      <c r="B35" s="295">
        <v>4</v>
      </c>
      <c r="C35" s="69">
        <v>12750</v>
      </c>
      <c r="D35" s="71">
        <v>189.38</v>
      </c>
      <c r="E35" s="25">
        <f t="shared" si="2"/>
        <v>2414595</v>
      </c>
      <c r="F35" s="292"/>
      <c r="G35" s="290"/>
      <c r="H35" s="286"/>
      <c r="I35" s="286"/>
      <c r="J35" s="286"/>
      <c r="K35" s="389"/>
      <c r="L35" s="286"/>
      <c r="M35" s="286"/>
      <c r="N35" s="286"/>
      <c r="O35" s="286"/>
      <c r="Q35" s="286"/>
      <c r="S35" s="286"/>
    </row>
    <row r="36" spans="2:19" ht="15.75">
      <c r="B36" s="295">
        <v>5</v>
      </c>
      <c r="C36" s="69">
        <v>11500</v>
      </c>
      <c r="D36" s="71">
        <v>189.38</v>
      </c>
      <c r="E36" s="25">
        <f t="shared" si="2"/>
        <v>2177870</v>
      </c>
      <c r="F36" s="292"/>
      <c r="G36" s="290"/>
      <c r="H36" s="286"/>
      <c r="I36" s="286"/>
      <c r="J36" s="286"/>
      <c r="K36" s="389"/>
      <c r="L36" s="286"/>
      <c r="M36" s="286"/>
      <c r="N36" s="286"/>
      <c r="O36" s="286"/>
      <c r="Q36" s="286"/>
      <c r="S36" s="286"/>
    </row>
    <row r="37" spans="2:19" ht="15.75">
      <c r="B37" s="295">
        <v>6</v>
      </c>
      <c r="C37" s="69">
        <v>11500</v>
      </c>
      <c r="D37" s="71">
        <v>189.38</v>
      </c>
      <c r="E37" s="25">
        <f t="shared" si="2"/>
        <v>2177870</v>
      </c>
      <c r="F37" s="292"/>
      <c r="G37" s="290"/>
      <c r="H37" s="286"/>
      <c r="I37" s="286"/>
      <c r="J37" s="286"/>
      <c r="K37" s="389"/>
      <c r="L37" s="286"/>
      <c r="M37" s="286"/>
      <c r="N37" s="286"/>
      <c r="O37" s="286"/>
      <c r="Q37" s="286"/>
      <c r="R37" s="216"/>
      <c r="S37" s="286"/>
    </row>
    <row r="38" spans="2:19" ht="15.75">
      <c r="B38" s="295">
        <v>7</v>
      </c>
      <c r="C38" s="69">
        <v>11250</v>
      </c>
      <c r="D38" s="71">
        <v>189.38</v>
      </c>
      <c r="E38" s="25">
        <f t="shared" si="2"/>
        <v>2130525</v>
      </c>
      <c r="F38" s="292"/>
      <c r="G38" s="290"/>
      <c r="H38" s="286"/>
      <c r="I38" s="286"/>
      <c r="J38" s="286"/>
      <c r="K38" s="389"/>
      <c r="L38" s="286"/>
      <c r="M38" s="286"/>
      <c r="N38" s="286"/>
      <c r="O38" s="286"/>
      <c r="Q38" s="286"/>
      <c r="S38" s="286"/>
    </row>
    <row r="39" spans="2:19" ht="15.75">
      <c r="B39" s="295">
        <v>8</v>
      </c>
      <c r="C39" s="69">
        <v>10250</v>
      </c>
      <c r="D39" s="71">
        <v>189.38</v>
      </c>
      <c r="E39" s="25">
        <f t="shared" si="2"/>
        <v>1941145</v>
      </c>
      <c r="F39" s="292"/>
      <c r="G39" s="290"/>
      <c r="H39" s="286"/>
      <c r="I39" s="286"/>
      <c r="J39" s="286"/>
      <c r="K39" s="389"/>
      <c r="L39" s="286"/>
      <c r="M39" s="286"/>
      <c r="N39" s="286"/>
      <c r="O39" s="286"/>
      <c r="Q39" s="286"/>
      <c r="S39" s="286"/>
    </row>
    <row r="40" spans="2:19" ht="15.75">
      <c r="B40" s="295">
        <v>9</v>
      </c>
      <c r="C40" s="69">
        <v>10500</v>
      </c>
      <c r="D40" s="71">
        <v>189.38</v>
      </c>
      <c r="E40" s="25">
        <f t="shared" si="2"/>
        <v>1988490</v>
      </c>
      <c r="F40" s="292"/>
      <c r="G40" s="290"/>
      <c r="H40" s="286"/>
      <c r="I40" s="286"/>
      <c r="J40" s="286"/>
      <c r="K40" s="389"/>
      <c r="L40" s="286"/>
      <c r="M40" s="286"/>
      <c r="N40" s="286"/>
      <c r="O40" s="286"/>
      <c r="Q40" s="286"/>
      <c r="S40" s="286"/>
    </row>
    <row r="41" spans="2:19" ht="15.75">
      <c r="B41" s="295">
        <v>10</v>
      </c>
      <c r="C41" s="69">
        <v>10500</v>
      </c>
      <c r="D41" s="71">
        <v>189.38</v>
      </c>
      <c r="E41" s="25">
        <f t="shared" si="2"/>
        <v>1988490</v>
      </c>
      <c r="F41" s="292"/>
      <c r="G41" s="290"/>
      <c r="H41" s="286"/>
      <c r="I41" s="286"/>
      <c r="J41" s="286"/>
      <c r="K41" s="389"/>
      <c r="L41" s="286"/>
      <c r="M41" s="286"/>
      <c r="N41" s="286"/>
      <c r="O41" s="286"/>
      <c r="Q41" s="286"/>
      <c r="S41" s="286"/>
    </row>
    <row r="42" spans="2:19" ht="15.75">
      <c r="B42" s="295">
        <v>11</v>
      </c>
      <c r="C42" s="69">
        <v>5000</v>
      </c>
      <c r="D42" s="71">
        <v>189.38</v>
      </c>
      <c r="E42" s="25">
        <f t="shared" si="2"/>
        <v>946900</v>
      </c>
      <c r="G42" s="290"/>
      <c r="H42" s="286"/>
      <c r="I42" s="286"/>
      <c r="J42" s="286"/>
      <c r="K42" s="389"/>
      <c r="L42" s="286"/>
      <c r="M42" s="286"/>
      <c r="N42" s="286"/>
      <c r="O42" s="286"/>
      <c r="Q42" s="286"/>
      <c r="S42" s="286"/>
    </row>
    <row r="43" spans="2:19" ht="15.75">
      <c r="B43" s="295">
        <v>12</v>
      </c>
      <c r="C43" s="69">
        <v>4250</v>
      </c>
      <c r="D43" s="71">
        <v>189.38</v>
      </c>
      <c r="E43" s="25">
        <f t="shared" si="2"/>
        <v>804865</v>
      </c>
      <c r="G43" s="290"/>
      <c r="H43" s="286"/>
      <c r="I43" s="286"/>
      <c r="J43" s="286"/>
      <c r="K43" s="389"/>
      <c r="L43" s="286"/>
      <c r="M43" s="286"/>
      <c r="N43" s="286"/>
      <c r="O43" s="286"/>
      <c r="Q43" s="286"/>
      <c r="S43" s="286"/>
    </row>
    <row r="44" spans="2:19" ht="15.75">
      <c r="B44" s="295">
        <v>13</v>
      </c>
      <c r="C44" s="69">
        <v>5500</v>
      </c>
      <c r="D44" s="71">
        <v>189.38</v>
      </c>
      <c r="E44" s="25">
        <f t="shared" si="2"/>
        <v>1041590</v>
      </c>
      <c r="G44" s="290"/>
      <c r="H44" s="286"/>
      <c r="I44" s="286"/>
      <c r="J44" s="286"/>
      <c r="K44" s="389"/>
      <c r="L44" s="286"/>
      <c r="M44" s="286"/>
      <c r="N44" s="286"/>
      <c r="O44" s="286"/>
      <c r="Q44" s="286"/>
      <c r="S44" s="286"/>
    </row>
    <row r="45" spans="2:19" ht="15.75">
      <c r="B45" s="295">
        <v>14</v>
      </c>
      <c r="C45" s="69">
        <v>5750</v>
      </c>
      <c r="D45" s="71">
        <v>189.38</v>
      </c>
      <c r="E45" s="25">
        <f t="shared" si="2"/>
        <v>1088935</v>
      </c>
      <c r="F45" s="292"/>
      <c r="G45" s="290"/>
      <c r="H45" s="286"/>
      <c r="I45" s="286"/>
      <c r="J45" s="286"/>
      <c r="K45" s="389"/>
      <c r="L45" s="286"/>
      <c r="M45" s="286"/>
      <c r="N45" s="286"/>
      <c r="O45" s="286"/>
      <c r="Q45" s="286"/>
      <c r="S45" s="286"/>
    </row>
    <row r="46" spans="2:19" ht="15.75">
      <c r="B46" s="295">
        <v>15</v>
      </c>
      <c r="C46" s="69">
        <v>6250</v>
      </c>
      <c r="D46" s="71">
        <v>189.38</v>
      </c>
      <c r="E46" s="25">
        <f t="shared" si="2"/>
        <v>1183625</v>
      </c>
      <c r="F46" s="292"/>
      <c r="G46" s="290"/>
      <c r="H46" s="286"/>
      <c r="I46" s="286"/>
      <c r="J46" s="286"/>
      <c r="K46" s="389"/>
      <c r="L46" s="286"/>
      <c r="M46" s="286"/>
      <c r="N46" s="286"/>
      <c r="O46" s="286"/>
      <c r="Q46" s="286"/>
      <c r="S46" s="286"/>
    </row>
    <row r="47" spans="2:19" ht="16.5" thickBot="1">
      <c r="B47" s="81" t="s">
        <v>75</v>
      </c>
      <c r="C47" s="82">
        <f>SUM(C32:C46)</f>
        <v>137000</v>
      </c>
      <c r="D47" s="82"/>
      <c r="E47" s="83">
        <f>SUM(E32:E46)</f>
        <v>25945060</v>
      </c>
      <c r="F47" s="293"/>
      <c r="G47" s="290"/>
      <c r="I47" s="286"/>
      <c r="N47" s="286"/>
      <c r="Q47" s="286"/>
    </row>
    <row r="48" spans="2:19">
      <c r="C48" s="67">
        <f>C47/250</f>
        <v>548</v>
      </c>
      <c r="F48" s="294"/>
      <c r="G48" s="294"/>
    </row>
    <row r="49" spans="2:9" ht="15.75" thickBot="1">
      <c r="F49" s="294"/>
      <c r="G49" s="294"/>
    </row>
    <row r="50" spans="2:9">
      <c r="B50" s="583" t="s">
        <v>79</v>
      </c>
      <c r="C50" s="586" t="s">
        <v>87</v>
      </c>
      <c r="D50" s="588" t="s">
        <v>11</v>
      </c>
      <c r="E50" s="590" t="s">
        <v>12</v>
      </c>
    </row>
    <row r="51" spans="2:9">
      <c r="B51" s="584"/>
      <c r="C51" s="587"/>
      <c r="D51" s="589"/>
      <c r="E51" s="591"/>
    </row>
    <row r="52" spans="2:9">
      <c r="B52" s="585"/>
      <c r="C52" s="68" t="s">
        <v>39</v>
      </c>
      <c r="D52" s="68" t="s">
        <v>39</v>
      </c>
      <c r="E52" s="80" t="s">
        <v>39</v>
      </c>
    </row>
    <row r="53" spans="2:9" ht="15.75">
      <c r="B53" s="295">
        <v>1</v>
      </c>
      <c r="C53" s="69">
        <v>1760</v>
      </c>
      <c r="D53" s="71">
        <v>195</v>
      </c>
      <c r="E53" s="25">
        <f>C53*D53</f>
        <v>343200</v>
      </c>
      <c r="G53" s="286"/>
      <c r="H53" s="286"/>
      <c r="I53" s="286"/>
    </row>
    <row r="54" spans="2:9" ht="15.75">
      <c r="B54" s="295">
        <v>2</v>
      </c>
      <c r="C54" s="69">
        <v>1760</v>
      </c>
      <c r="D54" s="71">
        <v>195</v>
      </c>
      <c r="E54" s="25">
        <f t="shared" ref="E54:E67" si="3">C54*D54</f>
        <v>343200</v>
      </c>
      <c r="G54" s="286"/>
      <c r="H54" s="286"/>
      <c r="I54" s="286"/>
    </row>
    <row r="55" spans="2:9" ht="15.75">
      <c r="B55" s="295">
        <v>3</v>
      </c>
      <c r="C55" s="69">
        <v>1760</v>
      </c>
      <c r="D55" s="71">
        <v>195</v>
      </c>
      <c r="E55" s="25">
        <f t="shared" si="3"/>
        <v>343200</v>
      </c>
      <c r="G55" s="286"/>
      <c r="H55" s="286"/>
      <c r="I55" s="286"/>
    </row>
    <row r="56" spans="2:9" ht="15.75">
      <c r="B56" s="295">
        <v>4</v>
      </c>
      <c r="C56" s="69">
        <v>1540</v>
      </c>
      <c r="D56" s="71">
        <v>195</v>
      </c>
      <c r="E56" s="25">
        <f t="shared" si="3"/>
        <v>300300</v>
      </c>
      <c r="G56" s="286"/>
      <c r="H56" s="286"/>
      <c r="I56" s="286"/>
    </row>
    <row r="57" spans="2:9" ht="15.75">
      <c r="B57" s="295">
        <v>5</v>
      </c>
      <c r="C57" s="69">
        <v>1320</v>
      </c>
      <c r="D57" s="71">
        <v>195</v>
      </c>
      <c r="E57" s="25">
        <f t="shared" si="3"/>
        <v>257400</v>
      </c>
      <c r="G57" s="286"/>
      <c r="H57" s="286"/>
      <c r="I57" s="286"/>
    </row>
    <row r="58" spans="2:9" ht="15.75">
      <c r="B58" s="295">
        <v>6</v>
      </c>
      <c r="C58" s="69">
        <v>880</v>
      </c>
      <c r="D58" s="71">
        <v>195</v>
      </c>
      <c r="E58" s="25">
        <f t="shared" si="3"/>
        <v>171600</v>
      </c>
      <c r="G58" s="286"/>
      <c r="H58" s="286"/>
      <c r="I58" s="286"/>
    </row>
    <row r="59" spans="2:9" ht="15.75">
      <c r="B59" s="295">
        <v>7</v>
      </c>
      <c r="C59" s="69">
        <v>440</v>
      </c>
      <c r="D59" s="71">
        <v>195</v>
      </c>
      <c r="E59" s="25">
        <f t="shared" si="3"/>
        <v>85800</v>
      </c>
      <c r="G59" s="286"/>
      <c r="H59" s="286"/>
      <c r="I59" s="286"/>
    </row>
    <row r="60" spans="2:9" ht="15.75">
      <c r="B60" s="295">
        <v>8</v>
      </c>
      <c r="C60" s="69">
        <v>220</v>
      </c>
      <c r="D60" s="71">
        <v>195</v>
      </c>
      <c r="E60" s="25">
        <f t="shared" si="3"/>
        <v>42900</v>
      </c>
      <c r="G60" s="286"/>
      <c r="H60" s="286"/>
      <c r="I60" s="286"/>
    </row>
    <row r="61" spans="2:9" ht="15.75">
      <c r="B61" s="295">
        <v>9</v>
      </c>
      <c r="C61" s="69">
        <v>660</v>
      </c>
      <c r="D61" s="71">
        <v>195</v>
      </c>
      <c r="E61" s="25">
        <f t="shared" si="3"/>
        <v>128700</v>
      </c>
      <c r="G61" s="286"/>
      <c r="H61" s="286"/>
      <c r="I61" s="286"/>
    </row>
    <row r="62" spans="2:9" ht="15.75">
      <c r="B62" s="295">
        <v>10</v>
      </c>
      <c r="C62" s="69">
        <v>1760</v>
      </c>
      <c r="D62" s="71">
        <v>195</v>
      </c>
      <c r="E62" s="25">
        <f t="shared" si="3"/>
        <v>343200</v>
      </c>
      <c r="G62" s="286"/>
      <c r="H62" s="286"/>
      <c r="I62" s="286"/>
    </row>
    <row r="63" spans="2:9" ht="15.75">
      <c r="B63" s="295">
        <v>11</v>
      </c>
      <c r="C63" s="69">
        <v>2200</v>
      </c>
      <c r="D63" s="71">
        <v>195</v>
      </c>
      <c r="E63" s="25">
        <f t="shared" si="3"/>
        <v>429000</v>
      </c>
      <c r="G63" s="286"/>
      <c r="H63" s="286"/>
      <c r="I63" s="286"/>
    </row>
    <row r="64" spans="2:9" ht="15.75">
      <c r="B64" s="295">
        <v>12</v>
      </c>
      <c r="C64" s="69">
        <v>1760</v>
      </c>
      <c r="D64" s="71">
        <v>195</v>
      </c>
      <c r="E64" s="25">
        <f t="shared" si="3"/>
        <v>343200</v>
      </c>
      <c r="G64" s="286"/>
      <c r="H64" s="286"/>
      <c r="I64" s="286"/>
    </row>
    <row r="65" spans="2:9" ht="15.75">
      <c r="B65" s="295">
        <v>13</v>
      </c>
      <c r="C65" s="69">
        <v>1980</v>
      </c>
      <c r="D65" s="71">
        <v>195</v>
      </c>
      <c r="E65" s="25">
        <f t="shared" si="3"/>
        <v>386100</v>
      </c>
      <c r="G65" s="286"/>
      <c r="H65" s="286"/>
      <c r="I65" s="286"/>
    </row>
    <row r="66" spans="2:9" ht="15.75">
      <c r="B66" s="295">
        <v>14</v>
      </c>
      <c r="C66" s="69">
        <v>1980</v>
      </c>
      <c r="D66" s="71">
        <v>195</v>
      </c>
      <c r="E66" s="25">
        <f t="shared" si="3"/>
        <v>386100</v>
      </c>
      <c r="G66" s="286"/>
      <c r="H66" s="286"/>
      <c r="I66" s="286"/>
    </row>
    <row r="67" spans="2:9" ht="15.75">
      <c r="B67" s="295">
        <v>15</v>
      </c>
      <c r="C67" s="69">
        <v>1980</v>
      </c>
      <c r="D67" s="71">
        <v>195</v>
      </c>
      <c r="E67" s="25">
        <f t="shared" si="3"/>
        <v>386100</v>
      </c>
      <c r="G67" s="286"/>
      <c r="H67" s="286"/>
      <c r="I67" s="286"/>
    </row>
    <row r="68" spans="2:9" ht="15.75" thickBot="1">
      <c r="B68" s="81" t="s">
        <v>75</v>
      </c>
      <c r="C68" s="82">
        <f>SUM(C53:C67)</f>
        <v>22000</v>
      </c>
      <c r="D68" s="82"/>
      <c r="E68" s="83">
        <f>SUM(E53:E67)</f>
        <v>4290000</v>
      </c>
    </row>
    <row r="69" spans="2:9">
      <c r="C69" s="67">
        <f>C68/220</f>
        <v>100</v>
      </c>
    </row>
  </sheetData>
  <mergeCells count="15">
    <mergeCell ref="B7:H7"/>
    <mergeCell ref="B8:B10"/>
    <mergeCell ref="B29:B31"/>
    <mergeCell ref="C29:C30"/>
    <mergeCell ref="D29:D30"/>
    <mergeCell ref="G29:G30"/>
    <mergeCell ref="G8:G10"/>
    <mergeCell ref="C8:F9"/>
    <mergeCell ref="E29:E30"/>
    <mergeCell ref="B50:B52"/>
    <mergeCell ref="C50:C51"/>
    <mergeCell ref="D50:D51"/>
    <mergeCell ref="E50:E51"/>
    <mergeCell ref="H8:H10"/>
    <mergeCell ref="B26:G26"/>
  </mergeCell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K42"/>
  <sheetViews>
    <sheetView tabSelected="1" topLeftCell="A5" workbookViewId="0">
      <selection activeCell="N31" sqref="N31"/>
    </sheetView>
  </sheetViews>
  <sheetFormatPr defaultColWidth="9" defaultRowHeight="15"/>
  <cols>
    <col min="1" max="1" width="9" style="67"/>
    <col min="2" max="2" width="29" style="67" customWidth="1"/>
    <col min="3" max="3" width="15.5703125" style="67" customWidth="1"/>
    <col min="4" max="6" width="12.7109375" style="67" customWidth="1"/>
    <col min="7" max="7" width="13.42578125" style="67" customWidth="1"/>
    <col min="8" max="8" width="19.7109375" style="67" customWidth="1"/>
    <col min="9" max="9" width="17.28515625" style="67" customWidth="1"/>
    <col min="10" max="16384" width="9" style="67"/>
  </cols>
  <sheetData>
    <row r="3" spans="2:11" ht="20.25">
      <c r="B3" s="10" t="str">
        <f>'EXPEDITION '!B3</f>
        <v>DATE: MAY 31,2026</v>
      </c>
      <c r="C3" s="29"/>
      <c r="D3" s="29"/>
      <c r="E3" s="29"/>
      <c r="F3" s="29"/>
      <c r="G3" s="29"/>
      <c r="H3" s="29"/>
      <c r="I3" s="30"/>
    </row>
    <row r="4" spans="2:11" ht="20.25">
      <c r="B4" s="29" t="s">
        <v>28</v>
      </c>
      <c r="C4" s="29"/>
      <c r="D4" s="29"/>
      <c r="E4" s="29"/>
      <c r="F4" s="29"/>
      <c r="G4" s="29"/>
      <c r="H4" s="29"/>
      <c r="I4" s="30"/>
    </row>
    <row r="5" spans="2:11" ht="20.25">
      <c r="B5" s="12" t="s">
        <v>29</v>
      </c>
      <c r="C5" s="12"/>
      <c r="D5" s="12"/>
      <c r="E5" s="12"/>
      <c r="F5" s="12"/>
      <c r="G5" s="12"/>
      <c r="H5" s="12"/>
      <c r="I5" s="13"/>
    </row>
    <row r="6" spans="2:11" ht="15.75">
      <c r="B6" s="598"/>
      <c r="C6" s="598"/>
      <c r="D6" s="598"/>
      <c r="E6" s="598"/>
      <c r="F6" s="598"/>
      <c r="G6" s="598"/>
      <c r="H6" s="598"/>
      <c r="I6" s="598"/>
    </row>
    <row r="7" spans="2:11" ht="16.5" customHeight="1">
      <c r="B7" s="613" t="s">
        <v>9</v>
      </c>
      <c r="C7" s="615" t="s">
        <v>10</v>
      </c>
      <c r="D7" s="616"/>
      <c r="E7" s="616"/>
      <c r="F7" s="617"/>
      <c r="G7" s="614" t="s">
        <v>11</v>
      </c>
      <c r="H7" s="614" t="s">
        <v>12</v>
      </c>
      <c r="I7" s="14"/>
    </row>
    <row r="8" spans="2:11" ht="16.5" customHeight="1">
      <c r="B8" s="613"/>
      <c r="C8" s="618"/>
      <c r="D8" s="619"/>
      <c r="E8" s="619"/>
      <c r="F8" s="620"/>
      <c r="G8" s="614"/>
      <c r="H8" s="614"/>
      <c r="I8" s="15"/>
    </row>
    <row r="9" spans="2:11" ht="15.75">
      <c r="B9" s="613"/>
      <c r="C9" s="63" t="s">
        <v>539</v>
      </c>
      <c r="D9" s="63" t="s">
        <v>39</v>
      </c>
      <c r="E9" s="63" t="s">
        <v>40</v>
      </c>
      <c r="F9" s="63" t="s">
        <v>538</v>
      </c>
      <c r="G9" s="614"/>
      <c r="H9" s="614"/>
      <c r="I9" s="15"/>
    </row>
    <row r="10" spans="2:11" ht="15.75">
      <c r="B10" s="27" t="s">
        <v>30</v>
      </c>
      <c r="C10" s="21"/>
      <c r="D10" s="22"/>
      <c r="E10" s="22">
        <f>C10*208</f>
        <v>0</v>
      </c>
      <c r="F10" s="22"/>
      <c r="G10" s="23">
        <v>29.45</v>
      </c>
      <c r="H10" s="28">
        <f>E10*G10</f>
        <v>0</v>
      </c>
      <c r="I10" s="15"/>
      <c r="K10" s="85"/>
    </row>
    <row r="11" spans="2:11" ht="15.75">
      <c r="B11" s="27" t="s">
        <v>591</v>
      </c>
      <c r="C11" s="21">
        <f>270-75</f>
        <v>195</v>
      </c>
      <c r="D11" s="22"/>
      <c r="E11" s="22">
        <f>C11*200</f>
        <v>39000</v>
      </c>
      <c r="F11" s="22"/>
      <c r="G11" s="383">
        <v>27.343800000000002</v>
      </c>
      <c r="H11" s="382">
        <f>E11*G11</f>
        <v>1066408.2</v>
      </c>
      <c r="I11" s="15"/>
      <c r="K11" s="85"/>
    </row>
    <row r="12" spans="2:11" ht="15.75">
      <c r="B12" s="24" t="s">
        <v>14</v>
      </c>
      <c r="C12" s="17">
        <v>0</v>
      </c>
      <c r="D12" s="17"/>
      <c r="E12" s="17">
        <f>C12*25</f>
        <v>0</v>
      </c>
      <c r="F12" s="17"/>
      <c r="G12" s="18">
        <v>155.5</v>
      </c>
      <c r="H12" s="28">
        <f>E12*G12</f>
        <v>0</v>
      </c>
      <c r="I12" s="15"/>
      <c r="K12" s="85"/>
    </row>
    <row r="13" spans="2:11" ht="15.75">
      <c r="B13" s="24" t="s">
        <v>15</v>
      </c>
      <c r="C13" s="16">
        <v>0</v>
      </c>
      <c r="D13" s="19"/>
      <c r="E13" s="19"/>
      <c r="F13" s="19">
        <f>C13*1000</f>
        <v>0</v>
      </c>
      <c r="G13" s="18">
        <v>29.5</v>
      </c>
      <c r="H13" s="25">
        <f>F13*G13</f>
        <v>0</v>
      </c>
      <c r="I13" s="15"/>
      <c r="K13" s="85"/>
    </row>
    <row r="14" spans="2:11" ht="15.75">
      <c r="B14" s="24" t="s">
        <v>16</v>
      </c>
      <c r="C14" s="16">
        <f>25-15-10</f>
        <v>0</v>
      </c>
      <c r="D14" s="16">
        <f>C14*100</f>
        <v>0</v>
      </c>
      <c r="E14" s="16"/>
      <c r="F14" s="16"/>
      <c r="G14" s="20">
        <v>25.446428571428569</v>
      </c>
      <c r="H14" s="25">
        <f>D14*G14</f>
        <v>0</v>
      </c>
      <c r="I14" s="15"/>
      <c r="K14" s="85"/>
    </row>
    <row r="15" spans="2:11" ht="15.75">
      <c r="B15" s="24" t="s">
        <v>31</v>
      </c>
      <c r="C15" s="17">
        <f>C41</f>
        <v>6</v>
      </c>
      <c r="D15" s="16">
        <f>C15*360</f>
        <v>2160</v>
      </c>
      <c r="E15" s="16"/>
      <c r="F15" s="16"/>
      <c r="G15" s="20">
        <v>180.35714285714283</v>
      </c>
      <c r="H15" s="25">
        <f>D15*G15</f>
        <v>389571.42857142852</v>
      </c>
      <c r="I15" s="15"/>
      <c r="K15" s="85"/>
    </row>
    <row r="16" spans="2:11" ht="15.75">
      <c r="B16" s="24" t="s">
        <v>26</v>
      </c>
      <c r="C16" s="16">
        <f>1227-30-60-30-100-40</f>
        <v>967</v>
      </c>
      <c r="D16" s="16">
        <v>120</v>
      </c>
      <c r="E16" s="16"/>
      <c r="F16" s="16"/>
      <c r="G16" s="18">
        <v>267.18</v>
      </c>
      <c r="H16" s="25">
        <f>D16*G16</f>
        <v>32061.600000000002</v>
      </c>
    </row>
    <row r="17" spans="2:11" ht="15.75">
      <c r="B17" s="24" t="s">
        <v>32</v>
      </c>
      <c r="C17" s="16">
        <v>0</v>
      </c>
      <c r="D17" s="16"/>
      <c r="E17" s="16"/>
      <c r="F17" s="16">
        <f>C17*1000</f>
        <v>0</v>
      </c>
      <c r="G17" s="18">
        <v>40.200000000000003</v>
      </c>
      <c r="H17" s="25">
        <f>F17*G17</f>
        <v>0</v>
      </c>
      <c r="I17" s="15"/>
    </row>
    <row r="18" spans="2:11" ht="21" thickBot="1">
      <c r="B18" s="64" t="s">
        <v>27</v>
      </c>
      <c r="C18" s="65"/>
      <c r="D18" s="65"/>
      <c r="E18" s="65"/>
      <c r="F18" s="65"/>
      <c r="G18" s="66"/>
      <c r="H18" s="26">
        <f>SUM(H10:H17)</f>
        <v>1488041.2285714285</v>
      </c>
      <c r="I18" s="15"/>
    </row>
    <row r="21" spans="2:11" ht="15.75" thickBot="1"/>
    <row r="22" spans="2:11" ht="14.25" customHeight="1">
      <c r="B22" s="610" t="s">
        <v>86</v>
      </c>
      <c r="C22" s="586" t="s">
        <v>87</v>
      </c>
      <c r="D22" s="588" t="s">
        <v>11</v>
      </c>
      <c r="E22" s="590" t="s">
        <v>12</v>
      </c>
      <c r="F22" s="291"/>
      <c r="G22" s="602"/>
    </row>
    <row r="23" spans="2:11" ht="14.25" customHeight="1">
      <c r="B23" s="611"/>
      <c r="C23" s="587"/>
      <c r="D23" s="589"/>
      <c r="E23" s="591"/>
      <c r="F23" s="291"/>
      <c r="G23" s="602"/>
    </row>
    <row r="24" spans="2:11" ht="14.25" customHeight="1">
      <c r="B24" s="612"/>
      <c r="C24" s="68" t="s">
        <v>39</v>
      </c>
      <c r="D24" s="296"/>
      <c r="E24" s="297"/>
      <c r="F24" s="291"/>
      <c r="G24" s="291"/>
    </row>
    <row r="25" spans="2:11" ht="14.25" customHeight="1">
      <c r="B25" s="299">
        <v>1</v>
      </c>
      <c r="C25" s="214">
        <v>0</v>
      </c>
      <c r="D25" s="71">
        <v>202</v>
      </c>
      <c r="E25" s="25">
        <f>C25*D25</f>
        <v>0</v>
      </c>
      <c r="F25" s="292"/>
      <c r="G25" s="290"/>
      <c r="K25" s="84"/>
    </row>
    <row r="26" spans="2:11" ht="15.75">
      <c r="B26" s="299">
        <v>2</v>
      </c>
      <c r="C26" s="214">
        <v>0</v>
      </c>
      <c r="D26" s="71">
        <v>202</v>
      </c>
      <c r="E26" s="25">
        <f t="shared" ref="E26:E36" si="0">C26*D26</f>
        <v>0</v>
      </c>
      <c r="F26" s="292"/>
      <c r="G26" s="290"/>
      <c r="K26" s="84"/>
    </row>
    <row r="27" spans="2:11" ht="15.75">
      <c r="B27" s="299">
        <v>3</v>
      </c>
      <c r="C27" s="214">
        <v>0</v>
      </c>
      <c r="D27" s="71">
        <v>202</v>
      </c>
      <c r="E27" s="25">
        <f t="shared" si="0"/>
        <v>0</v>
      </c>
      <c r="F27" s="292"/>
      <c r="G27" s="290"/>
      <c r="K27" s="84"/>
    </row>
    <row r="28" spans="2:11" ht="15.75">
      <c r="B28" s="299">
        <v>4</v>
      </c>
      <c r="C28" s="214">
        <v>0</v>
      </c>
      <c r="D28" s="71">
        <v>202</v>
      </c>
      <c r="E28" s="25">
        <f t="shared" si="0"/>
        <v>0</v>
      </c>
      <c r="F28" s="292"/>
      <c r="G28" s="290"/>
      <c r="K28" s="84"/>
    </row>
    <row r="29" spans="2:11" ht="15.75">
      <c r="B29" s="299">
        <v>5</v>
      </c>
      <c r="C29" s="214">
        <v>0</v>
      </c>
      <c r="D29" s="71">
        <v>202</v>
      </c>
      <c r="E29" s="25">
        <f t="shared" si="0"/>
        <v>0</v>
      </c>
      <c r="F29" s="292"/>
      <c r="G29" s="290"/>
      <c r="K29" s="84"/>
    </row>
    <row r="30" spans="2:11" ht="15.75">
      <c r="B30" s="299">
        <v>6</v>
      </c>
      <c r="C30" s="214">
        <v>0</v>
      </c>
      <c r="D30" s="71">
        <v>202</v>
      </c>
      <c r="E30" s="25">
        <f t="shared" si="0"/>
        <v>0</v>
      </c>
      <c r="F30" s="292"/>
      <c r="G30" s="290"/>
      <c r="K30" s="84"/>
    </row>
    <row r="31" spans="2:11" ht="15.75">
      <c r="B31" s="299">
        <v>7</v>
      </c>
      <c r="C31" s="214">
        <v>0</v>
      </c>
      <c r="D31" s="71">
        <v>202</v>
      </c>
      <c r="E31" s="25">
        <f t="shared" si="0"/>
        <v>0</v>
      </c>
      <c r="F31" s="292"/>
      <c r="G31" s="290"/>
      <c r="K31" s="84"/>
    </row>
    <row r="32" spans="2:11" ht="15.75">
      <c r="B32" s="299">
        <v>8</v>
      </c>
      <c r="C32" s="214">
        <v>0</v>
      </c>
      <c r="D32" s="71">
        <v>202</v>
      </c>
      <c r="E32" s="25">
        <f t="shared" si="0"/>
        <v>0</v>
      </c>
      <c r="F32" s="292"/>
      <c r="G32" s="290"/>
      <c r="K32" s="84"/>
    </row>
    <row r="33" spans="2:11" ht="15.75">
      <c r="B33" s="299">
        <v>9</v>
      </c>
      <c r="C33" s="214">
        <v>0</v>
      </c>
      <c r="D33" s="71">
        <v>202</v>
      </c>
      <c r="E33" s="25">
        <f t="shared" si="0"/>
        <v>0</v>
      </c>
      <c r="F33" s="292"/>
      <c r="G33" s="290"/>
      <c r="K33" s="84"/>
    </row>
    <row r="34" spans="2:11" ht="15.75">
      <c r="B34" s="299">
        <v>10</v>
      </c>
      <c r="C34" s="214">
        <v>0</v>
      </c>
      <c r="D34" s="71">
        <v>202</v>
      </c>
      <c r="E34" s="25">
        <f t="shared" si="0"/>
        <v>0</v>
      </c>
      <c r="F34" s="381"/>
      <c r="G34" s="290"/>
      <c r="K34" s="84"/>
    </row>
    <row r="35" spans="2:11" ht="15.75">
      <c r="B35" s="299">
        <v>11</v>
      </c>
      <c r="C35" s="215">
        <v>0</v>
      </c>
      <c r="D35" s="71">
        <v>202</v>
      </c>
      <c r="E35" s="25">
        <f t="shared" si="0"/>
        <v>0</v>
      </c>
      <c r="F35" s="381"/>
      <c r="G35" s="290"/>
      <c r="K35" s="84"/>
    </row>
    <row r="36" spans="2:11" ht="15.75">
      <c r="B36" s="299">
        <v>12</v>
      </c>
      <c r="C36" s="215">
        <v>2160</v>
      </c>
      <c r="D36" s="71">
        <v>202</v>
      </c>
      <c r="E36" s="25">
        <f t="shared" si="0"/>
        <v>436320</v>
      </c>
      <c r="F36" s="381"/>
      <c r="G36" s="290"/>
      <c r="K36" s="84"/>
    </row>
    <row r="37" spans="2:11" ht="15.75">
      <c r="B37" s="299">
        <v>13</v>
      </c>
      <c r="C37" s="69" t="s">
        <v>88</v>
      </c>
      <c r="D37" s="71"/>
      <c r="E37" s="300"/>
      <c r="F37" s="381"/>
      <c r="G37" s="290"/>
    </row>
    <row r="38" spans="2:11">
      <c r="B38" s="299">
        <v>14</v>
      </c>
      <c r="C38" s="69" t="s">
        <v>88</v>
      </c>
      <c r="D38" s="71"/>
      <c r="E38" s="301"/>
      <c r="F38" s="292"/>
      <c r="G38" s="298"/>
    </row>
    <row r="39" spans="2:11">
      <c r="B39" s="299">
        <v>15</v>
      </c>
      <c r="C39" s="69" t="s">
        <v>88</v>
      </c>
      <c r="D39" s="70"/>
      <c r="E39" s="301"/>
      <c r="F39" s="298"/>
      <c r="G39" s="298"/>
    </row>
    <row r="40" spans="2:11" ht="15.75" thickBot="1">
      <c r="B40" s="81" t="s">
        <v>75</v>
      </c>
      <c r="C40" s="82">
        <f>SUM(C25:C39)</f>
        <v>2160</v>
      </c>
      <c r="D40" s="82"/>
      <c r="E40" s="83">
        <f>SUM(E25:E39)</f>
        <v>436320</v>
      </c>
      <c r="F40" s="293"/>
      <c r="G40" s="293"/>
    </row>
    <row r="41" spans="2:11">
      <c r="C41" s="67">
        <f>C40/360</f>
        <v>6</v>
      </c>
      <c r="F41" s="294"/>
      <c r="G41" s="294"/>
    </row>
    <row r="42" spans="2:11">
      <c r="F42" s="294"/>
      <c r="G42" s="294"/>
    </row>
  </sheetData>
  <mergeCells count="10">
    <mergeCell ref="D22:D23"/>
    <mergeCell ref="G22:G23"/>
    <mergeCell ref="C22:C23"/>
    <mergeCell ref="B22:B24"/>
    <mergeCell ref="B6:I6"/>
    <mergeCell ref="B7:B9"/>
    <mergeCell ref="G7:G9"/>
    <mergeCell ref="H7:H9"/>
    <mergeCell ref="C7:F8"/>
    <mergeCell ref="E22:E23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1"/>
  <sheetViews>
    <sheetView workbookViewId="0">
      <selection activeCell="F21" sqref="F21"/>
    </sheetView>
  </sheetViews>
  <sheetFormatPr defaultRowHeight="15"/>
  <cols>
    <col min="1" max="1" width="17.5703125" bestFit="1" customWidth="1"/>
    <col min="2" max="4" width="24" bestFit="1" customWidth="1"/>
    <col min="5" max="5" width="26.42578125" customWidth="1"/>
    <col min="6" max="6" width="62.85546875" bestFit="1" customWidth="1"/>
  </cols>
  <sheetData>
    <row r="2" spans="1:6" s="407" customFormat="1" ht="30.75" customHeight="1">
      <c r="B2" s="621" t="s">
        <v>600</v>
      </c>
      <c r="C2" s="622"/>
      <c r="D2" s="622"/>
      <c r="E2" s="622"/>
    </row>
    <row r="3" spans="1:6" s="407" customFormat="1" ht="21">
      <c r="A3" s="408" t="s">
        <v>599</v>
      </c>
      <c r="B3" s="409">
        <v>2023</v>
      </c>
      <c r="C3" s="408">
        <v>2024</v>
      </c>
      <c r="D3" s="408">
        <v>2025</v>
      </c>
      <c r="E3" s="408">
        <v>2026</v>
      </c>
    </row>
    <row r="4" spans="1:6" s="407" customFormat="1" ht="21">
      <c r="A4" s="410" t="s">
        <v>598</v>
      </c>
      <c r="B4" s="411">
        <v>12269386.904999999</v>
      </c>
      <c r="C4" s="411">
        <v>13135084.17</v>
      </c>
      <c r="D4" s="411">
        <v>16681581.18</v>
      </c>
      <c r="E4" s="462">
        <v>17277308.792300001</v>
      </c>
    </row>
    <row r="5" spans="1:6" s="407" customFormat="1" ht="21">
      <c r="A5" s="410" t="s">
        <v>96</v>
      </c>
      <c r="B5" s="411">
        <v>19739060.300000001</v>
      </c>
      <c r="C5" s="411">
        <v>15964550.809999999</v>
      </c>
      <c r="D5" s="411">
        <v>16174716.689999999</v>
      </c>
      <c r="E5" s="462">
        <v>15480197.209742855</v>
      </c>
    </row>
    <row r="6" spans="1:6" s="407" customFormat="1" ht="21">
      <c r="A6" s="410" t="s">
        <v>97</v>
      </c>
      <c r="B6" s="411">
        <v>22500415.779999997</v>
      </c>
      <c r="C6" s="411">
        <v>12948909.969999999</v>
      </c>
      <c r="D6" s="411">
        <v>18907293.048</v>
      </c>
      <c r="E6" s="462">
        <v>18856575.074099999</v>
      </c>
    </row>
    <row r="7" spans="1:6" s="407" customFormat="1" ht="21">
      <c r="A7" s="410" t="s">
        <v>98</v>
      </c>
      <c r="B7" s="411">
        <v>16014282.530000001</v>
      </c>
      <c r="C7" s="411">
        <v>15111009.015000001</v>
      </c>
      <c r="D7" s="411">
        <v>18635020.239999998</v>
      </c>
      <c r="E7" s="462">
        <v>14913522.173471401</v>
      </c>
    </row>
    <row r="8" spans="1:6" s="407" customFormat="1" ht="21">
      <c r="A8" s="410" t="s">
        <v>102</v>
      </c>
      <c r="B8" s="411">
        <v>21923864.506730769</v>
      </c>
      <c r="C8" s="411">
        <v>14728508.560000001</v>
      </c>
      <c r="D8" s="411">
        <v>18119986.740000002</v>
      </c>
      <c r="E8" s="462">
        <f>'SOH-MAY'!AO34</f>
        <v>17329053.726214286</v>
      </c>
      <c r="F8" s="407" t="s">
        <v>714</v>
      </c>
    </row>
    <row r="9" spans="1:6" s="407" customFormat="1" ht="21">
      <c r="A9" s="410" t="s">
        <v>103</v>
      </c>
      <c r="B9" s="411">
        <v>20994737.620000001</v>
      </c>
      <c r="C9" s="411">
        <v>16125820.025</v>
      </c>
      <c r="D9" s="411">
        <v>16195903.445</v>
      </c>
      <c r="E9" s="459"/>
    </row>
    <row r="10" spans="1:6" s="407" customFormat="1" ht="21">
      <c r="A10" s="410" t="s">
        <v>89</v>
      </c>
      <c r="B10" s="411">
        <v>23502178.530000001</v>
      </c>
      <c r="C10" s="411">
        <v>17852277.359999999</v>
      </c>
      <c r="D10" s="411">
        <v>17428371.2905</v>
      </c>
      <c r="E10" s="459"/>
    </row>
    <row r="11" spans="1:6" s="407" customFormat="1" ht="21">
      <c r="A11" s="410" t="s">
        <v>90</v>
      </c>
      <c r="B11" s="411">
        <v>20299056.164999999</v>
      </c>
      <c r="C11" s="411">
        <v>18756287.195</v>
      </c>
      <c r="D11" s="411">
        <v>19294485.818</v>
      </c>
      <c r="E11" s="460"/>
      <c r="F11" s="446"/>
    </row>
    <row r="12" spans="1:6" s="407" customFormat="1" ht="21">
      <c r="A12" s="410" t="s">
        <v>91</v>
      </c>
      <c r="B12" s="411">
        <v>18016145.330000002</v>
      </c>
      <c r="C12" s="411">
        <v>16625136.879999999</v>
      </c>
      <c r="D12" s="411">
        <v>19214026.9355</v>
      </c>
      <c r="E12" s="461"/>
      <c r="F12" s="447"/>
    </row>
    <row r="13" spans="1:6" s="407" customFormat="1" ht="21">
      <c r="A13" s="410" t="s">
        <v>92</v>
      </c>
      <c r="B13" s="411">
        <v>18169321.844999999</v>
      </c>
      <c r="C13" s="411">
        <v>19262802.254999999</v>
      </c>
      <c r="D13" s="411">
        <v>18072799.404642899</v>
      </c>
      <c r="E13" s="459"/>
    </row>
    <row r="14" spans="1:6" s="407" customFormat="1" ht="21">
      <c r="A14" s="410" t="s">
        <v>93</v>
      </c>
      <c r="B14" s="411">
        <v>18422375.389999997</v>
      </c>
      <c r="C14" s="411">
        <v>16297325.32</v>
      </c>
      <c r="D14" s="411">
        <v>19379750.907499999</v>
      </c>
      <c r="E14" s="459"/>
    </row>
    <row r="15" spans="1:6" s="407" customFormat="1" ht="21">
      <c r="A15" s="410" t="s">
        <v>94</v>
      </c>
      <c r="B15" s="411">
        <v>6317503.7799999993</v>
      </c>
      <c r="C15" s="411">
        <v>14579262.305</v>
      </c>
      <c r="D15" s="411">
        <v>14725661.3529</v>
      </c>
      <c r="E15" s="459"/>
    </row>
    <row r="16" spans="1:6" s="407" customFormat="1" ht="21">
      <c r="A16" s="412" t="s">
        <v>75</v>
      </c>
      <c r="B16" s="413">
        <f>SUM(B4:B15)</f>
        <v>218168328.68173075</v>
      </c>
      <c r="C16" s="413">
        <f t="shared" ref="C16:E16" si="0">SUM(C4:C15)</f>
        <v>191386973.86499998</v>
      </c>
      <c r="D16" s="413">
        <f t="shared" si="0"/>
        <v>212829597.0520429</v>
      </c>
      <c r="E16" s="413">
        <f t="shared" si="0"/>
        <v>83856656.975828543</v>
      </c>
    </row>
    <row r="17" spans="5:5" s="407" customFormat="1" ht="21">
      <c r="E17" s="458"/>
    </row>
    <row r="18" spans="5:5" s="407" customFormat="1" ht="21"/>
    <row r="19" spans="5:5" s="407" customFormat="1" ht="21"/>
    <row r="20" spans="5:5" s="407" customFormat="1" ht="21"/>
    <row r="21" spans="5:5" s="414" customFormat="1" ht="21"/>
  </sheetData>
  <mergeCells count="1">
    <mergeCell ref="B2:E2"/>
  </mergeCells>
  <pageMargins left="0.7" right="0.7" top="0.75" bottom="0.75" header="0.3" footer="0.3"/>
  <pageSetup orientation="portrait" horizontalDpi="0" verticalDpi="0" r:id="rId1"/>
  <ignoredErrors>
    <ignoredError sqref="B16:D16" formulaRange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88"/>
  <sheetViews>
    <sheetView topLeftCell="A3" zoomScale="88" zoomScaleNormal="88" workbookViewId="0">
      <selection activeCell="R37" sqref="R37"/>
    </sheetView>
  </sheetViews>
  <sheetFormatPr defaultRowHeight="15"/>
  <cols>
    <col min="1" max="1" width="15.85546875" bestFit="1" customWidth="1"/>
    <col min="3" max="3" width="15.42578125" bestFit="1" customWidth="1"/>
    <col min="4" max="4" width="10" customWidth="1"/>
    <col min="5" max="5" width="11.7109375" customWidth="1"/>
    <col min="6" max="6" width="10.42578125" customWidth="1"/>
    <col min="7" max="7" width="11.42578125" customWidth="1"/>
    <col min="8" max="8" width="9.42578125" customWidth="1"/>
    <col min="9" max="9" width="9" customWidth="1"/>
    <col min="10" max="10" width="9.7109375" customWidth="1"/>
    <col min="11" max="11" width="10.140625" customWidth="1"/>
    <col min="12" max="13" width="9.42578125" customWidth="1"/>
    <col min="14" max="14" width="11.28515625" customWidth="1"/>
    <col min="15" max="15" width="19.5703125" customWidth="1"/>
    <col min="16" max="16" width="22" customWidth="1"/>
    <col min="17" max="17" width="24.7109375" customWidth="1"/>
    <col min="18" max="18" width="23.5703125" customWidth="1"/>
    <col min="19" max="19" width="18.28515625" customWidth="1"/>
    <col min="20" max="20" width="22" customWidth="1"/>
    <col min="21" max="21" width="25.85546875" customWidth="1"/>
    <col min="22" max="22" width="19.42578125" customWidth="1"/>
    <col min="23" max="23" width="27" customWidth="1"/>
    <col min="24" max="24" width="23.85546875" customWidth="1"/>
    <col min="25" max="25" width="19.28515625" customWidth="1"/>
  </cols>
  <sheetData>
    <row r="2" spans="1:23" ht="26.25">
      <c r="A2" s="631" t="s">
        <v>114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23" s="352" customFormat="1" ht="26.25">
      <c r="A3" s="631" t="s">
        <v>567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23" s="352" customFormat="1" ht="26.25">
      <c r="A4" s="631" t="s">
        <v>707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23" s="352" customFormat="1" ht="26.25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8"/>
      <c r="S5" s="358"/>
      <c r="T5" s="358"/>
      <c r="U5" s="357"/>
      <c r="V5"/>
      <c r="W5"/>
    </row>
    <row r="6" spans="1:23">
      <c r="A6" s="351"/>
      <c r="B6" s="351"/>
      <c r="C6" s="351"/>
      <c r="D6" s="351"/>
      <c r="E6" s="351"/>
      <c r="F6" s="351"/>
      <c r="G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44" t="s">
        <v>583</v>
      </c>
      <c r="S6" s="44"/>
    </row>
    <row r="7" spans="1:23" s="341" customFormat="1">
      <c r="A7" s="630" t="s">
        <v>9</v>
      </c>
      <c r="B7" s="630" t="s">
        <v>558</v>
      </c>
      <c r="C7" s="340" t="s">
        <v>566</v>
      </c>
      <c r="D7" s="632" t="s">
        <v>556</v>
      </c>
      <c r="E7" s="630" t="s">
        <v>555</v>
      </c>
      <c r="F7" s="630" t="s">
        <v>554</v>
      </c>
      <c r="G7" s="630" t="s">
        <v>553</v>
      </c>
      <c r="H7" s="627" t="s">
        <v>70</v>
      </c>
      <c r="I7" s="627" t="s">
        <v>71</v>
      </c>
      <c r="J7" s="627" t="s">
        <v>72</v>
      </c>
      <c r="K7" s="627" t="s">
        <v>73</v>
      </c>
      <c r="L7" s="627" t="s">
        <v>74</v>
      </c>
      <c r="M7" s="627" t="s">
        <v>108</v>
      </c>
      <c r="N7" s="627" t="s">
        <v>594</v>
      </c>
      <c r="O7" s="630" t="s">
        <v>75</v>
      </c>
      <c r="P7" s="359" t="s">
        <v>565</v>
      </c>
      <c r="Q7" s="626" t="s">
        <v>549</v>
      </c>
      <c r="R7" s="625" t="s">
        <v>585</v>
      </c>
      <c r="S7" s="627" t="s">
        <v>584</v>
      </c>
      <c r="T7" s="627" t="s">
        <v>590</v>
      </c>
      <c r="U7" s="627" t="s">
        <v>587</v>
      </c>
      <c r="V7" s="623" t="s">
        <v>584</v>
      </c>
      <c r="W7" s="623" t="s">
        <v>589</v>
      </c>
    </row>
    <row r="8" spans="1:23" s="341" customFormat="1">
      <c r="A8" s="628"/>
      <c r="B8" s="628"/>
      <c r="C8" s="342" t="s">
        <v>548</v>
      </c>
      <c r="D8" s="633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360" t="s">
        <v>569</v>
      </c>
      <c r="Q8" s="626"/>
      <c r="R8" s="625"/>
      <c r="S8" s="629"/>
      <c r="T8" s="629"/>
      <c r="U8" s="629"/>
      <c r="V8" s="624"/>
      <c r="W8" s="624"/>
    </row>
    <row r="9" spans="1:23" s="109" customFormat="1" ht="15.95" customHeight="1">
      <c r="A9" s="343" t="s">
        <v>572</v>
      </c>
      <c r="B9" s="344" t="s">
        <v>564</v>
      </c>
      <c r="C9" s="344">
        <v>50</v>
      </c>
      <c r="D9" s="525">
        <v>243</v>
      </c>
      <c r="E9" s="345">
        <v>2292</v>
      </c>
      <c r="F9" s="344"/>
      <c r="G9" s="344">
        <v>2</v>
      </c>
      <c r="H9" s="344">
        <v>18</v>
      </c>
      <c r="I9" s="344">
        <v>58</v>
      </c>
      <c r="J9" s="344">
        <v>50</v>
      </c>
      <c r="K9" s="344">
        <v>64</v>
      </c>
      <c r="L9" s="344"/>
      <c r="M9" s="344"/>
      <c r="N9" s="344">
        <v>25</v>
      </c>
      <c r="O9" s="346">
        <f>D9+E9+F9+G9+H9+I9+J9+K9+L9+M9+N9</f>
        <v>2752</v>
      </c>
      <c r="P9" s="361">
        <f t="shared" ref="P9:P15" si="0">O9/C9</f>
        <v>55.04</v>
      </c>
      <c r="Q9" s="344" t="s">
        <v>692</v>
      </c>
      <c r="R9" s="344"/>
      <c r="S9" s="344"/>
      <c r="T9" s="347"/>
      <c r="U9" s="344"/>
      <c r="V9" s="100"/>
      <c r="W9" s="61"/>
    </row>
    <row r="10" spans="1:23" s="109" customFormat="1" ht="15.95" customHeight="1">
      <c r="A10" s="343" t="s">
        <v>14</v>
      </c>
      <c r="B10" s="344" t="s">
        <v>563</v>
      </c>
      <c r="C10" s="344">
        <v>350</v>
      </c>
      <c r="D10" s="368">
        <v>2593</v>
      </c>
      <c r="E10" s="345">
        <v>4650</v>
      </c>
      <c r="F10" s="344"/>
      <c r="G10" s="344">
        <v>8</v>
      </c>
      <c r="H10" s="344">
        <v>13</v>
      </c>
      <c r="I10" s="344">
        <v>137</v>
      </c>
      <c r="J10" s="344">
        <v>47</v>
      </c>
      <c r="K10" s="344">
        <v>159</v>
      </c>
      <c r="L10" s="344"/>
      <c r="M10" s="344">
        <v>17</v>
      </c>
      <c r="N10" s="344">
        <v>154</v>
      </c>
      <c r="O10" s="346">
        <f t="shared" ref="O10:O14" si="1">D10+E10+F10+G10+H10+I10+J10+K10+L10+M10+N10</f>
        <v>7778</v>
      </c>
      <c r="P10" s="361">
        <f t="shared" si="0"/>
        <v>22.222857142857144</v>
      </c>
      <c r="Q10" s="344" t="s">
        <v>693</v>
      </c>
      <c r="R10" s="344"/>
      <c r="S10" s="344"/>
      <c r="T10" s="347"/>
      <c r="U10" s="344"/>
      <c r="V10" s="100"/>
      <c r="W10" s="61"/>
    </row>
    <row r="11" spans="1:23" s="109" customFormat="1" ht="15.95" customHeight="1">
      <c r="A11" s="343" t="s">
        <v>16</v>
      </c>
      <c r="B11" s="344" t="s">
        <v>39</v>
      </c>
      <c r="C11" s="344">
        <v>750</v>
      </c>
      <c r="D11" s="109">
        <v>4350</v>
      </c>
      <c r="E11" s="345">
        <v>34000</v>
      </c>
      <c r="F11" s="344"/>
      <c r="G11" s="344">
        <v>184</v>
      </c>
      <c r="H11" s="344">
        <v>182</v>
      </c>
      <c r="I11" s="344">
        <v>570</v>
      </c>
      <c r="J11" s="344">
        <v>264</v>
      </c>
      <c r="K11" s="344">
        <v>624</v>
      </c>
      <c r="L11" s="344"/>
      <c r="M11" s="344">
        <v>152</v>
      </c>
      <c r="N11" s="344">
        <v>616</v>
      </c>
      <c r="O11" s="346">
        <f t="shared" si="1"/>
        <v>40942</v>
      </c>
      <c r="P11" s="361">
        <f t="shared" si="0"/>
        <v>54.589333333333336</v>
      </c>
      <c r="Q11" s="348" t="s">
        <v>694</v>
      </c>
      <c r="R11" s="344"/>
      <c r="S11" s="343"/>
      <c r="T11" s="347"/>
      <c r="U11" s="344"/>
      <c r="V11" s="100"/>
      <c r="W11" s="100"/>
    </row>
    <row r="12" spans="1:23" s="109" customFormat="1" ht="15.95" customHeight="1">
      <c r="A12" s="343" t="s">
        <v>562</v>
      </c>
      <c r="B12" s="344" t="s">
        <v>560</v>
      </c>
      <c r="C12" s="344">
        <v>3700</v>
      </c>
      <c r="D12" s="368">
        <v>11682</v>
      </c>
      <c r="E12" s="345">
        <v>101000</v>
      </c>
      <c r="F12" s="344"/>
      <c r="G12" s="344">
        <v>447.12</v>
      </c>
      <c r="H12" s="344">
        <v>442.26000000000005</v>
      </c>
      <c r="I12" s="344">
        <v>1385.1000000000001</v>
      </c>
      <c r="J12" s="344">
        <v>641.5200000000001</v>
      </c>
      <c r="K12" s="344">
        <v>1516.3200000000002</v>
      </c>
      <c r="L12" s="344"/>
      <c r="M12" s="344">
        <v>609</v>
      </c>
      <c r="N12" s="344">
        <v>1496.88</v>
      </c>
      <c r="O12" s="346">
        <f t="shared" si="1"/>
        <v>119220.20000000001</v>
      </c>
      <c r="P12" s="361">
        <f t="shared" si="0"/>
        <v>32.221675675675677</v>
      </c>
      <c r="Q12" s="348" t="s">
        <v>695</v>
      </c>
      <c r="R12" s="344"/>
      <c r="S12" s="343"/>
      <c r="T12" s="347"/>
      <c r="U12" s="348"/>
      <c r="V12" s="100"/>
      <c r="W12" s="100"/>
    </row>
    <row r="13" spans="1:23" s="109" customFormat="1" ht="15.95" customHeight="1">
      <c r="A13" s="343" t="s">
        <v>571</v>
      </c>
      <c r="B13" s="344" t="s">
        <v>560</v>
      </c>
      <c r="C13" s="344">
        <v>3000</v>
      </c>
      <c r="D13" s="368">
        <v>4500</v>
      </c>
      <c r="E13" s="345">
        <v>131400</v>
      </c>
      <c r="F13" s="344"/>
      <c r="G13" s="344">
        <v>255</v>
      </c>
      <c r="H13" s="344">
        <v>816</v>
      </c>
      <c r="I13" s="344">
        <v>2419</v>
      </c>
      <c r="J13" s="344">
        <v>1241</v>
      </c>
      <c r="K13" s="344">
        <v>1861</v>
      </c>
      <c r="L13" s="344"/>
      <c r="M13" s="344"/>
      <c r="N13" s="344"/>
      <c r="O13" s="346">
        <f t="shared" si="1"/>
        <v>142492</v>
      </c>
      <c r="P13" s="361">
        <f t="shared" si="0"/>
        <v>47.49733333333333</v>
      </c>
      <c r="Q13" s="344" t="s">
        <v>696</v>
      </c>
      <c r="R13" s="344"/>
      <c r="S13" s="343"/>
      <c r="T13" s="347"/>
      <c r="U13" s="344"/>
      <c r="V13" s="100"/>
      <c r="W13" s="100"/>
    </row>
    <row r="14" spans="1:23" s="109" customFormat="1" ht="15.95" customHeight="1">
      <c r="A14" s="343" t="s">
        <v>26</v>
      </c>
      <c r="B14" s="344" t="s">
        <v>39</v>
      </c>
      <c r="C14" s="344">
        <v>40</v>
      </c>
      <c r="D14" s="368">
        <v>180</v>
      </c>
      <c r="E14" s="345">
        <v>840</v>
      </c>
      <c r="F14" s="344"/>
      <c r="G14" s="344"/>
      <c r="H14" s="344">
        <v>10</v>
      </c>
      <c r="I14" s="344">
        <v>30</v>
      </c>
      <c r="J14" s="344">
        <v>66</v>
      </c>
      <c r="K14" s="344"/>
      <c r="L14" s="344"/>
      <c r="M14" s="344"/>
      <c r="N14" s="344">
        <v>29</v>
      </c>
      <c r="O14" s="346">
        <f t="shared" si="1"/>
        <v>1155</v>
      </c>
      <c r="P14" s="361">
        <f t="shared" si="0"/>
        <v>28.875</v>
      </c>
      <c r="Q14" s="348" t="s">
        <v>697</v>
      </c>
      <c r="R14" s="344"/>
      <c r="S14" s="343"/>
      <c r="T14" s="347"/>
      <c r="U14" s="348"/>
      <c r="V14" s="100"/>
      <c r="W14" s="100"/>
    </row>
    <row r="15" spans="1:23">
      <c r="A15" s="100" t="s">
        <v>603</v>
      </c>
      <c r="B15" s="100" t="s">
        <v>560</v>
      </c>
      <c r="C15" s="432"/>
      <c r="D15" s="100">
        <v>915</v>
      </c>
      <c r="E15" s="432"/>
      <c r="F15" s="344"/>
      <c r="G15" s="100"/>
      <c r="H15" s="432"/>
      <c r="I15" s="432">
        <v>150</v>
      </c>
      <c r="J15" s="432"/>
      <c r="K15" s="432">
        <v>225</v>
      </c>
      <c r="L15" s="100"/>
      <c r="M15" s="432"/>
      <c r="N15" s="432"/>
      <c r="O15" s="100">
        <f>D15+E15+F15+J15+K15+L15+N15</f>
        <v>1140</v>
      </c>
      <c r="P15" s="432" t="e">
        <f t="shared" si="0"/>
        <v>#DIV/0!</v>
      </c>
      <c r="Q15" s="100"/>
      <c r="T15" s="56"/>
    </row>
    <row r="16" spans="1:23">
      <c r="A16" s="56"/>
      <c r="B16" s="56"/>
      <c r="C16" s="56"/>
      <c r="F16" s="350"/>
    </row>
    <row r="17" spans="1:25" s="341" customFormat="1">
      <c r="A17" s="630" t="s">
        <v>559</v>
      </c>
      <c r="B17" s="630" t="s">
        <v>558</v>
      </c>
      <c r="C17" s="340" t="s">
        <v>557</v>
      </c>
      <c r="D17" s="630" t="s">
        <v>556</v>
      </c>
      <c r="E17" s="630" t="s">
        <v>555</v>
      </c>
      <c r="F17" s="627" t="s">
        <v>554</v>
      </c>
      <c r="G17" s="627" t="s">
        <v>553</v>
      </c>
      <c r="H17" s="627" t="s">
        <v>70</v>
      </c>
      <c r="I17" s="627" t="s">
        <v>71</v>
      </c>
      <c r="J17" s="627" t="s">
        <v>72</v>
      </c>
      <c r="K17" s="627" t="s">
        <v>73</v>
      </c>
      <c r="L17" s="627" t="s">
        <v>74</v>
      </c>
      <c r="M17" s="627" t="s">
        <v>108</v>
      </c>
      <c r="N17" s="627" t="s">
        <v>594</v>
      </c>
      <c r="O17" s="630" t="s">
        <v>75</v>
      </c>
      <c r="P17" s="340" t="s">
        <v>570</v>
      </c>
      <c r="Q17" s="630" t="s">
        <v>549</v>
      </c>
      <c r="R17" s="372" t="s">
        <v>575</v>
      </c>
      <c r="S17" s="372" t="s">
        <v>576</v>
      </c>
      <c r="T17" s="36" t="s">
        <v>577</v>
      </c>
      <c r="U17" s="625" t="s">
        <v>578</v>
      </c>
      <c r="V17" s="625" t="s">
        <v>579</v>
      </c>
      <c r="W17" s="625" t="s">
        <v>580</v>
      </c>
      <c r="X17" s="625" t="s">
        <v>588</v>
      </c>
      <c r="Y17" s="378"/>
    </row>
    <row r="18" spans="1:25" s="341" customFormat="1">
      <c r="A18" s="628"/>
      <c r="B18" s="628"/>
      <c r="C18" s="342" t="s">
        <v>548</v>
      </c>
      <c r="D18" s="628"/>
      <c r="E18" s="628"/>
      <c r="F18" s="628"/>
      <c r="G18" s="628"/>
      <c r="H18" s="628"/>
      <c r="I18" s="628"/>
      <c r="J18" s="628"/>
      <c r="K18" s="628"/>
      <c r="L18" s="628"/>
      <c r="M18" s="628"/>
      <c r="N18" s="628"/>
      <c r="O18" s="628"/>
      <c r="P18" s="342" t="s">
        <v>569</v>
      </c>
      <c r="Q18" s="628"/>
      <c r="R18" s="373"/>
      <c r="S18" s="373"/>
      <c r="T18" s="371"/>
      <c r="U18" s="626"/>
      <c r="V18" s="626"/>
      <c r="W18" s="626"/>
      <c r="X18" s="626"/>
    </row>
    <row r="19" spans="1:25" s="109" customFormat="1" ht="15.95" customHeight="1">
      <c r="A19" s="344">
        <v>1</v>
      </c>
      <c r="B19" s="344" t="s">
        <v>547</v>
      </c>
      <c r="C19" s="344">
        <v>700</v>
      </c>
      <c r="D19" s="345">
        <v>1210</v>
      </c>
      <c r="E19" s="362">
        <v>13010</v>
      </c>
      <c r="F19" s="344"/>
      <c r="G19" s="344">
        <v>133</v>
      </c>
      <c r="H19" s="344">
        <v>282</v>
      </c>
      <c r="I19" s="344">
        <v>467</v>
      </c>
      <c r="J19" s="344">
        <v>268</v>
      </c>
      <c r="K19" s="344">
        <v>711</v>
      </c>
      <c r="L19" s="344"/>
      <c r="M19" s="344">
        <v>487</v>
      </c>
      <c r="N19" s="344">
        <v>582</v>
      </c>
      <c r="O19" s="368">
        <f>D19+E19+F19+G19+H19+I19+J19+K19+L19+M19+N19</f>
        <v>17150</v>
      </c>
      <c r="P19" s="347">
        <f t="shared" ref="P19:P33" si="2">O19/C19</f>
        <v>24.5</v>
      </c>
      <c r="Q19" s="344" t="s">
        <v>698</v>
      </c>
      <c r="R19" s="374"/>
      <c r="S19" s="344"/>
      <c r="T19" s="347" t="e">
        <f>R19/S19</f>
        <v>#DIV/0!</v>
      </c>
      <c r="U19" s="347"/>
      <c r="V19" s="347"/>
      <c r="W19" s="347"/>
      <c r="X19" s="344"/>
    </row>
    <row r="20" spans="1:25" s="109" customFormat="1" ht="15.95" customHeight="1">
      <c r="A20" s="344">
        <v>2</v>
      </c>
      <c r="B20" s="344" t="s">
        <v>547</v>
      </c>
      <c r="C20" s="344">
        <v>700</v>
      </c>
      <c r="D20" s="345">
        <v>1460</v>
      </c>
      <c r="E20" s="362">
        <v>13510</v>
      </c>
      <c r="F20" s="344"/>
      <c r="G20" s="344">
        <v>319</v>
      </c>
      <c r="H20" s="344">
        <v>282</v>
      </c>
      <c r="I20" s="344">
        <v>460</v>
      </c>
      <c r="J20" s="344">
        <v>284</v>
      </c>
      <c r="K20" s="344">
        <v>540</v>
      </c>
      <c r="L20" s="344"/>
      <c r="M20" s="344">
        <v>557</v>
      </c>
      <c r="N20" s="344">
        <v>613</v>
      </c>
      <c r="O20" s="368">
        <f t="shared" ref="O20:O33" si="3">D20+E20+F20+G20+H20+I20+J20+K20+L20+M20+N20</f>
        <v>18025</v>
      </c>
      <c r="P20" s="347">
        <f t="shared" si="2"/>
        <v>25.75</v>
      </c>
      <c r="Q20" s="344" t="s">
        <v>699</v>
      </c>
      <c r="R20" s="374"/>
      <c r="S20" s="344"/>
      <c r="T20" s="347" t="e">
        <f t="shared" ref="T20:T33" si="4">R20/S20</f>
        <v>#DIV/0!</v>
      </c>
      <c r="U20" s="347"/>
      <c r="V20" s="347"/>
      <c r="W20" s="347"/>
      <c r="X20" s="344"/>
    </row>
    <row r="21" spans="1:25" s="109" customFormat="1" ht="15.95" customHeight="1">
      <c r="A21" s="344">
        <v>3</v>
      </c>
      <c r="B21" s="344" t="s">
        <v>547</v>
      </c>
      <c r="C21" s="344">
        <v>700</v>
      </c>
      <c r="D21" s="345">
        <v>1190</v>
      </c>
      <c r="E21" s="362">
        <v>11760</v>
      </c>
      <c r="F21" s="344"/>
      <c r="G21" s="344">
        <v>282</v>
      </c>
      <c r="H21" s="344">
        <v>282</v>
      </c>
      <c r="I21" s="344">
        <v>456</v>
      </c>
      <c r="J21" s="344">
        <v>517</v>
      </c>
      <c r="K21" s="344">
        <v>728</v>
      </c>
      <c r="L21" s="344"/>
      <c r="M21" s="344">
        <v>499</v>
      </c>
      <c r="N21" s="344">
        <v>465</v>
      </c>
      <c r="O21" s="368">
        <f t="shared" si="3"/>
        <v>16179</v>
      </c>
      <c r="P21" s="347">
        <f t="shared" si="2"/>
        <v>23.112857142857141</v>
      </c>
      <c r="Q21" s="344" t="s">
        <v>700</v>
      </c>
      <c r="R21" s="374"/>
      <c r="S21" s="344"/>
      <c r="T21" s="347" t="e">
        <f t="shared" si="4"/>
        <v>#DIV/0!</v>
      </c>
      <c r="U21" s="347"/>
      <c r="V21" s="347"/>
      <c r="W21" s="347"/>
      <c r="X21" s="344"/>
    </row>
    <row r="22" spans="1:25" s="109" customFormat="1" ht="15.95" customHeight="1">
      <c r="A22" s="344">
        <v>4</v>
      </c>
      <c r="B22" s="344" t="s">
        <v>547</v>
      </c>
      <c r="C22" s="344">
        <v>1000</v>
      </c>
      <c r="D22" s="345">
        <v>1190</v>
      </c>
      <c r="E22" s="362">
        <v>14790</v>
      </c>
      <c r="F22" s="344"/>
      <c r="G22" s="344">
        <v>194</v>
      </c>
      <c r="H22" s="344">
        <v>282</v>
      </c>
      <c r="I22" s="344">
        <v>521</v>
      </c>
      <c r="J22" s="344">
        <v>472</v>
      </c>
      <c r="K22" s="344">
        <v>724</v>
      </c>
      <c r="L22" s="344"/>
      <c r="M22" s="344">
        <v>554</v>
      </c>
      <c r="N22" s="344">
        <v>432</v>
      </c>
      <c r="O22" s="368">
        <f t="shared" si="3"/>
        <v>19159</v>
      </c>
      <c r="P22" s="347">
        <f t="shared" si="2"/>
        <v>19.158999999999999</v>
      </c>
      <c r="Q22" s="344" t="s">
        <v>689</v>
      </c>
      <c r="R22" s="374"/>
      <c r="S22" s="344"/>
      <c r="T22" s="347" t="e">
        <f t="shared" si="4"/>
        <v>#DIV/0!</v>
      </c>
      <c r="U22" s="347"/>
      <c r="V22" s="347"/>
      <c r="W22" s="347"/>
      <c r="X22" s="344"/>
    </row>
    <row r="23" spans="1:25" s="109" customFormat="1" ht="15.95" customHeight="1">
      <c r="A23" s="344">
        <v>5</v>
      </c>
      <c r="B23" s="344" t="s">
        <v>547</v>
      </c>
      <c r="C23" s="344">
        <v>1000</v>
      </c>
      <c r="D23" s="345">
        <v>1040</v>
      </c>
      <c r="E23" s="362">
        <v>13570</v>
      </c>
      <c r="F23" s="344"/>
      <c r="G23" s="344">
        <v>171</v>
      </c>
      <c r="H23" s="344">
        <v>278</v>
      </c>
      <c r="I23" s="344">
        <v>284</v>
      </c>
      <c r="J23" s="344">
        <v>440</v>
      </c>
      <c r="K23" s="344">
        <v>493</v>
      </c>
      <c r="L23" s="344"/>
      <c r="M23" s="344">
        <v>671</v>
      </c>
      <c r="N23" s="344">
        <v>564</v>
      </c>
      <c r="O23" s="368">
        <f t="shared" si="3"/>
        <v>17511</v>
      </c>
      <c r="P23" s="347">
        <f t="shared" si="2"/>
        <v>17.510999999999999</v>
      </c>
      <c r="Q23" s="344" t="s">
        <v>701</v>
      </c>
      <c r="R23" s="374"/>
      <c r="S23" s="344"/>
      <c r="T23" s="347" t="e">
        <f t="shared" si="4"/>
        <v>#DIV/0!</v>
      </c>
      <c r="U23" s="347"/>
      <c r="V23" s="347"/>
      <c r="W23" s="347"/>
      <c r="X23" s="344"/>
    </row>
    <row r="24" spans="1:25" s="109" customFormat="1" ht="15.95" customHeight="1">
      <c r="A24" s="344">
        <v>6</v>
      </c>
      <c r="B24" s="344" t="s">
        <v>547</v>
      </c>
      <c r="C24" s="344">
        <v>1000</v>
      </c>
      <c r="D24" s="345">
        <v>1320</v>
      </c>
      <c r="E24" s="362">
        <v>12880</v>
      </c>
      <c r="F24" s="344"/>
      <c r="G24" s="344">
        <v>168</v>
      </c>
      <c r="H24" s="98">
        <v>278</v>
      </c>
      <c r="I24" s="344">
        <v>188</v>
      </c>
      <c r="J24" s="344">
        <v>426</v>
      </c>
      <c r="K24" s="344">
        <v>561</v>
      </c>
      <c r="L24" s="344"/>
      <c r="M24" s="344">
        <v>579</v>
      </c>
      <c r="N24" s="344">
        <v>581</v>
      </c>
      <c r="O24" s="368">
        <f t="shared" si="3"/>
        <v>16981</v>
      </c>
      <c r="P24" s="347">
        <f t="shared" si="2"/>
        <v>16.981000000000002</v>
      </c>
      <c r="Q24" s="344" t="s">
        <v>701</v>
      </c>
      <c r="R24" s="374"/>
      <c r="S24" s="344"/>
      <c r="T24" s="347" t="e">
        <f t="shared" si="4"/>
        <v>#DIV/0!</v>
      </c>
      <c r="U24" s="347"/>
      <c r="V24" s="347"/>
      <c r="W24" s="347"/>
      <c r="X24" s="344"/>
    </row>
    <row r="25" spans="1:25" s="109" customFormat="1" ht="15.95" customHeight="1">
      <c r="A25" s="344">
        <v>7</v>
      </c>
      <c r="B25" s="344" t="s">
        <v>547</v>
      </c>
      <c r="C25" s="344">
        <v>1000</v>
      </c>
      <c r="D25" s="345">
        <v>1040</v>
      </c>
      <c r="E25" s="362">
        <v>12440</v>
      </c>
      <c r="F25" s="344"/>
      <c r="G25" s="344">
        <v>162</v>
      </c>
      <c r="H25" s="344">
        <v>248</v>
      </c>
      <c r="I25" s="344">
        <v>266</v>
      </c>
      <c r="J25" s="344">
        <v>401</v>
      </c>
      <c r="K25" s="344">
        <v>536</v>
      </c>
      <c r="L25" s="344"/>
      <c r="M25" s="344">
        <v>519</v>
      </c>
      <c r="N25" s="344">
        <v>618</v>
      </c>
      <c r="O25" s="368">
        <f t="shared" si="3"/>
        <v>16230</v>
      </c>
      <c r="P25" s="347">
        <f t="shared" si="2"/>
        <v>16.23</v>
      </c>
      <c r="Q25" s="344" t="s">
        <v>702</v>
      </c>
      <c r="R25" s="374"/>
      <c r="S25" s="344"/>
      <c r="T25" s="347" t="e">
        <f t="shared" si="4"/>
        <v>#DIV/0!</v>
      </c>
      <c r="U25" s="347"/>
      <c r="V25" s="347"/>
      <c r="W25" s="347"/>
      <c r="X25" s="344"/>
    </row>
    <row r="26" spans="1:25" s="109" customFormat="1" ht="15.95" customHeight="1">
      <c r="A26" s="344">
        <v>8</v>
      </c>
      <c r="B26" s="344" t="s">
        <v>547</v>
      </c>
      <c r="C26" s="344">
        <v>1000</v>
      </c>
      <c r="D26" s="345">
        <v>1710</v>
      </c>
      <c r="E26" s="362">
        <v>10970</v>
      </c>
      <c r="F26" s="344"/>
      <c r="G26" s="344">
        <v>162</v>
      </c>
      <c r="H26" s="344">
        <v>248</v>
      </c>
      <c r="I26" s="344">
        <v>315</v>
      </c>
      <c r="J26" s="344">
        <v>425</v>
      </c>
      <c r="K26" s="344">
        <v>617</v>
      </c>
      <c r="L26" s="344"/>
      <c r="M26" s="344">
        <v>683</v>
      </c>
      <c r="N26" s="344">
        <v>461</v>
      </c>
      <c r="O26" s="368">
        <f t="shared" si="3"/>
        <v>15591</v>
      </c>
      <c r="P26" s="347">
        <f t="shared" si="2"/>
        <v>15.590999999999999</v>
      </c>
      <c r="Q26" s="344" t="s">
        <v>702</v>
      </c>
      <c r="R26" s="374"/>
      <c r="S26" s="344"/>
      <c r="T26" s="347" t="e">
        <f t="shared" si="4"/>
        <v>#DIV/0!</v>
      </c>
      <c r="U26" s="347"/>
      <c r="V26" s="347"/>
      <c r="W26" s="347"/>
      <c r="X26" s="344"/>
    </row>
    <row r="27" spans="1:25" s="109" customFormat="1" ht="15.95" customHeight="1">
      <c r="A27" s="344">
        <v>9</v>
      </c>
      <c r="B27" s="344" t="s">
        <v>547</v>
      </c>
      <c r="C27" s="344">
        <v>1000</v>
      </c>
      <c r="D27" s="345">
        <v>1660</v>
      </c>
      <c r="E27" s="362">
        <v>11660</v>
      </c>
      <c r="F27" s="344"/>
      <c r="G27" s="344">
        <v>282</v>
      </c>
      <c r="H27" s="344">
        <v>280</v>
      </c>
      <c r="I27" s="344">
        <v>624</v>
      </c>
      <c r="J27" s="344">
        <v>213</v>
      </c>
      <c r="K27" s="344">
        <v>543</v>
      </c>
      <c r="L27" s="344"/>
      <c r="M27" s="344">
        <v>651</v>
      </c>
      <c r="N27" s="344">
        <v>251</v>
      </c>
      <c r="O27" s="368">
        <f t="shared" si="3"/>
        <v>16164</v>
      </c>
      <c r="P27" s="347">
        <f t="shared" si="2"/>
        <v>16.164000000000001</v>
      </c>
      <c r="Q27" s="344" t="s">
        <v>702</v>
      </c>
      <c r="R27" s="374"/>
      <c r="S27" s="344"/>
      <c r="T27" s="347" t="e">
        <f t="shared" si="4"/>
        <v>#DIV/0!</v>
      </c>
      <c r="U27" s="347"/>
      <c r="V27" s="347"/>
      <c r="W27" s="347"/>
      <c r="X27" s="344"/>
    </row>
    <row r="28" spans="1:25" s="109" customFormat="1" ht="15.95" customHeight="1">
      <c r="A28" s="344">
        <v>10</v>
      </c>
      <c r="B28" s="344" t="s">
        <v>547</v>
      </c>
      <c r="C28" s="344">
        <v>1000</v>
      </c>
      <c r="D28" s="345">
        <v>1310</v>
      </c>
      <c r="E28" s="362">
        <v>12760</v>
      </c>
      <c r="F28" s="344"/>
      <c r="G28" s="344">
        <v>382</v>
      </c>
      <c r="H28" s="344">
        <v>286</v>
      </c>
      <c r="I28" s="344">
        <v>389</v>
      </c>
      <c r="J28" s="344">
        <v>381</v>
      </c>
      <c r="K28" s="344">
        <v>672</v>
      </c>
      <c r="L28" s="344"/>
      <c r="M28" s="344">
        <v>623</v>
      </c>
      <c r="N28" s="344">
        <v>476</v>
      </c>
      <c r="O28" s="368">
        <f t="shared" si="3"/>
        <v>17279</v>
      </c>
      <c r="P28" s="347">
        <f t="shared" si="2"/>
        <v>17.279</v>
      </c>
      <c r="Q28" s="344" t="s">
        <v>701</v>
      </c>
      <c r="R28" s="344"/>
      <c r="S28" s="344"/>
      <c r="T28" s="347" t="e">
        <f t="shared" si="4"/>
        <v>#DIV/0!</v>
      </c>
      <c r="U28" s="347"/>
      <c r="V28" s="347"/>
      <c r="W28" s="347"/>
      <c r="X28" s="344"/>
    </row>
    <row r="29" spans="1:25" s="109" customFormat="1" ht="15.95" customHeight="1">
      <c r="A29" s="344">
        <v>11</v>
      </c>
      <c r="B29" s="344" t="s">
        <v>547</v>
      </c>
      <c r="C29" s="344">
        <v>1000</v>
      </c>
      <c r="D29" s="345">
        <v>1570</v>
      </c>
      <c r="E29" s="362">
        <v>7700</v>
      </c>
      <c r="F29" s="344"/>
      <c r="G29" s="344">
        <v>203</v>
      </c>
      <c r="H29" s="344">
        <v>286</v>
      </c>
      <c r="I29" s="344">
        <v>647</v>
      </c>
      <c r="J29" s="344">
        <v>409</v>
      </c>
      <c r="K29" s="344">
        <v>514</v>
      </c>
      <c r="L29" s="344"/>
      <c r="M29" s="344">
        <v>636</v>
      </c>
      <c r="N29" s="344">
        <v>625</v>
      </c>
      <c r="O29" s="368">
        <f t="shared" si="3"/>
        <v>12590</v>
      </c>
      <c r="P29" s="347">
        <f t="shared" si="2"/>
        <v>12.59</v>
      </c>
      <c r="Q29" s="344" t="s">
        <v>703</v>
      </c>
      <c r="R29" s="375"/>
      <c r="S29" s="344"/>
      <c r="T29" s="347" t="e">
        <f t="shared" si="4"/>
        <v>#DIV/0!</v>
      </c>
      <c r="U29" s="347"/>
      <c r="V29" s="347"/>
      <c r="W29" s="347"/>
      <c r="X29" s="344"/>
    </row>
    <row r="30" spans="1:25" s="109" customFormat="1" ht="15.95" customHeight="1">
      <c r="A30" s="344">
        <v>12</v>
      </c>
      <c r="B30" s="344" t="s">
        <v>547</v>
      </c>
      <c r="C30" s="344">
        <v>700</v>
      </c>
      <c r="D30" s="345">
        <v>1320</v>
      </c>
      <c r="E30" s="362">
        <v>6510</v>
      </c>
      <c r="F30" s="344"/>
      <c r="G30" s="344">
        <v>262</v>
      </c>
      <c r="H30" s="344">
        <v>286</v>
      </c>
      <c r="I30" s="344">
        <v>306</v>
      </c>
      <c r="J30" s="344">
        <v>233</v>
      </c>
      <c r="K30" s="344">
        <v>411</v>
      </c>
      <c r="L30" s="344"/>
      <c r="M30" s="344">
        <v>434</v>
      </c>
      <c r="N30" s="344">
        <v>490</v>
      </c>
      <c r="O30" s="368">
        <f t="shared" si="3"/>
        <v>10252</v>
      </c>
      <c r="P30" s="347">
        <f t="shared" si="2"/>
        <v>14.645714285714286</v>
      </c>
      <c r="Q30" s="344" t="s">
        <v>704</v>
      </c>
      <c r="R30" s="376"/>
      <c r="S30" s="344"/>
      <c r="T30" s="347" t="e">
        <f t="shared" si="4"/>
        <v>#DIV/0!</v>
      </c>
      <c r="U30" s="347"/>
      <c r="V30" s="347"/>
      <c r="W30" s="347"/>
      <c r="X30" s="344"/>
    </row>
    <row r="31" spans="1:25" s="109" customFormat="1" ht="15.95" customHeight="1">
      <c r="A31" s="344">
        <v>13</v>
      </c>
      <c r="B31" s="344" t="s">
        <v>547</v>
      </c>
      <c r="C31" s="344">
        <v>700</v>
      </c>
      <c r="D31" s="345">
        <v>1470</v>
      </c>
      <c r="E31" s="362">
        <v>7480</v>
      </c>
      <c r="F31" s="344"/>
      <c r="G31" s="344">
        <v>178</v>
      </c>
      <c r="H31" s="344">
        <v>283</v>
      </c>
      <c r="I31" s="344">
        <v>431</v>
      </c>
      <c r="J31" s="344">
        <v>448</v>
      </c>
      <c r="K31" s="344">
        <v>424</v>
      </c>
      <c r="L31" s="344"/>
      <c r="M31" s="344">
        <v>435</v>
      </c>
      <c r="N31" s="344">
        <v>570</v>
      </c>
      <c r="O31" s="368">
        <f t="shared" si="3"/>
        <v>11719</v>
      </c>
      <c r="P31" s="347">
        <f t="shared" si="2"/>
        <v>16.741428571428571</v>
      </c>
      <c r="Q31" s="344" t="s">
        <v>701</v>
      </c>
      <c r="R31" s="376"/>
      <c r="S31" s="344"/>
      <c r="T31" s="347" t="e">
        <f t="shared" si="4"/>
        <v>#DIV/0!</v>
      </c>
      <c r="U31" s="347"/>
      <c r="V31" s="347"/>
      <c r="W31" s="347"/>
      <c r="X31" s="344"/>
    </row>
    <row r="32" spans="1:25" s="109" customFormat="1" ht="15.95" customHeight="1">
      <c r="A32" s="344">
        <v>14</v>
      </c>
      <c r="B32" s="344" t="s">
        <v>547</v>
      </c>
      <c r="C32" s="344">
        <v>700</v>
      </c>
      <c r="D32" s="345">
        <v>1920</v>
      </c>
      <c r="E32" s="362">
        <v>7730</v>
      </c>
      <c r="F32" s="344"/>
      <c r="G32" s="344">
        <v>85</v>
      </c>
      <c r="H32" s="344">
        <v>292</v>
      </c>
      <c r="I32" s="344">
        <v>318</v>
      </c>
      <c r="J32" s="344">
        <v>562</v>
      </c>
      <c r="K32" s="344">
        <v>452</v>
      </c>
      <c r="L32" s="344"/>
      <c r="M32" s="344">
        <v>599</v>
      </c>
      <c r="N32" s="344">
        <v>746</v>
      </c>
      <c r="O32" s="368">
        <f t="shared" si="3"/>
        <v>12704</v>
      </c>
      <c r="P32" s="347">
        <f t="shared" si="2"/>
        <v>18.148571428571429</v>
      </c>
      <c r="Q32" s="348" t="s">
        <v>705</v>
      </c>
      <c r="R32" s="377"/>
      <c r="S32" s="344"/>
      <c r="T32" s="347" t="e">
        <f t="shared" si="4"/>
        <v>#DIV/0!</v>
      </c>
      <c r="U32" s="347"/>
      <c r="V32" s="347"/>
      <c r="W32" s="347"/>
      <c r="X32" s="344"/>
    </row>
    <row r="33" spans="1:24" s="109" customFormat="1" ht="15.95" customHeight="1">
      <c r="A33" s="344">
        <v>15</v>
      </c>
      <c r="B33" s="344" t="s">
        <v>547</v>
      </c>
      <c r="C33" s="344">
        <v>700</v>
      </c>
      <c r="D33" s="345">
        <v>2170</v>
      </c>
      <c r="E33" s="362">
        <v>8230</v>
      </c>
      <c r="F33" s="344"/>
      <c r="G33" s="344">
        <v>187</v>
      </c>
      <c r="H33" s="344">
        <v>274</v>
      </c>
      <c r="I33" s="344">
        <v>334</v>
      </c>
      <c r="J33" s="344">
        <v>529</v>
      </c>
      <c r="K33" s="344">
        <v>555</v>
      </c>
      <c r="L33" s="344"/>
      <c r="M33" s="344">
        <v>581</v>
      </c>
      <c r="N33" s="344">
        <v>543</v>
      </c>
      <c r="O33" s="368">
        <f t="shared" si="3"/>
        <v>13403</v>
      </c>
      <c r="P33" s="347">
        <f t="shared" si="2"/>
        <v>19.147142857142857</v>
      </c>
      <c r="Q33" s="348" t="s">
        <v>689</v>
      </c>
      <c r="R33" s="376"/>
      <c r="S33" s="344"/>
      <c r="T33" s="347" t="e">
        <f t="shared" si="4"/>
        <v>#DIV/0!</v>
      </c>
      <c r="U33" s="347"/>
      <c r="V33" s="347"/>
      <c r="W33" s="347"/>
      <c r="X33" s="344"/>
    </row>
    <row r="34" spans="1:24">
      <c r="G34" s="350"/>
    </row>
    <row r="35" spans="1:24">
      <c r="O35" s="449"/>
      <c r="P35" s="354"/>
    </row>
    <row r="38" spans="1:24" ht="26.25">
      <c r="A38" s="631" t="s">
        <v>568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</row>
    <row r="39" spans="1:24" ht="26.25">
      <c r="A39" s="631" t="s">
        <v>567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</row>
    <row r="40" spans="1:24" ht="26.25">
      <c r="A40" s="631" t="s">
        <v>708</v>
      </c>
      <c r="B40" s="631"/>
      <c r="C40" s="631"/>
      <c r="D40" s="631"/>
      <c r="E40" s="631"/>
      <c r="F40" s="631"/>
      <c r="G40" s="631"/>
      <c r="H40" s="631"/>
      <c r="I40" s="631"/>
      <c r="J40" s="631"/>
      <c r="K40" s="631"/>
      <c r="L40" s="631"/>
      <c r="M40" s="631"/>
      <c r="N40" s="631"/>
      <c r="O40" s="631"/>
      <c r="P40" s="631"/>
      <c r="Q40" s="631"/>
    </row>
    <row r="41" spans="1:24">
      <c r="A41" s="44"/>
      <c r="F41" s="44"/>
      <c r="H41" s="44"/>
      <c r="I41" s="44"/>
    </row>
    <row r="42" spans="1:24" s="341" customFormat="1">
      <c r="A42" s="630" t="s">
        <v>9</v>
      </c>
      <c r="B42" s="630" t="s">
        <v>558</v>
      </c>
      <c r="C42" s="340" t="s">
        <v>566</v>
      </c>
      <c r="D42" s="630" t="s">
        <v>556</v>
      </c>
      <c r="E42" s="630" t="s">
        <v>555</v>
      </c>
      <c r="F42" s="630" t="s">
        <v>554</v>
      </c>
      <c r="G42" s="630" t="s">
        <v>553</v>
      </c>
      <c r="H42" s="630" t="s">
        <v>68</v>
      </c>
      <c r="I42" s="627" t="s">
        <v>71</v>
      </c>
      <c r="J42" s="627" t="s">
        <v>72</v>
      </c>
      <c r="K42" s="627" t="s">
        <v>73</v>
      </c>
      <c r="L42" s="627" t="s">
        <v>74</v>
      </c>
      <c r="M42" s="627" t="s">
        <v>108</v>
      </c>
      <c r="N42" s="627" t="s">
        <v>594</v>
      </c>
      <c r="O42" s="630" t="s">
        <v>75</v>
      </c>
      <c r="P42" s="630" t="s">
        <v>565</v>
      </c>
      <c r="Q42" s="630" t="s">
        <v>549</v>
      </c>
      <c r="R42" s="627" t="s">
        <v>586</v>
      </c>
      <c r="S42" s="625" t="s">
        <v>581</v>
      </c>
      <c r="T42" s="627" t="s">
        <v>582</v>
      </c>
    </row>
    <row r="43" spans="1:24" s="341" customFormat="1">
      <c r="A43" s="628"/>
      <c r="B43" s="628"/>
      <c r="C43" s="342" t="s">
        <v>548</v>
      </c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8"/>
      <c r="P43" s="628"/>
      <c r="Q43" s="628"/>
      <c r="R43" s="628"/>
      <c r="S43" s="626"/>
      <c r="T43" s="628"/>
    </row>
    <row r="44" spans="1:24" s="109" customFormat="1" ht="15.95" customHeight="1">
      <c r="A44" s="349">
        <v>208</v>
      </c>
      <c r="B44" s="344" t="s">
        <v>564</v>
      </c>
      <c r="C44" s="344">
        <v>50</v>
      </c>
      <c r="D44" s="345">
        <v>25</v>
      </c>
      <c r="E44" s="345">
        <v>370</v>
      </c>
      <c r="F44" s="344"/>
      <c r="G44" s="344"/>
      <c r="H44" s="343"/>
      <c r="I44" s="344"/>
      <c r="J44" s="344"/>
      <c r="K44" s="344"/>
      <c r="L44" s="344"/>
      <c r="M44" s="344">
        <v>29</v>
      </c>
      <c r="N44" s="344">
        <v>19</v>
      </c>
      <c r="O44" s="345">
        <f>D44+E44+M44+N44</f>
        <v>443</v>
      </c>
      <c r="P44" s="347">
        <f t="shared" ref="P44:P49" si="5">O44/C44</f>
        <v>8.86</v>
      </c>
      <c r="Q44" s="344" t="s">
        <v>607</v>
      </c>
      <c r="R44" s="344"/>
      <c r="S44" s="344"/>
      <c r="T44" s="344"/>
    </row>
    <row r="45" spans="1:24" s="109" customFormat="1" ht="15.95" customHeight="1">
      <c r="A45" s="343" t="s">
        <v>14</v>
      </c>
      <c r="B45" s="344" t="s">
        <v>563</v>
      </c>
      <c r="C45" s="344">
        <v>150</v>
      </c>
      <c r="D45" s="345"/>
      <c r="E45" s="345"/>
      <c r="F45" s="344"/>
      <c r="G45" s="344"/>
      <c r="H45" s="343"/>
      <c r="I45" s="344"/>
      <c r="J45" s="344"/>
      <c r="K45" s="344"/>
      <c r="L45" s="344"/>
      <c r="M45" s="350"/>
      <c r="N45" s="344"/>
      <c r="O45" s="345">
        <f t="shared" ref="O45:O49" si="6">D45+E45+F45+G45+H45+I45+J45+K45+L45+M45+N45</f>
        <v>0</v>
      </c>
      <c r="P45" s="347">
        <f t="shared" si="5"/>
        <v>0</v>
      </c>
      <c r="Q45" s="344"/>
      <c r="R45" s="344"/>
      <c r="S45" s="344"/>
      <c r="T45" s="344"/>
    </row>
    <row r="46" spans="1:24" s="109" customFormat="1" ht="15.95" customHeight="1">
      <c r="A46" s="343" t="s">
        <v>16</v>
      </c>
      <c r="B46" s="344" t="s">
        <v>39</v>
      </c>
      <c r="C46" s="344">
        <v>750</v>
      </c>
      <c r="D46" s="345"/>
      <c r="E46" s="345">
        <v>2500</v>
      </c>
      <c r="F46" s="344"/>
      <c r="G46" s="344">
        <v>122</v>
      </c>
      <c r="H46" s="343">
        <v>95</v>
      </c>
      <c r="I46" s="344">
        <v>202</v>
      </c>
      <c r="J46" s="344">
        <v>133</v>
      </c>
      <c r="K46" s="344">
        <v>134</v>
      </c>
      <c r="L46" s="344">
        <v>0</v>
      </c>
      <c r="M46" s="344">
        <v>198</v>
      </c>
      <c r="N46" s="344">
        <v>101</v>
      </c>
      <c r="O46" s="345">
        <f t="shared" si="6"/>
        <v>3485</v>
      </c>
      <c r="P46" s="347">
        <f t="shared" si="5"/>
        <v>4.6466666666666665</v>
      </c>
      <c r="Q46" s="344" t="s">
        <v>706</v>
      </c>
      <c r="R46" s="344"/>
      <c r="S46" s="344"/>
      <c r="T46" s="343"/>
    </row>
    <row r="47" spans="1:24" s="109" customFormat="1" ht="15.95" customHeight="1">
      <c r="A47" s="343" t="s">
        <v>562</v>
      </c>
      <c r="B47" s="344" t="s">
        <v>560</v>
      </c>
      <c r="C47" s="344">
        <v>0</v>
      </c>
      <c r="D47" s="345"/>
      <c r="E47" s="345"/>
      <c r="F47" s="344"/>
      <c r="G47" s="344"/>
      <c r="H47" s="343"/>
      <c r="I47" s="343"/>
      <c r="J47" s="344"/>
      <c r="K47" s="344"/>
      <c r="L47" s="344"/>
      <c r="M47" s="344"/>
      <c r="N47" s="344"/>
      <c r="O47" s="345">
        <f t="shared" si="6"/>
        <v>0</v>
      </c>
      <c r="P47" s="347" t="e">
        <f t="shared" si="5"/>
        <v>#DIV/0!</v>
      </c>
      <c r="Q47" s="344"/>
      <c r="R47" s="344"/>
      <c r="S47" s="344"/>
      <c r="T47" s="343"/>
    </row>
    <row r="48" spans="1:24" s="109" customFormat="1" ht="15.95" customHeight="1">
      <c r="A48" s="343" t="s">
        <v>561</v>
      </c>
      <c r="B48" s="344" t="s">
        <v>560</v>
      </c>
      <c r="C48" s="344">
        <v>3000</v>
      </c>
      <c r="D48" s="345"/>
      <c r="E48" s="345">
        <v>3000</v>
      </c>
      <c r="F48" s="344"/>
      <c r="G48" s="344"/>
      <c r="H48" s="343"/>
      <c r="I48" s="344"/>
      <c r="J48" s="344"/>
      <c r="K48" s="344"/>
      <c r="L48" s="344"/>
      <c r="M48" s="344">
        <v>2607</v>
      </c>
      <c r="N48" s="344">
        <v>2000</v>
      </c>
      <c r="O48" s="345">
        <f t="shared" si="6"/>
        <v>7607</v>
      </c>
      <c r="P48" s="347">
        <f t="shared" si="5"/>
        <v>2.5356666666666667</v>
      </c>
      <c r="Q48" s="344" t="s">
        <v>606</v>
      </c>
      <c r="R48" s="344"/>
      <c r="S48" s="344"/>
      <c r="T48" s="343"/>
    </row>
    <row r="49" spans="1:20" s="109" customFormat="1" ht="15.95" customHeight="1">
      <c r="A49" s="343" t="s">
        <v>26</v>
      </c>
      <c r="B49" s="344" t="s">
        <v>39</v>
      </c>
      <c r="C49" s="344">
        <v>52</v>
      </c>
      <c r="D49" s="345">
        <v>50</v>
      </c>
      <c r="E49" s="345">
        <v>120</v>
      </c>
      <c r="F49" s="344"/>
      <c r="G49" s="344"/>
      <c r="H49" s="343"/>
      <c r="I49" s="343"/>
      <c r="J49" s="344"/>
      <c r="K49" s="344"/>
      <c r="L49" s="344"/>
      <c r="M49" s="344"/>
      <c r="N49" s="344"/>
      <c r="O49" s="344">
        <f t="shared" si="6"/>
        <v>170</v>
      </c>
      <c r="P49" s="347">
        <f t="shared" si="5"/>
        <v>3.2692307692307692</v>
      </c>
      <c r="Q49" s="344" t="s">
        <v>607</v>
      </c>
      <c r="R49" s="343"/>
      <c r="S49" s="344"/>
      <c r="T49" s="343"/>
    </row>
    <row r="50" spans="1:20" ht="24.75" customHeight="1">
      <c r="C50" s="56"/>
      <c r="J50" s="56"/>
      <c r="K50" s="56"/>
      <c r="L50" s="56"/>
      <c r="Q50" s="56"/>
    </row>
    <row r="51" spans="1:20">
      <c r="A51" s="56"/>
      <c r="B51" s="56"/>
      <c r="C51" s="56"/>
      <c r="J51" s="56"/>
      <c r="K51" s="56"/>
      <c r="L51" s="56"/>
      <c r="Q51" s="56"/>
    </row>
    <row r="52" spans="1:20" s="341" customFormat="1">
      <c r="A52" s="630" t="s">
        <v>559</v>
      </c>
      <c r="B52" s="630" t="s">
        <v>558</v>
      </c>
      <c r="C52" s="340" t="s">
        <v>557</v>
      </c>
      <c r="D52" s="630" t="s">
        <v>556</v>
      </c>
      <c r="E52" s="630" t="s">
        <v>555</v>
      </c>
      <c r="F52" s="630" t="s">
        <v>554</v>
      </c>
      <c r="G52" s="630" t="s">
        <v>553</v>
      </c>
      <c r="H52" s="630" t="s">
        <v>67</v>
      </c>
      <c r="I52" s="630" t="s">
        <v>68</v>
      </c>
      <c r="J52" s="630" t="s">
        <v>552</v>
      </c>
      <c r="K52" s="630" t="s">
        <v>551</v>
      </c>
      <c r="L52" s="630" t="s">
        <v>73</v>
      </c>
      <c r="M52" s="630" t="s">
        <v>74</v>
      </c>
      <c r="N52" s="340"/>
      <c r="O52" s="630" t="s">
        <v>75</v>
      </c>
      <c r="P52" s="630" t="s">
        <v>550</v>
      </c>
      <c r="Q52" s="630" t="s">
        <v>549</v>
      </c>
    </row>
    <row r="53" spans="1:20" s="341" customFormat="1">
      <c r="A53" s="628"/>
      <c r="B53" s="628"/>
      <c r="C53" s="342" t="s">
        <v>548</v>
      </c>
      <c r="D53" s="628"/>
      <c r="E53" s="628"/>
      <c r="F53" s="628"/>
      <c r="G53" s="628"/>
      <c r="H53" s="628"/>
      <c r="I53" s="628"/>
      <c r="J53" s="628"/>
      <c r="K53" s="628"/>
      <c r="L53" s="628"/>
      <c r="M53" s="628"/>
      <c r="N53" s="342" t="s">
        <v>108</v>
      </c>
      <c r="O53" s="628"/>
      <c r="P53" s="628"/>
      <c r="Q53" s="628"/>
      <c r="T53" s="378"/>
    </row>
    <row r="54" spans="1:20" s="109" customFormat="1" ht="15.95" customHeight="1">
      <c r="A54" s="344">
        <v>1</v>
      </c>
      <c r="B54" s="344" t="s">
        <v>547</v>
      </c>
      <c r="C54" s="344">
        <v>0</v>
      </c>
      <c r="D54" s="345">
        <v>0</v>
      </c>
      <c r="E54" s="345"/>
      <c r="F54" s="344"/>
      <c r="G54" s="344"/>
      <c r="H54" s="344"/>
      <c r="I54" s="344"/>
      <c r="J54" s="344"/>
      <c r="K54" s="344"/>
      <c r="L54" s="344"/>
      <c r="M54" s="344"/>
      <c r="N54" s="344"/>
      <c r="O54" s="345">
        <f t="shared" ref="O54:O66" si="7">D54+E54+F54+G54+H54+I54+J54+K54+L54+M54+N54</f>
        <v>0</v>
      </c>
      <c r="P54" s="379" t="e">
        <f>O54/C54</f>
        <v>#DIV/0!</v>
      </c>
      <c r="Q54" s="344"/>
      <c r="R54" s="98"/>
    </row>
    <row r="55" spans="1:20" s="109" customFormat="1" ht="15.95" customHeight="1">
      <c r="A55" s="344">
        <v>2</v>
      </c>
      <c r="B55" s="344" t="s">
        <v>547</v>
      </c>
      <c r="C55" s="344">
        <v>0</v>
      </c>
      <c r="D55" s="384">
        <v>204</v>
      </c>
      <c r="E55" s="345"/>
      <c r="F55" s="344"/>
      <c r="G55" s="344"/>
      <c r="H55" s="344"/>
      <c r="I55" s="344"/>
      <c r="J55" s="344"/>
      <c r="K55" s="344"/>
      <c r="L55" s="344"/>
      <c r="M55" s="344"/>
      <c r="N55" s="344"/>
      <c r="O55" s="345">
        <f t="shared" si="7"/>
        <v>204</v>
      </c>
      <c r="P55" s="379" t="e">
        <f t="shared" ref="P55:P68" si="8">O55/C55</f>
        <v>#DIV/0!</v>
      </c>
      <c r="Q55" s="344"/>
      <c r="R55" s="98"/>
    </row>
    <row r="56" spans="1:20" s="109" customFormat="1" ht="15.95" customHeight="1">
      <c r="A56" s="344">
        <v>3</v>
      </c>
      <c r="B56" s="344" t="s">
        <v>547</v>
      </c>
      <c r="C56" s="344">
        <v>0</v>
      </c>
      <c r="D56" s="384">
        <v>1801</v>
      </c>
      <c r="E56" s="345"/>
      <c r="F56" s="344"/>
      <c r="G56" s="344"/>
      <c r="H56" s="344"/>
      <c r="I56" s="344"/>
      <c r="J56" s="344"/>
      <c r="K56" s="344"/>
      <c r="L56" s="344"/>
      <c r="M56" s="344"/>
      <c r="N56" s="344"/>
      <c r="O56" s="345">
        <f t="shared" si="7"/>
        <v>1801</v>
      </c>
      <c r="P56" s="379" t="e">
        <f t="shared" si="8"/>
        <v>#DIV/0!</v>
      </c>
      <c r="Q56" s="344"/>
      <c r="R56" s="98"/>
    </row>
    <row r="57" spans="1:20" s="109" customFormat="1" ht="15.95" customHeight="1">
      <c r="A57" s="344">
        <v>4</v>
      </c>
      <c r="B57" s="344" t="s">
        <v>547</v>
      </c>
      <c r="C57" s="344">
        <v>0</v>
      </c>
      <c r="D57" s="384">
        <v>766</v>
      </c>
      <c r="E57" s="345"/>
      <c r="F57" s="344"/>
      <c r="G57" s="344"/>
      <c r="H57" s="344"/>
      <c r="I57" s="344"/>
      <c r="J57" s="344"/>
      <c r="K57" s="344"/>
      <c r="L57" s="344"/>
      <c r="M57" s="344"/>
      <c r="N57" s="344"/>
      <c r="O57" s="345">
        <f t="shared" si="7"/>
        <v>766</v>
      </c>
      <c r="P57" s="379" t="e">
        <f t="shared" si="8"/>
        <v>#DIV/0!</v>
      </c>
      <c r="Q57" s="344"/>
      <c r="R57" s="98"/>
    </row>
    <row r="58" spans="1:20" s="109" customFormat="1" ht="15.95" customHeight="1">
      <c r="A58" s="344">
        <v>5</v>
      </c>
      <c r="B58" s="344" t="s">
        <v>547</v>
      </c>
      <c r="C58" s="344">
        <v>0</v>
      </c>
      <c r="D58" s="384">
        <v>1</v>
      </c>
      <c r="E58" s="345"/>
      <c r="F58" s="344"/>
      <c r="G58" s="344"/>
      <c r="H58" s="344"/>
      <c r="I58" s="344"/>
      <c r="J58" s="344"/>
      <c r="K58" s="344"/>
      <c r="L58" s="344"/>
      <c r="M58" s="344"/>
      <c r="N58" s="344"/>
      <c r="O58" s="345">
        <f t="shared" si="7"/>
        <v>1</v>
      </c>
      <c r="P58" s="379" t="e">
        <f t="shared" si="8"/>
        <v>#DIV/0!</v>
      </c>
      <c r="Q58" s="344"/>
      <c r="S58" s="98"/>
    </row>
    <row r="59" spans="1:20" s="109" customFormat="1" ht="15.95" customHeight="1">
      <c r="A59" s="344">
        <v>6</v>
      </c>
      <c r="B59" s="344" t="s">
        <v>547</v>
      </c>
      <c r="C59" s="344">
        <v>0</v>
      </c>
      <c r="D59" s="384">
        <v>64</v>
      </c>
      <c r="E59" s="345"/>
      <c r="F59" s="344"/>
      <c r="G59" s="344"/>
      <c r="H59" s="344"/>
      <c r="I59" s="344"/>
      <c r="J59" s="344"/>
      <c r="K59" s="344"/>
      <c r="L59" s="344"/>
      <c r="M59" s="344"/>
      <c r="N59" s="344"/>
      <c r="O59" s="345">
        <f t="shared" si="7"/>
        <v>64</v>
      </c>
      <c r="P59" s="379" t="e">
        <f t="shared" si="8"/>
        <v>#DIV/0!</v>
      </c>
      <c r="Q59" s="344"/>
      <c r="R59" s="98"/>
    </row>
    <row r="60" spans="1:20" s="109" customFormat="1" ht="15.95" customHeight="1">
      <c r="A60" s="344">
        <v>7</v>
      </c>
      <c r="B60" s="344" t="s">
        <v>547</v>
      </c>
      <c r="C60" s="344">
        <v>0</v>
      </c>
      <c r="D60" s="384">
        <v>217</v>
      </c>
      <c r="E60" s="345"/>
      <c r="F60" s="344"/>
      <c r="G60" s="344"/>
      <c r="H60" s="344"/>
      <c r="I60" s="344"/>
      <c r="J60" s="344"/>
      <c r="K60" s="344"/>
      <c r="L60" s="344"/>
      <c r="M60" s="344"/>
      <c r="N60" s="344"/>
      <c r="O60" s="345">
        <f t="shared" si="7"/>
        <v>217</v>
      </c>
      <c r="P60" s="379" t="e">
        <f t="shared" si="8"/>
        <v>#DIV/0!</v>
      </c>
      <c r="Q60" s="344"/>
      <c r="R60" s="98"/>
    </row>
    <row r="61" spans="1:20" s="109" customFormat="1" ht="15.95" customHeight="1">
      <c r="A61" s="344">
        <v>8</v>
      </c>
      <c r="B61" s="344" t="s">
        <v>547</v>
      </c>
      <c r="C61" s="344">
        <v>0</v>
      </c>
      <c r="D61" s="384">
        <v>848</v>
      </c>
      <c r="E61" s="345"/>
      <c r="F61" s="344"/>
      <c r="G61" s="344"/>
      <c r="H61" s="344"/>
      <c r="I61" s="344"/>
      <c r="J61" s="344"/>
      <c r="K61" s="344"/>
      <c r="L61" s="344"/>
      <c r="M61" s="344"/>
      <c r="N61" s="344"/>
      <c r="O61" s="345">
        <f t="shared" si="7"/>
        <v>848</v>
      </c>
      <c r="P61" s="379" t="e">
        <f t="shared" si="8"/>
        <v>#DIV/0!</v>
      </c>
      <c r="Q61" s="344"/>
      <c r="R61" s="98"/>
    </row>
    <row r="62" spans="1:20" s="109" customFormat="1" ht="15.95" customHeight="1">
      <c r="A62" s="344">
        <v>9</v>
      </c>
      <c r="B62" s="344" t="s">
        <v>547</v>
      </c>
      <c r="C62" s="344">
        <v>0</v>
      </c>
      <c r="D62" s="384">
        <v>2296</v>
      </c>
      <c r="E62" s="345"/>
      <c r="F62" s="344"/>
      <c r="G62" s="344"/>
      <c r="H62" s="344"/>
      <c r="I62" s="344"/>
      <c r="J62" s="344"/>
      <c r="K62" s="344"/>
      <c r="L62" s="344"/>
      <c r="M62" s="344"/>
      <c r="N62" s="344"/>
      <c r="O62" s="345">
        <f t="shared" si="7"/>
        <v>2296</v>
      </c>
      <c r="P62" s="379" t="e">
        <f t="shared" si="8"/>
        <v>#DIV/0!</v>
      </c>
      <c r="Q62" s="344"/>
      <c r="R62" s="98"/>
    </row>
    <row r="63" spans="1:20" s="109" customFormat="1" ht="15.95" customHeight="1">
      <c r="A63" s="344">
        <v>10</v>
      </c>
      <c r="B63" s="344" t="s">
        <v>547</v>
      </c>
      <c r="C63" s="344">
        <v>0</v>
      </c>
      <c r="D63" s="384">
        <v>3418</v>
      </c>
      <c r="E63" s="345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 t="shared" si="7"/>
        <v>3418</v>
      </c>
      <c r="P63" s="379" t="e">
        <f t="shared" si="8"/>
        <v>#DIV/0!</v>
      </c>
      <c r="Q63" s="344"/>
      <c r="R63" s="98"/>
    </row>
    <row r="64" spans="1:20" s="109" customFormat="1" ht="15.95" customHeight="1">
      <c r="A64" s="344">
        <v>11</v>
      </c>
      <c r="B64" s="344" t="s">
        <v>547</v>
      </c>
      <c r="C64" s="344">
        <v>0</v>
      </c>
      <c r="D64" s="384">
        <v>2959</v>
      </c>
      <c r="E64" s="345"/>
      <c r="F64" s="344"/>
      <c r="G64" s="344"/>
      <c r="H64" s="344"/>
      <c r="I64" s="344"/>
      <c r="J64" s="344"/>
      <c r="K64" s="344"/>
      <c r="L64" s="344"/>
      <c r="M64" s="344"/>
      <c r="N64" s="344"/>
      <c r="O64" s="345">
        <f t="shared" si="7"/>
        <v>2959</v>
      </c>
      <c r="P64" s="379" t="e">
        <f t="shared" si="8"/>
        <v>#DIV/0!</v>
      </c>
      <c r="Q64" s="344"/>
      <c r="R64" s="98"/>
    </row>
    <row r="65" spans="1:20" s="109" customFormat="1" ht="15.95" customHeight="1">
      <c r="A65" s="344">
        <v>12</v>
      </c>
      <c r="B65" s="344" t="s">
        <v>547</v>
      </c>
      <c r="C65" s="344">
        <v>0</v>
      </c>
      <c r="D65" s="384">
        <v>3632</v>
      </c>
      <c r="E65" s="390">
        <v>2160</v>
      </c>
      <c r="F65" s="344"/>
      <c r="G65" s="344"/>
      <c r="H65" s="344"/>
      <c r="I65" s="344"/>
      <c r="J65" s="344"/>
      <c r="K65" s="344"/>
      <c r="L65" s="344"/>
      <c r="M65" s="344"/>
      <c r="N65" s="344"/>
      <c r="O65" s="345">
        <f t="shared" si="7"/>
        <v>5792</v>
      </c>
      <c r="P65" s="379" t="e">
        <f t="shared" si="8"/>
        <v>#DIV/0!</v>
      </c>
      <c r="Q65" s="344"/>
      <c r="R65" s="98"/>
    </row>
    <row r="66" spans="1:20" s="109" customFormat="1" ht="15.95" customHeight="1">
      <c r="A66" s="344">
        <v>13</v>
      </c>
      <c r="B66" s="344" t="s">
        <v>547</v>
      </c>
      <c r="C66" s="344">
        <v>0</v>
      </c>
      <c r="D66" s="384">
        <v>0</v>
      </c>
      <c r="E66" s="345"/>
      <c r="F66" s="344"/>
      <c r="G66" s="344"/>
      <c r="H66" s="344"/>
      <c r="I66" s="344"/>
      <c r="J66" s="343"/>
      <c r="K66" s="344"/>
      <c r="L66" s="344"/>
      <c r="M66" s="344"/>
      <c r="N66" s="344"/>
      <c r="O66" s="345">
        <f t="shared" si="7"/>
        <v>0</v>
      </c>
      <c r="P66" s="363" t="e">
        <f t="shared" si="8"/>
        <v>#DIV/0!</v>
      </c>
      <c r="Q66" s="344"/>
      <c r="R66" s="98"/>
    </row>
    <row r="67" spans="1:20" s="109" customFormat="1" ht="15.95" customHeight="1">
      <c r="A67" s="344">
        <v>14</v>
      </c>
      <c r="B67" s="344" t="s">
        <v>547</v>
      </c>
      <c r="C67" s="344">
        <v>0</v>
      </c>
      <c r="D67" s="384">
        <v>0</v>
      </c>
      <c r="E67" s="345"/>
      <c r="F67" s="344"/>
      <c r="G67" s="344"/>
      <c r="H67" s="344"/>
      <c r="I67" s="344"/>
      <c r="J67" s="343"/>
      <c r="K67" s="344"/>
      <c r="L67" s="344"/>
      <c r="M67" s="344"/>
      <c r="N67" s="344"/>
      <c r="O67" s="345">
        <f t="shared" ref="O67:O68" si="9">D67+E67+F67+G67+H67+I67+J67+K67+L67+M67+N67</f>
        <v>0</v>
      </c>
      <c r="P67" s="363" t="e">
        <f t="shared" si="8"/>
        <v>#DIV/0!</v>
      </c>
      <c r="Q67" s="344"/>
      <c r="R67" s="98"/>
    </row>
    <row r="68" spans="1:20" s="109" customFormat="1" ht="15.95" customHeight="1">
      <c r="A68" s="344">
        <v>15</v>
      </c>
      <c r="B68" s="344" t="s">
        <v>547</v>
      </c>
      <c r="C68" s="344">
        <v>0</v>
      </c>
      <c r="D68" s="345">
        <v>0</v>
      </c>
      <c r="E68" s="345"/>
      <c r="F68" s="344"/>
      <c r="G68" s="344"/>
      <c r="H68" s="344"/>
      <c r="I68" s="344"/>
      <c r="J68" s="343"/>
      <c r="K68" s="344"/>
      <c r="L68" s="344"/>
      <c r="M68" s="344"/>
      <c r="N68" s="344"/>
      <c r="O68" s="345">
        <f t="shared" si="9"/>
        <v>0</v>
      </c>
      <c r="P68" s="363" t="e">
        <f t="shared" si="8"/>
        <v>#DIV/0!</v>
      </c>
      <c r="Q68" s="344"/>
      <c r="R68" s="98"/>
    </row>
    <row r="69" spans="1:20">
      <c r="D69" s="356"/>
      <c r="T69" s="109"/>
    </row>
    <row r="70" spans="1:20">
      <c r="Q70" s="56"/>
    </row>
    <row r="71" spans="1:20">
      <c r="C71" s="98"/>
      <c r="D71" s="355"/>
      <c r="E71" s="355"/>
      <c r="F71" s="356"/>
      <c r="G71" s="356"/>
    </row>
    <row r="72" spans="1:20">
      <c r="C72" s="98"/>
      <c r="D72" s="355"/>
      <c r="E72" s="355"/>
      <c r="F72" s="356"/>
      <c r="G72" s="356"/>
      <c r="H72" s="356"/>
      <c r="I72" s="356"/>
    </row>
    <row r="73" spans="1:20">
      <c r="C73" s="98"/>
      <c r="D73" s="355"/>
      <c r="E73" s="355"/>
      <c r="F73" s="356"/>
      <c r="G73" s="356"/>
      <c r="H73" s="356"/>
      <c r="I73" s="356"/>
    </row>
    <row r="74" spans="1:20">
      <c r="C74" s="98"/>
      <c r="D74" s="355"/>
      <c r="E74" s="355"/>
      <c r="F74" s="356"/>
      <c r="G74" s="356"/>
      <c r="H74" s="356"/>
      <c r="I74" s="356"/>
      <c r="J74" s="356"/>
      <c r="M74" s="356"/>
      <c r="N74" s="356"/>
      <c r="Q74" s="56"/>
    </row>
    <row r="75" spans="1:20">
      <c r="C75" s="98"/>
      <c r="D75" s="355"/>
      <c r="E75" s="355"/>
      <c r="F75" s="356"/>
      <c r="G75" s="356"/>
      <c r="H75" s="356"/>
      <c r="I75" s="356"/>
      <c r="J75" s="356"/>
      <c r="M75" s="356"/>
      <c r="N75" s="356"/>
    </row>
    <row r="76" spans="1:20">
      <c r="C76" s="98"/>
      <c r="D76" s="355"/>
      <c r="E76" s="355"/>
      <c r="F76" s="356"/>
      <c r="G76" s="356"/>
      <c r="H76" s="356"/>
      <c r="I76" s="356"/>
      <c r="J76" s="356"/>
      <c r="M76" s="356"/>
      <c r="N76" s="356"/>
    </row>
    <row r="77" spans="1:20">
      <c r="C77" s="98"/>
      <c r="D77" s="355"/>
      <c r="E77" s="355"/>
      <c r="F77" s="356"/>
      <c r="G77" s="356"/>
      <c r="H77" s="356"/>
      <c r="I77" s="356"/>
      <c r="J77" s="356"/>
      <c r="M77" s="356"/>
      <c r="N77" s="356"/>
    </row>
    <row r="78" spans="1:20">
      <c r="C78" s="98"/>
      <c r="D78" s="355"/>
      <c r="E78" s="355"/>
      <c r="F78" s="356"/>
      <c r="G78" s="356"/>
      <c r="H78" s="356"/>
      <c r="I78" s="356"/>
      <c r="J78" s="356"/>
      <c r="M78" s="356"/>
      <c r="N78" s="356"/>
    </row>
    <row r="79" spans="1:20">
      <c r="C79" s="98"/>
      <c r="D79" s="355"/>
      <c r="E79" s="355"/>
      <c r="F79" s="356"/>
      <c r="G79" s="356"/>
      <c r="H79" s="356"/>
      <c r="I79" s="356"/>
      <c r="J79" s="356"/>
      <c r="M79" s="356"/>
      <c r="N79" s="356"/>
    </row>
    <row r="80" spans="1:20">
      <c r="C80" s="98"/>
      <c r="D80" s="355"/>
      <c r="E80" s="355"/>
      <c r="F80" s="356"/>
      <c r="G80" s="356"/>
      <c r="H80" s="356"/>
      <c r="I80" s="356"/>
      <c r="J80" s="356"/>
      <c r="M80" s="356"/>
      <c r="N80" s="356"/>
    </row>
    <row r="81" spans="3:14">
      <c r="C81" s="98"/>
      <c r="D81" s="355"/>
      <c r="E81" s="355"/>
      <c r="F81" s="356"/>
      <c r="G81" s="356"/>
      <c r="H81" s="356"/>
      <c r="I81" s="356"/>
      <c r="J81" s="356"/>
      <c r="M81" s="356"/>
      <c r="N81" s="356"/>
    </row>
    <row r="82" spans="3:14">
      <c r="C82" s="98"/>
      <c r="D82" s="355"/>
      <c r="E82" s="355"/>
      <c r="F82" s="356"/>
      <c r="G82" s="356"/>
      <c r="H82" s="356"/>
      <c r="I82" s="356"/>
      <c r="J82" s="356"/>
      <c r="M82" s="356"/>
      <c r="N82" s="356"/>
    </row>
    <row r="83" spans="3:14">
      <c r="C83" s="98"/>
      <c r="D83" s="355"/>
      <c r="E83" s="355"/>
      <c r="F83" s="356"/>
      <c r="G83" s="356"/>
      <c r="H83" s="356"/>
      <c r="I83" s="356"/>
      <c r="J83" s="356"/>
      <c r="M83" s="356"/>
      <c r="N83" s="356"/>
    </row>
    <row r="84" spans="3:14">
      <c r="C84" s="98"/>
      <c r="D84" s="355"/>
      <c r="E84" s="355"/>
      <c r="F84" s="356"/>
      <c r="G84" s="356"/>
      <c r="H84" s="356"/>
      <c r="I84" s="356"/>
      <c r="J84" s="356"/>
      <c r="M84" s="356"/>
      <c r="N84" s="356"/>
    </row>
    <row r="85" spans="3:14">
      <c r="C85" s="98"/>
      <c r="D85" s="355"/>
      <c r="E85" s="355"/>
      <c r="F85" s="356"/>
      <c r="G85" s="356"/>
      <c r="H85" s="356"/>
      <c r="I85" s="356"/>
      <c r="J85" s="356"/>
      <c r="M85" s="356"/>
      <c r="N85" s="356"/>
    </row>
    <row r="86" spans="3:14">
      <c r="C86" s="98"/>
      <c r="D86" s="355"/>
      <c r="E86" s="356"/>
      <c r="F86" s="356"/>
      <c r="G86" s="356"/>
      <c r="H86" s="356"/>
      <c r="I86" s="356"/>
      <c r="J86" s="356"/>
      <c r="M86" s="356"/>
      <c r="N86" s="356"/>
    </row>
    <row r="87" spans="3:14">
      <c r="D87" s="356"/>
      <c r="E87" s="355"/>
      <c r="F87" s="356"/>
      <c r="H87" s="356"/>
      <c r="I87" s="356"/>
      <c r="J87" s="356"/>
      <c r="M87" s="356"/>
      <c r="N87" s="356"/>
    </row>
    <row r="88" spans="3:14">
      <c r="D88" s="355"/>
      <c r="E88" s="355"/>
      <c r="F88" s="356"/>
      <c r="H88" s="356"/>
      <c r="I88" s="356"/>
      <c r="J88" s="356"/>
      <c r="M88" s="356"/>
      <c r="N88" s="356"/>
    </row>
  </sheetData>
  <mergeCells count="80">
    <mergeCell ref="U17:U18"/>
    <mergeCell ref="A2:Q2"/>
    <mergeCell ref="A3:Q3"/>
    <mergeCell ref="A4:Q4"/>
    <mergeCell ref="M17:M18"/>
    <mergeCell ref="N17:N18"/>
    <mergeCell ref="K7:K8"/>
    <mergeCell ref="M7:M8"/>
    <mergeCell ref="N7:N8"/>
    <mergeCell ref="I17:I18"/>
    <mergeCell ref="J17:J18"/>
    <mergeCell ref="K17:K18"/>
    <mergeCell ref="L17:L18"/>
    <mergeCell ref="O17:O18"/>
    <mergeCell ref="A17:A18"/>
    <mergeCell ref="B17:B18"/>
    <mergeCell ref="M52:M53"/>
    <mergeCell ref="O52:O53"/>
    <mergeCell ref="P52:P53"/>
    <mergeCell ref="Q52:Q53"/>
    <mergeCell ref="N42:N43"/>
    <mergeCell ref="M42:M43"/>
    <mergeCell ref="O42:O43"/>
    <mergeCell ref="P42:P43"/>
    <mergeCell ref="Q42:Q43"/>
    <mergeCell ref="L52:L53"/>
    <mergeCell ref="K42:K43"/>
    <mergeCell ref="G42:G43"/>
    <mergeCell ref="H42:H43"/>
    <mergeCell ref="I42:I43"/>
    <mergeCell ref="J42:J43"/>
    <mergeCell ref="G52:G53"/>
    <mergeCell ref="H52:H53"/>
    <mergeCell ref="I52:I53"/>
    <mergeCell ref="J52:J53"/>
    <mergeCell ref="K52:K53"/>
    <mergeCell ref="L42:L43"/>
    <mergeCell ref="A52:A53"/>
    <mergeCell ref="B52:B53"/>
    <mergeCell ref="D52:D53"/>
    <mergeCell ref="E52:E53"/>
    <mergeCell ref="F52:F53"/>
    <mergeCell ref="H17:H18"/>
    <mergeCell ref="Q17:Q18"/>
    <mergeCell ref="A42:A43"/>
    <mergeCell ref="B42:B43"/>
    <mergeCell ref="D42:D43"/>
    <mergeCell ref="E42:E43"/>
    <mergeCell ref="F42:F43"/>
    <mergeCell ref="G7:G8"/>
    <mergeCell ref="H7:H8"/>
    <mergeCell ref="I7:I8"/>
    <mergeCell ref="J7:J8"/>
    <mergeCell ref="R7:R8"/>
    <mergeCell ref="A7:A8"/>
    <mergeCell ref="B7:B8"/>
    <mergeCell ref="D7:D8"/>
    <mergeCell ref="E7:E8"/>
    <mergeCell ref="F7:F8"/>
    <mergeCell ref="R42:R43"/>
    <mergeCell ref="S42:S43"/>
    <mergeCell ref="T42:T43"/>
    <mergeCell ref="U7:U8"/>
    <mergeCell ref="L7:L8"/>
    <mergeCell ref="O7:O8"/>
    <mergeCell ref="Q7:Q8"/>
    <mergeCell ref="S7:S8"/>
    <mergeCell ref="T7:T8"/>
    <mergeCell ref="A40:Q40"/>
    <mergeCell ref="A39:Q39"/>
    <mergeCell ref="G17:G18"/>
    <mergeCell ref="D17:D18"/>
    <mergeCell ref="E17:E18"/>
    <mergeCell ref="F17:F18"/>
    <mergeCell ref="A38:Q38"/>
    <mergeCell ref="V7:V8"/>
    <mergeCell ref="W7:W8"/>
    <mergeCell ref="V17:V18"/>
    <mergeCell ref="W17:W18"/>
    <mergeCell ref="X17:X18"/>
  </mergeCells>
  <pageMargins left="0.7" right="0.7" top="0.75" bottom="0.75" header="0.3" footer="0.3"/>
  <pageSetup paperSize="9" orientation="portrait" horizontalDpi="0" verticalDpi="0" r:id="rId1"/>
  <ignoredErrors>
    <ignoredError sqref="P14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F101"/>
  <sheetViews>
    <sheetView workbookViewId="0">
      <selection activeCell="M47" sqref="M47"/>
    </sheetView>
  </sheetViews>
  <sheetFormatPr defaultRowHeight="15"/>
  <cols>
    <col min="1" max="1" width="14" bestFit="1" customWidth="1"/>
    <col min="3" max="3" width="17" customWidth="1"/>
    <col min="4" max="4" width="21.42578125" customWidth="1"/>
    <col min="5" max="5" width="17.28515625" customWidth="1"/>
    <col min="6" max="6" width="16.140625" bestFit="1" customWidth="1"/>
    <col min="7" max="7" width="12.7109375" bestFit="1" customWidth="1"/>
    <col min="8" max="8" width="13.85546875" bestFit="1" customWidth="1"/>
    <col min="9" max="9" width="11.42578125" bestFit="1" customWidth="1"/>
    <col min="10" max="10" width="12.42578125" bestFit="1" customWidth="1"/>
    <col min="11" max="11" width="23.140625" bestFit="1" customWidth="1"/>
    <col min="12" max="12" width="15.85546875" customWidth="1"/>
    <col min="13" max="13" width="19" bestFit="1" customWidth="1"/>
    <col min="14" max="14" width="11.7109375" customWidth="1"/>
    <col min="15" max="16" width="11.140625" customWidth="1"/>
    <col min="17" max="17" width="11.5703125" customWidth="1"/>
    <col min="18" max="18" width="10.5703125" customWidth="1"/>
    <col min="19" max="19" width="11" customWidth="1"/>
    <col min="20" max="20" width="11.140625" customWidth="1"/>
    <col min="21" max="21" width="10.7109375" customWidth="1"/>
    <col min="22" max="22" width="11.85546875" customWidth="1"/>
    <col min="23" max="23" width="11" customWidth="1"/>
    <col min="24" max="24" width="10.28515625" customWidth="1"/>
    <col min="25" max="25" width="11" customWidth="1"/>
    <col min="26" max="26" width="11.5703125" customWidth="1"/>
    <col min="27" max="27" width="11.28515625" customWidth="1"/>
    <col min="28" max="28" width="9.7109375" bestFit="1" customWidth="1"/>
    <col min="29" max="29" width="10.85546875" customWidth="1"/>
    <col min="30" max="30" width="10.140625" bestFit="1" customWidth="1"/>
    <col min="31" max="31" width="15.42578125" customWidth="1"/>
    <col min="32" max="32" width="5.28515625" hidden="1" customWidth="1"/>
  </cols>
  <sheetData>
    <row r="3" spans="1:32" ht="26.25">
      <c r="A3" s="634" t="s">
        <v>608</v>
      </c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</row>
    <row r="4" spans="1:32" ht="27" thickBot="1">
      <c r="A4" s="467"/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  <c r="M4" s="467"/>
    </row>
    <row r="5" spans="1:32" s="109" customFormat="1" ht="24.75" customHeight="1" thickBot="1">
      <c r="A5" s="635" t="s">
        <v>9</v>
      </c>
      <c r="B5" s="637" t="s">
        <v>558</v>
      </c>
      <c r="C5" s="639" t="s">
        <v>609</v>
      </c>
      <c r="D5" s="641" t="s">
        <v>610</v>
      </c>
      <c r="E5" s="642" t="s">
        <v>611</v>
      </c>
      <c r="F5" s="643"/>
      <c r="G5" s="643"/>
      <c r="H5" s="643"/>
      <c r="I5" s="643"/>
      <c r="J5" s="643"/>
      <c r="K5" s="643"/>
      <c r="L5" s="644"/>
      <c r="N5" s="468"/>
      <c r="O5" s="468"/>
      <c r="P5" s="468"/>
      <c r="Q5" s="468"/>
      <c r="R5" s="469" t="s">
        <v>612</v>
      </c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70"/>
      <c r="AE5" s="468"/>
    </row>
    <row r="6" spans="1:32" s="109" customFormat="1" ht="46.5" customHeight="1" thickBot="1">
      <c r="A6" s="636"/>
      <c r="B6" s="638"/>
      <c r="C6" s="640"/>
      <c r="D6" s="640"/>
      <c r="E6" s="471" t="s">
        <v>613</v>
      </c>
      <c r="F6" s="471" t="s">
        <v>614</v>
      </c>
      <c r="G6" s="472" t="s">
        <v>615</v>
      </c>
      <c r="H6" s="473" t="s">
        <v>616</v>
      </c>
      <c r="I6" s="473" t="s">
        <v>617</v>
      </c>
      <c r="J6" s="473" t="s">
        <v>618</v>
      </c>
      <c r="K6" s="473" t="s">
        <v>619</v>
      </c>
      <c r="L6" s="474" t="s">
        <v>620</v>
      </c>
      <c r="M6" s="475" t="s">
        <v>621</v>
      </c>
      <c r="N6" s="476" t="s">
        <v>622</v>
      </c>
      <c r="O6" s="476" t="s">
        <v>623</v>
      </c>
      <c r="P6" s="477" t="s">
        <v>624</v>
      </c>
      <c r="Q6" s="477" t="s">
        <v>625</v>
      </c>
      <c r="R6" s="477" t="s">
        <v>626</v>
      </c>
      <c r="S6" s="477" t="s">
        <v>627</v>
      </c>
      <c r="T6" s="477" t="s">
        <v>628</v>
      </c>
      <c r="U6" s="477" t="s">
        <v>629</v>
      </c>
      <c r="V6" s="477" t="s">
        <v>630</v>
      </c>
      <c r="W6" s="477" t="s">
        <v>631</v>
      </c>
      <c r="X6" s="477" t="s">
        <v>632</v>
      </c>
      <c r="Y6" s="477" t="s">
        <v>633</v>
      </c>
      <c r="Z6" s="477" t="s">
        <v>634</v>
      </c>
      <c r="AA6" s="477" t="s">
        <v>635</v>
      </c>
      <c r="AB6" s="477" t="s">
        <v>636</v>
      </c>
      <c r="AC6" s="477" t="s">
        <v>637</v>
      </c>
      <c r="AD6" s="4" t="s">
        <v>75</v>
      </c>
      <c r="AE6" s="5" t="s">
        <v>638</v>
      </c>
      <c r="AF6" s="478"/>
    </row>
    <row r="7" spans="1:32">
      <c r="A7" s="479" t="s">
        <v>572</v>
      </c>
      <c r="B7" s="480" t="s">
        <v>564</v>
      </c>
      <c r="C7" s="480">
        <v>150</v>
      </c>
      <c r="D7" s="481">
        <v>2317</v>
      </c>
      <c r="E7" s="482">
        <v>50</v>
      </c>
      <c r="F7" s="482">
        <v>150</v>
      </c>
      <c r="G7" s="483">
        <v>150</v>
      </c>
      <c r="H7" s="483">
        <v>150</v>
      </c>
      <c r="I7" s="483">
        <v>150</v>
      </c>
      <c r="J7" s="483">
        <v>150</v>
      </c>
      <c r="K7" s="483">
        <v>150</v>
      </c>
      <c r="L7" s="483">
        <v>150</v>
      </c>
      <c r="M7" s="483">
        <f t="shared" ref="M7:M13" si="0">D7-E7-F7-G7-H7-I7-J7-K7-L7</f>
        <v>1217</v>
      </c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432" t="s">
        <v>639</v>
      </c>
    </row>
    <row r="8" spans="1:32">
      <c r="A8" s="484" t="s">
        <v>14</v>
      </c>
      <c r="B8" s="344" t="s">
        <v>563</v>
      </c>
      <c r="C8" s="344">
        <v>600</v>
      </c>
      <c r="D8" s="485">
        <v>3425</v>
      </c>
      <c r="E8" s="486">
        <v>600</v>
      </c>
      <c r="F8" s="487">
        <v>600</v>
      </c>
      <c r="G8" s="488">
        <v>600</v>
      </c>
      <c r="H8" s="488">
        <v>600</v>
      </c>
      <c r="I8" s="488">
        <v>600</v>
      </c>
      <c r="J8" s="488">
        <v>425</v>
      </c>
      <c r="K8" s="488">
        <v>0</v>
      </c>
      <c r="L8" s="488">
        <v>0</v>
      </c>
      <c r="M8" s="489">
        <f t="shared" si="0"/>
        <v>0</v>
      </c>
      <c r="N8" s="100"/>
      <c r="O8" s="489">
        <v>200</v>
      </c>
      <c r="P8" s="489">
        <v>600</v>
      </c>
      <c r="Q8" s="489">
        <v>600</v>
      </c>
      <c r="R8" s="489">
        <v>600</v>
      </c>
      <c r="S8" s="489">
        <v>600</v>
      </c>
      <c r="T8" s="489">
        <v>600</v>
      </c>
      <c r="U8" s="489">
        <v>600</v>
      </c>
      <c r="V8" s="489">
        <v>600</v>
      </c>
      <c r="W8" s="489">
        <v>600</v>
      </c>
      <c r="X8" s="489">
        <v>600</v>
      </c>
      <c r="Y8" s="489">
        <v>600</v>
      </c>
      <c r="Z8" s="489">
        <v>600</v>
      </c>
      <c r="AA8" s="489">
        <v>600</v>
      </c>
      <c r="AB8" s="489">
        <v>600</v>
      </c>
      <c r="AC8" s="489">
        <v>600</v>
      </c>
      <c r="AD8" s="432">
        <v>8600</v>
      </c>
      <c r="AE8" s="432" t="s">
        <v>640</v>
      </c>
    </row>
    <row r="9" spans="1:32">
      <c r="A9" s="484" t="s">
        <v>16</v>
      </c>
      <c r="B9" s="344" t="s">
        <v>39</v>
      </c>
      <c r="C9" s="344">
        <v>1000</v>
      </c>
      <c r="D9" s="485">
        <v>24100</v>
      </c>
      <c r="E9" s="486">
        <v>1000</v>
      </c>
      <c r="F9" s="487">
        <v>1000</v>
      </c>
      <c r="G9" s="488">
        <v>1000</v>
      </c>
      <c r="H9" s="488">
        <v>1000</v>
      </c>
      <c r="I9" s="488">
        <v>1000</v>
      </c>
      <c r="J9" s="488">
        <v>1000</v>
      </c>
      <c r="K9" s="488">
        <v>1000</v>
      </c>
      <c r="L9" s="488">
        <v>1000</v>
      </c>
      <c r="M9" s="489">
        <f t="shared" si="0"/>
        <v>16100</v>
      </c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432">
        <v>0</v>
      </c>
    </row>
    <row r="10" spans="1:32">
      <c r="A10" s="484" t="s">
        <v>562</v>
      </c>
      <c r="B10" s="344" t="s">
        <v>560</v>
      </c>
      <c r="C10" s="344">
        <v>5000</v>
      </c>
      <c r="D10" s="485">
        <v>41000</v>
      </c>
      <c r="E10" s="486">
        <v>5000</v>
      </c>
      <c r="F10" s="487">
        <v>5000</v>
      </c>
      <c r="G10" s="488">
        <v>5000</v>
      </c>
      <c r="H10" s="488">
        <v>5000</v>
      </c>
      <c r="I10" s="488">
        <v>5000</v>
      </c>
      <c r="J10" s="488">
        <v>5000</v>
      </c>
      <c r="K10" s="488">
        <v>5000</v>
      </c>
      <c r="L10" s="488">
        <v>5000</v>
      </c>
      <c r="M10" s="489">
        <f t="shared" si="0"/>
        <v>1000</v>
      </c>
      <c r="N10" s="489"/>
      <c r="O10" s="489"/>
      <c r="P10" s="489"/>
      <c r="Q10" s="489"/>
      <c r="R10" s="489">
        <v>5000</v>
      </c>
      <c r="S10" s="489">
        <v>5000</v>
      </c>
      <c r="T10" s="489">
        <v>5000</v>
      </c>
      <c r="U10" s="489">
        <v>5000</v>
      </c>
      <c r="V10" s="489">
        <v>5000</v>
      </c>
      <c r="W10" s="489">
        <v>5000</v>
      </c>
      <c r="X10" s="489">
        <v>5000</v>
      </c>
      <c r="Y10" s="489">
        <v>5000</v>
      </c>
      <c r="Z10" s="489">
        <v>5000</v>
      </c>
      <c r="AA10" s="432">
        <v>5000</v>
      </c>
      <c r="AB10" s="432">
        <v>5000</v>
      </c>
      <c r="AC10" s="432">
        <v>5000</v>
      </c>
      <c r="AD10" s="432">
        <v>60000</v>
      </c>
      <c r="AE10" s="432" t="s">
        <v>641</v>
      </c>
    </row>
    <row r="11" spans="1:32">
      <c r="A11" s="484" t="s">
        <v>571</v>
      </c>
      <c r="B11" s="344" t="s">
        <v>560</v>
      </c>
      <c r="C11" s="344">
        <v>6300</v>
      </c>
      <c r="D11" s="485">
        <v>72900</v>
      </c>
      <c r="E11" s="486">
        <v>6300</v>
      </c>
      <c r="F11" s="487">
        <v>6300</v>
      </c>
      <c r="G11" s="488">
        <v>6300</v>
      </c>
      <c r="H11" s="488">
        <v>6300</v>
      </c>
      <c r="I11" s="488">
        <v>6300</v>
      </c>
      <c r="J11" s="488">
        <v>6300</v>
      </c>
      <c r="K11" s="488">
        <v>6300</v>
      </c>
      <c r="L11" s="488">
        <v>6300</v>
      </c>
      <c r="M11" s="489">
        <f t="shared" si="0"/>
        <v>22500</v>
      </c>
      <c r="N11" s="100"/>
      <c r="O11" s="100"/>
      <c r="P11" s="100"/>
      <c r="Q11" s="100"/>
      <c r="R11" s="100"/>
      <c r="S11" s="100"/>
      <c r="T11" s="100"/>
      <c r="U11" s="100"/>
      <c r="V11" s="432">
        <v>6300</v>
      </c>
      <c r="W11" s="432">
        <v>6300</v>
      </c>
      <c r="X11" s="432">
        <v>6300</v>
      </c>
      <c r="Y11" s="432">
        <v>6300</v>
      </c>
      <c r="Z11" s="432">
        <v>6300</v>
      </c>
      <c r="AA11" s="432">
        <v>6300</v>
      </c>
      <c r="AB11" s="432">
        <v>6300</v>
      </c>
      <c r="AC11" s="432">
        <v>6300</v>
      </c>
      <c r="AD11" s="100">
        <f>6300*8</f>
        <v>50400</v>
      </c>
      <c r="AE11" s="432" t="s">
        <v>642</v>
      </c>
    </row>
    <row r="12" spans="1:32">
      <c r="A12" s="484" t="s">
        <v>26</v>
      </c>
      <c r="B12" s="344" t="s">
        <v>39</v>
      </c>
      <c r="C12" s="344">
        <v>60</v>
      </c>
      <c r="D12" s="485">
        <v>600</v>
      </c>
      <c r="E12" s="486">
        <v>60</v>
      </c>
      <c r="F12" s="487">
        <v>60</v>
      </c>
      <c r="G12" s="488">
        <v>60</v>
      </c>
      <c r="H12" s="488">
        <v>60</v>
      </c>
      <c r="I12" s="488">
        <v>60</v>
      </c>
      <c r="J12" s="488">
        <v>60</v>
      </c>
      <c r="K12" s="488">
        <v>60</v>
      </c>
      <c r="L12" s="488">
        <v>60</v>
      </c>
      <c r="M12" s="489">
        <f t="shared" si="0"/>
        <v>120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3" spans="1:32" ht="15.75" thickBot="1">
      <c r="A13" s="490" t="s">
        <v>643</v>
      </c>
      <c r="B13" s="491"/>
      <c r="C13" s="492"/>
      <c r="D13" s="492"/>
      <c r="E13" s="492"/>
      <c r="F13" s="493"/>
      <c r="G13" s="493"/>
      <c r="H13" s="493"/>
      <c r="I13" s="493"/>
      <c r="J13" s="493"/>
      <c r="K13" s="493"/>
      <c r="L13" s="493"/>
      <c r="M13" s="492">
        <f t="shared" si="0"/>
        <v>0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</row>
    <row r="14" spans="1:32" ht="15.75" thickBot="1">
      <c r="A14" s="645"/>
      <c r="B14" s="645"/>
      <c r="C14" s="645"/>
      <c r="D14" s="645"/>
      <c r="E14" s="645"/>
      <c r="F14" s="645"/>
      <c r="G14" s="645"/>
      <c r="H14" s="645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2">
      <c r="A15" s="635" t="s">
        <v>644</v>
      </c>
      <c r="B15" s="637" t="s">
        <v>558</v>
      </c>
      <c r="C15" s="639" t="s">
        <v>609</v>
      </c>
      <c r="D15" s="637" t="s">
        <v>645</v>
      </c>
      <c r="E15" s="637" t="s">
        <v>646</v>
      </c>
      <c r="F15" s="637" t="s">
        <v>647</v>
      </c>
      <c r="G15" s="637" t="s">
        <v>615</v>
      </c>
      <c r="H15" s="639" t="s">
        <v>616</v>
      </c>
      <c r="I15" s="639" t="s">
        <v>617</v>
      </c>
      <c r="J15" s="639" t="s">
        <v>618</v>
      </c>
      <c r="K15" s="639" t="s">
        <v>619</v>
      </c>
      <c r="L15" s="639" t="s">
        <v>648</v>
      </c>
      <c r="M15" s="639" t="s">
        <v>621</v>
      </c>
      <c r="N15" s="646" t="s">
        <v>649</v>
      </c>
      <c r="O15" s="646" t="s">
        <v>650</v>
      </c>
      <c r="P15" s="646" t="s">
        <v>651</v>
      </c>
      <c r="Q15" s="646" t="s">
        <v>620</v>
      </c>
      <c r="R15" s="646" t="s">
        <v>652</v>
      </c>
      <c r="S15" s="646" t="s">
        <v>653</v>
      </c>
      <c r="T15" s="646" t="s">
        <v>654</v>
      </c>
      <c r="U15" s="646" t="s">
        <v>655</v>
      </c>
      <c r="V15" s="646" t="s">
        <v>656</v>
      </c>
      <c r="W15" s="646" t="s">
        <v>657</v>
      </c>
      <c r="X15" s="646" t="s">
        <v>658</v>
      </c>
      <c r="Y15" s="646" t="s">
        <v>659</v>
      </c>
      <c r="Z15" s="646" t="s">
        <v>660</v>
      </c>
      <c r="AA15" s="646" t="s">
        <v>661</v>
      </c>
      <c r="AB15" s="646" t="s">
        <v>662</v>
      </c>
      <c r="AC15" s="646" t="s">
        <v>663</v>
      </c>
      <c r="AD15" s="646" t="s">
        <v>75</v>
      </c>
      <c r="AE15" s="646" t="s">
        <v>664</v>
      </c>
    </row>
    <row r="16" spans="1:32" ht="15.75" thickBot="1">
      <c r="A16" s="636"/>
      <c r="B16" s="638"/>
      <c r="C16" s="640"/>
      <c r="D16" s="638"/>
      <c r="E16" s="638"/>
      <c r="F16" s="638"/>
      <c r="G16" s="638"/>
      <c r="H16" s="638"/>
      <c r="I16" s="638"/>
      <c r="J16" s="638"/>
      <c r="K16" s="638"/>
      <c r="L16" s="638"/>
      <c r="M16" s="638"/>
      <c r="N16" s="647"/>
      <c r="O16" s="647"/>
      <c r="P16" s="647"/>
      <c r="Q16" s="647"/>
      <c r="R16" s="647"/>
      <c r="S16" s="647"/>
      <c r="T16" s="647"/>
      <c r="U16" s="647"/>
      <c r="V16" s="647"/>
      <c r="W16" s="647"/>
      <c r="X16" s="647"/>
      <c r="Y16" s="647"/>
      <c r="Z16" s="647"/>
      <c r="AA16" s="647"/>
      <c r="AB16" s="647"/>
      <c r="AC16" s="647"/>
      <c r="AD16" s="647"/>
      <c r="AE16" s="647"/>
    </row>
    <row r="17" spans="1:32">
      <c r="A17" s="494">
        <v>1</v>
      </c>
      <c r="B17" s="495" t="s">
        <v>547</v>
      </c>
      <c r="C17" s="496">
        <v>1250</v>
      </c>
      <c r="D17" s="497">
        <v>7510</v>
      </c>
      <c r="E17" s="497"/>
      <c r="F17" s="497">
        <v>1500</v>
      </c>
      <c r="G17" s="498">
        <v>1250</v>
      </c>
      <c r="H17" s="498">
        <v>1250</v>
      </c>
      <c r="I17" s="498">
        <v>1250</v>
      </c>
      <c r="J17" s="498">
        <v>1250</v>
      </c>
      <c r="K17" s="498">
        <v>1010</v>
      </c>
      <c r="L17" s="498"/>
      <c r="M17" s="498">
        <f t="shared" ref="M17:M31" si="1">D17-E17-F17-G17-H17-I17-J17-K17-L17</f>
        <v>0</v>
      </c>
      <c r="N17" s="486"/>
      <c r="O17" s="486"/>
      <c r="P17" s="486"/>
      <c r="Q17" s="486">
        <v>750</v>
      </c>
      <c r="R17" s="486">
        <v>1250</v>
      </c>
      <c r="S17" s="486">
        <v>1250</v>
      </c>
      <c r="T17" s="486">
        <v>1250</v>
      </c>
      <c r="U17" s="486">
        <v>1250</v>
      </c>
      <c r="V17" s="486">
        <v>1250</v>
      </c>
      <c r="W17" s="486">
        <v>1250</v>
      </c>
      <c r="X17" s="486">
        <v>1250</v>
      </c>
      <c r="Y17" s="486">
        <v>1250</v>
      </c>
      <c r="Z17" s="486">
        <v>1250</v>
      </c>
      <c r="AA17" s="486">
        <v>1250</v>
      </c>
      <c r="AB17" s="486">
        <v>1250</v>
      </c>
      <c r="AC17" s="486">
        <v>1250</v>
      </c>
      <c r="AD17" s="486">
        <v>15750</v>
      </c>
      <c r="AE17" s="432" t="s">
        <v>665</v>
      </c>
    </row>
    <row r="18" spans="1:32">
      <c r="A18" s="499">
        <v>2</v>
      </c>
      <c r="B18" s="344" t="s">
        <v>547</v>
      </c>
      <c r="C18" s="500">
        <v>1250</v>
      </c>
      <c r="D18" s="487">
        <v>8510</v>
      </c>
      <c r="E18" s="487"/>
      <c r="F18" s="487">
        <v>750</v>
      </c>
      <c r="G18" s="488">
        <v>1250</v>
      </c>
      <c r="H18" s="488">
        <v>1250</v>
      </c>
      <c r="I18" s="488">
        <v>1250</v>
      </c>
      <c r="J18" s="488">
        <v>1250</v>
      </c>
      <c r="K18" s="488">
        <v>1250</v>
      </c>
      <c r="L18" s="488">
        <v>1510</v>
      </c>
      <c r="M18" s="488">
        <f t="shared" si="1"/>
        <v>0</v>
      </c>
      <c r="N18" s="486"/>
      <c r="O18" s="486"/>
      <c r="P18" s="486"/>
      <c r="Q18" s="486">
        <v>500</v>
      </c>
      <c r="R18" s="486">
        <v>1250</v>
      </c>
      <c r="S18" s="486">
        <v>1250</v>
      </c>
      <c r="T18" s="486">
        <v>1250</v>
      </c>
      <c r="U18" s="486">
        <v>1250</v>
      </c>
      <c r="V18" s="486">
        <v>1250</v>
      </c>
      <c r="W18" s="486">
        <v>1250</v>
      </c>
      <c r="X18" s="486">
        <v>1250</v>
      </c>
      <c r="Y18" s="486">
        <v>1250</v>
      </c>
      <c r="Z18" s="486">
        <v>1250</v>
      </c>
      <c r="AA18" s="486">
        <v>1250</v>
      </c>
      <c r="AB18" s="486">
        <v>1250</v>
      </c>
      <c r="AC18" s="486">
        <v>1250</v>
      </c>
      <c r="AD18" s="486">
        <v>15500</v>
      </c>
      <c r="AE18" s="432" t="s">
        <v>666</v>
      </c>
    </row>
    <row r="19" spans="1:32">
      <c r="A19" s="499">
        <v>3</v>
      </c>
      <c r="B19" s="344" t="s">
        <v>547</v>
      </c>
      <c r="C19" s="500">
        <v>1250</v>
      </c>
      <c r="D19" s="487">
        <v>6510</v>
      </c>
      <c r="E19" s="487"/>
      <c r="F19" s="487">
        <v>1250</v>
      </c>
      <c r="G19" s="488">
        <v>1250</v>
      </c>
      <c r="H19" s="488">
        <v>1250</v>
      </c>
      <c r="I19" s="488">
        <v>1250</v>
      </c>
      <c r="J19" s="488">
        <v>1250</v>
      </c>
      <c r="K19" s="488">
        <v>260</v>
      </c>
      <c r="L19" s="488">
        <v>0</v>
      </c>
      <c r="M19" s="488">
        <f t="shared" si="1"/>
        <v>0</v>
      </c>
      <c r="N19" s="486"/>
      <c r="O19" s="486"/>
      <c r="P19" s="486">
        <v>250</v>
      </c>
      <c r="Q19" s="486">
        <v>1250</v>
      </c>
      <c r="R19" s="486">
        <v>1250</v>
      </c>
      <c r="S19" s="486">
        <v>1250</v>
      </c>
      <c r="T19" s="486">
        <v>1250</v>
      </c>
      <c r="U19" s="486">
        <v>1250</v>
      </c>
      <c r="V19" s="486">
        <v>1250</v>
      </c>
      <c r="W19" s="486">
        <v>1250</v>
      </c>
      <c r="X19" s="486">
        <v>1250</v>
      </c>
      <c r="Y19" s="486">
        <v>1250</v>
      </c>
      <c r="Z19" s="486">
        <v>1250</v>
      </c>
      <c r="AA19" s="486">
        <v>1250</v>
      </c>
      <c r="AB19" s="486">
        <v>1250</v>
      </c>
      <c r="AC19" s="486">
        <v>1250</v>
      </c>
      <c r="AD19" s="486">
        <f>16250+500</f>
        <v>16750</v>
      </c>
      <c r="AE19" s="432" t="s">
        <v>667</v>
      </c>
    </row>
    <row r="20" spans="1:32">
      <c r="A20" s="499">
        <v>4</v>
      </c>
      <c r="B20" s="344" t="s">
        <v>547</v>
      </c>
      <c r="C20" s="500">
        <v>2000</v>
      </c>
      <c r="D20" s="487">
        <v>7010</v>
      </c>
      <c r="E20" s="487"/>
      <c r="F20" s="487">
        <v>1500</v>
      </c>
      <c r="G20" s="488">
        <v>2000</v>
      </c>
      <c r="H20" s="488">
        <v>2000</v>
      </c>
      <c r="I20" s="488">
        <v>1510</v>
      </c>
      <c r="J20" s="488"/>
      <c r="K20" s="488">
        <v>0</v>
      </c>
      <c r="L20" s="488">
        <v>0</v>
      </c>
      <c r="M20" s="488">
        <f t="shared" si="1"/>
        <v>0</v>
      </c>
      <c r="N20" s="486">
        <v>500</v>
      </c>
      <c r="O20" s="486">
        <v>1250</v>
      </c>
      <c r="P20" s="488">
        <v>1250</v>
      </c>
      <c r="Q20" s="488">
        <v>1250</v>
      </c>
      <c r="R20" s="488">
        <v>1250</v>
      </c>
      <c r="S20" s="488">
        <v>1250</v>
      </c>
      <c r="T20" s="488">
        <v>1250</v>
      </c>
      <c r="U20" s="488">
        <v>1250</v>
      </c>
      <c r="V20" s="488">
        <v>1250</v>
      </c>
      <c r="W20" s="488">
        <v>1250</v>
      </c>
      <c r="X20" s="488">
        <v>1250</v>
      </c>
      <c r="Y20" s="488">
        <v>1250</v>
      </c>
      <c r="Z20" s="488">
        <v>1250</v>
      </c>
      <c r="AA20" s="488">
        <v>1250</v>
      </c>
      <c r="AB20" s="488">
        <v>1250</v>
      </c>
      <c r="AC20" s="488">
        <v>1250</v>
      </c>
      <c r="AD20" s="486">
        <f>18750+500</f>
        <v>19250</v>
      </c>
      <c r="AE20" s="432" t="s">
        <v>668</v>
      </c>
    </row>
    <row r="21" spans="1:32">
      <c r="A21" s="499">
        <v>5</v>
      </c>
      <c r="B21" s="344" t="s">
        <v>547</v>
      </c>
      <c r="C21" s="500">
        <v>2000</v>
      </c>
      <c r="D21" s="487">
        <v>6760</v>
      </c>
      <c r="E21" s="487"/>
      <c r="F21" s="487">
        <v>1500</v>
      </c>
      <c r="G21" s="488">
        <v>2000</v>
      </c>
      <c r="H21" s="488">
        <v>2000</v>
      </c>
      <c r="I21" s="488">
        <v>1260</v>
      </c>
      <c r="J21" s="488">
        <v>0</v>
      </c>
      <c r="K21" s="488">
        <v>0</v>
      </c>
      <c r="L21" s="488">
        <v>0</v>
      </c>
      <c r="M21" s="488">
        <f t="shared" si="1"/>
        <v>0</v>
      </c>
      <c r="N21" s="486">
        <v>500</v>
      </c>
      <c r="O21" s="486">
        <v>1250</v>
      </c>
      <c r="P21" s="488">
        <v>1250</v>
      </c>
      <c r="Q21" s="486">
        <v>1250</v>
      </c>
      <c r="R21" s="486">
        <v>1250</v>
      </c>
      <c r="S21" s="486">
        <v>1250</v>
      </c>
      <c r="T21" s="486">
        <v>1250</v>
      </c>
      <c r="U21" s="486">
        <v>1250</v>
      </c>
      <c r="V21" s="486">
        <v>1250</v>
      </c>
      <c r="W21" s="486">
        <v>1250</v>
      </c>
      <c r="X21" s="486">
        <v>1250</v>
      </c>
      <c r="Y21" s="486">
        <v>1250</v>
      </c>
      <c r="Z21" s="486">
        <v>1250</v>
      </c>
      <c r="AA21" s="486">
        <v>1250</v>
      </c>
      <c r="AB21" s="486">
        <v>1250</v>
      </c>
      <c r="AC21" s="486">
        <v>1250</v>
      </c>
      <c r="AD21" s="486">
        <v>19250</v>
      </c>
      <c r="AE21" s="432" t="s">
        <v>668</v>
      </c>
    </row>
    <row r="22" spans="1:32">
      <c r="A22" s="499">
        <v>6</v>
      </c>
      <c r="B22" s="344" t="s">
        <v>547</v>
      </c>
      <c r="C22" s="500">
        <v>2000</v>
      </c>
      <c r="D22" s="487">
        <v>6510</v>
      </c>
      <c r="E22" s="487"/>
      <c r="F22" s="487">
        <v>1500</v>
      </c>
      <c r="G22" s="488">
        <v>2000</v>
      </c>
      <c r="H22" s="488">
        <v>2010</v>
      </c>
      <c r="I22" s="488">
        <v>1000</v>
      </c>
      <c r="J22" s="488">
        <v>0</v>
      </c>
      <c r="K22" s="488">
        <v>0</v>
      </c>
      <c r="L22" s="488">
        <v>0</v>
      </c>
      <c r="M22" s="488">
        <f t="shared" si="1"/>
        <v>0</v>
      </c>
      <c r="N22" s="486">
        <v>2000</v>
      </c>
      <c r="O22" s="486">
        <v>2000</v>
      </c>
      <c r="P22" s="486">
        <v>2000</v>
      </c>
      <c r="Q22" s="486">
        <v>2000</v>
      </c>
      <c r="R22" s="486">
        <v>2000</v>
      </c>
      <c r="S22" s="486">
        <v>2000</v>
      </c>
      <c r="T22" s="486">
        <v>2000</v>
      </c>
      <c r="U22" s="486">
        <v>2000</v>
      </c>
      <c r="V22" s="486">
        <v>2000</v>
      </c>
      <c r="W22" s="486">
        <v>2000</v>
      </c>
      <c r="X22" s="486">
        <v>2000</v>
      </c>
      <c r="Y22" s="486">
        <v>2000</v>
      </c>
      <c r="Z22" s="486">
        <v>2000</v>
      </c>
      <c r="AA22" s="486">
        <v>2000</v>
      </c>
      <c r="AB22" s="486">
        <v>2000</v>
      </c>
      <c r="AC22" s="486">
        <v>2000</v>
      </c>
      <c r="AD22" s="486">
        <v>32000</v>
      </c>
      <c r="AE22" s="432" t="s">
        <v>669</v>
      </c>
    </row>
    <row r="23" spans="1:32">
      <c r="A23" s="499">
        <v>7</v>
      </c>
      <c r="B23" s="344" t="s">
        <v>547</v>
      </c>
      <c r="C23" s="500">
        <v>2000</v>
      </c>
      <c r="D23" s="487">
        <v>6260</v>
      </c>
      <c r="E23" s="487"/>
      <c r="F23" s="487">
        <v>1500</v>
      </c>
      <c r="G23" s="488">
        <v>2000</v>
      </c>
      <c r="H23" s="488">
        <v>1760</v>
      </c>
      <c r="I23" s="488">
        <v>1000</v>
      </c>
      <c r="J23" s="488">
        <v>0</v>
      </c>
      <c r="K23" s="488">
        <v>0</v>
      </c>
      <c r="L23" s="488">
        <v>0</v>
      </c>
      <c r="M23" s="488">
        <f t="shared" si="1"/>
        <v>0</v>
      </c>
      <c r="N23" s="486">
        <v>2000</v>
      </c>
      <c r="O23" s="486">
        <v>2000</v>
      </c>
      <c r="P23" s="486">
        <v>2000</v>
      </c>
      <c r="Q23" s="486">
        <v>2000</v>
      </c>
      <c r="R23" s="486">
        <v>2000</v>
      </c>
      <c r="S23" s="486">
        <v>2000</v>
      </c>
      <c r="T23" s="486">
        <v>2000</v>
      </c>
      <c r="U23" s="486">
        <v>2000</v>
      </c>
      <c r="V23" s="486">
        <v>2000</v>
      </c>
      <c r="W23" s="486">
        <v>2000</v>
      </c>
      <c r="X23" s="486">
        <v>2000</v>
      </c>
      <c r="Y23" s="486">
        <v>2000</v>
      </c>
      <c r="Z23" s="486">
        <v>2000</v>
      </c>
      <c r="AA23" s="486">
        <v>2000</v>
      </c>
      <c r="AB23" s="486">
        <v>2000</v>
      </c>
      <c r="AC23" s="486">
        <v>2000</v>
      </c>
      <c r="AD23" s="486">
        <v>32000</v>
      </c>
      <c r="AE23" s="432" t="s">
        <v>669</v>
      </c>
    </row>
    <row r="24" spans="1:32">
      <c r="A24" s="499">
        <v>8</v>
      </c>
      <c r="B24" s="344" t="s">
        <v>547</v>
      </c>
      <c r="C24" s="500">
        <v>2000</v>
      </c>
      <c r="D24" s="487">
        <v>6010</v>
      </c>
      <c r="E24" s="487"/>
      <c r="F24" s="487">
        <v>1500</v>
      </c>
      <c r="G24" s="488">
        <v>2000</v>
      </c>
      <c r="H24" s="488">
        <v>2010</v>
      </c>
      <c r="I24" s="488">
        <v>500</v>
      </c>
      <c r="J24" s="488">
        <v>0</v>
      </c>
      <c r="K24" s="488">
        <v>0</v>
      </c>
      <c r="L24" s="488">
        <v>0</v>
      </c>
      <c r="M24" s="488">
        <f t="shared" si="1"/>
        <v>0</v>
      </c>
      <c r="N24" s="486">
        <v>2000</v>
      </c>
      <c r="O24" s="486">
        <v>2000</v>
      </c>
      <c r="P24" s="486">
        <v>2000</v>
      </c>
      <c r="Q24" s="486">
        <v>2000</v>
      </c>
      <c r="R24" s="486">
        <v>2000</v>
      </c>
      <c r="S24" s="486">
        <v>2000</v>
      </c>
      <c r="T24" s="486">
        <v>2000</v>
      </c>
      <c r="U24" s="486">
        <v>2000</v>
      </c>
      <c r="V24" s="486">
        <v>2000</v>
      </c>
      <c r="W24" s="486">
        <v>2000</v>
      </c>
      <c r="X24" s="486">
        <v>2000</v>
      </c>
      <c r="Y24" s="486">
        <v>2000</v>
      </c>
      <c r="Z24" s="486">
        <v>2000</v>
      </c>
      <c r="AA24" s="486">
        <v>2000</v>
      </c>
      <c r="AB24" s="486">
        <v>2000</v>
      </c>
      <c r="AC24" s="486">
        <v>2000</v>
      </c>
      <c r="AD24" s="486">
        <v>32000</v>
      </c>
      <c r="AE24" s="432" t="s">
        <v>669</v>
      </c>
    </row>
    <row r="25" spans="1:32">
      <c r="A25" s="499">
        <v>9</v>
      </c>
      <c r="B25" s="344" t="s">
        <v>547</v>
      </c>
      <c r="C25" s="500">
        <v>2000</v>
      </c>
      <c r="D25" s="487">
        <v>6260</v>
      </c>
      <c r="E25" s="487"/>
      <c r="F25" s="487">
        <v>1250</v>
      </c>
      <c r="G25" s="488">
        <v>2000</v>
      </c>
      <c r="H25" s="488">
        <v>2010</v>
      </c>
      <c r="I25" s="488">
        <v>1000</v>
      </c>
      <c r="J25" s="488">
        <v>0</v>
      </c>
      <c r="K25" s="488">
        <v>0</v>
      </c>
      <c r="L25" s="488">
        <v>0</v>
      </c>
      <c r="M25" s="488">
        <f t="shared" si="1"/>
        <v>0</v>
      </c>
      <c r="N25" s="486">
        <v>2000</v>
      </c>
      <c r="O25" s="486">
        <v>2000</v>
      </c>
      <c r="P25" s="486">
        <v>2000</v>
      </c>
      <c r="Q25" s="486">
        <v>2000</v>
      </c>
      <c r="R25" s="486">
        <v>2000</v>
      </c>
      <c r="S25" s="486">
        <v>2000</v>
      </c>
      <c r="T25" s="486">
        <v>2000</v>
      </c>
      <c r="U25" s="486">
        <v>2000</v>
      </c>
      <c r="V25" s="486">
        <v>2000</v>
      </c>
      <c r="W25" s="486">
        <v>2000</v>
      </c>
      <c r="X25" s="486">
        <v>2000</v>
      </c>
      <c r="Y25" s="486">
        <v>2000</v>
      </c>
      <c r="Z25" s="486">
        <v>2000</v>
      </c>
      <c r="AA25" s="486">
        <v>2000</v>
      </c>
      <c r="AB25" s="486">
        <v>2000</v>
      </c>
      <c r="AC25" s="486">
        <v>2000</v>
      </c>
      <c r="AD25" s="486">
        <v>32000</v>
      </c>
      <c r="AE25" s="432" t="s">
        <v>669</v>
      </c>
    </row>
    <row r="26" spans="1:32">
      <c r="A26" s="499">
        <v>10</v>
      </c>
      <c r="B26" s="344" t="s">
        <v>547</v>
      </c>
      <c r="C26" s="500">
        <v>2000</v>
      </c>
      <c r="D26" s="487">
        <v>6510</v>
      </c>
      <c r="E26" s="487"/>
      <c r="F26" s="487">
        <v>1500</v>
      </c>
      <c r="G26" s="488">
        <v>2000</v>
      </c>
      <c r="H26" s="488">
        <v>1760</v>
      </c>
      <c r="I26" s="488">
        <v>1250</v>
      </c>
      <c r="J26" s="488">
        <v>0</v>
      </c>
      <c r="K26" s="488">
        <v>0</v>
      </c>
      <c r="L26" s="488">
        <v>0</v>
      </c>
      <c r="M26" s="488">
        <f t="shared" si="1"/>
        <v>0</v>
      </c>
      <c r="N26" s="486">
        <v>2000</v>
      </c>
      <c r="O26" s="486">
        <v>2000</v>
      </c>
      <c r="P26" s="486">
        <v>2000</v>
      </c>
      <c r="Q26" s="486">
        <v>2000</v>
      </c>
      <c r="R26" s="486">
        <v>2000</v>
      </c>
      <c r="S26" s="486">
        <v>2000</v>
      </c>
      <c r="T26" s="486">
        <v>2000</v>
      </c>
      <c r="U26" s="486">
        <v>2000</v>
      </c>
      <c r="V26" s="486">
        <v>2000</v>
      </c>
      <c r="W26" s="486">
        <v>2000</v>
      </c>
      <c r="X26" s="486">
        <v>2000</v>
      </c>
      <c r="Y26" s="486">
        <v>2000</v>
      </c>
      <c r="Z26" s="486">
        <v>2000</v>
      </c>
      <c r="AA26" s="486">
        <v>2000</v>
      </c>
      <c r="AB26" s="486">
        <v>2000</v>
      </c>
      <c r="AC26" s="486">
        <v>2000</v>
      </c>
      <c r="AD26" s="486">
        <v>32000</v>
      </c>
      <c r="AE26" s="432" t="s">
        <v>669</v>
      </c>
    </row>
    <row r="27" spans="1:32">
      <c r="A27" s="499">
        <v>11</v>
      </c>
      <c r="B27" s="344" t="s">
        <v>547</v>
      </c>
      <c r="C27" s="500">
        <v>2000</v>
      </c>
      <c r="D27" s="487">
        <v>7200</v>
      </c>
      <c r="E27" s="487"/>
      <c r="F27" s="487">
        <v>1750</v>
      </c>
      <c r="G27" s="488">
        <v>2000</v>
      </c>
      <c r="H27" s="488">
        <v>2200</v>
      </c>
      <c r="I27" s="488">
        <v>1250</v>
      </c>
      <c r="J27" s="488">
        <v>0</v>
      </c>
      <c r="K27" s="488">
        <v>0</v>
      </c>
      <c r="L27" s="488">
        <v>0</v>
      </c>
      <c r="M27" s="488">
        <f t="shared" si="1"/>
        <v>0</v>
      </c>
      <c r="N27" s="486">
        <v>2000</v>
      </c>
      <c r="O27" s="486">
        <v>2000</v>
      </c>
      <c r="P27" s="486">
        <v>2000</v>
      </c>
      <c r="Q27" s="486">
        <v>2000</v>
      </c>
      <c r="R27" s="486">
        <v>2000</v>
      </c>
      <c r="S27" s="486">
        <v>2000</v>
      </c>
      <c r="T27" s="486">
        <v>2000</v>
      </c>
      <c r="U27" s="486">
        <v>2000</v>
      </c>
      <c r="V27" s="486">
        <v>2000</v>
      </c>
      <c r="W27" s="486">
        <v>2000</v>
      </c>
      <c r="X27" s="486">
        <v>2000</v>
      </c>
      <c r="Y27" s="486">
        <v>2000</v>
      </c>
      <c r="Z27" s="486">
        <v>2000</v>
      </c>
      <c r="AA27" s="486">
        <v>2000</v>
      </c>
      <c r="AB27" s="486">
        <v>2000</v>
      </c>
      <c r="AC27" s="486">
        <v>2000</v>
      </c>
      <c r="AD27" s="486">
        <v>32000</v>
      </c>
      <c r="AE27" s="432" t="s">
        <v>669</v>
      </c>
    </row>
    <row r="28" spans="1:32">
      <c r="A28" s="499">
        <v>12</v>
      </c>
      <c r="B28" s="344" t="s">
        <v>547</v>
      </c>
      <c r="C28" s="500">
        <v>1000</v>
      </c>
      <c r="D28" s="487">
        <v>6760</v>
      </c>
      <c r="E28" s="487"/>
      <c r="F28" s="487">
        <v>500</v>
      </c>
      <c r="G28" s="488">
        <v>1000</v>
      </c>
      <c r="H28" s="488">
        <v>1000</v>
      </c>
      <c r="I28" s="488">
        <v>1000</v>
      </c>
      <c r="J28" s="488">
        <v>1000</v>
      </c>
      <c r="K28" s="488">
        <v>1000</v>
      </c>
      <c r="L28" s="488">
        <v>760</v>
      </c>
      <c r="M28" s="488">
        <f t="shared" si="1"/>
        <v>500</v>
      </c>
      <c r="N28" s="486">
        <v>1000</v>
      </c>
      <c r="O28" s="486">
        <v>1000</v>
      </c>
      <c r="P28" s="486">
        <v>1000</v>
      </c>
      <c r="Q28" s="486">
        <v>1000</v>
      </c>
      <c r="R28" s="486">
        <v>1000</v>
      </c>
      <c r="S28" s="486">
        <v>1000</v>
      </c>
      <c r="T28" s="486">
        <v>1000</v>
      </c>
      <c r="U28" s="486">
        <v>1000</v>
      </c>
      <c r="V28" s="486">
        <v>1000</v>
      </c>
      <c r="W28" s="486">
        <v>1000</v>
      </c>
      <c r="X28" s="486">
        <v>1000</v>
      </c>
      <c r="Y28" s="486">
        <v>1000</v>
      </c>
      <c r="Z28" s="486">
        <v>1000</v>
      </c>
      <c r="AA28" s="486">
        <v>1000</v>
      </c>
      <c r="AB28" s="486">
        <v>1000</v>
      </c>
      <c r="AC28" s="486">
        <v>1000</v>
      </c>
      <c r="AD28" s="486">
        <v>16000</v>
      </c>
      <c r="AE28" s="432" t="s">
        <v>670</v>
      </c>
    </row>
    <row r="29" spans="1:32">
      <c r="A29" s="499">
        <v>13</v>
      </c>
      <c r="B29" s="344" t="s">
        <v>547</v>
      </c>
      <c r="C29" s="500">
        <v>1000</v>
      </c>
      <c r="D29" s="487">
        <v>7230</v>
      </c>
      <c r="E29" s="487"/>
      <c r="F29" s="487">
        <v>750</v>
      </c>
      <c r="G29" s="488">
        <v>1000</v>
      </c>
      <c r="H29" s="488">
        <v>1000</v>
      </c>
      <c r="I29" s="488">
        <v>100</v>
      </c>
      <c r="J29" s="488">
        <v>100</v>
      </c>
      <c r="K29" s="488">
        <v>1000</v>
      </c>
      <c r="L29" s="488">
        <v>1000</v>
      </c>
      <c r="M29" s="488">
        <f t="shared" si="1"/>
        <v>2280</v>
      </c>
      <c r="N29" s="486"/>
      <c r="O29" s="486"/>
      <c r="P29" s="486"/>
      <c r="Q29" s="486"/>
      <c r="R29" s="486">
        <v>1000</v>
      </c>
      <c r="S29" s="486">
        <v>1000</v>
      </c>
      <c r="T29" s="486">
        <v>1000</v>
      </c>
      <c r="U29" s="486">
        <v>1000</v>
      </c>
      <c r="V29" s="486">
        <v>1000</v>
      </c>
      <c r="W29" s="486">
        <v>1000</v>
      </c>
      <c r="X29" s="486">
        <v>1000</v>
      </c>
      <c r="Y29" s="486">
        <v>1000</v>
      </c>
      <c r="Z29" s="486">
        <v>1000</v>
      </c>
      <c r="AA29" s="486">
        <v>1000</v>
      </c>
      <c r="AB29" s="486">
        <v>1000</v>
      </c>
      <c r="AC29" s="486">
        <v>1000</v>
      </c>
      <c r="AD29" s="486">
        <v>12000</v>
      </c>
      <c r="AE29" s="432" t="s">
        <v>671</v>
      </c>
    </row>
    <row r="30" spans="1:32">
      <c r="A30" s="499">
        <v>14</v>
      </c>
      <c r="B30" s="344" t="s">
        <v>547</v>
      </c>
      <c r="C30" s="500">
        <v>1000</v>
      </c>
      <c r="D30" s="487">
        <v>9730</v>
      </c>
      <c r="E30" s="487"/>
      <c r="F30" s="487">
        <v>500</v>
      </c>
      <c r="G30" s="488">
        <v>1000</v>
      </c>
      <c r="H30" s="488">
        <v>1000</v>
      </c>
      <c r="I30" s="488">
        <v>1000</v>
      </c>
      <c r="J30" s="488">
        <v>1000</v>
      </c>
      <c r="K30" s="488">
        <v>100</v>
      </c>
      <c r="L30" s="488">
        <v>1000</v>
      </c>
      <c r="M30" s="488">
        <f t="shared" si="1"/>
        <v>4130</v>
      </c>
      <c r="N30" s="486"/>
      <c r="O30" s="486"/>
      <c r="P30" s="486"/>
      <c r="Q30" s="486"/>
      <c r="R30" s="486"/>
      <c r="S30" s="486"/>
      <c r="T30" s="486"/>
      <c r="U30" s="486">
        <v>1000</v>
      </c>
      <c r="V30" s="486">
        <v>1000</v>
      </c>
      <c r="W30" s="486">
        <v>1000</v>
      </c>
      <c r="X30" s="486">
        <v>1000</v>
      </c>
      <c r="Y30" s="486">
        <v>1000</v>
      </c>
      <c r="Z30" s="486">
        <v>1000</v>
      </c>
      <c r="AA30" s="486">
        <v>1000</v>
      </c>
      <c r="AB30" s="486">
        <v>1000</v>
      </c>
      <c r="AC30" s="486">
        <v>1000</v>
      </c>
      <c r="AD30" s="486">
        <v>9000</v>
      </c>
      <c r="AE30" s="432" t="s">
        <v>672</v>
      </c>
    </row>
    <row r="31" spans="1:32">
      <c r="A31" s="501">
        <v>15</v>
      </c>
      <c r="B31" s="502" t="s">
        <v>547</v>
      </c>
      <c r="C31" s="503">
        <v>1000</v>
      </c>
      <c r="D31" s="504">
        <v>9730</v>
      </c>
      <c r="E31" s="504"/>
      <c r="F31" s="504">
        <v>250</v>
      </c>
      <c r="G31" s="505">
        <v>1000</v>
      </c>
      <c r="H31" s="504">
        <v>1000</v>
      </c>
      <c r="I31" s="504">
        <v>1000</v>
      </c>
      <c r="J31" s="504">
        <v>1000</v>
      </c>
      <c r="K31" s="504">
        <v>1000</v>
      </c>
      <c r="L31" s="505">
        <v>1000</v>
      </c>
      <c r="M31" s="505">
        <f t="shared" si="1"/>
        <v>3480</v>
      </c>
      <c r="N31" s="486"/>
      <c r="O31" s="486"/>
      <c r="P31" s="486"/>
      <c r="Q31" s="486"/>
      <c r="R31" s="486"/>
      <c r="S31" s="486"/>
      <c r="T31" s="486">
        <v>1000</v>
      </c>
      <c r="U31" s="486">
        <v>1000</v>
      </c>
      <c r="V31" s="486">
        <v>1000</v>
      </c>
      <c r="W31" s="486">
        <v>1000</v>
      </c>
      <c r="X31" s="486">
        <v>1000</v>
      </c>
      <c r="Y31" s="486">
        <v>1000</v>
      </c>
      <c r="Z31" s="486">
        <v>1000</v>
      </c>
      <c r="AA31" s="486">
        <v>1000</v>
      </c>
      <c r="AB31" s="486">
        <v>1000</v>
      </c>
      <c r="AC31" s="486">
        <v>1000</v>
      </c>
      <c r="AD31" s="486">
        <v>10000</v>
      </c>
      <c r="AE31" s="432" t="s">
        <v>673</v>
      </c>
    </row>
    <row r="32" spans="1:32" s="44" customFormat="1">
      <c r="A32" s="648" t="s">
        <v>674</v>
      </c>
      <c r="B32" s="648"/>
      <c r="C32" s="648"/>
      <c r="D32" s="648"/>
      <c r="E32" s="55">
        <f>SUM(E17:E31)</f>
        <v>0</v>
      </c>
      <c r="F32" s="55">
        <f t="shared" ref="F32:L32" si="2">SUM(F17:F31)</f>
        <v>17500</v>
      </c>
      <c r="G32" s="55">
        <f t="shared" si="2"/>
        <v>23750</v>
      </c>
      <c r="H32" s="55">
        <f t="shared" si="2"/>
        <v>23500</v>
      </c>
      <c r="I32" s="55">
        <f t="shared" si="2"/>
        <v>15620</v>
      </c>
      <c r="J32" s="55">
        <f t="shared" si="2"/>
        <v>6850</v>
      </c>
      <c r="K32" s="55">
        <f t="shared" si="2"/>
        <v>5620</v>
      </c>
      <c r="L32" s="55">
        <f t="shared" si="2"/>
        <v>5270</v>
      </c>
      <c r="M32" s="42"/>
      <c r="AE32" s="351" t="s">
        <v>675</v>
      </c>
      <c r="AF32" s="351" t="s">
        <v>676</v>
      </c>
    </row>
    <row r="33" spans="1:29">
      <c r="AC33" s="506"/>
    </row>
    <row r="34" spans="1:29">
      <c r="D34" s="507"/>
      <c r="AC34" s="506"/>
    </row>
    <row r="35" spans="1:29" ht="15.75" thickBot="1">
      <c r="A35" s="98"/>
      <c r="B35" s="98"/>
      <c r="C35" s="508"/>
      <c r="D35" s="507"/>
      <c r="E35" s="507"/>
      <c r="F35" s="649" t="s">
        <v>677</v>
      </c>
      <c r="G35" s="650"/>
      <c r="H35" s="650"/>
      <c r="I35" s="651"/>
      <c r="J35" s="519"/>
      <c r="K35" s="509"/>
      <c r="L35" s="509"/>
      <c r="M35" s="509"/>
      <c r="AC35" s="506"/>
    </row>
    <row r="36" spans="1:29">
      <c r="A36" s="635" t="s">
        <v>9</v>
      </c>
      <c r="B36" s="637" t="s">
        <v>558</v>
      </c>
      <c r="C36" s="639" t="s">
        <v>609</v>
      </c>
      <c r="D36" s="639" t="s">
        <v>678</v>
      </c>
      <c r="E36" s="652" t="s">
        <v>679</v>
      </c>
      <c r="F36" s="659" t="s">
        <v>647</v>
      </c>
      <c r="G36" s="659" t="s">
        <v>615</v>
      </c>
      <c r="H36" s="652" t="s">
        <v>616</v>
      </c>
      <c r="I36" s="652" t="s">
        <v>649</v>
      </c>
      <c r="J36" s="652" t="s">
        <v>680</v>
      </c>
      <c r="K36" s="654" t="s">
        <v>681</v>
      </c>
      <c r="L36" s="656"/>
      <c r="M36" s="509"/>
      <c r="AC36" s="506"/>
    </row>
    <row r="37" spans="1:29" ht="30.75" customHeight="1" thickBot="1">
      <c r="A37" s="636"/>
      <c r="B37" s="638"/>
      <c r="C37" s="640"/>
      <c r="D37" s="640"/>
      <c r="E37" s="653"/>
      <c r="F37" s="660"/>
      <c r="G37" s="660"/>
      <c r="H37" s="653"/>
      <c r="I37" s="653"/>
      <c r="J37" s="653"/>
      <c r="K37" s="655"/>
      <c r="L37" s="656"/>
      <c r="M37" s="509"/>
      <c r="AC37" s="506"/>
    </row>
    <row r="38" spans="1:29">
      <c r="A38" s="520" t="s">
        <v>572</v>
      </c>
      <c r="B38" s="495" t="s">
        <v>564</v>
      </c>
      <c r="C38" s="495">
        <v>150</v>
      </c>
      <c r="D38" s="521">
        <v>2300</v>
      </c>
      <c r="E38" s="522">
        <v>2267</v>
      </c>
      <c r="F38" s="522">
        <v>150</v>
      </c>
      <c r="G38" s="523">
        <v>150</v>
      </c>
      <c r="H38" s="523">
        <v>150</v>
      </c>
      <c r="I38" s="498">
        <v>150</v>
      </c>
      <c r="J38" s="498">
        <f>E38-F38-G38-H38-I38</f>
        <v>1667</v>
      </c>
      <c r="K38" s="523">
        <f>D38-J38</f>
        <v>633</v>
      </c>
      <c r="L38" s="506"/>
      <c r="M38" s="509"/>
      <c r="AC38" s="506"/>
    </row>
    <row r="39" spans="1:29">
      <c r="A39" s="514" t="s">
        <v>14</v>
      </c>
      <c r="B39" s="344" t="s">
        <v>563</v>
      </c>
      <c r="C39" s="344">
        <v>600</v>
      </c>
      <c r="D39" s="485">
        <v>5000</v>
      </c>
      <c r="E39" s="486">
        <v>2825</v>
      </c>
      <c r="F39" s="487">
        <v>600</v>
      </c>
      <c r="G39" s="488">
        <v>600</v>
      </c>
      <c r="H39" s="488">
        <v>600</v>
      </c>
      <c r="I39" s="488">
        <v>600</v>
      </c>
      <c r="J39" s="488">
        <f t="shared" ref="J39:J42" si="3">E39-F39-G39-H39-I39</f>
        <v>425</v>
      </c>
      <c r="K39" s="489">
        <f t="shared" ref="K39:K42" si="4">D39-J39</f>
        <v>4575</v>
      </c>
      <c r="L39" s="509"/>
      <c r="AC39" s="506"/>
    </row>
    <row r="40" spans="1:29">
      <c r="A40" s="514" t="s">
        <v>16</v>
      </c>
      <c r="B40" s="344" t="s">
        <v>39</v>
      </c>
      <c r="C40" s="344">
        <v>1000</v>
      </c>
      <c r="D40" s="485">
        <v>30000</v>
      </c>
      <c r="E40" s="486">
        <v>23600</v>
      </c>
      <c r="F40" s="487">
        <v>1000</v>
      </c>
      <c r="G40" s="488">
        <v>1000</v>
      </c>
      <c r="H40" s="488">
        <v>1000</v>
      </c>
      <c r="I40" s="488">
        <v>1000</v>
      </c>
      <c r="J40" s="488">
        <f t="shared" si="3"/>
        <v>19600</v>
      </c>
      <c r="K40" s="489">
        <f t="shared" si="4"/>
        <v>10400</v>
      </c>
      <c r="L40" s="509"/>
      <c r="N40" s="510"/>
      <c r="O40" s="510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C40" s="506"/>
    </row>
    <row r="41" spans="1:29">
      <c r="A41" s="514" t="s">
        <v>562</v>
      </c>
      <c r="B41" s="344" t="s">
        <v>560</v>
      </c>
      <c r="C41" s="344">
        <v>5000</v>
      </c>
      <c r="D41" s="485">
        <f>100*1000</f>
        <v>100000</v>
      </c>
      <c r="E41" s="486">
        <f>39*1000</f>
        <v>39000</v>
      </c>
      <c r="F41" s="487">
        <v>5000</v>
      </c>
      <c r="G41" s="488">
        <v>5000</v>
      </c>
      <c r="H41" s="488">
        <v>5000</v>
      </c>
      <c r="I41" s="488">
        <v>5000</v>
      </c>
      <c r="J41" s="488">
        <f t="shared" si="3"/>
        <v>19000</v>
      </c>
      <c r="K41" s="489">
        <f t="shared" si="4"/>
        <v>81000</v>
      </c>
      <c r="L41" s="509"/>
      <c r="AC41" s="506"/>
    </row>
    <row r="42" spans="1:29">
      <c r="A42" s="514" t="s">
        <v>571</v>
      </c>
      <c r="B42" s="344" t="s">
        <v>560</v>
      </c>
      <c r="C42" s="344">
        <v>6300</v>
      </c>
      <c r="D42" s="485">
        <f>160*900</f>
        <v>144000</v>
      </c>
      <c r="E42" s="486">
        <f>76*900</f>
        <v>68400</v>
      </c>
      <c r="F42" s="487">
        <v>6300</v>
      </c>
      <c r="G42" s="488">
        <v>6300</v>
      </c>
      <c r="H42" s="488">
        <v>6300</v>
      </c>
      <c r="I42" s="488">
        <v>6300</v>
      </c>
      <c r="J42" s="488">
        <f t="shared" si="3"/>
        <v>43200</v>
      </c>
      <c r="K42" s="489">
        <f t="shared" si="4"/>
        <v>100800</v>
      </c>
      <c r="L42" s="509"/>
      <c r="AC42" s="506"/>
    </row>
    <row r="43" spans="1:29">
      <c r="A43" s="514" t="s">
        <v>26</v>
      </c>
      <c r="B43" s="344" t="s">
        <v>39</v>
      </c>
      <c r="C43" s="344">
        <v>60</v>
      </c>
      <c r="D43" s="485">
        <v>600</v>
      </c>
      <c r="E43" s="486"/>
      <c r="F43" s="487"/>
      <c r="G43" s="488"/>
      <c r="H43" s="488"/>
      <c r="I43" s="488"/>
      <c r="J43" s="488"/>
      <c r="K43" s="489">
        <f>D43-J43</f>
        <v>600</v>
      </c>
      <c r="L43" s="509"/>
      <c r="AC43" s="506"/>
    </row>
    <row r="44" spans="1:29">
      <c r="A44" s="515" t="s">
        <v>643</v>
      </c>
      <c r="B44" s="100"/>
      <c r="C44" s="432"/>
      <c r="D44" s="432"/>
      <c r="E44" s="432"/>
      <c r="F44" s="516"/>
      <c r="G44" s="516"/>
      <c r="H44" s="516"/>
      <c r="I44" s="488"/>
      <c r="J44" s="488"/>
      <c r="K44" s="489">
        <f>D44-J44</f>
        <v>0</v>
      </c>
      <c r="L44" s="511"/>
      <c r="N44" s="506"/>
      <c r="O44" s="506"/>
      <c r="P44" s="506"/>
      <c r="Q44" s="506"/>
      <c r="R44" s="506"/>
      <c r="S44" s="506"/>
      <c r="T44" s="506"/>
      <c r="U44" s="506"/>
      <c r="V44" s="506"/>
      <c r="W44" s="506"/>
      <c r="X44" s="506"/>
      <c r="Y44" s="506"/>
      <c r="Z44" s="506"/>
      <c r="AC44" s="506"/>
    </row>
    <row r="45" spans="1:29" ht="15.75" thickBot="1">
      <c r="A45" s="645"/>
      <c r="B45" s="645"/>
      <c r="C45" s="645"/>
      <c r="D45" s="645"/>
      <c r="E45" s="645"/>
      <c r="F45" s="645"/>
      <c r="G45" s="645"/>
      <c r="H45" s="645"/>
      <c r="AC45" s="506"/>
    </row>
    <row r="46" spans="1:29" s="109" customFormat="1">
      <c r="A46" s="635" t="s">
        <v>644</v>
      </c>
      <c r="B46" s="637" t="s">
        <v>558</v>
      </c>
      <c r="C46" s="639" t="s">
        <v>609</v>
      </c>
      <c r="D46" s="639" t="s">
        <v>682</v>
      </c>
      <c r="E46" s="639" t="s">
        <v>679</v>
      </c>
      <c r="F46" s="637" t="s">
        <v>647</v>
      </c>
      <c r="G46" s="637" t="s">
        <v>615</v>
      </c>
      <c r="H46" s="639" t="s">
        <v>616</v>
      </c>
      <c r="I46" s="639" t="s">
        <v>649</v>
      </c>
      <c r="J46" s="639" t="s">
        <v>680</v>
      </c>
      <c r="K46" s="659" t="s">
        <v>612</v>
      </c>
      <c r="L46" s="657" t="s">
        <v>683</v>
      </c>
      <c r="AC46" s="506"/>
    </row>
    <row r="47" spans="1:29" s="109" customFormat="1" ht="26.25" customHeight="1" thickBot="1">
      <c r="A47" s="636"/>
      <c r="B47" s="638"/>
      <c r="C47" s="640"/>
      <c r="D47" s="640"/>
      <c r="E47" s="640"/>
      <c r="F47" s="638"/>
      <c r="G47" s="638"/>
      <c r="H47" s="638"/>
      <c r="I47" s="638"/>
      <c r="J47" s="638"/>
      <c r="K47" s="660"/>
      <c r="L47" s="658"/>
      <c r="AC47" s="506"/>
    </row>
    <row r="48" spans="1:29">
      <c r="A48" s="494">
        <v>1</v>
      </c>
      <c r="B48" s="495" t="s">
        <v>547</v>
      </c>
      <c r="C48" s="496">
        <v>1250</v>
      </c>
      <c r="D48" s="497">
        <v>16000</v>
      </c>
      <c r="E48" s="497">
        <v>7510</v>
      </c>
      <c r="F48" s="497">
        <v>1500</v>
      </c>
      <c r="G48" s="498">
        <v>1250</v>
      </c>
      <c r="H48" s="498">
        <v>1250</v>
      </c>
      <c r="I48" s="498">
        <v>1250</v>
      </c>
      <c r="J48" s="498">
        <f>E48-F48-G48-H48-I48</f>
        <v>2260</v>
      </c>
      <c r="K48" s="517">
        <f>D48-J48</f>
        <v>13740</v>
      </c>
      <c r="L48" s="466">
        <v>54</v>
      </c>
      <c r="AC48" s="59"/>
    </row>
    <row r="49" spans="1:12">
      <c r="A49" s="499">
        <v>2</v>
      </c>
      <c r="B49" s="344" t="s">
        <v>547</v>
      </c>
      <c r="C49" s="500">
        <v>1250</v>
      </c>
      <c r="D49" s="487">
        <v>16000</v>
      </c>
      <c r="E49" s="487">
        <v>8510</v>
      </c>
      <c r="F49" s="487">
        <v>750</v>
      </c>
      <c r="G49" s="488">
        <v>1250</v>
      </c>
      <c r="H49" s="488">
        <v>1250</v>
      </c>
      <c r="I49" s="498">
        <v>1250</v>
      </c>
      <c r="J49" s="498">
        <f t="shared" ref="J49:J62" si="5">E49-F49-G49-H49-I49</f>
        <v>4010</v>
      </c>
      <c r="K49" s="512">
        <f t="shared" ref="K49:K62" si="6">D49-J49</f>
        <v>11990</v>
      </c>
      <c r="L49" s="432">
        <v>47</v>
      </c>
    </row>
    <row r="50" spans="1:12">
      <c r="A50" s="499">
        <v>3</v>
      </c>
      <c r="B50" s="344" t="s">
        <v>547</v>
      </c>
      <c r="C50" s="500">
        <v>1250</v>
      </c>
      <c r="D50" s="487">
        <v>16000</v>
      </c>
      <c r="E50" s="487">
        <v>6510</v>
      </c>
      <c r="F50" s="487">
        <v>1250</v>
      </c>
      <c r="G50" s="488">
        <v>1250</v>
      </c>
      <c r="H50" s="488">
        <v>1250</v>
      </c>
      <c r="I50" s="498">
        <v>1250</v>
      </c>
      <c r="J50" s="498">
        <f t="shared" si="5"/>
        <v>1510</v>
      </c>
      <c r="K50" s="512">
        <f t="shared" si="6"/>
        <v>14490</v>
      </c>
      <c r="L50" s="432">
        <v>57</v>
      </c>
    </row>
    <row r="51" spans="1:12">
      <c r="A51" s="499">
        <v>4</v>
      </c>
      <c r="B51" s="344" t="s">
        <v>547</v>
      </c>
      <c r="C51" s="500">
        <v>2000</v>
      </c>
      <c r="D51" s="487">
        <v>16000</v>
      </c>
      <c r="E51" s="487">
        <v>7010</v>
      </c>
      <c r="F51" s="487">
        <v>1500</v>
      </c>
      <c r="G51" s="488">
        <v>2000</v>
      </c>
      <c r="H51" s="488">
        <v>2000</v>
      </c>
      <c r="I51" s="498">
        <v>1510</v>
      </c>
      <c r="J51" s="498">
        <f t="shared" si="5"/>
        <v>0</v>
      </c>
      <c r="K51" s="512">
        <f t="shared" si="6"/>
        <v>16000</v>
      </c>
      <c r="L51" s="432">
        <v>64</v>
      </c>
    </row>
    <row r="52" spans="1:12">
      <c r="A52" s="499">
        <v>5</v>
      </c>
      <c r="B52" s="344" t="s">
        <v>547</v>
      </c>
      <c r="C52" s="500">
        <v>2000</v>
      </c>
      <c r="D52" s="487">
        <v>16000</v>
      </c>
      <c r="E52" s="487">
        <v>6760</v>
      </c>
      <c r="F52" s="487">
        <v>1500</v>
      </c>
      <c r="G52" s="488">
        <v>2000</v>
      </c>
      <c r="H52" s="488">
        <v>2000</v>
      </c>
      <c r="I52" s="498">
        <f>760+500</f>
        <v>1260</v>
      </c>
      <c r="J52" s="498">
        <f t="shared" si="5"/>
        <v>0</v>
      </c>
      <c r="K52" s="512">
        <f t="shared" si="6"/>
        <v>16000</v>
      </c>
      <c r="L52" s="432">
        <v>64</v>
      </c>
    </row>
    <row r="53" spans="1:12">
      <c r="A53" s="499">
        <v>6</v>
      </c>
      <c r="B53" s="344" t="s">
        <v>547</v>
      </c>
      <c r="C53" s="500">
        <v>2000</v>
      </c>
      <c r="D53" s="487">
        <v>16000</v>
      </c>
      <c r="E53" s="487">
        <v>6510</v>
      </c>
      <c r="F53" s="487">
        <v>1500</v>
      </c>
      <c r="G53" s="488">
        <v>2000</v>
      </c>
      <c r="H53" s="488">
        <v>2010</v>
      </c>
      <c r="I53" s="498">
        <v>1000</v>
      </c>
      <c r="J53" s="498">
        <f t="shared" si="5"/>
        <v>0</v>
      </c>
      <c r="K53" s="512">
        <f t="shared" si="6"/>
        <v>16000</v>
      </c>
      <c r="L53" s="488">
        <v>64</v>
      </c>
    </row>
    <row r="54" spans="1:12">
      <c r="A54" s="499">
        <v>7</v>
      </c>
      <c r="B54" s="344" t="s">
        <v>547</v>
      </c>
      <c r="C54" s="500">
        <v>2000</v>
      </c>
      <c r="D54" s="487">
        <v>16000</v>
      </c>
      <c r="E54" s="487">
        <v>6260</v>
      </c>
      <c r="F54" s="487">
        <v>1500</v>
      </c>
      <c r="G54" s="488">
        <v>2000</v>
      </c>
      <c r="H54" s="488">
        <v>1760</v>
      </c>
      <c r="I54" s="498">
        <v>1000</v>
      </c>
      <c r="J54" s="498">
        <f t="shared" si="5"/>
        <v>0</v>
      </c>
      <c r="K54" s="512">
        <f t="shared" si="6"/>
        <v>16000</v>
      </c>
      <c r="L54" s="488">
        <v>64</v>
      </c>
    </row>
    <row r="55" spans="1:12">
      <c r="A55" s="499">
        <v>8</v>
      </c>
      <c r="B55" s="344" t="s">
        <v>547</v>
      </c>
      <c r="C55" s="500">
        <v>2000</v>
      </c>
      <c r="D55" s="487">
        <v>16000</v>
      </c>
      <c r="E55" s="487">
        <v>6010</v>
      </c>
      <c r="F55" s="487">
        <v>1500</v>
      </c>
      <c r="G55" s="488">
        <v>2000</v>
      </c>
      <c r="H55" s="488">
        <v>2010</v>
      </c>
      <c r="I55" s="498">
        <v>500</v>
      </c>
      <c r="J55" s="498">
        <f t="shared" si="5"/>
        <v>0</v>
      </c>
      <c r="K55" s="512">
        <f t="shared" si="6"/>
        <v>16000</v>
      </c>
      <c r="L55" s="488">
        <v>64</v>
      </c>
    </row>
    <row r="56" spans="1:12">
      <c r="A56" s="499">
        <v>9</v>
      </c>
      <c r="B56" s="344" t="s">
        <v>547</v>
      </c>
      <c r="C56" s="500">
        <v>2000</v>
      </c>
      <c r="D56" s="487">
        <v>16000</v>
      </c>
      <c r="E56" s="487">
        <v>6260</v>
      </c>
      <c r="F56" s="487">
        <v>1250</v>
      </c>
      <c r="G56" s="488">
        <v>2000</v>
      </c>
      <c r="H56" s="488">
        <v>2010</v>
      </c>
      <c r="I56" s="498">
        <v>1000</v>
      </c>
      <c r="J56" s="498">
        <f t="shared" si="5"/>
        <v>0</v>
      </c>
      <c r="K56" s="512">
        <f t="shared" si="6"/>
        <v>16000</v>
      </c>
      <c r="L56" s="488">
        <v>64</v>
      </c>
    </row>
    <row r="57" spans="1:12">
      <c r="A57" s="499">
        <v>10</v>
      </c>
      <c r="B57" s="344" t="s">
        <v>547</v>
      </c>
      <c r="C57" s="500">
        <v>2000</v>
      </c>
      <c r="D57" s="487">
        <v>16000</v>
      </c>
      <c r="E57" s="487">
        <v>6510</v>
      </c>
      <c r="F57" s="487">
        <v>1500</v>
      </c>
      <c r="G57" s="488">
        <v>2000</v>
      </c>
      <c r="H57" s="488">
        <v>1760</v>
      </c>
      <c r="I57" s="498">
        <v>1250</v>
      </c>
      <c r="J57" s="498">
        <f t="shared" si="5"/>
        <v>0</v>
      </c>
      <c r="K57" s="512">
        <f t="shared" si="6"/>
        <v>16000</v>
      </c>
      <c r="L57" s="488">
        <v>64</v>
      </c>
    </row>
    <row r="58" spans="1:12">
      <c r="A58" s="499">
        <v>11</v>
      </c>
      <c r="B58" s="344" t="s">
        <v>547</v>
      </c>
      <c r="C58" s="500">
        <v>2000</v>
      </c>
      <c r="D58" s="487">
        <v>8000</v>
      </c>
      <c r="E58" s="487">
        <v>7200</v>
      </c>
      <c r="F58" s="487">
        <v>1750</v>
      </c>
      <c r="G58" s="488">
        <v>2000</v>
      </c>
      <c r="H58" s="488">
        <v>2000</v>
      </c>
      <c r="I58" s="498">
        <v>1450</v>
      </c>
      <c r="J58" s="498">
        <f t="shared" si="5"/>
        <v>0</v>
      </c>
      <c r="K58" s="512">
        <f t="shared" si="6"/>
        <v>8000</v>
      </c>
      <c r="L58" s="432">
        <v>32</v>
      </c>
    </row>
    <row r="59" spans="1:12">
      <c r="A59" s="499">
        <v>12</v>
      </c>
      <c r="B59" s="344" t="s">
        <v>547</v>
      </c>
      <c r="C59" s="500">
        <v>1000</v>
      </c>
      <c r="D59" s="487">
        <v>8000</v>
      </c>
      <c r="E59" s="487">
        <v>6760</v>
      </c>
      <c r="F59" s="487">
        <v>500</v>
      </c>
      <c r="G59" s="488">
        <v>1000</v>
      </c>
      <c r="H59" s="488">
        <v>1000</v>
      </c>
      <c r="I59" s="498">
        <v>1000</v>
      </c>
      <c r="J59" s="498">
        <f t="shared" si="5"/>
        <v>3260</v>
      </c>
      <c r="K59" s="512">
        <f t="shared" si="6"/>
        <v>4740</v>
      </c>
      <c r="L59" s="432">
        <v>18</v>
      </c>
    </row>
    <row r="60" spans="1:12">
      <c r="A60" s="499">
        <v>13</v>
      </c>
      <c r="B60" s="344" t="s">
        <v>547</v>
      </c>
      <c r="C60" s="500">
        <v>1000</v>
      </c>
      <c r="D60" s="487">
        <v>8000</v>
      </c>
      <c r="E60" s="487">
        <v>7230</v>
      </c>
      <c r="F60" s="487">
        <v>750</v>
      </c>
      <c r="G60" s="488">
        <v>1000</v>
      </c>
      <c r="H60" s="488">
        <v>1000</v>
      </c>
      <c r="I60" s="498">
        <v>1000</v>
      </c>
      <c r="J60" s="498">
        <f t="shared" si="5"/>
        <v>3480</v>
      </c>
      <c r="K60" s="512">
        <f t="shared" si="6"/>
        <v>4520</v>
      </c>
      <c r="L60" s="432">
        <v>18</v>
      </c>
    </row>
    <row r="61" spans="1:12">
      <c r="A61" s="499">
        <v>14</v>
      </c>
      <c r="B61" s="344" t="s">
        <v>547</v>
      </c>
      <c r="C61" s="500">
        <v>1000</v>
      </c>
      <c r="D61" s="487">
        <v>8000</v>
      </c>
      <c r="E61" s="487">
        <v>9730</v>
      </c>
      <c r="F61" s="487">
        <v>500</v>
      </c>
      <c r="G61" s="488">
        <v>1000</v>
      </c>
      <c r="H61" s="488">
        <v>1000</v>
      </c>
      <c r="I61" s="498">
        <v>1000</v>
      </c>
      <c r="J61" s="498">
        <f t="shared" si="5"/>
        <v>6230</v>
      </c>
      <c r="K61" s="512">
        <f t="shared" si="6"/>
        <v>1770</v>
      </c>
      <c r="L61" s="432">
        <v>7</v>
      </c>
    </row>
    <row r="62" spans="1:12">
      <c r="A62" s="501">
        <v>15</v>
      </c>
      <c r="B62" s="502" t="s">
        <v>547</v>
      </c>
      <c r="C62" s="503">
        <v>1000</v>
      </c>
      <c r="D62" s="504">
        <v>8000</v>
      </c>
      <c r="E62" s="504">
        <v>9730</v>
      </c>
      <c r="F62" s="504">
        <v>250</v>
      </c>
      <c r="G62" s="505">
        <v>1000</v>
      </c>
      <c r="H62" s="504">
        <v>1000</v>
      </c>
      <c r="I62" s="498">
        <v>1000</v>
      </c>
      <c r="J62" s="498">
        <f t="shared" si="5"/>
        <v>6480</v>
      </c>
      <c r="K62" s="512">
        <f t="shared" si="6"/>
        <v>1520</v>
      </c>
      <c r="L62" s="432">
        <v>6</v>
      </c>
    </row>
    <row r="63" spans="1:12" s="109" customFormat="1" ht="24.75" customHeight="1">
      <c r="A63" s="661" t="s">
        <v>674</v>
      </c>
      <c r="B63" s="661"/>
      <c r="C63" s="661"/>
      <c r="D63" s="661"/>
      <c r="E63" s="55">
        <f>SUM(E48:E62)</f>
        <v>108500</v>
      </c>
      <c r="F63" s="55">
        <f t="shared" ref="F63:J63" si="7">SUM(F48:F62)</f>
        <v>17500</v>
      </c>
      <c r="G63" s="55">
        <f t="shared" si="7"/>
        <v>23750</v>
      </c>
      <c r="H63" s="55">
        <f t="shared" si="7"/>
        <v>23300</v>
      </c>
      <c r="I63" s="55">
        <f t="shared" si="7"/>
        <v>16720</v>
      </c>
      <c r="J63" s="55">
        <f t="shared" si="7"/>
        <v>27230</v>
      </c>
      <c r="K63" s="58">
        <f>SUM(K48:K62)</f>
        <v>172770</v>
      </c>
      <c r="L63" s="518">
        <f>SUM(L48:L62)</f>
        <v>687</v>
      </c>
    </row>
    <row r="64" spans="1:12">
      <c r="B64" s="98"/>
      <c r="C64" s="508"/>
      <c r="D64" s="507"/>
      <c r="E64" s="507"/>
      <c r="F64" s="507"/>
      <c r="G64" s="509"/>
    </row>
    <row r="65" spans="4:4">
      <c r="D65" s="507"/>
    </row>
    <row r="100" spans="2:8">
      <c r="B100" s="98">
        <v>2</v>
      </c>
      <c r="C100" s="508"/>
      <c r="D100" s="513" t="s">
        <v>684</v>
      </c>
      <c r="E100" s="507"/>
      <c r="F100" s="513" t="s">
        <v>685</v>
      </c>
      <c r="H100">
        <f>13*4</f>
        <v>52</v>
      </c>
    </row>
    <row r="101" spans="2:8">
      <c r="B101" s="98"/>
      <c r="C101" s="98" t="s">
        <v>686</v>
      </c>
      <c r="D101" s="507"/>
      <c r="E101" s="507"/>
      <c r="F101" s="513" t="s">
        <v>687</v>
      </c>
    </row>
  </sheetData>
  <mergeCells count="66">
    <mergeCell ref="A63:D63"/>
    <mergeCell ref="F46:F47"/>
    <mergeCell ref="G46:G47"/>
    <mergeCell ref="H46:H47"/>
    <mergeCell ref="I46:I47"/>
    <mergeCell ref="A46:A47"/>
    <mergeCell ref="B46:B47"/>
    <mergeCell ref="C46:C47"/>
    <mergeCell ref="D46:D47"/>
    <mergeCell ref="E46:E47"/>
    <mergeCell ref="J36:J37"/>
    <mergeCell ref="K36:K37"/>
    <mergeCell ref="L36:L37"/>
    <mergeCell ref="A45:H45"/>
    <mergeCell ref="L46:L47"/>
    <mergeCell ref="J46:J47"/>
    <mergeCell ref="K46:K47"/>
    <mergeCell ref="F36:F37"/>
    <mergeCell ref="G36:G37"/>
    <mergeCell ref="H36:H37"/>
    <mergeCell ref="F35:I35"/>
    <mergeCell ref="I36:I37"/>
    <mergeCell ref="A36:A37"/>
    <mergeCell ref="B36:B37"/>
    <mergeCell ref="C36:C37"/>
    <mergeCell ref="D36:D37"/>
    <mergeCell ref="E36:E37"/>
    <mergeCell ref="AA15:AA16"/>
    <mergeCell ref="AB15:AB16"/>
    <mergeCell ref="AC15:AC16"/>
    <mergeCell ref="AD15:AD16"/>
    <mergeCell ref="AE15:AE16"/>
    <mergeCell ref="A32:D32"/>
    <mergeCell ref="U15:U16"/>
    <mergeCell ref="V15:V16"/>
    <mergeCell ref="W15:W16"/>
    <mergeCell ref="X15:X16"/>
    <mergeCell ref="I15:I16"/>
    <mergeCell ref="J15:J16"/>
    <mergeCell ref="K15:K16"/>
    <mergeCell ref="L15:L16"/>
    <mergeCell ref="M15:M16"/>
    <mergeCell ref="N15:N16"/>
    <mergeCell ref="Y15:Y16"/>
    <mergeCell ref="Z15:Z16"/>
    <mergeCell ref="O15:O16"/>
    <mergeCell ref="P15:P16"/>
    <mergeCell ref="Q15:Q16"/>
    <mergeCell ref="R15:R16"/>
    <mergeCell ref="S15:S16"/>
    <mergeCell ref="T15:T16"/>
    <mergeCell ref="A14:H14"/>
    <mergeCell ref="A15:A16"/>
    <mergeCell ref="B15:B16"/>
    <mergeCell ref="C15:C16"/>
    <mergeCell ref="D15:D16"/>
    <mergeCell ref="E15:E16"/>
    <mergeCell ref="F15:F16"/>
    <mergeCell ref="G15:G16"/>
    <mergeCell ref="H15:H16"/>
    <mergeCell ref="A3:M3"/>
    <mergeCell ref="A5:A6"/>
    <mergeCell ref="B5:B6"/>
    <mergeCell ref="C5:C6"/>
    <mergeCell ref="D5:D6"/>
    <mergeCell ref="E5:L5"/>
  </mergeCells>
  <pageMargins left="0.51181102362204722" right="0.59055118110236227" top="0.74803149606299213" bottom="0.74803149606299213" header="0.31496062992125984" footer="0.31496062992125984"/>
  <pageSetup paperSize="14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MT.ROCK (PURCHASED &amp; SF)</vt:lpstr>
      <vt:lpstr>EXPEDITION (PURCHASED &amp; SF)</vt:lpstr>
      <vt:lpstr>PURCHASED &amp; SF ANALYSIS</vt:lpstr>
      <vt:lpstr>BUDGET VS USAGE ANALYSIS</vt:lpstr>
      <vt:lpstr>MONTHLY COST</vt:lpstr>
      <vt:lpstr>SOH-MAY</vt:lpstr>
      <vt:lpstr>INVENTORY-MAY</vt:lpstr>
      <vt:lpstr>EXEL 2.4 (SOH MINE)</vt:lpstr>
      <vt:lpstr>EXEL 3.6 (SOH MINE)</vt:lpstr>
      <vt:lpstr>SUPREME (SOH MINE)</vt:lpstr>
      <vt:lpstr>EXPEDITION </vt:lpstr>
      <vt:lpstr>MT.ROCK</vt:lpstr>
      <vt:lpstr>TOTAL COST CY2023-2026</vt:lpstr>
      <vt:lpstr>FORECAST SUPPLIER AND PMC STOCK</vt:lpstr>
      <vt:lpstr>MAGAZINE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Raffy D. Torres</dc:creator>
  <cp:lastModifiedBy>Nholl Greal O. Lozada</cp:lastModifiedBy>
  <cp:lastPrinted>2026-03-16T06:59:04Z</cp:lastPrinted>
  <dcterms:created xsi:type="dcterms:W3CDTF">2024-05-06T05:34:41Z</dcterms:created>
  <dcterms:modified xsi:type="dcterms:W3CDTF">2026-06-02T05:58:55Z</dcterms:modified>
</cp:coreProperties>
</file>