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08. SHARED\08_23 EXPLOSIVES CONSUMPTION FOR DASHBOARD\"/>
    </mc:Choice>
  </mc:AlternateContent>
  <bookViews>
    <workbookView xWindow="-120" yWindow="-120" windowWidth="15480" windowHeight="7455" activeTab="2"/>
  </bookViews>
  <sheets>
    <sheet name="EXPLOSIVES KG USED" sheetId="1" r:id="rId1"/>
    <sheet name="Sheet1" sheetId="3" r:id="rId2"/>
    <sheet name="SUMMARY" sheetId="2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D45" i="1"/>
  <c r="AB39" i="1"/>
  <c r="AA39" i="1"/>
  <c r="Z39" i="1"/>
  <c r="Y39" i="1"/>
  <c r="X39" i="1"/>
  <c r="U39" i="1"/>
  <c r="S39" i="1"/>
  <c r="R39" i="1"/>
  <c r="Q39" i="1"/>
  <c r="P39" i="1"/>
  <c r="N39" i="1"/>
  <c r="M39" i="1"/>
  <c r="L39" i="1"/>
  <c r="K39" i="1"/>
  <c r="J39" i="1"/>
  <c r="I39" i="1"/>
  <c r="F39" i="1"/>
  <c r="AE39" i="1" s="1"/>
  <c r="H16" i="2" s="1"/>
  <c r="D39" i="1"/>
  <c r="AF39" i="1" l="1"/>
  <c r="I16" i="2" s="1"/>
  <c r="AG39" i="1"/>
  <c r="J16" i="2" s="1"/>
  <c r="D3" i="1"/>
  <c r="AA3" i="1"/>
  <c r="AA36" i="1" s="1"/>
  <c r="AA6" i="1"/>
  <c r="AA9" i="1"/>
  <c r="AA47" i="1"/>
  <c r="O6" i="1"/>
  <c r="O9" i="1" s="1"/>
  <c r="AA42" i="1" l="1"/>
  <c r="AA33" i="1"/>
  <c r="AA24" i="1"/>
  <c r="AA18" i="1"/>
  <c r="AA30" i="1"/>
  <c r="AA27" i="1"/>
  <c r="AA21" i="1"/>
  <c r="AA15" i="1"/>
  <c r="AA12" i="1"/>
  <c r="F27" i="1"/>
  <c r="I27" i="1"/>
  <c r="J27" i="1"/>
  <c r="K27" i="1"/>
  <c r="L27" i="1"/>
  <c r="M27" i="1"/>
  <c r="N27" i="1"/>
  <c r="P27" i="1"/>
  <c r="Q27" i="1"/>
  <c r="R27" i="1"/>
  <c r="S27" i="1"/>
  <c r="AB27" i="1"/>
  <c r="AF27" i="1" l="1"/>
  <c r="F47" i="1"/>
  <c r="AE47" i="1" s="1"/>
  <c r="H21" i="2" s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V47" i="1"/>
  <c r="W47" i="1"/>
  <c r="AB47" i="1"/>
  <c r="AB36" i="1"/>
  <c r="S36" i="1"/>
  <c r="R36" i="1"/>
  <c r="Q36" i="1"/>
  <c r="P36" i="1"/>
  <c r="N36" i="1"/>
  <c r="M36" i="1"/>
  <c r="L36" i="1"/>
  <c r="K36" i="1"/>
  <c r="J36" i="1"/>
  <c r="I36" i="1"/>
  <c r="F36" i="1"/>
  <c r="AE36" i="1" s="1"/>
  <c r="H15" i="2" s="1"/>
  <c r="V6" i="1"/>
  <c r="C55" i="3"/>
  <c r="AB33" i="1"/>
  <c r="S33" i="1"/>
  <c r="R33" i="1"/>
  <c r="Q33" i="1"/>
  <c r="P33" i="1"/>
  <c r="N33" i="1"/>
  <c r="M33" i="1"/>
  <c r="L33" i="1"/>
  <c r="K33" i="1"/>
  <c r="J33" i="1"/>
  <c r="I33" i="1"/>
  <c r="F33" i="1"/>
  <c r="AE33" i="1" s="1"/>
  <c r="H14" i="2" s="1"/>
  <c r="E3" i="1"/>
  <c r="E27" i="1" s="1"/>
  <c r="D27" i="1"/>
  <c r="AB42" i="1"/>
  <c r="W6" i="1"/>
  <c r="W9" i="1" s="1"/>
  <c r="W12" i="1" s="1"/>
  <c r="W15" i="1" s="1"/>
  <c r="W18" i="1" s="1"/>
  <c r="W21" i="1" s="1"/>
  <c r="W24" i="1" s="1"/>
  <c r="W27" i="1" s="1"/>
  <c r="T6" i="1"/>
  <c r="H6" i="1"/>
  <c r="H9" i="1" s="1"/>
  <c r="H12" i="1" s="1"/>
  <c r="H15" i="1" s="1"/>
  <c r="H18" i="1" s="1"/>
  <c r="H21" i="1" s="1"/>
  <c r="H24" i="1" s="1"/>
  <c r="H27" i="1" s="1"/>
  <c r="G6" i="1"/>
  <c r="G9" i="1" s="1"/>
  <c r="G12" i="1" s="1"/>
  <c r="G15" i="1" s="1"/>
  <c r="G18" i="1" s="1"/>
  <c r="G21" i="1" s="1"/>
  <c r="G24" i="1" s="1"/>
  <c r="G27" i="1" s="1"/>
  <c r="J6" i="1"/>
  <c r="F6" i="1"/>
  <c r="AE6" i="1" s="1"/>
  <c r="H5" i="2" s="1"/>
  <c r="AB6" i="1"/>
  <c r="S6" i="1"/>
  <c r="R6" i="1"/>
  <c r="Q6" i="1"/>
  <c r="P6" i="1"/>
  <c r="N6" i="1"/>
  <c r="M6" i="1"/>
  <c r="L6" i="1"/>
  <c r="K6" i="1"/>
  <c r="I6" i="1"/>
  <c r="N42" i="1"/>
  <c r="N30" i="1"/>
  <c r="N24" i="1"/>
  <c r="N21" i="1"/>
  <c r="N18" i="1"/>
  <c r="N15" i="1"/>
  <c r="N12" i="1"/>
  <c r="N9" i="1"/>
  <c r="M9" i="1"/>
  <c r="AI27" i="1" a="1"/>
  <c r="AI27" i="1" s="1"/>
  <c r="I60" i="3"/>
  <c r="I54" i="3"/>
  <c r="AB9" i="1"/>
  <c r="D44" i="3"/>
  <c r="D45" i="3"/>
  <c r="C61" i="3"/>
  <c r="H61" i="3"/>
  <c r="G61" i="3"/>
  <c r="F61" i="3"/>
  <c r="C13" i="3"/>
  <c r="H55" i="3"/>
  <c r="G55" i="3"/>
  <c r="F55" i="3"/>
  <c r="H43" i="3"/>
  <c r="G43" i="3"/>
  <c r="F43" i="3"/>
  <c r="C43" i="3"/>
  <c r="H37" i="3"/>
  <c r="G37" i="3"/>
  <c r="F37" i="3"/>
  <c r="C37" i="3"/>
  <c r="H31" i="3"/>
  <c r="G31" i="3"/>
  <c r="F31" i="3"/>
  <c r="C31" i="3"/>
  <c r="H25" i="3"/>
  <c r="G25" i="3"/>
  <c r="F25" i="3"/>
  <c r="C25" i="3"/>
  <c r="H19" i="3"/>
  <c r="G19" i="3"/>
  <c r="F19" i="3"/>
  <c r="C19" i="3"/>
  <c r="H13" i="3"/>
  <c r="G13" i="3"/>
  <c r="F13" i="3"/>
  <c r="F7" i="3"/>
  <c r="G7" i="3"/>
  <c r="H7" i="3"/>
  <c r="C7" i="3"/>
  <c r="S42" i="1"/>
  <c r="R42" i="1"/>
  <c r="Q42" i="1"/>
  <c r="P42" i="1"/>
  <c r="M42" i="1"/>
  <c r="L42" i="1"/>
  <c r="K42" i="1"/>
  <c r="J42" i="1"/>
  <c r="I42" i="1"/>
  <c r="F42" i="1"/>
  <c r="AE42" i="1" s="1"/>
  <c r="H17" i="2" s="1"/>
  <c r="AB30" i="1"/>
  <c r="S30" i="1"/>
  <c r="R30" i="1"/>
  <c r="Q30" i="1"/>
  <c r="P30" i="1"/>
  <c r="M30" i="1"/>
  <c r="L30" i="1"/>
  <c r="K30" i="1"/>
  <c r="J30" i="1"/>
  <c r="I30" i="1"/>
  <c r="F30" i="1"/>
  <c r="AE30" i="1" s="1"/>
  <c r="H13" i="2" s="1"/>
  <c r="AE27" i="1"/>
  <c r="H12" i="2" s="1"/>
  <c r="AB24" i="1"/>
  <c r="S24" i="1"/>
  <c r="R24" i="1"/>
  <c r="Q24" i="1"/>
  <c r="P24" i="1"/>
  <c r="M24" i="1"/>
  <c r="L24" i="1"/>
  <c r="K24" i="1"/>
  <c r="J24" i="1"/>
  <c r="I24" i="1"/>
  <c r="F24" i="1"/>
  <c r="AE24" i="1" s="1"/>
  <c r="H11" i="2" s="1"/>
  <c r="AB21" i="1"/>
  <c r="S21" i="1"/>
  <c r="R21" i="1"/>
  <c r="Q21" i="1"/>
  <c r="P21" i="1"/>
  <c r="M21" i="1"/>
  <c r="L21" i="1"/>
  <c r="K21" i="1"/>
  <c r="J21" i="1"/>
  <c r="I21" i="1"/>
  <c r="F21" i="1"/>
  <c r="AE21" i="1" s="1"/>
  <c r="H10" i="2" s="1"/>
  <c r="AB18" i="1"/>
  <c r="S18" i="1"/>
  <c r="R18" i="1"/>
  <c r="Q18" i="1"/>
  <c r="P18" i="1"/>
  <c r="M18" i="1"/>
  <c r="L18" i="1"/>
  <c r="K18" i="1"/>
  <c r="J18" i="1"/>
  <c r="I18" i="1"/>
  <c r="F18" i="1"/>
  <c r="AE18" i="1" s="1"/>
  <c r="H9" i="2" s="1"/>
  <c r="AB15" i="1"/>
  <c r="S15" i="1"/>
  <c r="R15" i="1"/>
  <c r="Q15" i="1"/>
  <c r="P15" i="1"/>
  <c r="M15" i="1"/>
  <c r="L15" i="1"/>
  <c r="K15" i="1"/>
  <c r="J15" i="1"/>
  <c r="I15" i="1"/>
  <c r="F15" i="1"/>
  <c r="AE15" i="1" s="1"/>
  <c r="H8" i="2" s="1"/>
  <c r="AB12" i="1"/>
  <c r="S12" i="1"/>
  <c r="R12" i="1"/>
  <c r="Q12" i="1"/>
  <c r="P12" i="1"/>
  <c r="M12" i="1"/>
  <c r="L12" i="1"/>
  <c r="K12" i="1"/>
  <c r="J12" i="1"/>
  <c r="I12" i="1"/>
  <c r="F12" i="1"/>
  <c r="AE12" i="1" s="1"/>
  <c r="H7" i="2" s="1"/>
  <c r="S9" i="1"/>
  <c r="R9" i="1"/>
  <c r="Q9" i="1"/>
  <c r="P9" i="1"/>
  <c r="L9" i="1"/>
  <c r="K9" i="1"/>
  <c r="J9" i="1"/>
  <c r="I9" i="1"/>
  <c r="F9" i="1"/>
  <c r="AE9" i="1" s="1"/>
  <c r="H6" i="2" s="1"/>
  <c r="O12" i="1"/>
  <c r="O15" i="1" s="1"/>
  <c r="O18" i="1" s="1"/>
  <c r="O21" i="1" s="1"/>
  <c r="O24" i="1" s="1"/>
  <c r="O27" i="1" s="1"/>
  <c r="V9" i="1"/>
  <c r="V12" i="1" s="1"/>
  <c r="V15" i="1" s="1"/>
  <c r="V18" i="1" s="1"/>
  <c r="V21" i="1" s="1"/>
  <c r="V24" i="1" s="1"/>
  <c r="V27" i="1" s="1"/>
  <c r="Z3" i="1"/>
  <c r="Z27" i="1" s="1"/>
  <c r="Y3" i="1"/>
  <c r="Y27" i="1" s="1"/>
  <c r="X3" i="1"/>
  <c r="X27" i="1" s="1"/>
  <c r="U3" i="1"/>
  <c r="U27" i="1" s="1"/>
  <c r="F44" i="3"/>
  <c r="I61" i="3"/>
  <c r="M47" i="3"/>
  <c r="I43" i="3"/>
  <c r="M45" i="3"/>
  <c r="I55" i="3"/>
  <c r="M46" i="3"/>
  <c r="C44" i="3"/>
  <c r="C45" i="3"/>
  <c r="G44" i="3"/>
  <c r="G45" i="3"/>
  <c r="H44" i="3"/>
  <c r="H45" i="3"/>
  <c r="F45" i="3"/>
  <c r="I45" i="3"/>
  <c r="M48" i="3"/>
  <c r="AF47" i="1" l="1"/>
  <c r="I21" i="2" s="1"/>
  <c r="AG6" i="1"/>
  <c r="J5" i="2" s="1"/>
  <c r="U24" i="1"/>
  <c r="U33" i="1"/>
  <c r="U42" i="1"/>
  <c r="U6" i="1"/>
  <c r="Y42" i="1"/>
  <c r="X24" i="1"/>
  <c r="X18" i="1"/>
  <c r="X15" i="1"/>
  <c r="X21" i="1"/>
  <c r="X42" i="1"/>
  <c r="Y47" i="1"/>
  <c r="AG9" i="1"/>
  <c r="J6" i="2" s="1"/>
  <c r="X36" i="1"/>
  <c r="U15" i="1"/>
  <c r="D21" i="1"/>
  <c r="X47" i="1"/>
  <c r="Z47" i="1"/>
  <c r="Z21" i="1"/>
  <c r="AF6" i="1"/>
  <c r="I5" i="2" s="1"/>
  <c r="U30" i="1"/>
  <c r="X6" i="1"/>
  <c r="Z33" i="1"/>
  <c r="D18" i="1"/>
  <c r="Z6" i="1"/>
  <c r="Z42" i="1"/>
  <c r="AF42" i="1"/>
  <c r="I17" i="2" s="1"/>
  <c r="D6" i="1"/>
  <c r="AF30" i="1"/>
  <c r="I13" i="2" s="1"/>
  <c r="D15" i="1"/>
  <c r="X9" i="1"/>
  <c r="D9" i="1"/>
  <c r="X33" i="1"/>
  <c r="AF12" i="1"/>
  <c r="I7" i="2" s="1"/>
  <c r="AF21" i="1"/>
  <c r="I10" i="2" s="1"/>
  <c r="D47" i="1"/>
  <c r="Y18" i="1"/>
  <c r="X12" i="1"/>
  <c r="U36" i="1"/>
  <c r="AF15" i="1"/>
  <c r="I8" i="2" s="1"/>
  <c r="AF18" i="1"/>
  <c r="I9" i="2" s="1"/>
  <c r="AF36" i="1"/>
  <c r="I15" i="2" s="1"/>
  <c r="U18" i="1"/>
  <c r="AF9" i="1"/>
  <c r="I6" i="2" s="1"/>
  <c r="E15" i="1"/>
  <c r="E42" i="1"/>
  <c r="AG12" i="1"/>
  <c r="J7" i="2" s="1"/>
  <c r="D12" i="1"/>
  <c r="E33" i="1"/>
  <c r="U9" i="1"/>
  <c r="D33" i="1"/>
  <c r="D42" i="1"/>
  <c r="U12" i="1"/>
  <c r="AG15" i="1"/>
  <c r="J8" i="2" s="1"/>
  <c r="D24" i="1"/>
  <c r="X30" i="1"/>
  <c r="D30" i="1"/>
  <c r="Y6" i="1"/>
  <c r="D36" i="1"/>
  <c r="AF33" i="1"/>
  <c r="I14" i="2" s="1"/>
  <c r="AF24" i="1"/>
  <c r="I11" i="2" s="1"/>
  <c r="Y30" i="1"/>
  <c r="Z18" i="1"/>
  <c r="Y33" i="1"/>
  <c r="E30" i="1"/>
  <c r="Y24" i="1"/>
  <c r="E18" i="1"/>
  <c r="E47" i="1"/>
  <c r="U21" i="1"/>
  <c r="Y21" i="1"/>
  <c r="Z12" i="1"/>
  <c r="E9" i="1"/>
  <c r="E39" i="1" s="1"/>
  <c r="AD39" i="1" s="1"/>
  <c r="G16" i="2" s="1"/>
  <c r="E24" i="1"/>
  <c r="Y15" i="1"/>
  <c r="T9" i="1"/>
  <c r="T12" i="1" s="1"/>
  <c r="T15" i="1" s="1"/>
  <c r="T18" i="1" s="1"/>
  <c r="T21" i="1" s="1"/>
  <c r="T24" i="1" s="1"/>
  <c r="T27" i="1" s="1"/>
  <c r="T36" i="1" s="1"/>
  <c r="Z15" i="1"/>
  <c r="Z24" i="1"/>
  <c r="Y12" i="1"/>
  <c r="Y9" i="1"/>
  <c r="AD27" i="1"/>
  <c r="G12" i="2" s="1"/>
  <c r="Z9" i="1"/>
  <c r="E12" i="1"/>
  <c r="U47" i="1"/>
  <c r="Z30" i="1"/>
  <c r="Z36" i="1"/>
  <c r="E21" i="1"/>
  <c r="Y36" i="1"/>
  <c r="E6" i="1"/>
  <c r="E36" i="1" s="1"/>
  <c r="AG30" i="1"/>
  <c r="J13" i="2" s="1"/>
  <c r="AG24" i="1"/>
  <c r="J11" i="2" s="1"/>
  <c r="AG36" i="1"/>
  <c r="J15" i="2" s="1"/>
  <c r="AG27" i="1"/>
  <c r="J12" i="2" s="1"/>
  <c r="AG33" i="1"/>
  <c r="J14" i="2" s="1"/>
  <c r="AG18" i="1"/>
  <c r="J9" i="2" s="1"/>
  <c r="AG42" i="1"/>
  <c r="J17" i="2" s="1"/>
  <c r="I12" i="2"/>
  <c r="AG21" i="1"/>
  <c r="J10" i="2" s="1"/>
  <c r="H20" i="2"/>
  <c r="H22" i="2" s="1"/>
  <c r="AG47" i="1"/>
  <c r="J21" i="2" s="1"/>
  <c r="W30" i="1"/>
  <c r="W33" i="1"/>
  <c r="W36" i="1"/>
  <c r="G30" i="1"/>
  <c r="G33" i="1"/>
  <c r="G36" i="1"/>
  <c r="O30" i="1"/>
  <c r="O33" i="1" s="1"/>
  <c r="O36" i="1" s="1"/>
  <c r="H36" i="1"/>
  <c r="H30" i="1"/>
  <c r="H33" i="1"/>
  <c r="V33" i="1"/>
  <c r="V36" i="1"/>
  <c r="V30" i="1"/>
  <c r="AC45" i="1"/>
  <c r="O42" i="1" l="1"/>
  <c r="O39" i="1"/>
  <c r="H42" i="1"/>
  <c r="H39" i="1"/>
  <c r="V42" i="1"/>
  <c r="V39" i="1"/>
  <c r="G42" i="1"/>
  <c r="G39" i="1"/>
  <c r="W42" i="1"/>
  <c r="W39" i="1"/>
  <c r="AD42" i="1"/>
  <c r="G17" i="2" s="1"/>
  <c r="AD36" i="1"/>
  <c r="G15" i="2" s="1"/>
  <c r="AD21" i="1"/>
  <c r="G10" i="2" s="1"/>
  <c r="AD24" i="1"/>
  <c r="G11" i="2" s="1"/>
  <c r="AD12" i="1"/>
  <c r="G7" i="2" s="1"/>
  <c r="AD33" i="1"/>
  <c r="G14" i="2" s="1"/>
  <c r="AD6" i="1"/>
  <c r="G5" i="2" s="1"/>
  <c r="AD47" i="1"/>
  <c r="G21" i="2" s="1"/>
  <c r="T30" i="1"/>
  <c r="AD30" i="1"/>
  <c r="G13" i="2" s="1"/>
  <c r="AD18" i="1"/>
  <c r="G9" i="2" s="1"/>
  <c r="AD9" i="1"/>
  <c r="G6" i="2" s="1"/>
  <c r="AD15" i="1"/>
  <c r="G8" i="2" s="1"/>
  <c r="J20" i="2"/>
  <c r="J22" i="2" s="1"/>
  <c r="I20" i="2"/>
  <c r="I22" i="2" s="1"/>
  <c r="T42" i="1" l="1"/>
  <c r="T39" i="1"/>
  <c r="G20" i="2"/>
  <c r="G22" i="2" s="1"/>
  <c r="T3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<sst xmlns="http://schemas.openxmlformats.org/spreadsheetml/2006/main" count="152" uniqueCount="70">
  <si>
    <t>Level</t>
  </si>
  <si>
    <t xml:space="preserve"> </t>
  </si>
  <si>
    <t>ID</t>
  </si>
  <si>
    <t>SUPERPOWER</t>
  </si>
  <si>
    <t>SENATEL 215</t>
  </si>
  <si>
    <t xml:space="preserve">ANFO </t>
  </si>
  <si>
    <t xml:space="preserve">SAFETY FUSE </t>
  </si>
  <si>
    <t xml:space="preserve">OBC </t>
  </si>
  <si>
    <t xml:space="preserve">NONEL 3.6 </t>
  </si>
  <si>
    <t xml:space="preserve">EXEL3.6 </t>
  </si>
  <si>
    <t>SUPREME 2.4</t>
  </si>
  <si>
    <t>SUPREME 3.6</t>
  </si>
  <si>
    <t xml:space="preserve">EXEL2.4 </t>
  </si>
  <si>
    <t>MS 18</t>
  </si>
  <si>
    <t>CORDTEX5M</t>
  </si>
  <si>
    <t>CORDTEX10M</t>
  </si>
  <si>
    <t>CORDTEX40M</t>
  </si>
  <si>
    <t>FUSE_LIGHTER</t>
  </si>
  <si>
    <t>BELL_WIRE</t>
  </si>
  <si>
    <t>SENATEL 135</t>
  </si>
  <si>
    <t>SUPER POWER 208</t>
  </si>
  <si>
    <t xml:space="preserve">EBC </t>
  </si>
  <si>
    <t>Sum of SENATEL PULSAR 38</t>
  </si>
  <si>
    <t>Sum of EXEL 4.9</t>
  </si>
  <si>
    <t>SUPER POWER150</t>
  </si>
  <si>
    <t>SUB-TOTAL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</si>
  <si>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</si>
  <si>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</si>
  <si>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</si>
  <si>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</si>
  <si>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</si>
  <si>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</si>
  <si>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</si>
  <si>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</si>
  <si>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</si>
  <si>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 5</t>
  </si>
  <si>
    <t>L 6</t>
  </si>
  <si>
    <t>L 7</t>
  </si>
  <si>
    <t>L 8</t>
  </si>
  <si>
    <t>L 9</t>
  </si>
  <si>
    <t>L 10</t>
  </si>
  <si>
    <t>L 11</t>
  </si>
  <si>
    <t>L 12</t>
  </si>
  <si>
    <t>Explosives used</t>
  </si>
  <si>
    <t>EMULSION (KG)</t>
  </si>
  <si>
    <t>ANFO (KG)</t>
  </si>
  <si>
    <t>DETONATORS (PCS)</t>
  </si>
  <si>
    <t>DETCORDS (MTR)</t>
  </si>
  <si>
    <t>GRAND TOTAL</t>
  </si>
  <si>
    <t>TOTAL</t>
  </si>
  <si>
    <t>anfo</t>
  </si>
  <si>
    <t>nonel</t>
  </si>
  <si>
    <t>cordtex</t>
  </si>
  <si>
    <t>Grand Total</t>
  </si>
  <si>
    <t>dyna/215</t>
  </si>
  <si>
    <t>remaining</t>
  </si>
  <si>
    <t>TS 2.4</t>
  </si>
  <si>
    <t>SHOCK STAR</t>
  </si>
  <si>
    <t>L3</t>
  </si>
  <si>
    <t>EM AUSTIN</t>
  </si>
  <si>
    <t>SV</t>
  </si>
  <si>
    <t>SINUG-ANG CROWN VEIN</t>
  </si>
  <si>
    <t>L05</t>
  </si>
  <si>
    <t>BELL WIRE</t>
  </si>
  <si>
    <t>L425</t>
  </si>
  <si>
    <t>NEOGEL 200</t>
  </si>
  <si>
    <t>L08</t>
  </si>
  <si>
    <t>L09</t>
  </si>
  <si>
    <t>L460</t>
  </si>
  <si>
    <t>DC I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</si>
</sst>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7"/>
      <name val="Arial"/>
      <family val="2"/>
    </font>
    <font>
      <sz val="9"/>
      <color theme="1"/>
      <name val="Calibri"/>
      <family val="2"/>
      <scheme val="minor"/>
    </font>
    <font>
      <sz val="8"/>
      <name val="Arial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name val="Arial"/>
      <family val="2"/>
    </font>
    <font>
      <sz val="18"/>
      <name val="Arial"/>
      <family val="2"/>
    </font>
    <font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3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3" borderId="2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8" fillId="0" borderId="0" xfId="0" applyFont="1"/>
    <xf numFmtId="165" fontId="0" fillId="4" borderId="10" xfId="1" applyNumberFormat="1" applyFont="1" applyFill="1" applyBorder="1"/>
    <xf numFmtId="164" fontId="2" fillId="6" borderId="11" xfId="1" applyFont="1" applyFill="1" applyBorder="1"/>
    <xf numFmtId="164" fontId="2" fillId="6" borderId="12" xfId="1" applyFont="1" applyFill="1" applyBorder="1"/>
    <xf numFmtId="164" fontId="2" fillId="6" borderId="13" xfId="1" applyFont="1" applyFill="1" applyBorder="1"/>
    <xf numFmtId="0" fontId="11" fillId="0" borderId="0" xfId="0" applyFont="1" applyAlignment="1">
      <alignment horizontal="center" vertical="center" wrapText="1"/>
    </xf>
    <xf numFmtId="0" fontId="12" fillId="3" borderId="2" xfId="0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4" fillId="9" borderId="0" xfId="0" applyFont="1" applyFill="1" applyAlignment="1">
      <alignment vertical="center" wrapText="1"/>
    </xf>
    <xf numFmtId="0" fontId="4" fillId="10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4" fillId="6" borderId="12" xfId="0" applyFont="1" applyFill="1" applyBorder="1" applyAlignment="1">
      <alignment horizontal="center" vertical="center" wrapText="1"/>
    </xf>
    <xf numFmtId="164" fontId="0" fillId="4" borderId="18" xfId="1" applyFont="1" applyFill="1" applyBorder="1"/>
    <xf numFmtId="164" fontId="0" fillId="4" borderId="10" xfId="1" applyFont="1" applyFill="1" applyBorder="1"/>
    <xf numFmtId="164" fontId="0" fillId="6" borderId="11" xfId="1" applyFont="1" applyFill="1" applyBorder="1"/>
    <xf numFmtId="164" fontId="0" fillId="6" borderId="12" xfId="1" applyFont="1" applyFill="1" applyBorder="1"/>
    <xf numFmtId="164" fontId="0" fillId="6" borderId="13" xfId="1" applyFont="1" applyFill="1" applyBorder="1"/>
    <xf numFmtId="165" fontId="0" fillId="10" borderId="9" xfId="1" applyNumberFormat="1" applyFont="1" applyFill="1" applyBorder="1"/>
    <xf numFmtId="164" fontId="0" fillId="4" borderId="12" xfId="1" applyFont="1" applyFill="1" applyBorder="1"/>
    <xf numFmtId="164" fontId="2" fillId="0" borderId="12" xfId="1" applyFont="1" applyFill="1" applyBorder="1"/>
    <xf numFmtId="165" fontId="0" fillId="9" borderId="12" xfId="1" applyNumberFormat="1" applyFont="1" applyFill="1" applyBorder="1"/>
    <xf numFmtId="165" fontId="0" fillId="9" borderId="13" xfId="1" applyNumberFormat="1" applyFont="1" applyFill="1" applyBorder="1"/>
    <xf numFmtId="165" fontId="0" fillId="4" borderId="18" xfId="1" applyNumberFormat="1" applyFont="1" applyFill="1" applyBorder="1"/>
    <xf numFmtId="165" fontId="0" fillId="5" borderId="11" xfId="1" applyNumberFormat="1" applyFont="1" applyFill="1" applyBorder="1"/>
    <xf numFmtId="165" fontId="0" fillId="5" borderId="12" xfId="1" applyNumberFormat="1" applyFont="1" applyFill="1" applyBorder="1"/>
    <xf numFmtId="165" fontId="0" fillId="5" borderId="13" xfId="1" applyNumberFormat="1" applyFont="1" applyFill="1" applyBorder="1"/>
    <xf numFmtId="164" fontId="0" fillId="0" borderId="8" xfId="0" applyNumberFormat="1" applyBorder="1"/>
    <xf numFmtId="165" fontId="0" fillId="0" borderId="8" xfId="0" applyNumberFormat="1" applyBorder="1"/>
    <xf numFmtId="165" fontId="5" fillId="0" borderId="8" xfId="0" applyNumberFormat="1" applyFont="1" applyBorder="1"/>
    <xf numFmtId="0" fontId="14" fillId="2" borderId="19" xfId="0" applyFont="1" applyFill="1" applyBorder="1" applyAlignment="1">
      <alignment vertical="center"/>
    </xf>
    <xf numFmtId="0" fontId="15" fillId="2" borderId="20" xfId="0" applyFont="1" applyFill="1" applyBorder="1"/>
    <xf numFmtId="0" fontId="16" fillId="2" borderId="21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center"/>
    </xf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8" borderId="22" xfId="0" applyFont="1" applyFill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0" borderId="0" xfId="0" applyAlignment="1">
      <alignment vertical="center"/>
    </xf>
    <xf numFmtId="0" fontId="0" fillId="7" borderId="3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5" fillId="0" borderId="0" xfId="0" applyFont="1" applyAlignment="1">
      <alignment vertical="center"/>
    </xf>
    <xf numFmtId="164" fontId="0" fillId="0" borderId="0" xfId="0" applyNumberFormat="1"/>
    <xf numFmtId="166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/>
    </xf>
    <xf numFmtId="0" fontId="18" fillId="4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0" fillId="2" borderId="0" xfId="0" applyFill="1"/>
    <xf numFmtId="164" fontId="2" fillId="8" borderId="0" xfId="1" applyFont="1" applyFill="1" applyAlignment="1">
      <alignment vertical="center"/>
    </xf>
    <xf numFmtId="0" fontId="0" fillId="4" borderId="0" xfId="0" applyFill="1"/>
    <xf numFmtId="0" fontId="0" fillId="11" borderId="0" xfId="0" applyFill="1" applyAlignment="1">
      <alignment vertical="center"/>
    </xf>
    <xf numFmtId="0" fontId="4" fillId="9" borderId="1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3" fontId="0" fillId="0" borderId="0" xfId="0" applyNumberFormat="1"/>
    <xf numFmtId="0" fontId="10" fillId="0" borderId="27" xfId="0" applyFon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6" borderId="11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164" fontId="1" fillId="6" borderId="11" xfId="1" applyFont="1" applyFill="1" applyBorder="1"/>
    <xf numFmtId="0" fontId="3" fillId="0" borderId="0" xfId="0" applyFont="1" applyAlignment="1">
      <alignment horizontal="center"/>
    </xf>
    <xf numFmtId="0" fontId="19" fillId="12" borderId="1" xfId="0" applyNumberFormat="1" applyFont="1" applyFill="1" applyBorder="1"/>
    <xf numFmtId="0" fontId="14" fillId="3" borderId="2" xfId="0" applyFont="1" applyFill="1" applyBorder="1" applyAlignment="1">
      <alignment vertical="center"/>
    </xf>
    <xf numFmtId="2" fontId="0" fillId="7" borderId="1" xfId="0" applyNumberFormat="1" applyFill="1" applyBorder="1" applyAlignment="1">
      <alignment vertical="center"/>
    </xf>
    <xf numFmtId="164" fontId="20" fillId="10" borderId="9" xfId="1" applyNumberFormat="1" applyFont="1" applyFill="1" applyBorder="1"/>
    <xf numFmtId="0" fontId="5" fillId="0" borderId="1" xfId="0" applyFont="1" applyBorder="1"/>
    <xf numFmtId="0" fontId="5" fillId="0" borderId="1" xfId="0" applyNumberFormat="1" applyFont="1" applyBorder="1"/>
    <xf numFmtId="0" fontId="10" fillId="0" borderId="30" xfId="0" applyFont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/>
    </xf>
    <xf numFmtId="164" fontId="0" fillId="0" borderId="32" xfId="0" applyNumberForma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AK51"/>
  <sheetViews>
    <sheetView zoomScale="115" zoomScaleNormal="115" workbookViewId="0">
      <pane xSplit="1" ySplit="1" topLeftCell="B29" activePane="bottomRight" state="frozen"/>
      <selection activeCell="AD8" sqref="AD8"/>
      <selection pane="topRight" activeCell="AD8" sqref="AD8"/>
      <selection pane="bottomLeft" activeCell="AD8" sqref="AD8"/>
      <selection pane="bottomRight" activeCell="X49" sqref="X49"/>
    </sheetView>
  </sheetViews>
  <sheetFormatPr defaultRowHeight="15" x14ac:dyDescent="0.25"/>
  <cols>
    <col min="1" max="1" width="8.140625" customWidth="1"/>
    <col min="2" max="2" width="1" bestFit="1" customWidth="1"/>
    <col min="3" max="3" width="8.85546875" customWidth="1"/>
    <col min="4" max="4" width="9.85546875" customWidth="1"/>
    <col min="5" max="5" width="8.140625" customWidth="1"/>
    <col min="6" max="6" width="9" bestFit="1" customWidth="1"/>
    <col min="7" max="8" width="9.5703125" customWidth="1"/>
    <col min="9" max="10" width="9.5703125" hidden="1" customWidth="1"/>
    <col min="11" max="11" width="10.28515625" hidden="1" customWidth="1"/>
    <col min="12" max="12" width="10.140625" hidden="1" customWidth="1"/>
    <col min="13" max="13" width="7.28515625" bestFit="1" customWidth="1"/>
    <col min="14" max="15" width="9.5703125" hidden="1" customWidth="1"/>
    <col min="16" max="16" width="10.140625" customWidth="1"/>
    <col min="17" max="17" width="10.42578125" customWidth="1"/>
    <col min="18" max="18" width="9.5703125" hidden="1" customWidth="1"/>
    <col min="19" max="20" width="9.5703125" customWidth="1"/>
    <col min="21" max="21" width="12.140625" customWidth="1"/>
    <col min="22" max="22" width="5.85546875" customWidth="1"/>
    <col min="23" max="23" width="9.5703125" customWidth="1"/>
    <col min="24" max="24" width="12.42578125" customWidth="1"/>
    <col min="25" max="25" width="13.28515625" customWidth="1"/>
    <col min="26" max="26" width="14" customWidth="1"/>
    <col min="27" max="27" width="9.7109375" customWidth="1"/>
    <col min="28" max="28" width="9.5703125" customWidth="1"/>
    <col min="29" max="29" width="22.140625" customWidth="1"/>
    <col min="30" max="30" width="12.7109375" customWidth="1"/>
    <col min="31" max="31" width="12.7109375" style="19" customWidth="1"/>
    <col min="32" max="33" width="12.7109375" customWidth="1"/>
    <col min="34" max="41" width="13.7109375" customWidth="1"/>
  </cols>
  <sheetData>
    <row r="1" spans="1:33" s="2" customFormat="1" ht="47.25" customHeight="1" thickBot="1" x14ac:dyDescent="0.3">
      <c r="A1" s="1" t="s">
        <v>0</v>
      </c>
      <c r="B1" s="1" t="s">
        <v>1</v>
      </c>
      <c r="C1" s="26" t="s">
        <v>2</v>
      </c>
      <c r="D1" s="85" t="s">
        <v>65</v>
      </c>
      <c r="E1" s="27" t="s">
        <v>3</v>
      </c>
      <c r="F1" s="87" t="s">
        <v>5</v>
      </c>
      <c r="G1" s="88" t="s">
        <v>6</v>
      </c>
      <c r="H1" s="89" t="s">
        <v>7</v>
      </c>
      <c r="I1" s="90" t="s">
        <v>8</v>
      </c>
      <c r="J1" s="90" t="s">
        <v>9</v>
      </c>
      <c r="K1" s="90" t="s">
        <v>10</v>
      </c>
      <c r="L1" s="90" t="s">
        <v>11</v>
      </c>
      <c r="M1" s="78" t="s">
        <v>12</v>
      </c>
      <c r="N1" s="78" t="s">
        <v>57</v>
      </c>
      <c r="O1" s="89" t="s">
        <v>13</v>
      </c>
      <c r="P1" s="91" t="s">
        <v>14</v>
      </c>
      <c r="Q1" s="92" t="s">
        <v>15</v>
      </c>
      <c r="R1" s="92" t="s">
        <v>16</v>
      </c>
      <c r="S1" s="93" t="s">
        <v>69</v>
      </c>
      <c r="T1" s="88" t="s">
        <v>17</v>
      </c>
      <c r="U1" s="85" t="s">
        <v>22</v>
      </c>
      <c r="V1" s="89" t="s">
        <v>63</v>
      </c>
      <c r="W1" s="94" t="s">
        <v>23</v>
      </c>
      <c r="X1" s="95" t="s">
        <v>19</v>
      </c>
      <c r="Y1" s="27" t="s">
        <v>20</v>
      </c>
      <c r="Z1" s="86" t="s">
        <v>24</v>
      </c>
      <c r="AA1" s="86" t="s">
        <v>4</v>
      </c>
      <c r="AB1" s="88" t="s">
        <v>21</v>
      </c>
      <c r="AD1" s="22" t="s">
        <v>44</v>
      </c>
      <c r="AE1" s="24" t="s">
        <v>45</v>
      </c>
      <c r="AF1" s="23" t="s">
        <v>46</v>
      </c>
      <c r="AG1" s="25" t="s">
        <v>47</v>
      </c>
    </row>
    <row r="2" spans="1:33" s="18" customFormat="1" ht="31.5" customHeight="1" thickBot="1" x14ac:dyDescent="0.3">
      <c r="A2" s="16" t="s">
        <v>0</v>
      </c>
      <c r="B2" s="17" t="s">
        <v>1</v>
      </c>
      <c r="C2" s="17" t="s">
        <v>2</v>
      </c>
      <c r="D2" s="79" t="s">
        <v>3</v>
      </c>
      <c r="E2" s="79" t="s">
        <v>59</v>
      </c>
      <c r="F2" s="79" t="s">
        <v>5</v>
      </c>
      <c r="G2" s="79" t="s">
        <v>6</v>
      </c>
      <c r="H2" s="79" t="s">
        <v>7</v>
      </c>
      <c r="I2" s="79" t="s">
        <v>8</v>
      </c>
      <c r="J2" s="79" t="s">
        <v>9</v>
      </c>
      <c r="K2" s="79" t="s">
        <v>10</v>
      </c>
      <c r="L2" s="79" t="s">
        <v>11</v>
      </c>
      <c r="M2" s="79" t="s">
        <v>12</v>
      </c>
      <c r="N2" s="79" t="s">
        <v>56</v>
      </c>
      <c r="O2" s="79" t="s">
        <v>13</v>
      </c>
      <c r="P2" s="79" t="s">
        <v>14</v>
      </c>
      <c r="Q2" s="79" t="s">
        <v>15</v>
      </c>
      <c r="R2" s="79" t="s">
        <v>16</v>
      </c>
      <c r="S2" s="79" t="s">
        <v>69</v>
      </c>
      <c r="T2" s="79" t="s">
        <v>17</v>
      </c>
      <c r="U2" s="79" t="s">
        <v>22</v>
      </c>
      <c r="V2" s="79" t="s">
        <v>18</v>
      </c>
      <c r="W2" s="79" t="s">
        <v>23</v>
      </c>
      <c r="X2" s="79" t="s">
        <v>19</v>
      </c>
      <c r="Y2" s="79" t="s">
        <v>20</v>
      </c>
      <c r="Z2" s="79" t="s">
        <v>24</v>
      </c>
      <c r="AA2" s="79" t="s">
        <v>4</v>
      </c>
      <c r="AB2" s="79" t="s">
        <v>21</v>
      </c>
      <c r="AC2" s="17"/>
      <c r="AD2" s="17"/>
      <c r="AE2" s="15"/>
      <c r="AF2" s="17"/>
    </row>
    <row r="3" spans="1:33" ht="15.75" thickBot="1" x14ac:dyDescent="0.3">
      <c r="C3" s="10"/>
      <c r="D3" s="12">
        <f>25/200</f>
        <v>0.125</v>
      </c>
      <c r="E3" s="13">
        <f>25/200</f>
        <v>0.125</v>
      </c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13"/>
      <c r="U3" s="13">
        <f>25/38</f>
        <v>0.65789473684210531</v>
      </c>
      <c r="V3" s="13"/>
      <c r="W3" s="13"/>
      <c r="X3" s="13">
        <f>25/135</f>
        <v>0.18518518518518517</v>
      </c>
      <c r="Y3" s="13">
        <f>25/208</f>
        <v>0.1201923076923077</v>
      </c>
      <c r="Z3" s="14">
        <f>25/150</f>
        <v>0.16666666666666666</v>
      </c>
      <c r="AA3" s="13">
        <f>25/215</f>
        <v>0.11627906976744186</v>
      </c>
      <c r="AB3" s="11"/>
    </row>
    <row r="4" spans="1:33" s="6" customFormat="1" ht="18" customHeight="1" x14ac:dyDescent="0.25">
      <c r="A4" s="3" t="s">
        <v>58</v>
      </c>
      <c r="B4"/>
      <c r="C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5"/>
      <c r="V4" s="5"/>
      <c r="W4" s="5"/>
      <c r="X4" s="5"/>
      <c r="Y4" s="5"/>
      <c r="Z4" s="5"/>
      <c r="AA4" s="4"/>
      <c r="AB4" s="5"/>
      <c r="AC4"/>
      <c r="AD4"/>
      <c r="AE4" s="19"/>
      <c r="AF4"/>
    </row>
    <row r="5" spans="1:33" s="64" customFormat="1" ht="13.5" customHeight="1" thickBot="1" x14ac:dyDescent="0.3">
      <c r="A5" s="63" t="s">
        <v>58</v>
      </c>
      <c r="D5" s="65"/>
      <c r="E5" s="66"/>
      <c r="F5" s="100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7"/>
      <c r="AE5" s="20"/>
      <c r="AG5" s="68"/>
    </row>
    <row r="6" spans="1:33" ht="15.75" thickBot="1" x14ac:dyDescent="0.3">
      <c r="C6" s="10" t="s">
        <v>25</v>
      </c>
      <c r="D6" s="30">
        <f>D5*$D$3</f>
        <v>0</v>
      </c>
      <c r="E6" s="32">
        <f>E5*$E3</f>
        <v>0</v>
      </c>
      <c r="F6" s="33">
        <f>F5</f>
        <v>0</v>
      </c>
      <c r="G6" s="29">
        <f>G5*G3</f>
        <v>0</v>
      </c>
      <c r="H6" s="29">
        <f>H5*H3</f>
        <v>0</v>
      </c>
      <c r="I6" s="36">
        <f t="shared" ref="I6:L6" si="0">I5</f>
        <v>0</v>
      </c>
      <c r="J6" s="36">
        <f>J5</f>
        <v>0</v>
      </c>
      <c r="K6" s="36">
        <f t="shared" si="0"/>
        <v>0</v>
      </c>
      <c r="L6" s="36">
        <f t="shared" si="0"/>
        <v>0</v>
      </c>
      <c r="M6" s="37">
        <f>M5</f>
        <v>0</v>
      </c>
      <c r="N6" s="37">
        <f>N5</f>
        <v>0</v>
      </c>
      <c r="O6" s="38">
        <f>O5*O3</f>
        <v>0</v>
      </c>
      <c r="P6" s="39">
        <f>P5</f>
        <v>0</v>
      </c>
      <c r="Q6" s="40">
        <f>Q5</f>
        <v>0</v>
      </c>
      <c r="R6" s="40">
        <f>R5</f>
        <v>0</v>
      </c>
      <c r="S6" s="41">
        <f>S5</f>
        <v>0</v>
      </c>
      <c r="T6" s="29">
        <f>T5*T3</f>
        <v>0</v>
      </c>
      <c r="U6" s="30">
        <f>U5*$U$3</f>
        <v>0</v>
      </c>
      <c r="V6" s="28">
        <f>V5</f>
        <v>0</v>
      </c>
      <c r="W6" s="29">
        <f>W5*W3</f>
        <v>0</v>
      </c>
      <c r="X6" s="31">
        <f>X5*$X$3</f>
        <v>0</v>
      </c>
      <c r="Y6" s="31">
        <f>Y5*$Y$3</f>
        <v>0</v>
      </c>
      <c r="Z6" s="32">
        <f>Z5*$Z$3</f>
        <v>0</v>
      </c>
      <c r="AA6" s="32">
        <f>AA5*$AA$3</f>
        <v>0</v>
      </c>
      <c r="AB6" s="11">
        <f>SUM(AB5:AB5)</f>
        <v>0</v>
      </c>
      <c r="AC6" s="53" t="s">
        <v>58</v>
      </c>
      <c r="AD6" s="42">
        <f>D6+AA6+U6+X6+Y6+Z6+E6</f>
        <v>0</v>
      </c>
      <c r="AE6" s="43">
        <f>F6</f>
        <v>0</v>
      </c>
      <c r="AF6" s="43">
        <f>I6+J6+K6+L6+M6+N6</f>
        <v>0</v>
      </c>
      <c r="AG6" s="44">
        <f>P6+Q6+R6+S6</f>
        <v>0</v>
      </c>
    </row>
    <row r="7" spans="1:33" s="6" customFormat="1" ht="15" customHeight="1" x14ac:dyDescent="0.25">
      <c r="A7" s="3" t="s">
        <v>26</v>
      </c>
      <c r="B7"/>
      <c r="C7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5"/>
      <c r="V7" s="5"/>
      <c r="W7" s="5"/>
      <c r="X7" s="5"/>
      <c r="Y7" s="5"/>
      <c r="Z7" s="5"/>
      <c r="AA7" s="4"/>
      <c r="AB7" s="5"/>
      <c r="AC7"/>
      <c r="AD7"/>
      <c r="AE7" s="19"/>
      <c r="AF7"/>
    </row>
    <row r="8" spans="1:33" s="64" customFormat="1" ht="15.75" thickBot="1" x14ac:dyDescent="0.3">
      <c r="A8" s="63" t="s">
        <v>26</v>
      </c>
      <c r="D8" s="65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7"/>
      <c r="AE8" s="20"/>
      <c r="AG8" s="68"/>
    </row>
    <row r="9" spans="1:33" ht="15.75" thickBot="1" x14ac:dyDescent="0.3">
      <c r="C9" s="10" t="s">
        <v>25</v>
      </c>
      <c r="D9" s="30">
        <f>D8*$D$3</f>
        <v>0</v>
      </c>
      <c r="E9" s="31">
        <f>E8*$E3</f>
        <v>0</v>
      </c>
      <c r="F9" s="33">
        <f>F8</f>
        <v>0</v>
      </c>
      <c r="G9" s="29">
        <f>G8*G6</f>
        <v>0</v>
      </c>
      <c r="H9" s="29">
        <f>H8*H6</f>
        <v>0</v>
      </c>
      <c r="I9" s="36">
        <f t="shared" ref="I9:L9" si="1">I8</f>
        <v>0</v>
      </c>
      <c r="J9" s="36">
        <f t="shared" si="1"/>
        <v>0</v>
      </c>
      <c r="K9" s="36">
        <f t="shared" si="1"/>
        <v>0</v>
      </c>
      <c r="L9" s="36">
        <f t="shared" si="1"/>
        <v>0</v>
      </c>
      <c r="M9" s="37">
        <f>M8</f>
        <v>0</v>
      </c>
      <c r="N9" s="37">
        <f>N8</f>
        <v>0</v>
      </c>
      <c r="O9" s="38">
        <f>O8*O6</f>
        <v>0</v>
      </c>
      <c r="P9" s="39">
        <f>P8</f>
        <v>0</v>
      </c>
      <c r="Q9" s="40">
        <f>Q8</f>
        <v>0</v>
      </c>
      <c r="R9" s="40">
        <f>R8</f>
        <v>0</v>
      </c>
      <c r="S9" s="41">
        <f>S8</f>
        <v>0</v>
      </c>
      <c r="T9" s="29">
        <f>T8*T6</f>
        <v>0</v>
      </c>
      <c r="U9" s="30">
        <f>U8*$U$3</f>
        <v>0</v>
      </c>
      <c r="V9" s="28">
        <f>V8*V3</f>
        <v>0</v>
      </c>
      <c r="W9" s="29">
        <f>W8*W6</f>
        <v>0</v>
      </c>
      <c r="X9" s="31">
        <f>X8*$X$3</f>
        <v>0</v>
      </c>
      <c r="Y9" s="31">
        <f>Y8*$Y$3</f>
        <v>0</v>
      </c>
      <c r="Z9" s="32">
        <f>Z8*$Z$3</f>
        <v>0</v>
      </c>
      <c r="AA9" s="32">
        <f>AA8*$AA$3</f>
        <v>0</v>
      </c>
      <c r="AB9" s="11">
        <f>SUM(AB8:AB8)</f>
        <v>0</v>
      </c>
      <c r="AC9" s="53" t="s">
        <v>26</v>
      </c>
      <c r="AD9" s="42">
        <f>D9+AA9+U9+X9+Y9+Z9+E9</f>
        <v>0</v>
      </c>
      <c r="AE9" s="43">
        <f>F9</f>
        <v>0</v>
      </c>
      <c r="AF9" s="43">
        <f>I9+J9+K9+L9+M9+N9</f>
        <v>0</v>
      </c>
      <c r="AG9" s="44">
        <f>P9+Q9+R9+S9</f>
        <v>0</v>
      </c>
    </row>
    <row r="10" spans="1:33" s="6" customFormat="1" ht="15" customHeight="1" x14ac:dyDescent="0.25">
      <c r="A10" s="3" t="s">
        <v>62</v>
      </c>
      <c r="B10"/>
      <c r="C10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5"/>
      <c r="V10" s="5"/>
      <c r="W10" s="5"/>
      <c r="X10" s="5"/>
      <c r="Y10" s="5"/>
      <c r="Z10" s="5"/>
      <c r="AA10" s="4"/>
      <c r="AB10" s="5"/>
      <c r="AC10"/>
      <c r="AD10"/>
      <c r="AE10" s="19"/>
      <c r="AF10"/>
    </row>
    <row r="11" spans="1:33" s="64" customFormat="1" ht="21" customHeight="1" thickBot="1" x14ac:dyDescent="0.3">
      <c r="A11" s="63" t="s">
        <v>62</v>
      </c>
      <c r="D11" s="65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7"/>
      <c r="AE11" s="20"/>
    </row>
    <row r="12" spans="1:33" ht="15.75" thickBot="1" x14ac:dyDescent="0.3">
      <c r="C12" s="10" t="s">
        <v>25</v>
      </c>
      <c r="D12" s="30">
        <f>D11*$D$3</f>
        <v>0</v>
      </c>
      <c r="E12" s="31">
        <f>E11*$E3</f>
        <v>0</v>
      </c>
      <c r="F12" s="33">
        <f>F11</f>
        <v>0</v>
      </c>
      <c r="G12" s="29">
        <f>G11*G9</f>
        <v>0</v>
      </c>
      <c r="H12" s="28">
        <f>H11*H9</f>
        <v>0</v>
      </c>
      <c r="I12" s="36">
        <f t="shared" ref="I12:N12" si="2">I11</f>
        <v>0</v>
      </c>
      <c r="J12" s="36">
        <f t="shared" si="2"/>
        <v>0</v>
      </c>
      <c r="K12" s="36">
        <f t="shared" si="2"/>
        <v>0</v>
      </c>
      <c r="L12" s="36">
        <f t="shared" si="2"/>
        <v>0</v>
      </c>
      <c r="M12" s="37">
        <f t="shared" si="2"/>
        <v>0</v>
      </c>
      <c r="N12" s="37">
        <f t="shared" si="2"/>
        <v>0</v>
      </c>
      <c r="O12" s="38">
        <f>O11*O9</f>
        <v>0</v>
      </c>
      <c r="P12" s="39">
        <f>P11</f>
        <v>0</v>
      </c>
      <c r="Q12" s="40">
        <f>Q11</f>
        <v>0</v>
      </c>
      <c r="R12" s="40">
        <f>R11</f>
        <v>0</v>
      </c>
      <c r="S12" s="41">
        <f>S11</f>
        <v>0</v>
      </c>
      <c r="T12" s="29">
        <f>T11*T9</f>
        <v>0</v>
      </c>
      <c r="U12" s="30">
        <f>U11*$U$3</f>
        <v>0</v>
      </c>
      <c r="V12" s="28">
        <f>V11*V9</f>
        <v>0</v>
      </c>
      <c r="W12" s="34">
        <f>W11*W9</f>
        <v>0</v>
      </c>
      <c r="X12" s="31">
        <f>X11*$X$3</f>
        <v>0</v>
      </c>
      <c r="Y12" s="31">
        <f>Y11*$Y$3</f>
        <v>0</v>
      </c>
      <c r="Z12" s="32">
        <f>Z11*$Z$3</f>
        <v>0</v>
      </c>
      <c r="AA12" s="32">
        <f>AA11*$AA$3</f>
        <v>0</v>
      </c>
      <c r="AB12" s="11">
        <f>SUM(AB11:AB11)</f>
        <v>0</v>
      </c>
      <c r="AC12" s="53" t="s">
        <v>27</v>
      </c>
      <c r="AD12" s="42">
        <f>D12+AA12+U12+X12+Y12+Z12+E12</f>
        <v>0</v>
      </c>
      <c r="AE12" s="43">
        <f>F12</f>
        <v>0</v>
      </c>
      <c r="AF12" s="43">
        <f>I12+J12+K12+L12+M12+N12</f>
        <v>0</v>
      </c>
      <c r="AG12" s="44">
        <f>P12+Q12+R12+S12</f>
        <v>0</v>
      </c>
    </row>
    <row r="13" spans="1:33" s="6" customFormat="1" ht="15" customHeight="1" x14ac:dyDescent="0.25">
      <c r="A13" s="3" t="s">
        <v>28</v>
      </c>
      <c r="B13"/>
      <c r="C1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5"/>
      <c r="V13" s="5"/>
      <c r="W13" s="5"/>
      <c r="X13" s="5"/>
      <c r="Y13" s="5"/>
      <c r="Z13" s="5"/>
      <c r="AA13" s="4"/>
      <c r="AB13" s="5"/>
      <c r="AC13"/>
      <c r="AD13"/>
      <c r="AE13" s="19"/>
      <c r="AF13"/>
    </row>
    <row r="14" spans="1:33" s="64" customFormat="1" ht="21" customHeight="1" thickBot="1" x14ac:dyDescent="0.3">
      <c r="A14" s="63" t="s">
        <v>28</v>
      </c>
      <c r="D14" s="65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7"/>
      <c r="AE14" s="20"/>
    </row>
    <row r="15" spans="1:33" ht="15.75" thickBot="1" x14ac:dyDescent="0.3">
      <c r="C15" s="10" t="s">
        <v>25</v>
      </c>
      <c r="D15" s="30">
        <f>D14*$D$3</f>
        <v>0</v>
      </c>
      <c r="E15" s="31">
        <f>E14*$E3</f>
        <v>0</v>
      </c>
      <c r="F15" s="33">
        <f>F14</f>
        <v>0</v>
      </c>
      <c r="G15" s="29">
        <f>G14*G12</f>
        <v>0</v>
      </c>
      <c r="H15" s="28">
        <f>H14*H12</f>
        <v>0</v>
      </c>
      <c r="I15" s="36">
        <f t="shared" ref="I15:N15" si="3">I14</f>
        <v>0</v>
      </c>
      <c r="J15" s="36">
        <f t="shared" si="3"/>
        <v>0</v>
      </c>
      <c r="K15" s="36">
        <f t="shared" si="3"/>
        <v>0</v>
      </c>
      <c r="L15" s="36">
        <f t="shared" si="3"/>
        <v>0</v>
      </c>
      <c r="M15" s="37">
        <f t="shared" si="3"/>
        <v>0</v>
      </c>
      <c r="N15" s="37">
        <f t="shared" si="3"/>
        <v>0</v>
      </c>
      <c r="O15" s="38">
        <f>O14*O12</f>
        <v>0</v>
      </c>
      <c r="P15" s="39">
        <f>P14</f>
        <v>0</v>
      </c>
      <c r="Q15" s="40">
        <f>Q14</f>
        <v>0</v>
      </c>
      <c r="R15" s="40">
        <f>R14</f>
        <v>0</v>
      </c>
      <c r="S15" s="41">
        <f>S14</f>
        <v>0</v>
      </c>
      <c r="T15" s="29">
        <f>T14*T12</f>
        <v>0</v>
      </c>
      <c r="U15" s="30">
        <f>U14*$U$3</f>
        <v>0</v>
      </c>
      <c r="V15" s="28">
        <f>V14*V12</f>
        <v>0</v>
      </c>
      <c r="W15" s="34">
        <f>W14*W12</f>
        <v>0</v>
      </c>
      <c r="X15" s="31">
        <f>X14*$X$3</f>
        <v>0</v>
      </c>
      <c r="Y15" s="31">
        <f>Y14*$Y$3</f>
        <v>0</v>
      </c>
      <c r="Z15" s="32">
        <f>Z14*$Z$3</f>
        <v>0</v>
      </c>
      <c r="AA15" s="32">
        <f>AA14*$AA$3</f>
        <v>0</v>
      </c>
      <c r="AB15" s="11">
        <f>SUM(AB14:AB14)</f>
        <v>0</v>
      </c>
      <c r="AC15" s="53" t="s">
        <v>28</v>
      </c>
      <c r="AD15" s="42">
        <f>D15+AA15+U15+X15+Y15+Z15+E15</f>
        <v>0</v>
      </c>
      <c r="AE15" s="43">
        <f>F15</f>
        <v>0</v>
      </c>
      <c r="AF15" s="43">
        <f>I15+J15+K15+L15+M15+N15</f>
        <v>0</v>
      </c>
      <c r="AG15" s="44">
        <f>P15+Q15+R15+S15</f>
        <v>0</v>
      </c>
    </row>
    <row r="16" spans="1:33" s="6" customFormat="1" ht="15" customHeight="1" x14ac:dyDescent="0.25">
      <c r="A16" s="3" t="s">
        <v>29</v>
      </c>
      <c r="B16"/>
      <c r="C16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5"/>
      <c r="V16" s="5"/>
      <c r="W16" s="5"/>
      <c r="X16" s="5"/>
      <c r="Y16" s="5"/>
      <c r="Z16" s="5"/>
      <c r="AA16" s="4"/>
      <c r="AB16" s="5"/>
      <c r="AC16"/>
      <c r="AD16"/>
      <c r="AE16" s="19"/>
      <c r="AF16"/>
    </row>
    <row r="17" spans="1:37" s="64" customFormat="1" ht="21" customHeight="1" thickBot="1" x14ac:dyDescent="0.3">
      <c r="A17" s="63" t="s">
        <v>29</v>
      </c>
      <c r="D17" s="65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7"/>
      <c r="AE17" s="20"/>
    </row>
    <row r="18" spans="1:37" ht="15.75" thickBot="1" x14ac:dyDescent="0.3">
      <c r="C18" s="10" t="s">
        <v>25</v>
      </c>
      <c r="D18" s="30">
        <f>D17*$D$3</f>
        <v>0</v>
      </c>
      <c r="E18" s="31">
        <f>-E17*$E3</f>
        <v>0</v>
      </c>
      <c r="F18" s="33">
        <f>F17</f>
        <v>0</v>
      </c>
      <c r="G18" s="29">
        <f>G17*G15</f>
        <v>0</v>
      </c>
      <c r="H18" s="28">
        <f>H17*H15</f>
        <v>0</v>
      </c>
      <c r="I18" s="36">
        <f t="shared" ref="I18:N18" si="4">I17</f>
        <v>0</v>
      </c>
      <c r="J18" s="36">
        <f t="shared" si="4"/>
        <v>0</v>
      </c>
      <c r="K18" s="36">
        <f t="shared" si="4"/>
        <v>0</v>
      </c>
      <c r="L18" s="36">
        <f t="shared" si="4"/>
        <v>0</v>
      </c>
      <c r="M18" s="37">
        <f t="shared" si="4"/>
        <v>0</v>
      </c>
      <c r="N18" s="37">
        <f t="shared" si="4"/>
        <v>0</v>
      </c>
      <c r="O18" s="38">
        <f>O17*O15</f>
        <v>0</v>
      </c>
      <c r="P18" s="39">
        <f>P17</f>
        <v>0</v>
      </c>
      <c r="Q18" s="40">
        <f>Q17</f>
        <v>0</v>
      </c>
      <c r="R18" s="40">
        <f>R17</f>
        <v>0</v>
      </c>
      <c r="S18" s="41">
        <f>S17</f>
        <v>0</v>
      </c>
      <c r="T18" s="29">
        <f>T17*T15</f>
        <v>0</v>
      </c>
      <c r="U18" s="30">
        <f>U17*$U$3</f>
        <v>0</v>
      </c>
      <c r="V18" s="28">
        <f>V17*V15</f>
        <v>0</v>
      </c>
      <c r="W18" s="34">
        <f>W17*W15</f>
        <v>0</v>
      </c>
      <c r="X18" s="31">
        <f>X17*$X$3</f>
        <v>0</v>
      </c>
      <c r="Y18" s="31">
        <f>Y17*$Y$3</f>
        <v>0</v>
      </c>
      <c r="Z18" s="32">
        <f>Z17*$Z$3</f>
        <v>0</v>
      </c>
      <c r="AA18" s="32">
        <f>AA17*$AA$3</f>
        <v>0</v>
      </c>
      <c r="AB18" s="11">
        <f>SUM(AB17:AB17)</f>
        <v>0</v>
      </c>
      <c r="AC18" s="53" t="s">
        <v>29</v>
      </c>
      <c r="AD18" s="42">
        <f>D18+AA18+U18+X18+Y18+Z18+E18</f>
        <v>0</v>
      </c>
      <c r="AE18" s="43">
        <f>F18</f>
        <v>0</v>
      </c>
      <c r="AF18" s="43">
        <f>I18+J18+K18+L18+M18+N18</f>
        <v>0</v>
      </c>
      <c r="AG18" s="44">
        <f>P18+Q18+R18+S18</f>
        <v>0</v>
      </c>
    </row>
    <row r="19" spans="1:37" s="6" customFormat="1" ht="15" customHeight="1" x14ac:dyDescent="0.25">
      <c r="A19" s="3" t="s">
        <v>30</v>
      </c>
      <c r="B19"/>
      <c r="C19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5"/>
      <c r="V19" s="5"/>
      <c r="W19" s="5"/>
      <c r="X19" s="5"/>
      <c r="Y19" s="5"/>
      <c r="Z19" s="5"/>
      <c r="AA19" s="4"/>
      <c r="AB19" s="5"/>
      <c r="AC19"/>
      <c r="AD19"/>
      <c r="AE19" s="19"/>
      <c r="AF19"/>
    </row>
    <row r="20" spans="1:37" s="64" customFormat="1" ht="21" customHeight="1" thickBot="1" x14ac:dyDescent="0.3">
      <c r="A20" s="63" t="s">
        <v>66</v>
      </c>
      <c r="D20" s="65">
        <v>0</v>
      </c>
      <c r="E20" s="66">
        <v>0</v>
      </c>
      <c r="F20" s="66">
        <v>132</v>
      </c>
      <c r="G20" s="66">
        <v>99.63000000000001</v>
      </c>
      <c r="H20" s="66">
        <v>41</v>
      </c>
      <c r="I20" s="66">
        <v>0</v>
      </c>
      <c r="J20" s="66">
        <v>10</v>
      </c>
      <c r="K20" s="66">
        <v>0</v>
      </c>
      <c r="L20" s="66">
        <v>0</v>
      </c>
      <c r="M20" s="66">
        <v>146</v>
      </c>
      <c r="N20" s="66">
        <v>0</v>
      </c>
      <c r="O20" s="66">
        <v>0</v>
      </c>
      <c r="P20" s="66">
        <v>136</v>
      </c>
      <c r="Q20" s="66">
        <v>0</v>
      </c>
      <c r="R20" s="66">
        <v>0</v>
      </c>
      <c r="S20" s="66">
        <v>0</v>
      </c>
      <c r="T20" s="66">
        <v>0</v>
      </c>
      <c r="U20" s="66">
        <v>0</v>
      </c>
      <c r="V20" s="66">
        <v>0</v>
      </c>
      <c r="W20" s="66">
        <v>0</v>
      </c>
      <c r="X20" s="66">
        <v>0</v>
      </c>
      <c r="Y20" s="66">
        <v>0</v>
      </c>
      <c r="Z20" s="66">
        <v>0</v>
      </c>
      <c r="AA20" s="66">
        <v>313</v>
      </c>
      <c r="AB20" s="67">
        <v>4</v>
      </c>
      <c r="AE20" s="20"/>
    </row>
    <row r="21" spans="1:37" ht="15.75" thickBot="1" x14ac:dyDescent="0.3">
      <c r="C21" s="10" t="s">
        <v>25</v>
      </c>
      <c r="D21" s="30">
        <f>D20*$D$3</f>
        <v>0</v>
      </c>
      <c r="E21" s="31">
        <f>E20*E3</f>
        <v>0</v>
      </c>
      <c r="F21" s="33">
        <f>F20</f>
        <v>132</v>
      </c>
      <c r="G21" s="29">
        <f>G20*G18</f>
        <v>0</v>
      </c>
      <c r="H21" s="28">
        <f>H20*H18</f>
        <v>0</v>
      </c>
      <c r="I21" s="36">
        <f t="shared" ref="I21:N21" si="5">I20</f>
        <v>0</v>
      </c>
      <c r="J21" s="36">
        <f t="shared" si="5"/>
        <v>10</v>
      </c>
      <c r="K21" s="36">
        <f t="shared" si="5"/>
        <v>0</v>
      </c>
      <c r="L21" s="36">
        <f t="shared" si="5"/>
        <v>0</v>
      </c>
      <c r="M21" s="37">
        <f t="shared" si="5"/>
        <v>146</v>
      </c>
      <c r="N21" s="37">
        <f t="shared" si="5"/>
        <v>0</v>
      </c>
      <c r="O21" s="38">
        <f>O20*O18</f>
        <v>0</v>
      </c>
      <c r="P21" s="39">
        <f>P20</f>
        <v>136</v>
      </c>
      <c r="Q21" s="40">
        <f>Q20</f>
        <v>0</v>
      </c>
      <c r="R21" s="40">
        <f>R20</f>
        <v>0</v>
      </c>
      <c r="S21" s="41">
        <f>S20</f>
        <v>0</v>
      </c>
      <c r="T21" s="29">
        <f>T20*T18</f>
        <v>0</v>
      </c>
      <c r="U21" s="30">
        <f>U20*$U$3</f>
        <v>0</v>
      </c>
      <c r="V21" s="28">
        <f>V20*V18</f>
        <v>0</v>
      </c>
      <c r="W21" s="34">
        <f>W20*W18</f>
        <v>0</v>
      </c>
      <c r="X21" s="31">
        <f>X20*$X$3</f>
        <v>0</v>
      </c>
      <c r="Y21" s="31">
        <f>Y20*$Y$3</f>
        <v>0</v>
      </c>
      <c r="Z21" s="32">
        <f>Z20*$Z$3</f>
        <v>0</v>
      </c>
      <c r="AA21" s="32">
        <f>AA20*$AA$3</f>
        <v>36.395348837209305</v>
      </c>
      <c r="AB21" s="11">
        <f>SUM(AB20:AB20)</f>
        <v>4</v>
      </c>
      <c r="AC21" s="53" t="s">
        <v>30</v>
      </c>
      <c r="AD21" s="42">
        <f>D21+AA21+U21+X21+Y21+Z21+E21</f>
        <v>36.395348837209305</v>
      </c>
      <c r="AE21" s="43">
        <f>F21</f>
        <v>132</v>
      </c>
      <c r="AF21" s="43">
        <f>I21+J21+K21+L21+M21+N21</f>
        <v>156</v>
      </c>
      <c r="AG21" s="44">
        <f>P21+Q21+R21+S21</f>
        <v>136</v>
      </c>
    </row>
    <row r="22" spans="1:37" s="6" customFormat="1" ht="15.75" customHeight="1" x14ac:dyDescent="0.25">
      <c r="A22" s="3" t="s">
        <v>31</v>
      </c>
      <c r="B22"/>
      <c r="C22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5"/>
      <c r="V22" s="5"/>
      <c r="W22" s="5"/>
      <c r="X22" s="5"/>
      <c r="Y22" s="5"/>
      <c r="Z22" s="5"/>
      <c r="AA22" s="4"/>
      <c r="AB22" s="5"/>
      <c r="AC22"/>
      <c r="AD22"/>
      <c r="AE22" s="19"/>
      <c r="AF22"/>
    </row>
    <row r="23" spans="1:37" s="64" customFormat="1" ht="20.25" customHeight="1" thickBot="1" x14ac:dyDescent="0.25">
      <c r="A23" s="63" t="s">
        <v>67</v>
      </c>
      <c r="D23" s="98">
        <v>0</v>
      </c>
      <c r="E23" s="98">
        <v>0</v>
      </c>
      <c r="F23" s="98">
        <v>154.40000000000003</v>
      </c>
      <c r="G23" s="98">
        <v>82.62</v>
      </c>
      <c r="H23" s="98">
        <v>34</v>
      </c>
      <c r="I23" s="98">
        <v>0</v>
      </c>
      <c r="J23" s="98">
        <v>0</v>
      </c>
      <c r="K23" s="98">
        <v>0</v>
      </c>
      <c r="L23" s="98">
        <v>0</v>
      </c>
      <c r="M23" s="98">
        <v>129</v>
      </c>
      <c r="N23" s="98">
        <v>0</v>
      </c>
      <c r="O23" s="98">
        <v>0</v>
      </c>
      <c r="P23" s="98">
        <v>167</v>
      </c>
      <c r="Q23" s="98">
        <v>0</v>
      </c>
      <c r="R23" s="98">
        <v>0</v>
      </c>
      <c r="S23" s="98">
        <v>0</v>
      </c>
      <c r="T23" s="98">
        <v>0</v>
      </c>
      <c r="U23" s="98">
        <v>0</v>
      </c>
      <c r="V23" s="98">
        <v>0</v>
      </c>
      <c r="W23" s="98">
        <v>0</v>
      </c>
      <c r="X23" s="98">
        <v>0</v>
      </c>
      <c r="Y23" s="98">
        <v>0</v>
      </c>
      <c r="Z23" s="98">
        <v>0</v>
      </c>
      <c r="AA23" s="98">
        <v>336</v>
      </c>
      <c r="AB23" s="98">
        <v>2</v>
      </c>
      <c r="AE23" s="20"/>
    </row>
    <row r="24" spans="1:37" ht="15.75" thickBot="1" x14ac:dyDescent="0.3">
      <c r="C24" s="10" t="s">
        <v>25</v>
      </c>
      <c r="D24" s="30">
        <f>D23*$D$3</f>
        <v>0</v>
      </c>
      <c r="E24" s="96">
        <f>E23*$E3</f>
        <v>0</v>
      </c>
      <c r="F24" s="33">
        <f>F23</f>
        <v>154.40000000000003</v>
      </c>
      <c r="G24" s="29">
        <f>G23*G21</f>
        <v>0</v>
      </c>
      <c r="H24" s="28">
        <f>H23*H21</f>
        <v>0</v>
      </c>
      <c r="I24" s="36">
        <f t="shared" ref="I24:N24" si="6">I23</f>
        <v>0</v>
      </c>
      <c r="J24" s="36">
        <f t="shared" si="6"/>
        <v>0</v>
      </c>
      <c r="K24" s="36">
        <f t="shared" si="6"/>
        <v>0</v>
      </c>
      <c r="L24" s="36">
        <f t="shared" si="6"/>
        <v>0</v>
      </c>
      <c r="M24" s="37">
        <f t="shared" si="6"/>
        <v>129</v>
      </c>
      <c r="N24" s="37">
        <f t="shared" si="6"/>
        <v>0</v>
      </c>
      <c r="O24" s="38">
        <f>O23*O21</f>
        <v>0</v>
      </c>
      <c r="P24" s="39">
        <f>P23</f>
        <v>167</v>
      </c>
      <c r="Q24" s="40">
        <f>Q23</f>
        <v>0</v>
      </c>
      <c r="R24" s="40">
        <f>R23</f>
        <v>0</v>
      </c>
      <c r="S24" s="41">
        <f>S23</f>
        <v>0</v>
      </c>
      <c r="T24" s="29">
        <f>T23*T21</f>
        <v>0</v>
      </c>
      <c r="U24" s="30">
        <f>U23*$U$3</f>
        <v>0</v>
      </c>
      <c r="V24" s="28">
        <f>V23*V21</f>
        <v>0</v>
      </c>
      <c r="W24" s="34">
        <f>W23*W21</f>
        <v>0</v>
      </c>
      <c r="X24" s="31">
        <f>X23*$X$3</f>
        <v>0</v>
      </c>
      <c r="Y24" s="31">
        <f>Y23*$Y$3</f>
        <v>0</v>
      </c>
      <c r="Z24" s="32">
        <f>Z23*$Z$3</f>
        <v>0</v>
      </c>
      <c r="AA24" s="32">
        <f>AA23*$AA$3</f>
        <v>39.069767441860463</v>
      </c>
      <c r="AB24" s="11">
        <f>SUM(AB23:AB23)</f>
        <v>2</v>
      </c>
      <c r="AC24" s="53" t="s">
        <v>31</v>
      </c>
      <c r="AD24" s="42">
        <f>D24+AA24+U24+X24+Y24+Z24+E24</f>
        <v>39.069767441860463</v>
      </c>
      <c r="AE24" s="43">
        <f>F24</f>
        <v>154.40000000000003</v>
      </c>
      <c r="AF24" s="43">
        <f>I24+J24+K24+L24+M24+N24</f>
        <v>129</v>
      </c>
      <c r="AG24" s="44">
        <f>P24+Q24+R24+S24</f>
        <v>167</v>
      </c>
    </row>
    <row r="25" spans="1:37" s="6" customFormat="1" ht="15.75" customHeight="1" x14ac:dyDescent="0.25">
      <c r="A25" s="3" t="s">
        <v>32</v>
      </c>
      <c r="B25"/>
      <c r="C2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5"/>
      <c r="V25" s="5"/>
      <c r="W25" s="5"/>
      <c r="X25" s="5"/>
      <c r="Y25" s="5"/>
      <c r="Z25" s="5"/>
      <c r="AA25" s="4"/>
      <c r="AB25" s="5"/>
      <c r="AC25"/>
      <c r="AD25"/>
      <c r="AE25" s="19"/>
      <c r="AF25"/>
    </row>
    <row r="26" spans="1:37" s="64" customFormat="1" ht="21" customHeight="1" thickBot="1" x14ac:dyDescent="0.25">
      <c r="A26" s="63" t="s">
        <v>32</v>
      </c>
      <c r="D26" s="98">
        <v>0</v>
      </c>
      <c r="E26" s="98">
        <v>0</v>
      </c>
      <c r="F26" s="98">
        <v>98</v>
      </c>
      <c r="G26" s="98">
        <v>55.89</v>
      </c>
      <c r="H26" s="98">
        <v>23</v>
      </c>
      <c r="I26" s="98">
        <v>0</v>
      </c>
      <c r="J26" s="98">
        <v>43</v>
      </c>
      <c r="K26" s="98">
        <v>0</v>
      </c>
      <c r="L26" s="98">
        <v>0</v>
      </c>
      <c r="M26" s="98">
        <v>82</v>
      </c>
      <c r="N26" s="98">
        <v>0</v>
      </c>
      <c r="O26" s="98">
        <v>0</v>
      </c>
      <c r="P26" s="98">
        <v>72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0</v>
      </c>
      <c r="Y26" s="98">
        <v>0</v>
      </c>
      <c r="Z26" s="98">
        <v>0</v>
      </c>
      <c r="AA26" s="98">
        <v>240</v>
      </c>
      <c r="AB26" s="98">
        <v>0</v>
      </c>
      <c r="AE26" s="20"/>
    </row>
    <row r="27" spans="1:37" ht="15.75" thickBot="1" x14ac:dyDescent="0.3">
      <c r="C27" s="10" t="s">
        <v>25</v>
      </c>
      <c r="D27" s="30">
        <f>D26*$D$3</f>
        <v>0</v>
      </c>
      <c r="E27" s="31">
        <f>E26*E3</f>
        <v>0</v>
      </c>
      <c r="F27" s="33">
        <f>F26</f>
        <v>98</v>
      </c>
      <c r="G27" s="29">
        <f>G26*G24</f>
        <v>0</v>
      </c>
      <c r="H27" s="28">
        <f>H26*H24</f>
        <v>0</v>
      </c>
      <c r="I27" s="36">
        <f t="shared" ref="I27:N27" si="7">I26</f>
        <v>0</v>
      </c>
      <c r="J27" s="36">
        <f t="shared" si="7"/>
        <v>43</v>
      </c>
      <c r="K27" s="36">
        <f t="shared" si="7"/>
        <v>0</v>
      </c>
      <c r="L27" s="36">
        <f t="shared" si="7"/>
        <v>0</v>
      </c>
      <c r="M27" s="37">
        <f t="shared" si="7"/>
        <v>82</v>
      </c>
      <c r="N27" s="37">
        <f t="shared" si="7"/>
        <v>0</v>
      </c>
      <c r="O27" s="38">
        <f>O26*O24</f>
        <v>0</v>
      </c>
      <c r="P27" s="39">
        <f>P26</f>
        <v>72</v>
      </c>
      <c r="Q27" s="40">
        <f>Q26</f>
        <v>0</v>
      </c>
      <c r="R27" s="40">
        <f>R26</f>
        <v>0</v>
      </c>
      <c r="S27" s="41">
        <f>S26</f>
        <v>0</v>
      </c>
      <c r="T27" s="29">
        <f>T26*T24</f>
        <v>0</v>
      </c>
      <c r="U27" s="30">
        <f>U26*$U$3</f>
        <v>0</v>
      </c>
      <c r="V27" s="28">
        <f>V26*V24</f>
        <v>0</v>
      </c>
      <c r="W27" s="34">
        <f>W26*W24</f>
        <v>0</v>
      </c>
      <c r="X27" s="31">
        <f>X26*$X$3</f>
        <v>0</v>
      </c>
      <c r="Y27" s="31">
        <f>Y26*$Y$3</f>
        <v>0</v>
      </c>
      <c r="Z27" s="32">
        <f>Z26*$Z$3</f>
        <v>0</v>
      </c>
      <c r="AA27" s="32">
        <f>AA26*$AA$3</f>
        <v>27.906976744186046</v>
      </c>
      <c r="AB27" s="11">
        <f>SUM(AB26:AB26)</f>
        <v>0</v>
      </c>
      <c r="AC27" s="53" t="s">
        <v>32</v>
      </c>
      <c r="AD27" s="42">
        <f>D27+AA27+U27+X27+Y27+Z27+E27</f>
        <v>27.906976744186046</v>
      </c>
      <c r="AE27" s="43">
        <f>F27</f>
        <v>98</v>
      </c>
      <c r="AF27" s="43">
        <f>I27+J27+K27+L27+M27+N27</f>
        <v>125</v>
      </c>
      <c r="AG27" s="44">
        <f>P27+Q27+R27+S27</f>
        <v>72</v>
      </c>
      <c r="AI27" s="77" cm="1">
        <f t="array" ref="AI27">SUM(F26:Z26+F29:Z29+F41:Z41)</f>
        <v>875.01</v>
      </c>
      <c r="AK27" s="64"/>
    </row>
    <row r="28" spans="1:37" s="6" customFormat="1" ht="15.75" customHeight="1" x14ac:dyDescent="0.25">
      <c r="A28" s="3" t="s">
        <v>33</v>
      </c>
      <c r="B28"/>
      <c r="C2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5"/>
      <c r="V28" s="5"/>
      <c r="W28" s="5"/>
      <c r="X28" s="5"/>
      <c r="Y28" s="5"/>
      <c r="Z28" s="5"/>
      <c r="AA28" s="4"/>
      <c r="AB28" s="5"/>
      <c r="AC28"/>
      <c r="AD28"/>
      <c r="AE28" s="19"/>
      <c r="AF28"/>
      <c r="AK28" s="64"/>
    </row>
    <row r="29" spans="1:37" s="64" customFormat="1" ht="21" customHeight="1" thickBot="1" x14ac:dyDescent="0.25">
      <c r="A29" s="63" t="s">
        <v>33</v>
      </c>
      <c r="D29" s="98">
        <v>0</v>
      </c>
      <c r="E29" s="98">
        <v>0</v>
      </c>
      <c r="F29" s="98">
        <v>120.79999999999998</v>
      </c>
      <c r="G29" s="98">
        <v>58.32</v>
      </c>
      <c r="H29" s="98">
        <v>24</v>
      </c>
      <c r="I29" s="98">
        <v>0</v>
      </c>
      <c r="J29" s="98">
        <v>82</v>
      </c>
      <c r="K29" s="98">
        <v>0</v>
      </c>
      <c r="L29" s="98">
        <v>0</v>
      </c>
      <c r="M29" s="98">
        <v>136</v>
      </c>
      <c r="N29" s="98">
        <v>0</v>
      </c>
      <c r="O29" s="98">
        <v>0</v>
      </c>
      <c r="P29" s="98">
        <v>80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Z29" s="98">
        <v>0</v>
      </c>
      <c r="AA29" s="98">
        <v>518</v>
      </c>
      <c r="AB29" s="98">
        <v>0</v>
      </c>
      <c r="AE29" s="20"/>
    </row>
    <row r="30" spans="1:37" ht="15.75" thickBot="1" x14ac:dyDescent="0.3">
      <c r="C30" s="10" t="s">
        <v>25</v>
      </c>
      <c r="D30" s="30">
        <f>D29*$D$3</f>
        <v>0</v>
      </c>
      <c r="E30" s="31">
        <f>E29*$E3</f>
        <v>0</v>
      </c>
      <c r="F30" s="33">
        <f>F29</f>
        <v>120.79999999999998</v>
      </c>
      <c r="G30" s="29">
        <f>G29*G27</f>
        <v>0</v>
      </c>
      <c r="H30" s="28">
        <f>H29*H27</f>
        <v>0</v>
      </c>
      <c r="I30" s="36">
        <f t="shared" ref="I30:N30" si="8">I29</f>
        <v>0</v>
      </c>
      <c r="J30" s="36">
        <f t="shared" si="8"/>
        <v>82</v>
      </c>
      <c r="K30" s="36">
        <f t="shared" si="8"/>
        <v>0</v>
      </c>
      <c r="L30" s="36">
        <f t="shared" si="8"/>
        <v>0</v>
      </c>
      <c r="M30" s="37">
        <f t="shared" si="8"/>
        <v>136</v>
      </c>
      <c r="N30" s="37">
        <f t="shared" si="8"/>
        <v>0</v>
      </c>
      <c r="O30" s="38">
        <f>O29*O27</f>
        <v>0</v>
      </c>
      <c r="P30" s="39">
        <f>P29</f>
        <v>80</v>
      </c>
      <c r="Q30" s="40">
        <f>Q29</f>
        <v>0</v>
      </c>
      <c r="R30" s="40">
        <f>R29</f>
        <v>0</v>
      </c>
      <c r="S30" s="41">
        <f>S29</f>
        <v>0</v>
      </c>
      <c r="T30" s="29">
        <f>T29*T27</f>
        <v>0</v>
      </c>
      <c r="U30" s="30">
        <f>U29*$U$3</f>
        <v>0</v>
      </c>
      <c r="V30" s="28">
        <f>V29*V27</f>
        <v>0</v>
      </c>
      <c r="W30" s="34">
        <f>W29*W27</f>
        <v>0</v>
      </c>
      <c r="X30" s="31">
        <f>X29*$X$3</f>
        <v>0</v>
      </c>
      <c r="Y30" s="31">
        <f>Y29*$Y$3</f>
        <v>0</v>
      </c>
      <c r="Z30" s="32">
        <f>Z29*$Z$3</f>
        <v>0</v>
      </c>
      <c r="AA30" s="32">
        <f>AA29*$AA$3</f>
        <v>60.232558139534881</v>
      </c>
      <c r="AB30" s="11">
        <f>SUM(AB29:AB29)</f>
        <v>0</v>
      </c>
      <c r="AC30" s="53" t="s">
        <v>33</v>
      </c>
      <c r="AD30" s="42">
        <f>D30+AA30+U30+X30+Y30+Z30+E30</f>
        <v>60.232558139534881</v>
      </c>
      <c r="AE30" s="43">
        <f>F30</f>
        <v>120.79999999999998</v>
      </c>
      <c r="AF30" s="43">
        <f>I30+J30+K30+L30+M30+N30</f>
        <v>218</v>
      </c>
      <c r="AG30" s="44">
        <f>P30+Q30+R30+S30</f>
        <v>80</v>
      </c>
      <c r="AK30" s="64"/>
    </row>
    <row r="31" spans="1:37" s="6" customFormat="1" ht="15" customHeight="1" x14ac:dyDescent="0.25">
      <c r="A31" s="3" t="s">
        <v>34</v>
      </c>
      <c r="B31"/>
      <c r="C3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5"/>
      <c r="V31" s="5"/>
      <c r="W31" s="5"/>
      <c r="X31" s="5"/>
      <c r="Y31" s="5"/>
      <c r="Z31" s="5"/>
      <c r="AA31" s="4"/>
      <c r="AB31" s="5"/>
      <c r="AC31"/>
      <c r="AD31"/>
      <c r="AE31" s="19"/>
      <c r="AF31"/>
      <c r="AK31" s="64"/>
    </row>
    <row r="32" spans="1:37" s="64" customFormat="1" ht="21" customHeight="1" thickBot="1" x14ac:dyDescent="0.3">
      <c r="A32" s="63" t="s">
        <v>34</v>
      </c>
      <c r="D32" s="65">
        <v>493</v>
      </c>
      <c r="E32" s="66">
        <v>0</v>
      </c>
      <c r="F32" s="66">
        <v>182.39999999999998</v>
      </c>
      <c r="G32" s="66">
        <v>60.75</v>
      </c>
      <c r="H32" s="66">
        <v>25</v>
      </c>
      <c r="I32" s="66">
        <v>0</v>
      </c>
      <c r="J32" s="66">
        <v>0</v>
      </c>
      <c r="K32" s="66">
        <v>0</v>
      </c>
      <c r="L32" s="66">
        <v>0</v>
      </c>
      <c r="M32" s="66">
        <v>286</v>
      </c>
      <c r="N32" s="66">
        <v>0</v>
      </c>
      <c r="O32" s="66">
        <v>0</v>
      </c>
      <c r="P32" s="66">
        <v>0</v>
      </c>
      <c r="Q32" s="66">
        <v>103</v>
      </c>
      <c r="R32" s="66">
        <v>0</v>
      </c>
      <c r="S32" s="66">
        <v>0</v>
      </c>
      <c r="T32" s="66">
        <v>0</v>
      </c>
      <c r="U32" s="66">
        <v>0</v>
      </c>
      <c r="V32" s="66">
        <v>0</v>
      </c>
      <c r="W32" s="66">
        <v>0</v>
      </c>
      <c r="X32" s="66">
        <v>0</v>
      </c>
      <c r="Y32" s="66">
        <v>0</v>
      </c>
      <c r="Z32" s="66">
        <v>0</v>
      </c>
      <c r="AA32" s="66">
        <v>0</v>
      </c>
      <c r="AB32" s="67">
        <v>0</v>
      </c>
      <c r="AE32" s="20"/>
    </row>
    <row r="33" spans="1:37" ht="15.75" thickBot="1" x14ac:dyDescent="0.3">
      <c r="C33" s="10" t="s">
        <v>25</v>
      </c>
      <c r="D33" s="30">
        <f>D32*$D$3</f>
        <v>61.625</v>
      </c>
      <c r="E33" s="31">
        <f>E32*$E3</f>
        <v>0</v>
      </c>
      <c r="F33" s="33">
        <f>F32</f>
        <v>182.39999999999998</v>
      </c>
      <c r="G33" s="29">
        <f>G32*G27</f>
        <v>0</v>
      </c>
      <c r="H33" s="28">
        <f>H32*H27</f>
        <v>0</v>
      </c>
      <c r="I33" s="36">
        <f t="shared" ref="I33:N33" si="9">I32</f>
        <v>0</v>
      </c>
      <c r="J33" s="36">
        <f t="shared" si="9"/>
        <v>0</v>
      </c>
      <c r="K33" s="36">
        <f t="shared" si="9"/>
        <v>0</v>
      </c>
      <c r="L33" s="36">
        <f t="shared" si="9"/>
        <v>0</v>
      </c>
      <c r="M33" s="37">
        <f t="shared" si="9"/>
        <v>286</v>
      </c>
      <c r="N33" s="37">
        <f t="shared" si="9"/>
        <v>0</v>
      </c>
      <c r="O33" s="38">
        <f>O32*O30</f>
        <v>0</v>
      </c>
      <c r="P33" s="39">
        <f>P32</f>
        <v>0</v>
      </c>
      <c r="Q33" s="40">
        <f>Q32</f>
        <v>103</v>
      </c>
      <c r="R33" s="40">
        <f>R32</f>
        <v>0</v>
      </c>
      <c r="S33" s="41">
        <f>S32</f>
        <v>0</v>
      </c>
      <c r="T33" s="29">
        <f>T32*T30</f>
        <v>0</v>
      </c>
      <c r="U33" s="30">
        <f>U32*$U$3</f>
        <v>0</v>
      </c>
      <c r="V33" s="28">
        <f>V32*V27</f>
        <v>0</v>
      </c>
      <c r="W33" s="34">
        <f>W32*W27</f>
        <v>0</v>
      </c>
      <c r="X33" s="31">
        <f>X32*$X$3</f>
        <v>0</v>
      </c>
      <c r="Y33" s="31">
        <f>Y32*$Y$3</f>
        <v>0</v>
      </c>
      <c r="Z33" s="32">
        <f>Z32*$Z$3</f>
        <v>0</v>
      </c>
      <c r="AA33" s="32">
        <f>AA32*$AA$3</f>
        <v>0</v>
      </c>
      <c r="AB33" s="11">
        <f>SUM(AB32:AB32)</f>
        <v>0</v>
      </c>
      <c r="AC33" s="53" t="s">
        <v>34</v>
      </c>
      <c r="AD33" s="42">
        <f>D33+AA33+U33+X33+Y33+Z33+E33</f>
        <v>61.625</v>
      </c>
      <c r="AE33" s="43">
        <f>F33</f>
        <v>182.39999999999998</v>
      </c>
      <c r="AF33" s="43">
        <f>I33+J33+K33+L33+M33+N33</f>
        <v>286</v>
      </c>
      <c r="AG33" s="44">
        <f>P33+Q33+R33+S33</f>
        <v>103</v>
      </c>
      <c r="AK33" s="64"/>
    </row>
    <row r="34" spans="1:37" s="6" customFormat="1" ht="15" customHeight="1" x14ac:dyDescent="0.25">
      <c r="A34" s="99" t="s">
        <v>64</v>
      </c>
      <c r="B34"/>
      <c r="C3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5"/>
      <c r="V34" s="5"/>
      <c r="W34" s="5"/>
      <c r="X34" s="5"/>
      <c r="Y34" s="5"/>
      <c r="Z34" s="5"/>
      <c r="AA34" s="4"/>
      <c r="AB34" s="5"/>
      <c r="AC34"/>
      <c r="AD34"/>
      <c r="AE34" s="19"/>
      <c r="AF34"/>
      <c r="AK34" s="64"/>
    </row>
    <row r="35" spans="1:37" s="64" customFormat="1" ht="21" customHeight="1" thickBot="1" x14ac:dyDescent="0.3">
      <c r="A35" s="63" t="s">
        <v>64</v>
      </c>
      <c r="D35" s="65">
        <v>475</v>
      </c>
      <c r="E35" s="66">
        <v>0</v>
      </c>
      <c r="F35" s="66">
        <v>325.60000000000002</v>
      </c>
      <c r="G35" s="66">
        <v>111.78</v>
      </c>
      <c r="H35" s="66">
        <v>46</v>
      </c>
      <c r="I35" s="66">
        <v>0</v>
      </c>
      <c r="J35" s="66">
        <v>8</v>
      </c>
      <c r="K35" s="66">
        <v>0</v>
      </c>
      <c r="L35" s="66">
        <v>0</v>
      </c>
      <c r="M35" s="66">
        <v>478</v>
      </c>
      <c r="N35" s="66">
        <v>0</v>
      </c>
      <c r="O35" s="66">
        <v>0</v>
      </c>
      <c r="P35" s="66">
        <v>80</v>
      </c>
      <c r="Q35" s="66">
        <v>108</v>
      </c>
      <c r="R35" s="66">
        <v>0</v>
      </c>
      <c r="S35" s="66">
        <v>0</v>
      </c>
      <c r="T35" s="66">
        <v>0</v>
      </c>
      <c r="U35" s="66">
        <v>0</v>
      </c>
      <c r="V35" s="66">
        <v>0</v>
      </c>
      <c r="W35" s="66">
        <v>0</v>
      </c>
      <c r="X35" s="66">
        <v>0</v>
      </c>
      <c r="Y35" s="66">
        <v>0</v>
      </c>
      <c r="Z35" s="66">
        <v>0</v>
      </c>
      <c r="AA35" s="66">
        <v>367</v>
      </c>
      <c r="AB35" s="67">
        <v>0</v>
      </c>
      <c r="AE35" s="20"/>
    </row>
    <row r="36" spans="1:37" ht="15.75" thickBot="1" x14ac:dyDescent="0.3">
      <c r="C36" s="10" t="s">
        <v>25</v>
      </c>
      <c r="D36" s="30">
        <f>D35*$D$3</f>
        <v>59.375</v>
      </c>
      <c r="E36" s="31">
        <f>E35*$E6</f>
        <v>0</v>
      </c>
      <c r="F36" s="33">
        <f>F35</f>
        <v>325.60000000000002</v>
      </c>
      <c r="G36" s="29">
        <f>G35*G27</f>
        <v>0</v>
      </c>
      <c r="H36" s="28">
        <f>H35*H27</f>
        <v>0</v>
      </c>
      <c r="I36" s="36">
        <f t="shared" ref="I36:N36" si="10">I35</f>
        <v>0</v>
      </c>
      <c r="J36" s="36">
        <f t="shared" si="10"/>
        <v>8</v>
      </c>
      <c r="K36" s="36">
        <f t="shared" si="10"/>
        <v>0</v>
      </c>
      <c r="L36" s="36">
        <f t="shared" si="10"/>
        <v>0</v>
      </c>
      <c r="M36" s="37">
        <f t="shared" si="10"/>
        <v>478</v>
      </c>
      <c r="N36" s="37">
        <f t="shared" si="10"/>
        <v>0</v>
      </c>
      <c r="O36" s="38">
        <f>O35*O33</f>
        <v>0</v>
      </c>
      <c r="P36" s="39">
        <f>P35</f>
        <v>80</v>
      </c>
      <c r="Q36" s="40">
        <f>Q35</f>
        <v>108</v>
      </c>
      <c r="R36" s="40">
        <f>R35</f>
        <v>0</v>
      </c>
      <c r="S36" s="41">
        <f>S35</f>
        <v>0</v>
      </c>
      <c r="T36" s="29">
        <f>T35*T27</f>
        <v>0</v>
      </c>
      <c r="U36" s="30">
        <f>U35*$U$3</f>
        <v>0</v>
      </c>
      <c r="V36" s="28">
        <f>V35*V27</f>
        <v>0</v>
      </c>
      <c r="W36" s="34">
        <f>W35*W27</f>
        <v>0</v>
      </c>
      <c r="X36" s="31">
        <f>X35*$X$3</f>
        <v>0</v>
      </c>
      <c r="Y36" s="31">
        <f>Y35*$Y$3</f>
        <v>0</v>
      </c>
      <c r="Z36" s="32">
        <f>Z35*$Z$3</f>
        <v>0</v>
      </c>
      <c r="AA36" s="32">
        <f>AA35*$AA$3</f>
        <v>42.674418604651159</v>
      </c>
      <c r="AB36" s="11">
        <f>SUM(AB35:AB35)</f>
        <v>0</v>
      </c>
      <c r="AC36" s="53" t="s">
        <v>64</v>
      </c>
      <c r="AD36" s="42">
        <f>D36+AA36+U36+X36+Y36+Z36+E36</f>
        <v>102.04941860465115</v>
      </c>
      <c r="AE36" s="43">
        <f>F36</f>
        <v>325.60000000000002</v>
      </c>
      <c r="AF36" s="43">
        <f>I36+J36+K36+L36+M36+N36</f>
        <v>486</v>
      </c>
      <c r="AG36" s="44">
        <f>P36+Q36+R36+S36</f>
        <v>188</v>
      </c>
      <c r="AK36" s="64"/>
    </row>
    <row r="37" spans="1:37" s="6" customFormat="1" ht="15" customHeight="1" x14ac:dyDescent="0.25">
      <c r="A37" s="99" t="s">
        <v>68</v>
      </c>
      <c r="B37"/>
      <c r="C37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5"/>
      <c r="V37" s="5"/>
      <c r="W37" s="5"/>
      <c r="X37" s="5"/>
      <c r="Y37" s="5"/>
      <c r="Z37" s="5"/>
      <c r="AA37" s="4"/>
      <c r="AB37" s="5"/>
      <c r="AC37"/>
      <c r="AD37"/>
      <c r="AE37" s="19"/>
      <c r="AF37"/>
      <c r="AK37" s="64"/>
    </row>
    <row r="38" spans="1:37" s="64" customFormat="1" ht="21" customHeight="1" thickBot="1" x14ac:dyDescent="0.3">
      <c r="A38" s="63" t="s">
        <v>68</v>
      </c>
      <c r="D38" s="65">
        <v>0</v>
      </c>
      <c r="E38" s="66">
        <v>0</v>
      </c>
      <c r="F38" s="66">
        <v>106.20000000000002</v>
      </c>
      <c r="G38" s="66">
        <v>46.17</v>
      </c>
      <c r="H38" s="66">
        <v>19</v>
      </c>
      <c r="I38" s="66">
        <v>0</v>
      </c>
      <c r="J38" s="66">
        <v>2</v>
      </c>
      <c r="K38" s="66">
        <v>0</v>
      </c>
      <c r="L38" s="66">
        <v>0</v>
      </c>
      <c r="M38" s="66">
        <v>207</v>
      </c>
      <c r="N38" s="66">
        <v>0</v>
      </c>
      <c r="O38" s="66">
        <v>0</v>
      </c>
      <c r="P38" s="66">
        <v>65</v>
      </c>
      <c r="Q38" s="66">
        <v>0</v>
      </c>
      <c r="R38" s="66">
        <v>0</v>
      </c>
      <c r="S38" s="66">
        <v>0</v>
      </c>
      <c r="T38" s="66">
        <v>0</v>
      </c>
      <c r="U38" s="66">
        <v>0</v>
      </c>
      <c r="V38" s="66">
        <v>0</v>
      </c>
      <c r="W38" s="66">
        <v>0</v>
      </c>
      <c r="X38" s="66">
        <v>0</v>
      </c>
      <c r="Y38" s="66">
        <v>0</v>
      </c>
      <c r="Z38" s="66">
        <v>0</v>
      </c>
      <c r="AA38" s="66">
        <v>527</v>
      </c>
      <c r="AB38" s="67">
        <v>0</v>
      </c>
      <c r="AE38" s="20"/>
    </row>
    <row r="39" spans="1:37" ht="15.75" thickBot="1" x14ac:dyDescent="0.3">
      <c r="C39" s="10" t="s">
        <v>25</v>
      </c>
      <c r="D39" s="30">
        <f>D38*$D$3</f>
        <v>0</v>
      </c>
      <c r="E39" s="31">
        <f>E38*$E9</f>
        <v>0</v>
      </c>
      <c r="F39" s="33">
        <f>F38</f>
        <v>106.20000000000002</v>
      </c>
      <c r="G39" s="29">
        <f>G38*G30</f>
        <v>0</v>
      </c>
      <c r="H39" s="28">
        <f>H38*H30</f>
        <v>0</v>
      </c>
      <c r="I39" s="36">
        <f t="shared" ref="I39:N39" si="11">I38</f>
        <v>0</v>
      </c>
      <c r="J39" s="36">
        <f t="shared" si="11"/>
        <v>2</v>
      </c>
      <c r="K39" s="36">
        <f t="shared" si="11"/>
        <v>0</v>
      </c>
      <c r="L39" s="36">
        <f t="shared" si="11"/>
        <v>0</v>
      </c>
      <c r="M39" s="37">
        <f t="shared" si="11"/>
        <v>207</v>
      </c>
      <c r="N39" s="37">
        <f t="shared" si="11"/>
        <v>0</v>
      </c>
      <c r="O39" s="38">
        <f>O38*O36</f>
        <v>0</v>
      </c>
      <c r="P39" s="39">
        <f>P38</f>
        <v>65</v>
      </c>
      <c r="Q39" s="40">
        <f>Q38</f>
        <v>0</v>
      </c>
      <c r="R39" s="40">
        <f>R38</f>
        <v>0</v>
      </c>
      <c r="S39" s="41">
        <f>S38</f>
        <v>0</v>
      </c>
      <c r="T39" s="29">
        <f>T38*T30</f>
        <v>0</v>
      </c>
      <c r="U39" s="30">
        <f>U38*$U$3</f>
        <v>0</v>
      </c>
      <c r="V39" s="28">
        <f>V38*V30</f>
        <v>0</v>
      </c>
      <c r="W39" s="34">
        <f>W38*W30</f>
        <v>0</v>
      </c>
      <c r="X39" s="31">
        <f>X38*$X$3</f>
        <v>0</v>
      </c>
      <c r="Y39" s="31">
        <f>Y38*$Y$3</f>
        <v>0</v>
      </c>
      <c r="Z39" s="32">
        <f>Z38*$Z$3</f>
        <v>0</v>
      </c>
      <c r="AA39" s="32">
        <f>AA38*$AA$3</f>
        <v>61.279069767441861</v>
      </c>
      <c r="AB39" s="11">
        <f>SUM(AB38:AB38)</f>
        <v>0</v>
      </c>
      <c r="AC39" s="53" t="s">
        <v>68</v>
      </c>
      <c r="AD39" s="42">
        <f>D39+AA39+U39+X39+Y39+Z39+E39</f>
        <v>61.279069767441861</v>
      </c>
      <c r="AE39" s="43">
        <f>F39</f>
        <v>106.20000000000002</v>
      </c>
      <c r="AF39" s="43">
        <f>I39+J39+K39+L39+M39+N39</f>
        <v>209</v>
      </c>
      <c r="AG39" s="44">
        <f>P39+Q39+R39+S39</f>
        <v>65</v>
      </c>
      <c r="AK39" s="64"/>
    </row>
    <row r="40" spans="1:37" s="6" customFormat="1" ht="15" customHeight="1" x14ac:dyDescent="0.25">
      <c r="A40" s="3" t="s">
        <v>60</v>
      </c>
      <c r="B40"/>
      <c r="C40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/>
      <c r="AD40"/>
      <c r="AE40" s="19"/>
      <c r="AF40"/>
      <c r="AK40" s="64"/>
    </row>
    <row r="41" spans="1:37" s="64" customFormat="1" ht="21" customHeight="1" thickBot="1" x14ac:dyDescent="0.3">
      <c r="A41" s="63" t="s">
        <v>60</v>
      </c>
      <c r="D41" s="65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7"/>
      <c r="AE41" s="20"/>
    </row>
    <row r="42" spans="1:37" ht="15.75" thickBot="1" x14ac:dyDescent="0.3">
      <c r="C42" s="10" t="s">
        <v>25</v>
      </c>
      <c r="D42" s="30">
        <f>D41*$D$3</f>
        <v>0</v>
      </c>
      <c r="E42" s="31">
        <f>E41*$E3</f>
        <v>0</v>
      </c>
      <c r="F42" s="33">
        <f>F41</f>
        <v>0</v>
      </c>
      <c r="G42" s="29">
        <f>G41*G30</f>
        <v>0</v>
      </c>
      <c r="H42" s="28">
        <f>H41*H30</f>
        <v>0</v>
      </c>
      <c r="I42" s="36">
        <f t="shared" ref="I42:N42" si="12">I41</f>
        <v>0</v>
      </c>
      <c r="J42" s="36">
        <f t="shared" si="12"/>
        <v>0</v>
      </c>
      <c r="K42" s="36">
        <f t="shared" si="12"/>
        <v>0</v>
      </c>
      <c r="L42" s="36">
        <f t="shared" si="12"/>
        <v>0</v>
      </c>
      <c r="M42" s="37">
        <f t="shared" si="12"/>
        <v>0</v>
      </c>
      <c r="N42" s="37">
        <f t="shared" si="12"/>
        <v>0</v>
      </c>
      <c r="O42" s="38">
        <f>O41*O36</f>
        <v>0</v>
      </c>
      <c r="P42" s="39">
        <f>P41</f>
        <v>0</v>
      </c>
      <c r="Q42" s="40">
        <f>Q41</f>
        <v>0</v>
      </c>
      <c r="R42" s="40">
        <f>R41</f>
        <v>0</v>
      </c>
      <c r="S42" s="41">
        <f>S41</f>
        <v>0</v>
      </c>
      <c r="T42" s="29">
        <f>T41*T30</f>
        <v>0</v>
      </c>
      <c r="U42" s="30">
        <f>U41*$U$3</f>
        <v>0</v>
      </c>
      <c r="V42" s="28">
        <f>V41*V30</f>
        <v>0</v>
      </c>
      <c r="W42" s="34">
        <f>W41*W30</f>
        <v>0</v>
      </c>
      <c r="X42" s="31">
        <f>X41*$X$3</f>
        <v>0</v>
      </c>
      <c r="Y42" s="31">
        <f>Y41*$Y$3</f>
        <v>0</v>
      </c>
      <c r="Z42" s="32">
        <f>Z41*$Z$3</f>
        <v>0</v>
      </c>
      <c r="AA42" s="32">
        <f>AA41*$AA$3</f>
        <v>0</v>
      </c>
      <c r="AB42" s="11">
        <f>SUM(AB41:AB41)</f>
        <v>0</v>
      </c>
      <c r="AC42" s="97" t="s">
        <v>61</v>
      </c>
      <c r="AD42" s="42">
        <f>D42+AA42+U42+X42+Y42+Z42+E42</f>
        <v>0</v>
      </c>
      <c r="AE42" s="43">
        <f>F42</f>
        <v>0</v>
      </c>
      <c r="AF42" s="43">
        <f>I42+J42+K42+L42+M42+N42</f>
        <v>0</v>
      </c>
      <c r="AG42" s="44">
        <f>P42+Q42+R42+S42</f>
        <v>0</v>
      </c>
      <c r="AK42" s="64"/>
    </row>
    <row r="43" spans="1:37" ht="15.75" thickBot="1" x14ac:dyDescent="0.3">
      <c r="AK43" s="64"/>
    </row>
    <row r="44" spans="1:37" s="52" customFormat="1" ht="15" customHeight="1" thickBot="1" x14ac:dyDescent="0.4">
      <c r="A44" s="45" t="s">
        <v>48</v>
      </c>
      <c r="B44" s="46"/>
      <c r="C44" s="46"/>
      <c r="D44" s="47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9"/>
      <c r="V44" s="49"/>
      <c r="W44" s="49"/>
      <c r="X44" s="49"/>
      <c r="Y44" s="49"/>
      <c r="Z44" s="49"/>
      <c r="AA44" s="48"/>
      <c r="AB44" s="49"/>
      <c r="AC44" s="50"/>
      <c r="AD44" s="50"/>
      <c r="AE44" s="51"/>
      <c r="AF44" s="50"/>
    </row>
    <row r="45" spans="1:37" s="64" customFormat="1" ht="21" customHeight="1" x14ac:dyDescent="0.25">
      <c r="A45" s="63" t="s">
        <v>53</v>
      </c>
      <c r="D45" s="66">
        <f>D5+D8+D11+D14+D17+D20+D23+D26+D29+D41+D32+D35+D38</f>
        <v>968</v>
      </c>
      <c r="E45" s="66">
        <f t="shared" ref="E45:AB45" si="13">E5+E8+E11+E14+E17+E20+E23+E26+E29+E41+E32+E35+E38</f>
        <v>0</v>
      </c>
      <c r="F45" s="66">
        <f t="shared" si="13"/>
        <v>1119.4000000000001</v>
      </c>
      <c r="G45" s="66">
        <f t="shared" si="13"/>
        <v>515.16</v>
      </c>
      <c r="H45" s="66">
        <f t="shared" si="13"/>
        <v>212</v>
      </c>
      <c r="I45" s="66">
        <f t="shared" si="13"/>
        <v>0</v>
      </c>
      <c r="J45" s="66">
        <f t="shared" si="13"/>
        <v>145</v>
      </c>
      <c r="K45" s="66">
        <f t="shared" si="13"/>
        <v>0</v>
      </c>
      <c r="L45" s="66">
        <f t="shared" si="13"/>
        <v>0</v>
      </c>
      <c r="M45" s="66">
        <f t="shared" si="13"/>
        <v>1464</v>
      </c>
      <c r="N45" s="66">
        <f t="shared" si="13"/>
        <v>0</v>
      </c>
      <c r="O45" s="66">
        <f t="shared" si="13"/>
        <v>0</v>
      </c>
      <c r="P45" s="66">
        <f t="shared" si="13"/>
        <v>600</v>
      </c>
      <c r="Q45" s="66">
        <f t="shared" si="13"/>
        <v>211</v>
      </c>
      <c r="R45" s="66">
        <f t="shared" si="13"/>
        <v>0</v>
      </c>
      <c r="S45" s="66">
        <f t="shared" si="13"/>
        <v>0</v>
      </c>
      <c r="T45" s="66">
        <f t="shared" si="13"/>
        <v>0</v>
      </c>
      <c r="U45" s="66">
        <f t="shared" si="13"/>
        <v>0</v>
      </c>
      <c r="V45" s="66">
        <f t="shared" si="13"/>
        <v>0</v>
      </c>
      <c r="W45" s="66">
        <f t="shared" si="13"/>
        <v>0</v>
      </c>
      <c r="X45" s="66">
        <f t="shared" si="13"/>
        <v>0</v>
      </c>
      <c r="Y45" s="66">
        <f t="shared" si="13"/>
        <v>0</v>
      </c>
      <c r="Z45" s="66">
        <f t="shared" si="13"/>
        <v>0</v>
      </c>
      <c r="AA45" s="66">
        <f t="shared" si="13"/>
        <v>2301</v>
      </c>
      <c r="AB45" s="66">
        <f t="shared" si="13"/>
        <v>6</v>
      </c>
      <c r="AC45" s="75">
        <f>SUM(D45:AB45)</f>
        <v>7541.5599999999995</v>
      </c>
      <c r="AE45" s="20"/>
    </row>
    <row r="46" spans="1:37" ht="15" customHeight="1" thickBot="1" x14ac:dyDescent="0.3">
      <c r="D46" s="7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9"/>
    </row>
    <row r="47" spans="1:37" ht="15.75" thickBot="1" x14ac:dyDescent="0.3">
      <c r="C47" s="10" t="s">
        <v>25</v>
      </c>
      <c r="D47" s="30">
        <f>D45*$D$3</f>
        <v>121</v>
      </c>
      <c r="E47" s="32">
        <f>E45*$E3</f>
        <v>0</v>
      </c>
      <c r="F47" s="101">
        <f>F45</f>
        <v>1119.4000000000001</v>
      </c>
      <c r="G47" s="29">
        <f>G45*G43</f>
        <v>0</v>
      </c>
      <c r="H47" s="28">
        <f>H45*H43</f>
        <v>0</v>
      </c>
      <c r="I47" s="36">
        <f t="shared" ref="I47:N47" si="14">I45</f>
        <v>0</v>
      </c>
      <c r="J47" s="36">
        <f>J45</f>
        <v>145</v>
      </c>
      <c r="K47" s="36">
        <f>K45</f>
        <v>0</v>
      </c>
      <c r="L47" s="36">
        <f>L45</f>
        <v>0</v>
      </c>
      <c r="M47" s="37">
        <f>M45</f>
        <v>1464</v>
      </c>
      <c r="N47" s="37">
        <f t="shared" si="14"/>
        <v>0</v>
      </c>
      <c r="O47" s="38">
        <f>O45*O43</f>
        <v>0</v>
      </c>
      <c r="P47" s="39">
        <f>P45</f>
        <v>600</v>
      </c>
      <c r="Q47" s="40">
        <f>Q45</f>
        <v>211</v>
      </c>
      <c r="R47" s="40">
        <f>R45</f>
        <v>0</v>
      </c>
      <c r="S47" s="41">
        <f>S45</f>
        <v>0</v>
      </c>
      <c r="T47" s="29">
        <f>T45*T43</f>
        <v>0</v>
      </c>
      <c r="U47" s="30">
        <f>U45*$U$3</f>
        <v>0</v>
      </c>
      <c r="V47" s="28">
        <f>V45*V43</f>
        <v>0</v>
      </c>
      <c r="W47" s="34">
        <f>W45*W43</f>
        <v>0</v>
      </c>
      <c r="X47" s="31">
        <f>X45*$X$3</f>
        <v>0</v>
      </c>
      <c r="Y47" s="31">
        <f>Y45*$Y$3</f>
        <v>0</v>
      </c>
      <c r="Z47" s="32">
        <f>Z45*$Z$3</f>
        <v>0</v>
      </c>
      <c r="AA47" s="32">
        <f>AA45*$AA$3</f>
        <v>267.55813953488371</v>
      </c>
      <c r="AB47" s="11">
        <f>SUM(AB45:AB46)</f>
        <v>6</v>
      </c>
      <c r="AC47" s="69"/>
      <c r="AD47" s="42">
        <f>D47+AA47+U47+X47+Y47+Z47+E47</f>
        <v>388.55813953488371</v>
      </c>
      <c r="AE47" s="43">
        <f>F47</f>
        <v>1119.4000000000001</v>
      </c>
      <c r="AF47" s="43">
        <f>I47+J47+K47+L47+M47+N47</f>
        <v>1609</v>
      </c>
      <c r="AG47" s="44">
        <f>P47+Q47+R47+S47</f>
        <v>811</v>
      </c>
    </row>
    <row r="49" spans="1:30" s="6" customFormat="1" x14ac:dyDescent="0.25">
      <c r="A49" s="102"/>
      <c r="B49" s="102"/>
      <c r="C49" s="102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/>
      <c r="AD49"/>
    </row>
    <row r="51" spans="1:30" x14ac:dyDescent="0.25">
      <c r="AC51" s="80"/>
    </row>
  </sheetData>
  <phoneticPr fontId="13" type="noConversion"/>
  <pageMargins left="0.7" right="0.7" top="0.75" bottom="0.75" header="0.3" footer="0.3"/>
  <pageSetup orientation="portrait" r:id="rId1"/>
  <ignoredErrors>
    <ignoredError sqref="O12 O15 O18 O21 O24 O27 O30 O4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6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6" sqref="C16"/>
    </sheetView>
  </sheetViews>
  <sheetFormatPr defaultRowHeight="15" x14ac:dyDescent="0.25"/>
  <cols>
    <col min="3" max="8" width="21.28515625" style="19" customWidth="1"/>
  </cols>
  <sheetData>
    <row r="1" spans="2:8" ht="23.25" x14ac:dyDescent="0.35">
      <c r="C1" s="51" t="s">
        <v>54</v>
      </c>
      <c r="D1" s="51">
        <v>135</v>
      </c>
      <c r="E1" s="51">
        <v>38</v>
      </c>
      <c r="F1" s="51" t="s">
        <v>50</v>
      </c>
      <c r="G1" s="51" t="s">
        <v>51</v>
      </c>
      <c r="H1" s="51" t="s">
        <v>52</v>
      </c>
    </row>
    <row r="2" spans="2:8" x14ac:dyDescent="0.25">
      <c r="B2" t="s">
        <v>26</v>
      </c>
      <c r="C2" s="19">
        <v>221</v>
      </c>
      <c r="F2" s="19">
        <v>117</v>
      </c>
      <c r="G2" s="19">
        <v>161</v>
      </c>
      <c r="H2" s="19">
        <v>57</v>
      </c>
    </row>
    <row r="3" spans="2:8" x14ac:dyDescent="0.25">
      <c r="C3" s="19">
        <v>109</v>
      </c>
      <c r="D3" s="19">
        <v>29</v>
      </c>
      <c r="F3" s="19">
        <v>40</v>
      </c>
      <c r="G3" s="19">
        <v>57</v>
      </c>
      <c r="H3" s="19">
        <v>37</v>
      </c>
    </row>
    <row r="7" spans="2:8" x14ac:dyDescent="0.25">
      <c r="C7" s="71">
        <f>SUM(C2:C6)</f>
        <v>330</v>
      </c>
      <c r="D7" s="71"/>
      <c r="E7" s="71"/>
      <c r="F7" s="71">
        <f t="shared" ref="F7:H7" si="0">SUM(F2:F6)</f>
        <v>157</v>
      </c>
      <c r="G7" s="71">
        <f t="shared" si="0"/>
        <v>218</v>
      </c>
      <c r="H7" s="71">
        <f t="shared" si="0"/>
        <v>94</v>
      </c>
    </row>
    <row r="8" spans="2:8" x14ac:dyDescent="0.25">
      <c r="B8" t="s">
        <v>27</v>
      </c>
      <c r="C8" s="19">
        <v>123</v>
      </c>
      <c r="F8" s="19">
        <v>62</v>
      </c>
      <c r="H8" s="19">
        <v>43</v>
      </c>
    </row>
    <row r="9" spans="2:8" x14ac:dyDescent="0.25">
      <c r="C9" s="19">
        <v>125</v>
      </c>
      <c r="F9" s="19">
        <v>42</v>
      </c>
      <c r="G9" s="19">
        <v>90</v>
      </c>
      <c r="H9" s="19">
        <v>29</v>
      </c>
    </row>
    <row r="10" spans="2:8" x14ac:dyDescent="0.25">
      <c r="G10" s="19">
        <v>63</v>
      </c>
    </row>
    <row r="13" spans="2:8" x14ac:dyDescent="0.25">
      <c r="C13" s="71">
        <f>SUM(C8:C12)</f>
        <v>248</v>
      </c>
      <c r="D13" s="71"/>
      <c r="E13" s="71"/>
      <c r="F13" s="71">
        <f t="shared" ref="F13" si="1">SUM(F8:F12)</f>
        <v>104</v>
      </c>
      <c r="G13" s="71">
        <f t="shared" ref="G13" si="2">SUM(G8:G12)</f>
        <v>153</v>
      </c>
      <c r="H13" s="71">
        <f t="shared" ref="H13" si="3">SUM(H8:H12)</f>
        <v>72</v>
      </c>
    </row>
    <row r="14" spans="2:8" x14ac:dyDescent="0.25">
      <c r="B14" t="s">
        <v>28</v>
      </c>
    </row>
    <row r="15" spans="2:8" x14ac:dyDescent="0.25">
      <c r="C15" s="19">
        <v>136</v>
      </c>
      <c r="F15" s="19">
        <v>71</v>
      </c>
      <c r="G15" s="19">
        <v>104</v>
      </c>
      <c r="H15" s="19">
        <v>31</v>
      </c>
    </row>
    <row r="16" spans="2:8" x14ac:dyDescent="0.25">
      <c r="C16" s="19">
        <v>130</v>
      </c>
      <c r="F16" s="19">
        <v>30</v>
      </c>
      <c r="G16" s="19">
        <v>57</v>
      </c>
      <c r="H16" s="19">
        <v>15</v>
      </c>
    </row>
    <row r="17" spans="2:8" x14ac:dyDescent="0.25">
      <c r="C17" s="19">
        <v>140</v>
      </c>
      <c r="D17" s="19">
        <v>4</v>
      </c>
      <c r="F17" s="19">
        <v>18</v>
      </c>
      <c r="G17" s="19">
        <v>38</v>
      </c>
      <c r="H17" s="19">
        <v>16</v>
      </c>
    </row>
    <row r="19" spans="2:8" x14ac:dyDescent="0.25">
      <c r="C19" s="71">
        <f>SUM(C14:C18)</f>
        <v>406</v>
      </c>
      <c r="D19" s="71"/>
      <c r="E19" s="71"/>
      <c r="F19" s="71">
        <f t="shared" ref="F19" si="4">SUM(F14:F18)</f>
        <v>119</v>
      </c>
      <c r="G19" s="71">
        <f t="shared" ref="G19" si="5">SUM(G14:G18)</f>
        <v>199</v>
      </c>
      <c r="H19" s="71">
        <f t="shared" ref="H19" si="6">SUM(H14:H18)</f>
        <v>62</v>
      </c>
    </row>
    <row r="20" spans="2:8" x14ac:dyDescent="0.25">
      <c r="B20" t="s">
        <v>29</v>
      </c>
      <c r="C20" s="19">
        <v>205</v>
      </c>
    </row>
    <row r="21" spans="2:8" x14ac:dyDescent="0.25">
      <c r="C21" s="19">
        <v>253</v>
      </c>
      <c r="D21" s="19">
        <v>4</v>
      </c>
      <c r="F21" s="19">
        <v>45</v>
      </c>
      <c r="G21" s="19">
        <v>90</v>
      </c>
      <c r="H21" s="19">
        <v>29</v>
      </c>
    </row>
    <row r="22" spans="2:8" x14ac:dyDescent="0.25">
      <c r="C22" s="19">
        <v>20</v>
      </c>
      <c r="D22" s="19">
        <v>22</v>
      </c>
      <c r="F22" s="19">
        <v>16</v>
      </c>
      <c r="G22" s="19">
        <v>45</v>
      </c>
      <c r="H22" s="19">
        <v>15</v>
      </c>
    </row>
    <row r="23" spans="2:8" x14ac:dyDescent="0.25">
      <c r="G23" s="19">
        <v>26</v>
      </c>
      <c r="H23" s="19">
        <v>11</v>
      </c>
    </row>
    <row r="25" spans="2:8" x14ac:dyDescent="0.25">
      <c r="C25" s="71">
        <f>SUM(C20:C24)</f>
        <v>478</v>
      </c>
      <c r="D25" s="71"/>
      <c r="E25" s="71"/>
      <c r="F25" s="71">
        <f t="shared" ref="F25" si="7">SUM(F20:F24)</f>
        <v>61</v>
      </c>
      <c r="G25" s="71">
        <f t="shared" ref="G25" si="8">SUM(G20:G24)</f>
        <v>161</v>
      </c>
      <c r="H25" s="71">
        <f t="shared" ref="H25" si="9">SUM(H20:H24)</f>
        <v>55</v>
      </c>
    </row>
    <row r="26" spans="2:8" x14ac:dyDescent="0.25">
      <c r="B26" t="s">
        <v>30</v>
      </c>
      <c r="F26" s="19">
        <v>72</v>
      </c>
    </row>
    <row r="27" spans="2:8" x14ac:dyDescent="0.25">
      <c r="C27" s="19">
        <v>221</v>
      </c>
      <c r="D27" s="19">
        <v>3</v>
      </c>
      <c r="F27" s="19">
        <v>98</v>
      </c>
      <c r="G27" s="19">
        <v>119</v>
      </c>
      <c r="H27" s="19">
        <v>51</v>
      </c>
    </row>
    <row r="28" spans="2:8" x14ac:dyDescent="0.25">
      <c r="C28" s="19">
        <v>188</v>
      </c>
      <c r="F28" s="19">
        <v>9</v>
      </c>
      <c r="G28" s="19">
        <v>131</v>
      </c>
      <c r="H28" s="19">
        <v>47</v>
      </c>
    </row>
    <row r="29" spans="2:8" x14ac:dyDescent="0.25">
      <c r="C29" s="19">
        <v>229</v>
      </c>
      <c r="G29" s="19">
        <v>129</v>
      </c>
      <c r="H29" s="19">
        <v>50</v>
      </c>
    </row>
    <row r="31" spans="2:8" x14ac:dyDescent="0.25">
      <c r="C31" s="71">
        <f>SUM(C26:C30)</f>
        <v>638</v>
      </c>
      <c r="D31" s="71"/>
      <c r="E31" s="71"/>
      <c r="F31" s="71">
        <f t="shared" ref="F31" si="10">SUM(F26:F30)</f>
        <v>179</v>
      </c>
      <c r="G31" s="71">
        <f t="shared" ref="G31" si="11">SUM(G26:G30)</f>
        <v>379</v>
      </c>
      <c r="H31" s="71">
        <f t="shared" ref="H31" si="12">SUM(H26:H30)</f>
        <v>148</v>
      </c>
    </row>
    <row r="32" spans="2:8" x14ac:dyDescent="0.25">
      <c r="B32" t="s">
        <v>31</v>
      </c>
    </row>
    <row r="33" spans="2:13" x14ac:dyDescent="0.25">
      <c r="C33" s="19">
        <v>190</v>
      </c>
      <c r="D33" s="19">
        <v>10</v>
      </c>
      <c r="F33" s="19">
        <v>113</v>
      </c>
      <c r="G33" s="19">
        <v>148</v>
      </c>
      <c r="H33" s="19">
        <v>56</v>
      </c>
    </row>
    <row r="34" spans="2:13" x14ac:dyDescent="0.25">
      <c r="C34" s="19">
        <v>104</v>
      </c>
      <c r="D34" s="19">
        <v>4</v>
      </c>
      <c r="F34" s="19">
        <v>55</v>
      </c>
      <c r="G34" s="19">
        <v>74</v>
      </c>
      <c r="H34" s="19">
        <v>37</v>
      </c>
    </row>
    <row r="35" spans="2:13" x14ac:dyDescent="0.25">
      <c r="C35" s="19">
        <v>295</v>
      </c>
      <c r="D35" s="19">
        <v>8</v>
      </c>
      <c r="F35" s="19">
        <v>166</v>
      </c>
      <c r="G35" s="19">
        <v>219</v>
      </c>
      <c r="H35" s="19">
        <v>85</v>
      </c>
    </row>
    <row r="37" spans="2:13" x14ac:dyDescent="0.25">
      <c r="C37" s="71">
        <f>SUM(C32:C36)</f>
        <v>589</v>
      </c>
      <c r="D37" s="71"/>
      <c r="E37" s="71"/>
      <c r="F37" s="71">
        <f t="shared" ref="F37" si="13">SUM(F32:F36)</f>
        <v>334</v>
      </c>
      <c r="G37" s="71">
        <f t="shared" ref="G37" si="14">SUM(G32:G36)</f>
        <v>441</v>
      </c>
      <c r="H37" s="71">
        <f t="shared" ref="H37" si="15">SUM(H32:H36)</f>
        <v>178</v>
      </c>
    </row>
    <row r="38" spans="2:13" x14ac:dyDescent="0.25">
      <c r="B38" t="s">
        <v>32</v>
      </c>
    </row>
    <row r="40" spans="2:13" x14ac:dyDescent="0.25">
      <c r="C40" s="19">
        <v>1058</v>
      </c>
      <c r="D40" s="19">
        <v>55</v>
      </c>
      <c r="E40" s="19">
        <v>23</v>
      </c>
      <c r="F40" s="19">
        <v>475</v>
      </c>
      <c r="G40" s="19">
        <v>652</v>
      </c>
      <c r="H40" s="19">
        <v>265</v>
      </c>
    </row>
    <row r="43" spans="2:13" x14ac:dyDescent="0.25">
      <c r="C43" s="72">
        <f>SUM(C38:C42)</f>
        <v>1058</v>
      </c>
      <c r="D43" s="72"/>
      <c r="E43" s="72"/>
      <c r="F43" s="72">
        <f t="shared" ref="F43" si="16">SUM(F38:F42)</f>
        <v>475</v>
      </c>
      <c r="G43" s="72">
        <f t="shared" ref="G43" si="17">SUM(G38:G42)</f>
        <v>652</v>
      </c>
      <c r="H43" s="72">
        <f t="shared" ref="H43" si="18">SUM(H38:H42)</f>
        <v>265</v>
      </c>
      <c r="I43">
        <f>SUM(C43:H43)</f>
        <v>2450</v>
      </c>
    </row>
    <row r="44" spans="2:13" x14ac:dyDescent="0.25">
      <c r="C44" s="73">
        <f>C55+C61</f>
        <v>424</v>
      </c>
      <c r="D44" s="73">
        <f t="shared" ref="D44:H44" si="19">D55+D61</f>
        <v>0</v>
      </c>
      <c r="E44" s="73"/>
      <c r="F44" s="73">
        <f t="shared" si="19"/>
        <v>94</v>
      </c>
      <c r="G44" s="73">
        <f t="shared" si="19"/>
        <v>180</v>
      </c>
      <c r="H44" s="73">
        <f t="shared" si="19"/>
        <v>59</v>
      </c>
    </row>
    <row r="45" spans="2:13" x14ac:dyDescent="0.25">
      <c r="C45" s="71">
        <f>C43-C44</f>
        <v>634</v>
      </c>
      <c r="D45" s="71">
        <f t="shared" ref="D45:H45" si="20">D43-D44</f>
        <v>0</v>
      </c>
      <c r="E45" s="71"/>
      <c r="F45" s="71">
        <f t="shared" si="20"/>
        <v>381</v>
      </c>
      <c r="G45" s="71">
        <f t="shared" si="20"/>
        <v>472</v>
      </c>
      <c r="H45" s="71">
        <f t="shared" si="20"/>
        <v>206</v>
      </c>
      <c r="I45">
        <f>SUM(C45:H45)</f>
        <v>1693</v>
      </c>
      <c r="L45" t="s">
        <v>32</v>
      </c>
      <c r="M45">
        <f>I43</f>
        <v>2450</v>
      </c>
    </row>
    <row r="46" spans="2:13" x14ac:dyDescent="0.25">
      <c r="L46" t="s">
        <v>33</v>
      </c>
      <c r="M46">
        <f>I55</f>
        <v>514</v>
      </c>
    </row>
    <row r="47" spans="2:13" x14ac:dyDescent="0.25">
      <c r="L47" t="s">
        <v>34</v>
      </c>
      <c r="M47">
        <f>I61</f>
        <v>243</v>
      </c>
    </row>
    <row r="48" spans="2:13" x14ac:dyDescent="0.25">
      <c r="B48" s="74" t="s">
        <v>33</v>
      </c>
      <c r="C48" s="19">
        <v>30</v>
      </c>
      <c r="F48" s="19">
        <v>13</v>
      </c>
      <c r="G48" s="19">
        <v>24</v>
      </c>
      <c r="H48" s="19">
        <v>10</v>
      </c>
      <c r="L48" t="s">
        <v>55</v>
      </c>
      <c r="M48" s="76">
        <f>M45-M46-M47</f>
        <v>1693</v>
      </c>
    </row>
    <row r="49" spans="2:9" x14ac:dyDescent="0.25">
      <c r="C49" s="19">
        <v>47</v>
      </c>
      <c r="F49" s="19">
        <v>21</v>
      </c>
      <c r="G49" s="19">
        <v>27</v>
      </c>
      <c r="H49" s="19">
        <v>8</v>
      </c>
    </row>
    <row r="50" spans="2:9" x14ac:dyDescent="0.25">
      <c r="C50" s="19">
        <v>68</v>
      </c>
      <c r="F50" s="19">
        <v>16</v>
      </c>
      <c r="G50" s="19">
        <v>28</v>
      </c>
      <c r="H50" s="19">
        <v>9</v>
      </c>
    </row>
    <row r="51" spans="2:9" x14ac:dyDescent="0.25">
      <c r="C51" s="19">
        <v>50</v>
      </c>
      <c r="F51" s="19">
        <v>16</v>
      </c>
      <c r="G51" s="19">
        <v>25</v>
      </c>
      <c r="H51" s="19">
        <v>8</v>
      </c>
    </row>
    <row r="52" spans="2:9" x14ac:dyDescent="0.25">
      <c r="C52" s="19">
        <v>66</v>
      </c>
      <c r="F52" s="19">
        <v>14</v>
      </c>
      <c r="G52" s="19">
        <v>26</v>
      </c>
      <c r="H52" s="19">
        <v>8</v>
      </c>
    </row>
    <row r="54" spans="2:9" x14ac:dyDescent="0.25">
      <c r="I54">
        <f>SUM(C47:H54)</f>
        <v>514</v>
      </c>
    </row>
    <row r="55" spans="2:9" x14ac:dyDescent="0.25">
      <c r="C55" s="71">
        <f>SUM(C48:C54)</f>
        <v>261</v>
      </c>
      <c r="D55" s="71"/>
      <c r="E55" s="71"/>
      <c r="F55" s="71">
        <f t="shared" ref="F55" si="21">SUM(F48:F54)</f>
        <v>80</v>
      </c>
      <c r="G55" s="71">
        <f t="shared" ref="G55" si="22">SUM(G48:G54)</f>
        <v>130</v>
      </c>
      <c r="H55" s="71">
        <f t="shared" ref="H55" si="23">SUM(H48:H54)</f>
        <v>43</v>
      </c>
      <c r="I55">
        <f>SUM(C55:H55)</f>
        <v>514</v>
      </c>
    </row>
    <row r="56" spans="2:9" x14ac:dyDescent="0.25">
      <c r="B56" s="74" t="s">
        <v>34</v>
      </c>
    </row>
    <row r="57" spans="2:9" x14ac:dyDescent="0.25">
      <c r="C57" s="19">
        <v>59</v>
      </c>
      <c r="F57" s="19">
        <v>14</v>
      </c>
      <c r="G57" s="19">
        <v>24</v>
      </c>
      <c r="H57" s="19">
        <v>8</v>
      </c>
    </row>
    <row r="58" spans="2:9" x14ac:dyDescent="0.25">
      <c r="C58" s="19">
        <v>104</v>
      </c>
      <c r="G58" s="19">
        <v>26</v>
      </c>
      <c r="H58" s="19">
        <v>8</v>
      </c>
    </row>
    <row r="60" spans="2:9" x14ac:dyDescent="0.25">
      <c r="I60">
        <f>SUM(C57:H60)</f>
        <v>243</v>
      </c>
    </row>
    <row r="61" spans="2:9" x14ac:dyDescent="0.25">
      <c r="C61" s="71">
        <f>SUM(C56:C60)</f>
        <v>163</v>
      </c>
      <c r="D61" s="71"/>
      <c r="E61" s="71"/>
      <c r="F61" s="71">
        <f t="shared" ref="F61" si="24">SUM(F56:F60)</f>
        <v>14</v>
      </c>
      <c r="G61" s="71">
        <f t="shared" ref="G61" si="25">SUM(G56:G60)</f>
        <v>50</v>
      </c>
      <c r="H61" s="71">
        <f t="shared" ref="H61" si="26">SUM(H56:H60)</f>
        <v>16</v>
      </c>
      <c r="I61">
        <f>SUM(C61:H61)</f>
        <v>243</v>
      </c>
    </row>
  </sheetData>
  <phoneticPr fontId="13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J24"/>
  <sheetViews>
    <sheetView tabSelected="1" workbookViewId="0">
      <selection activeCell="R12" sqref="R12"/>
    </sheetView>
  </sheetViews>
  <sheetFormatPr defaultRowHeight="15" x14ac:dyDescent="0.25"/>
  <cols>
    <col min="4" max="5" width="16.85546875" style="19" customWidth="1"/>
    <col min="7" max="10" width="19.42578125" style="20" customWidth="1"/>
  </cols>
  <sheetData>
    <row r="2" spans="4:10" ht="15.75" thickBot="1" x14ac:dyDescent="0.3">
      <c r="F2" s="19"/>
      <c r="G2" s="19"/>
    </row>
    <row r="3" spans="4:10" ht="19.5" thickBot="1" x14ac:dyDescent="0.3">
      <c r="D3"/>
      <c r="E3"/>
      <c r="F3" s="109" t="s">
        <v>43</v>
      </c>
      <c r="G3" s="110"/>
      <c r="H3" s="110"/>
      <c r="I3" s="110"/>
      <c r="J3" s="111"/>
    </row>
    <row r="4" spans="4:10" s="20" customFormat="1" ht="21.75" customHeight="1" thickBot="1" x14ac:dyDescent="0.3">
      <c r="F4" s="55" t="s">
        <v>0</v>
      </c>
      <c r="G4" s="56" t="s">
        <v>44</v>
      </c>
      <c r="H4" s="56" t="s">
        <v>45</v>
      </c>
      <c r="I4" s="56" t="s">
        <v>46</v>
      </c>
      <c r="J4" s="56" t="s">
        <v>47</v>
      </c>
    </row>
    <row r="5" spans="4:10" s="20" customFormat="1" ht="21.75" customHeight="1" x14ac:dyDescent="0.25">
      <c r="F5" s="58" t="s">
        <v>58</v>
      </c>
      <c r="G5" s="59">
        <f>'EXPLOSIVES KG USED'!AD6</f>
        <v>0</v>
      </c>
      <c r="H5" s="59">
        <f>'EXPLOSIVES KG USED'!AE6</f>
        <v>0</v>
      </c>
      <c r="I5" s="59">
        <f>'EXPLOSIVES KG USED'!AF6</f>
        <v>0</v>
      </c>
      <c r="J5" s="60">
        <f>'EXPLOSIVES KG USED'!AG6</f>
        <v>0</v>
      </c>
    </row>
    <row r="6" spans="4:10" s="20" customFormat="1" ht="21.75" customHeight="1" x14ac:dyDescent="0.25">
      <c r="F6" s="81" t="s">
        <v>26</v>
      </c>
      <c r="G6" s="82">
        <f>'EXPLOSIVES KG USED'!AD9</f>
        <v>0</v>
      </c>
      <c r="H6" s="82">
        <f>'EXPLOSIVES KG USED'!AE9</f>
        <v>0</v>
      </c>
      <c r="I6" s="82">
        <f>'EXPLOSIVES KG USED'!AF9</f>
        <v>0</v>
      </c>
      <c r="J6" s="83">
        <f>'EXPLOSIVES KG USED'!AG9</f>
        <v>0</v>
      </c>
    </row>
    <row r="7" spans="4:10" s="20" customFormat="1" ht="21.75" customHeight="1" x14ac:dyDescent="0.25">
      <c r="F7" s="21" t="s">
        <v>35</v>
      </c>
      <c r="G7" s="57">
        <f>'EXPLOSIVES KG USED'!AD12</f>
        <v>0</v>
      </c>
      <c r="H7" s="57">
        <f>'EXPLOSIVES KG USED'!AE12</f>
        <v>0</v>
      </c>
      <c r="I7" s="57">
        <f>'EXPLOSIVES KG USED'!AF12</f>
        <v>0</v>
      </c>
      <c r="J7" s="61">
        <f>'EXPLOSIVES KG USED'!AG12</f>
        <v>0</v>
      </c>
    </row>
    <row r="8" spans="4:10" s="20" customFormat="1" ht="21.75" customHeight="1" x14ac:dyDescent="0.25">
      <c r="F8" s="21" t="s">
        <v>36</v>
      </c>
      <c r="G8" s="57">
        <f>'EXPLOSIVES KG USED'!AD15</f>
        <v>0</v>
      </c>
      <c r="H8" s="57">
        <f>'EXPLOSIVES KG USED'!AE15</f>
        <v>0</v>
      </c>
      <c r="I8" s="57">
        <f>'EXPLOSIVES KG USED'!AF15</f>
        <v>0</v>
      </c>
      <c r="J8" s="61">
        <f>'EXPLOSIVES KG USED'!AG15</f>
        <v>0</v>
      </c>
    </row>
    <row r="9" spans="4:10" s="20" customFormat="1" ht="21.75" customHeight="1" x14ac:dyDescent="0.25">
      <c r="F9" s="21" t="s">
        <v>37</v>
      </c>
      <c r="G9" s="57">
        <f>'EXPLOSIVES KG USED'!AD18</f>
        <v>0</v>
      </c>
      <c r="H9" s="57">
        <f>'EXPLOSIVES KG USED'!AE18</f>
        <v>0</v>
      </c>
      <c r="I9" s="57">
        <f>'EXPLOSIVES KG USED'!AF18</f>
        <v>0</v>
      </c>
      <c r="J9" s="61">
        <f>'EXPLOSIVES KG USED'!AG18</f>
        <v>0</v>
      </c>
    </row>
    <row r="10" spans="4:10" s="20" customFormat="1" ht="21.75" customHeight="1" x14ac:dyDescent="0.25">
      <c r="F10" s="21" t="s">
        <v>38</v>
      </c>
      <c r="G10" s="57">
        <f>'EXPLOSIVES KG USED'!AD21</f>
        <v>36.395348837209305</v>
      </c>
      <c r="H10" s="57">
        <f>'EXPLOSIVES KG USED'!AE21</f>
        <v>132</v>
      </c>
      <c r="I10" s="57">
        <f>'EXPLOSIVES KG USED'!AF21</f>
        <v>156</v>
      </c>
      <c r="J10" s="61">
        <f>'EXPLOSIVES KG USED'!AG21</f>
        <v>136</v>
      </c>
    </row>
    <row r="11" spans="4:10" s="20" customFormat="1" ht="21.75" customHeight="1" x14ac:dyDescent="0.25">
      <c r="F11" s="21" t="s">
        <v>39</v>
      </c>
      <c r="G11" s="57">
        <f>'EXPLOSIVES KG USED'!AD24</f>
        <v>39.069767441860463</v>
      </c>
      <c r="H11" s="57">
        <f>'EXPLOSIVES KG USED'!AE24</f>
        <v>154.40000000000003</v>
      </c>
      <c r="I11" s="57">
        <f>'EXPLOSIVES KG USED'!AF24</f>
        <v>129</v>
      </c>
      <c r="J11" s="61">
        <f>'EXPLOSIVES KG USED'!AG24</f>
        <v>167</v>
      </c>
    </row>
    <row r="12" spans="4:10" s="20" customFormat="1" ht="21.75" customHeight="1" x14ac:dyDescent="0.25">
      <c r="F12" s="21" t="s">
        <v>40</v>
      </c>
      <c r="G12" s="57">
        <f>'EXPLOSIVES KG USED'!AD27</f>
        <v>27.906976744186046</v>
      </c>
      <c r="H12" s="57">
        <f>'EXPLOSIVES KG USED'!AE27</f>
        <v>98</v>
      </c>
      <c r="I12" s="57">
        <f>'EXPLOSIVES KG USED'!AF27</f>
        <v>125</v>
      </c>
      <c r="J12" s="61">
        <f>'EXPLOSIVES KG USED'!AG27</f>
        <v>72</v>
      </c>
    </row>
    <row r="13" spans="4:10" s="20" customFormat="1" ht="21.75" customHeight="1" x14ac:dyDescent="0.25">
      <c r="F13" s="21" t="s">
        <v>41</v>
      </c>
      <c r="G13" s="57">
        <f>'EXPLOSIVES KG USED'!AD30</f>
        <v>60.232558139534881</v>
      </c>
      <c r="H13" s="57">
        <f>'EXPLOSIVES KG USED'!AE30</f>
        <v>120.79999999999998</v>
      </c>
      <c r="I13" s="57">
        <f>'EXPLOSIVES KG USED'!AF30</f>
        <v>218</v>
      </c>
      <c r="J13" s="61">
        <f>'EXPLOSIVES KG USED'!AG30</f>
        <v>80</v>
      </c>
    </row>
    <row r="14" spans="4:10" s="20" customFormat="1" ht="21.75" customHeight="1" x14ac:dyDescent="0.25">
      <c r="F14" s="21" t="s">
        <v>42</v>
      </c>
      <c r="G14" s="57">
        <f>'EXPLOSIVES KG USED'!AD33</f>
        <v>61.625</v>
      </c>
      <c r="H14" s="57">
        <f>'EXPLOSIVES KG USED'!AE33</f>
        <v>182.39999999999998</v>
      </c>
      <c r="I14" s="57">
        <f>'EXPLOSIVES KG USED'!AF33</f>
        <v>286</v>
      </c>
      <c r="J14" s="61">
        <f>'EXPLOSIVES KG USED'!AG33</f>
        <v>103</v>
      </c>
    </row>
    <row r="15" spans="4:10" s="20" customFormat="1" ht="21.75" customHeight="1" x14ac:dyDescent="0.25">
      <c r="F15" s="21" t="s">
        <v>64</v>
      </c>
      <c r="G15" s="57">
        <f>'EXPLOSIVES KG USED'!AD36</f>
        <v>102.04941860465115</v>
      </c>
      <c r="H15" s="57">
        <f>'EXPLOSIVES KG USED'!AE36</f>
        <v>325.60000000000002</v>
      </c>
      <c r="I15" s="57">
        <f>'EXPLOSIVES KG USED'!AF36</f>
        <v>486</v>
      </c>
      <c r="J15" s="61">
        <f>'EXPLOSIVES KG USED'!AG36</f>
        <v>188</v>
      </c>
    </row>
    <row r="16" spans="4:10" s="20" customFormat="1" ht="21.75" customHeight="1" x14ac:dyDescent="0.25">
      <c r="F16" s="104" t="s">
        <v>68</v>
      </c>
      <c r="G16" s="105">
        <f>'EXPLOSIVES KG USED'!AD39</f>
        <v>61.279069767441861</v>
      </c>
      <c r="H16" s="105">
        <f>'EXPLOSIVES KG USED'!AE39</f>
        <v>106.20000000000002</v>
      </c>
      <c r="I16" s="105">
        <f>'EXPLOSIVES KG USED'!AF39</f>
        <v>209</v>
      </c>
      <c r="J16" s="106">
        <f>'EXPLOSIVES KG USED'!AG39</f>
        <v>65</v>
      </c>
    </row>
    <row r="17" spans="4:10" s="20" customFormat="1" ht="21.75" customHeight="1" thickBot="1" x14ac:dyDescent="0.3">
      <c r="F17" s="107" t="s">
        <v>60</v>
      </c>
      <c r="G17" s="108">
        <f>'EXPLOSIVES KG USED'!AD42</f>
        <v>0</v>
      </c>
      <c r="H17" s="108">
        <f>'EXPLOSIVES KG USED'!AE42</f>
        <v>0</v>
      </c>
      <c r="I17" s="108">
        <f>'EXPLOSIVES KG USED'!AF42</f>
        <v>0</v>
      </c>
      <c r="J17" s="108">
        <f>'EXPLOSIVES KG USED'!AG42</f>
        <v>0</v>
      </c>
    </row>
    <row r="18" spans="4:10" s="20" customFormat="1" x14ac:dyDescent="0.25"/>
    <row r="19" spans="4:10" s="20" customFormat="1" x14ac:dyDescent="0.25"/>
    <row r="20" spans="4:10" ht="19.5" customHeight="1" x14ac:dyDescent="0.25">
      <c r="D20" s="20"/>
      <c r="E20" s="20"/>
      <c r="F20" s="54" t="s">
        <v>49</v>
      </c>
      <c r="G20" s="84">
        <f>SUM(G5:G17)</f>
        <v>388.55813953488371</v>
      </c>
      <c r="H20" s="84">
        <f>SUM(H5:H17)</f>
        <v>1119.4000000000001</v>
      </c>
      <c r="I20" s="84">
        <f>SUM(I5:I17)</f>
        <v>1609</v>
      </c>
      <c r="J20" s="84">
        <f>SUM(J5:J17)</f>
        <v>811</v>
      </c>
    </row>
    <row r="21" spans="4:10" ht="19.5" customHeight="1" x14ac:dyDescent="0.25">
      <c r="D21" s="20"/>
      <c r="E21" s="20"/>
      <c r="G21" s="84">
        <f>'EXPLOSIVES KG USED'!AD47</f>
        <v>388.55813953488371</v>
      </c>
      <c r="H21" s="84">
        <f>'EXPLOSIVES KG USED'!AE47</f>
        <v>1119.4000000000001</v>
      </c>
      <c r="I21" s="84">
        <f>'EXPLOSIVES KG USED'!AF47</f>
        <v>1609</v>
      </c>
      <c r="J21" s="84">
        <f>'EXPLOSIVES KG USED'!AG47</f>
        <v>811</v>
      </c>
    </row>
    <row r="22" spans="4:10" x14ac:dyDescent="0.25">
      <c r="G22" s="62">
        <f>G20-G21</f>
        <v>0</v>
      </c>
      <c r="H22" s="62">
        <f t="shared" ref="H22:J22" si="0">H20-H21</f>
        <v>0</v>
      </c>
      <c r="I22" s="62">
        <f t="shared" si="0"/>
        <v>0</v>
      </c>
      <c r="J22" s="62">
        <f t="shared" si="0"/>
        <v>0</v>
      </c>
    </row>
    <row r="24" spans="4:10" x14ac:dyDescent="0.25">
      <c r="G24" s="70"/>
    </row>
  </sheetData>
  <mergeCells count="1">
    <mergeCell ref="F3:J3"/>
  </mergeCells>
  <phoneticPr fontId="13" type="noConversion"/>
  <conditionalFormatting sqref="G5:J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EXPLOSIVES KG USED</vt:lpstr>
      <vt:lpstr>Sheet1</vt:lpstr>
      <vt:lpstr>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B. Batal</dc:creator>
  <cp:lastModifiedBy>Franklin Donald P. Arguelles</cp:lastModifiedBy>
  <dcterms:created xsi:type="dcterms:W3CDTF">2021-09-16T01:15:28Z</dcterms:created>
  <dcterms:modified xsi:type="dcterms:W3CDTF">2026-06-20T02:21:14Z</dcterms:modified>
</cp:coreProperties>
</file>