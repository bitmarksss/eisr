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07.MINE EXPLOSIVES REPORTS\03. MGB 2020-2026\2026\"/>
    </mc:Choice>
  </mc:AlternateContent>
  <bookViews>
    <workbookView xWindow="-120" yWindow="-120" windowWidth="29040" windowHeight="15720" tabRatio="893" firstSheet="6" activeTab="14"/>
  </bookViews>
  <sheets>
    <sheet name="JANUARY 2026-PMC" sheetId="383" r:id="rId1"/>
    <sheet name="JANUARY 2026- EXPLO" sheetId="384" r:id="rId2"/>
    <sheet name="JANUARY 2026- TIGERWAY " sheetId="385" r:id="rId3"/>
    <sheet name="FEBRUARY 2026-PMC" sheetId="386" r:id="rId4"/>
    <sheet name="FEBRUARY 2026- EXPLO" sheetId="387" r:id="rId5"/>
    <sheet name="FEBRUARY 2026- TIGERWAY " sheetId="388" r:id="rId6"/>
    <sheet name="MARCH 2026-PMC" sheetId="389" r:id="rId7"/>
    <sheet name="MARCH 2026- EXPLO " sheetId="390" r:id="rId8"/>
    <sheet name="MARCH 2026- TIGERWAY " sheetId="391" r:id="rId9"/>
    <sheet name="APRIL 2026-PMC " sheetId="392" r:id="rId10"/>
    <sheet name="APRIL 2026- EXPLO  " sheetId="393" r:id="rId11"/>
    <sheet name="APRIL 2026- TIGERWAY " sheetId="394" r:id="rId12"/>
    <sheet name="MAY 2026-PMC" sheetId="395" r:id="rId13"/>
    <sheet name="MAY 2026- EXPLO " sheetId="396" r:id="rId14"/>
    <sheet name="MAY 2026- TIGERWAY " sheetId="397" r:id="rId15"/>
  </sheets>
  <definedNames>
    <definedName name="_xlnm.Print_Area" localSheetId="10">'APRIL 2026- EXPLO  '!$A$1:$H$49</definedName>
    <definedName name="_xlnm.Print_Area" localSheetId="11">'APRIL 2026- TIGERWAY '!$A$1:$H$49</definedName>
    <definedName name="_xlnm.Print_Area" localSheetId="9">'APRIL 2026-PMC '!$A$1:$H$53</definedName>
    <definedName name="_xlnm.Print_Area" localSheetId="4">'FEBRUARY 2026- EXPLO'!$A$1:$H$49</definedName>
    <definedName name="_xlnm.Print_Area" localSheetId="5">'FEBRUARY 2026- TIGERWAY '!$A$1:$H$49</definedName>
    <definedName name="_xlnm.Print_Area" localSheetId="3">'FEBRUARY 2026-PMC'!$A$1:$H$53</definedName>
    <definedName name="_xlnm.Print_Area" localSheetId="1">'JANUARY 2026- EXPLO'!$A$1:$H$49</definedName>
    <definedName name="_xlnm.Print_Area" localSheetId="2">'JANUARY 2026- TIGERWAY '!$A$1:$H$49</definedName>
    <definedName name="_xlnm.Print_Area" localSheetId="0">'JANUARY 2026-PMC'!$A$1:$H$53</definedName>
    <definedName name="_xlnm.Print_Area" localSheetId="7">'MARCH 2026- EXPLO '!$A$1:$H$49</definedName>
    <definedName name="_xlnm.Print_Area" localSheetId="8">'MARCH 2026- TIGERWAY '!$A$1:$H$49</definedName>
    <definedName name="_xlnm.Print_Area" localSheetId="6">'MARCH 2026-PMC'!$A$1:$H$53</definedName>
    <definedName name="_xlnm.Print_Area" localSheetId="13">'MAY 2026- EXPLO '!$A$1:$H$49</definedName>
    <definedName name="_xlnm.Print_Area" localSheetId="14">'MAY 2026- TIGERWAY '!$A$1:$H$49</definedName>
    <definedName name="_xlnm.Print_Area" localSheetId="12">'MAY 2026-PMC'!$A$1:$H$53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97" l="1"/>
  <c r="F20" i="395" l="1"/>
  <c r="F28" i="395" l="1"/>
  <c r="D3" i="397" l="1"/>
  <c r="D3" i="396"/>
  <c r="F28" i="392" l="1"/>
  <c r="F20" i="392"/>
  <c r="D3" i="394" l="1"/>
  <c r="D3" i="393"/>
  <c r="F17" i="391" l="1"/>
  <c r="F28" i="389"/>
  <c r="F20" i="389"/>
  <c r="D3" i="391" l="1"/>
  <c r="D3" i="390"/>
  <c r="F28" i="386" l="1"/>
  <c r="F20" i="386"/>
  <c r="F18" i="387" l="1"/>
  <c r="D3" i="388" l="1"/>
  <c r="D3" i="387"/>
  <c r="F28" i="383" l="1"/>
  <c r="F20" i="383"/>
  <c r="F18" i="384" l="1"/>
  <c r="D3" i="385" l="1"/>
  <c r="D3" i="384"/>
</calcChain>
</file>

<file path=xl/sharedStrings.xml><?xml version="1.0" encoding="utf-8"?>
<sst xmlns="http://schemas.openxmlformats.org/spreadsheetml/2006/main" count="879" uniqueCount="62">
  <si>
    <t>NONEL</t>
  </si>
  <si>
    <t>EXEL</t>
  </si>
  <si>
    <t>MGB Form No. 15-8</t>
  </si>
  <si>
    <t>BLASTING REPORT FOR THE</t>
  </si>
  <si>
    <t xml:space="preserve">A. Mining Method    </t>
  </si>
  <si>
    <t>:</t>
  </si>
  <si>
    <t>B. Type of Rock Blasted</t>
  </si>
  <si>
    <t>C. Ore/Minerals</t>
  </si>
  <si>
    <t>AVERAGE DEPTH</t>
  </si>
  <si>
    <t>1. Primary :</t>
  </si>
  <si>
    <t>a) Using OBC</t>
  </si>
  <si>
    <t>Holes   :</t>
  </si>
  <si>
    <t>5'X11"</t>
  </si>
  <si>
    <t>b) Using EBC/</t>
  </si>
  <si>
    <t>Non-Elec. Det</t>
  </si>
  <si>
    <t>2. Secondary :</t>
  </si>
  <si>
    <t>3'X11</t>
  </si>
  <si>
    <t xml:space="preserve">E. Total No. of Blasting Activity for the month </t>
  </si>
  <si>
    <t>F. Tonnage Blasted :</t>
  </si>
  <si>
    <t>Ore               :</t>
  </si>
  <si>
    <t>Waste         :</t>
  </si>
  <si>
    <t>G. Hole Spacing Used         :</t>
  </si>
  <si>
    <t>1. Primary        :</t>
  </si>
  <si>
    <t>2. Secondary   :</t>
  </si>
  <si>
    <t>24 INCHES OR MORE</t>
  </si>
  <si>
    <t>H. REMARKS ( regarding blasting problems encountered/ explosion/fragmentation, etc.)</t>
  </si>
  <si>
    <t xml:space="preserve">Andesite porphyry and volcaniclastic </t>
  </si>
  <si>
    <t xml:space="preserve"> </t>
  </si>
  <si>
    <r>
      <t>18 INCHES OR MORE</t>
    </r>
    <r>
      <rPr>
        <b/>
        <sz val="9"/>
        <color theme="1"/>
        <rFont val="Cambria"/>
        <family val="1"/>
      </rPr>
      <t xml:space="preserve"> (VARIES DEPENDS ON ROCK HARDNESS)</t>
    </r>
  </si>
  <si>
    <r>
      <t xml:space="preserve">D. No. of Holes Blasted ( Specify diameter of holes </t>
    </r>
    <r>
      <rPr>
        <b/>
        <sz val="8"/>
        <color theme="1"/>
        <rFont val="Cambria"/>
        <family val="1"/>
      </rPr>
      <t>32 mm</t>
    </r>
    <r>
      <rPr>
        <b/>
        <sz val="11"/>
        <color theme="1"/>
        <rFont val="Cambria"/>
        <family val="1"/>
      </rPr>
      <t>)</t>
    </r>
  </si>
  <si>
    <t>exel273</t>
  </si>
  <si>
    <t>NO BLASTING PROBLEM ENCOUNTERED</t>
  </si>
  <si>
    <t>EXPLORATION SUB-SURFACE ADITING</t>
  </si>
  <si>
    <t>(VEIN) QUARTS, CALCITE / GOLD</t>
  </si>
  <si>
    <t>VEIN BRECCIA (QUARTS-CALCITE) / GOLD</t>
  </si>
  <si>
    <r>
      <t>D. No. of Holes Blasted ( Specify diameter of holes 45</t>
    </r>
    <r>
      <rPr>
        <b/>
        <sz val="8"/>
        <color theme="1"/>
        <rFont val="Cambria"/>
        <family val="1"/>
      </rPr>
      <t xml:space="preserve"> mm</t>
    </r>
    <r>
      <rPr>
        <b/>
        <sz val="11"/>
        <color theme="1"/>
        <rFont val="Cambria"/>
        <family val="1"/>
      </rPr>
      <t>)</t>
    </r>
  </si>
  <si>
    <t>MECHANIZED DECLINE DEVELOPMENT</t>
  </si>
  <si>
    <t>SHRINKAGE STOPING AND ROOM &amp; PILLAR (SLOT) STOPING</t>
  </si>
  <si>
    <t>4 Meters</t>
  </si>
  <si>
    <t>SUPREME</t>
  </si>
  <si>
    <t>SHOCK*STAR</t>
  </si>
  <si>
    <t>VEIN (QUARTS-CALCITE) / GOLD</t>
  </si>
  <si>
    <t>used in trunkline only</t>
  </si>
  <si>
    <t>Porphyritic Andesite</t>
  </si>
  <si>
    <t>Blast</t>
  </si>
  <si>
    <t>MONTH OF JANUARY 2026</t>
  </si>
  <si>
    <t>34 Blast</t>
  </si>
  <si>
    <t>No reported blasting problem encountered on the Month of January 2026</t>
  </si>
  <si>
    <t>41 Blast</t>
  </si>
  <si>
    <t>MONTH OF FEBRUARY 2026</t>
  </si>
  <si>
    <t>No reported blasting problem encountered on the Month of February 2026</t>
  </si>
  <si>
    <t>No reported blasting problem encountered on the Month of  February 2026</t>
  </si>
  <si>
    <t>23 Blast</t>
  </si>
  <si>
    <t>15 Blast</t>
  </si>
  <si>
    <t>MONTH OF MARCH 2026</t>
  </si>
  <si>
    <t>No reported blasting problem encountered on the Month of  March 2026</t>
  </si>
  <si>
    <t>26 Blast</t>
  </si>
  <si>
    <t>MONTH OF APRIL 2026</t>
  </si>
  <si>
    <t>No reported blasting problem encountered on the Month of  April 2026</t>
  </si>
  <si>
    <t>MONTH OF MAY 2026</t>
  </si>
  <si>
    <t>No reported blasting problem encountered on the Month of  May 2026</t>
  </si>
  <si>
    <t>22 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</si>
</sst>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#,##0.00_ ;\-#,##0.00\ 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Arabic Typesetting"/>
      <family val="4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i/>
      <sz val="11"/>
      <color theme="1"/>
      <name val="Cambria"/>
      <family val="1"/>
    </font>
    <font>
      <sz val="11"/>
      <color theme="1"/>
      <name val="Centaur"/>
      <family val="1"/>
    </font>
    <font>
      <b/>
      <sz val="11"/>
      <name val="Cambria"/>
      <family val="1"/>
    </font>
    <font>
      <b/>
      <sz val="9"/>
      <color theme="1"/>
      <name val="Cambria"/>
      <family val="1"/>
    </font>
    <font>
      <sz val="8"/>
      <color theme="1"/>
      <name val="FreesiaUPC"/>
      <family val="2"/>
    </font>
    <font>
      <b/>
      <sz val="8"/>
      <color theme="1"/>
      <name val="Cambria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mbria"/>
      <family val="1"/>
    </font>
    <font>
      <b/>
      <i/>
      <sz val="12"/>
      <color theme="1"/>
      <name val="Calibri"/>
      <family val="2"/>
      <scheme val="minor"/>
    </font>
    <font>
      <b/>
      <sz val="14"/>
      <name val="Cambria"/>
      <family val="1"/>
    </font>
    <font>
      <sz val="11"/>
      <name val="Cambria"/>
      <family val="1"/>
    </font>
    <font>
      <b/>
      <i/>
      <sz val="11"/>
      <name val="Cambria"/>
      <family val="1"/>
    </font>
    <font>
      <b/>
      <sz val="12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0" borderId="2" xfId="0" applyFont="1" applyBorder="1"/>
    <xf numFmtId="0" fontId="7" fillId="0" borderId="2" xfId="0" applyFont="1" applyBorder="1"/>
    <xf numFmtId="0" fontId="9" fillId="0" borderId="0" xfId="0" applyFont="1"/>
    <xf numFmtId="0" fontId="7" fillId="0" borderId="0" xfId="0" applyFont="1" applyAlignment="1">
      <alignment horizontal="right"/>
    </xf>
    <xf numFmtId="3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12" fillId="0" borderId="0" xfId="0" applyFont="1" applyAlignment="1">
      <alignment horizontal="right"/>
    </xf>
    <xf numFmtId="0" fontId="5" fillId="0" borderId="0" xfId="0" applyFont="1"/>
    <xf numFmtId="3" fontId="7" fillId="0" borderId="0" xfId="0" applyNumberFormat="1" applyFont="1"/>
    <xf numFmtId="0" fontId="8" fillId="0" borderId="0" xfId="0" applyFont="1"/>
    <xf numFmtId="0" fontId="1" fillId="0" borderId="2" xfId="0" applyFont="1" applyBorder="1"/>
    <xf numFmtId="0" fontId="1" fillId="0" borderId="1" xfId="0" applyFont="1" applyBorder="1"/>
    <xf numFmtId="49" fontId="3" fillId="0" borderId="1" xfId="0" applyNumberFormat="1" applyFont="1" applyBorder="1"/>
    <xf numFmtId="3" fontId="7" fillId="0" borderId="2" xfId="0" applyNumberFormat="1" applyFont="1" applyBorder="1" applyAlignment="1">
      <alignment horizontal="center"/>
    </xf>
    <xf numFmtId="3" fontId="7" fillId="0" borderId="2" xfId="0" applyNumberFormat="1" applyFont="1" applyBorder="1"/>
    <xf numFmtId="0" fontId="14" fillId="0" borderId="0" xfId="0" applyFont="1"/>
    <xf numFmtId="0" fontId="15" fillId="0" borderId="0" xfId="0" applyFont="1"/>
    <xf numFmtId="49" fontId="16" fillId="0" borderId="1" xfId="0" applyNumberFormat="1" applyFont="1" applyBorder="1"/>
    <xf numFmtId="0" fontId="17" fillId="0" borderId="0" xfId="0" applyFont="1"/>
    <xf numFmtId="0" fontId="10" fillId="0" borderId="2" xfId="0" applyFont="1" applyBorder="1" applyAlignment="1">
      <alignment horizontal="right"/>
    </xf>
    <xf numFmtId="3" fontId="10" fillId="0" borderId="2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3" fontId="10" fillId="0" borderId="0" xfId="0" applyNumberFormat="1" applyFont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7" fillId="0" borderId="1" xfId="0" applyFont="1" applyBorder="1" applyAlignment="1">
      <alignment horizontal="center"/>
    </xf>
    <xf numFmtId="3" fontId="10" fillId="0" borderId="0" xfId="0" applyNumberFormat="1" applyFont="1"/>
    <xf numFmtId="0" fontId="10" fillId="0" borderId="0" xfId="0" applyFont="1"/>
    <xf numFmtId="0" fontId="18" fillId="0" borderId="0" xfId="0" applyFont="1"/>
    <xf numFmtId="0" fontId="10" fillId="0" borderId="2" xfId="0" applyFont="1" applyBorder="1"/>
    <xf numFmtId="0" fontId="18" fillId="0" borderId="2" xfId="0" applyFont="1" applyBorder="1"/>
    <xf numFmtId="0" fontId="19" fillId="0" borderId="0" xfId="0" applyFont="1"/>
    <xf numFmtId="0" fontId="20" fillId="0" borderId="2" xfId="0" applyFont="1" applyBorder="1"/>
    <xf numFmtId="165" fontId="7" fillId="0" borderId="0" xfId="0" applyNumberFormat="1" applyFont="1"/>
    <xf numFmtId="3" fontId="10" fillId="0" borderId="1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2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4" fontId="10" fillId="2" borderId="1" xfId="0" applyNumberFormat="1" applyFont="1" applyFill="1" applyBorder="1" applyAlignment="1">
      <alignment horizontal="center"/>
    </xf>
    <xf numFmtId="4" fontId="10" fillId="2" borderId="2" xfId="0" applyNumberFormat="1" applyFont="1" applyFill="1" applyBorder="1" applyAlignment="1">
      <alignment horizontal="left"/>
    </xf>
    <xf numFmtId="4" fontId="10" fillId="2" borderId="1" xfId="0" applyNumberFormat="1" applyFont="1" applyFill="1" applyBorder="1" applyAlignment="1">
      <alignment horizontal="left"/>
    </xf>
    <xf numFmtId="166" fontId="10" fillId="0" borderId="2" xfId="5" applyNumberFormat="1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/>
    </xf>
    <xf numFmtId="4" fontId="10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</cellXfs>
  <cellStyles count="6">
    <cellStyle name="Comma" xfId="5" builtinId="3"/>
    <cellStyle name="Comma 2" xfId="2"/>
    <cellStyle name="Comma 3" xfId="4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1328342</xdr:colOff>
      <xdr:row>5</xdr:row>
      <xdr:rowOff>180720</xdr:rowOff>
    </xdr:from>
    <xdr:ext cx="679288" cy="46173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/>
      </xdr:nvSpPr>
      <xdr:spPr>
        <a:xfrm rot="18648321">
          <a:off x="1169040" y="3159422"/>
          <a:ext cx="4617391" cy="67928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20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20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1328342</xdr:colOff>
      <xdr:row>5</xdr:row>
      <xdr:rowOff>180720</xdr:rowOff>
    </xdr:from>
    <xdr:ext cx="679288" cy="46173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/>
      </xdr:nvSpPr>
      <xdr:spPr>
        <a:xfrm rot="18648321">
          <a:off x="1169040" y="3159422"/>
          <a:ext cx="4617391" cy="67928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20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20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1328342</xdr:colOff>
      <xdr:row>5</xdr:row>
      <xdr:rowOff>180720</xdr:rowOff>
    </xdr:from>
    <xdr:ext cx="679288" cy="46173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/>
      </xdr:nvSpPr>
      <xdr:spPr>
        <a:xfrm rot="18648321">
          <a:off x="1169040" y="3159422"/>
          <a:ext cx="4617391" cy="67928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20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20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N65"/>
  <sheetViews>
    <sheetView topLeftCell="A10" workbookViewId="0">
      <selection activeCell="J32" sqref="J32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4" spans="1:8" s="3" customFormat="1" ht="18">
      <c r="B4" s="18"/>
      <c r="C4" s="18"/>
      <c r="D4" s="18" t="s">
        <v>3</v>
      </c>
      <c r="E4" s="18"/>
      <c r="F4" s="18"/>
      <c r="G4" s="18"/>
      <c r="H4" s="18"/>
    </row>
    <row r="5" spans="1:8" s="3" customFormat="1" ht="18">
      <c r="D5" s="29" t="s">
        <v>45</v>
      </c>
    </row>
    <row r="6" spans="1:8" s="3" customFormat="1" ht="14.25"/>
    <row r="7" spans="1:8" s="3" customFormat="1" ht="14.25">
      <c r="A7" s="4" t="s">
        <v>4</v>
      </c>
      <c r="C7" s="3" t="s">
        <v>5</v>
      </c>
      <c r="D7" s="6" t="s">
        <v>37</v>
      </c>
      <c r="E7" s="5"/>
      <c r="F7" s="5"/>
      <c r="G7" s="5"/>
      <c r="H7" s="5"/>
    </row>
    <row r="8" spans="1:8" s="3" customFormat="1" ht="14.25">
      <c r="A8" s="4"/>
    </row>
    <row r="9" spans="1:8" s="3" customFormat="1" ht="14.25">
      <c r="A9" s="4" t="s">
        <v>6</v>
      </c>
      <c r="C9" s="3" t="s">
        <v>5</v>
      </c>
      <c r="D9" s="6" t="s">
        <v>26</v>
      </c>
      <c r="E9" s="5"/>
      <c r="F9" s="5"/>
      <c r="G9" s="5"/>
      <c r="H9" s="5"/>
    </row>
    <row r="10" spans="1:8" s="3" customFormat="1" ht="14.25">
      <c r="A10" s="4"/>
      <c r="D10" s="4"/>
    </row>
    <row r="11" spans="1:8" s="3" customFormat="1" ht="14.25">
      <c r="A11" s="4" t="s">
        <v>7</v>
      </c>
      <c r="C11" s="3" t="s">
        <v>5</v>
      </c>
      <c r="D11" s="6" t="s">
        <v>33</v>
      </c>
      <c r="E11" s="5"/>
      <c r="F11" s="5"/>
      <c r="G11" s="5"/>
      <c r="H11" s="5"/>
    </row>
    <row r="12" spans="1:8" s="3" customFormat="1" ht="14.25">
      <c r="A12" s="4"/>
    </row>
    <row r="13" spans="1:8" s="3" customFormat="1" ht="14.25">
      <c r="A13" s="4" t="s">
        <v>29</v>
      </c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t="s">
        <v>8</v>
      </c>
    </row>
    <row r="16" spans="1:8" s="4" customFormat="1" ht="18" customHeight="1">
      <c r="B16" s="4" t="s">
        <v>9</v>
      </c>
      <c r="D16" s="4" t="s">
        <v>10</v>
      </c>
      <c r="E16" s="8" t="s">
        <v>5</v>
      </c>
      <c r="F16" s="9"/>
      <c r="G16" s="4" t="s">
        <v>11</v>
      </c>
      <c r="H16" s="10"/>
    </row>
    <row r="17" spans="1:14" s="4" customFormat="1" ht="18" customHeight="1">
      <c r="D17" s="4" t="s">
        <v>13</v>
      </c>
      <c r="E17" s="8" t="s">
        <v>5</v>
      </c>
      <c r="F17" s="24"/>
      <c r="G17" s="4" t="s">
        <v>11</v>
      </c>
      <c r="H17" s="10"/>
    </row>
    <row r="18" spans="1:14" s="4" customFormat="1" ht="14.25">
      <c r="D18" s="11" t="s">
        <v>14</v>
      </c>
      <c r="E18" s="8"/>
    </row>
    <row r="19" spans="1:14" s="4" customFormat="1" ht="14.25">
      <c r="D19" s="4" t="s">
        <v>39</v>
      </c>
      <c r="E19" s="35" t="s">
        <v>5</v>
      </c>
      <c r="F19" s="31">
        <v>0</v>
      </c>
      <c r="G19" s="4" t="s">
        <v>11</v>
      </c>
      <c r="H19" s="10"/>
    </row>
    <row r="20" spans="1:14" s="4" customFormat="1" ht="14.25">
      <c r="D20" s="4" t="s">
        <v>1</v>
      </c>
      <c r="E20" s="35" t="s">
        <v>5</v>
      </c>
      <c r="F20" s="32">
        <f>836+44575-598</f>
        <v>44813</v>
      </c>
      <c r="G20" s="4" t="s">
        <v>11</v>
      </c>
      <c r="H20" s="10" t="s">
        <v>12</v>
      </c>
      <c r="K20" s="19"/>
    </row>
    <row r="21" spans="1:14" s="4" customFormat="1" ht="14.25">
      <c r="B21" s="4" t="s">
        <v>15</v>
      </c>
      <c r="E21" s="35"/>
      <c r="F21" s="33"/>
      <c r="I21" s="19"/>
      <c r="J21" s="19"/>
      <c r="K21" s="19"/>
    </row>
    <row r="22" spans="1:14" s="4" customFormat="1" ht="18" customHeight="1">
      <c r="D22" s="4" t="s">
        <v>10</v>
      </c>
      <c r="E22" s="35" t="s">
        <v>5</v>
      </c>
      <c r="F22" s="56">
        <v>587</v>
      </c>
      <c r="G22" s="4" t="s">
        <v>11</v>
      </c>
      <c r="H22" s="10"/>
      <c r="I22" s="19"/>
      <c r="J22" s="19"/>
      <c r="K22" s="19"/>
    </row>
    <row r="23" spans="1:14" s="4" customFormat="1" ht="18" customHeight="1">
      <c r="D23" s="4" t="s">
        <v>13</v>
      </c>
      <c r="E23" s="35" t="s">
        <v>5</v>
      </c>
      <c r="F23" s="34"/>
      <c r="G23" s="4" t="s">
        <v>11</v>
      </c>
      <c r="H23" s="10"/>
      <c r="I23" s="19"/>
      <c r="J23" s="19"/>
      <c r="K23" s="19"/>
    </row>
    <row r="24" spans="1:14" s="4" customFormat="1" ht="14.25">
      <c r="D24" s="11" t="s">
        <v>14</v>
      </c>
      <c r="E24" s="38"/>
      <c r="F24" s="35"/>
      <c r="I24" s="19"/>
      <c r="J24" s="19"/>
      <c r="K24" s="19"/>
    </row>
    <row r="25" spans="1:14" s="4" customFormat="1" ht="14.25">
      <c r="D25" s="4" t="s">
        <v>39</v>
      </c>
      <c r="E25" s="35" t="s">
        <v>5</v>
      </c>
      <c r="F25" s="31">
        <v>0</v>
      </c>
      <c r="G25" s="4" t="s">
        <v>11</v>
      </c>
      <c r="H25" s="10" t="s">
        <v>16</v>
      </c>
      <c r="I25" s="19"/>
      <c r="K25" s="19"/>
    </row>
    <row r="26" spans="1:14" s="4" customFormat="1" ht="14.25">
      <c r="D26" s="4" t="s">
        <v>1</v>
      </c>
      <c r="E26" s="35" t="s">
        <v>5</v>
      </c>
      <c r="F26" s="32">
        <v>598</v>
      </c>
      <c r="G26" s="4" t="s">
        <v>11</v>
      </c>
      <c r="H26" s="10"/>
      <c r="I26" s="19"/>
      <c r="J26" s="19"/>
      <c r="K26" s="19"/>
      <c r="N26" s="27"/>
    </row>
    <row r="27" spans="1:14" s="4" customFormat="1" ht="14.25">
      <c r="E27" s="35"/>
      <c r="F27" s="33"/>
      <c r="H27" s="12"/>
      <c r="I27" s="19"/>
      <c r="K27" s="19"/>
    </row>
    <row r="28" spans="1:14" s="4" customFormat="1" ht="15" customHeight="1">
      <c r="A28" s="4" t="s">
        <v>17</v>
      </c>
      <c r="E28" s="35" t="s">
        <v>5</v>
      </c>
      <c r="F28" s="31">
        <f>1197+522</f>
        <v>1719</v>
      </c>
      <c r="G28" s="6" t="s">
        <v>44</v>
      </c>
      <c r="H28" s="25"/>
      <c r="J28" s="19"/>
      <c r="K28" s="19"/>
    </row>
    <row r="29" spans="1:14" s="4" customFormat="1" ht="14.25">
      <c r="F29" s="37"/>
      <c r="J29" s="19"/>
      <c r="K29" s="19"/>
    </row>
    <row r="30" spans="1:14" s="4" customFormat="1" ht="14.25">
      <c r="A30" s="4" t="s">
        <v>18</v>
      </c>
      <c r="F30" s="19"/>
      <c r="J30" s="19"/>
      <c r="N30" s="19"/>
    </row>
    <row r="31" spans="1:14" s="4" customFormat="1" ht="14.25">
      <c r="D31" s="4" t="s">
        <v>27</v>
      </c>
      <c r="F31" s="19"/>
      <c r="G31" s="19"/>
      <c r="K31" s="19"/>
    </row>
    <row r="32" spans="1:14" s="4" customFormat="1" ht="18" customHeight="1">
      <c r="B32" s="8" t="s">
        <v>19</v>
      </c>
      <c r="C32" s="8"/>
      <c r="D32" s="58">
        <v>37627.81</v>
      </c>
      <c r="E32" s="6"/>
      <c r="F32" s="25"/>
      <c r="G32" s="6"/>
      <c r="H32" s="6"/>
      <c r="J32" s="19"/>
    </row>
    <row r="33" spans="1:8" s="4" customFormat="1" ht="18" customHeight="1">
      <c r="B33" s="8" t="s">
        <v>20</v>
      </c>
      <c r="C33" s="8"/>
      <c r="D33" s="59">
        <v>8794.65</v>
      </c>
      <c r="E33" s="13"/>
      <c r="F33" s="13"/>
      <c r="G33" s="13"/>
      <c r="H33" s="13"/>
    </row>
    <row r="34" spans="1:8" s="4" customFormat="1" ht="14.25"/>
    <row r="35" spans="1:8" s="4" customFormat="1" ht="14.25">
      <c r="A35" s="4" t="s">
        <v>21</v>
      </c>
    </row>
    <row r="36" spans="1:8" s="4" customFormat="1" ht="14.25"/>
    <row r="37" spans="1:8" s="4" customFormat="1" ht="18" customHeight="1">
      <c r="B37" s="4" t="s">
        <v>22</v>
      </c>
      <c r="D37" s="6" t="s">
        <v>28</v>
      </c>
      <c r="E37" s="6"/>
      <c r="F37" s="6"/>
      <c r="G37" s="6"/>
      <c r="H37" s="6"/>
    </row>
    <row r="38" spans="1:8" s="4" customFormat="1" ht="18" customHeight="1">
      <c r="B38" s="4" t="s">
        <v>23</v>
      </c>
      <c r="D38" s="13" t="s">
        <v>24</v>
      </c>
      <c r="E38" s="13"/>
      <c r="F38" s="13"/>
      <c r="G38" s="13"/>
      <c r="H38" s="13"/>
    </row>
    <row r="39" spans="1:8" s="4" customFormat="1" ht="14.25"/>
    <row r="40" spans="1:8" s="4" customFormat="1" ht="14.25">
      <c r="A40" s="4" t="s">
        <v>25</v>
      </c>
    </row>
    <row r="41" spans="1:8" s="1" customFormat="1"/>
    <row r="43" spans="1:8">
      <c r="A43" s="1"/>
      <c r="B43" s="14" t="s">
        <v>31</v>
      </c>
      <c r="C43" s="14"/>
      <c r="D43" s="14"/>
      <c r="E43" s="14"/>
      <c r="F43" s="14"/>
      <c r="G43" s="21"/>
      <c r="H43" s="15"/>
    </row>
    <row r="44" spans="1:8" ht="17.100000000000001" customHeight="1">
      <c r="A44" s="1"/>
      <c r="B44" s="28"/>
      <c r="C44" s="22"/>
      <c r="D44" s="22"/>
      <c r="E44" s="22"/>
      <c r="F44" s="22"/>
      <c r="G44" s="22"/>
      <c r="H44" s="16"/>
    </row>
    <row r="45" spans="1:8" ht="17.100000000000001" customHeight="1">
      <c r="A45" s="1"/>
      <c r="B45" s="23"/>
      <c r="C45" s="22"/>
      <c r="D45" s="22"/>
      <c r="E45" s="22"/>
      <c r="F45" s="22"/>
      <c r="G45" s="22"/>
      <c r="H45" s="16"/>
    </row>
    <row r="46" spans="1:8" ht="17.100000000000001" customHeight="1">
      <c r="A46" s="1"/>
      <c r="B46" s="22"/>
      <c r="C46" s="22"/>
      <c r="D46" s="22"/>
      <c r="E46" s="22"/>
      <c r="F46" s="22"/>
      <c r="G46" s="22"/>
      <c r="H46" s="16"/>
    </row>
    <row r="47" spans="1:8" ht="17.100000000000001" customHeight="1">
      <c r="B47" s="16"/>
      <c r="C47" s="16"/>
      <c r="D47" s="16"/>
      <c r="E47" s="16"/>
      <c r="F47" s="16"/>
      <c r="G47" s="16"/>
      <c r="H47" s="16"/>
    </row>
    <row r="48" spans="1:8" ht="17.100000000000001" customHeight="1">
      <c r="B48" s="16"/>
      <c r="C48" s="16"/>
      <c r="D48" s="16"/>
      <c r="E48" s="16"/>
      <c r="F48" s="16"/>
      <c r="G48" s="16"/>
      <c r="H48" s="16"/>
    </row>
    <row r="49" spans="2:8" ht="17.100000000000001" customHeight="1">
      <c r="B49" s="16"/>
      <c r="C49" s="16"/>
      <c r="D49" s="16"/>
      <c r="E49" s="16"/>
      <c r="F49" s="16"/>
      <c r="G49" s="16"/>
      <c r="H49" s="16"/>
    </row>
    <row r="52" spans="2:8">
      <c r="H52" s="17"/>
    </row>
    <row r="65" spans="1:1">
      <c r="A65" s="26" t="s">
        <v>30</v>
      </c>
    </row>
  </sheetData>
  <pageMargins left="0.4" right="0.19" top="0.75" bottom="0.75" header="0.3" footer="0.3"/>
  <pageSetup paperSiz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N61"/>
  <sheetViews>
    <sheetView topLeftCell="A4" workbookViewId="0">
      <selection activeCell="M36" sqref="M36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'JANUARY 2026-PMC'!D5</f>
        <v>MONTH OF JANUARY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32</v>
      </c>
      <c r="E5" s="5"/>
      <c r="F5" s="5"/>
      <c r="G5" s="5"/>
      <c r="H5" s="5"/>
    </row>
    <row r="6" spans="1:8" s="3" customFormat="1" ht="14.25">
      <c r="A6" s="4"/>
    </row>
    <row r="7" spans="1:8" s="3" customFormat="1" ht="14.25">
      <c r="A7" s="4" t="s">
        <v>6</v>
      </c>
      <c r="C7" s="3" t="s">
        <v>5</v>
      </c>
      <c r="D7" s="6" t="s">
        <v>26</v>
      </c>
      <c r="E7" s="5"/>
      <c r="F7" s="5"/>
      <c r="G7" s="5"/>
      <c r="H7" s="5"/>
    </row>
    <row r="8" spans="1:8" s="3" customFormat="1" ht="14.25">
      <c r="A8" s="4"/>
      <c r="D8" s="20"/>
    </row>
    <row r="9" spans="1:8" s="3" customFormat="1" ht="14.25">
      <c r="A9" s="4" t="s">
        <v>7</v>
      </c>
      <c r="C9" s="3" t="s">
        <v>5</v>
      </c>
      <c r="D9" s="6" t="s">
        <v>34</v>
      </c>
      <c r="E9" s="5"/>
      <c r="F9" s="5"/>
      <c r="G9" s="5"/>
      <c r="H9" s="5"/>
    </row>
    <row r="10" spans="1:8" s="3" customFormat="1" ht="14.25">
      <c r="A10" s="4"/>
    </row>
    <row r="11" spans="1:8" s="3" customFormat="1" ht="14.25">
      <c r="A11" s="4" t="s">
        <v>29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>
        <v>84</v>
      </c>
      <c r="G14" s="4" t="s">
        <v>11</v>
      </c>
      <c r="H14" s="10"/>
    </row>
    <row r="15" spans="1:8" s="4" customFormat="1" ht="18" customHeight="1">
      <c r="D15" s="4" t="s">
        <v>13</v>
      </c>
      <c r="E15" s="8" t="s">
        <v>5</v>
      </c>
      <c r="F15" s="46">
        <v>0</v>
      </c>
      <c r="G15" s="4" t="s">
        <v>11</v>
      </c>
      <c r="H15" s="10"/>
    </row>
    <row r="16" spans="1:8" s="4" customFormat="1" ht="14.25">
      <c r="D16" s="11" t="s">
        <v>14</v>
      </c>
      <c r="E16" s="8"/>
      <c r="F16" s="50"/>
    </row>
    <row r="17" spans="1:14" s="4" customFormat="1" ht="14.25">
      <c r="D17" s="4" t="s">
        <v>0</v>
      </c>
      <c r="E17" s="8" t="s">
        <v>5</v>
      </c>
      <c r="F17" s="46"/>
      <c r="G17" s="4" t="s">
        <v>11</v>
      </c>
      <c r="H17" s="10" t="s">
        <v>12</v>
      </c>
    </row>
    <row r="18" spans="1:14" s="4" customFormat="1" ht="14.25">
      <c r="D18" s="4" t="s">
        <v>1</v>
      </c>
      <c r="E18" s="8" t="s">
        <v>5</v>
      </c>
      <c r="F18" s="45">
        <f>773+175</f>
        <v>948</v>
      </c>
      <c r="G18" s="4" t="s">
        <v>11</v>
      </c>
      <c r="H18" s="10" t="s">
        <v>12</v>
      </c>
      <c r="K18" s="19"/>
    </row>
    <row r="19" spans="1:14" s="4" customFormat="1" ht="14.25">
      <c r="B19" s="4" t="s">
        <v>15</v>
      </c>
      <c r="E19" s="8"/>
      <c r="F19" s="47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48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49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50"/>
      <c r="I22" s="19"/>
      <c r="J22" s="19"/>
      <c r="K22" s="19"/>
    </row>
    <row r="23" spans="1:14" s="4" customFormat="1" ht="14.25">
      <c r="D23" s="4" t="s">
        <v>0</v>
      </c>
      <c r="E23" s="8" t="s">
        <v>5</v>
      </c>
      <c r="F23" s="46"/>
      <c r="G23" s="4" t="s">
        <v>11</v>
      </c>
      <c r="H23" s="10" t="s">
        <v>16</v>
      </c>
      <c r="I23" s="19"/>
      <c r="K23" s="19"/>
    </row>
    <row r="24" spans="1:14" s="4" customFormat="1" ht="14.25">
      <c r="D24" s="4" t="s">
        <v>1</v>
      </c>
      <c r="E24" s="8" t="s">
        <v>5</v>
      </c>
      <c r="F24" s="49"/>
      <c r="G24" s="4" t="s">
        <v>11</v>
      </c>
      <c r="H24" s="10" t="s">
        <v>16</v>
      </c>
      <c r="I24" s="19"/>
      <c r="J24" s="19"/>
      <c r="K24" s="19"/>
      <c r="N24" s="27"/>
    </row>
    <row r="25" spans="1:14" s="4" customFormat="1" ht="14.25">
      <c r="E25" s="8"/>
      <c r="F25" s="50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46" t="s">
        <v>48</v>
      </c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0">
        <v>436.81</v>
      </c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61">
        <v>310.2</v>
      </c>
      <c r="E31" s="13"/>
      <c r="F31" s="13"/>
      <c r="G31" s="13"/>
      <c r="H31" s="13"/>
    </row>
    <row r="32" spans="1:14" s="4" customFormat="1" ht="14.25">
      <c r="D32" s="38"/>
    </row>
    <row r="33" spans="1:8" s="4" customFormat="1" ht="14.25">
      <c r="A33" s="4" t="s">
        <v>21</v>
      </c>
    </row>
    <row r="34" spans="1:8" s="4" customFormat="1" ht="14.25"/>
    <row r="35" spans="1:8" s="4" customFormat="1" ht="18" customHeight="1">
      <c r="B35" s="4" t="s">
        <v>22</v>
      </c>
      <c r="D35" s="54"/>
      <c r="E35" s="6"/>
      <c r="F35" s="6"/>
      <c r="G35" s="6"/>
      <c r="H35" s="6"/>
    </row>
    <row r="36" spans="1:8" s="4" customFormat="1" ht="18" customHeight="1">
      <c r="B36" s="4" t="s">
        <v>23</v>
      </c>
      <c r="D36" s="55"/>
      <c r="E36" s="13"/>
      <c r="F36" s="13"/>
      <c r="G36" s="13"/>
      <c r="H36" s="13"/>
    </row>
    <row r="37" spans="1:8" s="4" customFormat="1" ht="14.25"/>
    <row r="38" spans="1:8" s="4" customFormat="1" ht="14.25">
      <c r="A38" s="4" t="s">
        <v>25</v>
      </c>
    </row>
    <row r="39" spans="1:8" s="1" customFormat="1"/>
    <row r="40" spans="1:8" ht="17.100000000000001" customHeight="1">
      <c r="A40" s="1"/>
      <c r="B40" s="28" t="s">
        <v>47</v>
      </c>
      <c r="C40" s="22"/>
      <c r="D40" s="22"/>
      <c r="E40" s="22"/>
      <c r="F40" s="22"/>
      <c r="G40" s="22"/>
      <c r="H40" s="16"/>
    </row>
    <row r="41" spans="1:8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8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8" ht="17.100000000000001" customHeight="1">
      <c r="B43" s="16"/>
      <c r="C43" s="16"/>
      <c r="D43" s="16"/>
      <c r="E43" s="16"/>
      <c r="F43" s="16"/>
      <c r="G43" s="16"/>
      <c r="H43" s="16"/>
    </row>
    <row r="44" spans="1:8" ht="17.100000000000001" customHeight="1">
      <c r="B44" s="16"/>
      <c r="C44" s="16"/>
      <c r="D44" s="16"/>
      <c r="E44" s="16"/>
      <c r="F44" s="16"/>
      <c r="G44" s="16"/>
      <c r="H44" s="16"/>
    </row>
    <row r="45" spans="1:8" ht="17.100000000000001" customHeight="1">
      <c r="B45" s="16"/>
      <c r="C45" s="16"/>
      <c r="D45" s="16"/>
      <c r="E45" s="16"/>
      <c r="F45" s="16"/>
      <c r="G45" s="16"/>
      <c r="H45" s="16"/>
    </row>
    <row r="48" spans="1:8">
      <c r="H48" s="17"/>
    </row>
    <row r="61" spans="1:1">
      <c r="A61" s="26" t="s">
        <v>30</v>
      </c>
    </row>
  </sheetData>
  <pageMargins left="0.4" right="0.19" top="0.75" bottom="0.75" header="0.3" footer="0.3"/>
  <pageSetup paperSiz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7" workbookViewId="0">
      <selection activeCell="D30" sqref="D30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  <col min="13" max="13" width="12" bestFit="1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'JANUARY 2026-PMC'!D5</f>
        <v>MONTH OF JANUARY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36</v>
      </c>
      <c r="E5" s="5"/>
      <c r="F5" s="5"/>
      <c r="G5" s="5"/>
      <c r="H5" s="5"/>
    </row>
    <row r="6" spans="1:8" s="3" customFormat="1" ht="14.25">
      <c r="A6" s="4"/>
    </row>
    <row r="7" spans="1:8" s="39" customFormat="1" ht="15.75">
      <c r="A7" s="38" t="s">
        <v>6</v>
      </c>
      <c r="C7" s="39" t="s">
        <v>5</v>
      </c>
      <c r="D7" s="43" t="s">
        <v>43</v>
      </c>
      <c r="E7" s="41"/>
      <c r="F7" s="41"/>
      <c r="G7" s="41"/>
      <c r="H7" s="41"/>
    </row>
    <row r="8" spans="1:8" s="39" customFormat="1" ht="14.25">
      <c r="A8" s="38"/>
      <c r="D8" s="42"/>
    </row>
    <row r="9" spans="1:8" s="39" customFormat="1" ht="14.25">
      <c r="A9" s="38" t="s">
        <v>7</v>
      </c>
      <c r="C9" s="39" t="s">
        <v>5</v>
      </c>
      <c r="D9" s="40" t="s">
        <v>41</v>
      </c>
      <c r="E9" s="41"/>
      <c r="F9" s="41"/>
      <c r="G9" s="41"/>
      <c r="H9" s="41"/>
    </row>
    <row r="10" spans="1:8" s="3" customFormat="1" ht="14.25">
      <c r="A10" s="4"/>
    </row>
    <row r="11" spans="1:8" s="3" customFormat="1" ht="14.25">
      <c r="A11" s="4" t="s">
        <v>35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>
        <v>179</v>
      </c>
      <c r="G14" s="63" t="s">
        <v>42</v>
      </c>
      <c r="H14" s="63"/>
    </row>
    <row r="15" spans="1:8" s="4" customFormat="1" ht="18" customHeight="1">
      <c r="D15" s="4" t="s">
        <v>13</v>
      </c>
      <c r="E15" s="8" t="s">
        <v>5</v>
      </c>
      <c r="F15" s="51"/>
      <c r="G15" s="4" t="s">
        <v>11</v>
      </c>
      <c r="H15" s="10" t="s">
        <v>38</v>
      </c>
    </row>
    <row r="16" spans="1:8" s="4" customFormat="1" ht="14.25">
      <c r="D16" s="11" t="s">
        <v>14</v>
      </c>
      <c r="E16" s="8"/>
      <c r="F16" s="53"/>
    </row>
    <row r="17" spans="1:14" s="4" customFormat="1" ht="14.25">
      <c r="D17" s="38" t="s">
        <v>39</v>
      </c>
      <c r="E17" s="8" t="s">
        <v>5</v>
      </c>
      <c r="F17" s="51">
        <v>1786</v>
      </c>
      <c r="G17" s="4" t="s">
        <v>11</v>
      </c>
      <c r="H17" s="10" t="s">
        <v>38</v>
      </c>
    </row>
    <row r="18" spans="1:14" s="4" customFormat="1" ht="14.25">
      <c r="D18" s="38" t="s">
        <v>40</v>
      </c>
      <c r="E18" s="8" t="s">
        <v>5</v>
      </c>
      <c r="F18" s="52"/>
      <c r="G18" s="4" t="s">
        <v>11</v>
      </c>
      <c r="H18" s="10" t="s">
        <v>38</v>
      </c>
      <c r="K18" s="19"/>
    </row>
    <row r="19" spans="1:14" s="4" customFormat="1" ht="14.25">
      <c r="B19" s="4" t="s">
        <v>15</v>
      </c>
      <c r="E19" s="8"/>
      <c r="F19" s="33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30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34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35"/>
      <c r="I22" s="19"/>
      <c r="J22" s="19"/>
      <c r="K22" s="19"/>
    </row>
    <row r="23" spans="1:14" s="4" customFormat="1" ht="14.25">
      <c r="D23" s="38" t="s">
        <v>39</v>
      </c>
      <c r="E23" s="8" t="s">
        <v>5</v>
      </c>
      <c r="F23" s="31">
        <v>0</v>
      </c>
      <c r="G23" s="4" t="s">
        <v>11</v>
      </c>
      <c r="H23" s="10" t="s">
        <v>38</v>
      </c>
      <c r="I23" s="19"/>
      <c r="K23" s="19"/>
    </row>
    <row r="24" spans="1:14" s="4" customFormat="1" ht="14.25">
      <c r="D24" s="38" t="s">
        <v>40</v>
      </c>
      <c r="E24" s="8" t="s">
        <v>5</v>
      </c>
      <c r="F24" s="34">
        <v>0</v>
      </c>
      <c r="G24" s="4" t="s">
        <v>11</v>
      </c>
      <c r="H24" s="10" t="s">
        <v>38</v>
      </c>
      <c r="I24" s="19"/>
      <c r="J24" s="19"/>
      <c r="K24" s="19"/>
      <c r="N24" s="27"/>
    </row>
    <row r="25" spans="1:14" s="4" customFormat="1" ht="14.25">
      <c r="E25" s="8"/>
      <c r="F25" s="35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31" t="s">
        <v>46</v>
      </c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M28" s="44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2">
        <v>6621.5240000000003</v>
      </c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57"/>
      <c r="E31" s="13"/>
      <c r="F31" s="13"/>
      <c r="G31" s="13"/>
      <c r="H31" s="13"/>
    </row>
    <row r="32" spans="1:14" s="4" customFormat="1" ht="14.25"/>
    <row r="33" spans="1:11" s="4" customFormat="1" ht="14.25">
      <c r="A33" s="4" t="s">
        <v>21</v>
      </c>
    </row>
    <row r="34" spans="1:11" s="4" customFormat="1" ht="14.25"/>
    <row r="35" spans="1:11" s="4" customFormat="1" ht="18" customHeight="1">
      <c r="B35" s="4" t="s">
        <v>22</v>
      </c>
      <c r="D35" s="10"/>
      <c r="E35" s="6"/>
      <c r="F35" s="6"/>
      <c r="G35" s="6"/>
      <c r="H35" s="6"/>
    </row>
    <row r="36" spans="1:11" s="4" customFormat="1" ht="18" customHeight="1">
      <c r="B36" s="4" t="s">
        <v>23</v>
      </c>
      <c r="D36" s="36"/>
      <c r="E36" s="13"/>
      <c r="F36" s="13"/>
      <c r="G36" s="13"/>
      <c r="H36" s="13"/>
    </row>
    <row r="37" spans="1:11" s="4" customFormat="1" ht="14.25"/>
    <row r="38" spans="1:11" s="4" customFormat="1" ht="14.25">
      <c r="A38" s="4" t="s">
        <v>25</v>
      </c>
    </row>
    <row r="39" spans="1:11" s="1" customFormat="1"/>
    <row r="40" spans="1:11" ht="17.100000000000001" customHeight="1">
      <c r="A40" s="1"/>
      <c r="B40" s="28" t="s">
        <v>47</v>
      </c>
      <c r="C40" s="22"/>
      <c r="D40" s="22"/>
      <c r="E40" s="22"/>
      <c r="F40" s="22"/>
      <c r="G40" s="22"/>
      <c r="H40" s="16"/>
      <c r="K40" t="s">
        <v>27</v>
      </c>
    </row>
    <row r="41" spans="1:11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11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11" ht="17.100000000000001" customHeight="1">
      <c r="B43" s="16"/>
      <c r="C43" s="16"/>
      <c r="D43" s="16"/>
      <c r="E43" s="16"/>
      <c r="F43" s="16"/>
      <c r="G43" s="16"/>
      <c r="H43" s="16"/>
    </row>
    <row r="44" spans="1:11" ht="17.100000000000001" customHeight="1">
      <c r="B44" s="16"/>
      <c r="C44" s="16"/>
      <c r="D44" s="16"/>
      <c r="E44" s="16"/>
      <c r="F44" s="16"/>
      <c r="G44" s="16"/>
      <c r="H44" s="16"/>
    </row>
    <row r="45" spans="1:11" ht="17.100000000000001" customHeight="1">
      <c r="B45" s="16"/>
      <c r="C45" s="16"/>
      <c r="D45" s="16"/>
      <c r="E45" s="16"/>
      <c r="F45" s="16"/>
      <c r="G45" s="16"/>
      <c r="H45" s="16"/>
    </row>
    <row r="48" spans="1:11">
      <c r="H48" s="17"/>
    </row>
    <row r="61" spans="1:1">
      <c r="A61" s="26" t="s">
        <v>30</v>
      </c>
    </row>
  </sheetData>
  <mergeCells count="1">
    <mergeCell ref="G14:H14"/>
  </mergeCells>
  <pageMargins left="0.39370078740157483" right="0.19685039370078741" top="0.74803149606299213" bottom="0.74803149606299213" header="0.31496062992125984" footer="0.31496062992125984"/>
  <pageSetup paperSiz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N65"/>
  <sheetViews>
    <sheetView workbookViewId="0">
      <selection activeCell="D33" sqref="D33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4" spans="1:8" s="3" customFormat="1" ht="18">
      <c r="B4" s="18"/>
      <c r="C4" s="18"/>
      <c r="D4" s="18" t="s">
        <v>3</v>
      </c>
      <c r="E4" s="18"/>
      <c r="F4" s="18"/>
      <c r="G4" s="18"/>
      <c r="H4" s="18"/>
    </row>
    <row r="5" spans="1:8" s="3" customFormat="1" ht="18">
      <c r="D5" s="29" t="s">
        <v>49</v>
      </c>
    </row>
    <row r="6" spans="1:8" s="3" customFormat="1" ht="14.25"/>
    <row r="7" spans="1:8" s="3" customFormat="1" ht="14.25">
      <c r="A7" s="4" t="s">
        <v>4</v>
      </c>
      <c r="C7" s="3" t="s">
        <v>5</v>
      </c>
      <c r="D7" s="6" t="s">
        <v>37</v>
      </c>
      <c r="E7" s="5"/>
      <c r="F7" s="5"/>
      <c r="G7" s="5"/>
      <c r="H7" s="5"/>
    </row>
    <row r="8" spans="1:8" s="3" customFormat="1" ht="14.25">
      <c r="A8" s="4"/>
    </row>
    <row r="9" spans="1:8" s="3" customFormat="1" ht="14.25">
      <c r="A9" s="4" t="s">
        <v>6</v>
      </c>
      <c r="C9" s="3" t="s">
        <v>5</v>
      </c>
      <c r="D9" s="6" t="s">
        <v>26</v>
      </c>
      <c r="E9" s="5"/>
      <c r="F9" s="5"/>
      <c r="G9" s="5"/>
      <c r="H9" s="5"/>
    </row>
    <row r="10" spans="1:8" s="3" customFormat="1" ht="14.25">
      <c r="A10" s="4"/>
      <c r="D10" s="4"/>
    </row>
    <row r="11" spans="1:8" s="3" customFormat="1" ht="14.25">
      <c r="A11" s="4" t="s">
        <v>7</v>
      </c>
      <c r="C11" s="3" t="s">
        <v>5</v>
      </c>
      <c r="D11" s="6" t="s">
        <v>33</v>
      </c>
      <c r="E11" s="5"/>
      <c r="F11" s="5"/>
      <c r="G11" s="5"/>
      <c r="H11" s="5"/>
    </row>
    <row r="12" spans="1:8" s="3" customFormat="1" ht="14.25">
      <c r="A12" s="4"/>
    </row>
    <row r="13" spans="1:8" s="3" customFormat="1" ht="14.25">
      <c r="A13" s="4" t="s">
        <v>29</v>
      </c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t="s">
        <v>8</v>
      </c>
    </row>
    <row r="16" spans="1:8" s="4" customFormat="1" ht="18" customHeight="1">
      <c r="B16" s="4" t="s">
        <v>9</v>
      </c>
      <c r="D16" s="4" t="s">
        <v>10</v>
      </c>
      <c r="E16" s="8" t="s">
        <v>5</v>
      </c>
      <c r="F16" s="9"/>
      <c r="G16" s="4" t="s">
        <v>11</v>
      </c>
      <c r="H16" s="10"/>
    </row>
    <row r="17" spans="1:14" s="4" customFormat="1" ht="18" customHeight="1">
      <c r="D17" s="4" t="s">
        <v>13</v>
      </c>
      <c r="E17" s="8" t="s">
        <v>5</v>
      </c>
      <c r="F17" s="24"/>
      <c r="G17" s="4" t="s">
        <v>11</v>
      </c>
      <c r="H17" s="10"/>
    </row>
    <row r="18" spans="1:14" s="4" customFormat="1" ht="14.25">
      <c r="D18" s="11" t="s">
        <v>14</v>
      </c>
      <c r="E18" s="8"/>
    </row>
    <row r="19" spans="1:14" s="4" customFormat="1" ht="14.25">
      <c r="D19" s="4" t="s">
        <v>39</v>
      </c>
      <c r="E19" s="35" t="s">
        <v>5</v>
      </c>
      <c r="F19" s="31">
        <v>0</v>
      </c>
      <c r="G19" s="4" t="s">
        <v>11</v>
      </c>
      <c r="H19" s="10"/>
    </row>
    <row r="20" spans="1:14" s="4" customFormat="1" ht="14.25">
      <c r="D20" s="4" t="s">
        <v>1</v>
      </c>
      <c r="E20" s="35" t="s">
        <v>5</v>
      </c>
      <c r="F20" s="32">
        <f>414+39733-408</f>
        <v>39739</v>
      </c>
      <c r="G20" s="4" t="s">
        <v>11</v>
      </c>
      <c r="H20" s="10" t="s">
        <v>12</v>
      </c>
      <c r="K20" s="19"/>
    </row>
    <row r="21" spans="1:14" s="4" customFormat="1" ht="14.25">
      <c r="B21" s="4" t="s">
        <v>15</v>
      </c>
      <c r="E21" s="35"/>
      <c r="F21" s="33"/>
      <c r="I21" s="19"/>
      <c r="J21" s="19"/>
      <c r="K21" s="19"/>
    </row>
    <row r="22" spans="1:14" s="4" customFormat="1" ht="18" customHeight="1">
      <c r="D22" s="4" t="s">
        <v>10</v>
      </c>
      <c r="E22" s="35" t="s">
        <v>5</v>
      </c>
      <c r="F22" s="56">
        <v>507</v>
      </c>
      <c r="G22" s="4" t="s">
        <v>11</v>
      </c>
      <c r="H22" s="10"/>
      <c r="I22" s="19"/>
      <c r="J22" s="19"/>
      <c r="K22" s="19"/>
    </row>
    <row r="23" spans="1:14" s="4" customFormat="1" ht="18" customHeight="1">
      <c r="D23" s="4" t="s">
        <v>13</v>
      </c>
      <c r="E23" s="35" t="s">
        <v>5</v>
      </c>
      <c r="F23" s="34"/>
      <c r="G23" s="4" t="s">
        <v>11</v>
      </c>
      <c r="H23" s="10"/>
      <c r="I23" s="19"/>
      <c r="J23" s="19"/>
      <c r="K23" s="19"/>
    </row>
    <row r="24" spans="1:14" s="4" customFormat="1" ht="14.25">
      <c r="D24" s="11" t="s">
        <v>14</v>
      </c>
      <c r="E24" s="38"/>
      <c r="F24" s="35"/>
      <c r="I24" s="19"/>
      <c r="J24" s="19"/>
      <c r="K24" s="19"/>
    </row>
    <row r="25" spans="1:14" s="4" customFormat="1" ht="14.25">
      <c r="D25" s="4" t="s">
        <v>39</v>
      </c>
      <c r="E25" s="35" t="s">
        <v>5</v>
      </c>
      <c r="F25" s="31">
        <v>0</v>
      </c>
      <c r="G25" s="4" t="s">
        <v>11</v>
      </c>
      <c r="H25" s="10" t="s">
        <v>16</v>
      </c>
      <c r="I25" s="19"/>
      <c r="K25" s="19"/>
    </row>
    <row r="26" spans="1:14" s="4" customFormat="1" ht="14.25">
      <c r="D26" s="4" t="s">
        <v>1</v>
      </c>
      <c r="E26" s="35" t="s">
        <v>5</v>
      </c>
      <c r="F26" s="32">
        <v>408</v>
      </c>
      <c r="G26" s="4" t="s">
        <v>11</v>
      </c>
      <c r="H26" s="10"/>
      <c r="I26" s="19"/>
      <c r="J26" s="19"/>
      <c r="K26" s="19"/>
      <c r="N26" s="27"/>
    </row>
    <row r="27" spans="1:14" s="4" customFormat="1" ht="14.25">
      <c r="E27" s="35"/>
      <c r="F27" s="33"/>
      <c r="H27" s="12"/>
      <c r="I27" s="19"/>
      <c r="K27" s="19"/>
    </row>
    <row r="28" spans="1:14" s="4" customFormat="1" ht="15" customHeight="1">
      <c r="A28" s="4" t="s">
        <v>17</v>
      </c>
      <c r="E28" s="35" t="s">
        <v>5</v>
      </c>
      <c r="F28" s="31">
        <f>1631+559</f>
        <v>2190</v>
      </c>
      <c r="G28" s="6" t="s">
        <v>44</v>
      </c>
      <c r="H28" s="25"/>
      <c r="J28" s="19"/>
      <c r="K28" s="19"/>
    </row>
    <row r="29" spans="1:14" s="4" customFormat="1" ht="14.25">
      <c r="F29" s="37"/>
      <c r="J29" s="19"/>
      <c r="K29" s="19"/>
    </row>
    <row r="30" spans="1:14" s="4" customFormat="1" ht="14.25">
      <c r="A30" s="4" t="s">
        <v>18</v>
      </c>
      <c r="F30" s="19"/>
      <c r="J30" s="19"/>
      <c r="N30" s="19"/>
    </row>
    <row r="31" spans="1:14" s="4" customFormat="1" ht="14.25">
      <c r="D31" s="4" t="s">
        <v>27</v>
      </c>
      <c r="F31" s="19"/>
      <c r="G31" s="19"/>
      <c r="K31" s="19"/>
    </row>
    <row r="32" spans="1:14" s="4" customFormat="1" ht="18" customHeight="1">
      <c r="B32" s="8" t="s">
        <v>19</v>
      </c>
      <c r="C32" s="8"/>
      <c r="D32" s="58">
        <v>36498.959999999999</v>
      </c>
      <c r="E32" s="6"/>
      <c r="F32" s="25"/>
      <c r="G32" s="6"/>
      <c r="H32" s="6"/>
      <c r="J32" s="19"/>
    </row>
    <row r="33" spans="1:8" s="4" customFormat="1" ht="18" customHeight="1">
      <c r="B33" s="8" t="s">
        <v>20</v>
      </c>
      <c r="C33" s="8"/>
      <c r="D33" s="59">
        <v>7145.09</v>
      </c>
      <c r="E33" s="13"/>
      <c r="F33" s="13"/>
      <c r="G33" s="13"/>
      <c r="H33" s="13"/>
    </row>
    <row r="34" spans="1:8" s="4" customFormat="1" ht="14.25"/>
    <row r="35" spans="1:8" s="4" customFormat="1" ht="14.25">
      <c r="A35" s="4" t="s">
        <v>21</v>
      </c>
    </row>
    <row r="36" spans="1:8" s="4" customFormat="1" ht="14.25"/>
    <row r="37" spans="1:8" s="4" customFormat="1" ht="18" customHeight="1">
      <c r="B37" s="4" t="s">
        <v>22</v>
      </c>
      <c r="D37" s="6" t="s">
        <v>28</v>
      </c>
      <c r="E37" s="6"/>
      <c r="F37" s="6"/>
      <c r="G37" s="6"/>
      <c r="H37" s="6"/>
    </row>
    <row r="38" spans="1:8" s="4" customFormat="1" ht="18" customHeight="1">
      <c r="B38" s="4" t="s">
        <v>23</v>
      </c>
      <c r="D38" s="13" t="s">
        <v>24</v>
      </c>
      <c r="E38" s="13"/>
      <c r="F38" s="13"/>
      <c r="G38" s="13"/>
      <c r="H38" s="13"/>
    </row>
    <row r="39" spans="1:8" s="4" customFormat="1" ht="14.25"/>
    <row r="40" spans="1:8" s="4" customFormat="1" ht="14.25">
      <c r="A40" s="4" t="s">
        <v>25</v>
      </c>
    </row>
    <row r="41" spans="1:8" s="1" customFormat="1"/>
    <row r="43" spans="1:8">
      <c r="A43" s="1"/>
      <c r="B43" s="14" t="s">
        <v>31</v>
      </c>
      <c r="C43" s="14"/>
      <c r="D43" s="14"/>
      <c r="E43" s="14"/>
      <c r="F43" s="14"/>
      <c r="G43" s="21"/>
      <c r="H43" s="15"/>
    </row>
    <row r="44" spans="1:8" ht="17.100000000000001" customHeight="1">
      <c r="A44" s="1"/>
      <c r="B44" s="28"/>
      <c r="C44" s="22"/>
      <c r="D44" s="22"/>
      <c r="E44" s="22"/>
      <c r="F44" s="22"/>
      <c r="G44" s="22"/>
      <c r="H44" s="16"/>
    </row>
    <row r="45" spans="1:8" ht="17.100000000000001" customHeight="1">
      <c r="A45" s="1"/>
      <c r="B45" s="23"/>
      <c r="C45" s="22"/>
      <c r="D45" s="22"/>
      <c r="E45" s="22"/>
      <c r="F45" s="22"/>
      <c r="G45" s="22"/>
      <c r="H45" s="16"/>
    </row>
    <row r="46" spans="1:8" ht="17.100000000000001" customHeight="1">
      <c r="A46" s="1"/>
      <c r="B46" s="22"/>
      <c r="C46" s="22"/>
      <c r="D46" s="22"/>
      <c r="E46" s="22"/>
      <c r="F46" s="22"/>
      <c r="G46" s="22"/>
      <c r="H46" s="16"/>
    </row>
    <row r="47" spans="1:8" ht="17.100000000000001" customHeight="1">
      <c r="B47" s="16"/>
      <c r="C47" s="16"/>
      <c r="D47" s="16"/>
      <c r="E47" s="16"/>
      <c r="F47" s="16"/>
      <c r="G47" s="16"/>
      <c r="H47" s="16"/>
    </row>
    <row r="48" spans="1:8" ht="17.100000000000001" customHeight="1">
      <c r="B48" s="16"/>
      <c r="C48" s="16"/>
      <c r="D48" s="16"/>
      <c r="E48" s="16"/>
      <c r="F48" s="16"/>
      <c r="G48" s="16"/>
      <c r="H48" s="16"/>
    </row>
    <row r="49" spans="2:8" ht="17.100000000000001" customHeight="1">
      <c r="B49" s="16"/>
      <c r="C49" s="16"/>
      <c r="D49" s="16"/>
      <c r="E49" s="16"/>
      <c r="F49" s="16"/>
      <c r="G49" s="16"/>
      <c r="H49" s="16"/>
    </row>
    <row r="52" spans="2:8">
      <c r="H52" s="17"/>
    </row>
    <row r="65" spans="1:1">
      <c r="A65" s="26" t="s">
        <v>30</v>
      </c>
    </row>
  </sheetData>
  <pageMargins left="0.4" right="0.19" top="0.75" bottom="0.75" header="0.3" footer="0.3"/>
  <pageSetup paperSize="1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N61"/>
  <sheetViews>
    <sheetView workbookViewId="0">
      <selection activeCell="K31" sqref="K31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'FEBRUARY 2026-PMC'!D5</f>
        <v>MONTH OF FEBRUARY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32</v>
      </c>
      <c r="E5" s="5"/>
      <c r="F5" s="5"/>
      <c r="G5" s="5"/>
      <c r="H5" s="5"/>
    </row>
    <row r="6" spans="1:8" s="3" customFormat="1" ht="14.25">
      <c r="A6" s="4"/>
    </row>
    <row r="7" spans="1:8" s="3" customFormat="1" ht="14.25">
      <c r="A7" s="4" t="s">
        <v>6</v>
      </c>
      <c r="C7" s="3" t="s">
        <v>5</v>
      </c>
      <c r="D7" s="6" t="s">
        <v>26</v>
      </c>
      <c r="E7" s="5"/>
      <c r="F7" s="5"/>
      <c r="G7" s="5"/>
      <c r="H7" s="5"/>
    </row>
    <row r="8" spans="1:8" s="3" customFormat="1" ht="14.25">
      <c r="A8" s="4"/>
      <c r="D8" s="20"/>
    </row>
    <row r="9" spans="1:8" s="3" customFormat="1" ht="14.25">
      <c r="A9" s="4" t="s">
        <v>7</v>
      </c>
      <c r="C9" s="3" t="s">
        <v>5</v>
      </c>
      <c r="D9" s="6" t="s">
        <v>34</v>
      </c>
      <c r="E9" s="5"/>
      <c r="F9" s="5"/>
      <c r="G9" s="5"/>
      <c r="H9" s="5"/>
    </row>
    <row r="10" spans="1:8" s="3" customFormat="1" ht="14.25">
      <c r="A10" s="4"/>
    </row>
    <row r="11" spans="1:8" s="3" customFormat="1" ht="14.25">
      <c r="A11" s="4" t="s">
        <v>29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>
        <v>30</v>
      </c>
      <c r="G14" s="4" t="s">
        <v>11</v>
      </c>
      <c r="H14" s="10"/>
    </row>
    <row r="15" spans="1:8" s="4" customFormat="1" ht="18" customHeight="1">
      <c r="D15" s="4" t="s">
        <v>13</v>
      </c>
      <c r="E15" s="8" t="s">
        <v>5</v>
      </c>
      <c r="F15" s="46">
        <v>0</v>
      </c>
      <c r="G15" s="4" t="s">
        <v>11</v>
      </c>
      <c r="H15" s="10"/>
    </row>
    <row r="16" spans="1:8" s="4" customFormat="1" ht="14.25">
      <c r="D16" s="11" t="s">
        <v>14</v>
      </c>
      <c r="E16" s="8"/>
      <c r="F16" s="50"/>
    </row>
    <row r="17" spans="1:14" s="4" customFormat="1" ht="14.25">
      <c r="D17" s="4" t="s">
        <v>0</v>
      </c>
      <c r="E17" s="8" t="s">
        <v>5</v>
      </c>
      <c r="F17" s="46"/>
      <c r="G17" s="4" t="s">
        <v>11</v>
      </c>
      <c r="H17" s="10" t="s">
        <v>12</v>
      </c>
    </row>
    <row r="18" spans="1:14" s="4" customFormat="1" ht="14.25">
      <c r="D18" s="4" t="s">
        <v>1</v>
      </c>
      <c r="E18" s="8" t="s">
        <v>5</v>
      </c>
      <c r="F18" s="45">
        <f>173+145</f>
        <v>318</v>
      </c>
      <c r="G18" s="4" t="s">
        <v>11</v>
      </c>
      <c r="H18" s="10" t="s">
        <v>12</v>
      </c>
      <c r="K18" s="19"/>
    </row>
    <row r="19" spans="1:14" s="4" customFormat="1" ht="14.25">
      <c r="B19" s="4" t="s">
        <v>15</v>
      </c>
      <c r="E19" s="8"/>
      <c r="F19" s="47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48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49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50"/>
      <c r="I22" s="19"/>
      <c r="J22" s="19"/>
      <c r="K22" s="19"/>
    </row>
    <row r="23" spans="1:14" s="4" customFormat="1" ht="14.25">
      <c r="D23" s="4" t="s">
        <v>0</v>
      </c>
      <c r="E23" s="8" t="s">
        <v>5</v>
      </c>
      <c r="F23" s="46"/>
      <c r="G23" s="4" t="s">
        <v>11</v>
      </c>
      <c r="H23" s="10" t="s">
        <v>16</v>
      </c>
      <c r="I23" s="19"/>
      <c r="K23" s="19"/>
    </row>
    <row r="24" spans="1:14" s="4" customFormat="1" ht="14.25">
      <c r="D24" s="4" t="s">
        <v>1</v>
      </c>
      <c r="E24" s="8" t="s">
        <v>5</v>
      </c>
      <c r="F24" s="49"/>
      <c r="G24" s="4" t="s">
        <v>11</v>
      </c>
      <c r="H24" s="10" t="s">
        <v>16</v>
      </c>
      <c r="I24" s="19"/>
      <c r="J24" s="19"/>
      <c r="K24" s="19"/>
      <c r="N24" s="27"/>
    </row>
    <row r="25" spans="1:14" s="4" customFormat="1" ht="14.25">
      <c r="E25" s="8"/>
      <c r="F25" s="50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46" t="s">
        <v>53</v>
      </c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0">
        <v>316.81</v>
      </c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61">
        <v>224.4</v>
      </c>
      <c r="E31" s="13"/>
      <c r="F31" s="13"/>
      <c r="G31" s="13"/>
      <c r="H31" s="13"/>
    </row>
    <row r="32" spans="1:14" s="4" customFormat="1" ht="14.25">
      <c r="D32" s="38"/>
    </row>
    <row r="33" spans="1:8" s="4" customFormat="1" ht="14.25">
      <c r="A33" s="4" t="s">
        <v>21</v>
      </c>
    </row>
    <row r="34" spans="1:8" s="4" customFormat="1" ht="14.25"/>
    <row r="35" spans="1:8" s="4" customFormat="1" ht="18" customHeight="1">
      <c r="B35" s="4" t="s">
        <v>22</v>
      </c>
      <c r="D35" s="54"/>
      <c r="E35" s="6"/>
      <c r="F35" s="6"/>
      <c r="G35" s="6"/>
      <c r="H35" s="6"/>
    </row>
    <row r="36" spans="1:8" s="4" customFormat="1" ht="18" customHeight="1">
      <c r="B36" s="4" t="s">
        <v>23</v>
      </c>
      <c r="D36" s="55"/>
      <c r="E36" s="13"/>
      <c r="F36" s="13"/>
      <c r="G36" s="13"/>
      <c r="H36" s="13"/>
    </row>
    <row r="37" spans="1:8" s="4" customFormat="1" ht="14.25"/>
    <row r="38" spans="1:8" s="4" customFormat="1" ht="14.25">
      <c r="A38" s="4" t="s">
        <v>25</v>
      </c>
    </row>
    <row r="39" spans="1:8" s="1" customFormat="1"/>
    <row r="40" spans="1:8" ht="17.100000000000001" customHeight="1">
      <c r="A40" s="1"/>
      <c r="B40" s="28" t="s">
        <v>50</v>
      </c>
      <c r="C40" s="22"/>
      <c r="D40" s="22"/>
      <c r="E40" s="22"/>
      <c r="F40" s="22"/>
      <c r="G40" s="22"/>
      <c r="H40" s="16"/>
    </row>
    <row r="41" spans="1:8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8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8" ht="17.100000000000001" customHeight="1">
      <c r="B43" s="16"/>
      <c r="C43" s="16"/>
      <c r="D43" s="16"/>
      <c r="E43" s="16"/>
      <c r="F43" s="16"/>
      <c r="G43" s="16"/>
      <c r="H43" s="16"/>
    </row>
    <row r="44" spans="1:8" ht="17.100000000000001" customHeight="1">
      <c r="B44" s="16"/>
      <c r="C44" s="16"/>
      <c r="D44" s="16"/>
      <c r="E44" s="16"/>
      <c r="F44" s="16"/>
      <c r="G44" s="16"/>
      <c r="H44" s="16"/>
    </row>
    <row r="45" spans="1:8" ht="17.100000000000001" customHeight="1">
      <c r="B45" s="16"/>
      <c r="C45" s="16"/>
      <c r="D45" s="16"/>
      <c r="E45" s="16"/>
      <c r="F45" s="16"/>
      <c r="G45" s="16"/>
      <c r="H45" s="16"/>
    </row>
    <row r="48" spans="1:8">
      <c r="H48" s="17"/>
    </row>
    <row r="61" spans="1:1">
      <c r="A61" s="26" t="s">
        <v>30</v>
      </c>
    </row>
  </sheetData>
  <pageMargins left="0.4" right="0.19" top="0.75" bottom="0.75" header="0.3" footer="0.3"/>
  <pageSetup paperSize="1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4" workbookViewId="0">
      <selection activeCell="L30" sqref="L30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  <col min="13" max="13" width="12" bestFit="1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'FEBRUARY 2026-PMC'!D5</f>
        <v>MONTH OF FEBRUARY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36</v>
      </c>
      <c r="E5" s="5"/>
      <c r="F5" s="5"/>
      <c r="G5" s="5"/>
      <c r="H5" s="5"/>
    </row>
    <row r="6" spans="1:8" s="3" customFormat="1" ht="14.25">
      <c r="A6" s="4"/>
    </row>
    <row r="7" spans="1:8" s="39" customFormat="1" ht="15.75">
      <c r="A7" s="38" t="s">
        <v>6</v>
      </c>
      <c r="C7" s="39" t="s">
        <v>5</v>
      </c>
      <c r="D7" s="43" t="s">
        <v>43</v>
      </c>
      <c r="E7" s="41"/>
      <c r="F7" s="41"/>
      <c r="G7" s="41"/>
      <c r="H7" s="41"/>
    </row>
    <row r="8" spans="1:8" s="39" customFormat="1" ht="14.25">
      <c r="A8" s="38"/>
      <c r="D8" s="42"/>
    </row>
    <row r="9" spans="1:8" s="39" customFormat="1" ht="14.25">
      <c r="A9" s="38" t="s">
        <v>7</v>
      </c>
      <c r="C9" s="39" t="s">
        <v>5</v>
      </c>
      <c r="D9" s="40" t="s">
        <v>41</v>
      </c>
      <c r="E9" s="41"/>
      <c r="F9" s="41"/>
      <c r="G9" s="41"/>
      <c r="H9" s="41"/>
    </row>
    <row r="10" spans="1:8" s="3" customFormat="1" ht="14.25">
      <c r="A10" s="4"/>
    </row>
    <row r="11" spans="1:8" s="3" customFormat="1" ht="14.25">
      <c r="A11" s="4" t="s">
        <v>35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>
        <v>147</v>
      </c>
      <c r="G14" s="63" t="s">
        <v>42</v>
      </c>
      <c r="H14" s="63"/>
    </row>
    <row r="15" spans="1:8" s="4" customFormat="1" ht="18" customHeight="1">
      <c r="D15" s="4" t="s">
        <v>13</v>
      </c>
      <c r="E15" s="8" t="s">
        <v>5</v>
      </c>
      <c r="F15" s="51"/>
      <c r="G15" s="4" t="s">
        <v>11</v>
      </c>
      <c r="H15" s="10" t="s">
        <v>38</v>
      </c>
    </row>
    <row r="16" spans="1:8" s="4" customFormat="1" ht="14.25">
      <c r="D16" s="11" t="s">
        <v>14</v>
      </c>
      <c r="E16" s="8"/>
      <c r="F16" s="53"/>
    </row>
    <row r="17" spans="1:14" s="4" customFormat="1" ht="14.25">
      <c r="D17" s="38" t="s">
        <v>39</v>
      </c>
      <c r="E17" s="8" t="s">
        <v>5</v>
      </c>
      <c r="F17" s="51">
        <v>1683</v>
      </c>
      <c r="G17" s="4" t="s">
        <v>11</v>
      </c>
      <c r="H17" s="10" t="s">
        <v>38</v>
      </c>
    </row>
    <row r="18" spans="1:14" s="4" customFormat="1" ht="14.25">
      <c r="D18" s="38" t="s">
        <v>40</v>
      </c>
      <c r="E18" s="8" t="s">
        <v>5</v>
      </c>
      <c r="F18" s="52"/>
      <c r="G18" s="4" t="s">
        <v>11</v>
      </c>
      <c r="H18" s="10" t="s">
        <v>38</v>
      </c>
      <c r="K18" s="19"/>
    </row>
    <row r="19" spans="1:14" s="4" customFormat="1" ht="14.25">
      <c r="B19" s="4" t="s">
        <v>15</v>
      </c>
      <c r="E19" s="8"/>
      <c r="F19" s="33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30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34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35"/>
      <c r="I22" s="19"/>
      <c r="J22" s="19"/>
      <c r="K22" s="19"/>
    </row>
    <row r="23" spans="1:14" s="4" customFormat="1" ht="14.25">
      <c r="D23" s="38" t="s">
        <v>39</v>
      </c>
      <c r="E23" s="8" t="s">
        <v>5</v>
      </c>
      <c r="F23" s="31">
        <v>0</v>
      </c>
      <c r="G23" s="4" t="s">
        <v>11</v>
      </c>
      <c r="H23" s="10" t="s">
        <v>38</v>
      </c>
      <c r="I23" s="19"/>
      <c r="K23" s="19"/>
    </row>
    <row r="24" spans="1:14" s="4" customFormat="1" ht="14.25">
      <c r="D24" s="38" t="s">
        <v>40</v>
      </c>
      <c r="E24" s="8" t="s">
        <v>5</v>
      </c>
      <c r="F24" s="34">
        <v>0</v>
      </c>
      <c r="G24" s="4" t="s">
        <v>11</v>
      </c>
      <c r="H24" s="10" t="s">
        <v>38</v>
      </c>
      <c r="I24" s="19"/>
      <c r="J24" s="19"/>
      <c r="K24" s="19"/>
      <c r="N24" s="27"/>
    </row>
    <row r="25" spans="1:14" s="4" customFormat="1" ht="14.25">
      <c r="E25" s="8"/>
      <c r="F25" s="35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31" t="s">
        <v>52</v>
      </c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M28" s="44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2">
        <v>5820.0999999999985</v>
      </c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57"/>
      <c r="E31" s="13"/>
      <c r="F31" s="13"/>
      <c r="G31" s="13"/>
      <c r="H31" s="13"/>
    </row>
    <row r="32" spans="1:14" s="4" customFormat="1" ht="14.25"/>
    <row r="33" spans="1:11" s="4" customFormat="1" ht="14.25">
      <c r="A33" s="4" t="s">
        <v>21</v>
      </c>
    </row>
    <row r="34" spans="1:11" s="4" customFormat="1" ht="14.25"/>
    <row r="35" spans="1:11" s="4" customFormat="1" ht="18" customHeight="1">
      <c r="B35" s="4" t="s">
        <v>22</v>
      </c>
      <c r="D35" s="10"/>
      <c r="E35" s="6"/>
      <c r="F35" s="6"/>
      <c r="G35" s="6"/>
      <c r="H35" s="6"/>
    </row>
    <row r="36" spans="1:11" s="4" customFormat="1" ht="18" customHeight="1">
      <c r="B36" s="4" t="s">
        <v>23</v>
      </c>
      <c r="D36" s="36"/>
      <c r="E36" s="13"/>
      <c r="F36" s="13"/>
      <c r="G36" s="13"/>
      <c r="H36" s="13"/>
    </row>
    <row r="37" spans="1:11" s="4" customFormat="1" ht="14.25"/>
    <row r="38" spans="1:11" s="4" customFormat="1" ht="14.25">
      <c r="A38" s="4" t="s">
        <v>25</v>
      </c>
    </row>
    <row r="39" spans="1:11" s="1" customFormat="1"/>
    <row r="40" spans="1:11" ht="17.100000000000001" customHeight="1">
      <c r="A40" s="1"/>
      <c r="B40" s="28" t="s">
        <v>51</v>
      </c>
      <c r="C40" s="22"/>
      <c r="D40" s="22"/>
      <c r="E40" s="22"/>
      <c r="F40" s="22"/>
      <c r="G40" s="22"/>
      <c r="H40" s="16"/>
      <c r="K40" t="s">
        <v>27</v>
      </c>
    </row>
    <row r="41" spans="1:11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11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11" ht="17.100000000000001" customHeight="1">
      <c r="B43" s="16"/>
      <c r="C43" s="16"/>
      <c r="D43" s="16"/>
      <c r="E43" s="16"/>
      <c r="F43" s="16"/>
      <c r="G43" s="16"/>
      <c r="H43" s="16"/>
    </row>
    <row r="44" spans="1:11" ht="17.100000000000001" customHeight="1">
      <c r="B44" s="16"/>
      <c r="C44" s="16"/>
      <c r="D44" s="16"/>
      <c r="E44" s="16"/>
      <c r="F44" s="16"/>
      <c r="G44" s="16"/>
      <c r="H44" s="16"/>
    </row>
    <row r="45" spans="1:11" ht="17.100000000000001" customHeight="1">
      <c r="B45" s="16"/>
      <c r="C45" s="16"/>
      <c r="D45" s="16"/>
      <c r="E45" s="16"/>
      <c r="F45" s="16"/>
      <c r="G45" s="16"/>
      <c r="H45" s="16"/>
    </row>
    <row r="48" spans="1:11">
      <c r="H48" s="17"/>
    </row>
    <row r="61" spans="1:1">
      <c r="A61" s="26" t="s">
        <v>30</v>
      </c>
    </row>
  </sheetData>
  <mergeCells count="1">
    <mergeCell ref="G14:H14"/>
  </mergeCells>
  <pageMargins left="0.39370078740157483" right="0.19685039370078741" top="0.74803149606299213" bottom="0.74803149606299213" header="0.31496062992125984" footer="0.31496062992125984"/>
  <pageSetup paperSize="1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N65"/>
  <sheetViews>
    <sheetView workbookViewId="0">
      <selection activeCell="M29" sqref="M29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4" spans="1:8" s="3" customFormat="1" ht="18">
      <c r="B4" s="18"/>
      <c r="C4" s="18"/>
      <c r="D4" s="18" t="s">
        <v>3</v>
      </c>
      <c r="E4" s="18"/>
      <c r="F4" s="18"/>
      <c r="G4" s="18"/>
      <c r="H4" s="18"/>
    </row>
    <row r="5" spans="1:8" s="3" customFormat="1" ht="18">
      <c r="D5" s="29" t="s">
        <v>54</v>
      </c>
    </row>
    <row r="6" spans="1:8" s="3" customFormat="1" ht="14.25"/>
    <row r="7" spans="1:8" s="3" customFormat="1" ht="14.25">
      <c r="A7" s="4" t="s">
        <v>4</v>
      </c>
      <c r="C7" s="3" t="s">
        <v>5</v>
      </c>
      <c r="D7" s="6" t="s">
        <v>37</v>
      </c>
      <c r="E7" s="5"/>
      <c r="F7" s="5"/>
      <c r="G7" s="5"/>
      <c r="H7" s="5"/>
    </row>
    <row r="8" spans="1:8" s="3" customFormat="1" ht="14.25">
      <c r="A8" s="4"/>
    </row>
    <row r="9" spans="1:8" s="3" customFormat="1" ht="14.25">
      <c r="A9" s="4" t="s">
        <v>6</v>
      </c>
      <c r="C9" s="3" t="s">
        <v>5</v>
      </c>
      <c r="D9" s="6" t="s">
        <v>26</v>
      </c>
      <c r="E9" s="5"/>
      <c r="F9" s="5"/>
      <c r="G9" s="5"/>
      <c r="H9" s="5"/>
    </row>
    <row r="10" spans="1:8" s="3" customFormat="1" ht="14.25">
      <c r="A10" s="4"/>
      <c r="D10" s="4"/>
    </row>
    <row r="11" spans="1:8" s="3" customFormat="1" ht="14.25">
      <c r="A11" s="4" t="s">
        <v>7</v>
      </c>
      <c r="C11" s="3" t="s">
        <v>5</v>
      </c>
      <c r="D11" s="6" t="s">
        <v>33</v>
      </c>
      <c r="E11" s="5"/>
      <c r="F11" s="5"/>
      <c r="G11" s="5"/>
      <c r="H11" s="5"/>
    </row>
    <row r="12" spans="1:8" s="3" customFormat="1" ht="14.25">
      <c r="A12" s="4"/>
    </row>
    <row r="13" spans="1:8" s="3" customFormat="1" ht="14.25">
      <c r="A13" s="4" t="s">
        <v>29</v>
      </c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t="s">
        <v>8</v>
      </c>
    </row>
    <row r="16" spans="1:8" s="4" customFormat="1" ht="18" customHeight="1">
      <c r="B16" s="4" t="s">
        <v>9</v>
      </c>
      <c r="D16" s="4" t="s">
        <v>10</v>
      </c>
      <c r="E16" s="8" t="s">
        <v>5</v>
      </c>
      <c r="F16" s="9"/>
      <c r="G16" s="4" t="s">
        <v>11</v>
      </c>
      <c r="H16" s="10"/>
    </row>
    <row r="17" spans="1:14" s="4" customFormat="1" ht="18" customHeight="1">
      <c r="D17" s="4" t="s">
        <v>13</v>
      </c>
      <c r="E17" s="8" t="s">
        <v>5</v>
      </c>
      <c r="F17" s="24"/>
      <c r="G17" s="4" t="s">
        <v>11</v>
      </c>
      <c r="H17" s="10"/>
    </row>
    <row r="18" spans="1:14" s="4" customFormat="1" ht="14.25">
      <c r="D18" s="11" t="s">
        <v>14</v>
      </c>
      <c r="E18" s="8"/>
    </row>
    <row r="19" spans="1:14" s="4" customFormat="1" ht="14.25">
      <c r="D19" s="4" t="s">
        <v>39</v>
      </c>
      <c r="E19" s="35" t="s">
        <v>5</v>
      </c>
      <c r="F19" s="31">
        <v>0</v>
      </c>
      <c r="G19" s="4" t="s">
        <v>11</v>
      </c>
      <c r="H19" s="10"/>
    </row>
    <row r="20" spans="1:14" s="4" customFormat="1" ht="14.25">
      <c r="D20" s="4" t="s">
        <v>1</v>
      </c>
      <c r="E20" s="35" t="s">
        <v>5</v>
      </c>
      <c r="F20" s="32">
        <f>49312+368-378</f>
        <v>49302</v>
      </c>
      <c r="G20" s="4" t="s">
        <v>11</v>
      </c>
      <c r="H20" s="10" t="s">
        <v>12</v>
      </c>
      <c r="K20" s="19"/>
    </row>
    <row r="21" spans="1:14" s="4" customFormat="1" ht="14.25">
      <c r="B21" s="4" t="s">
        <v>15</v>
      </c>
      <c r="E21" s="35"/>
      <c r="F21" s="33"/>
      <c r="I21" s="19"/>
      <c r="J21" s="19"/>
      <c r="K21" s="19"/>
    </row>
    <row r="22" spans="1:14" s="4" customFormat="1" ht="18" customHeight="1">
      <c r="D22" s="4" t="s">
        <v>10</v>
      </c>
      <c r="E22" s="35" t="s">
        <v>5</v>
      </c>
      <c r="F22" s="56">
        <v>578</v>
      </c>
      <c r="G22" s="4" t="s">
        <v>11</v>
      </c>
      <c r="H22" s="10"/>
      <c r="I22" s="19"/>
      <c r="J22" s="19"/>
      <c r="K22" s="19"/>
    </row>
    <row r="23" spans="1:14" s="4" customFormat="1" ht="18" customHeight="1">
      <c r="D23" s="4" t="s">
        <v>13</v>
      </c>
      <c r="E23" s="35" t="s">
        <v>5</v>
      </c>
      <c r="F23" s="34"/>
      <c r="G23" s="4" t="s">
        <v>11</v>
      </c>
      <c r="H23" s="10"/>
      <c r="I23" s="19"/>
      <c r="J23" s="19"/>
      <c r="K23" s="19"/>
    </row>
    <row r="24" spans="1:14" s="4" customFormat="1" ht="14.25">
      <c r="D24" s="11" t="s">
        <v>14</v>
      </c>
      <c r="E24" s="38"/>
      <c r="F24" s="35"/>
      <c r="I24" s="19"/>
      <c r="J24" s="19"/>
      <c r="K24" s="19"/>
    </row>
    <row r="25" spans="1:14" s="4" customFormat="1" ht="14.25">
      <c r="D25" s="4" t="s">
        <v>39</v>
      </c>
      <c r="E25" s="35" t="s">
        <v>5</v>
      </c>
      <c r="F25" s="31">
        <v>0</v>
      </c>
      <c r="G25" s="4" t="s">
        <v>11</v>
      </c>
      <c r="H25" s="10" t="s">
        <v>16</v>
      </c>
      <c r="I25" s="19"/>
      <c r="K25" s="19"/>
    </row>
    <row r="26" spans="1:14" s="4" customFormat="1" ht="14.25">
      <c r="D26" s="4" t="s">
        <v>1</v>
      </c>
      <c r="E26" s="35" t="s">
        <v>5</v>
      </c>
      <c r="F26" s="32">
        <v>378</v>
      </c>
      <c r="G26" s="4" t="s">
        <v>11</v>
      </c>
      <c r="H26" s="10"/>
      <c r="I26" s="19"/>
      <c r="J26" s="19"/>
      <c r="K26" s="19"/>
      <c r="N26" s="27"/>
    </row>
    <row r="27" spans="1:14" s="4" customFormat="1" ht="14.25">
      <c r="E27" s="35"/>
      <c r="F27" s="33"/>
      <c r="H27" s="12"/>
      <c r="I27" s="19"/>
      <c r="K27" s="19"/>
    </row>
    <row r="28" spans="1:14" s="4" customFormat="1" ht="15" customHeight="1">
      <c r="A28" s="4" t="s">
        <v>17</v>
      </c>
      <c r="E28" s="35" t="s">
        <v>5</v>
      </c>
      <c r="F28" s="31">
        <f>2009+714</f>
        <v>2723</v>
      </c>
      <c r="G28" s="6" t="s">
        <v>44</v>
      </c>
      <c r="H28" s="25"/>
      <c r="J28" s="19"/>
      <c r="K28" s="19"/>
    </row>
    <row r="29" spans="1:14" s="4" customFormat="1" ht="14.25">
      <c r="F29" s="37"/>
      <c r="J29" s="19"/>
      <c r="K29" s="19"/>
    </row>
    <row r="30" spans="1:14" s="4" customFormat="1" ht="14.25">
      <c r="A30" s="4" t="s">
        <v>18</v>
      </c>
      <c r="F30" s="19"/>
      <c r="J30" s="19"/>
      <c r="N30" s="19"/>
    </row>
    <row r="31" spans="1:14" s="4" customFormat="1" ht="14.25">
      <c r="D31" s="4" t="s">
        <v>27</v>
      </c>
      <c r="F31" s="19"/>
      <c r="G31" s="19"/>
      <c r="K31" s="19"/>
    </row>
    <row r="32" spans="1:14" s="4" customFormat="1" ht="18" customHeight="1">
      <c r="B32" s="8" t="s">
        <v>19</v>
      </c>
      <c r="C32" s="8"/>
      <c r="D32" s="58">
        <v>33374.379999999997</v>
      </c>
      <c r="E32" s="6"/>
      <c r="F32" s="25"/>
      <c r="G32" s="6"/>
      <c r="H32" s="6"/>
      <c r="J32" s="19"/>
    </row>
    <row r="33" spans="1:8" s="4" customFormat="1" ht="18" customHeight="1">
      <c r="B33" s="8" t="s">
        <v>20</v>
      </c>
      <c r="C33" s="8"/>
      <c r="D33" s="59">
        <v>7876.41</v>
      </c>
      <c r="E33" s="13"/>
      <c r="F33" s="13"/>
      <c r="G33" s="13"/>
      <c r="H33" s="13"/>
    </row>
    <row r="34" spans="1:8" s="4" customFormat="1" ht="14.25"/>
    <row r="35" spans="1:8" s="4" customFormat="1" ht="14.25">
      <c r="A35" s="4" t="s">
        <v>21</v>
      </c>
    </row>
    <row r="36" spans="1:8" s="4" customFormat="1" ht="14.25"/>
    <row r="37" spans="1:8" s="4" customFormat="1" ht="18" customHeight="1">
      <c r="B37" s="4" t="s">
        <v>22</v>
      </c>
      <c r="D37" s="6" t="s">
        <v>28</v>
      </c>
      <c r="E37" s="6"/>
      <c r="F37" s="6"/>
      <c r="G37" s="6"/>
      <c r="H37" s="6"/>
    </row>
    <row r="38" spans="1:8" s="4" customFormat="1" ht="18" customHeight="1">
      <c r="B38" s="4" t="s">
        <v>23</v>
      </c>
      <c r="D38" s="13" t="s">
        <v>24</v>
      </c>
      <c r="E38" s="13"/>
      <c r="F38" s="13"/>
      <c r="G38" s="13"/>
      <c r="H38" s="13"/>
    </row>
    <row r="39" spans="1:8" s="4" customFormat="1" ht="14.25"/>
    <row r="40" spans="1:8" s="4" customFormat="1" ht="14.25">
      <c r="A40" s="4" t="s">
        <v>25</v>
      </c>
    </row>
    <row r="41" spans="1:8" s="1" customFormat="1"/>
    <row r="43" spans="1:8">
      <c r="A43" s="1"/>
      <c r="B43" s="14" t="s">
        <v>31</v>
      </c>
      <c r="C43" s="14"/>
      <c r="D43" s="14"/>
      <c r="E43" s="14"/>
      <c r="F43" s="14"/>
      <c r="G43" s="21"/>
      <c r="H43" s="15"/>
    </row>
    <row r="44" spans="1:8" ht="17.100000000000001" customHeight="1">
      <c r="A44" s="1"/>
      <c r="B44" s="28"/>
      <c r="C44" s="22"/>
      <c r="D44" s="22"/>
      <c r="E44" s="22"/>
      <c r="F44" s="22"/>
      <c r="G44" s="22"/>
      <c r="H44" s="16"/>
    </row>
    <row r="45" spans="1:8" ht="17.100000000000001" customHeight="1">
      <c r="A45" s="1"/>
      <c r="B45" s="23"/>
      <c r="C45" s="22"/>
      <c r="D45" s="22"/>
      <c r="E45" s="22"/>
      <c r="F45" s="22"/>
      <c r="G45" s="22"/>
      <c r="H45" s="16"/>
    </row>
    <row r="46" spans="1:8" ht="17.100000000000001" customHeight="1">
      <c r="A46" s="1"/>
      <c r="B46" s="22"/>
      <c r="C46" s="22"/>
      <c r="D46" s="22"/>
      <c r="E46" s="22"/>
      <c r="F46" s="22"/>
      <c r="G46" s="22"/>
      <c r="H46" s="16"/>
    </row>
    <row r="47" spans="1:8" ht="17.100000000000001" customHeight="1">
      <c r="B47" s="16"/>
      <c r="C47" s="16"/>
      <c r="D47" s="16"/>
      <c r="E47" s="16"/>
      <c r="F47" s="16"/>
      <c r="G47" s="16"/>
      <c r="H47" s="16"/>
    </row>
    <row r="48" spans="1:8" ht="17.100000000000001" customHeight="1">
      <c r="B48" s="16"/>
      <c r="C48" s="16"/>
      <c r="D48" s="16"/>
      <c r="E48" s="16"/>
      <c r="F48" s="16"/>
      <c r="G48" s="16"/>
      <c r="H48" s="16"/>
    </row>
    <row r="49" spans="2:8" ht="17.100000000000001" customHeight="1">
      <c r="B49" s="16"/>
      <c r="C49" s="16"/>
      <c r="D49" s="16"/>
      <c r="E49" s="16"/>
      <c r="F49" s="16"/>
      <c r="G49" s="16"/>
      <c r="H49" s="16"/>
    </row>
    <row r="52" spans="2:8">
      <c r="H52" s="17"/>
    </row>
    <row r="65" spans="1:1">
      <c r="A65" s="26" t="s">
        <v>30</v>
      </c>
    </row>
  </sheetData>
  <pageMargins left="0.4" right="0.19" top="0.75" bottom="0.75" header="0.3" footer="0.3"/>
  <pageSetup paperSiz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N61"/>
  <sheetViews>
    <sheetView topLeftCell="A10" workbookViewId="0">
      <selection activeCell="V30" sqref="V30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'MARCH 2026-PMC'!D5</f>
        <v>MONTH OF MARCH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32</v>
      </c>
      <c r="E5" s="5"/>
      <c r="F5" s="5"/>
      <c r="G5" s="5"/>
      <c r="H5" s="5"/>
    </row>
    <row r="6" spans="1:8" s="3" customFormat="1" ht="14.25">
      <c r="A6" s="4"/>
    </row>
    <row r="7" spans="1:8" s="3" customFormat="1" ht="14.25">
      <c r="A7" s="4" t="s">
        <v>6</v>
      </c>
      <c r="C7" s="3" t="s">
        <v>5</v>
      </c>
      <c r="D7" s="6" t="s">
        <v>26</v>
      </c>
      <c r="E7" s="5"/>
      <c r="F7" s="5"/>
      <c r="G7" s="5"/>
      <c r="H7" s="5"/>
    </row>
    <row r="8" spans="1:8" s="3" customFormat="1" ht="14.25">
      <c r="A8" s="4"/>
      <c r="D8" s="20"/>
    </row>
    <row r="9" spans="1:8" s="3" customFormat="1" ht="14.25">
      <c r="A9" s="4" t="s">
        <v>7</v>
      </c>
      <c r="C9" s="3" t="s">
        <v>5</v>
      </c>
      <c r="D9" s="6" t="s">
        <v>34</v>
      </c>
      <c r="E9" s="5"/>
      <c r="F9" s="5"/>
      <c r="G9" s="5"/>
      <c r="H9" s="5"/>
    </row>
    <row r="10" spans="1:8" s="3" customFormat="1" ht="14.25">
      <c r="A10" s="4"/>
    </row>
    <row r="11" spans="1:8" s="3" customFormat="1" ht="14.25">
      <c r="A11" s="4" t="s">
        <v>29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/>
      <c r="G14" s="4" t="s">
        <v>11</v>
      </c>
      <c r="H14" s="10"/>
    </row>
    <row r="15" spans="1:8" s="4" customFormat="1" ht="18" customHeight="1">
      <c r="D15" s="4" t="s">
        <v>13</v>
      </c>
      <c r="E15" s="8" t="s">
        <v>5</v>
      </c>
      <c r="F15" s="46"/>
      <c r="G15" s="4" t="s">
        <v>11</v>
      </c>
      <c r="H15" s="10"/>
    </row>
    <row r="16" spans="1:8" s="4" customFormat="1" ht="14.25">
      <c r="D16" s="11" t="s">
        <v>14</v>
      </c>
      <c r="E16" s="8"/>
      <c r="F16" s="50"/>
    </row>
    <row r="17" spans="1:14" s="4" customFormat="1" ht="14.25">
      <c r="D17" s="4" t="s">
        <v>0</v>
      </c>
      <c r="E17" s="8" t="s">
        <v>5</v>
      </c>
      <c r="F17" s="46"/>
      <c r="G17" s="4" t="s">
        <v>11</v>
      </c>
      <c r="H17" s="10" t="s">
        <v>12</v>
      </c>
    </row>
    <row r="18" spans="1:14" s="4" customFormat="1" ht="14.25">
      <c r="D18" s="4" t="s">
        <v>1</v>
      </c>
      <c r="E18" s="8" t="s">
        <v>5</v>
      </c>
      <c r="F18" s="45"/>
      <c r="G18" s="4" t="s">
        <v>11</v>
      </c>
      <c r="H18" s="10" t="s">
        <v>12</v>
      </c>
      <c r="K18" s="19"/>
    </row>
    <row r="19" spans="1:14" s="4" customFormat="1" ht="14.25">
      <c r="B19" s="4" t="s">
        <v>15</v>
      </c>
      <c r="E19" s="8"/>
      <c r="F19" s="47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48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49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50"/>
      <c r="I22" s="19"/>
      <c r="J22" s="19"/>
      <c r="K22" s="19"/>
    </row>
    <row r="23" spans="1:14" s="4" customFormat="1" ht="14.25">
      <c r="D23" s="4" t="s">
        <v>0</v>
      </c>
      <c r="E23" s="8" t="s">
        <v>5</v>
      </c>
      <c r="F23" s="46"/>
      <c r="G23" s="4" t="s">
        <v>11</v>
      </c>
      <c r="H23" s="10" t="s">
        <v>16</v>
      </c>
      <c r="I23" s="19"/>
      <c r="K23" s="19"/>
    </row>
    <row r="24" spans="1:14" s="4" customFormat="1" ht="14.25">
      <c r="D24" s="4" t="s">
        <v>1</v>
      </c>
      <c r="E24" s="8" t="s">
        <v>5</v>
      </c>
      <c r="F24" s="49"/>
      <c r="G24" s="4" t="s">
        <v>11</v>
      </c>
      <c r="H24" s="10" t="s">
        <v>16</v>
      </c>
      <c r="I24" s="19"/>
      <c r="J24" s="19"/>
      <c r="K24" s="19"/>
      <c r="N24" s="27"/>
    </row>
    <row r="25" spans="1:14" s="4" customFormat="1" ht="14.25">
      <c r="E25" s="8"/>
      <c r="F25" s="50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46"/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0"/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61"/>
      <c r="E31" s="13"/>
      <c r="F31" s="13"/>
      <c r="G31" s="13"/>
      <c r="H31" s="13"/>
    </row>
    <row r="32" spans="1:14" s="4" customFormat="1" ht="14.25">
      <c r="D32" s="38"/>
    </row>
    <row r="33" spans="1:8" s="4" customFormat="1" ht="14.25">
      <c r="A33" s="4" t="s">
        <v>21</v>
      </c>
    </row>
    <row r="34" spans="1:8" s="4" customFormat="1" ht="14.25"/>
    <row r="35" spans="1:8" s="4" customFormat="1" ht="18" customHeight="1">
      <c r="B35" s="4" t="s">
        <v>22</v>
      </c>
      <c r="D35" s="54"/>
      <c r="E35" s="6"/>
      <c r="F35" s="6"/>
      <c r="G35" s="6"/>
      <c r="H35" s="6"/>
    </row>
    <row r="36" spans="1:8" s="4" customFormat="1" ht="18" customHeight="1">
      <c r="B36" s="4" t="s">
        <v>23</v>
      </c>
      <c r="D36" s="55"/>
      <c r="E36" s="13"/>
      <c r="F36" s="13"/>
      <c r="G36" s="13"/>
      <c r="H36" s="13"/>
    </row>
    <row r="37" spans="1:8" s="4" customFormat="1" ht="14.25"/>
    <row r="38" spans="1:8" s="4" customFormat="1" ht="14.25">
      <c r="A38" s="4" t="s">
        <v>25</v>
      </c>
    </row>
    <row r="39" spans="1:8" s="1" customFormat="1"/>
    <row r="40" spans="1:8" ht="17.100000000000001" customHeight="1">
      <c r="A40" s="1"/>
      <c r="B40" s="28"/>
      <c r="C40" s="22"/>
      <c r="D40" s="22"/>
      <c r="E40" s="22"/>
      <c r="F40" s="22"/>
      <c r="G40" s="22"/>
      <c r="H40" s="16"/>
    </row>
    <row r="41" spans="1:8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8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8" ht="17.100000000000001" customHeight="1">
      <c r="B43" s="16"/>
      <c r="C43" s="16"/>
      <c r="D43" s="16"/>
      <c r="E43" s="16"/>
      <c r="F43" s="16"/>
      <c r="G43" s="16"/>
      <c r="H43" s="16"/>
    </row>
    <row r="44" spans="1:8" ht="17.100000000000001" customHeight="1">
      <c r="B44" s="16"/>
      <c r="C44" s="16"/>
      <c r="D44" s="16"/>
      <c r="E44" s="16"/>
      <c r="F44" s="16"/>
      <c r="G44" s="16"/>
      <c r="H44" s="16"/>
    </row>
    <row r="45" spans="1:8" ht="17.100000000000001" customHeight="1">
      <c r="B45" s="16"/>
      <c r="C45" s="16"/>
      <c r="D45" s="16"/>
      <c r="E45" s="16"/>
      <c r="F45" s="16"/>
      <c r="G45" s="16"/>
      <c r="H45" s="16"/>
    </row>
    <row r="48" spans="1:8">
      <c r="H48" s="17"/>
    </row>
    <row r="61" spans="1:1">
      <c r="A61" s="26" t="s">
        <v>30</v>
      </c>
    </row>
  </sheetData>
  <pageMargins left="0.4" right="0.19" top="0.75" bottom="0.75" header="0.3" footer="0.3"/>
  <pageSetup paperSize="1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activeCell="O20" sqref="O20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  <col min="13" max="13" width="12" bestFit="1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'MARCH 2026-PMC'!D5</f>
        <v>MONTH OF MARCH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36</v>
      </c>
      <c r="E5" s="5"/>
      <c r="F5" s="5"/>
      <c r="G5" s="5"/>
      <c r="H5" s="5"/>
    </row>
    <row r="6" spans="1:8" s="3" customFormat="1" ht="14.25">
      <c r="A6" s="4"/>
    </row>
    <row r="7" spans="1:8" s="39" customFormat="1" ht="15.75">
      <c r="A7" s="38" t="s">
        <v>6</v>
      </c>
      <c r="C7" s="39" t="s">
        <v>5</v>
      </c>
      <c r="D7" s="43" t="s">
        <v>43</v>
      </c>
      <c r="E7" s="41"/>
      <c r="F7" s="41"/>
      <c r="G7" s="41"/>
      <c r="H7" s="41"/>
    </row>
    <row r="8" spans="1:8" s="39" customFormat="1" ht="14.25">
      <c r="A8" s="38"/>
      <c r="D8" s="42"/>
    </row>
    <row r="9" spans="1:8" s="39" customFormat="1" ht="14.25">
      <c r="A9" s="38" t="s">
        <v>7</v>
      </c>
      <c r="C9" s="39" t="s">
        <v>5</v>
      </c>
      <c r="D9" s="40" t="s">
        <v>41</v>
      </c>
      <c r="E9" s="41"/>
      <c r="F9" s="41"/>
      <c r="G9" s="41"/>
      <c r="H9" s="41"/>
    </row>
    <row r="10" spans="1:8" s="3" customFormat="1" ht="14.25">
      <c r="A10" s="4"/>
    </row>
    <row r="11" spans="1:8" s="3" customFormat="1" ht="14.25">
      <c r="A11" s="4" t="s">
        <v>35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>
        <v>166</v>
      </c>
      <c r="G14" s="63" t="s">
        <v>42</v>
      </c>
      <c r="H14" s="63"/>
    </row>
    <row r="15" spans="1:8" s="4" customFormat="1" ht="18" customHeight="1">
      <c r="D15" s="4" t="s">
        <v>13</v>
      </c>
      <c r="E15" s="8" t="s">
        <v>5</v>
      </c>
      <c r="F15" s="51"/>
      <c r="G15" s="4" t="s">
        <v>11</v>
      </c>
      <c r="H15" s="10" t="s">
        <v>38</v>
      </c>
    </row>
    <row r="16" spans="1:8" s="4" customFormat="1" ht="14.25">
      <c r="D16" s="11" t="s">
        <v>14</v>
      </c>
      <c r="E16" s="8"/>
      <c r="F16" s="53"/>
    </row>
    <row r="17" spans="1:14" s="4" customFormat="1" ht="14.25">
      <c r="D17" s="38" t="s">
        <v>39</v>
      </c>
      <c r="E17" s="8" t="s">
        <v>5</v>
      </c>
      <c r="F17" s="51">
        <f>210+1820+10</f>
        <v>2040</v>
      </c>
      <c r="G17" s="4" t="s">
        <v>11</v>
      </c>
      <c r="H17" s="10" t="s">
        <v>38</v>
      </c>
    </row>
    <row r="18" spans="1:14" s="4" customFormat="1" ht="14.25">
      <c r="D18" s="38" t="s">
        <v>40</v>
      </c>
      <c r="E18" s="8" t="s">
        <v>5</v>
      </c>
      <c r="F18" s="52"/>
      <c r="G18" s="4" t="s">
        <v>11</v>
      </c>
      <c r="H18" s="10" t="s">
        <v>38</v>
      </c>
      <c r="K18" s="19"/>
    </row>
    <row r="19" spans="1:14" s="4" customFormat="1" ht="14.25">
      <c r="B19" s="4" t="s">
        <v>15</v>
      </c>
      <c r="E19" s="8"/>
      <c r="F19" s="33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30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34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35"/>
      <c r="I22" s="19"/>
      <c r="J22" s="19"/>
      <c r="K22" s="19"/>
    </row>
    <row r="23" spans="1:14" s="4" customFormat="1" ht="14.25">
      <c r="D23" s="38" t="s">
        <v>39</v>
      </c>
      <c r="E23" s="8" t="s">
        <v>5</v>
      </c>
      <c r="F23" s="31">
        <v>0</v>
      </c>
      <c r="G23" s="4" t="s">
        <v>11</v>
      </c>
      <c r="H23" s="10" t="s">
        <v>38</v>
      </c>
      <c r="I23" s="19"/>
      <c r="K23" s="19"/>
    </row>
    <row r="24" spans="1:14" s="4" customFormat="1" ht="14.25">
      <c r="D24" s="38" t="s">
        <v>40</v>
      </c>
      <c r="E24" s="8" t="s">
        <v>5</v>
      </c>
      <c r="F24" s="34">
        <v>0</v>
      </c>
      <c r="G24" s="4" t="s">
        <v>11</v>
      </c>
      <c r="H24" s="10" t="s">
        <v>38</v>
      </c>
      <c r="I24" s="19"/>
      <c r="J24" s="19"/>
      <c r="K24" s="19"/>
      <c r="N24" s="27"/>
    </row>
    <row r="25" spans="1:14" s="4" customFormat="1" ht="14.25">
      <c r="E25" s="8"/>
      <c r="F25" s="35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31" t="s">
        <v>56</v>
      </c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M28" s="44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2">
        <v>7552.7400000000007</v>
      </c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57"/>
      <c r="E31" s="13"/>
      <c r="F31" s="13"/>
      <c r="G31" s="13"/>
      <c r="H31" s="13"/>
    </row>
    <row r="32" spans="1:14" s="4" customFormat="1" ht="14.25"/>
    <row r="33" spans="1:11" s="4" customFormat="1" ht="14.25">
      <c r="A33" s="4" t="s">
        <v>21</v>
      </c>
    </row>
    <row r="34" spans="1:11" s="4" customFormat="1" ht="14.25"/>
    <row r="35" spans="1:11" s="4" customFormat="1" ht="18" customHeight="1">
      <c r="B35" s="4" t="s">
        <v>22</v>
      </c>
      <c r="D35" s="10"/>
      <c r="E35" s="6"/>
      <c r="F35" s="6"/>
      <c r="G35" s="6"/>
      <c r="H35" s="6"/>
    </row>
    <row r="36" spans="1:11" s="4" customFormat="1" ht="18" customHeight="1">
      <c r="B36" s="4" t="s">
        <v>23</v>
      </c>
      <c r="D36" s="36"/>
      <c r="E36" s="13"/>
      <c r="F36" s="13"/>
      <c r="G36" s="13"/>
      <c r="H36" s="13"/>
    </row>
    <row r="37" spans="1:11" s="4" customFormat="1" ht="14.25"/>
    <row r="38" spans="1:11" s="4" customFormat="1" ht="14.25">
      <c r="A38" s="4" t="s">
        <v>25</v>
      </c>
    </row>
    <row r="39" spans="1:11" s="1" customFormat="1"/>
    <row r="40" spans="1:11" ht="17.100000000000001" customHeight="1">
      <c r="A40" s="1"/>
      <c r="B40" s="28" t="s">
        <v>55</v>
      </c>
      <c r="C40" s="22"/>
      <c r="D40" s="22"/>
      <c r="E40" s="22"/>
      <c r="F40" s="22"/>
      <c r="G40" s="22"/>
      <c r="H40" s="16"/>
      <c r="K40" t="s">
        <v>27</v>
      </c>
    </row>
    <row r="41" spans="1:11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11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11" ht="17.100000000000001" customHeight="1">
      <c r="B43" s="16"/>
      <c r="C43" s="16"/>
      <c r="D43" s="16"/>
      <c r="E43" s="16"/>
      <c r="F43" s="16"/>
      <c r="G43" s="16"/>
      <c r="H43" s="16"/>
    </row>
    <row r="44" spans="1:11" ht="17.100000000000001" customHeight="1">
      <c r="B44" s="16"/>
      <c r="C44" s="16"/>
      <c r="D44" s="16"/>
      <c r="E44" s="16"/>
      <c r="F44" s="16"/>
      <c r="G44" s="16"/>
      <c r="H44" s="16"/>
    </row>
    <row r="45" spans="1:11" ht="17.100000000000001" customHeight="1">
      <c r="B45" s="16"/>
      <c r="C45" s="16"/>
      <c r="D45" s="16"/>
      <c r="E45" s="16"/>
      <c r="F45" s="16"/>
      <c r="G45" s="16"/>
      <c r="H45" s="16"/>
    </row>
    <row r="48" spans="1:11">
      <c r="H48" s="17"/>
    </row>
    <row r="61" spans="1:1">
      <c r="A61" s="26" t="s">
        <v>30</v>
      </c>
    </row>
  </sheetData>
  <mergeCells count="1">
    <mergeCell ref="G14:H14"/>
  </mergeCells>
  <pageMargins left="0.39370078740157483" right="0.19685039370078741" top="0.74803149606299213" bottom="0.74803149606299213" header="0.31496062992125984" footer="0.31496062992125984"/>
  <pageSetup paperSize="1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N65"/>
  <sheetViews>
    <sheetView workbookViewId="0">
      <selection activeCell="D32" sqref="D32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4" spans="1:8" s="3" customFormat="1" ht="18">
      <c r="B4" s="18"/>
      <c r="C4" s="18"/>
      <c r="D4" s="18" t="s">
        <v>3</v>
      </c>
      <c r="E4" s="18"/>
      <c r="F4" s="18"/>
      <c r="G4" s="18"/>
      <c r="H4" s="18"/>
    </row>
    <row r="5" spans="1:8" s="3" customFormat="1" ht="18">
      <c r="D5" s="29" t="s">
        <v>57</v>
      </c>
    </row>
    <row r="6" spans="1:8" s="3" customFormat="1" ht="14.25"/>
    <row r="7" spans="1:8" s="3" customFormat="1" ht="14.25">
      <c r="A7" s="4" t="s">
        <v>4</v>
      </c>
      <c r="C7" s="3" t="s">
        <v>5</v>
      </c>
      <c r="D7" s="6" t="s">
        <v>37</v>
      </c>
      <c r="E7" s="5"/>
      <c r="F7" s="5"/>
      <c r="G7" s="5"/>
      <c r="H7" s="5"/>
    </row>
    <row r="8" spans="1:8" s="3" customFormat="1" ht="14.25">
      <c r="A8" s="4"/>
    </row>
    <row r="9" spans="1:8" s="3" customFormat="1" ht="14.25">
      <c r="A9" s="4" t="s">
        <v>6</v>
      </c>
      <c r="C9" s="3" t="s">
        <v>5</v>
      </c>
      <c r="D9" s="6" t="s">
        <v>26</v>
      </c>
      <c r="E9" s="5"/>
      <c r="F9" s="5"/>
      <c r="G9" s="5"/>
      <c r="H9" s="5"/>
    </row>
    <row r="10" spans="1:8" s="3" customFormat="1" ht="14.25">
      <c r="A10" s="4"/>
      <c r="D10" s="4"/>
    </row>
    <row r="11" spans="1:8" s="3" customFormat="1" ht="14.25">
      <c r="A11" s="4" t="s">
        <v>7</v>
      </c>
      <c r="C11" s="3" t="s">
        <v>5</v>
      </c>
      <c r="D11" s="6" t="s">
        <v>33</v>
      </c>
      <c r="E11" s="5"/>
      <c r="F11" s="5"/>
      <c r="G11" s="5"/>
      <c r="H11" s="5"/>
    </row>
    <row r="12" spans="1:8" s="3" customFormat="1" ht="14.25">
      <c r="A12" s="4"/>
    </row>
    <row r="13" spans="1:8" s="3" customFormat="1" ht="14.25">
      <c r="A13" s="4" t="s">
        <v>29</v>
      </c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t="s">
        <v>8</v>
      </c>
    </row>
    <row r="16" spans="1:8" s="4" customFormat="1" ht="18" customHeight="1">
      <c r="B16" s="4" t="s">
        <v>9</v>
      </c>
      <c r="D16" s="4" t="s">
        <v>10</v>
      </c>
      <c r="E16" s="8" t="s">
        <v>5</v>
      </c>
      <c r="F16" s="9"/>
      <c r="G16" s="4" t="s">
        <v>11</v>
      </c>
      <c r="H16" s="10"/>
    </row>
    <row r="17" spans="1:14" s="4" customFormat="1" ht="18" customHeight="1">
      <c r="D17" s="4" t="s">
        <v>13</v>
      </c>
      <c r="E17" s="8" t="s">
        <v>5</v>
      </c>
      <c r="F17" s="24"/>
      <c r="G17" s="4" t="s">
        <v>11</v>
      </c>
      <c r="H17" s="10"/>
    </row>
    <row r="18" spans="1:14" s="4" customFormat="1" ht="14.25">
      <c r="D18" s="11" t="s">
        <v>14</v>
      </c>
      <c r="E18" s="8"/>
    </row>
    <row r="19" spans="1:14" s="4" customFormat="1" ht="14.25">
      <c r="D19" s="4" t="s">
        <v>39</v>
      </c>
      <c r="E19" s="35" t="s">
        <v>5</v>
      </c>
      <c r="F19" s="31">
        <v>0</v>
      </c>
      <c r="G19" s="4" t="s">
        <v>11</v>
      </c>
      <c r="H19" s="10"/>
    </row>
    <row r="20" spans="1:14" s="4" customFormat="1" ht="14.25">
      <c r="D20" s="4" t="s">
        <v>1</v>
      </c>
      <c r="E20" s="35" t="s">
        <v>5</v>
      </c>
      <c r="F20" s="32">
        <f>570+39526-600</f>
        <v>39496</v>
      </c>
      <c r="G20" s="4" t="s">
        <v>11</v>
      </c>
      <c r="H20" s="10" t="s">
        <v>12</v>
      </c>
      <c r="K20" s="19"/>
    </row>
    <row r="21" spans="1:14" s="4" customFormat="1" ht="14.25">
      <c r="B21" s="4" t="s">
        <v>15</v>
      </c>
      <c r="E21" s="35"/>
      <c r="F21" s="33"/>
      <c r="I21" s="19"/>
      <c r="J21" s="19"/>
      <c r="K21" s="19"/>
    </row>
    <row r="22" spans="1:14" s="4" customFormat="1" ht="18" customHeight="1">
      <c r="D22" s="4" t="s">
        <v>10</v>
      </c>
      <c r="E22" s="35" t="s">
        <v>5</v>
      </c>
      <c r="F22" s="56">
        <v>442</v>
      </c>
      <c r="G22" s="4" t="s">
        <v>11</v>
      </c>
      <c r="H22" s="10"/>
      <c r="I22" s="19"/>
      <c r="J22" s="19"/>
      <c r="K22" s="19"/>
    </row>
    <row r="23" spans="1:14" s="4" customFormat="1" ht="18" customHeight="1">
      <c r="D23" s="4" t="s">
        <v>13</v>
      </c>
      <c r="E23" s="35" t="s">
        <v>5</v>
      </c>
      <c r="F23" s="34"/>
      <c r="G23" s="4" t="s">
        <v>11</v>
      </c>
      <c r="H23" s="10"/>
      <c r="I23" s="19"/>
      <c r="J23" s="19"/>
      <c r="K23" s="19"/>
    </row>
    <row r="24" spans="1:14" s="4" customFormat="1" ht="14.25">
      <c r="D24" s="11" t="s">
        <v>14</v>
      </c>
      <c r="E24" s="38"/>
      <c r="F24" s="35"/>
      <c r="I24" s="19"/>
      <c r="J24" s="19"/>
      <c r="K24" s="19"/>
    </row>
    <row r="25" spans="1:14" s="4" customFormat="1" ht="14.25">
      <c r="D25" s="4" t="s">
        <v>39</v>
      </c>
      <c r="E25" s="35" t="s">
        <v>5</v>
      </c>
      <c r="F25" s="31">
        <v>0</v>
      </c>
      <c r="G25" s="4" t="s">
        <v>11</v>
      </c>
      <c r="H25" s="10" t="s">
        <v>16</v>
      </c>
      <c r="I25" s="19"/>
      <c r="K25" s="19"/>
    </row>
    <row r="26" spans="1:14" s="4" customFormat="1" ht="14.25">
      <c r="D26" s="4" t="s">
        <v>1</v>
      </c>
      <c r="E26" s="35" t="s">
        <v>5</v>
      </c>
      <c r="F26" s="32">
        <v>600</v>
      </c>
      <c r="G26" s="4" t="s">
        <v>11</v>
      </c>
      <c r="H26" s="10"/>
      <c r="I26" s="19"/>
      <c r="J26" s="19"/>
      <c r="K26" s="19"/>
      <c r="N26" s="27"/>
    </row>
    <row r="27" spans="1:14" s="4" customFormat="1" ht="14.25">
      <c r="E27" s="35"/>
      <c r="F27" s="33"/>
      <c r="H27" s="12"/>
      <c r="I27" s="19"/>
      <c r="K27" s="19"/>
    </row>
    <row r="28" spans="1:14" s="4" customFormat="1" ht="15" customHeight="1">
      <c r="A28" s="4" t="s">
        <v>17</v>
      </c>
      <c r="E28" s="35" t="s">
        <v>5</v>
      </c>
      <c r="F28" s="31">
        <f>1638+563</f>
        <v>2201</v>
      </c>
      <c r="G28" s="6" t="s">
        <v>44</v>
      </c>
      <c r="H28" s="25"/>
      <c r="J28" s="19"/>
      <c r="K28" s="19"/>
    </row>
    <row r="29" spans="1:14" s="4" customFormat="1" ht="14.25">
      <c r="F29" s="37"/>
      <c r="J29" s="19"/>
      <c r="K29" s="19"/>
    </row>
    <row r="30" spans="1:14" s="4" customFormat="1" ht="14.25">
      <c r="A30" s="4" t="s">
        <v>18</v>
      </c>
      <c r="F30" s="19"/>
      <c r="J30" s="19"/>
      <c r="N30" s="19"/>
    </row>
    <row r="31" spans="1:14" s="4" customFormat="1" ht="14.25">
      <c r="D31" s="4" t="s">
        <v>27</v>
      </c>
      <c r="F31" s="19"/>
      <c r="G31" s="19"/>
      <c r="K31" s="19"/>
    </row>
    <row r="32" spans="1:14" s="4" customFormat="1" ht="18" customHeight="1">
      <c r="B32" s="8" t="s">
        <v>19</v>
      </c>
      <c r="C32" s="8"/>
      <c r="D32" s="58">
        <v>27870.92</v>
      </c>
      <c r="E32" s="6"/>
      <c r="F32" s="25"/>
      <c r="G32" s="6"/>
      <c r="H32" s="6"/>
      <c r="J32" s="19"/>
    </row>
    <row r="33" spans="1:8" s="4" customFormat="1" ht="18" customHeight="1">
      <c r="B33" s="8" t="s">
        <v>20</v>
      </c>
      <c r="C33" s="8"/>
      <c r="D33" s="59">
        <v>8292.3700000000008</v>
      </c>
      <c r="E33" s="13"/>
      <c r="F33" s="13"/>
      <c r="G33" s="13"/>
      <c r="H33" s="13"/>
    </row>
    <row r="34" spans="1:8" s="4" customFormat="1" ht="14.25"/>
    <row r="35" spans="1:8" s="4" customFormat="1" ht="14.25">
      <c r="A35" s="4" t="s">
        <v>21</v>
      </c>
    </row>
    <row r="36" spans="1:8" s="4" customFormat="1" ht="14.25"/>
    <row r="37" spans="1:8" s="4" customFormat="1" ht="18" customHeight="1">
      <c r="B37" s="4" t="s">
        <v>22</v>
      </c>
      <c r="D37" s="6" t="s">
        <v>28</v>
      </c>
      <c r="E37" s="6"/>
      <c r="F37" s="6"/>
      <c r="G37" s="6"/>
      <c r="H37" s="6"/>
    </row>
    <row r="38" spans="1:8" s="4" customFormat="1" ht="18" customHeight="1">
      <c r="B38" s="4" t="s">
        <v>23</v>
      </c>
      <c r="D38" s="13" t="s">
        <v>24</v>
      </c>
      <c r="E38" s="13"/>
      <c r="F38" s="13"/>
      <c r="G38" s="13"/>
      <c r="H38" s="13"/>
    </row>
    <row r="39" spans="1:8" s="4" customFormat="1" ht="14.25"/>
    <row r="40" spans="1:8" s="4" customFormat="1" ht="14.25">
      <c r="A40" s="4" t="s">
        <v>25</v>
      </c>
    </row>
    <row r="41" spans="1:8" s="1" customFormat="1"/>
    <row r="43" spans="1:8">
      <c r="A43" s="1"/>
      <c r="B43" s="14" t="s">
        <v>31</v>
      </c>
      <c r="C43" s="14"/>
      <c r="D43" s="14"/>
      <c r="E43" s="14"/>
      <c r="F43" s="14"/>
      <c r="G43" s="21"/>
      <c r="H43" s="15"/>
    </row>
    <row r="44" spans="1:8" ht="17.100000000000001" customHeight="1">
      <c r="A44" s="1"/>
      <c r="B44" s="28"/>
      <c r="C44" s="22"/>
      <c r="D44" s="22"/>
      <c r="E44" s="22"/>
      <c r="F44" s="22"/>
      <c r="G44" s="22"/>
      <c r="H44" s="16"/>
    </row>
    <row r="45" spans="1:8" ht="17.100000000000001" customHeight="1">
      <c r="A45" s="1"/>
      <c r="B45" s="23"/>
      <c r="C45" s="22"/>
      <c r="D45" s="22"/>
      <c r="E45" s="22"/>
      <c r="F45" s="22"/>
      <c r="G45" s="22"/>
      <c r="H45" s="16"/>
    </row>
    <row r="46" spans="1:8" ht="17.100000000000001" customHeight="1">
      <c r="A46" s="1"/>
      <c r="B46" s="22"/>
      <c r="C46" s="22"/>
      <c r="D46" s="22"/>
      <c r="E46" s="22"/>
      <c r="F46" s="22"/>
      <c r="G46" s="22"/>
      <c r="H46" s="16"/>
    </row>
    <row r="47" spans="1:8" ht="17.100000000000001" customHeight="1">
      <c r="B47" s="16"/>
      <c r="C47" s="16"/>
      <c r="D47" s="16"/>
      <c r="E47" s="16"/>
      <c r="F47" s="16"/>
      <c r="G47" s="16"/>
      <c r="H47" s="16"/>
    </row>
    <row r="48" spans="1:8" ht="17.100000000000001" customHeight="1">
      <c r="B48" s="16"/>
      <c r="C48" s="16"/>
      <c r="D48" s="16"/>
      <c r="E48" s="16"/>
      <c r="F48" s="16"/>
      <c r="G48" s="16"/>
      <c r="H48" s="16"/>
    </row>
    <row r="49" spans="2:8" ht="17.100000000000001" customHeight="1">
      <c r="B49" s="16"/>
      <c r="C49" s="16"/>
      <c r="D49" s="16"/>
      <c r="E49" s="16"/>
      <c r="F49" s="16"/>
      <c r="G49" s="16"/>
      <c r="H49" s="16"/>
    </row>
    <row r="52" spans="2:8">
      <c r="H52" s="17"/>
    </row>
    <row r="65" spans="1:1">
      <c r="A65" s="26" t="s">
        <v>30</v>
      </c>
    </row>
  </sheetData>
  <pageMargins left="0.4" right="0.19" top="0.75" bottom="0.75" header="0.3" footer="0.3"/>
  <pageSetup paperSize="1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N61"/>
  <sheetViews>
    <sheetView topLeftCell="A7" workbookViewId="0">
      <selection activeCell="W41" sqref="W41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'APRIL 2026-PMC '!D5</f>
        <v>MONTH OF APRIL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32</v>
      </c>
      <c r="E5" s="5"/>
      <c r="F5" s="5"/>
      <c r="G5" s="5"/>
      <c r="H5" s="5"/>
    </row>
    <row r="6" spans="1:8" s="3" customFormat="1" ht="14.25">
      <c r="A6" s="4"/>
    </row>
    <row r="7" spans="1:8" s="3" customFormat="1" ht="14.25">
      <c r="A7" s="4" t="s">
        <v>6</v>
      </c>
      <c r="C7" s="3" t="s">
        <v>5</v>
      </c>
      <c r="D7" s="6" t="s">
        <v>26</v>
      </c>
      <c r="E7" s="5"/>
      <c r="F7" s="5"/>
      <c r="G7" s="5"/>
      <c r="H7" s="5"/>
    </row>
    <row r="8" spans="1:8" s="3" customFormat="1" ht="14.25">
      <c r="A8" s="4"/>
      <c r="D8" s="20"/>
    </row>
    <row r="9" spans="1:8" s="3" customFormat="1" ht="14.25">
      <c r="A9" s="4" t="s">
        <v>7</v>
      </c>
      <c r="C9" s="3" t="s">
        <v>5</v>
      </c>
      <c r="D9" s="6" t="s">
        <v>34</v>
      </c>
      <c r="E9" s="5"/>
      <c r="F9" s="5"/>
      <c r="G9" s="5"/>
      <c r="H9" s="5"/>
    </row>
    <row r="10" spans="1:8" s="3" customFormat="1" ht="14.25">
      <c r="A10" s="4"/>
    </row>
    <row r="11" spans="1:8" s="3" customFormat="1" ht="14.25">
      <c r="A11" s="4" t="s">
        <v>29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/>
      <c r="G14" s="4" t="s">
        <v>11</v>
      </c>
      <c r="H14" s="10"/>
    </row>
    <row r="15" spans="1:8" s="4" customFormat="1" ht="18" customHeight="1">
      <c r="D15" s="4" t="s">
        <v>13</v>
      </c>
      <c r="E15" s="8" t="s">
        <v>5</v>
      </c>
      <c r="F15" s="46"/>
      <c r="G15" s="4" t="s">
        <v>11</v>
      </c>
      <c r="H15" s="10"/>
    </row>
    <row r="16" spans="1:8" s="4" customFormat="1" ht="14.25">
      <c r="D16" s="11" t="s">
        <v>14</v>
      </c>
      <c r="E16" s="8"/>
      <c r="F16" s="50"/>
    </row>
    <row r="17" spans="1:14" s="4" customFormat="1" ht="14.25">
      <c r="D17" s="4" t="s">
        <v>0</v>
      </c>
      <c r="E17" s="8" t="s">
        <v>5</v>
      </c>
      <c r="F17" s="46"/>
      <c r="G17" s="4" t="s">
        <v>11</v>
      </c>
      <c r="H17" s="10" t="s">
        <v>12</v>
      </c>
    </row>
    <row r="18" spans="1:14" s="4" customFormat="1" ht="14.25">
      <c r="D18" s="4" t="s">
        <v>1</v>
      </c>
      <c r="E18" s="8" t="s">
        <v>5</v>
      </c>
      <c r="F18" s="45"/>
      <c r="G18" s="4" t="s">
        <v>11</v>
      </c>
      <c r="H18" s="10" t="s">
        <v>12</v>
      </c>
      <c r="K18" s="19"/>
    </row>
    <row r="19" spans="1:14" s="4" customFormat="1" ht="14.25">
      <c r="B19" s="4" t="s">
        <v>15</v>
      </c>
      <c r="E19" s="8"/>
      <c r="F19" s="47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48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49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50"/>
      <c r="I22" s="19"/>
      <c r="J22" s="19"/>
      <c r="K22" s="19"/>
    </row>
    <row r="23" spans="1:14" s="4" customFormat="1" ht="14.25">
      <c r="D23" s="4" t="s">
        <v>0</v>
      </c>
      <c r="E23" s="8" t="s">
        <v>5</v>
      </c>
      <c r="F23" s="46"/>
      <c r="G23" s="4" t="s">
        <v>11</v>
      </c>
      <c r="H23" s="10" t="s">
        <v>16</v>
      </c>
      <c r="I23" s="19"/>
      <c r="K23" s="19"/>
    </row>
    <row r="24" spans="1:14" s="4" customFormat="1" ht="14.25">
      <c r="D24" s="4" t="s">
        <v>1</v>
      </c>
      <c r="E24" s="8" t="s">
        <v>5</v>
      </c>
      <c r="F24" s="49"/>
      <c r="G24" s="4" t="s">
        <v>11</v>
      </c>
      <c r="H24" s="10" t="s">
        <v>16</v>
      </c>
      <c r="I24" s="19"/>
      <c r="J24" s="19"/>
      <c r="K24" s="19"/>
      <c r="N24" s="27"/>
    </row>
    <row r="25" spans="1:14" s="4" customFormat="1" ht="14.25">
      <c r="E25" s="8"/>
      <c r="F25" s="50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46"/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0"/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61"/>
      <c r="E31" s="13"/>
      <c r="F31" s="13"/>
      <c r="G31" s="13"/>
      <c r="H31" s="13"/>
    </row>
    <row r="32" spans="1:14" s="4" customFormat="1" ht="14.25">
      <c r="D32" s="38"/>
    </row>
    <row r="33" spans="1:8" s="4" customFormat="1" ht="14.25">
      <c r="A33" s="4" t="s">
        <v>21</v>
      </c>
    </row>
    <row r="34" spans="1:8" s="4" customFormat="1" ht="14.25"/>
    <row r="35" spans="1:8" s="4" customFormat="1" ht="18" customHeight="1">
      <c r="B35" s="4" t="s">
        <v>22</v>
      </c>
      <c r="D35" s="54"/>
      <c r="E35" s="6"/>
      <c r="F35" s="6"/>
      <c r="G35" s="6"/>
      <c r="H35" s="6"/>
    </row>
    <row r="36" spans="1:8" s="4" customFormat="1" ht="18" customHeight="1">
      <c r="B36" s="4" t="s">
        <v>23</v>
      </c>
      <c r="D36" s="55"/>
      <c r="E36" s="13"/>
      <c r="F36" s="13"/>
      <c r="G36" s="13"/>
      <c r="H36" s="13"/>
    </row>
    <row r="37" spans="1:8" s="4" customFormat="1" ht="14.25"/>
    <row r="38" spans="1:8" s="4" customFormat="1" ht="14.25">
      <c r="A38" s="4" t="s">
        <v>25</v>
      </c>
    </row>
    <row r="39" spans="1:8" s="1" customFormat="1"/>
    <row r="40" spans="1:8" ht="17.100000000000001" customHeight="1">
      <c r="A40" s="1"/>
      <c r="B40" s="28"/>
      <c r="C40" s="22"/>
      <c r="D40" s="22"/>
      <c r="E40" s="22"/>
      <c r="F40" s="22"/>
      <c r="G40" s="22"/>
      <c r="H40" s="16"/>
    </row>
    <row r="41" spans="1:8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8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8" ht="17.100000000000001" customHeight="1">
      <c r="B43" s="16"/>
      <c r="C43" s="16"/>
      <c r="D43" s="16"/>
      <c r="E43" s="16"/>
      <c r="F43" s="16"/>
      <c r="G43" s="16"/>
      <c r="H43" s="16"/>
    </row>
    <row r="44" spans="1:8" ht="17.100000000000001" customHeight="1">
      <c r="B44" s="16"/>
      <c r="C44" s="16"/>
      <c r="D44" s="16"/>
      <c r="E44" s="16"/>
      <c r="F44" s="16"/>
      <c r="G44" s="16"/>
      <c r="H44" s="16"/>
    </row>
    <row r="45" spans="1:8" ht="17.100000000000001" customHeight="1">
      <c r="B45" s="16"/>
      <c r="C45" s="16"/>
      <c r="D45" s="16"/>
      <c r="E45" s="16"/>
      <c r="F45" s="16"/>
      <c r="G45" s="16"/>
      <c r="H45" s="16"/>
    </row>
    <row r="48" spans="1:8">
      <c r="H48" s="17"/>
    </row>
    <row r="61" spans="1:1">
      <c r="A61" s="26" t="s">
        <v>30</v>
      </c>
    </row>
  </sheetData>
  <pageMargins left="0.4" right="0.19" top="0.75" bottom="0.75" header="0.3" footer="0.3"/>
  <pageSetup paperSize="1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13" workbookViewId="0">
      <selection activeCell="K46" sqref="K46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  <col min="13" max="13" width="12" bestFit="1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'APRIL 2026-PMC '!D5</f>
        <v>MONTH OF APRIL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36</v>
      </c>
      <c r="E5" s="5"/>
      <c r="F5" s="5"/>
      <c r="G5" s="5"/>
      <c r="H5" s="5"/>
    </row>
    <row r="6" spans="1:8" s="3" customFormat="1" ht="14.25">
      <c r="A6" s="4"/>
    </row>
    <row r="7" spans="1:8" s="39" customFormat="1" ht="15.75">
      <c r="A7" s="38" t="s">
        <v>6</v>
      </c>
      <c r="C7" s="39" t="s">
        <v>5</v>
      </c>
      <c r="D7" s="43" t="s">
        <v>43</v>
      </c>
      <c r="E7" s="41"/>
      <c r="F7" s="41"/>
      <c r="G7" s="41"/>
      <c r="H7" s="41"/>
    </row>
    <row r="8" spans="1:8" s="39" customFormat="1" ht="14.25">
      <c r="A8" s="38"/>
      <c r="D8" s="42"/>
    </row>
    <row r="9" spans="1:8" s="39" customFormat="1" ht="14.25">
      <c r="A9" s="38" t="s">
        <v>7</v>
      </c>
      <c r="C9" s="39" t="s">
        <v>5</v>
      </c>
      <c r="D9" s="40" t="s">
        <v>41</v>
      </c>
      <c r="E9" s="41"/>
      <c r="F9" s="41"/>
      <c r="G9" s="41"/>
      <c r="H9" s="41"/>
    </row>
    <row r="10" spans="1:8" s="3" customFormat="1" ht="14.25">
      <c r="A10" s="4"/>
    </row>
    <row r="11" spans="1:8" s="3" customFormat="1" ht="14.25">
      <c r="A11" s="4" t="s">
        <v>35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>
        <v>157</v>
      </c>
      <c r="G14" s="63" t="s">
        <v>42</v>
      </c>
      <c r="H14" s="63"/>
    </row>
    <row r="15" spans="1:8" s="4" customFormat="1" ht="18" customHeight="1">
      <c r="D15" s="4" t="s">
        <v>13</v>
      </c>
      <c r="E15" s="8" t="s">
        <v>5</v>
      </c>
      <c r="F15" s="51"/>
      <c r="G15" s="4" t="s">
        <v>11</v>
      </c>
      <c r="H15" s="10" t="s">
        <v>38</v>
      </c>
    </row>
    <row r="16" spans="1:8" s="4" customFormat="1" ht="14.25">
      <c r="D16" s="11" t="s">
        <v>14</v>
      </c>
      <c r="E16" s="8"/>
      <c r="F16" s="53"/>
    </row>
    <row r="17" spans="1:14" s="4" customFormat="1" ht="14.25">
      <c r="D17" s="38" t="s">
        <v>39</v>
      </c>
      <c r="E17" s="8" t="s">
        <v>5</v>
      </c>
      <c r="F17" s="51">
        <v>2358</v>
      </c>
      <c r="G17" s="4" t="s">
        <v>11</v>
      </c>
      <c r="H17" s="10" t="s">
        <v>38</v>
      </c>
    </row>
    <row r="18" spans="1:14" s="4" customFormat="1" ht="14.25">
      <c r="D18" s="38" t="s">
        <v>40</v>
      </c>
      <c r="E18" s="8" t="s">
        <v>5</v>
      </c>
      <c r="F18" s="52"/>
      <c r="G18" s="4" t="s">
        <v>11</v>
      </c>
      <c r="H18" s="10" t="s">
        <v>38</v>
      </c>
      <c r="K18" s="19"/>
    </row>
    <row r="19" spans="1:14" s="4" customFormat="1" ht="14.25">
      <c r="B19" s="4" t="s">
        <v>15</v>
      </c>
      <c r="E19" s="8"/>
      <c r="F19" s="33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30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34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35"/>
      <c r="I22" s="19"/>
      <c r="J22" s="19"/>
      <c r="K22" s="19"/>
    </row>
    <row r="23" spans="1:14" s="4" customFormat="1" ht="14.25">
      <c r="D23" s="38" t="s">
        <v>39</v>
      </c>
      <c r="E23" s="8" t="s">
        <v>5</v>
      </c>
      <c r="F23" s="31">
        <v>0</v>
      </c>
      <c r="G23" s="4" t="s">
        <v>11</v>
      </c>
      <c r="H23" s="10" t="s">
        <v>38</v>
      </c>
      <c r="I23" s="19"/>
      <c r="K23" s="19"/>
    </row>
    <row r="24" spans="1:14" s="4" customFormat="1" ht="14.25">
      <c r="D24" s="38" t="s">
        <v>40</v>
      </c>
      <c r="E24" s="8" t="s">
        <v>5</v>
      </c>
      <c r="F24" s="34">
        <v>0</v>
      </c>
      <c r="G24" s="4" t="s">
        <v>11</v>
      </c>
      <c r="H24" s="10" t="s">
        <v>38</v>
      </c>
      <c r="I24" s="19"/>
      <c r="J24" s="19"/>
      <c r="K24" s="19"/>
      <c r="N24" s="27"/>
    </row>
    <row r="25" spans="1:14" s="4" customFormat="1" ht="14.25">
      <c r="E25" s="8"/>
      <c r="F25" s="35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31" t="s">
        <v>52</v>
      </c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M28" s="44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2"/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57">
        <v>8450.52</v>
      </c>
      <c r="E31" s="13"/>
      <c r="F31" s="13"/>
      <c r="G31" s="13"/>
      <c r="H31" s="13"/>
    </row>
    <row r="32" spans="1:14" s="4" customFormat="1" ht="14.25"/>
    <row r="33" spans="1:11" s="4" customFormat="1" ht="14.25">
      <c r="A33" s="4" t="s">
        <v>21</v>
      </c>
    </row>
    <row r="34" spans="1:11" s="4" customFormat="1" ht="14.25"/>
    <row r="35" spans="1:11" s="4" customFormat="1" ht="18" customHeight="1">
      <c r="B35" s="4" t="s">
        <v>22</v>
      </c>
      <c r="D35" s="10"/>
      <c r="E35" s="6"/>
      <c r="F35" s="6"/>
      <c r="G35" s="6"/>
      <c r="H35" s="6"/>
    </row>
    <row r="36" spans="1:11" s="4" customFormat="1" ht="18" customHeight="1">
      <c r="B36" s="4" t="s">
        <v>23</v>
      </c>
      <c r="D36" s="36"/>
      <c r="E36" s="13"/>
      <c r="F36" s="13"/>
      <c r="G36" s="13"/>
      <c r="H36" s="13"/>
    </row>
    <row r="37" spans="1:11" s="4" customFormat="1" ht="14.25"/>
    <row r="38" spans="1:11" s="4" customFormat="1" ht="14.25">
      <c r="A38" s="4" t="s">
        <v>25</v>
      </c>
    </row>
    <row r="39" spans="1:11" s="1" customFormat="1"/>
    <row r="40" spans="1:11" ht="17.100000000000001" customHeight="1">
      <c r="A40" s="1"/>
      <c r="B40" s="28" t="s">
        <v>58</v>
      </c>
      <c r="C40" s="22"/>
      <c r="D40" s="22"/>
      <c r="E40" s="22"/>
      <c r="F40" s="22"/>
      <c r="G40" s="22"/>
      <c r="H40" s="16"/>
      <c r="K40" t="s">
        <v>27</v>
      </c>
    </row>
    <row r="41" spans="1:11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11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11" ht="17.100000000000001" customHeight="1">
      <c r="B43" s="16"/>
      <c r="C43" s="16"/>
      <c r="D43" s="16"/>
      <c r="E43" s="16"/>
      <c r="F43" s="16"/>
      <c r="G43" s="16"/>
      <c r="H43" s="16"/>
    </row>
    <row r="44" spans="1:11" ht="17.100000000000001" customHeight="1">
      <c r="B44" s="16"/>
      <c r="C44" s="16"/>
      <c r="D44" s="16"/>
      <c r="E44" s="16"/>
      <c r="F44" s="16"/>
      <c r="G44" s="16"/>
      <c r="H44" s="16"/>
    </row>
    <row r="45" spans="1:11" ht="17.100000000000001" customHeight="1">
      <c r="B45" s="16"/>
      <c r="C45" s="16"/>
      <c r="D45" s="16"/>
      <c r="E45" s="16"/>
      <c r="F45" s="16"/>
      <c r="G45" s="16"/>
      <c r="H45" s="16"/>
    </row>
    <row r="48" spans="1:11">
      <c r="H48" s="17"/>
    </row>
    <row r="61" spans="1:1">
      <c r="A61" s="26" t="s">
        <v>30</v>
      </c>
    </row>
  </sheetData>
  <mergeCells count="1">
    <mergeCell ref="G14:H14"/>
  </mergeCells>
  <pageMargins left="0.39370078740157483" right="0.19685039370078741" top="0.74803149606299213" bottom="0.74803149606299213" header="0.31496062992125984" footer="0.31496062992125984"/>
  <pageSetup paperSize="1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N65"/>
  <sheetViews>
    <sheetView topLeftCell="A4" workbookViewId="0">
      <selection activeCell="D34" sqref="D34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4" spans="1:8" s="3" customFormat="1" ht="18">
      <c r="B4" s="18"/>
      <c r="C4" s="18"/>
      <c r="D4" s="18" t="s">
        <v>3</v>
      </c>
      <c r="E4" s="18"/>
      <c r="F4" s="18"/>
      <c r="G4" s="18"/>
      <c r="H4" s="18"/>
    </row>
    <row r="5" spans="1:8" s="3" customFormat="1" ht="18">
      <c r="D5" s="29" t="s">
        <v>59</v>
      </c>
    </row>
    <row r="6" spans="1:8" s="3" customFormat="1" ht="14.25"/>
    <row r="7" spans="1:8" s="3" customFormat="1" ht="14.25">
      <c r="A7" s="4" t="s">
        <v>4</v>
      </c>
      <c r="C7" s="3" t="s">
        <v>5</v>
      </c>
      <c r="D7" s="6" t="s">
        <v>37</v>
      </c>
      <c r="E7" s="5"/>
      <c r="F7" s="5"/>
      <c r="G7" s="5"/>
      <c r="H7" s="5"/>
    </row>
    <row r="8" spans="1:8" s="3" customFormat="1" ht="14.25">
      <c r="A8" s="4"/>
    </row>
    <row r="9" spans="1:8" s="3" customFormat="1" ht="14.25">
      <c r="A9" s="4" t="s">
        <v>6</v>
      </c>
      <c r="C9" s="3" t="s">
        <v>5</v>
      </c>
      <c r="D9" s="6" t="s">
        <v>26</v>
      </c>
      <c r="E9" s="5"/>
      <c r="F9" s="5"/>
      <c r="G9" s="5"/>
      <c r="H9" s="5"/>
    </row>
    <row r="10" spans="1:8" s="3" customFormat="1" ht="14.25">
      <c r="A10" s="4"/>
      <c r="D10" s="4"/>
    </row>
    <row r="11" spans="1:8" s="3" customFormat="1" ht="14.25">
      <c r="A11" s="4" t="s">
        <v>7</v>
      </c>
      <c r="C11" s="3" t="s">
        <v>5</v>
      </c>
      <c r="D11" s="6" t="s">
        <v>33</v>
      </c>
      <c r="E11" s="5"/>
      <c r="F11" s="5"/>
      <c r="G11" s="5"/>
      <c r="H11" s="5"/>
    </row>
    <row r="12" spans="1:8" s="3" customFormat="1" ht="14.25">
      <c r="A12" s="4"/>
    </row>
    <row r="13" spans="1:8" s="3" customFormat="1" ht="14.25">
      <c r="A13" s="4" t="s">
        <v>29</v>
      </c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t="s">
        <v>8</v>
      </c>
    </row>
    <row r="16" spans="1:8" s="4" customFormat="1" ht="18" customHeight="1">
      <c r="B16" s="4" t="s">
        <v>9</v>
      </c>
      <c r="D16" s="4" t="s">
        <v>10</v>
      </c>
      <c r="E16" s="8" t="s">
        <v>5</v>
      </c>
      <c r="F16" s="9"/>
      <c r="G16" s="4" t="s">
        <v>11</v>
      </c>
      <c r="H16" s="10"/>
    </row>
    <row r="17" spans="1:14" s="4" customFormat="1" ht="18" customHeight="1">
      <c r="D17" s="4" t="s">
        <v>13</v>
      </c>
      <c r="E17" s="8" t="s">
        <v>5</v>
      </c>
      <c r="F17" s="24"/>
      <c r="G17" s="4" t="s">
        <v>11</v>
      </c>
      <c r="H17" s="10"/>
    </row>
    <row r="18" spans="1:14" s="4" customFormat="1" ht="14.25">
      <c r="D18" s="11" t="s">
        <v>14</v>
      </c>
      <c r="E18" s="8"/>
    </row>
    <row r="19" spans="1:14" s="4" customFormat="1" ht="14.25">
      <c r="D19" s="4" t="s">
        <v>39</v>
      </c>
      <c r="E19" s="35" t="s">
        <v>5</v>
      </c>
      <c r="F19" s="31">
        <v>0</v>
      </c>
      <c r="G19" s="4" t="s">
        <v>11</v>
      </c>
      <c r="H19" s="10"/>
    </row>
    <row r="20" spans="1:14" s="4" customFormat="1" ht="14.25">
      <c r="D20" s="4" t="s">
        <v>1</v>
      </c>
      <c r="E20" s="35" t="s">
        <v>5</v>
      </c>
      <c r="F20" s="32">
        <f>3453+44222-520</f>
        <v>47155</v>
      </c>
      <c r="G20" s="4" t="s">
        <v>11</v>
      </c>
      <c r="H20" s="10" t="s">
        <v>12</v>
      </c>
      <c r="K20" s="19"/>
    </row>
    <row r="21" spans="1:14" s="4" customFormat="1" ht="14.25">
      <c r="B21" s="4" t="s">
        <v>15</v>
      </c>
      <c r="E21" s="35"/>
      <c r="F21" s="33"/>
      <c r="I21" s="19"/>
      <c r="J21" s="19"/>
      <c r="K21" s="19"/>
    </row>
    <row r="22" spans="1:14" s="4" customFormat="1" ht="18" customHeight="1">
      <c r="D22" s="4" t="s">
        <v>10</v>
      </c>
      <c r="E22" s="35" t="s">
        <v>5</v>
      </c>
      <c r="F22" s="56">
        <v>378</v>
      </c>
      <c r="G22" s="4" t="s">
        <v>11</v>
      </c>
      <c r="H22" s="10"/>
      <c r="I22" s="19"/>
      <c r="J22" s="19"/>
      <c r="K22" s="19"/>
    </row>
    <row r="23" spans="1:14" s="4" customFormat="1" ht="18" customHeight="1">
      <c r="D23" s="4" t="s">
        <v>13</v>
      </c>
      <c r="E23" s="35" t="s">
        <v>5</v>
      </c>
      <c r="F23" s="34"/>
      <c r="G23" s="4" t="s">
        <v>11</v>
      </c>
      <c r="H23" s="10"/>
      <c r="I23" s="19"/>
      <c r="J23" s="19"/>
      <c r="K23" s="19"/>
    </row>
    <row r="24" spans="1:14" s="4" customFormat="1" ht="14.25">
      <c r="D24" s="11" t="s">
        <v>14</v>
      </c>
      <c r="E24" s="38"/>
      <c r="F24" s="35"/>
      <c r="I24" s="19"/>
      <c r="J24" s="19"/>
      <c r="K24" s="19"/>
    </row>
    <row r="25" spans="1:14" s="4" customFormat="1" ht="14.25">
      <c r="D25" s="4" t="s">
        <v>39</v>
      </c>
      <c r="E25" s="35" t="s">
        <v>5</v>
      </c>
      <c r="F25" s="31">
        <v>0</v>
      </c>
      <c r="G25" s="4" t="s">
        <v>11</v>
      </c>
      <c r="H25" s="10" t="s">
        <v>16</v>
      </c>
      <c r="I25" s="19"/>
      <c r="K25" s="19"/>
    </row>
    <row r="26" spans="1:14" s="4" customFormat="1" ht="14.25">
      <c r="D26" s="4" t="s">
        <v>1</v>
      </c>
      <c r="E26" s="35" t="s">
        <v>5</v>
      </c>
      <c r="F26" s="32">
        <v>520</v>
      </c>
      <c r="G26" s="4" t="s">
        <v>11</v>
      </c>
      <c r="H26" s="10"/>
      <c r="I26" s="19"/>
      <c r="J26" s="19"/>
      <c r="K26" s="19"/>
      <c r="N26" s="27"/>
    </row>
    <row r="27" spans="1:14" s="4" customFormat="1" ht="14.25">
      <c r="E27" s="35"/>
      <c r="F27" s="33"/>
      <c r="H27" s="12"/>
      <c r="I27" s="19"/>
      <c r="K27" s="19"/>
    </row>
    <row r="28" spans="1:14" s="4" customFormat="1" ht="15" customHeight="1">
      <c r="A28" s="4" t="s">
        <v>17</v>
      </c>
      <c r="E28" s="35" t="s">
        <v>5</v>
      </c>
      <c r="F28" s="31">
        <f>1941+41</f>
        <v>1982</v>
      </c>
      <c r="G28" s="6" t="s">
        <v>44</v>
      </c>
      <c r="H28" s="25"/>
      <c r="J28" s="19"/>
      <c r="K28" s="19"/>
    </row>
    <row r="29" spans="1:14" s="4" customFormat="1" ht="14.25">
      <c r="F29" s="37"/>
      <c r="J29" s="19"/>
      <c r="K29" s="19"/>
    </row>
    <row r="30" spans="1:14" s="4" customFormat="1" ht="14.25">
      <c r="A30" s="4" t="s">
        <v>18</v>
      </c>
      <c r="F30" s="19"/>
      <c r="J30" s="19"/>
      <c r="N30" s="19"/>
    </row>
    <row r="31" spans="1:14" s="4" customFormat="1" ht="14.25">
      <c r="D31" s="4" t="s">
        <v>27</v>
      </c>
      <c r="F31" s="19"/>
      <c r="G31" s="19"/>
      <c r="K31" s="19"/>
    </row>
    <row r="32" spans="1:14" s="4" customFormat="1" ht="18" customHeight="1">
      <c r="B32" s="8" t="s">
        <v>19</v>
      </c>
      <c r="C32" s="8"/>
      <c r="D32" s="58">
        <v>33607.29</v>
      </c>
      <c r="E32" s="6"/>
      <c r="F32" s="25"/>
      <c r="G32" s="6"/>
      <c r="H32" s="6"/>
      <c r="J32" s="19"/>
    </row>
    <row r="33" spans="1:8" s="4" customFormat="1" ht="18" customHeight="1">
      <c r="B33" s="8" t="s">
        <v>20</v>
      </c>
      <c r="C33" s="8"/>
      <c r="D33" s="59">
        <v>6543.2</v>
      </c>
      <c r="E33" s="13"/>
      <c r="F33" s="13"/>
      <c r="G33" s="13"/>
      <c r="H33" s="13"/>
    </row>
    <row r="34" spans="1:8" s="4" customFormat="1" ht="14.25"/>
    <row r="35" spans="1:8" s="4" customFormat="1" ht="14.25">
      <c r="A35" s="4" t="s">
        <v>21</v>
      </c>
    </row>
    <row r="36" spans="1:8" s="4" customFormat="1" ht="14.25"/>
    <row r="37" spans="1:8" s="4" customFormat="1" ht="18" customHeight="1">
      <c r="B37" s="4" t="s">
        <v>22</v>
      </c>
      <c r="D37" s="6" t="s">
        <v>28</v>
      </c>
      <c r="E37" s="6"/>
      <c r="F37" s="6"/>
      <c r="G37" s="6"/>
      <c r="H37" s="6"/>
    </row>
    <row r="38" spans="1:8" s="4" customFormat="1" ht="18" customHeight="1">
      <c r="B38" s="4" t="s">
        <v>23</v>
      </c>
      <c r="D38" s="13" t="s">
        <v>24</v>
      </c>
      <c r="E38" s="13"/>
      <c r="F38" s="13"/>
      <c r="G38" s="13"/>
      <c r="H38" s="13"/>
    </row>
    <row r="39" spans="1:8" s="4" customFormat="1" ht="14.25"/>
    <row r="40" spans="1:8" s="4" customFormat="1" ht="14.25">
      <c r="A40" s="4" t="s">
        <v>25</v>
      </c>
    </row>
    <row r="41" spans="1:8" s="1" customFormat="1"/>
    <row r="43" spans="1:8">
      <c r="A43" s="1"/>
      <c r="B43" s="14" t="s">
        <v>31</v>
      </c>
      <c r="C43" s="14"/>
      <c r="D43" s="14"/>
      <c r="E43" s="14"/>
      <c r="F43" s="14"/>
      <c r="G43" s="21"/>
      <c r="H43" s="15"/>
    </row>
    <row r="44" spans="1:8" ht="17.100000000000001" customHeight="1">
      <c r="A44" s="1"/>
      <c r="B44" s="28"/>
      <c r="C44" s="22"/>
      <c r="D44" s="22"/>
      <c r="E44" s="22"/>
      <c r="F44" s="22"/>
      <c r="G44" s="22"/>
      <c r="H44" s="16"/>
    </row>
    <row r="45" spans="1:8" ht="17.100000000000001" customHeight="1">
      <c r="A45" s="1"/>
      <c r="B45" s="23"/>
      <c r="C45" s="22"/>
      <c r="D45" s="22"/>
      <c r="E45" s="22"/>
      <c r="F45" s="22"/>
      <c r="G45" s="22"/>
      <c r="H45" s="16"/>
    </row>
    <row r="46" spans="1:8" ht="17.100000000000001" customHeight="1">
      <c r="A46" s="1"/>
      <c r="B46" s="22"/>
      <c r="C46" s="22"/>
      <c r="D46" s="22"/>
      <c r="E46" s="22"/>
      <c r="F46" s="22"/>
      <c r="G46" s="22"/>
      <c r="H46" s="16"/>
    </row>
    <row r="47" spans="1:8" ht="17.100000000000001" customHeight="1">
      <c r="B47" s="16"/>
      <c r="C47" s="16"/>
      <c r="D47" s="16"/>
      <c r="E47" s="16"/>
      <c r="F47" s="16"/>
      <c r="G47" s="16"/>
      <c r="H47" s="16"/>
    </row>
    <row r="48" spans="1:8" ht="17.100000000000001" customHeight="1">
      <c r="B48" s="16"/>
      <c r="C48" s="16"/>
      <c r="D48" s="16"/>
      <c r="E48" s="16"/>
      <c r="F48" s="16"/>
      <c r="G48" s="16"/>
      <c r="H48" s="16"/>
    </row>
    <row r="49" spans="2:8" ht="17.100000000000001" customHeight="1">
      <c r="B49" s="16"/>
      <c r="C49" s="16"/>
      <c r="D49" s="16"/>
      <c r="E49" s="16"/>
      <c r="F49" s="16"/>
      <c r="G49" s="16"/>
      <c r="H49" s="16"/>
    </row>
    <row r="52" spans="2:8">
      <c r="H52" s="17"/>
    </row>
    <row r="65" spans="1:1">
      <c r="A65" s="26" t="s">
        <v>30</v>
      </c>
    </row>
  </sheetData>
  <pageMargins left="0.4" right="0.19" top="0.75" bottom="0.75" header="0.3" footer="0.3"/>
  <pageSetup paperSize="1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N61"/>
  <sheetViews>
    <sheetView workbookViewId="0">
      <selection activeCell="X26" sqref="X26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'MAY 2026-PMC'!D5</f>
        <v>MONTH OF MAY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32</v>
      </c>
      <c r="E5" s="5"/>
      <c r="F5" s="5"/>
      <c r="G5" s="5"/>
      <c r="H5" s="5"/>
    </row>
    <row r="6" spans="1:8" s="3" customFormat="1" ht="14.25">
      <c r="A6" s="4"/>
    </row>
    <row r="7" spans="1:8" s="3" customFormat="1" ht="14.25">
      <c r="A7" s="4" t="s">
        <v>6</v>
      </c>
      <c r="C7" s="3" t="s">
        <v>5</v>
      </c>
      <c r="D7" s="6" t="s">
        <v>26</v>
      </c>
      <c r="E7" s="5"/>
      <c r="F7" s="5"/>
      <c r="G7" s="5"/>
      <c r="H7" s="5"/>
    </row>
    <row r="8" spans="1:8" s="3" customFormat="1" ht="14.25">
      <c r="A8" s="4"/>
      <c r="D8" s="20"/>
    </row>
    <row r="9" spans="1:8" s="3" customFormat="1" ht="14.25">
      <c r="A9" s="4" t="s">
        <v>7</v>
      </c>
      <c r="C9" s="3" t="s">
        <v>5</v>
      </c>
      <c r="D9" s="6" t="s">
        <v>34</v>
      </c>
      <c r="E9" s="5"/>
      <c r="F9" s="5"/>
      <c r="G9" s="5"/>
      <c r="H9" s="5"/>
    </row>
    <row r="10" spans="1:8" s="3" customFormat="1" ht="14.25">
      <c r="A10" s="4"/>
    </row>
    <row r="11" spans="1:8" s="3" customFormat="1" ht="14.25">
      <c r="A11" s="4" t="s">
        <v>29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/>
      <c r="G14" s="4" t="s">
        <v>11</v>
      </c>
      <c r="H14" s="10"/>
    </row>
    <row r="15" spans="1:8" s="4" customFormat="1" ht="18" customHeight="1">
      <c r="D15" s="4" t="s">
        <v>13</v>
      </c>
      <c r="E15" s="8" t="s">
        <v>5</v>
      </c>
      <c r="F15" s="46"/>
      <c r="G15" s="4" t="s">
        <v>11</v>
      </c>
      <c r="H15" s="10"/>
    </row>
    <row r="16" spans="1:8" s="4" customFormat="1" ht="14.25">
      <c r="D16" s="11" t="s">
        <v>14</v>
      </c>
      <c r="E16" s="8"/>
      <c r="F16" s="50"/>
    </row>
    <row r="17" spans="1:14" s="4" customFormat="1" ht="14.25">
      <c r="D17" s="4" t="s">
        <v>0</v>
      </c>
      <c r="E17" s="8" t="s">
        <v>5</v>
      </c>
      <c r="F17" s="46"/>
      <c r="G17" s="4" t="s">
        <v>11</v>
      </c>
      <c r="H17" s="10" t="s">
        <v>12</v>
      </c>
    </row>
    <row r="18" spans="1:14" s="4" customFormat="1" ht="14.25">
      <c r="D18" s="4" t="s">
        <v>1</v>
      </c>
      <c r="E18" s="8" t="s">
        <v>5</v>
      </c>
      <c r="F18" s="45"/>
      <c r="G18" s="4" t="s">
        <v>11</v>
      </c>
      <c r="H18" s="10" t="s">
        <v>12</v>
      </c>
      <c r="K18" s="19"/>
    </row>
    <row r="19" spans="1:14" s="4" customFormat="1" ht="14.25">
      <c r="B19" s="4" t="s">
        <v>15</v>
      </c>
      <c r="E19" s="8"/>
      <c r="F19" s="47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48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49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50"/>
      <c r="I22" s="19"/>
      <c r="J22" s="19"/>
      <c r="K22" s="19"/>
    </row>
    <row r="23" spans="1:14" s="4" customFormat="1" ht="14.25">
      <c r="D23" s="4" t="s">
        <v>0</v>
      </c>
      <c r="E23" s="8" t="s">
        <v>5</v>
      </c>
      <c r="F23" s="46"/>
      <c r="G23" s="4" t="s">
        <v>11</v>
      </c>
      <c r="H23" s="10" t="s">
        <v>16</v>
      </c>
      <c r="I23" s="19"/>
      <c r="K23" s="19"/>
    </row>
    <row r="24" spans="1:14" s="4" customFormat="1" ht="14.25">
      <c r="D24" s="4" t="s">
        <v>1</v>
      </c>
      <c r="E24" s="8" t="s">
        <v>5</v>
      </c>
      <c r="F24" s="49"/>
      <c r="G24" s="4" t="s">
        <v>11</v>
      </c>
      <c r="H24" s="10" t="s">
        <v>16</v>
      </c>
      <c r="I24" s="19"/>
      <c r="J24" s="19"/>
      <c r="K24" s="19"/>
      <c r="N24" s="27"/>
    </row>
    <row r="25" spans="1:14" s="4" customFormat="1" ht="14.25">
      <c r="E25" s="8"/>
      <c r="F25" s="50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46"/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0"/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61"/>
      <c r="E31" s="13"/>
      <c r="F31" s="13"/>
      <c r="G31" s="13"/>
      <c r="H31" s="13"/>
    </row>
    <row r="32" spans="1:14" s="4" customFormat="1" ht="14.25">
      <c r="D32" s="38"/>
    </row>
    <row r="33" spans="1:8" s="4" customFormat="1" ht="14.25">
      <c r="A33" s="4" t="s">
        <v>21</v>
      </c>
    </row>
    <row r="34" spans="1:8" s="4" customFormat="1" ht="14.25"/>
    <row r="35" spans="1:8" s="4" customFormat="1" ht="18" customHeight="1">
      <c r="B35" s="4" t="s">
        <v>22</v>
      </c>
      <c r="D35" s="54"/>
      <c r="E35" s="6"/>
      <c r="F35" s="6"/>
      <c r="G35" s="6"/>
      <c r="H35" s="6"/>
    </row>
    <row r="36" spans="1:8" s="4" customFormat="1" ht="18" customHeight="1">
      <c r="B36" s="4" t="s">
        <v>23</v>
      </c>
      <c r="D36" s="55"/>
      <c r="E36" s="13"/>
      <c r="F36" s="13"/>
      <c r="G36" s="13"/>
      <c r="H36" s="13"/>
    </row>
    <row r="37" spans="1:8" s="4" customFormat="1" ht="14.25"/>
    <row r="38" spans="1:8" s="4" customFormat="1" ht="14.25">
      <c r="A38" s="4" t="s">
        <v>25</v>
      </c>
    </row>
    <row r="39" spans="1:8" s="1" customFormat="1"/>
    <row r="40" spans="1:8" ht="17.100000000000001" customHeight="1">
      <c r="A40" s="1"/>
      <c r="B40" s="28"/>
      <c r="C40" s="22"/>
      <c r="D40" s="22"/>
      <c r="E40" s="22"/>
      <c r="F40" s="22"/>
      <c r="G40" s="22"/>
      <c r="H40" s="16"/>
    </row>
    <row r="41" spans="1:8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8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8" ht="17.100000000000001" customHeight="1">
      <c r="B43" s="16"/>
      <c r="C43" s="16"/>
      <c r="D43" s="16"/>
      <c r="E43" s="16"/>
      <c r="F43" s="16"/>
      <c r="G43" s="16"/>
      <c r="H43" s="16"/>
    </row>
    <row r="44" spans="1:8" ht="17.100000000000001" customHeight="1">
      <c r="B44" s="16"/>
      <c r="C44" s="16"/>
      <c r="D44" s="16"/>
      <c r="E44" s="16"/>
      <c r="F44" s="16"/>
      <c r="G44" s="16"/>
      <c r="H44" s="16"/>
    </row>
    <row r="45" spans="1:8" ht="17.100000000000001" customHeight="1">
      <c r="B45" s="16"/>
      <c r="C45" s="16"/>
      <c r="D45" s="16"/>
      <c r="E45" s="16"/>
      <c r="F45" s="16"/>
      <c r="G45" s="16"/>
      <c r="H45" s="16"/>
    </row>
    <row r="48" spans="1:8">
      <c r="H48" s="17"/>
    </row>
    <row r="61" spans="1:1">
      <c r="A61" s="26" t="s">
        <v>30</v>
      </c>
    </row>
  </sheetData>
  <pageMargins left="0.4" right="0.19" top="0.75" bottom="0.75" header="0.3" footer="0.3"/>
  <pageSetup paperSize="1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activeCell="N23" sqref="N23"/>
    </sheetView>
  </sheetViews>
  <sheetFormatPr defaultRowHeight="15"/>
  <cols>
    <col min="1" max="1" width="10.5703125" customWidth="1"/>
    <col min="2" max="2" width="15.140625" customWidth="1"/>
    <col min="3" max="3" width="1.42578125" customWidth="1"/>
    <col min="4" max="4" width="23.5703125" customWidth="1"/>
    <col min="5" max="5" width="2.28515625" customWidth="1"/>
    <col min="6" max="6" width="10.5703125" customWidth="1"/>
    <col min="7" max="7" width="8.85546875" customWidth="1"/>
    <col min="8" max="8" width="18.42578125" customWidth="1"/>
    <col min="13" max="13" width="12" bestFit="1" customWidth="1"/>
  </cols>
  <sheetData>
    <row r="1" spans="1:8">
      <c r="A1" s="2" t="s">
        <v>2</v>
      </c>
    </row>
    <row r="2" spans="1:8" s="3" customFormat="1" ht="18">
      <c r="B2" s="18"/>
      <c r="C2" s="18"/>
      <c r="D2" s="18" t="s">
        <v>3</v>
      </c>
      <c r="E2" s="18"/>
      <c r="F2" s="18"/>
      <c r="G2" s="18"/>
      <c r="H2" s="18"/>
    </row>
    <row r="3" spans="1:8" s="3" customFormat="1" ht="18">
      <c r="D3" s="29" t="str">
        <f>'MAY 2026-PMC'!D5</f>
        <v>MONTH OF MAY 2026</v>
      </c>
    </row>
    <row r="4" spans="1:8" s="3" customFormat="1" ht="14.25"/>
    <row r="5" spans="1:8" s="3" customFormat="1" ht="14.25">
      <c r="A5" s="4" t="s">
        <v>4</v>
      </c>
      <c r="C5" s="3" t="s">
        <v>5</v>
      </c>
      <c r="D5" s="6" t="s">
        <v>36</v>
      </c>
      <c r="E5" s="5"/>
      <c r="F5" s="5"/>
      <c r="G5" s="5"/>
      <c r="H5" s="5"/>
    </row>
    <row r="6" spans="1:8" s="3" customFormat="1" ht="14.25">
      <c r="A6" s="4"/>
    </row>
    <row r="7" spans="1:8" s="39" customFormat="1" ht="15.75">
      <c r="A7" s="38" t="s">
        <v>6</v>
      </c>
      <c r="C7" s="39" t="s">
        <v>5</v>
      </c>
      <c r="D7" s="43" t="s">
        <v>43</v>
      </c>
      <c r="E7" s="41"/>
      <c r="F7" s="41"/>
      <c r="G7" s="41"/>
      <c r="H7" s="41"/>
    </row>
    <row r="8" spans="1:8" s="39" customFormat="1" ht="14.25">
      <c r="A8" s="38"/>
      <c r="D8" s="42"/>
    </row>
    <row r="9" spans="1:8" s="39" customFormat="1" ht="14.25">
      <c r="A9" s="38" t="s">
        <v>7</v>
      </c>
      <c r="C9" s="39" t="s">
        <v>5</v>
      </c>
      <c r="D9" s="40" t="s">
        <v>41</v>
      </c>
      <c r="E9" s="41"/>
      <c r="F9" s="41"/>
      <c r="G9" s="41"/>
      <c r="H9" s="41"/>
    </row>
    <row r="10" spans="1:8" s="3" customFormat="1" ht="14.25">
      <c r="A10" s="4"/>
    </row>
    <row r="11" spans="1:8" s="3" customFormat="1" ht="14.25">
      <c r="A11" s="4" t="s">
        <v>35</v>
      </c>
    </row>
    <row r="12" spans="1:8" ht="11.25" customHeight="1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t="s">
        <v>8</v>
      </c>
    </row>
    <row r="14" spans="1:8" s="4" customFormat="1" ht="18" customHeight="1">
      <c r="B14" s="4" t="s">
        <v>9</v>
      </c>
      <c r="D14" s="4" t="s">
        <v>10</v>
      </c>
      <c r="E14" s="8" t="s">
        <v>5</v>
      </c>
      <c r="F14" s="51">
        <v>175</v>
      </c>
      <c r="G14" s="63" t="s">
        <v>42</v>
      </c>
      <c r="H14" s="63"/>
    </row>
    <row r="15" spans="1:8" s="4" customFormat="1" ht="18" customHeight="1">
      <c r="D15" s="4" t="s">
        <v>13</v>
      </c>
      <c r="E15" s="8" t="s">
        <v>5</v>
      </c>
      <c r="F15" s="51"/>
      <c r="G15" s="4" t="s">
        <v>11</v>
      </c>
      <c r="H15" s="10" t="s">
        <v>38</v>
      </c>
    </row>
    <row r="16" spans="1:8" s="4" customFormat="1" ht="14.25">
      <c r="D16" s="11" t="s">
        <v>14</v>
      </c>
      <c r="E16" s="8"/>
      <c r="F16" s="53"/>
    </row>
    <row r="17" spans="1:14" s="4" customFormat="1" ht="14.25">
      <c r="D17" s="38" t="s">
        <v>39</v>
      </c>
      <c r="E17" s="8" t="s">
        <v>5</v>
      </c>
      <c r="F17" s="51">
        <f>4+1349+190+210</f>
        <v>1753</v>
      </c>
      <c r="G17" s="4" t="s">
        <v>11</v>
      </c>
      <c r="H17" s="10" t="s">
        <v>38</v>
      </c>
    </row>
    <row r="18" spans="1:14" s="4" customFormat="1" ht="14.25">
      <c r="D18" s="38" t="s">
        <v>40</v>
      </c>
      <c r="E18" s="8" t="s">
        <v>5</v>
      </c>
      <c r="F18" s="52"/>
      <c r="G18" s="4" t="s">
        <v>11</v>
      </c>
      <c r="H18" s="10" t="s">
        <v>38</v>
      </c>
      <c r="K18" s="19"/>
    </row>
    <row r="19" spans="1:14" s="4" customFormat="1" ht="14.25">
      <c r="B19" s="4" t="s">
        <v>15</v>
      </c>
      <c r="E19" s="8"/>
      <c r="F19" s="33"/>
      <c r="I19" s="19"/>
      <c r="J19" s="19"/>
      <c r="K19" s="19"/>
    </row>
    <row r="20" spans="1:14" s="4" customFormat="1" ht="18" customHeight="1">
      <c r="D20" s="4" t="s">
        <v>10</v>
      </c>
      <c r="E20" s="8" t="s">
        <v>5</v>
      </c>
      <c r="F20" s="30"/>
      <c r="G20" s="4" t="s">
        <v>11</v>
      </c>
      <c r="H20" s="10"/>
      <c r="I20" s="19"/>
      <c r="J20" s="19"/>
      <c r="K20" s="19"/>
    </row>
    <row r="21" spans="1:14" s="4" customFormat="1" ht="18" customHeight="1">
      <c r="D21" s="4" t="s">
        <v>13</v>
      </c>
      <c r="E21" s="8" t="s">
        <v>5</v>
      </c>
      <c r="F21" s="34"/>
      <c r="G21" s="4" t="s">
        <v>11</v>
      </c>
      <c r="H21" s="10"/>
      <c r="I21" s="19"/>
      <c r="J21" s="19"/>
      <c r="K21" s="19"/>
    </row>
    <row r="22" spans="1:14" s="4" customFormat="1" ht="14.25">
      <c r="D22" s="11" t="s">
        <v>14</v>
      </c>
      <c r="F22" s="35"/>
      <c r="I22" s="19"/>
      <c r="J22" s="19"/>
      <c r="K22" s="19"/>
    </row>
    <row r="23" spans="1:14" s="4" customFormat="1" ht="14.25">
      <c r="D23" s="38" t="s">
        <v>39</v>
      </c>
      <c r="E23" s="8" t="s">
        <v>5</v>
      </c>
      <c r="F23" s="31">
        <v>0</v>
      </c>
      <c r="G23" s="4" t="s">
        <v>11</v>
      </c>
      <c r="H23" s="10" t="s">
        <v>38</v>
      </c>
      <c r="I23" s="19"/>
      <c r="K23" s="19"/>
    </row>
    <row r="24" spans="1:14" s="4" customFormat="1" ht="14.25">
      <c r="D24" s="38" t="s">
        <v>40</v>
      </c>
      <c r="E24" s="8" t="s">
        <v>5</v>
      </c>
      <c r="F24" s="34">
        <v>0</v>
      </c>
      <c r="G24" s="4" t="s">
        <v>11</v>
      </c>
      <c r="H24" s="10" t="s">
        <v>38</v>
      </c>
      <c r="I24" s="19"/>
      <c r="J24" s="19"/>
      <c r="K24" s="19"/>
      <c r="N24" s="27"/>
    </row>
    <row r="25" spans="1:14" s="4" customFormat="1" ht="14.25">
      <c r="E25" s="8"/>
      <c r="F25" s="35"/>
      <c r="H25" s="12"/>
      <c r="I25" s="19"/>
      <c r="K25" s="19"/>
    </row>
    <row r="26" spans="1:14" s="4" customFormat="1" ht="15" customHeight="1">
      <c r="A26" s="4" t="s">
        <v>17</v>
      </c>
      <c r="E26" s="8" t="s">
        <v>5</v>
      </c>
      <c r="F26" s="31" t="s">
        <v>61</v>
      </c>
      <c r="G26" s="6"/>
      <c r="H26" s="6"/>
      <c r="J26" s="19"/>
      <c r="K26" s="19"/>
    </row>
    <row r="27" spans="1:14" s="4" customFormat="1" ht="14.25">
      <c r="F27" s="19"/>
      <c r="K27" s="19"/>
    </row>
    <row r="28" spans="1:14" s="4" customFormat="1" ht="14.25">
      <c r="A28" s="4" t="s">
        <v>18</v>
      </c>
      <c r="F28" s="19"/>
      <c r="J28" s="19"/>
      <c r="M28" s="44"/>
      <c r="N28" s="19"/>
    </row>
    <row r="29" spans="1:14" s="4" customFormat="1" ht="12.75" customHeight="1">
      <c r="D29" s="4" t="s">
        <v>27</v>
      </c>
      <c r="F29" s="19"/>
      <c r="G29" s="19"/>
    </row>
    <row r="30" spans="1:14" s="4" customFormat="1" ht="18" customHeight="1">
      <c r="B30" s="8" t="s">
        <v>19</v>
      </c>
      <c r="C30" s="8"/>
      <c r="D30" s="62"/>
      <c r="E30" s="6"/>
      <c r="F30" s="25"/>
      <c r="G30" s="6"/>
      <c r="H30" s="6"/>
    </row>
    <row r="31" spans="1:14" s="4" customFormat="1" ht="18" customHeight="1">
      <c r="B31" s="8" t="s">
        <v>20</v>
      </c>
      <c r="C31" s="8"/>
      <c r="D31" s="57">
        <v>3397.4199999999996</v>
      </c>
      <c r="E31" s="13"/>
      <c r="F31" s="13"/>
      <c r="G31" s="13"/>
      <c r="H31" s="13"/>
    </row>
    <row r="32" spans="1:14" s="4" customFormat="1" ht="14.25"/>
    <row r="33" spans="1:11" s="4" customFormat="1" ht="14.25">
      <c r="A33" s="4" t="s">
        <v>21</v>
      </c>
    </row>
    <row r="34" spans="1:11" s="4" customFormat="1" ht="14.25"/>
    <row r="35" spans="1:11" s="4" customFormat="1" ht="18" customHeight="1">
      <c r="B35" s="4" t="s">
        <v>22</v>
      </c>
      <c r="D35" s="10"/>
      <c r="E35" s="6"/>
      <c r="F35" s="6"/>
      <c r="G35" s="6"/>
      <c r="H35" s="6"/>
    </row>
    <row r="36" spans="1:11" s="4" customFormat="1" ht="18" customHeight="1">
      <c r="B36" s="4" t="s">
        <v>23</v>
      </c>
      <c r="D36" s="36"/>
      <c r="E36" s="13"/>
      <c r="F36" s="13"/>
      <c r="G36" s="13"/>
      <c r="H36" s="13"/>
    </row>
    <row r="37" spans="1:11" s="4" customFormat="1" ht="14.25"/>
    <row r="38" spans="1:11" s="4" customFormat="1" ht="14.25">
      <c r="A38" s="4" t="s">
        <v>25</v>
      </c>
    </row>
    <row r="39" spans="1:11" s="1" customFormat="1"/>
    <row r="40" spans="1:11" ht="17.100000000000001" customHeight="1">
      <c r="A40" s="1"/>
      <c r="B40" s="28" t="s">
        <v>60</v>
      </c>
      <c r="C40" s="22"/>
      <c r="D40" s="22"/>
      <c r="E40" s="22"/>
      <c r="F40" s="22"/>
      <c r="G40" s="22"/>
      <c r="H40" s="16"/>
      <c r="K40" t="s">
        <v>27</v>
      </c>
    </row>
    <row r="41" spans="1:11" ht="17.100000000000001" customHeight="1">
      <c r="A41" s="1"/>
      <c r="B41" s="23"/>
      <c r="C41" s="22"/>
      <c r="D41" s="22"/>
      <c r="E41" s="22"/>
      <c r="F41" s="22"/>
      <c r="G41" s="22"/>
      <c r="H41" s="16"/>
    </row>
    <row r="42" spans="1:11" ht="17.100000000000001" customHeight="1">
      <c r="A42" s="1"/>
      <c r="B42" s="22"/>
      <c r="C42" s="22"/>
      <c r="D42" s="22"/>
      <c r="E42" s="22"/>
      <c r="F42" s="22"/>
      <c r="G42" s="22"/>
      <c r="H42" s="16"/>
    </row>
    <row r="43" spans="1:11" ht="17.100000000000001" customHeight="1">
      <c r="B43" s="16"/>
      <c r="C43" s="16"/>
      <c r="D43" s="16"/>
      <c r="E43" s="16"/>
      <c r="F43" s="16"/>
      <c r="G43" s="16"/>
      <c r="H43" s="16"/>
    </row>
    <row r="44" spans="1:11" ht="17.100000000000001" customHeight="1">
      <c r="B44" s="16"/>
      <c r="C44" s="16"/>
      <c r="D44" s="16"/>
      <c r="E44" s="16"/>
      <c r="F44" s="16"/>
      <c r="G44" s="16"/>
      <c r="H44" s="16"/>
    </row>
    <row r="45" spans="1:11" ht="17.100000000000001" customHeight="1">
      <c r="B45" s="16"/>
      <c r="C45" s="16"/>
      <c r="D45" s="16"/>
      <c r="E45" s="16"/>
      <c r="F45" s="16"/>
      <c r="G45" s="16"/>
      <c r="H45" s="16"/>
    </row>
    <row r="48" spans="1:11">
      <c r="H48" s="17"/>
    </row>
    <row r="61" spans="1:1">
      <c r="A61" s="26" t="s">
        <v>30</v>
      </c>
    </row>
  </sheetData>
  <mergeCells count="1">
    <mergeCell ref="G14:H14"/>
  </mergeCells>
  <pageMargins left="0.39370078740157483" right="0.19685039370078741" top="0.74803149606299213" bottom="0.74803149606299213" header="0.31496062992125984" footer="0.31496062992125984"/>
  <pageSetup paperSize="1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JANUARY 2026-PMC</vt:lpstr>
      <vt:lpstr>JANUARY 2026- EXPLO</vt:lpstr>
      <vt:lpstr>JANUARY 2026- TIGERWAY </vt:lpstr>
      <vt:lpstr>FEBRUARY 2026-PMC</vt:lpstr>
      <vt:lpstr>FEBRUARY 2026- EXPLO</vt:lpstr>
      <vt:lpstr>FEBRUARY 2026- TIGERWAY </vt:lpstr>
      <vt:lpstr>MARCH 2026-PMC</vt:lpstr>
      <vt:lpstr>MARCH 2026- EXPLO </vt:lpstr>
      <vt:lpstr>MARCH 2026- TIGERWAY </vt:lpstr>
      <vt:lpstr>APRIL 2026-PMC </vt:lpstr>
      <vt:lpstr>APRIL 2026- EXPLO  </vt:lpstr>
      <vt:lpstr>APRIL 2026- TIGERWAY </vt:lpstr>
      <vt:lpstr>MAY 2026-PMC</vt:lpstr>
      <vt:lpstr>MAY 2026- EXPLO </vt:lpstr>
      <vt:lpstr>MAY 2026- TIGERWAY </vt:lpstr>
      <vt:lpstr>'APRIL 2026- EXPLO  '!Print_Area</vt:lpstr>
      <vt:lpstr>'APRIL 2026- TIGERWAY '!Print_Area</vt:lpstr>
      <vt:lpstr>'APRIL 2026-PMC '!Print_Area</vt:lpstr>
      <vt:lpstr>'FEBRUARY 2026- EXPLO'!Print_Area</vt:lpstr>
      <vt:lpstr>'FEBRUARY 2026- TIGERWAY '!Print_Area</vt:lpstr>
      <vt:lpstr>'FEBRUARY 2026-PMC'!Print_Area</vt:lpstr>
      <vt:lpstr>'JANUARY 2026- EXPLO'!Print_Area</vt:lpstr>
      <vt:lpstr>'JANUARY 2026- TIGERWAY '!Print_Area</vt:lpstr>
      <vt:lpstr>'JANUARY 2026-PMC'!Print_Area</vt:lpstr>
      <vt:lpstr>'MARCH 2026- EXPLO '!Print_Area</vt:lpstr>
      <vt:lpstr>'MARCH 2026- TIGERWAY '!Print_Area</vt:lpstr>
      <vt:lpstr>'MARCH 2026-PMC'!Print_Area</vt:lpstr>
      <vt:lpstr>'MAY 2026- EXPLO '!Print_Area</vt:lpstr>
      <vt:lpstr>'MAY 2026- TIGERWAY '!Print_Area</vt:lpstr>
      <vt:lpstr>'MAY 2026-PMC'!Print_Area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EXPLOSIVE</dc:creator>
  <cp:lastModifiedBy>Airene B. Tabotabo</cp:lastModifiedBy>
  <cp:lastPrinted>2026-06-09T01:05:22Z</cp:lastPrinted>
  <dcterms:created xsi:type="dcterms:W3CDTF">2011-06-23T03:20:31Z</dcterms:created>
  <dcterms:modified xsi:type="dcterms:W3CDTF">2026-06-09T01:05:23Z</dcterms:modified>
</cp:coreProperties>
</file>