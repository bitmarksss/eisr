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7.MINE EXPLOSIVES REPORTS\06.MONTHLY REPORT\2026\"/>
    </mc:Choice>
  </mc:AlternateContent>
  <bookViews>
    <workbookView xWindow="0" yWindow="0" windowWidth="28800" windowHeight="11715" activeTab="4"/>
  </bookViews>
  <sheets>
    <sheet name="JANUARY 2026" sheetId="24" r:id="rId1"/>
    <sheet name="FEBRUARY 2026" sheetId="25" r:id="rId2"/>
    <sheet name="MARCH 2026" sheetId="26" r:id="rId3"/>
    <sheet name="APRIL 2026" sheetId="27" r:id="rId4"/>
    <sheet name="MAY 2026" sheetId="2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8" l="1"/>
  <c r="E14" i="28" l="1"/>
  <c r="F14" i="28"/>
  <c r="F16" i="28" s="1"/>
  <c r="F18" i="28" s="1"/>
  <c r="G14" i="28"/>
  <c r="H14" i="28"/>
  <c r="H16" i="28" s="1"/>
  <c r="H18" i="28" s="1"/>
  <c r="I14" i="28"/>
  <c r="J14" i="28"/>
  <c r="K14" i="28"/>
  <c r="L14" i="28"/>
  <c r="M14" i="28"/>
  <c r="N14" i="28"/>
  <c r="N16" i="28" s="1"/>
  <c r="O14" i="28"/>
  <c r="P14" i="28"/>
  <c r="Q14" i="28"/>
  <c r="Q16" i="28" s="1"/>
  <c r="Q18" i="28" s="1"/>
  <c r="R14" i="28"/>
  <c r="S14" i="28"/>
  <c r="T14" i="28"/>
  <c r="T16" i="28" s="1"/>
  <c r="T18" i="28" s="1"/>
  <c r="U14" i="28"/>
  <c r="V14" i="28"/>
  <c r="W14" i="28"/>
  <c r="W16" i="28" s="1"/>
  <c r="W18" i="28" s="1"/>
  <c r="X14" i="28"/>
  <c r="Y14" i="28"/>
  <c r="Z14" i="28"/>
  <c r="Z16" i="28" s="1"/>
  <c r="Z18" i="28" s="1"/>
  <c r="AA14" i="28"/>
  <c r="AB14" i="28"/>
  <c r="AC14" i="28"/>
  <c r="AC16" i="28" s="1"/>
  <c r="AC18" i="28" s="1"/>
  <c r="AD14" i="28"/>
  <c r="AE14" i="28"/>
  <c r="AF14" i="28"/>
  <c r="AF16" i="28" s="1"/>
  <c r="AF18" i="28" s="1"/>
  <c r="AG14" i="28"/>
  <c r="D16" i="28"/>
  <c r="D18" i="28" s="1"/>
  <c r="C18" i="28"/>
  <c r="B18" i="28"/>
  <c r="AE17" i="28"/>
  <c r="O17" i="28"/>
  <c r="M17" i="28"/>
  <c r="K17" i="28"/>
  <c r="I17" i="28"/>
  <c r="G17" i="28"/>
  <c r="E17" i="28"/>
  <c r="C17" i="28"/>
  <c r="C16" i="28"/>
  <c r="B16" i="28"/>
  <c r="O15" i="28"/>
  <c r="I15" i="28"/>
  <c r="G15" i="28"/>
  <c r="G16" i="28" s="1"/>
  <c r="E15" i="28"/>
  <c r="E16" i="28" s="1"/>
  <c r="AG16" i="28"/>
  <c r="AG18" i="28" s="1"/>
  <c r="AE16" i="28"/>
  <c r="AD16" i="28"/>
  <c r="AD18" i="28" s="1"/>
  <c r="AB16" i="28"/>
  <c r="AB18" i="28" s="1"/>
  <c r="AA16" i="28"/>
  <c r="AA18" i="28" s="1"/>
  <c r="Y16" i="28"/>
  <c r="Y18" i="28" s="1"/>
  <c r="X16" i="28"/>
  <c r="X18" i="28" s="1"/>
  <c r="V16" i="28"/>
  <c r="V18" i="28" s="1"/>
  <c r="U16" i="28"/>
  <c r="U18" i="28" s="1"/>
  <c r="S16" i="28"/>
  <c r="S18" i="28" s="1"/>
  <c r="R16" i="28"/>
  <c r="R18" i="28" s="1"/>
  <c r="P16" i="28"/>
  <c r="P18" i="28" s="1"/>
  <c r="M16" i="28"/>
  <c r="M18" i="28" s="1"/>
  <c r="L16" i="28"/>
  <c r="L18" i="28" s="1"/>
  <c r="K16" i="28"/>
  <c r="K18" i="28" s="1"/>
  <c r="J16" i="28"/>
  <c r="J18" i="28" s="1"/>
  <c r="I16" i="28"/>
  <c r="I18" i="28" s="1"/>
  <c r="E18" i="28" l="1"/>
  <c r="AE18" i="28"/>
  <c r="G18" i="28"/>
  <c r="O16" i="28"/>
  <c r="O18" i="28" s="1"/>
  <c r="N18" i="28"/>
  <c r="E14" i="27"/>
  <c r="F14" i="27"/>
  <c r="F16" i="27" s="1"/>
  <c r="F18" i="27" s="1"/>
  <c r="G14" i="27"/>
  <c r="G16" i="27" s="1"/>
  <c r="G18" i="27" s="1"/>
  <c r="H14" i="27"/>
  <c r="I14" i="27"/>
  <c r="J14" i="27"/>
  <c r="K14" i="27"/>
  <c r="L14" i="27"/>
  <c r="L16" i="27" s="1"/>
  <c r="L18" i="27" s="1"/>
  <c r="M14" i="27"/>
  <c r="M16" i="27" s="1"/>
  <c r="M18" i="27" s="1"/>
  <c r="N14" i="27"/>
  <c r="O14" i="27"/>
  <c r="P14" i="27"/>
  <c r="Q14" i="27"/>
  <c r="R14" i="27"/>
  <c r="R16" i="27" s="1"/>
  <c r="R18" i="27" s="1"/>
  <c r="S14" i="27"/>
  <c r="S16" i="27" s="1"/>
  <c r="S18" i="27" s="1"/>
  <c r="T14" i="27"/>
  <c r="T16" i="27" s="1"/>
  <c r="T18" i="27" s="1"/>
  <c r="U14" i="27"/>
  <c r="V14" i="27"/>
  <c r="W14" i="27"/>
  <c r="X14" i="27"/>
  <c r="X16" i="27" s="1"/>
  <c r="X18" i="27" s="1"/>
  <c r="Y14" i="27"/>
  <c r="Y16" i="27" s="1"/>
  <c r="Y18" i="27" s="1"/>
  <c r="Z14" i="27"/>
  <c r="Z16" i="27" s="1"/>
  <c r="Z18" i="27" s="1"/>
  <c r="AA14" i="27"/>
  <c r="AB14" i="27"/>
  <c r="AC14" i="27"/>
  <c r="AD14" i="27"/>
  <c r="AD16" i="27" s="1"/>
  <c r="AD18" i="27" s="1"/>
  <c r="AE14" i="27"/>
  <c r="AE16" i="27" s="1"/>
  <c r="AE18" i="27" s="1"/>
  <c r="AF14" i="27"/>
  <c r="AF16" i="27" s="1"/>
  <c r="AF18" i="27" s="1"/>
  <c r="AG14" i="27"/>
  <c r="D14" i="27"/>
  <c r="D16" i="27" s="1"/>
  <c r="D18" i="27" s="1"/>
  <c r="B18" i="27"/>
  <c r="AE17" i="27"/>
  <c r="O17" i="27"/>
  <c r="M17" i="27"/>
  <c r="K17" i="27"/>
  <c r="I17" i="27"/>
  <c r="G17" i="27"/>
  <c r="E17" i="27"/>
  <c r="C17" i="27"/>
  <c r="C16" i="27"/>
  <c r="C18" i="27" s="1"/>
  <c r="B16" i="27"/>
  <c r="O15" i="27"/>
  <c r="I15" i="27"/>
  <c r="G15" i="27"/>
  <c r="E15" i="27"/>
  <c r="AG16" i="27"/>
  <c r="AG18" i="27" s="1"/>
  <c r="AC16" i="27"/>
  <c r="AC18" i="27" s="1"/>
  <c r="AB16" i="27"/>
  <c r="AB18" i="27" s="1"/>
  <c r="AA16" i="27"/>
  <c r="AA18" i="27" s="1"/>
  <c r="W16" i="27"/>
  <c r="W18" i="27" s="1"/>
  <c r="V16" i="27"/>
  <c r="V18" i="27" s="1"/>
  <c r="U16" i="27"/>
  <c r="U18" i="27" s="1"/>
  <c r="Q16" i="27"/>
  <c r="Q18" i="27" s="1"/>
  <c r="P16" i="27"/>
  <c r="P18" i="27" s="1"/>
  <c r="N16" i="27"/>
  <c r="K16" i="27"/>
  <c r="K18" i="27" s="1"/>
  <c r="J16" i="27"/>
  <c r="J18" i="27" s="1"/>
  <c r="I16" i="27"/>
  <c r="I18" i="27" s="1"/>
  <c r="H16" i="27"/>
  <c r="H18" i="27" s="1"/>
  <c r="E16" i="27"/>
  <c r="E18" i="27" l="1"/>
  <c r="O16" i="27"/>
  <c r="O18" i="27" s="1"/>
  <c r="N18" i="27"/>
  <c r="E14" i="26"/>
  <c r="F14" i="26"/>
  <c r="F16" i="26" s="1"/>
  <c r="F18" i="26" s="1"/>
  <c r="G14" i="26"/>
  <c r="G16" i="26" s="1"/>
  <c r="H14" i="26"/>
  <c r="H16" i="26" s="1"/>
  <c r="H18" i="26" s="1"/>
  <c r="I14" i="26"/>
  <c r="J14" i="26"/>
  <c r="K14" i="26"/>
  <c r="K16" i="26" s="1"/>
  <c r="K18" i="26" s="1"/>
  <c r="L14" i="26"/>
  <c r="M14" i="26"/>
  <c r="N14" i="26"/>
  <c r="O14" i="26"/>
  <c r="P14" i="26"/>
  <c r="Q14" i="26"/>
  <c r="R14" i="26"/>
  <c r="R16" i="26" s="1"/>
  <c r="R18" i="26" s="1"/>
  <c r="S14" i="26"/>
  <c r="S16" i="26" s="1"/>
  <c r="S18" i="26" s="1"/>
  <c r="T14" i="26"/>
  <c r="T16" i="26" s="1"/>
  <c r="T18" i="26" s="1"/>
  <c r="U14" i="26"/>
  <c r="V14" i="26"/>
  <c r="V16" i="26" s="1"/>
  <c r="V18" i="26" s="1"/>
  <c r="W14" i="26"/>
  <c r="X14" i="26"/>
  <c r="Y14" i="26"/>
  <c r="Y16" i="26" s="1"/>
  <c r="Y18" i="26" s="1"/>
  <c r="Z14" i="26"/>
  <c r="AA14" i="26"/>
  <c r="AB14" i="26"/>
  <c r="AC14" i="26"/>
  <c r="AD14" i="26"/>
  <c r="AD16" i="26" s="1"/>
  <c r="AD18" i="26" s="1"/>
  <c r="AE14" i="26"/>
  <c r="AE16" i="26" s="1"/>
  <c r="AE18" i="26" s="1"/>
  <c r="AF14" i="26"/>
  <c r="AF16" i="26" s="1"/>
  <c r="AF18" i="26" s="1"/>
  <c r="AG14" i="26"/>
  <c r="D14" i="26"/>
  <c r="D16" i="26" s="1"/>
  <c r="D18" i="26" s="1"/>
  <c r="AE17" i="26"/>
  <c r="O17" i="26"/>
  <c r="M17" i="26"/>
  <c r="K17" i="26"/>
  <c r="I17" i="26"/>
  <c r="G17" i="26"/>
  <c r="E17" i="26"/>
  <c r="C17" i="26"/>
  <c r="AA16" i="26"/>
  <c r="AA18" i="26" s="1"/>
  <c r="C16" i="26"/>
  <c r="C18" i="26" s="1"/>
  <c r="B16" i="26"/>
  <c r="B18" i="26" s="1"/>
  <c r="O15" i="26"/>
  <c r="I15" i="26"/>
  <c r="G15" i="26"/>
  <c r="E15" i="26"/>
  <c r="AG16" i="26"/>
  <c r="AG18" i="26" s="1"/>
  <c r="AC16" i="26"/>
  <c r="AC18" i="26" s="1"/>
  <c r="AB16" i="26"/>
  <c r="AB18" i="26" s="1"/>
  <c r="Z16" i="26"/>
  <c r="Z18" i="26" s="1"/>
  <c r="X16" i="26"/>
  <c r="X18" i="26" s="1"/>
  <c r="W16" i="26"/>
  <c r="W18" i="26" s="1"/>
  <c r="U16" i="26"/>
  <c r="U18" i="26" s="1"/>
  <c r="Q16" i="26"/>
  <c r="Q18" i="26" s="1"/>
  <c r="P16" i="26"/>
  <c r="P18" i="26" s="1"/>
  <c r="N16" i="26"/>
  <c r="M16" i="26"/>
  <c r="M18" i="26" s="1"/>
  <c r="L16" i="26"/>
  <c r="L18" i="26" s="1"/>
  <c r="J16" i="26"/>
  <c r="J18" i="26" s="1"/>
  <c r="I16" i="26"/>
  <c r="I18" i="26" s="1"/>
  <c r="G18" i="26" l="1"/>
  <c r="E16" i="26"/>
  <c r="E18" i="26" s="1"/>
  <c r="O16" i="26"/>
  <c r="O18" i="26" s="1"/>
  <c r="N18" i="26"/>
  <c r="P18" i="25"/>
  <c r="P14" i="25"/>
  <c r="E14" i="25" l="1"/>
  <c r="F14" i="25"/>
  <c r="G14" i="25"/>
  <c r="H14" i="25"/>
  <c r="H16" i="25" s="1"/>
  <c r="H18" i="25" s="1"/>
  <c r="I14" i="25"/>
  <c r="J14" i="25"/>
  <c r="K14" i="25"/>
  <c r="L14" i="25"/>
  <c r="M14" i="25"/>
  <c r="N14" i="25"/>
  <c r="N16" i="25" s="1"/>
  <c r="O14" i="25"/>
  <c r="P16" i="25"/>
  <c r="Q14" i="25"/>
  <c r="R14" i="25"/>
  <c r="S14" i="25"/>
  <c r="T14" i="25"/>
  <c r="T16" i="25" s="1"/>
  <c r="T18" i="25" s="1"/>
  <c r="U14" i="25"/>
  <c r="V14" i="25"/>
  <c r="V16" i="25" s="1"/>
  <c r="V18" i="25" s="1"/>
  <c r="W14" i="25"/>
  <c r="X14" i="25"/>
  <c r="Y14" i="25"/>
  <c r="Z14" i="25"/>
  <c r="Z16" i="25" s="1"/>
  <c r="Z18" i="25" s="1"/>
  <c r="AA14" i="25"/>
  <c r="AB14" i="25"/>
  <c r="AB16" i="25" s="1"/>
  <c r="AB18" i="25" s="1"/>
  <c r="AC14" i="25"/>
  <c r="AD14" i="25"/>
  <c r="AE14" i="25"/>
  <c r="AG14" i="25"/>
  <c r="D14" i="25"/>
  <c r="C18" i="25"/>
  <c r="B18" i="25"/>
  <c r="AE17" i="25"/>
  <c r="O17" i="25"/>
  <c r="M17" i="25"/>
  <c r="K17" i="25"/>
  <c r="I17" i="25"/>
  <c r="G17" i="25"/>
  <c r="E17" i="25"/>
  <c r="C17" i="25"/>
  <c r="AG16" i="25"/>
  <c r="AG18" i="25" s="1"/>
  <c r="AE16" i="25"/>
  <c r="AD16" i="25"/>
  <c r="AD18" i="25" s="1"/>
  <c r="AC16" i="25"/>
  <c r="AC18" i="25" s="1"/>
  <c r="AA16" i="25"/>
  <c r="AA18" i="25" s="1"/>
  <c r="Y16" i="25"/>
  <c r="Y18" i="25" s="1"/>
  <c r="X16" i="25"/>
  <c r="X18" i="25" s="1"/>
  <c r="W16" i="25"/>
  <c r="W18" i="25" s="1"/>
  <c r="U16" i="25"/>
  <c r="U18" i="25" s="1"/>
  <c r="S16" i="25"/>
  <c r="S18" i="25" s="1"/>
  <c r="R16" i="25"/>
  <c r="R18" i="25" s="1"/>
  <c r="Q16" i="25"/>
  <c r="Q18" i="25" s="1"/>
  <c r="M16" i="25"/>
  <c r="M18" i="25" s="1"/>
  <c r="L16" i="25"/>
  <c r="L18" i="25" s="1"/>
  <c r="K16" i="25"/>
  <c r="J16" i="25"/>
  <c r="J18" i="25" s="1"/>
  <c r="F16" i="25"/>
  <c r="F18" i="25" s="1"/>
  <c r="D16" i="25"/>
  <c r="D18" i="25" s="1"/>
  <c r="C16" i="25"/>
  <c r="B16" i="25"/>
  <c r="O15" i="25"/>
  <c r="I15" i="25"/>
  <c r="I16" i="25" s="1"/>
  <c r="I18" i="25" s="1"/>
  <c r="G15" i="25"/>
  <c r="G16" i="25" s="1"/>
  <c r="G18" i="25" s="1"/>
  <c r="E15" i="25"/>
  <c r="E16" i="25" s="1"/>
  <c r="E18" i="25" s="1"/>
  <c r="AE18" i="25" l="1"/>
  <c r="O16" i="25"/>
  <c r="O18" i="25" s="1"/>
  <c r="N18" i="25"/>
  <c r="K18" i="25"/>
  <c r="F16" i="24"/>
  <c r="F18" i="24" s="1"/>
  <c r="H16" i="24"/>
  <c r="H18" i="24" s="1"/>
  <c r="L16" i="24"/>
  <c r="L18" i="24" s="1"/>
  <c r="M16" i="24"/>
  <c r="M18" i="24" s="1"/>
  <c r="N16" i="24"/>
  <c r="S16" i="24"/>
  <c r="S18" i="24" s="1"/>
  <c r="T16" i="24"/>
  <c r="T18" i="24" s="1"/>
  <c r="Y16" i="24"/>
  <c r="Y18" i="24" s="1"/>
  <c r="Z16" i="24"/>
  <c r="Z18" i="24" s="1"/>
  <c r="AE16" i="24"/>
  <c r="AF16" i="24"/>
  <c r="AF18" i="24" s="1"/>
  <c r="AF14" i="25" s="1"/>
  <c r="AF16" i="25" s="1"/>
  <c r="AF18" i="25" s="1"/>
  <c r="D16" i="24"/>
  <c r="D18" i="24" s="1"/>
  <c r="C18" i="24"/>
  <c r="B18" i="24"/>
  <c r="AE17" i="24"/>
  <c r="O17" i="24"/>
  <c r="M17" i="24"/>
  <c r="K17" i="24"/>
  <c r="I17" i="24"/>
  <c r="G17" i="24"/>
  <c r="E17" i="24"/>
  <c r="C17" i="24"/>
  <c r="C16" i="24"/>
  <c r="B16" i="24"/>
  <c r="O15" i="24"/>
  <c r="I15" i="24"/>
  <c r="G15" i="24"/>
  <c r="E15" i="24"/>
  <c r="E16" i="24" s="1"/>
  <c r="AG16" i="24"/>
  <c r="AG18" i="24" s="1"/>
  <c r="AD16" i="24"/>
  <c r="AD18" i="24" s="1"/>
  <c r="AC16" i="24"/>
  <c r="AC18" i="24" s="1"/>
  <c r="AB16" i="24"/>
  <c r="AB18" i="24" s="1"/>
  <c r="AA16" i="24"/>
  <c r="AA18" i="24" s="1"/>
  <c r="X16" i="24"/>
  <c r="X18" i="24" s="1"/>
  <c r="W16" i="24"/>
  <c r="W18" i="24" s="1"/>
  <c r="V16" i="24"/>
  <c r="V18" i="24" s="1"/>
  <c r="U16" i="24"/>
  <c r="U18" i="24" s="1"/>
  <c r="R16" i="24"/>
  <c r="R18" i="24" s="1"/>
  <c r="Q16" i="24"/>
  <c r="Q18" i="24" s="1"/>
  <c r="P16" i="24"/>
  <c r="P18" i="24" s="1"/>
  <c r="K16" i="24"/>
  <c r="K18" i="24" s="1"/>
  <c r="J16" i="24"/>
  <c r="J18" i="24" s="1"/>
  <c r="I16" i="24"/>
  <c r="I18" i="24" s="1"/>
  <c r="AE18" i="24" l="1"/>
  <c r="E18" i="24"/>
  <c r="G16" i="24"/>
  <c r="G18" i="24" s="1"/>
  <c r="O16" i="24"/>
  <c r="O18" i="24" s="1"/>
  <c r="N18" i="24"/>
</calcChain>
</file>

<file path=xl/sharedStrings.xml><?xml version="1.0" encoding="utf-8"?>
<sst xmlns="http://schemas.openxmlformats.org/spreadsheetml/2006/main" count="475" uniqueCount="68">
  <si>
    <t>PHILSAGA MINING CORPORATION</t>
  </si>
  <si>
    <t>BAYUGAN 3, ROSARIO AGUSAN DEL SUR</t>
  </si>
  <si>
    <t>EXPLOSIVE MONTHLY REPORT</t>
  </si>
  <si>
    <t xml:space="preserve">DESCRIPTION </t>
  </si>
  <si>
    <t>MT.ROCK</t>
  </si>
  <si>
    <t>MT. ROCK</t>
  </si>
  <si>
    <t>EXPEDITION</t>
  </si>
  <si>
    <t>MT ROCK</t>
  </si>
  <si>
    <t>EMULSION</t>
  </si>
  <si>
    <t>EMULEX</t>
  </si>
  <si>
    <t>Anfo</t>
  </si>
  <si>
    <t>DETONATORS</t>
  </si>
  <si>
    <t>DETONATING CORD</t>
  </si>
  <si>
    <t>NONEL</t>
  </si>
  <si>
    <t>SUPREME</t>
  </si>
  <si>
    <t>SHOCK STAR</t>
  </si>
  <si>
    <t>EXEL</t>
  </si>
  <si>
    <t>OBC</t>
  </si>
  <si>
    <t>EBC</t>
  </si>
  <si>
    <t>Cordtex</t>
  </si>
  <si>
    <t>S/Fuse</t>
  </si>
  <si>
    <t>Billwire</t>
  </si>
  <si>
    <t xml:space="preserve">FUSE </t>
  </si>
  <si>
    <t>Super Power</t>
  </si>
  <si>
    <t>Senatel/Pulsar</t>
  </si>
  <si>
    <t>Magnum</t>
  </si>
  <si>
    <t>LIGHTER</t>
  </si>
  <si>
    <t>pcs</t>
  </si>
  <si>
    <t>kls</t>
  </si>
  <si>
    <t>Pcs</t>
  </si>
  <si>
    <t>Kls</t>
  </si>
  <si>
    <t>Mtrs</t>
  </si>
  <si>
    <t xml:space="preserve">THIS MONTH WITHDRAWAL </t>
  </si>
  <si>
    <t>TOTAL STOCKS ON HAND</t>
  </si>
  <si>
    <t>Less: MONTHLY CONSUMPTION</t>
  </si>
  <si>
    <t>Prepared by:</t>
  </si>
  <si>
    <t>Checked by:</t>
  </si>
  <si>
    <t>Noted by:</t>
  </si>
  <si>
    <t>Approved by:</t>
  </si>
  <si>
    <t>AIHREIN T. BACLAAN</t>
  </si>
  <si>
    <t>NHOLL GREAL O. LOZADA</t>
  </si>
  <si>
    <t>EDWIN B. BATAL</t>
  </si>
  <si>
    <t>ENGR. RAFFY D. TORRES</t>
  </si>
  <si>
    <t>ENGR. EARL M. SON</t>
  </si>
  <si>
    <t>Mine Explosives Inventory Supervisor</t>
  </si>
  <si>
    <t>Mine Explosives Asst. Manager</t>
  </si>
  <si>
    <t xml:space="preserve">Mine Explosives Manager     </t>
  </si>
  <si>
    <t>Mine Explosives Supervisor</t>
  </si>
  <si>
    <t>I5</t>
  </si>
  <si>
    <t xml:space="preserve">Neogel </t>
  </si>
  <si>
    <t>Mine Division Manager</t>
  </si>
  <si>
    <t>BEGINNING STOCKS AS OF     JANUARY 1, 2026</t>
  </si>
  <si>
    <t>REMAINING STOCK AS OF          JANUARY 31, 2026</t>
  </si>
  <si>
    <t>MONTH OF JANUARY 2026</t>
  </si>
  <si>
    <t>MONTH OF FEBRUARY 2026</t>
  </si>
  <si>
    <t>BEGINNING STOCKS AS OF     FEBRUARY 1, 2026</t>
  </si>
  <si>
    <t>REMAINING STOCK AS OF          FEBRUARY 28, 2026</t>
  </si>
  <si>
    <t>MONTH OF MARCH 2026</t>
  </si>
  <si>
    <t>BEGINNING STOCKS AS OF     MARCH 1, 2026</t>
  </si>
  <si>
    <t>REMAINING STOCK AS OF          MARCH 31, 2026</t>
  </si>
  <si>
    <t>ENGR. EDWIN B. BATAL</t>
  </si>
  <si>
    <t xml:space="preserve">Mine Explosives Asst. Manager     </t>
  </si>
  <si>
    <t>MONTH OF APRIL 2026</t>
  </si>
  <si>
    <t>BEGINNING STOCKS AS OF     APRIL 1, 2026</t>
  </si>
  <si>
    <t>REMAINING STOCK AS OF          APRIL 30, 2026</t>
  </si>
  <si>
    <t>MONTH OF MAY 2026</t>
  </si>
  <si>
    <t>REMAINING STOCK AS OF          MAY 31, 2026</t>
  </si>
  <si>
    <t>BEGINNING STOCKS AS OF       MAY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</si>
</sst>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;\-#,##0.0"/>
    <numFmt numFmtId="166" formatCode="#,##0.000;\-#,##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.5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5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b/>
      <u/>
      <sz val="18"/>
      <name val="Times New Roman"/>
      <family val="1"/>
    </font>
    <font>
      <sz val="11"/>
      <name val="Times New Roman"/>
      <family val="1"/>
    </font>
    <font>
      <b/>
      <i/>
      <sz val="13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33">
    <xf numFmtId="0" fontId="0" fillId="0" borderId="0" xfId="0"/>
    <xf numFmtId="0" fontId="4" fillId="0" borderId="0" xfId="2" applyFont="1"/>
    <xf numFmtId="0" fontId="5" fillId="0" borderId="0" xfId="2" applyFont="1"/>
    <xf numFmtId="0" fontId="6" fillId="0" borderId="0" xfId="0" applyFont="1"/>
    <xf numFmtId="0" fontId="4" fillId="0" borderId="0" xfId="2" applyFont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4" fillId="0" borderId="27" xfId="2" applyFont="1" applyBorder="1" applyAlignment="1">
      <alignment horizontal="center"/>
    </xf>
    <xf numFmtId="0" fontId="4" fillId="0" borderId="28" xfId="2" applyFont="1" applyBorder="1" applyAlignment="1">
      <alignment horizontal="center"/>
    </xf>
    <xf numFmtId="0" fontId="7" fillId="4" borderId="26" xfId="0" applyFont="1" applyFill="1" applyBorder="1" applyAlignment="1">
      <alignment horizontal="center" vertical="center"/>
    </xf>
    <xf numFmtId="0" fontId="4" fillId="0" borderId="14" xfId="2" applyFont="1" applyBorder="1" applyAlignment="1">
      <alignment horizontal="center"/>
    </xf>
    <xf numFmtId="0" fontId="4" fillId="0" borderId="16" xfId="2" applyFont="1" applyBorder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1" fontId="9" fillId="2" borderId="22" xfId="2" applyNumberFormat="1" applyFont="1" applyFill="1" applyBorder="1" applyAlignment="1">
      <alignment vertical="center" wrapText="1"/>
    </xf>
    <xf numFmtId="37" fontId="10" fillId="2" borderId="31" xfId="1" applyNumberFormat="1" applyFont="1" applyFill="1" applyBorder="1" applyAlignment="1">
      <alignment horizontal="center" vertical="center"/>
    </xf>
    <xf numFmtId="0" fontId="11" fillId="2" borderId="0" xfId="2" applyFont="1" applyFill="1"/>
    <xf numFmtId="0" fontId="11" fillId="2" borderId="0" xfId="0" applyFont="1" applyFill="1"/>
    <xf numFmtId="37" fontId="10" fillId="2" borderId="23" xfId="1" applyNumberFormat="1" applyFont="1" applyFill="1" applyBorder="1" applyAlignment="1">
      <alignment horizontal="center" vertical="center"/>
    </xf>
    <xf numFmtId="37" fontId="9" fillId="2" borderId="23" xfId="1" applyNumberFormat="1" applyFont="1" applyFill="1" applyBorder="1" applyAlignment="1">
      <alignment horizontal="center" vertical="center"/>
    </xf>
    <xf numFmtId="37" fontId="9" fillId="2" borderId="24" xfId="1" applyNumberFormat="1" applyFont="1" applyFill="1" applyBorder="1" applyAlignment="1">
      <alignment horizontal="center" vertical="center"/>
    </xf>
    <xf numFmtId="1" fontId="9" fillId="2" borderId="22" xfId="2" applyNumberFormat="1" applyFont="1" applyFill="1" applyBorder="1" applyAlignment="1">
      <alignment vertical="center"/>
    </xf>
    <xf numFmtId="1" fontId="9" fillId="5" borderId="30" xfId="2" applyNumberFormat="1" applyFont="1" applyFill="1" applyBorder="1" applyAlignment="1">
      <alignment vertical="center" wrapText="1"/>
    </xf>
    <xf numFmtId="37" fontId="10" fillId="5" borderId="15" xfId="1" applyNumberFormat="1" applyFont="1" applyFill="1" applyBorder="1" applyAlignment="1">
      <alignment horizontal="center" vertical="center"/>
    </xf>
    <xf numFmtId="37" fontId="9" fillId="5" borderId="15" xfId="1" applyNumberFormat="1" applyFont="1" applyFill="1" applyBorder="1" applyAlignment="1">
      <alignment horizontal="center" vertical="center"/>
    </xf>
    <xf numFmtId="39" fontId="9" fillId="5" borderId="15" xfId="1" applyNumberFormat="1" applyFont="1" applyFill="1" applyBorder="1" applyAlignment="1">
      <alignment horizontal="center" vertical="center"/>
    </xf>
    <xf numFmtId="37" fontId="9" fillId="5" borderId="17" xfId="1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left"/>
    </xf>
    <xf numFmtId="0" fontId="5" fillId="0" borderId="0" xfId="0" applyFont="1"/>
    <xf numFmtId="0" fontId="12" fillId="0" borderId="0" xfId="0" applyFont="1"/>
    <xf numFmtId="0" fontId="3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4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16" fillId="0" borderId="0" xfId="2" applyFont="1"/>
    <xf numFmtId="0" fontId="17" fillId="0" borderId="0" xfId="2" applyFont="1"/>
    <xf numFmtId="0" fontId="18" fillId="0" borderId="0" xfId="0" applyFont="1"/>
    <xf numFmtId="0" fontId="19" fillId="0" borderId="0" xfId="0" applyFont="1"/>
    <xf numFmtId="0" fontId="16" fillId="0" borderId="0" xfId="2" applyFont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39" fontId="9" fillId="2" borderId="23" xfId="1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37" fontId="4" fillId="0" borderId="0" xfId="2" applyNumberFormat="1" applyFont="1"/>
    <xf numFmtId="0" fontId="15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0" borderId="0" xfId="2" applyFont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0" borderId="0" xfId="2" applyFont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39" fontId="10" fillId="2" borderId="31" xfId="1" applyNumberFormat="1" applyFont="1" applyFill="1" applyBorder="1" applyAlignment="1">
      <alignment horizontal="center" vertical="center"/>
    </xf>
    <xf numFmtId="165" fontId="10" fillId="2" borderId="31" xfId="1" applyNumberFormat="1" applyFont="1" applyFill="1" applyBorder="1" applyAlignment="1">
      <alignment horizontal="center" vertical="center"/>
    </xf>
    <xf numFmtId="165" fontId="9" fillId="2" borderId="23" xfId="1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0" borderId="0" xfId="2" applyFont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0" borderId="0" xfId="2" applyFont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166" fontId="9" fillId="2" borderId="23" xfId="1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0" borderId="0" xfId="2" applyFont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4" fillId="0" borderId="21" xfId="2" applyFont="1" applyBorder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8" fillId="2" borderId="2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0" borderId="0" xfId="2" applyFont="1" applyAlignment="1">
      <alignment horizontal="left"/>
    </xf>
    <xf numFmtId="49" fontId="4" fillId="0" borderId="1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  <xf numFmtId="49" fontId="4" fillId="0" borderId="29" xfId="2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opLeftCell="A4" zoomScale="89" zoomScaleNormal="89" workbookViewId="0">
      <selection activeCell="P18" sqref="P18"/>
    </sheetView>
  </sheetViews>
  <sheetFormatPr defaultRowHeight="16.5" x14ac:dyDescent="0.25"/>
  <cols>
    <col min="1" max="1" width="51" style="3" customWidth="1"/>
    <col min="2" max="2" width="6.42578125" style="3" hidden="1" customWidth="1"/>
    <col min="3" max="3" width="0.5703125" style="3" hidden="1" customWidth="1"/>
    <col min="4" max="4" width="13.5703125" style="3" customWidth="1"/>
    <col min="5" max="5" width="14.7109375" style="3" customWidth="1"/>
    <col min="6" max="6" width="12.7109375" style="3" customWidth="1"/>
    <col min="7" max="7" width="15" style="3" customWidth="1"/>
    <col min="8" max="8" width="12" style="3" hidden="1" customWidth="1"/>
    <col min="9" max="9" width="12.42578125" style="3" hidden="1" customWidth="1"/>
    <col min="10" max="10" width="6.7109375" style="3" hidden="1" customWidth="1"/>
    <col min="11" max="11" width="9.28515625" style="3" hidden="1" customWidth="1"/>
    <col min="12" max="12" width="7.140625" style="3" hidden="1" customWidth="1"/>
    <col min="13" max="13" width="5.140625" style="3" hidden="1" customWidth="1"/>
    <col min="14" max="14" width="7.5703125" style="3" hidden="1" customWidth="1"/>
    <col min="15" max="15" width="11.5703125" style="3" hidden="1" customWidth="1"/>
    <col min="16" max="16" width="15.85546875" style="3" customWidth="1"/>
    <col min="17" max="17" width="8.42578125" style="3" customWidth="1"/>
    <col min="18" max="18" width="8.5703125" style="3" customWidth="1"/>
    <col min="19" max="19" width="11.7109375" style="3" customWidth="1"/>
    <col min="20" max="20" width="8.28515625" style="3" customWidth="1"/>
    <col min="21" max="21" width="11" style="3" hidden="1" customWidth="1"/>
    <col min="22" max="22" width="10.28515625" style="3" customWidth="1"/>
    <col min="23" max="23" width="12" style="3" customWidth="1"/>
    <col min="24" max="24" width="9.7109375" style="3" customWidth="1"/>
    <col min="25" max="25" width="11.28515625" style="3" customWidth="1"/>
    <col min="26" max="26" width="8.7109375" style="3" bestFit="1" customWidth="1"/>
    <col min="27" max="28" width="11.140625" style="3" customWidth="1"/>
    <col min="29" max="29" width="9.5703125" style="3" bestFit="1" customWidth="1"/>
    <col min="30" max="30" width="9.5703125" style="3" customWidth="1"/>
    <col min="31" max="31" width="17" style="3" customWidth="1"/>
    <col min="32" max="32" width="13.28515625" style="3" customWidth="1"/>
    <col min="33" max="33" width="12" style="3" customWidth="1"/>
    <col min="34" max="16384" width="9.140625" style="3"/>
  </cols>
  <sheetData>
    <row r="1" spans="1:36" s="42" customFormat="1" ht="26.25" x14ac:dyDescent="0.4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40"/>
      <c r="AH1" s="41"/>
      <c r="AI1" s="41"/>
      <c r="AJ1" s="41"/>
    </row>
    <row r="2" spans="1:36" s="43" customFormat="1" ht="25.5" x14ac:dyDescent="0.3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40"/>
      <c r="AH2" s="40"/>
      <c r="AI2" s="40"/>
      <c r="AJ2" s="40"/>
    </row>
    <row r="3" spans="1:36" s="42" customFormat="1" ht="26.25" x14ac:dyDescent="0.4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44"/>
      <c r="AH3" s="41"/>
      <c r="AI3" s="41"/>
      <c r="AJ3" s="41"/>
    </row>
    <row r="4" spans="1:36" s="42" customFormat="1" ht="26.25" x14ac:dyDescent="0.4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40"/>
      <c r="AH4" s="41"/>
      <c r="AI4" s="41"/>
      <c r="AJ4" s="41"/>
    </row>
    <row r="5" spans="1:36" s="42" customFormat="1" ht="26.25" x14ac:dyDescent="0.4">
      <c r="A5" s="112" t="s">
        <v>53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40"/>
      <c r="AH5" s="41"/>
      <c r="AI5" s="41"/>
      <c r="AJ5" s="41"/>
    </row>
    <row r="6" spans="1:36" s="42" customFormat="1" ht="27" thickBot="1" x14ac:dyDescent="0.4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1"/>
      <c r="AI6" s="41"/>
      <c r="AJ6" s="41"/>
    </row>
    <row r="7" spans="1:36" ht="25.5" customHeight="1" thickBot="1" x14ac:dyDescent="0.3">
      <c r="A7" s="113" t="s">
        <v>3</v>
      </c>
      <c r="B7" s="110" t="s">
        <v>4</v>
      </c>
      <c r="C7" s="110"/>
      <c r="D7" s="116" t="s">
        <v>7</v>
      </c>
      <c r="E7" s="117"/>
      <c r="F7" s="120" t="s">
        <v>6</v>
      </c>
      <c r="G7" s="116"/>
      <c r="H7" s="116"/>
      <c r="I7" s="116"/>
      <c r="J7" s="116"/>
      <c r="K7" s="116"/>
      <c r="L7" s="116"/>
      <c r="M7" s="116"/>
      <c r="N7" s="116"/>
      <c r="O7" s="121"/>
      <c r="P7" s="56" t="s">
        <v>7</v>
      </c>
      <c r="Q7" s="124" t="s">
        <v>5</v>
      </c>
      <c r="R7" s="116"/>
      <c r="S7" s="116"/>
      <c r="T7" s="116"/>
      <c r="U7" s="121"/>
      <c r="V7" s="124" t="s">
        <v>6</v>
      </c>
      <c r="W7" s="116"/>
      <c r="X7" s="121"/>
      <c r="Y7" s="126" t="s">
        <v>7</v>
      </c>
      <c r="Z7" s="126"/>
      <c r="AA7" s="127" t="s">
        <v>6</v>
      </c>
      <c r="AB7" s="129" t="s">
        <v>5</v>
      </c>
      <c r="AC7" s="97" t="s">
        <v>6</v>
      </c>
      <c r="AD7" s="131"/>
      <c r="AE7" s="56" t="s">
        <v>7</v>
      </c>
      <c r="AF7" s="97" t="s">
        <v>6</v>
      </c>
      <c r="AG7" s="98"/>
      <c r="AH7" s="2"/>
      <c r="AI7" s="2"/>
      <c r="AJ7" s="2"/>
    </row>
    <row r="8" spans="1:36" ht="35.25" customHeight="1" thickBot="1" x14ac:dyDescent="0.3">
      <c r="A8" s="114"/>
      <c r="B8" s="110" t="s">
        <v>8</v>
      </c>
      <c r="C8" s="110"/>
      <c r="D8" s="118"/>
      <c r="E8" s="119"/>
      <c r="F8" s="122"/>
      <c r="G8" s="118"/>
      <c r="H8" s="118"/>
      <c r="I8" s="118"/>
      <c r="J8" s="118"/>
      <c r="K8" s="118"/>
      <c r="L8" s="118"/>
      <c r="M8" s="118"/>
      <c r="N8" s="118"/>
      <c r="O8" s="123"/>
      <c r="P8" s="45" t="s">
        <v>6</v>
      </c>
      <c r="Q8" s="125"/>
      <c r="R8" s="118"/>
      <c r="S8" s="118"/>
      <c r="T8" s="118"/>
      <c r="U8" s="123"/>
      <c r="V8" s="125"/>
      <c r="W8" s="118"/>
      <c r="X8" s="123"/>
      <c r="Y8" s="111" t="s">
        <v>6</v>
      </c>
      <c r="Z8" s="111"/>
      <c r="AA8" s="128"/>
      <c r="AB8" s="130"/>
      <c r="AC8" s="99"/>
      <c r="AD8" s="132"/>
      <c r="AE8" s="54" t="s">
        <v>6</v>
      </c>
      <c r="AF8" s="99"/>
      <c r="AG8" s="100"/>
      <c r="AH8" s="2"/>
      <c r="AI8" s="2"/>
      <c r="AJ8" s="2"/>
    </row>
    <row r="9" spans="1:36" ht="26.25" customHeight="1" x14ac:dyDescent="0.25">
      <c r="A9" s="114"/>
      <c r="B9" s="101" t="s">
        <v>9</v>
      </c>
      <c r="C9" s="101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 t="s">
        <v>10</v>
      </c>
      <c r="Q9" s="104" t="s">
        <v>11</v>
      </c>
      <c r="R9" s="102"/>
      <c r="S9" s="102"/>
      <c r="T9" s="102"/>
      <c r="U9" s="102"/>
      <c r="V9" s="102"/>
      <c r="W9" s="102"/>
      <c r="X9" s="102"/>
      <c r="Y9" s="102"/>
      <c r="Z9" s="105"/>
      <c r="AA9" s="106" t="s">
        <v>12</v>
      </c>
      <c r="AB9" s="107"/>
      <c r="AC9" s="107"/>
      <c r="AD9" s="108"/>
      <c r="AE9" s="56"/>
      <c r="AF9" s="56"/>
      <c r="AG9" s="47"/>
      <c r="AH9" s="2"/>
      <c r="AI9" s="2"/>
      <c r="AJ9" s="2"/>
    </row>
    <row r="10" spans="1:36" ht="34.5" customHeight="1" x14ac:dyDescent="0.25">
      <c r="A10" s="114"/>
      <c r="B10" s="109">
        <v>11083</v>
      </c>
      <c r="C10" s="109"/>
      <c r="D10" s="93">
        <v>200</v>
      </c>
      <c r="E10" s="93"/>
      <c r="F10" s="93">
        <v>215</v>
      </c>
      <c r="G10" s="93"/>
      <c r="H10" s="93">
        <v>135</v>
      </c>
      <c r="I10" s="93"/>
      <c r="J10" s="93">
        <v>150</v>
      </c>
      <c r="K10" s="93"/>
      <c r="L10" s="93">
        <v>150</v>
      </c>
      <c r="M10" s="93"/>
      <c r="N10" s="93">
        <v>38</v>
      </c>
      <c r="O10" s="89"/>
      <c r="P10" s="103"/>
      <c r="Q10" s="93" t="s">
        <v>13</v>
      </c>
      <c r="R10" s="93"/>
      <c r="S10" s="93" t="s">
        <v>14</v>
      </c>
      <c r="T10" s="93"/>
      <c r="U10" s="5" t="s">
        <v>15</v>
      </c>
      <c r="V10" s="89" t="s">
        <v>16</v>
      </c>
      <c r="W10" s="90"/>
      <c r="X10" s="91"/>
      <c r="Y10" s="51" t="s">
        <v>17</v>
      </c>
      <c r="Z10" s="51" t="s">
        <v>18</v>
      </c>
      <c r="AA10" s="89" t="s">
        <v>19</v>
      </c>
      <c r="AB10" s="90"/>
      <c r="AC10" s="90"/>
      <c r="AD10" s="91"/>
      <c r="AE10" s="51" t="s">
        <v>20</v>
      </c>
      <c r="AF10" s="51" t="s">
        <v>21</v>
      </c>
      <c r="AG10" s="48" t="s">
        <v>22</v>
      </c>
      <c r="AH10" s="2"/>
      <c r="AI10" s="2"/>
      <c r="AJ10" s="2"/>
    </row>
    <row r="11" spans="1:36" ht="26.25" customHeight="1" x14ac:dyDescent="0.25">
      <c r="A11" s="114"/>
      <c r="B11" s="96">
        <v>208</v>
      </c>
      <c r="C11" s="96"/>
      <c r="D11" s="93" t="s">
        <v>49</v>
      </c>
      <c r="E11" s="93"/>
      <c r="F11" s="93" t="s">
        <v>24</v>
      </c>
      <c r="G11" s="93"/>
      <c r="H11" s="93" t="s">
        <v>24</v>
      </c>
      <c r="I11" s="93"/>
      <c r="J11" s="93" t="s">
        <v>23</v>
      </c>
      <c r="K11" s="93"/>
      <c r="L11" s="93" t="s">
        <v>25</v>
      </c>
      <c r="M11" s="93"/>
      <c r="N11" s="93" t="s">
        <v>24</v>
      </c>
      <c r="O11" s="89"/>
      <c r="P11" s="103"/>
      <c r="Q11" s="51">
        <v>2.4</v>
      </c>
      <c r="R11" s="51">
        <v>3.6</v>
      </c>
      <c r="S11" s="51">
        <v>2.4</v>
      </c>
      <c r="T11" s="51">
        <v>3.6</v>
      </c>
      <c r="U11" s="51">
        <v>2.4</v>
      </c>
      <c r="V11" s="51">
        <v>3.6</v>
      </c>
      <c r="W11" s="51">
        <v>2.4</v>
      </c>
      <c r="X11" s="51">
        <v>4.9000000000000004</v>
      </c>
      <c r="Y11" s="51"/>
      <c r="Z11" s="51"/>
      <c r="AA11" s="51">
        <v>5</v>
      </c>
      <c r="AB11" s="51">
        <v>10</v>
      </c>
      <c r="AC11" s="51" t="s">
        <v>48</v>
      </c>
      <c r="AD11" s="51">
        <v>40</v>
      </c>
      <c r="AE11" s="51"/>
      <c r="AF11" s="51"/>
      <c r="AG11" s="48" t="s">
        <v>26</v>
      </c>
      <c r="AH11" s="2"/>
      <c r="AI11" s="2"/>
      <c r="AJ11" s="2"/>
    </row>
    <row r="12" spans="1:36" ht="26.25" customHeight="1" thickBot="1" x14ac:dyDescent="0.3">
      <c r="A12" s="114"/>
      <c r="B12" s="6" t="s">
        <v>27</v>
      </c>
      <c r="C12" s="7" t="s">
        <v>28</v>
      </c>
      <c r="D12" s="94">
        <v>35245</v>
      </c>
      <c r="E12" s="94"/>
      <c r="F12" s="94">
        <v>11082</v>
      </c>
      <c r="G12" s="94"/>
      <c r="H12" s="94">
        <v>21810</v>
      </c>
      <c r="I12" s="94"/>
      <c r="J12" s="94">
        <v>17362</v>
      </c>
      <c r="K12" s="94"/>
      <c r="L12" s="94">
        <v>18389</v>
      </c>
      <c r="M12" s="94"/>
      <c r="N12" s="94">
        <v>21811</v>
      </c>
      <c r="O12" s="95"/>
      <c r="P12" s="8">
        <v>10128</v>
      </c>
      <c r="Q12" s="52">
        <v>10962</v>
      </c>
      <c r="R12" s="52">
        <v>15427</v>
      </c>
      <c r="S12" s="52">
        <v>16623</v>
      </c>
      <c r="T12" s="52">
        <v>16967</v>
      </c>
      <c r="U12" s="52">
        <v>28230</v>
      </c>
      <c r="V12" s="52">
        <v>10966</v>
      </c>
      <c r="W12" s="52">
        <v>10965</v>
      </c>
      <c r="X12" s="52">
        <v>21809</v>
      </c>
      <c r="Y12" s="52">
        <v>11966</v>
      </c>
      <c r="Z12" s="52">
        <v>11089</v>
      </c>
      <c r="AA12" s="52">
        <v>10960</v>
      </c>
      <c r="AB12" s="52">
        <v>10961</v>
      </c>
      <c r="AC12" s="52">
        <v>33442</v>
      </c>
      <c r="AD12" s="52">
        <v>10959</v>
      </c>
      <c r="AE12" s="52">
        <v>12487</v>
      </c>
      <c r="AF12" s="52">
        <v>16823</v>
      </c>
      <c r="AG12" s="53">
        <v>11342</v>
      </c>
      <c r="AH12" s="2"/>
      <c r="AI12" s="2"/>
      <c r="AJ12" s="2"/>
    </row>
    <row r="13" spans="1:36" ht="26.25" customHeight="1" thickBot="1" x14ac:dyDescent="0.3">
      <c r="A13" s="115"/>
      <c r="B13" s="9"/>
      <c r="C13" s="10"/>
      <c r="D13" s="54" t="s">
        <v>29</v>
      </c>
      <c r="E13" s="54" t="s">
        <v>30</v>
      </c>
      <c r="F13" s="54" t="s">
        <v>29</v>
      </c>
      <c r="G13" s="54" t="s">
        <v>30</v>
      </c>
      <c r="H13" s="54" t="s">
        <v>29</v>
      </c>
      <c r="I13" s="54" t="s">
        <v>30</v>
      </c>
      <c r="J13" s="54" t="s">
        <v>29</v>
      </c>
      <c r="K13" s="54" t="s">
        <v>30</v>
      </c>
      <c r="L13" s="54" t="s">
        <v>29</v>
      </c>
      <c r="M13" s="54" t="s">
        <v>30</v>
      </c>
      <c r="N13" s="54" t="s">
        <v>29</v>
      </c>
      <c r="O13" s="11" t="s">
        <v>30</v>
      </c>
      <c r="P13" s="12" t="s">
        <v>30</v>
      </c>
      <c r="Q13" s="54" t="s">
        <v>29</v>
      </c>
      <c r="R13" s="54" t="s">
        <v>29</v>
      </c>
      <c r="S13" s="54" t="s">
        <v>29</v>
      </c>
      <c r="T13" s="54" t="s">
        <v>29</v>
      </c>
      <c r="U13" s="54" t="s">
        <v>29</v>
      </c>
      <c r="V13" s="54" t="s">
        <v>29</v>
      </c>
      <c r="W13" s="54" t="s">
        <v>29</v>
      </c>
      <c r="X13" s="54" t="s">
        <v>29</v>
      </c>
      <c r="Y13" s="54" t="s">
        <v>29</v>
      </c>
      <c r="Z13" s="54" t="s">
        <v>29</v>
      </c>
      <c r="AA13" s="54" t="s">
        <v>31</v>
      </c>
      <c r="AB13" s="54" t="s">
        <v>31</v>
      </c>
      <c r="AC13" s="54" t="s">
        <v>31</v>
      </c>
      <c r="AD13" s="54" t="s">
        <v>31</v>
      </c>
      <c r="AE13" s="54" t="s">
        <v>31</v>
      </c>
      <c r="AF13" s="54" t="s">
        <v>31</v>
      </c>
      <c r="AG13" s="11" t="s">
        <v>29</v>
      </c>
      <c r="AH13" s="2"/>
      <c r="AI13" s="2"/>
      <c r="AJ13" s="2"/>
    </row>
    <row r="14" spans="1:36" s="16" customFormat="1" ht="40.5" x14ac:dyDescent="0.3">
      <c r="A14" s="13" t="s">
        <v>51</v>
      </c>
      <c r="B14" s="14">
        <v>0</v>
      </c>
      <c r="C14" s="14">
        <v>0</v>
      </c>
      <c r="D14" s="14">
        <v>42101</v>
      </c>
      <c r="E14" s="64">
        <v>5262.625</v>
      </c>
      <c r="F14" s="14">
        <v>106162</v>
      </c>
      <c r="G14" s="64">
        <v>6891.5116279069771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64">
        <v>62799.190000000017</v>
      </c>
      <c r="Q14" s="14">
        <v>264</v>
      </c>
      <c r="R14" s="14">
        <v>847</v>
      </c>
      <c r="S14" s="14">
        <v>16364</v>
      </c>
      <c r="T14" s="14">
        <v>0</v>
      </c>
      <c r="U14" s="14">
        <v>0</v>
      </c>
      <c r="V14" s="14">
        <v>5798</v>
      </c>
      <c r="W14" s="14">
        <v>60947</v>
      </c>
      <c r="X14" s="14">
        <v>646</v>
      </c>
      <c r="Y14" s="14">
        <v>12003</v>
      </c>
      <c r="Z14" s="14">
        <v>246</v>
      </c>
      <c r="AA14" s="14">
        <v>23827</v>
      </c>
      <c r="AB14" s="14">
        <v>1532</v>
      </c>
      <c r="AC14" s="14">
        <v>2473</v>
      </c>
      <c r="AD14" s="14">
        <v>1060</v>
      </c>
      <c r="AE14" s="14">
        <v>23537.289999999997</v>
      </c>
      <c r="AF14" s="14">
        <v>1845</v>
      </c>
      <c r="AG14" s="14">
        <v>279</v>
      </c>
      <c r="AH14" s="15"/>
      <c r="AI14" s="15"/>
      <c r="AJ14" s="15"/>
    </row>
    <row r="15" spans="1:36" s="16" customFormat="1" ht="50.1" customHeight="1" x14ac:dyDescent="0.3">
      <c r="A15" s="13" t="s">
        <v>32</v>
      </c>
      <c r="B15" s="17"/>
      <c r="C15" s="17"/>
      <c r="D15" s="18">
        <v>60000</v>
      </c>
      <c r="E15" s="18">
        <f>D15/200*25</f>
        <v>7500</v>
      </c>
      <c r="F15" s="18">
        <v>64500</v>
      </c>
      <c r="G15" s="46">
        <f>F15/215*25</f>
        <v>7500</v>
      </c>
      <c r="H15" s="18">
        <v>0</v>
      </c>
      <c r="I15" s="18">
        <f>H15/135*25</f>
        <v>0</v>
      </c>
      <c r="J15" s="18"/>
      <c r="K15" s="18"/>
      <c r="L15" s="18"/>
      <c r="M15" s="18"/>
      <c r="N15" s="18">
        <v>0</v>
      </c>
      <c r="O15" s="18">
        <f>N15/38*25</f>
        <v>0</v>
      </c>
      <c r="P15" s="18">
        <v>37500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7480</v>
      </c>
      <c r="W15" s="18">
        <v>60500</v>
      </c>
      <c r="X15" s="18"/>
      <c r="Y15" s="18">
        <v>6000</v>
      </c>
      <c r="Z15" s="18">
        <v>50</v>
      </c>
      <c r="AA15" s="18">
        <v>27900</v>
      </c>
      <c r="AB15" s="18"/>
      <c r="AC15" s="18"/>
      <c r="AD15" s="18"/>
      <c r="AE15" s="18">
        <v>18000</v>
      </c>
      <c r="AF15" s="18">
        <v>600</v>
      </c>
      <c r="AG15" s="19"/>
      <c r="AH15" s="15"/>
      <c r="AI15" s="15"/>
      <c r="AJ15" s="15"/>
    </row>
    <row r="16" spans="1:36" s="16" customFormat="1" ht="50.1" customHeight="1" x14ac:dyDescent="0.3">
      <c r="A16" s="20" t="s">
        <v>33</v>
      </c>
      <c r="B16" s="17">
        <f t="shared" ref="B16:N16" si="0">B14+B15</f>
        <v>0</v>
      </c>
      <c r="C16" s="17">
        <f t="shared" si="0"/>
        <v>0</v>
      </c>
      <c r="D16" s="18">
        <f t="shared" si="0"/>
        <v>102101</v>
      </c>
      <c r="E16" s="46">
        <f>E14+E15</f>
        <v>12762.625</v>
      </c>
      <c r="F16" s="18">
        <f t="shared" si="0"/>
        <v>170662</v>
      </c>
      <c r="G16" s="46">
        <f t="shared" si="0"/>
        <v>14391.511627906977</v>
      </c>
      <c r="H16" s="18">
        <f t="shared" si="0"/>
        <v>0</v>
      </c>
      <c r="I16" s="46">
        <f t="shared" si="0"/>
        <v>0</v>
      </c>
      <c r="J16" s="46">
        <f t="shared" si="0"/>
        <v>0</v>
      </c>
      <c r="K16" s="46">
        <f t="shared" si="0"/>
        <v>0</v>
      </c>
      <c r="L16" s="46">
        <f t="shared" si="0"/>
        <v>0</v>
      </c>
      <c r="M16" s="46">
        <f t="shared" si="0"/>
        <v>0</v>
      </c>
      <c r="N16" s="18">
        <f t="shared" si="0"/>
        <v>0</v>
      </c>
      <c r="O16" s="46">
        <f>N16/38*25</f>
        <v>0</v>
      </c>
      <c r="P16" s="46">
        <f t="shared" ref="P16:AG16" si="1">P14+P15</f>
        <v>100299.19000000002</v>
      </c>
      <c r="Q16" s="18">
        <f t="shared" si="1"/>
        <v>264</v>
      </c>
      <c r="R16" s="18">
        <f t="shared" si="1"/>
        <v>847</v>
      </c>
      <c r="S16" s="18">
        <f t="shared" si="1"/>
        <v>16364</v>
      </c>
      <c r="T16" s="18">
        <f t="shared" si="1"/>
        <v>0</v>
      </c>
      <c r="U16" s="18">
        <f t="shared" si="1"/>
        <v>0</v>
      </c>
      <c r="V16" s="18">
        <f t="shared" si="1"/>
        <v>13278</v>
      </c>
      <c r="W16" s="18">
        <f t="shared" si="1"/>
        <v>121447</v>
      </c>
      <c r="X16" s="18">
        <f t="shared" si="1"/>
        <v>646</v>
      </c>
      <c r="Y16" s="18">
        <f t="shared" si="1"/>
        <v>18003</v>
      </c>
      <c r="Z16" s="18">
        <f t="shared" si="1"/>
        <v>296</v>
      </c>
      <c r="AA16" s="18">
        <f t="shared" si="1"/>
        <v>51727</v>
      </c>
      <c r="AB16" s="18">
        <f t="shared" si="1"/>
        <v>1532</v>
      </c>
      <c r="AC16" s="18">
        <f t="shared" si="1"/>
        <v>2473</v>
      </c>
      <c r="AD16" s="18">
        <f t="shared" si="1"/>
        <v>1060</v>
      </c>
      <c r="AE16" s="46">
        <f t="shared" si="1"/>
        <v>41537.289999999994</v>
      </c>
      <c r="AF16" s="18">
        <f t="shared" si="1"/>
        <v>2445</v>
      </c>
      <c r="AG16" s="19">
        <f t="shared" si="1"/>
        <v>279</v>
      </c>
      <c r="AH16" s="15"/>
      <c r="AI16" s="15"/>
      <c r="AJ16" s="15"/>
    </row>
    <row r="17" spans="1:37" s="16" customFormat="1" ht="50.1" customHeight="1" x14ac:dyDescent="0.3">
      <c r="A17" s="20" t="s">
        <v>34</v>
      </c>
      <c r="B17" s="17">
        <v>0</v>
      </c>
      <c r="C17" s="17">
        <f>B17/208*25</f>
        <v>0</v>
      </c>
      <c r="D17" s="18">
        <v>45072</v>
      </c>
      <c r="E17" s="46">
        <f>D17/200*25</f>
        <v>5634</v>
      </c>
      <c r="F17" s="18">
        <v>49039</v>
      </c>
      <c r="G17" s="46">
        <f>F17/215*25</f>
        <v>5702.2093023255811</v>
      </c>
      <c r="H17" s="18">
        <v>0</v>
      </c>
      <c r="I17" s="46">
        <f>H17/135*25</f>
        <v>0</v>
      </c>
      <c r="J17" s="18"/>
      <c r="K17" s="18">
        <f>J17/150*25</f>
        <v>0</v>
      </c>
      <c r="L17" s="18"/>
      <c r="M17" s="18">
        <f>L17/150*25</f>
        <v>0</v>
      </c>
      <c r="N17" s="18">
        <v>0</v>
      </c>
      <c r="O17" s="46">
        <f>N17/38*25</f>
        <v>0</v>
      </c>
      <c r="P17" s="46">
        <v>30816.1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1609</v>
      </c>
      <c r="W17" s="18">
        <v>44750</v>
      </c>
      <c r="X17" s="18">
        <v>0</v>
      </c>
      <c r="Y17" s="18">
        <v>5497</v>
      </c>
      <c r="Z17" s="18">
        <v>92</v>
      </c>
      <c r="AA17" s="18">
        <v>20129</v>
      </c>
      <c r="AB17" s="18">
        <v>0</v>
      </c>
      <c r="AC17" s="18">
        <v>1676</v>
      </c>
      <c r="AD17" s="18">
        <v>0</v>
      </c>
      <c r="AE17" s="46">
        <f>Y17*2.43</f>
        <v>13357.710000000001</v>
      </c>
      <c r="AF17" s="18">
        <v>310</v>
      </c>
      <c r="AG17" s="19">
        <v>3</v>
      </c>
      <c r="AH17" s="15"/>
      <c r="AI17" s="15"/>
      <c r="AJ17" s="15"/>
    </row>
    <row r="18" spans="1:37" s="16" customFormat="1" ht="50.1" customHeight="1" thickBot="1" x14ac:dyDescent="0.35">
      <c r="A18" s="21" t="s">
        <v>52</v>
      </c>
      <c r="B18" s="22">
        <f t="shared" ref="B18:AG18" si="2">B16-B17</f>
        <v>0</v>
      </c>
      <c r="C18" s="22">
        <f t="shared" si="2"/>
        <v>0</v>
      </c>
      <c r="D18" s="23">
        <f t="shared" si="2"/>
        <v>57029</v>
      </c>
      <c r="E18" s="24">
        <f t="shared" si="2"/>
        <v>7128.625</v>
      </c>
      <c r="F18" s="23">
        <f t="shared" si="2"/>
        <v>121623</v>
      </c>
      <c r="G18" s="24">
        <f t="shared" si="2"/>
        <v>8689.3023255813969</v>
      </c>
      <c r="H18" s="23">
        <f t="shared" si="2"/>
        <v>0</v>
      </c>
      <c r="I18" s="23">
        <f t="shared" si="2"/>
        <v>0</v>
      </c>
      <c r="J18" s="23">
        <f t="shared" si="2"/>
        <v>0</v>
      </c>
      <c r="K18" s="23">
        <f t="shared" si="2"/>
        <v>0</v>
      </c>
      <c r="L18" s="23">
        <f t="shared" si="2"/>
        <v>0</v>
      </c>
      <c r="M18" s="23">
        <f t="shared" si="2"/>
        <v>0</v>
      </c>
      <c r="N18" s="23">
        <f t="shared" si="2"/>
        <v>0</v>
      </c>
      <c r="O18" s="23">
        <f t="shared" si="2"/>
        <v>0</v>
      </c>
      <c r="P18" s="24">
        <f t="shared" si="2"/>
        <v>69483.090000000026</v>
      </c>
      <c r="Q18" s="23">
        <f t="shared" si="2"/>
        <v>264</v>
      </c>
      <c r="R18" s="23">
        <f t="shared" si="2"/>
        <v>847</v>
      </c>
      <c r="S18" s="23">
        <f t="shared" si="2"/>
        <v>16364</v>
      </c>
      <c r="T18" s="23">
        <f t="shared" si="2"/>
        <v>0</v>
      </c>
      <c r="U18" s="23">
        <f t="shared" si="2"/>
        <v>0</v>
      </c>
      <c r="V18" s="23">
        <f t="shared" si="2"/>
        <v>11669</v>
      </c>
      <c r="W18" s="23">
        <f t="shared" si="2"/>
        <v>76697</v>
      </c>
      <c r="X18" s="23">
        <f t="shared" si="2"/>
        <v>646</v>
      </c>
      <c r="Y18" s="23">
        <f t="shared" si="2"/>
        <v>12506</v>
      </c>
      <c r="Z18" s="23">
        <f t="shared" si="2"/>
        <v>204</v>
      </c>
      <c r="AA18" s="23">
        <f t="shared" si="2"/>
        <v>31598</v>
      </c>
      <c r="AB18" s="23">
        <f t="shared" si="2"/>
        <v>1532</v>
      </c>
      <c r="AC18" s="23">
        <f t="shared" si="2"/>
        <v>797</v>
      </c>
      <c r="AD18" s="23">
        <f t="shared" si="2"/>
        <v>1060</v>
      </c>
      <c r="AE18" s="24">
        <f t="shared" si="2"/>
        <v>28179.579999999994</v>
      </c>
      <c r="AF18" s="23">
        <f t="shared" si="2"/>
        <v>2135</v>
      </c>
      <c r="AG18" s="25">
        <f t="shared" si="2"/>
        <v>276</v>
      </c>
      <c r="AH18" s="15"/>
      <c r="AI18" s="15"/>
      <c r="AJ18" s="15"/>
    </row>
    <row r="19" spans="1:37" s="27" customFormat="1" ht="30" customHeight="1" x14ac:dyDescent="0.25">
      <c r="A19" s="4"/>
      <c r="B19" s="1"/>
      <c r="C19" s="1"/>
      <c r="D19" s="1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6"/>
      <c r="R19" s="26"/>
      <c r="S19" s="1"/>
      <c r="T19" s="1"/>
      <c r="U19" s="1"/>
      <c r="V19" s="26"/>
      <c r="W19" s="26"/>
      <c r="X19" s="26"/>
      <c r="Y19" s="1"/>
      <c r="Z19" s="1"/>
      <c r="AA19" s="1"/>
      <c r="AB19" s="1"/>
      <c r="AC19" s="1"/>
      <c r="AD19" s="1"/>
      <c r="AE19" s="1"/>
      <c r="AF19" s="1"/>
      <c r="AG19" s="26"/>
      <c r="AH19" s="2"/>
      <c r="AI19" s="2"/>
      <c r="AJ19" s="2"/>
    </row>
    <row r="20" spans="1:37" s="28" customFormat="1" ht="23.25" x14ac:dyDescent="0.35">
      <c r="A20" s="28" t="s">
        <v>35</v>
      </c>
      <c r="B20" s="29"/>
      <c r="E20" s="28" t="s">
        <v>36</v>
      </c>
      <c r="J20" s="28" t="s">
        <v>37</v>
      </c>
      <c r="S20" s="28" t="s">
        <v>37</v>
      </c>
      <c r="Z20" s="28" t="s">
        <v>38</v>
      </c>
      <c r="AJ20" s="30"/>
      <c r="AK20" s="30"/>
    </row>
    <row r="21" spans="1:37" s="28" customFormat="1" ht="23.25" x14ac:dyDescent="0.35">
      <c r="B21" s="29"/>
      <c r="E21" s="29"/>
      <c r="AD21" s="29"/>
      <c r="AJ21" s="29"/>
      <c r="AK21" s="29"/>
    </row>
    <row r="22" spans="1:37" s="28" customFormat="1" ht="21" customHeight="1" x14ac:dyDescent="0.35">
      <c r="A22" s="29"/>
      <c r="B22" s="29"/>
      <c r="E22" s="29"/>
      <c r="AD22" s="29"/>
    </row>
    <row r="23" spans="1:37" s="33" customFormat="1" ht="23.25" x14ac:dyDescent="0.35">
      <c r="A23" s="31" t="s">
        <v>39</v>
      </c>
      <c r="B23" s="29"/>
      <c r="C23" s="28"/>
      <c r="E23" s="32" t="s">
        <v>40</v>
      </c>
      <c r="H23" s="28"/>
      <c r="I23" s="28"/>
      <c r="J23" s="32" t="s">
        <v>41</v>
      </c>
      <c r="K23" s="28"/>
      <c r="L23" s="28"/>
      <c r="M23" s="28"/>
      <c r="S23" s="32" t="s">
        <v>42</v>
      </c>
      <c r="Z23" s="32" t="s">
        <v>43</v>
      </c>
      <c r="AH23" s="34"/>
      <c r="AI23" s="35"/>
      <c r="AJ23" s="34"/>
      <c r="AK23" s="34"/>
    </row>
    <row r="24" spans="1:37" s="33" customFormat="1" ht="23.25" x14ac:dyDescent="0.35">
      <c r="A24" s="28" t="s">
        <v>47</v>
      </c>
      <c r="B24" s="28"/>
      <c r="C24" s="28"/>
      <c r="E24" s="28" t="s">
        <v>44</v>
      </c>
      <c r="H24" s="28"/>
      <c r="I24" s="28"/>
      <c r="J24" s="28" t="s">
        <v>45</v>
      </c>
      <c r="K24" s="28"/>
      <c r="L24" s="28"/>
      <c r="M24" s="28"/>
      <c r="S24" s="28" t="s">
        <v>46</v>
      </c>
      <c r="Z24" s="30" t="s">
        <v>50</v>
      </c>
      <c r="AI24" s="36"/>
      <c r="AJ24" s="36"/>
      <c r="AK24" s="36"/>
    </row>
    <row r="25" spans="1:37" s="37" customFormat="1" ht="23.25" x14ac:dyDescent="0.35">
      <c r="W25" s="28"/>
    </row>
    <row r="26" spans="1:37" s="28" customFormat="1" ht="23.25" x14ac:dyDescent="0.35">
      <c r="AI26" s="30"/>
      <c r="AJ26" s="30"/>
    </row>
    <row r="27" spans="1:37" s="33" customFormat="1" ht="20.25" x14ac:dyDescent="0.3">
      <c r="Z27" s="36"/>
      <c r="AF27" s="36"/>
    </row>
    <row r="28" spans="1:37" s="27" customFormat="1" x14ac:dyDescent="0.25">
      <c r="P28" s="38"/>
      <c r="Q28" s="38"/>
      <c r="R28" s="38"/>
      <c r="Y28" s="38"/>
      <c r="AE28" s="38"/>
      <c r="AG28" s="38"/>
    </row>
    <row r="29" spans="1:37" s="27" customFormat="1" x14ac:dyDescent="0.25">
      <c r="A29" s="39"/>
      <c r="B29" s="39"/>
      <c r="C29" s="39"/>
      <c r="Z29" s="1"/>
      <c r="AD29" s="1"/>
      <c r="AF29" s="1"/>
      <c r="AH29" s="2"/>
      <c r="AI29" s="2"/>
      <c r="AJ29" s="2"/>
    </row>
    <row r="30" spans="1:37" s="27" customForma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1"/>
      <c r="AA30" s="38"/>
      <c r="AB30" s="38"/>
      <c r="AC30" s="38"/>
      <c r="AD30" s="1"/>
      <c r="AE30" s="38"/>
      <c r="AF30" s="1"/>
      <c r="AG30" s="38"/>
      <c r="AH30" s="2"/>
      <c r="AI30" s="2"/>
      <c r="AJ30" s="2"/>
    </row>
    <row r="31" spans="1:37" s="27" customForma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/>
      <c r="Q31" s="39"/>
      <c r="R31" s="39"/>
      <c r="S31" s="38"/>
      <c r="T31" s="38"/>
      <c r="U31" s="38"/>
      <c r="V31" s="39"/>
      <c r="W31" s="39"/>
      <c r="X31" s="39"/>
      <c r="Z31" s="1"/>
      <c r="AA31" s="38"/>
      <c r="AB31" s="38"/>
      <c r="AC31" s="38"/>
      <c r="AD31" s="1"/>
      <c r="AE31" s="39"/>
      <c r="AF31" s="1"/>
      <c r="AH31" s="2"/>
      <c r="AI31" s="2"/>
      <c r="AJ31" s="2"/>
    </row>
    <row r="32" spans="1:37" s="27" customFormat="1" x14ac:dyDescent="0.25"/>
    <row r="33" spans="1:32" s="27" customFormat="1" x14ac:dyDescent="0.25"/>
    <row r="34" spans="1:32" s="27" customFormat="1" x14ac:dyDescent="0.25"/>
    <row r="35" spans="1:32" s="27" customFormat="1" x14ac:dyDescent="0.25"/>
    <row r="36" spans="1:32" s="27" customFormat="1" x14ac:dyDescent="0.25"/>
    <row r="37" spans="1:32" s="27" customFormat="1" x14ac:dyDescent="0.25"/>
    <row r="46" spans="1:32" ht="17.25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50"/>
      <c r="AF46" s="50"/>
    </row>
    <row r="47" spans="1:32" x14ac:dyDescent="0.25">
      <c r="A47" s="38"/>
    </row>
  </sheetData>
  <mergeCells count="47">
    <mergeCell ref="B8:C8"/>
    <mergeCell ref="Y8:Z8"/>
    <mergeCell ref="A1:AF1"/>
    <mergeCell ref="A2:AF2"/>
    <mergeCell ref="A4:AF4"/>
    <mergeCell ref="A5:AF5"/>
    <mergeCell ref="A7:A13"/>
    <mergeCell ref="B7:C7"/>
    <mergeCell ref="D7:E8"/>
    <mergeCell ref="F7:O8"/>
    <mergeCell ref="Q7:U8"/>
    <mergeCell ref="V7:X8"/>
    <mergeCell ref="Y7:Z7"/>
    <mergeCell ref="AA7:AA8"/>
    <mergeCell ref="AB7:AB8"/>
    <mergeCell ref="AC7:AD8"/>
    <mergeCell ref="AF7:AG8"/>
    <mergeCell ref="AA10:AD10"/>
    <mergeCell ref="B9:C9"/>
    <mergeCell ref="D9:O9"/>
    <mergeCell ref="P9:P11"/>
    <mergeCell ref="Q9:Z9"/>
    <mergeCell ref="AA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V10:X10"/>
    <mergeCell ref="A46:AD46"/>
    <mergeCell ref="N11:O11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</mergeCells>
  <pageMargins left="0.31496062992126" right="0.196850393700787" top="0.66929133858267698" bottom="0.35433070866141703" header="0.31496062992126" footer="0.31496062992126"/>
  <pageSetup paperSize="14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opLeftCell="A4" zoomScale="89" zoomScaleNormal="89" workbookViewId="0">
      <selection activeCell="P18" sqref="P18"/>
    </sheetView>
  </sheetViews>
  <sheetFormatPr defaultRowHeight="16.5" x14ac:dyDescent="0.25"/>
  <cols>
    <col min="1" max="1" width="51" style="3" customWidth="1"/>
    <col min="2" max="2" width="6.42578125" style="3" hidden="1" customWidth="1"/>
    <col min="3" max="3" width="0.5703125" style="3" hidden="1" customWidth="1"/>
    <col min="4" max="4" width="12.42578125" style="3" customWidth="1"/>
    <col min="5" max="5" width="14.7109375" style="3" customWidth="1"/>
    <col min="6" max="6" width="12.7109375" style="3" customWidth="1"/>
    <col min="7" max="7" width="15" style="3" customWidth="1"/>
    <col min="8" max="8" width="12" style="3" hidden="1" customWidth="1"/>
    <col min="9" max="9" width="12.42578125" style="3" hidden="1" customWidth="1"/>
    <col min="10" max="10" width="6.7109375" style="3" hidden="1" customWidth="1"/>
    <col min="11" max="11" width="9.28515625" style="3" hidden="1" customWidth="1"/>
    <col min="12" max="12" width="7.140625" style="3" hidden="1" customWidth="1"/>
    <col min="13" max="13" width="5.140625" style="3" hidden="1" customWidth="1"/>
    <col min="14" max="14" width="7.5703125" style="3" hidden="1" customWidth="1"/>
    <col min="15" max="15" width="11.5703125" style="3" hidden="1" customWidth="1"/>
    <col min="16" max="16" width="15.42578125" style="3" customWidth="1"/>
    <col min="17" max="17" width="8.42578125" style="3" customWidth="1"/>
    <col min="18" max="18" width="8.5703125" style="3" customWidth="1"/>
    <col min="19" max="19" width="11.7109375" style="3" customWidth="1"/>
    <col min="20" max="20" width="8.28515625" style="3" customWidth="1"/>
    <col min="21" max="21" width="11" style="3" hidden="1" customWidth="1"/>
    <col min="22" max="22" width="10.28515625" style="3" customWidth="1"/>
    <col min="23" max="23" width="12" style="3" customWidth="1"/>
    <col min="24" max="24" width="9.7109375" style="3" customWidth="1"/>
    <col min="25" max="25" width="11.28515625" style="3" customWidth="1"/>
    <col min="26" max="26" width="8.7109375" style="3" bestFit="1" customWidth="1"/>
    <col min="27" max="28" width="11.140625" style="3" customWidth="1"/>
    <col min="29" max="29" width="9.5703125" style="3" bestFit="1" customWidth="1"/>
    <col min="30" max="30" width="9.42578125" style="3" customWidth="1"/>
    <col min="31" max="31" width="15" style="3" customWidth="1"/>
    <col min="32" max="32" width="13.28515625" style="3" customWidth="1"/>
    <col min="33" max="33" width="12" style="3" customWidth="1"/>
    <col min="34" max="16384" width="9.140625" style="3"/>
  </cols>
  <sheetData>
    <row r="1" spans="1:36" s="42" customFormat="1" ht="26.25" x14ac:dyDescent="0.4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40"/>
      <c r="AH1" s="41"/>
      <c r="AI1" s="41"/>
      <c r="AJ1" s="41"/>
    </row>
    <row r="2" spans="1:36" s="43" customFormat="1" ht="25.5" x14ac:dyDescent="0.3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40"/>
      <c r="AH2" s="40"/>
      <c r="AI2" s="40"/>
      <c r="AJ2" s="40"/>
    </row>
    <row r="3" spans="1:36" s="42" customFormat="1" ht="26.25" x14ac:dyDescent="0.4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44"/>
      <c r="AH3" s="41"/>
      <c r="AI3" s="41"/>
      <c r="AJ3" s="41"/>
    </row>
    <row r="4" spans="1:36" s="42" customFormat="1" ht="26.25" x14ac:dyDescent="0.4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40"/>
      <c r="AH4" s="41"/>
      <c r="AI4" s="41"/>
      <c r="AJ4" s="41"/>
    </row>
    <row r="5" spans="1:36" s="42" customFormat="1" ht="26.25" x14ac:dyDescent="0.4">
      <c r="A5" s="112" t="s">
        <v>54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40"/>
      <c r="AH5" s="41"/>
      <c r="AI5" s="41"/>
      <c r="AJ5" s="41"/>
    </row>
    <row r="6" spans="1:36" s="42" customFormat="1" ht="27" thickBot="1" x14ac:dyDescent="0.4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1"/>
      <c r="AI6" s="41"/>
      <c r="AJ6" s="41"/>
    </row>
    <row r="7" spans="1:36" ht="25.5" customHeight="1" thickBot="1" x14ac:dyDescent="0.3">
      <c r="A7" s="113" t="s">
        <v>3</v>
      </c>
      <c r="B7" s="110" t="s">
        <v>4</v>
      </c>
      <c r="C7" s="110"/>
      <c r="D7" s="116" t="s">
        <v>7</v>
      </c>
      <c r="E7" s="117"/>
      <c r="F7" s="120" t="s">
        <v>6</v>
      </c>
      <c r="G7" s="116"/>
      <c r="H7" s="116"/>
      <c r="I7" s="116"/>
      <c r="J7" s="116"/>
      <c r="K7" s="116"/>
      <c r="L7" s="116"/>
      <c r="M7" s="116"/>
      <c r="N7" s="116"/>
      <c r="O7" s="121"/>
      <c r="P7" s="63" t="s">
        <v>7</v>
      </c>
      <c r="Q7" s="124" t="s">
        <v>5</v>
      </c>
      <c r="R7" s="116"/>
      <c r="S7" s="116"/>
      <c r="T7" s="116"/>
      <c r="U7" s="121"/>
      <c r="V7" s="124" t="s">
        <v>6</v>
      </c>
      <c r="W7" s="116"/>
      <c r="X7" s="121"/>
      <c r="Y7" s="126" t="s">
        <v>7</v>
      </c>
      <c r="Z7" s="126"/>
      <c r="AA7" s="127" t="s">
        <v>6</v>
      </c>
      <c r="AB7" s="129" t="s">
        <v>5</v>
      </c>
      <c r="AC7" s="97" t="s">
        <v>6</v>
      </c>
      <c r="AD7" s="131"/>
      <c r="AE7" s="63" t="s">
        <v>7</v>
      </c>
      <c r="AF7" s="97" t="s">
        <v>6</v>
      </c>
      <c r="AG7" s="98"/>
      <c r="AH7" s="2"/>
      <c r="AI7" s="2"/>
      <c r="AJ7" s="2"/>
    </row>
    <row r="8" spans="1:36" ht="35.25" customHeight="1" thickBot="1" x14ac:dyDescent="0.3">
      <c r="A8" s="114"/>
      <c r="B8" s="110" t="s">
        <v>8</v>
      </c>
      <c r="C8" s="110"/>
      <c r="D8" s="118"/>
      <c r="E8" s="119"/>
      <c r="F8" s="122"/>
      <c r="G8" s="118"/>
      <c r="H8" s="118"/>
      <c r="I8" s="118"/>
      <c r="J8" s="118"/>
      <c r="K8" s="118"/>
      <c r="L8" s="118"/>
      <c r="M8" s="118"/>
      <c r="N8" s="118"/>
      <c r="O8" s="123"/>
      <c r="P8" s="45" t="s">
        <v>6</v>
      </c>
      <c r="Q8" s="125"/>
      <c r="R8" s="118"/>
      <c r="S8" s="118"/>
      <c r="T8" s="118"/>
      <c r="U8" s="123"/>
      <c r="V8" s="125"/>
      <c r="W8" s="118"/>
      <c r="X8" s="123"/>
      <c r="Y8" s="111" t="s">
        <v>6</v>
      </c>
      <c r="Z8" s="111"/>
      <c r="AA8" s="128"/>
      <c r="AB8" s="130"/>
      <c r="AC8" s="99"/>
      <c r="AD8" s="132"/>
      <c r="AE8" s="61" t="s">
        <v>6</v>
      </c>
      <c r="AF8" s="99"/>
      <c r="AG8" s="100"/>
      <c r="AH8" s="2"/>
      <c r="AI8" s="2"/>
      <c r="AJ8" s="2"/>
    </row>
    <row r="9" spans="1:36" ht="26.25" customHeight="1" x14ac:dyDescent="0.25">
      <c r="A9" s="114"/>
      <c r="B9" s="101" t="s">
        <v>9</v>
      </c>
      <c r="C9" s="101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 t="s">
        <v>10</v>
      </c>
      <c r="Q9" s="104" t="s">
        <v>11</v>
      </c>
      <c r="R9" s="102"/>
      <c r="S9" s="102"/>
      <c r="T9" s="102"/>
      <c r="U9" s="102"/>
      <c r="V9" s="102"/>
      <c r="W9" s="102"/>
      <c r="X9" s="102"/>
      <c r="Y9" s="102"/>
      <c r="Z9" s="105"/>
      <c r="AA9" s="106" t="s">
        <v>12</v>
      </c>
      <c r="AB9" s="107"/>
      <c r="AC9" s="107"/>
      <c r="AD9" s="108"/>
      <c r="AE9" s="63"/>
      <c r="AF9" s="63"/>
      <c r="AG9" s="47"/>
      <c r="AH9" s="2"/>
      <c r="AI9" s="2"/>
      <c r="AJ9" s="2"/>
    </row>
    <row r="10" spans="1:36" ht="34.5" customHeight="1" x14ac:dyDescent="0.25">
      <c r="A10" s="114"/>
      <c r="B10" s="109">
        <v>11083</v>
      </c>
      <c r="C10" s="109"/>
      <c r="D10" s="93">
        <v>200</v>
      </c>
      <c r="E10" s="93"/>
      <c r="F10" s="93">
        <v>215</v>
      </c>
      <c r="G10" s="93"/>
      <c r="H10" s="93">
        <v>135</v>
      </c>
      <c r="I10" s="93"/>
      <c r="J10" s="93">
        <v>150</v>
      </c>
      <c r="K10" s="93"/>
      <c r="L10" s="93">
        <v>150</v>
      </c>
      <c r="M10" s="93"/>
      <c r="N10" s="93">
        <v>38</v>
      </c>
      <c r="O10" s="89"/>
      <c r="P10" s="103"/>
      <c r="Q10" s="93" t="s">
        <v>13</v>
      </c>
      <c r="R10" s="93"/>
      <c r="S10" s="93" t="s">
        <v>14</v>
      </c>
      <c r="T10" s="93"/>
      <c r="U10" s="5" t="s">
        <v>15</v>
      </c>
      <c r="V10" s="89" t="s">
        <v>16</v>
      </c>
      <c r="W10" s="90"/>
      <c r="X10" s="91"/>
      <c r="Y10" s="58" t="s">
        <v>17</v>
      </c>
      <c r="Z10" s="58" t="s">
        <v>18</v>
      </c>
      <c r="AA10" s="89" t="s">
        <v>19</v>
      </c>
      <c r="AB10" s="90"/>
      <c r="AC10" s="90"/>
      <c r="AD10" s="91"/>
      <c r="AE10" s="58" t="s">
        <v>20</v>
      </c>
      <c r="AF10" s="58" t="s">
        <v>21</v>
      </c>
      <c r="AG10" s="48" t="s">
        <v>22</v>
      </c>
      <c r="AH10" s="2"/>
      <c r="AI10" s="2"/>
      <c r="AJ10" s="2"/>
    </row>
    <row r="11" spans="1:36" ht="26.25" customHeight="1" x14ac:dyDescent="0.25">
      <c r="A11" s="114"/>
      <c r="B11" s="96">
        <v>208</v>
      </c>
      <c r="C11" s="96"/>
      <c r="D11" s="93" t="s">
        <v>49</v>
      </c>
      <c r="E11" s="93"/>
      <c r="F11" s="93" t="s">
        <v>24</v>
      </c>
      <c r="G11" s="93"/>
      <c r="H11" s="93" t="s">
        <v>24</v>
      </c>
      <c r="I11" s="93"/>
      <c r="J11" s="93" t="s">
        <v>23</v>
      </c>
      <c r="K11" s="93"/>
      <c r="L11" s="93" t="s">
        <v>25</v>
      </c>
      <c r="M11" s="93"/>
      <c r="N11" s="93" t="s">
        <v>24</v>
      </c>
      <c r="O11" s="89"/>
      <c r="P11" s="103"/>
      <c r="Q11" s="58">
        <v>2.4</v>
      </c>
      <c r="R11" s="58">
        <v>3.6</v>
      </c>
      <c r="S11" s="58">
        <v>2.4</v>
      </c>
      <c r="T11" s="58">
        <v>3.6</v>
      </c>
      <c r="U11" s="58">
        <v>2.4</v>
      </c>
      <c r="V11" s="58">
        <v>3.6</v>
      </c>
      <c r="W11" s="58">
        <v>2.4</v>
      </c>
      <c r="X11" s="58">
        <v>4.9000000000000004</v>
      </c>
      <c r="Y11" s="58"/>
      <c r="Z11" s="58"/>
      <c r="AA11" s="58">
        <v>5</v>
      </c>
      <c r="AB11" s="58">
        <v>10</v>
      </c>
      <c r="AC11" s="58" t="s">
        <v>48</v>
      </c>
      <c r="AD11" s="58">
        <v>40</v>
      </c>
      <c r="AE11" s="58"/>
      <c r="AF11" s="58"/>
      <c r="AG11" s="48" t="s">
        <v>26</v>
      </c>
      <c r="AH11" s="2"/>
      <c r="AI11" s="2"/>
      <c r="AJ11" s="2"/>
    </row>
    <row r="12" spans="1:36" ht="26.25" customHeight="1" thickBot="1" x14ac:dyDescent="0.3">
      <c r="A12" s="114"/>
      <c r="B12" s="6" t="s">
        <v>27</v>
      </c>
      <c r="C12" s="7" t="s">
        <v>28</v>
      </c>
      <c r="D12" s="94">
        <v>35245</v>
      </c>
      <c r="E12" s="94"/>
      <c r="F12" s="94">
        <v>11082</v>
      </c>
      <c r="G12" s="94"/>
      <c r="H12" s="94">
        <v>21810</v>
      </c>
      <c r="I12" s="94"/>
      <c r="J12" s="94">
        <v>17362</v>
      </c>
      <c r="K12" s="94"/>
      <c r="L12" s="94">
        <v>18389</v>
      </c>
      <c r="M12" s="94"/>
      <c r="N12" s="94">
        <v>21811</v>
      </c>
      <c r="O12" s="95"/>
      <c r="P12" s="8">
        <v>10128</v>
      </c>
      <c r="Q12" s="59">
        <v>10962</v>
      </c>
      <c r="R12" s="59">
        <v>15427</v>
      </c>
      <c r="S12" s="59">
        <v>16623</v>
      </c>
      <c r="T12" s="59">
        <v>16967</v>
      </c>
      <c r="U12" s="59">
        <v>28230</v>
      </c>
      <c r="V12" s="59">
        <v>10966</v>
      </c>
      <c r="W12" s="59">
        <v>10965</v>
      </c>
      <c r="X12" s="59">
        <v>21809</v>
      </c>
      <c r="Y12" s="59">
        <v>11966</v>
      </c>
      <c r="Z12" s="59">
        <v>11089</v>
      </c>
      <c r="AA12" s="59">
        <v>10960</v>
      </c>
      <c r="AB12" s="59">
        <v>10961</v>
      </c>
      <c r="AC12" s="59">
        <v>33442</v>
      </c>
      <c r="AD12" s="59">
        <v>10959</v>
      </c>
      <c r="AE12" s="59">
        <v>12487</v>
      </c>
      <c r="AF12" s="59">
        <v>16823</v>
      </c>
      <c r="AG12" s="60">
        <v>11342</v>
      </c>
      <c r="AH12" s="2"/>
      <c r="AI12" s="2"/>
      <c r="AJ12" s="2"/>
    </row>
    <row r="13" spans="1:36" ht="26.25" customHeight="1" thickBot="1" x14ac:dyDescent="0.3">
      <c r="A13" s="115"/>
      <c r="B13" s="9"/>
      <c r="C13" s="10"/>
      <c r="D13" s="61" t="s">
        <v>29</v>
      </c>
      <c r="E13" s="61" t="s">
        <v>30</v>
      </c>
      <c r="F13" s="61" t="s">
        <v>29</v>
      </c>
      <c r="G13" s="61" t="s">
        <v>30</v>
      </c>
      <c r="H13" s="61" t="s">
        <v>29</v>
      </c>
      <c r="I13" s="61" t="s">
        <v>30</v>
      </c>
      <c r="J13" s="61" t="s">
        <v>29</v>
      </c>
      <c r="K13" s="61" t="s">
        <v>30</v>
      </c>
      <c r="L13" s="61" t="s">
        <v>29</v>
      </c>
      <c r="M13" s="61" t="s">
        <v>30</v>
      </c>
      <c r="N13" s="61" t="s">
        <v>29</v>
      </c>
      <c r="O13" s="11" t="s">
        <v>30</v>
      </c>
      <c r="P13" s="12" t="s">
        <v>30</v>
      </c>
      <c r="Q13" s="61" t="s">
        <v>29</v>
      </c>
      <c r="R13" s="61" t="s">
        <v>29</v>
      </c>
      <c r="S13" s="61" t="s">
        <v>29</v>
      </c>
      <c r="T13" s="61" t="s">
        <v>29</v>
      </c>
      <c r="U13" s="61" t="s">
        <v>29</v>
      </c>
      <c r="V13" s="61" t="s">
        <v>29</v>
      </c>
      <c r="W13" s="61" t="s">
        <v>29</v>
      </c>
      <c r="X13" s="61" t="s">
        <v>29</v>
      </c>
      <c r="Y13" s="61" t="s">
        <v>29</v>
      </c>
      <c r="Z13" s="61" t="s">
        <v>29</v>
      </c>
      <c r="AA13" s="61" t="s">
        <v>31</v>
      </c>
      <c r="AB13" s="61" t="s">
        <v>31</v>
      </c>
      <c r="AC13" s="61" t="s">
        <v>31</v>
      </c>
      <c r="AD13" s="61" t="s">
        <v>31</v>
      </c>
      <c r="AE13" s="61" t="s">
        <v>31</v>
      </c>
      <c r="AF13" s="61" t="s">
        <v>31</v>
      </c>
      <c r="AG13" s="11" t="s">
        <v>29</v>
      </c>
      <c r="AH13" s="2"/>
      <c r="AI13" s="2"/>
      <c r="AJ13" s="2"/>
    </row>
    <row r="14" spans="1:36" s="16" customFormat="1" ht="40.5" x14ac:dyDescent="0.3">
      <c r="A14" s="13" t="s">
        <v>55</v>
      </c>
      <c r="B14" s="14">
        <v>0</v>
      </c>
      <c r="C14" s="14">
        <v>0</v>
      </c>
      <c r="D14" s="14">
        <f>'JANUARY 2026'!D18</f>
        <v>57029</v>
      </c>
      <c r="E14" s="65">
        <f>'JANUARY 2026'!E18</f>
        <v>7128.625</v>
      </c>
      <c r="F14" s="14">
        <f>'JANUARY 2026'!F18</f>
        <v>121623</v>
      </c>
      <c r="G14" s="64">
        <f>'JANUARY 2026'!G18</f>
        <v>8689.3023255813969</v>
      </c>
      <c r="H14" s="14">
        <f>'JANUARY 2026'!H18</f>
        <v>0</v>
      </c>
      <c r="I14" s="14">
        <f>'JANUARY 2026'!I18</f>
        <v>0</v>
      </c>
      <c r="J14" s="14">
        <f>'JANUARY 2026'!J18</f>
        <v>0</v>
      </c>
      <c r="K14" s="14">
        <f>'JANUARY 2026'!K18</f>
        <v>0</v>
      </c>
      <c r="L14" s="14">
        <f>'JANUARY 2026'!L18</f>
        <v>0</v>
      </c>
      <c r="M14" s="14">
        <f>'JANUARY 2026'!M18</f>
        <v>0</v>
      </c>
      <c r="N14" s="14">
        <f>'JANUARY 2026'!N18</f>
        <v>0</v>
      </c>
      <c r="O14" s="14">
        <f>'JANUARY 2026'!O18</f>
        <v>0</v>
      </c>
      <c r="P14" s="64">
        <f>'JANUARY 2026'!P18</f>
        <v>69483.090000000026</v>
      </c>
      <c r="Q14" s="14">
        <f>'JANUARY 2026'!Q18</f>
        <v>264</v>
      </c>
      <c r="R14" s="14">
        <f>'JANUARY 2026'!R18</f>
        <v>847</v>
      </c>
      <c r="S14" s="14">
        <f>'JANUARY 2026'!S18</f>
        <v>16364</v>
      </c>
      <c r="T14" s="14">
        <f>'JANUARY 2026'!T18</f>
        <v>0</v>
      </c>
      <c r="U14" s="14">
        <f>'JANUARY 2026'!U18</f>
        <v>0</v>
      </c>
      <c r="V14" s="14">
        <f>'JANUARY 2026'!V18</f>
        <v>11669</v>
      </c>
      <c r="W14" s="14">
        <f>'JANUARY 2026'!W18</f>
        <v>76697</v>
      </c>
      <c r="X14" s="14">
        <f>'JANUARY 2026'!X18</f>
        <v>646</v>
      </c>
      <c r="Y14" s="14">
        <f>'JANUARY 2026'!Y18</f>
        <v>12506</v>
      </c>
      <c r="Z14" s="14">
        <f>'JANUARY 2026'!Z18</f>
        <v>204</v>
      </c>
      <c r="AA14" s="14">
        <f>'JANUARY 2026'!AA18</f>
        <v>31598</v>
      </c>
      <c r="AB14" s="14">
        <f>'JANUARY 2026'!AB18</f>
        <v>1532</v>
      </c>
      <c r="AC14" s="14">
        <f>'JANUARY 2026'!AC18</f>
        <v>797</v>
      </c>
      <c r="AD14" s="14">
        <f>'JANUARY 2026'!AD18</f>
        <v>1060</v>
      </c>
      <c r="AE14" s="64">
        <f>'JANUARY 2026'!AE18</f>
        <v>28179.579999999994</v>
      </c>
      <c r="AF14" s="14">
        <f>'JANUARY 2026'!AF18</f>
        <v>2135</v>
      </c>
      <c r="AG14" s="14">
        <f>'JANUARY 2026'!AG18</f>
        <v>276</v>
      </c>
      <c r="AH14" s="15"/>
      <c r="AI14" s="15"/>
      <c r="AJ14" s="15"/>
    </row>
    <row r="15" spans="1:36" s="16" customFormat="1" ht="50.1" customHeight="1" x14ac:dyDescent="0.3">
      <c r="A15" s="13" t="s">
        <v>32</v>
      </c>
      <c r="B15" s="17"/>
      <c r="C15" s="17"/>
      <c r="D15" s="18">
        <v>35000</v>
      </c>
      <c r="E15" s="66">
        <f>D15/200*25</f>
        <v>4375</v>
      </c>
      <c r="F15" s="18">
        <v>37625</v>
      </c>
      <c r="G15" s="46">
        <f>F15/215*25</f>
        <v>4375</v>
      </c>
      <c r="H15" s="18">
        <v>0</v>
      </c>
      <c r="I15" s="18">
        <f>H15/135*25</f>
        <v>0</v>
      </c>
      <c r="J15" s="18"/>
      <c r="K15" s="18"/>
      <c r="L15" s="18"/>
      <c r="M15" s="18"/>
      <c r="N15" s="18">
        <v>0</v>
      </c>
      <c r="O15" s="18">
        <f>N15/38*25</f>
        <v>0</v>
      </c>
      <c r="P15" s="18">
        <v>30000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32250</v>
      </c>
      <c r="X15" s="18"/>
      <c r="Y15" s="18">
        <v>4000</v>
      </c>
      <c r="Z15" s="18">
        <v>160</v>
      </c>
      <c r="AA15" s="18">
        <v>14400</v>
      </c>
      <c r="AB15" s="18"/>
      <c r="AC15" s="18"/>
      <c r="AD15" s="18"/>
      <c r="AE15" s="18">
        <v>15000</v>
      </c>
      <c r="AF15" s="18">
        <v>600</v>
      </c>
      <c r="AG15" s="19"/>
      <c r="AH15" s="15"/>
      <c r="AI15" s="15"/>
      <c r="AJ15" s="15"/>
    </row>
    <row r="16" spans="1:36" s="16" customFormat="1" ht="50.1" customHeight="1" x14ac:dyDescent="0.3">
      <c r="A16" s="20" t="s">
        <v>33</v>
      </c>
      <c r="B16" s="17">
        <f t="shared" ref="B16:N16" si="0">B14+B15</f>
        <v>0</v>
      </c>
      <c r="C16" s="17">
        <f t="shared" si="0"/>
        <v>0</v>
      </c>
      <c r="D16" s="18">
        <f t="shared" si="0"/>
        <v>92029</v>
      </c>
      <c r="E16" s="46">
        <f>E14+E15</f>
        <v>11503.625</v>
      </c>
      <c r="F16" s="18">
        <f t="shared" si="0"/>
        <v>159248</v>
      </c>
      <c r="G16" s="46">
        <f t="shared" si="0"/>
        <v>13064.302325581397</v>
      </c>
      <c r="H16" s="18">
        <f t="shared" si="0"/>
        <v>0</v>
      </c>
      <c r="I16" s="46">
        <f t="shared" si="0"/>
        <v>0</v>
      </c>
      <c r="J16" s="46">
        <f t="shared" si="0"/>
        <v>0</v>
      </c>
      <c r="K16" s="46">
        <f t="shared" si="0"/>
        <v>0</v>
      </c>
      <c r="L16" s="46">
        <f t="shared" si="0"/>
        <v>0</v>
      </c>
      <c r="M16" s="46">
        <f t="shared" si="0"/>
        <v>0</v>
      </c>
      <c r="N16" s="18">
        <f t="shared" si="0"/>
        <v>0</v>
      </c>
      <c r="O16" s="46">
        <f>N16/38*25</f>
        <v>0</v>
      </c>
      <c r="P16" s="46">
        <f t="shared" ref="P16:AG16" si="1">P14+P15</f>
        <v>99483.090000000026</v>
      </c>
      <c r="Q16" s="18">
        <f t="shared" si="1"/>
        <v>264</v>
      </c>
      <c r="R16" s="18">
        <f t="shared" si="1"/>
        <v>847</v>
      </c>
      <c r="S16" s="18">
        <f t="shared" si="1"/>
        <v>16364</v>
      </c>
      <c r="T16" s="18">
        <f t="shared" si="1"/>
        <v>0</v>
      </c>
      <c r="U16" s="18">
        <f t="shared" si="1"/>
        <v>0</v>
      </c>
      <c r="V16" s="18">
        <f t="shared" si="1"/>
        <v>11669</v>
      </c>
      <c r="W16" s="18">
        <f t="shared" si="1"/>
        <v>108947</v>
      </c>
      <c r="X16" s="18">
        <f t="shared" si="1"/>
        <v>646</v>
      </c>
      <c r="Y16" s="18">
        <f t="shared" si="1"/>
        <v>16506</v>
      </c>
      <c r="Z16" s="18">
        <f t="shared" si="1"/>
        <v>364</v>
      </c>
      <c r="AA16" s="18">
        <f t="shared" si="1"/>
        <v>45998</v>
      </c>
      <c r="AB16" s="18">
        <f t="shared" si="1"/>
        <v>1532</v>
      </c>
      <c r="AC16" s="18">
        <f t="shared" si="1"/>
        <v>797</v>
      </c>
      <c r="AD16" s="18">
        <f t="shared" si="1"/>
        <v>1060</v>
      </c>
      <c r="AE16" s="46">
        <f t="shared" si="1"/>
        <v>43179.579999999994</v>
      </c>
      <c r="AF16" s="18">
        <f t="shared" si="1"/>
        <v>2735</v>
      </c>
      <c r="AG16" s="19">
        <f t="shared" si="1"/>
        <v>276</v>
      </c>
      <c r="AH16" s="15"/>
      <c r="AI16" s="15"/>
      <c r="AJ16" s="15"/>
    </row>
    <row r="17" spans="1:37" s="16" customFormat="1" ht="50.1" customHeight="1" x14ac:dyDescent="0.3">
      <c r="A17" s="20" t="s">
        <v>34</v>
      </c>
      <c r="B17" s="17">
        <v>0</v>
      </c>
      <c r="C17" s="17">
        <f>B17/208*25</f>
        <v>0</v>
      </c>
      <c r="D17" s="18">
        <v>41302</v>
      </c>
      <c r="E17" s="46">
        <f>D17/200*25</f>
        <v>5162.75</v>
      </c>
      <c r="F17" s="18">
        <v>40650</v>
      </c>
      <c r="G17" s="46">
        <f>F17/215*25</f>
        <v>4726.7441860465124</v>
      </c>
      <c r="H17" s="18">
        <v>0</v>
      </c>
      <c r="I17" s="46">
        <f>H17/135*25</f>
        <v>0</v>
      </c>
      <c r="J17" s="18"/>
      <c r="K17" s="18">
        <f>J17/150*25</f>
        <v>0</v>
      </c>
      <c r="L17" s="18"/>
      <c r="M17" s="18">
        <f>L17/150*25</f>
        <v>0</v>
      </c>
      <c r="N17" s="18">
        <v>0</v>
      </c>
      <c r="O17" s="46">
        <f>N17/38*25</f>
        <v>0</v>
      </c>
      <c r="P17" s="46">
        <v>29541.5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587</v>
      </c>
      <c r="W17" s="18">
        <v>39878</v>
      </c>
      <c r="X17" s="18">
        <v>0</v>
      </c>
      <c r="Y17" s="18">
        <v>4650</v>
      </c>
      <c r="Z17" s="18">
        <v>158</v>
      </c>
      <c r="AA17" s="18">
        <v>18862</v>
      </c>
      <c r="AB17" s="18">
        <v>20</v>
      </c>
      <c r="AC17" s="18">
        <v>797</v>
      </c>
      <c r="AD17" s="18">
        <v>0</v>
      </c>
      <c r="AE17" s="46">
        <f>Y17*2.43</f>
        <v>11299.5</v>
      </c>
      <c r="AF17" s="18">
        <v>340</v>
      </c>
      <c r="AG17" s="19">
        <v>1</v>
      </c>
      <c r="AH17" s="15"/>
      <c r="AI17" s="15"/>
      <c r="AJ17" s="15"/>
    </row>
    <row r="18" spans="1:37" s="16" customFormat="1" ht="50.1" customHeight="1" thickBot="1" x14ac:dyDescent="0.35">
      <c r="A18" s="21" t="s">
        <v>56</v>
      </c>
      <c r="B18" s="22">
        <f t="shared" ref="B18:AG18" si="2">B16-B17</f>
        <v>0</v>
      </c>
      <c r="C18" s="22">
        <f t="shared" si="2"/>
        <v>0</v>
      </c>
      <c r="D18" s="23">
        <f t="shared" si="2"/>
        <v>50727</v>
      </c>
      <c r="E18" s="24">
        <f t="shared" si="2"/>
        <v>6340.875</v>
      </c>
      <c r="F18" s="23">
        <f t="shared" si="2"/>
        <v>118598</v>
      </c>
      <c r="G18" s="24">
        <f t="shared" si="2"/>
        <v>8337.5581395348854</v>
      </c>
      <c r="H18" s="23">
        <f t="shared" si="2"/>
        <v>0</v>
      </c>
      <c r="I18" s="23">
        <f t="shared" si="2"/>
        <v>0</v>
      </c>
      <c r="J18" s="23">
        <f t="shared" si="2"/>
        <v>0</v>
      </c>
      <c r="K18" s="23">
        <f t="shared" si="2"/>
        <v>0</v>
      </c>
      <c r="L18" s="23">
        <f t="shared" si="2"/>
        <v>0</v>
      </c>
      <c r="M18" s="23">
        <f t="shared" si="2"/>
        <v>0</v>
      </c>
      <c r="N18" s="23">
        <f t="shared" si="2"/>
        <v>0</v>
      </c>
      <c r="O18" s="23">
        <f t="shared" si="2"/>
        <v>0</v>
      </c>
      <c r="P18" s="24">
        <f>P16-P17</f>
        <v>69941.590000000026</v>
      </c>
      <c r="Q18" s="23">
        <f t="shared" si="2"/>
        <v>264</v>
      </c>
      <c r="R18" s="23">
        <f t="shared" si="2"/>
        <v>847</v>
      </c>
      <c r="S18" s="23">
        <f t="shared" si="2"/>
        <v>16364</v>
      </c>
      <c r="T18" s="23">
        <f t="shared" si="2"/>
        <v>0</v>
      </c>
      <c r="U18" s="23">
        <f t="shared" si="2"/>
        <v>0</v>
      </c>
      <c r="V18" s="23">
        <f t="shared" si="2"/>
        <v>11082</v>
      </c>
      <c r="W18" s="23">
        <f t="shared" si="2"/>
        <v>69069</v>
      </c>
      <c r="X18" s="23">
        <f t="shared" si="2"/>
        <v>646</v>
      </c>
      <c r="Y18" s="23">
        <f t="shared" si="2"/>
        <v>11856</v>
      </c>
      <c r="Z18" s="23">
        <f t="shared" si="2"/>
        <v>206</v>
      </c>
      <c r="AA18" s="23">
        <f t="shared" si="2"/>
        <v>27136</v>
      </c>
      <c r="AB18" s="23">
        <f t="shared" si="2"/>
        <v>1512</v>
      </c>
      <c r="AC18" s="23">
        <f t="shared" si="2"/>
        <v>0</v>
      </c>
      <c r="AD18" s="23">
        <f t="shared" si="2"/>
        <v>1060</v>
      </c>
      <c r="AE18" s="24">
        <f t="shared" si="2"/>
        <v>31880.079999999994</v>
      </c>
      <c r="AF18" s="23">
        <f t="shared" si="2"/>
        <v>2395</v>
      </c>
      <c r="AG18" s="25">
        <f t="shared" si="2"/>
        <v>275</v>
      </c>
      <c r="AH18" s="15"/>
      <c r="AI18" s="15"/>
      <c r="AJ18" s="15"/>
    </row>
    <row r="19" spans="1:37" s="27" customFormat="1" ht="30" customHeight="1" x14ac:dyDescent="0.25">
      <c r="A19" s="4"/>
      <c r="B19" s="1"/>
      <c r="C19" s="1"/>
      <c r="D19" s="1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6"/>
      <c r="R19" s="26"/>
      <c r="S19" s="1"/>
      <c r="T19" s="1"/>
      <c r="U19" s="1"/>
      <c r="V19" s="26"/>
      <c r="W19" s="26"/>
      <c r="X19" s="26"/>
      <c r="Y19" s="1"/>
      <c r="Z19" s="1"/>
      <c r="AA19" s="1"/>
      <c r="AB19" s="1"/>
      <c r="AC19" s="1"/>
      <c r="AD19" s="1"/>
      <c r="AE19" s="1"/>
      <c r="AF19" s="1"/>
      <c r="AG19" s="26"/>
      <c r="AH19" s="2"/>
      <c r="AI19" s="2"/>
      <c r="AJ19" s="2"/>
    </row>
    <row r="20" spans="1:37" s="28" customFormat="1" ht="23.25" x14ac:dyDescent="0.35">
      <c r="A20" s="28" t="s">
        <v>35</v>
      </c>
      <c r="B20" s="29"/>
      <c r="E20" s="28" t="s">
        <v>36</v>
      </c>
      <c r="J20" s="28" t="s">
        <v>37</v>
      </c>
      <c r="S20" s="28" t="s">
        <v>37</v>
      </c>
      <c r="Z20" s="28" t="s">
        <v>38</v>
      </c>
      <c r="AJ20" s="30"/>
      <c r="AK20" s="30"/>
    </row>
    <row r="21" spans="1:37" s="28" customFormat="1" ht="23.25" x14ac:dyDescent="0.35">
      <c r="B21" s="29"/>
      <c r="E21" s="29"/>
      <c r="AD21" s="29"/>
      <c r="AJ21" s="29"/>
      <c r="AK21" s="29"/>
    </row>
    <row r="22" spans="1:37" s="28" customFormat="1" ht="21" customHeight="1" x14ac:dyDescent="0.35">
      <c r="A22" s="29"/>
      <c r="B22" s="29"/>
      <c r="E22" s="29"/>
      <c r="AD22" s="29"/>
    </row>
    <row r="23" spans="1:37" s="33" customFormat="1" ht="23.25" x14ac:dyDescent="0.35">
      <c r="A23" s="31" t="s">
        <v>39</v>
      </c>
      <c r="B23" s="29"/>
      <c r="C23" s="28"/>
      <c r="E23" s="32" t="s">
        <v>40</v>
      </c>
      <c r="H23" s="28"/>
      <c r="I23" s="28"/>
      <c r="J23" s="32" t="s">
        <v>41</v>
      </c>
      <c r="K23" s="28"/>
      <c r="L23" s="28"/>
      <c r="M23" s="28"/>
      <c r="S23" s="32" t="s">
        <v>42</v>
      </c>
      <c r="Z23" s="32" t="s">
        <v>43</v>
      </c>
      <c r="AH23" s="34"/>
      <c r="AI23" s="35"/>
      <c r="AJ23" s="34"/>
      <c r="AK23" s="34"/>
    </row>
    <row r="24" spans="1:37" s="33" customFormat="1" ht="23.25" x14ac:dyDescent="0.35">
      <c r="A24" s="28" t="s">
        <v>47</v>
      </c>
      <c r="B24" s="28"/>
      <c r="C24" s="28"/>
      <c r="E24" s="28" t="s">
        <v>44</v>
      </c>
      <c r="H24" s="28"/>
      <c r="I24" s="28"/>
      <c r="J24" s="28" t="s">
        <v>45</v>
      </c>
      <c r="K24" s="28"/>
      <c r="L24" s="28"/>
      <c r="M24" s="28"/>
      <c r="S24" s="28" t="s">
        <v>46</v>
      </c>
      <c r="Z24" s="30" t="s">
        <v>50</v>
      </c>
      <c r="AI24" s="36"/>
      <c r="AJ24" s="36"/>
      <c r="AK24" s="36"/>
    </row>
    <row r="25" spans="1:37" s="37" customFormat="1" ht="23.25" x14ac:dyDescent="0.35">
      <c r="W25" s="28"/>
    </row>
    <row r="26" spans="1:37" s="28" customFormat="1" ht="23.25" x14ac:dyDescent="0.35">
      <c r="AI26" s="30"/>
      <c r="AJ26" s="30"/>
    </row>
    <row r="27" spans="1:37" s="33" customFormat="1" ht="20.25" x14ac:dyDescent="0.3">
      <c r="Z27" s="36"/>
      <c r="AF27" s="36"/>
    </row>
    <row r="28" spans="1:37" s="27" customFormat="1" x14ac:dyDescent="0.25">
      <c r="P28" s="38"/>
      <c r="Q28" s="38"/>
      <c r="R28" s="38"/>
      <c r="Y28" s="38"/>
      <c r="AE28" s="38"/>
      <c r="AG28" s="38"/>
    </row>
    <row r="29" spans="1:37" s="27" customFormat="1" x14ac:dyDescent="0.25">
      <c r="A29" s="39"/>
      <c r="B29" s="39"/>
      <c r="C29" s="39"/>
      <c r="Z29" s="1"/>
      <c r="AD29" s="1"/>
      <c r="AF29" s="1"/>
      <c r="AH29" s="2"/>
      <c r="AI29" s="2"/>
      <c r="AJ29" s="2"/>
    </row>
    <row r="30" spans="1:37" s="27" customForma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1"/>
      <c r="AA30" s="38"/>
      <c r="AB30" s="38"/>
      <c r="AC30" s="38"/>
      <c r="AD30" s="1"/>
      <c r="AE30" s="38"/>
      <c r="AF30" s="1"/>
      <c r="AG30" s="38"/>
      <c r="AH30" s="2"/>
      <c r="AI30" s="2"/>
      <c r="AJ30" s="2"/>
    </row>
    <row r="31" spans="1:37" s="27" customForma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/>
      <c r="Q31" s="39"/>
      <c r="R31" s="39"/>
      <c r="S31" s="38"/>
      <c r="T31" s="38"/>
      <c r="U31" s="38"/>
      <c r="V31" s="39"/>
      <c r="W31" s="39"/>
      <c r="X31" s="39"/>
      <c r="Z31" s="1"/>
      <c r="AA31" s="38"/>
      <c r="AB31" s="38"/>
      <c r="AC31" s="38"/>
      <c r="AD31" s="1"/>
      <c r="AE31" s="39"/>
      <c r="AF31" s="1"/>
      <c r="AH31" s="2"/>
      <c r="AI31" s="2"/>
      <c r="AJ31" s="2"/>
    </row>
    <row r="32" spans="1:37" s="27" customFormat="1" x14ac:dyDescent="0.25"/>
    <row r="33" spans="1:32" s="27" customFormat="1" x14ac:dyDescent="0.25"/>
    <row r="34" spans="1:32" s="27" customFormat="1" x14ac:dyDescent="0.25"/>
    <row r="35" spans="1:32" s="27" customFormat="1" x14ac:dyDescent="0.25"/>
    <row r="36" spans="1:32" s="27" customFormat="1" x14ac:dyDescent="0.25"/>
    <row r="37" spans="1:32" s="27" customFormat="1" x14ac:dyDescent="0.25"/>
    <row r="46" spans="1:32" ht="17.25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57"/>
      <c r="AF46" s="57"/>
    </row>
    <row r="47" spans="1:32" x14ac:dyDescent="0.25">
      <c r="A47" s="38"/>
    </row>
  </sheetData>
  <mergeCells count="47">
    <mergeCell ref="B8:C8"/>
    <mergeCell ref="Y8:Z8"/>
    <mergeCell ref="A1:AF1"/>
    <mergeCell ref="A2:AF2"/>
    <mergeCell ref="A4:AF4"/>
    <mergeCell ref="A5:AF5"/>
    <mergeCell ref="A7:A13"/>
    <mergeCell ref="B7:C7"/>
    <mergeCell ref="D7:E8"/>
    <mergeCell ref="F7:O8"/>
    <mergeCell ref="Q7:U8"/>
    <mergeCell ref="V7:X8"/>
    <mergeCell ref="Y7:Z7"/>
    <mergeCell ref="AA7:AA8"/>
    <mergeCell ref="AB7:AB8"/>
    <mergeCell ref="AC7:AD8"/>
    <mergeCell ref="AF7:AG8"/>
    <mergeCell ref="AA10:AD10"/>
    <mergeCell ref="B9:C9"/>
    <mergeCell ref="D9:O9"/>
    <mergeCell ref="P9:P11"/>
    <mergeCell ref="Q9:Z9"/>
    <mergeCell ref="AA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V10:X10"/>
    <mergeCell ref="A46:AD46"/>
    <mergeCell ref="N11:O11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</mergeCells>
  <pageMargins left="0.31496062992126" right="0.196850393700787" top="0.66929133858267698" bottom="0.35433070866141703" header="0.31496062992126" footer="0.31496062992126"/>
  <pageSetup paperSize="14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opLeftCell="A4" zoomScale="89" zoomScaleNormal="89" workbookViewId="0">
      <selection activeCell="S24" sqref="S24"/>
    </sheetView>
  </sheetViews>
  <sheetFormatPr defaultRowHeight="16.5" x14ac:dyDescent="0.25"/>
  <cols>
    <col min="1" max="1" width="51" style="3" customWidth="1"/>
    <col min="2" max="2" width="6.42578125" style="3" hidden="1" customWidth="1"/>
    <col min="3" max="3" width="0.5703125" style="3" hidden="1" customWidth="1"/>
    <col min="4" max="4" width="12.42578125" style="3" customWidth="1"/>
    <col min="5" max="5" width="14.7109375" style="3" customWidth="1"/>
    <col min="6" max="6" width="12.7109375" style="3" customWidth="1"/>
    <col min="7" max="7" width="15" style="3" customWidth="1"/>
    <col min="8" max="8" width="12" style="3" hidden="1" customWidth="1"/>
    <col min="9" max="9" width="12.42578125" style="3" hidden="1" customWidth="1"/>
    <col min="10" max="10" width="6.7109375" style="3" hidden="1" customWidth="1"/>
    <col min="11" max="11" width="9.28515625" style="3" hidden="1" customWidth="1"/>
    <col min="12" max="12" width="7.140625" style="3" hidden="1" customWidth="1"/>
    <col min="13" max="13" width="5.140625" style="3" hidden="1" customWidth="1"/>
    <col min="14" max="14" width="7.5703125" style="3" hidden="1" customWidth="1"/>
    <col min="15" max="15" width="11.5703125" style="3" hidden="1" customWidth="1"/>
    <col min="16" max="16" width="17.7109375" style="3" customWidth="1"/>
    <col min="17" max="17" width="8.42578125" style="3" customWidth="1"/>
    <col min="18" max="18" width="8.5703125" style="3" customWidth="1"/>
    <col min="19" max="19" width="11.7109375" style="3" customWidth="1"/>
    <col min="20" max="20" width="8.28515625" style="3" customWidth="1"/>
    <col min="21" max="21" width="11" style="3" hidden="1" customWidth="1"/>
    <col min="22" max="22" width="10.28515625" style="3" customWidth="1"/>
    <col min="23" max="23" width="12" style="3" customWidth="1"/>
    <col min="24" max="24" width="9.7109375" style="3" customWidth="1"/>
    <col min="25" max="25" width="11.28515625" style="3" customWidth="1"/>
    <col min="26" max="26" width="8.7109375" style="3" bestFit="1" customWidth="1"/>
    <col min="27" max="28" width="11.140625" style="3" customWidth="1"/>
    <col min="29" max="29" width="9.5703125" style="3" bestFit="1" customWidth="1"/>
    <col min="30" max="30" width="9.42578125" style="3" customWidth="1"/>
    <col min="31" max="31" width="15" style="3" customWidth="1"/>
    <col min="32" max="32" width="13.28515625" style="3" customWidth="1"/>
    <col min="33" max="33" width="12" style="3" customWidth="1"/>
    <col min="34" max="16384" width="9.140625" style="3"/>
  </cols>
  <sheetData>
    <row r="1" spans="1:36" s="42" customFormat="1" ht="26.25" x14ac:dyDescent="0.4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40"/>
      <c r="AH1" s="41"/>
      <c r="AI1" s="41"/>
      <c r="AJ1" s="41"/>
    </row>
    <row r="2" spans="1:36" s="43" customFormat="1" ht="25.5" x14ac:dyDescent="0.3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40"/>
      <c r="AH2" s="40"/>
      <c r="AI2" s="40"/>
      <c r="AJ2" s="40"/>
    </row>
    <row r="3" spans="1:36" s="42" customFormat="1" ht="26.25" x14ac:dyDescent="0.4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44"/>
      <c r="AH3" s="41"/>
      <c r="AI3" s="41"/>
      <c r="AJ3" s="41"/>
    </row>
    <row r="4" spans="1:36" s="42" customFormat="1" ht="26.25" x14ac:dyDescent="0.4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40"/>
      <c r="AH4" s="41"/>
      <c r="AI4" s="41"/>
      <c r="AJ4" s="41"/>
    </row>
    <row r="5" spans="1:36" s="42" customFormat="1" ht="26.25" x14ac:dyDescent="0.4">
      <c r="A5" s="112" t="s">
        <v>57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40"/>
      <c r="AH5" s="41"/>
      <c r="AI5" s="41"/>
      <c r="AJ5" s="41"/>
    </row>
    <row r="6" spans="1:36" s="42" customFormat="1" ht="27" thickBot="1" x14ac:dyDescent="0.4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1"/>
      <c r="AI6" s="41"/>
      <c r="AJ6" s="41"/>
    </row>
    <row r="7" spans="1:36" ht="25.5" customHeight="1" thickBot="1" x14ac:dyDescent="0.3">
      <c r="A7" s="113" t="s">
        <v>3</v>
      </c>
      <c r="B7" s="110" t="s">
        <v>4</v>
      </c>
      <c r="C7" s="110"/>
      <c r="D7" s="116" t="s">
        <v>7</v>
      </c>
      <c r="E7" s="117"/>
      <c r="F7" s="120" t="s">
        <v>6</v>
      </c>
      <c r="G7" s="116"/>
      <c r="H7" s="116"/>
      <c r="I7" s="116"/>
      <c r="J7" s="116"/>
      <c r="K7" s="116"/>
      <c r="L7" s="116"/>
      <c r="M7" s="116"/>
      <c r="N7" s="116"/>
      <c r="O7" s="121"/>
      <c r="P7" s="69" t="s">
        <v>7</v>
      </c>
      <c r="Q7" s="124" t="s">
        <v>5</v>
      </c>
      <c r="R7" s="116"/>
      <c r="S7" s="116"/>
      <c r="T7" s="116"/>
      <c r="U7" s="121"/>
      <c r="V7" s="124" t="s">
        <v>6</v>
      </c>
      <c r="W7" s="116"/>
      <c r="X7" s="121"/>
      <c r="Y7" s="126" t="s">
        <v>7</v>
      </c>
      <c r="Z7" s="126"/>
      <c r="AA7" s="127" t="s">
        <v>6</v>
      </c>
      <c r="AB7" s="129" t="s">
        <v>5</v>
      </c>
      <c r="AC7" s="97" t="s">
        <v>6</v>
      </c>
      <c r="AD7" s="131"/>
      <c r="AE7" s="69" t="s">
        <v>7</v>
      </c>
      <c r="AF7" s="97" t="s">
        <v>6</v>
      </c>
      <c r="AG7" s="98"/>
      <c r="AH7" s="2"/>
      <c r="AI7" s="2"/>
      <c r="AJ7" s="2"/>
    </row>
    <row r="8" spans="1:36" ht="35.25" customHeight="1" thickBot="1" x14ac:dyDescent="0.3">
      <c r="A8" s="114"/>
      <c r="B8" s="110" t="s">
        <v>8</v>
      </c>
      <c r="C8" s="110"/>
      <c r="D8" s="118"/>
      <c r="E8" s="119"/>
      <c r="F8" s="122"/>
      <c r="G8" s="118"/>
      <c r="H8" s="118"/>
      <c r="I8" s="118"/>
      <c r="J8" s="118"/>
      <c r="K8" s="118"/>
      <c r="L8" s="118"/>
      <c r="M8" s="118"/>
      <c r="N8" s="118"/>
      <c r="O8" s="123"/>
      <c r="P8" s="45" t="s">
        <v>6</v>
      </c>
      <c r="Q8" s="125"/>
      <c r="R8" s="118"/>
      <c r="S8" s="118"/>
      <c r="T8" s="118"/>
      <c r="U8" s="123"/>
      <c r="V8" s="125"/>
      <c r="W8" s="118"/>
      <c r="X8" s="123"/>
      <c r="Y8" s="111" t="s">
        <v>6</v>
      </c>
      <c r="Z8" s="111"/>
      <c r="AA8" s="128"/>
      <c r="AB8" s="130"/>
      <c r="AC8" s="99"/>
      <c r="AD8" s="132"/>
      <c r="AE8" s="67" t="s">
        <v>6</v>
      </c>
      <c r="AF8" s="99"/>
      <c r="AG8" s="100"/>
      <c r="AH8" s="2"/>
      <c r="AI8" s="2"/>
      <c r="AJ8" s="2"/>
    </row>
    <row r="9" spans="1:36" ht="26.25" customHeight="1" x14ac:dyDescent="0.25">
      <c r="A9" s="114"/>
      <c r="B9" s="101" t="s">
        <v>9</v>
      </c>
      <c r="C9" s="101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 t="s">
        <v>10</v>
      </c>
      <c r="Q9" s="104" t="s">
        <v>11</v>
      </c>
      <c r="R9" s="102"/>
      <c r="S9" s="102"/>
      <c r="T9" s="102"/>
      <c r="U9" s="102"/>
      <c r="V9" s="102"/>
      <c r="W9" s="102"/>
      <c r="X9" s="102"/>
      <c r="Y9" s="102"/>
      <c r="Z9" s="105"/>
      <c r="AA9" s="106" t="s">
        <v>12</v>
      </c>
      <c r="AB9" s="107"/>
      <c r="AC9" s="107"/>
      <c r="AD9" s="108"/>
      <c r="AE9" s="69"/>
      <c r="AF9" s="69"/>
      <c r="AG9" s="47"/>
      <c r="AH9" s="2"/>
      <c r="AI9" s="2"/>
      <c r="AJ9" s="2"/>
    </row>
    <row r="10" spans="1:36" ht="34.5" customHeight="1" x14ac:dyDescent="0.25">
      <c r="A10" s="114"/>
      <c r="B10" s="109">
        <v>11083</v>
      </c>
      <c r="C10" s="109"/>
      <c r="D10" s="93">
        <v>200</v>
      </c>
      <c r="E10" s="93"/>
      <c r="F10" s="93">
        <v>215</v>
      </c>
      <c r="G10" s="93"/>
      <c r="H10" s="93">
        <v>135</v>
      </c>
      <c r="I10" s="93"/>
      <c r="J10" s="93">
        <v>150</v>
      </c>
      <c r="K10" s="93"/>
      <c r="L10" s="93">
        <v>150</v>
      </c>
      <c r="M10" s="93"/>
      <c r="N10" s="93">
        <v>38</v>
      </c>
      <c r="O10" s="89"/>
      <c r="P10" s="103"/>
      <c r="Q10" s="93" t="s">
        <v>13</v>
      </c>
      <c r="R10" s="93"/>
      <c r="S10" s="93" t="s">
        <v>14</v>
      </c>
      <c r="T10" s="93"/>
      <c r="U10" s="5" t="s">
        <v>15</v>
      </c>
      <c r="V10" s="89" t="s">
        <v>16</v>
      </c>
      <c r="W10" s="90"/>
      <c r="X10" s="91"/>
      <c r="Y10" s="70" t="s">
        <v>17</v>
      </c>
      <c r="Z10" s="70" t="s">
        <v>18</v>
      </c>
      <c r="AA10" s="89" t="s">
        <v>19</v>
      </c>
      <c r="AB10" s="90"/>
      <c r="AC10" s="90"/>
      <c r="AD10" s="91"/>
      <c r="AE10" s="70" t="s">
        <v>20</v>
      </c>
      <c r="AF10" s="70" t="s">
        <v>21</v>
      </c>
      <c r="AG10" s="48" t="s">
        <v>22</v>
      </c>
      <c r="AH10" s="2"/>
      <c r="AI10" s="2"/>
      <c r="AJ10" s="2"/>
    </row>
    <row r="11" spans="1:36" ht="26.25" customHeight="1" x14ac:dyDescent="0.25">
      <c r="A11" s="114"/>
      <c r="B11" s="96">
        <v>208</v>
      </c>
      <c r="C11" s="96"/>
      <c r="D11" s="93" t="s">
        <v>49</v>
      </c>
      <c r="E11" s="93"/>
      <c r="F11" s="93" t="s">
        <v>24</v>
      </c>
      <c r="G11" s="93"/>
      <c r="H11" s="93" t="s">
        <v>24</v>
      </c>
      <c r="I11" s="93"/>
      <c r="J11" s="93" t="s">
        <v>23</v>
      </c>
      <c r="K11" s="93"/>
      <c r="L11" s="93" t="s">
        <v>25</v>
      </c>
      <c r="M11" s="93"/>
      <c r="N11" s="93" t="s">
        <v>24</v>
      </c>
      <c r="O11" s="89"/>
      <c r="P11" s="103"/>
      <c r="Q11" s="70">
        <v>2.4</v>
      </c>
      <c r="R11" s="70">
        <v>3.6</v>
      </c>
      <c r="S11" s="70">
        <v>2.4</v>
      </c>
      <c r="T11" s="70">
        <v>3.6</v>
      </c>
      <c r="U11" s="70">
        <v>2.4</v>
      </c>
      <c r="V11" s="70">
        <v>3.6</v>
      </c>
      <c r="W11" s="70">
        <v>2.4</v>
      </c>
      <c r="X11" s="70">
        <v>4.9000000000000004</v>
      </c>
      <c r="Y11" s="70"/>
      <c r="Z11" s="70"/>
      <c r="AA11" s="70">
        <v>5</v>
      </c>
      <c r="AB11" s="70">
        <v>10</v>
      </c>
      <c r="AC11" s="70" t="s">
        <v>48</v>
      </c>
      <c r="AD11" s="70">
        <v>40</v>
      </c>
      <c r="AE11" s="70"/>
      <c r="AF11" s="70"/>
      <c r="AG11" s="48" t="s">
        <v>26</v>
      </c>
      <c r="AH11" s="2"/>
      <c r="AI11" s="2"/>
      <c r="AJ11" s="2"/>
    </row>
    <row r="12" spans="1:36" ht="26.25" customHeight="1" thickBot="1" x14ac:dyDescent="0.3">
      <c r="A12" s="114"/>
      <c r="B12" s="6" t="s">
        <v>27</v>
      </c>
      <c r="C12" s="7" t="s">
        <v>28</v>
      </c>
      <c r="D12" s="94">
        <v>35245</v>
      </c>
      <c r="E12" s="94"/>
      <c r="F12" s="94">
        <v>11082</v>
      </c>
      <c r="G12" s="94"/>
      <c r="H12" s="94">
        <v>21810</v>
      </c>
      <c r="I12" s="94"/>
      <c r="J12" s="94">
        <v>17362</v>
      </c>
      <c r="K12" s="94"/>
      <c r="L12" s="94">
        <v>18389</v>
      </c>
      <c r="M12" s="94"/>
      <c r="N12" s="94">
        <v>21811</v>
      </c>
      <c r="O12" s="95"/>
      <c r="P12" s="8">
        <v>10128</v>
      </c>
      <c r="Q12" s="72">
        <v>10962</v>
      </c>
      <c r="R12" s="72">
        <v>15427</v>
      </c>
      <c r="S12" s="72">
        <v>16623</v>
      </c>
      <c r="T12" s="72">
        <v>16967</v>
      </c>
      <c r="U12" s="72">
        <v>28230</v>
      </c>
      <c r="V12" s="72">
        <v>10966</v>
      </c>
      <c r="W12" s="72">
        <v>10965</v>
      </c>
      <c r="X12" s="72">
        <v>21809</v>
      </c>
      <c r="Y12" s="72">
        <v>11966</v>
      </c>
      <c r="Z12" s="72">
        <v>11089</v>
      </c>
      <c r="AA12" s="72">
        <v>10960</v>
      </c>
      <c r="AB12" s="72">
        <v>10961</v>
      </c>
      <c r="AC12" s="72">
        <v>33442</v>
      </c>
      <c r="AD12" s="72">
        <v>10959</v>
      </c>
      <c r="AE12" s="72">
        <v>12487</v>
      </c>
      <c r="AF12" s="72">
        <v>16823</v>
      </c>
      <c r="AG12" s="73">
        <v>11342</v>
      </c>
      <c r="AH12" s="2"/>
      <c r="AI12" s="2"/>
      <c r="AJ12" s="2"/>
    </row>
    <row r="13" spans="1:36" ht="26.25" customHeight="1" thickBot="1" x14ac:dyDescent="0.3">
      <c r="A13" s="115"/>
      <c r="B13" s="9"/>
      <c r="C13" s="10"/>
      <c r="D13" s="67" t="s">
        <v>29</v>
      </c>
      <c r="E13" s="67" t="s">
        <v>30</v>
      </c>
      <c r="F13" s="67" t="s">
        <v>29</v>
      </c>
      <c r="G13" s="67" t="s">
        <v>30</v>
      </c>
      <c r="H13" s="67" t="s">
        <v>29</v>
      </c>
      <c r="I13" s="67" t="s">
        <v>30</v>
      </c>
      <c r="J13" s="67" t="s">
        <v>29</v>
      </c>
      <c r="K13" s="67" t="s">
        <v>30</v>
      </c>
      <c r="L13" s="67" t="s">
        <v>29</v>
      </c>
      <c r="M13" s="67" t="s">
        <v>30</v>
      </c>
      <c r="N13" s="67" t="s">
        <v>29</v>
      </c>
      <c r="O13" s="11" t="s">
        <v>30</v>
      </c>
      <c r="P13" s="12" t="s">
        <v>30</v>
      </c>
      <c r="Q13" s="67" t="s">
        <v>29</v>
      </c>
      <c r="R13" s="67" t="s">
        <v>29</v>
      </c>
      <c r="S13" s="67" t="s">
        <v>29</v>
      </c>
      <c r="T13" s="67" t="s">
        <v>29</v>
      </c>
      <c r="U13" s="67" t="s">
        <v>29</v>
      </c>
      <c r="V13" s="67" t="s">
        <v>29</v>
      </c>
      <c r="W13" s="67" t="s">
        <v>29</v>
      </c>
      <c r="X13" s="67" t="s">
        <v>29</v>
      </c>
      <c r="Y13" s="67" t="s">
        <v>29</v>
      </c>
      <c r="Z13" s="67" t="s">
        <v>29</v>
      </c>
      <c r="AA13" s="67" t="s">
        <v>31</v>
      </c>
      <c r="AB13" s="67" t="s">
        <v>31</v>
      </c>
      <c r="AC13" s="67" t="s">
        <v>31</v>
      </c>
      <c r="AD13" s="67" t="s">
        <v>31</v>
      </c>
      <c r="AE13" s="67" t="s">
        <v>31</v>
      </c>
      <c r="AF13" s="67" t="s">
        <v>31</v>
      </c>
      <c r="AG13" s="11" t="s">
        <v>29</v>
      </c>
      <c r="AH13" s="2"/>
      <c r="AI13" s="2"/>
      <c r="AJ13" s="2"/>
    </row>
    <row r="14" spans="1:36" s="16" customFormat="1" ht="40.5" x14ac:dyDescent="0.3">
      <c r="A14" s="13" t="s">
        <v>58</v>
      </c>
      <c r="B14" s="14">
        <v>0</v>
      </c>
      <c r="C14" s="14">
        <v>0</v>
      </c>
      <c r="D14" s="14">
        <f>'FEBRUARY 2026'!D18</f>
        <v>50727</v>
      </c>
      <c r="E14" s="14">
        <f>'FEBRUARY 2026'!E18</f>
        <v>6340.875</v>
      </c>
      <c r="F14" s="14">
        <f>'FEBRUARY 2026'!F18</f>
        <v>118598</v>
      </c>
      <c r="G14" s="14">
        <f>'FEBRUARY 2026'!G18</f>
        <v>8337.5581395348854</v>
      </c>
      <c r="H14" s="14">
        <f>'FEBRUARY 2026'!H18</f>
        <v>0</v>
      </c>
      <c r="I14" s="14">
        <f>'FEBRUARY 2026'!I18</f>
        <v>0</v>
      </c>
      <c r="J14" s="14">
        <f>'FEBRUARY 2026'!J18</f>
        <v>0</v>
      </c>
      <c r="K14" s="14">
        <f>'FEBRUARY 2026'!K18</f>
        <v>0</v>
      </c>
      <c r="L14" s="14">
        <f>'FEBRUARY 2026'!L18</f>
        <v>0</v>
      </c>
      <c r="M14" s="14">
        <f>'FEBRUARY 2026'!M18</f>
        <v>0</v>
      </c>
      <c r="N14" s="14">
        <f>'FEBRUARY 2026'!N18</f>
        <v>0</v>
      </c>
      <c r="O14" s="14">
        <f>'FEBRUARY 2026'!O18</f>
        <v>0</v>
      </c>
      <c r="P14" s="14">
        <f>'FEBRUARY 2026'!P18</f>
        <v>69941.590000000026</v>
      </c>
      <c r="Q14" s="14">
        <f>'FEBRUARY 2026'!Q18</f>
        <v>264</v>
      </c>
      <c r="R14" s="14">
        <f>'FEBRUARY 2026'!R18</f>
        <v>847</v>
      </c>
      <c r="S14" s="14">
        <f>'FEBRUARY 2026'!S18</f>
        <v>16364</v>
      </c>
      <c r="T14" s="14">
        <f>'FEBRUARY 2026'!T18</f>
        <v>0</v>
      </c>
      <c r="U14" s="14">
        <f>'FEBRUARY 2026'!U18</f>
        <v>0</v>
      </c>
      <c r="V14" s="14">
        <f>'FEBRUARY 2026'!V18</f>
        <v>11082</v>
      </c>
      <c r="W14" s="14">
        <f>'FEBRUARY 2026'!W18</f>
        <v>69069</v>
      </c>
      <c r="X14" s="14">
        <f>'FEBRUARY 2026'!X18</f>
        <v>646</v>
      </c>
      <c r="Y14" s="14">
        <f>'FEBRUARY 2026'!Y18</f>
        <v>11856</v>
      </c>
      <c r="Z14" s="14">
        <f>'FEBRUARY 2026'!Z18</f>
        <v>206</v>
      </c>
      <c r="AA14" s="14">
        <f>'FEBRUARY 2026'!AA18</f>
        <v>27136</v>
      </c>
      <c r="AB14" s="14">
        <f>'FEBRUARY 2026'!AB18</f>
        <v>1512</v>
      </c>
      <c r="AC14" s="14">
        <f>'FEBRUARY 2026'!AC18</f>
        <v>0</v>
      </c>
      <c r="AD14" s="14">
        <f>'FEBRUARY 2026'!AD18</f>
        <v>1060</v>
      </c>
      <c r="AE14" s="14">
        <f>'FEBRUARY 2026'!AE18</f>
        <v>31880.079999999994</v>
      </c>
      <c r="AF14" s="14">
        <f>'FEBRUARY 2026'!AF18</f>
        <v>2395</v>
      </c>
      <c r="AG14" s="14">
        <f>'FEBRUARY 2026'!AG18</f>
        <v>275</v>
      </c>
      <c r="AH14" s="15"/>
      <c r="AI14" s="15"/>
      <c r="AJ14" s="15"/>
    </row>
    <row r="15" spans="1:36" s="16" customFormat="1" ht="50.1" customHeight="1" x14ac:dyDescent="0.3">
      <c r="A15" s="13" t="s">
        <v>32</v>
      </c>
      <c r="B15" s="17"/>
      <c r="C15" s="17"/>
      <c r="D15" s="18">
        <v>10000</v>
      </c>
      <c r="E15" s="66">
        <f>D15/200*25</f>
        <v>1250</v>
      </c>
      <c r="F15" s="18">
        <v>43000</v>
      </c>
      <c r="G15" s="46">
        <f>F15/215*25</f>
        <v>5000</v>
      </c>
      <c r="H15" s="18">
        <v>0</v>
      </c>
      <c r="I15" s="18">
        <f>H15/135*25</f>
        <v>0</v>
      </c>
      <c r="J15" s="18"/>
      <c r="K15" s="18"/>
      <c r="L15" s="18"/>
      <c r="M15" s="18"/>
      <c r="N15" s="18">
        <v>0</v>
      </c>
      <c r="O15" s="18">
        <f>N15/38*25</f>
        <v>0</v>
      </c>
      <c r="P15" s="18">
        <v>30000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35750</v>
      </c>
      <c r="X15" s="18"/>
      <c r="Y15" s="18">
        <v>2000</v>
      </c>
      <c r="Z15" s="18">
        <v>120</v>
      </c>
      <c r="AA15" s="18">
        <v>12600</v>
      </c>
      <c r="AB15" s="18">
        <v>12000</v>
      </c>
      <c r="AC15" s="18"/>
      <c r="AD15" s="18"/>
      <c r="AE15" s="18">
        <v>4000</v>
      </c>
      <c r="AF15" s="18"/>
      <c r="AG15" s="19"/>
      <c r="AH15" s="15"/>
      <c r="AI15" s="15"/>
      <c r="AJ15" s="15"/>
    </row>
    <row r="16" spans="1:36" s="16" customFormat="1" ht="50.1" customHeight="1" x14ac:dyDescent="0.3">
      <c r="A16" s="20" t="s">
        <v>33</v>
      </c>
      <c r="B16" s="17">
        <f t="shared" ref="B16:N16" si="0">B14+B15</f>
        <v>0</v>
      </c>
      <c r="C16" s="17">
        <f t="shared" si="0"/>
        <v>0</v>
      </c>
      <c r="D16" s="18">
        <f t="shared" si="0"/>
        <v>60727</v>
      </c>
      <c r="E16" s="46">
        <f>E14+E15</f>
        <v>7590.875</v>
      </c>
      <c r="F16" s="18">
        <f t="shared" si="0"/>
        <v>161598</v>
      </c>
      <c r="G16" s="46">
        <f t="shared" si="0"/>
        <v>13337.558139534885</v>
      </c>
      <c r="H16" s="18">
        <f t="shared" si="0"/>
        <v>0</v>
      </c>
      <c r="I16" s="46">
        <f t="shared" si="0"/>
        <v>0</v>
      </c>
      <c r="J16" s="46">
        <f t="shared" si="0"/>
        <v>0</v>
      </c>
      <c r="K16" s="46">
        <f t="shared" si="0"/>
        <v>0</v>
      </c>
      <c r="L16" s="46">
        <f t="shared" si="0"/>
        <v>0</v>
      </c>
      <c r="M16" s="46">
        <f t="shared" si="0"/>
        <v>0</v>
      </c>
      <c r="N16" s="18">
        <f t="shared" si="0"/>
        <v>0</v>
      </c>
      <c r="O16" s="46">
        <f>N16/38*25</f>
        <v>0</v>
      </c>
      <c r="P16" s="46">
        <f t="shared" ref="P16:AG16" si="1">P14+P15</f>
        <v>99941.590000000026</v>
      </c>
      <c r="Q16" s="18">
        <f t="shared" si="1"/>
        <v>264</v>
      </c>
      <c r="R16" s="18">
        <f t="shared" si="1"/>
        <v>847</v>
      </c>
      <c r="S16" s="18">
        <f t="shared" si="1"/>
        <v>16364</v>
      </c>
      <c r="T16" s="18">
        <f t="shared" si="1"/>
        <v>0</v>
      </c>
      <c r="U16" s="18">
        <f t="shared" si="1"/>
        <v>0</v>
      </c>
      <c r="V16" s="18">
        <f t="shared" si="1"/>
        <v>11082</v>
      </c>
      <c r="W16" s="18">
        <f t="shared" si="1"/>
        <v>104819</v>
      </c>
      <c r="X16" s="18">
        <f t="shared" si="1"/>
        <v>646</v>
      </c>
      <c r="Y16" s="18">
        <f t="shared" si="1"/>
        <v>13856</v>
      </c>
      <c r="Z16" s="18">
        <f t="shared" si="1"/>
        <v>326</v>
      </c>
      <c r="AA16" s="18">
        <f t="shared" si="1"/>
        <v>39736</v>
      </c>
      <c r="AB16" s="18">
        <f t="shared" si="1"/>
        <v>13512</v>
      </c>
      <c r="AC16" s="18">
        <f t="shared" si="1"/>
        <v>0</v>
      </c>
      <c r="AD16" s="18">
        <f t="shared" si="1"/>
        <v>1060</v>
      </c>
      <c r="AE16" s="46">
        <f t="shared" si="1"/>
        <v>35880.079999999994</v>
      </c>
      <c r="AF16" s="18">
        <f t="shared" si="1"/>
        <v>2395</v>
      </c>
      <c r="AG16" s="19">
        <f t="shared" si="1"/>
        <v>275</v>
      </c>
      <c r="AH16" s="15"/>
      <c r="AI16" s="15"/>
      <c r="AJ16" s="15"/>
    </row>
    <row r="17" spans="1:37" s="16" customFormat="1" ht="50.1" customHeight="1" x14ac:dyDescent="0.3">
      <c r="A17" s="20" t="s">
        <v>34</v>
      </c>
      <c r="B17" s="17">
        <v>0</v>
      </c>
      <c r="C17" s="17">
        <f>B17/208*25</f>
        <v>0</v>
      </c>
      <c r="D17" s="18">
        <v>55225</v>
      </c>
      <c r="E17" s="46">
        <f>D17/200*25</f>
        <v>6903.125</v>
      </c>
      <c r="F17" s="18">
        <v>46249</v>
      </c>
      <c r="G17" s="46">
        <f>F17/215*25</f>
        <v>5377.790697674418</v>
      </c>
      <c r="H17" s="18">
        <v>0</v>
      </c>
      <c r="I17" s="46">
        <f>H17/135*25</f>
        <v>0</v>
      </c>
      <c r="J17" s="18"/>
      <c r="K17" s="18">
        <f>J17/150*25</f>
        <v>0</v>
      </c>
      <c r="L17" s="18"/>
      <c r="M17" s="18">
        <f>L17/150*25</f>
        <v>0</v>
      </c>
      <c r="N17" s="18">
        <v>0</v>
      </c>
      <c r="O17" s="46">
        <f>N17/38*25</f>
        <v>0</v>
      </c>
      <c r="P17" s="81">
        <v>35141.07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368</v>
      </c>
      <c r="W17" s="18">
        <v>49312</v>
      </c>
      <c r="X17" s="18"/>
      <c r="Y17" s="18">
        <v>5828</v>
      </c>
      <c r="Z17" s="18">
        <v>156</v>
      </c>
      <c r="AA17" s="18">
        <v>24333</v>
      </c>
      <c r="AB17" s="18">
        <v>0</v>
      </c>
      <c r="AC17" s="18">
        <v>0</v>
      </c>
      <c r="AD17" s="18">
        <v>0</v>
      </c>
      <c r="AE17" s="46">
        <f>Y17*2.43</f>
        <v>14162.04</v>
      </c>
      <c r="AF17" s="18">
        <v>90</v>
      </c>
      <c r="AG17" s="19"/>
      <c r="AH17" s="15"/>
      <c r="AI17" s="15"/>
      <c r="AJ17" s="15"/>
    </row>
    <row r="18" spans="1:37" s="16" customFormat="1" ht="50.1" customHeight="1" thickBot="1" x14ac:dyDescent="0.35">
      <c r="A18" s="21" t="s">
        <v>59</v>
      </c>
      <c r="B18" s="22">
        <f t="shared" ref="B18:AG18" si="2">B16-B17</f>
        <v>0</v>
      </c>
      <c r="C18" s="22">
        <f t="shared" si="2"/>
        <v>0</v>
      </c>
      <c r="D18" s="23">
        <f t="shared" si="2"/>
        <v>5502</v>
      </c>
      <c r="E18" s="24">
        <f t="shared" si="2"/>
        <v>687.75</v>
      </c>
      <c r="F18" s="23">
        <f t="shared" si="2"/>
        <v>115349</v>
      </c>
      <c r="G18" s="24">
        <f t="shared" si="2"/>
        <v>7959.7674418604674</v>
      </c>
      <c r="H18" s="23">
        <f t="shared" si="2"/>
        <v>0</v>
      </c>
      <c r="I18" s="23">
        <f t="shared" si="2"/>
        <v>0</v>
      </c>
      <c r="J18" s="23">
        <f t="shared" si="2"/>
        <v>0</v>
      </c>
      <c r="K18" s="23">
        <f t="shared" si="2"/>
        <v>0</v>
      </c>
      <c r="L18" s="23">
        <f t="shared" si="2"/>
        <v>0</v>
      </c>
      <c r="M18" s="23">
        <f t="shared" si="2"/>
        <v>0</v>
      </c>
      <c r="N18" s="23">
        <f t="shared" si="2"/>
        <v>0</v>
      </c>
      <c r="O18" s="23">
        <f t="shared" si="2"/>
        <v>0</v>
      </c>
      <c r="P18" s="24">
        <f>P16-P17</f>
        <v>64800.520000000026</v>
      </c>
      <c r="Q18" s="23">
        <f t="shared" si="2"/>
        <v>264</v>
      </c>
      <c r="R18" s="23">
        <f t="shared" si="2"/>
        <v>847</v>
      </c>
      <c r="S18" s="23">
        <f t="shared" si="2"/>
        <v>16364</v>
      </c>
      <c r="T18" s="23">
        <f t="shared" si="2"/>
        <v>0</v>
      </c>
      <c r="U18" s="23">
        <f t="shared" si="2"/>
        <v>0</v>
      </c>
      <c r="V18" s="23">
        <f t="shared" si="2"/>
        <v>10714</v>
      </c>
      <c r="W18" s="23">
        <f t="shared" si="2"/>
        <v>55507</v>
      </c>
      <c r="X18" s="23">
        <f t="shared" si="2"/>
        <v>646</v>
      </c>
      <c r="Y18" s="23">
        <f t="shared" si="2"/>
        <v>8028</v>
      </c>
      <c r="Z18" s="23">
        <f t="shared" si="2"/>
        <v>170</v>
      </c>
      <c r="AA18" s="23">
        <f t="shared" si="2"/>
        <v>15403</v>
      </c>
      <c r="AB18" s="23">
        <f t="shared" si="2"/>
        <v>13512</v>
      </c>
      <c r="AC18" s="23">
        <f t="shared" si="2"/>
        <v>0</v>
      </c>
      <c r="AD18" s="23">
        <f t="shared" si="2"/>
        <v>1060</v>
      </c>
      <c r="AE18" s="24">
        <f t="shared" si="2"/>
        <v>21718.039999999994</v>
      </c>
      <c r="AF18" s="23">
        <f t="shared" si="2"/>
        <v>2305</v>
      </c>
      <c r="AG18" s="25">
        <f t="shared" si="2"/>
        <v>275</v>
      </c>
      <c r="AH18" s="15"/>
      <c r="AI18" s="15"/>
      <c r="AJ18" s="15"/>
    </row>
    <row r="19" spans="1:37" s="27" customFormat="1" ht="30" customHeight="1" x14ac:dyDescent="0.25">
      <c r="A19" s="4"/>
      <c r="B19" s="1"/>
      <c r="C19" s="1"/>
      <c r="D19" s="1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6"/>
      <c r="R19" s="26"/>
      <c r="S19" s="1"/>
      <c r="T19" s="1"/>
      <c r="U19" s="1"/>
      <c r="V19" s="26"/>
      <c r="W19" s="26"/>
      <c r="X19" s="26"/>
      <c r="Y19" s="1"/>
      <c r="Z19" s="1"/>
      <c r="AA19" s="1"/>
      <c r="AB19" s="1"/>
      <c r="AC19" s="1"/>
      <c r="AD19" s="1"/>
      <c r="AE19" s="1"/>
      <c r="AF19" s="1"/>
      <c r="AG19" s="26"/>
      <c r="AH19" s="2"/>
      <c r="AI19" s="2"/>
      <c r="AJ19" s="2"/>
    </row>
    <row r="20" spans="1:37" s="28" customFormat="1" ht="23.25" x14ac:dyDescent="0.35">
      <c r="A20" s="28" t="s">
        <v>35</v>
      </c>
      <c r="B20" s="29"/>
      <c r="E20" s="28" t="s">
        <v>36</v>
      </c>
      <c r="J20" s="28" t="s">
        <v>37</v>
      </c>
      <c r="S20" s="28" t="s">
        <v>37</v>
      </c>
      <c r="Z20" s="28" t="s">
        <v>38</v>
      </c>
      <c r="AJ20" s="30"/>
      <c r="AK20" s="30"/>
    </row>
    <row r="21" spans="1:37" s="28" customFormat="1" ht="23.25" x14ac:dyDescent="0.35">
      <c r="B21" s="29"/>
      <c r="E21" s="29"/>
      <c r="AD21" s="29"/>
      <c r="AJ21" s="29"/>
      <c r="AK21" s="29"/>
    </row>
    <row r="22" spans="1:37" s="28" customFormat="1" ht="21" customHeight="1" x14ac:dyDescent="0.35">
      <c r="A22" s="29"/>
      <c r="B22" s="29"/>
      <c r="E22" s="29"/>
      <c r="AD22" s="29"/>
    </row>
    <row r="23" spans="1:37" s="33" customFormat="1" ht="23.25" x14ac:dyDescent="0.35">
      <c r="A23" s="31" t="s">
        <v>39</v>
      </c>
      <c r="B23" s="29"/>
      <c r="C23" s="28"/>
      <c r="E23" s="32" t="s">
        <v>40</v>
      </c>
      <c r="H23" s="28"/>
      <c r="I23" s="28"/>
      <c r="J23" s="32" t="s">
        <v>41</v>
      </c>
      <c r="K23" s="28"/>
      <c r="L23" s="28"/>
      <c r="M23" s="28"/>
      <c r="S23" s="32" t="s">
        <v>60</v>
      </c>
      <c r="Z23" s="32" t="s">
        <v>43</v>
      </c>
      <c r="AH23" s="34"/>
      <c r="AI23" s="35"/>
      <c r="AJ23" s="34"/>
      <c r="AK23" s="34"/>
    </row>
    <row r="24" spans="1:37" s="33" customFormat="1" ht="23.25" x14ac:dyDescent="0.35">
      <c r="A24" s="28" t="s">
        <v>47</v>
      </c>
      <c r="B24" s="28"/>
      <c r="C24" s="28"/>
      <c r="E24" s="28" t="s">
        <v>44</v>
      </c>
      <c r="H24" s="28"/>
      <c r="I24" s="28"/>
      <c r="J24" s="28" t="s">
        <v>45</v>
      </c>
      <c r="K24" s="28"/>
      <c r="L24" s="28"/>
      <c r="M24" s="28"/>
      <c r="S24" s="28" t="s">
        <v>61</v>
      </c>
      <c r="Z24" s="30" t="s">
        <v>50</v>
      </c>
      <c r="AI24" s="36"/>
      <c r="AJ24" s="36"/>
      <c r="AK24" s="36"/>
    </row>
    <row r="25" spans="1:37" s="37" customFormat="1" ht="23.25" x14ac:dyDescent="0.35">
      <c r="W25" s="28"/>
    </row>
    <row r="26" spans="1:37" s="28" customFormat="1" ht="23.25" x14ac:dyDescent="0.35">
      <c r="AI26" s="30"/>
      <c r="AJ26" s="30"/>
    </row>
    <row r="27" spans="1:37" s="33" customFormat="1" ht="20.25" x14ac:dyDescent="0.3">
      <c r="Z27" s="36"/>
      <c r="AF27" s="36"/>
    </row>
    <row r="28" spans="1:37" s="27" customFormat="1" x14ac:dyDescent="0.25">
      <c r="P28" s="38"/>
      <c r="Q28" s="38"/>
      <c r="R28" s="38"/>
      <c r="Y28" s="38"/>
      <c r="AE28" s="38"/>
      <c r="AG28" s="38"/>
    </row>
    <row r="29" spans="1:37" s="27" customFormat="1" x14ac:dyDescent="0.25">
      <c r="A29" s="39"/>
      <c r="B29" s="39"/>
      <c r="C29" s="39"/>
      <c r="Z29" s="1"/>
      <c r="AD29" s="1"/>
      <c r="AF29" s="1"/>
      <c r="AH29" s="2"/>
      <c r="AI29" s="2"/>
      <c r="AJ29" s="2"/>
    </row>
    <row r="30" spans="1:37" s="27" customForma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1"/>
      <c r="AA30" s="38"/>
      <c r="AB30" s="38"/>
      <c r="AC30" s="38"/>
      <c r="AD30" s="1"/>
      <c r="AE30" s="38"/>
      <c r="AF30" s="1"/>
      <c r="AG30" s="38"/>
      <c r="AH30" s="2"/>
      <c r="AI30" s="2"/>
      <c r="AJ30" s="2"/>
    </row>
    <row r="31" spans="1:37" s="27" customForma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/>
      <c r="Q31" s="39"/>
      <c r="R31" s="39"/>
      <c r="S31" s="38"/>
      <c r="T31" s="38"/>
      <c r="U31" s="38"/>
      <c r="V31" s="39"/>
      <c r="W31" s="39"/>
      <c r="X31" s="39"/>
      <c r="Z31" s="1"/>
      <c r="AA31" s="38"/>
      <c r="AB31" s="38"/>
      <c r="AC31" s="38"/>
      <c r="AD31" s="1"/>
      <c r="AE31" s="39"/>
      <c r="AF31" s="1"/>
      <c r="AH31" s="2"/>
      <c r="AI31" s="2"/>
      <c r="AJ31" s="2"/>
    </row>
    <row r="32" spans="1:37" s="27" customFormat="1" x14ac:dyDescent="0.25"/>
    <row r="33" spans="1:32" s="27" customFormat="1" x14ac:dyDescent="0.25"/>
    <row r="34" spans="1:32" s="27" customFormat="1" x14ac:dyDescent="0.25"/>
    <row r="35" spans="1:32" s="27" customFormat="1" x14ac:dyDescent="0.25"/>
    <row r="36" spans="1:32" s="27" customFormat="1" x14ac:dyDescent="0.25"/>
    <row r="37" spans="1:32" s="27" customFormat="1" x14ac:dyDescent="0.25"/>
    <row r="46" spans="1:32" ht="17.25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71"/>
      <c r="AF46" s="71"/>
    </row>
    <row r="47" spans="1:32" x14ac:dyDescent="0.25">
      <c r="A47" s="38"/>
    </row>
  </sheetData>
  <mergeCells count="47">
    <mergeCell ref="V10:X10"/>
    <mergeCell ref="A46:AD46"/>
    <mergeCell ref="N11:O11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  <mergeCell ref="AF7:AG8"/>
    <mergeCell ref="AA10:AD10"/>
    <mergeCell ref="B9:C9"/>
    <mergeCell ref="D9:O9"/>
    <mergeCell ref="P9:P11"/>
    <mergeCell ref="Q9:Z9"/>
    <mergeCell ref="AA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B8:C8"/>
    <mergeCell ref="Y8:Z8"/>
    <mergeCell ref="A1:AF1"/>
    <mergeCell ref="A2:AF2"/>
    <mergeCell ref="A4:AF4"/>
    <mergeCell ref="A5:AF5"/>
    <mergeCell ref="A7:A13"/>
    <mergeCell ref="B7:C7"/>
    <mergeCell ref="D7:E8"/>
    <mergeCell ref="F7:O8"/>
    <mergeCell ref="Q7:U8"/>
    <mergeCell ref="V7:X8"/>
    <mergeCell ref="Y7:Z7"/>
    <mergeCell ref="AA7:AA8"/>
    <mergeCell ref="AB7:AB8"/>
    <mergeCell ref="AC7:AD8"/>
  </mergeCells>
  <pageMargins left="0.31496062992126" right="0.196850393700787" top="0.66929133858267698" bottom="0.35433070866141703" header="0.31496062992126" footer="0.31496062992126"/>
  <pageSetup paperSize="14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opLeftCell="A4" zoomScale="89" zoomScaleNormal="89" workbookViewId="0">
      <selection activeCell="V16" sqref="V16"/>
    </sheetView>
  </sheetViews>
  <sheetFormatPr defaultRowHeight="16.5" x14ac:dyDescent="0.25"/>
  <cols>
    <col min="1" max="1" width="51" style="3" customWidth="1"/>
    <col min="2" max="2" width="6.42578125" style="3" hidden="1" customWidth="1"/>
    <col min="3" max="3" width="0.5703125" style="3" hidden="1" customWidth="1"/>
    <col min="4" max="4" width="12.42578125" style="3" customWidth="1"/>
    <col min="5" max="5" width="14.7109375" style="3" customWidth="1"/>
    <col min="6" max="6" width="12.7109375" style="3" customWidth="1"/>
    <col min="7" max="7" width="15" style="3" customWidth="1"/>
    <col min="8" max="8" width="12" style="3" hidden="1" customWidth="1"/>
    <col min="9" max="9" width="12.42578125" style="3" hidden="1" customWidth="1"/>
    <col min="10" max="10" width="6.7109375" style="3" hidden="1" customWidth="1"/>
    <col min="11" max="11" width="9.28515625" style="3" hidden="1" customWidth="1"/>
    <col min="12" max="12" width="7.140625" style="3" hidden="1" customWidth="1"/>
    <col min="13" max="13" width="5.140625" style="3" hidden="1" customWidth="1"/>
    <col min="14" max="14" width="7.5703125" style="3" hidden="1" customWidth="1"/>
    <col min="15" max="15" width="11.5703125" style="3" hidden="1" customWidth="1"/>
    <col min="16" max="16" width="17.7109375" style="3" customWidth="1"/>
    <col min="17" max="17" width="8.42578125" style="3" customWidth="1"/>
    <col min="18" max="18" width="8.5703125" style="3" customWidth="1"/>
    <col min="19" max="19" width="11.7109375" style="3" customWidth="1"/>
    <col min="20" max="20" width="8.28515625" style="3" customWidth="1"/>
    <col min="21" max="21" width="11" style="3" hidden="1" customWidth="1"/>
    <col min="22" max="22" width="11.85546875" style="3" customWidth="1"/>
    <col min="23" max="23" width="12" style="3" customWidth="1"/>
    <col min="24" max="24" width="9.7109375" style="3" customWidth="1"/>
    <col min="25" max="25" width="11.28515625" style="3" customWidth="1"/>
    <col min="26" max="26" width="8.7109375" style="3" bestFit="1" customWidth="1"/>
    <col min="27" max="28" width="11.140625" style="3" customWidth="1"/>
    <col min="29" max="29" width="9.5703125" style="3" bestFit="1" customWidth="1"/>
    <col min="30" max="30" width="9.42578125" style="3" customWidth="1"/>
    <col min="31" max="31" width="15" style="3" customWidth="1"/>
    <col min="32" max="32" width="13.28515625" style="3" customWidth="1"/>
    <col min="33" max="33" width="12" style="3" customWidth="1"/>
    <col min="34" max="16384" width="9.140625" style="3"/>
  </cols>
  <sheetData>
    <row r="1" spans="1:36" s="42" customFormat="1" ht="26.25" x14ac:dyDescent="0.4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40"/>
      <c r="AH1" s="41"/>
      <c r="AI1" s="41"/>
      <c r="AJ1" s="41"/>
    </row>
    <row r="2" spans="1:36" s="43" customFormat="1" ht="25.5" x14ac:dyDescent="0.3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40"/>
      <c r="AH2" s="40"/>
      <c r="AI2" s="40"/>
      <c r="AJ2" s="40"/>
    </row>
    <row r="3" spans="1:36" s="42" customFormat="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44"/>
      <c r="AH3" s="41"/>
      <c r="AI3" s="41"/>
      <c r="AJ3" s="41"/>
    </row>
    <row r="4" spans="1:36" s="42" customFormat="1" ht="26.25" x14ac:dyDescent="0.4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40"/>
      <c r="AH4" s="41"/>
      <c r="AI4" s="41"/>
      <c r="AJ4" s="41"/>
    </row>
    <row r="5" spans="1:36" s="42" customFormat="1" ht="26.25" x14ac:dyDescent="0.4">
      <c r="A5" s="112" t="s">
        <v>62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40"/>
      <c r="AH5" s="41"/>
      <c r="AI5" s="41"/>
      <c r="AJ5" s="41"/>
    </row>
    <row r="6" spans="1:36" s="42" customFormat="1" ht="27" thickBot="1" x14ac:dyDescent="0.4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1"/>
      <c r="AI6" s="41"/>
      <c r="AJ6" s="41"/>
    </row>
    <row r="7" spans="1:36" ht="25.5" customHeight="1" thickBot="1" x14ac:dyDescent="0.3">
      <c r="A7" s="113" t="s">
        <v>3</v>
      </c>
      <c r="B7" s="110" t="s">
        <v>4</v>
      </c>
      <c r="C7" s="110"/>
      <c r="D7" s="116" t="s">
        <v>7</v>
      </c>
      <c r="E7" s="117"/>
      <c r="F7" s="120" t="s">
        <v>6</v>
      </c>
      <c r="G7" s="116"/>
      <c r="H7" s="116"/>
      <c r="I7" s="116"/>
      <c r="J7" s="116"/>
      <c r="K7" s="116"/>
      <c r="L7" s="116"/>
      <c r="M7" s="116"/>
      <c r="N7" s="116"/>
      <c r="O7" s="121"/>
      <c r="P7" s="80" t="s">
        <v>7</v>
      </c>
      <c r="Q7" s="124" t="s">
        <v>5</v>
      </c>
      <c r="R7" s="116"/>
      <c r="S7" s="116"/>
      <c r="T7" s="116"/>
      <c r="U7" s="121"/>
      <c r="V7" s="124" t="s">
        <v>6</v>
      </c>
      <c r="W7" s="116"/>
      <c r="X7" s="121"/>
      <c r="Y7" s="126" t="s">
        <v>7</v>
      </c>
      <c r="Z7" s="126"/>
      <c r="AA7" s="127" t="s">
        <v>6</v>
      </c>
      <c r="AB7" s="129" t="s">
        <v>5</v>
      </c>
      <c r="AC7" s="97" t="s">
        <v>6</v>
      </c>
      <c r="AD7" s="131"/>
      <c r="AE7" s="80" t="s">
        <v>7</v>
      </c>
      <c r="AF7" s="97" t="s">
        <v>6</v>
      </c>
      <c r="AG7" s="98"/>
      <c r="AH7" s="2"/>
      <c r="AI7" s="2"/>
      <c r="AJ7" s="2"/>
    </row>
    <row r="8" spans="1:36" ht="35.25" customHeight="1" thickBot="1" x14ac:dyDescent="0.3">
      <c r="A8" s="114"/>
      <c r="B8" s="110" t="s">
        <v>8</v>
      </c>
      <c r="C8" s="110"/>
      <c r="D8" s="118"/>
      <c r="E8" s="119"/>
      <c r="F8" s="122"/>
      <c r="G8" s="118"/>
      <c r="H8" s="118"/>
      <c r="I8" s="118"/>
      <c r="J8" s="118"/>
      <c r="K8" s="118"/>
      <c r="L8" s="118"/>
      <c r="M8" s="118"/>
      <c r="N8" s="118"/>
      <c r="O8" s="123"/>
      <c r="P8" s="45" t="s">
        <v>6</v>
      </c>
      <c r="Q8" s="125"/>
      <c r="R8" s="118"/>
      <c r="S8" s="118"/>
      <c r="T8" s="118"/>
      <c r="U8" s="123"/>
      <c r="V8" s="125"/>
      <c r="W8" s="118"/>
      <c r="X8" s="123"/>
      <c r="Y8" s="111" t="s">
        <v>6</v>
      </c>
      <c r="Z8" s="111"/>
      <c r="AA8" s="128"/>
      <c r="AB8" s="130"/>
      <c r="AC8" s="99"/>
      <c r="AD8" s="132"/>
      <c r="AE8" s="78" t="s">
        <v>6</v>
      </c>
      <c r="AF8" s="99"/>
      <c r="AG8" s="100"/>
      <c r="AH8" s="2"/>
      <c r="AI8" s="2"/>
      <c r="AJ8" s="2"/>
    </row>
    <row r="9" spans="1:36" ht="26.25" customHeight="1" x14ac:dyDescent="0.25">
      <c r="A9" s="114"/>
      <c r="B9" s="101" t="s">
        <v>9</v>
      </c>
      <c r="C9" s="101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 t="s">
        <v>10</v>
      </c>
      <c r="Q9" s="104" t="s">
        <v>11</v>
      </c>
      <c r="R9" s="102"/>
      <c r="S9" s="102"/>
      <c r="T9" s="102"/>
      <c r="U9" s="102"/>
      <c r="V9" s="102"/>
      <c r="W9" s="102"/>
      <c r="X9" s="102"/>
      <c r="Y9" s="102"/>
      <c r="Z9" s="105"/>
      <c r="AA9" s="106" t="s">
        <v>12</v>
      </c>
      <c r="AB9" s="107"/>
      <c r="AC9" s="107"/>
      <c r="AD9" s="108"/>
      <c r="AE9" s="80"/>
      <c r="AF9" s="80"/>
      <c r="AG9" s="47"/>
      <c r="AH9" s="2"/>
      <c r="AI9" s="2"/>
      <c r="AJ9" s="2"/>
    </row>
    <row r="10" spans="1:36" ht="34.5" customHeight="1" x14ac:dyDescent="0.25">
      <c r="A10" s="114"/>
      <c r="B10" s="109">
        <v>11083</v>
      </c>
      <c r="C10" s="109"/>
      <c r="D10" s="93">
        <v>200</v>
      </c>
      <c r="E10" s="93"/>
      <c r="F10" s="93">
        <v>215</v>
      </c>
      <c r="G10" s="93"/>
      <c r="H10" s="93">
        <v>135</v>
      </c>
      <c r="I10" s="93"/>
      <c r="J10" s="93">
        <v>150</v>
      </c>
      <c r="K10" s="93"/>
      <c r="L10" s="93">
        <v>150</v>
      </c>
      <c r="M10" s="93"/>
      <c r="N10" s="93">
        <v>38</v>
      </c>
      <c r="O10" s="89"/>
      <c r="P10" s="103"/>
      <c r="Q10" s="93" t="s">
        <v>13</v>
      </c>
      <c r="R10" s="93"/>
      <c r="S10" s="93" t="s">
        <v>14</v>
      </c>
      <c r="T10" s="93"/>
      <c r="U10" s="5" t="s">
        <v>15</v>
      </c>
      <c r="V10" s="89" t="s">
        <v>16</v>
      </c>
      <c r="W10" s="90"/>
      <c r="X10" s="91"/>
      <c r="Y10" s="75" t="s">
        <v>17</v>
      </c>
      <c r="Z10" s="75" t="s">
        <v>18</v>
      </c>
      <c r="AA10" s="89" t="s">
        <v>19</v>
      </c>
      <c r="AB10" s="90"/>
      <c r="AC10" s="90"/>
      <c r="AD10" s="91"/>
      <c r="AE10" s="75" t="s">
        <v>20</v>
      </c>
      <c r="AF10" s="75" t="s">
        <v>21</v>
      </c>
      <c r="AG10" s="48" t="s">
        <v>22</v>
      </c>
      <c r="AH10" s="2"/>
      <c r="AI10" s="2"/>
      <c r="AJ10" s="2"/>
    </row>
    <row r="11" spans="1:36" ht="26.25" customHeight="1" x14ac:dyDescent="0.25">
      <c r="A11" s="114"/>
      <c r="B11" s="96">
        <v>208</v>
      </c>
      <c r="C11" s="96"/>
      <c r="D11" s="93" t="s">
        <v>49</v>
      </c>
      <c r="E11" s="93"/>
      <c r="F11" s="93" t="s">
        <v>24</v>
      </c>
      <c r="G11" s="93"/>
      <c r="H11" s="93" t="s">
        <v>24</v>
      </c>
      <c r="I11" s="93"/>
      <c r="J11" s="93" t="s">
        <v>23</v>
      </c>
      <c r="K11" s="93"/>
      <c r="L11" s="93" t="s">
        <v>25</v>
      </c>
      <c r="M11" s="93"/>
      <c r="N11" s="93" t="s">
        <v>24</v>
      </c>
      <c r="O11" s="89"/>
      <c r="P11" s="103"/>
      <c r="Q11" s="75">
        <v>2.4</v>
      </c>
      <c r="R11" s="75">
        <v>3.6</v>
      </c>
      <c r="S11" s="75">
        <v>2.4</v>
      </c>
      <c r="T11" s="75">
        <v>3.6</v>
      </c>
      <c r="U11" s="75">
        <v>2.4</v>
      </c>
      <c r="V11" s="75">
        <v>3.6</v>
      </c>
      <c r="W11" s="75">
        <v>2.4</v>
      </c>
      <c r="X11" s="75">
        <v>4.9000000000000004</v>
      </c>
      <c r="Y11" s="75"/>
      <c r="Z11" s="75"/>
      <c r="AA11" s="75">
        <v>5</v>
      </c>
      <c r="AB11" s="75">
        <v>10</v>
      </c>
      <c r="AC11" s="75" t="s">
        <v>48</v>
      </c>
      <c r="AD11" s="75">
        <v>40</v>
      </c>
      <c r="AE11" s="75"/>
      <c r="AF11" s="75"/>
      <c r="AG11" s="48" t="s">
        <v>26</v>
      </c>
      <c r="AH11" s="2"/>
      <c r="AI11" s="2"/>
      <c r="AJ11" s="2"/>
    </row>
    <row r="12" spans="1:36" ht="26.25" customHeight="1" thickBot="1" x14ac:dyDescent="0.3">
      <c r="A12" s="114"/>
      <c r="B12" s="6" t="s">
        <v>27</v>
      </c>
      <c r="C12" s="7" t="s">
        <v>28</v>
      </c>
      <c r="D12" s="94">
        <v>35245</v>
      </c>
      <c r="E12" s="94"/>
      <c r="F12" s="94">
        <v>11082</v>
      </c>
      <c r="G12" s="94"/>
      <c r="H12" s="94">
        <v>21810</v>
      </c>
      <c r="I12" s="94"/>
      <c r="J12" s="94">
        <v>17362</v>
      </c>
      <c r="K12" s="94"/>
      <c r="L12" s="94">
        <v>18389</v>
      </c>
      <c r="M12" s="94"/>
      <c r="N12" s="94">
        <v>21811</v>
      </c>
      <c r="O12" s="95"/>
      <c r="P12" s="8">
        <v>10128</v>
      </c>
      <c r="Q12" s="76">
        <v>10962</v>
      </c>
      <c r="R12" s="76">
        <v>15427</v>
      </c>
      <c r="S12" s="76">
        <v>16623</v>
      </c>
      <c r="T12" s="76">
        <v>16967</v>
      </c>
      <c r="U12" s="76">
        <v>28230</v>
      </c>
      <c r="V12" s="76">
        <v>10966</v>
      </c>
      <c r="W12" s="76">
        <v>10965</v>
      </c>
      <c r="X12" s="76">
        <v>21809</v>
      </c>
      <c r="Y12" s="76">
        <v>11966</v>
      </c>
      <c r="Z12" s="76">
        <v>11089</v>
      </c>
      <c r="AA12" s="76">
        <v>10960</v>
      </c>
      <c r="AB12" s="76">
        <v>10961</v>
      </c>
      <c r="AC12" s="76">
        <v>33442</v>
      </c>
      <c r="AD12" s="76">
        <v>10959</v>
      </c>
      <c r="AE12" s="76">
        <v>12487</v>
      </c>
      <c r="AF12" s="76">
        <v>16823</v>
      </c>
      <c r="AG12" s="77">
        <v>11342</v>
      </c>
      <c r="AH12" s="2"/>
      <c r="AI12" s="2"/>
      <c r="AJ12" s="2"/>
    </row>
    <row r="13" spans="1:36" ht="26.25" customHeight="1" thickBot="1" x14ac:dyDescent="0.3">
      <c r="A13" s="115"/>
      <c r="B13" s="9"/>
      <c r="C13" s="10"/>
      <c r="D13" s="78" t="s">
        <v>29</v>
      </c>
      <c r="E13" s="78" t="s">
        <v>30</v>
      </c>
      <c r="F13" s="78" t="s">
        <v>29</v>
      </c>
      <c r="G13" s="78" t="s">
        <v>30</v>
      </c>
      <c r="H13" s="78" t="s">
        <v>29</v>
      </c>
      <c r="I13" s="78" t="s">
        <v>30</v>
      </c>
      <c r="J13" s="78" t="s">
        <v>29</v>
      </c>
      <c r="K13" s="78" t="s">
        <v>30</v>
      </c>
      <c r="L13" s="78" t="s">
        <v>29</v>
      </c>
      <c r="M13" s="78" t="s">
        <v>30</v>
      </c>
      <c r="N13" s="78" t="s">
        <v>29</v>
      </c>
      <c r="O13" s="11" t="s">
        <v>30</v>
      </c>
      <c r="P13" s="12" t="s">
        <v>30</v>
      </c>
      <c r="Q13" s="78" t="s">
        <v>29</v>
      </c>
      <c r="R13" s="78" t="s">
        <v>29</v>
      </c>
      <c r="S13" s="78" t="s">
        <v>29</v>
      </c>
      <c r="T13" s="78" t="s">
        <v>29</v>
      </c>
      <c r="U13" s="78" t="s">
        <v>29</v>
      </c>
      <c r="V13" s="78" t="s">
        <v>29</v>
      </c>
      <c r="W13" s="78" t="s">
        <v>29</v>
      </c>
      <c r="X13" s="78" t="s">
        <v>29</v>
      </c>
      <c r="Y13" s="78" t="s">
        <v>29</v>
      </c>
      <c r="Z13" s="78" t="s">
        <v>29</v>
      </c>
      <c r="AA13" s="78" t="s">
        <v>31</v>
      </c>
      <c r="AB13" s="78" t="s">
        <v>31</v>
      </c>
      <c r="AC13" s="78" t="s">
        <v>31</v>
      </c>
      <c r="AD13" s="78" t="s">
        <v>31</v>
      </c>
      <c r="AE13" s="78" t="s">
        <v>31</v>
      </c>
      <c r="AF13" s="78" t="s">
        <v>31</v>
      </c>
      <c r="AG13" s="11" t="s">
        <v>29</v>
      </c>
      <c r="AH13" s="2"/>
      <c r="AI13" s="2"/>
      <c r="AJ13" s="2"/>
    </row>
    <row r="14" spans="1:36" s="16" customFormat="1" ht="40.5" x14ac:dyDescent="0.3">
      <c r="A14" s="13" t="s">
        <v>63</v>
      </c>
      <c r="B14" s="14">
        <v>0</v>
      </c>
      <c r="C14" s="14">
        <v>0</v>
      </c>
      <c r="D14" s="14">
        <f>'MARCH 2026'!D18</f>
        <v>5502</v>
      </c>
      <c r="E14" s="14">
        <f>'MARCH 2026'!E18</f>
        <v>687.75</v>
      </c>
      <c r="F14" s="14">
        <f>'MARCH 2026'!F18</f>
        <v>115349</v>
      </c>
      <c r="G14" s="14">
        <f>'MARCH 2026'!G18</f>
        <v>7959.7674418604674</v>
      </c>
      <c r="H14" s="14">
        <f>'MARCH 2026'!H18</f>
        <v>0</v>
      </c>
      <c r="I14" s="14">
        <f>'MARCH 2026'!I18</f>
        <v>0</v>
      </c>
      <c r="J14" s="14">
        <f>'MARCH 2026'!J18</f>
        <v>0</v>
      </c>
      <c r="K14" s="14">
        <f>'MARCH 2026'!K18</f>
        <v>0</v>
      </c>
      <c r="L14" s="14">
        <f>'MARCH 2026'!L18</f>
        <v>0</v>
      </c>
      <c r="M14" s="14">
        <f>'MARCH 2026'!M18</f>
        <v>0</v>
      </c>
      <c r="N14" s="14">
        <f>'MARCH 2026'!N18</f>
        <v>0</v>
      </c>
      <c r="O14" s="14">
        <f>'MARCH 2026'!O18</f>
        <v>0</v>
      </c>
      <c r="P14" s="14">
        <f>'MARCH 2026'!P18</f>
        <v>64800.520000000026</v>
      </c>
      <c r="Q14" s="14">
        <f>'MARCH 2026'!Q18</f>
        <v>264</v>
      </c>
      <c r="R14" s="14">
        <f>'MARCH 2026'!R18</f>
        <v>847</v>
      </c>
      <c r="S14" s="14">
        <f>'MARCH 2026'!S18</f>
        <v>16364</v>
      </c>
      <c r="T14" s="14">
        <f>'MARCH 2026'!T18</f>
        <v>0</v>
      </c>
      <c r="U14" s="14">
        <f>'MARCH 2026'!U18</f>
        <v>0</v>
      </c>
      <c r="V14" s="14">
        <f>'MARCH 2026'!V18</f>
        <v>10714</v>
      </c>
      <c r="W14" s="14">
        <f>'MARCH 2026'!W18</f>
        <v>55507</v>
      </c>
      <c r="X14" s="14">
        <f>'MARCH 2026'!X18</f>
        <v>646</v>
      </c>
      <c r="Y14" s="14">
        <f>'MARCH 2026'!Y18</f>
        <v>8028</v>
      </c>
      <c r="Z14" s="14">
        <f>'MARCH 2026'!Z18</f>
        <v>170</v>
      </c>
      <c r="AA14" s="14">
        <f>'MARCH 2026'!AA18</f>
        <v>15403</v>
      </c>
      <c r="AB14" s="14">
        <f>'MARCH 2026'!AB18</f>
        <v>13512</v>
      </c>
      <c r="AC14" s="14">
        <f>'MARCH 2026'!AC18</f>
        <v>0</v>
      </c>
      <c r="AD14" s="14">
        <f>'MARCH 2026'!AD18</f>
        <v>1060</v>
      </c>
      <c r="AE14" s="14">
        <f>'MARCH 2026'!AE18</f>
        <v>21718.039999999994</v>
      </c>
      <c r="AF14" s="14">
        <f>'MARCH 2026'!AF18</f>
        <v>2305</v>
      </c>
      <c r="AG14" s="14">
        <f>'MARCH 2026'!AG18</f>
        <v>275</v>
      </c>
      <c r="AH14" s="15"/>
      <c r="AI14" s="15"/>
      <c r="AJ14" s="15"/>
    </row>
    <row r="15" spans="1:36" s="16" customFormat="1" ht="50.1" customHeight="1" x14ac:dyDescent="0.3">
      <c r="A15" s="13" t="s">
        <v>32</v>
      </c>
      <c r="B15" s="17"/>
      <c r="C15" s="17"/>
      <c r="D15" s="18">
        <v>50000</v>
      </c>
      <c r="E15" s="66">
        <f>D15/200*25</f>
        <v>6250</v>
      </c>
      <c r="F15" s="18">
        <v>53750</v>
      </c>
      <c r="G15" s="46">
        <f>F15/215*25</f>
        <v>6250</v>
      </c>
      <c r="H15" s="18">
        <v>0</v>
      </c>
      <c r="I15" s="18">
        <f>H15/135*25</f>
        <v>0</v>
      </c>
      <c r="J15" s="18"/>
      <c r="K15" s="18"/>
      <c r="L15" s="18"/>
      <c r="M15" s="18"/>
      <c r="N15" s="18">
        <v>0</v>
      </c>
      <c r="O15" s="18">
        <f>N15/38*25</f>
        <v>0</v>
      </c>
      <c r="P15" s="18">
        <v>56250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5500</v>
      </c>
      <c r="W15" s="18">
        <v>43500</v>
      </c>
      <c r="X15" s="18"/>
      <c r="Y15" s="18">
        <v>4000</v>
      </c>
      <c r="Z15" s="18">
        <v>300</v>
      </c>
      <c r="AA15" s="18">
        <v>12600</v>
      </c>
      <c r="AB15" s="18">
        <v>11000</v>
      </c>
      <c r="AC15" s="18"/>
      <c r="AD15" s="18"/>
      <c r="AE15" s="18">
        <v>13000</v>
      </c>
      <c r="AF15" s="18">
        <v>0</v>
      </c>
      <c r="AG15" s="19">
        <v>0</v>
      </c>
      <c r="AH15" s="15"/>
      <c r="AI15" s="15"/>
      <c r="AJ15" s="15"/>
    </row>
    <row r="16" spans="1:36" s="16" customFormat="1" ht="50.1" customHeight="1" x14ac:dyDescent="0.3">
      <c r="A16" s="20" t="s">
        <v>33</v>
      </c>
      <c r="B16" s="17">
        <f t="shared" ref="B16:N16" si="0">B14+B15</f>
        <v>0</v>
      </c>
      <c r="C16" s="17">
        <f t="shared" si="0"/>
        <v>0</v>
      </c>
      <c r="D16" s="18">
        <f t="shared" si="0"/>
        <v>55502</v>
      </c>
      <c r="E16" s="46">
        <f>E14+E15</f>
        <v>6937.75</v>
      </c>
      <c r="F16" s="18">
        <f t="shared" si="0"/>
        <v>169099</v>
      </c>
      <c r="G16" s="46">
        <f t="shared" si="0"/>
        <v>14209.767441860467</v>
      </c>
      <c r="H16" s="18">
        <f t="shared" si="0"/>
        <v>0</v>
      </c>
      <c r="I16" s="46">
        <f t="shared" si="0"/>
        <v>0</v>
      </c>
      <c r="J16" s="46">
        <f t="shared" si="0"/>
        <v>0</v>
      </c>
      <c r="K16" s="46">
        <f t="shared" si="0"/>
        <v>0</v>
      </c>
      <c r="L16" s="46">
        <f t="shared" si="0"/>
        <v>0</v>
      </c>
      <c r="M16" s="46">
        <f t="shared" si="0"/>
        <v>0</v>
      </c>
      <c r="N16" s="18">
        <f t="shared" si="0"/>
        <v>0</v>
      </c>
      <c r="O16" s="46">
        <f>N16/38*25</f>
        <v>0</v>
      </c>
      <c r="P16" s="46">
        <f t="shared" ref="P16:AG16" si="1">P14+P15</f>
        <v>121050.52000000002</v>
      </c>
      <c r="Q16" s="18">
        <f t="shared" si="1"/>
        <v>264</v>
      </c>
      <c r="R16" s="18">
        <f t="shared" si="1"/>
        <v>847</v>
      </c>
      <c r="S16" s="18">
        <f t="shared" si="1"/>
        <v>16364</v>
      </c>
      <c r="T16" s="18">
        <f t="shared" si="1"/>
        <v>0</v>
      </c>
      <c r="U16" s="18">
        <f t="shared" si="1"/>
        <v>0</v>
      </c>
      <c r="V16" s="18">
        <f t="shared" si="1"/>
        <v>16214</v>
      </c>
      <c r="W16" s="18">
        <f t="shared" si="1"/>
        <v>99007</v>
      </c>
      <c r="X16" s="18">
        <f t="shared" si="1"/>
        <v>646</v>
      </c>
      <c r="Y16" s="18">
        <f t="shared" si="1"/>
        <v>12028</v>
      </c>
      <c r="Z16" s="18">
        <f t="shared" si="1"/>
        <v>470</v>
      </c>
      <c r="AA16" s="18">
        <f t="shared" si="1"/>
        <v>28003</v>
      </c>
      <c r="AB16" s="18">
        <f t="shared" si="1"/>
        <v>24512</v>
      </c>
      <c r="AC16" s="18">
        <f t="shared" si="1"/>
        <v>0</v>
      </c>
      <c r="AD16" s="18">
        <f t="shared" si="1"/>
        <v>1060</v>
      </c>
      <c r="AE16" s="46">
        <f t="shared" si="1"/>
        <v>34718.039999999994</v>
      </c>
      <c r="AF16" s="18">
        <f t="shared" si="1"/>
        <v>2305</v>
      </c>
      <c r="AG16" s="19">
        <f t="shared" si="1"/>
        <v>275</v>
      </c>
      <c r="AH16" s="15"/>
      <c r="AI16" s="15"/>
      <c r="AJ16" s="15"/>
    </row>
    <row r="17" spans="1:37" s="16" customFormat="1" ht="50.1" customHeight="1" x14ac:dyDescent="0.3">
      <c r="A17" s="20" t="s">
        <v>34</v>
      </c>
      <c r="B17" s="17">
        <v>0</v>
      </c>
      <c r="C17" s="17">
        <f>B17/208*25</f>
        <v>0</v>
      </c>
      <c r="D17" s="18">
        <v>16788</v>
      </c>
      <c r="E17" s="46">
        <f>D17/200*25</f>
        <v>2098.5</v>
      </c>
      <c r="F17" s="18">
        <v>63497</v>
      </c>
      <c r="G17" s="46">
        <f>F17/215*25</f>
        <v>7383.3720930232557</v>
      </c>
      <c r="H17" s="18">
        <v>0</v>
      </c>
      <c r="I17" s="46">
        <f>H17/135*25</f>
        <v>0</v>
      </c>
      <c r="J17" s="18"/>
      <c r="K17" s="18">
        <f>J17/150*25</f>
        <v>0</v>
      </c>
      <c r="L17" s="18"/>
      <c r="M17" s="18">
        <f>L17/150*25</f>
        <v>0</v>
      </c>
      <c r="N17" s="18">
        <v>0</v>
      </c>
      <c r="O17" s="46">
        <f>N17/38*25</f>
        <v>0</v>
      </c>
      <c r="P17" s="81">
        <v>26252.2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570</v>
      </c>
      <c r="W17" s="18">
        <v>39526</v>
      </c>
      <c r="X17" s="18"/>
      <c r="Y17" s="18">
        <v>4599</v>
      </c>
      <c r="Z17" s="18">
        <v>148</v>
      </c>
      <c r="AA17" s="18">
        <v>10819</v>
      </c>
      <c r="AB17" s="18">
        <v>8389</v>
      </c>
      <c r="AC17" s="18">
        <v>0</v>
      </c>
      <c r="AD17" s="18">
        <v>0</v>
      </c>
      <c r="AE17" s="46">
        <f>Y17*2.43</f>
        <v>11175.570000000002</v>
      </c>
      <c r="AF17" s="18">
        <v>30</v>
      </c>
      <c r="AG17" s="19">
        <v>0</v>
      </c>
      <c r="AH17" s="15"/>
      <c r="AI17" s="15"/>
      <c r="AJ17" s="15"/>
    </row>
    <row r="18" spans="1:37" s="16" customFormat="1" ht="50.1" customHeight="1" thickBot="1" x14ac:dyDescent="0.35">
      <c r="A18" s="21" t="s">
        <v>64</v>
      </c>
      <c r="B18" s="22">
        <f t="shared" ref="B18:AG18" si="2">B16-B17</f>
        <v>0</v>
      </c>
      <c r="C18" s="22">
        <f t="shared" si="2"/>
        <v>0</v>
      </c>
      <c r="D18" s="23">
        <f t="shared" si="2"/>
        <v>38714</v>
      </c>
      <c r="E18" s="24">
        <f t="shared" si="2"/>
        <v>4839.25</v>
      </c>
      <c r="F18" s="23">
        <f t="shared" si="2"/>
        <v>105602</v>
      </c>
      <c r="G18" s="24">
        <f t="shared" si="2"/>
        <v>6826.3953488372117</v>
      </c>
      <c r="H18" s="23">
        <f t="shared" si="2"/>
        <v>0</v>
      </c>
      <c r="I18" s="23">
        <f t="shared" si="2"/>
        <v>0</v>
      </c>
      <c r="J18" s="23">
        <f t="shared" si="2"/>
        <v>0</v>
      </c>
      <c r="K18" s="23">
        <f t="shared" si="2"/>
        <v>0</v>
      </c>
      <c r="L18" s="23">
        <f t="shared" si="2"/>
        <v>0</v>
      </c>
      <c r="M18" s="23">
        <f t="shared" si="2"/>
        <v>0</v>
      </c>
      <c r="N18" s="23">
        <f t="shared" si="2"/>
        <v>0</v>
      </c>
      <c r="O18" s="23">
        <f t="shared" si="2"/>
        <v>0</v>
      </c>
      <c r="P18" s="24">
        <f>P16-P17</f>
        <v>94798.320000000022</v>
      </c>
      <c r="Q18" s="23">
        <f t="shared" si="2"/>
        <v>264</v>
      </c>
      <c r="R18" s="23">
        <f t="shared" si="2"/>
        <v>847</v>
      </c>
      <c r="S18" s="23">
        <f t="shared" si="2"/>
        <v>16364</v>
      </c>
      <c r="T18" s="23">
        <f t="shared" si="2"/>
        <v>0</v>
      </c>
      <c r="U18" s="23">
        <f t="shared" si="2"/>
        <v>0</v>
      </c>
      <c r="V18" s="23">
        <f t="shared" si="2"/>
        <v>15644</v>
      </c>
      <c r="W18" s="23">
        <f t="shared" si="2"/>
        <v>59481</v>
      </c>
      <c r="X18" s="23">
        <f t="shared" si="2"/>
        <v>646</v>
      </c>
      <c r="Y18" s="23">
        <f t="shared" si="2"/>
        <v>7429</v>
      </c>
      <c r="Z18" s="23">
        <f t="shared" si="2"/>
        <v>322</v>
      </c>
      <c r="AA18" s="23">
        <f t="shared" si="2"/>
        <v>17184</v>
      </c>
      <c r="AB18" s="23">
        <f t="shared" si="2"/>
        <v>16123</v>
      </c>
      <c r="AC18" s="23">
        <f t="shared" si="2"/>
        <v>0</v>
      </c>
      <c r="AD18" s="23">
        <f t="shared" si="2"/>
        <v>1060</v>
      </c>
      <c r="AE18" s="24">
        <f t="shared" si="2"/>
        <v>23542.469999999994</v>
      </c>
      <c r="AF18" s="23">
        <f t="shared" si="2"/>
        <v>2275</v>
      </c>
      <c r="AG18" s="25">
        <f t="shared" si="2"/>
        <v>275</v>
      </c>
      <c r="AH18" s="15"/>
      <c r="AI18" s="15"/>
      <c r="AJ18" s="15"/>
    </row>
    <row r="19" spans="1:37" s="27" customFormat="1" ht="30" customHeight="1" x14ac:dyDescent="0.25">
      <c r="A19" s="4"/>
      <c r="B19" s="1"/>
      <c r="C19" s="1"/>
      <c r="D19" s="1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6"/>
      <c r="R19" s="26"/>
      <c r="S19" s="1"/>
      <c r="T19" s="1"/>
      <c r="U19" s="1"/>
      <c r="V19" s="26"/>
      <c r="W19" s="26"/>
      <c r="X19" s="26"/>
      <c r="Y19" s="1"/>
      <c r="Z19" s="1"/>
      <c r="AA19" s="1"/>
      <c r="AB19" s="1"/>
      <c r="AC19" s="1"/>
      <c r="AD19" s="1"/>
      <c r="AE19" s="1"/>
      <c r="AF19" s="1"/>
      <c r="AG19" s="26"/>
      <c r="AH19" s="2"/>
      <c r="AI19" s="2"/>
      <c r="AJ19" s="2"/>
    </row>
    <row r="20" spans="1:37" s="28" customFormat="1" ht="23.25" x14ac:dyDescent="0.35">
      <c r="A20" s="28" t="s">
        <v>35</v>
      </c>
      <c r="B20" s="29"/>
      <c r="E20" s="28" t="s">
        <v>36</v>
      </c>
      <c r="J20" s="28" t="s">
        <v>37</v>
      </c>
      <c r="S20" s="28" t="s">
        <v>37</v>
      </c>
      <c r="Z20" s="28" t="s">
        <v>38</v>
      </c>
      <c r="AJ20" s="30"/>
      <c r="AK20" s="30"/>
    </row>
    <row r="21" spans="1:37" s="28" customFormat="1" ht="23.25" x14ac:dyDescent="0.35">
      <c r="B21" s="29"/>
      <c r="E21" s="29"/>
      <c r="AD21" s="29"/>
      <c r="AJ21" s="29"/>
      <c r="AK21" s="29"/>
    </row>
    <row r="22" spans="1:37" s="28" customFormat="1" ht="21" customHeight="1" x14ac:dyDescent="0.35">
      <c r="A22" s="29"/>
      <c r="B22" s="29"/>
      <c r="E22" s="29"/>
      <c r="AD22" s="29"/>
    </row>
    <row r="23" spans="1:37" s="33" customFormat="1" ht="23.25" x14ac:dyDescent="0.35">
      <c r="A23" s="31" t="s">
        <v>39</v>
      </c>
      <c r="B23" s="29"/>
      <c r="C23" s="28"/>
      <c r="E23" s="32" t="s">
        <v>40</v>
      </c>
      <c r="H23" s="28"/>
      <c r="I23" s="28"/>
      <c r="J23" s="32" t="s">
        <v>41</v>
      </c>
      <c r="K23" s="28"/>
      <c r="L23" s="28"/>
      <c r="M23" s="28"/>
      <c r="S23" s="32" t="s">
        <v>60</v>
      </c>
      <c r="Z23" s="32" t="s">
        <v>43</v>
      </c>
      <c r="AH23" s="34"/>
      <c r="AI23" s="35"/>
      <c r="AJ23" s="34"/>
      <c r="AK23" s="34"/>
    </row>
    <row r="24" spans="1:37" s="33" customFormat="1" ht="23.25" x14ac:dyDescent="0.35">
      <c r="A24" s="28" t="s">
        <v>47</v>
      </c>
      <c r="B24" s="28"/>
      <c r="C24" s="28"/>
      <c r="E24" s="28" t="s">
        <v>44</v>
      </c>
      <c r="H24" s="28"/>
      <c r="I24" s="28"/>
      <c r="J24" s="28" t="s">
        <v>45</v>
      </c>
      <c r="K24" s="28"/>
      <c r="L24" s="28"/>
      <c r="M24" s="28"/>
      <c r="S24" s="28" t="s">
        <v>61</v>
      </c>
      <c r="Z24" s="30" t="s">
        <v>50</v>
      </c>
      <c r="AI24" s="36"/>
      <c r="AJ24" s="36"/>
      <c r="AK24" s="36"/>
    </row>
    <row r="25" spans="1:37" s="37" customFormat="1" ht="23.25" x14ac:dyDescent="0.35">
      <c r="W25" s="28"/>
    </row>
    <row r="26" spans="1:37" s="28" customFormat="1" ht="23.25" x14ac:dyDescent="0.35">
      <c r="AI26" s="30"/>
      <c r="AJ26" s="30"/>
    </row>
    <row r="27" spans="1:37" s="33" customFormat="1" ht="20.25" x14ac:dyDescent="0.3">
      <c r="Z27" s="36"/>
      <c r="AF27" s="36"/>
    </row>
    <row r="28" spans="1:37" s="27" customFormat="1" x14ac:dyDescent="0.25">
      <c r="P28" s="38"/>
      <c r="Q28" s="38"/>
      <c r="R28" s="38"/>
      <c r="Y28" s="38"/>
      <c r="AE28" s="38"/>
      <c r="AG28" s="38"/>
    </row>
    <row r="29" spans="1:37" s="27" customFormat="1" x14ac:dyDescent="0.25">
      <c r="A29" s="39"/>
      <c r="B29" s="39"/>
      <c r="C29" s="39"/>
      <c r="Z29" s="1"/>
      <c r="AD29" s="1"/>
      <c r="AF29" s="1"/>
      <c r="AH29" s="2"/>
      <c r="AI29" s="2"/>
      <c r="AJ29" s="2"/>
    </row>
    <row r="30" spans="1:37" s="27" customForma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1"/>
      <c r="AA30" s="38"/>
      <c r="AB30" s="38"/>
      <c r="AC30" s="38"/>
      <c r="AD30" s="1"/>
      <c r="AE30" s="38"/>
      <c r="AF30" s="1"/>
      <c r="AG30" s="38"/>
      <c r="AH30" s="2"/>
      <c r="AI30" s="2"/>
      <c r="AJ30" s="2"/>
    </row>
    <row r="31" spans="1:37" s="27" customForma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/>
      <c r="Q31" s="39"/>
      <c r="R31" s="39"/>
      <c r="S31" s="38"/>
      <c r="T31" s="38"/>
      <c r="U31" s="38"/>
      <c r="V31" s="39"/>
      <c r="W31" s="39"/>
      <c r="X31" s="39"/>
      <c r="Z31" s="1"/>
      <c r="AA31" s="38"/>
      <c r="AB31" s="38"/>
      <c r="AC31" s="38"/>
      <c r="AD31" s="1"/>
      <c r="AE31" s="39"/>
      <c r="AF31" s="1"/>
      <c r="AH31" s="2"/>
      <c r="AI31" s="2"/>
      <c r="AJ31" s="2"/>
    </row>
    <row r="32" spans="1:37" s="27" customFormat="1" x14ac:dyDescent="0.25"/>
    <row r="33" spans="1:32" s="27" customFormat="1" x14ac:dyDescent="0.25"/>
    <row r="34" spans="1:32" s="27" customFormat="1" x14ac:dyDescent="0.25"/>
    <row r="35" spans="1:32" s="27" customFormat="1" x14ac:dyDescent="0.25"/>
    <row r="36" spans="1:32" s="27" customFormat="1" x14ac:dyDescent="0.25"/>
    <row r="37" spans="1:32" s="27" customFormat="1" x14ac:dyDescent="0.25"/>
    <row r="46" spans="1:32" ht="17.25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74"/>
      <c r="AF46" s="74"/>
    </row>
    <row r="47" spans="1:32" x14ac:dyDescent="0.25">
      <c r="A47" s="38"/>
    </row>
  </sheetData>
  <mergeCells count="47">
    <mergeCell ref="B8:C8"/>
    <mergeCell ref="Y8:Z8"/>
    <mergeCell ref="A1:AF1"/>
    <mergeCell ref="A2:AF2"/>
    <mergeCell ref="A4:AF4"/>
    <mergeCell ref="A5:AF5"/>
    <mergeCell ref="A7:A13"/>
    <mergeCell ref="B7:C7"/>
    <mergeCell ref="D7:E8"/>
    <mergeCell ref="F7:O8"/>
    <mergeCell ref="Q7:U8"/>
    <mergeCell ref="V7:X8"/>
    <mergeCell ref="Y7:Z7"/>
    <mergeCell ref="AA7:AA8"/>
    <mergeCell ref="AB7:AB8"/>
    <mergeCell ref="AC7:AD8"/>
    <mergeCell ref="AF7:AG8"/>
    <mergeCell ref="AA10:AD10"/>
    <mergeCell ref="B9:C9"/>
    <mergeCell ref="D9:O9"/>
    <mergeCell ref="P9:P11"/>
    <mergeCell ref="Q9:Z9"/>
    <mergeCell ref="AA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V10:X10"/>
    <mergeCell ref="A46:AD46"/>
    <mergeCell ref="N11:O11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</mergeCells>
  <pageMargins left="0.31496062992126" right="0.196850393700787" top="0.66929133858267698" bottom="0.35433070866141703" header="0.31496062992126" footer="0.31496062992126"/>
  <pageSetup paperSize="14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abSelected="1" topLeftCell="A7" zoomScale="89" zoomScaleNormal="89" workbookViewId="0">
      <selection activeCell="E14" sqref="E14"/>
    </sheetView>
  </sheetViews>
  <sheetFormatPr defaultRowHeight="16.5" x14ac:dyDescent="0.25"/>
  <cols>
    <col min="1" max="1" width="51" style="3" customWidth="1"/>
    <col min="2" max="2" width="6.42578125" style="3" hidden="1" customWidth="1"/>
    <col min="3" max="3" width="0.5703125" style="3" hidden="1" customWidth="1"/>
    <col min="4" max="4" width="12.42578125" style="3" customWidth="1"/>
    <col min="5" max="5" width="14.7109375" style="3" customWidth="1"/>
    <col min="6" max="6" width="12.7109375" style="3" customWidth="1"/>
    <col min="7" max="7" width="15" style="3" customWidth="1"/>
    <col min="8" max="8" width="12" style="3" hidden="1" customWidth="1"/>
    <col min="9" max="9" width="12.42578125" style="3" hidden="1" customWidth="1"/>
    <col min="10" max="10" width="6.7109375" style="3" hidden="1" customWidth="1"/>
    <col min="11" max="11" width="9.28515625" style="3" hidden="1" customWidth="1"/>
    <col min="12" max="12" width="7.140625" style="3" hidden="1" customWidth="1"/>
    <col min="13" max="13" width="5.140625" style="3" hidden="1" customWidth="1"/>
    <col min="14" max="14" width="7.5703125" style="3" hidden="1" customWidth="1"/>
    <col min="15" max="15" width="11.5703125" style="3" hidden="1" customWidth="1"/>
    <col min="16" max="16" width="17.7109375" style="3" customWidth="1"/>
    <col min="17" max="17" width="8.42578125" style="3" customWidth="1"/>
    <col min="18" max="18" width="8.5703125" style="3" customWidth="1"/>
    <col min="19" max="19" width="11.7109375" style="3" customWidth="1"/>
    <col min="20" max="20" width="8.28515625" style="3" customWidth="1"/>
    <col min="21" max="21" width="11" style="3" hidden="1" customWidth="1"/>
    <col min="22" max="22" width="11.85546875" style="3" customWidth="1"/>
    <col min="23" max="23" width="12" style="3" customWidth="1"/>
    <col min="24" max="24" width="9.7109375" style="3" customWidth="1"/>
    <col min="25" max="25" width="11.28515625" style="3" customWidth="1"/>
    <col min="26" max="26" width="8.7109375" style="3" bestFit="1" customWidth="1"/>
    <col min="27" max="28" width="11.140625" style="3" customWidth="1"/>
    <col min="29" max="29" width="9.5703125" style="3" bestFit="1" customWidth="1"/>
    <col min="30" max="30" width="9.42578125" style="3" customWidth="1"/>
    <col min="31" max="31" width="15" style="3" customWidth="1"/>
    <col min="32" max="32" width="13.28515625" style="3" customWidth="1"/>
    <col min="33" max="33" width="12" style="3" customWidth="1"/>
    <col min="34" max="16384" width="9.140625" style="3"/>
  </cols>
  <sheetData>
    <row r="1" spans="1:36" s="42" customFormat="1" ht="26.25" x14ac:dyDescent="0.4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40"/>
      <c r="AH1" s="41"/>
      <c r="AI1" s="41"/>
      <c r="AJ1" s="41"/>
    </row>
    <row r="2" spans="1:36" s="43" customFormat="1" ht="25.5" x14ac:dyDescent="0.3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40"/>
      <c r="AH2" s="40"/>
      <c r="AI2" s="40"/>
      <c r="AJ2" s="40"/>
    </row>
    <row r="3" spans="1:36" s="42" customFormat="1" ht="26.25" x14ac:dyDescent="0.4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44"/>
      <c r="AH3" s="41"/>
      <c r="AI3" s="41"/>
      <c r="AJ3" s="41"/>
    </row>
    <row r="4" spans="1:36" s="42" customFormat="1" ht="26.25" x14ac:dyDescent="0.4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40"/>
      <c r="AH4" s="41"/>
      <c r="AI4" s="41"/>
      <c r="AJ4" s="41"/>
    </row>
    <row r="5" spans="1:36" s="42" customFormat="1" ht="26.25" x14ac:dyDescent="0.4">
      <c r="A5" s="112" t="s">
        <v>65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40"/>
      <c r="AH5" s="41"/>
      <c r="AI5" s="41"/>
      <c r="AJ5" s="41"/>
    </row>
    <row r="6" spans="1:36" s="42" customFormat="1" ht="27" thickBot="1" x14ac:dyDescent="0.4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1"/>
      <c r="AI6" s="41"/>
      <c r="AJ6" s="41"/>
    </row>
    <row r="7" spans="1:36" ht="25.5" customHeight="1" thickBot="1" x14ac:dyDescent="0.3">
      <c r="A7" s="113" t="s">
        <v>3</v>
      </c>
      <c r="B7" s="110" t="s">
        <v>4</v>
      </c>
      <c r="C7" s="110"/>
      <c r="D7" s="116" t="s">
        <v>7</v>
      </c>
      <c r="E7" s="117"/>
      <c r="F7" s="120" t="s">
        <v>6</v>
      </c>
      <c r="G7" s="116"/>
      <c r="H7" s="116"/>
      <c r="I7" s="116"/>
      <c r="J7" s="116"/>
      <c r="K7" s="116"/>
      <c r="L7" s="116"/>
      <c r="M7" s="116"/>
      <c r="N7" s="116"/>
      <c r="O7" s="121"/>
      <c r="P7" s="84" t="s">
        <v>7</v>
      </c>
      <c r="Q7" s="124" t="s">
        <v>5</v>
      </c>
      <c r="R7" s="116"/>
      <c r="S7" s="116"/>
      <c r="T7" s="116"/>
      <c r="U7" s="121"/>
      <c r="V7" s="124" t="s">
        <v>6</v>
      </c>
      <c r="W7" s="116"/>
      <c r="X7" s="121"/>
      <c r="Y7" s="126" t="s">
        <v>7</v>
      </c>
      <c r="Z7" s="126"/>
      <c r="AA7" s="127" t="s">
        <v>6</v>
      </c>
      <c r="AB7" s="129" t="s">
        <v>5</v>
      </c>
      <c r="AC7" s="97" t="s">
        <v>6</v>
      </c>
      <c r="AD7" s="131"/>
      <c r="AE7" s="84" t="s">
        <v>7</v>
      </c>
      <c r="AF7" s="97" t="s">
        <v>6</v>
      </c>
      <c r="AG7" s="98"/>
      <c r="AH7" s="2"/>
      <c r="AI7" s="2"/>
      <c r="AJ7" s="2"/>
    </row>
    <row r="8" spans="1:36" ht="35.25" customHeight="1" thickBot="1" x14ac:dyDescent="0.3">
      <c r="A8" s="114"/>
      <c r="B8" s="110" t="s">
        <v>8</v>
      </c>
      <c r="C8" s="110"/>
      <c r="D8" s="118"/>
      <c r="E8" s="119"/>
      <c r="F8" s="122"/>
      <c r="G8" s="118"/>
      <c r="H8" s="118"/>
      <c r="I8" s="118"/>
      <c r="J8" s="118"/>
      <c r="K8" s="118"/>
      <c r="L8" s="118"/>
      <c r="M8" s="118"/>
      <c r="N8" s="118"/>
      <c r="O8" s="123"/>
      <c r="P8" s="45" t="s">
        <v>6</v>
      </c>
      <c r="Q8" s="125"/>
      <c r="R8" s="118"/>
      <c r="S8" s="118"/>
      <c r="T8" s="118"/>
      <c r="U8" s="123"/>
      <c r="V8" s="125"/>
      <c r="W8" s="118"/>
      <c r="X8" s="123"/>
      <c r="Y8" s="111" t="s">
        <v>6</v>
      </c>
      <c r="Z8" s="111"/>
      <c r="AA8" s="128"/>
      <c r="AB8" s="130"/>
      <c r="AC8" s="99"/>
      <c r="AD8" s="132"/>
      <c r="AE8" s="82" t="s">
        <v>6</v>
      </c>
      <c r="AF8" s="99"/>
      <c r="AG8" s="100"/>
      <c r="AH8" s="2"/>
      <c r="AI8" s="2"/>
      <c r="AJ8" s="2"/>
    </row>
    <row r="9" spans="1:36" ht="26.25" customHeight="1" x14ac:dyDescent="0.25">
      <c r="A9" s="114"/>
      <c r="B9" s="101" t="s">
        <v>9</v>
      </c>
      <c r="C9" s="101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 t="s">
        <v>10</v>
      </c>
      <c r="Q9" s="104" t="s">
        <v>11</v>
      </c>
      <c r="R9" s="102"/>
      <c r="S9" s="102"/>
      <c r="T9" s="102"/>
      <c r="U9" s="102"/>
      <c r="V9" s="102"/>
      <c r="W9" s="102"/>
      <c r="X9" s="102"/>
      <c r="Y9" s="102"/>
      <c r="Z9" s="105"/>
      <c r="AA9" s="106" t="s">
        <v>12</v>
      </c>
      <c r="AB9" s="107"/>
      <c r="AC9" s="107"/>
      <c r="AD9" s="108"/>
      <c r="AE9" s="84"/>
      <c r="AF9" s="84"/>
      <c r="AG9" s="47"/>
      <c r="AH9" s="2"/>
      <c r="AI9" s="2"/>
      <c r="AJ9" s="2"/>
    </row>
    <row r="10" spans="1:36" ht="34.5" customHeight="1" x14ac:dyDescent="0.25">
      <c r="A10" s="114"/>
      <c r="B10" s="109">
        <v>11083</v>
      </c>
      <c r="C10" s="109"/>
      <c r="D10" s="93">
        <v>200</v>
      </c>
      <c r="E10" s="93"/>
      <c r="F10" s="93">
        <v>215</v>
      </c>
      <c r="G10" s="93"/>
      <c r="H10" s="93">
        <v>135</v>
      </c>
      <c r="I10" s="93"/>
      <c r="J10" s="93">
        <v>150</v>
      </c>
      <c r="K10" s="93"/>
      <c r="L10" s="93">
        <v>150</v>
      </c>
      <c r="M10" s="93"/>
      <c r="N10" s="93">
        <v>38</v>
      </c>
      <c r="O10" s="89"/>
      <c r="P10" s="103"/>
      <c r="Q10" s="93" t="s">
        <v>13</v>
      </c>
      <c r="R10" s="93"/>
      <c r="S10" s="93" t="s">
        <v>14</v>
      </c>
      <c r="T10" s="93"/>
      <c r="U10" s="5" t="s">
        <v>15</v>
      </c>
      <c r="V10" s="89" t="s">
        <v>16</v>
      </c>
      <c r="W10" s="90"/>
      <c r="X10" s="91"/>
      <c r="Y10" s="85" t="s">
        <v>17</v>
      </c>
      <c r="Z10" s="85" t="s">
        <v>18</v>
      </c>
      <c r="AA10" s="89" t="s">
        <v>19</v>
      </c>
      <c r="AB10" s="90"/>
      <c r="AC10" s="90"/>
      <c r="AD10" s="91"/>
      <c r="AE10" s="85" t="s">
        <v>20</v>
      </c>
      <c r="AF10" s="85" t="s">
        <v>21</v>
      </c>
      <c r="AG10" s="48" t="s">
        <v>22</v>
      </c>
      <c r="AH10" s="2"/>
      <c r="AI10" s="2"/>
      <c r="AJ10" s="2"/>
    </row>
    <row r="11" spans="1:36" ht="26.25" customHeight="1" x14ac:dyDescent="0.25">
      <c r="A11" s="114"/>
      <c r="B11" s="96">
        <v>208</v>
      </c>
      <c r="C11" s="96"/>
      <c r="D11" s="93" t="s">
        <v>49</v>
      </c>
      <c r="E11" s="93"/>
      <c r="F11" s="93" t="s">
        <v>24</v>
      </c>
      <c r="G11" s="93"/>
      <c r="H11" s="93" t="s">
        <v>24</v>
      </c>
      <c r="I11" s="93"/>
      <c r="J11" s="93" t="s">
        <v>23</v>
      </c>
      <c r="K11" s="93"/>
      <c r="L11" s="93" t="s">
        <v>25</v>
      </c>
      <c r="M11" s="93"/>
      <c r="N11" s="93" t="s">
        <v>24</v>
      </c>
      <c r="O11" s="89"/>
      <c r="P11" s="103"/>
      <c r="Q11" s="85">
        <v>2.4</v>
      </c>
      <c r="R11" s="85">
        <v>3.6</v>
      </c>
      <c r="S11" s="85">
        <v>2.4</v>
      </c>
      <c r="T11" s="85">
        <v>3.6</v>
      </c>
      <c r="U11" s="85">
        <v>2.4</v>
      </c>
      <c r="V11" s="85">
        <v>3.6</v>
      </c>
      <c r="W11" s="85">
        <v>2.4</v>
      </c>
      <c r="X11" s="85">
        <v>4.9000000000000004</v>
      </c>
      <c r="Y11" s="85"/>
      <c r="Z11" s="85"/>
      <c r="AA11" s="85">
        <v>5</v>
      </c>
      <c r="AB11" s="85">
        <v>10</v>
      </c>
      <c r="AC11" s="85" t="s">
        <v>48</v>
      </c>
      <c r="AD11" s="85">
        <v>40</v>
      </c>
      <c r="AE11" s="85"/>
      <c r="AF11" s="85"/>
      <c r="AG11" s="48" t="s">
        <v>26</v>
      </c>
      <c r="AH11" s="2"/>
      <c r="AI11" s="2"/>
      <c r="AJ11" s="2"/>
    </row>
    <row r="12" spans="1:36" ht="26.25" customHeight="1" thickBot="1" x14ac:dyDescent="0.3">
      <c r="A12" s="114"/>
      <c r="B12" s="6" t="s">
        <v>27</v>
      </c>
      <c r="C12" s="7" t="s">
        <v>28</v>
      </c>
      <c r="D12" s="94">
        <v>35245</v>
      </c>
      <c r="E12" s="94"/>
      <c r="F12" s="94">
        <v>11082</v>
      </c>
      <c r="G12" s="94"/>
      <c r="H12" s="94">
        <v>21810</v>
      </c>
      <c r="I12" s="94"/>
      <c r="J12" s="94">
        <v>17362</v>
      </c>
      <c r="K12" s="94"/>
      <c r="L12" s="94">
        <v>18389</v>
      </c>
      <c r="M12" s="94"/>
      <c r="N12" s="94">
        <v>21811</v>
      </c>
      <c r="O12" s="95"/>
      <c r="P12" s="8">
        <v>10128</v>
      </c>
      <c r="Q12" s="87">
        <v>10962</v>
      </c>
      <c r="R12" s="87">
        <v>15427</v>
      </c>
      <c r="S12" s="87">
        <v>16623</v>
      </c>
      <c r="T12" s="87">
        <v>16967</v>
      </c>
      <c r="U12" s="87">
        <v>28230</v>
      </c>
      <c r="V12" s="87">
        <v>10966</v>
      </c>
      <c r="W12" s="87">
        <v>10965</v>
      </c>
      <c r="X12" s="87">
        <v>21809</v>
      </c>
      <c r="Y12" s="87">
        <v>11966</v>
      </c>
      <c r="Z12" s="87">
        <v>11089</v>
      </c>
      <c r="AA12" s="87">
        <v>10960</v>
      </c>
      <c r="AB12" s="87">
        <v>10961</v>
      </c>
      <c r="AC12" s="87">
        <v>33442</v>
      </c>
      <c r="AD12" s="87">
        <v>10959</v>
      </c>
      <c r="AE12" s="87">
        <v>12487</v>
      </c>
      <c r="AF12" s="87">
        <v>16823</v>
      </c>
      <c r="AG12" s="88">
        <v>11342</v>
      </c>
      <c r="AH12" s="2"/>
      <c r="AI12" s="2"/>
      <c r="AJ12" s="2"/>
    </row>
    <row r="13" spans="1:36" ht="26.25" customHeight="1" thickBot="1" x14ac:dyDescent="0.3">
      <c r="A13" s="115"/>
      <c r="B13" s="9"/>
      <c r="C13" s="10"/>
      <c r="D13" s="82" t="s">
        <v>29</v>
      </c>
      <c r="E13" s="82" t="s">
        <v>30</v>
      </c>
      <c r="F13" s="82" t="s">
        <v>29</v>
      </c>
      <c r="G13" s="82" t="s">
        <v>30</v>
      </c>
      <c r="H13" s="82" t="s">
        <v>29</v>
      </c>
      <c r="I13" s="82" t="s">
        <v>30</v>
      </c>
      <c r="J13" s="82" t="s">
        <v>29</v>
      </c>
      <c r="K13" s="82" t="s">
        <v>30</v>
      </c>
      <c r="L13" s="82" t="s">
        <v>29</v>
      </c>
      <c r="M13" s="82" t="s">
        <v>30</v>
      </c>
      <c r="N13" s="82" t="s">
        <v>29</v>
      </c>
      <c r="O13" s="11" t="s">
        <v>30</v>
      </c>
      <c r="P13" s="12" t="s">
        <v>30</v>
      </c>
      <c r="Q13" s="82" t="s">
        <v>29</v>
      </c>
      <c r="R13" s="82" t="s">
        <v>29</v>
      </c>
      <c r="S13" s="82" t="s">
        <v>29</v>
      </c>
      <c r="T13" s="82" t="s">
        <v>29</v>
      </c>
      <c r="U13" s="82" t="s">
        <v>29</v>
      </c>
      <c r="V13" s="82" t="s">
        <v>29</v>
      </c>
      <c r="W13" s="82" t="s">
        <v>29</v>
      </c>
      <c r="X13" s="82" t="s">
        <v>29</v>
      </c>
      <c r="Y13" s="82" t="s">
        <v>29</v>
      </c>
      <c r="Z13" s="82" t="s">
        <v>29</v>
      </c>
      <c r="AA13" s="82" t="s">
        <v>31</v>
      </c>
      <c r="AB13" s="82" t="s">
        <v>31</v>
      </c>
      <c r="AC13" s="82" t="s">
        <v>31</v>
      </c>
      <c r="AD13" s="82" t="s">
        <v>31</v>
      </c>
      <c r="AE13" s="82" t="s">
        <v>31</v>
      </c>
      <c r="AF13" s="82" t="s">
        <v>31</v>
      </c>
      <c r="AG13" s="11" t="s">
        <v>29</v>
      </c>
      <c r="AH13" s="2"/>
      <c r="AI13" s="2"/>
      <c r="AJ13" s="2"/>
    </row>
    <row r="14" spans="1:36" s="16" customFormat="1" ht="40.5" x14ac:dyDescent="0.3">
      <c r="A14" s="13" t="s">
        <v>67</v>
      </c>
      <c r="B14" s="14">
        <v>0</v>
      </c>
      <c r="C14" s="14">
        <v>0</v>
      </c>
      <c r="D14" s="14">
        <f>'APRIL 2026'!D18</f>
        <v>38714</v>
      </c>
      <c r="E14" s="14">
        <f>'APRIL 2026'!E18</f>
        <v>4839.25</v>
      </c>
      <c r="F14" s="14">
        <f>'APRIL 2026'!F18</f>
        <v>105602</v>
      </c>
      <c r="G14" s="14">
        <f>'APRIL 2026'!G18</f>
        <v>6826.3953488372117</v>
      </c>
      <c r="H14" s="14">
        <f>'APRIL 2026'!H18</f>
        <v>0</v>
      </c>
      <c r="I14" s="14">
        <f>'APRIL 2026'!I18</f>
        <v>0</v>
      </c>
      <c r="J14" s="14">
        <f>'APRIL 2026'!J18</f>
        <v>0</v>
      </c>
      <c r="K14" s="14">
        <f>'APRIL 2026'!K18</f>
        <v>0</v>
      </c>
      <c r="L14" s="14">
        <f>'APRIL 2026'!L18</f>
        <v>0</v>
      </c>
      <c r="M14" s="14">
        <f>'APRIL 2026'!M18</f>
        <v>0</v>
      </c>
      <c r="N14" s="14">
        <f>'APRIL 2026'!N18</f>
        <v>0</v>
      </c>
      <c r="O14" s="14">
        <f>'APRIL 2026'!O18</f>
        <v>0</v>
      </c>
      <c r="P14" s="14">
        <f>'APRIL 2026'!P18</f>
        <v>94798.320000000022</v>
      </c>
      <c r="Q14" s="14">
        <f>'APRIL 2026'!Q18</f>
        <v>264</v>
      </c>
      <c r="R14" s="14">
        <f>'APRIL 2026'!R18</f>
        <v>847</v>
      </c>
      <c r="S14" s="14">
        <f>'APRIL 2026'!S18</f>
        <v>16364</v>
      </c>
      <c r="T14" s="14">
        <f>'APRIL 2026'!T18</f>
        <v>0</v>
      </c>
      <c r="U14" s="14">
        <f>'APRIL 2026'!U18</f>
        <v>0</v>
      </c>
      <c r="V14" s="14">
        <f>'APRIL 2026'!V18</f>
        <v>15644</v>
      </c>
      <c r="W14" s="14">
        <f>'APRIL 2026'!W18</f>
        <v>59481</v>
      </c>
      <c r="X14" s="14">
        <f>'APRIL 2026'!X18</f>
        <v>646</v>
      </c>
      <c r="Y14" s="14">
        <f>'APRIL 2026'!Y18</f>
        <v>7429</v>
      </c>
      <c r="Z14" s="14">
        <f>'APRIL 2026'!Z18</f>
        <v>322</v>
      </c>
      <c r="AA14" s="14">
        <f>'APRIL 2026'!AA18</f>
        <v>17184</v>
      </c>
      <c r="AB14" s="14">
        <f>'APRIL 2026'!AB18</f>
        <v>16123</v>
      </c>
      <c r="AC14" s="14">
        <f>'APRIL 2026'!AC18</f>
        <v>0</v>
      </c>
      <c r="AD14" s="14">
        <f>'APRIL 2026'!AD18</f>
        <v>1060</v>
      </c>
      <c r="AE14" s="14">
        <f>'APRIL 2026'!AE18</f>
        <v>23542.469999999994</v>
      </c>
      <c r="AF14" s="14">
        <f>'APRIL 2026'!AF18</f>
        <v>2275</v>
      </c>
      <c r="AG14" s="14">
        <f>'APRIL 2026'!AG18</f>
        <v>275</v>
      </c>
      <c r="AH14" s="15"/>
      <c r="AI14" s="15"/>
      <c r="AJ14" s="15"/>
    </row>
    <row r="15" spans="1:36" s="16" customFormat="1" ht="50.1" customHeight="1" x14ac:dyDescent="0.3">
      <c r="A15" s="13" t="s">
        <v>32</v>
      </c>
      <c r="B15" s="17"/>
      <c r="C15" s="17"/>
      <c r="D15" s="18">
        <v>35000</v>
      </c>
      <c r="E15" s="66">
        <f>D15/200*25</f>
        <v>4375</v>
      </c>
      <c r="F15" s="18">
        <v>37625</v>
      </c>
      <c r="G15" s="46">
        <f>F15/215*25</f>
        <v>4375</v>
      </c>
      <c r="H15" s="18">
        <v>0</v>
      </c>
      <c r="I15" s="18">
        <f>H15/135*25</f>
        <v>0</v>
      </c>
      <c r="J15" s="18"/>
      <c r="K15" s="18"/>
      <c r="L15" s="18"/>
      <c r="M15" s="18"/>
      <c r="N15" s="18">
        <v>0</v>
      </c>
      <c r="O15" s="18">
        <f>N15/38*25</f>
        <v>0</v>
      </c>
      <c r="P15" s="18">
        <v>17500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31500</v>
      </c>
      <c r="X15" s="18">
        <v>0</v>
      </c>
      <c r="Y15" s="18">
        <v>5000</v>
      </c>
      <c r="Z15" s="18">
        <v>80</v>
      </c>
      <c r="AA15" s="18">
        <v>5400</v>
      </c>
      <c r="AB15" s="18">
        <v>6000</v>
      </c>
      <c r="AC15" s="18"/>
      <c r="AD15" s="18"/>
      <c r="AE15" s="18">
        <v>8000</v>
      </c>
      <c r="AF15" s="18">
        <v>0</v>
      </c>
      <c r="AG15" s="19">
        <v>0</v>
      </c>
      <c r="AH15" s="15"/>
      <c r="AI15" s="15"/>
      <c r="AJ15" s="15"/>
    </row>
    <row r="16" spans="1:36" s="16" customFormat="1" ht="50.1" customHeight="1" x14ac:dyDescent="0.3">
      <c r="A16" s="20" t="s">
        <v>33</v>
      </c>
      <c r="B16" s="17">
        <f t="shared" ref="B16:N16" si="0">B14+B15</f>
        <v>0</v>
      </c>
      <c r="C16" s="17">
        <f t="shared" si="0"/>
        <v>0</v>
      </c>
      <c r="D16" s="18">
        <f t="shared" si="0"/>
        <v>73714</v>
      </c>
      <c r="E16" s="46">
        <f>E14+E15</f>
        <v>9214.25</v>
      </c>
      <c r="F16" s="18">
        <f t="shared" si="0"/>
        <v>143227</v>
      </c>
      <c r="G16" s="46">
        <f t="shared" si="0"/>
        <v>11201.395348837212</v>
      </c>
      <c r="H16" s="18">
        <f t="shared" si="0"/>
        <v>0</v>
      </c>
      <c r="I16" s="46">
        <f t="shared" si="0"/>
        <v>0</v>
      </c>
      <c r="J16" s="46">
        <f t="shared" si="0"/>
        <v>0</v>
      </c>
      <c r="K16" s="46">
        <f t="shared" si="0"/>
        <v>0</v>
      </c>
      <c r="L16" s="46">
        <f t="shared" si="0"/>
        <v>0</v>
      </c>
      <c r="M16" s="46">
        <f t="shared" si="0"/>
        <v>0</v>
      </c>
      <c r="N16" s="18">
        <f t="shared" si="0"/>
        <v>0</v>
      </c>
      <c r="O16" s="46">
        <f>N16/38*25</f>
        <v>0</v>
      </c>
      <c r="P16" s="46">
        <f t="shared" ref="P16:AG16" si="1">P14+P15</f>
        <v>112298.32000000002</v>
      </c>
      <c r="Q16" s="18">
        <f t="shared" si="1"/>
        <v>264</v>
      </c>
      <c r="R16" s="18">
        <f t="shared" si="1"/>
        <v>847</v>
      </c>
      <c r="S16" s="18">
        <f t="shared" si="1"/>
        <v>16364</v>
      </c>
      <c r="T16" s="18">
        <f t="shared" si="1"/>
        <v>0</v>
      </c>
      <c r="U16" s="18">
        <f t="shared" si="1"/>
        <v>0</v>
      </c>
      <c r="V16" s="18">
        <f t="shared" si="1"/>
        <v>15644</v>
      </c>
      <c r="W16" s="18">
        <f t="shared" si="1"/>
        <v>90981</v>
      </c>
      <c r="X16" s="18">
        <f t="shared" si="1"/>
        <v>646</v>
      </c>
      <c r="Y16" s="18">
        <f t="shared" si="1"/>
        <v>12429</v>
      </c>
      <c r="Z16" s="18">
        <f t="shared" si="1"/>
        <v>402</v>
      </c>
      <c r="AA16" s="18">
        <f t="shared" si="1"/>
        <v>22584</v>
      </c>
      <c r="AB16" s="18">
        <f t="shared" si="1"/>
        <v>22123</v>
      </c>
      <c r="AC16" s="18">
        <f t="shared" si="1"/>
        <v>0</v>
      </c>
      <c r="AD16" s="18">
        <f t="shared" si="1"/>
        <v>1060</v>
      </c>
      <c r="AE16" s="46">
        <f t="shared" si="1"/>
        <v>31542.469999999994</v>
      </c>
      <c r="AF16" s="18">
        <f t="shared" si="1"/>
        <v>2275</v>
      </c>
      <c r="AG16" s="19">
        <f t="shared" si="1"/>
        <v>275</v>
      </c>
      <c r="AH16" s="15"/>
      <c r="AI16" s="15"/>
      <c r="AJ16" s="15"/>
    </row>
    <row r="17" spans="1:37" s="16" customFormat="1" ht="50.1" customHeight="1" x14ac:dyDescent="0.3">
      <c r="A17" s="20" t="s">
        <v>34</v>
      </c>
      <c r="B17" s="17">
        <v>0</v>
      </c>
      <c r="C17" s="17">
        <f>B17/208*25</f>
        <v>0</v>
      </c>
      <c r="D17" s="18">
        <v>46364</v>
      </c>
      <c r="E17" s="46">
        <f>D17/200*25</f>
        <v>5795.5</v>
      </c>
      <c r="F17" s="18">
        <v>42223</v>
      </c>
      <c r="G17" s="46">
        <f>F17/215*25</f>
        <v>4909.6511627906975</v>
      </c>
      <c r="H17" s="18">
        <v>0</v>
      </c>
      <c r="I17" s="46">
        <f>H17/135*25</f>
        <v>0</v>
      </c>
      <c r="J17" s="18"/>
      <c r="K17" s="18">
        <f>J17/150*25</f>
        <v>0</v>
      </c>
      <c r="L17" s="18"/>
      <c r="M17" s="18">
        <f>L17/150*25</f>
        <v>0</v>
      </c>
      <c r="N17" s="18">
        <v>0</v>
      </c>
      <c r="O17" s="46">
        <f>N17/38*25</f>
        <v>0</v>
      </c>
      <c r="P17" s="81">
        <v>30961.5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3453</v>
      </c>
      <c r="W17" s="18">
        <v>44222</v>
      </c>
      <c r="X17" s="18">
        <v>0</v>
      </c>
      <c r="Y17" s="18">
        <v>5002</v>
      </c>
      <c r="Z17" s="18">
        <v>128</v>
      </c>
      <c r="AA17" s="18">
        <v>12260</v>
      </c>
      <c r="AB17" s="18">
        <v>8724</v>
      </c>
      <c r="AC17" s="18">
        <v>0</v>
      </c>
      <c r="AD17" s="18">
        <v>0</v>
      </c>
      <c r="AE17" s="46">
        <f>Y17*2.43</f>
        <v>12154.86</v>
      </c>
      <c r="AF17" s="18">
        <v>330</v>
      </c>
      <c r="AG17" s="19">
        <v>0</v>
      </c>
      <c r="AH17" s="15"/>
      <c r="AI17" s="15"/>
      <c r="AJ17" s="15"/>
    </row>
    <row r="18" spans="1:37" s="16" customFormat="1" ht="50.1" customHeight="1" thickBot="1" x14ac:dyDescent="0.35">
      <c r="A18" s="21" t="s">
        <v>66</v>
      </c>
      <c r="B18" s="22">
        <f t="shared" ref="B18:AG18" si="2">B16-B17</f>
        <v>0</v>
      </c>
      <c r="C18" s="22">
        <f t="shared" si="2"/>
        <v>0</v>
      </c>
      <c r="D18" s="23">
        <f t="shared" si="2"/>
        <v>27350</v>
      </c>
      <c r="E18" s="24">
        <f t="shared" si="2"/>
        <v>3418.75</v>
      </c>
      <c r="F18" s="23">
        <f t="shared" si="2"/>
        <v>101004</v>
      </c>
      <c r="G18" s="24">
        <f t="shared" si="2"/>
        <v>6291.7441860465142</v>
      </c>
      <c r="H18" s="23">
        <f t="shared" si="2"/>
        <v>0</v>
      </c>
      <c r="I18" s="23">
        <f t="shared" si="2"/>
        <v>0</v>
      </c>
      <c r="J18" s="23">
        <f t="shared" si="2"/>
        <v>0</v>
      </c>
      <c r="K18" s="23">
        <f t="shared" si="2"/>
        <v>0</v>
      </c>
      <c r="L18" s="23">
        <f t="shared" si="2"/>
        <v>0</v>
      </c>
      <c r="M18" s="23">
        <f t="shared" si="2"/>
        <v>0</v>
      </c>
      <c r="N18" s="23">
        <f t="shared" si="2"/>
        <v>0</v>
      </c>
      <c r="O18" s="23">
        <f t="shared" si="2"/>
        <v>0</v>
      </c>
      <c r="P18" s="24">
        <f>P16-P17</f>
        <v>81336.820000000022</v>
      </c>
      <c r="Q18" s="23">
        <f t="shared" si="2"/>
        <v>264</v>
      </c>
      <c r="R18" s="23">
        <f t="shared" si="2"/>
        <v>847</v>
      </c>
      <c r="S18" s="23">
        <f t="shared" si="2"/>
        <v>16364</v>
      </c>
      <c r="T18" s="23">
        <f t="shared" si="2"/>
        <v>0</v>
      </c>
      <c r="U18" s="23">
        <f t="shared" si="2"/>
        <v>0</v>
      </c>
      <c r="V18" s="23">
        <f t="shared" si="2"/>
        <v>12191</v>
      </c>
      <c r="W18" s="23">
        <f t="shared" si="2"/>
        <v>46759</v>
      </c>
      <c r="X18" s="23">
        <f t="shared" si="2"/>
        <v>646</v>
      </c>
      <c r="Y18" s="23">
        <f t="shared" si="2"/>
        <v>7427</v>
      </c>
      <c r="Z18" s="23">
        <f t="shared" si="2"/>
        <v>274</v>
      </c>
      <c r="AA18" s="23">
        <f t="shared" si="2"/>
        <v>10324</v>
      </c>
      <c r="AB18" s="23">
        <f t="shared" si="2"/>
        <v>13399</v>
      </c>
      <c r="AC18" s="23">
        <f t="shared" si="2"/>
        <v>0</v>
      </c>
      <c r="AD18" s="23">
        <f t="shared" si="2"/>
        <v>1060</v>
      </c>
      <c r="AE18" s="24">
        <f t="shared" si="2"/>
        <v>19387.609999999993</v>
      </c>
      <c r="AF18" s="23">
        <f t="shared" si="2"/>
        <v>1945</v>
      </c>
      <c r="AG18" s="25">
        <f t="shared" si="2"/>
        <v>275</v>
      </c>
      <c r="AH18" s="15"/>
      <c r="AI18" s="15"/>
      <c r="AJ18" s="15"/>
    </row>
    <row r="19" spans="1:37" s="27" customFormat="1" ht="30" customHeight="1" x14ac:dyDescent="0.25">
      <c r="A19" s="4"/>
      <c r="B19" s="1"/>
      <c r="C19" s="1"/>
      <c r="D19" s="1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6"/>
      <c r="R19" s="26"/>
      <c r="S19" s="1"/>
      <c r="T19" s="1"/>
      <c r="U19" s="1"/>
      <c r="V19" s="26"/>
      <c r="W19" s="26"/>
      <c r="X19" s="26"/>
      <c r="Y19" s="1"/>
      <c r="Z19" s="1"/>
      <c r="AA19" s="1"/>
      <c r="AB19" s="1"/>
      <c r="AC19" s="1"/>
      <c r="AD19" s="1"/>
      <c r="AE19" s="1"/>
      <c r="AF19" s="1"/>
      <c r="AG19" s="26"/>
      <c r="AH19" s="2"/>
      <c r="AI19" s="2"/>
      <c r="AJ19" s="2"/>
    </row>
    <row r="20" spans="1:37" s="28" customFormat="1" ht="23.25" x14ac:dyDescent="0.35">
      <c r="A20" s="28" t="s">
        <v>35</v>
      </c>
      <c r="B20" s="29"/>
      <c r="E20" s="28" t="s">
        <v>36</v>
      </c>
      <c r="J20" s="28" t="s">
        <v>37</v>
      </c>
      <c r="S20" s="28" t="s">
        <v>37</v>
      </c>
      <c r="Z20" s="28" t="s">
        <v>38</v>
      </c>
      <c r="AJ20" s="30"/>
      <c r="AK20" s="30"/>
    </row>
    <row r="21" spans="1:37" s="28" customFormat="1" ht="23.25" x14ac:dyDescent="0.35">
      <c r="B21" s="29"/>
      <c r="E21" s="29"/>
      <c r="AD21" s="29"/>
      <c r="AJ21" s="29"/>
      <c r="AK21" s="29"/>
    </row>
    <row r="22" spans="1:37" s="28" customFormat="1" ht="21" customHeight="1" x14ac:dyDescent="0.35">
      <c r="A22" s="29"/>
      <c r="B22" s="29"/>
      <c r="E22" s="29"/>
      <c r="AD22" s="29"/>
    </row>
    <row r="23" spans="1:37" s="33" customFormat="1" ht="23.25" x14ac:dyDescent="0.35">
      <c r="A23" s="31" t="s">
        <v>39</v>
      </c>
      <c r="B23" s="29"/>
      <c r="C23" s="28"/>
      <c r="E23" s="32" t="s">
        <v>40</v>
      </c>
      <c r="H23" s="28"/>
      <c r="I23" s="28"/>
      <c r="J23" s="32" t="s">
        <v>41</v>
      </c>
      <c r="K23" s="28"/>
      <c r="L23" s="28"/>
      <c r="M23" s="28"/>
      <c r="S23" s="32" t="s">
        <v>42</v>
      </c>
      <c r="Z23" s="32" t="s">
        <v>43</v>
      </c>
      <c r="AH23" s="34"/>
      <c r="AI23" s="35"/>
      <c r="AJ23" s="34"/>
      <c r="AK23" s="34"/>
    </row>
    <row r="24" spans="1:37" s="33" customFormat="1" ht="23.25" x14ac:dyDescent="0.35">
      <c r="A24" s="28" t="s">
        <v>47</v>
      </c>
      <c r="B24" s="28"/>
      <c r="C24" s="28"/>
      <c r="E24" s="28" t="s">
        <v>44</v>
      </c>
      <c r="H24" s="28"/>
      <c r="I24" s="28"/>
      <c r="J24" s="28" t="s">
        <v>45</v>
      </c>
      <c r="K24" s="28"/>
      <c r="L24" s="28"/>
      <c r="M24" s="28"/>
      <c r="S24" s="28" t="s">
        <v>46</v>
      </c>
      <c r="Z24" s="30" t="s">
        <v>50</v>
      </c>
      <c r="AI24" s="36"/>
      <c r="AJ24" s="36"/>
      <c r="AK24" s="36"/>
    </row>
    <row r="25" spans="1:37" s="37" customFormat="1" ht="23.25" x14ac:dyDescent="0.35">
      <c r="W25" s="28"/>
    </row>
    <row r="26" spans="1:37" s="28" customFormat="1" ht="23.25" x14ac:dyDescent="0.35">
      <c r="AI26" s="30"/>
      <c r="AJ26" s="30"/>
    </row>
    <row r="27" spans="1:37" s="33" customFormat="1" ht="20.25" x14ac:dyDescent="0.3">
      <c r="Z27" s="36"/>
      <c r="AF27" s="36"/>
    </row>
    <row r="28" spans="1:37" s="27" customFormat="1" x14ac:dyDescent="0.25">
      <c r="P28" s="38"/>
      <c r="Q28" s="38"/>
      <c r="R28" s="38"/>
      <c r="Y28" s="38"/>
      <c r="AE28" s="38"/>
      <c r="AG28" s="38"/>
    </row>
    <row r="29" spans="1:37" s="27" customFormat="1" x14ac:dyDescent="0.25">
      <c r="A29" s="39"/>
      <c r="B29" s="39"/>
      <c r="C29" s="39"/>
      <c r="Z29" s="1"/>
      <c r="AD29" s="1"/>
      <c r="AF29" s="1"/>
      <c r="AH29" s="2"/>
      <c r="AI29" s="2"/>
      <c r="AJ29" s="2"/>
    </row>
    <row r="30" spans="1:37" s="27" customForma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1"/>
      <c r="AA30" s="38"/>
      <c r="AB30" s="38"/>
      <c r="AC30" s="38"/>
      <c r="AD30" s="1"/>
      <c r="AE30" s="38"/>
      <c r="AF30" s="1"/>
      <c r="AG30" s="38"/>
      <c r="AH30" s="2"/>
      <c r="AI30" s="2"/>
      <c r="AJ30" s="2"/>
    </row>
    <row r="31" spans="1:37" s="27" customForma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/>
      <c r="Q31" s="39"/>
      <c r="R31" s="39"/>
      <c r="S31" s="38"/>
      <c r="T31" s="38"/>
      <c r="U31" s="38"/>
      <c r="V31" s="39"/>
      <c r="W31" s="39"/>
      <c r="X31" s="39"/>
      <c r="Z31" s="1"/>
      <c r="AA31" s="38"/>
      <c r="AB31" s="38"/>
      <c r="AC31" s="38"/>
      <c r="AD31" s="1"/>
      <c r="AE31" s="39"/>
      <c r="AF31" s="1"/>
      <c r="AH31" s="2"/>
      <c r="AI31" s="2"/>
      <c r="AJ31" s="2"/>
    </row>
    <row r="32" spans="1:37" s="27" customFormat="1" x14ac:dyDescent="0.25"/>
    <row r="33" spans="1:32" s="27" customFormat="1" x14ac:dyDescent="0.25"/>
    <row r="34" spans="1:32" s="27" customFormat="1" x14ac:dyDescent="0.25"/>
    <row r="35" spans="1:32" s="27" customFormat="1" x14ac:dyDescent="0.25"/>
    <row r="36" spans="1:32" s="27" customFormat="1" x14ac:dyDescent="0.25"/>
    <row r="37" spans="1:32" s="27" customFormat="1" x14ac:dyDescent="0.25"/>
    <row r="46" spans="1:32" ht="17.25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86"/>
      <c r="AF46" s="86"/>
    </row>
    <row r="47" spans="1:32" x14ac:dyDescent="0.25">
      <c r="A47" s="38"/>
    </row>
  </sheetData>
  <mergeCells count="47">
    <mergeCell ref="V10:X10"/>
    <mergeCell ref="A46:AD46"/>
    <mergeCell ref="N11:O11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  <mergeCell ref="AF7:AG8"/>
    <mergeCell ref="AA10:AD10"/>
    <mergeCell ref="B9:C9"/>
    <mergeCell ref="D9:O9"/>
    <mergeCell ref="P9:P11"/>
    <mergeCell ref="Q9:Z9"/>
    <mergeCell ref="AA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B8:C8"/>
    <mergeCell ref="Y8:Z8"/>
    <mergeCell ref="A1:AF1"/>
    <mergeCell ref="A2:AF2"/>
    <mergeCell ref="A4:AF4"/>
    <mergeCell ref="A5:AF5"/>
    <mergeCell ref="A7:A13"/>
    <mergeCell ref="B7:C7"/>
    <mergeCell ref="D7:E8"/>
    <mergeCell ref="F7:O8"/>
    <mergeCell ref="Q7:U8"/>
    <mergeCell ref="V7:X8"/>
    <mergeCell ref="Y7:Z7"/>
    <mergeCell ref="AA7:AA8"/>
    <mergeCell ref="AB7:AB8"/>
    <mergeCell ref="AC7:AD8"/>
  </mergeCells>
  <pageMargins left="0.31496062992126" right="0.196850393700787" top="0.66929133858267698" bottom="0.35433070866141703" header="0.31496062992126" footer="0.31496062992126"/>
  <pageSetup paperSize="14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2026</vt:lpstr>
      <vt:lpstr>FEBRUARY 2026</vt:lpstr>
      <vt:lpstr>MARCH 2026</vt:lpstr>
      <vt:lpstr>APRIL 2026</vt:lpstr>
      <vt:lpstr>MAY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cp:lastPrinted>2026-06-02T02:59:52Z</cp:lastPrinted>
  <dcterms:created xsi:type="dcterms:W3CDTF">2024-02-01T02:59:51Z</dcterms:created>
  <dcterms:modified xsi:type="dcterms:W3CDTF">2026-06-02T02:59:59Z</dcterms:modified>
</cp:coreProperties>
</file>