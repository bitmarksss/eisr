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7.MINE EXPLOSIVES REPORTS\03. MGB 2020-2026\2026\"/>
    </mc:Choice>
  </mc:AlternateContent>
  <bookViews>
    <workbookView xWindow="0" yWindow="0" windowWidth="28800" windowHeight="11715" tabRatio="875" firstSheet="6" activeTab="14"/>
  </bookViews>
  <sheets>
    <sheet name="JANUARY 2026 - PMC " sheetId="333" r:id="rId1"/>
    <sheet name="JANUARY 2026 - EXPLO" sheetId="332" r:id="rId2"/>
    <sheet name="JANUARY 2026- TIGERWAY " sheetId="334" r:id="rId3"/>
    <sheet name="FEBRUARY 2026 - PMC " sheetId="335" r:id="rId4"/>
    <sheet name="FEBRUARY 2026 - EXPLO" sheetId="336" r:id="rId5"/>
    <sheet name="FEBRUARY 2026- TIGERWAY" sheetId="337" r:id="rId6"/>
    <sheet name="MARCH 2026 - PMC " sheetId="338" r:id="rId7"/>
    <sheet name="MARCH 2026 - EXPLO" sheetId="339" r:id="rId8"/>
    <sheet name="MARCH 2026 TIGERWAY" sheetId="340" r:id="rId9"/>
    <sheet name="APRIL 2026 - PMC  " sheetId="341" r:id="rId10"/>
    <sheet name="APRIL 2026 - EXPLO" sheetId="342" r:id="rId11"/>
    <sheet name="APRIL 2026 TIGERWAY " sheetId="343" r:id="rId12"/>
    <sheet name="MAY 2026 - PMC  " sheetId="344" r:id="rId13"/>
    <sheet name="MAY 2026 - EXPLO" sheetId="345" r:id="rId14"/>
    <sheet name="MAY 2026 TIGERWAY " sheetId="346" r:id="rId15"/>
    <sheet name="Sheet1" sheetId="289" r:id="rId16"/>
  </sheets>
  <definedNames>
    <definedName name="_xlnm._FilterDatabase" localSheetId="10" hidden="1">'APRIL 2026 - EXPLO'!$B$21:$AM$29</definedName>
    <definedName name="_xlnm._FilterDatabase" localSheetId="9" hidden="1">'APRIL 2026 - PMC  '!$B$21:$AR$36</definedName>
    <definedName name="_xlnm._FilterDatabase" localSheetId="11" hidden="1">'APRIL 2026 TIGERWAY '!$B$21:$AZ$30</definedName>
    <definedName name="_xlnm._FilterDatabase" localSheetId="4" hidden="1">'FEBRUARY 2026 - EXPLO'!$B$21:$AM$29</definedName>
    <definedName name="_xlnm._FilterDatabase" localSheetId="3" hidden="1">'FEBRUARY 2026 - PMC '!$B$21:$AR$36</definedName>
    <definedName name="_xlnm._FilterDatabase" localSheetId="5" hidden="1">'FEBRUARY 2026- TIGERWAY'!$B$21:$AW$30</definedName>
    <definedName name="_xlnm._FilterDatabase" localSheetId="1" hidden="1">'JANUARY 2026 - EXPLO'!$B$21:$AM$29</definedName>
    <definedName name="_xlnm._FilterDatabase" localSheetId="0" hidden="1">'JANUARY 2026 - PMC '!$B$21:$AR$36</definedName>
    <definedName name="_xlnm._FilterDatabase" localSheetId="2" hidden="1">'JANUARY 2026- TIGERWAY '!$B$21:$AW$30</definedName>
    <definedName name="_xlnm._FilterDatabase" localSheetId="7" hidden="1">'MARCH 2026 - EXPLO'!$B$21:$AM$29</definedName>
    <definedName name="_xlnm._FilterDatabase" localSheetId="6" hidden="1">'MARCH 2026 - PMC '!$B$21:$AR$36</definedName>
    <definedName name="_xlnm._FilterDatabase" localSheetId="8" hidden="1">'MARCH 2026 TIGERWAY'!$B$21:$AY$30</definedName>
    <definedName name="_xlnm._FilterDatabase" localSheetId="13" hidden="1">'MAY 2026 - EXPLO'!$B$21:$AM$29</definedName>
    <definedName name="_xlnm._FilterDatabase" localSheetId="12" hidden="1">'MAY 2026 - PMC  '!$B$21:$AR$36</definedName>
    <definedName name="_xlnm._FilterDatabase" localSheetId="14" hidden="1">'MAY 2026 TIGERWAY '!$B$21:$AZ$30</definedName>
  </definedNames>
  <calcPr calcId="152511"/>
</workbook>
</file>

<file path=xl/calcChain.xml><?xml version="1.0" encoding="utf-8"?>
<calcChain xmlns="http://schemas.openxmlformats.org/spreadsheetml/2006/main">
  <c r="Q24" i="344" l="1"/>
  <c r="Q26" i="344"/>
  <c r="J38" i="344"/>
  <c r="AJ35" i="344" l="1"/>
  <c r="S21" i="346" l="1"/>
  <c r="T21" i="346"/>
  <c r="U21" i="346"/>
  <c r="V21" i="346"/>
  <c r="W21" i="346"/>
  <c r="X21" i="346"/>
  <c r="Y21" i="346"/>
  <c r="Z21" i="346"/>
  <c r="AA21" i="346"/>
  <c r="AB21" i="346"/>
  <c r="AC21" i="346"/>
  <c r="AD21" i="346"/>
  <c r="AE21" i="346"/>
  <c r="AF21" i="346"/>
  <c r="AG21" i="346"/>
  <c r="AH21" i="346"/>
  <c r="AI21" i="346"/>
  <c r="AJ21" i="346"/>
  <c r="AK21" i="346"/>
  <c r="AL21" i="346"/>
  <c r="AM21" i="346"/>
  <c r="AN21" i="346"/>
  <c r="AO21" i="346"/>
  <c r="AP21" i="346"/>
  <c r="AQ21" i="346"/>
  <c r="AR21" i="346"/>
  <c r="AS21" i="346"/>
  <c r="AT21" i="346"/>
  <c r="AU21" i="346"/>
  <c r="AV21" i="346"/>
  <c r="R21" i="346"/>
  <c r="V30" i="346"/>
  <c r="T30" i="346"/>
  <c r="R30" i="346"/>
  <c r="K26" i="344" l="1"/>
  <c r="J25" i="344"/>
  <c r="B31" i="346"/>
  <c r="B21" i="346"/>
  <c r="C16" i="346"/>
  <c r="O30" i="346"/>
  <c r="AY28" i="346"/>
  <c r="AY31" i="346" s="1"/>
  <c r="AX28" i="346"/>
  <c r="AX31" i="346" s="1"/>
  <c r="AT28" i="346"/>
  <c r="AT31" i="346" s="1"/>
  <c r="AS28" i="346"/>
  <c r="AS31" i="346" s="1"/>
  <c r="AR28" i="346"/>
  <c r="AR31" i="346" s="1"/>
  <c r="AL28" i="346"/>
  <c r="AL31" i="346" s="1"/>
  <c r="AH28" i="346"/>
  <c r="AH31" i="346" s="1"/>
  <c r="AE28" i="346"/>
  <c r="AE31" i="346" s="1"/>
  <c r="AB28" i="346"/>
  <c r="AB31" i="346" s="1"/>
  <c r="AA28" i="346"/>
  <c r="AA31" i="346" s="1"/>
  <c r="Z28" i="346"/>
  <c r="Z31" i="346" s="1"/>
  <c r="Y28" i="346"/>
  <c r="Y31" i="346" s="1"/>
  <c r="U28" i="346"/>
  <c r="U31" i="346" s="1"/>
  <c r="T28" i="346"/>
  <c r="T31" i="346" s="1"/>
  <c r="S28" i="346"/>
  <c r="S31" i="346" s="1"/>
  <c r="O28" i="346"/>
  <c r="O31" i="346" s="1"/>
  <c r="N28" i="346"/>
  <c r="N31" i="346" s="1"/>
  <c r="M28" i="346"/>
  <c r="I28" i="346"/>
  <c r="I31" i="346" s="1"/>
  <c r="O23" i="346"/>
  <c r="AY21" i="346"/>
  <c r="AX21" i="346"/>
  <c r="AW21" i="346"/>
  <c r="AW28" i="346" s="1"/>
  <c r="AW31" i="346" s="1"/>
  <c r="AV28" i="346"/>
  <c r="AV31" i="346" s="1"/>
  <c r="AU28" i="346"/>
  <c r="AU31" i="346" s="1"/>
  <c r="AM28" i="346"/>
  <c r="AM31" i="346" s="1"/>
  <c r="AK28" i="346"/>
  <c r="AK31" i="346" s="1"/>
  <c r="AI28" i="346"/>
  <c r="AI31" i="346" s="1"/>
  <c r="AD28" i="346"/>
  <c r="AD31" i="346" s="1"/>
  <c r="AC28" i="346"/>
  <c r="AC31" i="346" s="1"/>
  <c r="X28" i="346"/>
  <c r="X31" i="346" s="1"/>
  <c r="W28" i="346"/>
  <c r="W31" i="346" s="1"/>
  <c r="V28" i="346"/>
  <c r="V31" i="346" s="1"/>
  <c r="R28" i="346"/>
  <c r="R31" i="346" s="1"/>
  <c r="Q21" i="346"/>
  <c r="Q28" i="346" s="1"/>
  <c r="Q31" i="346" s="1"/>
  <c r="P21" i="346"/>
  <c r="P28" i="346" s="1"/>
  <c r="P31" i="346" s="1"/>
  <c r="O21" i="346"/>
  <c r="N21" i="346"/>
  <c r="M21" i="346"/>
  <c r="L21" i="346"/>
  <c r="L28" i="346" s="1"/>
  <c r="K21" i="346"/>
  <c r="K28" i="346" s="1"/>
  <c r="J21" i="346"/>
  <c r="J28" i="346" s="1"/>
  <c r="I21" i="346"/>
  <c r="B31" i="345"/>
  <c r="B21" i="345"/>
  <c r="C16" i="345"/>
  <c r="AJ27" i="345"/>
  <c r="AJ31" i="345" s="1"/>
  <c r="AI27" i="345"/>
  <c r="AI31" i="345" s="1"/>
  <c r="AD27" i="345"/>
  <c r="AD31" i="345" s="1"/>
  <c r="AC27" i="345"/>
  <c r="AC31" i="345" s="1"/>
  <c r="X27" i="345"/>
  <c r="X31" i="345" s="1"/>
  <c r="W27" i="345"/>
  <c r="W31" i="345" s="1"/>
  <c r="R27" i="345"/>
  <c r="R31" i="345" s="1"/>
  <c r="Q27" i="345"/>
  <c r="Q31" i="345" s="1"/>
  <c r="L27" i="345"/>
  <c r="L31" i="345" s="1"/>
  <c r="K27" i="345"/>
  <c r="K31" i="345" s="1"/>
  <c r="AL21" i="345"/>
  <c r="AL27" i="345" s="1"/>
  <c r="AL31" i="345" s="1"/>
  <c r="AK21" i="345"/>
  <c r="AK27" i="345" s="1"/>
  <c r="AK31" i="345" s="1"/>
  <c r="AJ21" i="345"/>
  <c r="AI21" i="345"/>
  <c r="AH21" i="345"/>
  <c r="AH27" i="345" s="1"/>
  <c r="AH31" i="345" s="1"/>
  <c r="AG21" i="345"/>
  <c r="AG27" i="345" s="1"/>
  <c r="AG31" i="345" s="1"/>
  <c r="AF21" i="345"/>
  <c r="AF27" i="345" s="1"/>
  <c r="AF31" i="345" s="1"/>
  <c r="AE21" i="345"/>
  <c r="AE27" i="345" s="1"/>
  <c r="AE31" i="345" s="1"/>
  <c r="AD21" i="345"/>
  <c r="AC21" i="345"/>
  <c r="AB21" i="345"/>
  <c r="AB27" i="345" s="1"/>
  <c r="AB31" i="345" s="1"/>
  <c r="AA21" i="345"/>
  <c r="AA27" i="345" s="1"/>
  <c r="AA31" i="345" s="1"/>
  <c r="Z21" i="345"/>
  <c r="Z27" i="345" s="1"/>
  <c r="Z31" i="345" s="1"/>
  <c r="Y21" i="345"/>
  <c r="Y27" i="345" s="1"/>
  <c r="Y31" i="345" s="1"/>
  <c r="X21" i="345"/>
  <c r="W21" i="345"/>
  <c r="V21" i="345"/>
  <c r="V27" i="345" s="1"/>
  <c r="V31" i="345" s="1"/>
  <c r="U21" i="345"/>
  <c r="U27" i="345" s="1"/>
  <c r="U31" i="345" s="1"/>
  <c r="T21" i="345"/>
  <c r="T27" i="345" s="1"/>
  <c r="T31" i="345" s="1"/>
  <c r="S21" i="345"/>
  <c r="S27" i="345" s="1"/>
  <c r="S31" i="345" s="1"/>
  <c r="R21" i="345"/>
  <c r="Q21" i="345"/>
  <c r="P21" i="345"/>
  <c r="P27" i="345" s="1"/>
  <c r="P31" i="345" s="1"/>
  <c r="O21" i="345"/>
  <c r="O27" i="345" s="1"/>
  <c r="O31" i="345" s="1"/>
  <c r="N21" i="345"/>
  <c r="N27" i="345" s="1"/>
  <c r="N31" i="345" s="1"/>
  <c r="M21" i="345"/>
  <c r="M27" i="345" s="1"/>
  <c r="M31" i="345" s="1"/>
  <c r="L21" i="345"/>
  <c r="K21" i="345"/>
  <c r="J21" i="345"/>
  <c r="J27" i="345" s="1"/>
  <c r="J31" i="345" s="1"/>
  <c r="I21" i="345"/>
  <c r="I27" i="345" s="1"/>
  <c r="H21" i="345"/>
  <c r="H27" i="345" s="1"/>
  <c r="G21" i="345"/>
  <c r="G27" i="345" s="1"/>
  <c r="J23" i="344"/>
  <c r="K24" i="344"/>
  <c r="K33" i="344" s="1"/>
  <c r="K38" i="344" s="1"/>
  <c r="K21" i="344"/>
  <c r="L21" i="344"/>
  <c r="L33" i="344" s="1"/>
  <c r="L38" i="344" s="1"/>
  <c r="M21" i="344"/>
  <c r="M33" i="344" s="1"/>
  <c r="M38" i="344" s="1"/>
  <c r="N21" i="344"/>
  <c r="O21" i="344"/>
  <c r="P21" i="344"/>
  <c r="P33" i="344" s="1"/>
  <c r="P38" i="344" s="1"/>
  <c r="Q21" i="344"/>
  <c r="Q33" i="344" s="1"/>
  <c r="Q38" i="344" s="1"/>
  <c r="R21" i="344"/>
  <c r="S21" i="344"/>
  <c r="T21" i="344"/>
  <c r="U21" i="344"/>
  <c r="V21" i="344"/>
  <c r="W21" i="344"/>
  <c r="X21" i="344"/>
  <c r="X33" i="344" s="1"/>
  <c r="X38" i="344" s="1"/>
  <c r="Y21" i="344"/>
  <c r="Y33" i="344" s="1"/>
  <c r="Y38" i="344" s="1"/>
  <c r="Z21" i="344"/>
  <c r="AA21" i="344"/>
  <c r="AB21" i="344"/>
  <c r="AB33" i="344" s="1"/>
  <c r="AB38" i="344" s="1"/>
  <c r="AC21" i="344"/>
  <c r="AC33" i="344" s="1"/>
  <c r="AC38" i="344" s="1"/>
  <c r="AD21" i="344"/>
  <c r="AE21" i="344"/>
  <c r="AF21" i="344"/>
  <c r="AG21" i="344"/>
  <c r="AH21" i="344"/>
  <c r="AI21" i="344"/>
  <c r="AJ21" i="344"/>
  <c r="AJ33" i="344" s="1"/>
  <c r="AK21" i="344"/>
  <c r="AK33" i="344" s="1"/>
  <c r="AK38" i="344" s="1"/>
  <c r="AL21" i="344"/>
  <c r="AM21" i="344"/>
  <c r="AN21" i="344"/>
  <c r="AN33" i="344" s="1"/>
  <c r="AN38" i="344" s="1"/>
  <c r="J21" i="344"/>
  <c r="AQ33" i="344"/>
  <c r="AQ38" i="344" s="1"/>
  <c r="AL33" i="344"/>
  <c r="AL38" i="344" s="1"/>
  <c r="AH33" i="344"/>
  <c r="AH38" i="344" s="1"/>
  <c r="AF33" i="344"/>
  <c r="AF38" i="344" s="1"/>
  <c r="AE33" i="344"/>
  <c r="AE38" i="344" s="1"/>
  <c r="Z33" i="344"/>
  <c r="Z38" i="344" s="1"/>
  <c r="V33" i="344"/>
  <c r="V38" i="344" s="1"/>
  <c r="T33" i="344"/>
  <c r="T38" i="344" s="1"/>
  <c r="S33" i="344"/>
  <c r="S38" i="344" s="1"/>
  <c r="N33" i="344"/>
  <c r="N38" i="344" s="1"/>
  <c r="H33" i="344"/>
  <c r="H38" i="344" s="1"/>
  <c r="G33" i="344"/>
  <c r="G38" i="344" s="1"/>
  <c r="AQ21" i="344"/>
  <c r="AP21" i="344"/>
  <c r="AP33" i="344" s="1"/>
  <c r="AP38" i="344" s="1"/>
  <c r="AO21" i="344"/>
  <c r="AO33" i="344" s="1"/>
  <c r="AO38" i="344" s="1"/>
  <c r="AM33" i="344"/>
  <c r="AM38" i="344" s="1"/>
  <c r="AI33" i="344"/>
  <c r="AI38" i="344" s="1"/>
  <c r="AG33" i="344"/>
  <c r="AG38" i="344" s="1"/>
  <c r="AD33" i="344"/>
  <c r="AD38" i="344" s="1"/>
  <c r="AA33" i="344"/>
  <c r="AA38" i="344" s="1"/>
  <c r="W33" i="344"/>
  <c r="W38" i="344" s="1"/>
  <c r="U33" i="344"/>
  <c r="U38" i="344" s="1"/>
  <c r="R33" i="344"/>
  <c r="R38" i="344" s="1"/>
  <c r="O33" i="344"/>
  <c r="O38" i="344" s="1"/>
  <c r="I21" i="344"/>
  <c r="I33" i="344" s="1"/>
  <c r="I38" i="344" s="1"/>
  <c r="H21" i="344"/>
  <c r="G21" i="344"/>
  <c r="AJ38" i="344" l="1"/>
  <c r="J30" i="346"/>
  <c r="J31" i="346" s="1"/>
  <c r="K30" i="346"/>
  <c r="K31" i="346" s="1"/>
  <c r="L30" i="346"/>
  <c r="L31" i="346" s="1"/>
  <c r="M30" i="346"/>
  <c r="M31" i="346" s="1"/>
  <c r="G29" i="345"/>
  <c r="G31" i="345"/>
  <c r="H29" i="345"/>
  <c r="H31" i="345"/>
  <c r="I29" i="345"/>
  <c r="I31" i="345" s="1"/>
  <c r="J33" i="344"/>
  <c r="Q30" i="341"/>
  <c r="Q28" i="341"/>
  <c r="Q25" i="341"/>
  <c r="Q24" i="341"/>
  <c r="Q23" i="341"/>
  <c r="AB28" i="343" l="1"/>
  <c r="AB31" i="343"/>
  <c r="K30" i="341" l="1"/>
  <c r="J29" i="341"/>
  <c r="V23" i="343" l="1"/>
  <c r="R23" i="343"/>
  <c r="S21" i="343" l="1"/>
  <c r="S28" i="343" s="1"/>
  <c r="S31" i="343" s="1"/>
  <c r="T21" i="343"/>
  <c r="T28" i="343" s="1"/>
  <c r="T31" i="343" s="1"/>
  <c r="U21" i="343"/>
  <c r="U28" i="343" s="1"/>
  <c r="U31" i="343" s="1"/>
  <c r="V21" i="343"/>
  <c r="V28" i="343" s="1"/>
  <c r="V31" i="343" s="1"/>
  <c r="W21" i="343"/>
  <c r="W28" i="343" s="1"/>
  <c r="W31" i="343" s="1"/>
  <c r="X21" i="343"/>
  <c r="X28" i="343" s="1"/>
  <c r="X31" i="343" s="1"/>
  <c r="Y21" i="343"/>
  <c r="Y28" i="343" s="1"/>
  <c r="Y31" i="343" s="1"/>
  <c r="Z21" i="343"/>
  <c r="Z28" i="343" s="1"/>
  <c r="Z31" i="343" s="1"/>
  <c r="AA21" i="343"/>
  <c r="AA28" i="343" s="1"/>
  <c r="AA31" i="343" s="1"/>
  <c r="AC21" i="343"/>
  <c r="AC28" i="343" s="1"/>
  <c r="AC31" i="343" s="1"/>
  <c r="AD21" i="343"/>
  <c r="AE21" i="343"/>
  <c r="AE28" i="343" s="1"/>
  <c r="AE31" i="343" s="1"/>
  <c r="AF21" i="343"/>
  <c r="AG21" i="343"/>
  <c r="AH21" i="343"/>
  <c r="AH28" i="343" s="1"/>
  <c r="AH31" i="343" s="1"/>
  <c r="AI21" i="343"/>
  <c r="AI28" i="343" s="1"/>
  <c r="AI31" i="343" s="1"/>
  <c r="AJ21" i="343"/>
  <c r="AK21" i="343"/>
  <c r="AK28" i="343" s="1"/>
  <c r="AK31" i="343" s="1"/>
  <c r="AL21" i="343"/>
  <c r="AL28" i="343" s="1"/>
  <c r="AL31" i="343" s="1"/>
  <c r="AM21" i="343"/>
  <c r="AM28" i="343" s="1"/>
  <c r="AM31" i="343" s="1"/>
  <c r="AN21" i="343"/>
  <c r="AO21" i="343"/>
  <c r="AP21" i="343"/>
  <c r="AQ21" i="343"/>
  <c r="AR21" i="343"/>
  <c r="AR28" i="343" s="1"/>
  <c r="AR31" i="343" s="1"/>
  <c r="AS21" i="343"/>
  <c r="AS28" i="343" s="1"/>
  <c r="AS31" i="343" s="1"/>
  <c r="AT21" i="343"/>
  <c r="AT28" i="343" s="1"/>
  <c r="AT31" i="343" s="1"/>
  <c r="AU21" i="343"/>
  <c r="AU28" i="343" s="1"/>
  <c r="AU31" i="343" s="1"/>
  <c r="AV21" i="343"/>
  <c r="AV28" i="343" s="1"/>
  <c r="AV31" i="343" s="1"/>
  <c r="R21" i="343"/>
  <c r="R28" i="343" s="1"/>
  <c r="R31" i="343" s="1"/>
  <c r="B31" i="343"/>
  <c r="B21" i="343"/>
  <c r="O30" i="343"/>
  <c r="AD28" i="343"/>
  <c r="AD31" i="343" s="1"/>
  <c r="O23" i="343"/>
  <c r="AY21" i="343"/>
  <c r="AY28" i="343" s="1"/>
  <c r="AY31" i="343" s="1"/>
  <c r="AX21" i="343"/>
  <c r="AX28" i="343" s="1"/>
  <c r="AX31" i="343" s="1"/>
  <c r="AW21" i="343"/>
  <c r="AW28" i="343" s="1"/>
  <c r="AW31" i="343" s="1"/>
  <c r="Q21" i="343"/>
  <c r="Q28" i="343" s="1"/>
  <c r="Q31" i="343" s="1"/>
  <c r="P21" i="343"/>
  <c r="P28" i="343" s="1"/>
  <c r="P31" i="343" s="1"/>
  <c r="O21" i="343"/>
  <c r="O28" i="343" s="1"/>
  <c r="O31" i="343" s="1"/>
  <c r="N21" i="343"/>
  <c r="N28" i="343" s="1"/>
  <c r="N31" i="343" s="1"/>
  <c r="M21" i="343"/>
  <c r="M28" i="343" s="1"/>
  <c r="L21" i="343"/>
  <c r="L28" i="343" s="1"/>
  <c r="K21" i="343"/>
  <c r="K28" i="343" s="1"/>
  <c r="J21" i="343"/>
  <c r="J28" i="343" s="1"/>
  <c r="J30" i="343" s="1"/>
  <c r="J31" i="343" s="1"/>
  <c r="I21" i="343"/>
  <c r="I28" i="343" s="1"/>
  <c r="I31" i="343" s="1"/>
  <c r="B31" i="342"/>
  <c r="B21" i="342"/>
  <c r="AJ27" i="342"/>
  <c r="AJ31" i="342" s="1"/>
  <c r="AI27" i="342"/>
  <c r="AI31" i="342" s="1"/>
  <c r="AD27" i="342"/>
  <c r="AD31" i="342" s="1"/>
  <c r="AC27" i="342"/>
  <c r="AC31" i="342" s="1"/>
  <c r="X27" i="342"/>
  <c r="X31" i="342" s="1"/>
  <c r="W27" i="342"/>
  <c r="W31" i="342" s="1"/>
  <c r="R27" i="342"/>
  <c r="R31" i="342" s="1"/>
  <c r="Q27" i="342"/>
  <c r="Q31" i="342" s="1"/>
  <c r="L27" i="342"/>
  <c r="L31" i="342" s="1"/>
  <c r="K27" i="342"/>
  <c r="K31" i="342" s="1"/>
  <c r="AL21" i="342"/>
  <c r="AL27" i="342" s="1"/>
  <c r="AL31" i="342" s="1"/>
  <c r="AK21" i="342"/>
  <c r="AK27" i="342" s="1"/>
  <c r="AK31" i="342" s="1"/>
  <c r="AJ21" i="342"/>
  <c r="AI21" i="342"/>
  <c r="AH21" i="342"/>
  <c r="AH27" i="342" s="1"/>
  <c r="AH31" i="342" s="1"/>
  <c r="AG21" i="342"/>
  <c r="AG27" i="342" s="1"/>
  <c r="AG31" i="342" s="1"/>
  <c r="AF21" i="342"/>
  <c r="AF27" i="342" s="1"/>
  <c r="AF31" i="342" s="1"/>
  <c r="AE21" i="342"/>
  <c r="AE27" i="342" s="1"/>
  <c r="AE31" i="342" s="1"/>
  <c r="AD21" i="342"/>
  <c r="AC21" i="342"/>
  <c r="AB21" i="342"/>
  <c r="AB27" i="342" s="1"/>
  <c r="AB31" i="342" s="1"/>
  <c r="AA21" i="342"/>
  <c r="AA27" i="342" s="1"/>
  <c r="AA31" i="342" s="1"/>
  <c r="Z21" i="342"/>
  <c r="Z27" i="342" s="1"/>
  <c r="Z31" i="342" s="1"/>
  <c r="Y21" i="342"/>
  <c r="Y27" i="342" s="1"/>
  <c r="Y31" i="342" s="1"/>
  <c r="X21" i="342"/>
  <c r="W21" i="342"/>
  <c r="V21" i="342"/>
  <c r="V27" i="342" s="1"/>
  <c r="V31" i="342" s="1"/>
  <c r="U21" i="342"/>
  <c r="U27" i="342" s="1"/>
  <c r="U31" i="342" s="1"/>
  <c r="T21" i="342"/>
  <c r="T27" i="342" s="1"/>
  <c r="T31" i="342" s="1"/>
  <c r="S21" i="342"/>
  <c r="S27" i="342" s="1"/>
  <c r="S31" i="342" s="1"/>
  <c r="R21" i="342"/>
  <c r="Q21" i="342"/>
  <c r="P21" i="342"/>
  <c r="P27" i="342" s="1"/>
  <c r="P31" i="342" s="1"/>
  <c r="O21" i="342"/>
  <c r="O27" i="342" s="1"/>
  <c r="O31" i="342" s="1"/>
  <c r="N21" i="342"/>
  <c r="N27" i="342" s="1"/>
  <c r="N31" i="342" s="1"/>
  <c r="M21" i="342"/>
  <c r="M27" i="342" s="1"/>
  <c r="M31" i="342" s="1"/>
  <c r="L21" i="342"/>
  <c r="K21" i="342"/>
  <c r="J21" i="342"/>
  <c r="J27" i="342" s="1"/>
  <c r="J31" i="342" s="1"/>
  <c r="I21" i="342"/>
  <c r="I27" i="342" s="1"/>
  <c r="H21" i="342"/>
  <c r="H27" i="342" s="1"/>
  <c r="G21" i="342"/>
  <c r="G27" i="342" s="1"/>
  <c r="L30" i="343" l="1"/>
  <c r="L31" i="343" s="1"/>
  <c r="M30" i="343"/>
  <c r="M31" i="343" s="1"/>
  <c r="K30" i="343"/>
  <c r="K31" i="343" s="1"/>
  <c r="I29" i="342"/>
  <c r="I31" i="342"/>
  <c r="G29" i="342"/>
  <c r="G31" i="342"/>
  <c r="H29" i="342"/>
  <c r="H31" i="342" s="1"/>
  <c r="K24" i="341"/>
  <c r="J23" i="341"/>
  <c r="K21" i="341"/>
  <c r="K33" i="341" s="1"/>
  <c r="K38" i="341" s="1"/>
  <c r="L21" i="341"/>
  <c r="L33" i="341" s="1"/>
  <c r="L38" i="341" s="1"/>
  <c r="M21" i="341"/>
  <c r="M33" i="341" s="1"/>
  <c r="M38" i="341" s="1"/>
  <c r="N21" i="341"/>
  <c r="N33" i="341" s="1"/>
  <c r="N38" i="341" s="1"/>
  <c r="O21" i="341"/>
  <c r="P21" i="341"/>
  <c r="Q21" i="341"/>
  <c r="R21" i="341"/>
  <c r="S21" i="341"/>
  <c r="T21" i="341"/>
  <c r="T33" i="341" s="1"/>
  <c r="T38" i="341" s="1"/>
  <c r="U21" i="341"/>
  <c r="V21" i="341"/>
  <c r="W21" i="341"/>
  <c r="W33" i="341" s="1"/>
  <c r="W38" i="341" s="1"/>
  <c r="X21" i="341"/>
  <c r="X33" i="341" s="1"/>
  <c r="X38" i="341" s="1"/>
  <c r="Y21" i="341"/>
  <c r="Y33" i="341" s="1"/>
  <c r="Y38" i="341" s="1"/>
  <c r="Z21" i="341"/>
  <c r="Z33" i="341" s="1"/>
  <c r="Z38" i="341" s="1"/>
  <c r="AA21" i="341"/>
  <c r="AB21" i="341"/>
  <c r="AC21" i="341"/>
  <c r="AD21" i="341"/>
  <c r="AE21" i="341"/>
  <c r="AF21" i="341"/>
  <c r="AF33" i="341" s="1"/>
  <c r="AF38" i="341" s="1"/>
  <c r="AG21" i="341"/>
  <c r="AH21" i="341"/>
  <c r="AI21" i="341"/>
  <c r="AI33" i="341" s="1"/>
  <c r="AI38" i="341" s="1"/>
  <c r="AJ21" i="341"/>
  <c r="AJ33" i="341" s="1"/>
  <c r="AK21" i="341"/>
  <c r="AK33" i="341" s="1"/>
  <c r="AK38" i="341" s="1"/>
  <c r="AL21" i="341"/>
  <c r="AL33" i="341" s="1"/>
  <c r="AL38" i="341" s="1"/>
  <c r="AM21" i="341"/>
  <c r="AN21" i="341"/>
  <c r="J21" i="341"/>
  <c r="J33" i="341" s="1"/>
  <c r="J38" i="341" s="1"/>
  <c r="AJ35" i="341"/>
  <c r="AQ33" i="341"/>
  <c r="AQ38" i="341" s="1"/>
  <c r="AP33" i="341"/>
  <c r="AP38" i="341" s="1"/>
  <c r="AE33" i="341"/>
  <c r="AE38" i="341" s="1"/>
  <c r="AD33" i="341"/>
  <c r="AD38" i="341" s="1"/>
  <c r="S33" i="341"/>
  <c r="S38" i="341" s="1"/>
  <c r="R33" i="341"/>
  <c r="R38" i="341" s="1"/>
  <c r="H33" i="341"/>
  <c r="H38" i="341" s="1"/>
  <c r="G33" i="341"/>
  <c r="G38" i="341" s="1"/>
  <c r="AQ21" i="341"/>
  <c r="AP21" i="341"/>
  <c r="AO21" i="341"/>
  <c r="AO33" i="341" s="1"/>
  <c r="AO38" i="341" s="1"/>
  <c r="AN33" i="341"/>
  <c r="AN38" i="341" s="1"/>
  <c r="AM33" i="341"/>
  <c r="AM38" i="341" s="1"/>
  <c r="AH33" i="341"/>
  <c r="AH38" i="341" s="1"/>
  <c r="AG33" i="341"/>
  <c r="AG38" i="341" s="1"/>
  <c r="AC33" i="341"/>
  <c r="AC38" i="341" s="1"/>
  <c r="AB33" i="341"/>
  <c r="AB38" i="341" s="1"/>
  <c r="AA33" i="341"/>
  <c r="AA38" i="341" s="1"/>
  <c r="V33" i="341"/>
  <c r="V38" i="341" s="1"/>
  <c r="U33" i="341"/>
  <c r="U38" i="341" s="1"/>
  <c r="Q33" i="341"/>
  <c r="Q38" i="341" s="1"/>
  <c r="P33" i="341"/>
  <c r="P38" i="341" s="1"/>
  <c r="O33" i="341"/>
  <c r="O38" i="341" s="1"/>
  <c r="I21" i="341"/>
  <c r="I33" i="341" s="1"/>
  <c r="I38" i="341" s="1"/>
  <c r="H21" i="341"/>
  <c r="G21" i="341"/>
  <c r="AJ38" i="341" l="1"/>
  <c r="AB31" i="340"/>
  <c r="V24" i="340" l="1"/>
  <c r="AA31" i="340"/>
  <c r="AA28" i="340"/>
  <c r="AB28" i="340"/>
  <c r="T23" i="340"/>
  <c r="R23" i="340"/>
  <c r="W21" i="340"/>
  <c r="X21" i="340"/>
  <c r="Y21" i="340"/>
  <c r="Z21" i="340"/>
  <c r="AC21" i="340"/>
  <c r="AD21" i="340"/>
  <c r="AE21" i="340"/>
  <c r="AF21" i="340"/>
  <c r="AG21" i="340"/>
  <c r="AH21" i="340"/>
  <c r="AI21" i="340"/>
  <c r="AJ21" i="340"/>
  <c r="AK21" i="340"/>
  <c r="AL21" i="340"/>
  <c r="AM21" i="340"/>
  <c r="AN21" i="340"/>
  <c r="AO21" i="340"/>
  <c r="AP21" i="340"/>
  <c r="AQ21" i="340"/>
  <c r="AR21" i="340"/>
  <c r="AS21" i="340"/>
  <c r="AT21" i="340"/>
  <c r="AU21" i="340"/>
  <c r="R21" i="340"/>
  <c r="S21" i="340"/>
  <c r="T21" i="340"/>
  <c r="U21" i="340"/>
  <c r="V21" i="340"/>
  <c r="Q21" i="340"/>
  <c r="B31" i="340" l="1"/>
  <c r="B21" i="340"/>
  <c r="O30" i="340"/>
  <c r="M30" i="340"/>
  <c r="Y28" i="340"/>
  <c r="Y31" i="340" s="1"/>
  <c r="M28" i="340"/>
  <c r="K28" i="340"/>
  <c r="K30" i="340" s="1"/>
  <c r="J28" i="340"/>
  <c r="J30" i="340" s="1"/>
  <c r="O23" i="340"/>
  <c r="AX21" i="340"/>
  <c r="AX28" i="340" s="1"/>
  <c r="AX31" i="340" s="1"/>
  <c r="AW21" i="340"/>
  <c r="AW28" i="340" s="1"/>
  <c r="AW31" i="340" s="1"/>
  <c r="AV21" i="340"/>
  <c r="AV28" i="340" s="1"/>
  <c r="AV31" i="340" s="1"/>
  <c r="AU28" i="340"/>
  <c r="AU31" i="340" s="1"/>
  <c r="AT28" i="340"/>
  <c r="AT31" i="340" s="1"/>
  <c r="AS28" i="340"/>
  <c r="AS31" i="340" s="1"/>
  <c r="AR28" i="340"/>
  <c r="AR31" i="340" s="1"/>
  <c r="AQ28" i="340"/>
  <c r="AQ31" i="340" s="1"/>
  <c r="AL28" i="340"/>
  <c r="AL31" i="340" s="1"/>
  <c r="AK28" i="340"/>
  <c r="AK31" i="340" s="1"/>
  <c r="AJ28" i="340"/>
  <c r="AJ31" i="340" s="1"/>
  <c r="AH28" i="340"/>
  <c r="AH31" i="340" s="1"/>
  <c r="AG28" i="340"/>
  <c r="AG31" i="340" s="1"/>
  <c r="AD28" i="340"/>
  <c r="AD31" i="340" s="1"/>
  <c r="AC28" i="340"/>
  <c r="AC31" i="340" s="1"/>
  <c r="Z28" i="340"/>
  <c r="Z31" i="340" s="1"/>
  <c r="X28" i="340"/>
  <c r="X31" i="340" s="1"/>
  <c r="W28" i="340"/>
  <c r="W31" i="340" s="1"/>
  <c r="V28" i="340"/>
  <c r="V31" i="340" s="1"/>
  <c r="U28" i="340"/>
  <c r="U31" i="340" s="1"/>
  <c r="T28" i="340"/>
  <c r="T31" i="340" s="1"/>
  <c r="S28" i="340"/>
  <c r="S31" i="340" s="1"/>
  <c r="R28" i="340"/>
  <c r="R31" i="340" s="1"/>
  <c r="Q28" i="340"/>
  <c r="Q31" i="340" s="1"/>
  <c r="P21" i="340"/>
  <c r="P28" i="340" s="1"/>
  <c r="P31" i="340" s="1"/>
  <c r="O21" i="340"/>
  <c r="O28" i="340" s="1"/>
  <c r="O31" i="340" s="1"/>
  <c r="N21" i="340"/>
  <c r="N28" i="340" s="1"/>
  <c r="N31" i="340" s="1"/>
  <c r="M21" i="340"/>
  <c r="L21" i="340"/>
  <c r="L28" i="340" s="1"/>
  <c r="K21" i="340"/>
  <c r="J21" i="340"/>
  <c r="I21" i="340"/>
  <c r="I28" i="340" s="1"/>
  <c r="I31" i="340" s="1"/>
  <c r="K21" i="339"/>
  <c r="K27" i="339" s="1"/>
  <c r="K31" i="339" s="1"/>
  <c r="L21" i="339"/>
  <c r="L27" i="339" s="1"/>
  <c r="L31" i="339" s="1"/>
  <c r="M21" i="339"/>
  <c r="M27" i="339" s="1"/>
  <c r="M31" i="339" s="1"/>
  <c r="N21" i="339"/>
  <c r="O21" i="339"/>
  <c r="P21" i="339"/>
  <c r="P27" i="339" s="1"/>
  <c r="P31" i="339" s="1"/>
  <c r="Q21" i="339"/>
  <c r="R21" i="339"/>
  <c r="S21" i="339"/>
  <c r="T21" i="339"/>
  <c r="T27" i="339" s="1"/>
  <c r="T31" i="339" s="1"/>
  <c r="U21" i="339"/>
  <c r="U27" i="339" s="1"/>
  <c r="U31" i="339" s="1"/>
  <c r="V21" i="339"/>
  <c r="W21" i="339"/>
  <c r="X21" i="339"/>
  <c r="X27" i="339" s="1"/>
  <c r="X31" i="339" s="1"/>
  <c r="Y21" i="339"/>
  <c r="Y27" i="339" s="1"/>
  <c r="Y31" i="339" s="1"/>
  <c r="Z21" i="339"/>
  <c r="Z27" i="339" s="1"/>
  <c r="Z31" i="339" s="1"/>
  <c r="AA21" i="339"/>
  <c r="AB21" i="339"/>
  <c r="AB27" i="339" s="1"/>
  <c r="AB31" i="339" s="1"/>
  <c r="AC21" i="339"/>
  <c r="AD21" i="339"/>
  <c r="AE21" i="339"/>
  <c r="AE27" i="339" s="1"/>
  <c r="AE31" i="339" s="1"/>
  <c r="AF21" i="339"/>
  <c r="AG21" i="339"/>
  <c r="AG27" i="339" s="1"/>
  <c r="AG31" i="339" s="1"/>
  <c r="AH21" i="339"/>
  <c r="AI21" i="339"/>
  <c r="AJ21" i="339"/>
  <c r="AJ27" i="339" s="1"/>
  <c r="AJ31" i="339" s="1"/>
  <c r="AK21" i="339"/>
  <c r="AK27" i="339" s="1"/>
  <c r="AK31" i="339" s="1"/>
  <c r="AL21" i="339"/>
  <c r="AL27" i="339" s="1"/>
  <c r="AL31" i="339" s="1"/>
  <c r="J21" i="339"/>
  <c r="J27" i="339" s="1"/>
  <c r="J31" i="339" s="1"/>
  <c r="B31" i="339"/>
  <c r="B21" i="339"/>
  <c r="I29" i="339"/>
  <c r="H29" i="339"/>
  <c r="AI27" i="339"/>
  <c r="AI31" i="339" s="1"/>
  <c r="AF27" i="339"/>
  <c r="AF31" i="339" s="1"/>
  <c r="AC27" i="339"/>
  <c r="AC31" i="339" s="1"/>
  <c r="W27" i="339"/>
  <c r="W31" i="339" s="1"/>
  <c r="S27" i="339"/>
  <c r="S31" i="339" s="1"/>
  <c r="R27" i="339"/>
  <c r="R31" i="339" s="1"/>
  <c r="Q27" i="339"/>
  <c r="Q31" i="339" s="1"/>
  <c r="I27" i="339"/>
  <c r="I31" i="339" s="1"/>
  <c r="H27" i="339"/>
  <c r="H31" i="339" s="1"/>
  <c r="G27" i="339"/>
  <c r="G29" i="339" s="1"/>
  <c r="AH27" i="339"/>
  <c r="AH31" i="339" s="1"/>
  <c r="AD27" i="339"/>
  <c r="AD31" i="339" s="1"/>
  <c r="AA27" i="339"/>
  <c r="AA31" i="339" s="1"/>
  <c r="V27" i="339"/>
  <c r="V31" i="339" s="1"/>
  <c r="O27" i="339"/>
  <c r="O31" i="339" s="1"/>
  <c r="N27" i="339"/>
  <c r="N31" i="339" s="1"/>
  <c r="I21" i="339"/>
  <c r="H21" i="339"/>
  <c r="G21" i="339"/>
  <c r="K24" i="338"/>
  <c r="K33" i="338" s="1"/>
  <c r="K38" i="338" s="1"/>
  <c r="J23" i="338"/>
  <c r="K21" i="338"/>
  <c r="L21" i="338"/>
  <c r="L33" i="338" s="1"/>
  <c r="L38" i="338" s="1"/>
  <c r="M21" i="338"/>
  <c r="M33" i="338" s="1"/>
  <c r="M38" i="338" s="1"/>
  <c r="N21" i="338"/>
  <c r="N33" i="338" s="1"/>
  <c r="N38" i="338" s="1"/>
  <c r="O21" i="338"/>
  <c r="P21" i="338"/>
  <c r="Q21" i="338"/>
  <c r="R21" i="338"/>
  <c r="R33" i="338" s="1"/>
  <c r="R38" i="338" s="1"/>
  <c r="S21" i="338"/>
  <c r="S33" i="338" s="1"/>
  <c r="S38" i="338" s="1"/>
  <c r="T21" i="338"/>
  <c r="U21" i="338"/>
  <c r="V21" i="338"/>
  <c r="W21" i="338"/>
  <c r="W33" i="338" s="1"/>
  <c r="W38" i="338" s="1"/>
  <c r="X21" i="338"/>
  <c r="Y21" i="338"/>
  <c r="Z21" i="338"/>
  <c r="AA21" i="338"/>
  <c r="AB21" i="338"/>
  <c r="AB33" i="338" s="1"/>
  <c r="AB38" i="338" s="1"/>
  <c r="AC21" i="338"/>
  <c r="AC33" i="338" s="1"/>
  <c r="AC38" i="338" s="1"/>
  <c r="AD21" i="338"/>
  <c r="AD33" i="338" s="1"/>
  <c r="AD38" i="338" s="1"/>
  <c r="AE21" i="338"/>
  <c r="AE33" i="338" s="1"/>
  <c r="AE38" i="338" s="1"/>
  <c r="AF21" i="338"/>
  <c r="AG21" i="338"/>
  <c r="AH21" i="338"/>
  <c r="AI21" i="338"/>
  <c r="AJ21" i="338"/>
  <c r="AK21" i="338"/>
  <c r="AL21" i="338"/>
  <c r="AL33" i="338" s="1"/>
  <c r="AL38" i="338" s="1"/>
  <c r="AM21" i="338"/>
  <c r="AN21" i="338"/>
  <c r="AO21" i="338"/>
  <c r="AO33" i="338" s="1"/>
  <c r="AO38" i="338" s="1"/>
  <c r="AP21" i="338"/>
  <c r="AP33" i="338" s="1"/>
  <c r="AP38" i="338" s="1"/>
  <c r="AQ21" i="338"/>
  <c r="AQ33" i="338" s="1"/>
  <c r="AQ38" i="338" s="1"/>
  <c r="J21" i="338"/>
  <c r="AJ35" i="338"/>
  <c r="AN33" i="338"/>
  <c r="AN38" i="338" s="1"/>
  <c r="AJ33" i="338"/>
  <c r="AI33" i="338"/>
  <c r="AI38" i="338" s="1"/>
  <c r="AA33" i="338"/>
  <c r="AA38" i="338" s="1"/>
  <c r="Z33" i="338"/>
  <c r="Z38" i="338" s="1"/>
  <c r="Y33" i="338"/>
  <c r="Y38" i="338" s="1"/>
  <c r="X33" i="338"/>
  <c r="X38" i="338" s="1"/>
  <c r="AM33" i="338"/>
  <c r="AM38" i="338" s="1"/>
  <c r="AK33" i="338"/>
  <c r="AK38" i="338" s="1"/>
  <c r="AH33" i="338"/>
  <c r="AH38" i="338" s="1"/>
  <c r="AG33" i="338"/>
  <c r="AG38" i="338" s="1"/>
  <c r="AF33" i="338"/>
  <c r="AF38" i="338" s="1"/>
  <c r="V33" i="338"/>
  <c r="V38" i="338" s="1"/>
  <c r="U33" i="338"/>
  <c r="U38" i="338" s="1"/>
  <c r="T33" i="338"/>
  <c r="T38" i="338" s="1"/>
  <c r="Q33" i="338"/>
  <c r="Q38" i="338" s="1"/>
  <c r="P33" i="338"/>
  <c r="P38" i="338" s="1"/>
  <c r="O33" i="338"/>
  <c r="O38" i="338" s="1"/>
  <c r="I21" i="338"/>
  <c r="I33" i="338" s="1"/>
  <c r="I38" i="338" s="1"/>
  <c r="H21" i="338"/>
  <c r="H33" i="338" s="1"/>
  <c r="H38" i="338" s="1"/>
  <c r="G21" i="338"/>
  <c r="G33" i="338" s="1"/>
  <c r="G38" i="338" s="1"/>
  <c r="AJ38" i="338" l="1"/>
  <c r="M31" i="340"/>
  <c r="L30" i="340"/>
  <c r="L31" i="340" s="1"/>
  <c r="J31" i="340"/>
  <c r="K31" i="340"/>
  <c r="G31" i="339"/>
  <c r="J33" i="338"/>
  <c r="J38" i="338" s="1"/>
  <c r="B31" i="336"/>
  <c r="AJ21" i="335" l="1"/>
  <c r="AJ36" i="335"/>
  <c r="AJ35" i="335"/>
  <c r="AB21" i="335"/>
  <c r="Q21" i="335"/>
  <c r="K38" i="335" l="1"/>
  <c r="L38" i="335"/>
  <c r="M38" i="335"/>
  <c r="N38" i="335"/>
  <c r="O38" i="335"/>
  <c r="P38" i="335"/>
  <c r="R38" i="335"/>
  <c r="S38" i="335"/>
  <c r="T38" i="335"/>
  <c r="U38" i="335"/>
  <c r="V38" i="335"/>
  <c r="W38" i="335"/>
  <c r="X38" i="335"/>
  <c r="Y38" i="335"/>
  <c r="Z38" i="335"/>
  <c r="AA38" i="335"/>
  <c r="AC38" i="335"/>
  <c r="AD38" i="335"/>
  <c r="AE38" i="335"/>
  <c r="AF38" i="335"/>
  <c r="AG38" i="335"/>
  <c r="AH38" i="335"/>
  <c r="AI38" i="335"/>
  <c r="AK38" i="335"/>
  <c r="AL38" i="335"/>
  <c r="AM38" i="335"/>
  <c r="AN38" i="335"/>
  <c r="J38" i="335"/>
  <c r="X21" i="336"/>
  <c r="AN21" i="335"/>
  <c r="Z21" i="335"/>
  <c r="V21" i="336"/>
  <c r="X21" i="335"/>
  <c r="U21" i="336"/>
  <c r="W21" i="335"/>
  <c r="T21" i="336"/>
  <c r="O21" i="336"/>
  <c r="K21" i="335"/>
  <c r="J21" i="336"/>
  <c r="J21" i="335"/>
  <c r="V23" i="337"/>
  <c r="V24" i="337"/>
  <c r="T23" i="337"/>
  <c r="AK21" i="335" l="1"/>
  <c r="R21" i="337" l="1"/>
  <c r="S21" i="337"/>
  <c r="S28" i="337" s="1"/>
  <c r="S31" i="337" s="1"/>
  <c r="T21" i="337"/>
  <c r="T28" i="337" s="1"/>
  <c r="T31" i="337" s="1"/>
  <c r="U21" i="337"/>
  <c r="U28" i="337" s="1"/>
  <c r="U31" i="337" s="1"/>
  <c r="V21" i="337"/>
  <c r="W21" i="337"/>
  <c r="X21" i="337"/>
  <c r="Y21" i="337"/>
  <c r="Y28" i="337" s="1"/>
  <c r="Y31" i="337" s="1"/>
  <c r="Z21" i="337"/>
  <c r="Z28" i="337" s="1"/>
  <c r="Z31" i="337" s="1"/>
  <c r="AA21" i="337"/>
  <c r="AA28" i="337" s="1"/>
  <c r="AA31" i="337" s="1"/>
  <c r="AB21" i="337"/>
  <c r="AC21" i="337"/>
  <c r="AD21" i="337"/>
  <c r="AE21" i="337"/>
  <c r="AF21" i="337"/>
  <c r="AF28" i="337" s="1"/>
  <c r="AF31" i="337" s="1"/>
  <c r="AG21" i="337"/>
  <c r="AH21" i="337"/>
  <c r="AI21" i="337"/>
  <c r="AJ21" i="337"/>
  <c r="AJ28" i="337" s="1"/>
  <c r="AJ31" i="337" s="1"/>
  <c r="AK21" i="337"/>
  <c r="AL21" i="337"/>
  <c r="AM21" i="337"/>
  <c r="AN21" i="337"/>
  <c r="AO21" i="337"/>
  <c r="AP21" i="337"/>
  <c r="AQ21" i="337"/>
  <c r="AR21" i="337"/>
  <c r="AR28" i="337" s="1"/>
  <c r="AR31" i="337" s="1"/>
  <c r="AS21" i="337"/>
  <c r="AS28" i="337" s="1"/>
  <c r="AS31" i="337" s="1"/>
  <c r="Q21" i="337"/>
  <c r="B31" i="337"/>
  <c r="B21" i="337"/>
  <c r="O30" i="337"/>
  <c r="AV28" i="337"/>
  <c r="AV31" i="337" s="1"/>
  <c r="AU28" i="337"/>
  <c r="AU31" i="337" s="1"/>
  <c r="AT28" i="337"/>
  <c r="AT31" i="337" s="1"/>
  <c r="AQ28" i="337"/>
  <c r="AQ31" i="337" s="1"/>
  <c r="AP28" i="337"/>
  <c r="AP31" i="337" s="1"/>
  <c r="AO28" i="337"/>
  <c r="AO31" i="337" s="1"/>
  <c r="AI28" i="337"/>
  <c r="AI31" i="337" s="1"/>
  <c r="AH28" i="337"/>
  <c r="AH31" i="337" s="1"/>
  <c r="AE28" i="337"/>
  <c r="AE31" i="337" s="1"/>
  <c r="AB28" i="337"/>
  <c r="AB31" i="337" s="1"/>
  <c r="X28" i="337"/>
  <c r="X31" i="337" s="1"/>
  <c r="W28" i="337"/>
  <c r="W31" i="337" s="1"/>
  <c r="V28" i="337"/>
  <c r="V31" i="337" s="1"/>
  <c r="R28" i="337"/>
  <c r="R31" i="337" s="1"/>
  <c r="Q28" i="337"/>
  <c r="Q31" i="337" s="1"/>
  <c r="O23" i="337"/>
  <c r="AV21" i="337"/>
  <c r="AU21" i="337"/>
  <c r="AT21" i="337"/>
  <c r="P21" i="337"/>
  <c r="P28" i="337" s="1"/>
  <c r="P31" i="337" s="1"/>
  <c r="O21" i="337"/>
  <c r="O28" i="337" s="1"/>
  <c r="O31" i="337" s="1"/>
  <c r="N21" i="337"/>
  <c r="N28" i="337" s="1"/>
  <c r="N31" i="337" s="1"/>
  <c r="M21" i="337"/>
  <c r="M28" i="337" s="1"/>
  <c r="L21" i="337"/>
  <c r="L28" i="337" s="1"/>
  <c r="K21" i="337"/>
  <c r="K28" i="337" s="1"/>
  <c r="J21" i="337"/>
  <c r="J28" i="337" s="1"/>
  <c r="I21" i="337"/>
  <c r="I28" i="337" s="1"/>
  <c r="I31" i="337" s="1"/>
  <c r="K21" i="336"/>
  <c r="K27" i="336" s="1"/>
  <c r="K31" i="336" s="1"/>
  <c r="L21" i="336"/>
  <c r="L27" i="336" s="1"/>
  <c r="L31" i="336" s="1"/>
  <c r="M21" i="336"/>
  <c r="N21" i="336"/>
  <c r="N27" i="336" s="1"/>
  <c r="N31" i="336" s="1"/>
  <c r="P21" i="336"/>
  <c r="P27" i="336" s="1"/>
  <c r="P31" i="336" s="1"/>
  <c r="Q21" i="336"/>
  <c r="Q27" i="336" s="1"/>
  <c r="Q31" i="336" s="1"/>
  <c r="R21" i="336"/>
  <c r="R27" i="336" s="1"/>
  <c r="R31" i="336" s="1"/>
  <c r="S21" i="336"/>
  <c r="S27" i="336" s="1"/>
  <c r="S31" i="336" s="1"/>
  <c r="U27" i="336"/>
  <c r="U31" i="336" s="1"/>
  <c r="X27" i="336"/>
  <c r="X31" i="336" s="1"/>
  <c r="Y21" i="336"/>
  <c r="Y27" i="336" s="1"/>
  <c r="Y31" i="336" s="1"/>
  <c r="Z21" i="336"/>
  <c r="Z27" i="336" s="1"/>
  <c r="Z31" i="336" s="1"/>
  <c r="AA21" i="336"/>
  <c r="AA27" i="336" s="1"/>
  <c r="AA31" i="336" s="1"/>
  <c r="AB21" i="336"/>
  <c r="AC21" i="336"/>
  <c r="AC27" i="336" s="1"/>
  <c r="AC31" i="336" s="1"/>
  <c r="AD21" i="336"/>
  <c r="AD27" i="336" s="1"/>
  <c r="AD31" i="336" s="1"/>
  <c r="AE21" i="336"/>
  <c r="AF21" i="336"/>
  <c r="AF27" i="336" s="1"/>
  <c r="AF31" i="336" s="1"/>
  <c r="AG21" i="336"/>
  <c r="AG27" i="336" s="1"/>
  <c r="AG31" i="336" s="1"/>
  <c r="AH21" i="336"/>
  <c r="AI27" i="336"/>
  <c r="AI31" i="336" s="1"/>
  <c r="B21" i="336"/>
  <c r="AE29" i="336"/>
  <c r="AH27" i="336"/>
  <c r="AH31" i="336" s="1"/>
  <c r="AB27" i="336"/>
  <c r="AB31" i="336" s="1"/>
  <c r="W27" i="336"/>
  <c r="W31" i="336" s="1"/>
  <c r="V27" i="336"/>
  <c r="V31" i="336" s="1"/>
  <c r="T27" i="336"/>
  <c r="T31" i="336" s="1"/>
  <c r="M27" i="336"/>
  <c r="M31" i="336" s="1"/>
  <c r="O27" i="336"/>
  <c r="O31" i="336" s="1"/>
  <c r="AL21" i="336"/>
  <c r="AL27" i="336" s="1"/>
  <c r="AL31" i="336" s="1"/>
  <c r="AK21" i="336"/>
  <c r="AK27" i="336" s="1"/>
  <c r="AK31" i="336" s="1"/>
  <c r="AJ21" i="336"/>
  <c r="AJ27" i="336" s="1"/>
  <c r="AJ31" i="336" s="1"/>
  <c r="I21" i="336"/>
  <c r="I27" i="336" s="1"/>
  <c r="H21" i="336"/>
  <c r="H27" i="336" s="1"/>
  <c r="G21" i="336"/>
  <c r="G27" i="336" s="1"/>
  <c r="J30" i="337" l="1"/>
  <c r="J31" i="337" s="1"/>
  <c r="K30" i="337"/>
  <c r="K31" i="337"/>
  <c r="L30" i="337"/>
  <c r="L31" i="337" s="1"/>
  <c r="M30" i="337"/>
  <c r="M31" i="337" s="1"/>
  <c r="AE27" i="336"/>
  <c r="AE31" i="336" s="1"/>
  <c r="J27" i="336"/>
  <c r="J31" i="336" s="1"/>
  <c r="G29" i="336"/>
  <c r="G31" i="336" s="1"/>
  <c r="H29" i="336"/>
  <c r="H31" i="336"/>
  <c r="I29" i="336"/>
  <c r="I31" i="336" s="1"/>
  <c r="Q24" i="335"/>
  <c r="Q33" i="335" s="1"/>
  <c r="Q38" i="335" s="1"/>
  <c r="K26" i="335"/>
  <c r="K24" i="335"/>
  <c r="J25" i="335"/>
  <c r="J23" i="335"/>
  <c r="J33" i="335" s="1"/>
  <c r="K33" i="335"/>
  <c r="L21" i="335"/>
  <c r="L33" i="335" s="1"/>
  <c r="M21" i="335"/>
  <c r="M33" i="335" s="1"/>
  <c r="N21" i="335"/>
  <c r="O21" i="335"/>
  <c r="P21" i="335"/>
  <c r="P33" i="335" s="1"/>
  <c r="R21" i="335"/>
  <c r="R33" i="335" s="1"/>
  <c r="S21" i="335"/>
  <c r="S33" i="335" s="1"/>
  <c r="T21" i="335"/>
  <c r="U21" i="335"/>
  <c r="V21" i="335"/>
  <c r="V33" i="335" s="1"/>
  <c r="Y21" i="335"/>
  <c r="Y33" i="335" s="1"/>
  <c r="AB33" i="335"/>
  <c r="AB38" i="335" s="1"/>
  <c r="AC21" i="335"/>
  <c r="AC33" i="335" s="1"/>
  <c r="AD21" i="335"/>
  <c r="AE21" i="335"/>
  <c r="AE33" i="335" s="1"/>
  <c r="AF21" i="335"/>
  <c r="AG21" i="335"/>
  <c r="AH21" i="335"/>
  <c r="AH33" i="335" s="1"/>
  <c r="AI21" i="335"/>
  <c r="AI33" i="335" s="1"/>
  <c r="AL21" i="335"/>
  <c r="AM21" i="335"/>
  <c r="AN33" i="335"/>
  <c r="AM33" i="335"/>
  <c r="AL33" i="335"/>
  <c r="AJ33" i="335"/>
  <c r="AJ38" i="335" s="1"/>
  <c r="AG33" i="335"/>
  <c r="AF33" i="335"/>
  <c r="AD33" i="335"/>
  <c r="AA33" i="335"/>
  <c r="Z33" i="335"/>
  <c r="X33" i="335"/>
  <c r="W33" i="335"/>
  <c r="U33" i="335"/>
  <c r="T33" i="335"/>
  <c r="O33" i="335"/>
  <c r="N33" i="335"/>
  <c r="AQ21" i="335"/>
  <c r="AQ33" i="335" s="1"/>
  <c r="AQ38" i="335" s="1"/>
  <c r="AP21" i="335"/>
  <c r="AP33" i="335" s="1"/>
  <c r="AP38" i="335" s="1"/>
  <c r="AO21" i="335"/>
  <c r="AO33" i="335" s="1"/>
  <c r="AO38" i="335" s="1"/>
  <c r="I21" i="335"/>
  <c r="I33" i="335" s="1"/>
  <c r="I38" i="335" s="1"/>
  <c r="H21" i="335"/>
  <c r="H33" i="335" s="1"/>
  <c r="H38" i="335" s="1"/>
  <c r="G21" i="335"/>
  <c r="G33" i="335" s="1"/>
  <c r="G38" i="335" s="1"/>
  <c r="K39" i="333" l="1"/>
  <c r="Q39" i="333"/>
  <c r="W39" i="333"/>
  <c r="X39" i="333"/>
  <c r="Z39" i="333"/>
  <c r="AA39" i="333"/>
  <c r="AB39" i="333"/>
  <c r="AJ39" i="333"/>
  <c r="AN39" i="333"/>
  <c r="AJ36" i="333"/>
  <c r="AE27" i="332"/>
  <c r="AE29" i="332"/>
  <c r="AJ35" i="333"/>
  <c r="O23" i="332" l="1"/>
  <c r="O24" i="332"/>
  <c r="K38" i="333"/>
  <c r="AE24" i="332" l="1"/>
  <c r="J24" i="332"/>
  <c r="AE23" i="332"/>
  <c r="J23" i="332"/>
  <c r="B31" i="334" l="1"/>
  <c r="C30" i="332"/>
  <c r="B21" i="332"/>
  <c r="B21" i="334"/>
  <c r="T28" i="334" l="1"/>
  <c r="T31" i="334" s="1"/>
  <c r="X28" i="334"/>
  <c r="X31" i="334" s="1"/>
  <c r="Y28" i="334"/>
  <c r="Y31" i="334" s="1"/>
  <c r="AE28" i="334"/>
  <c r="AE31" i="334" s="1"/>
  <c r="AF28" i="334"/>
  <c r="AF31" i="334" s="1"/>
  <c r="AI28" i="334"/>
  <c r="AI31" i="334" s="1"/>
  <c r="AJ28" i="334"/>
  <c r="AJ31" i="334" s="1"/>
  <c r="AO28" i="334"/>
  <c r="AO31" i="334" s="1"/>
  <c r="AR28" i="334"/>
  <c r="AR31" i="334" s="1"/>
  <c r="Q28" i="334"/>
  <c r="Q31" i="334" s="1"/>
  <c r="O30" i="334"/>
  <c r="AH28" i="334"/>
  <c r="AH31" i="334" s="1"/>
  <c r="W28" i="334"/>
  <c r="W31" i="334" s="1"/>
  <c r="S28" i="334"/>
  <c r="S31" i="334" s="1"/>
  <c r="S32" i="334" s="1"/>
  <c r="M28" i="334"/>
  <c r="K28" i="334"/>
  <c r="O23" i="334"/>
  <c r="AV21" i="334"/>
  <c r="AV28" i="334" s="1"/>
  <c r="AV31" i="334" s="1"/>
  <c r="AU21" i="334"/>
  <c r="AU28" i="334" s="1"/>
  <c r="AU31" i="334" s="1"/>
  <c r="AT21" i="334"/>
  <c r="AT28" i="334" s="1"/>
  <c r="AT31" i="334" s="1"/>
  <c r="AS28" i="334"/>
  <c r="AS31" i="334" s="1"/>
  <c r="AQ28" i="334"/>
  <c r="AQ31" i="334" s="1"/>
  <c r="AP28" i="334"/>
  <c r="AP31" i="334" s="1"/>
  <c r="AB28" i="334"/>
  <c r="AB31" i="334" s="1"/>
  <c r="AA28" i="334"/>
  <c r="AA31" i="334" s="1"/>
  <c r="Z28" i="334"/>
  <c r="Z31" i="334" s="1"/>
  <c r="V28" i="334"/>
  <c r="V31" i="334" s="1"/>
  <c r="V32" i="334" s="1"/>
  <c r="U28" i="334"/>
  <c r="U31" i="334" s="1"/>
  <c r="R28" i="334"/>
  <c r="R31" i="334" s="1"/>
  <c r="R32" i="334" s="1"/>
  <c r="P21" i="334"/>
  <c r="P28" i="334" s="1"/>
  <c r="P31" i="334" s="1"/>
  <c r="O21" i="334"/>
  <c r="O28" i="334" s="1"/>
  <c r="O31" i="334" s="1"/>
  <c r="N21" i="334"/>
  <c r="N28" i="334" s="1"/>
  <c r="N31" i="334" s="1"/>
  <c r="M21" i="334"/>
  <c r="L21" i="334"/>
  <c r="L28" i="334" s="1"/>
  <c r="K21" i="334"/>
  <c r="J21" i="334"/>
  <c r="J28" i="334" s="1"/>
  <c r="I21" i="334"/>
  <c r="I28" i="334" s="1"/>
  <c r="I31" i="334" s="1"/>
  <c r="J30" i="334" l="1"/>
  <c r="J31" i="334" s="1"/>
  <c r="L30" i="334"/>
  <c r="L31" i="334"/>
  <c r="K30" i="334"/>
  <c r="K31" i="334" s="1"/>
  <c r="M30" i="334"/>
  <c r="M31" i="334" s="1"/>
  <c r="Q28" i="333"/>
  <c r="Q24" i="333"/>
  <c r="Q33" i="333" s="1"/>
  <c r="Q38" i="333" s="1"/>
  <c r="K26" i="333"/>
  <c r="J25" i="333"/>
  <c r="K24" i="333"/>
  <c r="J23" i="333"/>
  <c r="M33" i="333"/>
  <c r="M38" i="333" s="1"/>
  <c r="N33" i="333"/>
  <c r="N38" i="333" s="1"/>
  <c r="T33" i="333"/>
  <c r="T38" i="333" s="1"/>
  <c r="X33" i="333"/>
  <c r="X38" i="333" s="1"/>
  <c r="Z33" i="333"/>
  <c r="Z38" i="333" s="1"/>
  <c r="AC33" i="333"/>
  <c r="AC38" i="333" s="1"/>
  <c r="AD33" i="333"/>
  <c r="AD38" i="333" s="1"/>
  <c r="AE33" i="333"/>
  <c r="AE38" i="333" s="1"/>
  <c r="AF33" i="333"/>
  <c r="AF38" i="333" s="1"/>
  <c r="AI33" i="333"/>
  <c r="AI38" i="333" s="1"/>
  <c r="AO21" i="333"/>
  <c r="AP21" i="333"/>
  <c r="AQ21" i="333"/>
  <c r="AQ33" i="333" s="1"/>
  <c r="AQ38" i="333" s="1"/>
  <c r="R33" i="333"/>
  <c r="R38" i="333" s="1"/>
  <c r="Y33" i="333"/>
  <c r="Y38" i="333" s="1"/>
  <c r="AK33" i="333"/>
  <c r="AK38" i="333" s="1"/>
  <c r="AL33" i="333"/>
  <c r="AL38" i="333" s="1"/>
  <c r="AP33" i="333"/>
  <c r="AP38" i="333" s="1"/>
  <c r="AO33" i="333"/>
  <c r="AO38" i="333" s="1"/>
  <c r="AJ33" i="333"/>
  <c r="W33" i="333"/>
  <c r="W38" i="333" s="1"/>
  <c r="S33" i="333"/>
  <c r="S38" i="333" s="1"/>
  <c r="L33" i="333"/>
  <c r="L38" i="333" s="1"/>
  <c r="G33" i="333"/>
  <c r="G38" i="333" s="1"/>
  <c r="AN33" i="333"/>
  <c r="AN38" i="333" s="1"/>
  <c r="AM33" i="333"/>
  <c r="AM38" i="333" s="1"/>
  <c r="AH33" i="333"/>
  <c r="AH38" i="333" s="1"/>
  <c r="AG33" i="333"/>
  <c r="AG38" i="333" s="1"/>
  <c r="AB33" i="333"/>
  <c r="AB38" i="333" s="1"/>
  <c r="AA33" i="333"/>
  <c r="AA38" i="333" s="1"/>
  <c r="V33" i="333"/>
  <c r="V38" i="333" s="1"/>
  <c r="U33" i="333"/>
  <c r="U38" i="333" s="1"/>
  <c r="P33" i="333"/>
  <c r="P38" i="333" s="1"/>
  <c r="O33" i="333"/>
  <c r="O38" i="333" s="1"/>
  <c r="I21" i="333"/>
  <c r="I33" i="333" s="1"/>
  <c r="I38" i="333" s="1"/>
  <c r="H21" i="333"/>
  <c r="H33" i="333" s="1"/>
  <c r="H38" i="333" s="1"/>
  <c r="G21" i="333"/>
  <c r="M27" i="332"/>
  <c r="M30" i="332" s="1"/>
  <c r="R27" i="332"/>
  <c r="R30" i="332" s="1"/>
  <c r="S27" i="332"/>
  <c r="S30" i="332" s="1"/>
  <c r="V27" i="332"/>
  <c r="V30" i="332" s="1"/>
  <c r="X27" i="332"/>
  <c r="X30" i="332" s="1"/>
  <c r="Y27" i="332"/>
  <c r="Y30" i="332" s="1"/>
  <c r="AB27" i="332"/>
  <c r="AB30" i="332" s="1"/>
  <c r="AC27" i="332"/>
  <c r="AC30" i="332" s="1"/>
  <c r="AD27" i="332"/>
  <c r="AD30" i="332" s="1"/>
  <c r="AI27" i="332"/>
  <c r="AI30" i="332" s="1"/>
  <c r="J27" i="332"/>
  <c r="J30" i="332" s="1"/>
  <c r="L27" i="332"/>
  <c r="L30" i="332" s="1"/>
  <c r="AL21" i="332"/>
  <c r="AL27" i="332" s="1"/>
  <c r="AL30" i="332" s="1"/>
  <c r="AK21" i="332"/>
  <c r="AK27" i="332" s="1"/>
  <c r="AK30" i="332" s="1"/>
  <c r="AJ21" i="332"/>
  <c r="AJ27" i="332" s="1"/>
  <c r="AJ30" i="332" s="1"/>
  <c r="AH27" i="332"/>
  <c r="AH30" i="332" s="1"/>
  <c r="AG27" i="332"/>
  <c r="AG30" i="332" s="1"/>
  <c r="AF27" i="332"/>
  <c r="AF30" i="332" s="1"/>
  <c r="AA27" i="332"/>
  <c r="AA30" i="332" s="1"/>
  <c r="Z27" i="332"/>
  <c r="Z30" i="332" s="1"/>
  <c r="W27" i="332"/>
  <c r="W30" i="332" s="1"/>
  <c r="U27" i="332"/>
  <c r="U30" i="332" s="1"/>
  <c r="T27" i="332"/>
  <c r="T30" i="332" s="1"/>
  <c r="Q27" i="332"/>
  <c r="Q30" i="332" s="1"/>
  <c r="P27" i="332"/>
  <c r="P30" i="332" s="1"/>
  <c r="O27" i="332"/>
  <c r="O30" i="332" s="1"/>
  <c r="N27" i="332"/>
  <c r="N30" i="332" s="1"/>
  <c r="K27" i="332"/>
  <c r="K30" i="332" s="1"/>
  <c r="I21" i="332"/>
  <c r="I27" i="332" s="1"/>
  <c r="H21" i="332"/>
  <c r="H27" i="332" s="1"/>
  <c r="G21" i="332"/>
  <c r="G27" i="332" s="1"/>
  <c r="AK39" i="333" l="1"/>
  <c r="AK33" i="335"/>
  <c r="AE30" i="332"/>
  <c r="AJ38" i="333"/>
  <c r="J33" i="333"/>
  <c r="J38" i="333" s="1"/>
  <c r="K33" i="333"/>
  <c r="G29" i="332"/>
  <c r="G30" i="332" s="1"/>
  <c r="H29" i="332"/>
  <c r="H30" i="332"/>
  <c r="I29" i="332"/>
  <c r="I30" i="332"/>
</calcChain>
</file>

<file path=xl/sharedStrings.xml><?xml version="1.0" encoding="utf-8"?>
<sst xmlns="http://schemas.openxmlformats.org/spreadsheetml/2006/main" count="2117" uniqueCount="190">
  <si>
    <t>Republic of the Philippines</t>
  </si>
  <si>
    <t>Department of Environment and Natural Resources</t>
  </si>
  <si>
    <t>MINES AND GEOSCIENCES BUREAU</t>
  </si>
  <si>
    <t>North Avenue, Diliman, Quezon City</t>
  </si>
  <si>
    <t>MONTHLY REPORT</t>
  </si>
  <si>
    <t>RECORD SHOWING EXPLOSIVES ON HAND, AMOUNT IMPORTED, PURCHASED FOUND, TAKEN UP, OR RECEIVED FROM AN</t>
  </si>
  <si>
    <t>OTHER SOURCE AND RECORD OF EXPLOSIVE ISSUED, TRANSFERRED AND/OR OTHERWISE GIVEN DISPOSITION</t>
  </si>
  <si>
    <t>The Chief</t>
  </si>
  <si>
    <t>Philippine National Police</t>
  </si>
  <si>
    <t>RECEIPTS</t>
  </si>
  <si>
    <t>NAME</t>
  </si>
  <si>
    <t>ADDRESS</t>
  </si>
  <si>
    <t>PIECES</t>
  </si>
  <si>
    <t>METERS</t>
  </si>
  <si>
    <t>KILOS</t>
  </si>
  <si>
    <t>EBC</t>
  </si>
  <si>
    <t>ACID</t>
  </si>
  <si>
    <t>TOTAL</t>
  </si>
  <si>
    <t>Disposition</t>
  </si>
  <si>
    <t>Form of License</t>
  </si>
  <si>
    <t>Very respectfully</t>
  </si>
  <si>
    <t>Doc. No.</t>
  </si>
  <si>
    <t>Page of</t>
  </si>
  <si>
    <t>Book of</t>
  </si>
  <si>
    <t>Series of</t>
  </si>
  <si>
    <t>NOTARY PUBLIC</t>
  </si>
  <si>
    <t>EMULEX</t>
  </si>
  <si>
    <t>NONEL</t>
  </si>
  <si>
    <t>EXEL</t>
  </si>
  <si>
    <t>DETONATING CORD</t>
  </si>
  <si>
    <t>SUPERDYNE</t>
  </si>
  <si>
    <t>MOUNT ROCK POWDER CORP.</t>
  </si>
  <si>
    <t>AGUSAN DEL SUR</t>
  </si>
  <si>
    <t>DAVAO CITY</t>
  </si>
  <si>
    <t>FOUND</t>
  </si>
  <si>
    <t>Taken Up</t>
  </si>
  <si>
    <t>MS 12</t>
  </si>
  <si>
    <t>MS 18</t>
  </si>
  <si>
    <t xml:space="preserve">        of  ___________________, 20 _____</t>
  </si>
  <si>
    <t>OTHERS</t>
  </si>
  <si>
    <t>V. S. GUEVARA</t>
  </si>
  <si>
    <t>NAME OF PERSON</t>
  </si>
  <si>
    <t>(LICENSE)</t>
  </si>
  <si>
    <t>MAKING DELIVERY</t>
  </si>
  <si>
    <t>NESTOR MA</t>
  </si>
  <si>
    <t>Subscribed and sworn to before me this____________day</t>
  </si>
  <si>
    <t>LICENSE NO.</t>
  </si>
  <si>
    <t>FUSE LIGHTER</t>
  </si>
  <si>
    <t>SAFETY FUSE</t>
  </si>
  <si>
    <t>MAGNUM 215</t>
  </si>
  <si>
    <t>#11</t>
  </si>
  <si>
    <t>#6</t>
  </si>
  <si>
    <t>DYAGEL   150</t>
  </si>
  <si>
    <t>savings    SAFETY FUSE</t>
  </si>
  <si>
    <t>BLASTER FOREMAN</t>
  </si>
  <si>
    <t xml:space="preserve">NONEL </t>
  </si>
  <si>
    <t>SUPREME</t>
  </si>
  <si>
    <t>SUPER POWER</t>
  </si>
  <si>
    <t>BILL WIRE</t>
  </si>
  <si>
    <t>DETONATORS</t>
  </si>
  <si>
    <t>PKB15-111108-03269</t>
  </si>
  <si>
    <t>PPB08-220509-03374</t>
  </si>
  <si>
    <t>MS DETONATOR</t>
  </si>
  <si>
    <t>Ptr No. ___________________________</t>
  </si>
  <si>
    <t>_________________________________</t>
  </si>
  <si>
    <r>
      <t xml:space="preserve">Thru The Provincial Director of  </t>
    </r>
    <r>
      <rPr>
        <b/>
        <u/>
        <sz val="18"/>
        <rFont val="Arial Narrow"/>
        <family val="2"/>
      </rPr>
      <t>PATIN-AY, PROSPERIDAD, AGUSAN DEL SUR</t>
    </r>
  </si>
  <si>
    <t>MAGNUM</t>
  </si>
  <si>
    <t>SENATELPULSAR</t>
  </si>
  <si>
    <t>PUR POSE</t>
  </si>
  <si>
    <t>ANFO</t>
  </si>
  <si>
    <t>208/CASE</t>
  </si>
  <si>
    <t>OBC</t>
  </si>
  <si>
    <t>5 GRAMS</t>
  </si>
  <si>
    <t>10 GRAMS</t>
  </si>
  <si>
    <t>6 GRAMS</t>
  </si>
  <si>
    <t>215/CASE</t>
  </si>
  <si>
    <t>150/CASE</t>
  </si>
  <si>
    <t>40 GRAMS</t>
  </si>
  <si>
    <t>Until Dec. 31, 20___________________</t>
  </si>
  <si>
    <t>Used or Transferred</t>
  </si>
  <si>
    <t xml:space="preserve">EXPEDITION MBDInc. </t>
  </si>
  <si>
    <t>PHILSAGA MINING CORP. CO-O GOLD PROJECT CONSUMPTION 
(MPSA No. 262-2008-XIII PARCEL 1)</t>
  </si>
  <si>
    <t>MONTHLY USAGE /CONSUMPTION 
OF 
PMC- EXPLORATION PROJECT  (MPSA No. 262-2008-XIII PARCEL-2)</t>
  </si>
  <si>
    <t>USAGE</t>
  </si>
  <si>
    <t>TRANSFEERED (THRU EXPEDITION MBDInc.) 
 TO 
PMC-EXPLORATION PROJECT  (MPSA No. 262-2008-XIII PARCEL-2)</t>
  </si>
  <si>
    <t>MAG  NUM</t>
  </si>
  <si>
    <t>135/CASE</t>
  </si>
  <si>
    <t>PACKAGE EMULSION</t>
  </si>
  <si>
    <t>38/CASE</t>
  </si>
  <si>
    <t>SENATEL        PULSAR</t>
  </si>
  <si>
    <t>FKB15 - 080917- 04562</t>
  </si>
  <si>
    <t>SHOCK STAR</t>
  </si>
  <si>
    <t>SHOCKSTAR</t>
  </si>
  <si>
    <t>MONTHLY USAGE /CONSUMPTION 
OF 
PMC- TIGERWAY DECLINE PROJECT 
(MPSA No. 262-2008-XIII PARCEL 1)</t>
  </si>
  <si>
    <t>SENATEL PULSAR</t>
  </si>
  <si>
    <t xml:space="preserve">         _________________________________</t>
  </si>
  <si>
    <t xml:space="preserve">         NOTARY PUBLIC</t>
  </si>
  <si>
    <t xml:space="preserve">         Until Dec. 31, 20___________________</t>
  </si>
  <si>
    <t xml:space="preserve">         Ptr No. ___________________________</t>
  </si>
  <si>
    <t>91/CASE</t>
  </si>
  <si>
    <t>MR. RAFFY D. TORRES</t>
  </si>
  <si>
    <t>NEOGEL 901</t>
  </si>
  <si>
    <t>200/CASE</t>
  </si>
  <si>
    <t>NITRO EM</t>
  </si>
  <si>
    <t>EM AUSTIN</t>
  </si>
  <si>
    <t xml:space="preserve">                                             </t>
  </si>
  <si>
    <t>62/CASE</t>
  </si>
  <si>
    <t>36 CASE</t>
  </si>
  <si>
    <t>MR. EDWIN B. BATAL</t>
  </si>
  <si>
    <t>Issued at P-5 Poblacion Prosperidad Agusan del Sur</t>
  </si>
  <si>
    <t>NEOCORD10 GRAMS</t>
  </si>
  <si>
    <t>DETCORD 10 GRAMS</t>
  </si>
  <si>
    <t xml:space="preserve">            _________________________________</t>
  </si>
  <si>
    <t xml:space="preserve">            NOTARY PUBLIC</t>
  </si>
  <si>
    <t xml:space="preserve">            Until Dec. 31, 20___________________</t>
  </si>
  <si>
    <t xml:space="preserve">            Ptr No. ___________________________</t>
  </si>
  <si>
    <t xml:space="preserve">          Form of License</t>
  </si>
  <si>
    <t>DCORD   I5 GRAMS</t>
  </si>
  <si>
    <t>80/CASE</t>
  </si>
  <si>
    <t xml:space="preserve">SENATEL </t>
  </si>
  <si>
    <t>Con. Tax. Cert. No. CC1202213000572</t>
  </si>
  <si>
    <t>Issued at Consuelo Bunawan Agusan del Sur</t>
  </si>
  <si>
    <t>Dated Issued: June 5, 2025</t>
  </si>
  <si>
    <t>Con. Tax. Cert. No. CCI2022 13113698</t>
  </si>
  <si>
    <t>NEOGEL</t>
  </si>
  <si>
    <t>9/26/2025</t>
  </si>
  <si>
    <t>10/15/2025</t>
  </si>
  <si>
    <t>Remaining Stock as of December 31, 2025</t>
  </si>
  <si>
    <t>JANUARY              1-31,2026</t>
  </si>
  <si>
    <t>Beginning Stock as of as of  January 1, 2026</t>
  </si>
  <si>
    <r>
      <t xml:space="preserve">SIR : I have the honor to submit the following report of explosive transaction and usage of PMC- Co-o Gold Project for the month of </t>
    </r>
    <r>
      <rPr>
        <b/>
        <u/>
        <sz val="18"/>
        <rFont val="Arial Narrow"/>
        <family val="2"/>
      </rPr>
      <t>JANUARY 2026</t>
    </r>
  </si>
  <si>
    <t>Remaining Stock as of January 31,2026</t>
  </si>
  <si>
    <t>01/15/2026</t>
  </si>
  <si>
    <t>01/21/2026</t>
  </si>
  <si>
    <t>01/29/2026</t>
  </si>
  <si>
    <r>
      <t xml:space="preserve">SIR : I have the honor to submit the following report of explosives transactions and usage of the PMC Tigerway Decline Project  for the month of </t>
    </r>
    <r>
      <rPr>
        <b/>
        <u/>
        <sz val="18"/>
        <rFont val="Arial Narrow"/>
        <family val="2"/>
      </rPr>
      <t>JANUARY 2026</t>
    </r>
  </si>
  <si>
    <t>JANUARY                  1-31,2026</t>
  </si>
  <si>
    <r>
      <t xml:space="preserve">SIR : I have the honor to submit the following report of explosive transactions and usage of PMC - Exploration Project for the month of  </t>
    </r>
    <r>
      <rPr>
        <b/>
        <u/>
        <sz val="18"/>
        <rFont val="Arial Narrow"/>
        <family val="2"/>
      </rPr>
      <t>JANUARY 2026</t>
    </r>
  </si>
  <si>
    <t>1/27/2026</t>
  </si>
  <si>
    <t>01/13/2026</t>
  </si>
  <si>
    <t>JANUARY                    1-31,2026</t>
  </si>
  <si>
    <r>
      <t xml:space="preserve">SIR : I have the honor to submit the following report of explosive transaction and usage of PMC- Co-o Gold Project for the month of </t>
    </r>
    <r>
      <rPr>
        <b/>
        <u/>
        <sz val="18"/>
        <rFont val="Arial Narrow"/>
        <family val="2"/>
      </rPr>
      <t>FEBRUARY 2026</t>
    </r>
  </si>
  <si>
    <t>FEBRUARY              1-28,2026</t>
  </si>
  <si>
    <t>Beginning Stock as of as of  February 1, 2026</t>
  </si>
  <si>
    <t>Remaining Stock as of February 28,2026</t>
  </si>
  <si>
    <t>2/23/2026</t>
  </si>
  <si>
    <r>
      <t>SIR : I have the honor to submit the following report of explosive transactions and usage of PMC - Exploration Project for the month of</t>
    </r>
    <r>
      <rPr>
        <b/>
        <u/>
        <sz val="18"/>
        <rFont val="Arial Narrow"/>
        <family val="2"/>
      </rPr>
      <t xml:space="preserve"> FEBRUARY 2026</t>
    </r>
  </si>
  <si>
    <t>FEBRUARY                    1-28,2026</t>
  </si>
  <si>
    <r>
      <t xml:space="preserve">SIR : I have the honor to submit the following report of explosives transactions and usage of the PMC Tigerway Decline Project  for the month of </t>
    </r>
    <r>
      <rPr>
        <b/>
        <u/>
        <sz val="18"/>
        <rFont val="Arial Narrow"/>
        <family val="2"/>
      </rPr>
      <t>FEBRUARY 2026</t>
    </r>
  </si>
  <si>
    <t>FEBRUARY      1-28,2026</t>
  </si>
  <si>
    <t>NEP PRIME</t>
  </si>
  <si>
    <t>93/CASE</t>
  </si>
  <si>
    <t>2/19/2026</t>
  </si>
  <si>
    <t xml:space="preserve">RETURNED EXPLOSIVES STOCK FROM RCV SINUG-ANG MAGAZINE </t>
  </si>
  <si>
    <t>TRANSFERRED EXPLOSIVES STOCK BACK TO PMC MINE SITE</t>
  </si>
  <si>
    <t>Used or                          Transferred</t>
  </si>
  <si>
    <t>MONTHLY USAGE /CONSUMPTION  OF PMC- EXPLORATION PROJECT  (MPSA No. 262-2008-XIII PARCEL-2)</t>
  </si>
  <si>
    <r>
      <t xml:space="preserve">SIR : I have the honor to submit the following report of explosive transaction and usage of PMC- Co-o Gold Project for the month of </t>
    </r>
    <r>
      <rPr>
        <b/>
        <u/>
        <sz val="18"/>
        <rFont val="Arial Narrow"/>
        <family val="2"/>
      </rPr>
      <t>MARCH 2026</t>
    </r>
  </si>
  <si>
    <t>MARCH              1-31,2026</t>
  </si>
  <si>
    <t>3/19/2026</t>
  </si>
  <si>
    <t>Beginning Stock as of as of  March 1, 2026</t>
  </si>
  <si>
    <t>Remaining Stock as of March 31,2026</t>
  </si>
  <si>
    <r>
      <t>SIR : I have the honor to submit the following report of explosive transactions and usage of PMC - Exploration Project for the month of</t>
    </r>
    <r>
      <rPr>
        <b/>
        <u/>
        <sz val="18"/>
        <rFont val="Arial Narrow"/>
        <family val="2"/>
      </rPr>
      <t xml:space="preserve"> MARCH 2026</t>
    </r>
  </si>
  <si>
    <t>MARCH                       1-31,2026</t>
  </si>
  <si>
    <r>
      <t xml:space="preserve">SIR : I have the honor to submit the following report of explosives transactions and usage of the PMC Tigerway Decline Project  for the month of </t>
    </r>
    <r>
      <rPr>
        <b/>
        <u/>
        <sz val="18"/>
        <rFont val="Arial Narrow"/>
        <family val="2"/>
      </rPr>
      <t>MARCH 2026</t>
    </r>
  </si>
  <si>
    <t>03/18/2026</t>
  </si>
  <si>
    <t>NEO PRIME</t>
  </si>
  <si>
    <t>RIONEL</t>
  </si>
  <si>
    <t>FKB15 - 080917- 04561</t>
  </si>
  <si>
    <r>
      <t xml:space="preserve">SIR : I have the honor to submit the following report of explosive transaction and usage of PMC- Co-o Gold Project for the month of </t>
    </r>
    <r>
      <rPr>
        <b/>
        <u/>
        <sz val="18"/>
        <rFont val="Arial Narrow"/>
        <family val="2"/>
      </rPr>
      <t>APRIL 2026</t>
    </r>
  </si>
  <si>
    <t>Beginning Stock as of as of  April 1, 2026</t>
  </si>
  <si>
    <t>Remaining Stock as of April 30,2026</t>
  </si>
  <si>
    <t>4/16/2026</t>
  </si>
  <si>
    <t>4/23/2026</t>
  </si>
  <si>
    <r>
      <t>SIR : I have the honor to submit the following report of explosive transactions and usage of PMC - Exploration Project for the month of</t>
    </r>
    <r>
      <rPr>
        <b/>
        <u/>
        <sz val="18"/>
        <rFont val="Arial Narrow"/>
        <family val="2"/>
      </rPr>
      <t xml:space="preserve"> APRIL 2026</t>
    </r>
  </si>
  <si>
    <r>
      <t xml:space="preserve">SIR : I have the honor to submit the following report of explosives transactions and usage of the PMC Tigerway Decline Project  for the month of </t>
    </r>
    <r>
      <rPr>
        <b/>
        <u/>
        <sz val="18"/>
        <rFont val="Arial Narrow"/>
        <family val="2"/>
      </rPr>
      <t>APRIL 2026</t>
    </r>
  </si>
  <si>
    <t>APRIL            1-30,2026</t>
  </si>
  <si>
    <t>4/17/2026</t>
  </si>
  <si>
    <t>TLD</t>
  </si>
  <si>
    <t>4/30/2026</t>
  </si>
  <si>
    <t>APRIL                 1-30,2026</t>
  </si>
  <si>
    <t>APRIL                           1-30,2026</t>
  </si>
  <si>
    <r>
      <t xml:space="preserve">SIR : I have the honor to submit the following report of explosive transaction and usage of PMC- Co-o Gold Project for the month of </t>
    </r>
    <r>
      <rPr>
        <b/>
        <u/>
        <sz val="18"/>
        <rFont val="Arial Narrow"/>
        <family val="2"/>
      </rPr>
      <t>MAY 2026</t>
    </r>
  </si>
  <si>
    <t>Beginning Stock as of as of  May 1, 2026</t>
  </si>
  <si>
    <t>Remaining Stock as of May 31,2026</t>
  </si>
  <si>
    <t>5-20-2026</t>
  </si>
  <si>
    <t>5-27-2026</t>
  </si>
  <si>
    <t>MAY 1-31,2026</t>
  </si>
  <si>
    <r>
      <t>SIR : I have the honor to submit the following report of explosive transactions and usage of PMC - Exploration Project for the month of</t>
    </r>
    <r>
      <rPr>
        <b/>
        <u/>
        <sz val="18"/>
        <rFont val="Arial Narrow"/>
        <family val="2"/>
      </rPr>
      <t xml:space="preserve"> MAY 2026</t>
    </r>
  </si>
  <si>
    <r>
      <t xml:space="preserve">SIR : I have the honor to submit the following report of explosives transactions and usage of the PMC Tigerway Decline Project  for the month of </t>
    </r>
    <r>
      <rPr>
        <b/>
        <u/>
        <sz val="18"/>
        <rFont val="Arial Narrow"/>
        <family val="2"/>
      </rPr>
      <t>MAY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</si>
</sst>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_);\(#,##0.0\)"/>
    <numFmt numFmtId="167" formatCode="d/mm/yyyy;@"/>
    <numFmt numFmtId="168" formatCode="0.0"/>
    <numFmt numFmtId="169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b/>
      <u/>
      <sz val="18"/>
      <name val="Arial Narrow"/>
      <family val="2"/>
    </font>
    <font>
      <sz val="11"/>
      <name val="Arial Narrow"/>
      <family val="2"/>
    </font>
    <font>
      <sz val="8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9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i/>
      <sz val="16"/>
      <name val="Arial Narrow"/>
      <family val="2"/>
    </font>
    <font>
      <i/>
      <sz val="18"/>
      <name val="Arial Narrow"/>
      <family val="2"/>
    </font>
    <font>
      <sz val="14"/>
      <name val="Arial Narrow"/>
      <family val="2"/>
    </font>
    <font>
      <b/>
      <i/>
      <sz val="18"/>
      <name val="Arial Narrow"/>
      <family val="2"/>
    </font>
    <font>
      <b/>
      <i/>
      <sz val="14"/>
      <name val="Arial Narrow"/>
      <family val="2"/>
    </font>
    <font>
      <b/>
      <i/>
      <sz val="16"/>
      <name val="Arial Narrow"/>
      <family val="2"/>
    </font>
    <font>
      <b/>
      <sz val="10"/>
      <name val="Arial Narrow"/>
      <family val="2"/>
    </font>
    <font>
      <b/>
      <i/>
      <sz val="17"/>
      <name val="Arial Narrow"/>
      <family val="2"/>
    </font>
    <font>
      <b/>
      <sz val="17"/>
      <name val="Arial Narrow"/>
      <family val="2"/>
    </font>
    <font>
      <sz val="17"/>
      <name val="Arial Narrow"/>
      <family val="2"/>
    </font>
    <font>
      <sz val="12"/>
      <name val="Arial"/>
      <family val="2"/>
    </font>
    <font>
      <b/>
      <sz val="20"/>
      <name val="Arial Narrow"/>
      <family val="2"/>
    </font>
    <font>
      <b/>
      <sz val="19"/>
      <name val="Arial Narrow"/>
      <family val="2"/>
    </font>
    <font>
      <b/>
      <sz val="21"/>
      <name val="Arial Narrow"/>
      <family val="2"/>
    </font>
    <font>
      <b/>
      <u/>
      <sz val="22"/>
      <color theme="1"/>
      <name val="Arial"/>
      <family val="2"/>
    </font>
    <font>
      <b/>
      <sz val="14"/>
      <color theme="1"/>
      <name val="Arial Narrow"/>
      <family val="2"/>
    </font>
    <font>
      <b/>
      <sz val="12.5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8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3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4" fontId="10" fillId="0" borderId="0" xfId="0" applyNumberFormat="1" applyFont="1"/>
    <xf numFmtId="168" fontId="9" fillId="0" borderId="0" xfId="0" applyNumberFormat="1" applyFont="1"/>
    <xf numFmtId="2" fontId="9" fillId="0" borderId="0" xfId="0" applyNumberFormat="1" applyFont="1"/>
    <xf numFmtId="168" fontId="6" fillId="0" borderId="0" xfId="0" applyNumberFormat="1" applyFont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0" xfId="0" applyFont="1"/>
    <xf numFmtId="0" fontId="15" fillId="0" borderId="0" xfId="0" applyFont="1"/>
    <xf numFmtId="0" fontId="5" fillId="0" borderId="3" xfId="0" applyFont="1" applyBorder="1" applyAlignment="1">
      <alignment horizontal="center" vertical="center"/>
    </xf>
    <xf numFmtId="0" fontId="18" fillId="0" borderId="22" xfId="0" applyFont="1" applyBorder="1"/>
    <xf numFmtId="3" fontId="18" fillId="0" borderId="8" xfId="0" applyNumberFormat="1" applyFont="1" applyBorder="1"/>
    <xf numFmtId="3" fontId="5" fillId="0" borderId="8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0" fontId="18" fillId="0" borderId="8" xfId="0" applyFont="1" applyBorder="1"/>
    <xf numFmtId="0" fontId="18" fillId="0" borderId="23" xfId="0" applyFont="1" applyBorder="1"/>
    <xf numFmtId="0" fontId="18" fillId="0" borderId="24" xfId="0" applyFont="1" applyBorder="1" applyAlignment="1">
      <alignment vertical="center"/>
    </xf>
    <xf numFmtId="0" fontId="18" fillId="0" borderId="24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165" fontId="5" fillId="0" borderId="3" xfId="0" applyNumberFormat="1" applyFont="1" applyBorder="1" applyAlignment="1">
      <alignment horizontal="left" vertical="center"/>
    </xf>
    <xf numFmtId="3" fontId="14" fillId="0" borderId="3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3" fontId="21" fillId="4" borderId="3" xfId="0" applyNumberFormat="1" applyFont="1" applyFill="1" applyBorder="1" applyAlignment="1">
      <alignment horizontal="center" vertical="center"/>
    </xf>
    <xf numFmtId="169" fontId="14" fillId="0" borderId="8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left" vertical="center"/>
    </xf>
    <xf numFmtId="165" fontId="20" fillId="0" borderId="3" xfId="0" applyNumberFormat="1" applyFont="1" applyBorder="1" applyAlignment="1">
      <alignment vertical="center"/>
    </xf>
    <xf numFmtId="165" fontId="5" fillId="0" borderId="3" xfId="0" applyNumberFormat="1" applyFont="1" applyBorder="1" applyAlignment="1">
      <alignment vertical="center"/>
    </xf>
    <xf numFmtId="3" fontId="20" fillId="4" borderId="3" xfId="0" applyNumberFormat="1" applyFont="1" applyFill="1" applyBorder="1" applyAlignment="1">
      <alignment horizontal="center" vertical="center"/>
    </xf>
    <xf numFmtId="3" fontId="20" fillId="4" borderId="28" xfId="0" applyNumberFormat="1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vertical="center"/>
    </xf>
    <xf numFmtId="165" fontId="6" fillId="0" borderId="8" xfId="0" applyNumberFormat="1" applyFont="1" applyBorder="1" applyAlignment="1">
      <alignment vertical="center"/>
    </xf>
    <xf numFmtId="0" fontId="7" fillId="4" borderId="28" xfId="0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vertical="center"/>
    </xf>
    <xf numFmtId="4" fontId="21" fillId="4" borderId="3" xfId="0" applyNumberFormat="1" applyFont="1" applyFill="1" applyBorder="1" applyAlignment="1">
      <alignment horizontal="center" vertical="center"/>
    </xf>
    <xf numFmtId="165" fontId="21" fillId="4" borderId="3" xfId="0" applyNumberFormat="1" applyFont="1" applyFill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9" fontId="21" fillId="0" borderId="3" xfId="0" applyNumberFormat="1" applyFont="1" applyBorder="1" applyAlignment="1">
      <alignment horizontal="center" vertical="center"/>
    </xf>
    <xf numFmtId="169" fontId="14" fillId="0" borderId="3" xfId="0" applyNumberFormat="1" applyFont="1" applyBorder="1" applyAlignment="1">
      <alignment horizontal="center" vertical="center"/>
    </xf>
    <xf numFmtId="3" fontId="14" fillId="0" borderId="3" xfId="3" applyNumberFormat="1" applyFont="1" applyBorder="1" applyAlignment="1">
      <alignment horizontal="center" vertical="center"/>
    </xf>
    <xf numFmtId="3" fontId="14" fillId="7" borderId="3" xfId="0" applyNumberFormat="1" applyFont="1" applyFill="1" applyBorder="1" applyAlignment="1">
      <alignment horizontal="center" vertical="center"/>
    </xf>
    <xf numFmtId="4" fontId="14" fillId="7" borderId="3" xfId="0" applyNumberFormat="1" applyFont="1" applyFill="1" applyBorder="1" applyAlignment="1">
      <alignment horizontal="center" vertical="center"/>
    </xf>
    <xf numFmtId="3" fontId="14" fillId="6" borderId="3" xfId="0" applyNumberFormat="1" applyFont="1" applyFill="1" applyBorder="1" applyAlignment="1">
      <alignment horizontal="center" vertical="center"/>
    </xf>
    <xf numFmtId="165" fontId="14" fillId="6" borderId="3" xfId="0" applyNumberFormat="1" applyFont="1" applyFill="1" applyBorder="1" applyAlignment="1">
      <alignment horizontal="center" vertical="center"/>
    </xf>
    <xf numFmtId="3" fontId="21" fillId="4" borderId="2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5" fontId="5" fillId="2" borderId="4" xfId="0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3" fontId="5" fillId="7" borderId="3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vertical="center"/>
    </xf>
    <xf numFmtId="3" fontId="23" fillId="4" borderId="3" xfId="0" applyNumberFormat="1" applyFont="1" applyFill="1" applyBorder="1" applyAlignment="1">
      <alignment horizontal="center" vertical="center"/>
    </xf>
    <xf numFmtId="3" fontId="24" fillId="0" borderId="3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  <xf numFmtId="169" fontId="24" fillId="0" borderId="8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9" fontId="24" fillId="0" borderId="3" xfId="0" applyNumberFormat="1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24" fillId="0" borderId="3" xfId="3" applyNumberFormat="1" applyFont="1" applyBorder="1" applyAlignment="1">
      <alignment horizontal="center" vertical="center"/>
    </xf>
    <xf numFmtId="3" fontId="23" fillId="7" borderId="3" xfId="0" applyNumberFormat="1" applyFont="1" applyFill="1" applyBorder="1" applyAlignment="1">
      <alignment horizontal="center" vertical="center"/>
    </xf>
    <xf numFmtId="3" fontId="23" fillId="4" borderId="28" xfId="0" applyNumberFormat="1" applyFont="1" applyFill="1" applyBorder="1" applyAlignment="1">
      <alignment horizontal="center" vertical="center"/>
    </xf>
    <xf numFmtId="165" fontId="24" fillId="4" borderId="3" xfId="0" applyNumberFormat="1" applyFont="1" applyFill="1" applyBorder="1" applyAlignment="1">
      <alignment vertical="center"/>
    </xf>
    <xf numFmtId="0" fontId="24" fillId="0" borderId="21" xfId="0" applyFont="1" applyBorder="1" applyAlignment="1">
      <alignment vertical="center"/>
    </xf>
    <xf numFmtId="165" fontId="24" fillId="0" borderId="8" xfId="0" applyNumberFormat="1" applyFont="1" applyBorder="1" applyAlignment="1">
      <alignment vertical="center"/>
    </xf>
    <xf numFmtId="165" fontId="24" fillId="0" borderId="3" xfId="0" applyNumberFormat="1" applyFont="1" applyBorder="1" applyAlignment="1">
      <alignment vertical="center"/>
    </xf>
    <xf numFmtId="0" fontId="23" fillId="0" borderId="18" xfId="0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/>
    </xf>
    <xf numFmtId="167" fontId="24" fillId="0" borderId="8" xfId="0" applyNumberFormat="1" applyFont="1" applyBorder="1" applyAlignment="1">
      <alignment horizontal="center" vertical="center"/>
    </xf>
    <xf numFmtId="0" fontId="25" fillId="4" borderId="28" xfId="0" applyFont="1" applyFill="1" applyBorder="1" applyAlignment="1">
      <alignment horizontal="center" vertical="center"/>
    </xf>
    <xf numFmtId="165" fontId="23" fillId="4" borderId="3" xfId="0" applyNumberFormat="1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165" fontId="19" fillId="4" borderId="3" xfId="0" applyNumberFormat="1" applyFont="1" applyFill="1" applyBorder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165" fontId="24" fillId="4" borderId="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3" fontId="12" fillId="0" borderId="0" xfId="0" applyNumberFormat="1" applyFont="1"/>
    <xf numFmtId="4" fontId="12" fillId="0" borderId="0" xfId="0" applyNumberFormat="1" applyFont="1"/>
    <xf numFmtId="0" fontId="12" fillId="0" borderId="0" xfId="0" applyFont="1"/>
    <xf numFmtId="168" fontId="12" fillId="0" borderId="0" xfId="0" applyNumberFormat="1" applyFont="1"/>
    <xf numFmtId="165" fontId="12" fillId="0" borderId="0" xfId="0" applyNumberFormat="1" applyFont="1"/>
    <xf numFmtId="2" fontId="12" fillId="0" borderId="0" xfId="0" applyNumberFormat="1" applyFont="1"/>
    <xf numFmtId="0" fontId="19" fillId="4" borderId="26" xfId="0" applyFont="1" applyFill="1" applyBorder="1" applyAlignment="1">
      <alignment vertical="center"/>
    </xf>
    <xf numFmtId="0" fontId="21" fillId="4" borderId="27" xfId="0" applyFont="1" applyFill="1" applyBorder="1" applyAlignment="1">
      <alignment vertical="center"/>
    </xf>
    <xf numFmtId="0" fontId="15" fillId="4" borderId="29" xfId="0" applyFont="1" applyFill="1" applyBorder="1" applyAlignment="1">
      <alignment horizontal="center" vertical="center"/>
    </xf>
    <xf numFmtId="3" fontId="19" fillId="4" borderId="28" xfId="0" applyNumberFormat="1" applyFont="1" applyFill="1" applyBorder="1" applyAlignment="1">
      <alignment horizontal="center" vertical="center"/>
    </xf>
    <xf numFmtId="0" fontId="15" fillId="0" borderId="24" xfId="0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0" fontId="15" fillId="0" borderId="24" xfId="0" applyFont="1" applyBorder="1" applyAlignment="1">
      <alignment horizontal="center" vertical="center"/>
    </xf>
    <xf numFmtId="3" fontId="19" fillId="4" borderId="3" xfId="0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26" fillId="0" borderId="0" xfId="0" applyFont="1" applyAlignment="1">
      <alignment vertical="center"/>
    </xf>
    <xf numFmtId="3" fontId="26" fillId="0" borderId="0" xfId="0" applyNumberFormat="1" applyFont="1" applyAlignment="1">
      <alignment vertical="center"/>
    </xf>
    <xf numFmtId="168" fontId="26" fillId="0" borderId="0" xfId="0" applyNumberFormat="1" applyFont="1" applyAlignment="1">
      <alignment vertical="center"/>
    </xf>
    <xf numFmtId="165" fontId="26" fillId="0" borderId="0" xfId="0" applyNumberFormat="1" applyFont="1" applyAlignment="1">
      <alignment vertical="center"/>
    </xf>
    <xf numFmtId="2" fontId="26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7" fillId="0" borderId="0" xfId="0" applyFont="1" applyBorder="1"/>
    <xf numFmtId="0" fontId="12" fillId="0" borderId="0" xfId="0" applyFont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3" fontId="6" fillId="0" borderId="3" xfId="0" applyNumberFormat="1" applyFont="1" applyBorder="1" applyAlignment="1">
      <alignment horizontal="center" vertical="center"/>
    </xf>
    <xf numFmtId="169" fontId="6" fillId="0" borderId="8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7" fontId="6" fillId="0" borderId="8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14" fontId="6" fillId="0" borderId="8" xfId="0" applyNumberFormat="1" applyFont="1" applyBorder="1" applyAlignment="1">
      <alignment horizontal="left" vertical="center"/>
    </xf>
    <xf numFmtId="165" fontId="19" fillId="0" borderId="3" xfId="0" applyNumberFormat="1" applyFont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" fontId="19" fillId="7" borderId="3" xfId="0" applyNumberFormat="1" applyFont="1" applyFill="1" applyBorder="1" applyAlignment="1">
      <alignment horizontal="center" vertical="center"/>
    </xf>
    <xf numFmtId="4" fontId="19" fillId="7" borderId="3" xfId="0" applyNumberFormat="1" applyFont="1" applyFill="1" applyBorder="1" applyAlignment="1">
      <alignment horizontal="center" vertical="center"/>
    </xf>
    <xf numFmtId="3" fontId="6" fillId="5" borderId="3" xfId="0" applyNumberFormat="1" applyFont="1" applyFill="1" applyBorder="1" applyAlignment="1">
      <alignment horizontal="center" vertical="center"/>
    </xf>
    <xf numFmtId="0" fontId="19" fillId="4" borderId="27" xfId="0" applyFont="1" applyFill="1" applyBorder="1" applyAlignment="1">
      <alignment vertical="center"/>
    </xf>
    <xf numFmtId="4" fontId="19" fillId="4" borderId="28" xfId="0" applyNumberFormat="1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" fontId="21" fillId="4" borderId="28" xfId="0" applyNumberFormat="1" applyFont="1" applyFill="1" applyBorder="1" applyAlignment="1">
      <alignment horizontal="center" vertical="center"/>
    </xf>
    <xf numFmtId="4" fontId="19" fillId="4" borderId="3" xfId="0" applyNumberFormat="1" applyFont="1" applyFill="1" applyBorder="1" applyAlignment="1">
      <alignment horizontal="center" vertical="center"/>
    </xf>
    <xf numFmtId="3" fontId="6" fillId="0" borderId="0" xfId="0" applyNumberFormat="1" applyFont="1"/>
    <xf numFmtId="4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1" xfId="0" applyFont="1" applyBorder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3" fontId="6" fillId="5" borderId="7" xfId="0" applyNumberFormat="1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3" fontId="19" fillId="6" borderId="7" xfId="0" applyNumberFormat="1" applyFont="1" applyFill="1" applyBorder="1" applyAlignment="1">
      <alignment horizontal="center" vertical="center"/>
    </xf>
    <xf numFmtId="4" fontId="19" fillId="6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" fontId="5" fillId="2" borderId="12" xfId="0" applyNumberFormat="1" applyFont="1" applyFill="1" applyBorder="1" applyAlignment="1">
      <alignment horizontal="center" vertical="center" wrapText="1"/>
    </xf>
    <xf numFmtId="17" fontId="5" fillId="2" borderId="9" xfId="0" applyNumberFormat="1" applyFont="1" applyFill="1" applyBorder="1" applyAlignment="1">
      <alignment horizontal="center" vertical="center" wrapText="1"/>
    </xf>
    <xf numFmtId="17" fontId="5" fillId="2" borderId="8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/>
    </xf>
    <xf numFmtId="167" fontId="14" fillId="0" borderId="7" xfId="0" applyNumberFormat="1" applyFont="1" applyBorder="1" applyAlignment="1">
      <alignment horizontal="center" vertical="center"/>
    </xf>
    <xf numFmtId="167" fontId="14" fillId="0" borderId="8" xfId="0" applyNumberFormat="1" applyFont="1" applyBorder="1" applyAlignment="1">
      <alignment horizontal="center" vertical="center"/>
    </xf>
    <xf numFmtId="3" fontId="14" fillId="6" borderId="7" xfId="0" applyNumberFormat="1" applyFont="1" applyFill="1" applyBorder="1" applyAlignment="1">
      <alignment horizontal="center" vertical="center"/>
    </xf>
    <xf numFmtId="3" fontId="14" fillId="6" borderId="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5" fontId="5" fillId="7" borderId="10" xfId="0" applyNumberFormat="1" applyFont="1" applyFill="1" applyBorder="1" applyAlignment="1">
      <alignment horizontal="center" vertical="center" wrapText="1"/>
    </xf>
    <xf numFmtId="165" fontId="5" fillId="7" borderId="2" xfId="0" applyNumberFormat="1" applyFont="1" applyFill="1" applyBorder="1" applyAlignment="1">
      <alignment horizontal="center" vertical="center"/>
    </xf>
    <xf numFmtId="165" fontId="5" fillId="7" borderId="4" xfId="0" applyNumberFormat="1" applyFont="1" applyFill="1" applyBorder="1" applyAlignment="1">
      <alignment horizontal="center" vertical="center"/>
    </xf>
    <xf numFmtId="165" fontId="5" fillId="6" borderId="3" xfId="0" applyNumberFormat="1" applyFont="1" applyFill="1" applyBorder="1" applyAlignment="1">
      <alignment horizontal="center" vertical="center" wrapText="1"/>
    </xf>
    <xf numFmtId="165" fontId="22" fillId="6" borderId="3" xfId="0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4" fontId="14" fillId="6" borderId="7" xfId="0" applyNumberFormat="1" applyFont="1" applyFill="1" applyBorder="1" applyAlignment="1">
      <alignment horizontal="center" vertical="center"/>
    </xf>
    <xf numFmtId="4" fontId="14" fillId="6" borderId="8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7" fontId="11" fillId="2" borderId="12" xfId="0" applyNumberFormat="1" applyFont="1" applyFill="1" applyBorder="1" applyAlignment="1">
      <alignment horizontal="center" vertical="center" wrapText="1"/>
    </xf>
    <xf numFmtId="17" fontId="11" fillId="2" borderId="9" xfId="0" applyNumberFormat="1" applyFont="1" applyFill="1" applyBorder="1" applyAlignment="1">
      <alignment horizontal="center" vertical="center" wrapText="1"/>
    </xf>
    <xf numFmtId="17" fontId="11" fillId="2" borderId="8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7" borderId="10" xfId="0" applyNumberFormat="1" applyFont="1" applyFill="1" applyBorder="1" applyAlignment="1">
      <alignment horizontal="center" vertical="center" wrapText="1"/>
    </xf>
    <xf numFmtId="165" fontId="6" fillId="7" borderId="2" xfId="0" applyNumberFormat="1" applyFont="1" applyFill="1" applyBorder="1" applyAlignment="1">
      <alignment horizontal="center" vertical="center" wrapText="1"/>
    </xf>
    <xf numFmtId="165" fontId="6" fillId="7" borderId="4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left" vertical="center"/>
    </xf>
    <xf numFmtId="0" fontId="24" fillId="0" borderId="25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165" fontId="24" fillId="7" borderId="10" xfId="0" applyNumberFormat="1" applyFont="1" applyFill="1" applyBorder="1" applyAlignment="1">
      <alignment horizontal="center" vertical="center" wrapText="1"/>
    </xf>
    <xf numFmtId="165" fontId="24" fillId="7" borderId="2" xfId="0" applyNumberFormat="1" applyFont="1" applyFill="1" applyBorder="1" applyAlignment="1">
      <alignment horizontal="center" vertical="center" wrapText="1"/>
    </xf>
    <xf numFmtId="165" fontId="24" fillId="7" borderId="4" xfId="0" applyNumberFormat="1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left" vertical="center"/>
    </xf>
    <xf numFmtId="0" fontId="21" fillId="4" borderId="37" xfId="0" applyFont="1" applyFill="1" applyBorder="1" applyAlignment="1">
      <alignment horizontal="left" vertical="center"/>
    </xf>
    <xf numFmtId="0" fontId="21" fillId="4" borderId="27" xfId="0" applyFont="1" applyFill="1" applyBorder="1" applyAlignment="1">
      <alignment horizontal="left" vertical="center"/>
    </xf>
    <xf numFmtId="0" fontId="31" fillId="6" borderId="3" xfId="0" applyFont="1" applyFill="1" applyBorder="1" applyAlignment="1">
      <alignment horizontal="center" vertical="center" wrapText="1"/>
    </xf>
    <xf numFmtId="165" fontId="6" fillId="6" borderId="10" xfId="0" applyNumberFormat="1" applyFont="1" applyFill="1" applyBorder="1" applyAlignment="1">
      <alignment horizontal="center" vertical="center" wrapText="1"/>
    </xf>
    <xf numFmtId="165" fontId="6" fillId="6" borderId="2" xfId="0" applyNumberFormat="1" applyFont="1" applyFill="1" applyBorder="1" applyAlignment="1">
      <alignment horizontal="center" vertical="center" wrapText="1"/>
    </xf>
    <xf numFmtId="165" fontId="6" fillId="6" borderId="4" xfId="0" applyNumberFormat="1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7" fontId="32" fillId="2" borderId="12" xfId="0" applyNumberFormat="1" applyFont="1" applyFill="1" applyBorder="1" applyAlignment="1">
      <alignment horizontal="center" vertical="center" wrapText="1"/>
    </xf>
    <xf numFmtId="17" fontId="32" fillId="2" borderId="9" xfId="0" applyNumberFormat="1" applyFont="1" applyFill="1" applyBorder="1" applyAlignment="1">
      <alignment horizontal="center" vertical="center" wrapText="1"/>
    </xf>
    <xf numFmtId="17" fontId="32" fillId="2" borderId="8" xfId="0" applyNumberFormat="1" applyFont="1" applyFill="1" applyBorder="1" applyAlignment="1">
      <alignment horizontal="center" vertical="center" wrapText="1"/>
    </xf>
  </cellXfs>
  <cellStyles count="18">
    <cellStyle name="Comma" xfId="3" builtinId="3"/>
    <cellStyle name="Comma 2" xfId="2"/>
    <cellStyle name="Comma 2 2" xfId="8"/>
    <cellStyle name="Comma 2 2 2" xfId="14"/>
    <cellStyle name="Comma 3" xfId="5"/>
    <cellStyle name="Comma 3 2" xfId="11"/>
    <cellStyle name="Comma 3 2 2" xfId="16"/>
    <cellStyle name="Comma 4" xfId="7"/>
    <cellStyle name="Comma 4 2" xfId="13"/>
    <cellStyle name="Comma 4 2 2" xfId="17"/>
    <cellStyle name="Comma 5" xfId="9"/>
    <cellStyle name="Comma 5 2" xfId="15"/>
    <cellStyle name="Normal" xfId="0" builtinId="0"/>
    <cellStyle name="Normal 2" xfId="1"/>
    <cellStyle name="Normal 3" xfId="4"/>
    <cellStyle name="Normal 3 2" xfId="10"/>
    <cellStyle name="Normal 4" xfId="6"/>
    <cellStyle name="Normal 4 2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2099326</xdr:colOff>
      <xdr:row>21</xdr:row>
      <xdr:rowOff>42074</xdr:rowOff>
    </xdr:from>
    <xdr:ext cx="6114123" cy="772992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20294515">
          <a:off x="8060132" y="6002880"/>
          <a:ext cx="6114123" cy="77299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30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30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2099326</xdr:colOff>
      <xdr:row>21</xdr:row>
      <xdr:rowOff>42074</xdr:rowOff>
    </xdr:from>
    <xdr:ext cx="6114123" cy="772992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20294515">
          <a:off x="8052451" y="6004724"/>
          <a:ext cx="6114123" cy="77299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30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30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2099326</xdr:colOff>
      <xdr:row>21</xdr:row>
      <xdr:rowOff>42074</xdr:rowOff>
    </xdr:from>
    <xdr:ext cx="6114123" cy="772992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20294515">
          <a:off x="8052451" y="6004724"/>
          <a:ext cx="6114123" cy="77299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30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30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AT53"/>
  <sheetViews>
    <sheetView topLeftCell="B17" zoomScale="66" zoomScaleNormal="66" workbookViewId="0">
      <selection activeCell="D36" sqref="D36:F37"/>
    </sheetView>
  </sheetViews>
  <sheetFormatPr defaultRowHeight="16.5" x14ac:dyDescent="0.3"/>
  <cols>
    <col min="1" max="1" width="1.28515625" style="3" hidden="1" customWidth="1"/>
    <col min="2" max="2" width="12.42578125" style="3" customWidth="1"/>
    <col min="3" max="3" width="14.28515625" style="3" customWidth="1"/>
    <col min="4" max="4" width="39.28515625" style="3" customWidth="1"/>
    <col min="5" max="5" width="21.28515625" style="3" customWidth="1"/>
    <col min="6" max="6" width="22.42578125" style="3" customWidth="1"/>
    <col min="7" max="7" width="10.140625" style="3" hidden="1" customWidth="1"/>
    <col min="8" max="8" width="10.7109375" style="3" hidden="1" customWidth="1"/>
    <col min="9" max="9" width="12.28515625" style="3" hidden="1" customWidth="1"/>
    <col min="10" max="10" width="14.140625" style="3" customWidth="1"/>
    <col min="11" max="11" width="13" style="3" customWidth="1"/>
    <col min="12" max="12" width="13.85546875" style="3" hidden="1" customWidth="1"/>
    <col min="13" max="13" width="11.85546875" style="3" hidden="1" customWidth="1"/>
    <col min="14" max="14" width="10" style="3" hidden="1" customWidth="1"/>
    <col min="15" max="15" width="10.140625" style="3" hidden="1" customWidth="1"/>
    <col min="16" max="16" width="12.7109375" style="3" hidden="1" customWidth="1"/>
    <col min="17" max="17" width="13.5703125" style="3" customWidth="1"/>
    <col min="18" max="18" width="11.140625" style="3" customWidth="1"/>
    <col min="19" max="19" width="12.28515625" style="3" customWidth="1"/>
    <col min="20" max="20" width="14" style="3" customWidth="1"/>
    <col min="21" max="21" width="8.5703125" style="3" hidden="1" customWidth="1"/>
    <col min="22" max="22" width="10.28515625" style="3" hidden="1" customWidth="1"/>
    <col min="23" max="23" width="13" style="3" customWidth="1"/>
    <col min="24" max="24" width="14.5703125" style="3" customWidth="1"/>
    <col min="25" max="25" width="10.140625" style="3" customWidth="1"/>
    <col min="26" max="26" width="12.42578125" style="3" customWidth="1"/>
    <col min="27" max="27" width="9.85546875" style="3" customWidth="1"/>
    <col min="28" max="28" width="13.140625" style="3" customWidth="1"/>
    <col min="29" max="29" width="11.85546875" style="3" customWidth="1"/>
    <col min="30" max="30" width="11.28515625" style="3" customWidth="1"/>
    <col min="31" max="32" width="11.140625" style="3" hidden="1" customWidth="1"/>
    <col min="33" max="33" width="10.140625" style="3" hidden="1" customWidth="1"/>
    <col min="34" max="34" width="12.140625" style="3" customWidth="1"/>
    <col min="35" max="35" width="0.7109375" style="3" hidden="1" customWidth="1"/>
    <col min="36" max="36" width="14.5703125" style="4" customWidth="1"/>
    <col min="37" max="37" width="11.140625" style="3" customWidth="1"/>
    <col min="38" max="38" width="7.42578125" style="3" hidden="1" customWidth="1"/>
    <col min="39" max="39" width="1.5703125" style="3" hidden="1" customWidth="1"/>
    <col min="40" max="40" width="12.140625" style="3" customWidth="1"/>
    <col min="41" max="42" width="8" style="3" hidden="1" customWidth="1"/>
    <col min="43" max="43" width="9.140625" style="3" hidden="1" customWidth="1"/>
    <col min="44" max="44" width="23.7109375" style="3" customWidth="1"/>
    <col min="45" max="45" width="12.28515625" style="3" bestFit="1" customWidth="1"/>
    <col min="46" max="46" width="12.7109375" style="3" bestFit="1" customWidth="1"/>
    <col min="47" max="16384" width="9.140625" style="3"/>
  </cols>
  <sheetData>
    <row r="1" spans="2:44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</row>
    <row r="2" spans="2:44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</row>
    <row r="3" spans="2:44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</row>
    <row r="4" spans="2:44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</row>
    <row r="5" spans="2:44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2:44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</row>
    <row r="7" spans="2:44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</row>
    <row r="8" spans="2:44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</row>
    <row r="9" spans="2:44" ht="8.25" customHeight="1" x14ac:dyDescent="0.3"/>
    <row r="10" spans="2:44" s="2" customFormat="1" ht="20.100000000000001" customHeight="1" x14ac:dyDescent="0.25">
      <c r="B10" s="194" t="s">
        <v>7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</row>
    <row r="11" spans="2:44" s="2" customFormat="1" ht="20.100000000000001" customHeight="1" x14ac:dyDescent="0.25">
      <c r="B11" s="194" t="s">
        <v>8</v>
      </c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</row>
    <row r="12" spans="2:44" s="2" customFormat="1" ht="20.100000000000001" customHeight="1" x14ac:dyDescent="0.25">
      <c r="B12" s="194" t="s">
        <v>65</v>
      </c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</row>
    <row r="13" spans="2:44" s="2" customFormat="1" ht="26.25" customHeight="1" x14ac:dyDescent="0.25">
      <c r="B13" s="194" t="s">
        <v>130</v>
      </c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</row>
    <row r="14" spans="2:44" s="7" customFormat="1" ht="12" customHeight="1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44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2:44" ht="23.25" customHeight="1" x14ac:dyDescent="0.3">
      <c r="B16" s="288" t="s">
        <v>9</v>
      </c>
      <c r="C16" s="291" t="s">
        <v>128</v>
      </c>
      <c r="D16" s="294" t="s">
        <v>10</v>
      </c>
      <c r="E16" s="294" t="s">
        <v>11</v>
      </c>
      <c r="F16" s="294" t="s">
        <v>46</v>
      </c>
      <c r="G16" s="297" t="s">
        <v>87</v>
      </c>
      <c r="H16" s="298"/>
      <c r="I16" s="298"/>
      <c r="J16" s="298"/>
      <c r="K16" s="298"/>
      <c r="L16" s="298"/>
      <c r="M16" s="298"/>
      <c r="N16" s="298"/>
      <c r="O16" s="298"/>
      <c r="P16" s="299"/>
      <c r="Q16" s="300" t="s">
        <v>69</v>
      </c>
      <c r="R16" s="297" t="s">
        <v>59</v>
      </c>
      <c r="S16" s="298"/>
      <c r="T16" s="298"/>
      <c r="U16" s="298"/>
      <c r="V16" s="298"/>
      <c r="W16" s="298"/>
      <c r="X16" s="298"/>
      <c r="Y16" s="298"/>
      <c r="Z16" s="298"/>
      <c r="AA16" s="299"/>
      <c r="AB16" s="303" t="s">
        <v>29</v>
      </c>
      <c r="AC16" s="303"/>
      <c r="AD16" s="303"/>
      <c r="AE16" s="303"/>
      <c r="AF16" s="303"/>
      <c r="AG16" s="303"/>
      <c r="AH16" s="303"/>
      <c r="AI16" s="314" t="s">
        <v>53</v>
      </c>
      <c r="AJ16" s="304" t="s">
        <v>48</v>
      </c>
      <c r="AK16" s="304" t="s">
        <v>58</v>
      </c>
      <c r="AL16" s="317" t="s">
        <v>62</v>
      </c>
      <c r="AM16" s="317"/>
      <c r="AN16" s="304" t="s">
        <v>47</v>
      </c>
      <c r="AO16" s="300" t="s">
        <v>16</v>
      </c>
      <c r="AP16" s="304" t="s">
        <v>39</v>
      </c>
      <c r="AQ16" s="304" t="s">
        <v>68</v>
      </c>
      <c r="AR16" s="58" t="s">
        <v>41</v>
      </c>
    </row>
    <row r="17" spans="2:46" ht="69.75" customHeight="1" x14ac:dyDescent="0.3">
      <c r="B17" s="289"/>
      <c r="C17" s="292"/>
      <c r="D17" s="295"/>
      <c r="E17" s="295"/>
      <c r="F17" s="295"/>
      <c r="G17" s="191" t="s">
        <v>26</v>
      </c>
      <c r="H17" s="191" t="s">
        <v>30</v>
      </c>
      <c r="I17" s="190" t="s">
        <v>104</v>
      </c>
      <c r="J17" s="190" t="s">
        <v>124</v>
      </c>
      <c r="K17" s="307" t="s">
        <v>94</v>
      </c>
      <c r="L17" s="308"/>
      <c r="M17" s="309"/>
      <c r="N17" s="190" t="s">
        <v>57</v>
      </c>
      <c r="O17" s="190" t="s">
        <v>85</v>
      </c>
      <c r="P17" s="190" t="s">
        <v>89</v>
      </c>
      <c r="Q17" s="301"/>
      <c r="R17" s="190" t="s">
        <v>55</v>
      </c>
      <c r="S17" s="191" t="s">
        <v>27</v>
      </c>
      <c r="T17" s="310" t="s">
        <v>56</v>
      </c>
      <c r="U17" s="310"/>
      <c r="V17" s="190" t="s">
        <v>91</v>
      </c>
      <c r="W17" s="311" t="s">
        <v>28</v>
      </c>
      <c r="X17" s="311"/>
      <c r="Y17" s="311"/>
      <c r="Z17" s="312" t="s">
        <v>71</v>
      </c>
      <c r="AA17" s="312" t="s">
        <v>15</v>
      </c>
      <c r="AB17" s="313" t="s">
        <v>72</v>
      </c>
      <c r="AC17" s="313" t="s">
        <v>117</v>
      </c>
      <c r="AD17" s="313" t="s">
        <v>73</v>
      </c>
      <c r="AE17" s="189" t="s">
        <v>50</v>
      </c>
      <c r="AF17" s="189" t="s">
        <v>51</v>
      </c>
      <c r="AG17" s="313" t="s">
        <v>74</v>
      </c>
      <c r="AH17" s="313" t="s">
        <v>77</v>
      </c>
      <c r="AI17" s="315"/>
      <c r="AJ17" s="305"/>
      <c r="AK17" s="305"/>
      <c r="AL17" s="310"/>
      <c r="AM17" s="310"/>
      <c r="AN17" s="305"/>
      <c r="AO17" s="301"/>
      <c r="AP17" s="305"/>
      <c r="AQ17" s="305"/>
      <c r="AR17" s="59" t="s">
        <v>42</v>
      </c>
    </row>
    <row r="18" spans="2:46" ht="24" customHeight="1" x14ac:dyDescent="0.3">
      <c r="B18" s="289"/>
      <c r="C18" s="292"/>
      <c r="D18" s="295"/>
      <c r="E18" s="295"/>
      <c r="F18" s="295"/>
      <c r="G18" s="187" t="s">
        <v>70</v>
      </c>
      <c r="H18" s="187">
        <v>200</v>
      </c>
      <c r="I18" s="187" t="s">
        <v>102</v>
      </c>
      <c r="J18" s="187" t="s">
        <v>102</v>
      </c>
      <c r="K18" s="189" t="s">
        <v>75</v>
      </c>
      <c r="L18" s="189" t="s">
        <v>49</v>
      </c>
      <c r="M18" s="189" t="s">
        <v>86</v>
      </c>
      <c r="N18" s="77" t="s">
        <v>76</v>
      </c>
      <c r="O18" s="77" t="s">
        <v>76</v>
      </c>
      <c r="P18" s="189" t="s">
        <v>88</v>
      </c>
      <c r="Q18" s="302"/>
      <c r="R18" s="189">
        <v>2.4</v>
      </c>
      <c r="S18" s="187">
        <v>3.6</v>
      </c>
      <c r="T18" s="190">
        <v>2.4</v>
      </c>
      <c r="U18" s="190">
        <v>3.6</v>
      </c>
      <c r="V18" s="190">
        <v>2.4</v>
      </c>
      <c r="W18" s="187">
        <v>3.6</v>
      </c>
      <c r="X18" s="187">
        <v>2.4</v>
      </c>
      <c r="Y18" s="187">
        <v>4.9000000000000004</v>
      </c>
      <c r="Z18" s="302"/>
      <c r="AA18" s="302"/>
      <c r="AB18" s="306"/>
      <c r="AC18" s="306"/>
      <c r="AD18" s="306"/>
      <c r="AE18" s="189"/>
      <c r="AF18" s="189"/>
      <c r="AG18" s="306"/>
      <c r="AH18" s="306"/>
      <c r="AI18" s="316"/>
      <c r="AJ18" s="306"/>
      <c r="AK18" s="306"/>
      <c r="AL18" s="187" t="s">
        <v>36</v>
      </c>
      <c r="AM18" s="187" t="s">
        <v>37</v>
      </c>
      <c r="AN18" s="306"/>
      <c r="AO18" s="302"/>
      <c r="AP18" s="306"/>
      <c r="AQ18" s="306"/>
      <c r="AR18" s="60" t="s">
        <v>43</v>
      </c>
    </row>
    <row r="19" spans="2:46" s="9" customFormat="1" ht="25.5" customHeight="1" x14ac:dyDescent="0.25">
      <c r="B19" s="290"/>
      <c r="C19" s="293"/>
      <c r="D19" s="296"/>
      <c r="E19" s="296"/>
      <c r="F19" s="296"/>
      <c r="G19" s="187" t="s">
        <v>12</v>
      </c>
      <c r="H19" s="187" t="s">
        <v>12</v>
      </c>
      <c r="I19" s="187" t="s">
        <v>12</v>
      </c>
      <c r="J19" s="187" t="s">
        <v>12</v>
      </c>
      <c r="K19" s="187" t="s">
        <v>12</v>
      </c>
      <c r="L19" s="187" t="s">
        <v>12</v>
      </c>
      <c r="M19" s="187" t="s">
        <v>12</v>
      </c>
      <c r="N19" s="187" t="s">
        <v>12</v>
      </c>
      <c r="O19" s="187" t="s">
        <v>12</v>
      </c>
      <c r="P19" s="187" t="s">
        <v>12</v>
      </c>
      <c r="Q19" s="56" t="s">
        <v>14</v>
      </c>
      <c r="R19" s="187" t="s">
        <v>12</v>
      </c>
      <c r="S19" s="187" t="s">
        <v>12</v>
      </c>
      <c r="T19" s="187" t="s">
        <v>12</v>
      </c>
      <c r="U19" s="187" t="s">
        <v>12</v>
      </c>
      <c r="V19" s="187" t="s">
        <v>12</v>
      </c>
      <c r="W19" s="187" t="s">
        <v>12</v>
      </c>
      <c r="X19" s="187" t="s">
        <v>12</v>
      </c>
      <c r="Y19" s="187" t="s">
        <v>12</v>
      </c>
      <c r="Z19" s="57" t="s">
        <v>12</v>
      </c>
      <c r="AA19" s="187" t="s">
        <v>12</v>
      </c>
      <c r="AB19" s="55" t="s">
        <v>13</v>
      </c>
      <c r="AC19" s="55" t="s">
        <v>13</v>
      </c>
      <c r="AD19" s="55" t="s">
        <v>13</v>
      </c>
      <c r="AE19" s="55" t="s">
        <v>13</v>
      </c>
      <c r="AF19" s="55" t="s">
        <v>13</v>
      </c>
      <c r="AG19" s="55" t="s">
        <v>13</v>
      </c>
      <c r="AH19" s="55" t="s">
        <v>13</v>
      </c>
      <c r="AI19" s="55" t="s">
        <v>13</v>
      </c>
      <c r="AJ19" s="55" t="s">
        <v>13</v>
      </c>
      <c r="AK19" s="57" t="s">
        <v>13</v>
      </c>
      <c r="AL19" s="187" t="s">
        <v>12</v>
      </c>
      <c r="AM19" s="187" t="s">
        <v>12</v>
      </c>
      <c r="AN19" s="191" t="s">
        <v>12</v>
      </c>
      <c r="AO19" s="57" t="s">
        <v>14</v>
      </c>
      <c r="AP19" s="191"/>
      <c r="AQ19" s="187"/>
      <c r="AR19" s="60"/>
    </row>
    <row r="20" spans="2:46" s="4" customFormat="1" ht="9.75" customHeight="1" x14ac:dyDescent="0.25">
      <c r="B20" s="27"/>
      <c r="C20" s="28"/>
      <c r="D20" s="28"/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30"/>
      <c r="R20" s="31"/>
      <c r="S20" s="31"/>
      <c r="T20" s="31"/>
      <c r="U20" s="31"/>
      <c r="V20" s="31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32"/>
      <c r="AK20" s="29"/>
      <c r="AL20" s="28"/>
      <c r="AM20" s="33"/>
      <c r="AN20" s="33"/>
      <c r="AO20" s="33"/>
      <c r="AP20" s="33"/>
      <c r="AQ20" s="33"/>
      <c r="AR20" s="34"/>
    </row>
    <row r="21" spans="2:46" s="2" customFormat="1" ht="48" customHeight="1" x14ac:dyDescent="0.25">
      <c r="B21" s="318" t="s">
        <v>129</v>
      </c>
      <c r="C21" s="319"/>
      <c r="D21" s="320"/>
      <c r="E21" s="64"/>
      <c r="F21" s="64"/>
      <c r="G21" s="104" t="e">
        <f>#REF!</f>
        <v>#REF!</v>
      </c>
      <c r="H21" s="104" t="e">
        <f>#REF!</f>
        <v>#REF!</v>
      </c>
      <c r="I21" s="104" t="e">
        <f>#REF!</f>
        <v>#REF!</v>
      </c>
      <c r="J21" s="66">
        <v>42101</v>
      </c>
      <c r="K21" s="66">
        <v>103861</v>
      </c>
      <c r="L21" s="66">
        <v>0</v>
      </c>
      <c r="M21" s="66">
        <v>0</v>
      </c>
      <c r="N21" s="66">
        <v>0</v>
      </c>
      <c r="O21" s="66">
        <v>0</v>
      </c>
      <c r="P21" s="66">
        <v>0</v>
      </c>
      <c r="Q21" s="65">
        <v>62515.69</v>
      </c>
      <c r="R21" s="66">
        <v>264</v>
      </c>
      <c r="S21" s="66">
        <v>847</v>
      </c>
      <c r="T21" s="66">
        <v>16364</v>
      </c>
      <c r="U21" s="66">
        <v>0</v>
      </c>
      <c r="V21" s="66">
        <v>0</v>
      </c>
      <c r="W21" s="66">
        <v>5042</v>
      </c>
      <c r="X21" s="66">
        <v>60944</v>
      </c>
      <c r="Y21" s="66">
        <v>646</v>
      </c>
      <c r="Z21" s="66">
        <v>11885</v>
      </c>
      <c r="AA21" s="66">
        <v>192</v>
      </c>
      <c r="AB21" s="66">
        <v>23308</v>
      </c>
      <c r="AC21" s="66">
        <v>2473</v>
      </c>
      <c r="AD21" s="66">
        <v>1532</v>
      </c>
      <c r="AE21" s="66">
        <v>0</v>
      </c>
      <c r="AF21" s="66">
        <v>0</v>
      </c>
      <c r="AG21" s="66">
        <v>0</v>
      </c>
      <c r="AH21" s="66">
        <v>1060</v>
      </c>
      <c r="AI21" s="66">
        <v>0</v>
      </c>
      <c r="AJ21" s="66">
        <v>23250.549999999992</v>
      </c>
      <c r="AK21" s="66">
        <v>1545</v>
      </c>
      <c r="AL21" s="66">
        <v>0</v>
      </c>
      <c r="AM21" s="66">
        <v>0</v>
      </c>
      <c r="AN21" s="66">
        <v>238</v>
      </c>
      <c r="AO21" s="66" t="e">
        <f>#REF!</f>
        <v>#REF!</v>
      </c>
      <c r="AP21" s="66" t="e">
        <f>#REF!</f>
        <v>#REF!</v>
      </c>
      <c r="AQ21" s="66" t="e">
        <f>#REF!</f>
        <v>#REF!</v>
      </c>
      <c r="AR21" s="129"/>
      <c r="AS21" s="180"/>
      <c r="AT21" s="130"/>
    </row>
    <row r="22" spans="2:46" s="10" customFormat="1" ht="5.25" customHeight="1" x14ac:dyDescent="0.25">
      <c r="B22" s="61"/>
      <c r="C22" s="62"/>
      <c r="D22" s="62"/>
      <c r="E22" s="38"/>
      <c r="F22" s="38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/>
      <c r="R22" s="47"/>
      <c r="S22" s="47"/>
      <c r="T22" s="47"/>
      <c r="U22" s="47"/>
      <c r="V22" s="47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4"/>
      <c r="AK22" s="43"/>
      <c r="AL22" s="44"/>
      <c r="AM22" s="44"/>
      <c r="AN22" s="44"/>
      <c r="AO22" s="43"/>
      <c r="AP22" s="43"/>
      <c r="AQ22" s="45"/>
      <c r="AR22" s="129"/>
    </row>
    <row r="23" spans="2:46" s="12" customFormat="1" ht="28.5" customHeight="1" x14ac:dyDescent="0.25">
      <c r="B23" s="321"/>
      <c r="C23" s="322" t="s">
        <v>132</v>
      </c>
      <c r="D23" s="42" t="s">
        <v>31</v>
      </c>
      <c r="E23" s="42" t="s">
        <v>32</v>
      </c>
      <c r="F23" s="42" t="s">
        <v>61</v>
      </c>
      <c r="G23" s="67"/>
      <c r="H23" s="67"/>
      <c r="I23" s="67"/>
      <c r="J23" s="67">
        <f>100*200</f>
        <v>20000</v>
      </c>
      <c r="K23" s="67"/>
      <c r="L23" s="67"/>
      <c r="M23" s="67"/>
      <c r="N23" s="67"/>
      <c r="O23" s="67"/>
      <c r="P23" s="67"/>
      <c r="Q23" s="43"/>
      <c r="R23" s="69"/>
      <c r="S23" s="69"/>
      <c r="T23" s="69"/>
      <c r="U23" s="69"/>
      <c r="V23" s="69"/>
      <c r="W23" s="67"/>
      <c r="X23" s="43"/>
      <c r="Y23" s="67"/>
      <c r="Z23" s="67">
        <v>1000</v>
      </c>
      <c r="AA23" s="67"/>
      <c r="AB23" s="67"/>
      <c r="AC23" s="67"/>
      <c r="AD23" s="67"/>
      <c r="AE23" s="67"/>
      <c r="AF23" s="67"/>
      <c r="AG23" s="67"/>
      <c r="AH23" s="67"/>
      <c r="AI23" s="68"/>
      <c r="AJ23" s="68"/>
      <c r="AK23" s="67"/>
      <c r="AL23" s="68"/>
      <c r="AM23" s="68"/>
      <c r="AN23" s="68"/>
      <c r="AO23" s="67"/>
      <c r="AP23" s="67"/>
      <c r="AQ23" s="133"/>
      <c r="AR23" s="113" t="s">
        <v>40</v>
      </c>
      <c r="AS23" s="11"/>
    </row>
    <row r="24" spans="2:46" s="14" customFormat="1" ht="28.5" customHeight="1" x14ac:dyDescent="0.25">
      <c r="B24" s="321"/>
      <c r="C24" s="323"/>
      <c r="D24" s="42" t="s">
        <v>80</v>
      </c>
      <c r="E24" s="42" t="s">
        <v>33</v>
      </c>
      <c r="F24" s="42" t="s">
        <v>60</v>
      </c>
      <c r="G24" s="43"/>
      <c r="H24" s="43"/>
      <c r="I24" s="43"/>
      <c r="J24" s="43"/>
      <c r="K24" s="43">
        <f>100*215</f>
        <v>21500</v>
      </c>
      <c r="L24" s="43"/>
      <c r="M24" s="43"/>
      <c r="N24" s="43"/>
      <c r="O24" s="43"/>
      <c r="P24" s="43"/>
      <c r="Q24" s="43">
        <f>600*25</f>
        <v>15000</v>
      </c>
      <c r="R24" s="70"/>
      <c r="S24" s="70"/>
      <c r="T24" s="70"/>
      <c r="U24" s="70"/>
      <c r="V24" s="70"/>
      <c r="W24" s="43">
        <v>3960</v>
      </c>
      <c r="X24" s="43">
        <v>23000</v>
      </c>
      <c r="Y24" s="43"/>
      <c r="Z24" s="67">
        <v>1000</v>
      </c>
      <c r="AA24" s="43">
        <v>40</v>
      </c>
      <c r="AB24" s="43">
        <v>9000</v>
      </c>
      <c r="AC24" s="43"/>
      <c r="AD24" s="43"/>
      <c r="AE24" s="43"/>
      <c r="AF24" s="43"/>
      <c r="AG24" s="43"/>
      <c r="AH24" s="43"/>
      <c r="AI24" s="44"/>
      <c r="AJ24" s="68">
        <v>3000</v>
      </c>
      <c r="AK24" s="71"/>
      <c r="AL24" s="44"/>
      <c r="AM24" s="44"/>
      <c r="AN24" s="44"/>
      <c r="AO24" s="43"/>
      <c r="AP24" s="43"/>
      <c r="AQ24" s="45"/>
      <c r="AR24" s="113" t="s">
        <v>44</v>
      </c>
      <c r="AS24" s="179"/>
    </row>
    <row r="25" spans="2:46" s="12" customFormat="1" ht="28.5" customHeight="1" x14ac:dyDescent="0.25">
      <c r="B25" s="321"/>
      <c r="C25" s="322" t="s">
        <v>133</v>
      </c>
      <c r="D25" s="42" t="s">
        <v>31</v>
      </c>
      <c r="E25" s="42" t="s">
        <v>32</v>
      </c>
      <c r="F25" s="42" t="s">
        <v>61</v>
      </c>
      <c r="G25" s="67"/>
      <c r="H25" s="67"/>
      <c r="I25" s="67"/>
      <c r="J25" s="67">
        <f>100*200</f>
        <v>20000</v>
      </c>
      <c r="K25" s="67"/>
      <c r="L25" s="67"/>
      <c r="M25" s="67"/>
      <c r="N25" s="67"/>
      <c r="O25" s="67"/>
      <c r="P25" s="67"/>
      <c r="Q25" s="43"/>
      <c r="R25" s="69"/>
      <c r="S25" s="69"/>
      <c r="T25" s="69"/>
      <c r="U25" s="69"/>
      <c r="V25" s="69"/>
      <c r="W25" s="67"/>
      <c r="X25" s="68"/>
      <c r="Y25" s="68"/>
      <c r="Z25" s="67">
        <v>1000</v>
      </c>
      <c r="AA25" s="67"/>
      <c r="AB25" s="67"/>
      <c r="AC25" s="67"/>
      <c r="AD25" s="67"/>
      <c r="AE25" s="67"/>
      <c r="AF25" s="67"/>
      <c r="AG25" s="67"/>
      <c r="AH25" s="67"/>
      <c r="AI25" s="68"/>
      <c r="AJ25" s="68"/>
      <c r="AK25" s="67"/>
      <c r="AL25" s="68"/>
      <c r="AM25" s="68"/>
      <c r="AN25" s="68"/>
      <c r="AO25" s="67"/>
      <c r="AP25" s="67"/>
      <c r="AQ25" s="133"/>
      <c r="AR25" s="113" t="s">
        <v>40</v>
      </c>
      <c r="AS25" s="11"/>
    </row>
    <row r="26" spans="2:46" s="14" customFormat="1" ht="28.5" customHeight="1" x14ac:dyDescent="0.25">
      <c r="B26" s="321"/>
      <c r="C26" s="323"/>
      <c r="D26" s="42" t="s">
        <v>80</v>
      </c>
      <c r="E26" s="42" t="s">
        <v>33</v>
      </c>
      <c r="F26" s="42" t="s">
        <v>60</v>
      </c>
      <c r="G26" s="43"/>
      <c r="H26" s="43"/>
      <c r="I26" s="43"/>
      <c r="J26" s="43"/>
      <c r="K26" s="43">
        <f>100*215</f>
        <v>21500</v>
      </c>
      <c r="L26" s="43"/>
      <c r="M26" s="43"/>
      <c r="N26" s="43"/>
      <c r="O26" s="43"/>
      <c r="P26" s="43"/>
      <c r="Q26" s="43">
        <v>7500</v>
      </c>
      <c r="R26" s="70"/>
      <c r="S26" s="70"/>
      <c r="T26" s="70"/>
      <c r="U26" s="70"/>
      <c r="V26" s="70"/>
      <c r="W26" s="43"/>
      <c r="X26" s="43">
        <v>24250</v>
      </c>
      <c r="Y26" s="43"/>
      <c r="Z26" s="67">
        <v>1000</v>
      </c>
      <c r="AA26" s="43"/>
      <c r="AB26" s="43">
        <v>13500</v>
      </c>
      <c r="AC26" s="43"/>
      <c r="AD26" s="43"/>
      <c r="AE26" s="43"/>
      <c r="AF26" s="43"/>
      <c r="AG26" s="43"/>
      <c r="AH26" s="43"/>
      <c r="AI26" s="44"/>
      <c r="AJ26" s="68">
        <v>10000</v>
      </c>
      <c r="AK26" s="43">
        <v>300</v>
      </c>
      <c r="AL26" s="44"/>
      <c r="AM26" s="44"/>
      <c r="AN26" s="43"/>
      <c r="AO26" s="43"/>
      <c r="AP26" s="43"/>
      <c r="AQ26" s="45"/>
      <c r="AR26" s="113" t="s">
        <v>44</v>
      </c>
      <c r="AS26" s="13"/>
    </row>
    <row r="27" spans="2:46" s="12" customFormat="1" ht="28.5" customHeight="1" x14ac:dyDescent="0.25">
      <c r="B27" s="321"/>
      <c r="C27" s="322" t="s">
        <v>134</v>
      </c>
      <c r="D27" s="42" t="s">
        <v>31</v>
      </c>
      <c r="E27" s="42" t="s">
        <v>32</v>
      </c>
      <c r="F27" s="42" t="s">
        <v>61</v>
      </c>
      <c r="G27" s="67"/>
      <c r="H27" s="67"/>
      <c r="I27" s="67"/>
      <c r="J27" s="67">
        <v>20000</v>
      </c>
      <c r="K27" s="67"/>
      <c r="L27" s="67"/>
      <c r="M27" s="67"/>
      <c r="N27" s="67"/>
      <c r="O27" s="67"/>
      <c r="P27" s="67"/>
      <c r="Q27" s="43"/>
      <c r="R27" s="69"/>
      <c r="S27" s="69"/>
      <c r="T27" s="69"/>
      <c r="U27" s="69"/>
      <c r="V27" s="69"/>
      <c r="W27" s="67"/>
      <c r="X27" s="68"/>
      <c r="Y27" s="68"/>
      <c r="Z27" s="67">
        <v>1000</v>
      </c>
      <c r="AA27" s="67">
        <v>10</v>
      </c>
      <c r="AB27" s="67"/>
      <c r="AC27" s="67"/>
      <c r="AD27" s="67"/>
      <c r="AE27" s="67"/>
      <c r="AF27" s="67"/>
      <c r="AG27" s="67"/>
      <c r="AH27" s="67"/>
      <c r="AI27" s="68"/>
      <c r="AJ27" s="68"/>
      <c r="AK27" s="67"/>
      <c r="AL27" s="68"/>
      <c r="AM27" s="68"/>
      <c r="AN27" s="68"/>
      <c r="AO27" s="67"/>
      <c r="AP27" s="67"/>
      <c r="AQ27" s="133"/>
      <c r="AR27" s="113" t="s">
        <v>40</v>
      </c>
      <c r="AS27" s="11"/>
    </row>
    <row r="28" spans="2:46" s="14" customFormat="1" ht="28.5" customHeight="1" x14ac:dyDescent="0.25">
      <c r="B28" s="321"/>
      <c r="C28" s="323"/>
      <c r="D28" s="42" t="s">
        <v>80</v>
      </c>
      <c r="E28" s="42" t="s">
        <v>33</v>
      </c>
      <c r="F28" s="42" t="s">
        <v>60</v>
      </c>
      <c r="G28" s="43"/>
      <c r="H28" s="43"/>
      <c r="I28" s="43"/>
      <c r="J28" s="43"/>
      <c r="K28" s="43">
        <v>21500</v>
      </c>
      <c r="L28" s="43"/>
      <c r="M28" s="43"/>
      <c r="N28" s="43"/>
      <c r="O28" s="43"/>
      <c r="P28" s="43"/>
      <c r="Q28" s="43">
        <f>600*25</f>
        <v>15000</v>
      </c>
      <c r="R28" s="70"/>
      <c r="S28" s="70"/>
      <c r="T28" s="70"/>
      <c r="U28" s="70"/>
      <c r="V28" s="70"/>
      <c r="W28" s="43">
        <v>3520</v>
      </c>
      <c r="X28" s="43">
        <v>13250</v>
      </c>
      <c r="Y28" s="43"/>
      <c r="Z28" s="67">
        <v>1000</v>
      </c>
      <c r="AA28" s="43"/>
      <c r="AB28" s="43">
        <v>5400</v>
      </c>
      <c r="AC28" s="43"/>
      <c r="AD28" s="43"/>
      <c r="AE28" s="43"/>
      <c r="AF28" s="43"/>
      <c r="AG28" s="43"/>
      <c r="AH28" s="43"/>
      <c r="AI28" s="44"/>
      <c r="AJ28" s="68">
        <v>5000</v>
      </c>
      <c r="AK28" s="43">
        <v>300</v>
      </c>
      <c r="AL28" s="44"/>
      <c r="AM28" s="44"/>
      <c r="AN28" s="43"/>
      <c r="AO28" s="43"/>
      <c r="AP28" s="43"/>
      <c r="AQ28" s="45"/>
      <c r="AR28" s="113" t="s">
        <v>44</v>
      </c>
      <c r="AS28" s="13"/>
    </row>
    <row r="29" spans="2:46" s="12" customFormat="1" ht="28.5" hidden="1" customHeight="1" x14ac:dyDescent="0.25">
      <c r="B29" s="321"/>
      <c r="C29" s="322"/>
      <c r="D29" s="42" t="s">
        <v>31</v>
      </c>
      <c r="E29" s="42" t="s">
        <v>32</v>
      </c>
      <c r="F29" s="42" t="s">
        <v>61</v>
      </c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43"/>
      <c r="R29" s="69"/>
      <c r="S29" s="69"/>
      <c r="T29" s="69"/>
      <c r="U29" s="69"/>
      <c r="V29" s="69"/>
      <c r="W29" s="67"/>
      <c r="X29" s="68"/>
      <c r="Y29" s="68"/>
      <c r="Z29" s="67"/>
      <c r="AA29" s="67"/>
      <c r="AB29" s="67"/>
      <c r="AC29" s="67"/>
      <c r="AD29" s="67"/>
      <c r="AE29" s="67"/>
      <c r="AF29" s="67"/>
      <c r="AG29" s="67"/>
      <c r="AH29" s="67"/>
      <c r="AI29" s="68"/>
      <c r="AJ29" s="68"/>
      <c r="AK29" s="67"/>
      <c r="AL29" s="68"/>
      <c r="AM29" s="68"/>
      <c r="AN29" s="68"/>
      <c r="AO29" s="67"/>
      <c r="AP29" s="67"/>
      <c r="AQ29" s="133"/>
      <c r="AR29" s="113" t="s">
        <v>40</v>
      </c>
      <c r="AS29" s="11"/>
    </row>
    <row r="30" spans="2:46" s="14" customFormat="1" ht="28.5" hidden="1" customHeight="1" x14ac:dyDescent="0.25">
      <c r="B30" s="321"/>
      <c r="C30" s="323"/>
      <c r="D30" s="42" t="s">
        <v>80</v>
      </c>
      <c r="E30" s="42" t="s">
        <v>33</v>
      </c>
      <c r="F30" s="42" t="s">
        <v>60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70"/>
      <c r="S30" s="70"/>
      <c r="T30" s="70"/>
      <c r="U30" s="70"/>
      <c r="V30" s="70"/>
      <c r="W30" s="43"/>
      <c r="X30" s="43"/>
      <c r="Y30" s="43"/>
      <c r="Z30" s="67"/>
      <c r="AA30" s="43"/>
      <c r="AB30" s="43"/>
      <c r="AC30" s="43"/>
      <c r="AD30" s="43"/>
      <c r="AE30" s="43"/>
      <c r="AF30" s="43"/>
      <c r="AG30" s="43"/>
      <c r="AH30" s="43"/>
      <c r="AI30" s="44"/>
      <c r="AJ30" s="68"/>
      <c r="AK30" s="43"/>
      <c r="AL30" s="44"/>
      <c r="AM30" s="44"/>
      <c r="AN30" s="43"/>
      <c r="AO30" s="43"/>
      <c r="AP30" s="43"/>
      <c r="AQ30" s="45"/>
      <c r="AR30" s="113" t="s">
        <v>44</v>
      </c>
      <c r="AS30" s="13"/>
    </row>
    <row r="31" spans="2:46" s="10" customFormat="1" ht="23.25" x14ac:dyDescent="0.25">
      <c r="B31" s="41" t="s">
        <v>34</v>
      </c>
      <c r="C31" s="50"/>
      <c r="D31" s="51"/>
      <c r="E31" s="52"/>
      <c r="F31" s="52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/>
      <c r="R31" s="44"/>
      <c r="S31" s="44"/>
      <c r="T31" s="44"/>
      <c r="U31" s="44"/>
      <c r="V31" s="44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  <c r="AJ31" s="44"/>
      <c r="AK31" s="43"/>
      <c r="AL31" s="44"/>
      <c r="AM31" s="44"/>
      <c r="AN31" s="44"/>
      <c r="AO31" s="43"/>
      <c r="AP31" s="43"/>
      <c r="AQ31" s="45"/>
      <c r="AR31" s="129"/>
      <c r="AS31" s="2"/>
    </row>
    <row r="32" spans="2:46" s="10" customFormat="1" ht="23.25" x14ac:dyDescent="0.25">
      <c r="B32" s="41" t="s">
        <v>35</v>
      </c>
      <c r="C32" s="40"/>
      <c r="D32" s="38"/>
      <c r="E32" s="38"/>
      <c r="F32" s="38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4"/>
      <c r="R32" s="44"/>
      <c r="S32" s="44"/>
      <c r="T32" s="44"/>
      <c r="U32" s="44"/>
      <c r="V32" s="44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4"/>
      <c r="AJ32" s="44"/>
      <c r="AK32" s="43"/>
      <c r="AL32" s="44"/>
      <c r="AM32" s="44"/>
      <c r="AN32" s="44"/>
      <c r="AO32" s="43"/>
      <c r="AP32" s="43"/>
      <c r="AQ32" s="45"/>
      <c r="AR32" s="129"/>
      <c r="AS32" s="2"/>
    </row>
    <row r="33" spans="2:45" s="13" customFormat="1" ht="39.950000000000003" customHeight="1" x14ac:dyDescent="0.25">
      <c r="B33" s="103" t="s">
        <v>17</v>
      </c>
      <c r="C33" s="104"/>
      <c r="D33" s="104"/>
      <c r="E33" s="104"/>
      <c r="F33" s="104"/>
      <c r="G33" s="132" t="e">
        <f t="shared" ref="G33:AQ33" si="0">SUM(G21:G32)</f>
        <v>#REF!</v>
      </c>
      <c r="H33" s="132" t="e">
        <f t="shared" si="0"/>
        <v>#REF!</v>
      </c>
      <c r="I33" s="132" t="e">
        <f t="shared" si="0"/>
        <v>#REF!</v>
      </c>
      <c r="J33" s="46">
        <f t="shared" si="0"/>
        <v>102101</v>
      </c>
      <c r="K33" s="46">
        <f>SUM(K21:K32)</f>
        <v>168361</v>
      </c>
      <c r="L33" s="46">
        <f t="shared" si="0"/>
        <v>0</v>
      </c>
      <c r="M33" s="46">
        <f t="shared" si="0"/>
        <v>0</v>
      </c>
      <c r="N33" s="46">
        <f t="shared" si="0"/>
        <v>0</v>
      </c>
      <c r="O33" s="46">
        <f t="shared" si="0"/>
        <v>0</v>
      </c>
      <c r="P33" s="46">
        <f t="shared" si="0"/>
        <v>0</v>
      </c>
      <c r="Q33" s="65">
        <f t="shared" si="0"/>
        <v>100015.69</v>
      </c>
      <c r="R33" s="46">
        <f t="shared" si="0"/>
        <v>264</v>
      </c>
      <c r="S33" s="46">
        <f t="shared" si="0"/>
        <v>847</v>
      </c>
      <c r="T33" s="46">
        <f t="shared" si="0"/>
        <v>16364</v>
      </c>
      <c r="U33" s="46">
        <f t="shared" si="0"/>
        <v>0</v>
      </c>
      <c r="V33" s="46">
        <f t="shared" si="0"/>
        <v>0</v>
      </c>
      <c r="W33" s="46">
        <f t="shared" si="0"/>
        <v>12522</v>
      </c>
      <c r="X33" s="46">
        <f>SUM(X21:X32)</f>
        <v>121444</v>
      </c>
      <c r="Y33" s="46">
        <f t="shared" si="0"/>
        <v>646</v>
      </c>
      <c r="Z33" s="46">
        <f t="shared" si="0"/>
        <v>17885</v>
      </c>
      <c r="AA33" s="46">
        <f>SUM(AA21:AA32)</f>
        <v>242</v>
      </c>
      <c r="AB33" s="46">
        <f>SUM(AB21:AB32)</f>
        <v>51208</v>
      </c>
      <c r="AC33" s="46">
        <f t="shared" si="0"/>
        <v>2473</v>
      </c>
      <c r="AD33" s="46">
        <f t="shared" si="0"/>
        <v>1532</v>
      </c>
      <c r="AE33" s="46">
        <f t="shared" si="0"/>
        <v>0</v>
      </c>
      <c r="AF33" s="46">
        <f t="shared" si="0"/>
        <v>0</v>
      </c>
      <c r="AG33" s="46">
        <f t="shared" si="0"/>
        <v>0</v>
      </c>
      <c r="AH33" s="46">
        <f t="shared" si="0"/>
        <v>1060</v>
      </c>
      <c r="AI33" s="46">
        <f t="shared" si="0"/>
        <v>0</v>
      </c>
      <c r="AJ33" s="65">
        <f t="shared" si="0"/>
        <v>41250.549999999988</v>
      </c>
      <c r="AK33" s="46">
        <f t="shared" si="0"/>
        <v>2145</v>
      </c>
      <c r="AL33" s="46">
        <f t="shared" si="0"/>
        <v>0</v>
      </c>
      <c r="AM33" s="46">
        <f t="shared" si="0"/>
        <v>0</v>
      </c>
      <c r="AN33" s="46">
        <f t="shared" si="0"/>
        <v>238</v>
      </c>
      <c r="AO33" s="46" t="e">
        <f t="shared" si="0"/>
        <v>#REF!</v>
      </c>
      <c r="AP33" s="46" t="e">
        <f t="shared" si="0"/>
        <v>#REF!</v>
      </c>
      <c r="AQ33" s="46" t="e">
        <f t="shared" si="0"/>
        <v>#REF!</v>
      </c>
      <c r="AR33" s="131"/>
    </row>
    <row r="34" spans="2:45" s="14" customFormat="1" ht="23.25" x14ac:dyDescent="0.25">
      <c r="B34" s="326" t="s">
        <v>18</v>
      </c>
      <c r="C34" s="327"/>
      <c r="D34" s="39"/>
      <c r="E34" s="39"/>
      <c r="F34" s="39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/>
      <c r="R34" s="44"/>
      <c r="S34" s="44"/>
      <c r="T34" s="44"/>
      <c r="U34" s="44"/>
      <c r="V34" s="44"/>
      <c r="W34" s="43"/>
      <c r="X34" s="43"/>
      <c r="Y34" s="43"/>
      <c r="Z34" s="43"/>
      <c r="AA34" s="44"/>
      <c r="AB34" s="43"/>
      <c r="AC34" s="43"/>
      <c r="AD34" s="43"/>
      <c r="AE34" s="43"/>
      <c r="AF34" s="43"/>
      <c r="AG34" s="43"/>
      <c r="AH34" s="43"/>
      <c r="AI34" s="43"/>
      <c r="AJ34" s="44"/>
      <c r="AK34" s="43"/>
      <c r="AL34" s="44"/>
      <c r="AM34" s="44"/>
      <c r="AN34" s="44"/>
      <c r="AO34" s="134"/>
      <c r="AP34" s="134"/>
      <c r="AQ34" s="45"/>
      <c r="AR34" s="131"/>
      <c r="AS34" s="13"/>
    </row>
    <row r="35" spans="2:45" s="14" customFormat="1" ht="59.25" customHeight="1" x14ac:dyDescent="0.25">
      <c r="B35" s="328" t="s">
        <v>79</v>
      </c>
      <c r="C35" s="329"/>
      <c r="D35" s="334" t="s">
        <v>81</v>
      </c>
      <c r="E35" s="335"/>
      <c r="F35" s="336"/>
      <c r="G35" s="72"/>
      <c r="H35" s="72"/>
      <c r="I35" s="72">
        <v>0</v>
      </c>
      <c r="J35" s="72">
        <v>45072</v>
      </c>
      <c r="K35" s="72">
        <v>45911</v>
      </c>
      <c r="L35" s="72"/>
      <c r="M35" s="72"/>
      <c r="N35" s="72"/>
      <c r="O35" s="72"/>
      <c r="P35" s="72"/>
      <c r="Q35" s="73">
        <v>30440.5</v>
      </c>
      <c r="R35" s="72">
        <v>0</v>
      </c>
      <c r="S35" s="72">
        <v>0</v>
      </c>
      <c r="T35" s="72">
        <v>0</v>
      </c>
      <c r="U35" s="72"/>
      <c r="V35" s="72"/>
      <c r="W35" s="72">
        <v>836</v>
      </c>
      <c r="X35" s="72">
        <v>44575</v>
      </c>
      <c r="Y35" s="72"/>
      <c r="Z35" s="72">
        <v>5413</v>
      </c>
      <c r="AA35" s="72">
        <v>92</v>
      </c>
      <c r="AB35" s="72">
        <v>19801</v>
      </c>
      <c r="AC35" s="72">
        <v>1676</v>
      </c>
      <c r="AD35" s="72"/>
      <c r="AE35" s="72"/>
      <c r="AF35" s="72"/>
      <c r="AG35" s="72"/>
      <c r="AH35" s="72">
        <v>0</v>
      </c>
      <c r="AI35" s="72"/>
      <c r="AJ35" s="73">
        <f>Z35*2.43</f>
        <v>13153.59</v>
      </c>
      <c r="AK35" s="72">
        <v>310</v>
      </c>
      <c r="AL35" s="72"/>
      <c r="AM35" s="72"/>
      <c r="AN35" s="72">
        <v>0</v>
      </c>
      <c r="AO35" s="72"/>
      <c r="AP35" s="72"/>
      <c r="AQ35" s="72"/>
      <c r="AR35" s="131"/>
      <c r="AS35" s="181"/>
    </row>
    <row r="36" spans="2:45" s="14" customFormat="1" ht="23.25" x14ac:dyDescent="0.25">
      <c r="B36" s="330"/>
      <c r="C36" s="331"/>
      <c r="D36" s="337" t="s">
        <v>84</v>
      </c>
      <c r="E36" s="338"/>
      <c r="F36" s="338"/>
      <c r="G36" s="324">
        <v>0</v>
      </c>
      <c r="H36" s="74"/>
      <c r="I36" s="324"/>
      <c r="J36" s="324"/>
      <c r="K36" s="324">
        <v>5375</v>
      </c>
      <c r="L36" s="324"/>
      <c r="M36" s="324"/>
      <c r="N36" s="324"/>
      <c r="O36" s="324"/>
      <c r="P36" s="324"/>
      <c r="Q36" s="324">
        <v>875</v>
      </c>
      <c r="R36" s="324"/>
      <c r="S36" s="324"/>
      <c r="T36" s="324"/>
      <c r="U36" s="324"/>
      <c r="V36" s="324"/>
      <c r="W36" s="324">
        <v>1150</v>
      </c>
      <c r="X36" s="324">
        <v>760</v>
      </c>
      <c r="Y36" s="324"/>
      <c r="Z36" s="324">
        <v>200</v>
      </c>
      <c r="AA36" s="324"/>
      <c r="AB36" s="324">
        <v>900</v>
      </c>
      <c r="AC36" s="324"/>
      <c r="AD36" s="324"/>
      <c r="AE36" s="324"/>
      <c r="AF36" s="324"/>
      <c r="AG36" s="324"/>
      <c r="AH36" s="324"/>
      <c r="AI36" s="324"/>
      <c r="AJ36" s="343">
        <f>Z36*2.43</f>
        <v>486.00000000000006</v>
      </c>
      <c r="AK36" s="324"/>
      <c r="AL36" s="324"/>
      <c r="AM36" s="324"/>
      <c r="AN36" s="324"/>
      <c r="AO36" s="324">
        <v>0</v>
      </c>
      <c r="AP36" s="324">
        <v>0</v>
      </c>
      <c r="AQ36" s="324">
        <v>0</v>
      </c>
      <c r="AR36" s="339"/>
      <c r="AS36" s="13"/>
    </row>
    <row r="37" spans="2:45" s="15" customFormat="1" ht="48.75" customHeight="1" x14ac:dyDescent="0.25">
      <c r="B37" s="332"/>
      <c r="C37" s="333"/>
      <c r="D37" s="338"/>
      <c r="E37" s="338"/>
      <c r="F37" s="338"/>
      <c r="G37" s="325"/>
      <c r="H37" s="7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25"/>
      <c r="AI37" s="325"/>
      <c r="AJ37" s="344"/>
      <c r="AK37" s="325"/>
      <c r="AL37" s="325"/>
      <c r="AM37" s="325"/>
      <c r="AN37" s="325"/>
      <c r="AO37" s="325"/>
      <c r="AP37" s="325"/>
      <c r="AQ37" s="325"/>
      <c r="AR37" s="340"/>
    </row>
    <row r="38" spans="2:45" s="13" customFormat="1" ht="39.950000000000003" customHeight="1" thickBot="1" x14ac:dyDescent="0.3">
      <c r="B38" s="125" t="s">
        <v>131</v>
      </c>
      <c r="C38" s="126"/>
      <c r="D38" s="63"/>
      <c r="E38" s="63"/>
      <c r="F38" s="63"/>
      <c r="G38" s="128" t="e">
        <f t="shared" ref="G38:AQ38" si="1">G33-G35-G36</f>
        <v>#REF!</v>
      </c>
      <c r="H38" s="128" t="e">
        <f t="shared" si="1"/>
        <v>#REF!</v>
      </c>
      <c r="I38" s="128" t="e">
        <f t="shared" si="1"/>
        <v>#REF!</v>
      </c>
      <c r="J38" s="76">
        <f t="shared" si="1"/>
        <v>57029</v>
      </c>
      <c r="K38" s="76">
        <f>K33-K35-K36</f>
        <v>117075</v>
      </c>
      <c r="L38" s="76">
        <f t="shared" si="1"/>
        <v>0</v>
      </c>
      <c r="M38" s="76">
        <f t="shared" si="1"/>
        <v>0</v>
      </c>
      <c r="N38" s="76">
        <f t="shared" si="1"/>
        <v>0</v>
      </c>
      <c r="O38" s="76">
        <f t="shared" si="1"/>
        <v>0</v>
      </c>
      <c r="P38" s="76">
        <f t="shared" si="1"/>
        <v>0</v>
      </c>
      <c r="Q38" s="170">
        <f t="shared" si="1"/>
        <v>68700.19</v>
      </c>
      <c r="R38" s="76">
        <f t="shared" si="1"/>
        <v>264</v>
      </c>
      <c r="S38" s="76">
        <f t="shared" si="1"/>
        <v>847</v>
      </c>
      <c r="T38" s="76">
        <f t="shared" si="1"/>
        <v>16364</v>
      </c>
      <c r="U38" s="76">
        <f t="shared" si="1"/>
        <v>0</v>
      </c>
      <c r="V38" s="76">
        <f t="shared" si="1"/>
        <v>0</v>
      </c>
      <c r="W38" s="76">
        <f t="shared" si="1"/>
        <v>10536</v>
      </c>
      <c r="X38" s="76">
        <f t="shared" si="1"/>
        <v>76109</v>
      </c>
      <c r="Y38" s="76">
        <f t="shared" si="1"/>
        <v>646</v>
      </c>
      <c r="Z38" s="76">
        <f t="shared" si="1"/>
        <v>12272</v>
      </c>
      <c r="AA38" s="76">
        <f t="shared" si="1"/>
        <v>150</v>
      </c>
      <c r="AB38" s="76">
        <f t="shared" si="1"/>
        <v>30507</v>
      </c>
      <c r="AC38" s="76">
        <f t="shared" si="1"/>
        <v>797</v>
      </c>
      <c r="AD38" s="76">
        <f t="shared" si="1"/>
        <v>1532</v>
      </c>
      <c r="AE38" s="76">
        <f t="shared" si="1"/>
        <v>0</v>
      </c>
      <c r="AF38" s="76">
        <f t="shared" si="1"/>
        <v>0</v>
      </c>
      <c r="AG38" s="76">
        <f t="shared" si="1"/>
        <v>0</v>
      </c>
      <c r="AH38" s="76">
        <f t="shared" si="1"/>
        <v>1060</v>
      </c>
      <c r="AI38" s="76">
        <f t="shared" si="1"/>
        <v>0</v>
      </c>
      <c r="AJ38" s="170">
        <f t="shared" si="1"/>
        <v>27610.959999999988</v>
      </c>
      <c r="AK38" s="76">
        <f t="shared" si="1"/>
        <v>1835</v>
      </c>
      <c r="AL38" s="76">
        <f t="shared" si="1"/>
        <v>0</v>
      </c>
      <c r="AM38" s="76">
        <f t="shared" si="1"/>
        <v>0</v>
      </c>
      <c r="AN38" s="76">
        <f t="shared" si="1"/>
        <v>238</v>
      </c>
      <c r="AO38" s="76" t="e">
        <f t="shared" si="1"/>
        <v>#REF!</v>
      </c>
      <c r="AP38" s="76" t="e">
        <f t="shared" si="1"/>
        <v>#REF!</v>
      </c>
      <c r="AQ38" s="76" t="e">
        <f t="shared" si="1"/>
        <v>#REF!</v>
      </c>
      <c r="AR38" s="127"/>
    </row>
    <row r="39" spans="2:45" s="1" customFormat="1" ht="28.5" customHeight="1" x14ac:dyDescent="0.35">
      <c r="H39" s="172"/>
      <c r="I39" s="172"/>
      <c r="J39" s="172"/>
      <c r="K39" s="172">
        <f>K38+'JANUARY 2026 - EXPLO'!J30</f>
        <v>121623</v>
      </c>
      <c r="L39" s="172"/>
      <c r="M39" s="172"/>
      <c r="N39" s="172"/>
      <c r="O39" s="172"/>
      <c r="P39" s="172"/>
      <c r="Q39" s="173">
        <f>Q38+'JANUARY 2026 - EXPLO'!O30</f>
        <v>69483.09</v>
      </c>
      <c r="R39" s="174"/>
      <c r="S39" s="174"/>
      <c r="T39" s="174"/>
      <c r="U39" s="174"/>
      <c r="V39" s="174"/>
      <c r="W39" s="174">
        <f>W38+'JANUARY 2026 - EXPLO'!T30</f>
        <v>11669</v>
      </c>
      <c r="X39" s="174">
        <f>X38+'JANUARY 2026 - EXPLO'!U30</f>
        <v>76697</v>
      </c>
      <c r="Z39" s="172">
        <f>Z38+'JANUARY 2026 - EXPLO'!V30</f>
        <v>12506</v>
      </c>
      <c r="AA39" s="172">
        <f>AA38+'JANUARY 2026 - EXPLO'!W30</f>
        <v>204</v>
      </c>
      <c r="AB39" s="172">
        <f>AB38+'JANUARY 2026 - EXPLO'!X30</f>
        <v>31598</v>
      </c>
      <c r="AC39" s="172"/>
      <c r="AD39" s="172"/>
      <c r="AH39" s="173"/>
      <c r="AI39" s="175"/>
      <c r="AJ39" s="173">
        <f>AJ38+'JANUARY 2026 - EXPLO'!AE30</f>
        <v>28179.579999999987</v>
      </c>
      <c r="AK39" s="172">
        <f>AK38+'JANUARY 2026 - EXPLO'!AF30</f>
        <v>2135</v>
      </c>
      <c r="AN39" s="172">
        <f>AN38+'JANUARY 2026 - EXPLO'!AI30</f>
        <v>276</v>
      </c>
    </row>
    <row r="40" spans="2:45" s="137" customFormat="1" ht="21" customHeight="1" x14ac:dyDescent="0.25">
      <c r="K40" s="138"/>
      <c r="L40" s="139"/>
      <c r="P40" s="138"/>
      <c r="Q40" s="140"/>
      <c r="R40" s="140"/>
      <c r="S40" s="140"/>
      <c r="T40" s="140"/>
      <c r="U40" s="140"/>
      <c r="V40" s="140"/>
      <c r="W40" s="140"/>
      <c r="X40" s="140"/>
      <c r="Y40" s="140"/>
      <c r="Z40" s="141"/>
      <c r="AA40" s="138"/>
      <c r="AB40" s="138"/>
      <c r="AC40" s="138"/>
      <c r="AJ40" s="140"/>
      <c r="AK40" s="141"/>
      <c r="AN40" s="138"/>
    </row>
    <row r="41" spans="2:45" ht="9" customHeight="1" x14ac:dyDescent="0.3">
      <c r="L41" s="20"/>
      <c r="R41" s="17"/>
      <c r="S41" s="17"/>
      <c r="T41" s="17"/>
      <c r="U41" s="17"/>
      <c r="V41" s="17"/>
      <c r="W41" s="17"/>
      <c r="X41" s="17"/>
      <c r="Y41" s="17"/>
      <c r="Z41" s="21"/>
      <c r="AJ41" s="19"/>
      <c r="AK41" s="21"/>
    </row>
    <row r="42" spans="2:45" ht="9" customHeight="1" x14ac:dyDescent="0.3">
      <c r="L42" s="20"/>
      <c r="R42" s="17"/>
      <c r="S42" s="17"/>
      <c r="T42" s="17"/>
      <c r="U42" s="17"/>
      <c r="V42" s="17"/>
      <c r="W42" s="17"/>
      <c r="X42" s="17"/>
      <c r="Y42" s="17"/>
      <c r="Z42" s="21"/>
      <c r="AJ42" s="19"/>
      <c r="AK42" s="21"/>
    </row>
    <row r="43" spans="2:45" s="2" customFormat="1" ht="30" customHeight="1" x14ac:dyDescent="0.25">
      <c r="B43" s="194"/>
      <c r="C43" s="341" t="s">
        <v>45</v>
      </c>
      <c r="D43" s="341"/>
      <c r="E43" s="341"/>
      <c r="F43" s="341"/>
      <c r="G43" s="341"/>
      <c r="H43" s="194"/>
      <c r="I43" s="194"/>
      <c r="K43" s="194" t="s">
        <v>19</v>
      </c>
      <c r="L43" s="194"/>
      <c r="M43" s="194"/>
      <c r="N43" s="194"/>
      <c r="O43" s="194"/>
      <c r="P43" s="194"/>
      <c r="R43" s="342" t="s">
        <v>54</v>
      </c>
      <c r="S43" s="342"/>
      <c r="T43" s="342"/>
      <c r="U43" s="342"/>
      <c r="V43" s="194"/>
      <c r="W43" s="194"/>
      <c r="X43" s="195" t="s">
        <v>90</v>
      </c>
      <c r="Y43" s="195"/>
      <c r="Z43" s="195"/>
      <c r="AA43" s="195"/>
      <c r="AB43" s="109"/>
      <c r="AC43" s="109"/>
      <c r="AD43" s="194" t="s">
        <v>20</v>
      </c>
      <c r="AE43" s="194"/>
      <c r="AF43" s="194"/>
      <c r="AG43" s="194"/>
      <c r="AI43" s="194"/>
      <c r="AJ43" s="194"/>
      <c r="AK43" s="194"/>
      <c r="AL43" s="194"/>
      <c r="AM43" s="194" t="s">
        <v>20</v>
      </c>
      <c r="AN43" s="194"/>
      <c r="AO43" s="194"/>
      <c r="AP43" s="194"/>
      <c r="AQ43" s="194"/>
      <c r="AR43" s="142"/>
      <c r="AS43" s="142"/>
    </row>
    <row r="44" spans="2:45" s="2" customFormat="1" ht="30" customHeight="1" x14ac:dyDescent="0.25">
      <c r="B44" s="194"/>
      <c r="C44" s="341" t="s">
        <v>38</v>
      </c>
      <c r="D44" s="341"/>
      <c r="E44" s="341"/>
      <c r="F44" s="341"/>
      <c r="G44" s="341"/>
      <c r="H44" s="194"/>
      <c r="I44" s="194"/>
      <c r="J44" s="194"/>
      <c r="K44" s="194"/>
      <c r="L44" s="22"/>
      <c r="M44" s="194"/>
      <c r="N44" s="194"/>
      <c r="O44" s="194"/>
      <c r="P44" s="194"/>
      <c r="Q44" s="201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</row>
    <row r="45" spans="2:45" s="2" customFormat="1" ht="30" customHeight="1" x14ac:dyDescent="0.25"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22"/>
      <c r="M45" s="194"/>
      <c r="N45" s="194"/>
      <c r="O45" s="194"/>
      <c r="P45" s="82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</row>
    <row r="46" spans="2:45" s="2" customFormat="1" ht="30" customHeight="1" x14ac:dyDescent="0.25">
      <c r="B46" s="194"/>
      <c r="C46" s="194" t="s">
        <v>21</v>
      </c>
      <c r="D46" s="195"/>
      <c r="E46" s="194"/>
      <c r="F46" s="194" t="s">
        <v>95</v>
      </c>
      <c r="G46" s="194" t="s">
        <v>64</v>
      </c>
      <c r="H46" s="194"/>
      <c r="I46" s="194"/>
      <c r="J46" s="194"/>
      <c r="K46" s="194"/>
      <c r="L46" s="195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78" t="s">
        <v>100</v>
      </c>
      <c r="AE46" s="195"/>
      <c r="AF46" s="195"/>
      <c r="AG46" s="195"/>
      <c r="AH46" s="117"/>
      <c r="AI46" s="195"/>
      <c r="AJ46" s="195"/>
      <c r="AK46" s="195"/>
      <c r="AL46" s="195"/>
      <c r="AM46" s="195"/>
      <c r="AN46" s="195"/>
      <c r="AO46" s="195"/>
      <c r="AP46" s="195"/>
      <c r="AQ46" s="195"/>
      <c r="AR46" s="109"/>
      <c r="AS46" s="109"/>
    </row>
    <row r="47" spans="2:45" s="2" customFormat="1" ht="30" customHeight="1" x14ac:dyDescent="0.25">
      <c r="B47" s="194"/>
      <c r="C47" s="194" t="s">
        <v>22</v>
      </c>
      <c r="D47" s="23"/>
      <c r="E47" s="194"/>
      <c r="F47" s="194" t="s">
        <v>96</v>
      </c>
      <c r="G47" s="194" t="s">
        <v>25</v>
      </c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77" t="s">
        <v>120</v>
      </c>
      <c r="AE47" s="194"/>
      <c r="AF47" s="194"/>
      <c r="AG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</row>
    <row r="48" spans="2:45" s="2" customFormat="1" ht="30" customHeight="1" x14ac:dyDescent="0.25">
      <c r="B48" s="194"/>
      <c r="C48" s="194" t="s">
        <v>23</v>
      </c>
      <c r="D48" s="23"/>
      <c r="E48" s="194"/>
      <c r="F48" s="194" t="s">
        <v>97</v>
      </c>
      <c r="G48" s="194" t="s">
        <v>78</v>
      </c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77" t="s">
        <v>121</v>
      </c>
      <c r="AE48" s="194"/>
      <c r="AF48" s="194"/>
      <c r="AG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</row>
    <row r="49" spans="2:45" s="2" customFormat="1" ht="30" customHeight="1" x14ac:dyDescent="0.25">
      <c r="B49" s="194"/>
      <c r="C49" s="194" t="s">
        <v>24</v>
      </c>
      <c r="D49" s="23"/>
      <c r="E49" s="194"/>
      <c r="F49" s="194" t="s">
        <v>98</v>
      </c>
      <c r="G49" s="194" t="s">
        <v>63</v>
      </c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77" t="s">
        <v>122</v>
      </c>
      <c r="AE49" s="194"/>
      <c r="AF49" s="194"/>
      <c r="AG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</row>
    <row r="50" spans="2:45" s="2" customFormat="1" ht="30" customHeight="1" x14ac:dyDescent="0.25">
      <c r="AI50" s="194"/>
      <c r="AJ50" s="194"/>
    </row>
    <row r="51" spans="2:45" s="10" customFormat="1" ht="20.25" x14ac:dyDescent="0.25">
      <c r="Y51" s="10" t="s">
        <v>105</v>
      </c>
    </row>
    <row r="52" spans="2:45" s="114" customFormat="1" x14ac:dyDescent="0.25">
      <c r="AJ52" s="115"/>
    </row>
    <row r="53" spans="2:45" s="114" customFormat="1" x14ac:dyDescent="0.25">
      <c r="AJ53" s="115"/>
    </row>
  </sheetData>
  <mergeCells count="84">
    <mergeCell ref="C44:G44"/>
    <mergeCell ref="AN36:AN37"/>
    <mergeCell ref="AO36:AO37"/>
    <mergeCell ref="AP36:AP37"/>
    <mergeCell ref="AQ36:AQ37"/>
    <mergeCell ref="W36:W37"/>
    <mergeCell ref="X36:X37"/>
    <mergeCell ref="Y36:Y37"/>
    <mergeCell ref="Z36:Z37"/>
    <mergeCell ref="AA36:AA37"/>
    <mergeCell ref="P36:P37"/>
    <mergeCell ref="Q36:Q37"/>
    <mergeCell ref="R36:R37"/>
    <mergeCell ref="S36:S37"/>
    <mergeCell ref="T36:T37"/>
    <mergeCell ref="U36:U37"/>
    <mergeCell ref="AR36:AR37"/>
    <mergeCell ref="C43:G43"/>
    <mergeCell ref="R43:U43"/>
    <mergeCell ref="AH36:AH37"/>
    <mergeCell ref="AI36:AI37"/>
    <mergeCell ref="AJ36:AJ37"/>
    <mergeCell ref="AK36:AK37"/>
    <mergeCell ref="AL36:AL37"/>
    <mergeCell ref="AM36:AM37"/>
    <mergeCell ref="AB36:AB37"/>
    <mergeCell ref="AC36:AC37"/>
    <mergeCell ref="AD36:AD37"/>
    <mergeCell ref="AE36:AE37"/>
    <mergeCell ref="AF36:AF37"/>
    <mergeCell ref="AG36:AG37"/>
    <mergeCell ref="V36:V37"/>
    <mergeCell ref="O36:O37"/>
    <mergeCell ref="B34:C34"/>
    <mergeCell ref="B35:C37"/>
    <mergeCell ref="D35:F35"/>
    <mergeCell ref="D36:F37"/>
    <mergeCell ref="G36:G37"/>
    <mergeCell ref="I36:I37"/>
    <mergeCell ref="J36:J37"/>
    <mergeCell ref="K36:K37"/>
    <mergeCell ref="L36:L37"/>
    <mergeCell ref="M36:M37"/>
    <mergeCell ref="N36:N37"/>
    <mergeCell ref="B21:D21"/>
    <mergeCell ref="B23:B30"/>
    <mergeCell ref="C23:C24"/>
    <mergeCell ref="C25:C26"/>
    <mergeCell ref="C27:C28"/>
    <mergeCell ref="C29:C30"/>
    <mergeCell ref="AJ16:AJ18"/>
    <mergeCell ref="AK16:AK18"/>
    <mergeCell ref="AL16:AM17"/>
    <mergeCell ref="AN16:AN18"/>
    <mergeCell ref="AO16:AO18"/>
    <mergeCell ref="AA17:AA18"/>
    <mergeCell ref="AB17:AB18"/>
    <mergeCell ref="AC17:AC18"/>
    <mergeCell ref="AD17:AD18"/>
    <mergeCell ref="AI16:AI18"/>
    <mergeCell ref="AG17:AG18"/>
    <mergeCell ref="AH17:AH18"/>
    <mergeCell ref="B8:AR8"/>
    <mergeCell ref="B16:B19"/>
    <mergeCell ref="C16:C19"/>
    <mergeCell ref="D16:D19"/>
    <mergeCell ref="E16:E19"/>
    <mergeCell ref="F16:F19"/>
    <mergeCell ref="G16:P16"/>
    <mergeCell ref="Q16:Q18"/>
    <mergeCell ref="R16:AA16"/>
    <mergeCell ref="AB16:AH16"/>
    <mergeCell ref="AP16:AP18"/>
    <mergeCell ref="AQ16:AQ18"/>
    <mergeCell ref="K17:M17"/>
    <mergeCell ref="T17:U17"/>
    <mergeCell ref="W17:Y17"/>
    <mergeCell ref="Z17:Z18"/>
    <mergeCell ref="B7:AR7"/>
    <mergeCell ref="B1:AR1"/>
    <mergeCell ref="B2:AR2"/>
    <mergeCell ref="B3:AR3"/>
    <mergeCell ref="B4:AR4"/>
    <mergeCell ref="B6:AR6"/>
  </mergeCells>
  <pageMargins left="0.19685039370078741" right="3.937007874015748E-2" top="0.43307086614173229" bottom="0.31496062992125984" header="0.31496062992125984" footer="0.31496062992125984"/>
  <pageSetup paperSize="14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AP64"/>
  <sheetViews>
    <sheetView zoomScale="62" zoomScaleNormal="62" workbookViewId="0">
      <selection activeCell="D29" sqref="D29:F29"/>
    </sheetView>
  </sheetViews>
  <sheetFormatPr defaultRowHeight="16.5" x14ac:dyDescent="0.3"/>
  <cols>
    <col min="1" max="1" width="0.140625" style="3" customWidth="1"/>
    <col min="2" max="2" width="14.28515625" style="3" customWidth="1"/>
    <col min="3" max="3" width="19.85546875" style="3" customWidth="1"/>
    <col min="4" max="4" width="37" style="3" customWidth="1"/>
    <col min="5" max="5" width="20.140625" style="3" customWidth="1"/>
    <col min="6" max="6" width="31" style="3" customWidth="1"/>
    <col min="7" max="7" width="12.85546875" style="3" hidden="1" customWidth="1"/>
    <col min="8" max="8" width="10.7109375" style="3" hidden="1" customWidth="1"/>
    <col min="9" max="9" width="13" style="3" hidden="1" customWidth="1"/>
    <col min="10" max="10" width="30.28515625" style="3" customWidth="1"/>
    <col min="11" max="12" width="11.5703125" style="3" hidden="1" customWidth="1"/>
    <col min="13" max="13" width="11.42578125" style="3" hidden="1" customWidth="1"/>
    <col min="14" max="14" width="11.85546875" style="3" hidden="1" customWidth="1"/>
    <col min="15" max="15" width="15.28515625" style="3" customWidth="1"/>
    <col min="16" max="16" width="9.140625" style="3" hidden="1" customWidth="1"/>
    <col min="17" max="17" width="10" style="3" hidden="1" customWidth="1"/>
    <col min="18" max="18" width="9" style="3" hidden="1" customWidth="1"/>
    <col min="19" max="19" width="9.28515625" style="3" hidden="1" customWidth="1"/>
    <col min="20" max="20" width="12.7109375" style="3" customWidth="1"/>
    <col min="21" max="21" width="11.5703125" style="3" customWidth="1"/>
    <col min="22" max="22" width="11.85546875" style="3" customWidth="1"/>
    <col min="23" max="23" width="11.7109375" style="3" customWidth="1"/>
    <col min="24" max="24" width="15.28515625" style="3" customWidth="1"/>
    <col min="25" max="25" width="8" style="3" hidden="1" customWidth="1"/>
    <col min="26" max="27" width="4.28515625" style="3" hidden="1" customWidth="1"/>
    <col min="28" max="28" width="3.7109375" style="3" hidden="1" customWidth="1"/>
    <col min="29" max="29" width="13.5703125" style="3" customWidth="1"/>
    <col min="30" max="30" width="1.42578125" style="3" hidden="1" customWidth="1"/>
    <col min="31" max="31" width="14.85546875" style="4" customWidth="1"/>
    <col min="32" max="32" width="13.140625" style="3" customWidth="1"/>
    <col min="33" max="33" width="7.42578125" style="3" hidden="1" customWidth="1"/>
    <col min="34" max="34" width="0.7109375" style="3" hidden="1" customWidth="1"/>
    <col min="35" max="35" width="14.140625" style="3" customWidth="1"/>
    <col min="36" max="36" width="8" style="3" hidden="1" customWidth="1"/>
    <col min="37" max="37" width="6.85546875" style="3" hidden="1" customWidth="1"/>
    <col min="38" max="38" width="9.140625" style="3" hidden="1" customWidth="1"/>
    <col min="39" max="39" width="27.5703125" style="3" customWidth="1"/>
    <col min="40" max="16384" width="9.140625" style="3"/>
  </cols>
  <sheetData>
    <row r="1" spans="2:39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</row>
    <row r="2" spans="2:39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</row>
    <row r="3" spans="2:39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</row>
    <row r="4" spans="2:39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</row>
    <row r="5" spans="2:39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</row>
    <row r="7" spans="2:39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</row>
    <row r="8" spans="2:39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</row>
    <row r="9" spans="2:39" ht="8.25" customHeight="1" x14ac:dyDescent="0.3"/>
    <row r="10" spans="2:39" s="2" customFormat="1" ht="20.100000000000001" customHeight="1" x14ac:dyDescent="0.25">
      <c r="B10" s="194" t="s">
        <v>7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</row>
    <row r="11" spans="2:39" s="2" customFormat="1" ht="20.100000000000001" customHeight="1" x14ac:dyDescent="0.25">
      <c r="B11" s="194" t="s">
        <v>8</v>
      </c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</row>
    <row r="12" spans="2:39" s="2" customFormat="1" ht="20.100000000000001" customHeight="1" x14ac:dyDescent="0.25">
      <c r="B12" s="194" t="s">
        <v>65</v>
      </c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</row>
    <row r="13" spans="2:39" s="2" customFormat="1" ht="26.25" customHeight="1" x14ac:dyDescent="0.25">
      <c r="B13" s="194" t="s">
        <v>137</v>
      </c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</row>
    <row r="14" spans="2:39" s="7" customFormat="1" ht="18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39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2:39" s="121" customFormat="1" ht="27" customHeight="1" x14ac:dyDescent="0.25">
      <c r="B16" s="345" t="s">
        <v>9</v>
      </c>
      <c r="C16" s="348" t="s">
        <v>140</v>
      </c>
      <c r="D16" s="351" t="s">
        <v>10</v>
      </c>
      <c r="E16" s="351" t="s">
        <v>11</v>
      </c>
      <c r="F16" s="351" t="s">
        <v>46</v>
      </c>
      <c r="G16" s="354" t="s">
        <v>87</v>
      </c>
      <c r="H16" s="355"/>
      <c r="I16" s="355"/>
      <c r="J16" s="355"/>
      <c r="K16" s="355"/>
      <c r="L16" s="355"/>
      <c r="M16" s="355"/>
      <c r="N16" s="356"/>
      <c r="O16" s="351" t="s">
        <v>69</v>
      </c>
      <c r="P16" s="354" t="s">
        <v>59</v>
      </c>
      <c r="Q16" s="355"/>
      <c r="R16" s="355"/>
      <c r="S16" s="355"/>
      <c r="T16" s="355"/>
      <c r="U16" s="355"/>
      <c r="V16" s="355"/>
      <c r="W16" s="356"/>
      <c r="X16" s="357" t="s">
        <v>29</v>
      </c>
      <c r="Y16" s="357"/>
      <c r="Z16" s="357"/>
      <c r="AA16" s="357"/>
      <c r="AB16" s="357"/>
      <c r="AC16" s="357"/>
      <c r="AD16" s="375" t="s">
        <v>53</v>
      </c>
      <c r="AE16" s="360" t="s">
        <v>48</v>
      </c>
      <c r="AF16" s="360" t="s">
        <v>58</v>
      </c>
      <c r="AG16" s="378" t="s">
        <v>62</v>
      </c>
      <c r="AH16" s="378"/>
      <c r="AI16" s="360" t="s">
        <v>47</v>
      </c>
      <c r="AJ16" s="351" t="s">
        <v>16</v>
      </c>
      <c r="AK16" s="360" t="s">
        <v>39</v>
      </c>
      <c r="AL16" s="360" t="s">
        <v>68</v>
      </c>
      <c r="AM16" s="164" t="s">
        <v>41</v>
      </c>
    </row>
    <row r="17" spans="2:42" s="121" customFormat="1" ht="49.5" customHeight="1" x14ac:dyDescent="0.25">
      <c r="B17" s="346"/>
      <c r="C17" s="349"/>
      <c r="D17" s="352"/>
      <c r="E17" s="352"/>
      <c r="F17" s="352"/>
      <c r="G17" s="200" t="s">
        <v>26</v>
      </c>
      <c r="H17" s="200" t="s">
        <v>30</v>
      </c>
      <c r="I17" s="199" t="s">
        <v>57</v>
      </c>
      <c r="J17" s="362" t="s">
        <v>67</v>
      </c>
      <c r="K17" s="363"/>
      <c r="L17" s="364"/>
      <c r="M17" s="199" t="s">
        <v>57</v>
      </c>
      <c r="N17" s="199" t="s">
        <v>66</v>
      </c>
      <c r="O17" s="352"/>
      <c r="P17" s="199" t="s">
        <v>55</v>
      </c>
      <c r="Q17" s="200" t="s">
        <v>27</v>
      </c>
      <c r="R17" s="365" t="s">
        <v>56</v>
      </c>
      <c r="S17" s="365"/>
      <c r="T17" s="366" t="s">
        <v>28</v>
      </c>
      <c r="U17" s="366"/>
      <c r="V17" s="379" t="s">
        <v>71</v>
      </c>
      <c r="W17" s="379" t="s">
        <v>15</v>
      </c>
      <c r="X17" s="358" t="s">
        <v>72</v>
      </c>
      <c r="Y17" s="358" t="s">
        <v>73</v>
      </c>
      <c r="Z17" s="198" t="s">
        <v>50</v>
      </c>
      <c r="AA17" s="198" t="s">
        <v>51</v>
      </c>
      <c r="AB17" s="358" t="s">
        <v>74</v>
      </c>
      <c r="AC17" s="358" t="s">
        <v>77</v>
      </c>
      <c r="AD17" s="376"/>
      <c r="AE17" s="361"/>
      <c r="AF17" s="361"/>
      <c r="AG17" s="365"/>
      <c r="AH17" s="365"/>
      <c r="AI17" s="361"/>
      <c r="AJ17" s="352"/>
      <c r="AK17" s="361"/>
      <c r="AL17" s="361"/>
      <c r="AM17" s="165" t="s">
        <v>42</v>
      </c>
    </row>
    <row r="18" spans="2:42" s="121" customFormat="1" ht="24" customHeight="1" x14ac:dyDescent="0.25">
      <c r="B18" s="346"/>
      <c r="C18" s="349"/>
      <c r="D18" s="352"/>
      <c r="E18" s="352"/>
      <c r="F18" s="352"/>
      <c r="G18" s="197" t="s">
        <v>70</v>
      </c>
      <c r="H18" s="197">
        <v>200</v>
      </c>
      <c r="I18" s="197" t="s">
        <v>70</v>
      </c>
      <c r="J18" s="198" t="s">
        <v>75</v>
      </c>
      <c r="K18" s="198" t="s">
        <v>49</v>
      </c>
      <c r="L18" s="198" t="s">
        <v>52</v>
      </c>
      <c r="M18" s="197" t="s">
        <v>76</v>
      </c>
      <c r="N18" s="197" t="s">
        <v>76</v>
      </c>
      <c r="O18" s="353"/>
      <c r="P18" s="198">
        <v>2.4</v>
      </c>
      <c r="Q18" s="197">
        <v>3.6</v>
      </c>
      <c r="R18" s="199">
        <v>2.4</v>
      </c>
      <c r="S18" s="199">
        <v>3.6</v>
      </c>
      <c r="T18" s="200">
        <v>3.6</v>
      </c>
      <c r="U18" s="200">
        <v>2.4</v>
      </c>
      <c r="V18" s="353"/>
      <c r="W18" s="353"/>
      <c r="X18" s="359"/>
      <c r="Y18" s="359"/>
      <c r="Z18" s="198"/>
      <c r="AA18" s="198"/>
      <c r="AB18" s="359"/>
      <c r="AC18" s="359"/>
      <c r="AD18" s="377"/>
      <c r="AE18" s="359"/>
      <c r="AF18" s="359"/>
      <c r="AG18" s="197" t="s">
        <v>36</v>
      </c>
      <c r="AH18" s="197" t="s">
        <v>37</v>
      </c>
      <c r="AI18" s="359"/>
      <c r="AJ18" s="353"/>
      <c r="AK18" s="359"/>
      <c r="AL18" s="359"/>
      <c r="AM18" s="166" t="s">
        <v>43</v>
      </c>
    </row>
    <row r="19" spans="2:42" s="144" customFormat="1" ht="25.5" customHeight="1" x14ac:dyDescent="0.25">
      <c r="B19" s="347"/>
      <c r="C19" s="350"/>
      <c r="D19" s="353"/>
      <c r="E19" s="353"/>
      <c r="F19" s="353"/>
      <c r="G19" s="197" t="s">
        <v>12</v>
      </c>
      <c r="H19" s="197" t="s">
        <v>12</v>
      </c>
      <c r="I19" s="197" t="s">
        <v>12</v>
      </c>
      <c r="J19" s="197" t="s">
        <v>12</v>
      </c>
      <c r="K19" s="197" t="s">
        <v>12</v>
      </c>
      <c r="L19" s="197" t="s">
        <v>12</v>
      </c>
      <c r="M19" s="197" t="s">
        <v>12</v>
      </c>
      <c r="N19" s="197" t="s">
        <v>12</v>
      </c>
      <c r="O19" s="167" t="s">
        <v>14</v>
      </c>
      <c r="P19" s="197" t="s">
        <v>12</v>
      </c>
      <c r="Q19" s="197" t="s">
        <v>12</v>
      </c>
      <c r="R19" s="197" t="s">
        <v>12</v>
      </c>
      <c r="S19" s="197" t="s">
        <v>12</v>
      </c>
      <c r="T19" s="197" t="s">
        <v>12</v>
      </c>
      <c r="U19" s="197" t="s">
        <v>12</v>
      </c>
      <c r="V19" s="168" t="s">
        <v>12</v>
      </c>
      <c r="W19" s="197" t="s">
        <v>12</v>
      </c>
      <c r="X19" s="169" t="s">
        <v>13</v>
      </c>
      <c r="Y19" s="169" t="s">
        <v>13</v>
      </c>
      <c r="Z19" s="169" t="s">
        <v>13</v>
      </c>
      <c r="AA19" s="169" t="s">
        <v>13</v>
      </c>
      <c r="AB19" s="169" t="s">
        <v>13</v>
      </c>
      <c r="AC19" s="169" t="s">
        <v>13</v>
      </c>
      <c r="AD19" s="169" t="s">
        <v>13</v>
      </c>
      <c r="AE19" s="169" t="s">
        <v>13</v>
      </c>
      <c r="AF19" s="168" t="s">
        <v>13</v>
      </c>
      <c r="AG19" s="197" t="s">
        <v>12</v>
      </c>
      <c r="AH19" s="197" t="s">
        <v>12</v>
      </c>
      <c r="AI19" s="200" t="s">
        <v>12</v>
      </c>
      <c r="AJ19" s="168" t="s">
        <v>14</v>
      </c>
      <c r="AK19" s="200"/>
      <c r="AL19" s="197"/>
      <c r="AM19" s="166"/>
    </row>
    <row r="20" spans="2:42" s="4" customFormat="1" ht="9.75" customHeight="1" x14ac:dyDescent="0.25">
      <c r="B20" s="27"/>
      <c r="C20" s="28"/>
      <c r="D20" s="28"/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30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32"/>
      <c r="AF20" s="29"/>
      <c r="AG20" s="28"/>
      <c r="AH20" s="33"/>
      <c r="AI20" s="33"/>
      <c r="AJ20" s="33"/>
      <c r="AK20" s="33"/>
      <c r="AL20" s="33"/>
      <c r="AM20" s="34"/>
    </row>
    <row r="21" spans="2:42" s="2" customFormat="1" ht="44.25" customHeight="1" x14ac:dyDescent="0.25">
      <c r="B21" s="318" t="str">
        <f>'JANUARY 2026 - PMC '!B21:D21</f>
        <v>Beginning Stock as of as of  January 1, 2026</v>
      </c>
      <c r="C21" s="319"/>
      <c r="D21" s="320"/>
      <c r="E21" s="64"/>
      <c r="F21" s="64"/>
      <c r="G21" s="132" t="e">
        <f>#REF!</f>
        <v>#REF!</v>
      </c>
      <c r="H21" s="132" t="e">
        <f>#REF!</f>
        <v>#REF!</v>
      </c>
      <c r="I21" s="132" t="e">
        <f>#REF!</f>
        <v>#REF!</v>
      </c>
      <c r="J21" s="132">
        <v>2301</v>
      </c>
      <c r="K21" s="132">
        <v>0</v>
      </c>
      <c r="L21" s="132">
        <v>0</v>
      </c>
      <c r="M21" s="132">
        <v>0</v>
      </c>
      <c r="N21" s="132">
        <v>0</v>
      </c>
      <c r="O21" s="171">
        <v>283.50000000000011</v>
      </c>
      <c r="P21" s="132">
        <v>0</v>
      </c>
      <c r="Q21" s="132">
        <v>0</v>
      </c>
      <c r="R21" s="132">
        <v>0</v>
      </c>
      <c r="S21" s="132">
        <v>0</v>
      </c>
      <c r="T21" s="132">
        <v>756</v>
      </c>
      <c r="U21" s="132">
        <v>3</v>
      </c>
      <c r="V21" s="132">
        <v>118</v>
      </c>
      <c r="W21" s="132">
        <v>54</v>
      </c>
      <c r="X21" s="132">
        <v>519</v>
      </c>
      <c r="Y21" s="132">
        <v>0</v>
      </c>
      <c r="Z21" s="132">
        <v>0</v>
      </c>
      <c r="AA21" s="132">
        <v>0</v>
      </c>
      <c r="AB21" s="132">
        <v>0</v>
      </c>
      <c r="AC21" s="132">
        <v>0</v>
      </c>
      <c r="AD21" s="132">
        <v>0</v>
      </c>
      <c r="AE21" s="132">
        <v>286.74000000000007</v>
      </c>
      <c r="AF21" s="132">
        <v>300</v>
      </c>
      <c r="AG21" s="132">
        <v>0</v>
      </c>
      <c r="AH21" s="132">
        <v>0</v>
      </c>
      <c r="AI21" s="132">
        <v>41</v>
      </c>
      <c r="AJ21" s="132" t="e">
        <f>#REF!</f>
        <v>#REF!</v>
      </c>
      <c r="AK21" s="132" t="e">
        <f>#REF!</f>
        <v>#REF!</v>
      </c>
      <c r="AL21" s="132" t="e">
        <f>#REF!</f>
        <v>#REF!</v>
      </c>
      <c r="AM21" s="145"/>
    </row>
    <row r="22" spans="2:42" s="2" customFormat="1" ht="5.25" customHeight="1" x14ac:dyDescent="0.25">
      <c r="B22" s="146"/>
      <c r="C22" s="62"/>
      <c r="D22" s="62"/>
      <c r="E22" s="38"/>
      <c r="F22" s="38"/>
      <c r="G22" s="147"/>
      <c r="H22" s="147"/>
      <c r="I22" s="147"/>
      <c r="J22" s="147"/>
      <c r="K22" s="147"/>
      <c r="L22" s="147"/>
      <c r="M22" s="147"/>
      <c r="N22" s="147"/>
      <c r="O22" s="39"/>
      <c r="P22" s="148"/>
      <c r="Q22" s="148"/>
      <c r="R22" s="148"/>
      <c r="S22" s="148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39"/>
      <c r="AE22" s="39"/>
      <c r="AF22" s="147"/>
      <c r="AG22" s="39"/>
      <c r="AH22" s="39"/>
      <c r="AI22" s="39"/>
      <c r="AJ22" s="147"/>
      <c r="AK22" s="147"/>
      <c r="AL22" s="149"/>
      <c r="AM22" s="145"/>
    </row>
    <row r="23" spans="2:42" s="13" customFormat="1" ht="34.5" customHeight="1" x14ac:dyDescent="0.25">
      <c r="B23" s="193"/>
      <c r="C23" s="150" t="s">
        <v>139</v>
      </c>
      <c r="D23" s="40" t="s">
        <v>80</v>
      </c>
      <c r="E23" s="40" t="s">
        <v>33</v>
      </c>
      <c r="F23" s="40" t="s">
        <v>60</v>
      </c>
      <c r="G23" s="147"/>
      <c r="H23" s="147"/>
      <c r="I23" s="147"/>
      <c r="J23" s="147">
        <f>10*215</f>
        <v>2150</v>
      </c>
      <c r="K23" s="147"/>
      <c r="L23" s="147"/>
      <c r="M23" s="147"/>
      <c r="N23" s="147"/>
      <c r="O23" s="147">
        <f>20*25</f>
        <v>500</v>
      </c>
      <c r="P23" s="147"/>
      <c r="Q23" s="147"/>
      <c r="R23" s="147"/>
      <c r="S23" s="147"/>
      <c r="T23" s="147">
        <v>670</v>
      </c>
      <c r="U23" s="147">
        <v>260</v>
      </c>
      <c r="V23" s="147">
        <v>100</v>
      </c>
      <c r="W23" s="147"/>
      <c r="X23" s="147"/>
      <c r="Y23" s="147"/>
      <c r="Z23" s="147"/>
      <c r="AA23" s="147"/>
      <c r="AB23" s="147"/>
      <c r="AC23" s="147"/>
      <c r="AD23" s="147"/>
      <c r="AE23" s="39">
        <f>V23*2.43</f>
        <v>243.00000000000003</v>
      </c>
      <c r="AF23" s="147"/>
      <c r="AG23" s="147"/>
      <c r="AH23" s="147"/>
      <c r="AI23" s="147"/>
      <c r="AJ23" s="147"/>
      <c r="AK23" s="147"/>
      <c r="AL23" s="149"/>
      <c r="AM23" s="151" t="s">
        <v>44</v>
      </c>
    </row>
    <row r="24" spans="2:42" s="13" customFormat="1" ht="34.5" customHeight="1" x14ac:dyDescent="0.25">
      <c r="B24" s="193"/>
      <c r="C24" s="150" t="s">
        <v>138</v>
      </c>
      <c r="D24" s="40" t="s">
        <v>80</v>
      </c>
      <c r="E24" s="40" t="s">
        <v>33</v>
      </c>
      <c r="F24" s="40" t="s">
        <v>60</v>
      </c>
      <c r="G24" s="147"/>
      <c r="H24" s="147"/>
      <c r="I24" s="147"/>
      <c r="J24" s="147">
        <f>15*215</f>
        <v>3225</v>
      </c>
      <c r="K24" s="147"/>
      <c r="L24" s="147"/>
      <c r="M24" s="147"/>
      <c r="N24" s="147"/>
      <c r="O24" s="147">
        <f>15*25</f>
        <v>375</v>
      </c>
      <c r="P24" s="147"/>
      <c r="Q24" s="147"/>
      <c r="R24" s="147"/>
      <c r="S24" s="147"/>
      <c r="T24" s="147">
        <v>480</v>
      </c>
      <c r="U24" s="147">
        <v>500</v>
      </c>
      <c r="V24" s="147">
        <v>100</v>
      </c>
      <c r="W24" s="147"/>
      <c r="X24" s="147">
        <v>900</v>
      </c>
      <c r="Y24" s="147"/>
      <c r="Z24" s="147"/>
      <c r="AA24" s="147"/>
      <c r="AB24" s="147"/>
      <c r="AC24" s="147"/>
      <c r="AD24" s="147"/>
      <c r="AE24" s="39">
        <f>V24*2.43</f>
        <v>243.00000000000003</v>
      </c>
      <c r="AF24" s="147"/>
      <c r="AG24" s="147"/>
      <c r="AH24" s="147"/>
      <c r="AI24" s="147"/>
      <c r="AJ24" s="147"/>
      <c r="AK24" s="147"/>
      <c r="AL24" s="149"/>
      <c r="AM24" s="151" t="s">
        <v>44</v>
      </c>
    </row>
    <row r="25" spans="2:42" s="2" customFormat="1" ht="34.5" customHeight="1" x14ac:dyDescent="0.25">
      <c r="B25" s="41" t="s">
        <v>34</v>
      </c>
      <c r="C25" s="152"/>
      <c r="D25" s="153"/>
      <c r="E25" s="38"/>
      <c r="F25" s="38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9"/>
      <c r="AM25" s="145"/>
    </row>
    <row r="26" spans="2:42" s="2" customFormat="1" ht="34.5" customHeight="1" x14ac:dyDescent="0.25">
      <c r="B26" s="41" t="s">
        <v>35</v>
      </c>
      <c r="C26" s="40"/>
      <c r="D26" s="38"/>
      <c r="E26" s="38"/>
      <c r="F26" s="38"/>
      <c r="G26" s="147"/>
      <c r="H26" s="147"/>
      <c r="I26" s="147"/>
      <c r="J26" s="147"/>
      <c r="K26" s="147"/>
      <c r="L26" s="147"/>
      <c r="M26" s="147"/>
      <c r="N26" s="147"/>
      <c r="O26" s="39"/>
      <c r="P26" s="39"/>
      <c r="Q26" s="39"/>
      <c r="R26" s="39"/>
      <c r="S26" s="39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39"/>
      <c r="AE26" s="39"/>
      <c r="AF26" s="147"/>
      <c r="AG26" s="39"/>
      <c r="AH26" s="39"/>
      <c r="AI26" s="39"/>
      <c r="AJ26" s="147"/>
      <c r="AK26" s="147"/>
      <c r="AL26" s="149"/>
      <c r="AM26" s="145"/>
    </row>
    <row r="27" spans="2:42" s="13" customFormat="1" ht="29.25" customHeight="1" x14ac:dyDescent="0.25">
      <c r="B27" s="154" t="s">
        <v>17</v>
      </c>
      <c r="C27" s="155"/>
      <c r="D27" s="104"/>
      <c r="E27" s="104"/>
      <c r="F27" s="104"/>
      <c r="G27" s="132" t="e">
        <f t="shared" ref="G27:AL27" si="0">SUM(G21:G26)</f>
        <v>#REF!</v>
      </c>
      <c r="H27" s="132" t="e">
        <f t="shared" si="0"/>
        <v>#REF!</v>
      </c>
      <c r="I27" s="132" t="e">
        <f t="shared" si="0"/>
        <v>#REF!</v>
      </c>
      <c r="J27" s="132">
        <f>SUM(J21:J26)</f>
        <v>7676</v>
      </c>
      <c r="K27" s="132">
        <f t="shared" si="0"/>
        <v>0</v>
      </c>
      <c r="L27" s="132">
        <f t="shared" si="0"/>
        <v>0</v>
      </c>
      <c r="M27" s="132">
        <f t="shared" si="0"/>
        <v>0</v>
      </c>
      <c r="N27" s="132">
        <f t="shared" si="0"/>
        <v>0</v>
      </c>
      <c r="O27" s="171">
        <f t="shared" si="0"/>
        <v>1158.5</v>
      </c>
      <c r="P27" s="132">
        <f t="shared" si="0"/>
        <v>0</v>
      </c>
      <c r="Q27" s="132">
        <f t="shared" si="0"/>
        <v>0</v>
      </c>
      <c r="R27" s="132">
        <f t="shared" si="0"/>
        <v>0</v>
      </c>
      <c r="S27" s="132">
        <f t="shared" si="0"/>
        <v>0</v>
      </c>
      <c r="T27" s="132">
        <f t="shared" si="0"/>
        <v>1906</v>
      </c>
      <c r="U27" s="132">
        <f t="shared" si="0"/>
        <v>763</v>
      </c>
      <c r="V27" s="132">
        <f t="shared" si="0"/>
        <v>318</v>
      </c>
      <c r="W27" s="132">
        <f t="shared" si="0"/>
        <v>54</v>
      </c>
      <c r="X27" s="132">
        <f t="shared" si="0"/>
        <v>1419</v>
      </c>
      <c r="Y27" s="132">
        <f t="shared" si="0"/>
        <v>0</v>
      </c>
      <c r="Z27" s="132">
        <f t="shared" si="0"/>
        <v>0</v>
      </c>
      <c r="AA27" s="132">
        <f t="shared" si="0"/>
        <v>0</v>
      </c>
      <c r="AB27" s="132">
        <f t="shared" si="0"/>
        <v>0</v>
      </c>
      <c r="AC27" s="132">
        <f t="shared" si="0"/>
        <v>0</v>
      </c>
      <c r="AD27" s="132">
        <f t="shared" si="0"/>
        <v>0</v>
      </c>
      <c r="AE27" s="171">
        <f>SUM(AE21:AE26)</f>
        <v>772.74000000000012</v>
      </c>
      <c r="AF27" s="132">
        <f t="shared" si="0"/>
        <v>300</v>
      </c>
      <c r="AG27" s="132">
        <f t="shared" si="0"/>
        <v>0</v>
      </c>
      <c r="AH27" s="132">
        <f t="shared" si="0"/>
        <v>0</v>
      </c>
      <c r="AI27" s="132">
        <f t="shared" si="0"/>
        <v>41</v>
      </c>
      <c r="AJ27" s="132" t="e">
        <f t="shared" si="0"/>
        <v>#REF!</v>
      </c>
      <c r="AK27" s="132" t="e">
        <f t="shared" si="0"/>
        <v>#REF!</v>
      </c>
      <c r="AL27" s="132" t="e">
        <f t="shared" si="0"/>
        <v>#REF!</v>
      </c>
      <c r="AM27" s="156"/>
    </row>
    <row r="28" spans="2:42" s="13" customFormat="1" ht="29.25" customHeight="1" x14ac:dyDescent="0.25">
      <c r="B28" s="368" t="s">
        <v>18</v>
      </c>
      <c r="C28" s="369"/>
      <c r="D28" s="39"/>
      <c r="E28" s="39"/>
      <c r="F28" s="39"/>
      <c r="G28" s="147"/>
      <c r="H28" s="147"/>
      <c r="I28" s="147"/>
      <c r="J28" s="147"/>
      <c r="K28" s="147"/>
      <c r="L28" s="147"/>
      <c r="M28" s="147"/>
      <c r="N28" s="147"/>
      <c r="O28" s="39"/>
      <c r="P28" s="39"/>
      <c r="Q28" s="39"/>
      <c r="R28" s="39"/>
      <c r="S28" s="39"/>
      <c r="T28" s="147"/>
      <c r="U28" s="147"/>
      <c r="V28" s="147"/>
      <c r="W28" s="39"/>
      <c r="X28" s="147"/>
      <c r="Y28" s="147"/>
      <c r="Z28" s="147"/>
      <c r="AA28" s="147"/>
      <c r="AB28" s="147"/>
      <c r="AC28" s="147"/>
      <c r="AD28" s="147"/>
      <c r="AE28" s="39"/>
      <c r="AF28" s="147"/>
      <c r="AG28" s="39"/>
      <c r="AH28" s="39"/>
      <c r="AI28" s="39"/>
      <c r="AJ28" s="157"/>
      <c r="AK28" s="157"/>
      <c r="AL28" s="149"/>
      <c r="AM28" s="156"/>
    </row>
    <row r="29" spans="2:42" s="13" customFormat="1" ht="107.25" customHeight="1" x14ac:dyDescent="0.25">
      <c r="B29" s="370" t="s">
        <v>83</v>
      </c>
      <c r="C29" s="371"/>
      <c r="D29" s="372" t="s">
        <v>82</v>
      </c>
      <c r="E29" s="373"/>
      <c r="F29" s="374"/>
      <c r="G29" s="158" t="e">
        <f>SUM(G23:G28)</f>
        <v>#REF!</v>
      </c>
      <c r="H29" s="158" t="e">
        <f>SUM(H23:H28)</f>
        <v>#REF!</v>
      </c>
      <c r="I29" s="158" t="e">
        <f>SUM(I23:I28)</f>
        <v>#REF!</v>
      </c>
      <c r="J29" s="158">
        <v>3128</v>
      </c>
      <c r="K29" s="158"/>
      <c r="L29" s="158"/>
      <c r="M29" s="158"/>
      <c r="N29" s="158"/>
      <c r="O29" s="159">
        <v>375.6</v>
      </c>
      <c r="P29" s="158"/>
      <c r="Q29" s="158"/>
      <c r="R29" s="158"/>
      <c r="S29" s="158"/>
      <c r="T29" s="158">
        <v>773</v>
      </c>
      <c r="U29" s="158">
        <v>175</v>
      </c>
      <c r="V29" s="158">
        <v>84</v>
      </c>
      <c r="W29" s="158">
        <v>0</v>
      </c>
      <c r="X29" s="158">
        <v>328</v>
      </c>
      <c r="Y29" s="158"/>
      <c r="Z29" s="158"/>
      <c r="AA29" s="158"/>
      <c r="AB29" s="158"/>
      <c r="AC29" s="158">
        <v>0</v>
      </c>
      <c r="AD29" s="158"/>
      <c r="AE29" s="159">
        <f>V29*2.43</f>
        <v>204.12</v>
      </c>
      <c r="AF29" s="158">
        <v>0</v>
      </c>
      <c r="AG29" s="158"/>
      <c r="AH29" s="158"/>
      <c r="AI29" s="158">
        <v>3</v>
      </c>
      <c r="AJ29" s="160"/>
      <c r="AK29" s="160"/>
      <c r="AL29" s="160"/>
      <c r="AM29" s="156"/>
    </row>
    <row r="30" spans="2:42" s="13" customFormat="1" ht="45.75" customHeight="1" thickBot="1" x14ac:dyDescent="0.3">
      <c r="B30" s="125" t="s">
        <v>127</v>
      </c>
      <c r="C30" s="161" t="str">
        <f>'JANUARY 2026 - PMC '!B38</f>
        <v>Remaining Stock as of January 31,2026</v>
      </c>
      <c r="D30" s="63"/>
      <c r="E30" s="63"/>
      <c r="F30" s="63"/>
      <c r="G30" s="128" t="e">
        <f t="shared" ref="G30:AL30" si="1">G27-G29</f>
        <v>#REF!</v>
      </c>
      <c r="H30" s="128" t="e">
        <f t="shared" si="1"/>
        <v>#REF!</v>
      </c>
      <c r="I30" s="128" t="e">
        <f t="shared" si="1"/>
        <v>#REF!</v>
      </c>
      <c r="J30" s="128">
        <f>J27-J29</f>
        <v>4548</v>
      </c>
      <c r="K30" s="128">
        <f t="shared" si="1"/>
        <v>0</v>
      </c>
      <c r="L30" s="128">
        <f t="shared" si="1"/>
        <v>0</v>
      </c>
      <c r="M30" s="128">
        <f t="shared" si="1"/>
        <v>0</v>
      </c>
      <c r="N30" s="128">
        <f t="shared" si="1"/>
        <v>0</v>
      </c>
      <c r="O30" s="162">
        <f t="shared" si="1"/>
        <v>782.9</v>
      </c>
      <c r="P30" s="128">
        <f t="shared" si="1"/>
        <v>0</v>
      </c>
      <c r="Q30" s="128">
        <f t="shared" si="1"/>
        <v>0</v>
      </c>
      <c r="R30" s="128">
        <f t="shared" si="1"/>
        <v>0</v>
      </c>
      <c r="S30" s="128">
        <f t="shared" si="1"/>
        <v>0</v>
      </c>
      <c r="T30" s="128">
        <f t="shared" si="1"/>
        <v>1133</v>
      </c>
      <c r="U30" s="128">
        <f t="shared" si="1"/>
        <v>588</v>
      </c>
      <c r="V30" s="128">
        <f>V27-V29</f>
        <v>234</v>
      </c>
      <c r="W30" s="128">
        <f t="shared" si="1"/>
        <v>54</v>
      </c>
      <c r="X30" s="128">
        <f t="shared" si="1"/>
        <v>1091</v>
      </c>
      <c r="Y30" s="128">
        <f t="shared" si="1"/>
        <v>0</v>
      </c>
      <c r="Z30" s="128">
        <f t="shared" si="1"/>
        <v>0</v>
      </c>
      <c r="AA30" s="128">
        <f t="shared" si="1"/>
        <v>0</v>
      </c>
      <c r="AB30" s="128">
        <f t="shared" si="1"/>
        <v>0</v>
      </c>
      <c r="AC30" s="128">
        <f t="shared" si="1"/>
        <v>0</v>
      </c>
      <c r="AD30" s="128">
        <f t="shared" si="1"/>
        <v>0</v>
      </c>
      <c r="AE30" s="162">
        <f t="shared" si="1"/>
        <v>568.62000000000012</v>
      </c>
      <c r="AF30" s="128">
        <f t="shared" si="1"/>
        <v>300</v>
      </c>
      <c r="AG30" s="128">
        <f t="shared" si="1"/>
        <v>0</v>
      </c>
      <c r="AH30" s="128">
        <f t="shared" si="1"/>
        <v>0</v>
      </c>
      <c r="AI30" s="128">
        <f t="shared" si="1"/>
        <v>38</v>
      </c>
      <c r="AJ30" s="128" t="e">
        <f t="shared" si="1"/>
        <v>#REF!</v>
      </c>
      <c r="AK30" s="128" t="e">
        <f t="shared" si="1"/>
        <v>#REF!</v>
      </c>
      <c r="AL30" s="128" t="e">
        <f t="shared" si="1"/>
        <v>#REF!</v>
      </c>
      <c r="AM30" s="163"/>
    </row>
    <row r="31" spans="2:42" ht="32.25" customHeight="1" x14ac:dyDescent="0.3">
      <c r="G31" s="16"/>
      <c r="H31" s="16"/>
      <c r="I31" s="16"/>
      <c r="J31" s="119"/>
      <c r="K31" s="119"/>
      <c r="L31" s="119"/>
      <c r="M31" s="119"/>
      <c r="N31" s="119"/>
      <c r="O31" s="120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20"/>
      <c r="AF31" s="119"/>
      <c r="AG31" s="119"/>
      <c r="AH31" s="119"/>
      <c r="AI31" s="119"/>
      <c r="AJ31" s="16"/>
      <c r="AK31" s="16"/>
      <c r="AL31" s="16"/>
      <c r="AP31" s="18"/>
    </row>
    <row r="32" spans="2:42" ht="9" customHeight="1" x14ac:dyDescent="0.3">
      <c r="J32" s="121"/>
      <c r="K32" s="122"/>
      <c r="L32" s="121"/>
      <c r="M32" s="121"/>
      <c r="N32" s="121"/>
      <c r="O32" s="121"/>
      <c r="P32" s="123"/>
      <c r="Q32" s="123"/>
      <c r="R32" s="123"/>
      <c r="S32" s="123"/>
      <c r="T32" s="123"/>
      <c r="U32" s="123"/>
      <c r="V32" s="124"/>
      <c r="W32" s="121"/>
      <c r="X32" s="121"/>
      <c r="Y32" s="121"/>
      <c r="Z32" s="121"/>
      <c r="AA32" s="121"/>
      <c r="AB32" s="121"/>
      <c r="AC32" s="121"/>
      <c r="AD32" s="121"/>
      <c r="AE32" s="120"/>
      <c r="AF32" s="124"/>
      <c r="AG32" s="121"/>
      <c r="AH32" s="121"/>
      <c r="AI32" s="121"/>
    </row>
    <row r="33" spans="2:40" ht="9" customHeight="1" x14ac:dyDescent="0.3">
      <c r="K33" s="20"/>
      <c r="P33" s="17"/>
      <c r="Q33" s="17"/>
      <c r="R33" s="17"/>
      <c r="S33" s="17"/>
      <c r="T33" s="17"/>
      <c r="U33" s="17"/>
      <c r="V33" s="21"/>
      <c r="AE33" s="19"/>
      <c r="AF33" s="21"/>
    </row>
    <row r="34" spans="2:40" ht="9" customHeight="1" x14ac:dyDescent="0.3">
      <c r="K34" s="20"/>
      <c r="P34" s="17"/>
      <c r="Q34" s="17"/>
      <c r="R34" s="17"/>
      <c r="S34" s="17"/>
      <c r="T34" s="17"/>
      <c r="U34" s="17"/>
      <c r="V34" s="21"/>
      <c r="AE34" s="19"/>
      <c r="AF34" s="21"/>
    </row>
    <row r="35" spans="2:40" s="24" customFormat="1" ht="32.1" customHeight="1" x14ac:dyDescent="0.35">
      <c r="B35" s="194"/>
      <c r="C35" s="194" t="s">
        <v>45</v>
      </c>
      <c r="D35" s="194"/>
      <c r="E35" s="194"/>
      <c r="F35" s="194"/>
      <c r="G35" s="194"/>
      <c r="H35" s="194"/>
      <c r="J35" s="194" t="s">
        <v>19</v>
      </c>
      <c r="K35" s="194"/>
      <c r="L35" s="194"/>
      <c r="O35" s="195" t="s">
        <v>54</v>
      </c>
      <c r="P35" s="116"/>
      <c r="Q35" s="116"/>
      <c r="R35" s="195"/>
      <c r="S35" s="195"/>
      <c r="T35" s="116"/>
      <c r="U35" s="109"/>
      <c r="V35" s="195" t="s">
        <v>90</v>
      </c>
      <c r="W35" s="195"/>
      <c r="X35" s="116"/>
      <c r="Y35" s="116"/>
      <c r="Z35" s="194"/>
      <c r="AA35" s="194"/>
      <c r="AB35" s="194"/>
      <c r="AD35" s="194"/>
      <c r="AE35" s="194" t="s">
        <v>20</v>
      </c>
      <c r="AF35" s="194"/>
      <c r="AG35" s="194"/>
      <c r="AH35" s="194" t="s">
        <v>20</v>
      </c>
      <c r="AI35" s="194"/>
      <c r="AJ35" s="194"/>
      <c r="AK35" s="194"/>
      <c r="AL35" s="194"/>
      <c r="AM35" s="82"/>
      <c r="AN35" s="194"/>
    </row>
    <row r="36" spans="2:40" s="24" customFormat="1" ht="32.1" customHeight="1" x14ac:dyDescent="0.35">
      <c r="B36" s="194"/>
      <c r="C36" s="367" t="s">
        <v>38</v>
      </c>
      <c r="D36" s="367"/>
      <c r="E36" s="367"/>
      <c r="F36" s="367"/>
      <c r="G36" s="367"/>
      <c r="H36" s="194"/>
      <c r="J36" s="194"/>
      <c r="K36" s="22"/>
      <c r="L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</row>
    <row r="37" spans="2:40" s="24" customFormat="1" ht="32.1" customHeight="1" x14ac:dyDescent="0.35">
      <c r="B37" s="194"/>
      <c r="C37" s="194"/>
      <c r="D37" s="194"/>
      <c r="E37" s="194"/>
      <c r="F37" s="194"/>
      <c r="G37" s="194"/>
      <c r="H37" s="194"/>
      <c r="J37" s="194"/>
      <c r="K37" s="22"/>
      <c r="L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</row>
    <row r="38" spans="2:40" s="24" customFormat="1" ht="32.1" customHeight="1" x14ac:dyDescent="0.35">
      <c r="B38" s="194"/>
      <c r="C38" s="194" t="s">
        <v>21</v>
      </c>
      <c r="D38" s="195"/>
      <c r="E38" s="194"/>
      <c r="F38" s="194"/>
      <c r="H38" s="194"/>
      <c r="J38" s="194" t="s">
        <v>64</v>
      </c>
      <c r="K38" s="195"/>
      <c r="L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82"/>
      <c r="Z38" s="195"/>
      <c r="AA38" s="195"/>
      <c r="AB38" s="195"/>
      <c r="AC38" s="143"/>
      <c r="AD38" s="195"/>
      <c r="AE38" s="178" t="s">
        <v>100</v>
      </c>
      <c r="AF38" s="195"/>
      <c r="AG38" s="195"/>
      <c r="AH38" s="195"/>
      <c r="AI38" s="195"/>
      <c r="AJ38" s="195"/>
      <c r="AK38" s="195"/>
      <c r="AL38" s="195"/>
      <c r="AM38" s="195"/>
      <c r="AN38" s="195"/>
    </row>
    <row r="39" spans="2:40" s="24" customFormat="1" ht="32.1" customHeight="1" x14ac:dyDescent="0.35">
      <c r="B39" s="194"/>
      <c r="C39" s="194" t="s">
        <v>22</v>
      </c>
      <c r="D39" s="23"/>
      <c r="E39" s="194"/>
      <c r="F39" s="194"/>
      <c r="H39" s="194"/>
      <c r="J39" s="194" t="s">
        <v>25</v>
      </c>
      <c r="K39" s="194"/>
      <c r="L39" s="194"/>
      <c r="N39" s="194"/>
      <c r="O39" s="194"/>
      <c r="P39" s="194"/>
      <c r="Q39" s="194"/>
      <c r="R39" s="194"/>
      <c r="S39" s="194"/>
      <c r="T39" s="194"/>
      <c r="U39" s="194"/>
      <c r="V39" s="194"/>
      <c r="W39" s="1"/>
      <c r="X39" s="194"/>
      <c r="Z39" s="194"/>
      <c r="AA39" s="194"/>
      <c r="AB39" s="194"/>
      <c r="AD39" s="194"/>
      <c r="AE39" s="176" t="s">
        <v>120</v>
      </c>
      <c r="AF39" s="1"/>
      <c r="AG39" s="1"/>
      <c r="AH39" s="1"/>
      <c r="AI39" s="1"/>
      <c r="AJ39" s="1"/>
      <c r="AK39" s="1"/>
      <c r="AL39" s="1"/>
      <c r="AM39" s="1"/>
      <c r="AN39" s="194"/>
    </row>
    <row r="40" spans="2:40" s="24" customFormat="1" ht="32.1" customHeight="1" x14ac:dyDescent="0.35">
      <c r="B40" s="194"/>
      <c r="C40" s="194" t="s">
        <v>23</v>
      </c>
      <c r="D40" s="23"/>
      <c r="E40" s="194"/>
      <c r="F40" s="194"/>
      <c r="H40" s="194"/>
      <c r="J40" s="194" t="s">
        <v>78</v>
      </c>
      <c r="K40" s="194"/>
      <c r="L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Z40" s="194"/>
      <c r="AA40" s="194"/>
      <c r="AB40" s="194"/>
      <c r="AD40" s="194"/>
      <c r="AE40" s="176" t="s">
        <v>121</v>
      </c>
      <c r="AF40" s="194"/>
      <c r="AG40" s="194"/>
      <c r="AH40" s="194"/>
      <c r="AI40" s="194"/>
      <c r="AJ40" s="194"/>
      <c r="AK40" s="194"/>
      <c r="AL40" s="194"/>
      <c r="AM40" s="194"/>
      <c r="AN40" s="194"/>
    </row>
    <row r="41" spans="2:40" s="24" customFormat="1" ht="32.1" customHeight="1" x14ac:dyDescent="0.35">
      <c r="B41" s="194"/>
      <c r="C41" s="194" t="s">
        <v>24</v>
      </c>
      <c r="D41" s="23"/>
      <c r="E41" s="194"/>
      <c r="F41" s="194"/>
      <c r="H41" s="194"/>
      <c r="J41" s="194" t="s">
        <v>63</v>
      </c>
      <c r="K41" s="194"/>
      <c r="L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Z41" s="194"/>
      <c r="AA41" s="194"/>
      <c r="AB41" s="194"/>
      <c r="AD41" s="194"/>
      <c r="AE41" s="176" t="s">
        <v>122</v>
      </c>
      <c r="AF41" s="194"/>
      <c r="AG41" s="194"/>
      <c r="AH41" s="194"/>
      <c r="AI41" s="194"/>
      <c r="AJ41" s="194"/>
      <c r="AK41" s="194"/>
      <c r="AL41" s="194"/>
      <c r="AM41" s="194"/>
      <c r="AN41" s="194"/>
    </row>
    <row r="42" spans="2:40" s="24" customFormat="1" ht="32.1" customHeight="1" x14ac:dyDescent="0.35">
      <c r="AD42" s="194"/>
      <c r="AE42" s="194"/>
    </row>
    <row r="43" spans="2:40" s="24" customFormat="1" ht="32.1" customHeight="1" x14ac:dyDescent="0.35">
      <c r="AD43" s="194"/>
      <c r="AE43" s="194"/>
    </row>
    <row r="44" spans="2:40" s="24" customFormat="1" ht="32.1" customHeight="1" x14ac:dyDescent="0.35">
      <c r="AD44" s="1"/>
    </row>
    <row r="45" spans="2:40" s="24" customFormat="1" ht="32.1" customHeight="1" x14ac:dyDescent="0.35"/>
    <row r="46" spans="2:40" s="25" customFormat="1" ht="20.25" x14ac:dyDescent="0.3"/>
    <row r="47" spans="2:40" s="25" customFormat="1" ht="20.25" x14ac:dyDescent="0.3"/>
    <row r="48" spans="2:40" s="25" customFormat="1" ht="20.25" x14ac:dyDescent="0.3"/>
    <row r="49" s="25" customFormat="1" ht="20.25" x14ac:dyDescent="0.3"/>
    <row r="50" s="25" customFormat="1" ht="20.25" x14ac:dyDescent="0.3"/>
    <row r="51" s="25" customFormat="1" ht="20.25" x14ac:dyDescent="0.3"/>
    <row r="52" s="25" customFormat="1" ht="20.25" x14ac:dyDescent="0.3"/>
    <row r="53" s="25" customFormat="1" ht="20.25" x14ac:dyDescent="0.3"/>
    <row r="54" s="25" customFormat="1" ht="20.25" x14ac:dyDescent="0.3"/>
    <row r="55" s="25" customFormat="1" ht="20.25" x14ac:dyDescent="0.3"/>
    <row r="56" s="25" customFormat="1" ht="20.25" x14ac:dyDescent="0.3"/>
    <row r="57" s="25" customFormat="1" ht="20.25" x14ac:dyDescent="0.3"/>
    <row r="58" s="25" customFormat="1" ht="20.25" x14ac:dyDescent="0.3"/>
    <row r="59" s="25" customFormat="1" ht="20.25" x14ac:dyDescent="0.3"/>
    <row r="60" s="25" customFormat="1" ht="20.25" x14ac:dyDescent="0.3"/>
    <row r="61" s="25" customFormat="1" ht="20.25" x14ac:dyDescent="0.3"/>
    <row r="62" s="25" customFormat="1" ht="20.25" x14ac:dyDescent="0.3"/>
    <row r="63" s="25" customFormat="1" ht="20.25" x14ac:dyDescent="0.3"/>
    <row r="64" s="25" customFormat="1" ht="20.25" x14ac:dyDescent="0.3"/>
  </sheetData>
  <mergeCells count="38">
    <mergeCell ref="C36:G36"/>
    <mergeCell ref="AJ16:AJ18"/>
    <mergeCell ref="B21:D21"/>
    <mergeCell ref="B28:C28"/>
    <mergeCell ref="B29:C29"/>
    <mergeCell ref="D29:F29"/>
    <mergeCell ref="AD16:AD18"/>
    <mergeCell ref="AE16:AE18"/>
    <mergeCell ref="AF16:AF18"/>
    <mergeCell ref="AG16:AH17"/>
    <mergeCell ref="AI16:AI18"/>
    <mergeCell ref="V17:V18"/>
    <mergeCell ref="W17:W18"/>
    <mergeCell ref="X17:X18"/>
    <mergeCell ref="Y17:Y18"/>
    <mergeCell ref="AB17:AB18"/>
    <mergeCell ref="B8:AM8"/>
    <mergeCell ref="B16:B19"/>
    <mergeCell ref="C16:C19"/>
    <mergeCell ref="D16:D19"/>
    <mergeCell ref="E16:E19"/>
    <mergeCell ref="F16:F19"/>
    <mergeCell ref="G16:N16"/>
    <mergeCell ref="O16:O18"/>
    <mergeCell ref="P16:W16"/>
    <mergeCell ref="X16:AC16"/>
    <mergeCell ref="AC17:AC18"/>
    <mergeCell ref="AK16:AK18"/>
    <mergeCell ref="AL16:AL18"/>
    <mergeCell ref="J17:L17"/>
    <mergeCell ref="R17:S17"/>
    <mergeCell ref="T17:U17"/>
    <mergeCell ref="B7:AM7"/>
    <mergeCell ref="B1:AM1"/>
    <mergeCell ref="B2:AM2"/>
    <mergeCell ref="B3:AM3"/>
    <mergeCell ref="B4:AM4"/>
    <mergeCell ref="B6:AM6"/>
  </mergeCells>
  <pageMargins left="0.39370078740157483" right="3.937007874015748E-2" top="0.43307086614173229" bottom="0.31496062992125984" header="0.31496062992125984" footer="0.31496062992125984"/>
  <pageSetup paperSize="14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AX65"/>
  <sheetViews>
    <sheetView topLeftCell="B4" zoomScale="69" zoomScaleNormal="69" workbookViewId="0">
      <selection activeCell="AS31" sqref="AS31"/>
    </sheetView>
  </sheetViews>
  <sheetFormatPr defaultRowHeight="16.5" x14ac:dyDescent="0.3"/>
  <cols>
    <col min="1" max="1" width="1.28515625" style="3" hidden="1" customWidth="1"/>
    <col min="2" max="2" width="13.28515625" style="3" customWidth="1"/>
    <col min="3" max="3" width="16" style="3" customWidth="1"/>
    <col min="4" max="4" width="42.140625" style="3" customWidth="1"/>
    <col min="5" max="5" width="28.7109375" style="3" customWidth="1"/>
    <col min="6" max="6" width="28" style="3" customWidth="1"/>
    <col min="7" max="7" width="9.85546875" style="3" hidden="1" customWidth="1"/>
    <col min="8" max="8" width="11" style="3" hidden="1" customWidth="1"/>
    <col min="9" max="9" width="12.28515625" style="3" hidden="1" customWidth="1"/>
    <col min="10" max="10" width="17" style="3" hidden="1" customWidth="1"/>
    <col min="11" max="11" width="16.7109375" style="3" hidden="1" customWidth="1"/>
    <col min="12" max="12" width="12.28515625" style="3" hidden="1" customWidth="1"/>
    <col min="13" max="13" width="10.85546875" style="3" hidden="1" customWidth="1"/>
    <col min="14" max="14" width="14.7109375" style="3" hidden="1" customWidth="1"/>
    <col min="15" max="15" width="11.85546875" style="3" hidden="1" customWidth="1"/>
    <col min="16" max="16" width="15.28515625" style="3" hidden="1" customWidth="1"/>
    <col min="17" max="17" width="12.85546875" style="3" customWidth="1"/>
    <col min="18" max="18" width="12.140625" style="3" customWidth="1"/>
    <col min="19" max="19" width="13" style="3" customWidth="1"/>
    <col min="20" max="20" width="11.28515625" style="3" hidden="1" customWidth="1"/>
    <col min="21" max="21" width="13.28515625" style="3" customWidth="1"/>
    <col min="22" max="22" width="11.5703125" style="3" customWidth="1"/>
    <col min="23" max="24" width="10" style="3" hidden="1" customWidth="1"/>
    <col min="25" max="25" width="10.140625" style="3" bestFit="1" customWidth="1"/>
    <col min="26" max="26" width="10.7109375" style="3" bestFit="1" customWidth="1"/>
    <col min="27" max="27" width="9.28515625" style="3" customWidth="1"/>
    <col min="28" max="28" width="10.7109375" style="3" customWidth="1"/>
    <col min="29" max="29" width="12.7109375" style="3" hidden="1" customWidth="1"/>
    <col min="30" max="30" width="9.7109375" style="3" hidden="1" customWidth="1"/>
    <col min="31" max="31" width="10.85546875" style="3" customWidth="1"/>
    <col min="32" max="32" width="10.7109375" style="3" customWidth="1"/>
    <col min="33" max="33" width="9.85546875" style="3" hidden="1" customWidth="1"/>
    <col min="34" max="34" width="13.140625" style="3" customWidth="1"/>
    <col min="35" max="36" width="12.5703125" style="3" customWidth="1"/>
    <col min="37" max="40" width="11.140625" style="3" hidden="1" customWidth="1"/>
    <col min="41" max="41" width="17" style="4" customWidth="1"/>
    <col min="42" max="42" width="11" style="3" customWidth="1"/>
    <col min="43" max="43" width="9.85546875" style="3" hidden="1" customWidth="1"/>
    <col min="44" max="44" width="25.42578125" style="3" hidden="1" customWidth="1"/>
    <col min="45" max="45" width="11.140625" style="3" customWidth="1"/>
    <col min="46" max="46" width="9.85546875" style="3" hidden="1" customWidth="1"/>
    <col min="47" max="47" width="10.7109375" style="3" hidden="1" customWidth="1"/>
    <col min="48" max="48" width="13" style="3" hidden="1" customWidth="1"/>
    <col min="49" max="49" width="23.140625" style="3" bestFit="1" customWidth="1"/>
    <col min="50" max="16384" width="9.140625" style="3"/>
  </cols>
  <sheetData>
    <row r="1" spans="2:49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</row>
    <row r="2" spans="2:49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</row>
    <row r="3" spans="2:49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  <c r="AS3" s="287"/>
      <c r="AT3" s="287"/>
      <c r="AU3" s="287"/>
      <c r="AV3" s="287"/>
      <c r="AW3" s="287"/>
    </row>
    <row r="4" spans="2:49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287"/>
      <c r="AW4" s="287"/>
    </row>
    <row r="5" spans="2:49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2:49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</row>
    <row r="7" spans="2:49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7"/>
      <c r="AT7" s="287"/>
      <c r="AU7" s="287"/>
      <c r="AV7" s="287"/>
      <c r="AW7" s="287"/>
    </row>
    <row r="8" spans="2:49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</row>
    <row r="9" spans="2:49" ht="8.25" customHeight="1" x14ac:dyDescent="0.3"/>
    <row r="10" spans="2:49" s="2" customFormat="1" ht="20.100000000000001" customHeight="1" x14ac:dyDescent="0.25">
      <c r="B10" s="194" t="s">
        <v>7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</row>
    <row r="11" spans="2:49" s="2" customFormat="1" ht="20.100000000000001" customHeight="1" x14ac:dyDescent="0.25">
      <c r="B11" s="194" t="s">
        <v>8</v>
      </c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</row>
    <row r="12" spans="2:49" s="2" customFormat="1" ht="20.100000000000001" customHeight="1" x14ac:dyDescent="0.25">
      <c r="B12" s="194" t="s">
        <v>65</v>
      </c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</row>
    <row r="13" spans="2:49" s="2" customFormat="1" ht="26.25" customHeight="1" x14ac:dyDescent="0.25">
      <c r="B13" s="194" t="s">
        <v>135</v>
      </c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</row>
    <row r="14" spans="2:49" s="7" customFormat="1" ht="18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49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2:49" ht="23.25" customHeight="1" x14ac:dyDescent="0.3">
      <c r="B16" s="288" t="s">
        <v>9</v>
      </c>
      <c r="C16" s="291" t="s">
        <v>136</v>
      </c>
      <c r="D16" s="294" t="s">
        <v>10</v>
      </c>
      <c r="E16" s="294" t="s">
        <v>11</v>
      </c>
      <c r="F16" s="294" t="s">
        <v>46</v>
      </c>
      <c r="G16" s="80"/>
      <c r="H16" s="80"/>
      <c r="I16" s="380"/>
      <c r="J16" s="380"/>
      <c r="K16" s="380"/>
      <c r="L16" s="380"/>
      <c r="M16" s="380"/>
      <c r="N16" s="380"/>
      <c r="O16" s="184"/>
      <c r="P16" s="380" t="s">
        <v>87</v>
      </c>
      <c r="Q16" s="380"/>
      <c r="R16" s="380"/>
      <c r="S16" s="380"/>
      <c r="T16" s="380"/>
      <c r="U16" s="381"/>
      <c r="V16" s="300" t="s">
        <v>69</v>
      </c>
      <c r="W16" s="297" t="s">
        <v>59</v>
      </c>
      <c r="X16" s="298"/>
      <c r="Y16" s="298"/>
      <c r="Z16" s="298"/>
      <c r="AA16" s="298"/>
      <c r="AB16" s="298"/>
      <c r="AC16" s="298"/>
      <c r="AD16" s="298"/>
      <c r="AE16" s="298"/>
      <c r="AF16" s="299"/>
      <c r="AG16" s="185"/>
      <c r="AH16" s="303" t="s">
        <v>29</v>
      </c>
      <c r="AI16" s="303"/>
      <c r="AJ16" s="303"/>
      <c r="AK16" s="186"/>
      <c r="AL16" s="186"/>
      <c r="AM16" s="186"/>
      <c r="AN16" s="186"/>
      <c r="AO16" s="304" t="s">
        <v>48</v>
      </c>
      <c r="AP16" s="304" t="s">
        <v>58</v>
      </c>
      <c r="AQ16" s="317" t="s">
        <v>62</v>
      </c>
      <c r="AR16" s="317"/>
      <c r="AS16" s="304" t="s">
        <v>47</v>
      </c>
      <c r="AT16" s="300" t="s">
        <v>16</v>
      </c>
      <c r="AU16" s="304" t="s">
        <v>39</v>
      </c>
      <c r="AV16" s="304" t="s">
        <v>68</v>
      </c>
      <c r="AW16" s="58" t="s">
        <v>41</v>
      </c>
    </row>
    <row r="17" spans="2:50" ht="49.5" customHeight="1" x14ac:dyDescent="0.3">
      <c r="B17" s="289"/>
      <c r="C17" s="292"/>
      <c r="D17" s="295"/>
      <c r="E17" s="295"/>
      <c r="F17" s="295"/>
      <c r="G17" s="182"/>
      <c r="H17" s="182"/>
      <c r="I17" s="307" t="s">
        <v>67</v>
      </c>
      <c r="J17" s="308"/>
      <c r="K17" s="309"/>
      <c r="L17" s="190" t="s">
        <v>57</v>
      </c>
      <c r="M17" s="190" t="s">
        <v>66</v>
      </c>
      <c r="N17" s="191" t="s">
        <v>101</v>
      </c>
      <c r="O17" s="191" t="s">
        <v>26</v>
      </c>
      <c r="P17" s="190" t="s">
        <v>119</v>
      </c>
      <c r="Q17" s="191" t="s">
        <v>103</v>
      </c>
      <c r="R17" s="382" t="s">
        <v>101</v>
      </c>
      <c r="S17" s="383"/>
      <c r="T17" s="190" t="s">
        <v>26</v>
      </c>
      <c r="U17" s="190" t="s">
        <v>57</v>
      </c>
      <c r="V17" s="301"/>
      <c r="W17" s="190" t="s">
        <v>55</v>
      </c>
      <c r="X17" s="191" t="s">
        <v>27</v>
      </c>
      <c r="Y17" s="310" t="s">
        <v>56</v>
      </c>
      <c r="Z17" s="310"/>
      <c r="AA17" s="311" t="s">
        <v>92</v>
      </c>
      <c r="AB17" s="311"/>
      <c r="AC17" s="192"/>
      <c r="AD17" s="192"/>
      <c r="AE17" s="312" t="s">
        <v>71</v>
      </c>
      <c r="AF17" s="312" t="s">
        <v>15</v>
      </c>
      <c r="AG17" s="192"/>
      <c r="AH17" s="313" t="s">
        <v>110</v>
      </c>
      <c r="AI17" s="313" t="s">
        <v>111</v>
      </c>
      <c r="AJ17" s="313" t="s">
        <v>77</v>
      </c>
      <c r="AK17" s="188"/>
      <c r="AL17" s="188"/>
      <c r="AM17" s="188"/>
      <c r="AN17" s="188"/>
      <c r="AO17" s="305"/>
      <c r="AP17" s="305"/>
      <c r="AQ17" s="310"/>
      <c r="AR17" s="310"/>
      <c r="AS17" s="305"/>
      <c r="AT17" s="301"/>
      <c r="AU17" s="305"/>
      <c r="AV17" s="305"/>
      <c r="AW17" s="59" t="s">
        <v>42</v>
      </c>
    </row>
    <row r="18" spans="2:50" ht="24" customHeight="1" x14ac:dyDescent="0.3">
      <c r="B18" s="289"/>
      <c r="C18" s="292"/>
      <c r="D18" s="295"/>
      <c r="E18" s="295"/>
      <c r="F18" s="295"/>
      <c r="G18" s="182"/>
      <c r="H18" s="182"/>
      <c r="I18" s="189" t="s">
        <v>75</v>
      </c>
      <c r="J18" s="189" t="s">
        <v>49</v>
      </c>
      <c r="K18" s="189" t="s">
        <v>52</v>
      </c>
      <c r="L18" s="187" t="s">
        <v>76</v>
      </c>
      <c r="M18" s="187" t="s">
        <v>76</v>
      </c>
      <c r="N18" s="187" t="s">
        <v>106</v>
      </c>
      <c r="O18" s="187" t="s">
        <v>107</v>
      </c>
      <c r="P18" s="187" t="s">
        <v>75</v>
      </c>
      <c r="Q18" s="187" t="s">
        <v>99</v>
      </c>
      <c r="R18" s="187" t="s">
        <v>99</v>
      </c>
      <c r="S18" s="187" t="s">
        <v>102</v>
      </c>
      <c r="T18" s="187" t="s">
        <v>118</v>
      </c>
      <c r="U18" s="187" t="s">
        <v>70</v>
      </c>
      <c r="V18" s="302"/>
      <c r="W18" s="189">
        <v>2.4</v>
      </c>
      <c r="X18" s="187">
        <v>3.6</v>
      </c>
      <c r="Y18" s="190">
        <v>2.4</v>
      </c>
      <c r="Z18" s="190">
        <v>4.9000000000000004</v>
      </c>
      <c r="AA18" s="191">
        <v>2.4</v>
      </c>
      <c r="AB18" s="191">
        <v>4.8</v>
      </c>
      <c r="AC18" s="187"/>
      <c r="AD18" s="187"/>
      <c r="AE18" s="302"/>
      <c r="AF18" s="302"/>
      <c r="AG18" s="187"/>
      <c r="AH18" s="306"/>
      <c r="AI18" s="306"/>
      <c r="AJ18" s="306"/>
      <c r="AK18" s="189"/>
      <c r="AL18" s="189"/>
      <c r="AM18" s="189"/>
      <c r="AN18" s="189"/>
      <c r="AO18" s="306"/>
      <c r="AP18" s="306"/>
      <c r="AQ18" s="187" t="s">
        <v>36</v>
      </c>
      <c r="AR18" s="187" t="s">
        <v>37</v>
      </c>
      <c r="AS18" s="306"/>
      <c r="AT18" s="302"/>
      <c r="AU18" s="306"/>
      <c r="AV18" s="306"/>
      <c r="AW18" s="60" t="s">
        <v>43</v>
      </c>
    </row>
    <row r="19" spans="2:50" s="9" customFormat="1" ht="25.5" customHeight="1" x14ac:dyDescent="0.25">
      <c r="B19" s="290"/>
      <c r="C19" s="293"/>
      <c r="D19" s="296"/>
      <c r="E19" s="296"/>
      <c r="F19" s="296"/>
      <c r="G19" s="183"/>
      <c r="H19" s="183"/>
      <c r="I19" s="187" t="s">
        <v>12</v>
      </c>
      <c r="J19" s="187" t="s">
        <v>12</v>
      </c>
      <c r="K19" s="187" t="s">
        <v>12</v>
      </c>
      <c r="L19" s="187" t="s">
        <v>12</v>
      </c>
      <c r="M19" s="187" t="s">
        <v>12</v>
      </c>
      <c r="N19" s="187" t="s">
        <v>12</v>
      </c>
      <c r="O19" s="187" t="s">
        <v>12</v>
      </c>
      <c r="P19" s="187" t="s">
        <v>12</v>
      </c>
      <c r="Q19" s="187" t="s">
        <v>12</v>
      </c>
      <c r="R19" s="187" t="s">
        <v>12</v>
      </c>
      <c r="S19" s="187" t="s">
        <v>12</v>
      </c>
      <c r="T19" s="187" t="s">
        <v>12</v>
      </c>
      <c r="U19" s="187" t="s">
        <v>12</v>
      </c>
      <c r="V19" s="56" t="s">
        <v>14</v>
      </c>
      <c r="W19" s="187" t="s">
        <v>12</v>
      </c>
      <c r="X19" s="187" t="s">
        <v>12</v>
      </c>
      <c r="Y19" s="187" t="s">
        <v>12</v>
      </c>
      <c r="Z19" s="187" t="s">
        <v>12</v>
      </c>
      <c r="AA19" s="187" t="s">
        <v>12</v>
      </c>
      <c r="AB19" s="187" t="s">
        <v>12</v>
      </c>
      <c r="AC19" s="57"/>
      <c r="AD19" s="57"/>
      <c r="AE19" s="57" t="s">
        <v>12</v>
      </c>
      <c r="AF19" s="187" t="s">
        <v>12</v>
      </c>
      <c r="AG19" s="55"/>
      <c r="AH19" s="55" t="s">
        <v>13</v>
      </c>
      <c r="AI19" s="55" t="s">
        <v>13</v>
      </c>
      <c r="AJ19" s="55" t="s">
        <v>13</v>
      </c>
      <c r="AK19" s="55"/>
      <c r="AL19" s="55"/>
      <c r="AM19" s="55"/>
      <c r="AN19" s="55"/>
      <c r="AO19" s="55" t="s">
        <v>13</v>
      </c>
      <c r="AP19" s="57" t="s">
        <v>13</v>
      </c>
      <c r="AQ19" s="187" t="s">
        <v>12</v>
      </c>
      <c r="AR19" s="187" t="s">
        <v>12</v>
      </c>
      <c r="AS19" s="191" t="s">
        <v>12</v>
      </c>
      <c r="AT19" s="57" t="s">
        <v>14</v>
      </c>
      <c r="AU19" s="191"/>
      <c r="AV19" s="187"/>
      <c r="AW19" s="60"/>
    </row>
    <row r="20" spans="2:50" s="4" customFormat="1" ht="9.75" customHeight="1" x14ac:dyDescent="0.25">
      <c r="B20" s="27"/>
      <c r="C20" s="28"/>
      <c r="D20" s="28"/>
      <c r="E20" s="28"/>
      <c r="F20" s="28"/>
      <c r="G20" s="28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0"/>
      <c r="W20" s="31"/>
      <c r="X20" s="31"/>
      <c r="Y20" s="31"/>
      <c r="Z20" s="31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32"/>
      <c r="AP20" s="29"/>
      <c r="AQ20" s="28"/>
      <c r="AR20" s="33"/>
      <c r="AS20" s="33"/>
      <c r="AT20" s="33"/>
      <c r="AU20" s="33"/>
      <c r="AV20" s="33"/>
      <c r="AW20" s="34"/>
    </row>
    <row r="21" spans="2:50" s="10" customFormat="1" ht="33" customHeight="1" x14ac:dyDescent="0.25">
      <c r="B21" s="384" t="str">
        <f>'JANUARY 2026 - PMC '!B21:D21</f>
        <v>Beginning Stock as of as of  January 1, 2026</v>
      </c>
      <c r="C21" s="385"/>
      <c r="D21" s="386"/>
      <c r="E21" s="93"/>
      <c r="F21" s="93"/>
      <c r="G21" s="64"/>
      <c r="H21" s="64"/>
      <c r="I21" s="83" t="e">
        <f>#REF!</f>
        <v>#REF!</v>
      </c>
      <c r="J21" s="83" t="e">
        <f>#REF!</f>
        <v>#REF!</v>
      </c>
      <c r="K21" s="83" t="e">
        <f>#REF!</f>
        <v>#REF!</v>
      </c>
      <c r="L21" s="83" t="e">
        <f>#REF!</f>
        <v>#REF!</v>
      </c>
      <c r="M21" s="83" t="e">
        <f>#REF!</f>
        <v>#REF!</v>
      </c>
      <c r="N21" s="83" t="e">
        <f>#REF!</f>
        <v>#REF!</v>
      </c>
      <c r="O21" s="83" t="e">
        <f>#REF!</f>
        <v>#REF!</v>
      </c>
      <c r="P21" s="83" t="e">
        <f>#REF!</f>
        <v>#REF!</v>
      </c>
      <c r="Q21" s="83">
        <v>0</v>
      </c>
      <c r="R21" s="83">
        <v>32123</v>
      </c>
      <c r="S21" s="83">
        <v>15800</v>
      </c>
      <c r="T21" s="83">
        <v>0</v>
      </c>
      <c r="U21" s="83">
        <v>0</v>
      </c>
      <c r="V21" s="83">
        <v>4575</v>
      </c>
      <c r="W21" s="83">
        <v>0</v>
      </c>
      <c r="X21" s="83">
        <v>0</v>
      </c>
      <c r="Y21" s="83">
        <v>1832</v>
      </c>
      <c r="Z21" s="83">
        <v>7802</v>
      </c>
      <c r="AA21" s="83">
        <v>0</v>
      </c>
      <c r="AB21" s="83">
        <v>0</v>
      </c>
      <c r="AC21" s="83"/>
      <c r="AD21" s="83"/>
      <c r="AE21" s="83">
        <v>630</v>
      </c>
      <c r="AF21" s="83">
        <v>96</v>
      </c>
      <c r="AG21" s="83"/>
      <c r="AH21" s="83">
        <v>0</v>
      </c>
      <c r="AI21" s="83">
        <v>3713</v>
      </c>
      <c r="AJ21" s="83">
        <v>1350</v>
      </c>
      <c r="AK21" s="83"/>
      <c r="AL21" s="83"/>
      <c r="AM21" s="83"/>
      <c r="AN21" s="83"/>
      <c r="AO21" s="83">
        <v>717</v>
      </c>
      <c r="AP21" s="83">
        <v>0</v>
      </c>
      <c r="AQ21" s="83">
        <v>0</v>
      </c>
      <c r="AR21" s="83">
        <v>0</v>
      </c>
      <c r="AS21" s="83">
        <v>0</v>
      </c>
      <c r="AT21" s="83" t="e">
        <f>#REF!</f>
        <v>#REF!</v>
      </c>
      <c r="AU21" s="83" t="e">
        <f>#REF!</f>
        <v>#REF!</v>
      </c>
      <c r="AV21" s="83" t="e">
        <f>#REF!</f>
        <v>#REF!</v>
      </c>
      <c r="AW21" s="35"/>
    </row>
    <row r="22" spans="2:50" s="10" customFormat="1" ht="5.25" customHeight="1" x14ac:dyDescent="0.25">
      <c r="B22" s="94"/>
      <c r="C22" s="95"/>
      <c r="D22" s="95"/>
      <c r="E22" s="96"/>
      <c r="F22" s="96"/>
      <c r="G22" s="38"/>
      <c r="H22" s="38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5"/>
      <c r="W22" s="86"/>
      <c r="X22" s="86"/>
      <c r="Y22" s="86"/>
      <c r="Z22" s="86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5"/>
      <c r="AP22" s="84"/>
      <c r="AQ22" s="85"/>
      <c r="AR22" s="85"/>
      <c r="AS22" s="85"/>
      <c r="AT22" s="43"/>
      <c r="AU22" s="43"/>
      <c r="AV22" s="45"/>
      <c r="AW22" s="35"/>
    </row>
    <row r="23" spans="2:50" s="14" customFormat="1" ht="35.25" customHeight="1" x14ac:dyDescent="0.25">
      <c r="B23" s="110"/>
      <c r="C23" s="111"/>
      <c r="D23" s="112" t="s">
        <v>31</v>
      </c>
      <c r="E23" s="112" t="s">
        <v>32</v>
      </c>
      <c r="F23" s="112" t="s">
        <v>61</v>
      </c>
      <c r="G23" s="112"/>
      <c r="H23" s="112"/>
      <c r="I23" s="43"/>
      <c r="J23" s="43"/>
      <c r="K23" s="43"/>
      <c r="L23" s="43"/>
      <c r="M23" s="43"/>
      <c r="N23" s="43"/>
      <c r="O23" s="43">
        <f>235*36</f>
        <v>8460</v>
      </c>
      <c r="P23" s="43"/>
      <c r="Q23" s="43"/>
      <c r="R23" s="43"/>
      <c r="S23" s="43"/>
      <c r="T23" s="43"/>
      <c r="U23" s="43"/>
      <c r="V23" s="67"/>
      <c r="W23" s="70"/>
      <c r="X23" s="70"/>
      <c r="Y23" s="70"/>
      <c r="Z23" s="70"/>
      <c r="AA23" s="43"/>
      <c r="AB23" s="43"/>
      <c r="AC23" s="43"/>
      <c r="AD23" s="43"/>
      <c r="AE23" s="67"/>
      <c r="AF23" s="43"/>
      <c r="AG23" s="43"/>
      <c r="AH23" s="43"/>
      <c r="AI23" s="43"/>
      <c r="AJ23" s="43"/>
      <c r="AK23" s="43"/>
      <c r="AL23" s="43"/>
      <c r="AM23" s="43"/>
      <c r="AN23" s="43"/>
      <c r="AO23" s="68"/>
      <c r="AP23" s="71"/>
      <c r="AQ23" s="44"/>
      <c r="AR23" s="44"/>
      <c r="AS23" s="44"/>
      <c r="AT23" s="43"/>
      <c r="AU23" s="43"/>
      <c r="AV23" s="45"/>
      <c r="AW23" s="113" t="s">
        <v>40</v>
      </c>
    </row>
    <row r="24" spans="2:50" s="14" customFormat="1" ht="42.75" hidden="1" customHeight="1" x14ac:dyDescent="0.25">
      <c r="B24" s="97"/>
      <c r="C24" s="111" t="s">
        <v>126</v>
      </c>
      <c r="D24" s="98" t="s">
        <v>31</v>
      </c>
      <c r="E24" s="98" t="s">
        <v>32</v>
      </c>
      <c r="F24" s="98" t="s">
        <v>61</v>
      </c>
      <c r="G24" s="42"/>
      <c r="H24" s="42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7"/>
      <c r="W24" s="88"/>
      <c r="X24" s="88"/>
      <c r="Y24" s="88"/>
      <c r="Z24" s="88"/>
      <c r="AA24" s="84"/>
      <c r="AB24" s="84"/>
      <c r="AC24" s="84"/>
      <c r="AD24" s="84"/>
      <c r="AE24" s="89"/>
      <c r="AF24" s="84"/>
      <c r="AG24" s="84"/>
      <c r="AH24" s="84"/>
      <c r="AI24" s="84"/>
      <c r="AJ24" s="84"/>
      <c r="AK24" s="84"/>
      <c r="AL24" s="84"/>
      <c r="AM24" s="84"/>
      <c r="AN24" s="84"/>
      <c r="AO24" s="87"/>
      <c r="AP24" s="90"/>
      <c r="AQ24" s="85"/>
      <c r="AR24" s="85"/>
      <c r="AS24" s="85"/>
      <c r="AT24" s="48"/>
      <c r="AU24" s="48"/>
      <c r="AV24" s="49"/>
      <c r="AW24" s="113" t="s">
        <v>40</v>
      </c>
      <c r="AX24" s="13"/>
    </row>
    <row r="25" spans="2:50" s="14" customFormat="1" ht="30" hidden="1" customHeight="1" x14ac:dyDescent="0.25">
      <c r="B25" s="97"/>
      <c r="C25" s="111" t="s">
        <v>125</v>
      </c>
      <c r="D25" s="98" t="s">
        <v>31</v>
      </c>
      <c r="E25" s="98" t="s">
        <v>32</v>
      </c>
      <c r="F25" s="98" t="s">
        <v>61</v>
      </c>
      <c r="G25" s="42"/>
      <c r="H25" s="42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7"/>
      <c r="W25" s="88"/>
      <c r="X25" s="88"/>
      <c r="Y25" s="88"/>
      <c r="Z25" s="88"/>
      <c r="AA25" s="84"/>
      <c r="AB25" s="84"/>
      <c r="AC25" s="84"/>
      <c r="AD25" s="84"/>
      <c r="AE25" s="89"/>
      <c r="AF25" s="84"/>
      <c r="AG25" s="84"/>
      <c r="AH25" s="84"/>
      <c r="AI25" s="84"/>
      <c r="AJ25" s="84"/>
      <c r="AK25" s="84"/>
      <c r="AL25" s="84"/>
      <c r="AM25" s="84"/>
      <c r="AN25" s="84"/>
      <c r="AO25" s="87"/>
      <c r="AP25" s="90"/>
      <c r="AQ25" s="85"/>
      <c r="AR25" s="85"/>
      <c r="AS25" s="85"/>
      <c r="AT25" s="48"/>
      <c r="AU25" s="48"/>
      <c r="AV25" s="49"/>
      <c r="AW25" s="113" t="s">
        <v>40</v>
      </c>
      <c r="AX25" s="13"/>
    </row>
    <row r="26" spans="2:50" s="10" customFormat="1" ht="34.5" customHeight="1" x14ac:dyDescent="0.25">
      <c r="B26" s="99" t="s">
        <v>34</v>
      </c>
      <c r="C26" s="100"/>
      <c r="D26" s="98"/>
      <c r="E26" s="98"/>
      <c r="F26" s="98"/>
      <c r="G26" s="42"/>
      <c r="H26" s="42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7"/>
      <c r="W26" s="85"/>
      <c r="X26" s="85"/>
      <c r="Y26" s="85"/>
      <c r="Z26" s="85"/>
      <c r="AA26" s="85"/>
      <c r="AB26" s="85"/>
      <c r="AC26" s="85"/>
      <c r="AD26" s="85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5"/>
      <c r="AP26" s="84"/>
      <c r="AQ26" s="85"/>
      <c r="AR26" s="85"/>
      <c r="AS26" s="85"/>
      <c r="AT26" s="48"/>
      <c r="AU26" s="48"/>
      <c r="AV26" s="49"/>
      <c r="AW26" s="78"/>
      <c r="AX26" s="2"/>
    </row>
    <row r="27" spans="2:50" s="10" customFormat="1" ht="34.5" customHeight="1" x14ac:dyDescent="0.25">
      <c r="B27" s="99" t="s">
        <v>35</v>
      </c>
      <c r="C27" s="98"/>
      <c r="D27" s="96"/>
      <c r="E27" s="96"/>
      <c r="F27" s="96"/>
      <c r="G27" s="38"/>
      <c r="H27" s="38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5"/>
      <c r="W27" s="85"/>
      <c r="X27" s="85"/>
      <c r="Y27" s="85"/>
      <c r="Z27" s="85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5"/>
      <c r="AP27" s="84"/>
      <c r="AQ27" s="85"/>
      <c r="AR27" s="85"/>
      <c r="AS27" s="85"/>
      <c r="AT27" s="43"/>
      <c r="AU27" s="43"/>
      <c r="AV27" s="45"/>
      <c r="AW27" s="35"/>
      <c r="AX27" s="2"/>
    </row>
    <row r="28" spans="2:50" s="14" customFormat="1" ht="33.75" customHeight="1" x14ac:dyDescent="0.25">
      <c r="B28" s="105" t="s">
        <v>17</v>
      </c>
      <c r="C28" s="106"/>
      <c r="D28" s="102"/>
      <c r="E28" s="102"/>
      <c r="F28" s="102"/>
      <c r="G28" s="104"/>
      <c r="H28" s="104"/>
      <c r="I28" s="83" t="e">
        <f t="shared" ref="I28:AB28" si="0">SUM(I21:I27)</f>
        <v>#REF!</v>
      </c>
      <c r="J28" s="83" t="e">
        <f t="shared" si="0"/>
        <v>#REF!</v>
      </c>
      <c r="K28" s="83" t="e">
        <f t="shared" si="0"/>
        <v>#REF!</v>
      </c>
      <c r="L28" s="83" t="e">
        <f t="shared" si="0"/>
        <v>#REF!</v>
      </c>
      <c r="M28" s="83" t="e">
        <f t="shared" si="0"/>
        <v>#REF!</v>
      </c>
      <c r="N28" s="83" t="e">
        <f t="shared" si="0"/>
        <v>#REF!</v>
      </c>
      <c r="O28" s="83" t="e">
        <f t="shared" si="0"/>
        <v>#REF!</v>
      </c>
      <c r="P28" s="83" t="e">
        <f t="shared" si="0"/>
        <v>#REF!</v>
      </c>
      <c r="Q28" s="83">
        <f t="shared" si="0"/>
        <v>0</v>
      </c>
      <c r="R28" s="83">
        <f t="shared" si="0"/>
        <v>32123</v>
      </c>
      <c r="S28" s="83">
        <f t="shared" si="0"/>
        <v>15800</v>
      </c>
      <c r="T28" s="83">
        <f t="shared" si="0"/>
        <v>0</v>
      </c>
      <c r="U28" s="83">
        <f t="shared" si="0"/>
        <v>0</v>
      </c>
      <c r="V28" s="83">
        <f t="shared" si="0"/>
        <v>4575</v>
      </c>
      <c r="W28" s="83">
        <f t="shared" si="0"/>
        <v>0</v>
      </c>
      <c r="X28" s="83">
        <f t="shared" si="0"/>
        <v>0</v>
      </c>
      <c r="Y28" s="83">
        <f t="shared" si="0"/>
        <v>1832</v>
      </c>
      <c r="Z28" s="83">
        <f t="shared" si="0"/>
        <v>7802</v>
      </c>
      <c r="AA28" s="83">
        <f t="shared" si="0"/>
        <v>0</v>
      </c>
      <c r="AB28" s="83">
        <f t="shared" si="0"/>
        <v>0</v>
      </c>
      <c r="AC28" s="83"/>
      <c r="AD28" s="83"/>
      <c r="AE28" s="83">
        <f>SUM(AE21:AE27)</f>
        <v>630</v>
      </c>
      <c r="AF28" s="83">
        <f>SUM(AF21:AF27)</f>
        <v>96</v>
      </c>
      <c r="AG28" s="83"/>
      <c r="AH28" s="83">
        <f>SUM(AH21:AH27)</f>
        <v>0</v>
      </c>
      <c r="AI28" s="83">
        <f>SUM(AI21:AI27)</f>
        <v>3713</v>
      </c>
      <c r="AJ28" s="83">
        <f>SUM(AJ21:AJ27)</f>
        <v>1350</v>
      </c>
      <c r="AK28" s="83"/>
      <c r="AL28" s="83"/>
      <c r="AM28" s="83"/>
      <c r="AN28" s="83"/>
      <c r="AO28" s="83">
        <f t="shared" ref="AO28:AV28" si="1">SUM(AO21:AO27)</f>
        <v>717</v>
      </c>
      <c r="AP28" s="83">
        <f t="shared" si="1"/>
        <v>0</v>
      </c>
      <c r="AQ28" s="83">
        <f t="shared" si="1"/>
        <v>0</v>
      </c>
      <c r="AR28" s="83">
        <f t="shared" si="1"/>
        <v>0</v>
      </c>
      <c r="AS28" s="83">
        <f t="shared" si="1"/>
        <v>0</v>
      </c>
      <c r="AT28" s="53" t="e">
        <f t="shared" si="1"/>
        <v>#REF!</v>
      </c>
      <c r="AU28" s="53" t="e">
        <f t="shared" si="1"/>
        <v>#REF!</v>
      </c>
      <c r="AV28" s="53" t="e">
        <f t="shared" si="1"/>
        <v>#REF!</v>
      </c>
      <c r="AW28" s="36"/>
      <c r="AX28" s="13"/>
    </row>
    <row r="29" spans="2:50" s="14" customFormat="1" ht="29.25" customHeight="1" x14ac:dyDescent="0.25">
      <c r="B29" s="387" t="s">
        <v>18</v>
      </c>
      <c r="C29" s="388"/>
      <c r="D29" s="85"/>
      <c r="E29" s="85"/>
      <c r="F29" s="85"/>
      <c r="G29" s="39"/>
      <c r="H29" s="39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5"/>
      <c r="W29" s="85"/>
      <c r="X29" s="85"/>
      <c r="Y29" s="85"/>
      <c r="Z29" s="85"/>
      <c r="AA29" s="84"/>
      <c r="AB29" s="84"/>
      <c r="AC29" s="84"/>
      <c r="AD29" s="84"/>
      <c r="AE29" s="84"/>
      <c r="AF29" s="85"/>
      <c r="AG29" s="85"/>
      <c r="AH29" s="84"/>
      <c r="AI29" s="84"/>
      <c r="AJ29" s="84"/>
      <c r="AK29" s="84"/>
      <c r="AL29" s="84"/>
      <c r="AM29" s="84"/>
      <c r="AN29" s="84"/>
      <c r="AO29" s="85"/>
      <c r="AP29" s="84"/>
      <c r="AQ29" s="85"/>
      <c r="AR29" s="85"/>
      <c r="AS29" s="85"/>
      <c r="AT29" s="26"/>
      <c r="AU29" s="26"/>
      <c r="AV29" s="49"/>
      <c r="AW29" s="36"/>
      <c r="AX29" s="13"/>
    </row>
    <row r="30" spans="2:50" s="14" customFormat="1" ht="93.75" customHeight="1" x14ac:dyDescent="0.25">
      <c r="B30" s="389" t="s">
        <v>83</v>
      </c>
      <c r="C30" s="390"/>
      <c r="D30" s="391" t="s">
        <v>93</v>
      </c>
      <c r="E30" s="392"/>
      <c r="F30" s="393"/>
      <c r="G30" s="79"/>
      <c r="H30" s="79"/>
      <c r="I30" s="91">
        <v>0</v>
      </c>
      <c r="J30" s="91" t="e">
        <f>SUM(J26:J29)</f>
        <v>#REF!</v>
      </c>
      <c r="K30" s="91" t="e">
        <f>SUM(K26:K29)</f>
        <v>#REF!</v>
      </c>
      <c r="L30" s="91" t="e">
        <f>SUM(L26:L29)</f>
        <v>#REF!</v>
      </c>
      <c r="M30" s="91" t="e">
        <f>SUM(M26:M29)</f>
        <v>#REF!</v>
      </c>
      <c r="N30" s="91"/>
      <c r="O30" s="91">
        <f>350*36</f>
        <v>12600</v>
      </c>
      <c r="P30" s="91"/>
      <c r="Q30" s="91"/>
      <c r="R30" s="91">
        <v>16107</v>
      </c>
      <c r="S30" s="91">
        <v>0</v>
      </c>
      <c r="T30" s="91"/>
      <c r="U30" s="91">
        <v>0</v>
      </c>
      <c r="V30" s="91">
        <v>2800</v>
      </c>
      <c r="W30" s="91"/>
      <c r="X30" s="91"/>
      <c r="Y30" s="91">
        <v>6</v>
      </c>
      <c r="Z30" s="91">
        <v>1780</v>
      </c>
      <c r="AA30" s="91">
        <v>0</v>
      </c>
      <c r="AB30" s="91">
        <v>0</v>
      </c>
      <c r="AC30" s="91"/>
      <c r="AD30" s="91"/>
      <c r="AE30" s="91">
        <v>179</v>
      </c>
      <c r="AF30" s="91">
        <v>0</v>
      </c>
      <c r="AG30" s="91"/>
      <c r="AH30" s="91">
        <v>0</v>
      </c>
      <c r="AI30" s="91">
        <v>1451</v>
      </c>
      <c r="AJ30" s="91">
        <v>1275</v>
      </c>
      <c r="AK30" s="91"/>
      <c r="AL30" s="91"/>
      <c r="AM30" s="91"/>
      <c r="AN30" s="91"/>
      <c r="AO30" s="91">
        <v>249</v>
      </c>
      <c r="AP30" s="91">
        <v>0</v>
      </c>
      <c r="AQ30" s="91"/>
      <c r="AR30" s="91"/>
      <c r="AS30" s="91">
        <v>0</v>
      </c>
      <c r="AT30" s="81"/>
      <c r="AU30" s="81"/>
      <c r="AV30" s="81"/>
      <c r="AW30" s="36"/>
      <c r="AX30" s="13"/>
    </row>
    <row r="31" spans="2:50" s="14" customFormat="1" ht="45.75" customHeight="1" thickBot="1" x14ac:dyDescent="0.3">
      <c r="B31" s="394" t="str">
        <f>'JANUARY 2026 - PMC '!B38</f>
        <v>Remaining Stock as of January 31,2026</v>
      </c>
      <c r="C31" s="395"/>
      <c r="D31" s="396"/>
      <c r="E31" s="101"/>
      <c r="F31" s="101"/>
      <c r="G31" s="63"/>
      <c r="H31" s="63"/>
      <c r="I31" s="92" t="e">
        <f t="shared" ref="I31:AV31" si="2">I28-I30</f>
        <v>#REF!</v>
      </c>
      <c r="J31" s="92" t="e">
        <f t="shared" si="2"/>
        <v>#REF!</v>
      </c>
      <c r="K31" s="92" t="e">
        <f t="shared" si="2"/>
        <v>#REF!</v>
      </c>
      <c r="L31" s="92" t="e">
        <f t="shared" si="2"/>
        <v>#REF!</v>
      </c>
      <c r="M31" s="92" t="e">
        <f t="shared" si="2"/>
        <v>#REF!</v>
      </c>
      <c r="N31" s="92" t="e">
        <f>N28-N30</f>
        <v>#REF!</v>
      </c>
      <c r="O31" s="92" t="e">
        <f t="shared" ref="O31:U31" si="3">O28-O30</f>
        <v>#REF!</v>
      </c>
      <c r="P31" s="92" t="e">
        <f t="shared" si="3"/>
        <v>#REF!</v>
      </c>
      <c r="Q31" s="92">
        <f>Q28-Q30</f>
        <v>0</v>
      </c>
      <c r="R31" s="92">
        <f t="shared" ref="R31:S31" si="4">R28-R30</f>
        <v>16016</v>
      </c>
      <c r="S31" s="92">
        <f t="shared" si="4"/>
        <v>15800</v>
      </c>
      <c r="T31" s="92">
        <f t="shared" si="3"/>
        <v>0</v>
      </c>
      <c r="U31" s="92">
        <f t="shared" si="3"/>
        <v>0</v>
      </c>
      <c r="V31" s="92">
        <f t="shared" si="2"/>
        <v>1775</v>
      </c>
      <c r="W31" s="92">
        <f t="shared" si="2"/>
        <v>0</v>
      </c>
      <c r="X31" s="92">
        <f t="shared" si="2"/>
        <v>0</v>
      </c>
      <c r="Y31" s="92">
        <f t="shared" si="2"/>
        <v>1826</v>
      </c>
      <c r="Z31" s="92">
        <f t="shared" si="2"/>
        <v>6022</v>
      </c>
      <c r="AA31" s="92">
        <f t="shared" si="2"/>
        <v>0</v>
      </c>
      <c r="AB31" s="92">
        <f t="shared" si="2"/>
        <v>0</v>
      </c>
      <c r="AC31" s="92"/>
      <c r="AD31" s="92"/>
      <c r="AE31" s="92">
        <f t="shared" si="2"/>
        <v>451</v>
      </c>
      <c r="AF31" s="92">
        <f t="shared" si="2"/>
        <v>96</v>
      </c>
      <c r="AG31" s="92"/>
      <c r="AH31" s="92">
        <f t="shared" si="2"/>
        <v>0</v>
      </c>
      <c r="AI31" s="92">
        <f t="shared" si="2"/>
        <v>2262</v>
      </c>
      <c r="AJ31" s="92">
        <f t="shared" si="2"/>
        <v>75</v>
      </c>
      <c r="AK31" s="92"/>
      <c r="AL31" s="92"/>
      <c r="AM31" s="92"/>
      <c r="AN31" s="92"/>
      <c r="AO31" s="92">
        <f t="shared" si="2"/>
        <v>468</v>
      </c>
      <c r="AP31" s="92">
        <f t="shared" si="2"/>
        <v>0</v>
      </c>
      <c r="AQ31" s="92">
        <f t="shared" si="2"/>
        <v>0</v>
      </c>
      <c r="AR31" s="92">
        <f t="shared" si="2"/>
        <v>0</v>
      </c>
      <c r="AS31" s="92">
        <f t="shared" si="2"/>
        <v>0</v>
      </c>
      <c r="AT31" s="54" t="e">
        <f t="shared" si="2"/>
        <v>#REF!</v>
      </c>
      <c r="AU31" s="54" t="e">
        <f t="shared" si="2"/>
        <v>#REF!</v>
      </c>
      <c r="AV31" s="54" t="e">
        <f t="shared" si="2"/>
        <v>#REF!</v>
      </c>
      <c r="AW31" s="37"/>
    </row>
    <row r="32" spans="2:50" ht="26.25" customHeight="1" x14ac:dyDescent="0.3">
      <c r="R32" s="3">
        <f>R31/91</f>
        <v>176</v>
      </c>
      <c r="S32" s="3">
        <f>S31/200</f>
        <v>79</v>
      </c>
      <c r="V32" s="17">
        <f>V31/25</f>
        <v>71</v>
      </c>
      <c r="W32" s="17"/>
      <c r="X32" s="17"/>
      <c r="Y32" s="17"/>
      <c r="Z32" s="17"/>
      <c r="AA32" s="17"/>
      <c r="AJ32" s="18"/>
      <c r="AK32" s="18"/>
      <c r="AL32" s="18"/>
      <c r="AM32" s="18"/>
      <c r="AN32" s="18"/>
      <c r="AO32" s="19"/>
    </row>
    <row r="33" spans="2:50" ht="9" customHeight="1" x14ac:dyDescent="0.3">
      <c r="J33" s="20"/>
      <c r="W33" s="17"/>
      <c r="X33" s="17"/>
      <c r="Y33" s="17"/>
      <c r="Z33" s="17"/>
      <c r="AA33" s="17"/>
      <c r="AB33" s="17"/>
      <c r="AC33" s="17"/>
      <c r="AD33" s="17"/>
      <c r="AE33" s="21"/>
      <c r="AO33" s="19"/>
      <c r="AP33" s="21"/>
    </row>
    <row r="34" spans="2:50" ht="9" customHeight="1" x14ac:dyDescent="0.3">
      <c r="J34" s="20"/>
      <c r="W34" s="17"/>
      <c r="X34" s="17"/>
      <c r="Y34" s="17"/>
      <c r="Z34" s="17"/>
      <c r="AA34" s="17"/>
      <c r="AB34" s="17"/>
      <c r="AC34" s="17"/>
      <c r="AD34" s="17"/>
      <c r="AE34" s="21"/>
      <c r="AO34" s="19"/>
      <c r="AP34" s="21"/>
    </row>
    <row r="35" spans="2:50" ht="9" customHeight="1" x14ac:dyDescent="0.3">
      <c r="J35" s="20"/>
      <c r="W35" s="17"/>
      <c r="X35" s="17"/>
      <c r="Y35" s="17"/>
      <c r="Z35" s="17"/>
      <c r="AA35" s="17"/>
      <c r="AB35" s="17"/>
      <c r="AC35" s="17"/>
      <c r="AD35" s="17"/>
      <c r="AE35" s="21"/>
      <c r="AO35" s="19"/>
      <c r="AP35" s="21"/>
    </row>
    <row r="36" spans="2:50" s="2" customFormat="1" ht="30" customHeight="1" x14ac:dyDescent="0.25">
      <c r="B36" s="194"/>
      <c r="C36" s="194" t="s">
        <v>45</v>
      </c>
      <c r="D36" s="194"/>
      <c r="E36" s="194"/>
      <c r="F36" s="194" t="s">
        <v>116</v>
      </c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6"/>
      <c r="R36" s="196"/>
      <c r="S36" s="195" t="s">
        <v>54</v>
      </c>
      <c r="T36" s="117"/>
      <c r="U36" s="117"/>
      <c r="V36" s="117"/>
      <c r="W36" s="195"/>
      <c r="X36" s="195"/>
      <c r="Y36" s="195"/>
      <c r="Z36" s="118"/>
      <c r="AA36" s="195" t="s">
        <v>90</v>
      </c>
      <c r="AB36" s="117"/>
      <c r="AC36" s="195"/>
      <c r="AD36" s="195"/>
      <c r="AE36" s="117"/>
      <c r="AF36" s="195"/>
      <c r="AG36" s="195"/>
      <c r="AH36" s="109"/>
      <c r="AI36" s="194" t="s">
        <v>20</v>
      </c>
      <c r="AQ36" s="194"/>
      <c r="AR36" s="194" t="s">
        <v>20</v>
      </c>
      <c r="AS36" s="194"/>
      <c r="AT36" s="194"/>
      <c r="AU36" s="194"/>
      <c r="AV36" s="194"/>
      <c r="AW36" s="194"/>
      <c r="AX36" s="194"/>
    </row>
    <row r="37" spans="2:50" s="2" customFormat="1" ht="30" customHeight="1" x14ac:dyDescent="0.25">
      <c r="B37" s="194"/>
      <c r="C37" s="367" t="s">
        <v>38</v>
      </c>
      <c r="D37" s="367"/>
      <c r="E37" s="367"/>
      <c r="F37" s="367"/>
      <c r="G37" s="367"/>
      <c r="H37" s="367"/>
      <c r="I37" s="194"/>
      <c r="J37" s="22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Q37" s="194"/>
      <c r="AR37" s="194"/>
      <c r="AS37" s="194"/>
      <c r="AT37" s="194"/>
      <c r="AU37" s="194"/>
      <c r="AV37" s="194"/>
      <c r="AW37" s="194"/>
      <c r="AX37" s="194"/>
    </row>
    <row r="38" spans="2:50" s="2" customFormat="1" ht="30" customHeight="1" x14ac:dyDescent="0.25">
      <c r="B38" s="194"/>
      <c r="C38" s="194"/>
      <c r="D38" s="194"/>
      <c r="E38" s="194"/>
      <c r="F38" s="194"/>
      <c r="G38" s="194"/>
      <c r="H38" s="194"/>
      <c r="I38" s="194"/>
      <c r="J38" s="22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Q38" s="194"/>
      <c r="AR38" s="194"/>
      <c r="AS38" s="194"/>
      <c r="AT38" s="194"/>
      <c r="AU38" s="194"/>
      <c r="AV38" s="194"/>
      <c r="AW38" s="194"/>
      <c r="AX38" s="194"/>
    </row>
    <row r="39" spans="2:50" s="2" customFormat="1" ht="30" customHeight="1" x14ac:dyDescent="0.25">
      <c r="B39" s="194"/>
      <c r="C39" s="194" t="s">
        <v>21</v>
      </c>
      <c r="D39" s="195"/>
      <c r="E39" s="194"/>
      <c r="F39" s="194" t="s">
        <v>112</v>
      </c>
      <c r="G39" s="194"/>
      <c r="H39" s="194"/>
      <c r="I39" s="194"/>
      <c r="J39" s="195"/>
      <c r="K39" s="194"/>
      <c r="L39" s="194"/>
      <c r="M39" s="194"/>
      <c r="N39" s="194"/>
      <c r="O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78" t="s">
        <v>100</v>
      </c>
      <c r="AJ39" s="117"/>
      <c r="AK39" s="117"/>
      <c r="AL39" s="117"/>
      <c r="AM39" s="117"/>
      <c r="AN39" s="117"/>
      <c r="AO39" s="117"/>
      <c r="AP39" s="117"/>
      <c r="AQ39" s="195"/>
      <c r="AR39" s="195"/>
      <c r="AS39" s="195"/>
      <c r="AT39" s="195"/>
      <c r="AU39" s="195"/>
      <c r="AV39" s="195"/>
      <c r="AW39" s="109"/>
      <c r="AX39" s="194"/>
    </row>
    <row r="40" spans="2:50" s="2" customFormat="1" ht="30" customHeight="1" x14ac:dyDescent="0.25">
      <c r="B40" s="194"/>
      <c r="C40" s="194" t="s">
        <v>22</v>
      </c>
      <c r="D40" s="23"/>
      <c r="E40" s="194"/>
      <c r="F40" s="194" t="s">
        <v>113</v>
      </c>
      <c r="G40" s="194"/>
      <c r="H40" s="194"/>
      <c r="I40" s="194"/>
      <c r="J40" s="194"/>
      <c r="K40" s="194"/>
      <c r="L40" s="194"/>
      <c r="M40" s="194"/>
      <c r="N40" s="194"/>
      <c r="O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76" t="s">
        <v>120</v>
      </c>
      <c r="AQ40" s="194"/>
      <c r="AR40" s="194"/>
      <c r="AS40" s="194"/>
      <c r="AT40" s="194"/>
      <c r="AU40" s="194"/>
      <c r="AV40" s="194"/>
      <c r="AW40" s="194"/>
      <c r="AX40" s="194"/>
    </row>
    <row r="41" spans="2:50" s="2" customFormat="1" ht="30" customHeight="1" x14ac:dyDescent="0.25">
      <c r="B41" s="194"/>
      <c r="C41" s="194" t="s">
        <v>23</v>
      </c>
      <c r="D41" s="23"/>
      <c r="E41" s="194"/>
      <c r="F41" s="194" t="s">
        <v>114</v>
      </c>
      <c r="G41" s="194"/>
      <c r="H41" s="194"/>
      <c r="I41" s="194"/>
      <c r="J41" s="194"/>
      <c r="K41" s="194"/>
      <c r="L41" s="194"/>
      <c r="M41" s="194"/>
      <c r="N41" s="194"/>
      <c r="O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76" t="s">
        <v>121</v>
      </c>
      <c r="AQ41" s="194"/>
      <c r="AR41" s="194"/>
      <c r="AS41" s="194"/>
      <c r="AT41" s="194"/>
      <c r="AU41" s="194"/>
      <c r="AV41" s="194"/>
      <c r="AW41" s="194"/>
      <c r="AX41" s="194"/>
    </row>
    <row r="42" spans="2:50" s="2" customFormat="1" ht="30" customHeight="1" x14ac:dyDescent="0.25">
      <c r="B42" s="194"/>
      <c r="C42" s="194" t="s">
        <v>24</v>
      </c>
      <c r="D42" s="23"/>
      <c r="E42" s="194"/>
      <c r="F42" s="194" t="s">
        <v>115</v>
      </c>
      <c r="G42" s="194"/>
      <c r="H42" s="194"/>
      <c r="I42" s="194"/>
      <c r="J42" s="194"/>
      <c r="K42" s="194"/>
      <c r="L42" s="194"/>
      <c r="M42" s="194"/>
      <c r="N42" s="194"/>
      <c r="O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76" t="s">
        <v>122</v>
      </c>
      <c r="AQ42" s="194"/>
      <c r="AR42" s="194"/>
      <c r="AS42" s="194"/>
      <c r="AT42" s="194"/>
      <c r="AU42" s="194"/>
      <c r="AV42" s="194"/>
      <c r="AW42" s="194"/>
      <c r="AX42" s="194"/>
    </row>
    <row r="43" spans="2:50" s="2" customFormat="1" ht="30" customHeight="1" x14ac:dyDescent="0.25">
      <c r="AO43" s="194"/>
    </row>
    <row r="44" spans="2:50" s="114" customFormat="1" ht="30" customHeight="1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O44" s="107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2:50" s="114" customFormat="1" ht="24.95" customHeight="1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2:50" ht="24.95" customHeight="1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2:50" s="25" customFormat="1" ht="20.25" x14ac:dyDescent="0.3"/>
    <row r="48" spans="2:50" s="25" customFormat="1" ht="20.25" x14ac:dyDescent="0.3"/>
    <row r="49" s="25" customFormat="1" ht="20.25" x14ac:dyDescent="0.3"/>
    <row r="50" s="25" customFormat="1" ht="20.25" x14ac:dyDescent="0.3"/>
    <row r="51" s="25" customFormat="1" ht="20.25" x14ac:dyDescent="0.3"/>
    <row r="52" s="25" customFormat="1" ht="20.25" x14ac:dyDescent="0.3"/>
    <row r="53" s="25" customFormat="1" ht="20.25" x14ac:dyDescent="0.3"/>
    <row r="54" s="25" customFormat="1" ht="20.25" x14ac:dyDescent="0.3"/>
    <row r="55" s="25" customFormat="1" ht="20.25" x14ac:dyDescent="0.3"/>
    <row r="56" s="25" customFormat="1" ht="20.25" x14ac:dyDescent="0.3"/>
    <row r="57" s="25" customFormat="1" ht="20.25" x14ac:dyDescent="0.3"/>
    <row r="58" s="25" customFormat="1" ht="20.25" x14ac:dyDescent="0.3"/>
    <row r="59" s="25" customFormat="1" ht="20.25" x14ac:dyDescent="0.3"/>
    <row r="60" s="25" customFormat="1" ht="20.25" x14ac:dyDescent="0.3"/>
    <row r="61" s="25" customFormat="1" ht="20.25" x14ac:dyDescent="0.3"/>
    <row r="62" s="25" customFormat="1" ht="20.25" x14ac:dyDescent="0.3"/>
    <row r="63" s="25" customFormat="1" ht="20.25" x14ac:dyDescent="0.3"/>
    <row r="64" s="25" customFormat="1" ht="20.25" x14ac:dyDescent="0.3"/>
    <row r="65" s="25" customFormat="1" ht="20.25" x14ac:dyDescent="0.3"/>
  </sheetData>
  <mergeCells count="39">
    <mergeCell ref="B21:D21"/>
    <mergeCell ref="B29:C29"/>
    <mergeCell ref="B30:C30"/>
    <mergeCell ref="D30:F30"/>
    <mergeCell ref="B31:D31"/>
    <mergeCell ref="C37:H37"/>
    <mergeCell ref="AU16:AU18"/>
    <mergeCell ref="AV16:AV18"/>
    <mergeCell ref="I17:K17"/>
    <mergeCell ref="R17:S17"/>
    <mergeCell ref="Y17:Z17"/>
    <mergeCell ref="AA17:AB17"/>
    <mergeCell ref="AE17:AE18"/>
    <mergeCell ref="AF17:AF18"/>
    <mergeCell ref="AH17:AH18"/>
    <mergeCell ref="AI17:AI18"/>
    <mergeCell ref="AH16:AJ16"/>
    <mergeCell ref="AO16:AO18"/>
    <mergeCell ref="AP16:AP18"/>
    <mergeCell ref="AQ16:AR17"/>
    <mergeCell ref="AS16:AS18"/>
    <mergeCell ref="AT16:AT18"/>
    <mergeCell ref="AJ17:AJ18"/>
    <mergeCell ref="B8:AW8"/>
    <mergeCell ref="B16:B19"/>
    <mergeCell ref="C16:C19"/>
    <mergeCell ref="D16:D19"/>
    <mergeCell ref="E16:E19"/>
    <mergeCell ref="F16:F19"/>
    <mergeCell ref="I16:N16"/>
    <mergeCell ref="P16:U16"/>
    <mergeCell ref="V16:V18"/>
    <mergeCell ref="W16:AF16"/>
    <mergeCell ref="B7:AW7"/>
    <mergeCell ref="B1:AW1"/>
    <mergeCell ref="B2:AW2"/>
    <mergeCell ref="B3:AW3"/>
    <mergeCell ref="B4:AW4"/>
    <mergeCell ref="B6:AW6"/>
  </mergeCells>
  <pageMargins left="0.31496062992125984" right="3.937007874015748E-2" top="0.43307086614173229" bottom="0.31496062992125984" header="0.31496062992125984" footer="0.31496062992125984"/>
  <pageSetup paperSize="14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AT53"/>
  <sheetViews>
    <sheetView topLeftCell="B13" zoomScale="66" zoomScaleNormal="66" workbookViewId="0">
      <selection activeCell="T47" sqref="T47"/>
    </sheetView>
  </sheetViews>
  <sheetFormatPr defaultRowHeight="16.5" x14ac:dyDescent="0.3"/>
  <cols>
    <col min="1" max="1" width="1.28515625" style="3" hidden="1" customWidth="1"/>
    <col min="2" max="2" width="12.42578125" style="3" customWidth="1"/>
    <col min="3" max="3" width="14.28515625" style="3" customWidth="1"/>
    <col min="4" max="4" width="39.28515625" style="3" customWidth="1"/>
    <col min="5" max="5" width="21.28515625" style="3" customWidth="1"/>
    <col min="6" max="6" width="26.140625" style="3" customWidth="1"/>
    <col min="7" max="7" width="10.140625" style="3" hidden="1" customWidth="1"/>
    <col min="8" max="8" width="10.7109375" style="3" hidden="1" customWidth="1"/>
    <col min="9" max="9" width="12.28515625" style="3" hidden="1" customWidth="1"/>
    <col min="10" max="10" width="14.140625" style="3" customWidth="1"/>
    <col min="11" max="11" width="13" style="3" customWidth="1"/>
    <col min="12" max="12" width="13.85546875" style="3" hidden="1" customWidth="1"/>
    <col min="13" max="13" width="11.85546875" style="3" hidden="1" customWidth="1"/>
    <col min="14" max="14" width="10" style="3" hidden="1" customWidth="1"/>
    <col min="15" max="15" width="10.140625" style="3" hidden="1" customWidth="1"/>
    <col min="16" max="16" width="12.7109375" style="3" hidden="1" customWidth="1"/>
    <col min="17" max="17" width="13.5703125" style="3" customWidth="1"/>
    <col min="18" max="18" width="11.140625" style="3" customWidth="1"/>
    <col min="19" max="19" width="12.28515625" style="3" customWidth="1"/>
    <col min="20" max="20" width="14" style="3" customWidth="1"/>
    <col min="21" max="21" width="8.5703125" style="3" hidden="1" customWidth="1"/>
    <col min="22" max="22" width="10.28515625" style="3" hidden="1" customWidth="1"/>
    <col min="23" max="23" width="13" style="3" customWidth="1"/>
    <col min="24" max="24" width="14.5703125" style="3" customWidth="1"/>
    <col min="25" max="25" width="10.140625" style="3" customWidth="1"/>
    <col min="26" max="26" width="12.42578125" style="3" customWidth="1"/>
    <col min="27" max="27" width="9.85546875" style="3" customWidth="1"/>
    <col min="28" max="28" width="13.140625" style="3" customWidth="1"/>
    <col min="29" max="29" width="11.85546875" style="3" customWidth="1"/>
    <col min="30" max="30" width="11.28515625" style="3" customWidth="1"/>
    <col min="31" max="32" width="11.140625" style="3" hidden="1" customWidth="1"/>
    <col min="33" max="33" width="10.140625" style="3" hidden="1" customWidth="1"/>
    <col min="34" max="34" width="12.140625" style="3" customWidth="1"/>
    <col min="35" max="35" width="0.7109375" style="3" hidden="1" customWidth="1"/>
    <col min="36" max="36" width="14.5703125" style="4" customWidth="1"/>
    <col min="37" max="37" width="11.140625" style="3" customWidth="1"/>
    <col min="38" max="38" width="7.42578125" style="3" hidden="1" customWidth="1"/>
    <col min="39" max="39" width="1.5703125" style="3" hidden="1" customWidth="1"/>
    <col min="40" max="40" width="12.140625" style="3" customWidth="1"/>
    <col min="41" max="42" width="8" style="3" hidden="1" customWidth="1"/>
    <col min="43" max="43" width="9.140625" style="3" hidden="1" customWidth="1"/>
    <col min="44" max="44" width="23.7109375" style="3" customWidth="1"/>
    <col min="45" max="45" width="12.28515625" style="3" bestFit="1" customWidth="1"/>
    <col min="46" max="46" width="12.7109375" style="3" bestFit="1" customWidth="1"/>
    <col min="47" max="16384" width="9.140625" style="3"/>
  </cols>
  <sheetData>
    <row r="1" spans="2:44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</row>
    <row r="2" spans="2:44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</row>
    <row r="3" spans="2:44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</row>
    <row r="4" spans="2:44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</row>
    <row r="5" spans="2:44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2:44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</row>
    <row r="7" spans="2:44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</row>
    <row r="8" spans="2:44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</row>
    <row r="9" spans="2:44" ht="8.25" customHeight="1" x14ac:dyDescent="0.3"/>
    <row r="10" spans="2:44" s="2" customFormat="1" ht="20.100000000000001" customHeight="1" x14ac:dyDescent="0.25">
      <c r="B10" s="202" t="s">
        <v>7</v>
      </c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</row>
    <row r="11" spans="2:44" s="2" customFormat="1" ht="20.100000000000001" customHeight="1" x14ac:dyDescent="0.25">
      <c r="B11" s="202" t="s">
        <v>8</v>
      </c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</row>
    <row r="12" spans="2:44" s="2" customFormat="1" ht="20.100000000000001" customHeight="1" x14ac:dyDescent="0.25">
      <c r="B12" s="202" t="s">
        <v>65</v>
      </c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</row>
    <row r="13" spans="2:44" s="2" customFormat="1" ht="26.25" customHeight="1" x14ac:dyDescent="0.25">
      <c r="B13" s="202" t="s">
        <v>141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</row>
    <row r="14" spans="2:44" s="7" customFormat="1" ht="12" customHeight="1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44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2:44" ht="23.25" customHeight="1" x14ac:dyDescent="0.3">
      <c r="B16" s="288" t="s">
        <v>9</v>
      </c>
      <c r="C16" s="291" t="s">
        <v>142</v>
      </c>
      <c r="D16" s="294" t="s">
        <v>10</v>
      </c>
      <c r="E16" s="294" t="s">
        <v>11</v>
      </c>
      <c r="F16" s="294" t="s">
        <v>46</v>
      </c>
      <c r="G16" s="297" t="s">
        <v>87</v>
      </c>
      <c r="H16" s="298"/>
      <c r="I16" s="298"/>
      <c r="J16" s="298"/>
      <c r="K16" s="298"/>
      <c r="L16" s="298"/>
      <c r="M16" s="298"/>
      <c r="N16" s="298"/>
      <c r="O16" s="298"/>
      <c r="P16" s="299"/>
      <c r="Q16" s="300" t="s">
        <v>69</v>
      </c>
      <c r="R16" s="297" t="s">
        <v>59</v>
      </c>
      <c r="S16" s="298"/>
      <c r="T16" s="298"/>
      <c r="U16" s="298"/>
      <c r="V16" s="298"/>
      <c r="W16" s="298"/>
      <c r="X16" s="298"/>
      <c r="Y16" s="298"/>
      <c r="Z16" s="298"/>
      <c r="AA16" s="299"/>
      <c r="AB16" s="303" t="s">
        <v>29</v>
      </c>
      <c r="AC16" s="303"/>
      <c r="AD16" s="303"/>
      <c r="AE16" s="303"/>
      <c r="AF16" s="303"/>
      <c r="AG16" s="303"/>
      <c r="AH16" s="303"/>
      <c r="AI16" s="314" t="s">
        <v>53</v>
      </c>
      <c r="AJ16" s="304" t="s">
        <v>48</v>
      </c>
      <c r="AK16" s="304" t="s">
        <v>58</v>
      </c>
      <c r="AL16" s="317" t="s">
        <v>62</v>
      </c>
      <c r="AM16" s="317"/>
      <c r="AN16" s="304" t="s">
        <v>47</v>
      </c>
      <c r="AO16" s="300" t="s">
        <v>16</v>
      </c>
      <c r="AP16" s="304" t="s">
        <v>39</v>
      </c>
      <c r="AQ16" s="304" t="s">
        <v>68</v>
      </c>
      <c r="AR16" s="58" t="s">
        <v>41</v>
      </c>
    </row>
    <row r="17" spans="2:46" ht="69.75" customHeight="1" x14ac:dyDescent="0.3">
      <c r="B17" s="289"/>
      <c r="C17" s="292"/>
      <c r="D17" s="295"/>
      <c r="E17" s="295"/>
      <c r="F17" s="295"/>
      <c r="G17" s="215" t="s">
        <v>26</v>
      </c>
      <c r="H17" s="215" t="s">
        <v>30</v>
      </c>
      <c r="I17" s="207" t="s">
        <v>104</v>
      </c>
      <c r="J17" s="207" t="s">
        <v>124</v>
      </c>
      <c r="K17" s="307" t="s">
        <v>94</v>
      </c>
      <c r="L17" s="308"/>
      <c r="M17" s="309"/>
      <c r="N17" s="207" t="s">
        <v>57</v>
      </c>
      <c r="O17" s="207" t="s">
        <v>85</v>
      </c>
      <c r="P17" s="207" t="s">
        <v>89</v>
      </c>
      <c r="Q17" s="301"/>
      <c r="R17" s="207" t="s">
        <v>55</v>
      </c>
      <c r="S17" s="215" t="s">
        <v>27</v>
      </c>
      <c r="T17" s="310" t="s">
        <v>56</v>
      </c>
      <c r="U17" s="310"/>
      <c r="V17" s="207" t="s">
        <v>91</v>
      </c>
      <c r="W17" s="311" t="s">
        <v>28</v>
      </c>
      <c r="X17" s="311"/>
      <c r="Y17" s="311"/>
      <c r="Z17" s="312" t="s">
        <v>71</v>
      </c>
      <c r="AA17" s="312" t="s">
        <v>15</v>
      </c>
      <c r="AB17" s="313" t="s">
        <v>72</v>
      </c>
      <c r="AC17" s="313" t="s">
        <v>117</v>
      </c>
      <c r="AD17" s="313" t="s">
        <v>73</v>
      </c>
      <c r="AE17" s="206" t="s">
        <v>50</v>
      </c>
      <c r="AF17" s="206" t="s">
        <v>51</v>
      </c>
      <c r="AG17" s="313" t="s">
        <v>74</v>
      </c>
      <c r="AH17" s="313" t="s">
        <v>77</v>
      </c>
      <c r="AI17" s="315"/>
      <c r="AJ17" s="305"/>
      <c r="AK17" s="305"/>
      <c r="AL17" s="310"/>
      <c r="AM17" s="310"/>
      <c r="AN17" s="305"/>
      <c r="AO17" s="301"/>
      <c r="AP17" s="305"/>
      <c r="AQ17" s="305"/>
      <c r="AR17" s="59" t="s">
        <v>42</v>
      </c>
    </row>
    <row r="18" spans="2:46" ht="24" customHeight="1" x14ac:dyDescent="0.3">
      <c r="B18" s="289"/>
      <c r="C18" s="292"/>
      <c r="D18" s="295"/>
      <c r="E18" s="295"/>
      <c r="F18" s="295"/>
      <c r="G18" s="209" t="s">
        <v>70</v>
      </c>
      <c r="H18" s="209">
        <v>200</v>
      </c>
      <c r="I18" s="209" t="s">
        <v>102</v>
      </c>
      <c r="J18" s="209" t="s">
        <v>102</v>
      </c>
      <c r="K18" s="206" t="s">
        <v>75</v>
      </c>
      <c r="L18" s="206" t="s">
        <v>49</v>
      </c>
      <c r="M18" s="206" t="s">
        <v>86</v>
      </c>
      <c r="N18" s="77" t="s">
        <v>76</v>
      </c>
      <c r="O18" s="77" t="s">
        <v>76</v>
      </c>
      <c r="P18" s="206" t="s">
        <v>88</v>
      </c>
      <c r="Q18" s="302"/>
      <c r="R18" s="206">
        <v>2.4</v>
      </c>
      <c r="S18" s="209">
        <v>3.6</v>
      </c>
      <c r="T18" s="207">
        <v>2.4</v>
      </c>
      <c r="U18" s="207">
        <v>3.6</v>
      </c>
      <c r="V18" s="207">
        <v>2.4</v>
      </c>
      <c r="W18" s="209">
        <v>3.6</v>
      </c>
      <c r="X18" s="209">
        <v>2.4</v>
      </c>
      <c r="Y18" s="209">
        <v>4.9000000000000004</v>
      </c>
      <c r="Z18" s="302"/>
      <c r="AA18" s="302"/>
      <c r="AB18" s="306"/>
      <c r="AC18" s="306"/>
      <c r="AD18" s="306"/>
      <c r="AE18" s="206"/>
      <c r="AF18" s="206"/>
      <c r="AG18" s="306"/>
      <c r="AH18" s="306"/>
      <c r="AI18" s="316"/>
      <c r="AJ18" s="306"/>
      <c r="AK18" s="306"/>
      <c r="AL18" s="209" t="s">
        <v>36</v>
      </c>
      <c r="AM18" s="209" t="s">
        <v>37</v>
      </c>
      <c r="AN18" s="306"/>
      <c r="AO18" s="302"/>
      <c r="AP18" s="306"/>
      <c r="AQ18" s="306"/>
      <c r="AR18" s="60" t="s">
        <v>43</v>
      </c>
    </row>
    <row r="19" spans="2:46" s="9" customFormat="1" ht="25.5" customHeight="1" x14ac:dyDescent="0.25">
      <c r="B19" s="290"/>
      <c r="C19" s="293"/>
      <c r="D19" s="296"/>
      <c r="E19" s="296"/>
      <c r="F19" s="296"/>
      <c r="G19" s="209" t="s">
        <v>12</v>
      </c>
      <c r="H19" s="209" t="s">
        <v>12</v>
      </c>
      <c r="I19" s="209" t="s">
        <v>12</v>
      </c>
      <c r="J19" s="209" t="s">
        <v>12</v>
      </c>
      <c r="K19" s="209" t="s">
        <v>12</v>
      </c>
      <c r="L19" s="209" t="s">
        <v>12</v>
      </c>
      <c r="M19" s="209" t="s">
        <v>12</v>
      </c>
      <c r="N19" s="209" t="s">
        <v>12</v>
      </c>
      <c r="O19" s="209" t="s">
        <v>12</v>
      </c>
      <c r="P19" s="209" t="s">
        <v>12</v>
      </c>
      <c r="Q19" s="56" t="s">
        <v>14</v>
      </c>
      <c r="R19" s="209" t="s">
        <v>12</v>
      </c>
      <c r="S19" s="209" t="s">
        <v>12</v>
      </c>
      <c r="T19" s="209" t="s">
        <v>12</v>
      </c>
      <c r="U19" s="209" t="s">
        <v>12</v>
      </c>
      <c r="V19" s="209" t="s">
        <v>12</v>
      </c>
      <c r="W19" s="209" t="s">
        <v>12</v>
      </c>
      <c r="X19" s="209" t="s">
        <v>12</v>
      </c>
      <c r="Y19" s="209" t="s">
        <v>12</v>
      </c>
      <c r="Z19" s="57" t="s">
        <v>12</v>
      </c>
      <c r="AA19" s="209" t="s">
        <v>12</v>
      </c>
      <c r="AB19" s="55" t="s">
        <v>13</v>
      </c>
      <c r="AC19" s="55" t="s">
        <v>13</v>
      </c>
      <c r="AD19" s="55" t="s">
        <v>13</v>
      </c>
      <c r="AE19" s="55" t="s">
        <v>13</v>
      </c>
      <c r="AF19" s="55" t="s">
        <v>13</v>
      </c>
      <c r="AG19" s="55" t="s">
        <v>13</v>
      </c>
      <c r="AH19" s="55" t="s">
        <v>13</v>
      </c>
      <c r="AI19" s="55" t="s">
        <v>13</v>
      </c>
      <c r="AJ19" s="55" t="s">
        <v>13</v>
      </c>
      <c r="AK19" s="57" t="s">
        <v>13</v>
      </c>
      <c r="AL19" s="209" t="s">
        <v>12</v>
      </c>
      <c r="AM19" s="209" t="s">
        <v>12</v>
      </c>
      <c r="AN19" s="215" t="s">
        <v>12</v>
      </c>
      <c r="AO19" s="57" t="s">
        <v>14</v>
      </c>
      <c r="AP19" s="215"/>
      <c r="AQ19" s="209"/>
      <c r="AR19" s="60"/>
    </row>
    <row r="20" spans="2:46" s="4" customFormat="1" ht="9.75" customHeight="1" x14ac:dyDescent="0.25">
      <c r="B20" s="27"/>
      <c r="C20" s="28"/>
      <c r="D20" s="28"/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30"/>
      <c r="R20" s="31"/>
      <c r="S20" s="31"/>
      <c r="T20" s="31"/>
      <c r="U20" s="31"/>
      <c r="V20" s="31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32"/>
      <c r="AK20" s="29"/>
      <c r="AL20" s="28"/>
      <c r="AM20" s="33"/>
      <c r="AN20" s="33"/>
      <c r="AO20" s="33"/>
      <c r="AP20" s="33"/>
      <c r="AQ20" s="33"/>
      <c r="AR20" s="34"/>
    </row>
    <row r="21" spans="2:46" s="2" customFormat="1" ht="48" customHeight="1" x14ac:dyDescent="0.25">
      <c r="B21" s="318" t="s">
        <v>143</v>
      </c>
      <c r="C21" s="319"/>
      <c r="D21" s="320"/>
      <c r="E21" s="64"/>
      <c r="F21" s="64"/>
      <c r="G21" s="104" t="e">
        <f>#REF!</f>
        <v>#REF!</v>
      </c>
      <c r="H21" s="104" t="e">
        <f>#REF!</f>
        <v>#REF!</v>
      </c>
      <c r="I21" s="104" t="e">
        <f>#REF!</f>
        <v>#REF!</v>
      </c>
      <c r="J21" s="66">
        <f>'JANUARY 2026 - PMC '!J38</f>
        <v>57029</v>
      </c>
      <c r="K21" s="66">
        <f>117075-412</f>
        <v>116663</v>
      </c>
      <c r="L21" s="66">
        <f>'JANUARY 2026 - PMC '!L38</f>
        <v>0</v>
      </c>
      <c r="M21" s="66">
        <f>'JANUARY 2026 - PMC '!M38</f>
        <v>0</v>
      </c>
      <c r="N21" s="66">
        <f>'JANUARY 2026 - PMC '!N38</f>
        <v>0</v>
      </c>
      <c r="O21" s="66">
        <f>'JANUARY 2026 - PMC '!O38</f>
        <v>0</v>
      </c>
      <c r="P21" s="66">
        <f>'JANUARY 2026 - PMC '!P38</f>
        <v>0</v>
      </c>
      <c r="Q21" s="66">
        <f>68700.19+14.5-0.1</f>
        <v>68714.59</v>
      </c>
      <c r="R21" s="66">
        <f>'JANUARY 2026 - PMC '!R38</f>
        <v>264</v>
      </c>
      <c r="S21" s="66">
        <f>'JANUARY 2026 - PMC '!S38</f>
        <v>847</v>
      </c>
      <c r="T21" s="66">
        <f>'JANUARY 2026 - PMC '!T38</f>
        <v>16364</v>
      </c>
      <c r="U21" s="66">
        <f>'JANUARY 2026 - PMC '!U38</f>
        <v>0</v>
      </c>
      <c r="V21" s="66">
        <f>'JANUARY 2026 - PMC '!V38</f>
        <v>0</v>
      </c>
      <c r="W21" s="66">
        <f>10536+75</f>
        <v>10611</v>
      </c>
      <c r="X21" s="66">
        <f>76109-82</f>
        <v>76027</v>
      </c>
      <c r="Y21" s="66">
        <f>'JANUARY 2026 - PMC '!Y38</f>
        <v>646</v>
      </c>
      <c r="Z21" s="66">
        <f>12272+12</f>
        <v>12284</v>
      </c>
      <c r="AA21" s="66">
        <v>190</v>
      </c>
      <c r="AB21" s="66">
        <f>30507-148</f>
        <v>30359</v>
      </c>
      <c r="AC21" s="66">
        <f>'JANUARY 2026 - PMC '!AC38</f>
        <v>797</v>
      </c>
      <c r="AD21" s="66">
        <f>'JANUARY 2026 - PMC '!AD38</f>
        <v>1532</v>
      </c>
      <c r="AE21" s="66">
        <f>'JANUARY 2026 - PMC '!AE38</f>
        <v>0</v>
      </c>
      <c r="AF21" s="66">
        <f>'JANUARY 2026 - PMC '!AF38</f>
        <v>0</v>
      </c>
      <c r="AG21" s="66">
        <f>'JANUARY 2026 - PMC '!AG38</f>
        <v>0</v>
      </c>
      <c r="AH21" s="66">
        <f>'JANUARY 2026 - PMC '!AH38</f>
        <v>1060</v>
      </c>
      <c r="AI21" s="66">
        <f>'JANUARY 2026 - PMC '!AI38</f>
        <v>0</v>
      </c>
      <c r="AJ21" s="66">
        <f>27610.96+29.16</f>
        <v>27640.12</v>
      </c>
      <c r="AK21" s="66">
        <f>'JANUARY 2026 - PMC '!AK38</f>
        <v>1835</v>
      </c>
      <c r="AL21" s="66">
        <f>'JANUARY 2026 - PMC '!AL38</f>
        <v>0</v>
      </c>
      <c r="AM21" s="66">
        <f>'JANUARY 2026 - PMC '!AM38</f>
        <v>0</v>
      </c>
      <c r="AN21" s="66">
        <f>238+8</f>
        <v>246</v>
      </c>
      <c r="AO21" s="66" t="e">
        <f>#REF!</f>
        <v>#REF!</v>
      </c>
      <c r="AP21" s="66" t="e">
        <f>#REF!</f>
        <v>#REF!</v>
      </c>
      <c r="AQ21" s="66" t="e">
        <f>#REF!</f>
        <v>#REF!</v>
      </c>
      <c r="AR21" s="129"/>
      <c r="AS21" s="180"/>
      <c r="AT21" s="130"/>
    </row>
    <row r="22" spans="2:46" s="10" customFormat="1" ht="5.25" customHeight="1" x14ac:dyDescent="0.25">
      <c r="B22" s="61"/>
      <c r="C22" s="62"/>
      <c r="D22" s="62"/>
      <c r="E22" s="38"/>
      <c r="F22" s="38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/>
      <c r="R22" s="47"/>
      <c r="S22" s="47"/>
      <c r="T22" s="47"/>
      <c r="U22" s="47"/>
      <c r="V22" s="47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4"/>
      <c r="AK22" s="43"/>
      <c r="AL22" s="44"/>
      <c r="AM22" s="44"/>
      <c r="AN22" s="44"/>
      <c r="AO22" s="43"/>
      <c r="AP22" s="43"/>
      <c r="AQ22" s="45"/>
      <c r="AR22" s="129"/>
    </row>
    <row r="23" spans="2:46" s="12" customFormat="1" ht="28.5" customHeight="1" x14ac:dyDescent="0.25">
      <c r="B23" s="321"/>
      <c r="C23" s="322">
        <v>46358</v>
      </c>
      <c r="D23" s="42" t="s">
        <v>31</v>
      </c>
      <c r="E23" s="42" t="s">
        <v>32</v>
      </c>
      <c r="F23" s="42" t="s">
        <v>61</v>
      </c>
      <c r="G23" s="67"/>
      <c r="H23" s="67"/>
      <c r="I23" s="67"/>
      <c r="J23" s="67">
        <f>100*200</f>
        <v>20000</v>
      </c>
      <c r="K23" s="67"/>
      <c r="L23" s="67"/>
      <c r="M23" s="67"/>
      <c r="N23" s="67"/>
      <c r="O23" s="67"/>
      <c r="P23" s="67"/>
      <c r="Q23" s="43"/>
      <c r="R23" s="69"/>
      <c r="S23" s="69"/>
      <c r="T23" s="69"/>
      <c r="U23" s="69"/>
      <c r="V23" s="69"/>
      <c r="W23" s="67"/>
      <c r="X23" s="43"/>
      <c r="Y23" s="67"/>
      <c r="Z23" s="67">
        <v>1000</v>
      </c>
      <c r="AA23" s="67">
        <v>40</v>
      </c>
      <c r="AB23" s="67"/>
      <c r="AC23" s="67"/>
      <c r="AD23" s="67"/>
      <c r="AE23" s="67"/>
      <c r="AF23" s="67"/>
      <c r="AG23" s="67"/>
      <c r="AH23" s="67"/>
      <c r="AI23" s="68"/>
      <c r="AJ23" s="68"/>
      <c r="AK23" s="67"/>
      <c r="AL23" s="68"/>
      <c r="AM23" s="68"/>
      <c r="AN23" s="68"/>
      <c r="AO23" s="67"/>
      <c r="AP23" s="67"/>
      <c r="AQ23" s="133"/>
      <c r="AR23" s="113" t="s">
        <v>40</v>
      </c>
      <c r="AS23" s="11"/>
    </row>
    <row r="24" spans="2:46" s="14" customFormat="1" ht="28.5" customHeight="1" x14ac:dyDescent="0.25">
      <c r="B24" s="321"/>
      <c r="C24" s="323"/>
      <c r="D24" s="42" t="s">
        <v>80</v>
      </c>
      <c r="E24" s="42" t="s">
        <v>33</v>
      </c>
      <c r="F24" s="42" t="s">
        <v>60</v>
      </c>
      <c r="G24" s="43"/>
      <c r="H24" s="43"/>
      <c r="I24" s="43"/>
      <c r="J24" s="43"/>
      <c r="K24" s="43">
        <f>100*215</f>
        <v>21500</v>
      </c>
      <c r="L24" s="43"/>
      <c r="M24" s="43"/>
      <c r="N24" s="43"/>
      <c r="O24" s="43"/>
      <c r="P24" s="43"/>
      <c r="Q24" s="43">
        <f>600*25</f>
        <v>15000</v>
      </c>
      <c r="R24" s="70"/>
      <c r="S24" s="70"/>
      <c r="T24" s="70"/>
      <c r="U24" s="70"/>
      <c r="V24" s="70"/>
      <c r="W24" s="43"/>
      <c r="X24" s="43">
        <v>17750</v>
      </c>
      <c r="Y24" s="43"/>
      <c r="Z24" s="67">
        <v>1000</v>
      </c>
      <c r="AA24" s="43"/>
      <c r="AB24" s="43">
        <v>9000</v>
      </c>
      <c r="AC24" s="43"/>
      <c r="AD24" s="43"/>
      <c r="AE24" s="43"/>
      <c r="AF24" s="43"/>
      <c r="AG24" s="43"/>
      <c r="AH24" s="43"/>
      <c r="AI24" s="44"/>
      <c r="AJ24" s="68">
        <v>10000</v>
      </c>
      <c r="AK24" s="71"/>
      <c r="AL24" s="44"/>
      <c r="AM24" s="44"/>
      <c r="AN24" s="44"/>
      <c r="AO24" s="43"/>
      <c r="AP24" s="43"/>
      <c r="AQ24" s="45"/>
      <c r="AR24" s="113" t="s">
        <v>44</v>
      </c>
      <c r="AS24" s="179"/>
    </row>
    <row r="25" spans="2:46" s="12" customFormat="1" ht="28.5" customHeight="1" x14ac:dyDescent="0.25">
      <c r="B25" s="321"/>
      <c r="C25" s="322" t="s">
        <v>145</v>
      </c>
      <c r="D25" s="42" t="s">
        <v>31</v>
      </c>
      <c r="E25" s="42" t="s">
        <v>32</v>
      </c>
      <c r="F25" s="42" t="s">
        <v>61</v>
      </c>
      <c r="G25" s="67"/>
      <c r="H25" s="67"/>
      <c r="I25" s="67"/>
      <c r="J25" s="67">
        <f>75*200</f>
        <v>15000</v>
      </c>
      <c r="K25" s="67"/>
      <c r="L25" s="67"/>
      <c r="M25" s="67"/>
      <c r="N25" s="67"/>
      <c r="O25" s="67"/>
      <c r="P25" s="67"/>
      <c r="Q25" s="43"/>
      <c r="R25" s="69"/>
      <c r="S25" s="69"/>
      <c r="T25" s="69"/>
      <c r="U25" s="69"/>
      <c r="V25" s="69"/>
      <c r="W25" s="67"/>
      <c r="X25" s="68"/>
      <c r="Y25" s="68"/>
      <c r="Z25" s="67">
        <v>1000</v>
      </c>
      <c r="AA25" s="67">
        <v>120</v>
      </c>
      <c r="AB25" s="67"/>
      <c r="AC25" s="67"/>
      <c r="AD25" s="67"/>
      <c r="AE25" s="67"/>
      <c r="AF25" s="67"/>
      <c r="AG25" s="67"/>
      <c r="AH25" s="67"/>
      <c r="AI25" s="68"/>
      <c r="AJ25" s="68"/>
      <c r="AK25" s="67"/>
      <c r="AL25" s="68"/>
      <c r="AM25" s="68"/>
      <c r="AN25" s="68"/>
      <c r="AO25" s="67"/>
      <c r="AP25" s="67"/>
      <c r="AQ25" s="133"/>
      <c r="AR25" s="113" t="s">
        <v>40</v>
      </c>
      <c r="AS25" s="11"/>
    </row>
    <row r="26" spans="2:46" s="14" customFormat="1" ht="28.5" customHeight="1" x14ac:dyDescent="0.25">
      <c r="B26" s="321"/>
      <c r="C26" s="323"/>
      <c r="D26" s="42" t="s">
        <v>80</v>
      </c>
      <c r="E26" s="42" t="s">
        <v>33</v>
      </c>
      <c r="F26" s="42" t="s">
        <v>60</v>
      </c>
      <c r="G26" s="43"/>
      <c r="H26" s="43"/>
      <c r="I26" s="43"/>
      <c r="J26" s="43"/>
      <c r="K26" s="43">
        <f>75*215</f>
        <v>16125</v>
      </c>
      <c r="L26" s="43"/>
      <c r="M26" s="43"/>
      <c r="N26" s="43"/>
      <c r="O26" s="43"/>
      <c r="P26" s="43"/>
      <c r="Q26" s="43">
        <v>15000</v>
      </c>
      <c r="R26" s="70"/>
      <c r="S26" s="70"/>
      <c r="T26" s="70"/>
      <c r="U26" s="70"/>
      <c r="V26" s="70"/>
      <c r="W26" s="43"/>
      <c r="X26" s="43">
        <v>14500</v>
      </c>
      <c r="Y26" s="43"/>
      <c r="Z26" s="67">
        <v>1000</v>
      </c>
      <c r="AA26" s="43"/>
      <c r="AB26" s="43">
        <v>5400</v>
      </c>
      <c r="AC26" s="43"/>
      <c r="AD26" s="43"/>
      <c r="AE26" s="43"/>
      <c r="AF26" s="43"/>
      <c r="AG26" s="43"/>
      <c r="AH26" s="43"/>
      <c r="AI26" s="44"/>
      <c r="AJ26" s="68">
        <v>5000</v>
      </c>
      <c r="AK26" s="43">
        <v>600</v>
      </c>
      <c r="AL26" s="44"/>
      <c r="AM26" s="44"/>
      <c r="AN26" s="43"/>
      <c r="AO26" s="43"/>
      <c r="AP26" s="43"/>
      <c r="AQ26" s="45"/>
      <c r="AR26" s="113" t="s">
        <v>44</v>
      </c>
      <c r="AS26" s="13"/>
    </row>
    <row r="27" spans="2:46" s="12" customFormat="1" ht="28.5" hidden="1" customHeight="1" x14ac:dyDescent="0.25">
      <c r="B27" s="321"/>
      <c r="C27" s="322"/>
      <c r="D27" s="42" t="s">
        <v>31</v>
      </c>
      <c r="E27" s="42" t="s">
        <v>32</v>
      </c>
      <c r="F27" s="42" t="s">
        <v>61</v>
      </c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43"/>
      <c r="R27" s="69"/>
      <c r="S27" s="69"/>
      <c r="T27" s="69"/>
      <c r="U27" s="69"/>
      <c r="V27" s="69"/>
      <c r="W27" s="67"/>
      <c r="X27" s="68"/>
      <c r="Y27" s="68"/>
      <c r="Z27" s="67"/>
      <c r="AA27" s="67"/>
      <c r="AB27" s="67"/>
      <c r="AC27" s="67"/>
      <c r="AD27" s="67"/>
      <c r="AE27" s="67"/>
      <c r="AF27" s="67"/>
      <c r="AG27" s="67"/>
      <c r="AH27" s="67"/>
      <c r="AI27" s="68"/>
      <c r="AJ27" s="68"/>
      <c r="AK27" s="67"/>
      <c r="AL27" s="68"/>
      <c r="AM27" s="68"/>
      <c r="AN27" s="68"/>
      <c r="AO27" s="67"/>
      <c r="AP27" s="67"/>
      <c r="AQ27" s="133"/>
      <c r="AR27" s="113" t="s">
        <v>40</v>
      </c>
      <c r="AS27" s="11"/>
    </row>
    <row r="28" spans="2:46" s="14" customFormat="1" ht="28.5" hidden="1" customHeight="1" x14ac:dyDescent="0.25">
      <c r="B28" s="321"/>
      <c r="C28" s="323"/>
      <c r="D28" s="42" t="s">
        <v>80</v>
      </c>
      <c r="E28" s="42" t="s">
        <v>33</v>
      </c>
      <c r="F28" s="42" t="s">
        <v>60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70"/>
      <c r="S28" s="70"/>
      <c r="T28" s="70"/>
      <c r="U28" s="70"/>
      <c r="V28" s="70"/>
      <c r="W28" s="43"/>
      <c r="X28" s="43"/>
      <c r="Y28" s="43"/>
      <c r="Z28" s="67"/>
      <c r="AA28" s="43"/>
      <c r="AB28" s="43"/>
      <c r="AC28" s="43"/>
      <c r="AD28" s="43"/>
      <c r="AE28" s="43"/>
      <c r="AF28" s="43"/>
      <c r="AG28" s="43"/>
      <c r="AH28" s="43"/>
      <c r="AI28" s="44"/>
      <c r="AJ28" s="68"/>
      <c r="AK28" s="43"/>
      <c r="AL28" s="44"/>
      <c r="AM28" s="44"/>
      <c r="AN28" s="43"/>
      <c r="AO28" s="43"/>
      <c r="AP28" s="43"/>
      <c r="AQ28" s="45"/>
      <c r="AR28" s="113" t="s">
        <v>44</v>
      </c>
      <c r="AS28" s="13"/>
    </row>
    <row r="29" spans="2:46" s="12" customFormat="1" ht="28.5" hidden="1" customHeight="1" x14ac:dyDescent="0.25">
      <c r="B29" s="321"/>
      <c r="C29" s="322"/>
      <c r="D29" s="42" t="s">
        <v>31</v>
      </c>
      <c r="E29" s="42" t="s">
        <v>32</v>
      </c>
      <c r="F29" s="42" t="s">
        <v>61</v>
      </c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43"/>
      <c r="R29" s="69"/>
      <c r="S29" s="69"/>
      <c r="T29" s="69"/>
      <c r="U29" s="69"/>
      <c r="V29" s="69"/>
      <c r="W29" s="67"/>
      <c r="X29" s="68"/>
      <c r="Y29" s="68"/>
      <c r="Z29" s="67"/>
      <c r="AA29" s="67"/>
      <c r="AB29" s="67"/>
      <c r="AC29" s="67"/>
      <c r="AD29" s="67"/>
      <c r="AE29" s="67"/>
      <c r="AF29" s="67"/>
      <c r="AG29" s="67"/>
      <c r="AH29" s="67"/>
      <c r="AI29" s="68"/>
      <c r="AJ29" s="68"/>
      <c r="AK29" s="67"/>
      <c r="AL29" s="68"/>
      <c r="AM29" s="68"/>
      <c r="AN29" s="68"/>
      <c r="AO29" s="67"/>
      <c r="AP29" s="67"/>
      <c r="AQ29" s="133"/>
      <c r="AR29" s="113" t="s">
        <v>40</v>
      </c>
      <c r="AS29" s="11"/>
    </row>
    <row r="30" spans="2:46" s="14" customFormat="1" ht="28.5" hidden="1" customHeight="1" x14ac:dyDescent="0.25">
      <c r="B30" s="321"/>
      <c r="C30" s="323"/>
      <c r="D30" s="42" t="s">
        <v>80</v>
      </c>
      <c r="E30" s="42" t="s">
        <v>33</v>
      </c>
      <c r="F30" s="42" t="s">
        <v>60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70"/>
      <c r="S30" s="70"/>
      <c r="T30" s="70"/>
      <c r="U30" s="70"/>
      <c r="V30" s="70"/>
      <c r="W30" s="43"/>
      <c r="X30" s="43"/>
      <c r="Y30" s="43"/>
      <c r="Z30" s="67"/>
      <c r="AA30" s="43"/>
      <c r="AB30" s="43"/>
      <c r="AC30" s="43"/>
      <c r="AD30" s="43"/>
      <c r="AE30" s="43"/>
      <c r="AF30" s="43"/>
      <c r="AG30" s="43"/>
      <c r="AH30" s="43"/>
      <c r="AI30" s="44"/>
      <c r="AJ30" s="68"/>
      <c r="AK30" s="43"/>
      <c r="AL30" s="44"/>
      <c r="AM30" s="44"/>
      <c r="AN30" s="43"/>
      <c r="AO30" s="43"/>
      <c r="AP30" s="43"/>
      <c r="AQ30" s="45"/>
      <c r="AR30" s="113" t="s">
        <v>44</v>
      </c>
      <c r="AS30" s="13"/>
    </row>
    <row r="31" spans="2:46" s="10" customFormat="1" ht="23.25" x14ac:dyDescent="0.25">
      <c r="B31" s="41" t="s">
        <v>34</v>
      </c>
      <c r="C31" s="50"/>
      <c r="D31" s="51"/>
      <c r="E31" s="52"/>
      <c r="F31" s="52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/>
      <c r="R31" s="44"/>
      <c r="S31" s="44"/>
      <c r="T31" s="44"/>
      <c r="U31" s="44"/>
      <c r="V31" s="44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  <c r="AJ31" s="44"/>
      <c r="AK31" s="43"/>
      <c r="AL31" s="44"/>
      <c r="AM31" s="44"/>
      <c r="AN31" s="44"/>
      <c r="AO31" s="43"/>
      <c r="AP31" s="43"/>
      <c r="AQ31" s="45"/>
      <c r="AR31" s="129"/>
      <c r="AS31" s="2"/>
    </row>
    <row r="32" spans="2:46" s="10" customFormat="1" ht="23.25" x14ac:dyDescent="0.25">
      <c r="B32" s="41" t="s">
        <v>35</v>
      </c>
      <c r="C32" s="40"/>
      <c r="D32" s="38"/>
      <c r="E32" s="38"/>
      <c r="F32" s="38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4"/>
      <c r="R32" s="44"/>
      <c r="S32" s="44"/>
      <c r="T32" s="44"/>
      <c r="U32" s="44"/>
      <c r="V32" s="44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4"/>
      <c r="AJ32" s="44"/>
      <c r="AK32" s="43"/>
      <c r="AL32" s="44"/>
      <c r="AM32" s="44"/>
      <c r="AN32" s="44"/>
      <c r="AO32" s="43"/>
      <c r="AP32" s="43"/>
      <c r="AQ32" s="45"/>
      <c r="AR32" s="129"/>
      <c r="AS32" s="2"/>
    </row>
    <row r="33" spans="2:45" s="13" customFormat="1" ht="39.950000000000003" customHeight="1" x14ac:dyDescent="0.25">
      <c r="B33" s="103" t="s">
        <v>17</v>
      </c>
      <c r="C33" s="104"/>
      <c r="D33" s="104"/>
      <c r="E33" s="104"/>
      <c r="F33" s="104"/>
      <c r="G33" s="132" t="e">
        <f t="shared" ref="G33:AQ33" si="0">SUM(G21:G32)</f>
        <v>#REF!</v>
      </c>
      <c r="H33" s="132" t="e">
        <f t="shared" si="0"/>
        <v>#REF!</v>
      </c>
      <c r="I33" s="132" t="e">
        <f t="shared" si="0"/>
        <v>#REF!</v>
      </c>
      <c r="J33" s="46">
        <f t="shared" si="0"/>
        <v>92029</v>
      </c>
      <c r="K33" s="46">
        <f>SUM(K21:K32)</f>
        <v>154288</v>
      </c>
      <c r="L33" s="46">
        <f t="shared" si="0"/>
        <v>0</v>
      </c>
      <c r="M33" s="46">
        <f t="shared" si="0"/>
        <v>0</v>
      </c>
      <c r="N33" s="46">
        <f t="shared" si="0"/>
        <v>0</v>
      </c>
      <c r="O33" s="46">
        <f t="shared" si="0"/>
        <v>0</v>
      </c>
      <c r="P33" s="46">
        <f t="shared" si="0"/>
        <v>0</v>
      </c>
      <c r="Q33" s="65">
        <f t="shared" si="0"/>
        <v>98714.59</v>
      </c>
      <c r="R33" s="46">
        <f t="shared" si="0"/>
        <v>264</v>
      </c>
      <c r="S33" s="46">
        <f t="shared" si="0"/>
        <v>847</v>
      </c>
      <c r="T33" s="46">
        <f t="shared" si="0"/>
        <v>16364</v>
      </c>
      <c r="U33" s="46">
        <f t="shared" si="0"/>
        <v>0</v>
      </c>
      <c r="V33" s="46">
        <f t="shared" si="0"/>
        <v>0</v>
      </c>
      <c r="W33" s="46">
        <f t="shared" si="0"/>
        <v>10611</v>
      </c>
      <c r="X33" s="46">
        <f>SUM(X21:X32)</f>
        <v>108277</v>
      </c>
      <c r="Y33" s="46">
        <f t="shared" si="0"/>
        <v>646</v>
      </c>
      <c r="Z33" s="46">
        <f t="shared" si="0"/>
        <v>16284</v>
      </c>
      <c r="AA33" s="46">
        <f>SUM(AA21:AA32)</f>
        <v>350</v>
      </c>
      <c r="AB33" s="46">
        <f>SUM(AB21:AB32)</f>
        <v>44759</v>
      </c>
      <c r="AC33" s="46">
        <f t="shared" si="0"/>
        <v>797</v>
      </c>
      <c r="AD33" s="46">
        <f t="shared" si="0"/>
        <v>1532</v>
      </c>
      <c r="AE33" s="46">
        <f t="shared" si="0"/>
        <v>0</v>
      </c>
      <c r="AF33" s="46">
        <f t="shared" si="0"/>
        <v>0</v>
      </c>
      <c r="AG33" s="46">
        <f t="shared" si="0"/>
        <v>0</v>
      </c>
      <c r="AH33" s="46">
        <f t="shared" si="0"/>
        <v>1060</v>
      </c>
      <c r="AI33" s="46">
        <f t="shared" si="0"/>
        <v>0</v>
      </c>
      <c r="AJ33" s="65">
        <f t="shared" si="0"/>
        <v>42640.119999999995</v>
      </c>
      <c r="AK33" s="46">
        <f t="shared" si="0"/>
        <v>2435</v>
      </c>
      <c r="AL33" s="46">
        <f t="shared" si="0"/>
        <v>0</v>
      </c>
      <c r="AM33" s="46">
        <f t="shared" si="0"/>
        <v>0</v>
      </c>
      <c r="AN33" s="46">
        <f t="shared" si="0"/>
        <v>246</v>
      </c>
      <c r="AO33" s="46" t="e">
        <f t="shared" si="0"/>
        <v>#REF!</v>
      </c>
      <c r="AP33" s="46" t="e">
        <f t="shared" si="0"/>
        <v>#REF!</v>
      </c>
      <c r="AQ33" s="46" t="e">
        <f t="shared" si="0"/>
        <v>#REF!</v>
      </c>
      <c r="AR33" s="131"/>
    </row>
    <row r="34" spans="2:45" s="14" customFormat="1" ht="23.25" x14ac:dyDescent="0.25">
      <c r="B34" s="326" t="s">
        <v>18</v>
      </c>
      <c r="C34" s="327"/>
      <c r="D34" s="39"/>
      <c r="E34" s="39"/>
      <c r="F34" s="39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/>
      <c r="R34" s="44"/>
      <c r="S34" s="44"/>
      <c r="T34" s="44"/>
      <c r="U34" s="44"/>
      <c r="V34" s="44"/>
      <c r="W34" s="43"/>
      <c r="X34" s="43"/>
      <c r="Y34" s="43"/>
      <c r="Z34" s="43"/>
      <c r="AA34" s="44"/>
      <c r="AB34" s="43"/>
      <c r="AC34" s="43"/>
      <c r="AD34" s="43"/>
      <c r="AE34" s="43"/>
      <c r="AF34" s="43"/>
      <c r="AG34" s="43"/>
      <c r="AH34" s="43"/>
      <c r="AI34" s="43"/>
      <c r="AJ34" s="44"/>
      <c r="AK34" s="43"/>
      <c r="AL34" s="44"/>
      <c r="AM34" s="44"/>
      <c r="AN34" s="44"/>
      <c r="AO34" s="134"/>
      <c r="AP34" s="134"/>
      <c r="AQ34" s="45"/>
      <c r="AR34" s="131"/>
      <c r="AS34" s="13"/>
    </row>
    <row r="35" spans="2:45" s="14" customFormat="1" ht="59.25" customHeight="1" x14ac:dyDescent="0.25">
      <c r="B35" s="328" t="s">
        <v>79</v>
      </c>
      <c r="C35" s="329"/>
      <c r="D35" s="334" t="s">
        <v>81</v>
      </c>
      <c r="E35" s="335"/>
      <c r="F35" s="336"/>
      <c r="G35" s="72"/>
      <c r="H35" s="72"/>
      <c r="I35" s="72">
        <v>0</v>
      </c>
      <c r="J35" s="72">
        <v>41302</v>
      </c>
      <c r="K35" s="72">
        <v>39560</v>
      </c>
      <c r="L35" s="72"/>
      <c r="M35" s="72"/>
      <c r="N35" s="72"/>
      <c r="O35" s="72"/>
      <c r="P35" s="72"/>
      <c r="Q35" s="73">
        <v>29423</v>
      </c>
      <c r="R35" s="72">
        <v>0</v>
      </c>
      <c r="S35" s="72">
        <v>0</v>
      </c>
      <c r="T35" s="72">
        <v>0</v>
      </c>
      <c r="U35" s="72"/>
      <c r="V35" s="72"/>
      <c r="W35" s="72">
        <v>414</v>
      </c>
      <c r="X35" s="72">
        <v>39733</v>
      </c>
      <c r="Y35" s="72"/>
      <c r="Z35" s="72">
        <v>4620</v>
      </c>
      <c r="AA35" s="72">
        <v>158</v>
      </c>
      <c r="AB35" s="72">
        <v>18752</v>
      </c>
      <c r="AC35" s="72">
        <v>797</v>
      </c>
      <c r="AD35" s="72">
        <v>20</v>
      </c>
      <c r="AE35" s="72"/>
      <c r="AF35" s="72"/>
      <c r="AG35" s="72"/>
      <c r="AH35" s="72">
        <v>0</v>
      </c>
      <c r="AI35" s="72"/>
      <c r="AJ35" s="73">
        <f>Z35*2.43</f>
        <v>11226.6</v>
      </c>
      <c r="AK35" s="72">
        <v>340</v>
      </c>
      <c r="AL35" s="72"/>
      <c r="AM35" s="72"/>
      <c r="AN35" s="72">
        <v>1</v>
      </c>
      <c r="AO35" s="72"/>
      <c r="AP35" s="72"/>
      <c r="AQ35" s="72"/>
      <c r="AR35" s="131"/>
      <c r="AS35" s="181"/>
    </row>
    <row r="36" spans="2:45" s="14" customFormat="1" ht="36" customHeight="1" x14ac:dyDescent="0.25">
      <c r="B36" s="330"/>
      <c r="C36" s="331"/>
      <c r="D36" s="397" t="s">
        <v>153</v>
      </c>
      <c r="E36" s="397"/>
      <c r="F36" s="397"/>
      <c r="G36" s="324">
        <v>0</v>
      </c>
      <c r="H36" s="74"/>
      <c r="I36" s="324"/>
      <c r="J36" s="324"/>
      <c r="K36" s="324">
        <v>3870</v>
      </c>
      <c r="L36" s="324"/>
      <c r="M36" s="324"/>
      <c r="N36" s="324"/>
      <c r="O36" s="324"/>
      <c r="P36" s="324"/>
      <c r="Q36" s="324">
        <v>650</v>
      </c>
      <c r="R36" s="324"/>
      <c r="S36" s="324"/>
      <c r="T36" s="324"/>
      <c r="U36" s="324"/>
      <c r="V36" s="324"/>
      <c r="W36" s="324">
        <v>885</v>
      </c>
      <c r="X36" s="324">
        <v>525</v>
      </c>
      <c r="Y36" s="324"/>
      <c r="Z36" s="324">
        <v>192</v>
      </c>
      <c r="AA36" s="324">
        <v>14</v>
      </c>
      <c r="AB36" s="324">
        <v>1129</v>
      </c>
      <c r="AC36" s="324"/>
      <c r="AD36" s="324"/>
      <c r="AE36" s="324"/>
      <c r="AF36" s="324"/>
      <c r="AG36" s="324"/>
      <c r="AH36" s="324"/>
      <c r="AI36" s="324"/>
      <c r="AJ36" s="343">
        <f>Z36*2.43</f>
        <v>466.56000000000006</v>
      </c>
      <c r="AK36" s="324">
        <v>300</v>
      </c>
      <c r="AL36" s="324"/>
      <c r="AM36" s="324"/>
      <c r="AN36" s="324">
        <v>30</v>
      </c>
      <c r="AO36" s="324">
        <v>0</v>
      </c>
      <c r="AP36" s="324">
        <v>0</v>
      </c>
      <c r="AQ36" s="324">
        <v>0</v>
      </c>
      <c r="AR36" s="339"/>
      <c r="AS36" s="13"/>
    </row>
    <row r="37" spans="2:45" s="15" customFormat="1" ht="48.75" customHeight="1" x14ac:dyDescent="0.25">
      <c r="B37" s="332"/>
      <c r="C37" s="333"/>
      <c r="D37" s="397"/>
      <c r="E37" s="397"/>
      <c r="F37" s="397"/>
      <c r="G37" s="325"/>
      <c r="H37" s="7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25"/>
      <c r="AI37" s="325"/>
      <c r="AJ37" s="344"/>
      <c r="AK37" s="325"/>
      <c r="AL37" s="325"/>
      <c r="AM37" s="325"/>
      <c r="AN37" s="325"/>
      <c r="AO37" s="325"/>
      <c r="AP37" s="325"/>
      <c r="AQ37" s="325"/>
      <c r="AR37" s="340"/>
    </row>
    <row r="38" spans="2:45" s="13" customFormat="1" ht="39.950000000000003" customHeight="1" thickBot="1" x14ac:dyDescent="0.3">
      <c r="B38" s="125" t="s">
        <v>144</v>
      </c>
      <c r="C38" s="126"/>
      <c r="D38" s="63"/>
      <c r="E38" s="63"/>
      <c r="F38" s="63"/>
      <c r="G38" s="128" t="e">
        <f t="shared" ref="G38:AQ38" si="1">G33-G35-G36</f>
        <v>#REF!</v>
      </c>
      <c r="H38" s="128" t="e">
        <f t="shared" si="1"/>
        <v>#REF!</v>
      </c>
      <c r="I38" s="128" t="e">
        <f t="shared" si="1"/>
        <v>#REF!</v>
      </c>
      <c r="J38" s="76">
        <f>J33-J35+J36</f>
        <v>50727</v>
      </c>
      <c r="K38" s="76">
        <f t="shared" ref="K38:AN38" si="2">K33-K35+K36</f>
        <v>118598</v>
      </c>
      <c r="L38" s="76">
        <f t="shared" si="2"/>
        <v>0</v>
      </c>
      <c r="M38" s="76">
        <f t="shared" si="2"/>
        <v>0</v>
      </c>
      <c r="N38" s="76">
        <f t="shared" si="2"/>
        <v>0</v>
      </c>
      <c r="O38" s="76">
        <f t="shared" si="2"/>
        <v>0</v>
      </c>
      <c r="P38" s="76">
        <f t="shared" si="2"/>
        <v>0</v>
      </c>
      <c r="Q38" s="170">
        <f t="shared" si="2"/>
        <v>69941.59</v>
      </c>
      <c r="R38" s="76">
        <f t="shared" si="2"/>
        <v>264</v>
      </c>
      <c r="S38" s="76">
        <f t="shared" si="2"/>
        <v>847</v>
      </c>
      <c r="T38" s="76">
        <f t="shared" si="2"/>
        <v>16364</v>
      </c>
      <c r="U38" s="76">
        <f t="shared" si="2"/>
        <v>0</v>
      </c>
      <c r="V38" s="76">
        <f t="shared" si="2"/>
        <v>0</v>
      </c>
      <c r="W38" s="76">
        <f t="shared" si="2"/>
        <v>11082</v>
      </c>
      <c r="X38" s="76">
        <f t="shared" si="2"/>
        <v>69069</v>
      </c>
      <c r="Y38" s="76">
        <f t="shared" si="2"/>
        <v>646</v>
      </c>
      <c r="Z38" s="76">
        <f t="shared" si="2"/>
        <v>11856</v>
      </c>
      <c r="AA38" s="76">
        <f t="shared" si="2"/>
        <v>206</v>
      </c>
      <c r="AB38" s="76">
        <f t="shared" si="2"/>
        <v>27136</v>
      </c>
      <c r="AC38" s="76">
        <f t="shared" si="2"/>
        <v>0</v>
      </c>
      <c r="AD38" s="76">
        <f t="shared" si="2"/>
        <v>1512</v>
      </c>
      <c r="AE38" s="76">
        <f t="shared" si="2"/>
        <v>0</v>
      </c>
      <c r="AF38" s="76">
        <f t="shared" si="2"/>
        <v>0</v>
      </c>
      <c r="AG38" s="76">
        <f t="shared" si="2"/>
        <v>0</v>
      </c>
      <c r="AH38" s="76">
        <f t="shared" si="2"/>
        <v>1060</v>
      </c>
      <c r="AI38" s="76">
        <f t="shared" si="2"/>
        <v>0</v>
      </c>
      <c r="AJ38" s="170">
        <f t="shared" si="2"/>
        <v>31880.079999999998</v>
      </c>
      <c r="AK38" s="76">
        <f t="shared" si="2"/>
        <v>2395</v>
      </c>
      <c r="AL38" s="76">
        <f t="shared" si="2"/>
        <v>0</v>
      </c>
      <c r="AM38" s="76">
        <f t="shared" si="2"/>
        <v>0</v>
      </c>
      <c r="AN38" s="76">
        <f t="shared" si="2"/>
        <v>275</v>
      </c>
      <c r="AO38" s="76" t="e">
        <f t="shared" si="1"/>
        <v>#REF!</v>
      </c>
      <c r="AP38" s="76" t="e">
        <f t="shared" si="1"/>
        <v>#REF!</v>
      </c>
      <c r="AQ38" s="76" t="e">
        <f t="shared" si="1"/>
        <v>#REF!</v>
      </c>
      <c r="AR38" s="127"/>
    </row>
    <row r="39" spans="2:45" s="1" customFormat="1" ht="28.5" customHeight="1" x14ac:dyDescent="0.35">
      <c r="H39" s="172"/>
      <c r="I39" s="172"/>
      <c r="J39" s="172"/>
      <c r="K39" s="172"/>
      <c r="L39" s="172"/>
      <c r="M39" s="172"/>
      <c r="N39" s="172"/>
      <c r="O39" s="172"/>
      <c r="P39" s="172"/>
      <c r="Q39" s="173"/>
      <c r="R39" s="174"/>
      <c r="S39" s="174"/>
      <c r="T39" s="174"/>
      <c r="U39" s="174"/>
      <c r="V39" s="174"/>
      <c r="W39" s="174"/>
      <c r="X39" s="174"/>
      <c r="Z39" s="172"/>
      <c r="AA39" s="172"/>
      <c r="AB39" s="172"/>
      <c r="AC39" s="172"/>
      <c r="AD39" s="172"/>
      <c r="AH39" s="173"/>
      <c r="AI39" s="175"/>
      <c r="AJ39" s="173"/>
      <c r="AK39" s="172"/>
      <c r="AN39" s="172"/>
    </row>
    <row r="40" spans="2:45" s="137" customFormat="1" ht="21" customHeight="1" x14ac:dyDescent="0.25">
      <c r="K40" s="138"/>
      <c r="L40" s="139"/>
      <c r="P40" s="138"/>
      <c r="Q40" s="140"/>
      <c r="R40" s="140"/>
      <c r="S40" s="140"/>
      <c r="T40" s="140"/>
      <c r="U40" s="140"/>
      <c r="V40" s="140"/>
      <c r="W40" s="140"/>
      <c r="X40" s="140"/>
      <c r="Y40" s="140"/>
      <c r="Z40" s="141"/>
      <c r="AA40" s="138"/>
      <c r="AB40" s="138"/>
      <c r="AC40" s="138"/>
      <c r="AJ40" s="140"/>
      <c r="AK40" s="141"/>
      <c r="AN40" s="138"/>
    </row>
    <row r="41" spans="2:45" ht="9" customHeight="1" x14ac:dyDescent="0.3">
      <c r="L41" s="20"/>
      <c r="R41" s="17"/>
      <c r="S41" s="17"/>
      <c r="T41" s="17"/>
      <c r="U41" s="17"/>
      <c r="V41" s="17"/>
      <c r="W41" s="17"/>
      <c r="X41" s="17"/>
      <c r="Y41" s="17"/>
      <c r="Z41" s="21"/>
      <c r="AJ41" s="19"/>
      <c r="AK41" s="21"/>
    </row>
    <row r="42" spans="2:45" ht="9" customHeight="1" x14ac:dyDescent="0.3">
      <c r="L42" s="20"/>
      <c r="R42" s="17"/>
      <c r="S42" s="17"/>
      <c r="T42" s="17"/>
      <c r="U42" s="17"/>
      <c r="V42" s="17"/>
      <c r="W42" s="17"/>
      <c r="X42" s="17"/>
      <c r="Y42" s="17"/>
      <c r="Z42" s="21"/>
      <c r="AJ42" s="19"/>
      <c r="AK42" s="21"/>
    </row>
    <row r="43" spans="2:45" s="2" customFormat="1" ht="30" customHeight="1" x14ac:dyDescent="0.25">
      <c r="B43" s="202"/>
      <c r="C43" s="341" t="s">
        <v>45</v>
      </c>
      <c r="D43" s="341"/>
      <c r="E43" s="341"/>
      <c r="F43" s="341"/>
      <c r="G43" s="341"/>
      <c r="H43" s="202"/>
      <c r="I43" s="202"/>
      <c r="K43" s="202" t="s">
        <v>19</v>
      </c>
      <c r="L43" s="202"/>
      <c r="M43" s="202"/>
      <c r="N43" s="202"/>
      <c r="O43" s="202"/>
      <c r="P43" s="202"/>
      <c r="R43" s="342" t="s">
        <v>54</v>
      </c>
      <c r="S43" s="342"/>
      <c r="T43" s="342"/>
      <c r="U43" s="342"/>
      <c r="V43" s="202"/>
      <c r="W43" s="202"/>
      <c r="X43" s="203" t="s">
        <v>90</v>
      </c>
      <c r="Y43" s="203"/>
      <c r="Z43" s="203"/>
      <c r="AA43" s="203"/>
      <c r="AB43" s="109"/>
      <c r="AC43" s="109"/>
      <c r="AD43" s="202" t="s">
        <v>20</v>
      </c>
      <c r="AE43" s="202"/>
      <c r="AF43" s="202"/>
      <c r="AG43" s="202"/>
      <c r="AI43" s="202"/>
      <c r="AJ43" s="202"/>
      <c r="AK43" s="202"/>
      <c r="AL43" s="202"/>
      <c r="AM43" s="202" t="s">
        <v>20</v>
      </c>
      <c r="AN43" s="202"/>
      <c r="AO43" s="202"/>
      <c r="AP43" s="202"/>
      <c r="AQ43" s="202"/>
      <c r="AR43" s="142"/>
      <c r="AS43" s="142"/>
    </row>
    <row r="44" spans="2:45" s="2" customFormat="1" ht="30" customHeight="1" x14ac:dyDescent="0.25">
      <c r="B44" s="202"/>
      <c r="C44" s="341" t="s">
        <v>38</v>
      </c>
      <c r="D44" s="341"/>
      <c r="E44" s="341"/>
      <c r="F44" s="341"/>
      <c r="G44" s="341"/>
      <c r="H44" s="202"/>
      <c r="I44" s="202"/>
      <c r="J44" s="202"/>
      <c r="K44" s="202"/>
      <c r="L44" s="22"/>
      <c r="M44" s="202"/>
      <c r="N44" s="202"/>
      <c r="O44" s="202"/>
      <c r="P44" s="202"/>
      <c r="Q44" s="201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</row>
    <row r="45" spans="2:45" s="2" customFormat="1" ht="30" customHeight="1" x14ac:dyDescent="0.25"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2"/>
      <c r="M45" s="202"/>
      <c r="N45" s="202"/>
      <c r="O45" s="202"/>
      <c r="P45" s="8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</row>
    <row r="46" spans="2:45" s="2" customFormat="1" ht="30" customHeight="1" x14ac:dyDescent="0.25">
      <c r="B46" s="202"/>
      <c r="C46" s="202" t="s">
        <v>21</v>
      </c>
      <c r="D46" s="203"/>
      <c r="E46" s="202"/>
      <c r="F46" s="202" t="s">
        <v>95</v>
      </c>
      <c r="G46" s="202" t="s">
        <v>64</v>
      </c>
      <c r="H46" s="202"/>
      <c r="I46" s="202"/>
      <c r="J46" s="202"/>
      <c r="K46" s="202"/>
      <c r="L46" s="203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178" t="s">
        <v>100</v>
      </c>
      <c r="AE46" s="203"/>
      <c r="AF46" s="203"/>
      <c r="AG46" s="203"/>
      <c r="AH46" s="117"/>
      <c r="AI46" s="203"/>
      <c r="AJ46" s="203"/>
      <c r="AK46" s="203"/>
      <c r="AL46" s="203"/>
      <c r="AM46" s="203"/>
      <c r="AN46" s="203"/>
      <c r="AO46" s="203"/>
      <c r="AP46" s="203"/>
      <c r="AQ46" s="203"/>
      <c r="AR46" s="109"/>
      <c r="AS46" s="109"/>
    </row>
    <row r="47" spans="2:45" s="2" customFormat="1" ht="30" customHeight="1" x14ac:dyDescent="0.25">
      <c r="B47" s="202"/>
      <c r="C47" s="202" t="s">
        <v>22</v>
      </c>
      <c r="D47" s="23"/>
      <c r="E47" s="202"/>
      <c r="F47" s="202" t="s">
        <v>96</v>
      </c>
      <c r="G47" s="202" t="s">
        <v>25</v>
      </c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177" t="s">
        <v>120</v>
      </c>
      <c r="AE47" s="202"/>
      <c r="AF47" s="202"/>
      <c r="AG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</row>
    <row r="48" spans="2:45" s="2" customFormat="1" ht="30" customHeight="1" x14ac:dyDescent="0.25">
      <c r="B48" s="202"/>
      <c r="C48" s="202" t="s">
        <v>23</v>
      </c>
      <c r="D48" s="23"/>
      <c r="E48" s="202"/>
      <c r="F48" s="202" t="s">
        <v>97</v>
      </c>
      <c r="G48" s="202" t="s">
        <v>78</v>
      </c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177" t="s">
        <v>121</v>
      </c>
      <c r="AE48" s="202"/>
      <c r="AF48" s="202"/>
      <c r="AG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</row>
    <row r="49" spans="2:45" s="2" customFormat="1" ht="30" customHeight="1" x14ac:dyDescent="0.25">
      <c r="B49" s="202"/>
      <c r="C49" s="202" t="s">
        <v>24</v>
      </c>
      <c r="D49" s="23"/>
      <c r="E49" s="202"/>
      <c r="F49" s="202" t="s">
        <v>98</v>
      </c>
      <c r="G49" s="202" t="s">
        <v>63</v>
      </c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177" t="s">
        <v>122</v>
      </c>
      <c r="AE49" s="202"/>
      <c r="AF49" s="202"/>
      <c r="AG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</row>
    <row r="50" spans="2:45" s="2" customFormat="1" ht="30" customHeight="1" x14ac:dyDescent="0.25">
      <c r="AI50" s="202"/>
      <c r="AJ50" s="202"/>
    </row>
    <row r="51" spans="2:45" s="10" customFormat="1" ht="20.25" x14ac:dyDescent="0.25">
      <c r="Y51" s="10" t="s">
        <v>105</v>
      </c>
    </row>
    <row r="52" spans="2:45" s="114" customFormat="1" x14ac:dyDescent="0.25">
      <c r="AJ52" s="115"/>
    </row>
    <row r="53" spans="2:45" s="114" customFormat="1" x14ac:dyDescent="0.25">
      <c r="AJ53" s="115"/>
    </row>
  </sheetData>
  <mergeCells count="84">
    <mergeCell ref="C44:G44"/>
    <mergeCell ref="AN36:AN37"/>
    <mergeCell ref="AO36:AO37"/>
    <mergeCell ref="AP36:AP37"/>
    <mergeCell ref="AQ36:AQ37"/>
    <mergeCell ref="W36:W37"/>
    <mergeCell ref="X36:X37"/>
    <mergeCell ref="Y36:Y37"/>
    <mergeCell ref="Z36:Z37"/>
    <mergeCell ref="AA36:AA37"/>
    <mergeCell ref="P36:P37"/>
    <mergeCell ref="Q36:Q37"/>
    <mergeCell ref="R36:R37"/>
    <mergeCell ref="S36:S37"/>
    <mergeCell ref="T36:T37"/>
    <mergeCell ref="U36:U37"/>
    <mergeCell ref="AR36:AR37"/>
    <mergeCell ref="C43:G43"/>
    <mergeCell ref="R43:U43"/>
    <mergeCell ref="AH36:AH37"/>
    <mergeCell ref="AI36:AI37"/>
    <mergeCell ref="AJ36:AJ37"/>
    <mergeCell ref="AK36:AK37"/>
    <mergeCell ref="AL36:AL37"/>
    <mergeCell ref="AM36:AM37"/>
    <mergeCell ref="AB36:AB37"/>
    <mergeCell ref="AC36:AC37"/>
    <mergeCell ref="AD36:AD37"/>
    <mergeCell ref="AE36:AE37"/>
    <mergeCell ref="AF36:AF37"/>
    <mergeCell ref="AG36:AG37"/>
    <mergeCell ref="V36:V37"/>
    <mergeCell ref="O36:O37"/>
    <mergeCell ref="B34:C34"/>
    <mergeCell ref="B35:C37"/>
    <mergeCell ref="D35:F35"/>
    <mergeCell ref="D36:F37"/>
    <mergeCell ref="G36:G37"/>
    <mergeCell ref="I36:I37"/>
    <mergeCell ref="J36:J37"/>
    <mergeCell ref="K36:K37"/>
    <mergeCell ref="L36:L37"/>
    <mergeCell ref="M36:M37"/>
    <mergeCell ref="N36:N37"/>
    <mergeCell ref="B21:D21"/>
    <mergeCell ref="B23:B30"/>
    <mergeCell ref="C23:C24"/>
    <mergeCell ref="C25:C26"/>
    <mergeCell ref="C27:C28"/>
    <mergeCell ref="C29:C30"/>
    <mergeCell ref="AJ16:AJ18"/>
    <mergeCell ref="AK16:AK18"/>
    <mergeCell ref="AL16:AM17"/>
    <mergeCell ref="AN16:AN18"/>
    <mergeCell ref="AO16:AO18"/>
    <mergeCell ref="AA17:AA18"/>
    <mergeCell ref="AB17:AB18"/>
    <mergeCell ref="AC17:AC18"/>
    <mergeCell ref="AD17:AD18"/>
    <mergeCell ref="AI16:AI18"/>
    <mergeCell ref="AG17:AG18"/>
    <mergeCell ref="AH17:AH18"/>
    <mergeCell ref="B8:AR8"/>
    <mergeCell ref="B16:B19"/>
    <mergeCell ref="C16:C19"/>
    <mergeCell ref="D16:D19"/>
    <mergeCell ref="E16:E19"/>
    <mergeCell ref="F16:F19"/>
    <mergeCell ref="G16:P16"/>
    <mergeCell ref="Q16:Q18"/>
    <mergeCell ref="R16:AA16"/>
    <mergeCell ref="AB16:AH16"/>
    <mergeCell ref="AP16:AP18"/>
    <mergeCell ref="AQ16:AQ18"/>
    <mergeCell ref="K17:M17"/>
    <mergeCell ref="T17:U17"/>
    <mergeCell ref="W17:Y17"/>
    <mergeCell ref="Z17:Z18"/>
    <mergeCell ref="B7:AR7"/>
    <mergeCell ref="B1:AR1"/>
    <mergeCell ref="B2:AR2"/>
    <mergeCell ref="B3:AR3"/>
    <mergeCell ref="B4:AR4"/>
    <mergeCell ref="B6:AR6"/>
  </mergeCells>
  <pageMargins left="0.19685039370078741" right="3.937007874015748E-2" top="0.43307086614173229" bottom="0.31496062992125984" header="0.31496062992125984" footer="0.31496062992125984"/>
  <pageSetup paperSize="14"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AR63"/>
  <sheetViews>
    <sheetView topLeftCell="A10" zoomScale="62" zoomScaleNormal="62" workbookViewId="0">
      <selection activeCell="AN37" sqref="AN37"/>
    </sheetView>
  </sheetViews>
  <sheetFormatPr defaultRowHeight="16.5" x14ac:dyDescent="0.3"/>
  <cols>
    <col min="1" max="1" width="0.140625" style="3" customWidth="1"/>
    <col min="2" max="2" width="14.28515625" style="3" customWidth="1"/>
    <col min="3" max="3" width="17.7109375" style="3" customWidth="1"/>
    <col min="4" max="4" width="37" style="3" customWidth="1"/>
    <col min="5" max="5" width="20.140625" style="3" customWidth="1"/>
    <col min="6" max="6" width="32.5703125" style="3" customWidth="1"/>
    <col min="7" max="7" width="12.85546875" style="3" hidden="1" customWidth="1"/>
    <col min="8" max="8" width="10.7109375" style="3" hidden="1" customWidth="1"/>
    <col min="9" max="9" width="13" style="3" hidden="1" customWidth="1"/>
    <col min="10" max="10" width="30.28515625" style="3" customWidth="1"/>
    <col min="11" max="12" width="11.5703125" style="3" hidden="1" customWidth="1"/>
    <col min="13" max="13" width="11.42578125" style="3" hidden="1" customWidth="1"/>
    <col min="14" max="14" width="11.85546875" style="3" hidden="1" customWidth="1"/>
    <col min="15" max="15" width="15.28515625" style="3" customWidth="1"/>
    <col min="16" max="16" width="9.140625" style="3" hidden="1" customWidth="1"/>
    <col min="17" max="17" width="10" style="3" hidden="1" customWidth="1"/>
    <col min="18" max="18" width="9" style="3" hidden="1" customWidth="1"/>
    <col min="19" max="19" width="9.28515625" style="3" hidden="1" customWidth="1"/>
    <col min="20" max="20" width="12.7109375" style="3" customWidth="1"/>
    <col min="21" max="21" width="11.5703125" style="3" customWidth="1"/>
    <col min="22" max="22" width="11.85546875" style="3" customWidth="1"/>
    <col min="23" max="23" width="11.7109375" style="3" customWidth="1"/>
    <col min="24" max="24" width="15.28515625" style="3" customWidth="1"/>
    <col min="25" max="25" width="8" style="3" hidden="1" customWidth="1"/>
    <col min="26" max="27" width="4.28515625" style="3" hidden="1" customWidth="1"/>
    <col min="28" max="28" width="3.7109375" style="3" hidden="1" customWidth="1"/>
    <col min="29" max="29" width="13.5703125" style="3" customWidth="1"/>
    <col min="30" max="30" width="1.42578125" style="3" hidden="1" customWidth="1"/>
    <col min="31" max="31" width="14.85546875" style="4" customWidth="1"/>
    <col min="32" max="32" width="13.140625" style="3" customWidth="1"/>
    <col min="33" max="33" width="7.42578125" style="3" hidden="1" customWidth="1"/>
    <col min="34" max="34" width="0.7109375" style="3" hidden="1" customWidth="1"/>
    <col min="35" max="35" width="14.140625" style="3" customWidth="1"/>
    <col min="36" max="36" width="8" style="3" hidden="1" customWidth="1"/>
    <col min="37" max="37" width="6.85546875" style="3" hidden="1" customWidth="1"/>
    <col min="38" max="38" width="9.140625" style="3" hidden="1" customWidth="1"/>
    <col min="39" max="39" width="27.5703125" style="3" customWidth="1"/>
    <col min="40" max="16384" width="9.140625" style="3"/>
  </cols>
  <sheetData>
    <row r="1" spans="2:39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</row>
    <row r="2" spans="2:39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</row>
    <row r="3" spans="2:39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</row>
    <row r="4" spans="2:39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</row>
    <row r="5" spans="2:39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</row>
    <row r="7" spans="2:39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</row>
    <row r="8" spans="2:39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</row>
    <row r="9" spans="2:39" ht="8.25" customHeight="1" x14ac:dyDescent="0.3"/>
    <row r="10" spans="2:39" s="2" customFormat="1" ht="20.100000000000001" customHeight="1" x14ac:dyDescent="0.25">
      <c r="B10" s="202" t="s">
        <v>7</v>
      </c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</row>
    <row r="11" spans="2:39" s="2" customFormat="1" ht="20.100000000000001" customHeight="1" x14ac:dyDescent="0.25">
      <c r="B11" s="202" t="s">
        <v>8</v>
      </c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</row>
    <row r="12" spans="2:39" s="2" customFormat="1" ht="20.100000000000001" customHeight="1" x14ac:dyDescent="0.25">
      <c r="B12" s="202" t="s">
        <v>65</v>
      </c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</row>
    <row r="13" spans="2:39" s="2" customFormat="1" ht="26.25" customHeight="1" x14ac:dyDescent="0.25">
      <c r="B13" s="202" t="s">
        <v>146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</row>
    <row r="14" spans="2:39" s="7" customFormat="1" ht="18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39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2:39" s="121" customFormat="1" ht="27" customHeight="1" x14ac:dyDescent="0.25">
      <c r="B16" s="345" t="s">
        <v>9</v>
      </c>
      <c r="C16" s="348" t="s">
        <v>147</v>
      </c>
      <c r="D16" s="351" t="s">
        <v>10</v>
      </c>
      <c r="E16" s="351" t="s">
        <v>11</v>
      </c>
      <c r="F16" s="351" t="s">
        <v>46</v>
      </c>
      <c r="G16" s="354" t="s">
        <v>87</v>
      </c>
      <c r="H16" s="355"/>
      <c r="I16" s="355"/>
      <c r="J16" s="355"/>
      <c r="K16" s="355"/>
      <c r="L16" s="355"/>
      <c r="M16" s="355"/>
      <c r="N16" s="356"/>
      <c r="O16" s="351" t="s">
        <v>69</v>
      </c>
      <c r="P16" s="354" t="s">
        <v>59</v>
      </c>
      <c r="Q16" s="355"/>
      <c r="R16" s="355"/>
      <c r="S16" s="355"/>
      <c r="T16" s="355"/>
      <c r="U16" s="355"/>
      <c r="V16" s="355"/>
      <c r="W16" s="356"/>
      <c r="X16" s="357" t="s">
        <v>29</v>
      </c>
      <c r="Y16" s="357"/>
      <c r="Z16" s="357"/>
      <c r="AA16" s="357"/>
      <c r="AB16" s="357"/>
      <c r="AC16" s="357"/>
      <c r="AD16" s="375" t="s">
        <v>53</v>
      </c>
      <c r="AE16" s="360" t="s">
        <v>48</v>
      </c>
      <c r="AF16" s="360" t="s">
        <v>58</v>
      </c>
      <c r="AG16" s="378" t="s">
        <v>62</v>
      </c>
      <c r="AH16" s="378"/>
      <c r="AI16" s="360" t="s">
        <v>47</v>
      </c>
      <c r="AJ16" s="351" t="s">
        <v>16</v>
      </c>
      <c r="AK16" s="360" t="s">
        <v>39</v>
      </c>
      <c r="AL16" s="360" t="s">
        <v>68</v>
      </c>
      <c r="AM16" s="164" t="s">
        <v>41</v>
      </c>
    </row>
    <row r="17" spans="2:42" s="121" customFormat="1" ht="49.5" customHeight="1" x14ac:dyDescent="0.25">
      <c r="B17" s="346"/>
      <c r="C17" s="349"/>
      <c r="D17" s="352"/>
      <c r="E17" s="352"/>
      <c r="F17" s="352"/>
      <c r="G17" s="220" t="s">
        <v>26</v>
      </c>
      <c r="H17" s="220" t="s">
        <v>30</v>
      </c>
      <c r="I17" s="219" t="s">
        <v>57</v>
      </c>
      <c r="J17" s="362" t="s">
        <v>67</v>
      </c>
      <c r="K17" s="363"/>
      <c r="L17" s="364"/>
      <c r="M17" s="219" t="s">
        <v>57</v>
      </c>
      <c r="N17" s="219" t="s">
        <v>66</v>
      </c>
      <c r="O17" s="352"/>
      <c r="P17" s="219" t="s">
        <v>55</v>
      </c>
      <c r="Q17" s="220" t="s">
        <v>27</v>
      </c>
      <c r="R17" s="365" t="s">
        <v>56</v>
      </c>
      <c r="S17" s="365"/>
      <c r="T17" s="366" t="s">
        <v>28</v>
      </c>
      <c r="U17" s="366"/>
      <c r="V17" s="379" t="s">
        <v>71</v>
      </c>
      <c r="W17" s="379" t="s">
        <v>15</v>
      </c>
      <c r="X17" s="358" t="s">
        <v>72</v>
      </c>
      <c r="Y17" s="358" t="s">
        <v>73</v>
      </c>
      <c r="Z17" s="218" t="s">
        <v>50</v>
      </c>
      <c r="AA17" s="218" t="s">
        <v>51</v>
      </c>
      <c r="AB17" s="358" t="s">
        <v>74</v>
      </c>
      <c r="AC17" s="358" t="s">
        <v>77</v>
      </c>
      <c r="AD17" s="376"/>
      <c r="AE17" s="361"/>
      <c r="AF17" s="361"/>
      <c r="AG17" s="365"/>
      <c r="AH17" s="365"/>
      <c r="AI17" s="361"/>
      <c r="AJ17" s="352"/>
      <c r="AK17" s="361"/>
      <c r="AL17" s="361"/>
      <c r="AM17" s="165" t="s">
        <v>42</v>
      </c>
    </row>
    <row r="18" spans="2:42" s="121" customFormat="1" ht="24" customHeight="1" x14ac:dyDescent="0.25">
      <c r="B18" s="346"/>
      <c r="C18" s="349"/>
      <c r="D18" s="352"/>
      <c r="E18" s="352"/>
      <c r="F18" s="352"/>
      <c r="G18" s="217" t="s">
        <v>70</v>
      </c>
      <c r="H18" s="217">
        <v>200</v>
      </c>
      <c r="I18" s="217" t="s">
        <v>70</v>
      </c>
      <c r="J18" s="218" t="s">
        <v>75</v>
      </c>
      <c r="K18" s="218" t="s">
        <v>49</v>
      </c>
      <c r="L18" s="218" t="s">
        <v>52</v>
      </c>
      <c r="M18" s="217" t="s">
        <v>76</v>
      </c>
      <c r="N18" s="217" t="s">
        <v>76</v>
      </c>
      <c r="O18" s="353"/>
      <c r="P18" s="218">
        <v>2.4</v>
      </c>
      <c r="Q18" s="217">
        <v>3.6</v>
      </c>
      <c r="R18" s="219">
        <v>2.4</v>
      </c>
      <c r="S18" s="219">
        <v>3.6</v>
      </c>
      <c r="T18" s="220">
        <v>3.6</v>
      </c>
      <c r="U18" s="220">
        <v>2.4</v>
      </c>
      <c r="V18" s="353"/>
      <c r="W18" s="353"/>
      <c r="X18" s="359"/>
      <c r="Y18" s="359"/>
      <c r="Z18" s="218"/>
      <c r="AA18" s="218"/>
      <c r="AB18" s="359"/>
      <c r="AC18" s="359"/>
      <c r="AD18" s="377"/>
      <c r="AE18" s="359"/>
      <c r="AF18" s="359"/>
      <c r="AG18" s="217" t="s">
        <v>36</v>
      </c>
      <c r="AH18" s="217" t="s">
        <v>37</v>
      </c>
      <c r="AI18" s="359"/>
      <c r="AJ18" s="353"/>
      <c r="AK18" s="359"/>
      <c r="AL18" s="359"/>
      <c r="AM18" s="166" t="s">
        <v>43</v>
      </c>
    </row>
    <row r="19" spans="2:42" s="144" customFormat="1" ht="25.5" customHeight="1" x14ac:dyDescent="0.25">
      <c r="B19" s="347"/>
      <c r="C19" s="350"/>
      <c r="D19" s="353"/>
      <c r="E19" s="353"/>
      <c r="F19" s="353"/>
      <c r="G19" s="217" t="s">
        <v>12</v>
      </c>
      <c r="H19" s="217" t="s">
        <v>12</v>
      </c>
      <c r="I19" s="217" t="s">
        <v>12</v>
      </c>
      <c r="J19" s="217" t="s">
        <v>12</v>
      </c>
      <c r="K19" s="217" t="s">
        <v>12</v>
      </c>
      <c r="L19" s="217" t="s">
        <v>12</v>
      </c>
      <c r="M19" s="217" t="s">
        <v>12</v>
      </c>
      <c r="N19" s="217" t="s">
        <v>12</v>
      </c>
      <c r="O19" s="167" t="s">
        <v>14</v>
      </c>
      <c r="P19" s="217" t="s">
        <v>12</v>
      </c>
      <c r="Q19" s="217" t="s">
        <v>12</v>
      </c>
      <c r="R19" s="217" t="s">
        <v>12</v>
      </c>
      <c r="S19" s="217" t="s">
        <v>12</v>
      </c>
      <c r="T19" s="217" t="s">
        <v>12</v>
      </c>
      <c r="U19" s="217" t="s">
        <v>12</v>
      </c>
      <c r="V19" s="168" t="s">
        <v>12</v>
      </c>
      <c r="W19" s="217" t="s">
        <v>12</v>
      </c>
      <c r="X19" s="169" t="s">
        <v>13</v>
      </c>
      <c r="Y19" s="169" t="s">
        <v>13</v>
      </c>
      <c r="Z19" s="169" t="s">
        <v>13</v>
      </c>
      <c r="AA19" s="169" t="s">
        <v>13</v>
      </c>
      <c r="AB19" s="169" t="s">
        <v>13</v>
      </c>
      <c r="AC19" s="169" t="s">
        <v>13</v>
      </c>
      <c r="AD19" s="169" t="s">
        <v>13</v>
      </c>
      <c r="AE19" s="169" t="s">
        <v>13</v>
      </c>
      <c r="AF19" s="168" t="s">
        <v>13</v>
      </c>
      <c r="AG19" s="217" t="s">
        <v>12</v>
      </c>
      <c r="AH19" s="217" t="s">
        <v>12</v>
      </c>
      <c r="AI19" s="220" t="s">
        <v>12</v>
      </c>
      <c r="AJ19" s="168" t="s">
        <v>14</v>
      </c>
      <c r="AK19" s="220"/>
      <c r="AL19" s="217"/>
      <c r="AM19" s="166"/>
    </row>
    <row r="20" spans="2:42" s="4" customFormat="1" ht="9.75" customHeight="1" x14ac:dyDescent="0.25">
      <c r="B20" s="27"/>
      <c r="C20" s="28"/>
      <c r="D20" s="28"/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30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32"/>
      <c r="AF20" s="29"/>
      <c r="AG20" s="28"/>
      <c r="AH20" s="33"/>
      <c r="AI20" s="33"/>
      <c r="AJ20" s="33"/>
      <c r="AK20" s="33"/>
      <c r="AL20" s="33"/>
      <c r="AM20" s="34"/>
    </row>
    <row r="21" spans="2:42" s="2" customFormat="1" ht="44.25" customHeight="1" x14ac:dyDescent="0.25">
      <c r="B21" s="318" t="str">
        <f>'FEBRUARY 2026 - PMC '!B21:D21</f>
        <v>Beginning Stock as of as of  February 1, 2026</v>
      </c>
      <c r="C21" s="319"/>
      <c r="D21" s="320"/>
      <c r="E21" s="64"/>
      <c r="F21" s="64"/>
      <c r="G21" s="132" t="e">
        <f>#REF!</f>
        <v>#REF!</v>
      </c>
      <c r="H21" s="132" t="e">
        <f>#REF!</f>
        <v>#REF!</v>
      </c>
      <c r="I21" s="132" t="e">
        <f>#REF!</f>
        <v>#REF!</v>
      </c>
      <c r="J21" s="132">
        <f>4548+412</f>
        <v>4960</v>
      </c>
      <c r="K21" s="132">
        <f>'JANUARY 2026 - EXPLO'!K30</f>
        <v>0</v>
      </c>
      <c r="L21" s="132">
        <f>'JANUARY 2026 - EXPLO'!L30</f>
        <v>0</v>
      </c>
      <c r="M21" s="132">
        <f>'JANUARY 2026 - EXPLO'!M30</f>
        <v>0</v>
      </c>
      <c r="N21" s="132">
        <f>'JANUARY 2026 - EXPLO'!N30</f>
        <v>0</v>
      </c>
      <c r="O21" s="132">
        <f>782.9-14.5</f>
        <v>768.4</v>
      </c>
      <c r="P21" s="132">
        <f>'JANUARY 2026 - EXPLO'!P30</f>
        <v>0</v>
      </c>
      <c r="Q21" s="132">
        <f>'JANUARY 2026 - EXPLO'!Q30</f>
        <v>0</v>
      </c>
      <c r="R21" s="132">
        <f>'JANUARY 2026 - EXPLO'!R30</f>
        <v>0</v>
      </c>
      <c r="S21" s="132">
        <f>'JANUARY 2026 - EXPLO'!S30</f>
        <v>0</v>
      </c>
      <c r="T21" s="132">
        <f>1133-75</f>
        <v>1058</v>
      </c>
      <c r="U21" s="132">
        <f>588+82</f>
        <v>670</v>
      </c>
      <c r="V21" s="132">
        <f>234-12</f>
        <v>222</v>
      </c>
      <c r="W21" s="132">
        <v>14</v>
      </c>
      <c r="X21" s="132">
        <f>1091+148</f>
        <v>1239</v>
      </c>
      <c r="Y21" s="132">
        <f>'JANUARY 2026 - EXPLO'!Y30</f>
        <v>0</v>
      </c>
      <c r="Z21" s="132">
        <f>'JANUARY 2026 - EXPLO'!Z30</f>
        <v>0</v>
      </c>
      <c r="AA21" s="132">
        <f>'JANUARY 2026 - EXPLO'!AA30</f>
        <v>0</v>
      </c>
      <c r="AB21" s="132">
        <f>'JANUARY 2026 - EXPLO'!AB30</f>
        <v>0</v>
      </c>
      <c r="AC21" s="132">
        <f>'JANUARY 2026 - EXPLO'!AC30</f>
        <v>0</v>
      </c>
      <c r="AD21" s="132">
        <f>'JANUARY 2026 - EXPLO'!AD30</f>
        <v>0</v>
      </c>
      <c r="AE21" s="132">
        <f>'JANUARY 2026 - EXPLO'!AE30</f>
        <v>568.62000000000012</v>
      </c>
      <c r="AF21" s="132">
        <f>'JANUARY 2026 - EXPLO'!AF30</f>
        <v>300</v>
      </c>
      <c r="AG21" s="132">
        <f>'JANUARY 2026 - EXPLO'!AG30</f>
        <v>0</v>
      </c>
      <c r="AH21" s="132">
        <f>'JANUARY 2026 - EXPLO'!AH30</f>
        <v>0</v>
      </c>
      <c r="AI21" s="132">
        <v>30</v>
      </c>
      <c r="AJ21" s="132" t="e">
        <f>#REF!</f>
        <v>#REF!</v>
      </c>
      <c r="AK21" s="132" t="e">
        <f>#REF!</f>
        <v>#REF!</v>
      </c>
      <c r="AL21" s="132" t="e">
        <f>#REF!</f>
        <v>#REF!</v>
      </c>
      <c r="AM21" s="145"/>
    </row>
    <row r="22" spans="2:42" s="2" customFormat="1" ht="5.25" customHeight="1" x14ac:dyDescent="0.25">
      <c r="B22" s="146"/>
      <c r="C22" s="62"/>
      <c r="D22" s="62"/>
      <c r="E22" s="38"/>
      <c r="F22" s="38"/>
      <c r="G22" s="147"/>
      <c r="H22" s="147"/>
      <c r="I22" s="147"/>
      <c r="J22" s="147"/>
      <c r="K22" s="147"/>
      <c r="L22" s="147"/>
      <c r="M22" s="147"/>
      <c r="N22" s="147"/>
      <c r="O22" s="39"/>
      <c r="P22" s="148"/>
      <c r="Q22" s="148"/>
      <c r="R22" s="148"/>
      <c r="S22" s="148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39"/>
      <c r="AE22" s="39"/>
      <c r="AF22" s="147"/>
      <c r="AG22" s="39"/>
      <c r="AH22" s="39"/>
      <c r="AI22" s="39"/>
      <c r="AJ22" s="147"/>
      <c r="AK22" s="147"/>
      <c r="AL22" s="149"/>
      <c r="AM22" s="145"/>
    </row>
    <row r="23" spans="2:42" s="13" customFormat="1" ht="34.5" customHeight="1" x14ac:dyDescent="0.25">
      <c r="B23" s="204"/>
      <c r="C23" s="150"/>
      <c r="D23" s="40" t="s">
        <v>80</v>
      </c>
      <c r="E23" s="40" t="s">
        <v>33</v>
      </c>
      <c r="F23" s="40" t="s">
        <v>60</v>
      </c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39"/>
      <c r="AF23" s="147"/>
      <c r="AG23" s="147"/>
      <c r="AH23" s="147"/>
      <c r="AI23" s="147"/>
      <c r="AJ23" s="147"/>
      <c r="AK23" s="147"/>
      <c r="AL23" s="149"/>
      <c r="AM23" s="151" t="s">
        <v>44</v>
      </c>
    </row>
    <row r="24" spans="2:42" s="13" customFormat="1" ht="34.5" hidden="1" customHeight="1" x14ac:dyDescent="0.25">
      <c r="B24" s="204"/>
      <c r="C24" s="150"/>
      <c r="D24" s="40" t="s">
        <v>80</v>
      </c>
      <c r="E24" s="40" t="s">
        <v>33</v>
      </c>
      <c r="F24" s="40" t="s">
        <v>60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39"/>
      <c r="AF24" s="147"/>
      <c r="AG24" s="147"/>
      <c r="AH24" s="147"/>
      <c r="AI24" s="147"/>
      <c r="AJ24" s="147"/>
      <c r="AK24" s="147"/>
      <c r="AL24" s="149"/>
      <c r="AM24" s="151" t="s">
        <v>44</v>
      </c>
    </row>
    <row r="25" spans="2:42" s="2" customFormat="1" ht="34.5" customHeight="1" x14ac:dyDescent="0.25">
      <c r="B25" s="41" t="s">
        <v>34</v>
      </c>
      <c r="C25" s="152"/>
      <c r="D25" s="153"/>
      <c r="E25" s="38"/>
      <c r="F25" s="38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9"/>
      <c r="AM25" s="145"/>
    </row>
    <row r="26" spans="2:42" s="2" customFormat="1" ht="34.5" customHeight="1" x14ac:dyDescent="0.25">
      <c r="B26" s="41" t="s">
        <v>35</v>
      </c>
      <c r="C26" s="40"/>
      <c r="D26" s="38"/>
      <c r="E26" s="38"/>
      <c r="F26" s="38"/>
      <c r="G26" s="147"/>
      <c r="H26" s="147"/>
      <c r="I26" s="147"/>
      <c r="J26" s="147"/>
      <c r="K26" s="147"/>
      <c r="L26" s="147"/>
      <c r="M26" s="147"/>
      <c r="N26" s="147"/>
      <c r="O26" s="39"/>
      <c r="P26" s="39"/>
      <c r="Q26" s="39"/>
      <c r="R26" s="39"/>
      <c r="S26" s="39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39"/>
      <c r="AE26" s="39"/>
      <c r="AF26" s="147"/>
      <c r="AG26" s="39"/>
      <c r="AH26" s="39"/>
      <c r="AI26" s="39"/>
      <c r="AJ26" s="147"/>
      <c r="AK26" s="147"/>
      <c r="AL26" s="149"/>
      <c r="AM26" s="145"/>
    </row>
    <row r="27" spans="2:42" s="13" customFormat="1" ht="29.25" customHeight="1" x14ac:dyDescent="0.25">
      <c r="B27" s="154" t="s">
        <v>17</v>
      </c>
      <c r="C27" s="155"/>
      <c r="D27" s="104"/>
      <c r="E27" s="104"/>
      <c r="F27" s="104"/>
      <c r="G27" s="132" t="e">
        <f t="shared" ref="G27:AL27" si="0">SUM(G21:G26)</f>
        <v>#REF!</v>
      </c>
      <c r="H27" s="132" t="e">
        <f t="shared" si="0"/>
        <v>#REF!</v>
      </c>
      <c r="I27" s="132" t="e">
        <f t="shared" si="0"/>
        <v>#REF!</v>
      </c>
      <c r="J27" s="132">
        <f>SUM(J21:J26)</f>
        <v>4960</v>
      </c>
      <c r="K27" s="132">
        <f t="shared" si="0"/>
        <v>0</v>
      </c>
      <c r="L27" s="132">
        <f t="shared" si="0"/>
        <v>0</v>
      </c>
      <c r="M27" s="132">
        <f t="shared" si="0"/>
        <v>0</v>
      </c>
      <c r="N27" s="132">
        <f t="shared" si="0"/>
        <v>0</v>
      </c>
      <c r="O27" s="171">
        <f t="shared" si="0"/>
        <v>768.4</v>
      </c>
      <c r="P27" s="132">
        <f t="shared" si="0"/>
        <v>0</v>
      </c>
      <c r="Q27" s="132">
        <f t="shared" si="0"/>
        <v>0</v>
      </c>
      <c r="R27" s="132">
        <f t="shared" si="0"/>
        <v>0</v>
      </c>
      <c r="S27" s="132">
        <f t="shared" si="0"/>
        <v>0</v>
      </c>
      <c r="T27" s="132">
        <f t="shared" si="0"/>
        <v>1058</v>
      </c>
      <c r="U27" s="132">
        <f t="shared" si="0"/>
        <v>670</v>
      </c>
      <c r="V27" s="132">
        <f t="shared" si="0"/>
        <v>222</v>
      </c>
      <c r="W27" s="132">
        <f t="shared" si="0"/>
        <v>14</v>
      </c>
      <c r="X27" s="132">
        <f t="shared" si="0"/>
        <v>1239</v>
      </c>
      <c r="Y27" s="132">
        <f t="shared" si="0"/>
        <v>0</v>
      </c>
      <c r="Z27" s="132">
        <f t="shared" si="0"/>
        <v>0</v>
      </c>
      <c r="AA27" s="132">
        <f t="shared" si="0"/>
        <v>0</v>
      </c>
      <c r="AB27" s="132">
        <f t="shared" si="0"/>
        <v>0</v>
      </c>
      <c r="AC27" s="132">
        <f t="shared" si="0"/>
        <v>0</v>
      </c>
      <c r="AD27" s="132">
        <f t="shared" si="0"/>
        <v>0</v>
      </c>
      <c r="AE27" s="171">
        <f>SUM(AE21:AE26)</f>
        <v>568.62000000000012</v>
      </c>
      <c r="AF27" s="132">
        <f t="shared" si="0"/>
        <v>300</v>
      </c>
      <c r="AG27" s="132">
        <f t="shared" si="0"/>
        <v>0</v>
      </c>
      <c r="AH27" s="132">
        <f t="shared" si="0"/>
        <v>0</v>
      </c>
      <c r="AI27" s="132">
        <f t="shared" si="0"/>
        <v>30</v>
      </c>
      <c r="AJ27" s="132" t="e">
        <f t="shared" si="0"/>
        <v>#REF!</v>
      </c>
      <c r="AK27" s="132" t="e">
        <f t="shared" si="0"/>
        <v>#REF!</v>
      </c>
      <c r="AL27" s="132" t="e">
        <f t="shared" si="0"/>
        <v>#REF!</v>
      </c>
      <c r="AM27" s="156"/>
    </row>
    <row r="28" spans="2:42" s="13" customFormat="1" ht="29.25" customHeight="1" x14ac:dyDescent="0.25">
      <c r="B28" s="368" t="s">
        <v>18</v>
      </c>
      <c r="C28" s="369"/>
      <c r="D28" s="39"/>
      <c r="E28" s="39"/>
      <c r="F28" s="39"/>
      <c r="G28" s="147"/>
      <c r="H28" s="147"/>
      <c r="I28" s="147"/>
      <c r="J28" s="147"/>
      <c r="K28" s="147"/>
      <c r="L28" s="147"/>
      <c r="M28" s="147"/>
      <c r="N28" s="147"/>
      <c r="O28" s="39"/>
      <c r="P28" s="39"/>
      <c r="Q28" s="39"/>
      <c r="R28" s="39"/>
      <c r="S28" s="39"/>
      <c r="T28" s="147"/>
      <c r="U28" s="147"/>
      <c r="V28" s="147"/>
      <c r="W28" s="39"/>
      <c r="X28" s="147"/>
      <c r="Y28" s="147"/>
      <c r="Z28" s="147"/>
      <c r="AA28" s="147"/>
      <c r="AB28" s="147"/>
      <c r="AC28" s="147"/>
      <c r="AD28" s="147"/>
      <c r="AE28" s="39"/>
      <c r="AF28" s="147"/>
      <c r="AG28" s="39"/>
      <c r="AH28" s="39"/>
      <c r="AI28" s="39"/>
      <c r="AJ28" s="157"/>
      <c r="AK28" s="157"/>
      <c r="AL28" s="149"/>
      <c r="AM28" s="156"/>
    </row>
    <row r="29" spans="2:42" s="13" customFormat="1" ht="57.75" customHeight="1" x14ac:dyDescent="0.25">
      <c r="B29" s="401" t="s">
        <v>155</v>
      </c>
      <c r="C29" s="402"/>
      <c r="D29" s="372" t="s">
        <v>156</v>
      </c>
      <c r="E29" s="373"/>
      <c r="F29" s="374"/>
      <c r="G29" s="158" t="e">
        <f>SUM(G23:G28)</f>
        <v>#REF!</v>
      </c>
      <c r="H29" s="158" t="e">
        <f>SUM(H23:H28)</f>
        <v>#REF!</v>
      </c>
      <c r="I29" s="158" t="e">
        <f>SUM(I23:I28)</f>
        <v>#REF!</v>
      </c>
      <c r="J29" s="158">
        <v>1090</v>
      </c>
      <c r="K29" s="158"/>
      <c r="L29" s="158"/>
      <c r="M29" s="158"/>
      <c r="N29" s="158"/>
      <c r="O29" s="159">
        <v>118.4</v>
      </c>
      <c r="P29" s="158"/>
      <c r="Q29" s="158"/>
      <c r="R29" s="158"/>
      <c r="S29" s="158"/>
      <c r="T29" s="158">
        <v>173</v>
      </c>
      <c r="U29" s="158">
        <v>145</v>
      </c>
      <c r="V29" s="158">
        <v>30</v>
      </c>
      <c r="W29" s="158"/>
      <c r="X29" s="158">
        <v>110</v>
      </c>
      <c r="Y29" s="158"/>
      <c r="Z29" s="158"/>
      <c r="AA29" s="158"/>
      <c r="AB29" s="158"/>
      <c r="AC29" s="158"/>
      <c r="AD29" s="158"/>
      <c r="AE29" s="159">
        <f>V29*2.43</f>
        <v>72.900000000000006</v>
      </c>
      <c r="AF29" s="158"/>
      <c r="AG29" s="158"/>
      <c r="AH29" s="158"/>
      <c r="AI29" s="158"/>
      <c r="AJ29" s="160"/>
      <c r="AK29" s="160"/>
      <c r="AL29" s="160"/>
      <c r="AM29" s="156"/>
    </row>
    <row r="30" spans="2:42" s="13" customFormat="1" ht="57.75" customHeight="1" x14ac:dyDescent="0.25">
      <c r="B30" s="403"/>
      <c r="C30" s="404"/>
      <c r="D30" s="398" t="s">
        <v>154</v>
      </c>
      <c r="E30" s="399"/>
      <c r="F30" s="400"/>
      <c r="G30" s="224"/>
      <c r="H30" s="224"/>
      <c r="I30" s="224"/>
      <c r="J30" s="224">
        <v>3870</v>
      </c>
      <c r="K30" s="224">
        <v>0</v>
      </c>
      <c r="L30" s="224">
        <v>0</v>
      </c>
      <c r="M30" s="224">
        <v>0</v>
      </c>
      <c r="N30" s="224">
        <v>0</v>
      </c>
      <c r="O30" s="225">
        <v>650</v>
      </c>
      <c r="P30" s="224">
        <v>0</v>
      </c>
      <c r="Q30" s="224">
        <v>0</v>
      </c>
      <c r="R30" s="224">
        <v>0</v>
      </c>
      <c r="S30" s="224">
        <v>0</v>
      </c>
      <c r="T30" s="224">
        <v>885</v>
      </c>
      <c r="U30" s="224">
        <v>525</v>
      </c>
      <c r="V30" s="224">
        <v>192</v>
      </c>
      <c r="W30" s="224">
        <v>14</v>
      </c>
      <c r="X30" s="224">
        <v>1129</v>
      </c>
      <c r="Y30" s="224">
        <v>0</v>
      </c>
      <c r="Z30" s="224">
        <v>0</v>
      </c>
      <c r="AA30" s="224">
        <v>0</v>
      </c>
      <c r="AB30" s="224">
        <v>0</v>
      </c>
      <c r="AC30" s="224">
        <v>0</v>
      </c>
      <c r="AD30" s="224">
        <v>0</v>
      </c>
      <c r="AE30" s="225">
        <v>495.72000000000014</v>
      </c>
      <c r="AF30" s="224">
        <v>300</v>
      </c>
      <c r="AG30" s="224">
        <v>0</v>
      </c>
      <c r="AH30" s="224">
        <v>0</v>
      </c>
      <c r="AI30" s="224">
        <v>30</v>
      </c>
      <c r="AJ30" s="221"/>
      <c r="AK30" s="221"/>
      <c r="AL30" s="221"/>
      <c r="AM30" s="222"/>
    </row>
    <row r="31" spans="2:42" s="13" customFormat="1" ht="45.75" customHeight="1" thickBot="1" x14ac:dyDescent="0.3">
      <c r="B31" s="125" t="str">
        <f>'FEBRUARY 2026 - PMC '!B38</f>
        <v>Remaining Stock as of February 28,2026</v>
      </c>
      <c r="C31" s="161"/>
      <c r="D31" s="63"/>
      <c r="E31" s="63"/>
      <c r="F31" s="63"/>
      <c r="G31" s="128" t="e">
        <f t="shared" ref="G31:AL31" si="1">G27-G29</f>
        <v>#REF!</v>
      </c>
      <c r="H31" s="128" t="e">
        <f t="shared" si="1"/>
        <v>#REF!</v>
      </c>
      <c r="I31" s="128" t="e">
        <f t="shared" si="1"/>
        <v>#REF!</v>
      </c>
      <c r="J31" s="128">
        <f>J27-J29-J30</f>
        <v>0</v>
      </c>
      <c r="K31" s="128">
        <f t="shared" ref="K31:AI31" si="2">K27-K29-K30</f>
        <v>0</v>
      </c>
      <c r="L31" s="128">
        <f t="shared" si="2"/>
        <v>0</v>
      </c>
      <c r="M31" s="128">
        <f t="shared" si="2"/>
        <v>0</v>
      </c>
      <c r="N31" s="128">
        <f t="shared" si="2"/>
        <v>0</v>
      </c>
      <c r="O31" s="128">
        <f t="shared" si="2"/>
        <v>0</v>
      </c>
      <c r="P31" s="128">
        <f t="shared" si="2"/>
        <v>0</v>
      </c>
      <c r="Q31" s="128">
        <f t="shared" si="2"/>
        <v>0</v>
      </c>
      <c r="R31" s="128">
        <f t="shared" si="2"/>
        <v>0</v>
      </c>
      <c r="S31" s="128">
        <f t="shared" si="2"/>
        <v>0</v>
      </c>
      <c r="T31" s="128">
        <f t="shared" si="2"/>
        <v>0</v>
      </c>
      <c r="U31" s="128">
        <f t="shared" si="2"/>
        <v>0</v>
      </c>
      <c r="V31" s="128">
        <f t="shared" si="2"/>
        <v>0</v>
      </c>
      <c r="W31" s="128">
        <f t="shared" si="2"/>
        <v>0</v>
      </c>
      <c r="X31" s="128">
        <f>X27-X29-X30</f>
        <v>0</v>
      </c>
      <c r="Y31" s="128">
        <f t="shared" si="2"/>
        <v>0</v>
      </c>
      <c r="Z31" s="128">
        <f t="shared" si="2"/>
        <v>0</v>
      </c>
      <c r="AA31" s="128">
        <f t="shared" si="2"/>
        <v>0</v>
      </c>
      <c r="AB31" s="128">
        <f t="shared" si="2"/>
        <v>0</v>
      </c>
      <c r="AC31" s="128">
        <f t="shared" si="2"/>
        <v>0</v>
      </c>
      <c r="AD31" s="128">
        <f t="shared" si="2"/>
        <v>0</v>
      </c>
      <c r="AE31" s="128">
        <f t="shared" si="2"/>
        <v>0</v>
      </c>
      <c r="AF31" s="128">
        <f t="shared" si="2"/>
        <v>0</v>
      </c>
      <c r="AG31" s="128">
        <f t="shared" si="2"/>
        <v>0</v>
      </c>
      <c r="AH31" s="128">
        <f t="shared" si="2"/>
        <v>0</v>
      </c>
      <c r="AI31" s="128">
        <f t="shared" si="2"/>
        <v>0</v>
      </c>
      <c r="AJ31" s="128" t="e">
        <f t="shared" si="1"/>
        <v>#REF!</v>
      </c>
      <c r="AK31" s="128" t="e">
        <f t="shared" si="1"/>
        <v>#REF!</v>
      </c>
      <c r="AL31" s="128" t="e">
        <f t="shared" si="1"/>
        <v>#REF!</v>
      </c>
      <c r="AM31" s="163"/>
    </row>
    <row r="32" spans="2:42" ht="32.25" customHeight="1" x14ac:dyDescent="0.3">
      <c r="G32" s="16"/>
      <c r="H32" s="16"/>
      <c r="I32" s="16"/>
      <c r="J32" s="119"/>
      <c r="K32" s="119"/>
      <c r="L32" s="119"/>
      <c r="M32" s="119"/>
      <c r="N32" s="119"/>
      <c r="O32" s="120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20"/>
      <c r="AF32" s="119"/>
      <c r="AG32" s="119"/>
      <c r="AH32" s="119"/>
      <c r="AI32" s="119"/>
      <c r="AJ32" s="16"/>
      <c r="AK32" s="16"/>
      <c r="AL32" s="16"/>
      <c r="AP32" s="18"/>
    </row>
    <row r="33" spans="2:44" ht="9" customHeight="1" x14ac:dyDescent="0.3">
      <c r="K33" s="20"/>
      <c r="P33" s="17"/>
      <c r="Q33" s="17"/>
      <c r="R33" s="17"/>
      <c r="S33" s="17"/>
      <c r="T33" s="17"/>
      <c r="U33" s="17"/>
      <c r="V33" s="21"/>
      <c r="AE33" s="19"/>
      <c r="AF33" s="21"/>
    </row>
    <row r="34" spans="2:44" s="24" customFormat="1" ht="32.1" customHeight="1" x14ac:dyDescent="0.35">
      <c r="B34" s="202"/>
      <c r="C34" s="202" t="s">
        <v>45</v>
      </c>
      <c r="D34" s="202"/>
      <c r="E34" s="202"/>
      <c r="F34" s="202"/>
      <c r="G34" s="202"/>
      <c r="H34" s="202"/>
      <c r="J34" s="202" t="s">
        <v>19</v>
      </c>
      <c r="K34" s="202"/>
      <c r="L34" s="202"/>
      <c r="O34" s="203" t="s">
        <v>54</v>
      </c>
      <c r="P34" s="116"/>
      <c r="Q34" s="116"/>
      <c r="R34" s="203"/>
      <c r="S34" s="203"/>
      <c r="T34" s="116"/>
      <c r="U34" s="109"/>
      <c r="V34" s="203" t="s">
        <v>90</v>
      </c>
      <c r="W34" s="203"/>
      <c r="X34" s="116"/>
      <c r="Y34" s="116"/>
      <c r="Z34" s="202"/>
      <c r="AA34" s="202"/>
      <c r="AB34" s="202"/>
      <c r="AD34" s="202"/>
      <c r="AE34" s="202" t="s">
        <v>20</v>
      </c>
      <c r="AF34" s="202"/>
      <c r="AG34" s="202"/>
      <c r="AH34" s="202" t="s">
        <v>20</v>
      </c>
      <c r="AI34" s="202"/>
      <c r="AJ34" s="202"/>
      <c r="AK34" s="202"/>
      <c r="AL34" s="202"/>
      <c r="AM34" s="82"/>
      <c r="AN34" s="202"/>
    </row>
    <row r="35" spans="2:44" s="24" customFormat="1" ht="32.1" customHeight="1" x14ac:dyDescent="0.35">
      <c r="B35" s="202"/>
      <c r="C35" s="367" t="s">
        <v>38</v>
      </c>
      <c r="D35" s="367"/>
      <c r="E35" s="367"/>
      <c r="F35" s="367"/>
      <c r="G35" s="367"/>
      <c r="H35" s="202"/>
      <c r="J35" s="202"/>
      <c r="K35" s="22"/>
      <c r="L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R35" s="223"/>
    </row>
    <row r="36" spans="2:44" s="24" customFormat="1" ht="32.1" customHeight="1" x14ac:dyDescent="0.35">
      <c r="B36" s="202"/>
      <c r="C36" s="202"/>
      <c r="D36" s="202"/>
      <c r="E36" s="202"/>
      <c r="F36" s="202"/>
      <c r="G36" s="202"/>
      <c r="H36" s="202"/>
      <c r="J36" s="202"/>
      <c r="K36" s="22"/>
      <c r="L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R36" s="223"/>
    </row>
    <row r="37" spans="2:44" s="24" customFormat="1" ht="32.1" customHeight="1" x14ac:dyDescent="0.35">
      <c r="B37" s="202"/>
      <c r="C37" s="202" t="s">
        <v>21</v>
      </c>
      <c r="D37" s="203"/>
      <c r="E37" s="202"/>
      <c r="F37" s="202"/>
      <c r="H37" s="202"/>
      <c r="J37" s="202" t="s">
        <v>64</v>
      </c>
      <c r="K37" s="203"/>
      <c r="L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82"/>
      <c r="Z37" s="203"/>
      <c r="AA37" s="203"/>
      <c r="AB37" s="203"/>
      <c r="AC37" s="143"/>
      <c r="AD37" s="203"/>
      <c r="AE37" s="178" t="s">
        <v>100</v>
      </c>
      <c r="AF37" s="203"/>
      <c r="AG37" s="203"/>
      <c r="AH37" s="203"/>
      <c r="AI37" s="203"/>
      <c r="AJ37" s="203"/>
      <c r="AK37" s="203"/>
      <c r="AL37" s="203"/>
      <c r="AM37" s="203"/>
      <c r="AN37" s="109"/>
    </row>
    <row r="38" spans="2:44" s="24" customFormat="1" ht="32.1" customHeight="1" x14ac:dyDescent="0.35">
      <c r="B38" s="202"/>
      <c r="C38" s="202" t="s">
        <v>22</v>
      </c>
      <c r="D38" s="23"/>
      <c r="E38" s="202"/>
      <c r="F38" s="202"/>
      <c r="H38" s="202"/>
      <c r="J38" s="202" t="s">
        <v>25</v>
      </c>
      <c r="K38" s="202"/>
      <c r="L38" s="202"/>
      <c r="N38" s="202"/>
      <c r="O38" s="202"/>
      <c r="P38" s="202"/>
      <c r="Q38" s="202"/>
      <c r="R38" s="202"/>
      <c r="S38" s="202"/>
      <c r="T38" s="202"/>
      <c r="U38" s="202"/>
      <c r="V38" s="202"/>
      <c r="W38" s="1"/>
      <c r="X38" s="202"/>
      <c r="Z38" s="202"/>
      <c r="AA38" s="202"/>
      <c r="AB38" s="202"/>
      <c r="AD38" s="202"/>
      <c r="AE38" s="176" t="s">
        <v>120</v>
      </c>
      <c r="AF38" s="1"/>
      <c r="AG38" s="1"/>
      <c r="AH38" s="1"/>
      <c r="AI38" s="1"/>
      <c r="AJ38" s="1"/>
      <c r="AK38" s="1"/>
      <c r="AL38" s="1"/>
      <c r="AM38" s="1"/>
      <c r="AN38" s="202"/>
    </row>
    <row r="39" spans="2:44" s="24" customFormat="1" ht="32.1" customHeight="1" x14ac:dyDescent="0.35">
      <c r="B39" s="202"/>
      <c r="C39" s="202" t="s">
        <v>23</v>
      </c>
      <c r="D39" s="23"/>
      <c r="E39" s="202"/>
      <c r="F39" s="202"/>
      <c r="H39" s="202"/>
      <c r="J39" s="202" t="s">
        <v>78</v>
      </c>
      <c r="K39" s="202"/>
      <c r="L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Z39" s="202"/>
      <c r="AA39" s="202"/>
      <c r="AB39" s="202"/>
      <c r="AD39" s="202"/>
      <c r="AE39" s="176" t="s">
        <v>121</v>
      </c>
      <c r="AF39" s="202"/>
      <c r="AG39" s="202"/>
      <c r="AH39" s="202"/>
      <c r="AI39" s="202"/>
      <c r="AJ39" s="202"/>
      <c r="AK39" s="202"/>
      <c r="AL39" s="202"/>
      <c r="AM39" s="202"/>
      <c r="AN39" s="202"/>
    </row>
    <row r="40" spans="2:44" s="24" customFormat="1" ht="32.1" customHeight="1" x14ac:dyDescent="0.35">
      <c r="B40" s="202"/>
      <c r="C40" s="202" t="s">
        <v>24</v>
      </c>
      <c r="D40" s="23"/>
      <c r="E40" s="202"/>
      <c r="F40" s="202"/>
      <c r="H40" s="202"/>
      <c r="J40" s="202" t="s">
        <v>63</v>
      </c>
      <c r="K40" s="202"/>
      <c r="L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Z40" s="202"/>
      <c r="AA40" s="202"/>
      <c r="AB40" s="202"/>
      <c r="AD40" s="202"/>
      <c r="AE40" s="176" t="s">
        <v>122</v>
      </c>
      <c r="AF40" s="202"/>
      <c r="AG40" s="202"/>
      <c r="AH40" s="202"/>
      <c r="AI40" s="202"/>
      <c r="AJ40" s="202"/>
      <c r="AK40" s="202"/>
      <c r="AL40" s="202"/>
      <c r="AM40" s="202"/>
      <c r="AN40" s="202"/>
    </row>
    <row r="41" spans="2:44" s="24" customFormat="1" ht="32.1" customHeight="1" x14ac:dyDescent="0.35">
      <c r="AD41" s="202"/>
      <c r="AE41" s="202"/>
    </row>
    <row r="42" spans="2:44" s="24" customFormat="1" ht="32.1" customHeight="1" x14ac:dyDescent="0.35">
      <c r="AD42" s="202"/>
      <c r="AE42" s="202"/>
    </row>
    <row r="43" spans="2:44" s="24" customFormat="1" ht="32.1" customHeight="1" x14ac:dyDescent="0.35">
      <c r="AD43" s="1"/>
    </row>
    <row r="44" spans="2:44" s="24" customFormat="1" ht="32.1" customHeight="1" x14ac:dyDescent="0.35"/>
    <row r="45" spans="2:44" s="25" customFormat="1" ht="20.25" x14ac:dyDescent="0.3"/>
    <row r="46" spans="2:44" s="25" customFormat="1" ht="20.25" x14ac:dyDescent="0.3"/>
    <row r="47" spans="2:44" s="25" customFormat="1" ht="20.25" x14ac:dyDescent="0.3"/>
    <row r="48" spans="2:44" s="25" customFormat="1" ht="20.25" x14ac:dyDescent="0.3"/>
    <row r="49" s="25" customFormat="1" ht="20.25" x14ac:dyDescent="0.3"/>
    <row r="50" s="25" customFormat="1" ht="20.25" x14ac:dyDescent="0.3"/>
    <row r="51" s="25" customFormat="1" ht="20.25" x14ac:dyDescent="0.3"/>
    <row r="52" s="25" customFormat="1" ht="20.25" x14ac:dyDescent="0.3"/>
    <row r="53" s="25" customFormat="1" ht="20.25" x14ac:dyDescent="0.3"/>
    <row r="54" s="25" customFormat="1" ht="20.25" x14ac:dyDescent="0.3"/>
    <row r="55" s="25" customFormat="1" ht="20.25" x14ac:dyDescent="0.3"/>
    <row r="56" s="25" customFormat="1" ht="20.25" x14ac:dyDescent="0.3"/>
    <row r="57" s="25" customFormat="1" ht="20.25" x14ac:dyDescent="0.3"/>
    <row r="58" s="25" customFormat="1" ht="20.25" x14ac:dyDescent="0.3"/>
    <row r="59" s="25" customFormat="1" ht="20.25" x14ac:dyDescent="0.3"/>
    <row r="60" s="25" customFormat="1" ht="20.25" x14ac:dyDescent="0.3"/>
    <row r="61" s="25" customFormat="1" ht="20.25" x14ac:dyDescent="0.3"/>
    <row r="62" s="25" customFormat="1" ht="20.25" x14ac:dyDescent="0.3"/>
    <row r="63" s="25" customFormat="1" ht="20.25" x14ac:dyDescent="0.3"/>
  </sheetData>
  <mergeCells count="39">
    <mergeCell ref="AL16:AL18"/>
    <mergeCell ref="J17:L17"/>
    <mergeCell ref="R17:S17"/>
    <mergeCell ref="T17:U17"/>
    <mergeCell ref="V17:V18"/>
    <mergeCell ref="W17:W18"/>
    <mergeCell ref="X17:X18"/>
    <mergeCell ref="Y17:Y18"/>
    <mergeCell ref="AB17:AB18"/>
    <mergeCell ref="AD16:AD18"/>
    <mergeCell ref="AE16:AE18"/>
    <mergeCell ref="AF16:AF18"/>
    <mergeCell ref="AG16:AH17"/>
    <mergeCell ref="AI16:AI18"/>
    <mergeCell ref="AC17:AC18"/>
    <mergeCell ref="O16:O18"/>
    <mergeCell ref="X16:AC16"/>
    <mergeCell ref="C35:G35"/>
    <mergeCell ref="AK16:AK18"/>
    <mergeCell ref="B21:D21"/>
    <mergeCell ref="B28:C28"/>
    <mergeCell ref="D29:F29"/>
    <mergeCell ref="B29:C30"/>
    <mergeCell ref="B7:AM7"/>
    <mergeCell ref="D30:F30"/>
    <mergeCell ref="B1:AM1"/>
    <mergeCell ref="B2:AM2"/>
    <mergeCell ref="B3:AM3"/>
    <mergeCell ref="B4:AM4"/>
    <mergeCell ref="B6:AM6"/>
    <mergeCell ref="AJ16:AJ18"/>
    <mergeCell ref="B8:AM8"/>
    <mergeCell ref="B16:B19"/>
    <mergeCell ref="C16:C19"/>
    <mergeCell ref="D16:D19"/>
    <mergeCell ref="E16:E19"/>
    <mergeCell ref="F16:F19"/>
    <mergeCell ref="G16:N16"/>
    <mergeCell ref="P16:W16"/>
  </mergeCells>
  <pageMargins left="0.39370078740157483" right="3.937007874015748E-2" top="0.43307086614173229" bottom="0.31496062992125984" header="0.31496062992125984" footer="0.31496062992125984"/>
  <pageSetup paperSize="14" scale="4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AX65"/>
  <sheetViews>
    <sheetView topLeftCell="B4" zoomScale="69" zoomScaleNormal="69" workbookViewId="0">
      <selection activeCell="B31" sqref="B31:D31"/>
    </sheetView>
  </sheetViews>
  <sheetFormatPr defaultRowHeight="16.5" x14ac:dyDescent="0.3"/>
  <cols>
    <col min="1" max="1" width="1.28515625" style="3" hidden="1" customWidth="1"/>
    <col min="2" max="2" width="13.28515625" style="3" customWidth="1"/>
    <col min="3" max="3" width="16" style="3" customWidth="1"/>
    <col min="4" max="4" width="42.140625" style="3" customWidth="1"/>
    <col min="5" max="5" width="28.7109375" style="3" customWidth="1"/>
    <col min="6" max="6" width="28" style="3" customWidth="1"/>
    <col min="7" max="7" width="9.85546875" style="3" hidden="1" customWidth="1"/>
    <col min="8" max="8" width="11" style="3" hidden="1" customWidth="1"/>
    <col min="9" max="9" width="12.28515625" style="3" hidden="1" customWidth="1"/>
    <col min="10" max="10" width="17" style="3" hidden="1" customWidth="1"/>
    <col min="11" max="11" width="16.7109375" style="3" hidden="1" customWidth="1"/>
    <col min="12" max="12" width="12.28515625" style="3" hidden="1" customWidth="1"/>
    <col min="13" max="13" width="10.85546875" style="3" hidden="1" customWidth="1"/>
    <col min="14" max="14" width="14.7109375" style="3" hidden="1" customWidth="1"/>
    <col min="15" max="15" width="11.85546875" style="3" hidden="1" customWidth="1"/>
    <col min="16" max="16" width="15.28515625" style="3" hidden="1" customWidth="1"/>
    <col min="17" max="17" width="12.85546875" style="3" customWidth="1"/>
    <col min="18" max="18" width="12.140625" style="3" customWidth="1"/>
    <col min="19" max="19" width="13" style="3" customWidth="1"/>
    <col min="20" max="20" width="11.28515625" style="3" bestFit="1" customWidth="1"/>
    <col min="21" max="21" width="13.28515625" style="3" customWidth="1"/>
    <col min="22" max="22" width="11.5703125" style="3" customWidth="1"/>
    <col min="23" max="24" width="10" style="3" hidden="1" customWidth="1"/>
    <col min="25" max="25" width="10.140625" style="3" bestFit="1" customWidth="1"/>
    <col min="26" max="26" width="10.7109375" style="3" bestFit="1" customWidth="1"/>
    <col min="27" max="27" width="9.28515625" style="3" customWidth="1"/>
    <col min="28" max="28" width="10.7109375" style="3" customWidth="1"/>
    <col min="29" max="29" width="12.7109375" style="3" hidden="1" customWidth="1"/>
    <col min="30" max="30" width="9.7109375" style="3" hidden="1" customWidth="1"/>
    <col min="31" max="31" width="10.85546875" style="3" customWidth="1"/>
    <col min="32" max="32" width="10.7109375" style="3" customWidth="1"/>
    <col min="33" max="33" width="9.85546875" style="3" hidden="1" customWidth="1"/>
    <col min="34" max="34" width="13.140625" style="3" customWidth="1"/>
    <col min="35" max="36" width="12.5703125" style="3" customWidth="1"/>
    <col min="37" max="40" width="11.140625" style="3" hidden="1" customWidth="1"/>
    <col min="41" max="41" width="17" style="4" customWidth="1"/>
    <col min="42" max="42" width="11" style="3" customWidth="1"/>
    <col min="43" max="43" width="9.85546875" style="3" hidden="1" customWidth="1"/>
    <col min="44" max="44" width="25.42578125" style="3" hidden="1" customWidth="1"/>
    <col min="45" max="45" width="11.140625" style="3" customWidth="1"/>
    <col min="46" max="46" width="9.85546875" style="3" hidden="1" customWidth="1"/>
    <col min="47" max="47" width="10.7109375" style="3" hidden="1" customWidth="1"/>
    <col min="48" max="48" width="13" style="3" hidden="1" customWidth="1"/>
    <col min="49" max="49" width="23.140625" style="3" bestFit="1" customWidth="1"/>
    <col min="50" max="16384" width="9.140625" style="3"/>
  </cols>
  <sheetData>
    <row r="1" spans="2:49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</row>
    <row r="2" spans="2:49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</row>
    <row r="3" spans="2:49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  <c r="AS3" s="287"/>
      <c r="AT3" s="287"/>
      <c r="AU3" s="287"/>
      <c r="AV3" s="287"/>
      <c r="AW3" s="287"/>
    </row>
    <row r="4" spans="2:49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287"/>
      <c r="AW4" s="287"/>
    </row>
    <row r="5" spans="2:49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2:49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</row>
    <row r="7" spans="2:49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7"/>
      <c r="AT7" s="287"/>
      <c r="AU7" s="287"/>
      <c r="AV7" s="287"/>
      <c r="AW7" s="287"/>
    </row>
    <row r="8" spans="2:49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</row>
    <row r="9" spans="2:49" ht="8.25" customHeight="1" x14ac:dyDescent="0.3"/>
    <row r="10" spans="2:49" s="2" customFormat="1" ht="20.100000000000001" customHeight="1" x14ac:dyDescent="0.25">
      <c r="B10" s="202" t="s">
        <v>7</v>
      </c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</row>
    <row r="11" spans="2:49" s="2" customFormat="1" ht="20.100000000000001" customHeight="1" x14ac:dyDescent="0.25">
      <c r="B11" s="202" t="s">
        <v>8</v>
      </c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</row>
    <row r="12" spans="2:49" s="2" customFormat="1" ht="20.100000000000001" customHeight="1" x14ac:dyDescent="0.25">
      <c r="B12" s="202" t="s">
        <v>65</v>
      </c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</row>
    <row r="13" spans="2:49" s="2" customFormat="1" ht="26.25" customHeight="1" x14ac:dyDescent="0.25">
      <c r="B13" s="202" t="s">
        <v>148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</row>
    <row r="14" spans="2:49" s="7" customFormat="1" ht="18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49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2:49" ht="23.25" customHeight="1" x14ac:dyDescent="0.3">
      <c r="B16" s="288" t="s">
        <v>9</v>
      </c>
      <c r="C16" s="291" t="s">
        <v>149</v>
      </c>
      <c r="D16" s="294" t="s">
        <v>10</v>
      </c>
      <c r="E16" s="294" t="s">
        <v>11</v>
      </c>
      <c r="F16" s="294" t="s">
        <v>46</v>
      </c>
      <c r="G16" s="80"/>
      <c r="H16" s="80"/>
      <c r="I16" s="380"/>
      <c r="J16" s="380"/>
      <c r="K16" s="380"/>
      <c r="L16" s="380"/>
      <c r="M16" s="380"/>
      <c r="N16" s="380"/>
      <c r="O16" s="213"/>
      <c r="P16" s="380" t="s">
        <v>87</v>
      </c>
      <c r="Q16" s="380"/>
      <c r="R16" s="380"/>
      <c r="S16" s="380"/>
      <c r="T16" s="380"/>
      <c r="U16" s="381"/>
      <c r="V16" s="300" t="s">
        <v>69</v>
      </c>
      <c r="W16" s="297" t="s">
        <v>59</v>
      </c>
      <c r="X16" s="298"/>
      <c r="Y16" s="298"/>
      <c r="Z16" s="298"/>
      <c r="AA16" s="298"/>
      <c r="AB16" s="298"/>
      <c r="AC16" s="298"/>
      <c r="AD16" s="298"/>
      <c r="AE16" s="298"/>
      <c r="AF16" s="299"/>
      <c r="AG16" s="214"/>
      <c r="AH16" s="303" t="s">
        <v>29</v>
      </c>
      <c r="AI16" s="303"/>
      <c r="AJ16" s="303"/>
      <c r="AK16" s="208"/>
      <c r="AL16" s="208"/>
      <c r="AM16" s="208"/>
      <c r="AN16" s="208"/>
      <c r="AO16" s="304" t="s">
        <v>48</v>
      </c>
      <c r="AP16" s="304" t="s">
        <v>58</v>
      </c>
      <c r="AQ16" s="317" t="s">
        <v>62</v>
      </c>
      <c r="AR16" s="317"/>
      <c r="AS16" s="304" t="s">
        <v>47</v>
      </c>
      <c r="AT16" s="300" t="s">
        <v>16</v>
      </c>
      <c r="AU16" s="304" t="s">
        <v>39</v>
      </c>
      <c r="AV16" s="304" t="s">
        <v>68</v>
      </c>
      <c r="AW16" s="58" t="s">
        <v>41</v>
      </c>
    </row>
    <row r="17" spans="2:50" ht="49.5" customHeight="1" x14ac:dyDescent="0.3">
      <c r="B17" s="289"/>
      <c r="C17" s="292"/>
      <c r="D17" s="295"/>
      <c r="E17" s="295"/>
      <c r="F17" s="295"/>
      <c r="G17" s="211"/>
      <c r="H17" s="211"/>
      <c r="I17" s="307" t="s">
        <v>67</v>
      </c>
      <c r="J17" s="308"/>
      <c r="K17" s="309"/>
      <c r="L17" s="207" t="s">
        <v>57</v>
      </c>
      <c r="M17" s="207" t="s">
        <v>66</v>
      </c>
      <c r="N17" s="215" t="s">
        <v>101</v>
      </c>
      <c r="O17" s="215" t="s">
        <v>26</v>
      </c>
      <c r="P17" s="207" t="s">
        <v>119</v>
      </c>
      <c r="Q17" s="215" t="s">
        <v>103</v>
      </c>
      <c r="R17" s="382" t="s">
        <v>101</v>
      </c>
      <c r="S17" s="383"/>
      <c r="T17" s="207" t="s">
        <v>150</v>
      </c>
      <c r="U17" s="207" t="s">
        <v>57</v>
      </c>
      <c r="V17" s="301"/>
      <c r="W17" s="207" t="s">
        <v>55</v>
      </c>
      <c r="X17" s="215" t="s">
        <v>27</v>
      </c>
      <c r="Y17" s="310" t="s">
        <v>56</v>
      </c>
      <c r="Z17" s="310"/>
      <c r="AA17" s="311" t="s">
        <v>92</v>
      </c>
      <c r="AB17" s="311"/>
      <c r="AC17" s="210"/>
      <c r="AD17" s="210"/>
      <c r="AE17" s="312" t="s">
        <v>71</v>
      </c>
      <c r="AF17" s="312" t="s">
        <v>15</v>
      </c>
      <c r="AG17" s="210"/>
      <c r="AH17" s="313" t="s">
        <v>110</v>
      </c>
      <c r="AI17" s="313" t="s">
        <v>111</v>
      </c>
      <c r="AJ17" s="313" t="s">
        <v>77</v>
      </c>
      <c r="AK17" s="205"/>
      <c r="AL17" s="205"/>
      <c r="AM17" s="205"/>
      <c r="AN17" s="205"/>
      <c r="AO17" s="305"/>
      <c r="AP17" s="305"/>
      <c r="AQ17" s="310"/>
      <c r="AR17" s="310"/>
      <c r="AS17" s="305"/>
      <c r="AT17" s="301"/>
      <c r="AU17" s="305"/>
      <c r="AV17" s="305"/>
      <c r="AW17" s="59" t="s">
        <v>42</v>
      </c>
    </row>
    <row r="18" spans="2:50" ht="24" customHeight="1" x14ac:dyDescent="0.3">
      <c r="B18" s="289"/>
      <c r="C18" s="292"/>
      <c r="D18" s="295"/>
      <c r="E18" s="295"/>
      <c r="F18" s="295"/>
      <c r="G18" s="211"/>
      <c r="H18" s="211"/>
      <c r="I18" s="206" t="s">
        <v>75</v>
      </c>
      <c r="J18" s="206" t="s">
        <v>49</v>
      </c>
      <c r="K18" s="206" t="s">
        <v>52</v>
      </c>
      <c r="L18" s="209" t="s">
        <v>76</v>
      </c>
      <c r="M18" s="209" t="s">
        <v>76</v>
      </c>
      <c r="N18" s="209" t="s">
        <v>106</v>
      </c>
      <c r="O18" s="209" t="s">
        <v>107</v>
      </c>
      <c r="P18" s="209" t="s">
        <v>75</v>
      </c>
      <c r="Q18" s="209" t="s">
        <v>99</v>
      </c>
      <c r="R18" s="209" t="s">
        <v>99</v>
      </c>
      <c r="S18" s="209" t="s">
        <v>102</v>
      </c>
      <c r="T18" s="209" t="s">
        <v>151</v>
      </c>
      <c r="U18" s="209" t="s">
        <v>70</v>
      </c>
      <c r="V18" s="302"/>
      <c r="W18" s="206">
        <v>2.4</v>
      </c>
      <c r="X18" s="209">
        <v>3.6</v>
      </c>
      <c r="Y18" s="207">
        <v>2.4</v>
      </c>
      <c r="Z18" s="207">
        <v>4.9000000000000004</v>
      </c>
      <c r="AA18" s="215">
        <v>2.4</v>
      </c>
      <c r="AB18" s="215">
        <v>4.8</v>
      </c>
      <c r="AC18" s="209"/>
      <c r="AD18" s="209"/>
      <c r="AE18" s="302"/>
      <c r="AF18" s="302"/>
      <c r="AG18" s="209"/>
      <c r="AH18" s="306"/>
      <c r="AI18" s="306"/>
      <c r="AJ18" s="306"/>
      <c r="AK18" s="206"/>
      <c r="AL18" s="206"/>
      <c r="AM18" s="206"/>
      <c r="AN18" s="206"/>
      <c r="AO18" s="306"/>
      <c r="AP18" s="306"/>
      <c r="AQ18" s="209" t="s">
        <v>36</v>
      </c>
      <c r="AR18" s="209" t="s">
        <v>37</v>
      </c>
      <c r="AS18" s="306"/>
      <c r="AT18" s="302"/>
      <c r="AU18" s="306"/>
      <c r="AV18" s="306"/>
      <c r="AW18" s="60" t="s">
        <v>43</v>
      </c>
    </row>
    <row r="19" spans="2:50" s="9" customFormat="1" ht="25.5" customHeight="1" x14ac:dyDescent="0.25">
      <c r="B19" s="290"/>
      <c r="C19" s="293"/>
      <c r="D19" s="296"/>
      <c r="E19" s="296"/>
      <c r="F19" s="296"/>
      <c r="G19" s="212"/>
      <c r="H19" s="212"/>
      <c r="I19" s="209" t="s">
        <v>12</v>
      </c>
      <c r="J19" s="209" t="s">
        <v>12</v>
      </c>
      <c r="K19" s="209" t="s">
        <v>12</v>
      </c>
      <c r="L19" s="209" t="s">
        <v>12</v>
      </c>
      <c r="M19" s="209" t="s">
        <v>12</v>
      </c>
      <c r="N19" s="209" t="s">
        <v>12</v>
      </c>
      <c r="O19" s="209" t="s">
        <v>12</v>
      </c>
      <c r="P19" s="209" t="s">
        <v>12</v>
      </c>
      <c r="Q19" s="209" t="s">
        <v>12</v>
      </c>
      <c r="R19" s="209" t="s">
        <v>12</v>
      </c>
      <c r="S19" s="209" t="s">
        <v>12</v>
      </c>
      <c r="T19" s="209" t="s">
        <v>12</v>
      </c>
      <c r="U19" s="209" t="s">
        <v>12</v>
      </c>
      <c r="V19" s="56" t="s">
        <v>14</v>
      </c>
      <c r="W19" s="209" t="s">
        <v>12</v>
      </c>
      <c r="X19" s="209" t="s">
        <v>12</v>
      </c>
      <c r="Y19" s="209" t="s">
        <v>12</v>
      </c>
      <c r="Z19" s="209" t="s">
        <v>12</v>
      </c>
      <c r="AA19" s="209" t="s">
        <v>12</v>
      </c>
      <c r="AB19" s="209" t="s">
        <v>12</v>
      </c>
      <c r="AC19" s="57"/>
      <c r="AD19" s="57"/>
      <c r="AE19" s="57" t="s">
        <v>12</v>
      </c>
      <c r="AF19" s="209" t="s">
        <v>12</v>
      </c>
      <c r="AG19" s="55"/>
      <c r="AH19" s="55" t="s">
        <v>13</v>
      </c>
      <c r="AI19" s="55" t="s">
        <v>13</v>
      </c>
      <c r="AJ19" s="55" t="s">
        <v>13</v>
      </c>
      <c r="AK19" s="55"/>
      <c r="AL19" s="55"/>
      <c r="AM19" s="55"/>
      <c r="AN19" s="55"/>
      <c r="AO19" s="55" t="s">
        <v>13</v>
      </c>
      <c r="AP19" s="57" t="s">
        <v>13</v>
      </c>
      <c r="AQ19" s="209" t="s">
        <v>12</v>
      </c>
      <c r="AR19" s="209" t="s">
        <v>12</v>
      </c>
      <c r="AS19" s="215" t="s">
        <v>12</v>
      </c>
      <c r="AT19" s="57" t="s">
        <v>14</v>
      </c>
      <c r="AU19" s="215"/>
      <c r="AV19" s="209"/>
      <c r="AW19" s="60"/>
    </row>
    <row r="20" spans="2:50" s="4" customFormat="1" ht="9.75" customHeight="1" x14ac:dyDescent="0.25">
      <c r="B20" s="27"/>
      <c r="C20" s="28"/>
      <c r="D20" s="28"/>
      <c r="E20" s="28"/>
      <c r="F20" s="28"/>
      <c r="G20" s="28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0"/>
      <c r="W20" s="31"/>
      <c r="X20" s="31"/>
      <c r="Y20" s="31"/>
      <c r="Z20" s="31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32"/>
      <c r="AP20" s="29"/>
      <c r="AQ20" s="28"/>
      <c r="AR20" s="33"/>
      <c r="AS20" s="33"/>
      <c r="AT20" s="33"/>
      <c r="AU20" s="33"/>
      <c r="AV20" s="33"/>
      <c r="AW20" s="34"/>
    </row>
    <row r="21" spans="2:50" s="10" customFormat="1" ht="33" customHeight="1" x14ac:dyDescent="0.25">
      <c r="B21" s="384" t="str">
        <f>'FEBRUARY 2026 - PMC '!B21:D21</f>
        <v>Beginning Stock as of as of  February 1, 2026</v>
      </c>
      <c r="C21" s="385"/>
      <c r="D21" s="386"/>
      <c r="E21" s="93"/>
      <c r="F21" s="93"/>
      <c r="G21" s="64"/>
      <c r="H21" s="64"/>
      <c r="I21" s="83" t="e">
        <f>#REF!</f>
        <v>#REF!</v>
      </c>
      <c r="J21" s="83" t="e">
        <f>#REF!</f>
        <v>#REF!</v>
      </c>
      <c r="K21" s="83" t="e">
        <f>#REF!</f>
        <v>#REF!</v>
      </c>
      <c r="L21" s="83" t="e">
        <f>#REF!</f>
        <v>#REF!</v>
      </c>
      <c r="M21" s="83" t="e">
        <f>#REF!</f>
        <v>#REF!</v>
      </c>
      <c r="N21" s="83" t="e">
        <f>#REF!</f>
        <v>#REF!</v>
      </c>
      <c r="O21" s="83" t="e">
        <f>#REF!</f>
        <v>#REF!</v>
      </c>
      <c r="P21" s="83" t="e">
        <f>#REF!</f>
        <v>#REF!</v>
      </c>
      <c r="Q21" s="83">
        <f>'JANUARY 2026- TIGERWAY '!Q31</f>
        <v>0</v>
      </c>
      <c r="R21" s="83">
        <f>'JANUARY 2026- TIGERWAY '!R31</f>
        <v>16016</v>
      </c>
      <c r="S21" s="83">
        <f>'JANUARY 2026- TIGERWAY '!S31</f>
        <v>15800</v>
      </c>
      <c r="T21" s="83">
        <f>'JANUARY 2026- TIGERWAY '!T31</f>
        <v>0</v>
      </c>
      <c r="U21" s="83">
        <f>'JANUARY 2026- TIGERWAY '!U31</f>
        <v>0</v>
      </c>
      <c r="V21" s="83">
        <f>'JANUARY 2026- TIGERWAY '!V31</f>
        <v>1775</v>
      </c>
      <c r="W21" s="83">
        <f>'JANUARY 2026- TIGERWAY '!W31</f>
        <v>0</v>
      </c>
      <c r="X21" s="83">
        <f>'JANUARY 2026- TIGERWAY '!X31</f>
        <v>0</v>
      </c>
      <c r="Y21" s="83">
        <f>'JANUARY 2026- TIGERWAY '!Y31</f>
        <v>1826</v>
      </c>
      <c r="Z21" s="83">
        <f>'JANUARY 2026- TIGERWAY '!Z31</f>
        <v>6022</v>
      </c>
      <c r="AA21" s="83">
        <f>'JANUARY 2026- TIGERWAY '!AA31</f>
        <v>0</v>
      </c>
      <c r="AB21" s="83">
        <f>'JANUARY 2026- TIGERWAY '!AB31</f>
        <v>0</v>
      </c>
      <c r="AC21" s="83">
        <f>'JANUARY 2026- TIGERWAY '!AC31</f>
        <v>0</v>
      </c>
      <c r="AD21" s="83">
        <f>'JANUARY 2026- TIGERWAY '!AD31</f>
        <v>0</v>
      </c>
      <c r="AE21" s="83">
        <f>'JANUARY 2026- TIGERWAY '!AE31</f>
        <v>451</v>
      </c>
      <c r="AF21" s="83">
        <f>'JANUARY 2026- TIGERWAY '!AF31</f>
        <v>96</v>
      </c>
      <c r="AG21" s="83">
        <f>'JANUARY 2026- TIGERWAY '!AG31</f>
        <v>0</v>
      </c>
      <c r="AH21" s="83">
        <f>'JANUARY 2026- TIGERWAY '!AH31</f>
        <v>0</v>
      </c>
      <c r="AI21" s="83">
        <f>'JANUARY 2026- TIGERWAY '!AI31</f>
        <v>2262</v>
      </c>
      <c r="AJ21" s="83">
        <f>'JANUARY 2026- TIGERWAY '!AJ31</f>
        <v>75</v>
      </c>
      <c r="AK21" s="83">
        <f>'JANUARY 2026- TIGERWAY '!AK31</f>
        <v>0</v>
      </c>
      <c r="AL21" s="83">
        <f>'JANUARY 2026- TIGERWAY '!AL31</f>
        <v>0</v>
      </c>
      <c r="AM21" s="83">
        <f>'JANUARY 2026- TIGERWAY '!AM31</f>
        <v>0</v>
      </c>
      <c r="AN21" s="83">
        <f>'JANUARY 2026- TIGERWAY '!AN31</f>
        <v>0</v>
      </c>
      <c r="AO21" s="83">
        <f>'JANUARY 2026- TIGERWAY '!AO31</f>
        <v>468</v>
      </c>
      <c r="AP21" s="83">
        <f>'JANUARY 2026- TIGERWAY '!AP31</f>
        <v>0</v>
      </c>
      <c r="AQ21" s="83">
        <f>'JANUARY 2026- TIGERWAY '!AQ31</f>
        <v>0</v>
      </c>
      <c r="AR21" s="83">
        <f>'JANUARY 2026- TIGERWAY '!AR31</f>
        <v>0</v>
      </c>
      <c r="AS21" s="83">
        <f>'JANUARY 2026- TIGERWAY '!AS31</f>
        <v>0</v>
      </c>
      <c r="AT21" s="83" t="e">
        <f>#REF!</f>
        <v>#REF!</v>
      </c>
      <c r="AU21" s="83" t="e">
        <f>#REF!</f>
        <v>#REF!</v>
      </c>
      <c r="AV21" s="83" t="e">
        <f>#REF!</f>
        <v>#REF!</v>
      </c>
      <c r="AW21" s="35"/>
    </row>
    <row r="22" spans="2:50" s="10" customFormat="1" ht="5.25" customHeight="1" x14ac:dyDescent="0.25">
      <c r="B22" s="94"/>
      <c r="C22" s="95"/>
      <c r="D22" s="95"/>
      <c r="E22" s="96"/>
      <c r="F22" s="96"/>
      <c r="G22" s="38"/>
      <c r="H22" s="38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5"/>
      <c r="W22" s="86"/>
      <c r="X22" s="86"/>
      <c r="Y22" s="86"/>
      <c r="Z22" s="86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5"/>
      <c r="AP22" s="84"/>
      <c r="AQ22" s="85"/>
      <c r="AR22" s="85"/>
      <c r="AS22" s="85"/>
      <c r="AT22" s="43"/>
      <c r="AU22" s="43"/>
      <c r="AV22" s="45"/>
      <c r="AW22" s="35"/>
    </row>
    <row r="23" spans="2:50" s="14" customFormat="1" ht="35.25" customHeight="1" x14ac:dyDescent="0.25">
      <c r="B23" s="110"/>
      <c r="C23" s="111">
        <v>46114</v>
      </c>
      <c r="D23" s="112" t="s">
        <v>31</v>
      </c>
      <c r="E23" s="112" t="s">
        <v>32</v>
      </c>
      <c r="F23" s="112" t="s">
        <v>61</v>
      </c>
      <c r="G23" s="112"/>
      <c r="H23" s="112"/>
      <c r="I23" s="43"/>
      <c r="J23" s="43"/>
      <c r="K23" s="43"/>
      <c r="L23" s="43"/>
      <c r="M23" s="43"/>
      <c r="N23" s="43"/>
      <c r="O23" s="43">
        <f>235*36</f>
        <v>8460</v>
      </c>
      <c r="P23" s="43"/>
      <c r="Q23" s="43"/>
      <c r="R23" s="43"/>
      <c r="S23" s="43"/>
      <c r="T23" s="43">
        <f>270*93</f>
        <v>25110</v>
      </c>
      <c r="U23" s="43"/>
      <c r="V23" s="67">
        <f>40*25</f>
        <v>1000</v>
      </c>
      <c r="W23" s="70"/>
      <c r="X23" s="70"/>
      <c r="Y23" s="70"/>
      <c r="Z23" s="70">
        <v>5280</v>
      </c>
      <c r="AA23" s="43"/>
      <c r="AB23" s="43"/>
      <c r="AC23" s="43"/>
      <c r="AD23" s="43"/>
      <c r="AE23" s="67">
        <v>500</v>
      </c>
      <c r="AF23" s="43"/>
      <c r="AG23" s="43"/>
      <c r="AH23" s="43"/>
      <c r="AI23" s="43"/>
      <c r="AJ23" s="43">
        <v>3000</v>
      </c>
      <c r="AK23" s="43"/>
      <c r="AL23" s="43"/>
      <c r="AM23" s="43"/>
      <c r="AN23" s="43"/>
      <c r="AO23" s="68">
        <v>1000</v>
      </c>
      <c r="AP23" s="71"/>
      <c r="AQ23" s="44"/>
      <c r="AR23" s="44"/>
      <c r="AS23" s="44"/>
      <c r="AT23" s="43"/>
      <c r="AU23" s="43"/>
      <c r="AV23" s="45"/>
      <c r="AW23" s="113" t="s">
        <v>40</v>
      </c>
    </row>
    <row r="24" spans="2:50" s="14" customFormat="1" ht="42.75" customHeight="1" x14ac:dyDescent="0.25">
      <c r="B24" s="97"/>
      <c r="C24" s="111" t="s">
        <v>152</v>
      </c>
      <c r="D24" s="98" t="s">
        <v>31</v>
      </c>
      <c r="E24" s="98" t="s">
        <v>32</v>
      </c>
      <c r="F24" s="98" t="s">
        <v>61</v>
      </c>
      <c r="G24" s="42"/>
      <c r="H24" s="42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9">
        <f>80*25</f>
        <v>2000</v>
      </c>
      <c r="W24" s="88"/>
      <c r="X24" s="88"/>
      <c r="Y24" s="88"/>
      <c r="Z24" s="88"/>
      <c r="AA24" s="84"/>
      <c r="AB24" s="84"/>
      <c r="AC24" s="84"/>
      <c r="AD24" s="84"/>
      <c r="AE24" s="89"/>
      <c r="AF24" s="84"/>
      <c r="AG24" s="84"/>
      <c r="AH24" s="84"/>
      <c r="AI24" s="84"/>
      <c r="AJ24" s="84"/>
      <c r="AK24" s="84"/>
      <c r="AL24" s="84"/>
      <c r="AM24" s="84"/>
      <c r="AN24" s="84"/>
      <c r="AO24" s="87"/>
      <c r="AP24" s="90"/>
      <c r="AQ24" s="85"/>
      <c r="AR24" s="85"/>
      <c r="AS24" s="85"/>
      <c r="AT24" s="48"/>
      <c r="AU24" s="48"/>
      <c r="AV24" s="49"/>
      <c r="AW24" s="113" t="s">
        <v>40</v>
      </c>
      <c r="AX24" s="13"/>
    </row>
    <row r="25" spans="2:50" s="14" customFormat="1" ht="30" hidden="1" customHeight="1" x14ac:dyDescent="0.25">
      <c r="B25" s="97"/>
      <c r="C25" s="111"/>
      <c r="D25" s="98" t="s">
        <v>31</v>
      </c>
      <c r="E25" s="98" t="s">
        <v>32</v>
      </c>
      <c r="F25" s="98" t="s">
        <v>61</v>
      </c>
      <c r="G25" s="42"/>
      <c r="H25" s="42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7"/>
      <c r="W25" s="88"/>
      <c r="X25" s="88"/>
      <c r="Y25" s="88"/>
      <c r="Z25" s="88"/>
      <c r="AA25" s="84"/>
      <c r="AB25" s="84"/>
      <c r="AC25" s="84"/>
      <c r="AD25" s="84"/>
      <c r="AE25" s="89"/>
      <c r="AF25" s="84"/>
      <c r="AG25" s="84"/>
      <c r="AH25" s="84"/>
      <c r="AI25" s="84"/>
      <c r="AJ25" s="84"/>
      <c r="AK25" s="84"/>
      <c r="AL25" s="84"/>
      <c r="AM25" s="84"/>
      <c r="AN25" s="84"/>
      <c r="AO25" s="87"/>
      <c r="AP25" s="90"/>
      <c r="AQ25" s="85"/>
      <c r="AR25" s="85"/>
      <c r="AS25" s="85"/>
      <c r="AT25" s="48"/>
      <c r="AU25" s="48"/>
      <c r="AV25" s="49"/>
      <c r="AW25" s="113" t="s">
        <v>40</v>
      </c>
      <c r="AX25" s="13"/>
    </row>
    <row r="26" spans="2:50" s="10" customFormat="1" ht="34.5" customHeight="1" x14ac:dyDescent="0.25">
      <c r="B26" s="99" t="s">
        <v>34</v>
      </c>
      <c r="C26" s="100"/>
      <c r="D26" s="98"/>
      <c r="E26" s="98"/>
      <c r="F26" s="98"/>
      <c r="G26" s="42"/>
      <c r="H26" s="42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7"/>
      <c r="W26" s="85"/>
      <c r="X26" s="85"/>
      <c r="Y26" s="85"/>
      <c r="Z26" s="85"/>
      <c r="AA26" s="85"/>
      <c r="AB26" s="85"/>
      <c r="AC26" s="85"/>
      <c r="AD26" s="85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5"/>
      <c r="AP26" s="84"/>
      <c r="AQ26" s="85"/>
      <c r="AR26" s="85"/>
      <c r="AS26" s="85"/>
      <c r="AT26" s="48"/>
      <c r="AU26" s="48"/>
      <c r="AV26" s="49"/>
      <c r="AW26" s="78"/>
      <c r="AX26" s="2"/>
    </row>
    <row r="27" spans="2:50" s="10" customFormat="1" ht="34.5" customHeight="1" x14ac:dyDescent="0.25">
      <c r="B27" s="99" t="s">
        <v>35</v>
      </c>
      <c r="C27" s="98"/>
      <c r="D27" s="96"/>
      <c r="E27" s="96"/>
      <c r="F27" s="96"/>
      <c r="G27" s="38"/>
      <c r="H27" s="38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5"/>
      <c r="W27" s="85"/>
      <c r="X27" s="85"/>
      <c r="Y27" s="85"/>
      <c r="Z27" s="85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5"/>
      <c r="AP27" s="84"/>
      <c r="AQ27" s="85"/>
      <c r="AR27" s="85"/>
      <c r="AS27" s="85"/>
      <c r="AT27" s="43"/>
      <c r="AU27" s="43"/>
      <c r="AV27" s="45"/>
      <c r="AW27" s="35"/>
      <c r="AX27" s="2"/>
    </row>
    <row r="28" spans="2:50" s="14" customFormat="1" ht="33.75" customHeight="1" x14ac:dyDescent="0.25">
      <c r="B28" s="105" t="s">
        <v>17</v>
      </c>
      <c r="C28" s="106"/>
      <c r="D28" s="102"/>
      <c r="E28" s="102"/>
      <c r="F28" s="102"/>
      <c r="G28" s="104"/>
      <c r="H28" s="104"/>
      <c r="I28" s="83" t="e">
        <f t="shared" ref="I28:AB28" si="0">SUM(I21:I27)</f>
        <v>#REF!</v>
      </c>
      <c r="J28" s="83" t="e">
        <f t="shared" si="0"/>
        <v>#REF!</v>
      </c>
      <c r="K28" s="83" t="e">
        <f t="shared" si="0"/>
        <v>#REF!</v>
      </c>
      <c r="L28" s="83" t="e">
        <f t="shared" si="0"/>
        <v>#REF!</v>
      </c>
      <c r="M28" s="83" t="e">
        <f t="shared" si="0"/>
        <v>#REF!</v>
      </c>
      <c r="N28" s="83" t="e">
        <f t="shared" si="0"/>
        <v>#REF!</v>
      </c>
      <c r="O28" s="83" t="e">
        <f t="shared" si="0"/>
        <v>#REF!</v>
      </c>
      <c r="P28" s="83" t="e">
        <f t="shared" si="0"/>
        <v>#REF!</v>
      </c>
      <c r="Q28" s="83">
        <f t="shared" si="0"/>
        <v>0</v>
      </c>
      <c r="R28" s="83">
        <f t="shared" si="0"/>
        <v>16016</v>
      </c>
      <c r="S28" s="83">
        <f t="shared" si="0"/>
        <v>15800</v>
      </c>
      <c r="T28" s="83">
        <f t="shared" si="0"/>
        <v>25110</v>
      </c>
      <c r="U28" s="83">
        <f t="shared" si="0"/>
        <v>0</v>
      </c>
      <c r="V28" s="83">
        <f t="shared" si="0"/>
        <v>4775</v>
      </c>
      <c r="W28" s="83">
        <f t="shared" si="0"/>
        <v>0</v>
      </c>
      <c r="X28" s="83">
        <f t="shared" si="0"/>
        <v>0</v>
      </c>
      <c r="Y28" s="83">
        <f t="shared" si="0"/>
        <v>1826</v>
      </c>
      <c r="Z28" s="83">
        <f t="shared" si="0"/>
        <v>11302</v>
      </c>
      <c r="AA28" s="83">
        <f t="shared" si="0"/>
        <v>0</v>
      </c>
      <c r="AB28" s="83">
        <f t="shared" si="0"/>
        <v>0</v>
      </c>
      <c r="AC28" s="83"/>
      <c r="AD28" s="83"/>
      <c r="AE28" s="83">
        <f>SUM(AE21:AE27)</f>
        <v>951</v>
      </c>
      <c r="AF28" s="83">
        <f>SUM(AF21:AF27)</f>
        <v>96</v>
      </c>
      <c r="AG28" s="83"/>
      <c r="AH28" s="83">
        <f>SUM(AH21:AH27)</f>
        <v>0</v>
      </c>
      <c r="AI28" s="83">
        <f>SUM(AI21:AI27)</f>
        <v>2262</v>
      </c>
      <c r="AJ28" s="83">
        <f>SUM(AJ21:AJ27)</f>
        <v>3075</v>
      </c>
      <c r="AK28" s="83"/>
      <c r="AL28" s="83"/>
      <c r="AM28" s="83"/>
      <c r="AN28" s="83"/>
      <c r="AO28" s="83">
        <f t="shared" ref="AO28:AV28" si="1">SUM(AO21:AO27)</f>
        <v>1468</v>
      </c>
      <c r="AP28" s="83">
        <f t="shared" si="1"/>
        <v>0</v>
      </c>
      <c r="AQ28" s="83">
        <f t="shared" si="1"/>
        <v>0</v>
      </c>
      <c r="AR28" s="83">
        <f t="shared" si="1"/>
        <v>0</v>
      </c>
      <c r="AS28" s="83">
        <f t="shared" si="1"/>
        <v>0</v>
      </c>
      <c r="AT28" s="53" t="e">
        <f t="shared" si="1"/>
        <v>#REF!</v>
      </c>
      <c r="AU28" s="53" t="e">
        <f t="shared" si="1"/>
        <v>#REF!</v>
      </c>
      <c r="AV28" s="53" t="e">
        <f t="shared" si="1"/>
        <v>#REF!</v>
      </c>
      <c r="AW28" s="36"/>
      <c r="AX28" s="13"/>
    </row>
    <row r="29" spans="2:50" s="14" customFormat="1" ht="29.25" customHeight="1" x14ac:dyDescent="0.25">
      <c r="B29" s="387" t="s">
        <v>18</v>
      </c>
      <c r="C29" s="388"/>
      <c r="D29" s="85"/>
      <c r="E29" s="85"/>
      <c r="F29" s="85"/>
      <c r="G29" s="39"/>
      <c r="H29" s="39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5"/>
      <c r="W29" s="85"/>
      <c r="X29" s="85"/>
      <c r="Y29" s="85"/>
      <c r="Z29" s="85"/>
      <c r="AA29" s="84"/>
      <c r="AB29" s="84"/>
      <c r="AC29" s="84"/>
      <c r="AD29" s="84"/>
      <c r="AE29" s="84"/>
      <c r="AF29" s="85"/>
      <c r="AG29" s="85"/>
      <c r="AH29" s="84"/>
      <c r="AI29" s="84"/>
      <c r="AJ29" s="84"/>
      <c r="AK29" s="84"/>
      <c r="AL29" s="84"/>
      <c r="AM29" s="84"/>
      <c r="AN29" s="84"/>
      <c r="AO29" s="85"/>
      <c r="AP29" s="84"/>
      <c r="AQ29" s="85"/>
      <c r="AR29" s="85"/>
      <c r="AS29" s="85"/>
      <c r="AT29" s="26"/>
      <c r="AU29" s="26"/>
      <c r="AV29" s="49"/>
      <c r="AW29" s="36"/>
      <c r="AX29" s="13"/>
    </row>
    <row r="30" spans="2:50" s="14" customFormat="1" ht="93.75" customHeight="1" x14ac:dyDescent="0.25">
      <c r="B30" s="389" t="s">
        <v>83</v>
      </c>
      <c r="C30" s="390"/>
      <c r="D30" s="391" t="s">
        <v>93</v>
      </c>
      <c r="E30" s="392"/>
      <c r="F30" s="393"/>
      <c r="G30" s="79"/>
      <c r="H30" s="79"/>
      <c r="I30" s="91">
        <v>0</v>
      </c>
      <c r="J30" s="91" t="e">
        <f>SUM(J26:J29)</f>
        <v>#REF!</v>
      </c>
      <c r="K30" s="91" t="e">
        <f>SUM(K26:K29)</f>
        <v>#REF!</v>
      </c>
      <c r="L30" s="91" t="e">
        <f>SUM(L26:L29)</f>
        <v>#REF!</v>
      </c>
      <c r="M30" s="91" t="e">
        <f>SUM(M26:M29)</f>
        <v>#REF!</v>
      </c>
      <c r="N30" s="91"/>
      <c r="O30" s="91">
        <f>350*36</f>
        <v>12600</v>
      </c>
      <c r="P30" s="91"/>
      <c r="Q30" s="91"/>
      <c r="R30" s="91">
        <v>2002</v>
      </c>
      <c r="S30" s="91"/>
      <c r="T30" s="91">
        <v>11904</v>
      </c>
      <c r="U30" s="91"/>
      <c r="V30" s="91">
        <v>3575</v>
      </c>
      <c r="W30" s="91"/>
      <c r="X30" s="91"/>
      <c r="Y30" s="91"/>
      <c r="Z30" s="91">
        <v>1683</v>
      </c>
      <c r="AA30" s="91"/>
      <c r="AB30" s="91"/>
      <c r="AC30" s="91"/>
      <c r="AD30" s="91"/>
      <c r="AE30" s="91">
        <v>147</v>
      </c>
      <c r="AF30" s="91">
        <v>0</v>
      </c>
      <c r="AG30" s="91"/>
      <c r="AH30" s="91"/>
      <c r="AI30" s="91">
        <v>1406</v>
      </c>
      <c r="AJ30" s="91">
        <v>1575</v>
      </c>
      <c r="AK30" s="91"/>
      <c r="AL30" s="91"/>
      <c r="AM30" s="91"/>
      <c r="AN30" s="91"/>
      <c r="AO30" s="91">
        <v>171</v>
      </c>
      <c r="AP30" s="91">
        <v>0</v>
      </c>
      <c r="AQ30" s="91"/>
      <c r="AR30" s="91"/>
      <c r="AS30" s="91">
        <v>0</v>
      </c>
      <c r="AT30" s="81"/>
      <c r="AU30" s="81"/>
      <c r="AV30" s="81"/>
      <c r="AW30" s="36"/>
      <c r="AX30" s="13"/>
    </row>
    <row r="31" spans="2:50" s="14" customFormat="1" ht="45.75" customHeight="1" thickBot="1" x14ac:dyDescent="0.3">
      <c r="B31" s="394" t="str">
        <f>'FEBRUARY 2026 - PMC '!B38</f>
        <v>Remaining Stock as of February 28,2026</v>
      </c>
      <c r="C31" s="395"/>
      <c r="D31" s="396"/>
      <c r="E31" s="101"/>
      <c r="F31" s="101"/>
      <c r="G31" s="63"/>
      <c r="H31" s="63"/>
      <c r="I31" s="92" t="e">
        <f t="shared" ref="I31:AV31" si="2">I28-I30</f>
        <v>#REF!</v>
      </c>
      <c r="J31" s="92" t="e">
        <f t="shared" si="2"/>
        <v>#REF!</v>
      </c>
      <c r="K31" s="92" t="e">
        <f t="shared" si="2"/>
        <v>#REF!</v>
      </c>
      <c r="L31" s="92" t="e">
        <f t="shared" si="2"/>
        <v>#REF!</v>
      </c>
      <c r="M31" s="92" t="e">
        <f t="shared" si="2"/>
        <v>#REF!</v>
      </c>
      <c r="N31" s="92" t="e">
        <f>N28-N30</f>
        <v>#REF!</v>
      </c>
      <c r="O31" s="92" t="e">
        <f t="shared" ref="O31:U31" si="3">O28-O30</f>
        <v>#REF!</v>
      </c>
      <c r="P31" s="92" t="e">
        <f t="shared" si="3"/>
        <v>#REF!</v>
      </c>
      <c r="Q31" s="92">
        <f>Q28-Q30</f>
        <v>0</v>
      </c>
      <c r="R31" s="92">
        <f t="shared" ref="R31:S31" si="4">R28-R30</f>
        <v>14014</v>
      </c>
      <c r="S31" s="92">
        <f t="shared" si="4"/>
        <v>15800</v>
      </c>
      <c r="T31" s="92">
        <f t="shared" si="3"/>
        <v>13206</v>
      </c>
      <c r="U31" s="92">
        <f t="shared" si="3"/>
        <v>0</v>
      </c>
      <c r="V31" s="92">
        <f t="shared" si="2"/>
        <v>1200</v>
      </c>
      <c r="W31" s="92">
        <f t="shared" si="2"/>
        <v>0</v>
      </c>
      <c r="X31" s="92">
        <f t="shared" si="2"/>
        <v>0</v>
      </c>
      <c r="Y31" s="92">
        <f t="shared" si="2"/>
        <v>1826</v>
      </c>
      <c r="Z31" s="92">
        <f t="shared" si="2"/>
        <v>9619</v>
      </c>
      <c r="AA31" s="92">
        <f t="shared" si="2"/>
        <v>0</v>
      </c>
      <c r="AB31" s="92">
        <f t="shared" si="2"/>
        <v>0</v>
      </c>
      <c r="AC31" s="92"/>
      <c r="AD31" s="92"/>
      <c r="AE31" s="92">
        <f t="shared" si="2"/>
        <v>804</v>
      </c>
      <c r="AF31" s="92">
        <f t="shared" si="2"/>
        <v>96</v>
      </c>
      <c r="AG31" s="92"/>
      <c r="AH31" s="92">
        <f t="shared" si="2"/>
        <v>0</v>
      </c>
      <c r="AI31" s="92">
        <f t="shared" si="2"/>
        <v>856</v>
      </c>
      <c r="AJ31" s="92">
        <f t="shared" si="2"/>
        <v>1500</v>
      </c>
      <c r="AK31" s="92"/>
      <c r="AL31" s="92"/>
      <c r="AM31" s="92"/>
      <c r="AN31" s="92"/>
      <c r="AO31" s="92">
        <f t="shared" si="2"/>
        <v>1297</v>
      </c>
      <c r="AP31" s="92">
        <f t="shared" si="2"/>
        <v>0</v>
      </c>
      <c r="AQ31" s="92">
        <f t="shared" si="2"/>
        <v>0</v>
      </c>
      <c r="AR31" s="92">
        <f t="shared" si="2"/>
        <v>0</v>
      </c>
      <c r="AS31" s="92">
        <f t="shared" si="2"/>
        <v>0</v>
      </c>
      <c r="AT31" s="54" t="e">
        <f t="shared" si="2"/>
        <v>#REF!</v>
      </c>
      <c r="AU31" s="54" t="e">
        <f t="shared" si="2"/>
        <v>#REF!</v>
      </c>
      <c r="AV31" s="54" t="e">
        <f t="shared" si="2"/>
        <v>#REF!</v>
      </c>
      <c r="AW31" s="37"/>
    </row>
    <row r="32" spans="2:50" ht="26.25" customHeight="1" x14ac:dyDescent="0.3">
      <c r="V32" s="17"/>
      <c r="W32" s="17"/>
      <c r="X32" s="17"/>
      <c r="Y32" s="17"/>
      <c r="Z32" s="17"/>
      <c r="AA32" s="17"/>
      <c r="AJ32" s="18"/>
      <c r="AK32" s="18"/>
      <c r="AL32" s="18"/>
      <c r="AM32" s="18"/>
      <c r="AN32" s="18"/>
      <c r="AO32" s="19"/>
    </row>
    <row r="33" spans="2:50" ht="9" customHeight="1" x14ac:dyDescent="0.3">
      <c r="J33" s="20"/>
      <c r="W33" s="17"/>
      <c r="X33" s="17"/>
      <c r="Y33" s="17"/>
      <c r="Z33" s="17"/>
      <c r="AA33" s="17"/>
      <c r="AB33" s="17"/>
      <c r="AC33" s="17"/>
      <c r="AD33" s="17"/>
      <c r="AE33" s="21"/>
      <c r="AO33" s="19"/>
      <c r="AP33" s="21"/>
    </row>
    <row r="34" spans="2:50" ht="9" customHeight="1" x14ac:dyDescent="0.3">
      <c r="J34" s="20"/>
      <c r="W34" s="17"/>
      <c r="X34" s="17"/>
      <c r="Y34" s="17"/>
      <c r="Z34" s="17"/>
      <c r="AA34" s="17"/>
      <c r="AB34" s="17"/>
      <c r="AC34" s="17"/>
      <c r="AD34" s="17"/>
      <c r="AE34" s="21"/>
      <c r="AO34" s="19"/>
      <c r="AP34" s="21"/>
    </row>
    <row r="35" spans="2:50" ht="9" customHeight="1" x14ac:dyDescent="0.3">
      <c r="J35" s="20"/>
      <c r="W35" s="17"/>
      <c r="X35" s="17"/>
      <c r="Y35" s="17"/>
      <c r="Z35" s="17"/>
      <c r="AA35" s="17"/>
      <c r="AB35" s="17"/>
      <c r="AC35" s="17"/>
      <c r="AD35" s="17"/>
      <c r="AE35" s="21"/>
      <c r="AO35" s="19"/>
      <c r="AP35" s="21"/>
    </row>
    <row r="36" spans="2:50" s="2" customFormat="1" ht="30" customHeight="1" x14ac:dyDescent="0.25">
      <c r="B36" s="202"/>
      <c r="C36" s="202" t="s">
        <v>45</v>
      </c>
      <c r="D36" s="202"/>
      <c r="E36" s="202"/>
      <c r="F36" s="202" t="s">
        <v>116</v>
      </c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16"/>
      <c r="R36" s="216"/>
      <c r="S36" s="203" t="s">
        <v>54</v>
      </c>
      <c r="T36" s="117"/>
      <c r="U36" s="117"/>
      <c r="V36" s="117"/>
      <c r="W36" s="203"/>
      <c r="X36" s="203"/>
      <c r="Y36" s="203"/>
      <c r="Z36" s="118"/>
      <c r="AA36" s="203" t="s">
        <v>90</v>
      </c>
      <c r="AB36" s="117"/>
      <c r="AC36" s="203"/>
      <c r="AD36" s="203"/>
      <c r="AE36" s="117"/>
      <c r="AF36" s="203"/>
      <c r="AG36" s="203"/>
      <c r="AH36" s="109"/>
      <c r="AI36" s="202" t="s">
        <v>20</v>
      </c>
      <c r="AQ36" s="202"/>
      <c r="AR36" s="202" t="s">
        <v>20</v>
      </c>
      <c r="AS36" s="202"/>
      <c r="AT36" s="202"/>
      <c r="AU36" s="202"/>
      <c r="AV36" s="202"/>
      <c r="AW36" s="202"/>
      <c r="AX36" s="202"/>
    </row>
    <row r="37" spans="2:50" s="2" customFormat="1" ht="30" customHeight="1" x14ac:dyDescent="0.25">
      <c r="B37" s="202"/>
      <c r="C37" s="367" t="s">
        <v>38</v>
      </c>
      <c r="D37" s="367"/>
      <c r="E37" s="367"/>
      <c r="F37" s="367"/>
      <c r="G37" s="367"/>
      <c r="H37" s="367"/>
      <c r="I37" s="202"/>
      <c r="J37" s="2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Q37" s="202"/>
      <c r="AR37" s="202"/>
      <c r="AS37" s="202"/>
      <c r="AT37" s="202"/>
      <c r="AU37" s="202"/>
      <c r="AV37" s="202"/>
      <c r="AW37" s="202"/>
      <c r="AX37" s="202"/>
    </row>
    <row r="38" spans="2:50" s="2" customFormat="1" ht="30" customHeight="1" x14ac:dyDescent="0.25">
      <c r="B38" s="202"/>
      <c r="C38" s="202"/>
      <c r="D38" s="202"/>
      <c r="E38" s="202"/>
      <c r="F38" s="202"/>
      <c r="G38" s="202"/>
      <c r="H38" s="202"/>
      <c r="I38" s="202"/>
      <c r="J38" s="2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Q38" s="202"/>
      <c r="AR38" s="202"/>
      <c r="AS38" s="202"/>
      <c r="AT38" s="202"/>
      <c r="AU38" s="202"/>
      <c r="AV38" s="202"/>
      <c r="AW38" s="202"/>
      <c r="AX38" s="202"/>
    </row>
    <row r="39" spans="2:50" s="2" customFormat="1" ht="30" customHeight="1" x14ac:dyDescent="0.25">
      <c r="B39" s="202"/>
      <c r="C39" s="202" t="s">
        <v>21</v>
      </c>
      <c r="D39" s="203"/>
      <c r="E39" s="202"/>
      <c r="F39" s="202" t="s">
        <v>112</v>
      </c>
      <c r="G39" s="202"/>
      <c r="H39" s="202"/>
      <c r="I39" s="202"/>
      <c r="J39" s="203"/>
      <c r="K39" s="202"/>
      <c r="L39" s="202"/>
      <c r="M39" s="202"/>
      <c r="N39" s="202"/>
      <c r="O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178" t="s">
        <v>100</v>
      </c>
      <c r="AJ39" s="117"/>
      <c r="AK39" s="117"/>
      <c r="AL39" s="117"/>
      <c r="AM39" s="117"/>
      <c r="AN39" s="117"/>
      <c r="AO39" s="117"/>
      <c r="AP39" s="117"/>
      <c r="AQ39" s="203"/>
      <c r="AR39" s="203"/>
      <c r="AS39" s="203"/>
      <c r="AT39" s="203"/>
      <c r="AU39" s="203"/>
      <c r="AV39" s="203"/>
      <c r="AW39" s="109"/>
      <c r="AX39" s="202"/>
    </row>
    <row r="40" spans="2:50" s="2" customFormat="1" ht="30" customHeight="1" x14ac:dyDescent="0.25">
      <c r="B40" s="202"/>
      <c r="C40" s="202" t="s">
        <v>22</v>
      </c>
      <c r="D40" s="23"/>
      <c r="E40" s="202"/>
      <c r="F40" s="202" t="s">
        <v>113</v>
      </c>
      <c r="G40" s="202"/>
      <c r="H40" s="202"/>
      <c r="I40" s="202"/>
      <c r="J40" s="202"/>
      <c r="K40" s="202"/>
      <c r="L40" s="202"/>
      <c r="M40" s="202"/>
      <c r="N40" s="202"/>
      <c r="O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176" t="s">
        <v>120</v>
      </c>
      <c r="AQ40" s="202"/>
      <c r="AR40" s="202"/>
      <c r="AS40" s="202"/>
      <c r="AT40" s="202"/>
      <c r="AU40" s="202"/>
      <c r="AV40" s="202"/>
      <c r="AW40" s="202"/>
      <c r="AX40" s="202"/>
    </row>
    <row r="41" spans="2:50" s="2" customFormat="1" ht="30" customHeight="1" x14ac:dyDescent="0.25">
      <c r="B41" s="202"/>
      <c r="C41" s="202" t="s">
        <v>23</v>
      </c>
      <c r="D41" s="23"/>
      <c r="E41" s="202"/>
      <c r="F41" s="202" t="s">
        <v>114</v>
      </c>
      <c r="G41" s="202"/>
      <c r="H41" s="202"/>
      <c r="I41" s="202"/>
      <c r="J41" s="202"/>
      <c r="K41" s="202"/>
      <c r="L41" s="202"/>
      <c r="M41" s="202"/>
      <c r="N41" s="202"/>
      <c r="O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176" t="s">
        <v>121</v>
      </c>
      <c r="AQ41" s="202"/>
      <c r="AR41" s="202"/>
      <c r="AS41" s="202"/>
      <c r="AT41" s="202"/>
      <c r="AU41" s="202"/>
      <c r="AV41" s="202"/>
      <c r="AW41" s="202"/>
      <c r="AX41" s="202"/>
    </row>
    <row r="42" spans="2:50" s="2" customFormat="1" ht="30" customHeight="1" x14ac:dyDescent="0.25">
      <c r="B42" s="202"/>
      <c r="C42" s="202" t="s">
        <v>24</v>
      </c>
      <c r="D42" s="23"/>
      <c r="E42" s="202"/>
      <c r="F42" s="202" t="s">
        <v>115</v>
      </c>
      <c r="G42" s="202"/>
      <c r="H42" s="202"/>
      <c r="I42" s="202"/>
      <c r="J42" s="202"/>
      <c r="K42" s="202"/>
      <c r="L42" s="202"/>
      <c r="M42" s="202"/>
      <c r="N42" s="202"/>
      <c r="O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176" t="s">
        <v>122</v>
      </c>
      <c r="AQ42" s="202"/>
      <c r="AR42" s="202"/>
      <c r="AS42" s="202"/>
      <c r="AT42" s="202"/>
      <c r="AU42" s="202"/>
      <c r="AV42" s="202"/>
      <c r="AW42" s="202"/>
      <c r="AX42" s="202"/>
    </row>
    <row r="43" spans="2:50" s="2" customFormat="1" ht="30" customHeight="1" x14ac:dyDescent="0.25">
      <c r="AO43" s="202"/>
    </row>
    <row r="44" spans="2:50" s="114" customFormat="1" ht="30" customHeight="1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O44" s="107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2:50" s="114" customFormat="1" ht="24.95" customHeight="1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2:50" ht="24.95" customHeight="1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2:50" s="25" customFormat="1" ht="20.25" x14ac:dyDescent="0.3"/>
    <row r="48" spans="2:50" s="25" customFormat="1" ht="20.25" x14ac:dyDescent="0.3"/>
    <row r="49" s="25" customFormat="1" ht="20.25" x14ac:dyDescent="0.3"/>
    <row r="50" s="25" customFormat="1" ht="20.25" x14ac:dyDescent="0.3"/>
    <row r="51" s="25" customFormat="1" ht="20.25" x14ac:dyDescent="0.3"/>
    <row r="52" s="25" customFormat="1" ht="20.25" x14ac:dyDescent="0.3"/>
    <row r="53" s="25" customFormat="1" ht="20.25" x14ac:dyDescent="0.3"/>
    <row r="54" s="25" customFormat="1" ht="20.25" x14ac:dyDescent="0.3"/>
    <row r="55" s="25" customFormat="1" ht="20.25" x14ac:dyDescent="0.3"/>
    <row r="56" s="25" customFormat="1" ht="20.25" x14ac:dyDescent="0.3"/>
    <row r="57" s="25" customFormat="1" ht="20.25" x14ac:dyDescent="0.3"/>
    <row r="58" s="25" customFormat="1" ht="20.25" x14ac:dyDescent="0.3"/>
    <row r="59" s="25" customFormat="1" ht="20.25" x14ac:dyDescent="0.3"/>
    <row r="60" s="25" customFormat="1" ht="20.25" x14ac:dyDescent="0.3"/>
    <row r="61" s="25" customFormat="1" ht="20.25" x14ac:dyDescent="0.3"/>
    <row r="62" s="25" customFormat="1" ht="20.25" x14ac:dyDescent="0.3"/>
    <row r="63" s="25" customFormat="1" ht="20.25" x14ac:dyDescent="0.3"/>
    <row r="64" s="25" customFormat="1" ht="20.25" x14ac:dyDescent="0.3"/>
    <row r="65" s="25" customFormat="1" ht="20.25" x14ac:dyDescent="0.3"/>
  </sheetData>
  <mergeCells count="39">
    <mergeCell ref="B21:D21"/>
    <mergeCell ref="B29:C29"/>
    <mergeCell ref="B30:C30"/>
    <mergeCell ref="D30:F30"/>
    <mergeCell ref="B31:D31"/>
    <mergeCell ref="C37:H37"/>
    <mergeCell ref="AU16:AU18"/>
    <mergeCell ref="AV16:AV18"/>
    <mergeCell ref="I17:K17"/>
    <mergeCell ref="R17:S17"/>
    <mergeCell ref="Y17:Z17"/>
    <mergeCell ref="AA17:AB17"/>
    <mergeCell ref="AE17:AE18"/>
    <mergeCell ref="AF17:AF18"/>
    <mergeCell ref="AH17:AH18"/>
    <mergeCell ref="AI17:AI18"/>
    <mergeCell ref="AH16:AJ16"/>
    <mergeCell ref="AO16:AO18"/>
    <mergeCell ref="AP16:AP18"/>
    <mergeCell ref="AQ16:AR17"/>
    <mergeCell ref="AS16:AS18"/>
    <mergeCell ref="AT16:AT18"/>
    <mergeCell ref="AJ17:AJ18"/>
    <mergeCell ref="B8:AW8"/>
    <mergeCell ref="B16:B19"/>
    <mergeCell ref="C16:C19"/>
    <mergeCell ref="D16:D19"/>
    <mergeCell ref="E16:E19"/>
    <mergeCell ref="F16:F19"/>
    <mergeCell ref="I16:N16"/>
    <mergeCell ref="P16:U16"/>
    <mergeCell ref="V16:V18"/>
    <mergeCell ref="W16:AF16"/>
    <mergeCell ref="B7:AW7"/>
    <mergeCell ref="B1:AW1"/>
    <mergeCell ref="B2:AW2"/>
    <mergeCell ref="B3:AW3"/>
    <mergeCell ref="B4:AW4"/>
    <mergeCell ref="B6:AW6"/>
  </mergeCells>
  <pageMargins left="0.31496062992125984" right="3.937007874015748E-2" top="0.43307086614173229" bottom="0.31496062992125984" header="0.31496062992125984" footer="0.31496062992125984"/>
  <pageSetup paperSize="14"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AT53"/>
  <sheetViews>
    <sheetView topLeftCell="B7" zoomScale="66" zoomScaleNormal="66" workbookViewId="0">
      <selection activeCell="AJ21" sqref="AJ21"/>
    </sheetView>
  </sheetViews>
  <sheetFormatPr defaultRowHeight="16.5" x14ac:dyDescent="0.3"/>
  <cols>
    <col min="1" max="1" width="1.28515625" style="3" hidden="1" customWidth="1"/>
    <col min="2" max="2" width="12.42578125" style="3" customWidth="1"/>
    <col min="3" max="3" width="14.28515625" style="3" customWidth="1"/>
    <col min="4" max="4" width="39.28515625" style="3" customWidth="1"/>
    <col min="5" max="5" width="21.28515625" style="3" customWidth="1"/>
    <col min="6" max="6" width="26.140625" style="3" customWidth="1"/>
    <col min="7" max="7" width="10.140625" style="3" hidden="1" customWidth="1"/>
    <col min="8" max="8" width="10.7109375" style="3" hidden="1" customWidth="1"/>
    <col min="9" max="9" width="12.28515625" style="3" hidden="1" customWidth="1"/>
    <col min="10" max="10" width="14.140625" style="3" customWidth="1"/>
    <col min="11" max="11" width="13" style="3" customWidth="1"/>
    <col min="12" max="12" width="13.85546875" style="3" hidden="1" customWidth="1"/>
    <col min="13" max="13" width="11.85546875" style="3" hidden="1" customWidth="1"/>
    <col min="14" max="14" width="10" style="3" hidden="1" customWidth="1"/>
    <col min="15" max="15" width="10.140625" style="3" hidden="1" customWidth="1"/>
    <col min="16" max="16" width="12.7109375" style="3" hidden="1" customWidth="1"/>
    <col min="17" max="17" width="13.5703125" style="3" customWidth="1"/>
    <col min="18" max="18" width="11.140625" style="3" customWidth="1"/>
    <col min="19" max="19" width="12.28515625" style="3" customWidth="1"/>
    <col min="20" max="20" width="14" style="3" customWidth="1"/>
    <col min="21" max="21" width="8.5703125" style="3" hidden="1" customWidth="1"/>
    <col min="22" max="22" width="10.28515625" style="3" hidden="1" customWidth="1"/>
    <col min="23" max="23" width="13" style="3" customWidth="1"/>
    <col min="24" max="24" width="14.5703125" style="3" customWidth="1"/>
    <col min="25" max="25" width="10.140625" style="3" customWidth="1"/>
    <col min="26" max="26" width="12.42578125" style="3" customWidth="1"/>
    <col min="27" max="27" width="9.85546875" style="3" customWidth="1"/>
    <col min="28" max="28" width="13.140625" style="3" customWidth="1"/>
    <col min="29" max="29" width="11.85546875" style="3" customWidth="1"/>
    <col min="30" max="30" width="11.28515625" style="3" customWidth="1"/>
    <col min="31" max="32" width="11.140625" style="3" hidden="1" customWidth="1"/>
    <col min="33" max="33" width="10.140625" style="3" hidden="1" customWidth="1"/>
    <col min="34" max="34" width="12.140625" style="3" customWidth="1"/>
    <col min="35" max="35" width="0.7109375" style="3" hidden="1" customWidth="1"/>
    <col min="36" max="36" width="14.5703125" style="4" customWidth="1"/>
    <col min="37" max="37" width="11.140625" style="3" customWidth="1"/>
    <col min="38" max="38" width="7.42578125" style="3" hidden="1" customWidth="1"/>
    <col min="39" max="39" width="1.5703125" style="3" hidden="1" customWidth="1"/>
    <col min="40" max="40" width="12.140625" style="3" customWidth="1"/>
    <col min="41" max="42" width="8" style="3" hidden="1" customWidth="1"/>
    <col min="43" max="43" width="9.140625" style="3" hidden="1" customWidth="1"/>
    <col min="44" max="44" width="23.7109375" style="3" customWidth="1"/>
    <col min="45" max="45" width="12.28515625" style="3" bestFit="1" customWidth="1"/>
    <col min="46" max="46" width="12.7109375" style="3" bestFit="1" customWidth="1"/>
    <col min="47" max="16384" width="9.140625" style="3"/>
  </cols>
  <sheetData>
    <row r="1" spans="2:44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</row>
    <row r="2" spans="2:44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</row>
    <row r="3" spans="2:44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</row>
    <row r="4" spans="2:44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</row>
    <row r="5" spans="2:44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2:44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</row>
    <row r="7" spans="2:44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</row>
    <row r="8" spans="2:44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</row>
    <row r="9" spans="2:44" ht="8.25" customHeight="1" x14ac:dyDescent="0.3"/>
    <row r="10" spans="2:44" s="2" customFormat="1" ht="20.100000000000001" customHeight="1" x14ac:dyDescent="0.25">
      <c r="B10" s="226" t="s">
        <v>7</v>
      </c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</row>
    <row r="11" spans="2:44" s="2" customFormat="1" ht="20.100000000000001" customHeight="1" x14ac:dyDescent="0.25">
      <c r="B11" s="226" t="s">
        <v>8</v>
      </c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</row>
    <row r="12" spans="2:44" s="2" customFormat="1" ht="20.100000000000001" customHeight="1" x14ac:dyDescent="0.25">
      <c r="B12" s="226" t="s">
        <v>65</v>
      </c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</row>
    <row r="13" spans="2:44" s="2" customFormat="1" ht="26.25" customHeight="1" x14ac:dyDescent="0.25">
      <c r="B13" s="226" t="s">
        <v>157</v>
      </c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</row>
    <row r="14" spans="2:44" s="7" customFormat="1" ht="12" customHeight="1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44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2:44" ht="23.25" customHeight="1" x14ac:dyDescent="0.3">
      <c r="B16" s="288" t="s">
        <v>9</v>
      </c>
      <c r="C16" s="291" t="s">
        <v>158</v>
      </c>
      <c r="D16" s="294" t="s">
        <v>10</v>
      </c>
      <c r="E16" s="294" t="s">
        <v>11</v>
      </c>
      <c r="F16" s="294" t="s">
        <v>46</v>
      </c>
      <c r="G16" s="297" t="s">
        <v>87</v>
      </c>
      <c r="H16" s="298"/>
      <c r="I16" s="298"/>
      <c r="J16" s="298"/>
      <c r="K16" s="298"/>
      <c r="L16" s="298"/>
      <c r="M16" s="298"/>
      <c r="N16" s="298"/>
      <c r="O16" s="298"/>
      <c r="P16" s="299"/>
      <c r="Q16" s="300" t="s">
        <v>69</v>
      </c>
      <c r="R16" s="297" t="s">
        <v>59</v>
      </c>
      <c r="S16" s="298"/>
      <c r="T16" s="298"/>
      <c r="U16" s="298"/>
      <c r="V16" s="298"/>
      <c r="W16" s="298"/>
      <c r="X16" s="298"/>
      <c r="Y16" s="298"/>
      <c r="Z16" s="298"/>
      <c r="AA16" s="299"/>
      <c r="AB16" s="303" t="s">
        <v>29</v>
      </c>
      <c r="AC16" s="303"/>
      <c r="AD16" s="303"/>
      <c r="AE16" s="303"/>
      <c r="AF16" s="303"/>
      <c r="AG16" s="303"/>
      <c r="AH16" s="303"/>
      <c r="AI16" s="314" t="s">
        <v>53</v>
      </c>
      <c r="AJ16" s="304" t="s">
        <v>48</v>
      </c>
      <c r="AK16" s="304" t="s">
        <v>58</v>
      </c>
      <c r="AL16" s="317" t="s">
        <v>62</v>
      </c>
      <c r="AM16" s="317"/>
      <c r="AN16" s="304" t="s">
        <v>47</v>
      </c>
      <c r="AO16" s="300" t="s">
        <v>16</v>
      </c>
      <c r="AP16" s="304" t="s">
        <v>39</v>
      </c>
      <c r="AQ16" s="304" t="s">
        <v>68</v>
      </c>
      <c r="AR16" s="58" t="s">
        <v>41</v>
      </c>
    </row>
    <row r="17" spans="2:46" ht="69.75" customHeight="1" x14ac:dyDescent="0.3">
      <c r="B17" s="289"/>
      <c r="C17" s="292"/>
      <c r="D17" s="295"/>
      <c r="E17" s="295"/>
      <c r="F17" s="295"/>
      <c r="G17" s="239" t="s">
        <v>26</v>
      </c>
      <c r="H17" s="239" t="s">
        <v>30</v>
      </c>
      <c r="I17" s="231" t="s">
        <v>104</v>
      </c>
      <c r="J17" s="231" t="s">
        <v>124</v>
      </c>
      <c r="K17" s="307" t="s">
        <v>94</v>
      </c>
      <c r="L17" s="308"/>
      <c r="M17" s="309"/>
      <c r="N17" s="231" t="s">
        <v>57</v>
      </c>
      <c r="O17" s="231" t="s">
        <v>85</v>
      </c>
      <c r="P17" s="231" t="s">
        <v>89</v>
      </c>
      <c r="Q17" s="301"/>
      <c r="R17" s="231" t="s">
        <v>55</v>
      </c>
      <c r="S17" s="239" t="s">
        <v>27</v>
      </c>
      <c r="T17" s="310" t="s">
        <v>56</v>
      </c>
      <c r="U17" s="310"/>
      <c r="V17" s="231" t="s">
        <v>91</v>
      </c>
      <c r="W17" s="311" t="s">
        <v>28</v>
      </c>
      <c r="X17" s="311"/>
      <c r="Y17" s="311"/>
      <c r="Z17" s="312" t="s">
        <v>71</v>
      </c>
      <c r="AA17" s="312" t="s">
        <v>15</v>
      </c>
      <c r="AB17" s="313" t="s">
        <v>72</v>
      </c>
      <c r="AC17" s="313" t="s">
        <v>117</v>
      </c>
      <c r="AD17" s="313" t="s">
        <v>73</v>
      </c>
      <c r="AE17" s="230" t="s">
        <v>50</v>
      </c>
      <c r="AF17" s="230" t="s">
        <v>51</v>
      </c>
      <c r="AG17" s="313" t="s">
        <v>74</v>
      </c>
      <c r="AH17" s="313" t="s">
        <v>77</v>
      </c>
      <c r="AI17" s="315"/>
      <c r="AJ17" s="305"/>
      <c r="AK17" s="305"/>
      <c r="AL17" s="310"/>
      <c r="AM17" s="310"/>
      <c r="AN17" s="305"/>
      <c r="AO17" s="301"/>
      <c r="AP17" s="305"/>
      <c r="AQ17" s="305"/>
      <c r="AR17" s="59" t="s">
        <v>42</v>
      </c>
    </row>
    <row r="18" spans="2:46" ht="24" customHeight="1" x14ac:dyDescent="0.3">
      <c r="B18" s="289"/>
      <c r="C18" s="292"/>
      <c r="D18" s="295"/>
      <c r="E18" s="295"/>
      <c r="F18" s="295"/>
      <c r="G18" s="233" t="s">
        <v>70</v>
      </c>
      <c r="H18" s="233">
        <v>200</v>
      </c>
      <c r="I18" s="233" t="s">
        <v>102</v>
      </c>
      <c r="J18" s="233" t="s">
        <v>102</v>
      </c>
      <c r="K18" s="230" t="s">
        <v>75</v>
      </c>
      <c r="L18" s="230" t="s">
        <v>49</v>
      </c>
      <c r="M18" s="230" t="s">
        <v>86</v>
      </c>
      <c r="N18" s="77" t="s">
        <v>76</v>
      </c>
      <c r="O18" s="77" t="s">
        <v>76</v>
      </c>
      <c r="P18" s="230" t="s">
        <v>88</v>
      </c>
      <c r="Q18" s="302"/>
      <c r="R18" s="230">
        <v>2.4</v>
      </c>
      <c r="S18" s="233">
        <v>3.6</v>
      </c>
      <c r="T18" s="231">
        <v>2.4</v>
      </c>
      <c r="U18" s="231">
        <v>3.6</v>
      </c>
      <c r="V18" s="231">
        <v>2.4</v>
      </c>
      <c r="W18" s="233">
        <v>3.6</v>
      </c>
      <c r="X18" s="233">
        <v>2.4</v>
      </c>
      <c r="Y18" s="233">
        <v>4.9000000000000004</v>
      </c>
      <c r="Z18" s="302"/>
      <c r="AA18" s="302"/>
      <c r="AB18" s="306"/>
      <c r="AC18" s="306"/>
      <c r="AD18" s="306"/>
      <c r="AE18" s="230"/>
      <c r="AF18" s="230"/>
      <c r="AG18" s="306"/>
      <c r="AH18" s="306"/>
      <c r="AI18" s="316"/>
      <c r="AJ18" s="306"/>
      <c r="AK18" s="306"/>
      <c r="AL18" s="233" t="s">
        <v>36</v>
      </c>
      <c r="AM18" s="233" t="s">
        <v>37</v>
      </c>
      <c r="AN18" s="306"/>
      <c r="AO18" s="302"/>
      <c r="AP18" s="306"/>
      <c r="AQ18" s="306"/>
      <c r="AR18" s="60" t="s">
        <v>43</v>
      </c>
    </row>
    <row r="19" spans="2:46" s="9" customFormat="1" ht="25.5" customHeight="1" x14ac:dyDescent="0.25">
      <c r="B19" s="290"/>
      <c r="C19" s="293"/>
      <c r="D19" s="296"/>
      <c r="E19" s="296"/>
      <c r="F19" s="296"/>
      <c r="G19" s="233" t="s">
        <v>12</v>
      </c>
      <c r="H19" s="233" t="s">
        <v>12</v>
      </c>
      <c r="I19" s="233" t="s">
        <v>12</v>
      </c>
      <c r="J19" s="233" t="s">
        <v>12</v>
      </c>
      <c r="K19" s="233" t="s">
        <v>12</v>
      </c>
      <c r="L19" s="233" t="s">
        <v>12</v>
      </c>
      <c r="M19" s="233" t="s">
        <v>12</v>
      </c>
      <c r="N19" s="233" t="s">
        <v>12</v>
      </c>
      <c r="O19" s="233" t="s">
        <v>12</v>
      </c>
      <c r="P19" s="233" t="s">
        <v>12</v>
      </c>
      <c r="Q19" s="56" t="s">
        <v>14</v>
      </c>
      <c r="R19" s="233" t="s">
        <v>12</v>
      </c>
      <c r="S19" s="233" t="s">
        <v>12</v>
      </c>
      <c r="T19" s="233" t="s">
        <v>12</v>
      </c>
      <c r="U19" s="233" t="s">
        <v>12</v>
      </c>
      <c r="V19" s="233" t="s">
        <v>12</v>
      </c>
      <c r="W19" s="233" t="s">
        <v>12</v>
      </c>
      <c r="X19" s="233" t="s">
        <v>12</v>
      </c>
      <c r="Y19" s="233" t="s">
        <v>12</v>
      </c>
      <c r="Z19" s="57" t="s">
        <v>12</v>
      </c>
      <c r="AA19" s="233" t="s">
        <v>12</v>
      </c>
      <c r="AB19" s="55" t="s">
        <v>13</v>
      </c>
      <c r="AC19" s="55" t="s">
        <v>13</v>
      </c>
      <c r="AD19" s="55" t="s">
        <v>13</v>
      </c>
      <c r="AE19" s="55" t="s">
        <v>13</v>
      </c>
      <c r="AF19" s="55" t="s">
        <v>13</v>
      </c>
      <c r="AG19" s="55" t="s">
        <v>13</v>
      </c>
      <c r="AH19" s="55" t="s">
        <v>13</v>
      </c>
      <c r="AI19" s="55" t="s">
        <v>13</v>
      </c>
      <c r="AJ19" s="55" t="s">
        <v>13</v>
      </c>
      <c r="AK19" s="57" t="s">
        <v>13</v>
      </c>
      <c r="AL19" s="233" t="s">
        <v>12</v>
      </c>
      <c r="AM19" s="233" t="s">
        <v>12</v>
      </c>
      <c r="AN19" s="239" t="s">
        <v>12</v>
      </c>
      <c r="AO19" s="57" t="s">
        <v>14</v>
      </c>
      <c r="AP19" s="239"/>
      <c r="AQ19" s="233"/>
      <c r="AR19" s="60"/>
    </row>
    <row r="20" spans="2:46" s="4" customFormat="1" ht="9.75" customHeight="1" x14ac:dyDescent="0.25">
      <c r="B20" s="27"/>
      <c r="C20" s="28"/>
      <c r="D20" s="28"/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30"/>
      <c r="R20" s="31"/>
      <c r="S20" s="31"/>
      <c r="T20" s="31"/>
      <c r="U20" s="31"/>
      <c r="V20" s="31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32"/>
      <c r="AK20" s="29"/>
      <c r="AL20" s="28"/>
      <c r="AM20" s="33"/>
      <c r="AN20" s="33"/>
      <c r="AO20" s="33"/>
      <c r="AP20" s="33"/>
      <c r="AQ20" s="33"/>
      <c r="AR20" s="34"/>
    </row>
    <row r="21" spans="2:46" s="2" customFormat="1" ht="48" customHeight="1" x14ac:dyDescent="0.25">
      <c r="B21" s="318" t="s">
        <v>160</v>
      </c>
      <c r="C21" s="319"/>
      <c r="D21" s="320"/>
      <c r="E21" s="64"/>
      <c r="F21" s="64"/>
      <c r="G21" s="104" t="e">
        <f>#REF!</f>
        <v>#REF!</v>
      </c>
      <c r="H21" s="104" t="e">
        <f>#REF!</f>
        <v>#REF!</v>
      </c>
      <c r="I21" s="104" t="e">
        <f>#REF!</f>
        <v>#REF!</v>
      </c>
      <c r="J21" s="66">
        <f>'FEBRUARY 2026 - PMC '!J38</f>
        <v>50727</v>
      </c>
      <c r="K21" s="66">
        <f>'FEBRUARY 2026 - PMC '!K38</f>
        <v>118598</v>
      </c>
      <c r="L21" s="66">
        <f>'FEBRUARY 2026 - PMC '!L38</f>
        <v>0</v>
      </c>
      <c r="M21" s="66">
        <f>'FEBRUARY 2026 - PMC '!M38</f>
        <v>0</v>
      </c>
      <c r="N21" s="66">
        <f>'FEBRUARY 2026 - PMC '!N38</f>
        <v>0</v>
      </c>
      <c r="O21" s="66">
        <f>'FEBRUARY 2026 - PMC '!O38</f>
        <v>0</v>
      </c>
      <c r="P21" s="66">
        <f>'FEBRUARY 2026 - PMC '!P38</f>
        <v>0</v>
      </c>
      <c r="Q21" s="65">
        <f>'FEBRUARY 2026 - PMC '!Q38</f>
        <v>69941.59</v>
      </c>
      <c r="R21" s="66">
        <f>'FEBRUARY 2026 - PMC '!R38</f>
        <v>264</v>
      </c>
      <c r="S21" s="66">
        <f>'FEBRUARY 2026 - PMC '!S38</f>
        <v>847</v>
      </c>
      <c r="T21" s="66">
        <f>'FEBRUARY 2026 - PMC '!T38</f>
        <v>16364</v>
      </c>
      <c r="U21" s="66">
        <f>'FEBRUARY 2026 - PMC '!U38</f>
        <v>0</v>
      </c>
      <c r="V21" s="66">
        <f>'FEBRUARY 2026 - PMC '!V38</f>
        <v>0</v>
      </c>
      <c r="W21" s="66">
        <f>'FEBRUARY 2026 - PMC '!W38</f>
        <v>11082</v>
      </c>
      <c r="X21" s="66">
        <f>'FEBRUARY 2026 - PMC '!X38</f>
        <v>69069</v>
      </c>
      <c r="Y21" s="66">
        <f>'FEBRUARY 2026 - PMC '!Y38</f>
        <v>646</v>
      </c>
      <c r="Z21" s="66">
        <f>'FEBRUARY 2026 - PMC '!Z38</f>
        <v>11856</v>
      </c>
      <c r="AA21" s="66">
        <f>'FEBRUARY 2026 - PMC '!AA38</f>
        <v>206</v>
      </c>
      <c r="AB21" s="66">
        <f>'FEBRUARY 2026 - PMC '!AB38</f>
        <v>27136</v>
      </c>
      <c r="AC21" s="66">
        <f>'FEBRUARY 2026 - PMC '!AC38</f>
        <v>0</v>
      </c>
      <c r="AD21" s="66">
        <f>'FEBRUARY 2026 - PMC '!AD38</f>
        <v>1512</v>
      </c>
      <c r="AE21" s="66">
        <f>'FEBRUARY 2026 - PMC '!AE38</f>
        <v>0</v>
      </c>
      <c r="AF21" s="66">
        <f>'FEBRUARY 2026 - PMC '!AF38</f>
        <v>0</v>
      </c>
      <c r="AG21" s="66">
        <f>'FEBRUARY 2026 - PMC '!AG38</f>
        <v>0</v>
      </c>
      <c r="AH21" s="66">
        <f>'FEBRUARY 2026 - PMC '!AH38</f>
        <v>1060</v>
      </c>
      <c r="AI21" s="66">
        <f>'FEBRUARY 2026 - PMC '!AI38</f>
        <v>0</v>
      </c>
      <c r="AJ21" s="65">
        <f>'FEBRUARY 2026 - PMC '!AJ38</f>
        <v>31880.079999999998</v>
      </c>
      <c r="AK21" s="66">
        <f>'FEBRUARY 2026 - PMC '!AK38</f>
        <v>2395</v>
      </c>
      <c r="AL21" s="66">
        <f>'FEBRUARY 2026 - PMC '!AL38</f>
        <v>0</v>
      </c>
      <c r="AM21" s="66">
        <f>'FEBRUARY 2026 - PMC '!AM38</f>
        <v>0</v>
      </c>
      <c r="AN21" s="66">
        <f>'FEBRUARY 2026 - PMC '!AN38</f>
        <v>275</v>
      </c>
      <c r="AO21" s="66" t="e">
        <f>'FEBRUARY 2026 - PMC '!AO38</f>
        <v>#REF!</v>
      </c>
      <c r="AP21" s="66" t="e">
        <f>'FEBRUARY 2026 - PMC '!AP38</f>
        <v>#REF!</v>
      </c>
      <c r="AQ21" s="66" t="e">
        <f>'FEBRUARY 2026 - PMC '!AQ38</f>
        <v>#REF!</v>
      </c>
      <c r="AR21" s="129"/>
      <c r="AS21" s="180"/>
      <c r="AT21" s="130"/>
    </row>
    <row r="22" spans="2:46" s="10" customFormat="1" ht="5.25" customHeight="1" x14ac:dyDescent="0.25">
      <c r="B22" s="61"/>
      <c r="C22" s="62"/>
      <c r="D22" s="62"/>
      <c r="E22" s="38"/>
      <c r="F22" s="38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/>
      <c r="R22" s="47"/>
      <c r="S22" s="47"/>
      <c r="T22" s="47"/>
      <c r="U22" s="47"/>
      <c r="V22" s="47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4"/>
      <c r="AK22" s="43"/>
      <c r="AL22" s="44"/>
      <c r="AM22" s="44"/>
      <c r="AN22" s="44"/>
      <c r="AO22" s="43"/>
      <c r="AP22" s="43"/>
      <c r="AQ22" s="45"/>
      <c r="AR22" s="129"/>
    </row>
    <row r="23" spans="2:46" s="12" customFormat="1" ht="28.5" customHeight="1" x14ac:dyDescent="0.25">
      <c r="B23" s="321"/>
      <c r="C23" s="322">
        <v>46359</v>
      </c>
      <c r="D23" s="42" t="s">
        <v>31</v>
      </c>
      <c r="E23" s="42" t="s">
        <v>32</v>
      </c>
      <c r="F23" s="42" t="s">
        <v>61</v>
      </c>
      <c r="G23" s="67"/>
      <c r="H23" s="67"/>
      <c r="I23" s="67"/>
      <c r="J23" s="67">
        <f>50*200</f>
        <v>10000</v>
      </c>
      <c r="K23" s="67"/>
      <c r="L23" s="67"/>
      <c r="M23" s="67"/>
      <c r="N23" s="67"/>
      <c r="O23" s="67"/>
      <c r="P23" s="67"/>
      <c r="Q23" s="43"/>
      <c r="R23" s="69"/>
      <c r="S23" s="69"/>
      <c r="T23" s="69"/>
      <c r="U23" s="69"/>
      <c r="V23" s="69"/>
      <c r="W23" s="67"/>
      <c r="X23" s="43"/>
      <c r="Y23" s="67"/>
      <c r="Z23" s="67">
        <v>500</v>
      </c>
      <c r="AA23" s="67">
        <v>30</v>
      </c>
      <c r="AB23" s="67"/>
      <c r="AC23" s="67"/>
      <c r="AD23" s="67">
        <v>5000</v>
      </c>
      <c r="AE23" s="67"/>
      <c r="AF23" s="67"/>
      <c r="AG23" s="67"/>
      <c r="AH23" s="67"/>
      <c r="AI23" s="68"/>
      <c r="AJ23" s="68"/>
      <c r="AK23" s="67"/>
      <c r="AL23" s="68"/>
      <c r="AM23" s="68"/>
      <c r="AN23" s="68"/>
      <c r="AO23" s="67"/>
      <c r="AP23" s="67"/>
      <c r="AQ23" s="133"/>
      <c r="AR23" s="113" t="s">
        <v>40</v>
      </c>
      <c r="AS23" s="11"/>
    </row>
    <row r="24" spans="2:46" s="14" customFormat="1" ht="28.5" customHeight="1" x14ac:dyDescent="0.25">
      <c r="B24" s="321"/>
      <c r="C24" s="323"/>
      <c r="D24" s="42" t="s">
        <v>80</v>
      </c>
      <c r="E24" s="42" t="s">
        <v>33</v>
      </c>
      <c r="F24" s="42" t="s">
        <v>60</v>
      </c>
      <c r="G24" s="43"/>
      <c r="H24" s="43"/>
      <c r="I24" s="43"/>
      <c r="J24" s="43"/>
      <c r="K24" s="43">
        <f>50*215</f>
        <v>10750</v>
      </c>
      <c r="L24" s="43"/>
      <c r="M24" s="43"/>
      <c r="N24" s="43"/>
      <c r="O24" s="43"/>
      <c r="P24" s="43"/>
      <c r="Q24" s="43">
        <v>15000</v>
      </c>
      <c r="R24" s="70"/>
      <c r="S24" s="70"/>
      <c r="T24" s="70"/>
      <c r="U24" s="70"/>
      <c r="V24" s="70"/>
      <c r="W24" s="43"/>
      <c r="X24" s="43">
        <v>18500</v>
      </c>
      <c r="Y24" s="43"/>
      <c r="Z24" s="67">
        <v>500</v>
      </c>
      <c r="AA24" s="43">
        <v>30</v>
      </c>
      <c r="AB24" s="43">
        <v>5400</v>
      </c>
      <c r="AC24" s="43"/>
      <c r="AD24" s="43"/>
      <c r="AE24" s="43"/>
      <c r="AF24" s="43"/>
      <c r="AG24" s="43"/>
      <c r="AH24" s="43"/>
      <c r="AI24" s="44"/>
      <c r="AJ24" s="68">
        <v>2000</v>
      </c>
      <c r="AK24" s="71"/>
      <c r="AL24" s="44"/>
      <c r="AM24" s="44"/>
      <c r="AN24" s="44"/>
      <c r="AO24" s="43"/>
      <c r="AP24" s="43"/>
      <c r="AQ24" s="45"/>
      <c r="AR24" s="113" t="s">
        <v>44</v>
      </c>
      <c r="AS24" s="179"/>
    </row>
    <row r="25" spans="2:46" s="12" customFormat="1" ht="28.5" customHeight="1" x14ac:dyDescent="0.25">
      <c r="B25" s="321"/>
      <c r="C25" s="322" t="s">
        <v>159</v>
      </c>
      <c r="D25" s="42" t="s">
        <v>31</v>
      </c>
      <c r="E25" s="42" t="s">
        <v>32</v>
      </c>
      <c r="F25" s="42" t="s">
        <v>61</v>
      </c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43"/>
      <c r="R25" s="69"/>
      <c r="S25" s="69"/>
      <c r="T25" s="69"/>
      <c r="U25" s="69"/>
      <c r="V25" s="69"/>
      <c r="W25" s="67"/>
      <c r="X25" s="68"/>
      <c r="Y25" s="68"/>
      <c r="Z25" s="67">
        <v>500</v>
      </c>
      <c r="AA25" s="67">
        <v>30</v>
      </c>
      <c r="AB25" s="67"/>
      <c r="AC25" s="67"/>
      <c r="AD25" s="67">
        <v>7000</v>
      </c>
      <c r="AE25" s="67"/>
      <c r="AF25" s="67"/>
      <c r="AG25" s="67"/>
      <c r="AH25" s="67"/>
      <c r="AI25" s="68"/>
      <c r="AJ25" s="68"/>
      <c r="AK25" s="67"/>
      <c r="AL25" s="68"/>
      <c r="AM25" s="68"/>
      <c r="AN25" s="68"/>
      <c r="AO25" s="67"/>
      <c r="AP25" s="67"/>
      <c r="AQ25" s="133"/>
      <c r="AR25" s="113" t="s">
        <v>40</v>
      </c>
      <c r="AS25" s="11"/>
    </row>
    <row r="26" spans="2:46" s="14" customFormat="1" ht="28.5" customHeight="1" x14ac:dyDescent="0.25">
      <c r="B26" s="321"/>
      <c r="C26" s="323"/>
      <c r="D26" s="42" t="s">
        <v>80</v>
      </c>
      <c r="E26" s="42" t="s">
        <v>33</v>
      </c>
      <c r="F26" s="42" t="s">
        <v>60</v>
      </c>
      <c r="G26" s="43"/>
      <c r="H26" s="43"/>
      <c r="I26" s="43"/>
      <c r="J26" s="43"/>
      <c r="K26" s="43">
        <v>32250</v>
      </c>
      <c r="L26" s="43"/>
      <c r="M26" s="43"/>
      <c r="N26" s="43"/>
      <c r="O26" s="43"/>
      <c r="P26" s="43"/>
      <c r="Q26" s="43">
        <v>15000</v>
      </c>
      <c r="R26" s="70"/>
      <c r="S26" s="70"/>
      <c r="T26" s="70"/>
      <c r="U26" s="70"/>
      <c r="V26" s="70"/>
      <c r="W26" s="43"/>
      <c r="X26" s="43">
        <v>17250</v>
      </c>
      <c r="Y26" s="43"/>
      <c r="Z26" s="67">
        <v>500</v>
      </c>
      <c r="AA26" s="43">
        <v>30</v>
      </c>
      <c r="AB26" s="43">
        <v>7200</v>
      </c>
      <c r="AC26" s="43"/>
      <c r="AD26" s="43"/>
      <c r="AE26" s="43"/>
      <c r="AF26" s="43"/>
      <c r="AG26" s="43"/>
      <c r="AH26" s="43"/>
      <c r="AI26" s="44"/>
      <c r="AJ26" s="68">
        <v>2000</v>
      </c>
      <c r="AK26" s="43"/>
      <c r="AL26" s="44"/>
      <c r="AM26" s="44"/>
      <c r="AN26" s="43"/>
      <c r="AO26" s="43"/>
      <c r="AP26" s="43"/>
      <c r="AQ26" s="45"/>
      <c r="AR26" s="113" t="s">
        <v>44</v>
      </c>
      <c r="AS26" s="13"/>
    </row>
    <row r="27" spans="2:46" s="12" customFormat="1" ht="28.5" hidden="1" customHeight="1" x14ac:dyDescent="0.25">
      <c r="B27" s="321"/>
      <c r="C27" s="322"/>
      <c r="D27" s="42" t="s">
        <v>31</v>
      </c>
      <c r="E27" s="42" t="s">
        <v>32</v>
      </c>
      <c r="F27" s="42" t="s">
        <v>61</v>
      </c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43"/>
      <c r="R27" s="69"/>
      <c r="S27" s="69"/>
      <c r="T27" s="69"/>
      <c r="U27" s="69"/>
      <c r="V27" s="69"/>
      <c r="W27" s="67"/>
      <c r="X27" s="68"/>
      <c r="Y27" s="68"/>
      <c r="Z27" s="67"/>
      <c r="AA27" s="67"/>
      <c r="AB27" s="67"/>
      <c r="AC27" s="67"/>
      <c r="AD27" s="67"/>
      <c r="AE27" s="67"/>
      <c r="AF27" s="67"/>
      <c r="AG27" s="67"/>
      <c r="AH27" s="67"/>
      <c r="AI27" s="68"/>
      <c r="AJ27" s="68"/>
      <c r="AK27" s="67"/>
      <c r="AL27" s="68"/>
      <c r="AM27" s="68"/>
      <c r="AN27" s="68"/>
      <c r="AO27" s="67"/>
      <c r="AP27" s="67"/>
      <c r="AQ27" s="133"/>
      <c r="AR27" s="113" t="s">
        <v>40</v>
      </c>
      <c r="AS27" s="11"/>
    </row>
    <row r="28" spans="2:46" s="14" customFormat="1" ht="28.5" hidden="1" customHeight="1" x14ac:dyDescent="0.25">
      <c r="B28" s="321"/>
      <c r="C28" s="323"/>
      <c r="D28" s="42" t="s">
        <v>80</v>
      </c>
      <c r="E28" s="42" t="s">
        <v>33</v>
      </c>
      <c r="F28" s="42" t="s">
        <v>60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70"/>
      <c r="S28" s="70"/>
      <c r="T28" s="70"/>
      <c r="U28" s="70"/>
      <c r="V28" s="70"/>
      <c r="W28" s="43"/>
      <c r="X28" s="43"/>
      <c r="Y28" s="43"/>
      <c r="Z28" s="67"/>
      <c r="AA28" s="43"/>
      <c r="AB28" s="43"/>
      <c r="AC28" s="43"/>
      <c r="AD28" s="43"/>
      <c r="AE28" s="43"/>
      <c r="AF28" s="43"/>
      <c r="AG28" s="43"/>
      <c r="AH28" s="43"/>
      <c r="AI28" s="44"/>
      <c r="AJ28" s="68"/>
      <c r="AK28" s="43"/>
      <c r="AL28" s="44"/>
      <c r="AM28" s="44"/>
      <c r="AN28" s="43"/>
      <c r="AO28" s="43"/>
      <c r="AP28" s="43"/>
      <c r="AQ28" s="45"/>
      <c r="AR28" s="113" t="s">
        <v>44</v>
      </c>
      <c r="AS28" s="13"/>
    </row>
    <row r="29" spans="2:46" s="12" customFormat="1" ht="28.5" hidden="1" customHeight="1" x14ac:dyDescent="0.25">
      <c r="B29" s="321"/>
      <c r="C29" s="322"/>
      <c r="D29" s="42" t="s">
        <v>31</v>
      </c>
      <c r="E29" s="42" t="s">
        <v>32</v>
      </c>
      <c r="F29" s="42" t="s">
        <v>61</v>
      </c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43"/>
      <c r="R29" s="69"/>
      <c r="S29" s="69"/>
      <c r="T29" s="69"/>
      <c r="U29" s="69"/>
      <c r="V29" s="69"/>
      <c r="W29" s="67"/>
      <c r="X29" s="68"/>
      <c r="Y29" s="68"/>
      <c r="Z29" s="67"/>
      <c r="AA29" s="67"/>
      <c r="AB29" s="67"/>
      <c r="AC29" s="67"/>
      <c r="AD29" s="67"/>
      <c r="AE29" s="67"/>
      <c r="AF29" s="67"/>
      <c r="AG29" s="67"/>
      <c r="AH29" s="67"/>
      <c r="AI29" s="68"/>
      <c r="AJ29" s="68"/>
      <c r="AK29" s="67"/>
      <c r="AL29" s="68"/>
      <c r="AM29" s="68"/>
      <c r="AN29" s="68"/>
      <c r="AO29" s="67"/>
      <c r="AP29" s="67"/>
      <c r="AQ29" s="133"/>
      <c r="AR29" s="113" t="s">
        <v>40</v>
      </c>
      <c r="AS29" s="11"/>
    </row>
    <row r="30" spans="2:46" s="14" customFormat="1" ht="28.5" hidden="1" customHeight="1" x14ac:dyDescent="0.25">
      <c r="B30" s="321"/>
      <c r="C30" s="323"/>
      <c r="D30" s="42" t="s">
        <v>80</v>
      </c>
      <c r="E30" s="42" t="s">
        <v>33</v>
      </c>
      <c r="F30" s="42" t="s">
        <v>60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70"/>
      <c r="S30" s="70"/>
      <c r="T30" s="70"/>
      <c r="U30" s="70"/>
      <c r="V30" s="70"/>
      <c r="W30" s="43"/>
      <c r="X30" s="43"/>
      <c r="Y30" s="43"/>
      <c r="Z30" s="67"/>
      <c r="AA30" s="43"/>
      <c r="AB30" s="43"/>
      <c r="AC30" s="43"/>
      <c r="AD30" s="43"/>
      <c r="AE30" s="43"/>
      <c r="AF30" s="43"/>
      <c r="AG30" s="43"/>
      <c r="AH30" s="43"/>
      <c r="AI30" s="44"/>
      <c r="AJ30" s="68"/>
      <c r="AK30" s="43"/>
      <c r="AL30" s="44"/>
      <c r="AM30" s="44"/>
      <c r="AN30" s="43"/>
      <c r="AO30" s="43"/>
      <c r="AP30" s="43"/>
      <c r="AQ30" s="45"/>
      <c r="AR30" s="113" t="s">
        <v>44</v>
      </c>
      <c r="AS30" s="13"/>
    </row>
    <row r="31" spans="2:46" s="10" customFormat="1" ht="23.25" x14ac:dyDescent="0.25">
      <c r="B31" s="41" t="s">
        <v>34</v>
      </c>
      <c r="C31" s="50"/>
      <c r="D31" s="51"/>
      <c r="E31" s="52"/>
      <c r="F31" s="52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/>
      <c r="R31" s="44"/>
      <c r="S31" s="44"/>
      <c r="T31" s="44"/>
      <c r="U31" s="44"/>
      <c r="V31" s="44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  <c r="AJ31" s="44"/>
      <c r="AK31" s="43"/>
      <c r="AL31" s="44"/>
      <c r="AM31" s="44"/>
      <c r="AN31" s="44"/>
      <c r="AO31" s="43"/>
      <c r="AP31" s="43"/>
      <c r="AQ31" s="45"/>
      <c r="AR31" s="129"/>
      <c r="AS31" s="2"/>
    </row>
    <row r="32" spans="2:46" s="10" customFormat="1" ht="23.25" x14ac:dyDescent="0.25">
      <c r="B32" s="41" t="s">
        <v>35</v>
      </c>
      <c r="C32" s="40"/>
      <c r="D32" s="38"/>
      <c r="E32" s="38"/>
      <c r="F32" s="38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4"/>
      <c r="R32" s="44"/>
      <c r="S32" s="44"/>
      <c r="T32" s="44"/>
      <c r="U32" s="44"/>
      <c r="V32" s="44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4"/>
      <c r="AJ32" s="44"/>
      <c r="AK32" s="43"/>
      <c r="AL32" s="44"/>
      <c r="AM32" s="44"/>
      <c r="AN32" s="44"/>
      <c r="AO32" s="43"/>
      <c r="AP32" s="43"/>
      <c r="AQ32" s="45"/>
      <c r="AR32" s="129"/>
      <c r="AS32" s="2"/>
    </row>
    <row r="33" spans="2:45" s="13" customFormat="1" ht="39.950000000000003" customHeight="1" x14ac:dyDescent="0.25">
      <c r="B33" s="103" t="s">
        <v>17</v>
      </c>
      <c r="C33" s="104"/>
      <c r="D33" s="104"/>
      <c r="E33" s="104"/>
      <c r="F33" s="104"/>
      <c r="G33" s="132" t="e">
        <f t="shared" ref="G33:AQ33" si="0">SUM(G21:G32)</f>
        <v>#REF!</v>
      </c>
      <c r="H33" s="132" t="e">
        <f t="shared" si="0"/>
        <v>#REF!</v>
      </c>
      <c r="I33" s="132" t="e">
        <f t="shared" si="0"/>
        <v>#REF!</v>
      </c>
      <c r="J33" s="46">
        <f t="shared" si="0"/>
        <v>60727</v>
      </c>
      <c r="K33" s="46">
        <f>SUM(K21:K32)</f>
        <v>161598</v>
      </c>
      <c r="L33" s="46">
        <f t="shared" si="0"/>
        <v>0</v>
      </c>
      <c r="M33" s="46">
        <f t="shared" si="0"/>
        <v>0</v>
      </c>
      <c r="N33" s="46">
        <f t="shared" si="0"/>
        <v>0</v>
      </c>
      <c r="O33" s="46">
        <f t="shared" si="0"/>
        <v>0</v>
      </c>
      <c r="P33" s="46">
        <f t="shared" si="0"/>
        <v>0</v>
      </c>
      <c r="Q33" s="65">
        <f t="shared" si="0"/>
        <v>99941.59</v>
      </c>
      <c r="R33" s="46">
        <f t="shared" si="0"/>
        <v>264</v>
      </c>
      <c r="S33" s="46">
        <f t="shared" si="0"/>
        <v>847</v>
      </c>
      <c r="T33" s="46">
        <f t="shared" si="0"/>
        <v>16364</v>
      </c>
      <c r="U33" s="46">
        <f t="shared" si="0"/>
        <v>0</v>
      </c>
      <c r="V33" s="46">
        <f t="shared" si="0"/>
        <v>0</v>
      </c>
      <c r="W33" s="46">
        <f t="shared" si="0"/>
        <v>11082</v>
      </c>
      <c r="X33" s="46">
        <f>SUM(X21:X32)</f>
        <v>104819</v>
      </c>
      <c r="Y33" s="46">
        <f t="shared" si="0"/>
        <v>646</v>
      </c>
      <c r="Z33" s="46">
        <f t="shared" si="0"/>
        <v>13856</v>
      </c>
      <c r="AA33" s="46">
        <f>SUM(AA21:AA32)</f>
        <v>326</v>
      </c>
      <c r="AB33" s="46">
        <f>SUM(AB21:AB32)</f>
        <v>39736</v>
      </c>
      <c r="AC33" s="46">
        <f t="shared" si="0"/>
        <v>0</v>
      </c>
      <c r="AD33" s="46">
        <f t="shared" si="0"/>
        <v>13512</v>
      </c>
      <c r="AE33" s="46">
        <f t="shared" si="0"/>
        <v>0</v>
      </c>
      <c r="AF33" s="46">
        <f t="shared" si="0"/>
        <v>0</v>
      </c>
      <c r="AG33" s="46">
        <f t="shared" si="0"/>
        <v>0</v>
      </c>
      <c r="AH33" s="46">
        <f t="shared" si="0"/>
        <v>1060</v>
      </c>
      <c r="AI33" s="46">
        <f t="shared" si="0"/>
        <v>0</v>
      </c>
      <c r="AJ33" s="65">
        <f t="shared" si="0"/>
        <v>35880.080000000002</v>
      </c>
      <c r="AK33" s="46">
        <f t="shared" si="0"/>
        <v>2395</v>
      </c>
      <c r="AL33" s="46">
        <f t="shared" si="0"/>
        <v>0</v>
      </c>
      <c r="AM33" s="46">
        <f t="shared" si="0"/>
        <v>0</v>
      </c>
      <c r="AN33" s="46">
        <f t="shared" si="0"/>
        <v>275</v>
      </c>
      <c r="AO33" s="46" t="e">
        <f t="shared" si="0"/>
        <v>#REF!</v>
      </c>
      <c r="AP33" s="46" t="e">
        <f t="shared" si="0"/>
        <v>#REF!</v>
      </c>
      <c r="AQ33" s="46" t="e">
        <f t="shared" si="0"/>
        <v>#REF!</v>
      </c>
      <c r="AR33" s="131"/>
    </row>
    <row r="34" spans="2:45" s="14" customFormat="1" ht="23.25" x14ac:dyDescent="0.25">
      <c r="B34" s="326" t="s">
        <v>18</v>
      </c>
      <c r="C34" s="327"/>
      <c r="D34" s="39"/>
      <c r="E34" s="39"/>
      <c r="F34" s="39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/>
      <c r="R34" s="44"/>
      <c r="S34" s="44"/>
      <c r="T34" s="44"/>
      <c r="U34" s="44"/>
      <c r="V34" s="44"/>
      <c r="W34" s="43"/>
      <c r="X34" s="43"/>
      <c r="Y34" s="43"/>
      <c r="Z34" s="43"/>
      <c r="AA34" s="44"/>
      <c r="AB34" s="43"/>
      <c r="AC34" s="43"/>
      <c r="AD34" s="43"/>
      <c r="AE34" s="43"/>
      <c r="AF34" s="43"/>
      <c r="AG34" s="43"/>
      <c r="AH34" s="43"/>
      <c r="AI34" s="43"/>
      <c r="AJ34" s="44"/>
      <c r="AK34" s="43"/>
      <c r="AL34" s="44"/>
      <c r="AM34" s="44"/>
      <c r="AN34" s="44"/>
      <c r="AO34" s="134"/>
      <c r="AP34" s="134"/>
      <c r="AQ34" s="45"/>
      <c r="AR34" s="131"/>
      <c r="AS34" s="13"/>
    </row>
    <row r="35" spans="2:45" s="14" customFormat="1" ht="59.25" customHeight="1" x14ac:dyDescent="0.25">
      <c r="B35" s="328" t="s">
        <v>79</v>
      </c>
      <c r="C35" s="329"/>
      <c r="D35" s="334" t="s">
        <v>81</v>
      </c>
      <c r="E35" s="335"/>
      <c r="F35" s="336"/>
      <c r="G35" s="72"/>
      <c r="H35" s="72"/>
      <c r="I35" s="72">
        <v>0</v>
      </c>
      <c r="J35" s="72">
        <v>55225</v>
      </c>
      <c r="K35" s="72">
        <v>46249</v>
      </c>
      <c r="L35" s="72"/>
      <c r="M35" s="72"/>
      <c r="N35" s="72"/>
      <c r="O35" s="72"/>
      <c r="P35" s="72"/>
      <c r="Q35" s="73">
        <v>35141.07</v>
      </c>
      <c r="R35" s="72">
        <v>0</v>
      </c>
      <c r="S35" s="72">
        <v>0</v>
      </c>
      <c r="T35" s="72">
        <v>0</v>
      </c>
      <c r="U35" s="72"/>
      <c r="V35" s="72"/>
      <c r="W35" s="72">
        <v>368</v>
      </c>
      <c r="X35" s="72">
        <v>49312</v>
      </c>
      <c r="Y35" s="72">
        <v>0</v>
      </c>
      <c r="Z35" s="72">
        <v>5828</v>
      </c>
      <c r="AA35" s="72">
        <v>156</v>
      </c>
      <c r="AB35" s="72">
        <v>24333</v>
      </c>
      <c r="AC35" s="72">
        <v>0</v>
      </c>
      <c r="AD35" s="72">
        <v>0</v>
      </c>
      <c r="AE35" s="72"/>
      <c r="AF35" s="72"/>
      <c r="AG35" s="72"/>
      <c r="AH35" s="72">
        <v>0</v>
      </c>
      <c r="AI35" s="72"/>
      <c r="AJ35" s="73">
        <f>Z35*2.43</f>
        <v>14162.04</v>
      </c>
      <c r="AK35" s="72">
        <v>90</v>
      </c>
      <c r="AL35" s="72"/>
      <c r="AM35" s="72"/>
      <c r="AN35" s="72">
        <v>0</v>
      </c>
      <c r="AO35" s="72"/>
      <c r="AP35" s="72"/>
      <c r="AQ35" s="72"/>
      <c r="AR35" s="131"/>
      <c r="AS35" s="181"/>
    </row>
    <row r="36" spans="2:45" s="14" customFormat="1" ht="36" hidden="1" customHeight="1" x14ac:dyDescent="0.25">
      <c r="B36" s="330"/>
      <c r="C36" s="331"/>
      <c r="D36" s="397" t="s">
        <v>153</v>
      </c>
      <c r="E36" s="397"/>
      <c r="F36" s="397"/>
      <c r="G36" s="324">
        <v>0</v>
      </c>
      <c r="H36" s="7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  <c r="AF36" s="324"/>
      <c r="AG36" s="324"/>
      <c r="AH36" s="324"/>
      <c r="AI36" s="324"/>
      <c r="AJ36" s="343"/>
      <c r="AK36" s="324"/>
      <c r="AL36" s="324"/>
      <c r="AM36" s="324"/>
      <c r="AN36" s="324"/>
      <c r="AO36" s="324">
        <v>0</v>
      </c>
      <c r="AP36" s="324">
        <v>0</v>
      </c>
      <c r="AQ36" s="324">
        <v>0</v>
      </c>
      <c r="AR36" s="339"/>
      <c r="AS36" s="13"/>
    </row>
    <row r="37" spans="2:45" s="15" customFormat="1" ht="48.75" hidden="1" customHeight="1" x14ac:dyDescent="0.25">
      <c r="B37" s="332"/>
      <c r="C37" s="333"/>
      <c r="D37" s="397"/>
      <c r="E37" s="397"/>
      <c r="F37" s="397"/>
      <c r="G37" s="325"/>
      <c r="H37" s="7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25"/>
      <c r="AI37" s="325"/>
      <c r="AJ37" s="344"/>
      <c r="AK37" s="325"/>
      <c r="AL37" s="325"/>
      <c r="AM37" s="325"/>
      <c r="AN37" s="325"/>
      <c r="AO37" s="325"/>
      <c r="AP37" s="325"/>
      <c r="AQ37" s="325"/>
      <c r="AR37" s="340"/>
    </row>
    <row r="38" spans="2:45" s="13" customFormat="1" ht="39.950000000000003" customHeight="1" thickBot="1" x14ac:dyDescent="0.3">
      <c r="B38" s="125" t="s">
        <v>161</v>
      </c>
      <c r="C38" s="126"/>
      <c r="D38" s="63"/>
      <c r="E38" s="63"/>
      <c r="F38" s="63"/>
      <c r="G38" s="128" t="e">
        <f t="shared" ref="G38:AQ38" si="1">G33-G35-G36</f>
        <v>#REF!</v>
      </c>
      <c r="H38" s="128" t="e">
        <f t="shared" si="1"/>
        <v>#REF!</v>
      </c>
      <c r="I38" s="128" t="e">
        <f t="shared" si="1"/>
        <v>#REF!</v>
      </c>
      <c r="J38" s="76">
        <f>J33-J35+J36</f>
        <v>5502</v>
      </c>
      <c r="K38" s="76">
        <f t="shared" ref="K38:AN38" si="2">K33-K35+K36</f>
        <v>115349</v>
      </c>
      <c r="L38" s="76">
        <f t="shared" si="2"/>
        <v>0</v>
      </c>
      <c r="M38" s="76">
        <f t="shared" si="2"/>
        <v>0</v>
      </c>
      <c r="N38" s="76">
        <f t="shared" si="2"/>
        <v>0</v>
      </c>
      <c r="O38" s="76">
        <f t="shared" si="2"/>
        <v>0</v>
      </c>
      <c r="P38" s="76">
        <f t="shared" si="2"/>
        <v>0</v>
      </c>
      <c r="Q38" s="170">
        <f t="shared" si="2"/>
        <v>64800.52</v>
      </c>
      <c r="R38" s="76">
        <f t="shared" si="2"/>
        <v>264</v>
      </c>
      <c r="S38" s="76">
        <f t="shared" si="2"/>
        <v>847</v>
      </c>
      <c r="T38" s="76">
        <f t="shared" si="2"/>
        <v>16364</v>
      </c>
      <c r="U38" s="76">
        <f t="shared" si="2"/>
        <v>0</v>
      </c>
      <c r="V38" s="76">
        <f t="shared" si="2"/>
        <v>0</v>
      </c>
      <c r="W38" s="76">
        <f t="shared" si="2"/>
        <v>10714</v>
      </c>
      <c r="X38" s="76">
        <f t="shared" si="2"/>
        <v>55507</v>
      </c>
      <c r="Y38" s="76">
        <f t="shared" si="2"/>
        <v>646</v>
      </c>
      <c r="Z38" s="76">
        <f t="shared" si="2"/>
        <v>8028</v>
      </c>
      <c r="AA38" s="76">
        <f t="shared" si="2"/>
        <v>170</v>
      </c>
      <c r="AB38" s="76">
        <f t="shared" si="2"/>
        <v>15403</v>
      </c>
      <c r="AC38" s="76">
        <f t="shared" si="2"/>
        <v>0</v>
      </c>
      <c r="AD38" s="76">
        <f t="shared" si="2"/>
        <v>13512</v>
      </c>
      <c r="AE38" s="76">
        <f t="shared" si="2"/>
        <v>0</v>
      </c>
      <c r="AF38" s="76">
        <f t="shared" si="2"/>
        <v>0</v>
      </c>
      <c r="AG38" s="76">
        <f t="shared" si="2"/>
        <v>0</v>
      </c>
      <c r="AH38" s="76">
        <f t="shared" si="2"/>
        <v>1060</v>
      </c>
      <c r="AI38" s="76">
        <f t="shared" si="2"/>
        <v>0</v>
      </c>
      <c r="AJ38" s="170">
        <f t="shared" si="2"/>
        <v>21718.04</v>
      </c>
      <c r="AK38" s="76">
        <f t="shared" si="2"/>
        <v>2305</v>
      </c>
      <c r="AL38" s="76">
        <f t="shared" si="2"/>
        <v>0</v>
      </c>
      <c r="AM38" s="76">
        <f t="shared" si="2"/>
        <v>0</v>
      </c>
      <c r="AN38" s="76">
        <f t="shared" si="2"/>
        <v>275</v>
      </c>
      <c r="AO38" s="76" t="e">
        <f t="shared" si="1"/>
        <v>#REF!</v>
      </c>
      <c r="AP38" s="76" t="e">
        <f t="shared" si="1"/>
        <v>#REF!</v>
      </c>
      <c r="AQ38" s="76" t="e">
        <f t="shared" si="1"/>
        <v>#REF!</v>
      </c>
      <c r="AR38" s="127"/>
    </row>
    <row r="39" spans="2:45" s="1" customFormat="1" ht="28.5" customHeight="1" x14ac:dyDescent="0.35">
      <c r="H39" s="172"/>
      <c r="I39" s="172"/>
      <c r="J39" s="172"/>
      <c r="K39" s="172"/>
      <c r="L39" s="172"/>
      <c r="M39" s="172"/>
      <c r="N39" s="172"/>
      <c r="O39" s="172"/>
      <c r="P39" s="172"/>
      <c r="Q39" s="173"/>
      <c r="R39" s="174"/>
      <c r="S39" s="174"/>
      <c r="T39" s="174"/>
      <c r="U39" s="174"/>
      <c r="V39" s="174"/>
      <c r="W39" s="174"/>
      <c r="X39" s="174"/>
      <c r="Z39" s="172"/>
      <c r="AA39" s="172"/>
      <c r="AB39" s="172"/>
      <c r="AC39" s="172"/>
      <c r="AD39" s="172"/>
      <c r="AH39" s="173"/>
      <c r="AI39" s="175"/>
      <c r="AJ39" s="173"/>
      <c r="AK39" s="172"/>
      <c r="AN39" s="172"/>
    </row>
    <row r="40" spans="2:45" s="137" customFormat="1" ht="21" customHeight="1" x14ac:dyDescent="0.25">
      <c r="K40" s="138"/>
      <c r="L40" s="139"/>
      <c r="P40" s="138"/>
      <c r="Q40" s="140"/>
      <c r="R40" s="140"/>
      <c r="S40" s="140"/>
      <c r="T40" s="140"/>
      <c r="U40" s="140"/>
      <c r="V40" s="140"/>
      <c r="W40" s="140"/>
      <c r="X40" s="140"/>
      <c r="Y40" s="140"/>
      <c r="Z40" s="141"/>
      <c r="AA40" s="138"/>
      <c r="AB40" s="138"/>
      <c r="AC40" s="138"/>
      <c r="AJ40" s="140"/>
      <c r="AK40" s="141"/>
      <c r="AN40" s="138"/>
    </row>
    <row r="41" spans="2:45" ht="9" customHeight="1" x14ac:dyDescent="0.3">
      <c r="L41" s="20"/>
      <c r="R41" s="17"/>
      <c r="S41" s="17"/>
      <c r="T41" s="17"/>
      <c r="U41" s="17"/>
      <c r="V41" s="17"/>
      <c r="W41" s="17"/>
      <c r="X41" s="17"/>
      <c r="Y41" s="17"/>
      <c r="Z41" s="21"/>
      <c r="AJ41" s="19"/>
      <c r="AK41" s="21"/>
    </row>
    <row r="42" spans="2:45" ht="9" customHeight="1" x14ac:dyDescent="0.3">
      <c r="L42" s="20"/>
      <c r="R42" s="17"/>
      <c r="S42" s="17"/>
      <c r="T42" s="17"/>
      <c r="U42" s="17"/>
      <c r="V42" s="17"/>
      <c r="W42" s="17"/>
      <c r="X42" s="17"/>
      <c r="Y42" s="17"/>
      <c r="Z42" s="21"/>
      <c r="AJ42" s="19"/>
      <c r="AK42" s="21"/>
    </row>
    <row r="43" spans="2:45" s="2" customFormat="1" ht="30" customHeight="1" x14ac:dyDescent="0.25">
      <c r="B43" s="226"/>
      <c r="C43" s="341" t="s">
        <v>45</v>
      </c>
      <c r="D43" s="341"/>
      <c r="E43" s="341"/>
      <c r="F43" s="341"/>
      <c r="G43" s="341"/>
      <c r="H43" s="226"/>
      <c r="I43" s="226"/>
      <c r="K43" s="226" t="s">
        <v>19</v>
      </c>
      <c r="L43" s="226"/>
      <c r="M43" s="226"/>
      <c r="N43" s="226"/>
      <c r="O43" s="226"/>
      <c r="P43" s="226"/>
      <c r="R43" s="342" t="s">
        <v>54</v>
      </c>
      <c r="S43" s="342"/>
      <c r="T43" s="342"/>
      <c r="U43" s="342"/>
      <c r="V43" s="226"/>
      <c r="W43" s="226"/>
      <c r="X43" s="246" t="s">
        <v>168</v>
      </c>
      <c r="Y43" s="227"/>
      <c r="Z43" s="227"/>
      <c r="AA43" s="227"/>
      <c r="AB43" s="109"/>
      <c r="AC43" s="109"/>
      <c r="AD43" s="226" t="s">
        <v>20</v>
      </c>
      <c r="AE43" s="226"/>
      <c r="AF43" s="226"/>
      <c r="AG43" s="226"/>
      <c r="AI43" s="226"/>
      <c r="AJ43" s="226"/>
      <c r="AK43" s="226"/>
      <c r="AL43" s="226"/>
      <c r="AM43" s="226" t="s">
        <v>20</v>
      </c>
      <c r="AN43" s="226"/>
      <c r="AO43" s="226"/>
      <c r="AP43" s="226"/>
      <c r="AQ43" s="226"/>
      <c r="AR43" s="142"/>
      <c r="AS43" s="142"/>
    </row>
    <row r="44" spans="2:45" s="2" customFormat="1" ht="30" customHeight="1" x14ac:dyDescent="0.25">
      <c r="B44" s="226"/>
      <c r="C44" s="341" t="s">
        <v>38</v>
      </c>
      <c r="D44" s="341"/>
      <c r="E44" s="341"/>
      <c r="F44" s="341"/>
      <c r="G44" s="341"/>
      <c r="H44" s="226"/>
      <c r="I44" s="226"/>
      <c r="J44" s="226"/>
      <c r="K44" s="226"/>
      <c r="L44" s="22"/>
      <c r="M44" s="226"/>
      <c r="N44" s="226"/>
      <c r="O44" s="226"/>
      <c r="P44" s="226"/>
      <c r="Q44" s="201"/>
      <c r="R44" s="226"/>
      <c r="S44" s="226"/>
      <c r="T44" s="226"/>
      <c r="U44" s="226"/>
      <c r="V44" s="226"/>
      <c r="W44" s="226"/>
      <c r="X44" s="226"/>
      <c r="Y44" s="226"/>
      <c r="Z44" s="226"/>
      <c r="AA44" s="226"/>
      <c r="AB44" s="226"/>
      <c r="AC44" s="226"/>
      <c r="AD44" s="226"/>
      <c r="AE44" s="226"/>
      <c r="AF44" s="226"/>
      <c r="AG44" s="226"/>
      <c r="AI44" s="226"/>
      <c r="AJ44" s="226"/>
      <c r="AK44" s="226"/>
      <c r="AL44" s="226"/>
      <c r="AM44" s="226"/>
      <c r="AN44" s="226"/>
      <c r="AO44" s="226"/>
      <c r="AP44" s="226"/>
      <c r="AQ44" s="226"/>
      <c r="AR44" s="226"/>
      <c r="AS44" s="226"/>
    </row>
    <row r="45" spans="2:45" s="2" customFormat="1" ht="30" customHeight="1" x14ac:dyDescent="0.25"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"/>
      <c r="M45" s="226"/>
      <c r="N45" s="226"/>
      <c r="O45" s="226"/>
      <c r="P45" s="82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I45" s="226"/>
      <c r="AJ45" s="226"/>
      <c r="AK45" s="226"/>
      <c r="AL45" s="226"/>
      <c r="AM45" s="226"/>
      <c r="AN45" s="226"/>
      <c r="AO45" s="226"/>
      <c r="AP45" s="226"/>
      <c r="AQ45" s="226"/>
      <c r="AR45" s="226"/>
      <c r="AS45" s="226"/>
    </row>
    <row r="46" spans="2:45" s="2" customFormat="1" ht="30" customHeight="1" x14ac:dyDescent="0.25">
      <c r="B46" s="226"/>
      <c r="C46" s="226" t="s">
        <v>21</v>
      </c>
      <c r="D46" s="227"/>
      <c r="E46" s="226"/>
      <c r="F46" s="226" t="s">
        <v>95</v>
      </c>
      <c r="G46" s="226" t="s">
        <v>64</v>
      </c>
      <c r="H46" s="226"/>
      <c r="I46" s="226"/>
      <c r="J46" s="226"/>
      <c r="K46" s="226"/>
      <c r="L46" s="227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178" t="s">
        <v>108</v>
      </c>
      <c r="AE46" s="227"/>
      <c r="AF46" s="227"/>
      <c r="AG46" s="227"/>
      <c r="AH46" s="117"/>
      <c r="AI46" s="227"/>
      <c r="AJ46" s="227"/>
      <c r="AK46" s="227"/>
      <c r="AL46" s="227"/>
      <c r="AM46" s="227"/>
      <c r="AN46" s="227"/>
      <c r="AO46" s="227"/>
      <c r="AP46" s="227"/>
      <c r="AQ46" s="227"/>
      <c r="AR46" s="109"/>
      <c r="AS46" s="109"/>
    </row>
    <row r="47" spans="2:45" s="2" customFormat="1" ht="30" customHeight="1" x14ac:dyDescent="0.25">
      <c r="B47" s="226"/>
      <c r="C47" s="226" t="s">
        <v>22</v>
      </c>
      <c r="D47" s="23"/>
      <c r="E47" s="226"/>
      <c r="F47" s="226" t="s">
        <v>96</v>
      </c>
      <c r="G47" s="226" t="s">
        <v>25</v>
      </c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177" t="s">
        <v>123</v>
      </c>
      <c r="AE47" s="226"/>
      <c r="AF47" s="226"/>
      <c r="AG47" s="226"/>
      <c r="AI47" s="226"/>
      <c r="AJ47" s="226"/>
      <c r="AK47" s="226"/>
      <c r="AL47" s="226"/>
      <c r="AM47" s="226"/>
      <c r="AN47" s="226"/>
      <c r="AO47" s="226"/>
      <c r="AP47" s="226"/>
      <c r="AQ47" s="226"/>
      <c r="AR47" s="226"/>
      <c r="AS47" s="226"/>
    </row>
    <row r="48" spans="2:45" s="2" customFormat="1" ht="30" customHeight="1" x14ac:dyDescent="0.25">
      <c r="B48" s="226"/>
      <c r="C48" s="226" t="s">
        <v>23</v>
      </c>
      <c r="D48" s="23"/>
      <c r="E48" s="226"/>
      <c r="F48" s="226" t="s">
        <v>97</v>
      </c>
      <c r="G48" s="226" t="s">
        <v>78</v>
      </c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177" t="s">
        <v>109</v>
      </c>
      <c r="AE48" s="226"/>
      <c r="AF48" s="226"/>
      <c r="AG48" s="226"/>
      <c r="AI48" s="226"/>
      <c r="AJ48" s="226"/>
      <c r="AK48" s="226"/>
      <c r="AL48" s="226"/>
      <c r="AM48" s="226"/>
      <c r="AN48" s="226"/>
      <c r="AO48" s="226"/>
      <c r="AP48" s="226"/>
      <c r="AQ48" s="226"/>
      <c r="AR48" s="226"/>
      <c r="AS48" s="226"/>
    </row>
    <row r="49" spans="2:45" s="2" customFormat="1" ht="30" customHeight="1" x14ac:dyDescent="0.25">
      <c r="B49" s="226"/>
      <c r="C49" s="226" t="s">
        <v>24</v>
      </c>
      <c r="D49" s="23"/>
      <c r="E49" s="226"/>
      <c r="F49" s="226" t="s">
        <v>98</v>
      </c>
      <c r="G49" s="226" t="s">
        <v>63</v>
      </c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177" t="s">
        <v>122</v>
      </c>
      <c r="AE49" s="226"/>
      <c r="AF49" s="226"/>
      <c r="AG49" s="226"/>
      <c r="AI49" s="226"/>
      <c r="AJ49" s="226"/>
      <c r="AK49" s="226"/>
      <c r="AL49" s="226"/>
      <c r="AM49" s="226"/>
      <c r="AN49" s="226"/>
      <c r="AO49" s="226"/>
      <c r="AP49" s="226"/>
      <c r="AQ49" s="226"/>
      <c r="AR49" s="226"/>
      <c r="AS49" s="226"/>
    </row>
    <row r="50" spans="2:45" s="2" customFormat="1" ht="30" customHeight="1" x14ac:dyDescent="0.25">
      <c r="AI50" s="226"/>
      <c r="AJ50" s="226"/>
    </row>
    <row r="51" spans="2:45" s="10" customFormat="1" ht="20.25" x14ac:dyDescent="0.25">
      <c r="Y51" s="10" t="s">
        <v>105</v>
      </c>
    </row>
    <row r="52" spans="2:45" s="114" customFormat="1" x14ac:dyDescent="0.25">
      <c r="AJ52" s="115"/>
    </row>
    <row r="53" spans="2:45" s="114" customFormat="1" x14ac:dyDescent="0.25">
      <c r="AJ53" s="115"/>
    </row>
  </sheetData>
  <mergeCells count="84">
    <mergeCell ref="C44:G44"/>
    <mergeCell ref="AN36:AN37"/>
    <mergeCell ref="AO36:AO37"/>
    <mergeCell ref="AP36:AP37"/>
    <mergeCell ref="AQ36:AQ37"/>
    <mergeCell ref="W36:W37"/>
    <mergeCell ref="X36:X37"/>
    <mergeCell ref="Y36:Y37"/>
    <mergeCell ref="Z36:Z37"/>
    <mergeCell ref="AA36:AA37"/>
    <mergeCell ref="P36:P37"/>
    <mergeCell ref="Q36:Q37"/>
    <mergeCell ref="R36:R37"/>
    <mergeCell ref="S36:S37"/>
    <mergeCell ref="T36:T37"/>
    <mergeCell ref="U36:U37"/>
    <mergeCell ref="AR36:AR37"/>
    <mergeCell ref="C43:G43"/>
    <mergeCell ref="R43:U43"/>
    <mergeCell ref="AH36:AH37"/>
    <mergeCell ref="AI36:AI37"/>
    <mergeCell ref="AJ36:AJ37"/>
    <mergeCell ref="AK36:AK37"/>
    <mergeCell ref="AL36:AL37"/>
    <mergeCell ref="AM36:AM37"/>
    <mergeCell ref="AB36:AB37"/>
    <mergeCell ref="AC36:AC37"/>
    <mergeCell ref="AD36:AD37"/>
    <mergeCell ref="AE36:AE37"/>
    <mergeCell ref="AF36:AF37"/>
    <mergeCell ref="AG36:AG37"/>
    <mergeCell ref="V36:V37"/>
    <mergeCell ref="O36:O37"/>
    <mergeCell ref="B34:C34"/>
    <mergeCell ref="B35:C37"/>
    <mergeCell ref="D35:F35"/>
    <mergeCell ref="D36:F37"/>
    <mergeCell ref="G36:G37"/>
    <mergeCell ref="I36:I37"/>
    <mergeCell ref="J36:J37"/>
    <mergeCell ref="K36:K37"/>
    <mergeCell ref="L36:L37"/>
    <mergeCell ref="M36:M37"/>
    <mergeCell ref="N36:N37"/>
    <mergeCell ref="B21:D21"/>
    <mergeCell ref="B23:B30"/>
    <mergeCell ref="C23:C24"/>
    <mergeCell ref="C25:C26"/>
    <mergeCell ref="C27:C28"/>
    <mergeCell ref="C29:C30"/>
    <mergeCell ref="AJ16:AJ18"/>
    <mergeCell ref="AK16:AK18"/>
    <mergeCell ref="AL16:AM17"/>
    <mergeCell ref="AN16:AN18"/>
    <mergeCell ref="AO16:AO18"/>
    <mergeCell ref="AA17:AA18"/>
    <mergeCell ref="AB17:AB18"/>
    <mergeCell ref="AC17:AC18"/>
    <mergeCell ref="AD17:AD18"/>
    <mergeCell ref="AI16:AI18"/>
    <mergeCell ref="AG17:AG18"/>
    <mergeCell ref="AH17:AH18"/>
    <mergeCell ref="B8:AR8"/>
    <mergeCell ref="B16:B19"/>
    <mergeCell ref="C16:C19"/>
    <mergeCell ref="D16:D19"/>
    <mergeCell ref="E16:E19"/>
    <mergeCell ref="F16:F19"/>
    <mergeCell ref="G16:P16"/>
    <mergeCell ref="Q16:Q18"/>
    <mergeCell ref="R16:AA16"/>
    <mergeCell ref="AB16:AH16"/>
    <mergeCell ref="AP16:AP18"/>
    <mergeCell ref="AQ16:AQ18"/>
    <mergeCell ref="K17:M17"/>
    <mergeCell ref="T17:U17"/>
    <mergeCell ref="W17:Y17"/>
    <mergeCell ref="Z17:Z18"/>
    <mergeCell ref="B7:AR7"/>
    <mergeCell ref="B1:AR1"/>
    <mergeCell ref="B2:AR2"/>
    <mergeCell ref="B3:AR3"/>
    <mergeCell ref="B4:AR4"/>
    <mergeCell ref="B6:AR6"/>
  </mergeCells>
  <pageMargins left="0.19685039370078741" right="3.937007874015748E-2" top="0.43307086614173229" bottom="0.31496062992125984" header="0.31496062992125984" footer="0.31496062992125984"/>
  <pageSetup paperSize="14" scale="4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AR63"/>
  <sheetViews>
    <sheetView topLeftCell="C4" zoomScale="62" zoomScaleNormal="62" workbookViewId="0">
      <selection activeCell="AV26" sqref="AV26"/>
    </sheetView>
  </sheetViews>
  <sheetFormatPr defaultRowHeight="16.5" x14ac:dyDescent="0.3"/>
  <cols>
    <col min="1" max="1" width="0.140625" style="3" customWidth="1"/>
    <col min="2" max="2" width="14.28515625" style="3" customWidth="1"/>
    <col min="3" max="3" width="17.7109375" style="3" customWidth="1"/>
    <col min="4" max="4" width="37" style="3" customWidth="1"/>
    <col min="5" max="5" width="20.140625" style="3" customWidth="1"/>
    <col min="6" max="6" width="32.5703125" style="3" customWidth="1"/>
    <col min="7" max="7" width="12.85546875" style="3" hidden="1" customWidth="1"/>
    <col min="8" max="8" width="10.7109375" style="3" hidden="1" customWidth="1"/>
    <col min="9" max="9" width="13" style="3" hidden="1" customWidth="1"/>
    <col min="10" max="10" width="30.28515625" style="3" customWidth="1"/>
    <col min="11" max="12" width="11.5703125" style="3" hidden="1" customWidth="1"/>
    <col min="13" max="13" width="11.42578125" style="3" hidden="1" customWidth="1"/>
    <col min="14" max="14" width="11.85546875" style="3" hidden="1" customWidth="1"/>
    <col min="15" max="15" width="15.28515625" style="3" customWidth="1"/>
    <col min="16" max="16" width="9.140625" style="3" hidden="1" customWidth="1"/>
    <col min="17" max="17" width="10" style="3" hidden="1" customWidth="1"/>
    <col min="18" max="18" width="9" style="3" hidden="1" customWidth="1"/>
    <col min="19" max="19" width="9.28515625" style="3" hidden="1" customWidth="1"/>
    <col min="20" max="20" width="12.7109375" style="3" customWidth="1"/>
    <col min="21" max="21" width="11.5703125" style="3" customWidth="1"/>
    <col min="22" max="22" width="11.85546875" style="3" customWidth="1"/>
    <col min="23" max="23" width="11.7109375" style="3" customWidth="1"/>
    <col min="24" max="24" width="15.28515625" style="3" customWidth="1"/>
    <col min="25" max="25" width="8" style="3" hidden="1" customWidth="1"/>
    <col min="26" max="27" width="4.28515625" style="3" hidden="1" customWidth="1"/>
    <col min="28" max="28" width="3.7109375" style="3" hidden="1" customWidth="1"/>
    <col min="29" max="29" width="13.5703125" style="3" customWidth="1"/>
    <col min="30" max="30" width="1.42578125" style="3" hidden="1" customWidth="1"/>
    <col min="31" max="31" width="14.85546875" style="4" customWidth="1"/>
    <col min="32" max="32" width="13.140625" style="3" customWidth="1"/>
    <col min="33" max="33" width="7.42578125" style="3" hidden="1" customWidth="1"/>
    <col min="34" max="34" width="0.7109375" style="3" hidden="1" customWidth="1"/>
    <col min="35" max="35" width="14.140625" style="3" customWidth="1"/>
    <col min="36" max="36" width="8" style="3" hidden="1" customWidth="1"/>
    <col min="37" max="37" width="6.85546875" style="3" hidden="1" customWidth="1"/>
    <col min="38" max="38" width="9.140625" style="3" hidden="1" customWidth="1"/>
    <col min="39" max="39" width="27.5703125" style="3" customWidth="1"/>
    <col min="40" max="16384" width="9.140625" style="3"/>
  </cols>
  <sheetData>
    <row r="1" spans="2:39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</row>
    <row r="2" spans="2:39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</row>
    <row r="3" spans="2:39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</row>
    <row r="4" spans="2:39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</row>
    <row r="5" spans="2:39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</row>
    <row r="7" spans="2:39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</row>
    <row r="8" spans="2:39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</row>
    <row r="9" spans="2:39" ht="8.25" customHeight="1" x14ac:dyDescent="0.3"/>
    <row r="10" spans="2:39" s="2" customFormat="1" ht="20.100000000000001" customHeight="1" x14ac:dyDescent="0.25">
      <c r="B10" s="226" t="s">
        <v>7</v>
      </c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</row>
    <row r="11" spans="2:39" s="2" customFormat="1" ht="20.100000000000001" customHeight="1" x14ac:dyDescent="0.25">
      <c r="B11" s="226" t="s">
        <v>8</v>
      </c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</row>
    <row r="12" spans="2:39" s="2" customFormat="1" ht="20.100000000000001" customHeight="1" x14ac:dyDescent="0.25">
      <c r="B12" s="226" t="s">
        <v>65</v>
      </c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</row>
    <row r="13" spans="2:39" s="2" customFormat="1" ht="26.25" customHeight="1" x14ac:dyDescent="0.25">
      <c r="B13" s="226" t="s">
        <v>162</v>
      </c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</row>
    <row r="14" spans="2:39" s="7" customFormat="1" ht="18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39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2:39" s="121" customFormat="1" ht="27" customHeight="1" x14ac:dyDescent="0.25">
      <c r="B16" s="345" t="s">
        <v>9</v>
      </c>
      <c r="C16" s="348" t="s">
        <v>163</v>
      </c>
      <c r="D16" s="351" t="s">
        <v>10</v>
      </c>
      <c r="E16" s="351" t="s">
        <v>11</v>
      </c>
      <c r="F16" s="351" t="s">
        <v>46</v>
      </c>
      <c r="G16" s="354" t="s">
        <v>87</v>
      </c>
      <c r="H16" s="355"/>
      <c r="I16" s="355"/>
      <c r="J16" s="355"/>
      <c r="K16" s="355"/>
      <c r="L16" s="355"/>
      <c r="M16" s="355"/>
      <c r="N16" s="356"/>
      <c r="O16" s="351" t="s">
        <v>69</v>
      </c>
      <c r="P16" s="354" t="s">
        <v>59</v>
      </c>
      <c r="Q16" s="355"/>
      <c r="R16" s="355"/>
      <c r="S16" s="355"/>
      <c r="T16" s="355"/>
      <c r="U16" s="355"/>
      <c r="V16" s="355"/>
      <c r="W16" s="356"/>
      <c r="X16" s="357" t="s">
        <v>29</v>
      </c>
      <c r="Y16" s="357"/>
      <c r="Z16" s="357"/>
      <c r="AA16" s="357"/>
      <c r="AB16" s="357"/>
      <c r="AC16" s="357"/>
      <c r="AD16" s="375" t="s">
        <v>53</v>
      </c>
      <c r="AE16" s="360" t="s">
        <v>48</v>
      </c>
      <c r="AF16" s="360" t="s">
        <v>58</v>
      </c>
      <c r="AG16" s="378" t="s">
        <v>62</v>
      </c>
      <c r="AH16" s="378"/>
      <c r="AI16" s="360" t="s">
        <v>47</v>
      </c>
      <c r="AJ16" s="351" t="s">
        <v>16</v>
      </c>
      <c r="AK16" s="360" t="s">
        <v>39</v>
      </c>
      <c r="AL16" s="360" t="s">
        <v>68</v>
      </c>
      <c r="AM16" s="164" t="s">
        <v>41</v>
      </c>
    </row>
    <row r="17" spans="2:42" s="121" customFormat="1" ht="49.5" customHeight="1" x14ac:dyDescent="0.25">
      <c r="B17" s="346"/>
      <c r="C17" s="349"/>
      <c r="D17" s="352"/>
      <c r="E17" s="352"/>
      <c r="F17" s="352"/>
      <c r="G17" s="244" t="s">
        <v>26</v>
      </c>
      <c r="H17" s="244" t="s">
        <v>30</v>
      </c>
      <c r="I17" s="243" t="s">
        <v>57</v>
      </c>
      <c r="J17" s="362" t="s">
        <v>67</v>
      </c>
      <c r="K17" s="363"/>
      <c r="L17" s="364"/>
      <c r="M17" s="243" t="s">
        <v>57</v>
      </c>
      <c r="N17" s="243" t="s">
        <v>66</v>
      </c>
      <c r="O17" s="352"/>
      <c r="P17" s="243" t="s">
        <v>55</v>
      </c>
      <c r="Q17" s="244" t="s">
        <v>27</v>
      </c>
      <c r="R17" s="365" t="s">
        <v>56</v>
      </c>
      <c r="S17" s="365"/>
      <c r="T17" s="366" t="s">
        <v>28</v>
      </c>
      <c r="U17" s="366"/>
      <c r="V17" s="379" t="s">
        <v>71</v>
      </c>
      <c r="W17" s="379" t="s">
        <v>15</v>
      </c>
      <c r="X17" s="358" t="s">
        <v>72</v>
      </c>
      <c r="Y17" s="358" t="s">
        <v>73</v>
      </c>
      <c r="Z17" s="242" t="s">
        <v>50</v>
      </c>
      <c r="AA17" s="242" t="s">
        <v>51</v>
      </c>
      <c r="AB17" s="358" t="s">
        <v>74</v>
      </c>
      <c r="AC17" s="358" t="s">
        <v>77</v>
      </c>
      <c r="AD17" s="376"/>
      <c r="AE17" s="361"/>
      <c r="AF17" s="361"/>
      <c r="AG17" s="365"/>
      <c r="AH17" s="365"/>
      <c r="AI17" s="361"/>
      <c r="AJ17" s="352"/>
      <c r="AK17" s="361"/>
      <c r="AL17" s="361"/>
      <c r="AM17" s="165" t="s">
        <v>42</v>
      </c>
    </row>
    <row r="18" spans="2:42" s="121" customFormat="1" ht="24" customHeight="1" x14ac:dyDescent="0.25">
      <c r="B18" s="346"/>
      <c r="C18" s="349"/>
      <c r="D18" s="352"/>
      <c r="E18" s="352"/>
      <c r="F18" s="352"/>
      <c r="G18" s="241" t="s">
        <v>70</v>
      </c>
      <c r="H18" s="241">
        <v>200</v>
      </c>
      <c r="I18" s="241" t="s">
        <v>70</v>
      </c>
      <c r="J18" s="242" t="s">
        <v>75</v>
      </c>
      <c r="K18" s="242" t="s">
        <v>49</v>
      </c>
      <c r="L18" s="242" t="s">
        <v>52</v>
      </c>
      <c r="M18" s="241" t="s">
        <v>76</v>
      </c>
      <c r="N18" s="241" t="s">
        <v>76</v>
      </c>
      <c r="O18" s="353"/>
      <c r="P18" s="242">
        <v>2.4</v>
      </c>
      <c r="Q18" s="241">
        <v>3.6</v>
      </c>
      <c r="R18" s="243">
        <v>2.4</v>
      </c>
      <c r="S18" s="243">
        <v>3.6</v>
      </c>
      <c r="T18" s="244">
        <v>3.6</v>
      </c>
      <c r="U18" s="244">
        <v>2.4</v>
      </c>
      <c r="V18" s="353"/>
      <c r="W18" s="353"/>
      <c r="X18" s="359"/>
      <c r="Y18" s="359"/>
      <c r="Z18" s="242"/>
      <c r="AA18" s="242"/>
      <c r="AB18" s="359"/>
      <c r="AC18" s="359"/>
      <c r="AD18" s="377"/>
      <c r="AE18" s="359"/>
      <c r="AF18" s="359"/>
      <c r="AG18" s="241" t="s">
        <v>36</v>
      </c>
      <c r="AH18" s="241" t="s">
        <v>37</v>
      </c>
      <c r="AI18" s="359"/>
      <c r="AJ18" s="353"/>
      <c r="AK18" s="359"/>
      <c r="AL18" s="359"/>
      <c r="AM18" s="166" t="s">
        <v>43</v>
      </c>
    </row>
    <row r="19" spans="2:42" s="144" customFormat="1" ht="25.5" customHeight="1" x14ac:dyDescent="0.25">
      <c r="B19" s="347"/>
      <c r="C19" s="350"/>
      <c r="D19" s="353"/>
      <c r="E19" s="353"/>
      <c r="F19" s="353"/>
      <c r="G19" s="241" t="s">
        <v>12</v>
      </c>
      <c r="H19" s="241" t="s">
        <v>12</v>
      </c>
      <c r="I19" s="241" t="s">
        <v>12</v>
      </c>
      <c r="J19" s="241" t="s">
        <v>12</v>
      </c>
      <c r="K19" s="241" t="s">
        <v>12</v>
      </c>
      <c r="L19" s="241" t="s">
        <v>12</v>
      </c>
      <c r="M19" s="241" t="s">
        <v>12</v>
      </c>
      <c r="N19" s="241" t="s">
        <v>12</v>
      </c>
      <c r="O19" s="167" t="s">
        <v>14</v>
      </c>
      <c r="P19" s="241" t="s">
        <v>12</v>
      </c>
      <c r="Q19" s="241" t="s">
        <v>12</v>
      </c>
      <c r="R19" s="241" t="s">
        <v>12</v>
      </c>
      <c r="S19" s="241" t="s">
        <v>12</v>
      </c>
      <c r="T19" s="241" t="s">
        <v>12</v>
      </c>
      <c r="U19" s="241" t="s">
        <v>12</v>
      </c>
      <c r="V19" s="168" t="s">
        <v>12</v>
      </c>
      <c r="W19" s="241" t="s">
        <v>12</v>
      </c>
      <c r="X19" s="169" t="s">
        <v>13</v>
      </c>
      <c r="Y19" s="169" t="s">
        <v>13</v>
      </c>
      <c r="Z19" s="169" t="s">
        <v>13</v>
      </c>
      <c r="AA19" s="169" t="s">
        <v>13</v>
      </c>
      <c r="AB19" s="169" t="s">
        <v>13</v>
      </c>
      <c r="AC19" s="169" t="s">
        <v>13</v>
      </c>
      <c r="AD19" s="169" t="s">
        <v>13</v>
      </c>
      <c r="AE19" s="169" t="s">
        <v>13</v>
      </c>
      <c r="AF19" s="168" t="s">
        <v>13</v>
      </c>
      <c r="AG19" s="241" t="s">
        <v>12</v>
      </c>
      <c r="AH19" s="241" t="s">
        <v>12</v>
      </c>
      <c r="AI19" s="244" t="s">
        <v>12</v>
      </c>
      <c r="AJ19" s="168" t="s">
        <v>14</v>
      </c>
      <c r="AK19" s="244"/>
      <c r="AL19" s="241"/>
      <c r="AM19" s="166"/>
    </row>
    <row r="20" spans="2:42" s="4" customFormat="1" ht="9.75" customHeight="1" x14ac:dyDescent="0.25">
      <c r="B20" s="27"/>
      <c r="C20" s="28"/>
      <c r="D20" s="28"/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30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32"/>
      <c r="AF20" s="29"/>
      <c r="AG20" s="28"/>
      <c r="AH20" s="33"/>
      <c r="AI20" s="33"/>
      <c r="AJ20" s="33"/>
      <c r="AK20" s="33"/>
      <c r="AL20" s="33"/>
      <c r="AM20" s="34"/>
    </row>
    <row r="21" spans="2:42" s="2" customFormat="1" ht="44.25" customHeight="1" x14ac:dyDescent="0.25">
      <c r="B21" s="318" t="str">
        <f>'MARCH 2026 - PMC '!B21:D21</f>
        <v>Beginning Stock as of as of  March 1, 2026</v>
      </c>
      <c r="C21" s="319"/>
      <c r="D21" s="320"/>
      <c r="E21" s="64"/>
      <c r="F21" s="64"/>
      <c r="G21" s="132" t="e">
        <f>#REF!</f>
        <v>#REF!</v>
      </c>
      <c r="H21" s="132" t="e">
        <f>#REF!</f>
        <v>#REF!</v>
      </c>
      <c r="I21" s="132" t="e">
        <f>#REF!</f>
        <v>#REF!</v>
      </c>
      <c r="J21" s="132">
        <f>'FEBRUARY 2026 - EXPLO'!J31</f>
        <v>0</v>
      </c>
      <c r="K21" s="132">
        <f>'FEBRUARY 2026 - EXPLO'!K31</f>
        <v>0</v>
      </c>
      <c r="L21" s="132">
        <f>'FEBRUARY 2026 - EXPLO'!L31</f>
        <v>0</v>
      </c>
      <c r="M21" s="132">
        <f>'FEBRUARY 2026 - EXPLO'!M31</f>
        <v>0</v>
      </c>
      <c r="N21" s="132">
        <f>'FEBRUARY 2026 - EXPLO'!N31</f>
        <v>0</v>
      </c>
      <c r="O21" s="132">
        <f>'FEBRUARY 2026 - EXPLO'!O31</f>
        <v>0</v>
      </c>
      <c r="P21" s="132">
        <f>'FEBRUARY 2026 - EXPLO'!P31</f>
        <v>0</v>
      </c>
      <c r="Q21" s="132">
        <f>'FEBRUARY 2026 - EXPLO'!Q31</f>
        <v>0</v>
      </c>
      <c r="R21" s="132">
        <f>'FEBRUARY 2026 - EXPLO'!R31</f>
        <v>0</v>
      </c>
      <c r="S21" s="132">
        <f>'FEBRUARY 2026 - EXPLO'!S31</f>
        <v>0</v>
      </c>
      <c r="T21" s="132">
        <f>'FEBRUARY 2026 - EXPLO'!T31</f>
        <v>0</v>
      </c>
      <c r="U21" s="132">
        <f>'FEBRUARY 2026 - EXPLO'!U31</f>
        <v>0</v>
      </c>
      <c r="V21" s="132">
        <f>'FEBRUARY 2026 - EXPLO'!V31</f>
        <v>0</v>
      </c>
      <c r="W21" s="132">
        <f>'FEBRUARY 2026 - EXPLO'!W31</f>
        <v>0</v>
      </c>
      <c r="X21" s="132">
        <f>'FEBRUARY 2026 - EXPLO'!X31</f>
        <v>0</v>
      </c>
      <c r="Y21" s="132">
        <f>'FEBRUARY 2026 - EXPLO'!Y31</f>
        <v>0</v>
      </c>
      <c r="Z21" s="132">
        <f>'FEBRUARY 2026 - EXPLO'!Z31</f>
        <v>0</v>
      </c>
      <c r="AA21" s="132">
        <f>'FEBRUARY 2026 - EXPLO'!AA31</f>
        <v>0</v>
      </c>
      <c r="AB21" s="132">
        <f>'FEBRUARY 2026 - EXPLO'!AB31</f>
        <v>0</v>
      </c>
      <c r="AC21" s="132">
        <f>'FEBRUARY 2026 - EXPLO'!AC31</f>
        <v>0</v>
      </c>
      <c r="AD21" s="132">
        <f>'FEBRUARY 2026 - EXPLO'!AD31</f>
        <v>0</v>
      </c>
      <c r="AE21" s="132">
        <f>'FEBRUARY 2026 - EXPLO'!AE31</f>
        <v>0</v>
      </c>
      <c r="AF21" s="132">
        <f>'FEBRUARY 2026 - EXPLO'!AF31</f>
        <v>0</v>
      </c>
      <c r="AG21" s="132">
        <f>'FEBRUARY 2026 - EXPLO'!AG31</f>
        <v>0</v>
      </c>
      <c r="AH21" s="132">
        <f>'FEBRUARY 2026 - EXPLO'!AH31</f>
        <v>0</v>
      </c>
      <c r="AI21" s="132">
        <f>'FEBRUARY 2026 - EXPLO'!AI31</f>
        <v>0</v>
      </c>
      <c r="AJ21" s="132" t="e">
        <f>'FEBRUARY 2026 - EXPLO'!AJ31</f>
        <v>#REF!</v>
      </c>
      <c r="AK21" s="132" t="e">
        <f>'FEBRUARY 2026 - EXPLO'!AK31</f>
        <v>#REF!</v>
      </c>
      <c r="AL21" s="132" t="e">
        <f>'FEBRUARY 2026 - EXPLO'!AL31</f>
        <v>#REF!</v>
      </c>
      <c r="AM21" s="145"/>
    </row>
    <row r="22" spans="2:42" s="2" customFormat="1" ht="5.25" customHeight="1" x14ac:dyDescent="0.25">
      <c r="B22" s="146"/>
      <c r="C22" s="62"/>
      <c r="D22" s="62"/>
      <c r="E22" s="38"/>
      <c r="F22" s="38"/>
      <c r="G22" s="147"/>
      <c r="H22" s="147"/>
      <c r="I22" s="147"/>
      <c r="J22" s="147"/>
      <c r="K22" s="147"/>
      <c r="L22" s="147"/>
      <c r="M22" s="147"/>
      <c r="N22" s="147"/>
      <c r="O22" s="39"/>
      <c r="P22" s="148"/>
      <c r="Q22" s="148"/>
      <c r="R22" s="148"/>
      <c r="S22" s="148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39"/>
      <c r="AE22" s="39"/>
      <c r="AF22" s="147"/>
      <c r="AG22" s="39"/>
      <c r="AH22" s="39"/>
      <c r="AI22" s="39"/>
      <c r="AJ22" s="147"/>
      <c r="AK22" s="147"/>
      <c r="AL22" s="149"/>
      <c r="AM22" s="145"/>
    </row>
    <row r="23" spans="2:42" s="13" customFormat="1" ht="34.5" customHeight="1" x14ac:dyDescent="0.25">
      <c r="B23" s="228"/>
      <c r="C23" s="150"/>
      <c r="D23" s="40" t="s">
        <v>80</v>
      </c>
      <c r="E23" s="40" t="s">
        <v>33</v>
      </c>
      <c r="F23" s="40" t="s">
        <v>60</v>
      </c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39"/>
      <c r="AF23" s="147"/>
      <c r="AG23" s="147"/>
      <c r="AH23" s="147"/>
      <c r="AI23" s="147"/>
      <c r="AJ23" s="147"/>
      <c r="AK23" s="147"/>
      <c r="AL23" s="149"/>
      <c r="AM23" s="151" t="s">
        <v>44</v>
      </c>
    </row>
    <row r="24" spans="2:42" s="13" customFormat="1" ht="34.5" hidden="1" customHeight="1" x14ac:dyDescent="0.25">
      <c r="B24" s="228"/>
      <c r="C24" s="150"/>
      <c r="D24" s="40" t="s">
        <v>80</v>
      </c>
      <c r="E24" s="40" t="s">
        <v>33</v>
      </c>
      <c r="F24" s="40" t="s">
        <v>60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39"/>
      <c r="AF24" s="147"/>
      <c r="AG24" s="147"/>
      <c r="AH24" s="147"/>
      <c r="AI24" s="147"/>
      <c r="AJ24" s="147"/>
      <c r="AK24" s="147"/>
      <c r="AL24" s="149"/>
      <c r="AM24" s="151" t="s">
        <v>44</v>
      </c>
    </row>
    <row r="25" spans="2:42" s="2" customFormat="1" ht="34.5" customHeight="1" x14ac:dyDescent="0.25">
      <c r="B25" s="41" t="s">
        <v>34</v>
      </c>
      <c r="C25" s="152"/>
      <c r="D25" s="153"/>
      <c r="E25" s="38"/>
      <c r="F25" s="38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9"/>
      <c r="AM25" s="145"/>
    </row>
    <row r="26" spans="2:42" s="2" customFormat="1" ht="34.5" customHeight="1" x14ac:dyDescent="0.25">
      <c r="B26" s="41" t="s">
        <v>35</v>
      </c>
      <c r="C26" s="40"/>
      <c r="D26" s="38"/>
      <c r="E26" s="38"/>
      <c r="F26" s="38"/>
      <c r="G26" s="147"/>
      <c r="H26" s="147"/>
      <c r="I26" s="147"/>
      <c r="J26" s="147"/>
      <c r="K26" s="147"/>
      <c r="L26" s="147"/>
      <c r="M26" s="147"/>
      <c r="N26" s="147"/>
      <c r="O26" s="39"/>
      <c r="P26" s="39"/>
      <c r="Q26" s="39"/>
      <c r="R26" s="39"/>
      <c r="S26" s="39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39"/>
      <c r="AE26" s="39"/>
      <c r="AF26" s="147"/>
      <c r="AG26" s="39"/>
      <c r="AH26" s="39"/>
      <c r="AI26" s="39"/>
      <c r="AJ26" s="147"/>
      <c r="AK26" s="147"/>
      <c r="AL26" s="149"/>
      <c r="AM26" s="145"/>
    </row>
    <row r="27" spans="2:42" s="13" customFormat="1" ht="29.25" customHeight="1" x14ac:dyDescent="0.25">
      <c r="B27" s="154" t="s">
        <v>17</v>
      </c>
      <c r="C27" s="155"/>
      <c r="D27" s="104"/>
      <c r="E27" s="104"/>
      <c r="F27" s="104"/>
      <c r="G27" s="132" t="e">
        <f t="shared" ref="G27:AL27" si="0">SUM(G21:G26)</f>
        <v>#REF!</v>
      </c>
      <c r="H27" s="132" t="e">
        <f t="shared" si="0"/>
        <v>#REF!</v>
      </c>
      <c r="I27" s="132" t="e">
        <f t="shared" si="0"/>
        <v>#REF!</v>
      </c>
      <c r="J27" s="132">
        <f>SUM(J21:J26)</f>
        <v>0</v>
      </c>
      <c r="K27" s="132">
        <f t="shared" si="0"/>
        <v>0</v>
      </c>
      <c r="L27" s="132">
        <f t="shared" si="0"/>
        <v>0</v>
      </c>
      <c r="M27" s="132">
        <f t="shared" si="0"/>
        <v>0</v>
      </c>
      <c r="N27" s="132">
        <f t="shared" si="0"/>
        <v>0</v>
      </c>
      <c r="O27" s="132">
        <f t="shared" si="0"/>
        <v>0</v>
      </c>
      <c r="P27" s="132">
        <f t="shared" si="0"/>
        <v>0</v>
      </c>
      <c r="Q27" s="132">
        <f t="shared" si="0"/>
        <v>0</v>
      </c>
      <c r="R27" s="132">
        <f t="shared" si="0"/>
        <v>0</v>
      </c>
      <c r="S27" s="132">
        <f t="shared" si="0"/>
        <v>0</v>
      </c>
      <c r="T27" s="132">
        <f t="shared" si="0"/>
        <v>0</v>
      </c>
      <c r="U27" s="132">
        <f t="shared" si="0"/>
        <v>0</v>
      </c>
      <c r="V27" s="132">
        <f t="shared" si="0"/>
        <v>0</v>
      </c>
      <c r="W27" s="132">
        <f t="shared" si="0"/>
        <v>0</v>
      </c>
      <c r="X27" s="132">
        <f t="shared" si="0"/>
        <v>0</v>
      </c>
      <c r="Y27" s="132">
        <f t="shared" si="0"/>
        <v>0</v>
      </c>
      <c r="Z27" s="132">
        <f t="shared" si="0"/>
        <v>0</v>
      </c>
      <c r="AA27" s="132">
        <f t="shared" si="0"/>
        <v>0</v>
      </c>
      <c r="AB27" s="132">
        <f t="shared" si="0"/>
        <v>0</v>
      </c>
      <c r="AC27" s="132">
        <f t="shared" si="0"/>
        <v>0</v>
      </c>
      <c r="AD27" s="132">
        <f t="shared" si="0"/>
        <v>0</v>
      </c>
      <c r="AE27" s="132">
        <f>SUM(AE21:AE26)</f>
        <v>0</v>
      </c>
      <c r="AF27" s="132">
        <f t="shared" si="0"/>
        <v>0</v>
      </c>
      <c r="AG27" s="132">
        <f t="shared" si="0"/>
        <v>0</v>
      </c>
      <c r="AH27" s="132">
        <f t="shared" si="0"/>
        <v>0</v>
      </c>
      <c r="AI27" s="132">
        <f t="shared" si="0"/>
        <v>0</v>
      </c>
      <c r="AJ27" s="132" t="e">
        <f t="shared" si="0"/>
        <v>#REF!</v>
      </c>
      <c r="AK27" s="132" t="e">
        <f t="shared" si="0"/>
        <v>#REF!</v>
      </c>
      <c r="AL27" s="132" t="e">
        <f t="shared" si="0"/>
        <v>#REF!</v>
      </c>
      <c r="AM27" s="156"/>
    </row>
    <row r="28" spans="2:42" s="13" customFormat="1" ht="29.25" customHeight="1" x14ac:dyDescent="0.25">
      <c r="B28" s="368" t="s">
        <v>18</v>
      </c>
      <c r="C28" s="369"/>
      <c r="D28" s="39"/>
      <c r="E28" s="39"/>
      <c r="F28" s="39"/>
      <c r="G28" s="147"/>
      <c r="H28" s="147"/>
      <c r="I28" s="147"/>
      <c r="J28" s="147"/>
      <c r="K28" s="147"/>
      <c r="L28" s="147"/>
      <c r="M28" s="147"/>
      <c r="N28" s="147"/>
      <c r="O28" s="39"/>
      <c r="P28" s="39"/>
      <c r="Q28" s="39"/>
      <c r="R28" s="39"/>
      <c r="S28" s="39"/>
      <c r="T28" s="147"/>
      <c r="U28" s="147"/>
      <c r="V28" s="147"/>
      <c r="W28" s="39"/>
      <c r="X28" s="147"/>
      <c r="Y28" s="147"/>
      <c r="Z28" s="147"/>
      <c r="AA28" s="147"/>
      <c r="AB28" s="147"/>
      <c r="AC28" s="147"/>
      <c r="AD28" s="147"/>
      <c r="AE28" s="39"/>
      <c r="AF28" s="147"/>
      <c r="AG28" s="39"/>
      <c r="AH28" s="39"/>
      <c r="AI28" s="39"/>
      <c r="AJ28" s="157"/>
      <c r="AK28" s="157"/>
      <c r="AL28" s="149"/>
      <c r="AM28" s="156"/>
    </row>
    <row r="29" spans="2:42" s="13" customFormat="1" ht="57.75" customHeight="1" x14ac:dyDescent="0.25">
      <c r="B29" s="401" t="s">
        <v>155</v>
      </c>
      <c r="C29" s="402"/>
      <c r="D29" s="372" t="s">
        <v>156</v>
      </c>
      <c r="E29" s="373"/>
      <c r="F29" s="374"/>
      <c r="G29" s="158" t="e">
        <f>SUM(G23:G28)</f>
        <v>#REF!</v>
      </c>
      <c r="H29" s="158" t="e">
        <f>SUM(H23:H28)</f>
        <v>#REF!</v>
      </c>
      <c r="I29" s="158" t="e">
        <f>SUM(I23:I28)</f>
        <v>#REF!</v>
      </c>
      <c r="J29" s="158"/>
      <c r="K29" s="158"/>
      <c r="L29" s="158"/>
      <c r="M29" s="158"/>
      <c r="N29" s="158"/>
      <c r="O29" s="159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9"/>
      <c r="AF29" s="158"/>
      <c r="AG29" s="158"/>
      <c r="AH29" s="158"/>
      <c r="AI29" s="158"/>
      <c r="AJ29" s="160"/>
      <c r="AK29" s="160"/>
      <c r="AL29" s="160"/>
      <c r="AM29" s="156"/>
    </row>
    <row r="30" spans="2:42" s="13" customFormat="1" ht="57.75" hidden="1" customHeight="1" x14ac:dyDescent="0.25">
      <c r="B30" s="403"/>
      <c r="C30" s="404"/>
      <c r="D30" s="398" t="s">
        <v>154</v>
      </c>
      <c r="E30" s="399"/>
      <c r="F30" s="400"/>
      <c r="G30" s="224"/>
      <c r="H30" s="224"/>
      <c r="I30" s="224"/>
      <c r="J30" s="224"/>
      <c r="K30" s="224"/>
      <c r="L30" s="224"/>
      <c r="M30" s="224"/>
      <c r="N30" s="224"/>
      <c r="O30" s="225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5"/>
      <c r="AF30" s="224"/>
      <c r="AG30" s="224"/>
      <c r="AH30" s="224"/>
      <c r="AI30" s="224"/>
      <c r="AJ30" s="221"/>
      <c r="AK30" s="221"/>
      <c r="AL30" s="221"/>
      <c r="AM30" s="222"/>
    </row>
    <row r="31" spans="2:42" s="13" customFormat="1" ht="45.75" customHeight="1" thickBot="1" x14ac:dyDescent="0.3">
      <c r="B31" s="125" t="str">
        <f>'MARCH 2026 - PMC '!B38</f>
        <v>Remaining Stock as of March 31,2026</v>
      </c>
      <c r="C31" s="161"/>
      <c r="D31" s="63"/>
      <c r="E31" s="63"/>
      <c r="F31" s="63"/>
      <c r="G31" s="128" t="e">
        <f t="shared" ref="G31:AL31" si="1">G27-G29</f>
        <v>#REF!</v>
      </c>
      <c r="H31" s="128" t="e">
        <f t="shared" si="1"/>
        <v>#REF!</v>
      </c>
      <c r="I31" s="128" t="e">
        <f t="shared" si="1"/>
        <v>#REF!</v>
      </c>
      <c r="J31" s="128">
        <f>J27-J29-J30</f>
        <v>0</v>
      </c>
      <c r="K31" s="128">
        <f t="shared" ref="K31:AI31" si="2">K27-K29-K30</f>
        <v>0</v>
      </c>
      <c r="L31" s="128">
        <f t="shared" si="2"/>
        <v>0</v>
      </c>
      <c r="M31" s="128">
        <f t="shared" si="2"/>
        <v>0</v>
      </c>
      <c r="N31" s="128">
        <f t="shared" si="2"/>
        <v>0</v>
      </c>
      <c r="O31" s="128">
        <f t="shared" si="2"/>
        <v>0</v>
      </c>
      <c r="P31" s="128">
        <f t="shared" si="2"/>
        <v>0</v>
      </c>
      <c r="Q31" s="128">
        <f t="shared" si="2"/>
        <v>0</v>
      </c>
      <c r="R31" s="128">
        <f t="shared" si="2"/>
        <v>0</v>
      </c>
      <c r="S31" s="128">
        <f t="shared" si="2"/>
        <v>0</v>
      </c>
      <c r="T31" s="128">
        <f t="shared" si="2"/>
        <v>0</v>
      </c>
      <c r="U31" s="128">
        <f t="shared" si="2"/>
        <v>0</v>
      </c>
      <c r="V31" s="128">
        <f t="shared" si="2"/>
        <v>0</v>
      </c>
      <c r="W31" s="128">
        <f t="shared" si="2"/>
        <v>0</v>
      </c>
      <c r="X31" s="128">
        <f>X27-X29-X30</f>
        <v>0</v>
      </c>
      <c r="Y31" s="128">
        <f t="shared" si="2"/>
        <v>0</v>
      </c>
      <c r="Z31" s="128">
        <f t="shared" si="2"/>
        <v>0</v>
      </c>
      <c r="AA31" s="128">
        <f t="shared" si="2"/>
        <v>0</v>
      </c>
      <c r="AB31" s="128">
        <f t="shared" si="2"/>
        <v>0</v>
      </c>
      <c r="AC31" s="128">
        <f t="shared" si="2"/>
        <v>0</v>
      </c>
      <c r="AD31" s="128">
        <f t="shared" si="2"/>
        <v>0</v>
      </c>
      <c r="AE31" s="128">
        <f t="shared" si="2"/>
        <v>0</v>
      </c>
      <c r="AF31" s="128">
        <f t="shared" si="2"/>
        <v>0</v>
      </c>
      <c r="AG31" s="128">
        <f t="shared" si="2"/>
        <v>0</v>
      </c>
      <c r="AH31" s="128">
        <f t="shared" si="2"/>
        <v>0</v>
      </c>
      <c r="AI31" s="128">
        <f t="shared" si="2"/>
        <v>0</v>
      </c>
      <c r="AJ31" s="128" t="e">
        <f t="shared" si="1"/>
        <v>#REF!</v>
      </c>
      <c r="AK31" s="128" t="e">
        <f t="shared" si="1"/>
        <v>#REF!</v>
      </c>
      <c r="AL31" s="128" t="e">
        <f t="shared" si="1"/>
        <v>#REF!</v>
      </c>
      <c r="AM31" s="163"/>
    </row>
    <row r="32" spans="2:42" ht="32.25" customHeight="1" x14ac:dyDescent="0.3">
      <c r="G32" s="16"/>
      <c r="H32" s="16"/>
      <c r="I32" s="16"/>
      <c r="J32" s="119"/>
      <c r="K32" s="119"/>
      <c r="L32" s="119"/>
      <c r="M32" s="119"/>
      <c r="N32" s="119"/>
      <c r="O32" s="120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20"/>
      <c r="AF32" s="119"/>
      <c r="AG32" s="119"/>
      <c r="AH32" s="119"/>
      <c r="AI32" s="119"/>
      <c r="AJ32" s="16"/>
      <c r="AK32" s="16"/>
      <c r="AL32" s="16"/>
      <c r="AP32" s="18"/>
    </row>
    <row r="33" spans="2:44" ht="9" customHeight="1" x14ac:dyDescent="0.3">
      <c r="K33" s="20"/>
      <c r="P33" s="17"/>
      <c r="Q33" s="17"/>
      <c r="R33" s="17"/>
      <c r="S33" s="17"/>
      <c r="T33" s="17"/>
      <c r="U33" s="17"/>
      <c r="V33" s="21"/>
      <c r="AE33" s="19"/>
      <c r="AF33" s="21"/>
    </row>
    <row r="34" spans="2:44" s="24" customFormat="1" ht="32.1" customHeight="1" x14ac:dyDescent="0.35">
      <c r="B34" s="226"/>
      <c r="C34" s="226" t="s">
        <v>45</v>
      </c>
      <c r="D34" s="226"/>
      <c r="E34" s="226"/>
      <c r="F34" s="226"/>
      <c r="G34" s="226"/>
      <c r="H34" s="226"/>
      <c r="J34" s="226" t="s">
        <v>19</v>
      </c>
      <c r="K34" s="226"/>
      <c r="L34" s="226"/>
      <c r="O34" s="227" t="s">
        <v>54</v>
      </c>
      <c r="P34" s="116"/>
      <c r="Q34" s="116"/>
      <c r="R34" s="227"/>
      <c r="S34" s="227"/>
      <c r="T34" s="116"/>
      <c r="U34" s="109"/>
      <c r="V34" s="227" t="s">
        <v>168</v>
      </c>
      <c r="W34" s="227"/>
      <c r="X34" s="116"/>
      <c r="Y34" s="116"/>
      <c r="Z34" s="226"/>
      <c r="AA34" s="226"/>
      <c r="AB34" s="226"/>
      <c r="AD34" s="226"/>
      <c r="AE34" s="226" t="s">
        <v>20</v>
      </c>
      <c r="AF34" s="226"/>
      <c r="AG34" s="226"/>
      <c r="AH34" s="226" t="s">
        <v>20</v>
      </c>
      <c r="AI34" s="226"/>
      <c r="AJ34" s="226"/>
      <c r="AK34" s="226"/>
      <c r="AL34" s="226"/>
      <c r="AM34" s="82"/>
      <c r="AN34" s="226"/>
    </row>
    <row r="35" spans="2:44" s="24" customFormat="1" ht="32.1" customHeight="1" x14ac:dyDescent="0.35">
      <c r="B35" s="226"/>
      <c r="C35" s="367" t="s">
        <v>38</v>
      </c>
      <c r="D35" s="367"/>
      <c r="E35" s="367"/>
      <c r="F35" s="367"/>
      <c r="G35" s="367"/>
      <c r="H35" s="226"/>
      <c r="J35" s="226"/>
      <c r="K35" s="22"/>
      <c r="L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R35" s="223"/>
    </row>
    <row r="36" spans="2:44" s="24" customFormat="1" ht="32.1" customHeight="1" x14ac:dyDescent="0.35">
      <c r="B36" s="226"/>
      <c r="C36" s="226"/>
      <c r="D36" s="226"/>
      <c r="E36" s="226"/>
      <c r="F36" s="226"/>
      <c r="G36" s="226"/>
      <c r="H36" s="226"/>
      <c r="J36" s="226"/>
      <c r="K36" s="22"/>
      <c r="L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6"/>
      <c r="AM36" s="226"/>
      <c r="AN36" s="226"/>
      <c r="AR36" s="223"/>
    </row>
    <row r="37" spans="2:44" s="24" customFormat="1" ht="32.1" customHeight="1" x14ac:dyDescent="0.35">
      <c r="B37" s="226"/>
      <c r="C37" s="226" t="s">
        <v>21</v>
      </c>
      <c r="D37" s="227"/>
      <c r="E37" s="226"/>
      <c r="F37" s="226"/>
      <c r="H37" s="226"/>
      <c r="J37" s="226" t="s">
        <v>64</v>
      </c>
      <c r="K37" s="227"/>
      <c r="L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82"/>
      <c r="Z37" s="227"/>
      <c r="AA37" s="227"/>
      <c r="AB37" s="227"/>
      <c r="AC37" s="143"/>
      <c r="AD37" s="227"/>
      <c r="AE37" s="178" t="s">
        <v>108</v>
      </c>
      <c r="AF37" s="227"/>
      <c r="AG37" s="227"/>
      <c r="AH37" s="227"/>
      <c r="AI37" s="227"/>
      <c r="AJ37" s="227"/>
      <c r="AK37" s="227"/>
      <c r="AL37" s="227"/>
      <c r="AM37" s="227"/>
      <c r="AN37" s="109"/>
    </row>
    <row r="38" spans="2:44" s="24" customFormat="1" ht="32.1" customHeight="1" x14ac:dyDescent="0.35">
      <c r="B38" s="226"/>
      <c r="C38" s="226" t="s">
        <v>22</v>
      </c>
      <c r="D38" s="23"/>
      <c r="E38" s="226"/>
      <c r="F38" s="226"/>
      <c r="H38" s="226"/>
      <c r="J38" s="226" t="s">
        <v>25</v>
      </c>
      <c r="K38" s="226"/>
      <c r="L38" s="226"/>
      <c r="N38" s="226"/>
      <c r="O38" s="226"/>
      <c r="P38" s="226"/>
      <c r="Q38" s="226"/>
      <c r="R38" s="226"/>
      <c r="S38" s="226"/>
      <c r="T38" s="226"/>
      <c r="U38" s="226"/>
      <c r="V38" s="226"/>
      <c r="W38" s="1"/>
      <c r="X38" s="226"/>
      <c r="Z38" s="226"/>
      <c r="AA38" s="226"/>
      <c r="AB38" s="226"/>
      <c r="AD38" s="226"/>
      <c r="AE38" s="176" t="s">
        <v>123</v>
      </c>
      <c r="AF38" s="1"/>
      <c r="AG38" s="1"/>
      <c r="AH38" s="1"/>
      <c r="AI38" s="1"/>
      <c r="AJ38" s="1"/>
      <c r="AK38" s="1"/>
      <c r="AL38" s="1"/>
      <c r="AM38" s="1"/>
      <c r="AN38" s="226"/>
    </row>
    <row r="39" spans="2:44" s="24" customFormat="1" ht="32.1" customHeight="1" x14ac:dyDescent="0.35">
      <c r="B39" s="226"/>
      <c r="C39" s="226" t="s">
        <v>23</v>
      </c>
      <c r="D39" s="23"/>
      <c r="E39" s="226"/>
      <c r="F39" s="226"/>
      <c r="H39" s="226"/>
      <c r="J39" s="226" t="s">
        <v>78</v>
      </c>
      <c r="K39" s="226"/>
      <c r="L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Z39" s="226"/>
      <c r="AA39" s="226"/>
      <c r="AB39" s="226"/>
      <c r="AD39" s="226"/>
      <c r="AE39" s="176" t="s">
        <v>109</v>
      </c>
      <c r="AF39" s="226"/>
      <c r="AG39" s="226"/>
      <c r="AH39" s="226"/>
      <c r="AI39" s="226"/>
      <c r="AJ39" s="226"/>
      <c r="AK39" s="226"/>
      <c r="AL39" s="226"/>
      <c r="AM39" s="226"/>
      <c r="AN39" s="226"/>
    </row>
    <row r="40" spans="2:44" s="24" customFormat="1" ht="32.1" customHeight="1" x14ac:dyDescent="0.35">
      <c r="B40" s="226"/>
      <c r="C40" s="226" t="s">
        <v>24</v>
      </c>
      <c r="D40" s="23"/>
      <c r="E40" s="226"/>
      <c r="F40" s="226"/>
      <c r="H40" s="226"/>
      <c r="J40" s="226" t="s">
        <v>63</v>
      </c>
      <c r="K40" s="226"/>
      <c r="L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Z40" s="226"/>
      <c r="AA40" s="226"/>
      <c r="AB40" s="226"/>
      <c r="AD40" s="226"/>
      <c r="AE40" s="176" t="s">
        <v>122</v>
      </c>
      <c r="AF40" s="226"/>
      <c r="AG40" s="226"/>
      <c r="AH40" s="226"/>
      <c r="AI40" s="226"/>
      <c r="AJ40" s="226"/>
      <c r="AK40" s="226"/>
      <c r="AL40" s="226"/>
      <c r="AM40" s="226"/>
      <c r="AN40" s="226"/>
    </row>
    <row r="41" spans="2:44" s="24" customFormat="1" ht="32.1" customHeight="1" x14ac:dyDescent="0.35">
      <c r="AD41" s="226"/>
      <c r="AE41" s="226"/>
    </row>
    <row r="42" spans="2:44" s="24" customFormat="1" ht="32.1" customHeight="1" x14ac:dyDescent="0.35">
      <c r="AD42" s="226"/>
      <c r="AE42" s="226"/>
    </row>
    <row r="43" spans="2:44" s="24" customFormat="1" ht="32.1" customHeight="1" x14ac:dyDescent="0.35">
      <c r="AD43" s="1"/>
    </row>
    <row r="44" spans="2:44" s="24" customFormat="1" ht="32.1" customHeight="1" x14ac:dyDescent="0.35"/>
    <row r="45" spans="2:44" s="25" customFormat="1" ht="20.25" x14ac:dyDescent="0.3"/>
    <row r="46" spans="2:44" s="25" customFormat="1" ht="20.25" x14ac:dyDescent="0.3"/>
    <row r="47" spans="2:44" s="25" customFormat="1" ht="20.25" x14ac:dyDescent="0.3"/>
    <row r="48" spans="2:44" s="25" customFormat="1" ht="20.25" x14ac:dyDescent="0.3"/>
    <row r="49" s="25" customFormat="1" ht="20.25" x14ac:dyDescent="0.3"/>
    <row r="50" s="25" customFormat="1" ht="20.25" x14ac:dyDescent="0.3"/>
    <row r="51" s="25" customFormat="1" ht="20.25" x14ac:dyDescent="0.3"/>
    <row r="52" s="25" customFormat="1" ht="20.25" x14ac:dyDescent="0.3"/>
    <row r="53" s="25" customFormat="1" ht="20.25" x14ac:dyDescent="0.3"/>
    <row r="54" s="25" customFormat="1" ht="20.25" x14ac:dyDescent="0.3"/>
    <row r="55" s="25" customFormat="1" ht="20.25" x14ac:dyDescent="0.3"/>
    <row r="56" s="25" customFormat="1" ht="20.25" x14ac:dyDescent="0.3"/>
    <row r="57" s="25" customFormat="1" ht="20.25" x14ac:dyDescent="0.3"/>
    <row r="58" s="25" customFormat="1" ht="20.25" x14ac:dyDescent="0.3"/>
    <row r="59" s="25" customFormat="1" ht="20.25" x14ac:dyDescent="0.3"/>
    <row r="60" s="25" customFormat="1" ht="20.25" x14ac:dyDescent="0.3"/>
    <row r="61" s="25" customFormat="1" ht="20.25" x14ac:dyDescent="0.3"/>
    <row r="62" s="25" customFormat="1" ht="20.25" x14ac:dyDescent="0.3"/>
    <row r="63" s="25" customFormat="1" ht="20.25" x14ac:dyDescent="0.3"/>
  </sheetData>
  <mergeCells count="39">
    <mergeCell ref="C35:G35"/>
    <mergeCell ref="AC17:AC18"/>
    <mergeCell ref="B21:D21"/>
    <mergeCell ref="B28:C28"/>
    <mergeCell ref="B29:C30"/>
    <mergeCell ref="D29:F29"/>
    <mergeCell ref="D30:F30"/>
    <mergeCell ref="W17:W18"/>
    <mergeCell ref="X17:X18"/>
    <mergeCell ref="Y17:Y18"/>
    <mergeCell ref="AB17:AB18"/>
    <mergeCell ref="V17:V18"/>
    <mergeCell ref="AE16:AE18"/>
    <mergeCell ref="AF16:AF18"/>
    <mergeCell ref="AG16:AH17"/>
    <mergeCell ref="AI16:AI18"/>
    <mergeCell ref="AJ16:AJ18"/>
    <mergeCell ref="AD16:AD18"/>
    <mergeCell ref="B8:AM8"/>
    <mergeCell ref="B16:B19"/>
    <mergeCell ref="C16:C19"/>
    <mergeCell ref="D16:D19"/>
    <mergeCell ref="E16:E19"/>
    <mergeCell ref="F16:F19"/>
    <mergeCell ref="G16:N16"/>
    <mergeCell ref="O16:O18"/>
    <mergeCell ref="P16:W16"/>
    <mergeCell ref="X16:AC16"/>
    <mergeCell ref="AK16:AK18"/>
    <mergeCell ref="AL16:AL18"/>
    <mergeCell ref="J17:L17"/>
    <mergeCell ref="R17:S17"/>
    <mergeCell ref="T17:U17"/>
    <mergeCell ref="B7:AM7"/>
    <mergeCell ref="B1:AM1"/>
    <mergeCell ref="B2:AM2"/>
    <mergeCell ref="B3:AM3"/>
    <mergeCell ref="B4:AM4"/>
    <mergeCell ref="B6:AM6"/>
  </mergeCells>
  <pageMargins left="0.39370078740157483" right="3.937007874015748E-2" top="0.43307086614173229" bottom="0.31496062992125984" header="0.31496062992125984" footer="0.31496062992125984"/>
  <pageSetup paperSize="14" scale="4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AZ65"/>
  <sheetViews>
    <sheetView topLeftCell="B13" zoomScale="69" zoomScaleNormal="69" workbookViewId="0">
      <selection activeCell="AH42" sqref="AH42"/>
    </sheetView>
  </sheetViews>
  <sheetFormatPr defaultRowHeight="16.5" x14ac:dyDescent="0.3"/>
  <cols>
    <col min="1" max="1" width="1.28515625" style="3" hidden="1" customWidth="1"/>
    <col min="2" max="2" width="13.28515625" style="3" customWidth="1"/>
    <col min="3" max="3" width="16" style="3" customWidth="1"/>
    <col min="4" max="4" width="42.140625" style="3" customWidth="1"/>
    <col min="5" max="5" width="28.7109375" style="3" customWidth="1"/>
    <col min="6" max="6" width="28" style="3" customWidth="1"/>
    <col min="7" max="7" width="9.85546875" style="3" hidden="1" customWidth="1"/>
    <col min="8" max="8" width="11" style="3" hidden="1" customWidth="1"/>
    <col min="9" max="9" width="12.28515625" style="3" hidden="1" customWidth="1"/>
    <col min="10" max="10" width="17" style="3" hidden="1" customWidth="1"/>
    <col min="11" max="11" width="16.7109375" style="3" hidden="1" customWidth="1"/>
    <col min="12" max="12" width="12.28515625" style="3" hidden="1" customWidth="1"/>
    <col min="13" max="13" width="10.85546875" style="3" hidden="1" customWidth="1"/>
    <col min="14" max="14" width="14.7109375" style="3" hidden="1" customWidth="1"/>
    <col min="15" max="15" width="11.85546875" style="3" hidden="1" customWidth="1"/>
    <col min="16" max="16" width="15.28515625" style="3" hidden="1" customWidth="1"/>
    <col min="17" max="17" width="12.85546875" style="3" hidden="1" customWidth="1"/>
    <col min="18" max="18" width="12.140625" style="3" customWidth="1"/>
    <col min="19" max="19" width="13" style="3" customWidth="1"/>
    <col min="20" max="20" width="11.28515625" style="3" customWidth="1"/>
    <col min="21" max="21" width="13.28515625" style="3" customWidth="1"/>
    <col min="22" max="22" width="11.5703125" style="3" customWidth="1"/>
    <col min="23" max="24" width="10" style="3" hidden="1" customWidth="1"/>
    <col min="25" max="25" width="10.140625" style="3" bestFit="1" customWidth="1"/>
    <col min="26" max="26" width="10.7109375" style="3" bestFit="1" customWidth="1"/>
    <col min="27" max="28" width="10.7109375" style="3" customWidth="1"/>
    <col min="29" max="29" width="9.28515625" style="3" hidden="1" customWidth="1"/>
    <col min="30" max="30" width="10.7109375" style="3" hidden="1" customWidth="1"/>
    <col min="31" max="31" width="12.7109375" style="3" hidden="1" customWidth="1"/>
    <col min="32" max="32" width="9.7109375" style="3" hidden="1" customWidth="1"/>
    <col min="33" max="33" width="10.85546875" style="3" customWidth="1"/>
    <col min="34" max="34" width="10.7109375" style="3" customWidth="1"/>
    <col min="35" max="35" width="9.85546875" style="3" hidden="1" customWidth="1"/>
    <col min="36" max="36" width="13.140625" style="3" customWidth="1"/>
    <col min="37" max="38" width="12.5703125" style="3" customWidth="1"/>
    <col min="39" max="42" width="11.140625" style="3" hidden="1" customWidth="1"/>
    <col min="43" max="43" width="17" style="4" customWidth="1"/>
    <col min="44" max="44" width="11" style="3" customWidth="1"/>
    <col min="45" max="45" width="9.85546875" style="3" hidden="1" customWidth="1"/>
    <col min="46" max="46" width="25.42578125" style="3" hidden="1" customWidth="1"/>
    <col min="47" max="47" width="11.140625" style="3" customWidth="1"/>
    <col min="48" max="48" width="9.85546875" style="3" hidden="1" customWidth="1"/>
    <col min="49" max="49" width="10.7109375" style="3" hidden="1" customWidth="1"/>
    <col min="50" max="50" width="13" style="3" hidden="1" customWidth="1"/>
    <col min="51" max="51" width="23.140625" style="3" bestFit="1" customWidth="1"/>
    <col min="52" max="16384" width="9.140625" style="3"/>
  </cols>
  <sheetData>
    <row r="1" spans="2:51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</row>
    <row r="2" spans="2:51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</row>
    <row r="3" spans="2:51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  <c r="AS3" s="287"/>
      <c r="AT3" s="287"/>
      <c r="AU3" s="287"/>
      <c r="AV3" s="287"/>
      <c r="AW3" s="287"/>
      <c r="AX3" s="287"/>
      <c r="AY3" s="287"/>
    </row>
    <row r="4" spans="2:51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287"/>
      <c r="AW4" s="287"/>
      <c r="AX4" s="287"/>
      <c r="AY4" s="287"/>
    </row>
    <row r="5" spans="2:51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2:51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</row>
    <row r="7" spans="2:51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7"/>
      <c r="AT7" s="287"/>
      <c r="AU7" s="287"/>
      <c r="AV7" s="287"/>
      <c r="AW7" s="287"/>
      <c r="AX7" s="287"/>
      <c r="AY7" s="287"/>
    </row>
    <row r="8" spans="2:51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  <c r="AX8" s="287"/>
      <c r="AY8" s="287"/>
    </row>
    <row r="9" spans="2:51" ht="8.25" customHeight="1" x14ac:dyDescent="0.3"/>
    <row r="10" spans="2:51" s="2" customFormat="1" ht="20.100000000000001" customHeight="1" x14ac:dyDescent="0.25">
      <c r="B10" s="226" t="s">
        <v>7</v>
      </c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</row>
    <row r="11" spans="2:51" s="2" customFormat="1" ht="20.100000000000001" customHeight="1" x14ac:dyDescent="0.25">
      <c r="B11" s="226" t="s">
        <v>8</v>
      </c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</row>
    <row r="12" spans="2:51" s="2" customFormat="1" ht="20.100000000000001" customHeight="1" x14ac:dyDescent="0.25">
      <c r="B12" s="226" t="s">
        <v>65</v>
      </c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</row>
    <row r="13" spans="2:51" s="2" customFormat="1" ht="26.25" customHeight="1" x14ac:dyDescent="0.25">
      <c r="B13" s="226" t="s">
        <v>164</v>
      </c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</row>
    <row r="14" spans="2:51" s="7" customFormat="1" ht="18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51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2:51" ht="23.25" customHeight="1" x14ac:dyDescent="0.3">
      <c r="B16" s="288" t="s">
        <v>9</v>
      </c>
      <c r="C16" s="291" t="s">
        <v>158</v>
      </c>
      <c r="D16" s="294" t="s">
        <v>10</v>
      </c>
      <c r="E16" s="294" t="s">
        <v>11</v>
      </c>
      <c r="F16" s="294" t="s">
        <v>46</v>
      </c>
      <c r="G16" s="80"/>
      <c r="H16" s="80"/>
      <c r="I16" s="380"/>
      <c r="J16" s="380"/>
      <c r="K16" s="380"/>
      <c r="L16" s="380"/>
      <c r="M16" s="380"/>
      <c r="N16" s="380"/>
      <c r="O16" s="237"/>
      <c r="P16" s="380" t="s">
        <v>87</v>
      </c>
      <c r="Q16" s="380"/>
      <c r="R16" s="380"/>
      <c r="S16" s="380"/>
      <c r="T16" s="380"/>
      <c r="U16" s="381"/>
      <c r="V16" s="300" t="s">
        <v>69</v>
      </c>
      <c r="W16" s="297" t="s">
        <v>59</v>
      </c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9"/>
      <c r="AI16" s="238"/>
      <c r="AJ16" s="303" t="s">
        <v>29</v>
      </c>
      <c r="AK16" s="303"/>
      <c r="AL16" s="303"/>
      <c r="AM16" s="232"/>
      <c r="AN16" s="232"/>
      <c r="AO16" s="232"/>
      <c r="AP16" s="232"/>
      <c r="AQ16" s="304" t="s">
        <v>48</v>
      </c>
      <c r="AR16" s="304" t="s">
        <v>58</v>
      </c>
      <c r="AS16" s="317" t="s">
        <v>62</v>
      </c>
      <c r="AT16" s="317"/>
      <c r="AU16" s="304" t="s">
        <v>47</v>
      </c>
      <c r="AV16" s="300" t="s">
        <v>16</v>
      </c>
      <c r="AW16" s="304" t="s">
        <v>39</v>
      </c>
      <c r="AX16" s="304" t="s">
        <v>68</v>
      </c>
      <c r="AY16" s="58" t="s">
        <v>41</v>
      </c>
    </row>
    <row r="17" spans="2:52" ht="49.5" customHeight="1" x14ac:dyDescent="0.3">
      <c r="B17" s="289"/>
      <c r="C17" s="292"/>
      <c r="D17" s="295"/>
      <c r="E17" s="295"/>
      <c r="F17" s="295"/>
      <c r="G17" s="235"/>
      <c r="H17" s="235"/>
      <c r="I17" s="307" t="s">
        <v>67</v>
      </c>
      <c r="J17" s="308"/>
      <c r="K17" s="309"/>
      <c r="L17" s="231" t="s">
        <v>57</v>
      </c>
      <c r="M17" s="231" t="s">
        <v>66</v>
      </c>
      <c r="N17" s="239" t="s">
        <v>101</v>
      </c>
      <c r="O17" s="239" t="s">
        <v>26</v>
      </c>
      <c r="P17" s="231" t="s">
        <v>119</v>
      </c>
      <c r="Q17" s="239" t="s">
        <v>103</v>
      </c>
      <c r="R17" s="382" t="s">
        <v>101</v>
      </c>
      <c r="S17" s="383"/>
      <c r="T17" s="231" t="s">
        <v>166</v>
      </c>
      <c r="U17" s="231" t="s">
        <v>57</v>
      </c>
      <c r="V17" s="301"/>
      <c r="W17" s="231" t="s">
        <v>55</v>
      </c>
      <c r="X17" s="239" t="s">
        <v>27</v>
      </c>
      <c r="Y17" s="307" t="s">
        <v>56</v>
      </c>
      <c r="Z17" s="308"/>
      <c r="AA17" s="309"/>
      <c r="AB17" s="247" t="s">
        <v>167</v>
      </c>
      <c r="AC17" s="311" t="s">
        <v>92</v>
      </c>
      <c r="AD17" s="311"/>
      <c r="AE17" s="234"/>
      <c r="AF17" s="234"/>
      <c r="AG17" s="312" t="s">
        <v>71</v>
      </c>
      <c r="AH17" s="312" t="s">
        <v>15</v>
      </c>
      <c r="AI17" s="234"/>
      <c r="AJ17" s="313" t="s">
        <v>110</v>
      </c>
      <c r="AK17" s="313" t="s">
        <v>111</v>
      </c>
      <c r="AL17" s="313" t="s">
        <v>77</v>
      </c>
      <c r="AM17" s="229"/>
      <c r="AN17" s="229"/>
      <c r="AO17" s="229"/>
      <c r="AP17" s="229"/>
      <c r="AQ17" s="305"/>
      <c r="AR17" s="305"/>
      <c r="AS17" s="310"/>
      <c r="AT17" s="310"/>
      <c r="AU17" s="305"/>
      <c r="AV17" s="301"/>
      <c r="AW17" s="305"/>
      <c r="AX17" s="305"/>
      <c r="AY17" s="59" t="s">
        <v>42</v>
      </c>
    </row>
    <row r="18" spans="2:52" ht="24" customHeight="1" x14ac:dyDescent="0.3">
      <c r="B18" s="289"/>
      <c r="C18" s="292"/>
      <c r="D18" s="295"/>
      <c r="E18" s="295"/>
      <c r="F18" s="295"/>
      <c r="G18" s="235"/>
      <c r="H18" s="235"/>
      <c r="I18" s="230" t="s">
        <v>75</v>
      </c>
      <c r="J18" s="230" t="s">
        <v>49</v>
      </c>
      <c r="K18" s="230" t="s">
        <v>52</v>
      </c>
      <c r="L18" s="233" t="s">
        <v>76</v>
      </c>
      <c r="M18" s="233" t="s">
        <v>76</v>
      </c>
      <c r="N18" s="233" t="s">
        <v>106</v>
      </c>
      <c r="O18" s="233" t="s">
        <v>107</v>
      </c>
      <c r="P18" s="233" t="s">
        <v>75</v>
      </c>
      <c r="Q18" s="233" t="s">
        <v>99</v>
      </c>
      <c r="R18" s="233" t="s">
        <v>99</v>
      </c>
      <c r="S18" s="233" t="s">
        <v>102</v>
      </c>
      <c r="T18" s="233" t="s">
        <v>151</v>
      </c>
      <c r="U18" s="233" t="s">
        <v>70</v>
      </c>
      <c r="V18" s="302"/>
      <c r="W18" s="230">
        <v>2.4</v>
      </c>
      <c r="X18" s="233">
        <v>3.6</v>
      </c>
      <c r="Y18" s="231">
        <v>2.4</v>
      </c>
      <c r="Z18" s="231">
        <v>4.9000000000000004</v>
      </c>
      <c r="AA18" s="247">
        <v>4.5</v>
      </c>
      <c r="AB18" s="247">
        <v>6</v>
      </c>
      <c r="AC18" s="239">
        <v>2.4</v>
      </c>
      <c r="AD18" s="239">
        <v>4.8</v>
      </c>
      <c r="AE18" s="233"/>
      <c r="AF18" s="233"/>
      <c r="AG18" s="302"/>
      <c r="AH18" s="302"/>
      <c r="AI18" s="233"/>
      <c r="AJ18" s="306"/>
      <c r="AK18" s="306"/>
      <c r="AL18" s="306"/>
      <c r="AM18" s="230"/>
      <c r="AN18" s="230"/>
      <c r="AO18" s="230"/>
      <c r="AP18" s="230"/>
      <c r="AQ18" s="306"/>
      <c r="AR18" s="306"/>
      <c r="AS18" s="233" t="s">
        <v>36</v>
      </c>
      <c r="AT18" s="233" t="s">
        <v>37</v>
      </c>
      <c r="AU18" s="306"/>
      <c r="AV18" s="302"/>
      <c r="AW18" s="306"/>
      <c r="AX18" s="306"/>
      <c r="AY18" s="60" t="s">
        <v>43</v>
      </c>
    </row>
    <row r="19" spans="2:52" s="9" customFormat="1" ht="25.5" customHeight="1" x14ac:dyDescent="0.25">
      <c r="B19" s="290"/>
      <c r="C19" s="293"/>
      <c r="D19" s="296"/>
      <c r="E19" s="296"/>
      <c r="F19" s="296"/>
      <c r="G19" s="236"/>
      <c r="H19" s="236"/>
      <c r="I19" s="233" t="s">
        <v>12</v>
      </c>
      <c r="J19" s="233" t="s">
        <v>12</v>
      </c>
      <c r="K19" s="233" t="s">
        <v>12</v>
      </c>
      <c r="L19" s="233" t="s">
        <v>12</v>
      </c>
      <c r="M19" s="233" t="s">
        <v>12</v>
      </c>
      <c r="N19" s="233" t="s">
        <v>12</v>
      </c>
      <c r="O19" s="233" t="s">
        <v>12</v>
      </c>
      <c r="P19" s="233" t="s">
        <v>12</v>
      </c>
      <c r="Q19" s="233" t="s">
        <v>12</v>
      </c>
      <c r="R19" s="233" t="s">
        <v>12</v>
      </c>
      <c r="S19" s="233" t="s">
        <v>12</v>
      </c>
      <c r="T19" s="233" t="s">
        <v>12</v>
      </c>
      <c r="U19" s="233" t="s">
        <v>12</v>
      </c>
      <c r="V19" s="56" t="s">
        <v>14</v>
      </c>
      <c r="W19" s="233" t="s">
        <v>12</v>
      </c>
      <c r="X19" s="233" t="s">
        <v>12</v>
      </c>
      <c r="Y19" s="233" t="s">
        <v>12</v>
      </c>
      <c r="Z19" s="233" t="s">
        <v>12</v>
      </c>
      <c r="AA19" s="248" t="s">
        <v>12</v>
      </c>
      <c r="AB19" s="248" t="s">
        <v>12</v>
      </c>
      <c r="AC19" s="233" t="s">
        <v>12</v>
      </c>
      <c r="AD19" s="233" t="s">
        <v>12</v>
      </c>
      <c r="AE19" s="57"/>
      <c r="AF19" s="57"/>
      <c r="AG19" s="57" t="s">
        <v>12</v>
      </c>
      <c r="AH19" s="233" t="s">
        <v>12</v>
      </c>
      <c r="AI19" s="55"/>
      <c r="AJ19" s="55" t="s">
        <v>13</v>
      </c>
      <c r="AK19" s="55" t="s">
        <v>13</v>
      </c>
      <c r="AL19" s="55" t="s">
        <v>13</v>
      </c>
      <c r="AM19" s="55"/>
      <c r="AN19" s="55"/>
      <c r="AO19" s="55"/>
      <c r="AP19" s="55"/>
      <c r="AQ19" s="55" t="s">
        <v>13</v>
      </c>
      <c r="AR19" s="57" t="s">
        <v>13</v>
      </c>
      <c r="AS19" s="233" t="s">
        <v>12</v>
      </c>
      <c r="AT19" s="233" t="s">
        <v>12</v>
      </c>
      <c r="AU19" s="239" t="s">
        <v>12</v>
      </c>
      <c r="AV19" s="57" t="s">
        <v>14</v>
      </c>
      <c r="AW19" s="239"/>
      <c r="AX19" s="233"/>
      <c r="AY19" s="60"/>
    </row>
    <row r="20" spans="2:52" s="4" customFormat="1" ht="9.75" customHeight="1" x14ac:dyDescent="0.25">
      <c r="B20" s="27"/>
      <c r="C20" s="28"/>
      <c r="D20" s="28"/>
      <c r="E20" s="28"/>
      <c r="F20" s="28"/>
      <c r="G20" s="28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0"/>
      <c r="W20" s="31"/>
      <c r="X20" s="31"/>
      <c r="Y20" s="31"/>
      <c r="Z20" s="31"/>
      <c r="AA20" s="31"/>
      <c r="AB20" s="31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32"/>
      <c r="AR20" s="29"/>
      <c r="AS20" s="28"/>
      <c r="AT20" s="33"/>
      <c r="AU20" s="33"/>
      <c r="AV20" s="33"/>
      <c r="AW20" s="33"/>
      <c r="AX20" s="33"/>
      <c r="AY20" s="34"/>
    </row>
    <row r="21" spans="2:52" s="10" customFormat="1" ht="33" customHeight="1" x14ac:dyDescent="0.25">
      <c r="B21" s="384" t="str">
        <f>'MARCH 2026 - PMC '!B21:D21</f>
        <v>Beginning Stock as of as of  March 1, 2026</v>
      </c>
      <c r="C21" s="385"/>
      <c r="D21" s="386"/>
      <c r="E21" s="93"/>
      <c r="F21" s="93"/>
      <c r="G21" s="64"/>
      <c r="H21" s="64"/>
      <c r="I21" s="83" t="e">
        <f>#REF!</f>
        <v>#REF!</v>
      </c>
      <c r="J21" s="83" t="e">
        <f>#REF!</f>
        <v>#REF!</v>
      </c>
      <c r="K21" s="83" t="e">
        <f>#REF!</f>
        <v>#REF!</v>
      </c>
      <c r="L21" s="83" t="e">
        <f>#REF!</f>
        <v>#REF!</v>
      </c>
      <c r="M21" s="83" t="e">
        <f>#REF!</f>
        <v>#REF!</v>
      </c>
      <c r="N21" s="83" t="e">
        <f>#REF!</f>
        <v>#REF!</v>
      </c>
      <c r="O21" s="83" t="e">
        <f>#REF!</f>
        <v>#REF!</v>
      </c>
      <c r="P21" s="83" t="e">
        <f>#REF!</f>
        <v>#REF!</v>
      </c>
      <c r="Q21" s="83">
        <f>'FEBRUARY 2026- TIGERWAY'!Q31</f>
        <v>0</v>
      </c>
      <c r="R21" s="83">
        <f>'FEBRUARY 2026- TIGERWAY'!R31</f>
        <v>14014</v>
      </c>
      <c r="S21" s="83">
        <f>'FEBRUARY 2026- TIGERWAY'!S31</f>
        <v>15800</v>
      </c>
      <c r="T21" s="83">
        <f>'FEBRUARY 2026- TIGERWAY'!T31</f>
        <v>13206</v>
      </c>
      <c r="U21" s="83">
        <f>'FEBRUARY 2026- TIGERWAY'!U31</f>
        <v>0</v>
      </c>
      <c r="V21" s="83">
        <f>'FEBRUARY 2026- TIGERWAY'!V31</f>
        <v>1200</v>
      </c>
      <c r="W21" s="83">
        <f>'FEBRUARY 2026- TIGERWAY'!W31</f>
        <v>0</v>
      </c>
      <c r="X21" s="83">
        <f>'FEBRUARY 2026- TIGERWAY'!X31</f>
        <v>0</v>
      </c>
      <c r="Y21" s="83">
        <f>'FEBRUARY 2026- TIGERWAY'!Y31</f>
        <v>1826</v>
      </c>
      <c r="Z21" s="83">
        <f>'FEBRUARY 2026- TIGERWAY'!Z31</f>
        <v>9619</v>
      </c>
      <c r="AA21" s="83"/>
      <c r="AB21" s="83"/>
      <c r="AC21" s="83">
        <f>'FEBRUARY 2026- TIGERWAY'!AA31</f>
        <v>0</v>
      </c>
      <c r="AD21" s="83">
        <f>'FEBRUARY 2026- TIGERWAY'!AB31</f>
        <v>0</v>
      </c>
      <c r="AE21" s="83">
        <f>'FEBRUARY 2026- TIGERWAY'!AC31</f>
        <v>0</v>
      </c>
      <c r="AF21" s="83">
        <f>'FEBRUARY 2026- TIGERWAY'!AD31</f>
        <v>0</v>
      </c>
      <c r="AG21" s="83">
        <f>'FEBRUARY 2026- TIGERWAY'!AE31</f>
        <v>804</v>
      </c>
      <c r="AH21" s="83">
        <f>'FEBRUARY 2026- TIGERWAY'!AF31</f>
        <v>96</v>
      </c>
      <c r="AI21" s="83">
        <f>'FEBRUARY 2026- TIGERWAY'!AG31</f>
        <v>0</v>
      </c>
      <c r="AJ21" s="83">
        <f>'FEBRUARY 2026- TIGERWAY'!AH31</f>
        <v>0</v>
      </c>
      <c r="AK21" s="83">
        <f>'FEBRUARY 2026- TIGERWAY'!AI31</f>
        <v>856</v>
      </c>
      <c r="AL21" s="83">
        <f>'FEBRUARY 2026- TIGERWAY'!AJ31</f>
        <v>1500</v>
      </c>
      <c r="AM21" s="83">
        <f>'FEBRUARY 2026- TIGERWAY'!AK31</f>
        <v>0</v>
      </c>
      <c r="AN21" s="83">
        <f>'FEBRUARY 2026- TIGERWAY'!AL31</f>
        <v>0</v>
      </c>
      <c r="AO21" s="83">
        <f>'FEBRUARY 2026- TIGERWAY'!AM31</f>
        <v>0</v>
      </c>
      <c r="AP21" s="83">
        <f>'FEBRUARY 2026- TIGERWAY'!AN31</f>
        <v>0</v>
      </c>
      <c r="AQ21" s="83">
        <f>'FEBRUARY 2026- TIGERWAY'!AO31</f>
        <v>1297</v>
      </c>
      <c r="AR21" s="83">
        <f>'FEBRUARY 2026- TIGERWAY'!AP31</f>
        <v>0</v>
      </c>
      <c r="AS21" s="83">
        <f>'FEBRUARY 2026- TIGERWAY'!AQ31</f>
        <v>0</v>
      </c>
      <c r="AT21" s="83">
        <f>'FEBRUARY 2026- TIGERWAY'!AR31</f>
        <v>0</v>
      </c>
      <c r="AU21" s="83">
        <f>'FEBRUARY 2026- TIGERWAY'!AS31</f>
        <v>0</v>
      </c>
      <c r="AV21" s="83" t="e">
        <f>#REF!</f>
        <v>#REF!</v>
      </c>
      <c r="AW21" s="83" t="e">
        <f>#REF!</f>
        <v>#REF!</v>
      </c>
      <c r="AX21" s="83" t="e">
        <f>#REF!</f>
        <v>#REF!</v>
      </c>
      <c r="AY21" s="35"/>
    </row>
    <row r="22" spans="2:52" s="10" customFormat="1" ht="5.25" customHeight="1" x14ac:dyDescent="0.25">
      <c r="B22" s="94"/>
      <c r="C22" s="95"/>
      <c r="D22" s="95"/>
      <c r="E22" s="96"/>
      <c r="F22" s="96"/>
      <c r="G22" s="38"/>
      <c r="H22" s="38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5"/>
      <c r="W22" s="86"/>
      <c r="X22" s="86"/>
      <c r="Y22" s="86"/>
      <c r="Z22" s="86"/>
      <c r="AA22" s="86"/>
      <c r="AB22" s="86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5"/>
      <c r="AR22" s="84"/>
      <c r="AS22" s="85"/>
      <c r="AT22" s="85"/>
      <c r="AU22" s="85"/>
      <c r="AV22" s="43"/>
      <c r="AW22" s="43"/>
      <c r="AX22" s="45"/>
      <c r="AY22" s="35"/>
    </row>
    <row r="23" spans="2:52" s="14" customFormat="1" ht="35.25" customHeight="1" x14ac:dyDescent="0.25">
      <c r="B23" s="110"/>
      <c r="C23" s="111">
        <v>46298</v>
      </c>
      <c r="D23" s="112" t="s">
        <v>31</v>
      </c>
      <c r="E23" s="112" t="s">
        <v>32</v>
      </c>
      <c r="F23" s="112" t="s">
        <v>61</v>
      </c>
      <c r="G23" s="112"/>
      <c r="H23" s="112"/>
      <c r="I23" s="43"/>
      <c r="J23" s="43"/>
      <c r="K23" s="43"/>
      <c r="L23" s="43"/>
      <c r="M23" s="43"/>
      <c r="N23" s="43"/>
      <c r="O23" s="43">
        <f>235*36</f>
        <v>8460</v>
      </c>
      <c r="P23" s="43"/>
      <c r="Q23" s="43"/>
      <c r="R23" s="43">
        <f>91*70</f>
        <v>6370</v>
      </c>
      <c r="S23" s="43"/>
      <c r="T23" s="43">
        <f>230*93</f>
        <v>21390</v>
      </c>
      <c r="U23" s="43"/>
      <c r="V23" s="67"/>
      <c r="W23" s="70"/>
      <c r="X23" s="70"/>
      <c r="Y23" s="70"/>
      <c r="Z23" s="70"/>
      <c r="AA23" s="70">
        <v>210</v>
      </c>
      <c r="AB23" s="70">
        <v>210</v>
      </c>
      <c r="AC23" s="43"/>
      <c r="AD23" s="43"/>
      <c r="AE23" s="43"/>
      <c r="AF23" s="43"/>
      <c r="AG23" s="67"/>
      <c r="AH23" s="43"/>
      <c r="AI23" s="43"/>
      <c r="AJ23" s="43">
        <v>10000</v>
      </c>
      <c r="AK23" s="43"/>
      <c r="AL23" s="43">
        <v>3000</v>
      </c>
      <c r="AM23" s="43"/>
      <c r="AN23" s="43"/>
      <c r="AO23" s="43"/>
      <c r="AP23" s="43"/>
      <c r="AQ23" s="68"/>
      <c r="AR23" s="71"/>
      <c r="AS23" s="44"/>
      <c r="AT23" s="44"/>
      <c r="AU23" s="44"/>
      <c r="AV23" s="43"/>
      <c r="AW23" s="43"/>
      <c r="AX23" s="45"/>
      <c r="AY23" s="113" t="s">
        <v>40</v>
      </c>
    </row>
    <row r="24" spans="2:52" s="14" customFormat="1" ht="42.75" customHeight="1" x14ac:dyDescent="0.25">
      <c r="B24" s="97"/>
      <c r="C24" s="111" t="s">
        <v>165</v>
      </c>
      <c r="D24" s="98" t="s">
        <v>31</v>
      </c>
      <c r="E24" s="98" t="s">
        <v>32</v>
      </c>
      <c r="F24" s="98" t="s">
        <v>61</v>
      </c>
      <c r="G24" s="42"/>
      <c r="H24" s="42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9">
        <f>80*25</f>
        <v>2000</v>
      </c>
      <c r="W24" s="88"/>
      <c r="X24" s="88"/>
      <c r="Y24" s="88"/>
      <c r="Z24" s="88"/>
      <c r="AA24" s="88"/>
      <c r="AB24" s="88"/>
      <c r="AC24" s="84"/>
      <c r="AD24" s="84"/>
      <c r="AE24" s="84"/>
      <c r="AF24" s="84"/>
      <c r="AG24" s="89"/>
      <c r="AH24" s="84"/>
      <c r="AI24" s="84"/>
      <c r="AJ24" s="84"/>
      <c r="AK24" s="84"/>
      <c r="AL24" s="84"/>
      <c r="AM24" s="84"/>
      <c r="AN24" s="84"/>
      <c r="AO24" s="84"/>
      <c r="AP24" s="84"/>
      <c r="AQ24" s="87"/>
      <c r="AR24" s="90"/>
      <c r="AS24" s="85"/>
      <c r="AT24" s="85"/>
      <c r="AU24" s="85"/>
      <c r="AV24" s="48"/>
      <c r="AW24" s="48"/>
      <c r="AX24" s="49"/>
      <c r="AY24" s="113" t="s">
        <v>40</v>
      </c>
      <c r="AZ24" s="13"/>
    </row>
    <row r="25" spans="2:52" s="14" customFormat="1" ht="30" hidden="1" customHeight="1" x14ac:dyDescent="0.25">
      <c r="B25" s="97"/>
      <c r="C25" s="111"/>
      <c r="D25" s="98" t="s">
        <v>31</v>
      </c>
      <c r="E25" s="98" t="s">
        <v>32</v>
      </c>
      <c r="F25" s="98" t="s">
        <v>61</v>
      </c>
      <c r="G25" s="42"/>
      <c r="H25" s="42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7"/>
      <c r="W25" s="88"/>
      <c r="X25" s="88"/>
      <c r="Y25" s="88"/>
      <c r="Z25" s="88"/>
      <c r="AA25" s="88"/>
      <c r="AB25" s="88"/>
      <c r="AC25" s="84"/>
      <c r="AD25" s="84"/>
      <c r="AE25" s="84"/>
      <c r="AF25" s="84"/>
      <c r="AG25" s="89"/>
      <c r="AH25" s="84"/>
      <c r="AI25" s="84"/>
      <c r="AJ25" s="84"/>
      <c r="AK25" s="84"/>
      <c r="AL25" s="84"/>
      <c r="AM25" s="84"/>
      <c r="AN25" s="84"/>
      <c r="AO25" s="84"/>
      <c r="AP25" s="84"/>
      <c r="AQ25" s="87"/>
      <c r="AR25" s="90"/>
      <c r="AS25" s="85"/>
      <c r="AT25" s="85"/>
      <c r="AU25" s="85"/>
      <c r="AV25" s="48"/>
      <c r="AW25" s="48"/>
      <c r="AX25" s="49"/>
      <c r="AY25" s="113" t="s">
        <v>40</v>
      </c>
      <c r="AZ25" s="13"/>
    </row>
    <row r="26" spans="2:52" s="10" customFormat="1" ht="34.5" customHeight="1" x14ac:dyDescent="0.25">
      <c r="B26" s="99" t="s">
        <v>34</v>
      </c>
      <c r="C26" s="100"/>
      <c r="D26" s="98"/>
      <c r="E26" s="98"/>
      <c r="F26" s="98"/>
      <c r="G26" s="42"/>
      <c r="H26" s="42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7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5"/>
      <c r="AR26" s="84"/>
      <c r="AS26" s="85"/>
      <c r="AT26" s="85"/>
      <c r="AU26" s="85"/>
      <c r="AV26" s="48"/>
      <c r="AW26" s="48"/>
      <c r="AX26" s="49"/>
      <c r="AY26" s="78"/>
      <c r="AZ26" s="2"/>
    </row>
    <row r="27" spans="2:52" s="10" customFormat="1" ht="34.5" customHeight="1" x14ac:dyDescent="0.25">
      <c r="B27" s="99" t="s">
        <v>35</v>
      </c>
      <c r="C27" s="98"/>
      <c r="D27" s="96"/>
      <c r="E27" s="96"/>
      <c r="F27" s="96"/>
      <c r="G27" s="38"/>
      <c r="H27" s="38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5"/>
      <c r="W27" s="85"/>
      <c r="X27" s="85"/>
      <c r="Y27" s="85"/>
      <c r="Z27" s="85"/>
      <c r="AA27" s="85"/>
      <c r="AB27" s="85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5"/>
      <c r="AR27" s="84"/>
      <c r="AS27" s="85"/>
      <c r="AT27" s="85"/>
      <c r="AU27" s="85"/>
      <c r="AV27" s="43"/>
      <c r="AW27" s="43"/>
      <c r="AX27" s="45"/>
      <c r="AY27" s="35"/>
      <c r="AZ27" s="2"/>
    </row>
    <row r="28" spans="2:52" s="14" customFormat="1" ht="33.75" customHeight="1" x14ac:dyDescent="0.25">
      <c r="B28" s="105" t="s">
        <v>17</v>
      </c>
      <c r="C28" s="106"/>
      <c r="D28" s="102"/>
      <c r="E28" s="102"/>
      <c r="F28" s="102"/>
      <c r="G28" s="104"/>
      <c r="H28" s="104"/>
      <c r="I28" s="83" t="e">
        <f t="shared" ref="I28:AD28" si="0">SUM(I21:I27)</f>
        <v>#REF!</v>
      </c>
      <c r="J28" s="83" t="e">
        <f t="shared" si="0"/>
        <v>#REF!</v>
      </c>
      <c r="K28" s="83" t="e">
        <f t="shared" si="0"/>
        <v>#REF!</v>
      </c>
      <c r="L28" s="83" t="e">
        <f t="shared" si="0"/>
        <v>#REF!</v>
      </c>
      <c r="M28" s="83" t="e">
        <f t="shared" si="0"/>
        <v>#REF!</v>
      </c>
      <c r="N28" s="83" t="e">
        <f t="shared" si="0"/>
        <v>#REF!</v>
      </c>
      <c r="O28" s="83" t="e">
        <f t="shared" si="0"/>
        <v>#REF!</v>
      </c>
      <c r="P28" s="83" t="e">
        <f t="shared" si="0"/>
        <v>#REF!</v>
      </c>
      <c r="Q28" s="83">
        <f t="shared" si="0"/>
        <v>0</v>
      </c>
      <c r="R28" s="83">
        <f t="shared" si="0"/>
        <v>20384</v>
      </c>
      <c r="S28" s="83">
        <f t="shared" si="0"/>
        <v>15800</v>
      </c>
      <c r="T28" s="83">
        <f t="shared" si="0"/>
        <v>34596</v>
      </c>
      <c r="U28" s="83">
        <f t="shared" si="0"/>
        <v>0</v>
      </c>
      <c r="V28" s="83">
        <f t="shared" si="0"/>
        <v>3200</v>
      </c>
      <c r="W28" s="83">
        <f t="shared" si="0"/>
        <v>0</v>
      </c>
      <c r="X28" s="83">
        <f t="shared" si="0"/>
        <v>0</v>
      </c>
      <c r="Y28" s="83">
        <f t="shared" si="0"/>
        <v>1826</v>
      </c>
      <c r="Z28" s="83">
        <f t="shared" si="0"/>
        <v>9619</v>
      </c>
      <c r="AA28" s="83">
        <f t="shared" si="0"/>
        <v>210</v>
      </c>
      <c r="AB28" s="83">
        <f t="shared" si="0"/>
        <v>210</v>
      </c>
      <c r="AC28" s="83">
        <f t="shared" si="0"/>
        <v>0</v>
      </c>
      <c r="AD28" s="83">
        <f t="shared" si="0"/>
        <v>0</v>
      </c>
      <c r="AE28" s="83"/>
      <c r="AF28" s="83"/>
      <c r="AG28" s="83">
        <f>SUM(AG21:AG27)</f>
        <v>804</v>
      </c>
      <c r="AH28" s="83">
        <f>SUM(AH21:AH27)</f>
        <v>96</v>
      </c>
      <c r="AI28" s="83"/>
      <c r="AJ28" s="83">
        <f>SUM(AJ21:AJ27)</f>
        <v>10000</v>
      </c>
      <c r="AK28" s="83">
        <f>SUM(AK21:AK27)</f>
        <v>856</v>
      </c>
      <c r="AL28" s="83">
        <f>SUM(AL21:AL27)</f>
        <v>4500</v>
      </c>
      <c r="AM28" s="83"/>
      <c r="AN28" s="83"/>
      <c r="AO28" s="83"/>
      <c r="AP28" s="83"/>
      <c r="AQ28" s="83">
        <f t="shared" ref="AQ28:AX28" si="1">SUM(AQ21:AQ27)</f>
        <v>1297</v>
      </c>
      <c r="AR28" s="83">
        <f t="shared" si="1"/>
        <v>0</v>
      </c>
      <c r="AS28" s="83">
        <f t="shared" si="1"/>
        <v>0</v>
      </c>
      <c r="AT28" s="83">
        <f t="shared" si="1"/>
        <v>0</v>
      </c>
      <c r="AU28" s="83">
        <f t="shared" si="1"/>
        <v>0</v>
      </c>
      <c r="AV28" s="53" t="e">
        <f t="shared" si="1"/>
        <v>#REF!</v>
      </c>
      <c r="AW28" s="53" t="e">
        <f t="shared" si="1"/>
        <v>#REF!</v>
      </c>
      <c r="AX28" s="53" t="e">
        <f t="shared" si="1"/>
        <v>#REF!</v>
      </c>
      <c r="AY28" s="36"/>
      <c r="AZ28" s="13"/>
    </row>
    <row r="29" spans="2:52" s="14" customFormat="1" ht="29.25" customHeight="1" x14ac:dyDescent="0.25">
      <c r="B29" s="387" t="s">
        <v>18</v>
      </c>
      <c r="C29" s="388"/>
      <c r="D29" s="85"/>
      <c r="E29" s="85"/>
      <c r="F29" s="85"/>
      <c r="G29" s="39"/>
      <c r="H29" s="39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5"/>
      <c r="W29" s="85"/>
      <c r="X29" s="85"/>
      <c r="Y29" s="85"/>
      <c r="Z29" s="85"/>
      <c r="AA29" s="85"/>
      <c r="AB29" s="85"/>
      <c r="AC29" s="84"/>
      <c r="AD29" s="84"/>
      <c r="AE29" s="84"/>
      <c r="AF29" s="84"/>
      <c r="AG29" s="84"/>
      <c r="AH29" s="85"/>
      <c r="AI29" s="85"/>
      <c r="AJ29" s="84"/>
      <c r="AK29" s="84"/>
      <c r="AL29" s="84"/>
      <c r="AM29" s="84"/>
      <c r="AN29" s="84"/>
      <c r="AO29" s="84"/>
      <c r="AP29" s="84"/>
      <c r="AQ29" s="85"/>
      <c r="AR29" s="84"/>
      <c r="AS29" s="85"/>
      <c r="AT29" s="85"/>
      <c r="AU29" s="85"/>
      <c r="AV29" s="26"/>
      <c r="AW29" s="26"/>
      <c r="AX29" s="49"/>
      <c r="AY29" s="36"/>
      <c r="AZ29" s="13"/>
    </row>
    <row r="30" spans="2:52" s="14" customFormat="1" ht="93.75" customHeight="1" x14ac:dyDescent="0.25">
      <c r="B30" s="389" t="s">
        <v>83</v>
      </c>
      <c r="C30" s="390"/>
      <c r="D30" s="391" t="s">
        <v>93</v>
      </c>
      <c r="E30" s="392"/>
      <c r="F30" s="393"/>
      <c r="G30" s="79"/>
      <c r="H30" s="79"/>
      <c r="I30" s="91">
        <v>0</v>
      </c>
      <c r="J30" s="91" t="e">
        <f>SUM(J26:J29)</f>
        <v>#REF!</v>
      </c>
      <c r="K30" s="91" t="e">
        <f>SUM(K26:K29)</f>
        <v>#REF!</v>
      </c>
      <c r="L30" s="91" t="e">
        <f>SUM(L26:L29)</f>
        <v>#REF!</v>
      </c>
      <c r="M30" s="91" t="e">
        <f>SUM(M26:M29)</f>
        <v>#REF!</v>
      </c>
      <c r="N30" s="91"/>
      <c r="O30" s="91">
        <f>350*36</f>
        <v>12600</v>
      </c>
      <c r="P30" s="91"/>
      <c r="Q30" s="91"/>
      <c r="R30" s="91">
        <v>637</v>
      </c>
      <c r="S30" s="91">
        <v>0</v>
      </c>
      <c r="T30" s="91">
        <v>14880</v>
      </c>
      <c r="U30" s="91"/>
      <c r="V30" s="91">
        <v>2325</v>
      </c>
      <c r="W30" s="91"/>
      <c r="X30" s="91"/>
      <c r="Y30" s="91">
        <v>0</v>
      </c>
      <c r="Z30" s="91">
        <v>1820</v>
      </c>
      <c r="AA30" s="91">
        <v>210</v>
      </c>
      <c r="AB30" s="91">
        <v>10</v>
      </c>
      <c r="AC30" s="91"/>
      <c r="AD30" s="91"/>
      <c r="AE30" s="91"/>
      <c r="AF30" s="91"/>
      <c r="AG30" s="91">
        <v>166</v>
      </c>
      <c r="AH30" s="91">
        <v>0</v>
      </c>
      <c r="AI30" s="91"/>
      <c r="AJ30" s="91">
        <v>145</v>
      </c>
      <c r="AK30" s="91">
        <v>856</v>
      </c>
      <c r="AL30" s="91">
        <v>1200</v>
      </c>
      <c r="AM30" s="91"/>
      <c r="AN30" s="91"/>
      <c r="AO30" s="91"/>
      <c r="AP30" s="91"/>
      <c r="AQ30" s="91">
        <v>239</v>
      </c>
      <c r="AR30" s="91"/>
      <c r="AS30" s="91"/>
      <c r="AT30" s="91"/>
      <c r="AU30" s="91"/>
      <c r="AV30" s="81"/>
      <c r="AW30" s="81"/>
      <c r="AX30" s="81"/>
      <c r="AY30" s="36"/>
      <c r="AZ30" s="13"/>
    </row>
    <row r="31" spans="2:52" s="14" customFormat="1" ht="45.75" customHeight="1" thickBot="1" x14ac:dyDescent="0.3">
      <c r="B31" s="394" t="str">
        <f>'MARCH 2026 - PMC '!B38</f>
        <v>Remaining Stock as of March 31,2026</v>
      </c>
      <c r="C31" s="395"/>
      <c r="D31" s="396"/>
      <c r="E31" s="101"/>
      <c r="F31" s="101"/>
      <c r="G31" s="63"/>
      <c r="H31" s="63"/>
      <c r="I31" s="92" t="e">
        <f t="shared" ref="I31:AX31" si="2">I28-I30</f>
        <v>#REF!</v>
      </c>
      <c r="J31" s="92" t="e">
        <f t="shared" si="2"/>
        <v>#REF!</v>
      </c>
      <c r="K31" s="92" t="e">
        <f t="shared" si="2"/>
        <v>#REF!</v>
      </c>
      <c r="L31" s="92" t="e">
        <f t="shared" si="2"/>
        <v>#REF!</v>
      </c>
      <c r="M31" s="92" t="e">
        <f t="shared" si="2"/>
        <v>#REF!</v>
      </c>
      <c r="N31" s="92" t="e">
        <f>N28-N30</f>
        <v>#REF!</v>
      </c>
      <c r="O31" s="92" t="e">
        <f t="shared" ref="O31:U31" si="3">O28-O30</f>
        <v>#REF!</v>
      </c>
      <c r="P31" s="92" t="e">
        <f t="shared" si="3"/>
        <v>#REF!</v>
      </c>
      <c r="Q31" s="92">
        <f>Q28-Q30</f>
        <v>0</v>
      </c>
      <c r="R31" s="92">
        <f t="shared" ref="R31:S31" si="4">R28-R30</f>
        <v>19747</v>
      </c>
      <c r="S31" s="92">
        <f t="shared" si="4"/>
        <v>15800</v>
      </c>
      <c r="T31" s="92">
        <f t="shared" si="3"/>
        <v>19716</v>
      </c>
      <c r="U31" s="92">
        <f t="shared" si="3"/>
        <v>0</v>
      </c>
      <c r="V31" s="92">
        <f t="shared" si="2"/>
        <v>875</v>
      </c>
      <c r="W31" s="92">
        <f t="shared" si="2"/>
        <v>0</v>
      </c>
      <c r="X31" s="92">
        <f t="shared" si="2"/>
        <v>0</v>
      </c>
      <c r="Y31" s="92">
        <f t="shared" si="2"/>
        <v>1826</v>
      </c>
      <c r="Z31" s="92">
        <f t="shared" si="2"/>
        <v>7799</v>
      </c>
      <c r="AA31" s="92">
        <f t="shared" si="2"/>
        <v>0</v>
      </c>
      <c r="AB31" s="92">
        <f>AB28-AB30</f>
        <v>200</v>
      </c>
      <c r="AC31" s="92">
        <f t="shared" si="2"/>
        <v>0</v>
      </c>
      <c r="AD31" s="92">
        <f t="shared" si="2"/>
        <v>0</v>
      </c>
      <c r="AE31" s="92"/>
      <c r="AF31" s="92"/>
      <c r="AG31" s="92">
        <f t="shared" si="2"/>
        <v>638</v>
      </c>
      <c r="AH31" s="92">
        <f t="shared" si="2"/>
        <v>96</v>
      </c>
      <c r="AI31" s="92"/>
      <c r="AJ31" s="92">
        <f t="shared" si="2"/>
        <v>9855</v>
      </c>
      <c r="AK31" s="92">
        <f t="shared" si="2"/>
        <v>0</v>
      </c>
      <c r="AL31" s="92">
        <f t="shared" si="2"/>
        <v>3300</v>
      </c>
      <c r="AM31" s="92"/>
      <c r="AN31" s="92"/>
      <c r="AO31" s="92"/>
      <c r="AP31" s="92"/>
      <c r="AQ31" s="92">
        <f t="shared" si="2"/>
        <v>1058</v>
      </c>
      <c r="AR31" s="92">
        <f t="shared" si="2"/>
        <v>0</v>
      </c>
      <c r="AS31" s="92">
        <f t="shared" si="2"/>
        <v>0</v>
      </c>
      <c r="AT31" s="92">
        <f t="shared" si="2"/>
        <v>0</v>
      </c>
      <c r="AU31" s="92">
        <f t="shared" si="2"/>
        <v>0</v>
      </c>
      <c r="AV31" s="54" t="e">
        <f t="shared" si="2"/>
        <v>#REF!</v>
      </c>
      <c r="AW31" s="54" t="e">
        <f t="shared" si="2"/>
        <v>#REF!</v>
      </c>
      <c r="AX31" s="54" t="e">
        <f t="shared" si="2"/>
        <v>#REF!</v>
      </c>
      <c r="AY31" s="37"/>
    </row>
    <row r="32" spans="2:52" ht="26.25" customHeight="1" x14ac:dyDescent="0.3">
      <c r="V32" s="17"/>
      <c r="W32" s="17"/>
      <c r="X32" s="17"/>
      <c r="Y32" s="17"/>
      <c r="Z32" s="17"/>
      <c r="AA32" s="17"/>
      <c r="AB32" s="17"/>
      <c r="AC32" s="17"/>
      <c r="AL32" s="18"/>
      <c r="AM32" s="18"/>
      <c r="AN32" s="18"/>
      <c r="AO32" s="18"/>
      <c r="AP32" s="18"/>
      <c r="AQ32" s="19"/>
    </row>
    <row r="33" spans="2:52" ht="9" customHeight="1" x14ac:dyDescent="0.3">
      <c r="J33" s="20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21"/>
      <c r="AQ33" s="19"/>
      <c r="AR33" s="21"/>
    </row>
    <row r="34" spans="2:52" ht="9" customHeight="1" x14ac:dyDescent="0.3">
      <c r="J34" s="20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21"/>
      <c r="AQ34" s="19"/>
      <c r="AR34" s="21"/>
    </row>
    <row r="35" spans="2:52" ht="9" customHeight="1" x14ac:dyDescent="0.3">
      <c r="J35" s="20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21"/>
      <c r="AQ35" s="19"/>
      <c r="AR35" s="21"/>
    </row>
    <row r="36" spans="2:52" s="2" customFormat="1" ht="30" customHeight="1" x14ac:dyDescent="0.25">
      <c r="B36" s="226"/>
      <c r="C36" s="226" t="s">
        <v>45</v>
      </c>
      <c r="D36" s="226"/>
      <c r="E36" s="226"/>
      <c r="F36" s="226" t="s">
        <v>116</v>
      </c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40"/>
      <c r="R36" s="240"/>
      <c r="S36" s="227" t="s">
        <v>54</v>
      </c>
      <c r="T36" s="117"/>
      <c r="U36" s="117"/>
      <c r="V36" s="117"/>
      <c r="W36" s="227"/>
      <c r="X36" s="227"/>
      <c r="Y36" s="227"/>
      <c r="Z36" s="118"/>
      <c r="AA36" s="246" t="s">
        <v>168</v>
      </c>
      <c r="AB36" s="117"/>
      <c r="AC36" s="246" t="s">
        <v>90</v>
      </c>
      <c r="AD36" s="117"/>
      <c r="AE36" s="246"/>
      <c r="AF36" s="246"/>
      <c r="AG36" s="117"/>
      <c r="AH36" s="246"/>
      <c r="AI36" s="227"/>
      <c r="AJ36" s="109"/>
      <c r="AK36" s="226" t="s">
        <v>20</v>
      </c>
      <c r="AS36" s="226"/>
      <c r="AT36" s="226" t="s">
        <v>20</v>
      </c>
      <c r="AU36" s="226"/>
      <c r="AV36" s="226"/>
      <c r="AW36" s="226"/>
      <c r="AX36" s="226"/>
      <c r="AY36" s="226"/>
      <c r="AZ36" s="226"/>
    </row>
    <row r="37" spans="2:52" s="2" customFormat="1" ht="30" customHeight="1" x14ac:dyDescent="0.25">
      <c r="B37" s="226"/>
      <c r="C37" s="367" t="s">
        <v>38</v>
      </c>
      <c r="D37" s="367"/>
      <c r="E37" s="367"/>
      <c r="F37" s="367"/>
      <c r="G37" s="367"/>
      <c r="H37" s="367"/>
      <c r="I37" s="226"/>
      <c r="J37" s="22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45"/>
      <c r="AB37" s="245"/>
      <c r="AC37" s="226"/>
      <c r="AD37" s="226"/>
      <c r="AE37" s="226"/>
      <c r="AF37" s="226"/>
      <c r="AG37" s="226"/>
      <c r="AH37" s="226"/>
      <c r="AI37" s="226"/>
      <c r="AJ37" s="226"/>
      <c r="AK37" s="226"/>
      <c r="AS37" s="226"/>
      <c r="AT37" s="226"/>
      <c r="AU37" s="226"/>
      <c r="AV37" s="226"/>
      <c r="AW37" s="226"/>
      <c r="AX37" s="226"/>
      <c r="AY37" s="226"/>
      <c r="AZ37" s="226"/>
    </row>
    <row r="38" spans="2:52" s="2" customFormat="1" ht="30" customHeight="1" x14ac:dyDescent="0.25">
      <c r="B38" s="226"/>
      <c r="C38" s="226"/>
      <c r="D38" s="226"/>
      <c r="E38" s="226"/>
      <c r="F38" s="226"/>
      <c r="G38" s="226"/>
      <c r="H38" s="226"/>
      <c r="I38" s="226"/>
      <c r="J38" s="22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45"/>
      <c r="AB38" s="245"/>
      <c r="AC38" s="226"/>
      <c r="AD38" s="226"/>
      <c r="AE38" s="226"/>
      <c r="AF38" s="226"/>
      <c r="AG38" s="226"/>
      <c r="AH38" s="226"/>
      <c r="AI38" s="226"/>
      <c r="AJ38" s="226"/>
      <c r="AK38" s="226"/>
      <c r="AS38" s="226"/>
      <c r="AT38" s="226"/>
      <c r="AU38" s="226"/>
      <c r="AV38" s="226"/>
      <c r="AW38" s="226"/>
      <c r="AX38" s="226"/>
      <c r="AY38" s="226"/>
      <c r="AZ38" s="226"/>
    </row>
    <row r="39" spans="2:52" s="2" customFormat="1" ht="30" customHeight="1" x14ac:dyDescent="0.25">
      <c r="B39" s="226"/>
      <c r="C39" s="226" t="s">
        <v>21</v>
      </c>
      <c r="D39" s="227"/>
      <c r="E39" s="226"/>
      <c r="F39" s="226" t="s">
        <v>112</v>
      </c>
      <c r="G39" s="226"/>
      <c r="H39" s="226"/>
      <c r="I39" s="226"/>
      <c r="J39" s="227"/>
      <c r="K39" s="226"/>
      <c r="L39" s="226"/>
      <c r="M39" s="226"/>
      <c r="N39" s="226"/>
      <c r="O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45"/>
      <c r="AB39" s="245"/>
      <c r="AC39" s="226"/>
      <c r="AD39" s="226"/>
      <c r="AE39" s="226"/>
      <c r="AF39" s="226"/>
      <c r="AG39" s="226"/>
      <c r="AH39" s="226"/>
      <c r="AI39" s="226"/>
      <c r="AJ39" s="226"/>
      <c r="AK39" s="178" t="s">
        <v>108</v>
      </c>
      <c r="AL39" s="117"/>
      <c r="AM39" s="117"/>
      <c r="AN39" s="117"/>
      <c r="AO39" s="117"/>
      <c r="AP39" s="117"/>
      <c r="AQ39" s="117"/>
      <c r="AR39" s="117"/>
      <c r="AS39" s="227"/>
      <c r="AT39" s="227"/>
      <c r="AU39" s="227"/>
      <c r="AV39" s="227"/>
      <c r="AW39" s="227"/>
      <c r="AX39" s="227"/>
      <c r="AY39" s="109"/>
      <c r="AZ39" s="226"/>
    </row>
    <row r="40" spans="2:52" s="2" customFormat="1" ht="30" customHeight="1" x14ac:dyDescent="0.25">
      <c r="B40" s="226"/>
      <c r="C40" s="226" t="s">
        <v>22</v>
      </c>
      <c r="D40" s="23"/>
      <c r="E40" s="226"/>
      <c r="F40" s="226" t="s">
        <v>113</v>
      </c>
      <c r="G40" s="226"/>
      <c r="H40" s="226"/>
      <c r="I40" s="226"/>
      <c r="J40" s="226"/>
      <c r="K40" s="226"/>
      <c r="L40" s="226"/>
      <c r="M40" s="226"/>
      <c r="N40" s="226"/>
      <c r="O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45"/>
      <c r="AB40" s="245"/>
      <c r="AC40" s="226"/>
      <c r="AD40" s="226"/>
      <c r="AE40" s="226"/>
      <c r="AF40" s="226"/>
      <c r="AG40" s="226"/>
      <c r="AH40" s="226"/>
      <c r="AI40" s="226"/>
      <c r="AJ40" s="226"/>
      <c r="AK40" s="176" t="s">
        <v>123</v>
      </c>
      <c r="AS40" s="226"/>
      <c r="AT40" s="226"/>
      <c r="AU40" s="226"/>
      <c r="AV40" s="226"/>
      <c r="AW40" s="226"/>
      <c r="AX40" s="226"/>
      <c r="AY40" s="226"/>
      <c r="AZ40" s="226"/>
    </row>
    <row r="41" spans="2:52" s="2" customFormat="1" ht="30" customHeight="1" x14ac:dyDescent="0.25">
      <c r="B41" s="226"/>
      <c r="C41" s="226" t="s">
        <v>23</v>
      </c>
      <c r="D41" s="23"/>
      <c r="E41" s="226"/>
      <c r="F41" s="226" t="s">
        <v>114</v>
      </c>
      <c r="G41" s="226"/>
      <c r="H41" s="226"/>
      <c r="I41" s="226"/>
      <c r="J41" s="226"/>
      <c r="K41" s="226"/>
      <c r="L41" s="226"/>
      <c r="M41" s="226"/>
      <c r="N41" s="226"/>
      <c r="O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45"/>
      <c r="AB41" s="245"/>
      <c r="AC41" s="226"/>
      <c r="AD41" s="226"/>
      <c r="AE41" s="226"/>
      <c r="AF41" s="226"/>
      <c r="AG41" s="226"/>
      <c r="AH41" s="226"/>
      <c r="AI41" s="226"/>
      <c r="AJ41" s="226"/>
      <c r="AK41" s="176" t="s">
        <v>109</v>
      </c>
      <c r="AS41" s="226"/>
      <c r="AT41" s="226"/>
      <c r="AU41" s="226"/>
      <c r="AV41" s="226"/>
      <c r="AW41" s="226"/>
      <c r="AX41" s="226"/>
      <c r="AY41" s="226"/>
      <c r="AZ41" s="226"/>
    </row>
    <row r="42" spans="2:52" s="2" customFormat="1" ht="30" customHeight="1" x14ac:dyDescent="0.25">
      <c r="B42" s="226"/>
      <c r="C42" s="226" t="s">
        <v>24</v>
      </c>
      <c r="D42" s="23"/>
      <c r="E42" s="226"/>
      <c r="F42" s="226" t="s">
        <v>115</v>
      </c>
      <c r="G42" s="226"/>
      <c r="H42" s="226"/>
      <c r="I42" s="226"/>
      <c r="J42" s="226"/>
      <c r="K42" s="226"/>
      <c r="L42" s="226"/>
      <c r="M42" s="226"/>
      <c r="N42" s="226"/>
      <c r="O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45"/>
      <c r="AB42" s="245"/>
      <c r="AC42" s="226"/>
      <c r="AD42" s="226"/>
      <c r="AE42" s="226"/>
      <c r="AF42" s="226"/>
      <c r="AG42" s="226"/>
      <c r="AH42" s="226"/>
      <c r="AI42" s="226"/>
      <c r="AJ42" s="226"/>
      <c r="AK42" s="176" t="s">
        <v>122</v>
      </c>
      <c r="AS42" s="226"/>
      <c r="AT42" s="226"/>
      <c r="AU42" s="226"/>
      <c r="AV42" s="226"/>
      <c r="AW42" s="226"/>
      <c r="AX42" s="226"/>
      <c r="AY42" s="226"/>
      <c r="AZ42" s="226"/>
    </row>
    <row r="43" spans="2:52" s="2" customFormat="1" ht="30" customHeight="1" x14ac:dyDescent="0.25">
      <c r="AQ43" s="226"/>
    </row>
    <row r="44" spans="2:52" s="114" customFormat="1" ht="30" customHeight="1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Q44" s="107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2:52" s="114" customFormat="1" ht="24.95" customHeight="1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2:52" ht="24.95" customHeight="1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</row>
    <row r="47" spans="2:52" s="25" customFormat="1" ht="20.25" x14ac:dyDescent="0.3"/>
    <row r="48" spans="2:52" s="25" customFormat="1" ht="20.25" x14ac:dyDescent="0.3"/>
    <row r="49" s="25" customFormat="1" ht="20.25" x14ac:dyDescent="0.3"/>
    <row r="50" s="25" customFormat="1" ht="20.25" x14ac:dyDescent="0.3"/>
    <row r="51" s="25" customFormat="1" ht="20.25" x14ac:dyDescent="0.3"/>
    <row r="52" s="25" customFormat="1" ht="20.25" x14ac:dyDescent="0.3"/>
    <row r="53" s="25" customFormat="1" ht="20.25" x14ac:dyDescent="0.3"/>
    <row r="54" s="25" customFormat="1" ht="20.25" x14ac:dyDescent="0.3"/>
    <row r="55" s="25" customFormat="1" ht="20.25" x14ac:dyDescent="0.3"/>
    <row r="56" s="25" customFormat="1" ht="20.25" x14ac:dyDescent="0.3"/>
    <row r="57" s="25" customFormat="1" ht="20.25" x14ac:dyDescent="0.3"/>
    <row r="58" s="25" customFormat="1" ht="20.25" x14ac:dyDescent="0.3"/>
    <row r="59" s="25" customFormat="1" ht="20.25" x14ac:dyDescent="0.3"/>
    <row r="60" s="25" customFormat="1" ht="20.25" x14ac:dyDescent="0.3"/>
    <row r="61" s="25" customFormat="1" ht="20.25" x14ac:dyDescent="0.3"/>
    <row r="62" s="25" customFormat="1" ht="20.25" x14ac:dyDescent="0.3"/>
    <row r="63" s="25" customFormat="1" ht="20.25" x14ac:dyDescent="0.3"/>
    <row r="64" s="25" customFormat="1" ht="20.25" x14ac:dyDescent="0.3"/>
    <row r="65" s="25" customFormat="1" ht="20.25" x14ac:dyDescent="0.3"/>
  </sheetData>
  <mergeCells count="39">
    <mergeCell ref="B21:D21"/>
    <mergeCell ref="B29:C29"/>
    <mergeCell ref="B30:C30"/>
    <mergeCell ref="D30:F30"/>
    <mergeCell ref="B31:D31"/>
    <mergeCell ref="C37:H37"/>
    <mergeCell ref="AW16:AW18"/>
    <mergeCell ref="AX16:AX18"/>
    <mergeCell ref="I17:K17"/>
    <mergeCell ref="R17:S17"/>
    <mergeCell ref="AC17:AD17"/>
    <mergeCell ref="AG17:AG18"/>
    <mergeCell ref="AH17:AH18"/>
    <mergeCell ref="AJ17:AJ18"/>
    <mergeCell ref="AK17:AK18"/>
    <mergeCell ref="AJ16:AL16"/>
    <mergeCell ref="AQ16:AQ18"/>
    <mergeCell ref="AR16:AR18"/>
    <mergeCell ref="AS16:AT17"/>
    <mergeCell ref="AU16:AU18"/>
    <mergeCell ref="AV16:AV18"/>
    <mergeCell ref="AL17:AL18"/>
    <mergeCell ref="B8:AY8"/>
    <mergeCell ref="B16:B19"/>
    <mergeCell ref="C16:C19"/>
    <mergeCell ref="D16:D19"/>
    <mergeCell ref="E16:E19"/>
    <mergeCell ref="F16:F19"/>
    <mergeCell ref="I16:N16"/>
    <mergeCell ref="P16:U16"/>
    <mergeCell ref="V16:V18"/>
    <mergeCell ref="W16:AH16"/>
    <mergeCell ref="Y17:AA17"/>
    <mergeCell ref="B7:AY7"/>
    <mergeCell ref="B1:AY1"/>
    <mergeCell ref="B2:AY2"/>
    <mergeCell ref="B3:AY3"/>
    <mergeCell ref="B4:AY4"/>
    <mergeCell ref="B6:AY6"/>
  </mergeCells>
  <pageMargins left="0.31496062992125984" right="3.937007874015748E-2" top="0.43307086614173229" bottom="0.31496062992125984" header="0.31496062992125984" footer="0.31496062992125984"/>
  <pageSetup paperSize="14" scale="4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AT53"/>
  <sheetViews>
    <sheetView topLeftCell="B10" zoomScale="66" zoomScaleNormal="66" workbookViewId="0">
      <selection activeCell="F30" sqref="F30"/>
    </sheetView>
  </sheetViews>
  <sheetFormatPr defaultRowHeight="16.5" x14ac:dyDescent="0.3"/>
  <cols>
    <col min="1" max="1" width="1.28515625" style="3" hidden="1" customWidth="1"/>
    <col min="2" max="2" width="12.42578125" style="3" customWidth="1"/>
    <col min="3" max="3" width="14.28515625" style="3" customWidth="1"/>
    <col min="4" max="4" width="39.28515625" style="3" customWidth="1"/>
    <col min="5" max="5" width="21.28515625" style="3" customWidth="1"/>
    <col min="6" max="6" width="26.140625" style="3" customWidth="1"/>
    <col min="7" max="7" width="10.140625" style="3" hidden="1" customWidth="1"/>
    <col min="8" max="8" width="10.7109375" style="3" hidden="1" customWidth="1"/>
    <col min="9" max="9" width="12.28515625" style="3" hidden="1" customWidth="1"/>
    <col min="10" max="10" width="14.140625" style="3" customWidth="1"/>
    <col min="11" max="11" width="13" style="3" customWidth="1"/>
    <col min="12" max="12" width="13.85546875" style="3" hidden="1" customWidth="1"/>
    <col min="13" max="13" width="11.85546875" style="3" hidden="1" customWidth="1"/>
    <col min="14" max="14" width="10" style="3" hidden="1" customWidth="1"/>
    <col min="15" max="15" width="10.140625" style="3" hidden="1" customWidth="1"/>
    <col min="16" max="16" width="12.7109375" style="3" hidden="1" customWidth="1"/>
    <col min="17" max="17" width="14.42578125" style="3" customWidth="1"/>
    <col min="18" max="18" width="11.140625" style="3" customWidth="1"/>
    <col min="19" max="19" width="12.28515625" style="3" customWidth="1"/>
    <col min="20" max="20" width="14" style="3" customWidth="1"/>
    <col min="21" max="21" width="8.5703125" style="3" hidden="1" customWidth="1"/>
    <col min="22" max="22" width="10.28515625" style="3" hidden="1" customWidth="1"/>
    <col min="23" max="23" width="13" style="3" customWidth="1"/>
    <col min="24" max="24" width="14.5703125" style="3" customWidth="1"/>
    <col min="25" max="25" width="10.140625" style="3" customWidth="1"/>
    <col min="26" max="26" width="12.42578125" style="3" customWidth="1"/>
    <col min="27" max="27" width="9.85546875" style="3" customWidth="1"/>
    <col min="28" max="28" width="13.140625" style="3" customWidth="1"/>
    <col min="29" max="29" width="11.85546875" style="3" customWidth="1"/>
    <col min="30" max="30" width="11.28515625" style="3" customWidth="1"/>
    <col min="31" max="32" width="11.140625" style="3" hidden="1" customWidth="1"/>
    <col min="33" max="33" width="10.140625" style="3" hidden="1" customWidth="1"/>
    <col min="34" max="34" width="12.140625" style="3" customWidth="1"/>
    <col min="35" max="35" width="0.7109375" style="3" hidden="1" customWidth="1"/>
    <col min="36" max="36" width="14.5703125" style="4" customWidth="1"/>
    <col min="37" max="37" width="11.140625" style="3" customWidth="1"/>
    <col min="38" max="38" width="7.42578125" style="3" hidden="1" customWidth="1"/>
    <col min="39" max="39" width="1.5703125" style="3" hidden="1" customWidth="1"/>
    <col min="40" max="40" width="12.140625" style="3" customWidth="1"/>
    <col min="41" max="42" width="8" style="3" hidden="1" customWidth="1"/>
    <col min="43" max="43" width="9.140625" style="3" hidden="1" customWidth="1"/>
    <col min="44" max="44" width="23.7109375" style="3" customWidth="1"/>
    <col min="45" max="45" width="12.28515625" style="3" bestFit="1" customWidth="1"/>
    <col min="46" max="46" width="12.7109375" style="3" bestFit="1" customWidth="1"/>
    <col min="47" max="16384" width="9.140625" style="3"/>
  </cols>
  <sheetData>
    <row r="1" spans="2:44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</row>
    <row r="2" spans="2:44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</row>
    <row r="3" spans="2:44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</row>
    <row r="4" spans="2:44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</row>
    <row r="5" spans="2:44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2:44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</row>
    <row r="7" spans="2:44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</row>
    <row r="8" spans="2:44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</row>
    <row r="9" spans="2:44" ht="8.25" customHeight="1" x14ac:dyDescent="0.3"/>
    <row r="10" spans="2:44" s="2" customFormat="1" ht="20.100000000000001" customHeight="1" x14ac:dyDescent="0.25">
      <c r="B10" s="261" t="s">
        <v>7</v>
      </c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</row>
    <row r="11" spans="2:44" s="2" customFormat="1" ht="20.100000000000001" customHeight="1" x14ac:dyDescent="0.25">
      <c r="B11" s="261" t="s">
        <v>8</v>
      </c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</row>
    <row r="12" spans="2:44" s="2" customFormat="1" ht="20.100000000000001" customHeight="1" x14ac:dyDescent="0.25">
      <c r="B12" s="261" t="s">
        <v>65</v>
      </c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</row>
    <row r="13" spans="2:44" s="2" customFormat="1" ht="26.25" customHeight="1" x14ac:dyDescent="0.25">
      <c r="B13" s="261" t="s">
        <v>169</v>
      </c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</row>
    <row r="14" spans="2:44" s="7" customFormat="1" ht="12" customHeight="1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44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2:44" ht="23.25" customHeight="1" x14ac:dyDescent="0.3">
      <c r="B16" s="288" t="s">
        <v>9</v>
      </c>
      <c r="C16" s="291" t="s">
        <v>176</v>
      </c>
      <c r="D16" s="294" t="s">
        <v>10</v>
      </c>
      <c r="E16" s="294" t="s">
        <v>11</v>
      </c>
      <c r="F16" s="294" t="s">
        <v>46</v>
      </c>
      <c r="G16" s="297" t="s">
        <v>87</v>
      </c>
      <c r="H16" s="298"/>
      <c r="I16" s="298"/>
      <c r="J16" s="298"/>
      <c r="K16" s="298"/>
      <c r="L16" s="298"/>
      <c r="M16" s="298"/>
      <c r="N16" s="298"/>
      <c r="O16" s="298"/>
      <c r="P16" s="299"/>
      <c r="Q16" s="300" t="s">
        <v>69</v>
      </c>
      <c r="R16" s="297" t="s">
        <v>59</v>
      </c>
      <c r="S16" s="298"/>
      <c r="T16" s="298"/>
      <c r="U16" s="298"/>
      <c r="V16" s="298"/>
      <c r="W16" s="298"/>
      <c r="X16" s="298"/>
      <c r="Y16" s="298"/>
      <c r="Z16" s="298"/>
      <c r="AA16" s="299"/>
      <c r="AB16" s="303" t="s">
        <v>29</v>
      </c>
      <c r="AC16" s="303"/>
      <c r="AD16" s="303"/>
      <c r="AE16" s="303"/>
      <c r="AF16" s="303"/>
      <c r="AG16" s="303"/>
      <c r="AH16" s="303"/>
      <c r="AI16" s="314" t="s">
        <v>53</v>
      </c>
      <c r="AJ16" s="304" t="s">
        <v>48</v>
      </c>
      <c r="AK16" s="304" t="s">
        <v>58</v>
      </c>
      <c r="AL16" s="317" t="s">
        <v>62</v>
      </c>
      <c r="AM16" s="317"/>
      <c r="AN16" s="304" t="s">
        <v>47</v>
      </c>
      <c r="AO16" s="300" t="s">
        <v>16</v>
      </c>
      <c r="AP16" s="304" t="s">
        <v>39</v>
      </c>
      <c r="AQ16" s="304" t="s">
        <v>68</v>
      </c>
      <c r="AR16" s="58" t="s">
        <v>41</v>
      </c>
    </row>
    <row r="17" spans="2:46" ht="69.75" customHeight="1" x14ac:dyDescent="0.3">
      <c r="B17" s="289"/>
      <c r="C17" s="292"/>
      <c r="D17" s="295"/>
      <c r="E17" s="295"/>
      <c r="F17" s="295"/>
      <c r="G17" s="258" t="s">
        <v>26</v>
      </c>
      <c r="H17" s="258" t="s">
        <v>30</v>
      </c>
      <c r="I17" s="257" t="s">
        <v>104</v>
      </c>
      <c r="J17" s="257" t="s">
        <v>124</v>
      </c>
      <c r="K17" s="307" t="s">
        <v>94</v>
      </c>
      <c r="L17" s="308"/>
      <c r="M17" s="309"/>
      <c r="N17" s="257" t="s">
        <v>57</v>
      </c>
      <c r="O17" s="257" t="s">
        <v>85</v>
      </c>
      <c r="P17" s="257" t="s">
        <v>89</v>
      </c>
      <c r="Q17" s="301"/>
      <c r="R17" s="257" t="s">
        <v>55</v>
      </c>
      <c r="S17" s="258" t="s">
        <v>27</v>
      </c>
      <c r="T17" s="310" t="s">
        <v>56</v>
      </c>
      <c r="U17" s="310"/>
      <c r="V17" s="257" t="s">
        <v>91</v>
      </c>
      <c r="W17" s="311" t="s">
        <v>28</v>
      </c>
      <c r="X17" s="311"/>
      <c r="Y17" s="311"/>
      <c r="Z17" s="312" t="s">
        <v>71</v>
      </c>
      <c r="AA17" s="312" t="s">
        <v>15</v>
      </c>
      <c r="AB17" s="313" t="s">
        <v>72</v>
      </c>
      <c r="AC17" s="313" t="s">
        <v>117</v>
      </c>
      <c r="AD17" s="313" t="s">
        <v>73</v>
      </c>
      <c r="AE17" s="256" t="s">
        <v>50</v>
      </c>
      <c r="AF17" s="256" t="s">
        <v>51</v>
      </c>
      <c r="AG17" s="313" t="s">
        <v>74</v>
      </c>
      <c r="AH17" s="313" t="s">
        <v>77</v>
      </c>
      <c r="AI17" s="315"/>
      <c r="AJ17" s="305"/>
      <c r="AK17" s="305"/>
      <c r="AL17" s="310"/>
      <c r="AM17" s="310"/>
      <c r="AN17" s="305"/>
      <c r="AO17" s="301"/>
      <c r="AP17" s="305"/>
      <c r="AQ17" s="305"/>
      <c r="AR17" s="59" t="s">
        <v>42</v>
      </c>
    </row>
    <row r="18" spans="2:46" ht="24" customHeight="1" x14ac:dyDescent="0.3">
      <c r="B18" s="289"/>
      <c r="C18" s="292"/>
      <c r="D18" s="295"/>
      <c r="E18" s="295"/>
      <c r="F18" s="295"/>
      <c r="G18" s="254" t="s">
        <v>70</v>
      </c>
      <c r="H18" s="254">
        <v>200</v>
      </c>
      <c r="I18" s="254" t="s">
        <v>102</v>
      </c>
      <c r="J18" s="254" t="s">
        <v>102</v>
      </c>
      <c r="K18" s="256" t="s">
        <v>75</v>
      </c>
      <c r="L18" s="256" t="s">
        <v>49</v>
      </c>
      <c r="M18" s="256" t="s">
        <v>86</v>
      </c>
      <c r="N18" s="77" t="s">
        <v>76</v>
      </c>
      <c r="O18" s="77" t="s">
        <v>76</v>
      </c>
      <c r="P18" s="256" t="s">
        <v>88</v>
      </c>
      <c r="Q18" s="302"/>
      <c r="R18" s="256">
        <v>2.4</v>
      </c>
      <c r="S18" s="254">
        <v>3.6</v>
      </c>
      <c r="T18" s="257">
        <v>2.4</v>
      </c>
      <c r="U18" s="257">
        <v>3.6</v>
      </c>
      <c r="V18" s="257">
        <v>2.4</v>
      </c>
      <c r="W18" s="254">
        <v>3.6</v>
      </c>
      <c r="X18" s="254">
        <v>2.4</v>
      </c>
      <c r="Y18" s="254">
        <v>4.9000000000000004</v>
      </c>
      <c r="Z18" s="302"/>
      <c r="AA18" s="302"/>
      <c r="AB18" s="306"/>
      <c r="AC18" s="306"/>
      <c r="AD18" s="306"/>
      <c r="AE18" s="256"/>
      <c r="AF18" s="256"/>
      <c r="AG18" s="306"/>
      <c r="AH18" s="306"/>
      <c r="AI18" s="316"/>
      <c r="AJ18" s="306"/>
      <c r="AK18" s="306"/>
      <c r="AL18" s="254" t="s">
        <v>36</v>
      </c>
      <c r="AM18" s="254" t="s">
        <v>37</v>
      </c>
      <c r="AN18" s="306"/>
      <c r="AO18" s="302"/>
      <c r="AP18" s="306"/>
      <c r="AQ18" s="306"/>
      <c r="AR18" s="60" t="s">
        <v>43</v>
      </c>
    </row>
    <row r="19" spans="2:46" s="9" customFormat="1" ht="25.5" customHeight="1" x14ac:dyDescent="0.25">
      <c r="B19" s="290"/>
      <c r="C19" s="293"/>
      <c r="D19" s="296"/>
      <c r="E19" s="296"/>
      <c r="F19" s="296"/>
      <c r="G19" s="254" t="s">
        <v>12</v>
      </c>
      <c r="H19" s="254" t="s">
        <v>12</v>
      </c>
      <c r="I19" s="254" t="s">
        <v>12</v>
      </c>
      <c r="J19" s="254" t="s">
        <v>12</v>
      </c>
      <c r="K19" s="254" t="s">
        <v>12</v>
      </c>
      <c r="L19" s="254" t="s">
        <v>12</v>
      </c>
      <c r="M19" s="254" t="s">
        <v>12</v>
      </c>
      <c r="N19" s="254" t="s">
        <v>12</v>
      </c>
      <c r="O19" s="254" t="s">
        <v>12</v>
      </c>
      <c r="P19" s="254" t="s">
        <v>12</v>
      </c>
      <c r="Q19" s="56" t="s">
        <v>14</v>
      </c>
      <c r="R19" s="254" t="s">
        <v>12</v>
      </c>
      <c r="S19" s="254" t="s">
        <v>12</v>
      </c>
      <c r="T19" s="254" t="s">
        <v>12</v>
      </c>
      <c r="U19" s="254" t="s">
        <v>12</v>
      </c>
      <c r="V19" s="254" t="s">
        <v>12</v>
      </c>
      <c r="W19" s="254" t="s">
        <v>12</v>
      </c>
      <c r="X19" s="254" t="s">
        <v>12</v>
      </c>
      <c r="Y19" s="254" t="s">
        <v>12</v>
      </c>
      <c r="Z19" s="57" t="s">
        <v>12</v>
      </c>
      <c r="AA19" s="254" t="s">
        <v>12</v>
      </c>
      <c r="AB19" s="55" t="s">
        <v>13</v>
      </c>
      <c r="AC19" s="55" t="s">
        <v>13</v>
      </c>
      <c r="AD19" s="55" t="s">
        <v>13</v>
      </c>
      <c r="AE19" s="55" t="s">
        <v>13</v>
      </c>
      <c r="AF19" s="55" t="s">
        <v>13</v>
      </c>
      <c r="AG19" s="55" t="s">
        <v>13</v>
      </c>
      <c r="AH19" s="55" t="s">
        <v>13</v>
      </c>
      <c r="AI19" s="55" t="s">
        <v>13</v>
      </c>
      <c r="AJ19" s="55" t="s">
        <v>13</v>
      </c>
      <c r="AK19" s="57" t="s">
        <v>13</v>
      </c>
      <c r="AL19" s="254" t="s">
        <v>12</v>
      </c>
      <c r="AM19" s="254" t="s">
        <v>12</v>
      </c>
      <c r="AN19" s="258" t="s">
        <v>12</v>
      </c>
      <c r="AO19" s="57" t="s">
        <v>14</v>
      </c>
      <c r="AP19" s="258"/>
      <c r="AQ19" s="254"/>
      <c r="AR19" s="60"/>
    </row>
    <row r="20" spans="2:46" s="4" customFormat="1" ht="9.75" customHeight="1" x14ac:dyDescent="0.25">
      <c r="B20" s="27"/>
      <c r="C20" s="28"/>
      <c r="D20" s="28"/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30"/>
      <c r="R20" s="31"/>
      <c r="S20" s="31"/>
      <c r="T20" s="31"/>
      <c r="U20" s="31"/>
      <c r="V20" s="31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32"/>
      <c r="AK20" s="29"/>
      <c r="AL20" s="28"/>
      <c r="AM20" s="33"/>
      <c r="AN20" s="33"/>
      <c r="AO20" s="33"/>
      <c r="AP20" s="33"/>
      <c r="AQ20" s="33"/>
      <c r="AR20" s="34"/>
    </row>
    <row r="21" spans="2:46" s="2" customFormat="1" ht="48" customHeight="1" x14ac:dyDescent="0.25">
      <c r="B21" s="318" t="s">
        <v>170</v>
      </c>
      <c r="C21" s="319"/>
      <c r="D21" s="320"/>
      <c r="E21" s="64"/>
      <c r="F21" s="64"/>
      <c r="G21" s="104" t="e">
        <f>#REF!</f>
        <v>#REF!</v>
      </c>
      <c r="H21" s="104" t="e">
        <f>#REF!</f>
        <v>#REF!</v>
      </c>
      <c r="I21" s="104" t="e">
        <f>#REF!</f>
        <v>#REF!</v>
      </c>
      <c r="J21" s="66">
        <f>'MARCH 2026 - PMC '!J38</f>
        <v>5502</v>
      </c>
      <c r="K21" s="66">
        <f>'MARCH 2026 - PMC '!K38</f>
        <v>115349</v>
      </c>
      <c r="L21" s="66">
        <f>'MARCH 2026 - PMC '!L38</f>
        <v>0</v>
      </c>
      <c r="M21" s="66">
        <f>'MARCH 2026 - PMC '!M38</f>
        <v>0</v>
      </c>
      <c r="N21" s="66">
        <f>'MARCH 2026 - PMC '!N38</f>
        <v>0</v>
      </c>
      <c r="O21" s="66">
        <f>'MARCH 2026 - PMC '!O38</f>
        <v>0</v>
      </c>
      <c r="P21" s="66">
        <f>'MARCH 2026 - PMC '!P38</f>
        <v>0</v>
      </c>
      <c r="Q21" s="66">
        <f>'MARCH 2026 - PMC '!Q38</f>
        <v>64800.52</v>
      </c>
      <c r="R21" s="66">
        <f>'MARCH 2026 - PMC '!R38</f>
        <v>264</v>
      </c>
      <c r="S21" s="66">
        <f>'MARCH 2026 - PMC '!S38</f>
        <v>847</v>
      </c>
      <c r="T21" s="66">
        <f>'MARCH 2026 - PMC '!T38</f>
        <v>16364</v>
      </c>
      <c r="U21" s="66">
        <f>'MARCH 2026 - PMC '!U38</f>
        <v>0</v>
      </c>
      <c r="V21" s="66">
        <f>'MARCH 2026 - PMC '!V38</f>
        <v>0</v>
      </c>
      <c r="W21" s="66">
        <f>'MARCH 2026 - PMC '!W38</f>
        <v>10714</v>
      </c>
      <c r="X21" s="66">
        <f>'MARCH 2026 - PMC '!X38</f>
        <v>55507</v>
      </c>
      <c r="Y21" s="66">
        <f>'MARCH 2026 - PMC '!Y38</f>
        <v>646</v>
      </c>
      <c r="Z21" s="66">
        <f>'MARCH 2026 - PMC '!Z38</f>
        <v>8028</v>
      </c>
      <c r="AA21" s="66">
        <f>'MARCH 2026 - PMC '!AA38</f>
        <v>170</v>
      </c>
      <c r="AB21" s="66">
        <f>'MARCH 2026 - PMC '!AB38</f>
        <v>15403</v>
      </c>
      <c r="AC21" s="66">
        <f>'MARCH 2026 - PMC '!AC38</f>
        <v>0</v>
      </c>
      <c r="AD21" s="66">
        <f>'MARCH 2026 - PMC '!AD38</f>
        <v>13512</v>
      </c>
      <c r="AE21" s="66">
        <f>'MARCH 2026 - PMC '!AE38</f>
        <v>0</v>
      </c>
      <c r="AF21" s="66">
        <f>'MARCH 2026 - PMC '!AF38</f>
        <v>0</v>
      </c>
      <c r="AG21" s="66">
        <f>'MARCH 2026 - PMC '!AG38</f>
        <v>0</v>
      </c>
      <c r="AH21" s="66">
        <f>'MARCH 2026 - PMC '!AH38</f>
        <v>1060</v>
      </c>
      <c r="AI21" s="66">
        <f>'MARCH 2026 - PMC '!AI38</f>
        <v>0</v>
      </c>
      <c r="AJ21" s="66">
        <f>'MARCH 2026 - PMC '!AJ38</f>
        <v>21718.04</v>
      </c>
      <c r="AK21" s="66">
        <f>'MARCH 2026 - PMC '!AK38</f>
        <v>2305</v>
      </c>
      <c r="AL21" s="66">
        <f>'MARCH 2026 - PMC '!AL38</f>
        <v>0</v>
      </c>
      <c r="AM21" s="66">
        <f>'MARCH 2026 - PMC '!AM38</f>
        <v>0</v>
      </c>
      <c r="AN21" s="66">
        <f>'MARCH 2026 - PMC '!AN38</f>
        <v>275</v>
      </c>
      <c r="AO21" s="66" t="e">
        <f>'FEBRUARY 2026 - PMC '!AO38</f>
        <v>#REF!</v>
      </c>
      <c r="AP21" s="66" t="e">
        <f>'FEBRUARY 2026 - PMC '!AP38</f>
        <v>#REF!</v>
      </c>
      <c r="AQ21" s="66" t="e">
        <f>'FEBRUARY 2026 - PMC '!AQ38</f>
        <v>#REF!</v>
      </c>
      <c r="AR21" s="129"/>
      <c r="AS21" s="180"/>
      <c r="AT21" s="130"/>
    </row>
    <row r="22" spans="2:46" s="10" customFormat="1" ht="5.25" customHeight="1" x14ac:dyDescent="0.25">
      <c r="B22" s="61"/>
      <c r="C22" s="62"/>
      <c r="D22" s="62"/>
      <c r="E22" s="38"/>
      <c r="F22" s="38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/>
      <c r="R22" s="47"/>
      <c r="S22" s="47"/>
      <c r="T22" s="47"/>
      <c r="U22" s="47"/>
      <c r="V22" s="47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4"/>
      <c r="AK22" s="43"/>
      <c r="AL22" s="44"/>
      <c r="AM22" s="44"/>
      <c r="AN22" s="44"/>
      <c r="AO22" s="43"/>
      <c r="AP22" s="43"/>
      <c r="AQ22" s="45"/>
      <c r="AR22" s="129"/>
    </row>
    <row r="23" spans="2:46" s="12" customFormat="1" ht="28.5" customHeight="1" x14ac:dyDescent="0.25">
      <c r="B23" s="321"/>
      <c r="C23" s="322">
        <v>46238</v>
      </c>
      <c r="D23" s="42" t="s">
        <v>31</v>
      </c>
      <c r="E23" s="42" t="s">
        <v>32</v>
      </c>
      <c r="F23" s="42" t="s">
        <v>61</v>
      </c>
      <c r="G23" s="67"/>
      <c r="H23" s="67"/>
      <c r="I23" s="67"/>
      <c r="J23" s="67">
        <f>75*200</f>
        <v>15000</v>
      </c>
      <c r="K23" s="67"/>
      <c r="L23" s="67"/>
      <c r="M23" s="67"/>
      <c r="N23" s="67"/>
      <c r="O23" s="67"/>
      <c r="P23" s="67"/>
      <c r="Q23" s="43">
        <f>175*25</f>
        <v>4375</v>
      </c>
      <c r="R23" s="69"/>
      <c r="S23" s="69"/>
      <c r="T23" s="69"/>
      <c r="U23" s="69"/>
      <c r="V23" s="69"/>
      <c r="W23" s="67"/>
      <c r="X23" s="43">
        <v>20250</v>
      </c>
      <c r="Y23" s="67"/>
      <c r="Z23" s="67">
        <v>500</v>
      </c>
      <c r="AA23" s="67">
        <v>100</v>
      </c>
      <c r="AB23" s="67"/>
      <c r="AC23" s="67"/>
      <c r="AD23" s="67">
        <v>3000</v>
      </c>
      <c r="AE23" s="67"/>
      <c r="AF23" s="67"/>
      <c r="AG23" s="67"/>
      <c r="AH23" s="67"/>
      <c r="AI23" s="68"/>
      <c r="AJ23" s="68"/>
      <c r="AK23" s="67"/>
      <c r="AL23" s="68"/>
      <c r="AM23" s="68"/>
      <c r="AN23" s="68"/>
      <c r="AO23" s="67"/>
      <c r="AP23" s="67"/>
      <c r="AQ23" s="133"/>
      <c r="AR23" s="113" t="s">
        <v>40</v>
      </c>
      <c r="AS23" s="11"/>
    </row>
    <row r="24" spans="2:46" s="14" customFormat="1" ht="28.5" customHeight="1" x14ac:dyDescent="0.25">
      <c r="B24" s="321"/>
      <c r="C24" s="323"/>
      <c r="D24" s="42" t="s">
        <v>80</v>
      </c>
      <c r="E24" s="42" t="s">
        <v>33</v>
      </c>
      <c r="F24" s="42" t="s">
        <v>60</v>
      </c>
      <c r="G24" s="43"/>
      <c r="H24" s="43"/>
      <c r="I24" s="43"/>
      <c r="J24" s="43"/>
      <c r="K24" s="43">
        <f>75*215</f>
        <v>16125</v>
      </c>
      <c r="L24" s="43"/>
      <c r="M24" s="43"/>
      <c r="N24" s="43"/>
      <c r="O24" s="43"/>
      <c r="P24" s="43"/>
      <c r="Q24" s="43">
        <f>175*25</f>
        <v>4375</v>
      </c>
      <c r="R24" s="70"/>
      <c r="S24" s="70"/>
      <c r="T24" s="70"/>
      <c r="U24" s="70"/>
      <c r="V24" s="70"/>
      <c r="W24" s="43"/>
      <c r="X24" s="43"/>
      <c r="Y24" s="43"/>
      <c r="Z24" s="67">
        <v>500</v>
      </c>
      <c r="AA24" s="43">
        <v>100</v>
      </c>
      <c r="AB24" s="43">
        <v>3600</v>
      </c>
      <c r="AC24" s="43"/>
      <c r="AD24" s="43"/>
      <c r="AE24" s="43"/>
      <c r="AF24" s="43"/>
      <c r="AG24" s="43"/>
      <c r="AH24" s="43"/>
      <c r="AI24" s="44"/>
      <c r="AJ24" s="68">
        <v>3000</v>
      </c>
      <c r="AK24" s="71"/>
      <c r="AL24" s="44"/>
      <c r="AM24" s="44"/>
      <c r="AN24" s="44"/>
      <c r="AO24" s="43"/>
      <c r="AP24" s="43"/>
      <c r="AQ24" s="45"/>
      <c r="AR24" s="113" t="s">
        <v>44</v>
      </c>
      <c r="AS24" s="179"/>
    </row>
    <row r="25" spans="2:46" s="12" customFormat="1" ht="28.5" customHeight="1" x14ac:dyDescent="0.25">
      <c r="B25" s="321"/>
      <c r="C25" s="322" t="s">
        <v>172</v>
      </c>
      <c r="D25" s="42" t="s">
        <v>31</v>
      </c>
      <c r="E25" s="42" t="s">
        <v>32</v>
      </c>
      <c r="F25" s="42" t="s">
        <v>61</v>
      </c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43">
        <f>300*25</f>
        <v>7500</v>
      </c>
      <c r="R25" s="69"/>
      <c r="S25" s="69"/>
      <c r="T25" s="69"/>
      <c r="U25" s="69"/>
      <c r="V25" s="69"/>
      <c r="W25" s="67"/>
      <c r="X25" s="68">
        <v>7500</v>
      </c>
      <c r="Y25" s="68"/>
      <c r="Z25" s="67">
        <v>500</v>
      </c>
      <c r="AA25" s="67"/>
      <c r="AB25" s="67"/>
      <c r="AC25" s="67"/>
      <c r="AD25" s="67">
        <v>3000</v>
      </c>
      <c r="AE25" s="67"/>
      <c r="AF25" s="67"/>
      <c r="AG25" s="67"/>
      <c r="AH25" s="67"/>
      <c r="AI25" s="68"/>
      <c r="AJ25" s="68"/>
      <c r="AK25" s="67"/>
      <c r="AL25" s="68"/>
      <c r="AM25" s="68"/>
      <c r="AN25" s="68"/>
      <c r="AO25" s="67"/>
      <c r="AP25" s="67"/>
      <c r="AQ25" s="133"/>
      <c r="AR25" s="113" t="s">
        <v>40</v>
      </c>
      <c r="AS25" s="11"/>
    </row>
    <row r="26" spans="2:46" s="14" customFormat="1" ht="28.5" customHeight="1" x14ac:dyDescent="0.25">
      <c r="B26" s="321"/>
      <c r="C26" s="323"/>
      <c r="D26" s="42" t="s">
        <v>80</v>
      </c>
      <c r="E26" s="42" t="s">
        <v>33</v>
      </c>
      <c r="F26" s="42" t="s">
        <v>60</v>
      </c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>
        <v>7500</v>
      </c>
      <c r="R26" s="70"/>
      <c r="S26" s="70"/>
      <c r="T26" s="70"/>
      <c r="U26" s="70"/>
      <c r="V26" s="70"/>
      <c r="W26" s="43"/>
      <c r="X26" s="43"/>
      <c r="Y26" s="43"/>
      <c r="Z26" s="67">
        <v>500</v>
      </c>
      <c r="AA26" s="43"/>
      <c r="AB26" s="43">
        <v>3600</v>
      </c>
      <c r="AC26" s="43"/>
      <c r="AD26" s="43"/>
      <c r="AE26" s="43"/>
      <c r="AF26" s="43"/>
      <c r="AG26" s="43"/>
      <c r="AH26" s="43"/>
      <c r="AI26" s="44"/>
      <c r="AJ26" s="68">
        <v>4000</v>
      </c>
      <c r="AK26" s="43"/>
      <c r="AL26" s="44"/>
      <c r="AM26" s="44"/>
      <c r="AN26" s="43"/>
      <c r="AO26" s="43"/>
      <c r="AP26" s="43"/>
      <c r="AQ26" s="45"/>
      <c r="AR26" s="113" t="s">
        <v>44</v>
      </c>
      <c r="AS26" s="13"/>
    </row>
    <row r="27" spans="2:46" s="12" customFormat="1" ht="28.5" customHeight="1" x14ac:dyDescent="0.25">
      <c r="B27" s="321"/>
      <c r="C27" s="322" t="s">
        <v>173</v>
      </c>
      <c r="D27" s="42" t="s">
        <v>31</v>
      </c>
      <c r="E27" s="42" t="s">
        <v>32</v>
      </c>
      <c r="F27" s="42" t="s">
        <v>61</v>
      </c>
      <c r="G27" s="67"/>
      <c r="H27" s="67"/>
      <c r="I27" s="67"/>
      <c r="J27" s="43">
        <v>20000</v>
      </c>
      <c r="K27" s="67"/>
      <c r="L27" s="67"/>
      <c r="M27" s="67"/>
      <c r="N27" s="67"/>
      <c r="O27" s="67"/>
      <c r="P27" s="67"/>
      <c r="Q27" s="43"/>
      <c r="R27" s="69"/>
      <c r="S27" s="69"/>
      <c r="T27" s="69"/>
      <c r="U27" s="69"/>
      <c r="V27" s="69"/>
      <c r="W27" s="67"/>
      <c r="X27" s="68"/>
      <c r="Y27" s="68"/>
      <c r="Z27" s="67">
        <v>500</v>
      </c>
      <c r="AA27" s="67">
        <v>50</v>
      </c>
      <c r="AB27" s="67"/>
      <c r="AC27" s="67"/>
      <c r="AD27" s="67">
        <v>3000</v>
      </c>
      <c r="AE27" s="67"/>
      <c r="AF27" s="67"/>
      <c r="AG27" s="67"/>
      <c r="AH27" s="67"/>
      <c r="AI27" s="68"/>
      <c r="AJ27" s="68"/>
      <c r="AK27" s="67"/>
      <c r="AL27" s="68"/>
      <c r="AM27" s="68"/>
      <c r="AN27" s="68"/>
      <c r="AO27" s="67"/>
      <c r="AP27" s="67"/>
      <c r="AQ27" s="133"/>
      <c r="AR27" s="113" t="s">
        <v>40</v>
      </c>
      <c r="AS27" s="11"/>
    </row>
    <row r="28" spans="2:46" s="14" customFormat="1" ht="28.5" customHeight="1" x14ac:dyDescent="0.25">
      <c r="B28" s="321"/>
      <c r="C28" s="323"/>
      <c r="D28" s="42" t="s">
        <v>80</v>
      </c>
      <c r="E28" s="42" t="s">
        <v>33</v>
      </c>
      <c r="F28" s="42" t="s">
        <v>60</v>
      </c>
      <c r="G28" s="43"/>
      <c r="H28" s="43"/>
      <c r="I28" s="43"/>
      <c r="K28" s="43">
        <v>21500</v>
      </c>
      <c r="L28" s="43"/>
      <c r="M28" s="43"/>
      <c r="N28" s="43"/>
      <c r="O28" s="43"/>
      <c r="P28" s="43"/>
      <c r="Q28" s="43">
        <f>350*25</f>
        <v>8750</v>
      </c>
      <c r="R28" s="70"/>
      <c r="S28" s="70"/>
      <c r="T28" s="70"/>
      <c r="U28" s="70"/>
      <c r="V28" s="70"/>
      <c r="W28" s="43">
        <v>1100</v>
      </c>
      <c r="X28" s="43">
        <v>11000</v>
      </c>
      <c r="Y28" s="43"/>
      <c r="Z28" s="67">
        <v>500</v>
      </c>
      <c r="AA28" s="43">
        <v>50</v>
      </c>
      <c r="AB28" s="43">
        <v>2700</v>
      </c>
      <c r="AC28" s="43"/>
      <c r="AD28" s="43"/>
      <c r="AE28" s="43"/>
      <c r="AF28" s="43"/>
      <c r="AG28" s="43"/>
      <c r="AH28" s="43"/>
      <c r="AI28" s="44"/>
      <c r="AJ28" s="68">
        <v>3000</v>
      </c>
      <c r="AK28" s="43"/>
      <c r="AL28" s="44"/>
      <c r="AM28" s="44"/>
      <c r="AN28" s="43"/>
      <c r="AO28" s="43"/>
      <c r="AP28" s="43"/>
      <c r="AQ28" s="45"/>
      <c r="AR28" s="113" t="s">
        <v>44</v>
      </c>
      <c r="AS28" s="13"/>
    </row>
    <row r="29" spans="2:46" s="12" customFormat="1" ht="28.5" customHeight="1" x14ac:dyDescent="0.25">
      <c r="B29" s="321"/>
      <c r="C29" s="322" t="s">
        <v>179</v>
      </c>
      <c r="D29" s="42" t="s">
        <v>31</v>
      </c>
      <c r="E29" s="42" t="s">
        <v>32</v>
      </c>
      <c r="F29" s="42" t="s">
        <v>61</v>
      </c>
      <c r="G29" s="67"/>
      <c r="H29" s="67"/>
      <c r="I29" s="67"/>
      <c r="J29" s="43">
        <f>75*200</f>
        <v>15000</v>
      </c>
      <c r="K29" s="67"/>
      <c r="L29" s="67"/>
      <c r="M29" s="67"/>
      <c r="N29" s="67"/>
      <c r="O29" s="67"/>
      <c r="P29" s="67"/>
      <c r="Q29" s="43"/>
      <c r="R29" s="69"/>
      <c r="S29" s="69"/>
      <c r="T29" s="69"/>
      <c r="U29" s="69"/>
      <c r="V29" s="69"/>
      <c r="W29" s="67"/>
      <c r="X29" s="68"/>
      <c r="Y29" s="68"/>
      <c r="Z29" s="67">
        <v>500</v>
      </c>
      <c r="AA29" s="67"/>
      <c r="AB29" s="67"/>
      <c r="AC29" s="67"/>
      <c r="AD29" s="67">
        <v>2000</v>
      </c>
      <c r="AE29" s="67"/>
      <c r="AF29" s="67"/>
      <c r="AG29" s="67"/>
      <c r="AH29" s="67"/>
      <c r="AI29" s="68"/>
      <c r="AJ29" s="68"/>
      <c r="AK29" s="67"/>
      <c r="AL29" s="68"/>
      <c r="AM29" s="68"/>
      <c r="AN29" s="68"/>
      <c r="AO29" s="67"/>
      <c r="AP29" s="67"/>
      <c r="AQ29" s="133"/>
      <c r="AR29" s="113" t="s">
        <v>40</v>
      </c>
      <c r="AS29" s="11"/>
    </row>
    <row r="30" spans="2:46" s="14" customFormat="1" ht="28.5" customHeight="1" x14ac:dyDescent="0.25">
      <c r="B30" s="321"/>
      <c r="C30" s="323"/>
      <c r="D30" s="42" t="s">
        <v>80</v>
      </c>
      <c r="E30" s="42" t="s">
        <v>33</v>
      </c>
      <c r="F30" s="42" t="s">
        <v>60</v>
      </c>
      <c r="G30" s="43"/>
      <c r="H30" s="43"/>
      <c r="I30" s="43"/>
      <c r="K30" s="43">
        <f>75*215</f>
        <v>16125</v>
      </c>
      <c r="L30" s="43"/>
      <c r="M30" s="43"/>
      <c r="N30" s="43"/>
      <c r="O30" s="43"/>
      <c r="P30" s="43"/>
      <c r="Q30" s="43">
        <f>950*25</f>
        <v>23750</v>
      </c>
      <c r="R30" s="70"/>
      <c r="S30" s="70"/>
      <c r="T30" s="70"/>
      <c r="U30" s="70"/>
      <c r="V30" s="70"/>
      <c r="W30" s="43">
        <v>4400</v>
      </c>
      <c r="X30" s="43">
        <v>4750</v>
      </c>
      <c r="Y30" s="43"/>
      <c r="Z30" s="67">
        <v>500</v>
      </c>
      <c r="AA30" s="43"/>
      <c r="AB30" s="43">
        <v>2700</v>
      </c>
      <c r="AC30" s="43"/>
      <c r="AD30" s="43"/>
      <c r="AE30" s="43"/>
      <c r="AF30" s="43"/>
      <c r="AG30" s="43"/>
      <c r="AH30" s="43"/>
      <c r="AI30" s="44"/>
      <c r="AJ30" s="68">
        <v>3000</v>
      </c>
      <c r="AK30" s="43"/>
      <c r="AL30" s="44"/>
      <c r="AM30" s="44"/>
      <c r="AN30" s="43"/>
      <c r="AO30" s="43"/>
      <c r="AP30" s="43"/>
      <c r="AQ30" s="45"/>
      <c r="AR30" s="113" t="s">
        <v>44</v>
      </c>
      <c r="AS30" s="13"/>
    </row>
    <row r="31" spans="2:46" s="10" customFormat="1" ht="23.25" x14ac:dyDescent="0.25">
      <c r="B31" s="41" t="s">
        <v>34</v>
      </c>
      <c r="C31" s="50"/>
      <c r="D31" s="51"/>
      <c r="E31" s="52"/>
      <c r="F31" s="52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/>
      <c r="R31" s="44"/>
      <c r="S31" s="44"/>
      <c r="T31" s="44"/>
      <c r="U31" s="44"/>
      <c r="V31" s="44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  <c r="AJ31" s="44"/>
      <c r="AK31" s="43"/>
      <c r="AL31" s="44"/>
      <c r="AM31" s="44"/>
      <c r="AN31" s="44"/>
      <c r="AO31" s="43"/>
      <c r="AP31" s="43"/>
      <c r="AQ31" s="45"/>
      <c r="AR31" s="129"/>
      <c r="AS31" s="2"/>
    </row>
    <row r="32" spans="2:46" s="10" customFormat="1" ht="23.25" x14ac:dyDescent="0.25">
      <c r="B32" s="41" t="s">
        <v>35</v>
      </c>
      <c r="C32" s="40"/>
      <c r="D32" s="38"/>
      <c r="E32" s="38"/>
      <c r="F32" s="38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4"/>
      <c r="R32" s="44"/>
      <c r="S32" s="44"/>
      <c r="T32" s="44"/>
      <c r="U32" s="44"/>
      <c r="V32" s="44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4"/>
      <c r="AJ32" s="44"/>
      <c r="AK32" s="43"/>
      <c r="AL32" s="44"/>
      <c r="AM32" s="44"/>
      <c r="AN32" s="44"/>
      <c r="AO32" s="43"/>
      <c r="AP32" s="43"/>
      <c r="AQ32" s="45"/>
      <c r="AR32" s="129"/>
      <c r="AS32" s="2"/>
    </row>
    <row r="33" spans="2:45" s="13" customFormat="1" ht="39.950000000000003" customHeight="1" x14ac:dyDescent="0.25">
      <c r="B33" s="103" t="s">
        <v>17</v>
      </c>
      <c r="C33" s="104"/>
      <c r="D33" s="104"/>
      <c r="E33" s="104"/>
      <c r="F33" s="104"/>
      <c r="G33" s="132" t="e">
        <f t="shared" ref="G33:AQ33" si="0">SUM(G21:G32)</f>
        <v>#REF!</v>
      </c>
      <c r="H33" s="132" t="e">
        <f t="shared" si="0"/>
        <v>#REF!</v>
      </c>
      <c r="I33" s="132" t="e">
        <f t="shared" si="0"/>
        <v>#REF!</v>
      </c>
      <c r="J33" s="46">
        <f t="shared" si="0"/>
        <v>55502</v>
      </c>
      <c r="K33" s="46">
        <f>SUM(K21:K32)</f>
        <v>169099</v>
      </c>
      <c r="L33" s="46">
        <f t="shared" si="0"/>
        <v>0</v>
      </c>
      <c r="M33" s="46">
        <f t="shared" si="0"/>
        <v>0</v>
      </c>
      <c r="N33" s="46">
        <f t="shared" si="0"/>
        <v>0</v>
      </c>
      <c r="O33" s="46">
        <f t="shared" si="0"/>
        <v>0</v>
      </c>
      <c r="P33" s="46">
        <f t="shared" si="0"/>
        <v>0</v>
      </c>
      <c r="Q33" s="65">
        <f t="shared" si="0"/>
        <v>121050.51999999999</v>
      </c>
      <c r="R33" s="46">
        <f t="shared" si="0"/>
        <v>264</v>
      </c>
      <c r="S33" s="46">
        <f t="shared" si="0"/>
        <v>847</v>
      </c>
      <c r="T33" s="46">
        <f t="shared" si="0"/>
        <v>16364</v>
      </c>
      <c r="U33" s="46">
        <f t="shared" si="0"/>
        <v>0</v>
      </c>
      <c r="V33" s="46">
        <f t="shared" si="0"/>
        <v>0</v>
      </c>
      <c r="W33" s="46">
        <f t="shared" si="0"/>
        <v>16214</v>
      </c>
      <c r="X33" s="46">
        <f>SUM(X21:X32)</f>
        <v>99007</v>
      </c>
      <c r="Y33" s="46">
        <f t="shared" si="0"/>
        <v>646</v>
      </c>
      <c r="Z33" s="46">
        <f t="shared" si="0"/>
        <v>12028</v>
      </c>
      <c r="AA33" s="46">
        <f>SUM(AA21:AA32)</f>
        <v>470</v>
      </c>
      <c r="AB33" s="46">
        <f>SUM(AB21:AB32)</f>
        <v>28003</v>
      </c>
      <c r="AC33" s="46">
        <f t="shared" si="0"/>
        <v>0</v>
      </c>
      <c r="AD33" s="46">
        <f t="shared" si="0"/>
        <v>24512</v>
      </c>
      <c r="AE33" s="46">
        <f t="shared" si="0"/>
        <v>0</v>
      </c>
      <c r="AF33" s="46">
        <f t="shared" si="0"/>
        <v>0</v>
      </c>
      <c r="AG33" s="46">
        <f t="shared" si="0"/>
        <v>0</v>
      </c>
      <c r="AH33" s="46">
        <f t="shared" si="0"/>
        <v>1060</v>
      </c>
      <c r="AI33" s="46">
        <f t="shared" si="0"/>
        <v>0</v>
      </c>
      <c r="AJ33" s="65">
        <f t="shared" si="0"/>
        <v>34718.04</v>
      </c>
      <c r="AK33" s="46">
        <f t="shared" si="0"/>
        <v>2305</v>
      </c>
      <c r="AL33" s="46">
        <f t="shared" si="0"/>
        <v>0</v>
      </c>
      <c r="AM33" s="46">
        <f t="shared" si="0"/>
        <v>0</v>
      </c>
      <c r="AN33" s="46">
        <f t="shared" si="0"/>
        <v>275</v>
      </c>
      <c r="AO33" s="46" t="e">
        <f t="shared" si="0"/>
        <v>#REF!</v>
      </c>
      <c r="AP33" s="46" t="e">
        <f t="shared" si="0"/>
        <v>#REF!</v>
      </c>
      <c r="AQ33" s="46" t="e">
        <f t="shared" si="0"/>
        <v>#REF!</v>
      </c>
      <c r="AR33" s="131"/>
    </row>
    <row r="34" spans="2:45" s="14" customFormat="1" ht="23.25" x14ac:dyDescent="0.25">
      <c r="B34" s="326" t="s">
        <v>18</v>
      </c>
      <c r="C34" s="327"/>
      <c r="D34" s="39"/>
      <c r="E34" s="39"/>
      <c r="F34" s="39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/>
      <c r="R34" s="44"/>
      <c r="S34" s="44"/>
      <c r="T34" s="44"/>
      <c r="U34" s="44"/>
      <c r="V34" s="44"/>
      <c r="W34" s="43"/>
      <c r="X34" s="43"/>
      <c r="Y34" s="43"/>
      <c r="Z34" s="43"/>
      <c r="AA34" s="44"/>
      <c r="AB34" s="43"/>
      <c r="AC34" s="43"/>
      <c r="AD34" s="43"/>
      <c r="AE34" s="43"/>
      <c r="AF34" s="43"/>
      <c r="AG34" s="43"/>
      <c r="AH34" s="43"/>
      <c r="AI34" s="43"/>
      <c r="AJ34" s="44"/>
      <c r="AK34" s="43"/>
      <c r="AL34" s="44"/>
      <c r="AM34" s="44"/>
      <c r="AN34" s="44"/>
      <c r="AO34" s="134"/>
      <c r="AP34" s="134"/>
      <c r="AQ34" s="45"/>
      <c r="AR34" s="131"/>
      <c r="AS34" s="13"/>
    </row>
    <row r="35" spans="2:45" s="14" customFormat="1" ht="59.25" customHeight="1" x14ac:dyDescent="0.25">
      <c r="B35" s="328" t="s">
        <v>79</v>
      </c>
      <c r="C35" s="329"/>
      <c r="D35" s="334" t="s">
        <v>81</v>
      </c>
      <c r="E35" s="335"/>
      <c r="F35" s="336"/>
      <c r="G35" s="72"/>
      <c r="H35" s="72"/>
      <c r="I35" s="72">
        <v>0</v>
      </c>
      <c r="J35" s="72">
        <v>16788</v>
      </c>
      <c r="K35" s="72">
        <v>63497</v>
      </c>
      <c r="L35" s="72"/>
      <c r="M35" s="72"/>
      <c r="N35" s="72"/>
      <c r="O35" s="72"/>
      <c r="P35" s="72"/>
      <c r="Q35" s="73">
        <v>26252.2</v>
      </c>
      <c r="R35" s="72">
        <v>0</v>
      </c>
      <c r="S35" s="72">
        <v>0</v>
      </c>
      <c r="T35" s="72">
        <v>0</v>
      </c>
      <c r="U35" s="72"/>
      <c r="V35" s="72"/>
      <c r="W35" s="72">
        <v>570</v>
      </c>
      <c r="X35" s="72">
        <v>39526</v>
      </c>
      <c r="Y35" s="72"/>
      <c r="Z35" s="72">
        <v>4599</v>
      </c>
      <c r="AA35" s="72">
        <v>148</v>
      </c>
      <c r="AB35" s="72">
        <v>10819</v>
      </c>
      <c r="AC35" s="72">
        <v>0</v>
      </c>
      <c r="AD35" s="72">
        <v>8389</v>
      </c>
      <c r="AE35" s="72"/>
      <c r="AF35" s="72"/>
      <c r="AG35" s="72"/>
      <c r="AH35" s="72">
        <v>0</v>
      </c>
      <c r="AI35" s="72"/>
      <c r="AJ35" s="73">
        <f>Z35*2.43</f>
        <v>11175.570000000002</v>
      </c>
      <c r="AK35" s="72">
        <v>30</v>
      </c>
      <c r="AL35" s="72"/>
      <c r="AM35" s="72"/>
      <c r="AN35" s="72">
        <v>0</v>
      </c>
      <c r="AO35" s="72"/>
      <c r="AP35" s="72"/>
      <c r="AQ35" s="72"/>
      <c r="AR35" s="131"/>
      <c r="AS35" s="181"/>
    </row>
    <row r="36" spans="2:45" s="14" customFormat="1" ht="36" hidden="1" customHeight="1" x14ac:dyDescent="0.25">
      <c r="B36" s="330"/>
      <c r="C36" s="331"/>
      <c r="D36" s="397" t="s">
        <v>153</v>
      </c>
      <c r="E36" s="397"/>
      <c r="F36" s="397"/>
      <c r="G36" s="324">
        <v>0</v>
      </c>
      <c r="H36" s="7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  <c r="AF36" s="324"/>
      <c r="AG36" s="324"/>
      <c r="AH36" s="324"/>
      <c r="AI36" s="324"/>
      <c r="AJ36" s="343"/>
      <c r="AK36" s="324"/>
      <c r="AL36" s="324"/>
      <c r="AM36" s="324"/>
      <c r="AN36" s="324"/>
      <c r="AO36" s="324">
        <v>0</v>
      </c>
      <c r="AP36" s="324">
        <v>0</v>
      </c>
      <c r="AQ36" s="324">
        <v>0</v>
      </c>
      <c r="AR36" s="339"/>
      <c r="AS36" s="13"/>
    </row>
    <row r="37" spans="2:45" s="15" customFormat="1" ht="48.75" hidden="1" customHeight="1" x14ac:dyDescent="0.25">
      <c r="B37" s="332"/>
      <c r="C37" s="333"/>
      <c r="D37" s="397"/>
      <c r="E37" s="397"/>
      <c r="F37" s="397"/>
      <c r="G37" s="325"/>
      <c r="H37" s="7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25"/>
      <c r="AI37" s="325"/>
      <c r="AJ37" s="344"/>
      <c r="AK37" s="325"/>
      <c r="AL37" s="325"/>
      <c r="AM37" s="325"/>
      <c r="AN37" s="325"/>
      <c r="AO37" s="325"/>
      <c r="AP37" s="325"/>
      <c r="AQ37" s="325"/>
      <c r="AR37" s="340"/>
    </row>
    <row r="38" spans="2:45" s="13" customFormat="1" ht="39.950000000000003" customHeight="1" thickBot="1" x14ac:dyDescent="0.3">
      <c r="B38" s="125" t="s">
        <v>171</v>
      </c>
      <c r="C38" s="126"/>
      <c r="D38" s="63"/>
      <c r="E38" s="63"/>
      <c r="F38" s="63"/>
      <c r="G38" s="128" t="e">
        <f t="shared" ref="G38:AQ38" si="1">G33-G35-G36</f>
        <v>#REF!</v>
      </c>
      <c r="H38" s="128" t="e">
        <f t="shared" si="1"/>
        <v>#REF!</v>
      </c>
      <c r="I38" s="128" t="e">
        <f t="shared" si="1"/>
        <v>#REF!</v>
      </c>
      <c r="J38" s="76">
        <f>J33-J35+J36</f>
        <v>38714</v>
      </c>
      <c r="K38" s="76">
        <f t="shared" ref="K38:AN38" si="2">K33-K35+K36</f>
        <v>105602</v>
      </c>
      <c r="L38" s="76">
        <f t="shared" si="2"/>
        <v>0</v>
      </c>
      <c r="M38" s="76">
        <f t="shared" si="2"/>
        <v>0</v>
      </c>
      <c r="N38" s="76">
        <f t="shared" si="2"/>
        <v>0</v>
      </c>
      <c r="O38" s="76">
        <f t="shared" si="2"/>
        <v>0</v>
      </c>
      <c r="P38" s="76">
        <f t="shared" si="2"/>
        <v>0</v>
      </c>
      <c r="Q38" s="170">
        <f t="shared" si="2"/>
        <v>94798.319999999992</v>
      </c>
      <c r="R38" s="76">
        <f t="shared" si="2"/>
        <v>264</v>
      </c>
      <c r="S38" s="76">
        <f t="shared" si="2"/>
        <v>847</v>
      </c>
      <c r="T38" s="76">
        <f t="shared" si="2"/>
        <v>16364</v>
      </c>
      <c r="U38" s="76">
        <f t="shared" si="2"/>
        <v>0</v>
      </c>
      <c r="V38" s="76">
        <f t="shared" si="2"/>
        <v>0</v>
      </c>
      <c r="W38" s="76">
        <f t="shared" si="2"/>
        <v>15644</v>
      </c>
      <c r="X38" s="76">
        <f t="shared" si="2"/>
        <v>59481</v>
      </c>
      <c r="Y38" s="76">
        <f t="shared" si="2"/>
        <v>646</v>
      </c>
      <c r="Z38" s="76">
        <f t="shared" si="2"/>
        <v>7429</v>
      </c>
      <c r="AA38" s="76">
        <f t="shared" si="2"/>
        <v>322</v>
      </c>
      <c r="AB38" s="76">
        <f t="shared" si="2"/>
        <v>17184</v>
      </c>
      <c r="AC38" s="76">
        <f t="shared" si="2"/>
        <v>0</v>
      </c>
      <c r="AD38" s="76">
        <f t="shared" si="2"/>
        <v>16123</v>
      </c>
      <c r="AE38" s="76">
        <f t="shared" si="2"/>
        <v>0</v>
      </c>
      <c r="AF38" s="76">
        <f t="shared" si="2"/>
        <v>0</v>
      </c>
      <c r="AG38" s="76">
        <f t="shared" si="2"/>
        <v>0</v>
      </c>
      <c r="AH38" s="76">
        <f t="shared" si="2"/>
        <v>1060</v>
      </c>
      <c r="AI38" s="76">
        <f t="shared" si="2"/>
        <v>0</v>
      </c>
      <c r="AJ38" s="170">
        <f t="shared" si="2"/>
        <v>23542.47</v>
      </c>
      <c r="AK38" s="76">
        <f t="shared" si="2"/>
        <v>2275</v>
      </c>
      <c r="AL38" s="76">
        <f t="shared" si="2"/>
        <v>0</v>
      </c>
      <c r="AM38" s="76">
        <f t="shared" si="2"/>
        <v>0</v>
      </c>
      <c r="AN38" s="76">
        <f t="shared" si="2"/>
        <v>275</v>
      </c>
      <c r="AO38" s="76" t="e">
        <f t="shared" si="1"/>
        <v>#REF!</v>
      </c>
      <c r="AP38" s="76" t="e">
        <f t="shared" si="1"/>
        <v>#REF!</v>
      </c>
      <c r="AQ38" s="76" t="e">
        <f t="shared" si="1"/>
        <v>#REF!</v>
      </c>
      <c r="AR38" s="127"/>
    </row>
    <row r="39" spans="2:45" s="1" customFormat="1" ht="28.5" customHeight="1" x14ac:dyDescent="0.35">
      <c r="H39" s="172"/>
      <c r="I39" s="172"/>
      <c r="J39" s="172"/>
      <c r="K39" s="172"/>
      <c r="L39" s="172"/>
      <c r="M39" s="172"/>
      <c r="N39" s="172"/>
      <c r="O39" s="172"/>
      <c r="P39" s="172"/>
      <c r="Q39" s="173"/>
      <c r="R39" s="174"/>
      <c r="S39" s="174"/>
      <c r="T39" s="174"/>
      <c r="U39" s="174"/>
      <c r="V39" s="174"/>
      <c r="W39" s="174"/>
      <c r="X39" s="174"/>
      <c r="Z39" s="172"/>
      <c r="AA39" s="172"/>
      <c r="AB39" s="172"/>
      <c r="AC39" s="172"/>
      <c r="AD39" s="172"/>
      <c r="AH39" s="173"/>
      <c r="AI39" s="175"/>
      <c r="AJ39" s="173"/>
      <c r="AK39" s="172"/>
      <c r="AN39" s="172"/>
    </row>
    <row r="40" spans="2:45" s="137" customFormat="1" ht="21" customHeight="1" x14ac:dyDescent="0.25">
      <c r="K40" s="138"/>
      <c r="L40" s="139"/>
      <c r="P40" s="138"/>
      <c r="Q40" s="140"/>
      <c r="R40" s="140"/>
      <c r="S40" s="140"/>
      <c r="T40" s="140"/>
      <c r="U40" s="140"/>
      <c r="V40" s="140"/>
      <c r="W40" s="140"/>
      <c r="X40" s="140"/>
      <c r="Y40" s="140"/>
      <c r="Z40" s="141"/>
      <c r="AA40" s="138"/>
      <c r="AB40" s="138"/>
      <c r="AC40" s="138"/>
      <c r="AJ40" s="140"/>
      <c r="AK40" s="141"/>
      <c r="AN40" s="138"/>
    </row>
    <row r="41" spans="2:45" ht="9" customHeight="1" x14ac:dyDescent="0.3">
      <c r="L41" s="20"/>
      <c r="R41" s="17"/>
      <c r="S41" s="17"/>
      <c r="T41" s="17"/>
      <c r="U41" s="17"/>
      <c r="V41" s="17"/>
      <c r="W41" s="17"/>
      <c r="X41" s="17"/>
      <c r="Y41" s="17"/>
      <c r="Z41" s="21"/>
      <c r="AJ41" s="19"/>
      <c r="AK41" s="21"/>
    </row>
    <row r="42" spans="2:45" ht="9" customHeight="1" x14ac:dyDescent="0.3">
      <c r="L42" s="20"/>
      <c r="R42" s="17"/>
      <c r="S42" s="17"/>
      <c r="T42" s="17"/>
      <c r="U42" s="17"/>
      <c r="V42" s="17"/>
      <c r="W42" s="17"/>
      <c r="X42" s="17"/>
      <c r="Y42" s="17"/>
      <c r="Z42" s="21"/>
      <c r="AJ42" s="19"/>
      <c r="AK42" s="21"/>
    </row>
    <row r="43" spans="2:45" s="2" customFormat="1" ht="30" customHeight="1" x14ac:dyDescent="0.25">
      <c r="B43" s="261"/>
      <c r="C43" s="341" t="s">
        <v>45</v>
      </c>
      <c r="D43" s="341"/>
      <c r="E43" s="341"/>
      <c r="F43" s="341"/>
      <c r="G43" s="341"/>
      <c r="H43" s="261"/>
      <c r="I43" s="261"/>
      <c r="K43" s="261" t="s">
        <v>19</v>
      </c>
      <c r="L43" s="261"/>
      <c r="M43" s="261"/>
      <c r="N43" s="261"/>
      <c r="O43" s="261"/>
      <c r="P43" s="261"/>
      <c r="R43" s="342" t="s">
        <v>54</v>
      </c>
      <c r="S43" s="342"/>
      <c r="T43" s="342"/>
      <c r="U43" s="342"/>
      <c r="V43" s="261"/>
      <c r="W43" s="261"/>
      <c r="X43" s="262" t="s">
        <v>168</v>
      </c>
      <c r="Y43" s="262"/>
      <c r="Z43" s="262"/>
      <c r="AA43" s="262"/>
      <c r="AB43" s="109"/>
      <c r="AC43" s="109"/>
      <c r="AD43" s="261" t="s">
        <v>20</v>
      </c>
      <c r="AE43" s="261"/>
      <c r="AF43" s="261"/>
      <c r="AG43" s="261"/>
      <c r="AI43" s="261"/>
      <c r="AJ43" s="261"/>
      <c r="AK43" s="261"/>
      <c r="AL43" s="261"/>
      <c r="AM43" s="261" t="s">
        <v>20</v>
      </c>
      <c r="AN43" s="261"/>
      <c r="AO43" s="261"/>
      <c r="AP43" s="261"/>
      <c r="AQ43" s="261"/>
      <c r="AR43" s="142"/>
      <c r="AS43" s="142"/>
    </row>
    <row r="44" spans="2:45" s="2" customFormat="1" ht="30" customHeight="1" x14ac:dyDescent="0.25">
      <c r="B44" s="261"/>
      <c r="C44" s="341" t="s">
        <v>38</v>
      </c>
      <c r="D44" s="341"/>
      <c r="E44" s="341"/>
      <c r="F44" s="341"/>
      <c r="G44" s="341"/>
      <c r="H44" s="261"/>
      <c r="I44" s="261"/>
      <c r="J44" s="261"/>
      <c r="K44" s="261"/>
      <c r="L44" s="22"/>
      <c r="M44" s="261"/>
      <c r="N44" s="261"/>
      <c r="O44" s="261"/>
      <c r="P44" s="261"/>
      <c r="Q44" s="201"/>
      <c r="R44" s="261"/>
      <c r="S44" s="261"/>
      <c r="T44" s="261"/>
      <c r="U44" s="261"/>
      <c r="V44" s="261"/>
      <c r="W44" s="261"/>
      <c r="X44" s="261"/>
      <c r="Y44" s="261"/>
      <c r="Z44" s="261"/>
      <c r="AA44" s="261"/>
      <c r="AB44" s="261"/>
      <c r="AC44" s="261"/>
      <c r="AD44" s="261"/>
      <c r="AE44" s="261"/>
      <c r="AF44" s="261"/>
      <c r="AG44" s="261"/>
      <c r="AI44" s="261"/>
      <c r="AJ44" s="261"/>
      <c r="AK44" s="261"/>
      <c r="AL44" s="261"/>
      <c r="AM44" s="261"/>
      <c r="AN44" s="261"/>
      <c r="AO44" s="261"/>
      <c r="AP44" s="261"/>
      <c r="AQ44" s="261"/>
      <c r="AR44" s="261"/>
      <c r="AS44" s="261"/>
    </row>
    <row r="45" spans="2:45" s="2" customFormat="1" ht="30" customHeight="1" x14ac:dyDescent="0.25"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2"/>
      <c r="M45" s="261"/>
      <c r="N45" s="261"/>
      <c r="O45" s="261"/>
      <c r="P45" s="82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1"/>
    </row>
    <row r="46" spans="2:45" s="2" customFormat="1" ht="30" customHeight="1" x14ac:dyDescent="0.25">
      <c r="B46" s="261"/>
      <c r="C46" s="261" t="s">
        <v>21</v>
      </c>
      <c r="D46" s="262"/>
      <c r="E46" s="261"/>
      <c r="F46" s="261" t="s">
        <v>95</v>
      </c>
      <c r="G46" s="261" t="s">
        <v>64</v>
      </c>
      <c r="H46" s="261"/>
      <c r="I46" s="261"/>
      <c r="J46" s="261"/>
      <c r="K46" s="261"/>
      <c r="L46" s="262"/>
      <c r="M46" s="261"/>
      <c r="N46" s="261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  <c r="AA46" s="261"/>
      <c r="AB46" s="261"/>
      <c r="AC46" s="261"/>
      <c r="AD46" s="178" t="s">
        <v>108</v>
      </c>
      <c r="AE46" s="262"/>
      <c r="AF46" s="262"/>
      <c r="AG46" s="262"/>
      <c r="AH46" s="117"/>
      <c r="AI46" s="262"/>
      <c r="AJ46" s="262"/>
      <c r="AK46" s="262"/>
      <c r="AL46" s="262"/>
      <c r="AM46" s="262"/>
      <c r="AN46" s="262"/>
      <c r="AO46" s="262"/>
      <c r="AP46" s="262"/>
      <c r="AQ46" s="262"/>
      <c r="AR46" s="109"/>
      <c r="AS46" s="109"/>
    </row>
    <row r="47" spans="2:45" s="2" customFormat="1" ht="30" customHeight="1" x14ac:dyDescent="0.25">
      <c r="B47" s="261"/>
      <c r="C47" s="261" t="s">
        <v>22</v>
      </c>
      <c r="D47" s="23"/>
      <c r="E47" s="261"/>
      <c r="F47" s="261" t="s">
        <v>96</v>
      </c>
      <c r="G47" s="261" t="s">
        <v>25</v>
      </c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  <c r="AA47" s="261"/>
      <c r="AB47" s="261"/>
      <c r="AC47" s="261"/>
      <c r="AD47" s="177" t="s">
        <v>123</v>
      </c>
      <c r="AE47" s="261"/>
      <c r="AF47" s="261"/>
      <c r="AG47" s="261"/>
      <c r="AI47" s="261"/>
      <c r="AJ47" s="261"/>
      <c r="AK47" s="261"/>
      <c r="AL47" s="261"/>
      <c r="AM47" s="261"/>
      <c r="AN47" s="261"/>
      <c r="AO47" s="261"/>
      <c r="AP47" s="261"/>
      <c r="AQ47" s="261"/>
      <c r="AR47" s="261"/>
      <c r="AS47" s="261"/>
    </row>
    <row r="48" spans="2:45" s="2" customFormat="1" ht="30" customHeight="1" x14ac:dyDescent="0.25">
      <c r="B48" s="261"/>
      <c r="C48" s="261" t="s">
        <v>23</v>
      </c>
      <c r="D48" s="23"/>
      <c r="E48" s="261"/>
      <c r="F48" s="261" t="s">
        <v>97</v>
      </c>
      <c r="G48" s="261" t="s">
        <v>78</v>
      </c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177" t="s">
        <v>109</v>
      </c>
      <c r="AE48" s="261"/>
      <c r="AF48" s="261"/>
      <c r="AG48" s="261"/>
      <c r="AI48" s="261"/>
      <c r="AJ48" s="261"/>
      <c r="AK48" s="261"/>
      <c r="AL48" s="261"/>
      <c r="AM48" s="261"/>
      <c r="AN48" s="261"/>
      <c r="AO48" s="261"/>
      <c r="AP48" s="261"/>
      <c r="AQ48" s="261"/>
      <c r="AR48" s="261"/>
      <c r="AS48" s="261"/>
    </row>
    <row r="49" spans="2:45" s="2" customFormat="1" ht="30" customHeight="1" x14ac:dyDescent="0.25">
      <c r="B49" s="261"/>
      <c r="C49" s="261" t="s">
        <v>24</v>
      </c>
      <c r="D49" s="23"/>
      <c r="E49" s="261"/>
      <c r="F49" s="261" t="s">
        <v>98</v>
      </c>
      <c r="G49" s="261" t="s">
        <v>63</v>
      </c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  <c r="AA49" s="261"/>
      <c r="AB49" s="261"/>
      <c r="AC49" s="261"/>
      <c r="AD49" s="177" t="s">
        <v>122</v>
      </c>
      <c r="AE49" s="261"/>
      <c r="AF49" s="261"/>
      <c r="AG49" s="261"/>
      <c r="AI49" s="261"/>
      <c r="AJ49" s="261"/>
      <c r="AK49" s="261"/>
      <c r="AL49" s="261"/>
      <c r="AM49" s="261"/>
      <c r="AN49" s="261"/>
      <c r="AO49" s="261"/>
      <c r="AP49" s="261"/>
      <c r="AQ49" s="261"/>
      <c r="AR49" s="261"/>
      <c r="AS49" s="261"/>
    </row>
    <row r="50" spans="2:45" s="2" customFormat="1" ht="30" customHeight="1" x14ac:dyDescent="0.25">
      <c r="AI50" s="261"/>
      <c r="AJ50" s="261"/>
    </row>
    <row r="51" spans="2:45" s="10" customFormat="1" ht="20.25" x14ac:dyDescent="0.25">
      <c r="Y51" s="10" t="s">
        <v>105</v>
      </c>
    </row>
    <row r="52" spans="2:45" s="114" customFormat="1" x14ac:dyDescent="0.25">
      <c r="AJ52" s="115"/>
    </row>
    <row r="53" spans="2:45" s="114" customFormat="1" x14ac:dyDescent="0.25">
      <c r="AJ53" s="115"/>
    </row>
  </sheetData>
  <mergeCells count="84">
    <mergeCell ref="B7:AR7"/>
    <mergeCell ref="B1:AR1"/>
    <mergeCell ref="B2:AR2"/>
    <mergeCell ref="B3:AR3"/>
    <mergeCell ref="B4:AR4"/>
    <mergeCell ref="B6:AR6"/>
    <mergeCell ref="B8:AR8"/>
    <mergeCell ref="B16:B19"/>
    <mergeCell ref="C16:C19"/>
    <mergeCell ref="D16:D19"/>
    <mergeCell ref="E16:E19"/>
    <mergeCell ref="F16:F19"/>
    <mergeCell ref="G16:P16"/>
    <mergeCell ref="Q16:Q18"/>
    <mergeCell ref="R16:AA16"/>
    <mergeCell ref="AB16:AH16"/>
    <mergeCell ref="AP16:AP18"/>
    <mergeCell ref="AQ16:AQ18"/>
    <mergeCell ref="K17:M17"/>
    <mergeCell ref="T17:U17"/>
    <mergeCell ref="W17:Y17"/>
    <mergeCell ref="Z17:Z18"/>
    <mergeCell ref="AA17:AA18"/>
    <mergeCell ref="AB17:AB18"/>
    <mergeCell ref="AC17:AC18"/>
    <mergeCell ref="AD17:AD18"/>
    <mergeCell ref="AI16:AI18"/>
    <mergeCell ref="AG17:AG18"/>
    <mergeCell ref="AH17:AH18"/>
    <mergeCell ref="AJ16:AJ18"/>
    <mergeCell ref="AK16:AK18"/>
    <mergeCell ref="AL16:AM17"/>
    <mergeCell ref="AN16:AN18"/>
    <mergeCell ref="AO16:AO18"/>
    <mergeCell ref="B21:D21"/>
    <mergeCell ref="B23:B30"/>
    <mergeCell ref="C23:C24"/>
    <mergeCell ref="C25:C26"/>
    <mergeCell ref="C27:C28"/>
    <mergeCell ref="C29:C30"/>
    <mergeCell ref="O36:O37"/>
    <mergeCell ref="B34:C34"/>
    <mergeCell ref="B35:C37"/>
    <mergeCell ref="D35:F35"/>
    <mergeCell ref="D36:F37"/>
    <mergeCell ref="G36:G37"/>
    <mergeCell ref="I36:I37"/>
    <mergeCell ref="J36:J37"/>
    <mergeCell ref="K36:K37"/>
    <mergeCell ref="L36:L37"/>
    <mergeCell ref="M36:M37"/>
    <mergeCell ref="N36:N37"/>
    <mergeCell ref="AR36:AR37"/>
    <mergeCell ref="C43:G43"/>
    <mergeCell ref="R43:U43"/>
    <mergeCell ref="AH36:AH37"/>
    <mergeCell ref="AI36:AI37"/>
    <mergeCell ref="AJ36:AJ37"/>
    <mergeCell ref="AK36:AK37"/>
    <mergeCell ref="AL36:AL37"/>
    <mergeCell ref="AM36:AM37"/>
    <mergeCell ref="AB36:AB37"/>
    <mergeCell ref="AC36:AC37"/>
    <mergeCell ref="AD36:AD37"/>
    <mergeCell ref="AE36:AE37"/>
    <mergeCell ref="AF36:AF37"/>
    <mergeCell ref="AG36:AG37"/>
    <mergeCell ref="V36:V37"/>
    <mergeCell ref="C44:G44"/>
    <mergeCell ref="AN36:AN37"/>
    <mergeCell ref="AO36:AO37"/>
    <mergeCell ref="AP36:AP37"/>
    <mergeCell ref="AQ36:AQ37"/>
    <mergeCell ref="W36:W37"/>
    <mergeCell ref="X36:X37"/>
    <mergeCell ref="Y36:Y37"/>
    <mergeCell ref="Z36:Z37"/>
    <mergeCell ref="AA36:AA37"/>
    <mergeCell ref="P36:P37"/>
    <mergeCell ref="Q36:Q37"/>
    <mergeCell ref="R36:R37"/>
    <mergeCell ref="S36:S37"/>
    <mergeCell ref="T36:T37"/>
    <mergeCell ref="U36:U37"/>
  </mergeCells>
  <pageMargins left="0.19685039370078741" right="3.937007874015748E-2" top="0.43307086614173229" bottom="0.31496062992125984" header="0.31496062992125984" footer="0.31496062992125984"/>
  <pageSetup paperSize="14" scale="4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AR63"/>
  <sheetViews>
    <sheetView topLeftCell="A4" zoomScale="62" zoomScaleNormal="62" workbookViewId="0">
      <selection activeCell="D26" sqref="D26"/>
    </sheetView>
  </sheetViews>
  <sheetFormatPr defaultRowHeight="16.5" x14ac:dyDescent="0.3"/>
  <cols>
    <col min="1" max="1" width="0.140625" style="3" customWidth="1"/>
    <col min="2" max="2" width="14.28515625" style="3" customWidth="1"/>
    <col min="3" max="3" width="17.7109375" style="3" customWidth="1"/>
    <col min="4" max="4" width="37" style="3" customWidth="1"/>
    <col min="5" max="5" width="20.140625" style="3" customWidth="1"/>
    <col min="6" max="6" width="32.5703125" style="3" customWidth="1"/>
    <col min="7" max="7" width="12.85546875" style="3" hidden="1" customWidth="1"/>
    <col min="8" max="8" width="10.7109375" style="3" hidden="1" customWidth="1"/>
    <col min="9" max="9" width="13" style="3" hidden="1" customWidth="1"/>
    <col min="10" max="10" width="30.28515625" style="3" customWidth="1"/>
    <col min="11" max="12" width="11.5703125" style="3" hidden="1" customWidth="1"/>
    <col min="13" max="13" width="11.42578125" style="3" hidden="1" customWidth="1"/>
    <col min="14" max="14" width="11.85546875" style="3" hidden="1" customWidth="1"/>
    <col min="15" max="15" width="15.28515625" style="3" customWidth="1"/>
    <col min="16" max="16" width="9.140625" style="3" hidden="1" customWidth="1"/>
    <col min="17" max="17" width="10" style="3" hidden="1" customWidth="1"/>
    <col min="18" max="18" width="9" style="3" hidden="1" customWidth="1"/>
    <col min="19" max="19" width="9.28515625" style="3" hidden="1" customWidth="1"/>
    <col min="20" max="20" width="12.7109375" style="3" customWidth="1"/>
    <col min="21" max="21" width="11.5703125" style="3" customWidth="1"/>
    <col min="22" max="22" width="11.85546875" style="3" customWidth="1"/>
    <col min="23" max="23" width="11.7109375" style="3" customWidth="1"/>
    <col min="24" max="24" width="15.28515625" style="3" customWidth="1"/>
    <col min="25" max="25" width="8" style="3" hidden="1" customWidth="1"/>
    <col min="26" max="27" width="4.28515625" style="3" hidden="1" customWidth="1"/>
    <col min="28" max="28" width="3.7109375" style="3" hidden="1" customWidth="1"/>
    <col min="29" max="29" width="13.5703125" style="3" customWidth="1"/>
    <col min="30" max="30" width="1.42578125" style="3" hidden="1" customWidth="1"/>
    <col min="31" max="31" width="14.85546875" style="4" customWidth="1"/>
    <col min="32" max="32" width="13.140625" style="3" customWidth="1"/>
    <col min="33" max="33" width="7.42578125" style="3" hidden="1" customWidth="1"/>
    <col min="34" max="34" width="0.7109375" style="3" hidden="1" customWidth="1"/>
    <col min="35" max="35" width="14.140625" style="3" customWidth="1"/>
    <col min="36" max="36" width="8" style="3" hidden="1" customWidth="1"/>
    <col min="37" max="37" width="6.85546875" style="3" hidden="1" customWidth="1"/>
    <col min="38" max="38" width="9.140625" style="3" hidden="1" customWidth="1"/>
    <col min="39" max="39" width="27.5703125" style="3" customWidth="1"/>
    <col min="40" max="16384" width="9.140625" style="3"/>
  </cols>
  <sheetData>
    <row r="1" spans="2:39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</row>
    <row r="2" spans="2:39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</row>
    <row r="3" spans="2:39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</row>
    <row r="4" spans="2:39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</row>
    <row r="5" spans="2:39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</row>
    <row r="7" spans="2:39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</row>
    <row r="8" spans="2:39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</row>
    <row r="9" spans="2:39" ht="8.25" customHeight="1" x14ac:dyDescent="0.3"/>
    <row r="10" spans="2:39" s="2" customFormat="1" ht="20.100000000000001" customHeight="1" x14ac:dyDescent="0.25">
      <c r="B10" s="261" t="s">
        <v>7</v>
      </c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</row>
    <row r="11" spans="2:39" s="2" customFormat="1" ht="20.100000000000001" customHeight="1" x14ac:dyDescent="0.25">
      <c r="B11" s="261" t="s">
        <v>8</v>
      </c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</row>
    <row r="12" spans="2:39" s="2" customFormat="1" ht="20.100000000000001" customHeight="1" x14ac:dyDescent="0.25">
      <c r="B12" s="261" t="s">
        <v>65</v>
      </c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</row>
    <row r="13" spans="2:39" s="2" customFormat="1" ht="26.25" customHeight="1" x14ac:dyDescent="0.25">
      <c r="B13" s="261" t="s">
        <v>174</v>
      </c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</row>
    <row r="14" spans="2:39" s="7" customFormat="1" ht="18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39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2:39" s="121" customFormat="1" ht="27" customHeight="1" x14ac:dyDescent="0.25">
      <c r="B16" s="345" t="s">
        <v>9</v>
      </c>
      <c r="C16" s="348" t="s">
        <v>181</v>
      </c>
      <c r="D16" s="351" t="s">
        <v>10</v>
      </c>
      <c r="E16" s="351" t="s">
        <v>11</v>
      </c>
      <c r="F16" s="351" t="s">
        <v>46</v>
      </c>
      <c r="G16" s="354" t="s">
        <v>87</v>
      </c>
      <c r="H16" s="355"/>
      <c r="I16" s="355"/>
      <c r="J16" s="355"/>
      <c r="K16" s="355"/>
      <c r="L16" s="355"/>
      <c r="M16" s="355"/>
      <c r="N16" s="356"/>
      <c r="O16" s="351" t="s">
        <v>69</v>
      </c>
      <c r="P16" s="354" t="s">
        <v>59</v>
      </c>
      <c r="Q16" s="355"/>
      <c r="R16" s="355"/>
      <c r="S16" s="355"/>
      <c r="T16" s="355"/>
      <c r="U16" s="355"/>
      <c r="V16" s="355"/>
      <c r="W16" s="356"/>
      <c r="X16" s="357" t="s">
        <v>29</v>
      </c>
      <c r="Y16" s="357"/>
      <c r="Z16" s="357"/>
      <c r="AA16" s="357"/>
      <c r="AB16" s="357"/>
      <c r="AC16" s="357"/>
      <c r="AD16" s="375" t="s">
        <v>53</v>
      </c>
      <c r="AE16" s="360" t="s">
        <v>48</v>
      </c>
      <c r="AF16" s="360" t="s">
        <v>58</v>
      </c>
      <c r="AG16" s="378" t="s">
        <v>62</v>
      </c>
      <c r="AH16" s="378"/>
      <c r="AI16" s="360" t="s">
        <v>47</v>
      </c>
      <c r="AJ16" s="351" t="s">
        <v>16</v>
      </c>
      <c r="AK16" s="360" t="s">
        <v>39</v>
      </c>
      <c r="AL16" s="360" t="s">
        <v>68</v>
      </c>
      <c r="AM16" s="164" t="s">
        <v>41</v>
      </c>
    </row>
    <row r="17" spans="2:42" s="121" customFormat="1" ht="49.5" customHeight="1" x14ac:dyDescent="0.25">
      <c r="B17" s="346"/>
      <c r="C17" s="349"/>
      <c r="D17" s="352"/>
      <c r="E17" s="352"/>
      <c r="F17" s="352"/>
      <c r="G17" s="266" t="s">
        <v>26</v>
      </c>
      <c r="H17" s="266" t="s">
        <v>30</v>
      </c>
      <c r="I17" s="265" t="s">
        <v>57</v>
      </c>
      <c r="J17" s="362" t="s">
        <v>67</v>
      </c>
      <c r="K17" s="363"/>
      <c r="L17" s="364"/>
      <c r="M17" s="265" t="s">
        <v>57</v>
      </c>
      <c r="N17" s="265" t="s">
        <v>66</v>
      </c>
      <c r="O17" s="352"/>
      <c r="P17" s="265" t="s">
        <v>55</v>
      </c>
      <c r="Q17" s="266" t="s">
        <v>27</v>
      </c>
      <c r="R17" s="365" t="s">
        <v>56</v>
      </c>
      <c r="S17" s="365"/>
      <c r="T17" s="366" t="s">
        <v>28</v>
      </c>
      <c r="U17" s="366"/>
      <c r="V17" s="379" t="s">
        <v>71</v>
      </c>
      <c r="W17" s="379" t="s">
        <v>15</v>
      </c>
      <c r="X17" s="358" t="s">
        <v>72</v>
      </c>
      <c r="Y17" s="358" t="s">
        <v>73</v>
      </c>
      <c r="Z17" s="264" t="s">
        <v>50</v>
      </c>
      <c r="AA17" s="264" t="s">
        <v>51</v>
      </c>
      <c r="AB17" s="358" t="s">
        <v>74</v>
      </c>
      <c r="AC17" s="358" t="s">
        <v>77</v>
      </c>
      <c r="AD17" s="376"/>
      <c r="AE17" s="361"/>
      <c r="AF17" s="361"/>
      <c r="AG17" s="365"/>
      <c r="AH17" s="365"/>
      <c r="AI17" s="361"/>
      <c r="AJ17" s="352"/>
      <c r="AK17" s="361"/>
      <c r="AL17" s="361"/>
      <c r="AM17" s="165" t="s">
        <v>42</v>
      </c>
    </row>
    <row r="18" spans="2:42" s="121" customFormat="1" ht="24" customHeight="1" x14ac:dyDescent="0.25">
      <c r="B18" s="346"/>
      <c r="C18" s="349"/>
      <c r="D18" s="352"/>
      <c r="E18" s="352"/>
      <c r="F18" s="352"/>
      <c r="G18" s="263" t="s">
        <v>70</v>
      </c>
      <c r="H18" s="263">
        <v>200</v>
      </c>
      <c r="I18" s="263" t="s">
        <v>70</v>
      </c>
      <c r="J18" s="264" t="s">
        <v>75</v>
      </c>
      <c r="K18" s="264" t="s">
        <v>49</v>
      </c>
      <c r="L18" s="264" t="s">
        <v>52</v>
      </c>
      <c r="M18" s="263" t="s">
        <v>76</v>
      </c>
      <c r="N18" s="263" t="s">
        <v>76</v>
      </c>
      <c r="O18" s="353"/>
      <c r="P18" s="264">
        <v>2.4</v>
      </c>
      <c r="Q18" s="263">
        <v>3.6</v>
      </c>
      <c r="R18" s="265">
        <v>2.4</v>
      </c>
      <c r="S18" s="265">
        <v>3.6</v>
      </c>
      <c r="T18" s="266">
        <v>3.6</v>
      </c>
      <c r="U18" s="266">
        <v>2.4</v>
      </c>
      <c r="V18" s="353"/>
      <c r="W18" s="353"/>
      <c r="X18" s="359"/>
      <c r="Y18" s="359"/>
      <c r="Z18" s="264"/>
      <c r="AA18" s="264"/>
      <c r="AB18" s="359"/>
      <c r="AC18" s="359"/>
      <c r="AD18" s="377"/>
      <c r="AE18" s="359"/>
      <c r="AF18" s="359"/>
      <c r="AG18" s="263" t="s">
        <v>36</v>
      </c>
      <c r="AH18" s="263" t="s">
        <v>37</v>
      </c>
      <c r="AI18" s="359"/>
      <c r="AJ18" s="353"/>
      <c r="AK18" s="359"/>
      <c r="AL18" s="359"/>
      <c r="AM18" s="166" t="s">
        <v>43</v>
      </c>
    </row>
    <row r="19" spans="2:42" s="144" customFormat="1" ht="25.5" customHeight="1" x14ac:dyDescent="0.25">
      <c r="B19" s="347"/>
      <c r="C19" s="350"/>
      <c r="D19" s="353"/>
      <c r="E19" s="353"/>
      <c r="F19" s="353"/>
      <c r="G19" s="263" t="s">
        <v>12</v>
      </c>
      <c r="H19" s="263" t="s">
        <v>12</v>
      </c>
      <c r="I19" s="263" t="s">
        <v>12</v>
      </c>
      <c r="J19" s="263" t="s">
        <v>12</v>
      </c>
      <c r="K19" s="263" t="s">
        <v>12</v>
      </c>
      <c r="L19" s="263" t="s">
        <v>12</v>
      </c>
      <c r="M19" s="263" t="s">
        <v>12</v>
      </c>
      <c r="N19" s="263" t="s">
        <v>12</v>
      </c>
      <c r="O19" s="167" t="s">
        <v>14</v>
      </c>
      <c r="P19" s="263" t="s">
        <v>12</v>
      </c>
      <c r="Q19" s="263" t="s">
        <v>12</v>
      </c>
      <c r="R19" s="263" t="s">
        <v>12</v>
      </c>
      <c r="S19" s="263" t="s">
        <v>12</v>
      </c>
      <c r="T19" s="263" t="s">
        <v>12</v>
      </c>
      <c r="U19" s="263" t="s">
        <v>12</v>
      </c>
      <c r="V19" s="168" t="s">
        <v>12</v>
      </c>
      <c r="W19" s="263" t="s">
        <v>12</v>
      </c>
      <c r="X19" s="169" t="s">
        <v>13</v>
      </c>
      <c r="Y19" s="169" t="s">
        <v>13</v>
      </c>
      <c r="Z19" s="169" t="s">
        <v>13</v>
      </c>
      <c r="AA19" s="169" t="s">
        <v>13</v>
      </c>
      <c r="AB19" s="169" t="s">
        <v>13</v>
      </c>
      <c r="AC19" s="169" t="s">
        <v>13</v>
      </c>
      <c r="AD19" s="169" t="s">
        <v>13</v>
      </c>
      <c r="AE19" s="169" t="s">
        <v>13</v>
      </c>
      <c r="AF19" s="168" t="s">
        <v>13</v>
      </c>
      <c r="AG19" s="263" t="s">
        <v>12</v>
      </c>
      <c r="AH19" s="263" t="s">
        <v>12</v>
      </c>
      <c r="AI19" s="266" t="s">
        <v>12</v>
      </c>
      <c r="AJ19" s="168" t="s">
        <v>14</v>
      </c>
      <c r="AK19" s="266"/>
      <c r="AL19" s="263"/>
      <c r="AM19" s="166"/>
    </row>
    <row r="20" spans="2:42" s="4" customFormat="1" ht="9.75" customHeight="1" x14ac:dyDescent="0.25">
      <c r="B20" s="27"/>
      <c r="C20" s="28"/>
      <c r="D20" s="28"/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30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32"/>
      <c r="AF20" s="29"/>
      <c r="AG20" s="28"/>
      <c r="AH20" s="33"/>
      <c r="AI20" s="33"/>
      <c r="AJ20" s="33"/>
      <c r="AK20" s="33"/>
      <c r="AL20" s="33"/>
      <c r="AM20" s="34"/>
    </row>
    <row r="21" spans="2:42" s="2" customFormat="1" ht="44.25" customHeight="1" x14ac:dyDescent="0.25">
      <c r="B21" s="318" t="str">
        <f>'APRIL 2026 - PMC  '!B21:D21</f>
        <v>Beginning Stock as of as of  April 1, 2026</v>
      </c>
      <c r="C21" s="319"/>
      <c r="D21" s="320"/>
      <c r="E21" s="64"/>
      <c r="F21" s="64"/>
      <c r="G21" s="132" t="e">
        <f>#REF!</f>
        <v>#REF!</v>
      </c>
      <c r="H21" s="132" t="e">
        <f>#REF!</f>
        <v>#REF!</v>
      </c>
      <c r="I21" s="132" t="e">
        <f>#REF!</f>
        <v>#REF!</v>
      </c>
      <c r="J21" s="132">
        <f>'FEBRUARY 2026 - EXPLO'!J31</f>
        <v>0</v>
      </c>
      <c r="K21" s="132">
        <f>'FEBRUARY 2026 - EXPLO'!K31</f>
        <v>0</v>
      </c>
      <c r="L21" s="132">
        <f>'FEBRUARY 2026 - EXPLO'!L31</f>
        <v>0</v>
      </c>
      <c r="M21" s="132">
        <f>'FEBRUARY 2026 - EXPLO'!M31</f>
        <v>0</v>
      </c>
      <c r="N21" s="132">
        <f>'FEBRUARY 2026 - EXPLO'!N31</f>
        <v>0</v>
      </c>
      <c r="O21" s="132">
        <f>'FEBRUARY 2026 - EXPLO'!O31</f>
        <v>0</v>
      </c>
      <c r="P21" s="132">
        <f>'FEBRUARY 2026 - EXPLO'!P31</f>
        <v>0</v>
      </c>
      <c r="Q21" s="132">
        <f>'FEBRUARY 2026 - EXPLO'!Q31</f>
        <v>0</v>
      </c>
      <c r="R21" s="132">
        <f>'FEBRUARY 2026 - EXPLO'!R31</f>
        <v>0</v>
      </c>
      <c r="S21" s="132">
        <f>'FEBRUARY 2026 - EXPLO'!S31</f>
        <v>0</v>
      </c>
      <c r="T21" s="132">
        <f>'FEBRUARY 2026 - EXPLO'!T31</f>
        <v>0</v>
      </c>
      <c r="U21" s="132">
        <f>'FEBRUARY 2026 - EXPLO'!U31</f>
        <v>0</v>
      </c>
      <c r="V21" s="132">
        <f>'FEBRUARY 2026 - EXPLO'!V31</f>
        <v>0</v>
      </c>
      <c r="W21" s="132">
        <f>'FEBRUARY 2026 - EXPLO'!W31</f>
        <v>0</v>
      </c>
      <c r="X21" s="132">
        <f>'FEBRUARY 2026 - EXPLO'!X31</f>
        <v>0</v>
      </c>
      <c r="Y21" s="132">
        <f>'FEBRUARY 2026 - EXPLO'!Y31</f>
        <v>0</v>
      </c>
      <c r="Z21" s="132">
        <f>'FEBRUARY 2026 - EXPLO'!Z31</f>
        <v>0</v>
      </c>
      <c r="AA21" s="132">
        <f>'FEBRUARY 2026 - EXPLO'!AA31</f>
        <v>0</v>
      </c>
      <c r="AB21" s="132">
        <f>'FEBRUARY 2026 - EXPLO'!AB31</f>
        <v>0</v>
      </c>
      <c r="AC21" s="132">
        <f>'FEBRUARY 2026 - EXPLO'!AC31</f>
        <v>0</v>
      </c>
      <c r="AD21" s="132">
        <f>'FEBRUARY 2026 - EXPLO'!AD31</f>
        <v>0</v>
      </c>
      <c r="AE21" s="132">
        <f>'FEBRUARY 2026 - EXPLO'!AE31</f>
        <v>0</v>
      </c>
      <c r="AF21" s="132">
        <f>'FEBRUARY 2026 - EXPLO'!AF31</f>
        <v>0</v>
      </c>
      <c r="AG21" s="132">
        <f>'FEBRUARY 2026 - EXPLO'!AG31</f>
        <v>0</v>
      </c>
      <c r="AH21" s="132">
        <f>'FEBRUARY 2026 - EXPLO'!AH31</f>
        <v>0</v>
      </c>
      <c r="AI21" s="132">
        <f>'FEBRUARY 2026 - EXPLO'!AI31</f>
        <v>0</v>
      </c>
      <c r="AJ21" s="132" t="e">
        <f>'FEBRUARY 2026 - EXPLO'!AJ31</f>
        <v>#REF!</v>
      </c>
      <c r="AK21" s="132" t="e">
        <f>'FEBRUARY 2026 - EXPLO'!AK31</f>
        <v>#REF!</v>
      </c>
      <c r="AL21" s="132" t="e">
        <f>'FEBRUARY 2026 - EXPLO'!AL31</f>
        <v>#REF!</v>
      </c>
      <c r="AM21" s="145"/>
    </row>
    <row r="22" spans="2:42" s="2" customFormat="1" ht="5.25" customHeight="1" x14ac:dyDescent="0.25">
      <c r="B22" s="146"/>
      <c r="C22" s="62"/>
      <c r="D22" s="62"/>
      <c r="E22" s="38"/>
      <c r="F22" s="38"/>
      <c r="G22" s="147"/>
      <c r="H22" s="147"/>
      <c r="I22" s="147"/>
      <c r="J22" s="147"/>
      <c r="K22" s="147"/>
      <c r="L22" s="147"/>
      <c r="M22" s="147"/>
      <c r="N22" s="147"/>
      <c r="O22" s="39"/>
      <c r="P22" s="148"/>
      <c r="Q22" s="148"/>
      <c r="R22" s="148"/>
      <c r="S22" s="148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39"/>
      <c r="AE22" s="39"/>
      <c r="AF22" s="147"/>
      <c r="AG22" s="39"/>
      <c r="AH22" s="39"/>
      <c r="AI22" s="39"/>
      <c r="AJ22" s="147"/>
      <c r="AK22" s="147"/>
      <c r="AL22" s="149"/>
      <c r="AM22" s="145"/>
    </row>
    <row r="23" spans="2:42" s="13" customFormat="1" ht="34.5" customHeight="1" x14ac:dyDescent="0.25">
      <c r="B23" s="260"/>
      <c r="C23" s="150"/>
      <c r="D23" s="40" t="s">
        <v>80</v>
      </c>
      <c r="E23" s="40" t="s">
        <v>33</v>
      </c>
      <c r="F23" s="40" t="s">
        <v>60</v>
      </c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39"/>
      <c r="AF23" s="147"/>
      <c r="AG23" s="147"/>
      <c r="AH23" s="147"/>
      <c r="AI23" s="147"/>
      <c r="AJ23" s="147"/>
      <c r="AK23" s="147"/>
      <c r="AL23" s="149"/>
      <c r="AM23" s="151" t="s">
        <v>44</v>
      </c>
    </row>
    <row r="24" spans="2:42" s="13" customFormat="1" ht="34.5" hidden="1" customHeight="1" x14ac:dyDescent="0.25">
      <c r="B24" s="260"/>
      <c r="C24" s="150"/>
      <c r="D24" s="40" t="s">
        <v>80</v>
      </c>
      <c r="E24" s="40" t="s">
        <v>33</v>
      </c>
      <c r="F24" s="40" t="s">
        <v>60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39"/>
      <c r="AF24" s="147"/>
      <c r="AG24" s="147"/>
      <c r="AH24" s="147"/>
      <c r="AI24" s="147"/>
      <c r="AJ24" s="147"/>
      <c r="AK24" s="147"/>
      <c r="AL24" s="149"/>
      <c r="AM24" s="151" t="s">
        <v>44</v>
      </c>
    </row>
    <row r="25" spans="2:42" s="2" customFormat="1" ht="34.5" customHeight="1" x14ac:dyDescent="0.25">
      <c r="B25" s="41" t="s">
        <v>34</v>
      </c>
      <c r="C25" s="152"/>
      <c r="D25" s="153"/>
      <c r="E25" s="38"/>
      <c r="F25" s="38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9"/>
      <c r="AM25" s="145"/>
    </row>
    <row r="26" spans="2:42" s="2" customFormat="1" ht="34.5" customHeight="1" x14ac:dyDescent="0.25">
      <c r="B26" s="41" t="s">
        <v>35</v>
      </c>
      <c r="C26" s="40"/>
      <c r="D26" s="38"/>
      <c r="E26" s="38"/>
      <c r="F26" s="38"/>
      <c r="G26" s="147"/>
      <c r="H26" s="147"/>
      <c r="I26" s="147"/>
      <c r="J26" s="147"/>
      <c r="K26" s="147"/>
      <c r="L26" s="147"/>
      <c r="M26" s="147"/>
      <c r="N26" s="147"/>
      <c r="O26" s="39"/>
      <c r="P26" s="39"/>
      <c r="Q26" s="39"/>
      <c r="R26" s="39"/>
      <c r="S26" s="39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39"/>
      <c r="AE26" s="39"/>
      <c r="AF26" s="147"/>
      <c r="AG26" s="39"/>
      <c r="AH26" s="39"/>
      <c r="AI26" s="39"/>
      <c r="AJ26" s="147"/>
      <c r="AK26" s="147"/>
      <c r="AL26" s="149"/>
      <c r="AM26" s="145"/>
    </row>
    <row r="27" spans="2:42" s="13" customFormat="1" ht="29.25" customHeight="1" x14ac:dyDescent="0.25">
      <c r="B27" s="154" t="s">
        <v>17</v>
      </c>
      <c r="C27" s="155"/>
      <c r="D27" s="104"/>
      <c r="E27" s="104"/>
      <c r="F27" s="104"/>
      <c r="G27" s="132" t="e">
        <f t="shared" ref="G27:AL27" si="0">SUM(G21:G26)</f>
        <v>#REF!</v>
      </c>
      <c r="H27" s="132" t="e">
        <f t="shared" si="0"/>
        <v>#REF!</v>
      </c>
      <c r="I27" s="132" t="e">
        <f t="shared" si="0"/>
        <v>#REF!</v>
      </c>
      <c r="J27" s="132">
        <f>SUM(J21:J26)</f>
        <v>0</v>
      </c>
      <c r="K27" s="132">
        <f t="shared" si="0"/>
        <v>0</v>
      </c>
      <c r="L27" s="132">
        <f t="shared" si="0"/>
        <v>0</v>
      </c>
      <c r="M27" s="132">
        <f t="shared" si="0"/>
        <v>0</v>
      </c>
      <c r="N27" s="132">
        <f t="shared" si="0"/>
        <v>0</v>
      </c>
      <c r="O27" s="132">
        <f t="shared" si="0"/>
        <v>0</v>
      </c>
      <c r="P27" s="132">
        <f t="shared" si="0"/>
        <v>0</v>
      </c>
      <c r="Q27" s="132">
        <f t="shared" si="0"/>
        <v>0</v>
      </c>
      <c r="R27" s="132">
        <f t="shared" si="0"/>
        <v>0</v>
      </c>
      <c r="S27" s="132">
        <f t="shared" si="0"/>
        <v>0</v>
      </c>
      <c r="T27" s="132">
        <f t="shared" si="0"/>
        <v>0</v>
      </c>
      <c r="U27" s="132">
        <f t="shared" si="0"/>
        <v>0</v>
      </c>
      <c r="V27" s="132">
        <f t="shared" si="0"/>
        <v>0</v>
      </c>
      <c r="W27" s="132">
        <f t="shared" si="0"/>
        <v>0</v>
      </c>
      <c r="X27" s="132">
        <f t="shared" si="0"/>
        <v>0</v>
      </c>
      <c r="Y27" s="132">
        <f t="shared" si="0"/>
        <v>0</v>
      </c>
      <c r="Z27" s="132">
        <f t="shared" si="0"/>
        <v>0</v>
      </c>
      <c r="AA27" s="132">
        <f t="shared" si="0"/>
        <v>0</v>
      </c>
      <c r="AB27" s="132">
        <f t="shared" si="0"/>
        <v>0</v>
      </c>
      <c r="AC27" s="132">
        <f t="shared" si="0"/>
        <v>0</v>
      </c>
      <c r="AD27" s="132">
        <f t="shared" si="0"/>
        <v>0</v>
      </c>
      <c r="AE27" s="132">
        <f>SUM(AE21:AE26)</f>
        <v>0</v>
      </c>
      <c r="AF27" s="132">
        <f t="shared" si="0"/>
        <v>0</v>
      </c>
      <c r="AG27" s="132">
        <f t="shared" si="0"/>
        <v>0</v>
      </c>
      <c r="AH27" s="132">
        <f t="shared" si="0"/>
        <v>0</v>
      </c>
      <c r="AI27" s="132">
        <f t="shared" si="0"/>
        <v>0</v>
      </c>
      <c r="AJ27" s="132" t="e">
        <f t="shared" si="0"/>
        <v>#REF!</v>
      </c>
      <c r="AK27" s="132" t="e">
        <f t="shared" si="0"/>
        <v>#REF!</v>
      </c>
      <c r="AL27" s="132" t="e">
        <f t="shared" si="0"/>
        <v>#REF!</v>
      </c>
      <c r="AM27" s="156"/>
    </row>
    <row r="28" spans="2:42" s="13" customFormat="1" ht="29.25" customHeight="1" x14ac:dyDescent="0.25">
      <c r="B28" s="368" t="s">
        <v>18</v>
      </c>
      <c r="C28" s="369"/>
      <c r="D28" s="39"/>
      <c r="E28" s="39"/>
      <c r="F28" s="39"/>
      <c r="G28" s="147"/>
      <c r="H28" s="147"/>
      <c r="I28" s="147"/>
      <c r="J28" s="147"/>
      <c r="K28" s="147"/>
      <c r="L28" s="147"/>
      <c r="M28" s="147"/>
      <c r="N28" s="147"/>
      <c r="O28" s="39"/>
      <c r="P28" s="39"/>
      <c r="Q28" s="39"/>
      <c r="R28" s="39"/>
      <c r="S28" s="39"/>
      <c r="T28" s="147"/>
      <c r="U28" s="147"/>
      <c r="V28" s="147"/>
      <c r="W28" s="39"/>
      <c r="X28" s="147"/>
      <c r="Y28" s="147"/>
      <c r="Z28" s="147"/>
      <c r="AA28" s="147"/>
      <c r="AB28" s="147"/>
      <c r="AC28" s="147"/>
      <c r="AD28" s="147"/>
      <c r="AE28" s="39"/>
      <c r="AF28" s="147"/>
      <c r="AG28" s="39"/>
      <c r="AH28" s="39"/>
      <c r="AI28" s="39"/>
      <c r="AJ28" s="157"/>
      <c r="AK28" s="157"/>
      <c r="AL28" s="149"/>
      <c r="AM28" s="156"/>
    </row>
    <row r="29" spans="2:42" s="13" customFormat="1" ht="57.75" customHeight="1" x14ac:dyDescent="0.25">
      <c r="B29" s="401" t="s">
        <v>155</v>
      </c>
      <c r="C29" s="402"/>
      <c r="D29" s="372" t="s">
        <v>156</v>
      </c>
      <c r="E29" s="373"/>
      <c r="F29" s="374"/>
      <c r="G29" s="158" t="e">
        <f>SUM(G23:G28)</f>
        <v>#REF!</v>
      </c>
      <c r="H29" s="158" t="e">
        <f>SUM(H23:H28)</f>
        <v>#REF!</v>
      </c>
      <c r="I29" s="158" t="e">
        <f>SUM(I23:I28)</f>
        <v>#REF!</v>
      </c>
      <c r="J29" s="158"/>
      <c r="K29" s="158"/>
      <c r="L29" s="158"/>
      <c r="M29" s="158"/>
      <c r="N29" s="158"/>
      <c r="O29" s="159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9"/>
      <c r="AF29" s="158"/>
      <c r="AG29" s="158"/>
      <c r="AH29" s="158"/>
      <c r="AI29" s="158"/>
      <c r="AJ29" s="160"/>
      <c r="AK29" s="160"/>
      <c r="AL29" s="160"/>
      <c r="AM29" s="156"/>
    </row>
    <row r="30" spans="2:42" s="13" customFormat="1" ht="57.75" hidden="1" customHeight="1" x14ac:dyDescent="0.25">
      <c r="B30" s="403"/>
      <c r="C30" s="404"/>
      <c r="D30" s="398" t="s">
        <v>154</v>
      </c>
      <c r="E30" s="399"/>
      <c r="F30" s="400"/>
      <c r="G30" s="224"/>
      <c r="H30" s="224"/>
      <c r="I30" s="224"/>
      <c r="J30" s="224"/>
      <c r="K30" s="224"/>
      <c r="L30" s="224"/>
      <c r="M30" s="224"/>
      <c r="N30" s="224"/>
      <c r="O30" s="225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5"/>
      <c r="AF30" s="224"/>
      <c r="AG30" s="224"/>
      <c r="AH30" s="224"/>
      <c r="AI30" s="224"/>
      <c r="AJ30" s="221"/>
      <c r="AK30" s="221"/>
      <c r="AL30" s="221"/>
      <c r="AM30" s="222"/>
    </row>
    <row r="31" spans="2:42" s="13" customFormat="1" ht="45.75" customHeight="1" thickBot="1" x14ac:dyDescent="0.3">
      <c r="B31" s="125" t="str">
        <f>'APRIL 2026 - PMC  '!B38</f>
        <v>Remaining Stock as of April 30,2026</v>
      </c>
      <c r="C31" s="161"/>
      <c r="D31" s="63"/>
      <c r="E31" s="63"/>
      <c r="F31" s="63"/>
      <c r="G31" s="128" t="e">
        <f t="shared" ref="G31:AL31" si="1">G27-G29</f>
        <v>#REF!</v>
      </c>
      <c r="H31" s="128" t="e">
        <f t="shared" si="1"/>
        <v>#REF!</v>
      </c>
      <c r="I31" s="128" t="e">
        <f t="shared" si="1"/>
        <v>#REF!</v>
      </c>
      <c r="J31" s="128">
        <f>J27-J29-J30</f>
        <v>0</v>
      </c>
      <c r="K31" s="128">
        <f t="shared" ref="K31:AI31" si="2">K27-K29-K30</f>
        <v>0</v>
      </c>
      <c r="L31" s="128">
        <f t="shared" si="2"/>
        <v>0</v>
      </c>
      <c r="M31" s="128">
        <f t="shared" si="2"/>
        <v>0</v>
      </c>
      <c r="N31" s="128">
        <f t="shared" si="2"/>
        <v>0</v>
      </c>
      <c r="O31" s="128">
        <f t="shared" si="2"/>
        <v>0</v>
      </c>
      <c r="P31" s="128">
        <f t="shared" si="2"/>
        <v>0</v>
      </c>
      <c r="Q31" s="128">
        <f t="shared" si="2"/>
        <v>0</v>
      </c>
      <c r="R31" s="128">
        <f t="shared" si="2"/>
        <v>0</v>
      </c>
      <c r="S31" s="128">
        <f t="shared" si="2"/>
        <v>0</v>
      </c>
      <c r="T31" s="128">
        <f t="shared" si="2"/>
        <v>0</v>
      </c>
      <c r="U31" s="128">
        <f t="shared" si="2"/>
        <v>0</v>
      </c>
      <c r="V31" s="128">
        <f t="shared" si="2"/>
        <v>0</v>
      </c>
      <c r="W31" s="128">
        <f t="shared" si="2"/>
        <v>0</v>
      </c>
      <c r="X31" s="128">
        <f>X27-X29-X30</f>
        <v>0</v>
      </c>
      <c r="Y31" s="128">
        <f t="shared" si="2"/>
        <v>0</v>
      </c>
      <c r="Z31" s="128">
        <f t="shared" si="2"/>
        <v>0</v>
      </c>
      <c r="AA31" s="128">
        <f t="shared" si="2"/>
        <v>0</v>
      </c>
      <c r="AB31" s="128">
        <f t="shared" si="2"/>
        <v>0</v>
      </c>
      <c r="AC31" s="128">
        <f t="shared" si="2"/>
        <v>0</v>
      </c>
      <c r="AD31" s="128">
        <f t="shared" si="2"/>
        <v>0</v>
      </c>
      <c r="AE31" s="128">
        <f t="shared" si="2"/>
        <v>0</v>
      </c>
      <c r="AF31" s="128">
        <f t="shared" si="2"/>
        <v>0</v>
      </c>
      <c r="AG31" s="128">
        <f t="shared" si="2"/>
        <v>0</v>
      </c>
      <c r="AH31" s="128">
        <f t="shared" si="2"/>
        <v>0</v>
      </c>
      <c r="AI31" s="128">
        <f t="shared" si="2"/>
        <v>0</v>
      </c>
      <c r="AJ31" s="128" t="e">
        <f t="shared" si="1"/>
        <v>#REF!</v>
      </c>
      <c r="AK31" s="128" t="e">
        <f t="shared" si="1"/>
        <v>#REF!</v>
      </c>
      <c r="AL31" s="128" t="e">
        <f t="shared" si="1"/>
        <v>#REF!</v>
      </c>
      <c r="AM31" s="163"/>
    </row>
    <row r="32" spans="2:42" ht="32.25" customHeight="1" x14ac:dyDescent="0.3">
      <c r="G32" s="16"/>
      <c r="H32" s="16"/>
      <c r="I32" s="16"/>
      <c r="J32" s="119"/>
      <c r="K32" s="119"/>
      <c r="L32" s="119"/>
      <c r="M32" s="119"/>
      <c r="N32" s="119"/>
      <c r="O32" s="120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20"/>
      <c r="AF32" s="119"/>
      <c r="AG32" s="119"/>
      <c r="AH32" s="119"/>
      <c r="AI32" s="119"/>
      <c r="AJ32" s="16"/>
      <c r="AK32" s="16"/>
      <c r="AL32" s="16"/>
      <c r="AP32" s="18"/>
    </row>
    <row r="33" spans="2:44" ht="9" customHeight="1" x14ac:dyDescent="0.3">
      <c r="K33" s="20"/>
      <c r="P33" s="17"/>
      <c r="Q33" s="17"/>
      <c r="R33" s="17"/>
      <c r="S33" s="17"/>
      <c r="T33" s="17"/>
      <c r="U33" s="17"/>
      <c r="V33" s="21"/>
      <c r="AE33" s="19"/>
      <c r="AF33" s="21"/>
    </row>
    <row r="34" spans="2:44" s="24" customFormat="1" ht="32.1" customHeight="1" x14ac:dyDescent="0.35">
      <c r="B34" s="261"/>
      <c r="C34" s="261" t="s">
        <v>45</v>
      </c>
      <c r="D34" s="261"/>
      <c r="E34" s="261"/>
      <c r="F34" s="261"/>
      <c r="G34" s="261"/>
      <c r="H34" s="261"/>
      <c r="J34" s="261" t="s">
        <v>19</v>
      </c>
      <c r="K34" s="261"/>
      <c r="L34" s="261"/>
      <c r="O34" s="262" t="s">
        <v>54</v>
      </c>
      <c r="P34" s="116"/>
      <c r="Q34" s="116"/>
      <c r="R34" s="262"/>
      <c r="S34" s="262"/>
      <c r="T34" s="116"/>
      <c r="U34" s="109"/>
      <c r="V34" s="262" t="s">
        <v>168</v>
      </c>
      <c r="W34" s="262"/>
      <c r="X34" s="116"/>
      <c r="Y34" s="116"/>
      <c r="Z34" s="261"/>
      <c r="AA34" s="261"/>
      <c r="AB34" s="261"/>
      <c r="AD34" s="261"/>
      <c r="AE34" s="261" t="s">
        <v>20</v>
      </c>
      <c r="AF34" s="261"/>
      <c r="AG34" s="261"/>
      <c r="AH34" s="261" t="s">
        <v>20</v>
      </c>
      <c r="AI34" s="261"/>
      <c r="AJ34" s="261"/>
      <c r="AK34" s="261"/>
      <c r="AL34" s="261"/>
      <c r="AM34" s="82"/>
      <c r="AN34" s="261"/>
    </row>
    <row r="35" spans="2:44" s="24" customFormat="1" ht="32.1" customHeight="1" x14ac:dyDescent="0.35">
      <c r="B35" s="261"/>
      <c r="C35" s="367" t="s">
        <v>38</v>
      </c>
      <c r="D35" s="367"/>
      <c r="E35" s="367"/>
      <c r="F35" s="367"/>
      <c r="G35" s="367"/>
      <c r="H35" s="261"/>
      <c r="J35" s="261"/>
      <c r="K35" s="22"/>
      <c r="L35" s="261"/>
      <c r="N35" s="261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Z35" s="261"/>
      <c r="AA35" s="261"/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R35" s="223"/>
    </row>
    <row r="36" spans="2:44" s="24" customFormat="1" ht="32.1" customHeight="1" x14ac:dyDescent="0.35">
      <c r="B36" s="261"/>
      <c r="C36" s="261"/>
      <c r="D36" s="261"/>
      <c r="E36" s="261"/>
      <c r="F36" s="261"/>
      <c r="G36" s="261"/>
      <c r="H36" s="261"/>
      <c r="J36" s="261"/>
      <c r="K36" s="22"/>
      <c r="L36" s="261"/>
      <c r="N36" s="261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R36" s="223"/>
    </row>
    <row r="37" spans="2:44" s="24" customFormat="1" ht="32.1" customHeight="1" x14ac:dyDescent="0.35">
      <c r="B37" s="261"/>
      <c r="C37" s="261" t="s">
        <v>21</v>
      </c>
      <c r="D37" s="262"/>
      <c r="E37" s="261"/>
      <c r="F37" s="261"/>
      <c r="H37" s="261"/>
      <c r="J37" s="261" t="s">
        <v>64</v>
      </c>
      <c r="K37" s="262"/>
      <c r="L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82"/>
      <c r="Z37" s="262"/>
      <c r="AA37" s="262"/>
      <c r="AB37" s="262"/>
      <c r="AC37" s="143"/>
      <c r="AD37" s="262"/>
      <c r="AE37" s="178" t="s">
        <v>108</v>
      </c>
      <c r="AF37" s="262"/>
      <c r="AG37" s="262"/>
      <c r="AH37" s="262"/>
      <c r="AI37" s="262"/>
      <c r="AJ37" s="262"/>
      <c r="AK37" s="262"/>
      <c r="AL37" s="262"/>
      <c r="AM37" s="262"/>
      <c r="AN37" s="109"/>
    </row>
    <row r="38" spans="2:44" s="24" customFormat="1" ht="32.1" customHeight="1" x14ac:dyDescent="0.35">
      <c r="B38" s="261"/>
      <c r="C38" s="261" t="s">
        <v>22</v>
      </c>
      <c r="D38" s="23"/>
      <c r="E38" s="261"/>
      <c r="F38" s="261"/>
      <c r="H38" s="261"/>
      <c r="J38" s="261" t="s">
        <v>25</v>
      </c>
      <c r="K38" s="261"/>
      <c r="L38" s="261"/>
      <c r="N38" s="261"/>
      <c r="O38" s="261"/>
      <c r="P38" s="261"/>
      <c r="Q38" s="261"/>
      <c r="R38" s="261"/>
      <c r="S38" s="261"/>
      <c r="T38" s="261"/>
      <c r="U38" s="261"/>
      <c r="V38" s="261"/>
      <c r="W38" s="1"/>
      <c r="X38" s="261"/>
      <c r="Z38" s="261"/>
      <c r="AA38" s="261"/>
      <c r="AB38" s="261"/>
      <c r="AD38" s="261"/>
      <c r="AE38" s="176" t="s">
        <v>123</v>
      </c>
      <c r="AF38" s="1"/>
      <c r="AG38" s="1"/>
      <c r="AH38" s="1"/>
      <c r="AI38" s="1"/>
      <c r="AJ38" s="1"/>
      <c r="AK38" s="1"/>
      <c r="AL38" s="1"/>
      <c r="AM38" s="1"/>
      <c r="AN38" s="261"/>
    </row>
    <row r="39" spans="2:44" s="24" customFormat="1" ht="32.1" customHeight="1" x14ac:dyDescent="0.35">
      <c r="B39" s="261"/>
      <c r="C39" s="261" t="s">
        <v>23</v>
      </c>
      <c r="D39" s="23"/>
      <c r="E39" s="261"/>
      <c r="F39" s="261"/>
      <c r="H39" s="261"/>
      <c r="J39" s="261" t="s">
        <v>78</v>
      </c>
      <c r="K39" s="261"/>
      <c r="L39" s="261"/>
      <c r="N39" s="261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Z39" s="261"/>
      <c r="AA39" s="261"/>
      <c r="AB39" s="261"/>
      <c r="AD39" s="261"/>
      <c r="AE39" s="176" t="s">
        <v>109</v>
      </c>
      <c r="AF39" s="261"/>
      <c r="AG39" s="261"/>
      <c r="AH39" s="261"/>
      <c r="AI39" s="261"/>
      <c r="AJ39" s="261"/>
      <c r="AK39" s="261"/>
      <c r="AL39" s="261"/>
      <c r="AM39" s="261"/>
      <c r="AN39" s="261"/>
    </row>
    <row r="40" spans="2:44" s="24" customFormat="1" ht="32.1" customHeight="1" x14ac:dyDescent="0.35">
      <c r="B40" s="261"/>
      <c r="C40" s="261" t="s">
        <v>24</v>
      </c>
      <c r="D40" s="23"/>
      <c r="E40" s="261"/>
      <c r="F40" s="261"/>
      <c r="H40" s="261"/>
      <c r="J40" s="261" t="s">
        <v>63</v>
      </c>
      <c r="K40" s="261"/>
      <c r="L40" s="261"/>
      <c r="N40" s="261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Z40" s="261"/>
      <c r="AA40" s="261"/>
      <c r="AB40" s="261"/>
      <c r="AD40" s="261"/>
      <c r="AE40" s="176" t="s">
        <v>122</v>
      </c>
      <c r="AF40" s="261"/>
      <c r="AG40" s="261"/>
      <c r="AH40" s="261"/>
      <c r="AI40" s="261"/>
      <c r="AJ40" s="261"/>
      <c r="AK40" s="261"/>
      <c r="AL40" s="261"/>
      <c r="AM40" s="261"/>
      <c r="AN40" s="261"/>
    </row>
    <row r="41" spans="2:44" s="24" customFormat="1" ht="32.1" customHeight="1" x14ac:dyDescent="0.35">
      <c r="AD41" s="261"/>
      <c r="AE41" s="261"/>
    </row>
    <row r="42" spans="2:44" s="24" customFormat="1" ht="32.1" customHeight="1" x14ac:dyDescent="0.35">
      <c r="AD42" s="261"/>
      <c r="AE42" s="261"/>
    </row>
    <row r="43" spans="2:44" s="24" customFormat="1" ht="32.1" customHeight="1" x14ac:dyDescent="0.35">
      <c r="AD43" s="1"/>
    </row>
    <row r="44" spans="2:44" s="24" customFormat="1" ht="32.1" customHeight="1" x14ac:dyDescent="0.35"/>
    <row r="45" spans="2:44" s="25" customFormat="1" ht="20.25" x14ac:dyDescent="0.3"/>
    <row r="46" spans="2:44" s="25" customFormat="1" ht="20.25" x14ac:dyDescent="0.3"/>
    <row r="47" spans="2:44" s="25" customFormat="1" ht="20.25" x14ac:dyDescent="0.3"/>
    <row r="48" spans="2:44" s="25" customFormat="1" ht="20.25" x14ac:dyDescent="0.3"/>
    <row r="49" s="25" customFormat="1" ht="20.25" x14ac:dyDescent="0.3"/>
    <row r="50" s="25" customFormat="1" ht="20.25" x14ac:dyDescent="0.3"/>
    <row r="51" s="25" customFormat="1" ht="20.25" x14ac:dyDescent="0.3"/>
    <row r="52" s="25" customFormat="1" ht="20.25" x14ac:dyDescent="0.3"/>
    <row r="53" s="25" customFormat="1" ht="20.25" x14ac:dyDescent="0.3"/>
    <row r="54" s="25" customFormat="1" ht="20.25" x14ac:dyDescent="0.3"/>
    <row r="55" s="25" customFormat="1" ht="20.25" x14ac:dyDescent="0.3"/>
    <row r="56" s="25" customFormat="1" ht="20.25" x14ac:dyDescent="0.3"/>
    <row r="57" s="25" customFormat="1" ht="20.25" x14ac:dyDescent="0.3"/>
    <row r="58" s="25" customFormat="1" ht="20.25" x14ac:dyDescent="0.3"/>
    <row r="59" s="25" customFormat="1" ht="20.25" x14ac:dyDescent="0.3"/>
    <row r="60" s="25" customFormat="1" ht="20.25" x14ac:dyDescent="0.3"/>
    <row r="61" s="25" customFormat="1" ht="20.25" x14ac:dyDescent="0.3"/>
    <row r="62" s="25" customFormat="1" ht="20.25" x14ac:dyDescent="0.3"/>
    <row r="63" s="25" customFormat="1" ht="20.25" x14ac:dyDescent="0.3"/>
  </sheetData>
  <mergeCells count="39">
    <mergeCell ref="B7:AM7"/>
    <mergeCell ref="B1:AM1"/>
    <mergeCell ref="B2:AM2"/>
    <mergeCell ref="B3:AM3"/>
    <mergeCell ref="B4:AM4"/>
    <mergeCell ref="B6:AM6"/>
    <mergeCell ref="AD16:AD18"/>
    <mergeCell ref="B8:AM8"/>
    <mergeCell ref="B16:B19"/>
    <mergeCell ref="C16:C19"/>
    <mergeCell ref="D16:D19"/>
    <mergeCell ref="E16:E19"/>
    <mergeCell ref="F16:F19"/>
    <mergeCell ref="G16:N16"/>
    <mergeCell ref="O16:O18"/>
    <mergeCell ref="P16:W16"/>
    <mergeCell ref="X16:AC16"/>
    <mergeCell ref="AK16:AK18"/>
    <mergeCell ref="AL16:AL18"/>
    <mergeCell ref="J17:L17"/>
    <mergeCell ref="R17:S17"/>
    <mergeCell ref="T17:U17"/>
    <mergeCell ref="AE16:AE18"/>
    <mergeCell ref="AF16:AF18"/>
    <mergeCell ref="AG16:AH17"/>
    <mergeCell ref="AI16:AI18"/>
    <mergeCell ref="AJ16:AJ18"/>
    <mergeCell ref="C35:G35"/>
    <mergeCell ref="AC17:AC18"/>
    <mergeCell ref="B21:D21"/>
    <mergeCell ref="B28:C28"/>
    <mergeCell ref="B29:C30"/>
    <mergeCell ref="D29:F29"/>
    <mergeCell ref="D30:F30"/>
    <mergeCell ref="W17:W18"/>
    <mergeCell ref="X17:X18"/>
    <mergeCell ref="Y17:Y18"/>
    <mergeCell ref="AB17:AB18"/>
    <mergeCell ref="V17:V18"/>
  </mergeCells>
  <pageMargins left="0.39370078740157483" right="3.937007874015748E-2" top="0.43307086614173229" bottom="0.31496062992125984" header="0.31496062992125984" footer="0.31496062992125984"/>
  <pageSetup paperSize="14" scale="4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A65"/>
  <sheetViews>
    <sheetView topLeftCell="B13" zoomScale="69" zoomScaleNormal="69" workbookViewId="0">
      <selection activeCell="U13" sqref="U1:U1048576"/>
    </sheetView>
  </sheetViews>
  <sheetFormatPr defaultRowHeight="16.5" x14ac:dyDescent="0.3"/>
  <cols>
    <col min="1" max="1" width="1.28515625" style="3" hidden="1" customWidth="1"/>
    <col min="2" max="2" width="13.28515625" style="3" customWidth="1"/>
    <col min="3" max="3" width="16" style="3" customWidth="1"/>
    <col min="4" max="4" width="42.140625" style="3" customWidth="1"/>
    <col min="5" max="5" width="28.7109375" style="3" customWidth="1"/>
    <col min="6" max="6" width="28" style="3" customWidth="1"/>
    <col min="7" max="7" width="9.85546875" style="3" hidden="1" customWidth="1"/>
    <col min="8" max="8" width="11" style="3" hidden="1" customWidth="1"/>
    <col min="9" max="9" width="12.28515625" style="3" hidden="1" customWidth="1"/>
    <col min="10" max="10" width="17" style="3" hidden="1" customWidth="1"/>
    <col min="11" max="11" width="16.7109375" style="3" hidden="1" customWidth="1"/>
    <col min="12" max="12" width="12.28515625" style="3" hidden="1" customWidth="1"/>
    <col min="13" max="13" width="10.85546875" style="3" hidden="1" customWidth="1"/>
    <col min="14" max="14" width="14.7109375" style="3" hidden="1" customWidth="1"/>
    <col min="15" max="15" width="11.85546875" style="3" hidden="1" customWidth="1"/>
    <col min="16" max="16" width="15.28515625" style="3" hidden="1" customWidth="1"/>
    <col min="17" max="17" width="12.85546875" style="3" hidden="1" customWidth="1"/>
    <col min="18" max="18" width="12.140625" style="3" customWidth="1"/>
    <col min="19" max="19" width="13" style="3" customWidth="1"/>
    <col min="20" max="20" width="11.28515625" style="3" customWidth="1"/>
    <col min="21" max="21" width="13.28515625" style="3" hidden="1" customWidth="1"/>
    <col min="22" max="22" width="11.5703125" style="3" customWidth="1"/>
    <col min="23" max="24" width="10" style="3" hidden="1" customWidth="1"/>
    <col min="25" max="25" width="10.140625" style="3" bestFit="1" customWidth="1"/>
    <col min="26" max="26" width="10.7109375" style="3" bestFit="1" customWidth="1"/>
    <col min="27" max="29" width="10.7109375" style="3" customWidth="1"/>
    <col min="30" max="30" width="9.28515625" style="3" hidden="1" customWidth="1"/>
    <col min="31" max="31" width="10.7109375" style="3" hidden="1" customWidth="1"/>
    <col min="32" max="32" width="12.7109375" style="3" hidden="1" customWidth="1"/>
    <col min="33" max="33" width="9.7109375" style="3" hidden="1" customWidth="1"/>
    <col min="34" max="34" width="10.85546875" style="3" customWidth="1"/>
    <col min="35" max="35" width="10.7109375" style="3" customWidth="1"/>
    <col min="36" max="36" width="9.85546875" style="3" hidden="1" customWidth="1"/>
    <col min="37" max="37" width="13.140625" style="3" customWidth="1"/>
    <col min="38" max="39" width="12.5703125" style="3" customWidth="1"/>
    <col min="40" max="43" width="11.140625" style="3" hidden="1" customWidth="1"/>
    <col min="44" max="44" width="17" style="4" customWidth="1"/>
    <col min="45" max="45" width="11" style="3" customWidth="1"/>
    <col min="46" max="46" width="9.85546875" style="3" hidden="1" customWidth="1"/>
    <col min="47" max="47" width="25.42578125" style="3" hidden="1" customWidth="1"/>
    <col min="48" max="48" width="11.140625" style="3" customWidth="1"/>
    <col min="49" max="49" width="9.85546875" style="3" hidden="1" customWidth="1"/>
    <col min="50" max="50" width="10.7109375" style="3" hidden="1" customWidth="1"/>
    <col min="51" max="51" width="13" style="3" hidden="1" customWidth="1"/>
    <col min="52" max="52" width="23.140625" style="3" bestFit="1" customWidth="1"/>
    <col min="53" max="16384" width="9.140625" style="3"/>
  </cols>
  <sheetData>
    <row r="1" spans="2:52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</row>
    <row r="2" spans="2:52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</row>
    <row r="3" spans="2:52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  <c r="AS3" s="287"/>
      <c r="AT3" s="287"/>
      <c r="AU3" s="287"/>
      <c r="AV3" s="287"/>
      <c r="AW3" s="287"/>
      <c r="AX3" s="287"/>
      <c r="AY3" s="287"/>
      <c r="AZ3" s="287"/>
    </row>
    <row r="4" spans="2:52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287"/>
      <c r="AW4" s="287"/>
      <c r="AX4" s="287"/>
      <c r="AY4" s="287"/>
      <c r="AZ4" s="287"/>
    </row>
    <row r="5" spans="2:52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2:52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</row>
    <row r="7" spans="2:52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7"/>
      <c r="AT7" s="287"/>
      <c r="AU7" s="287"/>
      <c r="AV7" s="287"/>
      <c r="AW7" s="287"/>
      <c r="AX7" s="287"/>
      <c r="AY7" s="287"/>
      <c r="AZ7" s="287"/>
    </row>
    <row r="8" spans="2:52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  <c r="AX8" s="287"/>
      <c r="AY8" s="287"/>
      <c r="AZ8" s="287"/>
    </row>
    <row r="9" spans="2:52" ht="8.25" customHeight="1" x14ac:dyDescent="0.3"/>
    <row r="10" spans="2:52" s="2" customFormat="1" ht="20.100000000000001" customHeight="1" x14ac:dyDescent="0.25">
      <c r="B10" s="261" t="s">
        <v>7</v>
      </c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</row>
    <row r="11" spans="2:52" s="2" customFormat="1" ht="20.100000000000001" customHeight="1" x14ac:dyDescent="0.25">
      <c r="B11" s="261" t="s">
        <v>8</v>
      </c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</row>
    <row r="12" spans="2:52" s="2" customFormat="1" ht="20.100000000000001" customHeight="1" x14ac:dyDescent="0.25">
      <c r="B12" s="261" t="s">
        <v>65</v>
      </c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</row>
    <row r="13" spans="2:52" s="2" customFormat="1" ht="26.25" customHeight="1" x14ac:dyDescent="0.25">
      <c r="B13" s="261" t="s">
        <v>175</v>
      </c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</row>
    <row r="14" spans="2:52" s="7" customFormat="1" ht="18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52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2:52" ht="23.25" customHeight="1" x14ac:dyDescent="0.3">
      <c r="B16" s="288" t="s">
        <v>9</v>
      </c>
      <c r="C16" s="291" t="s">
        <v>180</v>
      </c>
      <c r="D16" s="294" t="s">
        <v>10</v>
      </c>
      <c r="E16" s="294" t="s">
        <v>11</v>
      </c>
      <c r="F16" s="294" t="s">
        <v>46</v>
      </c>
      <c r="G16" s="80"/>
      <c r="H16" s="80"/>
      <c r="I16" s="380"/>
      <c r="J16" s="380"/>
      <c r="K16" s="380"/>
      <c r="L16" s="380"/>
      <c r="M16" s="380"/>
      <c r="N16" s="380"/>
      <c r="O16" s="251"/>
      <c r="P16" s="380" t="s">
        <v>87</v>
      </c>
      <c r="Q16" s="380"/>
      <c r="R16" s="380"/>
      <c r="S16" s="380"/>
      <c r="T16" s="380"/>
      <c r="U16" s="381"/>
      <c r="V16" s="300" t="s">
        <v>69</v>
      </c>
      <c r="W16" s="297" t="s">
        <v>59</v>
      </c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8"/>
      <c r="AI16" s="299"/>
      <c r="AJ16" s="252"/>
      <c r="AK16" s="303" t="s">
        <v>29</v>
      </c>
      <c r="AL16" s="303"/>
      <c r="AM16" s="303"/>
      <c r="AN16" s="253"/>
      <c r="AO16" s="253"/>
      <c r="AP16" s="253"/>
      <c r="AQ16" s="253"/>
      <c r="AR16" s="304" t="s">
        <v>48</v>
      </c>
      <c r="AS16" s="304" t="s">
        <v>58</v>
      </c>
      <c r="AT16" s="317" t="s">
        <v>62</v>
      </c>
      <c r="AU16" s="317"/>
      <c r="AV16" s="304" t="s">
        <v>47</v>
      </c>
      <c r="AW16" s="300" t="s">
        <v>16</v>
      </c>
      <c r="AX16" s="304" t="s">
        <v>39</v>
      </c>
      <c r="AY16" s="304" t="s">
        <v>68</v>
      </c>
      <c r="AZ16" s="58" t="s">
        <v>41</v>
      </c>
    </row>
    <row r="17" spans="2:53" ht="49.5" customHeight="1" x14ac:dyDescent="0.3">
      <c r="B17" s="289"/>
      <c r="C17" s="292"/>
      <c r="D17" s="295"/>
      <c r="E17" s="295"/>
      <c r="F17" s="295"/>
      <c r="G17" s="249"/>
      <c r="H17" s="249"/>
      <c r="I17" s="307" t="s">
        <v>67</v>
      </c>
      <c r="J17" s="308"/>
      <c r="K17" s="309"/>
      <c r="L17" s="257" t="s">
        <v>57</v>
      </c>
      <c r="M17" s="257" t="s">
        <v>66</v>
      </c>
      <c r="N17" s="258" t="s">
        <v>101</v>
      </c>
      <c r="O17" s="258" t="s">
        <v>26</v>
      </c>
      <c r="P17" s="257" t="s">
        <v>119</v>
      </c>
      <c r="Q17" s="258" t="s">
        <v>103</v>
      </c>
      <c r="R17" s="382" t="s">
        <v>101</v>
      </c>
      <c r="S17" s="383"/>
      <c r="T17" s="257" t="s">
        <v>166</v>
      </c>
      <c r="U17" s="257" t="s">
        <v>57</v>
      </c>
      <c r="V17" s="301"/>
      <c r="W17" s="257" t="s">
        <v>55</v>
      </c>
      <c r="X17" s="258" t="s">
        <v>27</v>
      </c>
      <c r="Y17" s="307" t="s">
        <v>56</v>
      </c>
      <c r="Z17" s="308"/>
      <c r="AA17" s="308"/>
      <c r="AB17" s="309"/>
      <c r="AC17" s="257" t="s">
        <v>167</v>
      </c>
      <c r="AD17" s="311" t="s">
        <v>92</v>
      </c>
      <c r="AE17" s="311"/>
      <c r="AF17" s="259"/>
      <c r="AG17" s="259"/>
      <c r="AH17" s="312" t="s">
        <v>71</v>
      </c>
      <c r="AI17" s="312" t="s">
        <v>15</v>
      </c>
      <c r="AJ17" s="259"/>
      <c r="AK17" s="313" t="s">
        <v>110</v>
      </c>
      <c r="AL17" s="313" t="s">
        <v>111</v>
      </c>
      <c r="AM17" s="313" t="s">
        <v>77</v>
      </c>
      <c r="AN17" s="255"/>
      <c r="AO17" s="255"/>
      <c r="AP17" s="255"/>
      <c r="AQ17" s="255"/>
      <c r="AR17" s="305"/>
      <c r="AS17" s="305"/>
      <c r="AT17" s="310"/>
      <c r="AU17" s="310"/>
      <c r="AV17" s="305"/>
      <c r="AW17" s="301"/>
      <c r="AX17" s="305"/>
      <c r="AY17" s="305"/>
      <c r="AZ17" s="59" t="s">
        <v>42</v>
      </c>
    </row>
    <row r="18" spans="2:53" ht="24" customHeight="1" x14ac:dyDescent="0.3">
      <c r="B18" s="289"/>
      <c r="C18" s="292"/>
      <c r="D18" s="295"/>
      <c r="E18" s="295"/>
      <c r="F18" s="295"/>
      <c r="G18" s="249"/>
      <c r="H18" s="249"/>
      <c r="I18" s="256" t="s">
        <v>75</v>
      </c>
      <c r="J18" s="256" t="s">
        <v>49</v>
      </c>
      <c r="K18" s="256" t="s">
        <v>52</v>
      </c>
      <c r="L18" s="254" t="s">
        <v>76</v>
      </c>
      <c r="M18" s="254" t="s">
        <v>76</v>
      </c>
      <c r="N18" s="254" t="s">
        <v>106</v>
      </c>
      <c r="O18" s="254" t="s">
        <v>107</v>
      </c>
      <c r="P18" s="254" t="s">
        <v>75</v>
      </c>
      <c r="Q18" s="254" t="s">
        <v>99</v>
      </c>
      <c r="R18" s="254" t="s">
        <v>99</v>
      </c>
      <c r="S18" s="254" t="s">
        <v>102</v>
      </c>
      <c r="T18" s="254" t="s">
        <v>151</v>
      </c>
      <c r="U18" s="254" t="s">
        <v>70</v>
      </c>
      <c r="V18" s="302"/>
      <c r="W18" s="256">
        <v>2.4</v>
      </c>
      <c r="X18" s="254">
        <v>3.6</v>
      </c>
      <c r="Y18" s="257">
        <v>2.4</v>
      </c>
      <c r="Z18" s="257">
        <v>4.9000000000000004</v>
      </c>
      <c r="AA18" s="257">
        <v>4.5</v>
      </c>
      <c r="AB18" s="257" t="s">
        <v>178</v>
      </c>
      <c r="AC18" s="257">
        <v>6</v>
      </c>
      <c r="AD18" s="258">
        <v>2.4</v>
      </c>
      <c r="AE18" s="258">
        <v>4.8</v>
      </c>
      <c r="AF18" s="254"/>
      <c r="AG18" s="254"/>
      <c r="AH18" s="302"/>
      <c r="AI18" s="302"/>
      <c r="AJ18" s="254"/>
      <c r="AK18" s="306"/>
      <c r="AL18" s="306"/>
      <c r="AM18" s="306"/>
      <c r="AN18" s="256"/>
      <c r="AO18" s="256"/>
      <c r="AP18" s="256"/>
      <c r="AQ18" s="256"/>
      <c r="AR18" s="306"/>
      <c r="AS18" s="306"/>
      <c r="AT18" s="254" t="s">
        <v>36</v>
      </c>
      <c r="AU18" s="254" t="s">
        <v>37</v>
      </c>
      <c r="AV18" s="306"/>
      <c r="AW18" s="302"/>
      <c r="AX18" s="306"/>
      <c r="AY18" s="306"/>
      <c r="AZ18" s="60" t="s">
        <v>43</v>
      </c>
    </row>
    <row r="19" spans="2:53" s="9" customFormat="1" ht="25.5" customHeight="1" x14ac:dyDescent="0.25">
      <c r="B19" s="290"/>
      <c r="C19" s="293"/>
      <c r="D19" s="296"/>
      <c r="E19" s="296"/>
      <c r="F19" s="296"/>
      <c r="G19" s="250"/>
      <c r="H19" s="250"/>
      <c r="I19" s="254" t="s">
        <v>12</v>
      </c>
      <c r="J19" s="254" t="s">
        <v>12</v>
      </c>
      <c r="K19" s="254" t="s">
        <v>12</v>
      </c>
      <c r="L19" s="254" t="s">
        <v>12</v>
      </c>
      <c r="M19" s="254" t="s">
        <v>12</v>
      </c>
      <c r="N19" s="254" t="s">
        <v>12</v>
      </c>
      <c r="O19" s="254" t="s">
        <v>12</v>
      </c>
      <c r="P19" s="254" t="s">
        <v>12</v>
      </c>
      <c r="Q19" s="254" t="s">
        <v>12</v>
      </c>
      <c r="R19" s="254" t="s">
        <v>12</v>
      </c>
      <c r="S19" s="254" t="s">
        <v>12</v>
      </c>
      <c r="T19" s="254" t="s">
        <v>12</v>
      </c>
      <c r="U19" s="254" t="s">
        <v>12</v>
      </c>
      <c r="V19" s="56" t="s">
        <v>14</v>
      </c>
      <c r="W19" s="254" t="s">
        <v>12</v>
      </c>
      <c r="X19" s="254" t="s">
        <v>12</v>
      </c>
      <c r="Y19" s="254" t="s">
        <v>12</v>
      </c>
      <c r="Z19" s="254" t="s">
        <v>12</v>
      </c>
      <c r="AA19" s="254" t="s">
        <v>12</v>
      </c>
      <c r="AB19" s="254" t="s">
        <v>12</v>
      </c>
      <c r="AC19" s="254" t="s">
        <v>12</v>
      </c>
      <c r="AD19" s="254" t="s">
        <v>12</v>
      </c>
      <c r="AE19" s="254" t="s">
        <v>12</v>
      </c>
      <c r="AF19" s="57"/>
      <c r="AG19" s="57"/>
      <c r="AH19" s="57" t="s">
        <v>12</v>
      </c>
      <c r="AI19" s="254" t="s">
        <v>12</v>
      </c>
      <c r="AJ19" s="55"/>
      <c r="AK19" s="55" t="s">
        <v>13</v>
      </c>
      <c r="AL19" s="55" t="s">
        <v>13</v>
      </c>
      <c r="AM19" s="55" t="s">
        <v>13</v>
      </c>
      <c r="AN19" s="55"/>
      <c r="AO19" s="55"/>
      <c r="AP19" s="55"/>
      <c r="AQ19" s="55"/>
      <c r="AR19" s="55" t="s">
        <v>13</v>
      </c>
      <c r="AS19" s="57" t="s">
        <v>13</v>
      </c>
      <c r="AT19" s="254" t="s">
        <v>12</v>
      </c>
      <c r="AU19" s="254" t="s">
        <v>12</v>
      </c>
      <c r="AV19" s="258" t="s">
        <v>12</v>
      </c>
      <c r="AW19" s="57" t="s">
        <v>14</v>
      </c>
      <c r="AX19" s="258"/>
      <c r="AY19" s="254"/>
      <c r="AZ19" s="60"/>
    </row>
    <row r="20" spans="2:53" s="4" customFormat="1" ht="9.75" customHeight="1" x14ac:dyDescent="0.25">
      <c r="B20" s="27"/>
      <c r="C20" s="28"/>
      <c r="D20" s="28"/>
      <c r="E20" s="28"/>
      <c r="F20" s="28"/>
      <c r="G20" s="28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0"/>
      <c r="W20" s="31"/>
      <c r="X20" s="31"/>
      <c r="Y20" s="31"/>
      <c r="Z20" s="31"/>
      <c r="AA20" s="31"/>
      <c r="AB20" s="31"/>
      <c r="AC20" s="31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32"/>
      <c r="AS20" s="29"/>
      <c r="AT20" s="28"/>
      <c r="AU20" s="33"/>
      <c r="AV20" s="33"/>
      <c r="AW20" s="33"/>
      <c r="AX20" s="33"/>
      <c r="AY20" s="33"/>
      <c r="AZ20" s="34"/>
    </row>
    <row r="21" spans="2:53" s="10" customFormat="1" ht="33" customHeight="1" x14ac:dyDescent="0.25">
      <c r="B21" s="384" t="str">
        <f>'APRIL 2026 - PMC  '!B21:D21</f>
        <v>Beginning Stock as of as of  April 1, 2026</v>
      </c>
      <c r="C21" s="385"/>
      <c r="D21" s="386"/>
      <c r="E21" s="93"/>
      <c r="F21" s="93"/>
      <c r="G21" s="64"/>
      <c r="H21" s="64"/>
      <c r="I21" s="83" t="e">
        <f>#REF!</f>
        <v>#REF!</v>
      </c>
      <c r="J21" s="83" t="e">
        <f>#REF!</f>
        <v>#REF!</v>
      </c>
      <c r="K21" s="83" t="e">
        <f>#REF!</f>
        <v>#REF!</v>
      </c>
      <c r="L21" s="83" t="e">
        <f>#REF!</f>
        <v>#REF!</v>
      </c>
      <c r="M21" s="83" t="e">
        <f>#REF!</f>
        <v>#REF!</v>
      </c>
      <c r="N21" s="83" t="e">
        <f>#REF!</f>
        <v>#REF!</v>
      </c>
      <c r="O21" s="83" t="e">
        <f>#REF!</f>
        <v>#REF!</v>
      </c>
      <c r="P21" s="83" t="e">
        <f>#REF!</f>
        <v>#REF!</v>
      </c>
      <c r="Q21" s="83">
        <f>'FEBRUARY 2026- TIGERWAY'!Q31</f>
        <v>0</v>
      </c>
      <c r="R21" s="83">
        <f>'MARCH 2026 TIGERWAY'!R31</f>
        <v>19747</v>
      </c>
      <c r="S21" s="83">
        <f>'MARCH 2026 TIGERWAY'!S31</f>
        <v>15800</v>
      </c>
      <c r="T21" s="83">
        <f>'MARCH 2026 TIGERWAY'!T31</f>
        <v>19716</v>
      </c>
      <c r="U21" s="83">
        <f>'MARCH 2026 TIGERWAY'!U31</f>
        <v>0</v>
      </c>
      <c r="V21" s="83">
        <f>'MARCH 2026 TIGERWAY'!V31</f>
        <v>875</v>
      </c>
      <c r="W21" s="83">
        <f>'MARCH 2026 TIGERWAY'!W31</f>
        <v>0</v>
      </c>
      <c r="X21" s="83">
        <f>'MARCH 2026 TIGERWAY'!X31</f>
        <v>0</v>
      </c>
      <c r="Y21" s="83">
        <f>'MARCH 2026 TIGERWAY'!Y31</f>
        <v>1826</v>
      </c>
      <c r="Z21" s="83">
        <f>'MARCH 2026 TIGERWAY'!Z31</f>
        <v>7799</v>
      </c>
      <c r="AA21" s="83">
        <f>'MARCH 2026 TIGERWAY'!AA31</f>
        <v>0</v>
      </c>
      <c r="AB21" s="83">
        <v>0</v>
      </c>
      <c r="AC21" s="83">
        <f>'MARCH 2026 TIGERWAY'!AB31</f>
        <v>200</v>
      </c>
      <c r="AD21" s="83">
        <f>'MARCH 2026 TIGERWAY'!AC31</f>
        <v>0</v>
      </c>
      <c r="AE21" s="83">
        <f>'MARCH 2026 TIGERWAY'!AD31</f>
        <v>0</v>
      </c>
      <c r="AF21" s="83">
        <f>'MARCH 2026 TIGERWAY'!AE31</f>
        <v>0</v>
      </c>
      <c r="AG21" s="83">
        <f>'MARCH 2026 TIGERWAY'!AF31</f>
        <v>0</v>
      </c>
      <c r="AH21" s="83">
        <f>'MARCH 2026 TIGERWAY'!AG31</f>
        <v>638</v>
      </c>
      <c r="AI21" s="83">
        <f>'MARCH 2026 TIGERWAY'!AH31</f>
        <v>96</v>
      </c>
      <c r="AJ21" s="83">
        <f>'MARCH 2026 TIGERWAY'!AI31</f>
        <v>0</v>
      </c>
      <c r="AK21" s="83">
        <f>'MARCH 2026 TIGERWAY'!AJ31</f>
        <v>9855</v>
      </c>
      <c r="AL21" s="83">
        <f>'MARCH 2026 TIGERWAY'!AK31</f>
        <v>0</v>
      </c>
      <c r="AM21" s="83">
        <f>'MARCH 2026 TIGERWAY'!AL31</f>
        <v>3300</v>
      </c>
      <c r="AN21" s="83">
        <f>'MARCH 2026 TIGERWAY'!AM31</f>
        <v>0</v>
      </c>
      <c r="AO21" s="83">
        <f>'MARCH 2026 TIGERWAY'!AN31</f>
        <v>0</v>
      </c>
      <c r="AP21" s="83">
        <f>'MARCH 2026 TIGERWAY'!AO31</f>
        <v>0</v>
      </c>
      <c r="AQ21" s="83">
        <f>'MARCH 2026 TIGERWAY'!AP31</f>
        <v>0</v>
      </c>
      <c r="AR21" s="83">
        <f>'MARCH 2026 TIGERWAY'!AQ31</f>
        <v>1058</v>
      </c>
      <c r="AS21" s="83">
        <f>'MARCH 2026 TIGERWAY'!AR31</f>
        <v>0</v>
      </c>
      <c r="AT21" s="83">
        <f>'MARCH 2026 TIGERWAY'!AS31</f>
        <v>0</v>
      </c>
      <c r="AU21" s="83">
        <f>'MARCH 2026 TIGERWAY'!AT31</f>
        <v>0</v>
      </c>
      <c r="AV21" s="83">
        <f>'MARCH 2026 TIGERWAY'!AU31</f>
        <v>0</v>
      </c>
      <c r="AW21" s="83" t="e">
        <f>#REF!</f>
        <v>#REF!</v>
      </c>
      <c r="AX21" s="83" t="e">
        <f>#REF!</f>
        <v>#REF!</v>
      </c>
      <c r="AY21" s="83" t="e">
        <f>#REF!</f>
        <v>#REF!</v>
      </c>
      <c r="AZ21" s="35"/>
    </row>
    <row r="22" spans="2:53" s="10" customFormat="1" ht="5.25" customHeight="1" x14ac:dyDescent="0.25">
      <c r="B22" s="94"/>
      <c r="C22" s="95"/>
      <c r="D22" s="95"/>
      <c r="E22" s="96"/>
      <c r="F22" s="96"/>
      <c r="G22" s="38"/>
      <c r="H22" s="38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5"/>
      <c r="W22" s="86"/>
      <c r="X22" s="86"/>
      <c r="Y22" s="86"/>
      <c r="Z22" s="86"/>
      <c r="AA22" s="86"/>
      <c r="AB22" s="86"/>
      <c r="AC22" s="86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5"/>
      <c r="AS22" s="84"/>
      <c r="AT22" s="85"/>
      <c r="AU22" s="85"/>
      <c r="AV22" s="85"/>
      <c r="AW22" s="43"/>
      <c r="AX22" s="43"/>
      <c r="AY22" s="45"/>
      <c r="AZ22" s="35"/>
    </row>
    <row r="23" spans="2:53" s="14" customFormat="1" ht="35.25" customHeight="1" x14ac:dyDescent="0.25">
      <c r="B23" s="110"/>
      <c r="C23" s="111" t="s">
        <v>177</v>
      </c>
      <c r="D23" s="112" t="s">
        <v>31</v>
      </c>
      <c r="E23" s="112" t="s">
        <v>32</v>
      </c>
      <c r="F23" s="112" t="s">
        <v>61</v>
      </c>
      <c r="G23" s="112"/>
      <c r="H23" s="112"/>
      <c r="I23" s="43"/>
      <c r="J23" s="43"/>
      <c r="K23" s="43"/>
      <c r="L23" s="43"/>
      <c r="M23" s="43"/>
      <c r="N23" s="43"/>
      <c r="O23" s="43">
        <f>235*36</f>
        <v>8460</v>
      </c>
      <c r="P23" s="43"/>
      <c r="Q23" s="43"/>
      <c r="R23" s="43">
        <f>80*91</f>
        <v>7280</v>
      </c>
      <c r="S23" s="43"/>
      <c r="T23" s="43"/>
      <c r="U23" s="43"/>
      <c r="V23" s="67">
        <f>221*25</f>
        <v>5525</v>
      </c>
      <c r="W23" s="70"/>
      <c r="X23" s="70"/>
      <c r="Y23" s="70"/>
      <c r="Z23" s="70">
        <v>6380</v>
      </c>
      <c r="AA23" s="70"/>
      <c r="AB23" s="70">
        <v>200</v>
      </c>
      <c r="AC23" s="70">
        <v>210</v>
      </c>
      <c r="AD23" s="43"/>
      <c r="AE23" s="43"/>
      <c r="AF23" s="43"/>
      <c r="AG23" s="43"/>
      <c r="AH23" s="67">
        <v>490</v>
      </c>
      <c r="AI23" s="43"/>
      <c r="AJ23" s="43"/>
      <c r="AK23" s="43"/>
      <c r="AL23" s="43"/>
      <c r="AM23" s="43">
        <v>3000</v>
      </c>
      <c r="AN23" s="43"/>
      <c r="AO23" s="43"/>
      <c r="AP23" s="43"/>
      <c r="AQ23" s="43"/>
      <c r="AR23" s="68"/>
      <c r="AS23" s="71"/>
      <c r="AT23" s="44"/>
      <c r="AU23" s="44"/>
      <c r="AV23" s="44"/>
      <c r="AW23" s="43"/>
      <c r="AX23" s="43"/>
      <c r="AY23" s="45"/>
      <c r="AZ23" s="113" t="s">
        <v>40</v>
      </c>
    </row>
    <row r="24" spans="2:53" s="14" customFormat="1" ht="42.75" hidden="1" customHeight="1" x14ac:dyDescent="0.25">
      <c r="B24" s="97"/>
      <c r="C24" s="111"/>
      <c r="D24" s="98" t="s">
        <v>31</v>
      </c>
      <c r="E24" s="98" t="s">
        <v>32</v>
      </c>
      <c r="F24" s="98" t="s">
        <v>61</v>
      </c>
      <c r="G24" s="42"/>
      <c r="H24" s="42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9"/>
      <c r="W24" s="88"/>
      <c r="X24" s="88"/>
      <c r="Y24" s="88"/>
      <c r="Z24" s="88"/>
      <c r="AA24" s="88"/>
      <c r="AB24" s="88"/>
      <c r="AC24" s="88"/>
      <c r="AD24" s="84"/>
      <c r="AE24" s="84"/>
      <c r="AF24" s="84"/>
      <c r="AG24" s="84"/>
      <c r="AH24" s="89"/>
      <c r="AI24" s="84"/>
      <c r="AJ24" s="84"/>
      <c r="AK24" s="84"/>
      <c r="AL24" s="84"/>
      <c r="AM24" s="84"/>
      <c r="AN24" s="84"/>
      <c r="AO24" s="84"/>
      <c r="AP24" s="84"/>
      <c r="AQ24" s="84"/>
      <c r="AR24" s="87"/>
      <c r="AS24" s="90"/>
      <c r="AT24" s="85"/>
      <c r="AU24" s="85"/>
      <c r="AV24" s="85"/>
      <c r="AW24" s="48"/>
      <c r="AX24" s="48"/>
      <c r="AY24" s="49"/>
      <c r="AZ24" s="113" t="s">
        <v>40</v>
      </c>
      <c r="BA24" s="13"/>
    </row>
    <row r="25" spans="2:53" s="14" customFormat="1" ht="30" hidden="1" customHeight="1" x14ac:dyDescent="0.25">
      <c r="B25" s="97"/>
      <c r="C25" s="111"/>
      <c r="D25" s="98" t="s">
        <v>31</v>
      </c>
      <c r="E25" s="98" t="s">
        <v>32</v>
      </c>
      <c r="F25" s="98" t="s">
        <v>61</v>
      </c>
      <c r="G25" s="42"/>
      <c r="H25" s="42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7"/>
      <c r="W25" s="88"/>
      <c r="X25" s="88"/>
      <c r="Y25" s="88"/>
      <c r="Z25" s="88"/>
      <c r="AA25" s="88"/>
      <c r="AB25" s="88"/>
      <c r="AC25" s="88"/>
      <c r="AD25" s="84"/>
      <c r="AE25" s="84"/>
      <c r="AF25" s="84"/>
      <c r="AG25" s="84"/>
      <c r="AH25" s="89"/>
      <c r="AI25" s="84"/>
      <c r="AJ25" s="84"/>
      <c r="AK25" s="84"/>
      <c r="AL25" s="84"/>
      <c r="AM25" s="84"/>
      <c r="AN25" s="84"/>
      <c r="AO25" s="84"/>
      <c r="AP25" s="84"/>
      <c r="AQ25" s="84"/>
      <c r="AR25" s="87"/>
      <c r="AS25" s="90"/>
      <c r="AT25" s="85"/>
      <c r="AU25" s="85"/>
      <c r="AV25" s="85"/>
      <c r="AW25" s="48"/>
      <c r="AX25" s="48"/>
      <c r="AY25" s="49"/>
      <c r="AZ25" s="113" t="s">
        <v>40</v>
      </c>
      <c r="BA25" s="13"/>
    </row>
    <row r="26" spans="2:53" s="10" customFormat="1" ht="34.5" customHeight="1" x14ac:dyDescent="0.25">
      <c r="B26" s="99" t="s">
        <v>34</v>
      </c>
      <c r="C26" s="100"/>
      <c r="D26" s="98"/>
      <c r="E26" s="98"/>
      <c r="F26" s="98"/>
      <c r="G26" s="42"/>
      <c r="H26" s="42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7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5"/>
      <c r="AS26" s="84"/>
      <c r="AT26" s="85"/>
      <c r="AU26" s="85"/>
      <c r="AV26" s="85"/>
      <c r="AW26" s="48"/>
      <c r="AX26" s="48"/>
      <c r="AY26" s="49"/>
      <c r="AZ26" s="78"/>
      <c r="BA26" s="2"/>
    </row>
    <row r="27" spans="2:53" s="10" customFormat="1" ht="34.5" customHeight="1" x14ac:dyDescent="0.25">
      <c r="B27" s="99" t="s">
        <v>35</v>
      </c>
      <c r="C27" s="98"/>
      <c r="D27" s="96"/>
      <c r="E27" s="96"/>
      <c r="F27" s="96"/>
      <c r="G27" s="38"/>
      <c r="H27" s="38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5"/>
      <c r="W27" s="85"/>
      <c r="X27" s="85"/>
      <c r="Y27" s="85"/>
      <c r="Z27" s="85"/>
      <c r="AA27" s="85"/>
      <c r="AB27" s="85"/>
      <c r="AC27" s="85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5"/>
      <c r="AS27" s="84"/>
      <c r="AT27" s="85"/>
      <c r="AU27" s="85"/>
      <c r="AV27" s="85"/>
      <c r="AW27" s="43"/>
      <c r="AX27" s="43"/>
      <c r="AY27" s="45"/>
      <c r="AZ27" s="35"/>
      <c r="BA27" s="2"/>
    </row>
    <row r="28" spans="2:53" s="14" customFormat="1" ht="33.75" customHeight="1" x14ac:dyDescent="0.25">
      <c r="B28" s="105" t="s">
        <v>17</v>
      </c>
      <c r="C28" s="106"/>
      <c r="D28" s="102"/>
      <c r="E28" s="102"/>
      <c r="F28" s="102"/>
      <c r="G28" s="104"/>
      <c r="H28" s="104"/>
      <c r="I28" s="83" t="e">
        <f t="shared" ref="I28:AE28" si="0">SUM(I21:I27)</f>
        <v>#REF!</v>
      </c>
      <c r="J28" s="83" t="e">
        <f t="shared" si="0"/>
        <v>#REF!</v>
      </c>
      <c r="K28" s="83" t="e">
        <f t="shared" si="0"/>
        <v>#REF!</v>
      </c>
      <c r="L28" s="83" t="e">
        <f t="shared" si="0"/>
        <v>#REF!</v>
      </c>
      <c r="M28" s="83" t="e">
        <f t="shared" si="0"/>
        <v>#REF!</v>
      </c>
      <c r="N28" s="83" t="e">
        <f t="shared" si="0"/>
        <v>#REF!</v>
      </c>
      <c r="O28" s="83" t="e">
        <f t="shared" si="0"/>
        <v>#REF!</v>
      </c>
      <c r="P28" s="83" t="e">
        <f t="shared" si="0"/>
        <v>#REF!</v>
      </c>
      <c r="Q28" s="83">
        <f t="shared" si="0"/>
        <v>0</v>
      </c>
      <c r="R28" s="83">
        <f t="shared" si="0"/>
        <v>27027</v>
      </c>
      <c r="S28" s="83">
        <f t="shared" si="0"/>
        <v>15800</v>
      </c>
      <c r="T28" s="83">
        <f t="shared" si="0"/>
        <v>19716</v>
      </c>
      <c r="U28" s="83">
        <f t="shared" si="0"/>
        <v>0</v>
      </c>
      <c r="V28" s="83">
        <f t="shared" si="0"/>
        <v>6400</v>
      </c>
      <c r="W28" s="83">
        <f t="shared" si="0"/>
        <v>0</v>
      </c>
      <c r="X28" s="83">
        <f t="shared" si="0"/>
        <v>0</v>
      </c>
      <c r="Y28" s="83">
        <f t="shared" si="0"/>
        <v>1826</v>
      </c>
      <c r="Z28" s="83">
        <f t="shared" si="0"/>
        <v>14179</v>
      </c>
      <c r="AA28" s="83">
        <f t="shared" si="0"/>
        <v>0</v>
      </c>
      <c r="AB28" s="83">
        <f t="shared" si="0"/>
        <v>200</v>
      </c>
      <c r="AC28" s="83">
        <f t="shared" si="0"/>
        <v>410</v>
      </c>
      <c r="AD28" s="83">
        <f t="shared" si="0"/>
        <v>0</v>
      </c>
      <c r="AE28" s="83">
        <f t="shared" si="0"/>
        <v>0</v>
      </c>
      <c r="AF28" s="83"/>
      <c r="AG28" s="83"/>
      <c r="AH28" s="83">
        <f>SUM(AH21:AH27)</f>
        <v>1128</v>
      </c>
      <c r="AI28" s="83">
        <f>SUM(AI21:AI27)</f>
        <v>96</v>
      </c>
      <c r="AJ28" s="83"/>
      <c r="AK28" s="83">
        <f>SUM(AK21:AK27)</f>
        <v>9855</v>
      </c>
      <c r="AL28" s="83">
        <f>SUM(AL21:AL27)</f>
        <v>0</v>
      </c>
      <c r="AM28" s="83">
        <f>SUM(AM21:AM27)</f>
        <v>6300</v>
      </c>
      <c r="AN28" s="83"/>
      <c r="AO28" s="83"/>
      <c r="AP28" s="83"/>
      <c r="AQ28" s="83"/>
      <c r="AR28" s="83">
        <f t="shared" ref="AR28:AY28" si="1">SUM(AR21:AR27)</f>
        <v>1058</v>
      </c>
      <c r="AS28" s="83">
        <f t="shared" si="1"/>
        <v>0</v>
      </c>
      <c r="AT28" s="83">
        <f t="shared" si="1"/>
        <v>0</v>
      </c>
      <c r="AU28" s="83">
        <f t="shared" si="1"/>
        <v>0</v>
      </c>
      <c r="AV28" s="83">
        <f t="shared" si="1"/>
        <v>0</v>
      </c>
      <c r="AW28" s="53" t="e">
        <f t="shared" si="1"/>
        <v>#REF!</v>
      </c>
      <c r="AX28" s="53" t="e">
        <f t="shared" si="1"/>
        <v>#REF!</v>
      </c>
      <c r="AY28" s="53" t="e">
        <f t="shared" si="1"/>
        <v>#REF!</v>
      </c>
      <c r="AZ28" s="36"/>
      <c r="BA28" s="13"/>
    </row>
    <row r="29" spans="2:53" s="14" customFormat="1" ht="29.25" customHeight="1" x14ac:dyDescent="0.25">
      <c r="B29" s="387" t="s">
        <v>18</v>
      </c>
      <c r="C29" s="388"/>
      <c r="D29" s="85"/>
      <c r="E29" s="85"/>
      <c r="F29" s="85"/>
      <c r="G29" s="39"/>
      <c r="H29" s="39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5"/>
      <c r="W29" s="85"/>
      <c r="X29" s="85"/>
      <c r="Y29" s="85"/>
      <c r="Z29" s="85"/>
      <c r="AA29" s="85"/>
      <c r="AB29" s="85"/>
      <c r="AC29" s="85"/>
      <c r="AD29" s="84"/>
      <c r="AE29" s="84"/>
      <c r="AF29" s="84"/>
      <c r="AG29" s="84"/>
      <c r="AH29" s="84"/>
      <c r="AI29" s="85"/>
      <c r="AJ29" s="85"/>
      <c r="AK29" s="84"/>
      <c r="AL29" s="84"/>
      <c r="AM29" s="84"/>
      <c r="AN29" s="84"/>
      <c r="AO29" s="84"/>
      <c r="AP29" s="84"/>
      <c r="AQ29" s="84"/>
      <c r="AR29" s="85"/>
      <c r="AS29" s="84"/>
      <c r="AT29" s="85"/>
      <c r="AU29" s="85"/>
      <c r="AV29" s="85"/>
      <c r="AW29" s="26"/>
      <c r="AX29" s="26"/>
      <c r="AY29" s="49"/>
      <c r="AZ29" s="36"/>
      <c r="BA29" s="13"/>
    </row>
    <row r="30" spans="2:53" s="14" customFormat="1" ht="93.75" customHeight="1" x14ac:dyDescent="0.25">
      <c r="B30" s="389" t="s">
        <v>83</v>
      </c>
      <c r="C30" s="390"/>
      <c r="D30" s="391" t="s">
        <v>93</v>
      </c>
      <c r="E30" s="392"/>
      <c r="F30" s="393"/>
      <c r="G30" s="79"/>
      <c r="H30" s="79"/>
      <c r="I30" s="91">
        <v>0</v>
      </c>
      <c r="J30" s="91" t="e">
        <f>SUM(J26:J29)</f>
        <v>#REF!</v>
      </c>
      <c r="K30" s="91" t="e">
        <f>SUM(K26:K29)</f>
        <v>#REF!</v>
      </c>
      <c r="L30" s="91" t="e">
        <f>SUM(L26:L29)</f>
        <v>#REF!</v>
      </c>
      <c r="M30" s="91" t="e">
        <f>SUM(M26:M29)</f>
        <v>#REF!</v>
      </c>
      <c r="N30" s="91"/>
      <c r="O30" s="91">
        <f>350*36</f>
        <v>12600</v>
      </c>
      <c r="P30" s="91"/>
      <c r="Q30" s="91"/>
      <c r="R30" s="91">
        <v>9464</v>
      </c>
      <c r="S30" s="91">
        <v>400</v>
      </c>
      <c r="T30" s="91">
        <v>5208</v>
      </c>
      <c r="U30" s="91"/>
      <c r="V30" s="91">
        <v>2175</v>
      </c>
      <c r="W30" s="91"/>
      <c r="X30" s="91"/>
      <c r="Y30" s="91">
        <v>65</v>
      </c>
      <c r="Z30" s="91">
        <v>2083</v>
      </c>
      <c r="AA30" s="91"/>
      <c r="AB30" s="91">
        <v>10</v>
      </c>
      <c r="AC30" s="91">
        <v>200</v>
      </c>
      <c r="AD30" s="91"/>
      <c r="AE30" s="91"/>
      <c r="AF30" s="91"/>
      <c r="AG30" s="91"/>
      <c r="AH30" s="91">
        <v>157</v>
      </c>
      <c r="AI30" s="91"/>
      <c r="AJ30" s="91"/>
      <c r="AK30" s="91">
        <v>1065</v>
      </c>
      <c r="AL30" s="91"/>
      <c r="AM30" s="91">
        <v>1350</v>
      </c>
      <c r="AN30" s="91"/>
      <c r="AO30" s="91"/>
      <c r="AP30" s="91"/>
      <c r="AQ30" s="91"/>
      <c r="AR30" s="91">
        <v>153</v>
      </c>
      <c r="AS30" s="91"/>
      <c r="AT30" s="91"/>
      <c r="AU30" s="91"/>
      <c r="AV30" s="91"/>
      <c r="AW30" s="81"/>
      <c r="AX30" s="81"/>
      <c r="AY30" s="81"/>
      <c r="AZ30" s="36"/>
      <c r="BA30" s="13"/>
    </row>
    <row r="31" spans="2:53" s="14" customFormat="1" ht="45.75" customHeight="1" thickBot="1" x14ac:dyDescent="0.3">
      <c r="B31" s="394" t="str">
        <f>'APRIL 2026 - PMC  '!B38</f>
        <v>Remaining Stock as of April 30,2026</v>
      </c>
      <c r="C31" s="395"/>
      <c r="D31" s="396"/>
      <c r="E31" s="101"/>
      <c r="F31" s="101"/>
      <c r="G31" s="63"/>
      <c r="H31" s="63"/>
      <c r="I31" s="92" t="e">
        <f t="shared" ref="I31:AY31" si="2">I28-I30</f>
        <v>#REF!</v>
      </c>
      <c r="J31" s="92" t="e">
        <f t="shared" si="2"/>
        <v>#REF!</v>
      </c>
      <c r="K31" s="92" t="e">
        <f t="shared" si="2"/>
        <v>#REF!</v>
      </c>
      <c r="L31" s="92" t="e">
        <f t="shared" si="2"/>
        <v>#REF!</v>
      </c>
      <c r="M31" s="92" t="e">
        <f t="shared" si="2"/>
        <v>#REF!</v>
      </c>
      <c r="N31" s="92" t="e">
        <f>N28-N30</f>
        <v>#REF!</v>
      </c>
      <c r="O31" s="92" t="e">
        <f t="shared" ref="O31:U31" si="3">O28-O30</f>
        <v>#REF!</v>
      </c>
      <c r="P31" s="92" t="e">
        <f t="shared" si="3"/>
        <v>#REF!</v>
      </c>
      <c r="Q31" s="92">
        <f>Q28-Q30</f>
        <v>0</v>
      </c>
      <c r="R31" s="92">
        <f t="shared" ref="R31:S31" si="4">R28-R30</f>
        <v>17563</v>
      </c>
      <c r="S31" s="92">
        <f t="shared" si="4"/>
        <v>15400</v>
      </c>
      <c r="T31" s="92">
        <f t="shared" si="3"/>
        <v>14508</v>
      </c>
      <c r="U31" s="92">
        <f t="shared" si="3"/>
        <v>0</v>
      </c>
      <c r="V31" s="92">
        <f t="shared" si="2"/>
        <v>4225</v>
      </c>
      <c r="W31" s="92">
        <f t="shared" si="2"/>
        <v>0</v>
      </c>
      <c r="X31" s="92">
        <f t="shared" si="2"/>
        <v>0</v>
      </c>
      <c r="Y31" s="92">
        <f t="shared" si="2"/>
        <v>1761</v>
      </c>
      <c r="Z31" s="92">
        <f t="shared" si="2"/>
        <v>12096</v>
      </c>
      <c r="AA31" s="92">
        <f t="shared" si="2"/>
        <v>0</v>
      </c>
      <c r="AB31" s="92">
        <f t="shared" si="2"/>
        <v>190</v>
      </c>
      <c r="AC31" s="92">
        <f>AC28-AC30</f>
        <v>210</v>
      </c>
      <c r="AD31" s="92">
        <f t="shared" si="2"/>
        <v>0</v>
      </c>
      <c r="AE31" s="92">
        <f t="shared" si="2"/>
        <v>0</v>
      </c>
      <c r="AF31" s="92"/>
      <c r="AG31" s="92"/>
      <c r="AH31" s="92">
        <f t="shared" si="2"/>
        <v>971</v>
      </c>
      <c r="AI31" s="92">
        <f t="shared" si="2"/>
        <v>96</v>
      </c>
      <c r="AJ31" s="92"/>
      <c r="AK31" s="92">
        <f t="shared" si="2"/>
        <v>8790</v>
      </c>
      <c r="AL31" s="92">
        <f t="shared" si="2"/>
        <v>0</v>
      </c>
      <c r="AM31" s="92">
        <f t="shared" si="2"/>
        <v>4950</v>
      </c>
      <c r="AN31" s="92"/>
      <c r="AO31" s="92"/>
      <c r="AP31" s="92"/>
      <c r="AQ31" s="92"/>
      <c r="AR31" s="92">
        <f t="shared" si="2"/>
        <v>905</v>
      </c>
      <c r="AS31" s="92">
        <f t="shared" si="2"/>
        <v>0</v>
      </c>
      <c r="AT31" s="92">
        <f t="shared" si="2"/>
        <v>0</v>
      </c>
      <c r="AU31" s="92">
        <f t="shared" si="2"/>
        <v>0</v>
      </c>
      <c r="AV31" s="92">
        <f t="shared" si="2"/>
        <v>0</v>
      </c>
      <c r="AW31" s="54" t="e">
        <f t="shared" si="2"/>
        <v>#REF!</v>
      </c>
      <c r="AX31" s="54" t="e">
        <f t="shared" si="2"/>
        <v>#REF!</v>
      </c>
      <c r="AY31" s="54" t="e">
        <f t="shared" si="2"/>
        <v>#REF!</v>
      </c>
      <c r="AZ31" s="37"/>
    </row>
    <row r="32" spans="2:53" ht="26.25" customHeight="1" x14ac:dyDescent="0.3">
      <c r="V32" s="17"/>
      <c r="W32" s="17"/>
      <c r="X32" s="17"/>
      <c r="Y32" s="17"/>
      <c r="Z32" s="17"/>
      <c r="AA32" s="17"/>
      <c r="AB32" s="17"/>
      <c r="AC32" s="17"/>
      <c r="AD32" s="17"/>
      <c r="AM32" s="18"/>
      <c r="AN32" s="18"/>
      <c r="AO32" s="18"/>
      <c r="AP32" s="18"/>
      <c r="AQ32" s="18"/>
      <c r="AR32" s="19"/>
    </row>
    <row r="33" spans="2:53" ht="9" customHeight="1" x14ac:dyDescent="0.3">
      <c r="J33" s="20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1"/>
      <c r="AR33" s="19"/>
      <c r="AS33" s="21"/>
    </row>
    <row r="34" spans="2:53" ht="9" customHeight="1" x14ac:dyDescent="0.3">
      <c r="J34" s="20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1"/>
      <c r="AR34" s="19"/>
      <c r="AS34" s="21"/>
    </row>
    <row r="35" spans="2:53" ht="9" customHeight="1" x14ac:dyDescent="0.3">
      <c r="J35" s="20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1"/>
      <c r="AR35" s="19"/>
      <c r="AS35" s="21"/>
    </row>
    <row r="36" spans="2:53" s="2" customFormat="1" ht="30" customHeight="1" x14ac:dyDescent="0.25">
      <c r="B36" s="261"/>
      <c r="C36" s="261" t="s">
        <v>45</v>
      </c>
      <c r="D36" s="261"/>
      <c r="E36" s="261"/>
      <c r="F36" s="261" t="s">
        <v>116</v>
      </c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7"/>
      <c r="R36" s="267"/>
      <c r="S36" s="262" t="s">
        <v>54</v>
      </c>
      <c r="T36" s="117"/>
      <c r="U36" s="117"/>
      <c r="V36" s="117"/>
      <c r="W36" s="262"/>
      <c r="X36" s="262"/>
      <c r="Y36" s="262"/>
      <c r="Z36" s="118"/>
      <c r="AA36" s="262" t="s">
        <v>168</v>
      </c>
      <c r="AB36" s="262"/>
      <c r="AC36" s="117"/>
      <c r="AD36" s="262" t="s">
        <v>90</v>
      </c>
      <c r="AE36" s="117"/>
      <c r="AF36" s="262"/>
      <c r="AG36" s="262"/>
      <c r="AH36" s="117"/>
      <c r="AI36" s="262"/>
      <c r="AJ36" s="262"/>
      <c r="AK36" s="109"/>
      <c r="AL36" s="261" t="s">
        <v>20</v>
      </c>
      <c r="AT36" s="261"/>
      <c r="AU36" s="261" t="s">
        <v>20</v>
      </c>
      <c r="AV36" s="261"/>
      <c r="AW36" s="261"/>
      <c r="AX36" s="261"/>
      <c r="AY36" s="261"/>
      <c r="AZ36" s="261"/>
      <c r="BA36" s="261"/>
    </row>
    <row r="37" spans="2:53" s="2" customFormat="1" ht="30" customHeight="1" x14ac:dyDescent="0.25">
      <c r="B37" s="261"/>
      <c r="C37" s="367" t="s">
        <v>38</v>
      </c>
      <c r="D37" s="367"/>
      <c r="E37" s="367"/>
      <c r="F37" s="367"/>
      <c r="G37" s="367"/>
      <c r="H37" s="367"/>
      <c r="I37" s="261"/>
      <c r="J37" s="22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T37" s="261"/>
      <c r="AU37" s="261"/>
      <c r="AV37" s="261"/>
      <c r="AW37" s="261"/>
      <c r="AX37" s="261"/>
      <c r="AY37" s="261"/>
      <c r="AZ37" s="261"/>
      <c r="BA37" s="261"/>
    </row>
    <row r="38" spans="2:53" s="2" customFormat="1" ht="30" customHeight="1" x14ac:dyDescent="0.25">
      <c r="B38" s="261"/>
      <c r="C38" s="261"/>
      <c r="D38" s="261"/>
      <c r="E38" s="261"/>
      <c r="F38" s="261"/>
      <c r="G38" s="261"/>
      <c r="H38" s="261"/>
      <c r="I38" s="261"/>
      <c r="J38" s="22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T38" s="261"/>
      <c r="AU38" s="261"/>
      <c r="AV38" s="261"/>
      <c r="AW38" s="261"/>
      <c r="AX38" s="261"/>
      <c r="AY38" s="261"/>
      <c r="AZ38" s="261"/>
      <c r="BA38" s="261"/>
    </row>
    <row r="39" spans="2:53" s="2" customFormat="1" ht="30" customHeight="1" x14ac:dyDescent="0.25">
      <c r="B39" s="261"/>
      <c r="C39" s="261" t="s">
        <v>21</v>
      </c>
      <c r="D39" s="262"/>
      <c r="E39" s="261"/>
      <c r="F39" s="261" t="s">
        <v>112</v>
      </c>
      <c r="G39" s="261"/>
      <c r="H39" s="261"/>
      <c r="I39" s="261"/>
      <c r="J39" s="262"/>
      <c r="K39" s="261"/>
      <c r="L39" s="261"/>
      <c r="M39" s="261"/>
      <c r="N39" s="261"/>
      <c r="O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1"/>
      <c r="AD39" s="261"/>
      <c r="AE39" s="261"/>
      <c r="AF39" s="261"/>
      <c r="AG39" s="261"/>
      <c r="AH39" s="261"/>
      <c r="AI39" s="261"/>
      <c r="AJ39" s="261"/>
      <c r="AK39" s="261"/>
      <c r="AL39" s="178" t="s">
        <v>108</v>
      </c>
      <c r="AM39" s="117"/>
      <c r="AN39" s="117"/>
      <c r="AO39" s="117"/>
      <c r="AP39" s="117"/>
      <c r="AQ39" s="117"/>
      <c r="AR39" s="117"/>
      <c r="AS39" s="117"/>
      <c r="AT39" s="262"/>
      <c r="AU39" s="262"/>
      <c r="AV39" s="262"/>
      <c r="AW39" s="262"/>
      <c r="AX39" s="262"/>
      <c r="AY39" s="262"/>
      <c r="AZ39" s="109"/>
      <c r="BA39" s="261"/>
    </row>
    <row r="40" spans="2:53" s="2" customFormat="1" ht="30" customHeight="1" x14ac:dyDescent="0.25">
      <c r="B40" s="261"/>
      <c r="C40" s="261" t="s">
        <v>22</v>
      </c>
      <c r="D40" s="23"/>
      <c r="E40" s="261"/>
      <c r="F40" s="261" t="s">
        <v>113</v>
      </c>
      <c r="G40" s="261"/>
      <c r="H40" s="261"/>
      <c r="I40" s="261"/>
      <c r="J40" s="261"/>
      <c r="K40" s="261"/>
      <c r="L40" s="261"/>
      <c r="M40" s="261"/>
      <c r="N40" s="261"/>
      <c r="O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61"/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176" t="s">
        <v>123</v>
      </c>
      <c r="AT40" s="261"/>
      <c r="AU40" s="261"/>
      <c r="AV40" s="261"/>
      <c r="AW40" s="261"/>
      <c r="AX40" s="261"/>
      <c r="AY40" s="261"/>
      <c r="AZ40" s="261"/>
      <c r="BA40" s="261"/>
    </row>
    <row r="41" spans="2:53" s="2" customFormat="1" ht="30" customHeight="1" x14ac:dyDescent="0.25">
      <c r="B41" s="261"/>
      <c r="C41" s="261" t="s">
        <v>23</v>
      </c>
      <c r="D41" s="23"/>
      <c r="E41" s="261"/>
      <c r="F41" s="261" t="s">
        <v>114</v>
      </c>
      <c r="G41" s="261"/>
      <c r="H41" s="261"/>
      <c r="I41" s="261"/>
      <c r="J41" s="261"/>
      <c r="K41" s="261"/>
      <c r="L41" s="261"/>
      <c r="M41" s="261"/>
      <c r="N41" s="261"/>
      <c r="O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  <c r="AA41" s="261"/>
      <c r="AB41" s="261"/>
      <c r="AC41" s="261"/>
      <c r="AD41" s="261"/>
      <c r="AE41" s="261"/>
      <c r="AF41" s="261"/>
      <c r="AG41" s="261"/>
      <c r="AH41" s="261"/>
      <c r="AI41" s="261"/>
      <c r="AJ41" s="261"/>
      <c r="AK41" s="261"/>
      <c r="AL41" s="176" t="s">
        <v>109</v>
      </c>
      <c r="AT41" s="261"/>
      <c r="AU41" s="261"/>
      <c r="AV41" s="261"/>
      <c r="AW41" s="261"/>
      <c r="AX41" s="261"/>
      <c r="AY41" s="261"/>
      <c r="AZ41" s="261"/>
      <c r="BA41" s="261"/>
    </row>
    <row r="42" spans="2:53" s="2" customFormat="1" ht="30" customHeight="1" x14ac:dyDescent="0.25">
      <c r="B42" s="261"/>
      <c r="C42" s="261" t="s">
        <v>24</v>
      </c>
      <c r="D42" s="23"/>
      <c r="E42" s="261"/>
      <c r="F42" s="261" t="s">
        <v>115</v>
      </c>
      <c r="G42" s="261"/>
      <c r="H42" s="261"/>
      <c r="I42" s="261"/>
      <c r="J42" s="261"/>
      <c r="K42" s="261"/>
      <c r="L42" s="261"/>
      <c r="M42" s="261"/>
      <c r="N42" s="261"/>
      <c r="O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  <c r="AE42" s="261"/>
      <c r="AF42" s="261"/>
      <c r="AG42" s="261"/>
      <c r="AH42" s="261"/>
      <c r="AI42" s="261"/>
      <c r="AJ42" s="261"/>
      <c r="AK42" s="261"/>
      <c r="AL42" s="176" t="s">
        <v>122</v>
      </c>
      <c r="AT42" s="261"/>
      <c r="AU42" s="261"/>
      <c r="AV42" s="261"/>
      <c r="AW42" s="261"/>
      <c r="AX42" s="261"/>
      <c r="AY42" s="261"/>
      <c r="AZ42" s="261"/>
      <c r="BA42" s="261"/>
    </row>
    <row r="43" spans="2:53" s="2" customFormat="1" ht="30" customHeight="1" x14ac:dyDescent="0.25">
      <c r="AR43" s="261"/>
    </row>
    <row r="44" spans="2:53" s="114" customFormat="1" ht="30" customHeight="1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R44" s="107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2:53" s="114" customFormat="1" ht="24.95" customHeight="1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</row>
    <row r="46" spans="2:53" ht="24.95" customHeight="1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</row>
    <row r="47" spans="2:53" s="25" customFormat="1" ht="20.25" x14ac:dyDescent="0.3"/>
    <row r="48" spans="2:53" s="25" customFormat="1" ht="20.25" x14ac:dyDescent="0.3"/>
    <row r="49" s="25" customFormat="1" ht="20.25" x14ac:dyDescent="0.3"/>
    <row r="50" s="25" customFormat="1" ht="20.25" x14ac:dyDescent="0.3"/>
    <row r="51" s="25" customFormat="1" ht="20.25" x14ac:dyDescent="0.3"/>
    <row r="52" s="25" customFormat="1" ht="20.25" x14ac:dyDescent="0.3"/>
    <row r="53" s="25" customFormat="1" ht="20.25" x14ac:dyDescent="0.3"/>
    <row r="54" s="25" customFormat="1" ht="20.25" x14ac:dyDescent="0.3"/>
    <row r="55" s="25" customFormat="1" ht="20.25" x14ac:dyDescent="0.3"/>
    <row r="56" s="25" customFormat="1" ht="20.25" x14ac:dyDescent="0.3"/>
    <row r="57" s="25" customFormat="1" ht="20.25" x14ac:dyDescent="0.3"/>
    <row r="58" s="25" customFormat="1" ht="20.25" x14ac:dyDescent="0.3"/>
    <row r="59" s="25" customFormat="1" ht="20.25" x14ac:dyDescent="0.3"/>
    <row r="60" s="25" customFormat="1" ht="20.25" x14ac:dyDescent="0.3"/>
    <row r="61" s="25" customFormat="1" ht="20.25" x14ac:dyDescent="0.3"/>
    <row r="62" s="25" customFormat="1" ht="20.25" x14ac:dyDescent="0.3"/>
    <row r="63" s="25" customFormat="1" ht="20.25" x14ac:dyDescent="0.3"/>
    <row r="64" s="25" customFormat="1" ht="20.25" x14ac:dyDescent="0.3"/>
    <row r="65" s="25" customFormat="1" ht="20.25" x14ac:dyDescent="0.3"/>
  </sheetData>
  <mergeCells count="39">
    <mergeCell ref="B7:AZ7"/>
    <mergeCell ref="B1:AZ1"/>
    <mergeCell ref="B2:AZ2"/>
    <mergeCell ref="B3:AZ3"/>
    <mergeCell ref="B4:AZ4"/>
    <mergeCell ref="B6:AZ6"/>
    <mergeCell ref="AM17:AM18"/>
    <mergeCell ref="B8:AZ8"/>
    <mergeCell ref="B16:B19"/>
    <mergeCell ref="C16:C19"/>
    <mergeCell ref="D16:D19"/>
    <mergeCell ref="E16:E19"/>
    <mergeCell ref="F16:F19"/>
    <mergeCell ref="I16:N16"/>
    <mergeCell ref="P16:U16"/>
    <mergeCell ref="V16:V18"/>
    <mergeCell ref="W16:AI16"/>
    <mergeCell ref="Y17:AB17"/>
    <mergeCell ref="C37:H37"/>
    <mergeCell ref="AX16:AX18"/>
    <mergeCell ref="AY16:AY18"/>
    <mergeCell ref="I17:K17"/>
    <mergeCell ref="R17:S17"/>
    <mergeCell ref="AD17:AE17"/>
    <mergeCell ref="AH17:AH18"/>
    <mergeCell ref="AI17:AI18"/>
    <mergeCell ref="AK17:AK18"/>
    <mergeCell ref="AL17:AL18"/>
    <mergeCell ref="AK16:AM16"/>
    <mergeCell ref="AR16:AR18"/>
    <mergeCell ref="AS16:AS18"/>
    <mergeCell ref="AT16:AU17"/>
    <mergeCell ref="AV16:AV18"/>
    <mergeCell ref="AW16:AW18"/>
    <mergeCell ref="B21:D21"/>
    <mergeCell ref="B29:C29"/>
    <mergeCell ref="B30:C30"/>
    <mergeCell ref="D30:F30"/>
    <mergeCell ref="B31:D31"/>
  </mergeCells>
  <pageMargins left="0.31496062992125984" right="3.937007874015748E-2" top="0.43307086614173229" bottom="0.31496062992125984" header="0.31496062992125984" footer="0.31496062992125984"/>
  <pageSetup paperSize="14" scale="4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AT53"/>
  <sheetViews>
    <sheetView topLeftCell="B10" zoomScale="66" zoomScaleNormal="66" workbookViewId="0">
      <selection activeCell="X46" sqref="X46"/>
    </sheetView>
  </sheetViews>
  <sheetFormatPr defaultRowHeight="16.5" x14ac:dyDescent="0.3"/>
  <cols>
    <col min="1" max="1" width="1.28515625" style="3" hidden="1" customWidth="1"/>
    <col min="2" max="2" width="12.42578125" style="3" customWidth="1"/>
    <col min="3" max="3" width="18" style="3" customWidth="1"/>
    <col min="4" max="4" width="35.140625" style="3" customWidth="1"/>
    <col min="5" max="5" width="21.28515625" style="3" customWidth="1"/>
    <col min="6" max="6" width="22.5703125" style="3" customWidth="1"/>
    <col min="7" max="7" width="10.140625" style="3" hidden="1" customWidth="1"/>
    <col min="8" max="8" width="10.7109375" style="3" hidden="1" customWidth="1"/>
    <col min="9" max="9" width="12.28515625" style="3" hidden="1" customWidth="1"/>
    <col min="10" max="10" width="14.140625" style="3" customWidth="1"/>
    <col min="11" max="11" width="13" style="3" customWidth="1"/>
    <col min="12" max="12" width="13.85546875" style="3" hidden="1" customWidth="1"/>
    <col min="13" max="13" width="11.85546875" style="3" hidden="1" customWidth="1"/>
    <col min="14" max="14" width="10" style="3" hidden="1" customWidth="1"/>
    <col min="15" max="15" width="10.140625" style="3" hidden="1" customWidth="1"/>
    <col min="16" max="16" width="12.7109375" style="3" hidden="1" customWidth="1"/>
    <col min="17" max="17" width="14.140625" style="3" customWidth="1"/>
    <col min="18" max="18" width="11.140625" style="3" customWidth="1"/>
    <col min="19" max="19" width="12.28515625" style="3" customWidth="1"/>
    <col min="20" max="20" width="13.28515625" style="3" customWidth="1"/>
    <col min="21" max="21" width="8.5703125" style="3" hidden="1" customWidth="1"/>
    <col min="22" max="22" width="10.28515625" style="3" hidden="1" customWidth="1"/>
    <col min="23" max="23" width="11" style="3" customWidth="1"/>
    <col min="24" max="24" width="14.5703125" style="3" customWidth="1"/>
    <col min="25" max="25" width="10.140625" style="3" customWidth="1"/>
    <col min="26" max="26" width="12.42578125" style="3" customWidth="1"/>
    <col min="27" max="27" width="9.85546875" style="3" customWidth="1"/>
    <col min="28" max="28" width="13.140625" style="3" customWidth="1"/>
    <col min="29" max="29" width="11.85546875" style="3" customWidth="1"/>
    <col min="30" max="30" width="11.28515625" style="3" customWidth="1"/>
    <col min="31" max="32" width="11.140625" style="3" hidden="1" customWidth="1"/>
    <col min="33" max="33" width="10.140625" style="3" hidden="1" customWidth="1"/>
    <col min="34" max="34" width="12.140625" style="3" customWidth="1"/>
    <col min="35" max="35" width="0.7109375" style="3" hidden="1" customWidth="1"/>
    <col min="36" max="36" width="14.5703125" style="4" customWidth="1"/>
    <col min="37" max="37" width="11.140625" style="3" customWidth="1"/>
    <col min="38" max="38" width="7.42578125" style="3" hidden="1" customWidth="1"/>
    <col min="39" max="39" width="1.5703125" style="3" hidden="1" customWidth="1"/>
    <col min="40" max="40" width="12.140625" style="3" customWidth="1"/>
    <col min="41" max="42" width="8" style="3" hidden="1" customWidth="1"/>
    <col min="43" max="43" width="9.140625" style="3" hidden="1" customWidth="1"/>
    <col min="44" max="44" width="23.7109375" style="3" customWidth="1"/>
    <col min="45" max="45" width="12.28515625" style="3" bestFit="1" customWidth="1"/>
    <col min="46" max="46" width="12.7109375" style="3" bestFit="1" customWidth="1"/>
    <col min="47" max="16384" width="9.140625" style="3"/>
  </cols>
  <sheetData>
    <row r="1" spans="2:44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</row>
    <row r="2" spans="2:44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</row>
    <row r="3" spans="2:44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</row>
    <row r="4" spans="2:44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</row>
    <row r="5" spans="2:44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2:44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</row>
    <row r="7" spans="2:44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</row>
    <row r="8" spans="2:44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</row>
    <row r="9" spans="2:44" ht="8.25" customHeight="1" x14ac:dyDescent="0.3"/>
    <row r="10" spans="2:44" s="2" customFormat="1" ht="20.100000000000001" customHeight="1" x14ac:dyDescent="0.25">
      <c r="B10" s="280" t="s">
        <v>7</v>
      </c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</row>
    <row r="11" spans="2:44" s="2" customFormat="1" ht="20.100000000000001" customHeight="1" x14ac:dyDescent="0.25">
      <c r="B11" s="280" t="s">
        <v>8</v>
      </c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</row>
    <row r="12" spans="2:44" s="2" customFormat="1" ht="20.100000000000001" customHeight="1" x14ac:dyDescent="0.25">
      <c r="B12" s="280" t="s">
        <v>65</v>
      </c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</row>
    <row r="13" spans="2:44" s="2" customFormat="1" ht="26.25" customHeight="1" x14ac:dyDescent="0.25">
      <c r="B13" s="280" t="s">
        <v>182</v>
      </c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</row>
    <row r="14" spans="2:44" s="7" customFormat="1" ht="12" customHeight="1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44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2:44" ht="23.25" customHeight="1" x14ac:dyDescent="0.3">
      <c r="B16" s="288" t="s">
        <v>9</v>
      </c>
      <c r="C16" s="291" t="s">
        <v>187</v>
      </c>
      <c r="D16" s="294" t="s">
        <v>10</v>
      </c>
      <c r="E16" s="294" t="s">
        <v>11</v>
      </c>
      <c r="F16" s="294" t="s">
        <v>46</v>
      </c>
      <c r="G16" s="297" t="s">
        <v>87</v>
      </c>
      <c r="H16" s="298"/>
      <c r="I16" s="298"/>
      <c r="J16" s="298"/>
      <c r="K16" s="298"/>
      <c r="L16" s="298"/>
      <c r="M16" s="298"/>
      <c r="N16" s="298"/>
      <c r="O16" s="298"/>
      <c r="P16" s="299"/>
      <c r="Q16" s="300" t="s">
        <v>69</v>
      </c>
      <c r="R16" s="297" t="s">
        <v>59</v>
      </c>
      <c r="S16" s="298"/>
      <c r="T16" s="298"/>
      <c r="U16" s="298"/>
      <c r="V16" s="298"/>
      <c r="W16" s="298"/>
      <c r="X16" s="298"/>
      <c r="Y16" s="298"/>
      <c r="Z16" s="298"/>
      <c r="AA16" s="299"/>
      <c r="AB16" s="303" t="s">
        <v>29</v>
      </c>
      <c r="AC16" s="303"/>
      <c r="AD16" s="303"/>
      <c r="AE16" s="303"/>
      <c r="AF16" s="303"/>
      <c r="AG16" s="303"/>
      <c r="AH16" s="303"/>
      <c r="AI16" s="314" t="s">
        <v>53</v>
      </c>
      <c r="AJ16" s="304" t="s">
        <v>48</v>
      </c>
      <c r="AK16" s="304" t="s">
        <v>58</v>
      </c>
      <c r="AL16" s="317" t="s">
        <v>62</v>
      </c>
      <c r="AM16" s="317"/>
      <c r="AN16" s="304" t="s">
        <v>47</v>
      </c>
      <c r="AO16" s="300" t="s">
        <v>16</v>
      </c>
      <c r="AP16" s="304" t="s">
        <v>39</v>
      </c>
      <c r="AQ16" s="304" t="s">
        <v>68</v>
      </c>
      <c r="AR16" s="58" t="s">
        <v>41</v>
      </c>
    </row>
    <row r="17" spans="2:46" ht="69.75" customHeight="1" x14ac:dyDescent="0.3">
      <c r="B17" s="289"/>
      <c r="C17" s="292"/>
      <c r="D17" s="295"/>
      <c r="E17" s="295"/>
      <c r="F17" s="295"/>
      <c r="G17" s="277" t="s">
        <v>26</v>
      </c>
      <c r="H17" s="277" t="s">
        <v>30</v>
      </c>
      <c r="I17" s="276" t="s">
        <v>104</v>
      </c>
      <c r="J17" s="276" t="s">
        <v>124</v>
      </c>
      <c r="K17" s="307" t="s">
        <v>94</v>
      </c>
      <c r="L17" s="308"/>
      <c r="M17" s="309"/>
      <c r="N17" s="276" t="s">
        <v>57</v>
      </c>
      <c r="O17" s="276" t="s">
        <v>85</v>
      </c>
      <c r="P17" s="276" t="s">
        <v>89</v>
      </c>
      <c r="Q17" s="301"/>
      <c r="R17" s="276" t="s">
        <v>55</v>
      </c>
      <c r="S17" s="277" t="s">
        <v>27</v>
      </c>
      <c r="T17" s="310" t="s">
        <v>56</v>
      </c>
      <c r="U17" s="310"/>
      <c r="V17" s="276" t="s">
        <v>91</v>
      </c>
      <c r="W17" s="311" t="s">
        <v>28</v>
      </c>
      <c r="X17" s="311"/>
      <c r="Y17" s="311"/>
      <c r="Z17" s="312" t="s">
        <v>71</v>
      </c>
      <c r="AA17" s="312" t="s">
        <v>15</v>
      </c>
      <c r="AB17" s="313" t="s">
        <v>72</v>
      </c>
      <c r="AC17" s="313" t="s">
        <v>117</v>
      </c>
      <c r="AD17" s="313" t="s">
        <v>73</v>
      </c>
      <c r="AE17" s="275" t="s">
        <v>50</v>
      </c>
      <c r="AF17" s="275" t="s">
        <v>51</v>
      </c>
      <c r="AG17" s="313" t="s">
        <v>74</v>
      </c>
      <c r="AH17" s="313" t="s">
        <v>77</v>
      </c>
      <c r="AI17" s="315"/>
      <c r="AJ17" s="305"/>
      <c r="AK17" s="305"/>
      <c r="AL17" s="310"/>
      <c r="AM17" s="310"/>
      <c r="AN17" s="305"/>
      <c r="AO17" s="301"/>
      <c r="AP17" s="305"/>
      <c r="AQ17" s="305"/>
      <c r="AR17" s="59" t="s">
        <v>42</v>
      </c>
    </row>
    <row r="18" spans="2:46" ht="24" customHeight="1" x14ac:dyDescent="0.3">
      <c r="B18" s="289"/>
      <c r="C18" s="292"/>
      <c r="D18" s="295"/>
      <c r="E18" s="295"/>
      <c r="F18" s="295"/>
      <c r="G18" s="273" t="s">
        <v>70</v>
      </c>
      <c r="H18" s="273">
        <v>200</v>
      </c>
      <c r="I18" s="273" t="s">
        <v>102</v>
      </c>
      <c r="J18" s="273" t="s">
        <v>102</v>
      </c>
      <c r="K18" s="275" t="s">
        <v>75</v>
      </c>
      <c r="L18" s="275" t="s">
        <v>49</v>
      </c>
      <c r="M18" s="275" t="s">
        <v>86</v>
      </c>
      <c r="N18" s="77" t="s">
        <v>76</v>
      </c>
      <c r="O18" s="77" t="s">
        <v>76</v>
      </c>
      <c r="P18" s="275" t="s">
        <v>88</v>
      </c>
      <c r="Q18" s="302"/>
      <c r="R18" s="275">
        <v>2.4</v>
      </c>
      <c r="S18" s="273">
        <v>3.6</v>
      </c>
      <c r="T18" s="276">
        <v>2.4</v>
      </c>
      <c r="U18" s="276">
        <v>3.6</v>
      </c>
      <c r="V18" s="276">
        <v>2.4</v>
      </c>
      <c r="W18" s="273">
        <v>3.6</v>
      </c>
      <c r="X18" s="273">
        <v>2.4</v>
      </c>
      <c r="Y18" s="273">
        <v>4.9000000000000004</v>
      </c>
      <c r="Z18" s="302"/>
      <c r="AA18" s="302"/>
      <c r="AB18" s="306"/>
      <c r="AC18" s="306"/>
      <c r="AD18" s="306"/>
      <c r="AE18" s="275"/>
      <c r="AF18" s="275"/>
      <c r="AG18" s="306"/>
      <c r="AH18" s="306"/>
      <c r="AI18" s="316"/>
      <c r="AJ18" s="306"/>
      <c r="AK18" s="306"/>
      <c r="AL18" s="273" t="s">
        <v>36</v>
      </c>
      <c r="AM18" s="273" t="s">
        <v>37</v>
      </c>
      <c r="AN18" s="306"/>
      <c r="AO18" s="302"/>
      <c r="AP18" s="306"/>
      <c r="AQ18" s="306"/>
      <c r="AR18" s="60" t="s">
        <v>43</v>
      </c>
    </row>
    <row r="19" spans="2:46" s="9" customFormat="1" ht="25.5" customHeight="1" x14ac:dyDescent="0.25">
      <c r="B19" s="290"/>
      <c r="C19" s="293"/>
      <c r="D19" s="296"/>
      <c r="E19" s="296"/>
      <c r="F19" s="296"/>
      <c r="G19" s="273" t="s">
        <v>12</v>
      </c>
      <c r="H19" s="273" t="s">
        <v>12</v>
      </c>
      <c r="I19" s="273" t="s">
        <v>12</v>
      </c>
      <c r="J19" s="273" t="s">
        <v>12</v>
      </c>
      <c r="K19" s="273" t="s">
        <v>12</v>
      </c>
      <c r="L19" s="273" t="s">
        <v>12</v>
      </c>
      <c r="M19" s="273" t="s">
        <v>12</v>
      </c>
      <c r="N19" s="273" t="s">
        <v>12</v>
      </c>
      <c r="O19" s="273" t="s">
        <v>12</v>
      </c>
      <c r="P19" s="273" t="s">
        <v>12</v>
      </c>
      <c r="Q19" s="56" t="s">
        <v>14</v>
      </c>
      <c r="R19" s="273" t="s">
        <v>12</v>
      </c>
      <c r="S19" s="273" t="s">
        <v>12</v>
      </c>
      <c r="T19" s="273" t="s">
        <v>12</v>
      </c>
      <c r="U19" s="273" t="s">
        <v>12</v>
      </c>
      <c r="V19" s="273" t="s">
        <v>12</v>
      </c>
      <c r="W19" s="273" t="s">
        <v>12</v>
      </c>
      <c r="X19" s="273" t="s">
        <v>12</v>
      </c>
      <c r="Y19" s="273" t="s">
        <v>12</v>
      </c>
      <c r="Z19" s="57" t="s">
        <v>12</v>
      </c>
      <c r="AA19" s="273" t="s">
        <v>12</v>
      </c>
      <c r="AB19" s="55" t="s">
        <v>13</v>
      </c>
      <c r="AC19" s="55" t="s">
        <v>13</v>
      </c>
      <c r="AD19" s="55" t="s">
        <v>13</v>
      </c>
      <c r="AE19" s="55" t="s">
        <v>13</v>
      </c>
      <c r="AF19" s="55" t="s">
        <v>13</v>
      </c>
      <c r="AG19" s="55" t="s">
        <v>13</v>
      </c>
      <c r="AH19" s="55" t="s">
        <v>13</v>
      </c>
      <c r="AI19" s="55" t="s">
        <v>13</v>
      </c>
      <c r="AJ19" s="55" t="s">
        <v>13</v>
      </c>
      <c r="AK19" s="57" t="s">
        <v>13</v>
      </c>
      <c r="AL19" s="273" t="s">
        <v>12</v>
      </c>
      <c r="AM19" s="273" t="s">
        <v>12</v>
      </c>
      <c r="AN19" s="277" t="s">
        <v>12</v>
      </c>
      <c r="AO19" s="57" t="s">
        <v>14</v>
      </c>
      <c r="AP19" s="277"/>
      <c r="AQ19" s="273"/>
      <c r="AR19" s="60"/>
    </row>
    <row r="20" spans="2:46" s="4" customFormat="1" ht="9.75" customHeight="1" x14ac:dyDescent="0.25">
      <c r="B20" s="27"/>
      <c r="C20" s="28"/>
      <c r="D20" s="28"/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30"/>
      <c r="R20" s="31"/>
      <c r="S20" s="31"/>
      <c r="T20" s="31"/>
      <c r="U20" s="31"/>
      <c r="V20" s="31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32"/>
      <c r="AK20" s="29"/>
      <c r="AL20" s="28"/>
      <c r="AM20" s="33"/>
      <c r="AN20" s="33"/>
      <c r="AO20" s="33"/>
      <c r="AP20" s="33"/>
      <c r="AQ20" s="33"/>
      <c r="AR20" s="34"/>
    </row>
    <row r="21" spans="2:46" s="2" customFormat="1" ht="48" customHeight="1" x14ac:dyDescent="0.25">
      <c r="B21" s="318" t="s">
        <v>183</v>
      </c>
      <c r="C21" s="319"/>
      <c r="D21" s="320"/>
      <c r="E21" s="64"/>
      <c r="F21" s="64"/>
      <c r="G21" s="104" t="e">
        <f>#REF!</f>
        <v>#REF!</v>
      </c>
      <c r="H21" s="104" t="e">
        <f>#REF!</f>
        <v>#REF!</v>
      </c>
      <c r="I21" s="104" t="e">
        <f>#REF!</f>
        <v>#REF!</v>
      </c>
      <c r="J21" s="66">
        <f>'APRIL 2026 - PMC  '!J38</f>
        <v>38714</v>
      </c>
      <c r="K21" s="66">
        <f>'APRIL 2026 - PMC  '!K38</f>
        <v>105602</v>
      </c>
      <c r="L21" s="66">
        <f>'APRIL 2026 - PMC  '!L38</f>
        <v>0</v>
      </c>
      <c r="M21" s="66">
        <f>'APRIL 2026 - PMC  '!M38</f>
        <v>0</v>
      </c>
      <c r="N21" s="66">
        <f>'APRIL 2026 - PMC  '!N38</f>
        <v>0</v>
      </c>
      <c r="O21" s="66">
        <f>'APRIL 2026 - PMC  '!O38</f>
        <v>0</v>
      </c>
      <c r="P21" s="66">
        <f>'APRIL 2026 - PMC  '!P38</f>
        <v>0</v>
      </c>
      <c r="Q21" s="66">
        <f>'APRIL 2026 - PMC  '!Q38</f>
        <v>94798.319999999992</v>
      </c>
      <c r="R21" s="66">
        <f>'APRIL 2026 - PMC  '!R38</f>
        <v>264</v>
      </c>
      <c r="S21" s="66">
        <f>'APRIL 2026 - PMC  '!S38</f>
        <v>847</v>
      </c>
      <c r="T21" s="66">
        <f>'APRIL 2026 - PMC  '!T38</f>
        <v>16364</v>
      </c>
      <c r="U21" s="66">
        <f>'APRIL 2026 - PMC  '!U38</f>
        <v>0</v>
      </c>
      <c r="V21" s="66">
        <f>'APRIL 2026 - PMC  '!V38</f>
        <v>0</v>
      </c>
      <c r="W21" s="66">
        <f>'APRIL 2026 - PMC  '!W38</f>
        <v>15644</v>
      </c>
      <c r="X21" s="66">
        <f>'APRIL 2026 - PMC  '!X38</f>
        <v>59481</v>
      </c>
      <c r="Y21" s="66">
        <f>'APRIL 2026 - PMC  '!Y38</f>
        <v>646</v>
      </c>
      <c r="Z21" s="66">
        <f>'APRIL 2026 - PMC  '!Z38</f>
        <v>7429</v>
      </c>
      <c r="AA21" s="66">
        <f>'APRIL 2026 - PMC  '!AA38</f>
        <v>322</v>
      </c>
      <c r="AB21" s="66">
        <f>'APRIL 2026 - PMC  '!AB38</f>
        <v>17184</v>
      </c>
      <c r="AC21" s="66">
        <f>'APRIL 2026 - PMC  '!AC38</f>
        <v>0</v>
      </c>
      <c r="AD21" s="66">
        <f>'APRIL 2026 - PMC  '!AD38</f>
        <v>16123</v>
      </c>
      <c r="AE21" s="66">
        <f>'APRIL 2026 - PMC  '!AE38</f>
        <v>0</v>
      </c>
      <c r="AF21" s="66">
        <f>'APRIL 2026 - PMC  '!AF38</f>
        <v>0</v>
      </c>
      <c r="AG21" s="66">
        <f>'APRIL 2026 - PMC  '!AG38</f>
        <v>0</v>
      </c>
      <c r="AH21" s="66">
        <f>'APRIL 2026 - PMC  '!AH38</f>
        <v>1060</v>
      </c>
      <c r="AI21" s="66">
        <f>'APRIL 2026 - PMC  '!AI38</f>
        <v>0</v>
      </c>
      <c r="AJ21" s="66">
        <f>'APRIL 2026 - PMC  '!AJ38</f>
        <v>23542.47</v>
      </c>
      <c r="AK21" s="66">
        <f>'APRIL 2026 - PMC  '!AK38</f>
        <v>2275</v>
      </c>
      <c r="AL21" s="66">
        <f>'APRIL 2026 - PMC  '!AL38</f>
        <v>0</v>
      </c>
      <c r="AM21" s="66">
        <f>'APRIL 2026 - PMC  '!AM38</f>
        <v>0</v>
      </c>
      <c r="AN21" s="66">
        <f>'APRIL 2026 - PMC  '!AN38</f>
        <v>275</v>
      </c>
      <c r="AO21" s="66" t="e">
        <f>'FEBRUARY 2026 - PMC '!AO38</f>
        <v>#REF!</v>
      </c>
      <c r="AP21" s="66" t="e">
        <f>'FEBRUARY 2026 - PMC '!AP38</f>
        <v>#REF!</v>
      </c>
      <c r="AQ21" s="66" t="e">
        <f>'FEBRUARY 2026 - PMC '!AQ38</f>
        <v>#REF!</v>
      </c>
      <c r="AR21" s="129"/>
      <c r="AS21" s="180"/>
      <c r="AT21" s="130"/>
    </row>
    <row r="22" spans="2:46" s="10" customFormat="1" ht="5.25" customHeight="1" x14ac:dyDescent="0.25">
      <c r="B22" s="61"/>
      <c r="C22" s="62"/>
      <c r="D22" s="62"/>
      <c r="E22" s="38"/>
      <c r="F22" s="38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/>
      <c r="R22" s="47"/>
      <c r="S22" s="47"/>
      <c r="T22" s="47"/>
      <c r="U22" s="47"/>
      <c r="V22" s="47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4"/>
      <c r="AK22" s="43"/>
      <c r="AL22" s="44"/>
      <c r="AM22" s="44"/>
      <c r="AN22" s="44"/>
      <c r="AO22" s="43"/>
      <c r="AP22" s="43"/>
      <c r="AQ22" s="45"/>
      <c r="AR22" s="129"/>
    </row>
    <row r="23" spans="2:46" s="12" customFormat="1" ht="28.5" customHeight="1" x14ac:dyDescent="0.25">
      <c r="B23" s="321"/>
      <c r="C23" s="322" t="s">
        <v>185</v>
      </c>
      <c r="D23" s="42" t="s">
        <v>31</v>
      </c>
      <c r="E23" s="42" t="s">
        <v>32</v>
      </c>
      <c r="F23" s="42" t="s">
        <v>61</v>
      </c>
      <c r="G23" s="67"/>
      <c r="H23" s="67"/>
      <c r="I23" s="67"/>
      <c r="J23" s="67">
        <f>100*200</f>
        <v>20000</v>
      </c>
      <c r="K23" s="67"/>
      <c r="L23" s="67"/>
      <c r="M23" s="67"/>
      <c r="N23" s="67"/>
      <c r="O23" s="67"/>
      <c r="P23" s="67"/>
      <c r="Q23" s="43"/>
      <c r="R23" s="69"/>
      <c r="S23" s="69"/>
      <c r="T23" s="69"/>
      <c r="U23" s="69"/>
      <c r="V23" s="69"/>
      <c r="W23" s="67"/>
      <c r="X23" s="43"/>
      <c r="Y23" s="67"/>
      <c r="Z23" s="67">
        <v>1500</v>
      </c>
      <c r="AA23" s="67">
        <v>40</v>
      </c>
      <c r="AB23" s="67"/>
      <c r="AC23" s="67"/>
      <c r="AD23" s="67">
        <v>3000</v>
      </c>
      <c r="AE23" s="67"/>
      <c r="AF23" s="67"/>
      <c r="AG23" s="67"/>
      <c r="AH23" s="67"/>
      <c r="AI23" s="68"/>
      <c r="AJ23" s="68"/>
      <c r="AK23" s="67"/>
      <c r="AL23" s="68"/>
      <c r="AM23" s="68"/>
      <c r="AN23" s="68"/>
      <c r="AO23" s="67"/>
      <c r="AP23" s="67"/>
      <c r="AQ23" s="133"/>
      <c r="AR23" s="113" t="s">
        <v>40</v>
      </c>
      <c r="AS23" s="11"/>
    </row>
    <row r="24" spans="2:46" s="14" customFormat="1" ht="28.5" customHeight="1" x14ac:dyDescent="0.25">
      <c r="B24" s="321"/>
      <c r="C24" s="323"/>
      <c r="D24" s="42" t="s">
        <v>80</v>
      </c>
      <c r="E24" s="42" t="s">
        <v>33</v>
      </c>
      <c r="F24" s="42" t="s">
        <v>60</v>
      </c>
      <c r="G24" s="43"/>
      <c r="H24" s="43"/>
      <c r="I24" s="43"/>
      <c r="J24" s="43"/>
      <c r="K24" s="43">
        <f>100*215</f>
        <v>21500</v>
      </c>
      <c r="L24" s="43"/>
      <c r="M24" s="43"/>
      <c r="N24" s="43"/>
      <c r="O24" s="43"/>
      <c r="P24" s="43"/>
      <c r="Q24" s="43">
        <f>350*25</f>
        <v>8750</v>
      </c>
      <c r="R24" s="70"/>
      <c r="S24" s="70"/>
      <c r="T24" s="70"/>
      <c r="U24" s="70"/>
      <c r="V24" s="70"/>
      <c r="W24" s="43"/>
      <c r="X24" s="43">
        <v>25500</v>
      </c>
      <c r="Y24" s="43"/>
      <c r="Z24" s="67">
        <v>1500</v>
      </c>
      <c r="AA24" s="43">
        <v>40</v>
      </c>
      <c r="AB24" s="43">
        <v>2700</v>
      </c>
      <c r="AC24" s="43"/>
      <c r="AD24" s="43"/>
      <c r="AE24" s="43"/>
      <c r="AF24" s="43"/>
      <c r="AG24" s="43"/>
      <c r="AH24" s="43"/>
      <c r="AI24" s="44"/>
      <c r="AJ24" s="68">
        <v>4000</v>
      </c>
      <c r="AK24" s="71"/>
      <c r="AL24" s="44"/>
      <c r="AM24" s="44"/>
      <c r="AN24" s="44"/>
      <c r="AO24" s="43"/>
      <c r="AP24" s="43"/>
      <c r="AQ24" s="45"/>
      <c r="AR24" s="113" t="s">
        <v>44</v>
      </c>
      <c r="AS24" s="179"/>
    </row>
    <row r="25" spans="2:46" s="12" customFormat="1" ht="28.5" customHeight="1" x14ac:dyDescent="0.25">
      <c r="B25" s="321"/>
      <c r="C25" s="322" t="s">
        <v>186</v>
      </c>
      <c r="D25" s="42" t="s">
        <v>31</v>
      </c>
      <c r="E25" s="42" t="s">
        <v>32</v>
      </c>
      <c r="F25" s="42" t="s">
        <v>61</v>
      </c>
      <c r="G25" s="67"/>
      <c r="H25" s="67"/>
      <c r="I25" s="67"/>
      <c r="J25" s="67">
        <f>75*200</f>
        <v>15000</v>
      </c>
      <c r="K25" s="67"/>
      <c r="L25" s="67"/>
      <c r="M25" s="67"/>
      <c r="N25" s="67"/>
      <c r="O25" s="67"/>
      <c r="P25" s="67"/>
      <c r="Q25" s="43"/>
      <c r="R25" s="69"/>
      <c r="S25" s="69"/>
      <c r="T25" s="69"/>
      <c r="U25" s="69"/>
      <c r="V25" s="69"/>
      <c r="W25" s="67"/>
      <c r="X25" s="68"/>
      <c r="Y25" s="68"/>
      <c r="Z25" s="67">
        <v>1000</v>
      </c>
      <c r="AA25" s="67"/>
      <c r="AB25" s="67"/>
      <c r="AC25" s="67"/>
      <c r="AD25" s="67">
        <v>3000</v>
      </c>
      <c r="AE25" s="67"/>
      <c r="AF25" s="67"/>
      <c r="AG25" s="67"/>
      <c r="AH25" s="67"/>
      <c r="AI25" s="68"/>
      <c r="AJ25" s="68"/>
      <c r="AK25" s="67"/>
      <c r="AL25" s="68"/>
      <c r="AM25" s="68"/>
      <c r="AN25" s="68"/>
      <c r="AO25" s="67"/>
      <c r="AP25" s="67"/>
      <c r="AQ25" s="133"/>
      <c r="AR25" s="113" t="s">
        <v>40</v>
      </c>
      <c r="AS25" s="11"/>
    </row>
    <row r="26" spans="2:46" s="14" customFormat="1" ht="28.5" customHeight="1" x14ac:dyDescent="0.25">
      <c r="B26" s="321"/>
      <c r="C26" s="323"/>
      <c r="D26" s="42" t="s">
        <v>80</v>
      </c>
      <c r="E26" s="42" t="s">
        <v>33</v>
      </c>
      <c r="F26" s="42" t="s">
        <v>60</v>
      </c>
      <c r="G26" s="43"/>
      <c r="H26" s="43"/>
      <c r="I26" s="43"/>
      <c r="J26" s="43"/>
      <c r="K26" s="43">
        <f>75*215</f>
        <v>16125</v>
      </c>
      <c r="L26" s="43"/>
      <c r="M26" s="43"/>
      <c r="N26" s="43"/>
      <c r="O26" s="43"/>
      <c r="P26" s="43"/>
      <c r="Q26" s="43">
        <f>350*25</f>
        <v>8750</v>
      </c>
      <c r="R26" s="70"/>
      <c r="S26" s="70"/>
      <c r="T26" s="70"/>
      <c r="U26" s="70"/>
      <c r="V26" s="70"/>
      <c r="W26" s="43"/>
      <c r="X26" s="43">
        <v>6000</v>
      </c>
      <c r="Y26" s="43"/>
      <c r="Z26" s="67">
        <v>1000</v>
      </c>
      <c r="AA26" s="43"/>
      <c r="AB26" s="43">
        <v>2700</v>
      </c>
      <c r="AC26" s="43"/>
      <c r="AD26" s="43"/>
      <c r="AE26" s="43"/>
      <c r="AF26" s="43"/>
      <c r="AG26" s="43"/>
      <c r="AH26" s="43"/>
      <c r="AI26" s="44"/>
      <c r="AJ26" s="68">
        <v>4000</v>
      </c>
      <c r="AK26" s="43"/>
      <c r="AL26" s="44"/>
      <c r="AM26" s="44"/>
      <c r="AN26" s="43"/>
      <c r="AO26" s="43"/>
      <c r="AP26" s="43"/>
      <c r="AQ26" s="45"/>
      <c r="AR26" s="113" t="s">
        <v>44</v>
      </c>
      <c r="AS26" s="13"/>
    </row>
    <row r="27" spans="2:46" s="12" customFormat="1" ht="28.5" hidden="1" customHeight="1" x14ac:dyDescent="0.25">
      <c r="B27" s="321"/>
      <c r="C27" s="322"/>
      <c r="D27" s="42"/>
      <c r="E27" s="42"/>
      <c r="F27" s="42"/>
      <c r="G27" s="67"/>
      <c r="H27" s="67"/>
      <c r="I27" s="67"/>
      <c r="J27" s="43"/>
      <c r="K27" s="67"/>
      <c r="L27" s="67"/>
      <c r="M27" s="67"/>
      <c r="N27" s="67"/>
      <c r="O27" s="67"/>
      <c r="P27" s="67"/>
      <c r="Q27" s="43"/>
      <c r="R27" s="69"/>
      <c r="S27" s="69"/>
      <c r="T27" s="69"/>
      <c r="U27" s="69"/>
      <c r="V27" s="69"/>
      <c r="W27" s="67"/>
      <c r="X27" s="68"/>
      <c r="Y27" s="68"/>
      <c r="Z27" s="67"/>
      <c r="AA27" s="67"/>
      <c r="AB27" s="67"/>
      <c r="AC27" s="67"/>
      <c r="AD27" s="67"/>
      <c r="AE27" s="67"/>
      <c r="AF27" s="67"/>
      <c r="AG27" s="67"/>
      <c r="AH27" s="67"/>
      <c r="AI27" s="68"/>
      <c r="AJ27" s="68"/>
      <c r="AK27" s="67"/>
      <c r="AL27" s="68"/>
      <c r="AM27" s="68"/>
      <c r="AN27" s="68"/>
      <c r="AO27" s="67"/>
      <c r="AP27" s="67"/>
      <c r="AQ27" s="133"/>
      <c r="AR27" s="113" t="s">
        <v>40</v>
      </c>
      <c r="AS27" s="11"/>
    </row>
    <row r="28" spans="2:46" s="14" customFormat="1" ht="28.5" hidden="1" customHeight="1" x14ac:dyDescent="0.25">
      <c r="B28" s="321"/>
      <c r="C28" s="323"/>
      <c r="D28" s="42"/>
      <c r="E28" s="42"/>
      <c r="F28" s="42"/>
      <c r="G28" s="43"/>
      <c r="H28" s="43"/>
      <c r="I28" s="43"/>
      <c r="K28" s="43"/>
      <c r="L28" s="43"/>
      <c r="M28" s="43"/>
      <c r="N28" s="43"/>
      <c r="O28" s="43"/>
      <c r="P28" s="43"/>
      <c r="Q28" s="43"/>
      <c r="R28" s="70"/>
      <c r="S28" s="70"/>
      <c r="T28" s="70"/>
      <c r="U28" s="70"/>
      <c r="V28" s="70"/>
      <c r="W28" s="43"/>
      <c r="X28" s="43"/>
      <c r="Y28" s="43"/>
      <c r="Z28" s="67"/>
      <c r="AA28" s="43"/>
      <c r="AB28" s="43"/>
      <c r="AC28" s="43"/>
      <c r="AD28" s="43"/>
      <c r="AE28" s="43"/>
      <c r="AF28" s="43"/>
      <c r="AG28" s="43"/>
      <c r="AH28" s="43"/>
      <c r="AI28" s="44"/>
      <c r="AJ28" s="68"/>
      <c r="AK28" s="43"/>
      <c r="AL28" s="44"/>
      <c r="AM28" s="44"/>
      <c r="AN28" s="43"/>
      <c r="AO28" s="43"/>
      <c r="AP28" s="43"/>
      <c r="AQ28" s="45"/>
      <c r="AR28" s="113" t="s">
        <v>44</v>
      </c>
      <c r="AS28" s="13"/>
    </row>
    <row r="29" spans="2:46" s="12" customFormat="1" ht="28.5" hidden="1" customHeight="1" x14ac:dyDescent="0.25">
      <c r="B29" s="321"/>
      <c r="C29" s="322"/>
      <c r="D29" s="42"/>
      <c r="E29" s="42"/>
      <c r="F29" s="42"/>
      <c r="G29" s="67"/>
      <c r="H29" s="67"/>
      <c r="I29" s="67"/>
      <c r="J29" s="43"/>
      <c r="K29" s="67"/>
      <c r="L29" s="67"/>
      <c r="M29" s="67"/>
      <c r="N29" s="67"/>
      <c r="O29" s="67"/>
      <c r="P29" s="67"/>
      <c r="Q29" s="43"/>
      <c r="R29" s="69"/>
      <c r="S29" s="69"/>
      <c r="T29" s="69"/>
      <c r="U29" s="69"/>
      <c r="V29" s="69"/>
      <c r="W29" s="67"/>
      <c r="X29" s="68"/>
      <c r="Y29" s="68"/>
      <c r="Z29" s="67"/>
      <c r="AA29" s="67"/>
      <c r="AB29" s="67"/>
      <c r="AC29" s="67"/>
      <c r="AD29" s="67"/>
      <c r="AE29" s="67"/>
      <c r="AF29" s="67"/>
      <c r="AG29" s="67"/>
      <c r="AH29" s="67"/>
      <c r="AI29" s="68"/>
      <c r="AJ29" s="68"/>
      <c r="AK29" s="67"/>
      <c r="AL29" s="68"/>
      <c r="AM29" s="68"/>
      <c r="AN29" s="68"/>
      <c r="AO29" s="67"/>
      <c r="AP29" s="67"/>
      <c r="AQ29" s="133"/>
      <c r="AR29" s="113" t="s">
        <v>40</v>
      </c>
      <c r="AS29" s="11"/>
    </row>
    <row r="30" spans="2:46" s="14" customFormat="1" ht="28.5" hidden="1" customHeight="1" x14ac:dyDescent="0.25">
      <c r="B30" s="321"/>
      <c r="C30" s="323"/>
      <c r="D30" s="42"/>
      <c r="E30" s="42"/>
      <c r="F30" s="42"/>
      <c r="G30" s="43"/>
      <c r="H30" s="43"/>
      <c r="I30" s="43"/>
      <c r="K30" s="43"/>
      <c r="L30" s="43"/>
      <c r="M30" s="43"/>
      <c r="N30" s="43"/>
      <c r="O30" s="43"/>
      <c r="P30" s="43"/>
      <c r="Q30" s="43"/>
      <c r="R30" s="70"/>
      <c r="S30" s="70"/>
      <c r="T30" s="70"/>
      <c r="U30" s="70"/>
      <c r="V30" s="70"/>
      <c r="W30" s="43"/>
      <c r="X30" s="43"/>
      <c r="Y30" s="43"/>
      <c r="Z30" s="67"/>
      <c r="AA30" s="43"/>
      <c r="AB30" s="43"/>
      <c r="AC30" s="43"/>
      <c r="AD30" s="43"/>
      <c r="AE30" s="43"/>
      <c r="AF30" s="43"/>
      <c r="AG30" s="43"/>
      <c r="AH30" s="43"/>
      <c r="AI30" s="44"/>
      <c r="AJ30" s="68"/>
      <c r="AK30" s="43"/>
      <c r="AL30" s="44"/>
      <c r="AM30" s="44"/>
      <c r="AN30" s="43"/>
      <c r="AO30" s="43"/>
      <c r="AP30" s="43"/>
      <c r="AQ30" s="45"/>
      <c r="AR30" s="113" t="s">
        <v>44</v>
      </c>
      <c r="AS30" s="13"/>
    </row>
    <row r="31" spans="2:46" s="10" customFormat="1" ht="23.25" x14ac:dyDescent="0.25">
      <c r="B31" s="41" t="s">
        <v>34</v>
      </c>
      <c r="C31" s="50"/>
      <c r="D31" s="51"/>
      <c r="E31" s="52"/>
      <c r="F31" s="52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/>
      <c r="R31" s="44"/>
      <c r="S31" s="44"/>
      <c r="T31" s="44"/>
      <c r="U31" s="44"/>
      <c r="V31" s="44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  <c r="AJ31" s="44"/>
      <c r="AK31" s="43"/>
      <c r="AL31" s="44"/>
      <c r="AM31" s="44"/>
      <c r="AN31" s="44"/>
      <c r="AO31" s="43"/>
      <c r="AP31" s="43"/>
      <c r="AQ31" s="45"/>
      <c r="AR31" s="129"/>
      <c r="AS31" s="2"/>
    </row>
    <row r="32" spans="2:46" s="10" customFormat="1" ht="23.25" x14ac:dyDescent="0.25">
      <c r="B32" s="41" t="s">
        <v>35</v>
      </c>
      <c r="C32" s="40"/>
      <c r="D32" s="38"/>
      <c r="E32" s="38"/>
      <c r="F32" s="38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4"/>
      <c r="R32" s="44"/>
      <c r="S32" s="44"/>
      <c r="T32" s="44"/>
      <c r="U32" s="44"/>
      <c r="V32" s="44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4"/>
      <c r="AJ32" s="44"/>
      <c r="AK32" s="43"/>
      <c r="AL32" s="44"/>
      <c r="AM32" s="44"/>
      <c r="AN32" s="44"/>
      <c r="AO32" s="43"/>
      <c r="AP32" s="43"/>
      <c r="AQ32" s="45"/>
      <c r="AR32" s="129"/>
      <c r="AS32" s="2"/>
    </row>
    <row r="33" spans="2:45" s="13" customFormat="1" ht="39.950000000000003" customHeight="1" x14ac:dyDescent="0.25">
      <c r="B33" s="103" t="s">
        <v>17</v>
      </c>
      <c r="C33" s="104"/>
      <c r="D33" s="104"/>
      <c r="E33" s="104"/>
      <c r="F33" s="104"/>
      <c r="G33" s="132" t="e">
        <f t="shared" ref="G33:AQ33" si="0">SUM(G21:G32)</f>
        <v>#REF!</v>
      </c>
      <c r="H33" s="132" t="e">
        <f t="shared" si="0"/>
        <v>#REF!</v>
      </c>
      <c r="I33" s="132" t="e">
        <f t="shared" si="0"/>
        <v>#REF!</v>
      </c>
      <c r="J33" s="46">
        <f t="shared" si="0"/>
        <v>73714</v>
      </c>
      <c r="K33" s="46">
        <f>SUM(K21:K32)</f>
        <v>143227</v>
      </c>
      <c r="L33" s="46">
        <f t="shared" si="0"/>
        <v>0</v>
      </c>
      <c r="M33" s="46">
        <f t="shared" si="0"/>
        <v>0</v>
      </c>
      <c r="N33" s="46">
        <f t="shared" si="0"/>
        <v>0</v>
      </c>
      <c r="O33" s="46">
        <f t="shared" si="0"/>
        <v>0</v>
      </c>
      <c r="P33" s="46">
        <f t="shared" si="0"/>
        <v>0</v>
      </c>
      <c r="Q33" s="65">
        <f t="shared" si="0"/>
        <v>112298.31999999999</v>
      </c>
      <c r="R33" s="46">
        <f t="shared" si="0"/>
        <v>264</v>
      </c>
      <c r="S33" s="46">
        <f t="shared" si="0"/>
        <v>847</v>
      </c>
      <c r="T33" s="46">
        <f t="shared" si="0"/>
        <v>16364</v>
      </c>
      <c r="U33" s="46">
        <f t="shared" si="0"/>
        <v>0</v>
      </c>
      <c r="V33" s="46">
        <f t="shared" si="0"/>
        <v>0</v>
      </c>
      <c r="W33" s="46">
        <f t="shared" si="0"/>
        <v>15644</v>
      </c>
      <c r="X33" s="46">
        <f>SUM(X21:X32)</f>
        <v>90981</v>
      </c>
      <c r="Y33" s="46">
        <f t="shared" si="0"/>
        <v>646</v>
      </c>
      <c r="Z33" s="46">
        <f t="shared" si="0"/>
        <v>12429</v>
      </c>
      <c r="AA33" s="46">
        <f>SUM(AA21:AA32)</f>
        <v>402</v>
      </c>
      <c r="AB33" s="46">
        <f>SUM(AB21:AB32)</f>
        <v>22584</v>
      </c>
      <c r="AC33" s="46">
        <f t="shared" si="0"/>
        <v>0</v>
      </c>
      <c r="AD33" s="46">
        <f t="shared" si="0"/>
        <v>22123</v>
      </c>
      <c r="AE33" s="46">
        <f t="shared" si="0"/>
        <v>0</v>
      </c>
      <c r="AF33" s="46">
        <f t="shared" si="0"/>
        <v>0</v>
      </c>
      <c r="AG33" s="46">
        <f t="shared" si="0"/>
        <v>0</v>
      </c>
      <c r="AH33" s="46">
        <f t="shared" si="0"/>
        <v>1060</v>
      </c>
      <c r="AI33" s="46">
        <f t="shared" si="0"/>
        <v>0</v>
      </c>
      <c r="AJ33" s="65">
        <f t="shared" si="0"/>
        <v>31542.47</v>
      </c>
      <c r="AK33" s="46">
        <f t="shared" si="0"/>
        <v>2275</v>
      </c>
      <c r="AL33" s="46">
        <f t="shared" si="0"/>
        <v>0</v>
      </c>
      <c r="AM33" s="46">
        <f t="shared" si="0"/>
        <v>0</v>
      </c>
      <c r="AN33" s="46">
        <f t="shared" si="0"/>
        <v>275</v>
      </c>
      <c r="AO33" s="46" t="e">
        <f t="shared" si="0"/>
        <v>#REF!</v>
      </c>
      <c r="AP33" s="46" t="e">
        <f t="shared" si="0"/>
        <v>#REF!</v>
      </c>
      <c r="AQ33" s="46" t="e">
        <f t="shared" si="0"/>
        <v>#REF!</v>
      </c>
      <c r="AR33" s="131"/>
    </row>
    <row r="34" spans="2:45" s="14" customFormat="1" ht="23.25" x14ac:dyDescent="0.25">
      <c r="B34" s="326" t="s">
        <v>18</v>
      </c>
      <c r="C34" s="327"/>
      <c r="D34" s="39"/>
      <c r="E34" s="39"/>
      <c r="F34" s="39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/>
      <c r="R34" s="44"/>
      <c r="S34" s="44"/>
      <c r="T34" s="44"/>
      <c r="U34" s="44"/>
      <c r="V34" s="44"/>
      <c r="W34" s="43"/>
      <c r="X34" s="43"/>
      <c r="Y34" s="43"/>
      <c r="Z34" s="43"/>
      <c r="AA34" s="44"/>
      <c r="AB34" s="43"/>
      <c r="AC34" s="43"/>
      <c r="AD34" s="43"/>
      <c r="AE34" s="43"/>
      <c r="AF34" s="43"/>
      <c r="AG34" s="43"/>
      <c r="AH34" s="43"/>
      <c r="AI34" s="43"/>
      <c r="AJ34" s="44"/>
      <c r="AK34" s="43"/>
      <c r="AL34" s="44"/>
      <c r="AM34" s="44"/>
      <c r="AN34" s="44"/>
      <c r="AO34" s="134"/>
      <c r="AP34" s="134"/>
      <c r="AQ34" s="45"/>
      <c r="AR34" s="131"/>
      <c r="AS34" s="13"/>
    </row>
    <row r="35" spans="2:45" s="14" customFormat="1" ht="59.25" customHeight="1" x14ac:dyDescent="0.25">
      <c r="B35" s="328" t="s">
        <v>79</v>
      </c>
      <c r="C35" s="329"/>
      <c r="D35" s="334" t="s">
        <v>81</v>
      </c>
      <c r="E35" s="335"/>
      <c r="F35" s="336"/>
      <c r="G35" s="72"/>
      <c r="H35" s="72"/>
      <c r="I35" s="72">
        <v>0</v>
      </c>
      <c r="J35" s="72">
        <v>46364</v>
      </c>
      <c r="K35" s="72">
        <v>42223</v>
      </c>
      <c r="L35" s="72"/>
      <c r="M35" s="72"/>
      <c r="N35" s="72"/>
      <c r="O35" s="72"/>
      <c r="P35" s="72"/>
      <c r="Q35" s="73">
        <v>30961.5</v>
      </c>
      <c r="R35" s="72">
        <v>0</v>
      </c>
      <c r="S35" s="72">
        <v>0</v>
      </c>
      <c r="T35" s="72">
        <v>0</v>
      </c>
      <c r="U35" s="72"/>
      <c r="V35" s="72"/>
      <c r="W35" s="72">
        <v>3453</v>
      </c>
      <c r="X35" s="72">
        <v>44222</v>
      </c>
      <c r="Y35" s="72"/>
      <c r="Z35" s="72">
        <v>5002</v>
      </c>
      <c r="AA35" s="72">
        <v>128</v>
      </c>
      <c r="AB35" s="72">
        <v>12260</v>
      </c>
      <c r="AC35" s="72"/>
      <c r="AD35" s="72">
        <v>8724</v>
      </c>
      <c r="AE35" s="72"/>
      <c r="AF35" s="72"/>
      <c r="AG35" s="72"/>
      <c r="AH35" s="72">
        <v>0</v>
      </c>
      <c r="AI35" s="72"/>
      <c r="AJ35" s="73">
        <f>Z35*2.43</f>
        <v>12154.86</v>
      </c>
      <c r="AK35" s="72">
        <v>330</v>
      </c>
      <c r="AL35" s="72"/>
      <c r="AM35" s="72"/>
      <c r="AN35" s="72">
        <v>0</v>
      </c>
      <c r="AO35" s="72"/>
      <c r="AP35" s="72"/>
      <c r="AQ35" s="72"/>
      <c r="AR35" s="131"/>
      <c r="AS35" s="181"/>
    </row>
    <row r="36" spans="2:45" s="14" customFormat="1" ht="36" hidden="1" customHeight="1" x14ac:dyDescent="0.25">
      <c r="B36" s="330"/>
      <c r="C36" s="331"/>
      <c r="D36" s="397" t="s">
        <v>153</v>
      </c>
      <c r="E36" s="397"/>
      <c r="F36" s="397"/>
      <c r="G36" s="324">
        <v>0</v>
      </c>
      <c r="H36" s="7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  <c r="AF36" s="324"/>
      <c r="AG36" s="324"/>
      <c r="AH36" s="324"/>
      <c r="AI36" s="324"/>
      <c r="AJ36" s="343"/>
      <c r="AK36" s="324"/>
      <c r="AL36" s="324"/>
      <c r="AM36" s="324"/>
      <c r="AN36" s="324"/>
      <c r="AO36" s="324">
        <v>0</v>
      </c>
      <c r="AP36" s="324">
        <v>0</v>
      </c>
      <c r="AQ36" s="324">
        <v>0</v>
      </c>
      <c r="AR36" s="339"/>
      <c r="AS36" s="13"/>
    </row>
    <row r="37" spans="2:45" s="15" customFormat="1" ht="48.75" hidden="1" customHeight="1" x14ac:dyDescent="0.25">
      <c r="B37" s="332"/>
      <c r="C37" s="333"/>
      <c r="D37" s="397"/>
      <c r="E37" s="397"/>
      <c r="F37" s="397"/>
      <c r="G37" s="325"/>
      <c r="H37" s="7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25"/>
      <c r="AI37" s="325"/>
      <c r="AJ37" s="344"/>
      <c r="AK37" s="325"/>
      <c r="AL37" s="325"/>
      <c r="AM37" s="325"/>
      <c r="AN37" s="325"/>
      <c r="AO37" s="325"/>
      <c r="AP37" s="325"/>
      <c r="AQ37" s="325"/>
      <c r="AR37" s="340"/>
    </row>
    <row r="38" spans="2:45" s="13" customFormat="1" ht="39.950000000000003" customHeight="1" thickBot="1" x14ac:dyDescent="0.3">
      <c r="B38" s="125" t="s">
        <v>184</v>
      </c>
      <c r="C38" s="126"/>
      <c r="D38" s="63"/>
      <c r="E38" s="63"/>
      <c r="F38" s="63"/>
      <c r="G38" s="128" t="e">
        <f t="shared" ref="G38:AQ38" si="1">G33-G35-G36</f>
        <v>#REF!</v>
      </c>
      <c r="H38" s="128" t="e">
        <f t="shared" si="1"/>
        <v>#REF!</v>
      </c>
      <c r="I38" s="128" t="e">
        <f t="shared" si="1"/>
        <v>#REF!</v>
      </c>
      <c r="J38" s="76">
        <f>J33-J35+J36</f>
        <v>27350</v>
      </c>
      <c r="K38" s="76">
        <f t="shared" ref="K38:AN38" si="2">K33-K35+K36</f>
        <v>101004</v>
      </c>
      <c r="L38" s="76">
        <f t="shared" si="2"/>
        <v>0</v>
      </c>
      <c r="M38" s="76">
        <f t="shared" si="2"/>
        <v>0</v>
      </c>
      <c r="N38" s="76">
        <f t="shared" si="2"/>
        <v>0</v>
      </c>
      <c r="O38" s="76">
        <f t="shared" si="2"/>
        <v>0</v>
      </c>
      <c r="P38" s="76">
        <f t="shared" si="2"/>
        <v>0</v>
      </c>
      <c r="Q38" s="170">
        <f t="shared" si="2"/>
        <v>81336.819999999992</v>
      </c>
      <c r="R38" s="76">
        <f t="shared" si="2"/>
        <v>264</v>
      </c>
      <c r="S38" s="76">
        <f t="shared" si="2"/>
        <v>847</v>
      </c>
      <c r="T38" s="76">
        <f t="shared" si="2"/>
        <v>16364</v>
      </c>
      <c r="U38" s="76">
        <f t="shared" si="2"/>
        <v>0</v>
      </c>
      <c r="V38" s="76">
        <f t="shared" si="2"/>
        <v>0</v>
      </c>
      <c r="W38" s="76">
        <f t="shared" si="2"/>
        <v>12191</v>
      </c>
      <c r="X38" s="76">
        <f t="shared" si="2"/>
        <v>46759</v>
      </c>
      <c r="Y38" s="76">
        <f t="shared" si="2"/>
        <v>646</v>
      </c>
      <c r="Z38" s="76">
        <f t="shared" si="2"/>
        <v>7427</v>
      </c>
      <c r="AA38" s="76">
        <f t="shared" si="2"/>
        <v>274</v>
      </c>
      <c r="AB38" s="76">
        <f t="shared" si="2"/>
        <v>10324</v>
      </c>
      <c r="AC38" s="76">
        <f t="shared" si="2"/>
        <v>0</v>
      </c>
      <c r="AD38" s="76">
        <f t="shared" si="2"/>
        <v>13399</v>
      </c>
      <c r="AE38" s="76">
        <f t="shared" si="2"/>
        <v>0</v>
      </c>
      <c r="AF38" s="76">
        <f t="shared" si="2"/>
        <v>0</v>
      </c>
      <c r="AG38" s="76">
        <f t="shared" si="2"/>
        <v>0</v>
      </c>
      <c r="AH38" s="76">
        <f t="shared" si="2"/>
        <v>1060</v>
      </c>
      <c r="AI38" s="76">
        <f t="shared" si="2"/>
        <v>0</v>
      </c>
      <c r="AJ38" s="170">
        <f t="shared" si="2"/>
        <v>19387.61</v>
      </c>
      <c r="AK38" s="76">
        <f t="shared" si="2"/>
        <v>1945</v>
      </c>
      <c r="AL38" s="76">
        <f t="shared" si="2"/>
        <v>0</v>
      </c>
      <c r="AM38" s="76">
        <f t="shared" si="2"/>
        <v>0</v>
      </c>
      <c r="AN38" s="76">
        <f t="shared" si="2"/>
        <v>275</v>
      </c>
      <c r="AO38" s="76" t="e">
        <f t="shared" si="1"/>
        <v>#REF!</v>
      </c>
      <c r="AP38" s="76" t="e">
        <f t="shared" si="1"/>
        <v>#REF!</v>
      </c>
      <c r="AQ38" s="76" t="e">
        <f t="shared" si="1"/>
        <v>#REF!</v>
      </c>
      <c r="AR38" s="127"/>
    </row>
    <row r="39" spans="2:45" s="1" customFormat="1" ht="28.5" customHeight="1" x14ac:dyDescent="0.35">
      <c r="H39" s="172"/>
      <c r="I39" s="172"/>
      <c r="J39" s="172"/>
      <c r="K39" s="172"/>
      <c r="L39" s="172"/>
      <c r="M39" s="172"/>
      <c r="N39" s="172"/>
      <c r="O39" s="172"/>
      <c r="P39" s="172"/>
      <c r="Q39" s="173"/>
      <c r="R39" s="174"/>
      <c r="S39" s="174"/>
      <c r="T39" s="174"/>
      <c r="U39" s="174"/>
      <c r="V39" s="174"/>
      <c r="W39" s="174"/>
      <c r="X39" s="174"/>
      <c r="Z39" s="172"/>
      <c r="AA39" s="172"/>
      <c r="AB39" s="172"/>
      <c r="AC39" s="172"/>
      <c r="AD39" s="172"/>
      <c r="AH39" s="173"/>
      <c r="AI39" s="175"/>
      <c r="AJ39" s="173"/>
      <c r="AK39" s="172"/>
      <c r="AN39" s="172"/>
    </row>
    <row r="40" spans="2:45" s="137" customFormat="1" ht="21" customHeight="1" x14ac:dyDescent="0.25">
      <c r="K40" s="138"/>
      <c r="L40" s="139"/>
      <c r="P40" s="138"/>
      <c r="Q40" s="140"/>
      <c r="R40" s="140"/>
      <c r="S40" s="140"/>
      <c r="T40" s="140"/>
      <c r="U40" s="140"/>
      <c r="V40" s="140"/>
      <c r="W40" s="140"/>
      <c r="X40" s="140"/>
      <c r="Y40" s="140"/>
      <c r="Z40" s="141"/>
      <c r="AA40" s="138"/>
      <c r="AB40" s="138"/>
      <c r="AC40" s="138"/>
      <c r="AJ40" s="140"/>
      <c r="AK40" s="141"/>
      <c r="AN40" s="138"/>
    </row>
    <row r="41" spans="2:45" ht="9" customHeight="1" x14ac:dyDescent="0.3">
      <c r="L41" s="20"/>
      <c r="R41" s="17"/>
      <c r="S41" s="17"/>
      <c r="T41" s="17"/>
      <c r="U41" s="17"/>
      <c r="V41" s="17"/>
      <c r="W41" s="17"/>
      <c r="X41" s="17"/>
      <c r="Y41" s="17"/>
      <c r="Z41" s="21"/>
      <c r="AJ41" s="19"/>
      <c r="AK41" s="21"/>
    </row>
    <row r="42" spans="2:45" ht="9" customHeight="1" x14ac:dyDescent="0.3">
      <c r="L42" s="20"/>
      <c r="R42" s="17"/>
      <c r="S42" s="17"/>
      <c r="T42" s="17"/>
      <c r="U42" s="17"/>
      <c r="V42" s="17"/>
      <c r="W42" s="17"/>
      <c r="X42" s="17"/>
      <c r="Y42" s="17"/>
      <c r="Z42" s="21"/>
      <c r="AJ42" s="19"/>
      <c r="AK42" s="21"/>
    </row>
    <row r="43" spans="2:45" s="2" customFormat="1" ht="30" customHeight="1" x14ac:dyDescent="0.25">
      <c r="B43" s="280"/>
      <c r="C43" s="341" t="s">
        <v>45</v>
      </c>
      <c r="D43" s="341"/>
      <c r="E43" s="341"/>
      <c r="F43" s="341"/>
      <c r="G43" s="341"/>
      <c r="H43" s="280"/>
      <c r="I43" s="280"/>
      <c r="K43" s="280" t="s">
        <v>19</v>
      </c>
      <c r="L43" s="280"/>
      <c r="M43" s="280"/>
      <c r="N43" s="280"/>
      <c r="O43" s="280"/>
      <c r="P43" s="280"/>
      <c r="R43" s="342" t="s">
        <v>54</v>
      </c>
      <c r="S43" s="342"/>
      <c r="T43" s="342"/>
      <c r="U43" s="342"/>
      <c r="V43" s="280"/>
      <c r="W43" s="280"/>
      <c r="X43" s="281" t="s">
        <v>90</v>
      </c>
      <c r="Y43" s="281"/>
      <c r="Z43" s="281"/>
      <c r="AA43" s="281"/>
      <c r="AB43" s="109"/>
      <c r="AC43" s="109"/>
      <c r="AD43" s="280" t="s">
        <v>20</v>
      </c>
      <c r="AE43" s="280"/>
      <c r="AF43" s="280"/>
      <c r="AG43" s="280"/>
      <c r="AI43" s="280"/>
      <c r="AJ43" s="280"/>
      <c r="AK43" s="280"/>
      <c r="AL43" s="280"/>
      <c r="AM43" s="280" t="s">
        <v>20</v>
      </c>
      <c r="AN43" s="280"/>
      <c r="AO43" s="280"/>
      <c r="AP43" s="280"/>
      <c r="AQ43" s="280"/>
      <c r="AR43" s="142"/>
      <c r="AS43" s="142"/>
    </row>
    <row r="44" spans="2:45" s="2" customFormat="1" ht="30" customHeight="1" x14ac:dyDescent="0.25">
      <c r="B44" s="280"/>
      <c r="C44" s="341" t="s">
        <v>38</v>
      </c>
      <c r="D44" s="341"/>
      <c r="E44" s="341"/>
      <c r="F44" s="341"/>
      <c r="G44" s="341"/>
      <c r="H44" s="280"/>
      <c r="I44" s="280"/>
      <c r="J44" s="280"/>
      <c r="K44" s="280"/>
      <c r="L44" s="22"/>
      <c r="M44" s="280"/>
      <c r="N44" s="280"/>
      <c r="O44" s="280"/>
      <c r="P44" s="280"/>
      <c r="Q44" s="201"/>
      <c r="R44" s="280"/>
      <c r="S44" s="280"/>
      <c r="T44" s="280"/>
      <c r="U44" s="280"/>
      <c r="V44" s="280"/>
      <c r="W44" s="280"/>
      <c r="X44" s="280"/>
      <c r="Y44" s="280"/>
      <c r="Z44" s="280"/>
      <c r="AA44" s="280"/>
      <c r="AB44" s="280"/>
      <c r="AC44" s="280"/>
      <c r="AD44" s="280"/>
      <c r="AE44" s="280"/>
      <c r="AF44" s="280"/>
      <c r="AG44" s="280"/>
      <c r="AI44" s="280"/>
      <c r="AJ44" s="280"/>
      <c r="AK44" s="280"/>
      <c r="AL44" s="280"/>
      <c r="AM44" s="280"/>
      <c r="AN44" s="280"/>
      <c r="AO44" s="280"/>
      <c r="AP44" s="280"/>
      <c r="AQ44" s="280"/>
      <c r="AR44" s="280"/>
      <c r="AS44" s="280"/>
    </row>
    <row r="45" spans="2:45" s="2" customFormat="1" ht="30" customHeight="1" x14ac:dyDescent="0.25"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2"/>
      <c r="M45" s="280"/>
      <c r="N45" s="280"/>
      <c r="O45" s="280"/>
      <c r="P45" s="82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0"/>
      <c r="AI45" s="280"/>
      <c r="AJ45" s="280"/>
      <c r="AK45" s="280"/>
      <c r="AL45" s="280"/>
      <c r="AM45" s="280"/>
      <c r="AN45" s="280"/>
      <c r="AO45" s="280"/>
      <c r="AP45" s="280"/>
      <c r="AQ45" s="280"/>
      <c r="AR45" s="280"/>
      <c r="AS45" s="280"/>
    </row>
    <row r="46" spans="2:45" s="2" customFormat="1" ht="30" customHeight="1" x14ac:dyDescent="0.25">
      <c r="B46" s="280"/>
      <c r="C46" s="280" t="s">
        <v>21</v>
      </c>
      <c r="D46" s="281"/>
      <c r="E46" s="280"/>
      <c r="F46" s="280" t="s">
        <v>95</v>
      </c>
      <c r="G46" s="280" t="s">
        <v>64</v>
      </c>
      <c r="H46" s="280"/>
      <c r="I46" s="280"/>
      <c r="J46" s="280"/>
      <c r="K46" s="280"/>
      <c r="L46" s="281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  <c r="AA46" s="280"/>
      <c r="AB46" s="280"/>
      <c r="AC46" s="280"/>
      <c r="AD46" s="178" t="s">
        <v>100</v>
      </c>
      <c r="AE46" s="281"/>
      <c r="AF46" s="281"/>
      <c r="AG46" s="281"/>
      <c r="AH46" s="117"/>
      <c r="AI46" s="281"/>
      <c r="AJ46" s="281"/>
      <c r="AK46" s="281"/>
      <c r="AL46" s="281"/>
      <c r="AM46" s="281"/>
      <c r="AN46" s="281"/>
      <c r="AO46" s="281"/>
      <c r="AP46" s="281"/>
      <c r="AQ46" s="281"/>
      <c r="AR46" s="109"/>
      <c r="AS46" s="109"/>
    </row>
    <row r="47" spans="2:45" s="2" customFormat="1" ht="30" customHeight="1" x14ac:dyDescent="0.25">
      <c r="B47" s="280"/>
      <c r="C47" s="280" t="s">
        <v>22</v>
      </c>
      <c r="D47" s="23"/>
      <c r="E47" s="280"/>
      <c r="F47" s="280" t="s">
        <v>96</v>
      </c>
      <c r="G47" s="280" t="s">
        <v>25</v>
      </c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80"/>
      <c r="AB47" s="280"/>
      <c r="AC47" s="280"/>
      <c r="AD47" s="177" t="s">
        <v>120</v>
      </c>
      <c r="AE47" s="280"/>
      <c r="AF47" s="280"/>
      <c r="AG47" s="280"/>
      <c r="AI47" s="280"/>
      <c r="AJ47" s="280"/>
      <c r="AK47" s="280"/>
      <c r="AL47" s="280"/>
      <c r="AM47" s="280"/>
      <c r="AN47" s="280"/>
      <c r="AO47" s="280"/>
      <c r="AP47" s="280"/>
      <c r="AQ47" s="280"/>
      <c r="AR47" s="280"/>
      <c r="AS47" s="280"/>
    </row>
    <row r="48" spans="2:45" s="2" customFormat="1" ht="30" customHeight="1" x14ac:dyDescent="0.25">
      <c r="B48" s="280"/>
      <c r="C48" s="280" t="s">
        <v>23</v>
      </c>
      <c r="D48" s="23"/>
      <c r="E48" s="280"/>
      <c r="F48" s="280" t="s">
        <v>97</v>
      </c>
      <c r="G48" s="280" t="s">
        <v>78</v>
      </c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80"/>
      <c r="AB48" s="280"/>
      <c r="AC48" s="280"/>
      <c r="AD48" s="177" t="s">
        <v>121</v>
      </c>
      <c r="AE48" s="280"/>
      <c r="AF48" s="280"/>
      <c r="AG48" s="280"/>
      <c r="AI48" s="280"/>
      <c r="AJ48" s="280"/>
      <c r="AK48" s="280"/>
      <c r="AL48" s="280"/>
      <c r="AM48" s="280"/>
      <c r="AN48" s="280"/>
      <c r="AO48" s="280"/>
      <c r="AP48" s="280"/>
      <c r="AQ48" s="280"/>
      <c r="AR48" s="280"/>
      <c r="AS48" s="280"/>
    </row>
    <row r="49" spans="2:45" s="2" customFormat="1" ht="30" customHeight="1" x14ac:dyDescent="0.25">
      <c r="B49" s="280"/>
      <c r="C49" s="280" t="s">
        <v>24</v>
      </c>
      <c r="D49" s="23"/>
      <c r="E49" s="280"/>
      <c r="F49" s="280" t="s">
        <v>98</v>
      </c>
      <c r="G49" s="280" t="s">
        <v>63</v>
      </c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177" t="s">
        <v>122</v>
      </c>
      <c r="AE49" s="280"/>
      <c r="AF49" s="280"/>
      <c r="AG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0"/>
    </row>
    <row r="50" spans="2:45" s="2" customFormat="1" ht="30" customHeight="1" x14ac:dyDescent="0.25">
      <c r="AI50" s="280"/>
      <c r="AJ50" s="280"/>
    </row>
    <row r="51" spans="2:45" s="10" customFormat="1" ht="20.25" x14ac:dyDescent="0.25">
      <c r="Y51" s="10" t="s">
        <v>105</v>
      </c>
    </row>
    <row r="52" spans="2:45" s="114" customFormat="1" x14ac:dyDescent="0.25">
      <c r="AJ52" s="115"/>
    </row>
    <row r="53" spans="2:45" s="114" customFormat="1" x14ac:dyDescent="0.25">
      <c r="AJ53" s="115"/>
    </row>
  </sheetData>
  <mergeCells count="84">
    <mergeCell ref="B7:AR7"/>
    <mergeCell ref="B1:AR1"/>
    <mergeCell ref="B2:AR2"/>
    <mergeCell ref="B3:AR3"/>
    <mergeCell ref="B4:AR4"/>
    <mergeCell ref="B6:AR6"/>
    <mergeCell ref="B8:AR8"/>
    <mergeCell ref="B16:B19"/>
    <mergeCell ref="C16:C19"/>
    <mergeCell ref="D16:D19"/>
    <mergeCell ref="E16:E19"/>
    <mergeCell ref="F16:F19"/>
    <mergeCell ref="G16:P16"/>
    <mergeCell ref="Q16:Q18"/>
    <mergeCell ref="R16:AA16"/>
    <mergeCell ref="AB16:AH16"/>
    <mergeCell ref="AP16:AP18"/>
    <mergeCell ref="AQ16:AQ18"/>
    <mergeCell ref="K17:M17"/>
    <mergeCell ref="T17:U17"/>
    <mergeCell ref="W17:Y17"/>
    <mergeCell ref="Z17:Z18"/>
    <mergeCell ref="AA17:AA18"/>
    <mergeCell ref="AB17:AB18"/>
    <mergeCell ref="AC17:AC18"/>
    <mergeCell ref="AD17:AD18"/>
    <mergeCell ref="AI16:AI18"/>
    <mergeCell ref="AG17:AG18"/>
    <mergeCell ref="AH17:AH18"/>
    <mergeCell ref="AJ16:AJ18"/>
    <mergeCell ref="AK16:AK18"/>
    <mergeCell ref="AL16:AM17"/>
    <mergeCell ref="AN16:AN18"/>
    <mergeCell ref="AO16:AO18"/>
    <mergeCell ref="B21:D21"/>
    <mergeCell ref="B23:B30"/>
    <mergeCell ref="C23:C24"/>
    <mergeCell ref="C25:C26"/>
    <mergeCell ref="C27:C28"/>
    <mergeCell ref="C29:C30"/>
    <mergeCell ref="O36:O37"/>
    <mergeCell ref="B34:C34"/>
    <mergeCell ref="B35:C37"/>
    <mergeCell ref="D35:F35"/>
    <mergeCell ref="D36:F37"/>
    <mergeCell ref="G36:G37"/>
    <mergeCell ref="I36:I37"/>
    <mergeCell ref="J36:J37"/>
    <mergeCell ref="K36:K37"/>
    <mergeCell ref="L36:L37"/>
    <mergeCell ref="M36:M37"/>
    <mergeCell ref="N36:N37"/>
    <mergeCell ref="AR36:AR37"/>
    <mergeCell ref="C43:G43"/>
    <mergeCell ref="R43:U43"/>
    <mergeCell ref="AH36:AH37"/>
    <mergeCell ref="AI36:AI37"/>
    <mergeCell ref="AJ36:AJ37"/>
    <mergeCell ref="AK36:AK37"/>
    <mergeCell ref="AL36:AL37"/>
    <mergeCell ref="AM36:AM37"/>
    <mergeCell ref="AB36:AB37"/>
    <mergeCell ref="AC36:AC37"/>
    <mergeCell ref="AD36:AD37"/>
    <mergeCell ref="AE36:AE37"/>
    <mergeCell ref="AF36:AF37"/>
    <mergeCell ref="AG36:AG37"/>
    <mergeCell ref="V36:V37"/>
    <mergeCell ref="C44:G44"/>
    <mergeCell ref="AN36:AN37"/>
    <mergeCell ref="AO36:AO37"/>
    <mergeCell ref="AP36:AP37"/>
    <mergeCell ref="AQ36:AQ37"/>
    <mergeCell ref="W36:W37"/>
    <mergeCell ref="X36:X37"/>
    <mergeCell ref="Y36:Y37"/>
    <mergeCell ref="Z36:Z37"/>
    <mergeCell ref="AA36:AA37"/>
    <mergeCell ref="P36:P37"/>
    <mergeCell ref="Q36:Q37"/>
    <mergeCell ref="R36:R37"/>
    <mergeCell ref="S36:S37"/>
    <mergeCell ref="T36:T37"/>
    <mergeCell ref="U36:U37"/>
  </mergeCells>
  <pageMargins left="0.19685039370078741" right="3.937007874015748E-2" top="0.43307086614173229" bottom="0.31496062992125984" header="0.31496062992125984" footer="0.31496062992125984"/>
  <pageSetup paperSize="14" scale="4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AR63"/>
  <sheetViews>
    <sheetView zoomScale="62" zoomScaleNormal="62" workbookViewId="0">
      <selection activeCell="AS34" sqref="AS34"/>
    </sheetView>
  </sheetViews>
  <sheetFormatPr defaultRowHeight="16.5" x14ac:dyDescent="0.3"/>
  <cols>
    <col min="1" max="1" width="0.140625" style="3" customWidth="1"/>
    <col min="2" max="2" width="14.28515625" style="3" customWidth="1"/>
    <col min="3" max="3" width="22.140625" style="3" customWidth="1"/>
    <col min="4" max="4" width="37" style="3" customWidth="1"/>
    <col min="5" max="5" width="20.140625" style="3" customWidth="1"/>
    <col min="6" max="6" width="32.5703125" style="3" customWidth="1"/>
    <col min="7" max="7" width="12.85546875" style="3" hidden="1" customWidth="1"/>
    <col min="8" max="8" width="10.7109375" style="3" hidden="1" customWidth="1"/>
    <col min="9" max="9" width="13" style="3" hidden="1" customWidth="1"/>
    <col min="10" max="10" width="30.28515625" style="3" customWidth="1"/>
    <col min="11" max="12" width="11.5703125" style="3" hidden="1" customWidth="1"/>
    <col min="13" max="13" width="11.42578125" style="3" hidden="1" customWidth="1"/>
    <col min="14" max="14" width="11.85546875" style="3" hidden="1" customWidth="1"/>
    <col min="15" max="15" width="15.28515625" style="3" customWidth="1"/>
    <col min="16" max="16" width="9.140625" style="3" hidden="1" customWidth="1"/>
    <col min="17" max="17" width="10" style="3" hidden="1" customWidth="1"/>
    <col min="18" max="18" width="9" style="3" hidden="1" customWidth="1"/>
    <col min="19" max="19" width="9.28515625" style="3" hidden="1" customWidth="1"/>
    <col min="20" max="20" width="12.7109375" style="3" customWidth="1"/>
    <col min="21" max="21" width="11.5703125" style="3" customWidth="1"/>
    <col min="22" max="22" width="11.85546875" style="3" customWidth="1"/>
    <col min="23" max="23" width="11.7109375" style="3" customWidth="1"/>
    <col min="24" max="24" width="15.28515625" style="3" customWidth="1"/>
    <col min="25" max="25" width="8" style="3" hidden="1" customWidth="1"/>
    <col min="26" max="27" width="4.28515625" style="3" hidden="1" customWidth="1"/>
    <col min="28" max="28" width="3.7109375" style="3" hidden="1" customWidth="1"/>
    <col min="29" max="29" width="13.5703125" style="3" customWidth="1"/>
    <col min="30" max="30" width="1.42578125" style="3" hidden="1" customWidth="1"/>
    <col min="31" max="31" width="14.85546875" style="4" customWidth="1"/>
    <col min="32" max="32" width="13.140625" style="3" customWidth="1"/>
    <col min="33" max="33" width="7.42578125" style="3" hidden="1" customWidth="1"/>
    <col min="34" max="34" width="0.7109375" style="3" hidden="1" customWidth="1"/>
    <col min="35" max="35" width="14.140625" style="3" customWidth="1"/>
    <col min="36" max="36" width="8" style="3" hidden="1" customWidth="1"/>
    <col min="37" max="37" width="6.85546875" style="3" hidden="1" customWidth="1"/>
    <col min="38" max="38" width="9.140625" style="3" hidden="1" customWidth="1"/>
    <col min="39" max="39" width="27.5703125" style="3" customWidth="1"/>
    <col min="40" max="16384" width="9.140625" style="3"/>
  </cols>
  <sheetData>
    <row r="1" spans="2:39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</row>
    <row r="2" spans="2:39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</row>
    <row r="3" spans="2:39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</row>
    <row r="4" spans="2:39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</row>
    <row r="5" spans="2:39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</row>
    <row r="7" spans="2:39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</row>
    <row r="8" spans="2:39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</row>
    <row r="9" spans="2:39" ht="8.25" customHeight="1" x14ac:dyDescent="0.3"/>
    <row r="10" spans="2:39" s="2" customFormat="1" ht="20.100000000000001" customHeight="1" x14ac:dyDescent="0.25">
      <c r="B10" s="280" t="s">
        <v>7</v>
      </c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</row>
    <row r="11" spans="2:39" s="2" customFormat="1" ht="20.100000000000001" customHeight="1" x14ac:dyDescent="0.25">
      <c r="B11" s="280" t="s">
        <v>8</v>
      </c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</row>
    <row r="12" spans="2:39" s="2" customFormat="1" ht="20.100000000000001" customHeight="1" x14ac:dyDescent="0.25">
      <c r="B12" s="280" t="s">
        <v>65</v>
      </c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</row>
    <row r="13" spans="2:39" s="2" customFormat="1" ht="26.25" customHeight="1" x14ac:dyDescent="0.25">
      <c r="B13" s="280" t="s">
        <v>188</v>
      </c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</row>
    <row r="14" spans="2:39" s="7" customFormat="1" ht="18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39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2:39" s="121" customFormat="1" ht="27" customHeight="1" x14ac:dyDescent="0.25">
      <c r="B16" s="345" t="s">
        <v>9</v>
      </c>
      <c r="C16" s="405" t="str">
        <f>'MAY 2026 - PMC  '!C16:C19</f>
        <v>MAY 1-31,2026</v>
      </c>
      <c r="D16" s="351" t="s">
        <v>10</v>
      </c>
      <c r="E16" s="351" t="s">
        <v>11</v>
      </c>
      <c r="F16" s="351" t="s">
        <v>46</v>
      </c>
      <c r="G16" s="354" t="s">
        <v>87</v>
      </c>
      <c r="H16" s="355"/>
      <c r="I16" s="355"/>
      <c r="J16" s="355"/>
      <c r="K16" s="355"/>
      <c r="L16" s="355"/>
      <c r="M16" s="355"/>
      <c r="N16" s="356"/>
      <c r="O16" s="351" t="s">
        <v>69</v>
      </c>
      <c r="P16" s="354" t="s">
        <v>59</v>
      </c>
      <c r="Q16" s="355"/>
      <c r="R16" s="355"/>
      <c r="S16" s="355"/>
      <c r="T16" s="355"/>
      <c r="U16" s="355"/>
      <c r="V16" s="355"/>
      <c r="W16" s="356"/>
      <c r="X16" s="357" t="s">
        <v>29</v>
      </c>
      <c r="Y16" s="357"/>
      <c r="Z16" s="357"/>
      <c r="AA16" s="357"/>
      <c r="AB16" s="357"/>
      <c r="AC16" s="357"/>
      <c r="AD16" s="375" t="s">
        <v>53</v>
      </c>
      <c r="AE16" s="360" t="s">
        <v>48</v>
      </c>
      <c r="AF16" s="360" t="s">
        <v>58</v>
      </c>
      <c r="AG16" s="378" t="s">
        <v>62</v>
      </c>
      <c r="AH16" s="378"/>
      <c r="AI16" s="360" t="s">
        <v>47</v>
      </c>
      <c r="AJ16" s="351" t="s">
        <v>16</v>
      </c>
      <c r="AK16" s="360" t="s">
        <v>39</v>
      </c>
      <c r="AL16" s="360" t="s">
        <v>68</v>
      </c>
      <c r="AM16" s="164" t="s">
        <v>41</v>
      </c>
    </row>
    <row r="17" spans="2:42" s="121" customFormat="1" ht="49.5" customHeight="1" x14ac:dyDescent="0.25">
      <c r="B17" s="346"/>
      <c r="C17" s="406"/>
      <c r="D17" s="352"/>
      <c r="E17" s="352"/>
      <c r="F17" s="352"/>
      <c r="G17" s="285" t="s">
        <v>26</v>
      </c>
      <c r="H17" s="285" t="s">
        <v>30</v>
      </c>
      <c r="I17" s="284" t="s">
        <v>57</v>
      </c>
      <c r="J17" s="362" t="s">
        <v>67</v>
      </c>
      <c r="K17" s="363"/>
      <c r="L17" s="364"/>
      <c r="M17" s="284" t="s">
        <v>57</v>
      </c>
      <c r="N17" s="284" t="s">
        <v>66</v>
      </c>
      <c r="O17" s="352"/>
      <c r="P17" s="284" t="s">
        <v>55</v>
      </c>
      <c r="Q17" s="285" t="s">
        <v>27</v>
      </c>
      <c r="R17" s="365" t="s">
        <v>56</v>
      </c>
      <c r="S17" s="365"/>
      <c r="T17" s="366" t="s">
        <v>28</v>
      </c>
      <c r="U17" s="366"/>
      <c r="V17" s="379" t="s">
        <v>71</v>
      </c>
      <c r="W17" s="379" t="s">
        <v>15</v>
      </c>
      <c r="X17" s="358" t="s">
        <v>72</v>
      </c>
      <c r="Y17" s="358" t="s">
        <v>73</v>
      </c>
      <c r="Z17" s="283" t="s">
        <v>50</v>
      </c>
      <c r="AA17" s="283" t="s">
        <v>51</v>
      </c>
      <c r="AB17" s="358" t="s">
        <v>74</v>
      </c>
      <c r="AC17" s="358" t="s">
        <v>77</v>
      </c>
      <c r="AD17" s="376"/>
      <c r="AE17" s="361"/>
      <c r="AF17" s="361"/>
      <c r="AG17" s="365"/>
      <c r="AH17" s="365"/>
      <c r="AI17" s="361"/>
      <c r="AJ17" s="352"/>
      <c r="AK17" s="361"/>
      <c r="AL17" s="361"/>
      <c r="AM17" s="165" t="s">
        <v>42</v>
      </c>
    </row>
    <row r="18" spans="2:42" s="121" customFormat="1" ht="24" customHeight="1" x14ac:dyDescent="0.25">
      <c r="B18" s="346"/>
      <c r="C18" s="406"/>
      <c r="D18" s="352"/>
      <c r="E18" s="352"/>
      <c r="F18" s="352"/>
      <c r="G18" s="282" t="s">
        <v>70</v>
      </c>
      <c r="H18" s="282">
        <v>200</v>
      </c>
      <c r="I18" s="282" t="s">
        <v>70</v>
      </c>
      <c r="J18" s="283" t="s">
        <v>75</v>
      </c>
      <c r="K18" s="283" t="s">
        <v>49</v>
      </c>
      <c r="L18" s="283" t="s">
        <v>52</v>
      </c>
      <c r="M18" s="282" t="s">
        <v>76</v>
      </c>
      <c r="N18" s="282" t="s">
        <v>76</v>
      </c>
      <c r="O18" s="353"/>
      <c r="P18" s="283">
        <v>2.4</v>
      </c>
      <c r="Q18" s="282">
        <v>3.6</v>
      </c>
      <c r="R18" s="284">
        <v>2.4</v>
      </c>
      <c r="S18" s="284">
        <v>3.6</v>
      </c>
      <c r="T18" s="285">
        <v>3.6</v>
      </c>
      <c r="U18" s="285">
        <v>2.4</v>
      </c>
      <c r="V18" s="353"/>
      <c r="W18" s="353"/>
      <c r="X18" s="359"/>
      <c r="Y18" s="359"/>
      <c r="Z18" s="283"/>
      <c r="AA18" s="283"/>
      <c r="AB18" s="359"/>
      <c r="AC18" s="359"/>
      <c r="AD18" s="377"/>
      <c r="AE18" s="359"/>
      <c r="AF18" s="359"/>
      <c r="AG18" s="282" t="s">
        <v>36</v>
      </c>
      <c r="AH18" s="282" t="s">
        <v>37</v>
      </c>
      <c r="AI18" s="359"/>
      <c r="AJ18" s="353"/>
      <c r="AK18" s="359"/>
      <c r="AL18" s="359"/>
      <c r="AM18" s="166" t="s">
        <v>43</v>
      </c>
    </row>
    <row r="19" spans="2:42" s="144" customFormat="1" ht="25.5" customHeight="1" x14ac:dyDescent="0.25">
      <c r="B19" s="347"/>
      <c r="C19" s="407"/>
      <c r="D19" s="353"/>
      <c r="E19" s="353"/>
      <c r="F19" s="353"/>
      <c r="G19" s="282" t="s">
        <v>12</v>
      </c>
      <c r="H19" s="282" t="s">
        <v>12</v>
      </c>
      <c r="I19" s="282" t="s">
        <v>12</v>
      </c>
      <c r="J19" s="282" t="s">
        <v>12</v>
      </c>
      <c r="K19" s="282" t="s">
        <v>12</v>
      </c>
      <c r="L19" s="282" t="s">
        <v>12</v>
      </c>
      <c r="M19" s="282" t="s">
        <v>12</v>
      </c>
      <c r="N19" s="282" t="s">
        <v>12</v>
      </c>
      <c r="O19" s="167" t="s">
        <v>14</v>
      </c>
      <c r="P19" s="282" t="s">
        <v>12</v>
      </c>
      <c r="Q19" s="282" t="s">
        <v>12</v>
      </c>
      <c r="R19" s="282" t="s">
        <v>12</v>
      </c>
      <c r="S19" s="282" t="s">
        <v>12</v>
      </c>
      <c r="T19" s="282" t="s">
        <v>12</v>
      </c>
      <c r="U19" s="282" t="s">
        <v>12</v>
      </c>
      <c r="V19" s="168" t="s">
        <v>12</v>
      </c>
      <c r="W19" s="282" t="s">
        <v>12</v>
      </c>
      <c r="X19" s="169" t="s">
        <v>13</v>
      </c>
      <c r="Y19" s="169" t="s">
        <v>13</v>
      </c>
      <c r="Z19" s="169" t="s">
        <v>13</v>
      </c>
      <c r="AA19" s="169" t="s">
        <v>13</v>
      </c>
      <c r="AB19" s="169" t="s">
        <v>13</v>
      </c>
      <c r="AC19" s="169" t="s">
        <v>13</v>
      </c>
      <c r="AD19" s="169" t="s">
        <v>13</v>
      </c>
      <c r="AE19" s="169" t="s">
        <v>13</v>
      </c>
      <c r="AF19" s="168" t="s">
        <v>13</v>
      </c>
      <c r="AG19" s="282" t="s">
        <v>12</v>
      </c>
      <c r="AH19" s="282" t="s">
        <v>12</v>
      </c>
      <c r="AI19" s="285" t="s">
        <v>12</v>
      </c>
      <c r="AJ19" s="168" t="s">
        <v>14</v>
      </c>
      <c r="AK19" s="285"/>
      <c r="AL19" s="282"/>
      <c r="AM19" s="166"/>
    </row>
    <row r="20" spans="2:42" s="4" customFormat="1" ht="9.75" customHeight="1" x14ac:dyDescent="0.25">
      <c r="B20" s="27"/>
      <c r="C20" s="28"/>
      <c r="D20" s="28"/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30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32"/>
      <c r="AF20" s="29"/>
      <c r="AG20" s="28"/>
      <c r="AH20" s="33"/>
      <c r="AI20" s="33"/>
      <c r="AJ20" s="33"/>
      <c r="AK20" s="33"/>
      <c r="AL20" s="33"/>
      <c r="AM20" s="34"/>
    </row>
    <row r="21" spans="2:42" s="2" customFormat="1" ht="44.25" customHeight="1" x14ac:dyDescent="0.25">
      <c r="B21" s="318" t="str">
        <f>'MAY 2026 - PMC  '!B21:D21</f>
        <v>Beginning Stock as of as of  May 1, 2026</v>
      </c>
      <c r="C21" s="319"/>
      <c r="D21" s="320"/>
      <c r="E21" s="64"/>
      <c r="F21" s="64"/>
      <c r="G21" s="132" t="e">
        <f>#REF!</f>
        <v>#REF!</v>
      </c>
      <c r="H21" s="132" t="e">
        <f>#REF!</f>
        <v>#REF!</v>
      </c>
      <c r="I21" s="132" t="e">
        <f>#REF!</f>
        <v>#REF!</v>
      </c>
      <c r="J21" s="132">
        <f>'FEBRUARY 2026 - EXPLO'!J31</f>
        <v>0</v>
      </c>
      <c r="K21" s="132">
        <f>'FEBRUARY 2026 - EXPLO'!K31</f>
        <v>0</v>
      </c>
      <c r="L21" s="132">
        <f>'FEBRUARY 2026 - EXPLO'!L31</f>
        <v>0</v>
      </c>
      <c r="M21" s="132">
        <f>'FEBRUARY 2026 - EXPLO'!M31</f>
        <v>0</v>
      </c>
      <c r="N21" s="132">
        <f>'FEBRUARY 2026 - EXPLO'!N31</f>
        <v>0</v>
      </c>
      <c r="O21" s="132">
        <f>'FEBRUARY 2026 - EXPLO'!O31</f>
        <v>0</v>
      </c>
      <c r="P21" s="132">
        <f>'FEBRUARY 2026 - EXPLO'!P31</f>
        <v>0</v>
      </c>
      <c r="Q21" s="132">
        <f>'FEBRUARY 2026 - EXPLO'!Q31</f>
        <v>0</v>
      </c>
      <c r="R21" s="132">
        <f>'FEBRUARY 2026 - EXPLO'!R31</f>
        <v>0</v>
      </c>
      <c r="S21" s="132">
        <f>'FEBRUARY 2026 - EXPLO'!S31</f>
        <v>0</v>
      </c>
      <c r="T21" s="132">
        <f>'FEBRUARY 2026 - EXPLO'!T31</f>
        <v>0</v>
      </c>
      <c r="U21" s="132">
        <f>'FEBRUARY 2026 - EXPLO'!U31</f>
        <v>0</v>
      </c>
      <c r="V21" s="132">
        <f>'FEBRUARY 2026 - EXPLO'!V31</f>
        <v>0</v>
      </c>
      <c r="W21" s="132">
        <f>'FEBRUARY 2026 - EXPLO'!W31</f>
        <v>0</v>
      </c>
      <c r="X21" s="132">
        <f>'FEBRUARY 2026 - EXPLO'!X31</f>
        <v>0</v>
      </c>
      <c r="Y21" s="132">
        <f>'FEBRUARY 2026 - EXPLO'!Y31</f>
        <v>0</v>
      </c>
      <c r="Z21" s="132">
        <f>'FEBRUARY 2026 - EXPLO'!Z31</f>
        <v>0</v>
      </c>
      <c r="AA21" s="132">
        <f>'FEBRUARY 2026 - EXPLO'!AA31</f>
        <v>0</v>
      </c>
      <c r="AB21" s="132">
        <f>'FEBRUARY 2026 - EXPLO'!AB31</f>
        <v>0</v>
      </c>
      <c r="AC21" s="132">
        <f>'FEBRUARY 2026 - EXPLO'!AC31</f>
        <v>0</v>
      </c>
      <c r="AD21" s="132">
        <f>'FEBRUARY 2026 - EXPLO'!AD31</f>
        <v>0</v>
      </c>
      <c r="AE21" s="132">
        <f>'FEBRUARY 2026 - EXPLO'!AE31</f>
        <v>0</v>
      </c>
      <c r="AF21" s="132">
        <f>'FEBRUARY 2026 - EXPLO'!AF31</f>
        <v>0</v>
      </c>
      <c r="AG21" s="132">
        <f>'FEBRUARY 2026 - EXPLO'!AG31</f>
        <v>0</v>
      </c>
      <c r="AH21" s="132">
        <f>'FEBRUARY 2026 - EXPLO'!AH31</f>
        <v>0</v>
      </c>
      <c r="AI21" s="132">
        <f>'FEBRUARY 2026 - EXPLO'!AI31</f>
        <v>0</v>
      </c>
      <c r="AJ21" s="132" t="e">
        <f>'FEBRUARY 2026 - EXPLO'!AJ31</f>
        <v>#REF!</v>
      </c>
      <c r="AK21" s="132" t="e">
        <f>'FEBRUARY 2026 - EXPLO'!AK31</f>
        <v>#REF!</v>
      </c>
      <c r="AL21" s="132" t="e">
        <f>'FEBRUARY 2026 - EXPLO'!AL31</f>
        <v>#REF!</v>
      </c>
      <c r="AM21" s="145"/>
    </row>
    <row r="22" spans="2:42" s="2" customFormat="1" ht="5.25" customHeight="1" x14ac:dyDescent="0.25">
      <c r="B22" s="146"/>
      <c r="C22" s="62"/>
      <c r="D22" s="62"/>
      <c r="E22" s="38"/>
      <c r="F22" s="38"/>
      <c r="G22" s="147"/>
      <c r="H22" s="147"/>
      <c r="I22" s="147"/>
      <c r="J22" s="147"/>
      <c r="K22" s="147"/>
      <c r="L22" s="147"/>
      <c r="M22" s="147"/>
      <c r="N22" s="147"/>
      <c r="O22" s="39"/>
      <c r="P22" s="148"/>
      <c r="Q22" s="148"/>
      <c r="R22" s="148"/>
      <c r="S22" s="148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39"/>
      <c r="AE22" s="39"/>
      <c r="AF22" s="147"/>
      <c r="AG22" s="39"/>
      <c r="AH22" s="39"/>
      <c r="AI22" s="39"/>
      <c r="AJ22" s="147"/>
      <c r="AK22" s="147"/>
      <c r="AL22" s="149"/>
      <c r="AM22" s="145"/>
    </row>
    <row r="23" spans="2:42" s="13" customFormat="1" ht="34.5" customHeight="1" x14ac:dyDescent="0.25">
      <c r="B23" s="279"/>
      <c r="C23" s="150"/>
      <c r="D23" s="40" t="s">
        <v>80</v>
      </c>
      <c r="E23" s="40" t="s">
        <v>33</v>
      </c>
      <c r="F23" s="40" t="s">
        <v>60</v>
      </c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39"/>
      <c r="AF23" s="147"/>
      <c r="AG23" s="147"/>
      <c r="AH23" s="147"/>
      <c r="AI23" s="147"/>
      <c r="AJ23" s="147"/>
      <c r="AK23" s="147"/>
      <c r="AL23" s="149"/>
      <c r="AM23" s="151" t="s">
        <v>44</v>
      </c>
    </row>
    <row r="24" spans="2:42" s="13" customFormat="1" ht="34.5" hidden="1" customHeight="1" x14ac:dyDescent="0.25">
      <c r="B24" s="279"/>
      <c r="C24" s="150"/>
      <c r="D24" s="40" t="s">
        <v>80</v>
      </c>
      <c r="E24" s="40" t="s">
        <v>33</v>
      </c>
      <c r="F24" s="40" t="s">
        <v>60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39"/>
      <c r="AF24" s="147"/>
      <c r="AG24" s="147"/>
      <c r="AH24" s="147"/>
      <c r="AI24" s="147"/>
      <c r="AJ24" s="147"/>
      <c r="AK24" s="147"/>
      <c r="AL24" s="149"/>
      <c r="AM24" s="151" t="s">
        <v>44</v>
      </c>
    </row>
    <row r="25" spans="2:42" s="2" customFormat="1" ht="34.5" customHeight="1" x14ac:dyDescent="0.25">
      <c r="B25" s="41" t="s">
        <v>34</v>
      </c>
      <c r="C25" s="152"/>
      <c r="D25" s="153"/>
      <c r="E25" s="38"/>
      <c r="F25" s="38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9"/>
      <c r="AM25" s="145"/>
    </row>
    <row r="26" spans="2:42" s="2" customFormat="1" ht="34.5" customHeight="1" x14ac:dyDescent="0.25">
      <c r="B26" s="41" t="s">
        <v>35</v>
      </c>
      <c r="C26" s="40"/>
      <c r="D26" s="38"/>
      <c r="E26" s="38"/>
      <c r="F26" s="38"/>
      <c r="G26" s="147"/>
      <c r="H26" s="147"/>
      <c r="I26" s="147"/>
      <c r="J26" s="147"/>
      <c r="K26" s="147"/>
      <c r="L26" s="147"/>
      <c r="M26" s="147"/>
      <c r="N26" s="147"/>
      <c r="O26" s="39"/>
      <c r="P26" s="39"/>
      <c r="Q26" s="39"/>
      <c r="R26" s="39"/>
      <c r="S26" s="39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39"/>
      <c r="AE26" s="39"/>
      <c r="AF26" s="147"/>
      <c r="AG26" s="39"/>
      <c r="AH26" s="39"/>
      <c r="AI26" s="39"/>
      <c r="AJ26" s="147"/>
      <c r="AK26" s="147"/>
      <c r="AL26" s="149"/>
      <c r="AM26" s="145"/>
    </row>
    <row r="27" spans="2:42" s="13" customFormat="1" ht="29.25" customHeight="1" x14ac:dyDescent="0.25">
      <c r="B27" s="154" t="s">
        <v>17</v>
      </c>
      <c r="C27" s="155"/>
      <c r="D27" s="104"/>
      <c r="E27" s="104"/>
      <c r="F27" s="104"/>
      <c r="G27" s="132" t="e">
        <f t="shared" ref="G27:AL27" si="0">SUM(G21:G26)</f>
        <v>#REF!</v>
      </c>
      <c r="H27" s="132" t="e">
        <f t="shared" si="0"/>
        <v>#REF!</v>
      </c>
      <c r="I27" s="132" t="e">
        <f t="shared" si="0"/>
        <v>#REF!</v>
      </c>
      <c r="J27" s="132">
        <f>SUM(J21:J26)</f>
        <v>0</v>
      </c>
      <c r="K27" s="132">
        <f t="shared" si="0"/>
        <v>0</v>
      </c>
      <c r="L27" s="132">
        <f t="shared" si="0"/>
        <v>0</v>
      </c>
      <c r="M27" s="132">
        <f t="shared" si="0"/>
        <v>0</v>
      </c>
      <c r="N27" s="132">
        <f t="shared" si="0"/>
        <v>0</v>
      </c>
      <c r="O27" s="132">
        <f t="shared" si="0"/>
        <v>0</v>
      </c>
      <c r="P27" s="132">
        <f t="shared" si="0"/>
        <v>0</v>
      </c>
      <c r="Q27" s="132">
        <f t="shared" si="0"/>
        <v>0</v>
      </c>
      <c r="R27" s="132">
        <f t="shared" si="0"/>
        <v>0</v>
      </c>
      <c r="S27" s="132">
        <f t="shared" si="0"/>
        <v>0</v>
      </c>
      <c r="T27" s="132">
        <f t="shared" si="0"/>
        <v>0</v>
      </c>
      <c r="U27" s="132">
        <f t="shared" si="0"/>
        <v>0</v>
      </c>
      <c r="V27" s="132">
        <f t="shared" si="0"/>
        <v>0</v>
      </c>
      <c r="W27" s="132">
        <f t="shared" si="0"/>
        <v>0</v>
      </c>
      <c r="X27" s="132">
        <f t="shared" si="0"/>
        <v>0</v>
      </c>
      <c r="Y27" s="132">
        <f t="shared" si="0"/>
        <v>0</v>
      </c>
      <c r="Z27" s="132">
        <f t="shared" si="0"/>
        <v>0</v>
      </c>
      <c r="AA27" s="132">
        <f t="shared" si="0"/>
        <v>0</v>
      </c>
      <c r="AB27" s="132">
        <f t="shared" si="0"/>
        <v>0</v>
      </c>
      <c r="AC27" s="132">
        <f t="shared" si="0"/>
        <v>0</v>
      </c>
      <c r="AD27" s="132">
        <f t="shared" si="0"/>
        <v>0</v>
      </c>
      <c r="AE27" s="132">
        <f>SUM(AE21:AE26)</f>
        <v>0</v>
      </c>
      <c r="AF27" s="132">
        <f t="shared" si="0"/>
        <v>0</v>
      </c>
      <c r="AG27" s="132">
        <f t="shared" si="0"/>
        <v>0</v>
      </c>
      <c r="AH27" s="132">
        <f t="shared" si="0"/>
        <v>0</v>
      </c>
      <c r="AI27" s="132">
        <f t="shared" si="0"/>
        <v>0</v>
      </c>
      <c r="AJ27" s="132" t="e">
        <f t="shared" si="0"/>
        <v>#REF!</v>
      </c>
      <c r="AK27" s="132" t="e">
        <f t="shared" si="0"/>
        <v>#REF!</v>
      </c>
      <c r="AL27" s="132" t="e">
        <f t="shared" si="0"/>
        <v>#REF!</v>
      </c>
      <c r="AM27" s="156"/>
    </row>
    <row r="28" spans="2:42" s="13" customFormat="1" ht="29.25" customHeight="1" x14ac:dyDescent="0.25">
      <c r="B28" s="368" t="s">
        <v>18</v>
      </c>
      <c r="C28" s="369"/>
      <c r="D28" s="39"/>
      <c r="E28" s="39"/>
      <c r="F28" s="39"/>
      <c r="G28" s="147"/>
      <c r="H28" s="147"/>
      <c r="I28" s="147"/>
      <c r="J28" s="147"/>
      <c r="K28" s="147"/>
      <c r="L28" s="147"/>
      <c r="M28" s="147"/>
      <c r="N28" s="147"/>
      <c r="O28" s="39"/>
      <c r="P28" s="39"/>
      <c r="Q28" s="39"/>
      <c r="R28" s="39"/>
      <c r="S28" s="39"/>
      <c r="T28" s="147"/>
      <c r="U28" s="147"/>
      <c r="V28" s="147"/>
      <c r="W28" s="39"/>
      <c r="X28" s="147"/>
      <c r="Y28" s="147"/>
      <c r="Z28" s="147"/>
      <c r="AA28" s="147"/>
      <c r="AB28" s="147"/>
      <c r="AC28" s="147"/>
      <c r="AD28" s="147"/>
      <c r="AE28" s="39"/>
      <c r="AF28" s="147"/>
      <c r="AG28" s="39"/>
      <c r="AH28" s="39"/>
      <c r="AI28" s="39"/>
      <c r="AJ28" s="157"/>
      <c r="AK28" s="157"/>
      <c r="AL28" s="149"/>
      <c r="AM28" s="156"/>
    </row>
    <row r="29" spans="2:42" s="13" customFormat="1" ht="57.75" customHeight="1" x14ac:dyDescent="0.25">
      <c r="B29" s="401" t="s">
        <v>155</v>
      </c>
      <c r="C29" s="402"/>
      <c r="D29" s="372" t="s">
        <v>156</v>
      </c>
      <c r="E29" s="373"/>
      <c r="F29" s="374"/>
      <c r="G29" s="158" t="e">
        <f>SUM(G23:G28)</f>
        <v>#REF!</v>
      </c>
      <c r="H29" s="158" t="e">
        <f>SUM(H23:H28)</f>
        <v>#REF!</v>
      </c>
      <c r="I29" s="158" t="e">
        <f>SUM(I23:I28)</f>
        <v>#REF!</v>
      </c>
      <c r="J29" s="158"/>
      <c r="K29" s="158"/>
      <c r="L29" s="158"/>
      <c r="M29" s="158"/>
      <c r="N29" s="158"/>
      <c r="O29" s="159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9"/>
      <c r="AF29" s="158"/>
      <c r="AG29" s="158"/>
      <c r="AH29" s="158"/>
      <c r="AI29" s="158"/>
      <c r="AJ29" s="160"/>
      <c r="AK29" s="160"/>
      <c r="AL29" s="160"/>
      <c r="AM29" s="156"/>
    </row>
    <row r="30" spans="2:42" s="13" customFormat="1" ht="57.75" hidden="1" customHeight="1" x14ac:dyDescent="0.25">
      <c r="B30" s="403"/>
      <c r="C30" s="404"/>
      <c r="D30" s="398" t="s">
        <v>154</v>
      </c>
      <c r="E30" s="399"/>
      <c r="F30" s="400"/>
      <c r="G30" s="224"/>
      <c r="H30" s="224"/>
      <c r="I30" s="224"/>
      <c r="J30" s="224"/>
      <c r="K30" s="224"/>
      <c r="L30" s="224"/>
      <c r="M30" s="224"/>
      <c r="N30" s="224"/>
      <c r="O30" s="225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5"/>
      <c r="AF30" s="224"/>
      <c r="AG30" s="224"/>
      <c r="AH30" s="224"/>
      <c r="AI30" s="224"/>
      <c r="AJ30" s="221"/>
      <c r="AK30" s="221"/>
      <c r="AL30" s="221"/>
      <c r="AM30" s="222"/>
    </row>
    <row r="31" spans="2:42" s="13" customFormat="1" ht="45.75" customHeight="1" thickBot="1" x14ac:dyDescent="0.3">
      <c r="B31" s="125" t="str">
        <f>'MAY 2026 - PMC  '!B38</f>
        <v>Remaining Stock as of May 31,2026</v>
      </c>
      <c r="C31" s="161"/>
      <c r="D31" s="63"/>
      <c r="E31" s="63"/>
      <c r="F31" s="63"/>
      <c r="G31" s="128" t="e">
        <f t="shared" ref="G31:AL31" si="1">G27-G29</f>
        <v>#REF!</v>
      </c>
      <c r="H31" s="128" t="e">
        <f t="shared" si="1"/>
        <v>#REF!</v>
      </c>
      <c r="I31" s="128" t="e">
        <f t="shared" si="1"/>
        <v>#REF!</v>
      </c>
      <c r="J31" s="128">
        <f>J27-J29-J30</f>
        <v>0</v>
      </c>
      <c r="K31" s="128">
        <f t="shared" ref="K31:AI31" si="2">K27-K29-K30</f>
        <v>0</v>
      </c>
      <c r="L31" s="128">
        <f t="shared" si="2"/>
        <v>0</v>
      </c>
      <c r="M31" s="128">
        <f t="shared" si="2"/>
        <v>0</v>
      </c>
      <c r="N31" s="128">
        <f t="shared" si="2"/>
        <v>0</v>
      </c>
      <c r="O31" s="128">
        <f t="shared" si="2"/>
        <v>0</v>
      </c>
      <c r="P31" s="128">
        <f t="shared" si="2"/>
        <v>0</v>
      </c>
      <c r="Q31" s="128">
        <f t="shared" si="2"/>
        <v>0</v>
      </c>
      <c r="R31" s="128">
        <f t="shared" si="2"/>
        <v>0</v>
      </c>
      <c r="S31" s="128">
        <f t="shared" si="2"/>
        <v>0</v>
      </c>
      <c r="T31" s="128">
        <f t="shared" si="2"/>
        <v>0</v>
      </c>
      <c r="U31" s="128">
        <f t="shared" si="2"/>
        <v>0</v>
      </c>
      <c r="V31" s="128">
        <f t="shared" si="2"/>
        <v>0</v>
      </c>
      <c r="W31" s="128">
        <f t="shared" si="2"/>
        <v>0</v>
      </c>
      <c r="X31" s="128">
        <f>X27-X29-X30</f>
        <v>0</v>
      </c>
      <c r="Y31" s="128">
        <f t="shared" si="2"/>
        <v>0</v>
      </c>
      <c r="Z31" s="128">
        <f t="shared" si="2"/>
        <v>0</v>
      </c>
      <c r="AA31" s="128">
        <f t="shared" si="2"/>
        <v>0</v>
      </c>
      <c r="AB31" s="128">
        <f t="shared" si="2"/>
        <v>0</v>
      </c>
      <c r="AC31" s="128">
        <f t="shared" si="2"/>
        <v>0</v>
      </c>
      <c r="AD31" s="128">
        <f t="shared" si="2"/>
        <v>0</v>
      </c>
      <c r="AE31" s="128">
        <f t="shared" si="2"/>
        <v>0</v>
      </c>
      <c r="AF31" s="128">
        <f t="shared" si="2"/>
        <v>0</v>
      </c>
      <c r="AG31" s="128">
        <f t="shared" si="2"/>
        <v>0</v>
      </c>
      <c r="AH31" s="128">
        <f t="shared" si="2"/>
        <v>0</v>
      </c>
      <c r="AI31" s="128">
        <f t="shared" si="2"/>
        <v>0</v>
      </c>
      <c r="AJ31" s="128" t="e">
        <f t="shared" si="1"/>
        <v>#REF!</v>
      </c>
      <c r="AK31" s="128" t="e">
        <f t="shared" si="1"/>
        <v>#REF!</v>
      </c>
      <c r="AL31" s="128" t="e">
        <f t="shared" si="1"/>
        <v>#REF!</v>
      </c>
      <c r="AM31" s="163"/>
    </row>
    <row r="32" spans="2:42" ht="32.25" customHeight="1" x14ac:dyDescent="0.3">
      <c r="G32" s="16"/>
      <c r="H32" s="16"/>
      <c r="I32" s="16"/>
      <c r="J32" s="119"/>
      <c r="K32" s="119"/>
      <c r="L32" s="119"/>
      <c r="M32" s="119"/>
      <c r="N32" s="119"/>
      <c r="O32" s="120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20"/>
      <c r="AF32" s="119"/>
      <c r="AG32" s="119"/>
      <c r="AH32" s="119"/>
      <c r="AI32" s="119"/>
      <c r="AJ32" s="16"/>
      <c r="AK32" s="16"/>
      <c r="AL32" s="16"/>
      <c r="AP32" s="18"/>
    </row>
    <row r="33" spans="2:44" ht="9" customHeight="1" x14ac:dyDescent="0.3">
      <c r="K33" s="20"/>
      <c r="P33" s="17"/>
      <c r="Q33" s="17"/>
      <c r="R33" s="17"/>
      <c r="S33" s="17"/>
      <c r="T33" s="17"/>
      <c r="U33" s="17"/>
      <c r="V33" s="21"/>
      <c r="AE33" s="19"/>
      <c r="AF33" s="21"/>
    </row>
    <row r="34" spans="2:44" s="24" customFormat="1" ht="32.1" customHeight="1" x14ac:dyDescent="0.35">
      <c r="B34" s="280"/>
      <c r="C34" s="280" t="s">
        <v>45</v>
      </c>
      <c r="D34" s="280"/>
      <c r="E34" s="280"/>
      <c r="F34" s="280"/>
      <c r="G34" s="280"/>
      <c r="H34" s="280"/>
      <c r="J34" s="280" t="s">
        <v>19</v>
      </c>
      <c r="K34" s="280"/>
      <c r="L34" s="280"/>
      <c r="O34" s="281" t="s">
        <v>54</v>
      </c>
      <c r="P34" s="116"/>
      <c r="Q34" s="116"/>
      <c r="R34" s="281"/>
      <c r="S34" s="281"/>
      <c r="T34" s="116"/>
      <c r="U34" s="109"/>
      <c r="V34" s="281" t="s">
        <v>90</v>
      </c>
      <c r="W34" s="281"/>
      <c r="X34" s="116"/>
      <c r="Y34" s="116"/>
      <c r="Z34" s="280"/>
      <c r="AA34" s="280"/>
      <c r="AB34" s="280"/>
      <c r="AD34" s="280"/>
      <c r="AE34" s="280" t="s">
        <v>20</v>
      </c>
      <c r="AF34" s="280"/>
      <c r="AG34" s="280"/>
      <c r="AH34" s="280" t="s">
        <v>20</v>
      </c>
      <c r="AI34" s="280"/>
      <c r="AJ34" s="280"/>
      <c r="AK34" s="280"/>
      <c r="AL34" s="280"/>
      <c r="AM34" s="82"/>
      <c r="AN34" s="280"/>
    </row>
    <row r="35" spans="2:44" s="24" customFormat="1" ht="32.1" customHeight="1" x14ac:dyDescent="0.35">
      <c r="B35" s="280"/>
      <c r="C35" s="367" t="s">
        <v>38</v>
      </c>
      <c r="D35" s="367"/>
      <c r="E35" s="367"/>
      <c r="F35" s="367"/>
      <c r="G35" s="367"/>
      <c r="H35" s="280"/>
      <c r="J35" s="280"/>
      <c r="K35" s="22"/>
      <c r="L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R35" s="223"/>
    </row>
    <row r="36" spans="2:44" s="24" customFormat="1" ht="32.1" customHeight="1" x14ac:dyDescent="0.35">
      <c r="B36" s="280"/>
      <c r="C36" s="280"/>
      <c r="D36" s="280"/>
      <c r="E36" s="280"/>
      <c r="F36" s="280"/>
      <c r="G36" s="280"/>
      <c r="H36" s="280"/>
      <c r="J36" s="280"/>
      <c r="K36" s="22"/>
      <c r="L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Z36" s="280"/>
      <c r="AA36" s="280"/>
      <c r="AB36" s="280"/>
      <c r="AC36" s="280"/>
      <c r="AD36" s="280"/>
      <c r="AE36" s="280"/>
      <c r="AF36" s="280"/>
      <c r="AG36" s="280"/>
      <c r="AH36" s="280"/>
      <c r="AI36" s="280"/>
      <c r="AJ36" s="280"/>
      <c r="AK36" s="280"/>
      <c r="AL36" s="280"/>
      <c r="AM36" s="280"/>
      <c r="AN36" s="280"/>
      <c r="AR36" s="223"/>
    </row>
    <row r="37" spans="2:44" s="24" customFormat="1" ht="32.1" customHeight="1" x14ac:dyDescent="0.35">
      <c r="B37" s="280"/>
      <c r="C37" s="280" t="s">
        <v>21</v>
      </c>
      <c r="D37" s="281"/>
      <c r="E37" s="280"/>
      <c r="F37" s="280"/>
      <c r="H37" s="280"/>
      <c r="J37" s="280" t="s">
        <v>64</v>
      </c>
      <c r="K37" s="281"/>
      <c r="L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82"/>
      <c r="Z37" s="281"/>
      <c r="AA37" s="281"/>
      <c r="AB37" s="281"/>
      <c r="AC37" s="143"/>
      <c r="AD37" s="281"/>
      <c r="AE37" s="178" t="s">
        <v>100</v>
      </c>
      <c r="AF37" s="281"/>
      <c r="AG37" s="281"/>
      <c r="AH37" s="281"/>
      <c r="AI37" s="281"/>
      <c r="AJ37" s="281"/>
      <c r="AK37" s="281"/>
      <c r="AL37" s="281"/>
      <c r="AM37" s="281"/>
      <c r="AN37" s="109"/>
    </row>
    <row r="38" spans="2:44" s="24" customFormat="1" ht="32.1" customHeight="1" x14ac:dyDescent="0.35">
      <c r="B38" s="280"/>
      <c r="C38" s="280" t="s">
        <v>22</v>
      </c>
      <c r="D38" s="23"/>
      <c r="E38" s="280"/>
      <c r="F38" s="280"/>
      <c r="H38" s="280"/>
      <c r="J38" s="280" t="s">
        <v>25</v>
      </c>
      <c r="K38" s="280"/>
      <c r="L38" s="280"/>
      <c r="N38" s="280"/>
      <c r="O38" s="280"/>
      <c r="P38" s="280"/>
      <c r="Q38" s="280"/>
      <c r="R38" s="280"/>
      <c r="S38" s="280"/>
      <c r="T38" s="280"/>
      <c r="U38" s="280"/>
      <c r="V38" s="280"/>
      <c r="W38" s="1"/>
      <c r="X38" s="280"/>
      <c r="Z38" s="280"/>
      <c r="AA38" s="280"/>
      <c r="AB38" s="280"/>
      <c r="AD38" s="280"/>
      <c r="AE38" s="176" t="s">
        <v>120</v>
      </c>
      <c r="AF38" s="1"/>
      <c r="AG38" s="1"/>
      <c r="AH38" s="1"/>
      <c r="AI38" s="1"/>
      <c r="AJ38" s="1"/>
      <c r="AK38" s="1"/>
      <c r="AL38" s="1"/>
      <c r="AM38" s="1"/>
      <c r="AN38" s="280"/>
    </row>
    <row r="39" spans="2:44" s="24" customFormat="1" ht="32.1" customHeight="1" x14ac:dyDescent="0.35">
      <c r="B39" s="280"/>
      <c r="C39" s="280" t="s">
        <v>23</v>
      </c>
      <c r="D39" s="23"/>
      <c r="E39" s="280"/>
      <c r="F39" s="280"/>
      <c r="H39" s="280"/>
      <c r="J39" s="280" t="s">
        <v>78</v>
      </c>
      <c r="K39" s="280"/>
      <c r="L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Z39" s="280"/>
      <c r="AA39" s="280"/>
      <c r="AB39" s="280"/>
      <c r="AD39" s="280"/>
      <c r="AE39" s="176" t="s">
        <v>121</v>
      </c>
      <c r="AF39" s="280"/>
      <c r="AG39" s="280"/>
      <c r="AH39" s="280"/>
      <c r="AI39" s="280"/>
      <c r="AJ39" s="280"/>
      <c r="AK39" s="280"/>
      <c r="AL39" s="280"/>
      <c r="AM39" s="280"/>
      <c r="AN39" s="280"/>
    </row>
    <row r="40" spans="2:44" s="24" customFormat="1" ht="32.1" customHeight="1" x14ac:dyDescent="0.35">
      <c r="B40" s="280"/>
      <c r="C40" s="280" t="s">
        <v>24</v>
      </c>
      <c r="D40" s="23"/>
      <c r="E40" s="280"/>
      <c r="F40" s="280"/>
      <c r="H40" s="280"/>
      <c r="J40" s="280" t="s">
        <v>63</v>
      </c>
      <c r="K40" s="280"/>
      <c r="L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Z40" s="280"/>
      <c r="AA40" s="280"/>
      <c r="AB40" s="280"/>
      <c r="AD40" s="280"/>
      <c r="AE40" s="176" t="s">
        <v>122</v>
      </c>
      <c r="AF40" s="280"/>
      <c r="AG40" s="280"/>
      <c r="AH40" s="280"/>
      <c r="AI40" s="280"/>
      <c r="AJ40" s="280"/>
      <c r="AK40" s="280"/>
      <c r="AL40" s="280"/>
      <c r="AM40" s="280"/>
      <c r="AN40" s="280"/>
    </row>
    <row r="41" spans="2:44" s="24" customFormat="1" ht="32.1" customHeight="1" x14ac:dyDescent="0.35">
      <c r="AD41" s="280"/>
      <c r="AE41" s="280"/>
    </row>
    <row r="42" spans="2:44" s="24" customFormat="1" ht="32.1" customHeight="1" x14ac:dyDescent="0.35">
      <c r="AD42" s="280"/>
      <c r="AE42" s="280"/>
    </row>
    <row r="43" spans="2:44" s="24" customFormat="1" ht="32.1" customHeight="1" x14ac:dyDescent="0.35">
      <c r="AD43" s="1"/>
    </row>
    <row r="44" spans="2:44" s="24" customFormat="1" ht="32.1" customHeight="1" x14ac:dyDescent="0.35"/>
    <row r="45" spans="2:44" s="25" customFormat="1" ht="20.25" x14ac:dyDescent="0.3"/>
    <row r="46" spans="2:44" s="25" customFormat="1" ht="20.25" x14ac:dyDescent="0.3"/>
    <row r="47" spans="2:44" s="25" customFormat="1" ht="20.25" x14ac:dyDescent="0.3"/>
    <row r="48" spans="2:44" s="25" customFormat="1" ht="20.25" x14ac:dyDescent="0.3"/>
    <row r="49" s="25" customFormat="1" ht="20.25" x14ac:dyDescent="0.3"/>
    <row r="50" s="25" customFormat="1" ht="20.25" x14ac:dyDescent="0.3"/>
    <row r="51" s="25" customFormat="1" ht="20.25" x14ac:dyDescent="0.3"/>
    <row r="52" s="25" customFormat="1" ht="20.25" x14ac:dyDescent="0.3"/>
    <row r="53" s="25" customFormat="1" ht="20.25" x14ac:dyDescent="0.3"/>
    <row r="54" s="25" customFormat="1" ht="20.25" x14ac:dyDescent="0.3"/>
    <row r="55" s="25" customFormat="1" ht="20.25" x14ac:dyDescent="0.3"/>
    <row r="56" s="25" customFormat="1" ht="20.25" x14ac:dyDescent="0.3"/>
    <row r="57" s="25" customFormat="1" ht="20.25" x14ac:dyDescent="0.3"/>
    <row r="58" s="25" customFormat="1" ht="20.25" x14ac:dyDescent="0.3"/>
    <row r="59" s="25" customFormat="1" ht="20.25" x14ac:dyDescent="0.3"/>
    <row r="60" s="25" customFormat="1" ht="20.25" x14ac:dyDescent="0.3"/>
    <row r="61" s="25" customFormat="1" ht="20.25" x14ac:dyDescent="0.3"/>
    <row r="62" s="25" customFormat="1" ht="20.25" x14ac:dyDescent="0.3"/>
    <row r="63" s="25" customFormat="1" ht="20.25" x14ac:dyDescent="0.3"/>
  </sheetData>
  <mergeCells count="39">
    <mergeCell ref="B7:AM7"/>
    <mergeCell ref="B1:AM1"/>
    <mergeCell ref="B2:AM2"/>
    <mergeCell ref="B3:AM3"/>
    <mergeCell ref="B4:AM4"/>
    <mergeCell ref="B6:AM6"/>
    <mergeCell ref="AD16:AD18"/>
    <mergeCell ref="B8:AM8"/>
    <mergeCell ref="B16:B19"/>
    <mergeCell ref="C16:C19"/>
    <mergeCell ref="D16:D19"/>
    <mergeCell ref="E16:E19"/>
    <mergeCell ref="F16:F19"/>
    <mergeCell ref="G16:N16"/>
    <mergeCell ref="O16:O18"/>
    <mergeCell ref="P16:W16"/>
    <mergeCell ref="X16:AC16"/>
    <mergeCell ref="AK16:AK18"/>
    <mergeCell ref="AL16:AL18"/>
    <mergeCell ref="J17:L17"/>
    <mergeCell ref="R17:S17"/>
    <mergeCell ref="T17:U17"/>
    <mergeCell ref="AE16:AE18"/>
    <mergeCell ref="AF16:AF18"/>
    <mergeCell ref="AG16:AH17"/>
    <mergeCell ref="AI16:AI18"/>
    <mergeCell ref="AJ16:AJ18"/>
    <mergeCell ref="C35:G35"/>
    <mergeCell ref="AC17:AC18"/>
    <mergeCell ref="B21:D21"/>
    <mergeCell ref="B28:C28"/>
    <mergeCell ref="B29:C30"/>
    <mergeCell ref="D29:F29"/>
    <mergeCell ref="D30:F30"/>
    <mergeCell ref="W17:W18"/>
    <mergeCell ref="X17:X18"/>
    <mergeCell ref="Y17:Y18"/>
    <mergeCell ref="AB17:AB18"/>
    <mergeCell ref="V17:V18"/>
  </mergeCells>
  <pageMargins left="0.39370078740157483" right="3.937007874015748E-2" top="0.43307086614173229" bottom="0.31496062992125984" header="0.31496062992125984" footer="0.31496062992125984"/>
  <pageSetup paperSize="14" scale="48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A65"/>
  <sheetViews>
    <sheetView tabSelected="1" topLeftCell="B13" zoomScale="69" zoomScaleNormal="69" workbookViewId="0">
      <selection activeCell="S32" sqref="S32"/>
    </sheetView>
  </sheetViews>
  <sheetFormatPr defaultRowHeight="16.5" x14ac:dyDescent="0.3"/>
  <cols>
    <col min="1" max="1" width="1.28515625" style="3" hidden="1" customWidth="1"/>
    <col min="2" max="2" width="13.28515625" style="3" customWidth="1"/>
    <col min="3" max="3" width="17.85546875" style="3" customWidth="1"/>
    <col min="4" max="4" width="42.140625" style="3" customWidth="1"/>
    <col min="5" max="5" width="28.7109375" style="3" customWidth="1"/>
    <col min="6" max="6" width="28" style="3" customWidth="1"/>
    <col min="7" max="7" width="9.85546875" style="3" hidden="1" customWidth="1"/>
    <col min="8" max="8" width="11" style="3" hidden="1" customWidth="1"/>
    <col min="9" max="9" width="12.28515625" style="3" hidden="1" customWidth="1"/>
    <col min="10" max="10" width="17" style="3" hidden="1" customWidth="1"/>
    <col min="11" max="11" width="16.7109375" style="3" hidden="1" customWidth="1"/>
    <col min="12" max="12" width="12.28515625" style="3" hidden="1" customWidth="1"/>
    <col min="13" max="13" width="10.85546875" style="3" hidden="1" customWidth="1"/>
    <col min="14" max="14" width="14.7109375" style="3" hidden="1" customWidth="1"/>
    <col min="15" max="15" width="11.85546875" style="3" hidden="1" customWidth="1"/>
    <col min="16" max="16" width="15.28515625" style="3" hidden="1" customWidth="1"/>
    <col min="17" max="17" width="12.85546875" style="3" hidden="1" customWidth="1"/>
    <col min="18" max="18" width="12.140625" style="3" customWidth="1"/>
    <col min="19" max="19" width="13" style="3" customWidth="1"/>
    <col min="20" max="20" width="11.28515625" style="3" customWidth="1"/>
    <col min="21" max="21" width="13.28515625" style="3" hidden="1" customWidth="1"/>
    <col min="22" max="22" width="11.5703125" style="3" customWidth="1"/>
    <col min="23" max="24" width="10" style="3" hidden="1" customWidth="1"/>
    <col min="25" max="25" width="10.140625" style="3" bestFit="1" customWidth="1"/>
    <col min="26" max="26" width="10.7109375" style="3" bestFit="1" customWidth="1"/>
    <col min="27" max="29" width="10.7109375" style="3" customWidth="1"/>
    <col min="30" max="30" width="9.28515625" style="3" hidden="1" customWidth="1"/>
    <col min="31" max="31" width="10.7109375" style="3" hidden="1" customWidth="1"/>
    <col min="32" max="32" width="12.7109375" style="3" hidden="1" customWidth="1"/>
    <col min="33" max="33" width="9.7109375" style="3" hidden="1" customWidth="1"/>
    <col min="34" max="34" width="10.85546875" style="3" customWidth="1"/>
    <col min="35" max="35" width="10.7109375" style="3" customWidth="1"/>
    <col min="36" max="36" width="9.85546875" style="3" hidden="1" customWidth="1"/>
    <col min="37" max="37" width="13.140625" style="3" customWidth="1"/>
    <col min="38" max="39" width="12.5703125" style="3" customWidth="1"/>
    <col min="40" max="43" width="11.140625" style="3" hidden="1" customWidth="1"/>
    <col min="44" max="44" width="17" style="4" customWidth="1"/>
    <col min="45" max="45" width="11" style="3" customWidth="1"/>
    <col min="46" max="46" width="9.85546875" style="3" hidden="1" customWidth="1"/>
    <col min="47" max="47" width="25.42578125" style="3" hidden="1" customWidth="1"/>
    <col min="48" max="48" width="11.140625" style="3" customWidth="1"/>
    <col min="49" max="49" width="9.85546875" style="3" hidden="1" customWidth="1"/>
    <col min="50" max="50" width="10.7109375" style="3" hidden="1" customWidth="1"/>
    <col min="51" max="51" width="13" style="3" hidden="1" customWidth="1"/>
    <col min="52" max="52" width="23.140625" style="3" bestFit="1" customWidth="1"/>
    <col min="53" max="16384" width="9.140625" style="3"/>
  </cols>
  <sheetData>
    <row r="1" spans="2:52" ht="23.25" x14ac:dyDescent="0.35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</row>
    <row r="2" spans="2:52" ht="23.25" x14ac:dyDescent="0.35">
      <c r="B2" s="287" t="s">
        <v>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</row>
    <row r="3" spans="2:52" ht="23.25" x14ac:dyDescent="0.35">
      <c r="B3" s="287" t="s">
        <v>2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  <c r="AS3" s="287"/>
      <c r="AT3" s="287"/>
      <c r="AU3" s="287"/>
      <c r="AV3" s="287"/>
      <c r="AW3" s="287"/>
      <c r="AX3" s="287"/>
      <c r="AY3" s="287"/>
      <c r="AZ3" s="287"/>
    </row>
    <row r="4" spans="2:52" ht="23.25" x14ac:dyDescent="0.35">
      <c r="B4" s="287" t="s">
        <v>3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287"/>
      <c r="AW4" s="287"/>
      <c r="AX4" s="287"/>
      <c r="AY4" s="287"/>
      <c r="AZ4" s="287"/>
    </row>
    <row r="5" spans="2:52" ht="9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2:52" ht="23.25" x14ac:dyDescent="0.35">
      <c r="B6" s="287" t="s">
        <v>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</row>
    <row r="7" spans="2:52" ht="22.5" customHeight="1" x14ac:dyDescent="0.35">
      <c r="B7" s="287" t="s">
        <v>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7"/>
      <c r="AT7" s="287"/>
      <c r="AU7" s="287"/>
      <c r="AV7" s="287"/>
      <c r="AW7" s="287"/>
      <c r="AX7" s="287"/>
      <c r="AY7" s="287"/>
      <c r="AZ7" s="287"/>
    </row>
    <row r="8" spans="2:52" ht="22.5" customHeight="1" x14ac:dyDescent="0.35">
      <c r="B8" s="287" t="s">
        <v>6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  <c r="AX8" s="287"/>
      <c r="AY8" s="287"/>
      <c r="AZ8" s="287"/>
    </row>
    <row r="9" spans="2:52" ht="8.25" customHeight="1" x14ac:dyDescent="0.3"/>
    <row r="10" spans="2:52" s="2" customFormat="1" ht="20.100000000000001" customHeight="1" x14ac:dyDescent="0.25">
      <c r="B10" s="280" t="s">
        <v>7</v>
      </c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</row>
    <row r="11" spans="2:52" s="2" customFormat="1" ht="20.100000000000001" customHeight="1" x14ac:dyDescent="0.25">
      <c r="B11" s="280" t="s">
        <v>8</v>
      </c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</row>
    <row r="12" spans="2:52" s="2" customFormat="1" ht="20.100000000000001" customHeight="1" x14ac:dyDescent="0.25">
      <c r="B12" s="280" t="s">
        <v>65</v>
      </c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</row>
    <row r="13" spans="2:52" s="2" customFormat="1" ht="26.25" customHeight="1" x14ac:dyDescent="0.25">
      <c r="B13" s="280" t="s">
        <v>189</v>
      </c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</row>
    <row r="14" spans="2:52" s="7" customFormat="1" ht="18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52" ht="8.25" customHeight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2:52" ht="23.25" customHeight="1" x14ac:dyDescent="0.3">
      <c r="B16" s="288" t="s">
        <v>9</v>
      </c>
      <c r="C16" s="291" t="str">
        <f>'MAY 2026 - PMC  '!C16:C19</f>
        <v>MAY 1-31,2026</v>
      </c>
      <c r="D16" s="294" t="s">
        <v>10</v>
      </c>
      <c r="E16" s="294" t="s">
        <v>11</v>
      </c>
      <c r="F16" s="294" t="s">
        <v>46</v>
      </c>
      <c r="G16" s="80"/>
      <c r="H16" s="80"/>
      <c r="I16" s="380"/>
      <c r="J16" s="380"/>
      <c r="K16" s="380"/>
      <c r="L16" s="380"/>
      <c r="M16" s="380"/>
      <c r="N16" s="380"/>
      <c r="O16" s="270"/>
      <c r="P16" s="380" t="s">
        <v>87</v>
      </c>
      <c r="Q16" s="380"/>
      <c r="R16" s="380"/>
      <c r="S16" s="380"/>
      <c r="T16" s="380"/>
      <c r="U16" s="381"/>
      <c r="V16" s="300" t="s">
        <v>69</v>
      </c>
      <c r="W16" s="297" t="s">
        <v>59</v>
      </c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8"/>
      <c r="AI16" s="299"/>
      <c r="AJ16" s="271"/>
      <c r="AK16" s="303" t="s">
        <v>29</v>
      </c>
      <c r="AL16" s="303"/>
      <c r="AM16" s="303"/>
      <c r="AN16" s="272"/>
      <c r="AO16" s="272"/>
      <c r="AP16" s="272"/>
      <c r="AQ16" s="272"/>
      <c r="AR16" s="304" t="s">
        <v>48</v>
      </c>
      <c r="AS16" s="304" t="s">
        <v>58</v>
      </c>
      <c r="AT16" s="317" t="s">
        <v>62</v>
      </c>
      <c r="AU16" s="317"/>
      <c r="AV16" s="304" t="s">
        <v>47</v>
      </c>
      <c r="AW16" s="300" t="s">
        <v>16</v>
      </c>
      <c r="AX16" s="304" t="s">
        <v>39</v>
      </c>
      <c r="AY16" s="304" t="s">
        <v>68</v>
      </c>
      <c r="AZ16" s="58" t="s">
        <v>41</v>
      </c>
    </row>
    <row r="17" spans="2:53" ht="49.5" customHeight="1" x14ac:dyDescent="0.3">
      <c r="B17" s="289"/>
      <c r="C17" s="292"/>
      <c r="D17" s="295"/>
      <c r="E17" s="295"/>
      <c r="F17" s="295"/>
      <c r="G17" s="268"/>
      <c r="H17" s="268"/>
      <c r="I17" s="307" t="s">
        <v>67</v>
      </c>
      <c r="J17" s="308"/>
      <c r="K17" s="309"/>
      <c r="L17" s="276" t="s">
        <v>57</v>
      </c>
      <c r="M17" s="276" t="s">
        <v>66</v>
      </c>
      <c r="N17" s="277" t="s">
        <v>101</v>
      </c>
      <c r="O17" s="277" t="s">
        <v>26</v>
      </c>
      <c r="P17" s="276" t="s">
        <v>119</v>
      </c>
      <c r="Q17" s="277" t="s">
        <v>103</v>
      </c>
      <c r="R17" s="382" t="s">
        <v>101</v>
      </c>
      <c r="S17" s="383"/>
      <c r="T17" s="276" t="s">
        <v>166</v>
      </c>
      <c r="U17" s="276" t="s">
        <v>57</v>
      </c>
      <c r="V17" s="301"/>
      <c r="W17" s="276" t="s">
        <v>55</v>
      </c>
      <c r="X17" s="277" t="s">
        <v>27</v>
      </c>
      <c r="Y17" s="307" t="s">
        <v>56</v>
      </c>
      <c r="Z17" s="308"/>
      <c r="AA17" s="308"/>
      <c r="AB17" s="309"/>
      <c r="AC17" s="276" t="s">
        <v>167</v>
      </c>
      <c r="AD17" s="311" t="s">
        <v>92</v>
      </c>
      <c r="AE17" s="311"/>
      <c r="AF17" s="278"/>
      <c r="AG17" s="278"/>
      <c r="AH17" s="312" t="s">
        <v>71</v>
      </c>
      <c r="AI17" s="312" t="s">
        <v>15</v>
      </c>
      <c r="AJ17" s="278"/>
      <c r="AK17" s="313" t="s">
        <v>110</v>
      </c>
      <c r="AL17" s="313" t="s">
        <v>111</v>
      </c>
      <c r="AM17" s="313" t="s">
        <v>77</v>
      </c>
      <c r="AN17" s="274"/>
      <c r="AO17" s="274"/>
      <c r="AP17" s="274"/>
      <c r="AQ17" s="274"/>
      <c r="AR17" s="305"/>
      <c r="AS17" s="305"/>
      <c r="AT17" s="310"/>
      <c r="AU17" s="310"/>
      <c r="AV17" s="305"/>
      <c r="AW17" s="301"/>
      <c r="AX17" s="305"/>
      <c r="AY17" s="305"/>
      <c r="AZ17" s="59" t="s">
        <v>42</v>
      </c>
    </row>
    <row r="18" spans="2:53" ht="24" customHeight="1" x14ac:dyDescent="0.3">
      <c r="B18" s="289"/>
      <c r="C18" s="292"/>
      <c r="D18" s="295"/>
      <c r="E18" s="295"/>
      <c r="F18" s="295"/>
      <c r="G18" s="268"/>
      <c r="H18" s="268"/>
      <c r="I18" s="275" t="s">
        <v>75</v>
      </c>
      <c r="J18" s="275" t="s">
        <v>49</v>
      </c>
      <c r="K18" s="275" t="s">
        <v>52</v>
      </c>
      <c r="L18" s="273" t="s">
        <v>76</v>
      </c>
      <c r="M18" s="273" t="s">
        <v>76</v>
      </c>
      <c r="N18" s="273" t="s">
        <v>106</v>
      </c>
      <c r="O18" s="273" t="s">
        <v>107</v>
      </c>
      <c r="P18" s="273" t="s">
        <v>75</v>
      </c>
      <c r="Q18" s="273" t="s">
        <v>99</v>
      </c>
      <c r="R18" s="273" t="s">
        <v>99</v>
      </c>
      <c r="S18" s="273" t="s">
        <v>102</v>
      </c>
      <c r="T18" s="273" t="s">
        <v>151</v>
      </c>
      <c r="U18" s="273" t="s">
        <v>70</v>
      </c>
      <c r="V18" s="302"/>
      <c r="W18" s="275">
        <v>2.4</v>
      </c>
      <c r="X18" s="273">
        <v>3.6</v>
      </c>
      <c r="Y18" s="276">
        <v>2.4</v>
      </c>
      <c r="Z18" s="276">
        <v>4.9000000000000004</v>
      </c>
      <c r="AA18" s="276">
        <v>4.5</v>
      </c>
      <c r="AB18" s="276" t="s">
        <v>178</v>
      </c>
      <c r="AC18" s="276">
        <v>6</v>
      </c>
      <c r="AD18" s="277">
        <v>2.4</v>
      </c>
      <c r="AE18" s="277">
        <v>4.8</v>
      </c>
      <c r="AF18" s="273"/>
      <c r="AG18" s="273"/>
      <c r="AH18" s="302"/>
      <c r="AI18" s="302"/>
      <c r="AJ18" s="273"/>
      <c r="AK18" s="306"/>
      <c r="AL18" s="306"/>
      <c r="AM18" s="306"/>
      <c r="AN18" s="275"/>
      <c r="AO18" s="275"/>
      <c r="AP18" s="275"/>
      <c r="AQ18" s="275"/>
      <c r="AR18" s="306"/>
      <c r="AS18" s="306"/>
      <c r="AT18" s="273" t="s">
        <v>36</v>
      </c>
      <c r="AU18" s="273" t="s">
        <v>37</v>
      </c>
      <c r="AV18" s="306"/>
      <c r="AW18" s="302"/>
      <c r="AX18" s="306"/>
      <c r="AY18" s="306"/>
      <c r="AZ18" s="60" t="s">
        <v>43</v>
      </c>
    </row>
    <row r="19" spans="2:53" s="9" customFormat="1" ht="25.5" customHeight="1" x14ac:dyDescent="0.25">
      <c r="B19" s="290"/>
      <c r="C19" s="293"/>
      <c r="D19" s="296"/>
      <c r="E19" s="296"/>
      <c r="F19" s="296"/>
      <c r="G19" s="269"/>
      <c r="H19" s="269"/>
      <c r="I19" s="273" t="s">
        <v>12</v>
      </c>
      <c r="J19" s="273" t="s">
        <v>12</v>
      </c>
      <c r="K19" s="273" t="s">
        <v>12</v>
      </c>
      <c r="L19" s="273" t="s">
        <v>12</v>
      </c>
      <c r="M19" s="273" t="s">
        <v>12</v>
      </c>
      <c r="N19" s="273" t="s">
        <v>12</v>
      </c>
      <c r="O19" s="273" t="s">
        <v>12</v>
      </c>
      <c r="P19" s="273" t="s">
        <v>12</v>
      </c>
      <c r="Q19" s="273" t="s">
        <v>12</v>
      </c>
      <c r="R19" s="273" t="s">
        <v>12</v>
      </c>
      <c r="S19" s="273" t="s">
        <v>12</v>
      </c>
      <c r="T19" s="273" t="s">
        <v>12</v>
      </c>
      <c r="U19" s="273" t="s">
        <v>12</v>
      </c>
      <c r="V19" s="56" t="s">
        <v>14</v>
      </c>
      <c r="W19" s="273" t="s">
        <v>12</v>
      </c>
      <c r="X19" s="273" t="s">
        <v>12</v>
      </c>
      <c r="Y19" s="273" t="s">
        <v>12</v>
      </c>
      <c r="Z19" s="273" t="s">
        <v>12</v>
      </c>
      <c r="AA19" s="273" t="s">
        <v>12</v>
      </c>
      <c r="AB19" s="273" t="s">
        <v>12</v>
      </c>
      <c r="AC19" s="273" t="s">
        <v>12</v>
      </c>
      <c r="AD19" s="273" t="s">
        <v>12</v>
      </c>
      <c r="AE19" s="273" t="s">
        <v>12</v>
      </c>
      <c r="AF19" s="57"/>
      <c r="AG19" s="57"/>
      <c r="AH19" s="57" t="s">
        <v>12</v>
      </c>
      <c r="AI19" s="273" t="s">
        <v>12</v>
      </c>
      <c r="AJ19" s="55"/>
      <c r="AK19" s="55" t="s">
        <v>13</v>
      </c>
      <c r="AL19" s="55" t="s">
        <v>13</v>
      </c>
      <c r="AM19" s="55" t="s">
        <v>13</v>
      </c>
      <c r="AN19" s="55"/>
      <c r="AO19" s="55"/>
      <c r="AP19" s="55"/>
      <c r="AQ19" s="55"/>
      <c r="AR19" s="55" t="s">
        <v>13</v>
      </c>
      <c r="AS19" s="57" t="s">
        <v>13</v>
      </c>
      <c r="AT19" s="273" t="s">
        <v>12</v>
      </c>
      <c r="AU19" s="273" t="s">
        <v>12</v>
      </c>
      <c r="AV19" s="277" t="s">
        <v>12</v>
      </c>
      <c r="AW19" s="57" t="s">
        <v>14</v>
      </c>
      <c r="AX19" s="277"/>
      <c r="AY19" s="273"/>
      <c r="AZ19" s="60"/>
    </row>
    <row r="20" spans="2:53" s="4" customFormat="1" ht="9.75" customHeight="1" x14ac:dyDescent="0.25">
      <c r="B20" s="27"/>
      <c r="C20" s="28"/>
      <c r="D20" s="28"/>
      <c r="E20" s="28"/>
      <c r="F20" s="28"/>
      <c r="G20" s="28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0"/>
      <c r="W20" s="31"/>
      <c r="X20" s="31"/>
      <c r="Y20" s="31"/>
      <c r="Z20" s="31"/>
      <c r="AA20" s="31"/>
      <c r="AB20" s="31"/>
      <c r="AC20" s="31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32"/>
      <c r="AS20" s="29"/>
      <c r="AT20" s="28"/>
      <c r="AU20" s="33"/>
      <c r="AV20" s="33"/>
      <c r="AW20" s="33"/>
      <c r="AX20" s="33"/>
      <c r="AY20" s="33"/>
      <c r="AZ20" s="34"/>
    </row>
    <row r="21" spans="2:53" s="10" customFormat="1" ht="33" customHeight="1" x14ac:dyDescent="0.25">
      <c r="B21" s="384" t="str">
        <f>'MAY 2026 - PMC  '!B21:D21</f>
        <v>Beginning Stock as of as of  May 1, 2026</v>
      </c>
      <c r="C21" s="385"/>
      <c r="D21" s="386"/>
      <c r="E21" s="93"/>
      <c r="F21" s="93"/>
      <c r="G21" s="64"/>
      <c r="H21" s="64"/>
      <c r="I21" s="83" t="e">
        <f>#REF!</f>
        <v>#REF!</v>
      </c>
      <c r="J21" s="83" t="e">
        <f>#REF!</f>
        <v>#REF!</v>
      </c>
      <c r="K21" s="83" t="e">
        <f>#REF!</f>
        <v>#REF!</v>
      </c>
      <c r="L21" s="83" t="e">
        <f>#REF!</f>
        <v>#REF!</v>
      </c>
      <c r="M21" s="83" t="e">
        <f>#REF!</f>
        <v>#REF!</v>
      </c>
      <c r="N21" s="83" t="e">
        <f>#REF!</f>
        <v>#REF!</v>
      </c>
      <c r="O21" s="83" t="e">
        <f>#REF!</f>
        <v>#REF!</v>
      </c>
      <c r="P21" s="83" t="e">
        <f>#REF!</f>
        <v>#REF!</v>
      </c>
      <c r="Q21" s="83">
        <f>'FEBRUARY 2026- TIGERWAY'!Q31</f>
        <v>0</v>
      </c>
      <c r="R21" s="83">
        <f>'APRIL 2026 TIGERWAY '!R31</f>
        <v>17563</v>
      </c>
      <c r="S21" s="83">
        <f>'APRIL 2026 TIGERWAY '!S31</f>
        <v>15400</v>
      </c>
      <c r="T21" s="83">
        <f>'APRIL 2026 TIGERWAY '!T31</f>
        <v>14508</v>
      </c>
      <c r="U21" s="83">
        <f>'APRIL 2026 TIGERWAY '!U31</f>
        <v>0</v>
      </c>
      <c r="V21" s="83">
        <f>'APRIL 2026 TIGERWAY '!V31</f>
        <v>4225</v>
      </c>
      <c r="W21" s="83">
        <f>'APRIL 2026 TIGERWAY '!W31</f>
        <v>0</v>
      </c>
      <c r="X21" s="83">
        <f>'APRIL 2026 TIGERWAY '!X31</f>
        <v>0</v>
      </c>
      <c r="Y21" s="83">
        <f>'APRIL 2026 TIGERWAY '!Y31</f>
        <v>1761</v>
      </c>
      <c r="Z21" s="83">
        <f>'APRIL 2026 TIGERWAY '!Z31</f>
        <v>12096</v>
      </c>
      <c r="AA21" s="83">
        <f>'APRIL 2026 TIGERWAY '!AA31</f>
        <v>0</v>
      </c>
      <c r="AB21" s="83">
        <f>'APRIL 2026 TIGERWAY '!AB31</f>
        <v>190</v>
      </c>
      <c r="AC21" s="83">
        <f>'APRIL 2026 TIGERWAY '!AC31</f>
        <v>210</v>
      </c>
      <c r="AD21" s="83">
        <f>'APRIL 2026 TIGERWAY '!AD31</f>
        <v>0</v>
      </c>
      <c r="AE21" s="83">
        <f>'APRIL 2026 TIGERWAY '!AE31</f>
        <v>0</v>
      </c>
      <c r="AF21" s="83">
        <f>'APRIL 2026 TIGERWAY '!AF31</f>
        <v>0</v>
      </c>
      <c r="AG21" s="83">
        <f>'APRIL 2026 TIGERWAY '!AG31</f>
        <v>0</v>
      </c>
      <c r="AH21" s="83">
        <f>'APRIL 2026 TIGERWAY '!AH31</f>
        <v>971</v>
      </c>
      <c r="AI21" s="83">
        <f>'APRIL 2026 TIGERWAY '!AI31</f>
        <v>96</v>
      </c>
      <c r="AJ21" s="83">
        <f>'APRIL 2026 TIGERWAY '!AJ31</f>
        <v>0</v>
      </c>
      <c r="AK21" s="83">
        <f>'APRIL 2026 TIGERWAY '!AK31</f>
        <v>8790</v>
      </c>
      <c r="AL21" s="83">
        <f>'APRIL 2026 TIGERWAY '!AL31</f>
        <v>0</v>
      </c>
      <c r="AM21" s="83">
        <f>'APRIL 2026 TIGERWAY '!AM31</f>
        <v>4950</v>
      </c>
      <c r="AN21" s="83">
        <f>'APRIL 2026 TIGERWAY '!AN31</f>
        <v>0</v>
      </c>
      <c r="AO21" s="83">
        <f>'APRIL 2026 TIGERWAY '!AO31</f>
        <v>0</v>
      </c>
      <c r="AP21" s="83">
        <f>'APRIL 2026 TIGERWAY '!AP31</f>
        <v>0</v>
      </c>
      <c r="AQ21" s="83">
        <f>'APRIL 2026 TIGERWAY '!AQ31</f>
        <v>0</v>
      </c>
      <c r="AR21" s="83">
        <f>'APRIL 2026 TIGERWAY '!AR31</f>
        <v>905</v>
      </c>
      <c r="AS21" s="83">
        <f>'APRIL 2026 TIGERWAY '!AS31</f>
        <v>0</v>
      </c>
      <c r="AT21" s="83">
        <f>'APRIL 2026 TIGERWAY '!AT31</f>
        <v>0</v>
      </c>
      <c r="AU21" s="83">
        <f>'APRIL 2026 TIGERWAY '!AU31</f>
        <v>0</v>
      </c>
      <c r="AV21" s="83">
        <f>'APRIL 2026 TIGERWAY '!AV31</f>
        <v>0</v>
      </c>
      <c r="AW21" s="83" t="e">
        <f>#REF!</f>
        <v>#REF!</v>
      </c>
      <c r="AX21" s="83" t="e">
        <f>#REF!</f>
        <v>#REF!</v>
      </c>
      <c r="AY21" s="83" t="e">
        <f>#REF!</f>
        <v>#REF!</v>
      </c>
      <c r="AZ21" s="35"/>
    </row>
    <row r="22" spans="2:53" s="10" customFormat="1" ht="5.25" customHeight="1" x14ac:dyDescent="0.25">
      <c r="B22" s="94"/>
      <c r="C22" s="95"/>
      <c r="D22" s="95"/>
      <c r="E22" s="96"/>
      <c r="F22" s="96"/>
      <c r="G22" s="38"/>
      <c r="H22" s="38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5"/>
      <c r="W22" s="86"/>
      <c r="X22" s="86"/>
      <c r="Y22" s="86"/>
      <c r="Z22" s="86"/>
      <c r="AA22" s="86"/>
      <c r="AB22" s="86"/>
      <c r="AC22" s="86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5"/>
      <c r="AS22" s="84"/>
      <c r="AT22" s="85"/>
      <c r="AU22" s="85"/>
      <c r="AV22" s="85"/>
      <c r="AW22" s="43"/>
      <c r="AX22" s="43"/>
      <c r="AY22" s="45"/>
      <c r="AZ22" s="35"/>
    </row>
    <row r="23" spans="2:53" s="14" customFormat="1" ht="35.25" customHeight="1" x14ac:dyDescent="0.25">
      <c r="B23" s="110"/>
      <c r="C23" s="111"/>
      <c r="D23" s="112" t="s">
        <v>31</v>
      </c>
      <c r="E23" s="112" t="s">
        <v>32</v>
      </c>
      <c r="F23" s="112" t="s">
        <v>61</v>
      </c>
      <c r="G23" s="112"/>
      <c r="H23" s="112"/>
      <c r="I23" s="43"/>
      <c r="J23" s="43"/>
      <c r="K23" s="43"/>
      <c r="L23" s="43"/>
      <c r="M23" s="43"/>
      <c r="N23" s="43"/>
      <c r="O23" s="43">
        <f>235*36</f>
        <v>8460</v>
      </c>
      <c r="P23" s="43"/>
      <c r="Q23" s="43"/>
      <c r="R23" s="43"/>
      <c r="S23" s="43"/>
      <c r="T23" s="43"/>
      <c r="U23" s="43"/>
      <c r="V23" s="67"/>
      <c r="W23" s="70"/>
      <c r="X23" s="70"/>
      <c r="Y23" s="70"/>
      <c r="Z23" s="70"/>
      <c r="AA23" s="70"/>
      <c r="AB23" s="70"/>
      <c r="AC23" s="70"/>
      <c r="AD23" s="43"/>
      <c r="AE23" s="43"/>
      <c r="AF23" s="43"/>
      <c r="AG23" s="43"/>
      <c r="AH23" s="67"/>
      <c r="AI23" s="43"/>
      <c r="AJ23" s="43"/>
      <c r="AK23" s="43"/>
      <c r="AL23" s="43"/>
      <c r="AM23" s="43"/>
      <c r="AN23" s="43"/>
      <c r="AO23" s="43"/>
      <c r="AP23" s="43"/>
      <c r="AQ23" s="43"/>
      <c r="AR23" s="68"/>
      <c r="AS23" s="71"/>
      <c r="AT23" s="44"/>
      <c r="AU23" s="44"/>
      <c r="AV23" s="44"/>
      <c r="AW23" s="43"/>
      <c r="AX23" s="43"/>
      <c r="AY23" s="45"/>
      <c r="AZ23" s="113" t="s">
        <v>40</v>
      </c>
    </row>
    <row r="24" spans="2:53" s="14" customFormat="1" ht="42.75" hidden="1" customHeight="1" x14ac:dyDescent="0.25">
      <c r="B24" s="97"/>
      <c r="C24" s="111"/>
      <c r="D24" s="98" t="s">
        <v>31</v>
      </c>
      <c r="E24" s="98" t="s">
        <v>32</v>
      </c>
      <c r="F24" s="98" t="s">
        <v>61</v>
      </c>
      <c r="G24" s="42"/>
      <c r="H24" s="42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9"/>
      <c r="W24" s="88"/>
      <c r="X24" s="88"/>
      <c r="Y24" s="88"/>
      <c r="Z24" s="88"/>
      <c r="AA24" s="88"/>
      <c r="AB24" s="88"/>
      <c r="AC24" s="88"/>
      <c r="AD24" s="84"/>
      <c r="AE24" s="84"/>
      <c r="AF24" s="84"/>
      <c r="AG24" s="84"/>
      <c r="AH24" s="89"/>
      <c r="AI24" s="84"/>
      <c r="AJ24" s="84"/>
      <c r="AK24" s="84"/>
      <c r="AL24" s="84"/>
      <c r="AM24" s="84"/>
      <c r="AN24" s="84"/>
      <c r="AO24" s="84"/>
      <c r="AP24" s="84"/>
      <c r="AQ24" s="84"/>
      <c r="AR24" s="87"/>
      <c r="AS24" s="90"/>
      <c r="AT24" s="85"/>
      <c r="AU24" s="85"/>
      <c r="AV24" s="85"/>
      <c r="AW24" s="48"/>
      <c r="AX24" s="48"/>
      <c r="AY24" s="49"/>
      <c r="AZ24" s="113" t="s">
        <v>40</v>
      </c>
      <c r="BA24" s="13"/>
    </row>
    <row r="25" spans="2:53" s="14" customFormat="1" ht="30" hidden="1" customHeight="1" x14ac:dyDescent="0.25">
      <c r="B25" s="97"/>
      <c r="C25" s="111"/>
      <c r="D25" s="98" t="s">
        <v>31</v>
      </c>
      <c r="E25" s="98" t="s">
        <v>32</v>
      </c>
      <c r="F25" s="98" t="s">
        <v>61</v>
      </c>
      <c r="G25" s="42"/>
      <c r="H25" s="42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7"/>
      <c r="W25" s="88"/>
      <c r="X25" s="88"/>
      <c r="Y25" s="88"/>
      <c r="Z25" s="88"/>
      <c r="AA25" s="88"/>
      <c r="AB25" s="88"/>
      <c r="AC25" s="88"/>
      <c r="AD25" s="84"/>
      <c r="AE25" s="84"/>
      <c r="AF25" s="84"/>
      <c r="AG25" s="84"/>
      <c r="AH25" s="89"/>
      <c r="AI25" s="84"/>
      <c r="AJ25" s="84"/>
      <c r="AK25" s="84"/>
      <c r="AL25" s="84"/>
      <c r="AM25" s="84"/>
      <c r="AN25" s="84"/>
      <c r="AO25" s="84"/>
      <c r="AP25" s="84"/>
      <c r="AQ25" s="84"/>
      <c r="AR25" s="87"/>
      <c r="AS25" s="90"/>
      <c r="AT25" s="85"/>
      <c r="AU25" s="85"/>
      <c r="AV25" s="85"/>
      <c r="AW25" s="48"/>
      <c r="AX25" s="48"/>
      <c r="AY25" s="49"/>
      <c r="AZ25" s="113" t="s">
        <v>40</v>
      </c>
      <c r="BA25" s="13"/>
    </row>
    <row r="26" spans="2:53" s="10" customFormat="1" ht="34.5" customHeight="1" x14ac:dyDescent="0.25">
      <c r="B26" s="99" t="s">
        <v>34</v>
      </c>
      <c r="C26" s="100"/>
      <c r="D26" s="98"/>
      <c r="E26" s="98"/>
      <c r="F26" s="98"/>
      <c r="G26" s="42"/>
      <c r="H26" s="42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7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5"/>
      <c r="AS26" s="84"/>
      <c r="AT26" s="85"/>
      <c r="AU26" s="85"/>
      <c r="AV26" s="85"/>
      <c r="AW26" s="48"/>
      <c r="AX26" s="48"/>
      <c r="AY26" s="49"/>
      <c r="AZ26" s="78"/>
      <c r="BA26" s="2"/>
    </row>
    <row r="27" spans="2:53" s="10" customFormat="1" ht="34.5" customHeight="1" x14ac:dyDescent="0.25">
      <c r="B27" s="99" t="s">
        <v>35</v>
      </c>
      <c r="C27" s="98"/>
      <c r="D27" s="96"/>
      <c r="E27" s="96"/>
      <c r="F27" s="96"/>
      <c r="G27" s="38"/>
      <c r="H27" s="38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5"/>
      <c r="W27" s="85"/>
      <c r="X27" s="85"/>
      <c r="Y27" s="85"/>
      <c r="Z27" s="85"/>
      <c r="AA27" s="85"/>
      <c r="AB27" s="85"/>
      <c r="AC27" s="85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5"/>
      <c r="AS27" s="84"/>
      <c r="AT27" s="85"/>
      <c r="AU27" s="85"/>
      <c r="AV27" s="85"/>
      <c r="AW27" s="43"/>
      <c r="AX27" s="43"/>
      <c r="AY27" s="45"/>
      <c r="AZ27" s="35"/>
      <c r="BA27" s="2"/>
    </row>
    <row r="28" spans="2:53" s="14" customFormat="1" ht="33.75" customHeight="1" x14ac:dyDescent="0.25">
      <c r="B28" s="105" t="s">
        <v>17</v>
      </c>
      <c r="C28" s="106"/>
      <c r="D28" s="102"/>
      <c r="E28" s="102"/>
      <c r="F28" s="102"/>
      <c r="G28" s="104"/>
      <c r="H28" s="104"/>
      <c r="I28" s="83" t="e">
        <f t="shared" ref="I28:AE28" si="0">SUM(I21:I27)</f>
        <v>#REF!</v>
      </c>
      <c r="J28" s="83" t="e">
        <f t="shared" si="0"/>
        <v>#REF!</v>
      </c>
      <c r="K28" s="83" t="e">
        <f t="shared" si="0"/>
        <v>#REF!</v>
      </c>
      <c r="L28" s="83" t="e">
        <f t="shared" si="0"/>
        <v>#REF!</v>
      </c>
      <c r="M28" s="83" t="e">
        <f t="shared" si="0"/>
        <v>#REF!</v>
      </c>
      <c r="N28" s="83" t="e">
        <f t="shared" si="0"/>
        <v>#REF!</v>
      </c>
      <c r="O28" s="83" t="e">
        <f t="shared" si="0"/>
        <v>#REF!</v>
      </c>
      <c r="P28" s="83" t="e">
        <f t="shared" si="0"/>
        <v>#REF!</v>
      </c>
      <c r="Q28" s="83">
        <f t="shared" si="0"/>
        <v>0</v>
      </c>
      <c r="R28" s="83">
        <f t="shared" si="0"/>
        <v>17563</v>
      </c>
      <c r="S28" s="83">
        <f t="shared" si="0"/>
        <v>15400</v>
      </c>
      <c r="T28" s="83">
        <f t="shared" si="0"/>
        <v>14508</v>
      </c>
      <c r="U28" s="83">
        <f t="shared" si="0"/>
        <v>0</v>
      </c>
      <c r="V28" s="83">
        <f t="shared" si="0"/>
        <v>4225</v>
      </c>
      <c r="W28" s="83">
        <f t="shared" si="0"/>
        <v>0</v>
      </c>
      <c r="X28" s="83">
        <f t="shared" si="0"/>
        <v>0</v>
      </c>
      <c r="Y28" s="83">
        <f t="shared" si="0"/>
        <v>1761</v>
      </c>
      <c r="Z28" s="83">
        <f t="shared" si="0"/>
        <v>12096</v>
      </c>
      <c r="AA28" s="83">
        <f t="shared" si="0"/>
        <v>0</v>
      </c>
      <c r="AB28" s="83">
        <f t="shared" si="0"/>
        <v>190</v>
      </c>
      <c r="AC28" s="83">
        <f t="shared" si="0"/>
        <v>210</v>
      </c>
      <c r="AD28" s="83">
        <f t="shared" si="0"/>
        <v>0</v>
      </c>
      <c r="AE28" s="83">
        <f t="shared" si="0"/>
        <v>0</v>
      </c>
      <c r="AF28" s="83"/>
      <c r="AG28" s="83"/>
      <c r="AH28" s="83">
        <f>SUM(AH21:AH27)</f>
        <v>971</v>
      </c>
      <c r="AI28" s="83">
        <f>SUM(AI21:AI27)</f>
        <v>96</v>
      </c>
      <c r="AJ28" s="83"/>
      <c r="AK28" s="83">
        <f>SUM(AK21:AK27)</f>
        <v>8790</v>
      </c>
      <c r="AL28" s="83">
        <f>SUM(AL21:AL27)</f>
        <v>0</v>
      </c>
      <c r="AM28" s="83">
        <f>SUM(AM21:AM27)</f>
        <v>4950</v>
      </c>
      <c r="AN28" s="83"/>
      <c r="AO28" s="83"/>
      <c r="AP28" s="83"/>
      <c r="AQ28" s="83"/>
      <c r="AR28" s="83">
        <f t="shared" ref="AR28:AY28" si="1">SUM(AR21:AR27)</f>
        <v>905</v>
      </c>
      <c r="AS28" s="83">
        <f t="shared" si="1"/>
        <v>0</v>
      </c>
      <c r="AT28" s="83">
        <f t="shared" si="1"/>
        <v>0</v>
      </c>
      <c r="AU28" s="83">
        <f t="shared" si="1"/>
        <v>0</v>
      </c>
      <c r="AV28" s="83">
        <f t="shared" si="1"/>
        <v>0</v>
      </c>
      <c r="AW28" s="53" t="e">
        <f t="shared" si="1"/>
        <v>#REF!</v>
      </c>
      <c r="AX28" s="53" t="e">
        <f t="shared" si="1"/>
        <v>#REF!</v>
      </c>
      <c r="AY28" s="53" t="e">
        <f t="shared" si="1"/>
        <v>#REF!</v>
      </c>
      <c r="AZ28" s="36"/>
      <c r="BA28" s="13"/>
    </row>
    <row r="29" spans="2:53" s="14" customFormat="1" ht="29.25" customHeight="1" x14ac:dyDescent="0.25">
      <c r="B29" s="387" t="s">
        <v>18</v>
      </c>
      <c r="C29" s="388"/>
      <c r="D29" s="85"/>
      <c r="E29" s="85"/>
      <c r="F29" s="85"/>
      <c r="G29" s="39"/>
      <c r="H29" s="39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5"/>
      <c r="W29" s="85"/>
      <c r="X29" s="85"/>
      <c r="Y29" s="85"/>
      <c r="Z29" s="85"/>
      <c r="AA29" s="85"/>
      <c r="AB29" s="85"/>
      <c r="AC29" s="85"/>
      <c r="AD29" s="84"/>
      <c r="AE29" s="84"/>
      <c r="AF29" s="84"/>
      <c r="AG29" s="84"/>
      <c r="AH29" s="84"/>
      <c r="AI29" s="85"/>
      <c r="AJ29" s="85"/>
      <c r="AK29" s="84"/>
      <c r="AL29" s="84"/>
      <c r="AM29" s="84"/>
      <c r="AN29" s="84"/>
      <c r="AO29" s="84"/>
      <c r="AP29" s="84"/>
      <c r="AQ29" s="84"/>
      <c r="AR29" s="85"/>
      <c r="AS29" s="84"/>
      <c r="AT29" s="85"/>
      <c r="AU29" s="85"/>
      <c r="AV29" s="85"/>
      <c r="AW29" s="26"/>
      <c r="AX29" s="26"/>
      <c r="AY29" s="49"/>
      <c r="AZ29" s="36"/>
      <c r="BA29" s="13"/>
    </row>
    <row r="30" spans="2:53" s="14" customFormat="1" ht="93.75" customHeight="1" x14ac:dyDescent="0.25">
      <c r="B30" s="389" t="s">
        <v>83</v>
      </c>
      <c r="C30" s="390"/>
      <c r="D30" s="391" t="s">
        <v>93</v>
      </c>
      <c r="E30" s="392"/>
      <c r="F30" s="393"/>
      <c r="G30" s="79"/>
      <c r="H30" s="79"/>
      <c r="I30" s="91">
        <v>0</v>
      </c>
      <c r="J30" s="91" t="e">
        <f>SUM(J26:J29)</f>
        <v>#REF!</v>
      </c>
      <c r="K30" s="91" t="e">
        <f>SUM(K26:K29)</f>
        <v>#REF!</v>
      </c>
      <c r="L30" s="91" t="e">
        <f>SUM(L26:L29)</f>
        <v>#REF!</v>
      </c>
      <c r="M30" s="91" t="e">
        <f>SUM(M26:M29)</f>
        <v>#REF!</v>
      </c>
      <c r="N30" s="91"/>
      <c r="O30" s="91">
        <f>350*36</f>
        <v>12600</v>
      </c>
      <c r="P30" s="91"/>
      <c r="Q30" s="91"/>
      <c r="R30" s="91">
        <f>47*91</f>
        <v>4277</v>
      </c>
      <c r="S30" s="91">
        <v>0</v>
      </c>
      <c r="T30" s="91">
        <f>82*93</f>
        <v>7626</v>
      </c>
      <c r="U30" s="91"/>
      <c r="V30" s="91">
        <f>97*25</f>
        <v>2425</v>
      </c>
      <c r="W30" s="91"/>
      <c r="X30" s="91"/>
      <c r="Y30" s="91">
        <v>4</v>
      </c>
      <c r="Z30" s="91">
        <v>1349</v>
      </c>
      <c r="AA30" s="91">
        <v>0</v>
      </c>
      <c r="AB30" s="91">
        <v>190</v>
      </c>
      <c r="AC30" s="91">
        <v>210</v>
      </c>
      <c r="AD30" s="91"/>
      <c r="AE30" s="91"/>
      <c r="AF30" s="91"/>
      <c r="AG30" s="91"/>
      <c r="AH30" s="91">
        <v>175</v>
      </c>
      <c r="AI30" s="91">
        <v>0</v>
      </c>
      <c r="AJ30" s="91"/>
      <c r="AK30" s="91">
        <v>1066</v>
      </c>
      <c r="AL30" s="91">
        <v>0</v>
      </c>
      <c r="AM30" s="91">
        <v>1575</v>
      </c>
      <c r="AN30" s="91"/>
      <c r="AO30" s="91"/>
      <c r="AP30" s="91"/>
      <c r="AQ30" s="91"/>
      <c r="AR30" s="91">
        <v>175</v>
      </c>
      <c r="AS30" s="91">
        <v>0</v>
      </c>
      <c r="AT30" s="91"/>
      <c r="AU30" s="91"/>
      <c r="AV30" s="91">
        <v>0</v>
      </c>
      <c r="AW30" s="81"/>
      <c r="AX30" s="81"/>
      <c r="AY30" s="81"/>
      <c r="AZ30" s="36"/>
      <c r="BA30" s="13"/>
    </row>
    <row r="31" spans="2:53" s="14" customFormat="1" ht="45.75" customHeight="1" thickBot="1" x14ac:dyDescent="0.3">
      <c r="B31" s="394" t="str">
        <f>'MAY 2026 - PMC  '!B38</f>
        <v>Remaining Stock as of May 31,2026</v>
      </c>
      <c r="C31" s="395"/>
      <c r="D31" s="396"/>
      <c r="E31" s="101"/>
      <c r="F31" s="101"/>
      <c r="G31" s="63"/>
      <c r="H31" s="63"/>
      <c r="I31" s="92" t="e">
        <f t="shared" ref="I31:AY31" si="2">I28-I30</f>
        <v>#REF!</v>
      </c>
      <c r="J31" s="92" t="e">
        <f t="shared" si="2"/>
        <v>#REF!</v>
      </c>
      <c r="K31" s="92" t="e">
        <f t="shared" si="2"/>
        <v>#REF!</v>
      </c>
      <c r="L31" s="92" t="e">
        <f t="shared" si="2"/>
        <v>#REF!</v>
      </c>
      <c r="M31" s="92" t="e">
        <f t="shared" si="2"/>
        <v>#REF!</v>
      </c>
      <c r="N31" s="92" t="e">
        <f>N28-N30</f>
        <v>#REF!</v>
      </c>
      <c r="O31" s="92" t="e">
        <f t="shared" ref="O31:U31" si="3">O28-O30</f>
        <v>#REF!</v>
      </c>
      <c r="P31" s="92" t="e">
        <f t="shared" si="3"/>
        <v>#REF!</v>
      </c>
      <c r="Q31" s="92">
        <f>Q28-Q30</f>
        <v>0</v>
      </c>
      <c r="R31" s="92">
        <f t="shared" ref="R31:S31" si="4">R28-R30</f>
        <v>13286</v>
      </c>
      <c r="S31" s="92">
        <f t="shared" si="4"/>
        <v>15400</v>
      </c>
      <c r="T31" s="92">
        <f t="shared" si="3"/>
        <v>6882</v>
      </c>
      <c r="U31" s="92">
        <f t="shared" si="3"/>
        <v>0</v>
      </c>
      <c r="V31" s="92">
        <f t="shared" si="2"/>
        <v>1800</v>
      </c>
      <c r="W31" s="92">
        <f t="shared" si="2"/>
        <v>0</v>
      </c>
      <c r="X31" s="92">
        <f t="shared" si="2"/>
        <v>0</v>
      </c>
      <c r="Y31" s="92">
        <f t="shared" si="2"/>
        <v>1757</v>
      </c>
      <c r="Z31" s="92">
        <f t="shared" si="2"/>
        <v>10747</v>
      </c>
      <c r="AA31" s="92">
        <f t="shared" si="2"/>
        <v>0</v>
      </c>
      <c r="AB31" s="92">
        <f t="shared" si="2"/>
        <v>0</v>
      </c>
      <c r="AC31" s="92">
        <f>AC28-AC30</f>
        <v>0</v>
      </c>
      <c r="AD31" s="92">
        <f t="shared" si="2"/>
        <v>0</v>
      </c>
      <c r="AE31" s="92">
        <f t="shared" si="2"/>
        <v>0</v>
      </c>
      <c r="AF31" s="92"/>
      <c r="AG31" s="92"/>
      <c r="AH31" s="92">
        <f t="shared" si="2"/>
        <v>796</v>
      </c>
      <c r="AI31" s="92">
        <f t="shared" si="2"/>
        <v>96</v>
      </c>
      <c r="AJ31" s="92"/>
      <c r="AK31" s="92">
        <f t="shared" si="2"/>
        <v>7724</v>
      </c>
      <c r="AL31" s="92">
        <f t="shared" si="2"/>
        <v>0</v>
      </c>
      <c r="AM31" s="92">
        <f t="shared" si="2"/>
        <v>3375</v>
      </c>
      <c r="AN31" s="92"/>
      <c r="AO31" s="92"/>
      <c r="AP31" s="92"/>
      <c r="AQ31" s="92"/>
      <c r="AR31" s="92">
        <f t="shared" si="2"/>
        <v>730</v>
      </c>
      <c r="AS31" s="92">
        <f t="shared" si="2"/>
        <v>0</v>
      </c>
      <c r="AT31" s="92">
        <f t="shared" si="2"/>
        <v>0</v>
      </c>
      <c r="AU31" s="92">
        <f t="shared" si="2"/>
        <v>0</v>
      </c>
      <c r="AV31" s="92">
        <f t="shared" si="2"/>
        <v>0</v>
      </c>
      <c r="AW31" s="54" t="e">
        <f t="shared" si="2"/>
        <v>#REF!</v>
      </c>
      <c r="AX31" s="54" t="e">
        <f t="shared" si="2"/>
        <v>#REF!</v>
      </c>
      <c r="AY31" s="54" t="e">
        <f t="shared" si="2"/>
        <v>#REF!</v>
      </c>
      <c r="AZ31" s="37"/>
    </row>
    <row r="32" spans="2:53" ht="26.25" customHeight="1" x14ac:dyDescent="0.3">
      <c r="V32" s="17"/>
      <c r="W32" s="17"/>
      <c r="X32" s="17"/>
      <c r="Y32" s="17"/>
      <c r="Z32" s="17"/>
      <c r="AA32" s="17"/>
      <c r="AB32" s="17"/>
      <c r="AC32" s="17"/>
      <c r="AD32" s="17"/>
      <c r="AM32" s="18"/>
      <c r="AN32" s="18"/>
      <c r="AO32" s="18"/>
      <c r="AP32" s="18"/>
      <c r="AQ32" s="18"/>
      <c r="AR32" s="19"/>
    </row>
    <row r="33" spans="2:53" ht="9" customHeight="1" x14ac:dyDescent="0.3">
      <c r="J33" s="20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1"/>
      <c r="AR33" s="19"/>
      <c r="AS33" s="21"/>
    </row>
    <row r="34" spans="2:53" ht="9" customHeight="1" x14ac:dyDescent="0.3">
      <c r="J34" s="20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1"/>
      <c r="AR34" s="19"/>
      <c r="AS34" s="21"/>
    </row>
    <row r="35" spans="2:53" ht="9" customHeight="1" x14ac:dyDescent="0.3">
      <c r="J35" s="20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1"/>
      <c r="AR35" s="19"/>
      <c r="AS35" s="21"/>
    </row>
    <row r="36" spans="2:53" s="2" customFormat="1" ht="30" customHeight="1" x14ac:dyDescent="0.25">
      <c r="B36" s="280"/>
      <c r="C36" s="280" t="s">
        <v>45</v>
      </c>
      <c r="D36" s="280"/>
      <c r="E36" s="280"/>
      <c r="F36" s="280" t="s">
        <v>116</v>
      </c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6"/>
      <c r="R36" s="286"/>
      <c r="S36" s="281" t="s">
        <v>54</v>
      </c>
      <c r="T36" s="117"/>
      <c r="U36" s="117"/>
      <c r="V36" s="117"/>
      <c r="W36" s="281"/>
      <c r="X36" s="281"/>
      <c r="Y36" s="281"/>
      <c r="Z36" s="118"/>
      <c r="AA36" s="281" t="s">
        <v>90</v>
      </c>
      <c r="AB36" s="281"/>
      <c r="AC36" s="117"/>
      <c r="AD36" s="281" t="s">
        <v>90</v>
      </c>
      <c r="AE36" s="117"/>
      <c r="AF36" s="281"/>
      <c r="AG36" s="281"/>
      <c r="AH36" s="117"/>
      <c r="AI36" s="281"/>
      <c r="AJ36" s="281"/>
      <c r="AK36" s="109"/>
      <c r="AL36" s="280" t="s">
        <v>20</v>
      </c>
      <c r="AT36" s="280"/>
      <c r="AU36" s="280" t="s">
        <v>20</v>
      </c>
      <c r="AV36" s="280"/>
      <c r="AW36" s="280"/>
      <c r="AX36" s="280"/>
      <c r="AY36" s="280"/>
      <c r="AZ36" s="280"/>
      <c r="BA36" s="280"/>
    </row>
    <row r="37" spans="2:53" s="2" customFormat="1" ht="30" customHeight="1" x14ac:dyDescent="0.25">
      <c r="B37" s="280"/>
      <c r="C37" s="367" t="s">
        <v>38</v>
      </c>
      <c r="D37" s="367"/>
      <c r="E37" s="367"/>
      <c r="F37" s="367"/>
      <c r="G37" s="367"/>
      <c r="H37" s="367"/>
      <c r="I37" s="280"/>
      <c r="J37" s="22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T37" s="280"/>
      <c r="AU37" s="280"/>
      <c r="AV37" s="280"/>
      <c r="AW37" s="280"/>
      <c r="AX37" s="280"/>
      <c r="AY37" s="280"/>
      <c r="AZ37" s="280"/>
      <c r="BA37" s="280"/>
    </row>
    <row r="38" spans="2:53" s="2" customFormat="1" ht="30" customHeight="1" x14ac:dyDescent="0.25">
      <c r="B38" s="280"/>
      <c r="C38" s="280"/>
      <c r="D38" s="280"/>
      <c r="E38" s="280"/>
      <c r="F38" s="280"/>
      <c r="G38" s="280"/>
      <c r="H38" s="280"/>
      <c r="I38" s="280"/>
      <c r="J38" s="22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T38" s="280"/>
      <c r="AU38" s="280"/>
      <c r="AV38" s="280"/>
      <c r="AW38" s="280"/>
      <c r="AX38" s="280"/>
      <c r="AY38" s="280"/>
      <c r="AZ38" s="280"/>
      <c r="BA38" s="280"/>
    </row>
    <row r="39" spans="2:53" s="2" customFormat="1" ht="30" customHeight="1" x14ac:dyDescent="0.25">
      <c r="B39" s="280"/>
      <c r="C39" s="280" t="s">
        <v>21</v>
      </c>
      <c r="D39" s="281"/>
      <c r="E39" s="280"/>
      <c r="F39" s="280" t="s">
        <v>112</v>
      </c>
      <c r="G39" s="280"/>
      <c r="H39" s="280"/>
      <c r="I39" s="280"/>
      <c r="J39" s="281"/>
      <c r="K39" s="280"/>
      <c r="L39" s="280"/>
      <c r="M39" s="280"/>
      <c r="N39" s="280"/>
      <c r="O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178" t="s">
        <v>100</v>
      </c>
      <c r="AM39" s="117"/>
      <c r="AN39" s="117"/>
      <c r="AO39" s="117"/>
      <c r="AP39" s="117"/>
      <c r="AQ39" s="117"/>
      <c r="AR39" s="117"/>
      <c r="AS39" s="117"/>
      <c r="AT39" s="281"/>
      <c r="AU39" s="281"/>
      <c r="AV39" s="281"/>
      <c r="AW39" s="281"/>
      <c r="AX39" s="281"/>
      <c r="AY39" s="281"/>
      <c r="AZ39" s="109"/>
      <c r="BA39" s="280"/>
    </row>
    <row r="40" spans="2:53" s="2" customFormat="1" ht="30" customHeight="1" x14ac:dyDescent="0.25">
      <c r="B40" s="280"/>
      <c r="C40" s="280" t="s">
        <v>22</v>
      </c>
      <c r="D40" s="23"/>
      <c r="E40" s="280"/>
      <c r="F40" s="280" t="s">
        <v>113</v>
      </c>
      <c r="G40" s="280"/>
      <c r="H40" s="280"/>
      <c r="I40" s="280"/>
      <c r="J40" s="280"/>
      <c r="K40" s="280"/>
      <c r="L40" s="280"/>
      <c r="M40" s="280"/>
      <c r="N40" s="280"/>
      <c r="O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  <c r="AB40" s="280"/>
      <c r="AC40" s="280"/>
      <c r="AD40" s="280"/>
      <c r="AE40" s="280"/>
      <c r="AF40" s="280"/>
      <c r="AG40" s="280"/>
      <c r="AH40" s="280"/>
      <c r="AI40" s="280"/>
      <c r="AJ40" s="280"/>
      <c r="AK40" s="280"/>
      <c r="AL40" s="176" t="s">
        <v>120</v>
      </c>
      <c r="AT40" s="280"/>
      <c r="AU40" s="280"/>
      <c r="AV40" s="280"/>
      <c r="AW40" s="280"/>
      <c r="AX40" s="280"/>
      <c r="AY40" s="280"/>
      <c r="AZ40" s="280"/>
      <c r="BA40" s="280"/>
    </row>
    <row r="41" spans="2:53" s="2" customFormat="1" ht="30" customHeight="1" x14ac:dyDescent="0.25">
      <c r="B41" s="280"/>
      <c r="C41" s="280" t="s">
        <v>23</v>
      </c>
      <c r="D41" s="23"/>
      <c r="E41" s="280"/>
      <c r="F41" s="280" t="s">
        <v>114</v>
      </c>
      <c r="G41" s="280"/>
      <c r="H41" s="280"/>
      <c r="I41" s="280"/>
      <c r="J41" s="280"/>
      <c r="K41" s="280"/>
      <c r="L41" s="280"/>
      <c r="M41" s="280"/>
      <c r="N41" s="280"/>
      <c r="O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80"/>
      <c r="AB41" s="280"/>
      <c r="AC41" s="280"/>
      <c r="AD41" s="280"/>
      <c r="AE41" s="280"/>
      <c r="AF41" s="280"/>
      <c r="AG41" s="280"/>
      <c r="AH41" s="280"/>
      <c r="AI41" s="280"/>
      <c r="AJ41" s="280"/>
      <c r="AK41" s="280"/>
      <c r="AL41" s="176" t="s">
        <v>121</v>
      </c>
      <c r="AT41" s="280"/>
      <c r="AU41" s="280"/>
      <c r="AV41" s="280"/>
      <c r="AW41" s="280"/>
      <c r="AX41" s="280"/>
      <c r="AY41" s="280"/>
      <c r="AZ41" s="280"/>
      <c r="BA41" s="280"/>
    </row>
    <row r="42" spans="2:53" s="2" customFormat="1" ht="30" customHeight="1" x14ac:dyDescent="0.25">
      <c r="B42" s="280"/>
      <c r="C42" s="280" t="s">
        <v>24</v>
      </c>
      <c r="D42" s="23"/>
      <c r="E42" s="280"/>
      <c r="F42" s="280" t="s">
        <v>115</v>
      </c>
      <c r="G42" s="280"/>
      <c r="H42" s="280"/>
      <c r="I42" s="280"/>
      <c r="J42" s="280"/>
      <c r="K42" s="280"/>
      <c r="L42" s="280"/>
      <c r="M42" s="280"/>
      <c r="N42" s="280"/>
      <c r="O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  <c r="AA42" s="280"/>
      <c r="AB42" s="280"/>
      <c r="AC42" s="280"/>
      <c r="AD42" s="280"/>
      <c r="AE42" s="280"/>
      <c r="AF42" s="280"/>
      <c r="AG42" s="280"/>
      <c r="AH42" s="280"/>
      <c r="AI42" s="280"/>
      <c r="AJ42" s="280"/>
      <c r="AK42" s="280"/>
      <c r="AL42" s="176" t="s">
        <v>122</v>
      </c>
      <c r="AT42" s="280"/>
      <c r="AU42" s="280"/>
      <c r="AV42" s="280"/>
      <c r="AW42" s="280"/>
      <c r="AX42" s="280"/>
      <c r="AY42" s="280"/>
      <c r="AZ42" s="280"/>
      <c r="BA42" s="280"/>
    </row>
    <row r="43" spans="2:53" s="2" customFormat="1" ht="30" customHeight="1" x14ac:dyDescent="0.25">
      <c r="AR43" s="280"/>
    </row>
    <row r="44" spans="2:53" s="114" customFormat="1" ht="30" customHeight="1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R44" s="107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2:53" s="114" customFormat="1" ht="24.95" customHeight="1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</row>
    <row r="46" spans="2:53" ht="24.95" customHeight="1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</row>
    <row r="47" spans="2:53" s="25" customFormat="1" ht="20.25" x14ac:dyDescent="0.3"/>
    <row r="48" spans="2:53" s="25" customFormat="1" ht="20.25" x14ac:dyDescent="0.3"/>
    <row r="49" s="25" customFormat="1" ht="20.25" x14ac:dyDescent="0.3"/>
    <row r="50" s="25" customFormat="1" ht="20.25" x14ac:dyDescent="0.3"/>
    <row r="51" s="25" customFormat="1" ht="20.25" x14ac:dyDescent="0.3"/>
    <row r="52" s="25" customFormat="1" ht="20.25" x14ac:dyDescent="0.3"/>
    <row r="53" s="25" customFormat="1" ht="20.25" x14ac:dyDescent="0.3"/>
    <row r="54" s="25" customFormat="1" ht="20.25" x14ac:dyDescent="0.3"/>
    <row r="55" s="25" customFormat="1" ht="20.25" x14ac:dyDescent="0.3"/>
    <row r="56" s="25" customFormat="1" ht="20.25" x14ac:dyDescent="0.3"/>
    <row r="57" s="25" customFormat="1" ht="20.25" x14ac:dyDescent="0.3"/>
    <row r="58" s="25" customFormat="1" ht="20.25" x14ac:dyDescent="0.3"/>
    <row r="59" s="25" customFormat="1" ht="20.25" x14ac:dyDescent="0.3"/>
    <row r="60" s="25" customFormat="1" ht="20.25" x14ac:dyDescent="0.3"/>
    <row r="61" s="25" customFormat="1" ht="20.25" x14ac:dyDescent="0.3"/>
    <row r="62" s="25" customFormat="1" ht="20.25" x14ac:dyDescent="0.3"/>
    <row r="63" s="25" customFormat="1" ht="20.25" x14ac:dyDescent="0.3"/>
    <row r="64" s="25" customFormat="1" ht="20.25" x14ac:dyDescent="0.3"/>
    <row r="65" s="25" customFormat="1" ht="20.25" x14ac:dyDescent="0.3"/>
  </sheetData>
  <mergeCells count="39">
    <mergeCell ref="B7:AZ7"/>
    <mergeCell ref="B1:AZ1"/>
    <mergeCell ref="B2:AZ2"/>
    <mergeCell ref="B3:AZ3"/>
    <mergeCell ref="B4:AZ4"/>
    <mergeCell ref="B6:AZ6"/>
    <mergeCell ref="AW16:AW18"/>
    <mergeCell ref="AM17:AM18"/>
    <mergeCell ref="B8:AZ8"/>
    <mergeCell ref="B16:B19"/>
    <mergeCell ref="C16:C19"/>
    <mergeCell ref="D16:D19"/>
    <mergeCell ref="E16:E19"/>
    <mergeCell ref="F16:F19"/>
    <mergeCell ref="I16:N16"/>
    <mergeCell ref="P16:U16"/>
    <mergeCell ref="V16:V18"/>
    <mergeCell ref="W16:AI16"/>
    <mergeCell ref="C37:H37"/>
    <mergeCell ref="AX16:AX18"/>
    <mergeCell ref="AY16:AY18"/>
    <mergeCell ref="I17:K17"/>
    <mergeCell ref="R17:S17"/>
    <mergeCell ref="Y17:AB17"/>
    <mergeCell ref="AD17:AE17"/>
    <mergeCell ref="AH17:AH18"/>
    <mergeCell ref="AI17:AI18"/>
    <mergeCell ref="AK17:AK18"/>
    <mergeCell ref="AL17:AL18"/>
    <mergeCell ref="AK16:AM16"/>
    <mergeCell ref="AR16:AR18"/>
    <mergeCell ref="AS16:AS18"/>
    <mergeCell ref="AT16:AU17"/>
    <mergeCell ref="AV16:AV18"/>
    <mergeCell ref="B21:D21"/>
    <mergeCell ref="B29:C29"/>
    <mergeCell ref="B30:C30"/>
    <mergeCell ref="D30:F30"/>
    <mergeCell ref="B31:D31"/>
  </mergeCells>
  <pageMargins left="0.31496062992125984" right="3.937007874015748E-2" top="0.43307086614173229" bottom="0.31496062992125984" header="0.31496062992125984" footer="0.31496062992125984"/>
  <pageSetup paperSize="14" scale="4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1:A20"/>
  <sheetViews>
    <sheetView workbookViewId="0">
      <selection activeCell="A17" sqref="A17:A20"/>
    </sheetView>
  </sheetViews>
  <sheetFormatPr defaultRowHeight="15" x14ac:dyDescent="0.25"/>
  <sheetData>
    <row r="11" spans="1:1" ht="20.25" x14ac:dyDescent="0.25">
      <c r="A11" s="108" t="s">
        <v>108</v>
      </c>
    </row>
    <row r="12" spans="1:1" ht="20.25" x14ac:dyDescent="0.25">
      <c r="A12" s="107" t="s">
        <v>123</v>
      </c>
    </row>
    <row r="13" spans="1:1" ht="20.25" x14ac:dyDescent="0.25">
      <c r="A13" s="107" t="s">
        <v>109</v>
      </c>
    </row>
    <row r="14" spans="1:1" ht="20.25" x14ac:dyDescent="0.25">
      <c r="A14" s="107" t="s">
        <v>122</v>
      </c>
    </row>
    <row r="17" spans="1:1" ht="23.25" x14ac:dyDescent="0.25">
      <c r="A17" s="136" t="s">
        <v>100</v>
      </c>
    </row>
    <row r="18" spans="1:1" ht="23.25" x14ac:dyDescent="0.25">
      <c r="A18" s="135" t="s">
        <v>120</v>
      </c>
    </row>
    <row r="19" spans="1:1" ht="23.25" x14ac:dyDescent="0.25">
      <c r="A19" s="135" t="s">
        <v>121</v>
      </c>
    </row>
    <row r="20" spans="1:1" ht="23.25" x14ac:dyDescent="0.25">
      <c r="A20" s="135" t="s">
        <v>122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JANUARY 2026 - PMC </vt:lpstr>
      <vt:lpstr>JANUARY 2026 - EXPLO</vt:lpstr>
      <vt:lpstr>JANUARY 2026- TIGERWAY </vt:lpstr>
      <vt:lpstr>FEBRUARY 2026 - PMC </vt:lpstr>
      <vt:lpstr>FEBRUARY 2026 - EXPLO</vt:lpstr>
      <vt:lpstr>FEBRUARY 2026- TIGERWAY</vt:lpstr>
      <vt:lpstr>MARCH 2026 - PMC </vt:lpstr>
      <vt:lpstr>MARCH 2026 - EXPLO</vt:lpstr>
      <vt:lpstr>MARCH 2026 TIGERWAY</vt:lpstr>
      <vt:lpstr>APRIL 2026 - PMC  </vt:lpstr>
      <vt:lpstr>APRIL 2026 - EXPLO</vt:lpstr>
      <vt:lpstr>APRIL 2026 TIGERWAY </vt:lpstr>
      <vt:lpstr>MAY 2026 - PMC  </vt:lpstr>
      <vt:lpstr>MAY 2026 - EXPLO</vt:lpstr>
      <vt:lpstr>MAY 2026 TIGERWAY 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Airene B. Tabotabo</cp:lastModifiedBy>
  <cp:lastPrinted>2026-06-02T06:17:29Z</cp:lastPrinted>
  <dcterms:created xsi:type="dcterms:W3CDTF">2011-06-23T21:14:36Z</dcterms:created>
  <dcterms:modified xsi:type="dcterms:W3CDTF">2026-06-02T06:17:43Z</dcterms:modified>
</cp:coreProperties>
</file>