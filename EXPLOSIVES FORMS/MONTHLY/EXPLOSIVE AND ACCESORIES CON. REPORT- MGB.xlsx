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7.MINE EXPLOSIVES REPORTS\03. MGB 2020-2026\2026\"/>
    </mc:Choice>
  </mc:AlternateContent>
  <bookViews>
    <workbookView xWindow="-120" yWindow="-120" windowWidth="29040" windowHeight="15720" firstSheet="9" activeTab="13"/>
  </bookViews>
  <sheets>
    <sheet name="JANUARY 2026 -PMC  " sheetId="299" r:id="rId1"/>
    <sheet name="JANUARY 2026 - EXPLO " sheetId="300" r:id="rId2"/>
    <sheet name="JANUARY 2026- TIGERWAY  " sheetId="301" r:id="rId3"/>
    <sheet name="FEBRUARY 2026 -PMC " sheetId="302" r:id="rId4"/>
    <sheet name="FEBRUARY 2026 - EXPLO" sheetId="303" r:id="rId5"/>
    <sheet name="FEBRUARY 2026- TIGERWAY  " sheetId="304" r:id="rId6"/>
    <sheet name="MARCH  2026 -PMC  " sheetId="305" r:id="rId7"/>
    <sheet name="MARCH 2026 - EXPLO" sheetId="306" r:id="rId8"/>
    <sheet name="MARCH 2026- TIGERWAY  " sheetId="307" r:id="rId9"/>
    <sheet name="APRIL  2026 -PMC " sheetId="308" r:id="rId10"/>
    <sheet name="APRIL 2026 - EXPLO " sheetId="309" r:id="rId11"/>
    <sheet name="APRIL 2026- TIGERWAY  " sheetId="310" r:id="rId12"/>
    <sheet name="MAY  2026 -PMC  " sheetId="311" r:id="rId13"/>
    <sheet name="MAY 2026 - EXPLO  " sheetId="312" r:id="rId14"/>
    <sheet name="MAY 2026- TIGERWAY" sheetId="313" r:id="rId1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13" l="1"/>
  <c r="H25" i="313"/>
  <c r="H24" i="313"/>
  <c r="H32" i="311"/>
  <c r="G46" i="311"/>
  <c r="A10" i="313" l="1"/>
  <c r="I26" i="313"/>
  <c r="I25" i="313"/>
  <c r="I24" i="313"/>
  <c r="I23" i="313"/>
  <c r="I22" i="313"/>
  <c r="G13" i="312"/>
  <c r="A11" i="312"/>
  <c r="G37" i="311"/>
  <c r="G36" i="311"/>
  <c r="J33" i="311"/>
  <c r="K33" i="311" s="1"/>
  <c r="J32" i="311"/>
  <c r="H31" i="311"/>
  <c r="H24" i="311"/>
  <c r="M20" i="311"/>
  <c r="G46" i="308" l="1"/>
  <c r="A10" i="310"/>
  <c r="I26" i="310"/>
  <c r="I25" i="310"/>
  <c r="I24" i="310"/>
  <c r="I23" i="310"/>
  <c r="I22" i="310"/>
  <c r="G13" i="309"/>
  <c r="A11" i="309"/>
  <c r="G37" i="308"/>
  <c r="G36" i="308"/>
  <c r="K33" i="308"/>
  <c r="J33" i="308"/>
  <c r="J32" i="308"/>
  <c r="H31" i="308"/>
  <c r="H24" i="308"/>
  <c r="M20" i="308"/>
  <c r="G46" i="305" l="1"/>
  <c r="A10" i="307" l="1"/>
  <c r="I26" i="307" l="1"/>
  <c r="I25" i="307"/>
  <c r="I24" i="307"/>
  <c r="I23" i="307"/>
  <c r="I22" i="307"/>
  <c r="G13" i="306"/>
  <c r="A11" i="306"/>
  <c r="G37" i="305"/>
  <c r="G36" i="305"/>
  <c r="J33" i="305"/>
  <c r="K33" i="305" s="1"/>
  <c r="H32" i="305"/>
  <c r="J32" i="305" s="1"/>
  <c r="H31" i="305"/>
  <c r="H24" i="305"/>
  <c r="M20" i="305"/>
  <c r="I24" i="304" l="1"/>
  <c r="I25" i="304"/>
  <c r="G29" i="303" l="1"/>
  <c r="G36" i="302"/>
  <c r="G46" i="302"/>
  <c r="A10" i="304" l="1"/>
  <c r="I26" i="304"/>
  <c r="I23" i="304"/>
  <c r="I22" i="304"/>
  <c r="G13" i="303"/>
  <c r="A11" i="303"/>
  <c r="H22" i="303"/>
  <c r="I46" i="302"/>
  <c r="G37" i="302"/>
  <c r="J33" i="302"/>
  <c r="K33" i="302" s="1"/>
  <c r="H32" i="302"/>
  <c r="J32" i="302" s="1"/>
  <c r="H31" i="302"/>
  <c r="H24" i="302"/>
  <c r="M20" i="302"/>
  <c r="H32" i="299" l="1"/>
  <c r="G46" i="299" l="1"/>
  <c r="I26" i="301" l="1"/>
  <c r="H24" i="301"/>
  <c r="G29" i="300" l="1"/>
  <c r="I46" i="299"/>
  <c r="A10" i="301" l="1"/>
  <c r="I25" i="301"/>
  <c r="I24" i="301"/>
  <c r="I23" i="301"/>
  <c r="I22" i="301"/>
  <c r="A11" i="300"/>
  <c r="G13" i="300"/>
  <c r="H22" i="300"/>
  <c r="G37" i="299"/>
  <c r="G36" i="299"/>
  <c r="J33" i="299"/>
  <c r="K33" i="299" s="1"/>
  <c r="J32" i="299"/>
  <c r="H31" i="299"/>
  <c r="H24" i="299"/>
  <c r="M20" i="299"/>
</calcChain>
</file>

<file path=xl/sharedStrings.xml><?xml version="1.0" encoding="utf-8"?>
<sst xmlns="http://schemas.openxmlformats.org/spreadsheetml/2006/main" count="3045" uniqueCount="190">
  <si>
    <t>FROM: OFFICE OF DIRECTOR</t>
  </si>
  <si>
    <t>FAX NO. : 9209130</t>
  </si>
  <si>
    <t>MGB Form No. 15-8</t>
  </si>
  <si>
    <t>Republic of the Philippines</t>
  </si>
  <si>
    <t>Department of Environment and Natural Resources</t>
  </si>
  <si>
    <t>MINES AND GEOSCIENCES BUREAU</t>
  </si>
  <si>
    <t>North Avenue, Diliman, Quezon City</t>
  </si>
  <si>
    <t xml:space="preserve">EXPLOSIVES AND ACCESSORIES CONSUMPTION </t>
  </si>
  <si>
    <t>PHILSAGA MINING CORPORATION</t>
  </si>
  <si>
    <t xml:space="preserve">PPEL No.P- </t>
  </si>
  <si>
    <t xml:space="preserve">BPL No.F-  </t>
  </si>
  <si>
    <t>ITEM</t>
  </si>
  <si>
    <t>UNIT</t>
  </si>
  <si>
    <t>SPECIFICATION</t>
  </si>
  <si>
    <t>Kilograms</t>
  </si>
  <si>
    <t>25 x 200mm</t>
  </si>
  <si>
    <t>25x 200mm</t>
  </si>
  <si>
    <t>25x 300mm</t>
  </si>
  <si>
    <t>B.  Ammonium</t>
  </si>
  <si>
    <t>C. Slurry</t>
  </si>
  <si>
    <t>D. Electric Blasting CAP</t>
  </si>
  <si>
    <t>Pieces</t>
  </si>
  <si>
    <t>E. Ordinary Blasting CAP</t>
  </si>
  <si>
    <t>(#8)</t>
  </si>
  <si>
    <t>G. Safety Fuse</t>
  </si>
  <si>
    <t>Meter</t>
  </si>
  <si>
    <t>H. Detonating Cords</t>
  </si>
  <si>
    <t>5 GRAMS/METER</t>
  </si>
  <si>
    <t>10 GRAMS/METER</t>
  </si>
  <si>
    <t>40 GRAMS/METER</t>
  </si>
  <si>
    <t>I. Primer</t>
  </si>
  <si>
    <t>PENTEX(STOPE PRIME)</t>
  </si>
  <si>
    <t>PENTEX(PRIME SPIDER)</t>
  </si>
  <si>
    <t>J. Connector Cord</t>
  </si>
  <si>
    <t>K. Fuse Lighter</t>
  </si>
  <si>
    <t>L. Spitter/Igniter Cord</t>
  </si>
  <si>
    <t xml:space="preserve">NON ELECTRIC DETONATOR </t>
  </si>
  <si>
    <t>PIECES</t>
  </si>
  <si>
    <t>MS EXEL #12</t>
  </si>
  <si>
    <t>MS (FOR LONGHOLE)</t>
  </si>
  <si>
    <t>M EXEL # 18</t>
  </si>
  <si>
    <t>Prepared by:</t>
  </si>
  <si>
    <t>Coo-Consuelo, Bunawan, Agusan del Sur</t>
  </si>
  <si>
    <t>-</t>
  </si>
  <si>
    <t>410mmx410mmx270mm</t>
  </si>
  <si>
    <t>0425-298-2011</t>
  </si>
  <si>
    <t>EXPL-0411128</t>
  </si>
  <si>
    <t>25 KGS/BAG</t>
  </si>
  <si>
    <t xml:space="preserve">Drilling and Blasting Engineer/s : </t>
  </si>
  <si>
    <t>Head of Project                             :</t>
  </si>
  <si>
    <t>11 GRAMS/METER</t>
  </si>
  <si>
    <t>6 GRAMS/METER</t>
  </si>
  <si>
    <t>20x 200mm</t>
  </si>
  <si>
    <t>M.Bill Wire</t>
  </si>
  <si>
    <t>A. DYNA / EMULSION</t>
  </si>
  <si>
    <t>250 GRAMS/PIECE</t>
  </si>
  <si>
    <t>12 METERS/PIECE</t>
  </si>
  <si>
    <t>18 METERS/PIECE</t>
  </si>
  <si>
    <t>KLS</t>
  </si>
  <si>
    <t xml:space="preserve">QUANTITY USED </t>
  </si>
  <si>
    <t>QUANTITY           USED</t>
  </si>
  <si>
    <t>PCS/METERS</t>
  </si>
  <si>
    <t>Pieces/Kilograms</t>
  </si>
  <si>
    <t>DATE</t>
  </si>
  <si>
    <t>2.4 METER</t>
  </si>
  <si>
    <t>3.6 METER</t>
  </si>
  <si>
    <t>Mount Rock Powder Corp.</t>
  </si>
  <si>
    <t>Expedition MBDInc</t>
  </si>
  <si>
    <t>BRAND</t>
  </si>
  <si>
    <t xml:space="preserve">SUPER POWER 150 </t>
  </si>
  <si>
    <t>SUPERDYNE  200</t>
  </si>
  <si>
    <t>DYAGEL 150</t>
  </si>
  <si>
    <t>PEXPO ANFO</t>
  </si>
  <si>
    <t>ROCK ANFO</t>
  </si>
  <si>
    <t xml:space="preserve">EBC </t>
  </si>
  <si>
    <t>OBC</t>
  </si>
  <si>
    <t xml:space="preserve">NONEL </t>
  </si>
  <si>
    <t xml:space="preserve">SUPREME </t>
  </si>
  <si>
    <t xml:space="preserve">EXEL LP </t>
  </si>
  <si>
    <t>EXEL LP</t>
  </si>
  <si>
    <t>SAFETY FUSE</t>
  </si>
  <si>
    <t>CORDTEX</t>
  </si>
  <si>
    <t>FIRE FUSE</t>
  </si>
  <si>
    <t>MT. ROCK/EXPEDITION</t>
  </si>
  <si>
    <t>F. Non Electric / LP Detonator</t>
  </si>
  <si>
    <t>Confirmed by:</t>
  </si>
  <si>
    <t xml:space="preserve">   Review and Noted by:</t>
  </si>
  <si>
    <t>(MPSA No. 262-2008-XIII PARCEL-2)</t>
  </si>
  <si>
    <t>PHILSAGA MINING CORPORATION. - EXPLORATION PROJECT</t>
  </si>
  <si>
    <t>EXPEDITION MBDInc.</t>
  </si>
  <si>
    <t>SUPPLIERS/CONTRACTOR</t>
  </si>
  <si>
    <t>PHILSAGA MINING CORPORATION - CO-O GOLD PROJECT</t>
  </si>
  <si>
    <t>(MPSA No. 262-2008-XIII PARCEL 1)</t>
  </si>
  <si>
    <t>MT. ROCK POWDER CORP.</t>
  </si>
  <si>
    <t xml:space="preserve">EXPEDITION MBDInc. </t>
  </si>
  <si>
    <t>BAYUGAN 3, ROSARIO, AGUSAN DEL SUR</t>
  </si>
  <si>
    <t xml:space="preserve">              </t>
  </si>
  <si>
    <t xml:space="preserve">   PHILSAGA MINING CORPORATION</t>
  </si>
  <si>
    <t>32x 200mm</t>
  </si>
  <si>
    <t xml:space="preserve">SENATEL MAGNUM 150 </t>
  </si>
  <si>
    <t>A. DYNA / EMULSION PACKAGE</t>
  </si>
  <si>
    <t>SENATEL PULSAR 150</t>
  </si>
  <si>
    <t>SENATEL PULSAR 135</t>
  </si>
  <si>
    <t>DET. CORD</t>
  </si>
  <si>
    <t>SENATEL PULSAR 215</t>
  </si>
  <si>
    <t>F. Non Electric Detonator (LP)</t>
  </si>
  <si>
    <t>Non Electric Detonator (LP)</t>
  </si>
  <si>
    <t>4.9 METER</t>
  </si>
  <si>
    <t>SENATEL PULSAR 38</t>
  </si>
  <si>
    <t>ENGR. EARL M. SON</t>
  </si>
  <si>
    <t>ENGR. RAFFY D. TORRES</t>
  </si>
  <si>
    <t>SHOCKSTAR</t>
  </si>
  <si>
    <t>4.8 METER</t>
  </si>
  <si>
    <t>PHILSAGA MINING CORP. - TIGERWAY DECLINE PROJECT</t>
  </si>
  <si>
    <t>UPPER CO-O, CONSUELO, BUNAWAN, AGUSAN DEL SUR</t>
  </si>
  <si>
    <t>MR. RAFFY D. TORRES</t>
  </si>
  <si>
    <t>Mine Explosives Manager</t>
  </si>
  <si>
    <t>Drill and Blast Engineer</t>
  </si>
  <si>
    <t>Blaster License: FKB15 - 080917- 04562</t>
  </si>
  <si>
    <t>ANFO</t>
  </si>
  <si>
    <t>Project site Address                     :</t>
  </si>
  <si>
    <t>Company                                       :</t>
  </si>
  <si>
    <t xml:space="preserve">Company                                        :   </t>
  </si>
  <si>
    <t xml:space="preserve">Blaster Foreman </t>
  </si>
  <si>
    <t xml:space="preserve">Drilling and Blasting Engineer/s  : </t>
  </si>
  <si>
    <t>Minesite Address                           :</t>
  </si>
  <si>
    <t>Head of Project                              :</t>
  </si>
  <si>
    <t>Company                                         :</t>
  </si>
  <si>
    <t>25X200mm</t>
  </si>
  <si>
    <t>32X300mm</t>
  </si>
  <si>
    <t>EMULEX AUSTIN 200</t>
  </si>
  <si>
    <r>
      <t xml:space="preserve">   </t>
    </r>
    <r>
      <rPr>
        <b/>
        <u/>
        <sz val="12"/>
        <color theme="1"/>
        <rFont val="Arial Narrow"/>
        <family val="2"/>
      </rPr>
      <t>ENGR. EARL M. SON</t>
    </r>
  </si>
  <si>
    <t>NEO. CORD</t>
  </si>
  <si>
    <t>Blaster License: FKD02-090321-0640</t>
  </si>
  <si>
    <t>25x200mm</t>
  </si>
  <si>
    <t>I5 GRAMS/METER</t>
  </si>
  <si>
    <t>Philsaga Mining Corporation</t>
  </si>
  <si>
    <t>Nitrate fuel oil (ANFO)</t>
  </si>
  <si>
    <t>B.  Ammonium Nitrate fuel oil (ANFO)</t>
  </si>
  <si>
    <t>EXPEDITION</t>
  </si>
  <si>
    <t xml:space="preserve">  EXPEDITION MBDInc.</t>
  </si>
  <si>
    <t>ENGR. JONEL L. CABRIADAS</t>
  </si>
  <si>
    <t>Lift Manager</t>
  </si>
  <si>
    <t>Review by:</t>
  </si>
  <si>
    <t>Noted by:</t>
  </si>
  <si>
    <t xml:space="preserve"> Review by:</t>
  </si>
  <si>
    <t xml:space="preserve">MR. MARJUN T. ANTIPUESTO        </t>
  </si>
  <si>
    <t>NEOGEL 901 91</t>
  </si>
  <si>
    <t>SUPERPOWER90 91</t>
  </si>
  <si>
    <t>32x300mm</t>
  </si>
  <si>
    <t>SUPERPOWER90  208</t>
  </si>
  <si>
    <t>NEOGEL 901 200</t>
  </si>
  <si>
    <t>MR. MARJUN T. ANTIPUESTO</t>
  </si>
  <si>
    <t>MR. MARK JAY E. CASTILLON</t>
  </si>
  <si>
    <t>Blaster License: FPDJ10-021225-0015</t>
  </si>
  <si>
    <t>MR. NIÑO KARL B. TABACON</t>
  </si>
  <si>
    <t>Blaster License: FPDJ10-092922-0824</t>
  </si>
  <si>
    <t>ENGR. JAN JEFFERSON S. FLUTA</t>
  </si>
  <si>
    <t>Tigerway Tunnel Operation Engineer -  OIC</t>
  </si>
  <si>
    <t>NEOGEL 200</t>
  </si>
  <si>
    <t xml:space="preserve">   Mine Division Manager </t>
  </si>
  <si>
    <t xml:space="preserve">Mine Division Manager </t>
  </si>
  <si>
    <t>REPORT FOR THE MONTH OF JANUARY 2026</t>
  </si>
  <si>
    <t>JANUARY 1-31,2026</t>
  </si>
  <si>
    <t>REPORT FOR THE MONTH OF FEBRUARY 2026</t>
  </si>
  <si>
    <t>FEBRUARY 1-28,2026</t>
  </si>
  <si>
    <t>NEO PRIME 93</t>
  </si>
  <si>
    <t>REPORT FOR THE MONTH OF MARCH 2026</t>
  </si>
  <si>
    <t>MARCH 1-31,2026</t>
  </si>
  <si>
    <t>MR. ELMER L. GANZON</t>
  </si>
  <si>
    <t>Blaster License: FPKB15-081325-0107</t>
  </si>
  <si>
    <t>MR. JOHNNY U. GALENG</t>
  </si>
  <si>
    <t>Blaster License: FPDJ10-111022-0847</t>
  </si>
  <si>
    <t xml:space="preserve">ENGR. JOHN MARTIN R. CIRIO </t>
  </si>
  <si>
    <t>Long Range Mine Development Manager</t>
  </si>
  <si>
    <t>MR. EDWIN B. BATAL</t>
  </si>
  <si>
    <t>Mine Explosives Asst. Manager</t>
  </si>
  <si>
    <t>Blaster License: FKB15 - 080917- 04561</t>
  </si>
  <si>
    <t>ENGR. EDWIN B. BATAL</t>
  </si>
  <si>
    <t>4.5 METER</t>
  </si>
  <si>
    <t>RIONEL</t>
  </si>
  <si>
    <t>6 METER</t>
  </si>
  <si>
    <t>REPORT FOR THE MONTH OF APRIL 2026</t>
  </si>
  <si>
    <t>APRIL 1-30,2026</t>
  </si>
  <si>
    <t>TLD</t>
  </si>
  <si>
    <t>MR. JOHN XERCES C. ANTIPUESTO</t>
  </si>
  <si>
    <t>Blaster License: FPKB15-100925-0131</t>
  </si>
  <si>
    <t>REPORT FOR THE MONTH OF MAY 2026</t>
  </si>
  <si>
    <t>MAY 1-31,2026</t>
  </si>
  <si>
    <t>Review and Noted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</si>
</sst>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b/>
      <u/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2"/>
      <name val="Arial Narrow"/>
      <family val="2"/>
    </font>
    <font>
      <b/>
      <sz val="11"/>
      <color theme="1"/>
      <name val="Calibri"/>
      <family val="2"/>
      <scheme val="minor"/>
    </font>
    <font>
      <b/>
      <sz val="12"/>
      <name val="Arial Narrow"/>
      <family val="2"/>
    </font>
    <font>
      <b/>
      <u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2"/>
      <color theme="1"/>
      <name val="Calibri"/>
      <family val="2"/>
      <scheme val="minor"/>
    </font>
    <font>
      <sz val="13"/>
      <color theme="1"/>
      <name val="Arial Narrow"/>
      <family val="2"/>
    </font>
    <font>
      <b/>
      <u/>
      <sz val="13"/>
      <color theme="1"/>
      <name val="Arial Narrow"/>
      <family val="2"/>
    </font>
    <font>
      <b/>
      <u/>
      <sz val="13"/>
      <name val="Arial Narrow"/>
      <family val="2"/>
    </font>
    <font>
      <b/>
      <sz val="13"/>
      <color theme="1"/>
      <name val="Arial Narrow"/>
      <family val="2"/>
    </font>
    <font>
      <u/>
      <sz val="11"/>
      <color theme="1"/>
      <name val="Arial Narrow"/>
      <family val="2"/>
    </font>
    <font>
      <sz val="12.5"/>
      <color theme="1"/>
      <name val="Arial Narrow"/>
      <family val="2"/>
    </font>
    <font>
      <b/>
      <u/>
      <sz val="12.5"/>
      <color theme="1"/>
      <name val="Arial Narrow"/>
      <family val="2"/>
    </font>
    <font>
      <b/>
      <u/>
      <sz val="12.5"/>
      <name val="Arial Narrow"/>
      <family val="2"/>
    </font>
    <font>
      <b/>
      <u/>
      <sz val="12"/>
      <name val="Arial Narrow"/>
      <family val="2"/>
    </font>
    <font>
      <b/>
      <sz val="12.5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3" fillId="0" borderId="0" applyFont="0" applyFill="0" applyBorder="0" applyAlignment="0" applyProtection="0"/>
  </cellStyleXfs>
  <cellXfs count="20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4" fontId="8" fillId="0" borderId="3" xfId="2" applyNumberFormat="1" applyFont="1" applyBorder="1" applyAlignment="1">
      <alignment horizontal="center" vertical="center"/>
    </xf>
    <xf numFmtId="4" fontId="5" fillId="2" borderId="0" xfId="0" applyNumberFormat="1" applyFont="1" applyFill="1"/>
    <xf numFmtId="165" fontId="5" fillId="0" borderId="0" xfId="0" applyNumberFormat="1" applyFont="1"/>
    <xf numFmtId="4" fontId="5" fillId="0" borderId="0" xfId="0" applyNumberFormat="1" applyFont="1"/>
    <xf numFmtId="165" fontId="8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2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4" fontId="8" fillId="0" borderId="4" xfId="2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right"/>
    </xf>
    <xf numFmtId="0" fontId="16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4" fillId="0" borderId="0" xfId="0" applyFont="1"/>
    <xf numFmtId="0" fontId="13" fillId="0" borderId="2" xfId="0" applyFont="1" applyBorder="1"/>
    <xf numFmtId="0" fontId="6" fillId="0" borderId="7" xfId="0" applyFont="1" applyBorder="1" applyAlignment="1">
      <alignment horizontal="center" vertical="center"/>
    </xf>
    <xf numFmtId="164" fontId="8" fillId="0" borderId="4" xfId="2" applyFont="1" applyBorder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/>
    </xf>
    <xf numFmtId="0" fontId="5" fillId="2" borderId="0" xfId="0" applyFont="1" applyFill="1"/>
    <xf numFmtId="2" fontId="8" fillId="0" borderId="3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18" fillId="0" borderId="0" xfId="0" applyFont="1" applyAlignment="1">
      <alignment horizontal="right" vertical="center"/>
    </xf>
    <xf numFmtId="0" fontId="23" fillId="0" borderId="0" xfId="0" applyFont="1"/>
    <xf numFmtId="0" fontId="22" fillId="0" borderId="0" xfId="0" applyFont="1"/>
    <xf numFmtId="0" fontId="2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6" fillId="0" borderId="0" xfId="0" applyFont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29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4" fontId="8" fillId="0" borderId="3" xfId="0" applyNumberFormat="1" applyFont="1" applyBorder="1" applyAlignment="1">
      <alignment horizontal="right" vertical="center"/>
    </xf>
    <xf numFmtId="164" fontId="8" fillId="0" borderId="4" xfId="2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4" fontId="8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4" fontId="8" fillId="0" borderId="25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4" fontId="8" fillId="0" borderId="32" xfId="0" applyNumberFormat="1" applyFont="1" applyBorder="1" applyAlignment="1">
      <alignment horizontal="center" vertical="center"/>
    </xf>
    <xf numFmtId="4" fontId="8" fillId="0" borderId="33" xfId="0" applyNumberFormat="1" applyFont="1" applyBorder="1" applyAlignment="1">
      <alignment horizontal="center" vertical="center"/>
    </xf>
    <xf numFmtId="4" fontId="8" fillId="0" borderId="21" xfId="2" applyNumberFormat="1" applyFont="1" applyBorder="1" applyAlignment="1">
      <alignment horizontal="center" vertical="center"/>
    </xf>
    <xf numFmtId="164" fontId="8" fillId="0" borderId="25" xfId="2" applyFont="1" applyBorder="1" applyAlignment="1">
      <alignment vertical="center"/>
    </xf>
    <xf numFmtId="165" fontId="8" fillId="0" borderId="2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6" fillId="0" borderId="1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1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6" fillId="0" borderId="3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8" fillId="0" borderId="0" xfId="0" applyFont="1"/>
    <xf numFmtId="0" fontId="27" fillId="0" borderId="0" xfId="0" applyFont="1"/>
    <xf numFmtId="0" fontId="30" fillId="0" borderId="0" xfId="0" applyFont="1"/>
    <xf numFmtId="0" fontId="27" fillId="0" borderId="0" xfId="0" applyFont="1" applyAlignment="1">
      <alignment horizontal="left"/>
    </xf>
    <xf numFmtId="0" fontId="30" fillId="0" borderId="0" xfId="0" applyFont="1" applyAlignment="1">
      <alignment horizontal="left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160508</xdr:colOff>
      <xdr:row>25</xdr:row>
      <xdr:rowOff>260743</xdr:rowOff>
    </xdr:from>
    <xdr:ext cx="4146972" cy="511078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9608113">
          <a:off x="1913108" y="5775718"/>
          <a:ext cx="4146972" cy="5110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8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       NO BLASTING OPERATION</a:t>
          </a:r>
          <a:endParaRPr lang="en-US" sz="18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160508</xdr:colOff>
      <xdr:row>25</xdr:row>
      <xdr:rowOff>260743</xdr:rowOff>
    </xdr:from>
    <xdr:ext cx="4146972" cy="511078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9608113">
          <a:off x="1913108" y="5775718"/>
          <a:ext cx="4146972" cy="5110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8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       NO BLASTING OPERATION</a:t>
          </a:r>
          <a:endParaRPr lang="en-US" sz="18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160508</xdr:colOff>
      <xdr:row>25</xdr:row>
      <xdr:rowOff>260743</xdr:rowOff>
    </xdr:from>
    <xdr:ext cx="4146972" cy="511078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9608113">
          <a:off x="1913108" y="5775718"/>
          <a:ext cx="4146972" cy="5110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8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       NO BLASTING OPERATION</a:t>
          </a:r>
          <a:endParaRPr lang="en-US" sz="18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M85"/>
  <sheetViews>
    <sheetView topLeftCell="A15" zoomScale="130" zoomScaleNormal="130" workbookViewId="0">
      <selection activeCell="L47" sqref="L47"/>
    </sheetView>
  </sheetViews>
  <sheetFormatPr defaultRowHeight="16.5" x14ac:dyDescent="0.3"/>
  <cols>
    <col min="1" max="1" width="9.140625" style="3"/>
    <col min="2" max="2" width="15.7109375" style="3" customWidth="1"/>
    <col min="3" max="3" width="12.7109375" style="3" customWidth="1"/>
    <col min="4" max="4" width="15.85546875" style="3" customWidth="1"/>
    <col min="5" max="5" width="20.28515625" style="3" customWidth="1"/>
    <col min="6" max="6" width="14.42578125" style="3" customWidth="1"/>
    <col min="7" max="7" width="11" style="3" customWidth="1"/>
    <col min="8" max="8" width="10.42578125" style="3" customWidth="1"/>
    <col min="9" max="9" width="9.85546875" style="3" bestFit="1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15" customHeight="1" x14ac:dyDescent="0.3">
      <c r="A5" s="160" t="s">
        <v>3</v>
      </c>
      <c r="B5" s="160"/>
      <c r="C5" s="160"/>
      <c r="D5" s="160"/>
      <c r="E5" s="160"/>
      <c r="F5" s="160"/>
      <c r="G5" s="160"/>
      <c r="H5" s="160"/>
      <c r="I5" s="1"/>
    </row>
    <row r="6" spans="1:9" x14ac:dyDescent="0.3">
      <c r="A6" s="160" t="s">
        <v>4</v>
      </c>
      <c r="B6" s="160"/>
      <c r="C6" s="160"/>
      <c r="D6" s="160"/>
      <c r="E6" s="160"/>
      <c r="F6" s="160"/>
      <c r="G6" s="160"/>
      <c r="H6" s="160"/>
      <c r="I6" s="1"/>
    </row>
    <row r="7" spans="1:9" x14ac:dyDescent="0.3">
      <c r="A7" s="160" t="s">
        <v>5</v>
      </c>
      <c r="B7" s="160"/>
      <c r="C7" s="160"/>
      <c r="D7" s="160"/>
      <c r="E7" s="160"/>
      <c r="F7" s="160"/>
      <c r="G7" s="160"/>
      <c r="H7" s="160"/>
      <c r="I7" s="1"/>
    </row>
    <row r="8" spans="1:9" x14ac:dyDescent="0.3">
      <c r="A8" s="160" t="s">
        <v>6</v>
      </c>
      <c r="B8" s="160"/>
      <c r="C8" s="160"/>
      <c r="D8" s="160"/>
      <c r="E8" s="160"/>
      <c r="F8" s="160"/>
      <c r="G8" s="160"/>
      <c r="H8" s="160"/>
      <c r="I8" s="1"/>
    </row>
    <row r="9" spans="1:9" ht="3" customHeight="1" x14ac:dyDescent="0.3">
      <c r="A9" s="80"/>
      <c r="B9" s="80"/>
      <c r="C9" s="80"/>
      <c r="D9" s="80"/>
      <c r="E9" s="80"/>
      <c r="F9" s="80"/>
      <c r="G9" s="80"/>
      <c r="H9" s="80"/>
      <c r="I9" s="1"/>
    </row>
    <row r="10" spans="1:9" ht="18.75" customHeight="1" x14ac:dyDescent="0.3">
      <c r="A10" s="160" t="s">
        <v>7</v>
      </c>
      <c r="B10" s="160"/>
      <c r="C10" s="160"/>
      <c r="D10" s="160"/>
      <c r="E10" s="160"/>
      <c r="F10" s="160"/>
      <c r="G10" s="160"/>
      <c r="H10" s="160"/>
      <c r="I10" s="1"/>
    </row>
    <row r="11" spans="1:9" x14ac:dyDescent="0.3">
      <c r="A11" s="159" t="s">
        <v>162</v>
      </c>
      <c r="B11" s="159"/>
      <c r="C11" s="159"/>
      <c r="D11" s="159"/>
      <c r="E11" s="159"/>
      <c r="F11" s="159"/>
      <c r="G11" s="159"/>
      <c r="H11" s="159"/>
      <c r="I11" s="5"/>
    </row>
    <row r="12" spans="1:9" ht="3" customHeight="1" x14ac:dyDescent="0.3">
      <c r="I12" s="5"/>
    </row>
    <row r="13" spans="1:9" ht="14.25" customHeight="1" x14ac:dyDescent="0.3">
      <c r="F13" s="2" t="s">
        <v>63</v>
      </c>
      <c r="G13" s="155" t="s">
        <v>163</v>
      </c>
      <c r="H13" s="155"/>
    </row>
    <row r="14" spans="1:9" ht="15" customHeight="1" x14ac:dyDescent="0.3">
      <c r="A14" s="6" t="s">
        <v>127</v>
      </c>
      <c r="B14" s="7"/>
      <c r="C14" s="156" t="s">
        <v>91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92</v>
      </c>
      <c r="D15" s="157"/>
      <c r="E15" s="157"/>
      <c r="G15" s="22"/>
      <c r="H15" s="22"/>
    </row>
    <row r="16" spans="1:9" ht="15" customHeight="1" x14ac:dyDescent="0.3">
      <c r="A16" s="6" t="s">
        <v>125</v>
      </c>
      <c r="C16" s="49" t="s">
        <v>42</v>
      </c>
      <c r="D16" s="49"/>
      <c r="E16" s="49"/>
      <c r="F16" s="4" t="s">
        <v>9</v>
      </c>
      <c r="G16" s="77" t="s">
        <v>45</v>
      </c>
      <c r="H16" s="77"/>
    </row>
    <row r="17" spans="1:13" ht="15" customHeight="1" x14ac:dyDescent="0.3">
      <c r="A17" s="6" t="s">
        <v>126</v>
      </c>
      <c r="C17" s="78" t="s">
        <v>109</v>
      </c>
      <c r="D17" s="49"/>
      <c r="E17" s="49"/>
      <c r="G17" s="22"/>
      <c r="H17" s="22"/>
    </row>
    <row r="18" spans="1:13" ht="15" customHeight="1" x14ac:dyDescent="0.3">
      <c r="A18" s="6" t="s">
        <v>124</v>
      </c>
      <c r="C18" s="49" t="s">
        <v>110</v>
      </c>
      <c r="D18" s="49"/>
      <c r="E18" s="49"/>
      <c r="F18" s="4" t="s">
        <v>10</v>
      </c>
      <c r="G18" s="77" t="s">
        <v>46</v>
      </c>
      <c r="H18" s="77"/>
    </row>
    <row r="19" spans="1:13" ht="3" customHeight="1" x14ac:dyDescent="0.3"/>
    <row r="20" spans="1:13" ht="25.5" customHeight="1" x14ac:dyDescent="0.3">
      <c r="A20" s="158" t="s">
        <v>11</v>
      </c>
      <c r="B20" s="158"/>
      <c r="C20" s="79" t="s">
        <v>12</v>
      </c>
      <c r="D20" s="79" t="s">
        <v>68</v>
      </c>
      <c r="E20" s="81" t="s">
        <v>90</v>
      </c>
      <c r="F20" s="87" t="s">
        <v>13</v>
      </c>
      <c r="G20" s="9" t="s">
        <v>59</v>
      </c>
      <c r="H20" s="9" t="s">
        <v>60</v>
      </c>
      <c r="M20" s="3">
        <f>1049-15</f>
        <v>1034</v>
      </c>
    </row>
    <row r="21" spans="1:13" ht="13.5" customHeight="1" x14ac:dyDescent="0.3">
      <c r="A21" s="84"/>
      <c r="B21" s="85"/>
      <c r="C21" s="84"/>
      <c r="D21" s="85"/>
      <c r="E21" s="10"/>
      <c r="F21" s="85"/>
      <c r="G21" s="10" t="s">
        <v>61</v>
      </c>
      <c r="H21" s="10" t="s">
        <v>58</v>
      </c>
    </row>
    <row r="22" spans="1:13" ht="15" hidden="1" customHeight="1" x14ac:dyDescent="0.3">
      <c r="A22" s="140" t="s">
        <v>100</v>
      </c>
      <c r="B22" s="141"/>
      <c r="C22" s="144" t="s">
        <v>62</v>
      </c>
      <c r="D22" s="11" t="s">
        <v>130</v>
      </c>
      <c r="E22" s="11" t="s">
        <v>93</v>
      </c>
      <c r="F22" s="12" t="s">
        <v>15</v>
      </c>
      <c r="G22" s="12" t="s">
        <v>43</v>
      </c>
      <c r="H22" s="12" t="s">
        <v>43</v>
      </c>
    </row>
    <row r="23" spans="1:13" ht="15" hidden="1" customHeight="1" x14ac:dyDescent="0.3">
      <c r="A23" s="149"/>
      <c r="B23" s="150"/>
      <c r="C23" s="151"/>
      <c r="D23" s="11" t="s">
        <v>69</v>
      </c>
      <c r="E23" s="11" t="s">
        <v>93</v>
      </c>
      <c r="F23" s="12" t="s">
        <v>15</v>
      </c>
      <c r="G23" s="12" t="s">
        <v>43</v>
      </c>
      <c r="H23" s="12" t="s">
        <v>43</v>
      </c>
    </row>
    <row r="24" spans="1:13" ht="15" customHeight="1" x14ac:dyDescent="0.3">
      <c r="A24" s="149"/>
      <c r="B24" s="150"/>
      <c r="C24" s="151"/>
      <c r="D24" s="11" t="s">
        <v>159</v>
      </c>
      <c r="E24" s="11" t="s">
        <v>93</v>
      </c>
      <c r="F24" s="12" t="s">
        <v>15</v>
      </c>
      <c r="G24" s="14">
        <v>45072</v>
      </c>
      <c r="H24" s="13">
        <f>G24/200*25</f>
        <v>5634</v>
      </c>
    </row>
    <row r="25" spans="1:13" ht="15" hidden="1" customHeight="1" x14ac:dyDescent="0.3">
      <c r="A25" s="149"/>
      <c r="B25" s="150"/>
      <c r="C25" s="151"/>
      <c r="D25" s="11" t="s">
        <v>70</v>
      </c>
      <c r="E25" s="11" t="s">
        <v>94</v>
      </c>
      <c r="F25" s="12" t="s">
        <v>16</v>
      </c>
      <c r="G25" s="14" t="s">
        <v>43</v>
      </c>
      <c r="H25" s="13" t="s">
        <v>43</v>
      </c>
    </row>
    <row r="26" spans="1:13" ht="15" hidden="1" customHeight="1" x14ac:dyDescent="0.3">
      <c r="A26" s="149"/>
      <c r="B26" s="150"/>
      <c r="C26" s="151"/>
      <c r="D26" s="11" t="s">
        <v>99</v>
      </c>
      <c r="E26" s="11" t="s">
        <v>94</v>
      </c>
      <c r="F26" s="12" t="s">
        <v>17</v>
      </c>
      <c r="G26" s="12" t="s">
        <v>43</v>
      </c>
      <c r="H26" s="13"/>
    </row>
    <row r="27" spans="1:13" ht="15" hidden="1" customHeight="1" x14ac:dyDescent="0.3">
      <c r="A27" s="149"/>
      <c r="B27" s="150"/>
      <c r="C27" s="151"/>
      <c r="D27" s="11" t="s">
        <v>71</v>
      </c>
      <c r="E27" s="11" t="s">
        <v>94</v>
      </c>
      <c r="F27" s="12" t="s">
        <v>52</v>
      </c>
      <c r="G27" s="12" t="s">
        <v>43</v>
      </c>
      <c r="H27" s="13" t="s">
        <v>43</v>
      </c>
    </row>
    <row r="28" spans="1:13" ht="15" hidden="1" customHeight="1" x14ac:dyDescent="0.3">
      <c r="A28" s="149"/>
      <c r="B28" s="150"/>
      <c r="C28" s="151"/>
      <c r="D28" s="11" t="s">
        <v>101</v>
      </c>
      <c r="E28" s="11" t="s">
        <v>94</v>
      </c>
      <c r="F28" s="12" t="s">
        <v>16</v>
      </c>
      <c r="G28" s="12" t="s">
        <v>43</v>
      </c>
      <c r="H28" s="13" t="s">
        <v>43</v>
      </c>
    </row>
    <row r="29" spans="1:13" ht="15" hidden="1" customHeight="1" x14ac:dyDescent="0.3">
      <c r="A29" s="149"/>
      <c r="B29" s="150"/>
      <c r="C29" s="151"/>
      <c r="D29" s="11" t="s">
        <v>108</v>
      </c>
      <c r="E29" s="11" t="s">
        <v>94</v>
      </c>
      <c r="F29" s="12" t="s">
        <v>98</v>
      </c>
      <c r="G29" s="12" t="s">
        <v>43</v>
      </c>
      <c r="H29" s="13" t="s">
        <v>43</v>
      </c>
    </row>
    <row r="30" spans="1:13" ht="15" hidden="1" customHeight="1" x14ac:dyDescent="0.3">
      <c r="A30" s="149"/>
      <c r="B30" s="150"/>
      <c r="C30" s="151"/>
      <c r="D30" s="11" t="s">
        <v>102</v>
      </c>
      <c r="E30" s="11" t="s">
        <v>94</v>
      </c>
      <c r="F30" s="12" t="s">
        <v>98</v>
      </c>
      <c r="G30" s="12" t="s">
        <v>43</v>
      </c>
      <c r="H30" s="13" t="s">
        <v>43</v>
      </c>
    </row>
    <row r="31" spans="1:13" ht="15" customHeight="1" x14ac:dyDescent="0.3">
      <c r="A31" s="147"/>
      <c r="B31" s="148"/>
      <c r="C31" s="145"/>
      <c r="D31" s="11" t="s">
        <v>104</v>
      </c>
      <c r="E31" s="11" t="s">
        <v>94</v>
      </c>
      <c r="F31" s="12" t="s">
        <v>16</v>
      </c>
      <c r="G31" s="14">
        <v>45911</v>
      </c>
      <c r="H31" s="13">
        <f>G31/215*25</f>
        <v>5338.4883720930229</v>
      </c>
    </row>
    <row r="32" spans="1:13" ht="15" customHeight="1" x14ac:dyDescent="0.3">
      <c r="A32" s="27" t="s">
        <v>18</v>
      </c>
      <c r="B32" s="28"/>
      <c r="C32" s="144" t="s">
        <v>14</v>
      </c>
      <c r="D32" s="11" t="s">
        <v>72</v>
      </c>
      <c r="E32" s="11" t="s">
        <v>94</v>
      </c>
      <c r="F32" s="12" t="s">
        <v>47</v>
      </c>
      <c r="G32" s="13" t="s">
        <v>43</v>
      </c>
      <c r="H32" s="13">
        <f>I32</f>
        <v>30440.5</v>
      </c>
      <c r="I32" s="15">
        <v>30440.5</v>
      </c>
      <c r="J32" s="17" t="e">
        <f>H32+H33</f>
        <v>#VALUE!</v>
      </c>
    </row>
    <row r="33" spans="1:11" ht="15" customHeight="1" x14ac:dyDescent="0.3">
      <c r="A33" s="147" t="s">
        <v>137</v>
      </c>
      <c r="B33" s="148"/>
      <c r="C33" s="145"/>
      <c r="D33" s="11" t="s">
        <v>73</v>
      </c>
      <c r="E33" s="11" t="s">
        <v>93</v>
      </c>
      <c r="F33" s="12" t="s">
        <v>47</v>
      </c>
      <c r="G33" s="13" t="s">
        <v>43</v>
      </c>
      <c r="H33" s="13" t="s">
        <v>43</v>
      </c>
      <c r="I33" s="16"/>
      <c r="J33" s="3">
        <f>I32/3</f>
        <v>10146.833333333334</v>
      </c>
      <c r="K33" s="3">
        <f>J33*2</f>
        <v>20293.666666666668</v>
      </c>
    </row>
    <row r="34" spans="1:11" ht="15" customHeight="1" x14ac:dyDescent="0.3">
      <c r="A34" s="140" t="s">
        <v>19</v>
      </c>
      <c r="B34" s="141"/>
      <c r="C34" s="74" t="s">
        <v>14</v>
      </c>
      <c r="D34" s="76" t="s">
        <v>43</v>
      </c>
      <c r="E34" s="76" t="s">
        <v>43</v>
      </c>
      <c r="F34" s="76" t="s">
        <v>43</v>
      </c>
      <c r="G34" s="52" t="s">
        <v>43</v>
      </c>
      <c r="H34" s="52" t="s">
        <v>43</v>
      </c>
      <c r="I34" s="17"/>
      <c r="J34" s="17"/>
    </row>
    <row r="35" spans="1:11" ht="15" customHeight="1" x14ac:dyDescent="0.3">
      <c r="A35" s="140" t="s">
        <v>20</v>
      </c>
      <c r="B35" s="141"/>
      <c r="C35" s="74" t="s">
        <v>21</v>
      </c>
      <c r="D35" s="11" t="s">
        <v>74</v>
      </c>
      <c r="E35" s="11" t="s">
        <v>94</v>
      </c>
      <c r="F35" s="12" t="s">
        <v>43</v>
      </c>
      <c r="G35" s="52">
        <v>92</v>
      </c>
      <c r="H35" s="13" t="s">
        <v>43</v>
      </c>
    </row>
    <row r="36" spans="1:11" ht="15" customHeight="1" x14ac:dyDescent="0.3">
      <c r="A36" s="152" t="s">
        <v>22</v>
      </c>
      <c r="B36" s="152"/>
      <c r="C36" s="154" t="s">
        <v>21</v>
      </c>
      <c r="D36" s="11" t="s">
        <v>75</v>
      </c>
      <c r="E36" s="11" t="s">
        <v>94</v>
      </c>
      <c r="F36" s="12"/>
      <c r="G36" s="13">
        <f>I36/2</f>
        <v>2706.5</v>
      </c>
      <c r="H36" s="13"/>
      <c r="I36" s="53">
        <v>5413</v>
      </c>
    </row>
    <row r="37" spans="1:11" ht="15" customHeight="1" x14ac:dyDescent="0.3">
      <c r="A37" s="153"/>
      <c r="B37" s="153"/>
      <c r="C37" s="154"/>
      <c r="D37" s="11" t="s">
        <v>75</v>
      </c>
      <c r="E37" s="11" t="s">
        <v>93</v>
      </c>
      <c r="F37" s="12" t="s">
        <v>23</v>
      </c>
      <c r="G37" s="13">
        <f>I36/2</f>
        <v>2706.5</v>
      </c>
      <c r="H37" s="13" t="s">
        <v>43</v>
      </c>
    </row>
    <row r="38" spans="1:11" ht="15" customHeight="1" x14ac:dyDescent="0.3">
      <c r="A38" s="140" t="s">
        <v>105</v>
      </c>
      <c r="B38" s="141"/>
      <c r="C38" s="144" t="s">
        <v>21</v>
      </c>
      <c r="D38" s="11" t="s">
        <v>76</v>
      </c>
      <c r="E38" s="11" t="s">
        <v>93</v>
      </c>
      <c r="F38" s="12" t="s">
        <v>64</v>
      </c>
      <c r="G38" s="14">
        <v>0</v>
      </c>
      <c r="H38" s="13" t="s">
        <v>43</v>
      </c>
    </row>
    <row r="39" spans="1:11" ht="14.25" customHeight="1" x14ac:dyDescent="0.3">
      <c r="A39" s="147"/>
      <c r="B39" s="148"/>
      <c r="C39" s="145"/>
      <c r="D39" s="11" t="s">
        <v>76</v>
      </c>
      <c r="E39" s="11" t="s">
        <v>93</v>
      </c>
      <c r="F39" s="12" t="s">
        <v>65</v>
      </c>
      <c r="G39" s="14">
        <v>0</v>
      </c>
      <c r="H39" s="13" t="s">
        <v>43</v>
      </c>
    </row>
    <row r="40" spans="1:11" ht="15" customHeight="1" x14ac:dyDescent="0.3">
      <c r="A40" s="147" t="s">
        <v>106</v>
      </c>
      <c r="B40" s="148"/>
      <c r="C40" s="86" t="s">
        <v>21</v>
      </c>
      <c r="D40" s="11" t="s">
        <v>77</v>
      </c>
      <c r="E40" s="11" t="s">
        <v>93</v>
      </c>
      <c r="F40" s="12" t="s">
        <v>64</v>
      </c>
      <c r="G40" s="14">
        <v>0</v>
      </c>
      <c r="H40" s="13" t="s">
        <v>43</v>
      </c>
    </row>
    <row r="41" spans="1:11" ht="15" customHeight="1" x14ac:dyDescent="0.3">
      <c r="A41" s="147" t="s">
        <v>106</v>
      </c>
      <c r="B41" s="148"/>
      <c r="C41" s="86" t="s">
        <v>21</v>
      </c>
      <c r="D41" s="11" t="s">
        <v>77</v>
      </c>
      <c r="E41" s="11" t="s">
        <v>93</v>
      </c>
      <c r="F41" s="12" t="s">
        <v>65</v>
      </c>
      <c r="G41" s="14">
        <v>0</v>
      </c>
      <c r="H41" s="13" t="s">
        <v>43</v>
      </c>
    </row>
    <row r="42" spans="1:11" ht="15" customHeight="1" x14ac:dyDescent="0.3">
      <c r="A42" s="147" t="s">
        <v>106</v>
      </c>
      <c r="B42" s="148"/>
      <c r="C42" s="86" t="s">
        <v>21</v>
      </c>
      <c r="D42" s="11" t="s">
        <v>111</v>
      </c>
      <c r="E42" s="11" t="s">
        <v>93</v>
      </c>
      <c r="F42" s="12" t="s">
        <v>64</v>
      </c>
      <c r="G42" s="14">
        <v>0</v>
      </c>
      <c r="H42" s="13" t="s">
        <v>43</v>
      </c>
    </row>
    <row r="43" spans="1:11" ht="15" customHeight="1" x14ac:dyDescent="0.3">
      <c r="A43" s="147" t="s">
        <v>106</v>
      </c>
      <c r="B43" s="148"/>
      <c r="C43" s="86" t="s">
        <v>21</v>
      </c>
      <c r="D43" s="11" t="s">
        <v>78</v>
      </c>
      <c r="E43" s="11" t="s">
        <v>94</v>
      </c>
      <c r="F43" s="12" t="s">
        <v>64</v>
      </c>
      <c r="G43" s="14">
        <v>44575</v>
      </c>
      <c r="H43" s="13" t="s">
        <v>43</v>
      </c>
    </row>
    <row r="44" spans="1:11" ht="15" customHeight="1" x14ac:dyDescent="0.3">
      <c r="A44" s="147" t="s">
        <v>106</v>
      </c>
      <c r="B44" s="148"/>
      <c r="C44" s="36" t="s">
        <v>21</v>
      </c>
      <c r="D44" s="11" t="s">
        <v>79</v>
      </c>
      <c r="E44" s="11" t="s">
        <v>94</v>
      </c>
      <c r="F44" s="12" t="s">
        <v>65</v>
      </c>
      <c r="G44" s="14">
        <v>836</v>
      </c>
      <c r="H44" s="13" t="s">
        <v>43</v>
      </c>
    </row>
    <row r="45" spans="1:11" ht="15" customHeight="1" x14ac:dyDescent="0.3">
      <c r="A45" s="147" t="s">
        <v>106</v>
      </c>
      <c r="B45" s="148"/>
      <c r="C45" s="36" t="s">
        <v>21</v>
      </c>
      <c r="D45" s="11" t="s">
        <v>79</v>
      </c>
      <c r="E45" s="11" t="s">
        <v>94</v>
      </c>
      <c r="F45" s="12" t="s">
        <v>107</v>
      </c>
      <c r="G45" s="14">
        <v>0</v>
      </c>
      <c r="H45" s="13" t="s">
        <v>43</v>
      </c>
    </row>
    <row r="46" spans="1:11" ht="15" customHeight="1" x14ac:dyDescent="0.3">
      <c r="A46" s="140" t="s">
        <v>24</v>
      </c>
      <c r="B46" s="141"/>
      <c r="C46" s="36" t="s">
        <v>25</v>
      </c>
      <c r="D46" s="11" t="s">
        <v>80</v>
      </c>
      <c r="E46" s="11" t="s">
        <v>139</v>
      </c>
      <c r="F46" s="12" t="s">
        <v>44</v>
      </c>
      <c r="G46" s="14">
        <f>I36*2.43</f>
        <v>13153.59</v>
      </c>
      <c r="H46" s="13" t="s">
        <v>43</v>
      </c>
      <c r="I46" s="15">
        <f>I36</f>
        <v>5413</v>
      </c>
    </row>
    <row r="47" spans="1:11" ht="15" customHeight="1" x14ac:dyDescent="0.3">
      <c r="A47" s="147"/>
      <c r="B47" s="148"/>
      <c r="C47" s="36" t="s">
        <v>25</v>
      </c>
      <c r="D47" s="11" t="s">
        <v>80</v>
      </c>
      <c r="E47" s="11" t="s">
        <v>93</v>
      </c>
      <c r="F47" s="12" t="s">
        <v>44</v>
      </c>
      <c r="G47" s="14">
        <v>0</v>
      </c>
      <c r="H47" s="13"/>
      <c r="I47" s="16"/>
    </row>
    <row r="48" spans="1:11" ht="15" customHeight="1" x14ac:dyDescent="0.3">
      <c r="A48" s="140" t="s">
        <v>26</v>
      </c>
      <c r="B48" s="141"/>
      <c r="C48" s="144" t="s">
        <v>25</v>
      </c>
      <c r="D48" s="11" t="s">
        <v>81</v>
      </c>
      <c r="E48" s="11" t="s">
        <v>94</v>
      </c>
      <c r="F48" s="12" t="s">
        <v>27</v>
      </c>
      <c r="G48" s="14">
        <v>19801</v>
      </c>
      <c r="H48" s="13" t="s">
        <v>43</v>
      </c>
    </row>
    <row r="49" spans="1:9" ht="15" hidden="1" customHeight="1" x14ac:dyDescent="0.3">
      <c r="A49" s="149"/>
      <c r="B49" s="150"/>
      <c r="C49" s="151"/>
      <c r="D49" s="11" t="s">
        <v>103</v>
      </c>
      <c r="E49" s="11" t="s">
        <v>93</v>
      </c>
      <c r="F49" s="12" t="s">
        <v>51</v>
      </c>
      <c r="G49" s="12">
        <v>0</v>
      </c>
      <c r="H49" s="13" t="s">
        <v>43</v>
      </c>
    </row>
    <row r="50" spans="1:9" ht="15" hidden="1" customHeight="1" x14ac:dyDescent="0.3">
      <c r="A50" s="149"/>
      <c r="B50" s="150"/>
      <c r="C50" s="151"/>
      <c r="D50" s="11" t="s">
        <v>103</v>
      </c>
      <c r="E50" s="11" t="s">
        <v>93</v>
      </c>
      <c r="F50" s="12" t="s">
        <v>50</v>
      </c>
      <c r="G50" s="13" t="s">
        <v>43</v>
      </c>
      <c r="H50" s="13" t="s">
        <v>43</v>
      </c>
    </row>
    <row r="51" spans="1:9" ht="15" customHeight="1" x14ac:dyDescent="0.3">
      <c r="A51" s="149"/>
      <c r="B51" s="150"/>
      <c r="C51" s="151"/>
      <c r="D51" s="11" t="s">
        <v>103</v>
      </c>
      <c r="E51" s="11" t="s">
        <v>93</v>
      </c>
      <c r="F51" s="12" t="s">
        <v>28</v>
      </c>
      <c r="G51" s="13">
        <v>0</v>
      </c>
      <c r="H51" s="13" t="s">
        <v>43</v>
      </c>
      <c r="I51" s="17"/>
    </row>
    <row r="52" spans="1:9" ht="15" customHeight="1" x14ac:dyDescent="0.3">
      <c r="A52" s="149"/>
      <c r="B52" s="150"/>
      <c r="C52" s="151"/>
      <c r="D52" s="11" t="s">
        <v>103</v>
      </c>
      <c r="E52" s="11" t="s">
        <v>94</v>
      </c>
      <c r="F52" s="12" t="s">
        <v>135</v>
      </c>
      <c r="G52" s="13">
        <v>1676</v>
      </c>
      <c r="H52" s="13"/>
      <c r="I52" s="17"/>
    </row>
    <row r="53" spans="1:9" ht="15" customHeight="1" x14ac:dyDescent="0.3">
      <c r="A53" s="147"/>
      <c r="B53" s="148"/>
      <c r="C53" s="145"/>
      <c r="D53" s="11" t="s">
        <v>103</v>
      </c>
      <c r="E53" s="11" t="s">
        <v>94</v>
      </c>
      <c r="F53" s="12" t="s">
        <v>29</v>
      </c>
      <c r="G53" s="18" t="s">
        <v>43</v>
      </c>
      <c r="H53" s="13" t="s">
        <v>43</v>
      </c>
    </row>
    <row r="54" spans="1:9" ht="15" customHeight="1" x14ac:dyDescent="0.3">
      <c r="A54" s="140" t="s">
        <v>30</v>
      </c>
      <c r="B54" s="141"/>
      <c r="C54" s="144" t="s">
        <v>21</v>
      </c>
      <c r="D54" s="19" t="s">
        <v>31</v>
      </c>
      <c r="E54" s="11" t="s">
        <v>94</v>
      </c>
      <c r="F54" s="12" t="s">
        <v>55</v>
      </c>
      <c r="G54" s="18" t="s">
        <v>43</v>
      </c>
      <c r="H54" s="12" t="s">
        <v>43</v>
      </c>
    </row>
    <row r="55" spans="1:9" ht="15" customHeight="1" x14ac:dyDescent="0.3">
      <c r="A55" s="147"/>
      <c r="B55" s="148"/>
      <c r="C55" s="145"/>
      <c r="D55" s="20" t="s">
        <v>32</v>
      </c>
      <c r="E55" s="11" t="s">
        <v>94</v>
      </c>
      <c r="F55" s="12"/>
      <c r="G55" s="18" t="s">
        <v>43</v>
      </c>
      <c r="H55" s="12" t="s">
        <v>43</v>
      </c>
    </row>
    <row r="56" spans="1:9" ht="15" customHeight="1" x14ac:dyDescent="0.3">
      <c r="A56" s="140" t="s">
        <v>33</v>
      </c>
      <c r="B56" s="141"/>
      <c r="C56" s="144" t="s">
        <v>25</v>
      </c>
      <c r="D56" s="138" t="s">
        <v>43</v>
      </c>
      <c r="E56" s="138" t="s">
        <v>43</v>
      </c>
      <c r="F56" s="138" t="s">
        <v>43</v>
      </c>
      <c r="G56" s="138" t="s">
        <v>43</v>
      </c>
      <c r="H56" s="138" t="s">
        <v>43</v>
      </c>
    </row>
    <row r="57" spans="1:9" ht="2.25" customHeight="1" x14ac:dyDescent="0.3">
      <c r="A57" s="147"/>
      <c r="B57" s="148"/>
      <c r="C57" s="145"/>
      <c r="D57" s="139"/>
      <c r="E57" s="139"/>
      <c r="F57" s="139"/>
      <c r="G57" s="139"/>
      <c r="H57" s="139"/>
    </row>
    <row r="58" spans="1:9" ht="15" customHeight="1" x14ac:dyDescent="0.3">
      <c r="A58" s="140" t="s">
        <v>34</v>
      </c>
      <c r="B58" s="141"/>
      <c r="C58" s="36" t="s">
        <v>21</v>
      </c>
      <c r="D58" s="11" t="s">
        <v>82</v>
      </c>
      <c r="E58" s="11" t="s">
        <v>83</v>
      </c>
      <c r="F58" s="12" t="s">
        <v>43</v>
      </c>
      <c r="G58" s="12" t="s">
        <v>43</v>
      </c>
      <c r="H58" s="12" t="s">
        <v>43</v>
      </c>
    </row>
    <row r="59" spans="1:9" ht="15" customHeight="1" x14ac:dyDescent="0.3">
      <c r="A59" s="142" t="s">
        <v>35</v>
      </c>
      <c r="B59" s="142"/>
      <c r="C59" s="81" t="s">
        <v>25</v>
      </c>
      <c r="D59" s="12" t="s">
        <v>43</v>
      </c>
      <c r="E59" s="12" t="s">
        <v>43</v>
      </c>
      <c r="F59" s="12" t="s">
        <v>43</v>
      </c>
      <c r="G59" s="12" t="s">
        <v>43</v>
      </c>
      <c r="H59" s="12" t="s">
        <v>43</v>
      </c>
    </row>
    <row r="60" spans="1:9" ht="15" customHeight="1" x14ac:dyDescent="0.3">
      <c r="A60" s="142" t="s">
        <v>53</v>
      </c>
      <c r="B60" s="142"/>
      <c r="C60" s="81" t="s">
        <v>25</v>
      </c>
      <c r="D60" s="12" t="s">
        <v>43</v>
      </c>
      <c r="E60" s="12" t="s">
        <v>43</v>
      </c>
      <c r="F60" s="12" t="s">
        <v>43</v>
      </c>
      <c r="G60" s="12" t="s">
        <v>43</v>
      </c>
      <c r="H60" s="12" t="s">
        <v>43</v>
      </c>
    </row>
    <row r="61" spans="1:9" ht="15" customHeight="1" x14ac:dyDescent="0.3">
      <c r="A61" s="143" t="s">
        <v>36</v>
      </c>
      <c r="B61" s="143"/>
      <c r="C61" s="144" t="s">
        <v>37</v>
      </c>
      <c r="D61" s="11" t="s">
        <v>38</v>
      </c>
      <c r="E61" s="11" t="s">
        <v>94</v>
      </c>
      <c r="F61" s="12" t="s">
        <v>56</v>
      </c>
      <c r="G61" s="12" t="s">
        <v>43</v>
      </c>
      <c r="H61" s="12" t="s">
        <v>43</v>
      </c>
    </row>
    <row r="62" spans="1:9" ht="15" customHeight="1" x14ac:dyDescent="0.3">
      <c r="A62" s="146" t="s">
        <v>39</v>
      </c>
      <c r="B62" s="146"/>
      <c r="C62" s="145"/>
      <c r="D62" s="11" t="s">
        <v>40</v>
      </c>
      <c r="E62" s="11" t="s">
        <v>94</v>
      </c>
      <c r="F62" s="12" t="s">
        <v>57</v>
      </c>
      <c r="G62" s="12" t="s">
        <v>43</v>
      </c>
      <c r="H62" s="12" t="s">
        <v>43</v>
      </c>
    </row>
    <row r="63" spans="1:9" ht="3" customHeight="1" x14ac:dyDescent="0.3">
      <c r="A63" s="32"/>
      <c r="B63" s="32"/>
      <c r="C63" s="33"/>
      <c r="D63" s="34"/>
      <c r="E63" s="34"/>
      <c r="F63" s="35"/>
      <c r="G63" s="35"/>
      <c r="H63" s="35"/>
    </row>
    <row r="64" spans="1:9" ht="17.25" customHeight="1" x14ac:dyDescent="0.3">
      <c r="A64" s="32"/>
      <c r="B64" s="32"/>
      <c r="C64" s="33"/>
      <c r="D64" s="34"/>
      <c r="E64" s="34"/>
      <c r="F64" s="35"/>
      <c r="G64" s="35"/>
      <c r="H64" s="35"/>
    </row>
    <row r="65" spans="1:13" ht="17.25" customHeight="1" x14ac:dyDescent="0.3">
      <c r="A65" s="3" t="s">
        <v>41</v>
      </c>
      <c r="D65" s="3" t="s">
        <v>85</v>
      </c>
      <c r="F65" s="3" t="s">
        <v>86</v>
      </c>
    </row>
    <row r="66" spans="1:13" ht="26.25" customHeight="1" x14ac:dyDescent="0.3">
      <c r="E66" s="25"/>
    </row>
    <row r="67" spans="1:13" s="40" customFormat="1" ht="17.25" customHeight="1" x14ac:dyDescent="0.25">
      <c r="A67" s="73" t="s">
        <v>115</v>
      </c>
      <c r="D67" s="43" t="s">
        <v>152</v>
      </c>
      <c r="E67" s="72"/>
      <c r="F67" s="41" t="s">
        <v>131</v>
      </c>
      <c r="G67" s="42"/>
      <c r="H67" s="42"/>
      <c r="I67" s="43"/>
    </row>
    <row r="68" spans="1:13" s="31" customFormat="1" x14ac:dyDescent="0.3">
      <c r="A68" s="23" t="s">
        <v>116</v>
      </c>
      <c r="D68" s="31" t="s">
        <v>123</v>
      </c>
      <c r="E68" s="26"/>
      <c r="F68" s="29" t="s">
        <v>160</v>
      </c>
      <c r="G68" s="3"/>
      <c r="H68" s="3"/>
    </row>
    <row r="69" spans="1:13" x14ac:dyDescent="0.3">
      <c r="A69" s="23" t="s">
        <v>8</v>
      </c>
      <c r="D69" s="23" t="s">
        <v>67</v>
      </c>
      <c r="F69" s="23" t="s">
        <v>97</v>
      </c>
    </row>
    <row r="70" spans="1:13" x14ac:dyDescent="0.3">
      <c r="A70" s="23" t="s">
        <v>118</v>
      </c>
      <c r="D70" s="25" t="s">
        <v>133</v>
      </c>
      <c r="H70" s="7"/>
    </row>
    <row r="71" spans="1:13" ht="28.5" customHeight="1" x14ac:dyDescent="0.3">
      <c r="A71" s="23"/>
      <c r="H71" s="7"/>
    </row>
    <row r="72" spans="1:13" s="44" customFormat="1" ht="15.75" x14ac:dyDescent="0.25">
      <c r="A72" s="37"/>
      <c r="D72" s="43" t="s">
        <v>155</v>
      </c>
      <c r="H72" s="45"/>
    </row>
    <row r="73" spans="1:13" x14ac:dyDescent="0.3">
      <c r="A73" s="26"/>
      <c r="D73" s="31" t="s">
        <v>123</v>
      </c>
      <c r="I73" s="72"/>
    </row>
    <row r="74" spans="1:13" x14ac:dyDescent="0.3">
      <c r="A74" s="26"/>
      <c r="D74" s="23" t="s">
        <v>66</v>
      </c>
    </row>
    <row r="75" spans="1:13" x14ac:dyDescent="0.3">
      <c r="A75" s="23"/>
      <c r="D75" s="25" t="s">
        <v>156</v>
      </c>
    </row>
    <row r="79" spans="1:13" x14ac:dyDescent="0.3">
      <c r="M79" s="31"/>
    </row>
    <row r="80" spans="1:13" x14ac:dyDescent="0.3">
      <c r="M80" s="31"/>
    </row>
    <row r="81" spans="13:13" x14ac:dyDescent="0.3">
      <c r="M81" s="23"/>
    </row>
    <row r="83" spans="13:13" x14ac:dyDescent="0.3">
      <c r="M83" s="24"/>
    </row>
    <row r="84" spans="13:13" x14ac:dyDescent="0.3">
      <c r="M84" s="23"/>
    </row>
    <row r="85" spans="13:13" x14ac:dyDescent="0.3">
      <c r="M85" s="23"/>
    </row>
  </sheetData>
  <mergeCells count="44">
    <mergeCell ref="A11:H11"/>
    <mergeCell ref="A5:H5"/>
    <mergeCell ref="A6:H6"/>
    <mergeCell ref="A7:H7"/>
    <mergeCell ref="A8:H8"/>
    <mergeCell ref="A10:H10"/>
    <mergeCell ref="G13:H13"/>
    <mergeCell ref="C14:E14"/>
    <mergeCell ref="C15:E15"/>
    <mergeCell ref="A20:B20"/>
    <mergeCell ref="A22:B31"/>
    <mergeCell ref="C22:C31"/>
    <mergeCell ref="C32:C33"/>
    <mergeCell ref="A33:B33"/>
    <mergeCell ref="A34:B34"/>
    <mergeCell ref="A35:B35"/>
    <mergeCell ref="A36:B37"/>
    <mergeCell ref="C36:C37"/>
    <mergeCell ref="A54:B55"/>
    <mergeCell ref="C54:C55"/>
    <mergeCell ref="A38:B39"/>
    <mergeCell ref="C38:C39"/>
    <mergeCell ref="A40:B40"/>
    <mergeCell ref="A41:B41"/>
    <mergeCell ref="A42:B42"/>
    <mergeCell ref="A43:B43"/>
    <mergeCell ref="A44:B44"/>
    <mergeCell ref="A45:B45"/>
    <mergeCell ref="A46:B47"/>
    <mergeCell ref="A48:B53"/>
    <mergeCell ref="C48:C53"/>
    <mergeCell ref="H56:H57"/>
    <mergeCell ref="A58:B58"/>
    <mergeCell ref="A59:B59"/>
    <mergeCell ref="A60:B60"/>
    <mergeCell ref="A61:B61"/>
    <mergeCell ref="C61:C62"/>
    <mergeCell ref="A62:B62"/>
    <mergeCell ref="A56:B57"/>
    <mergeCell ref="C56:C57"/>
    <mergeCell ref="D56:D57"/>
    <mergeCell ref="E56:E57"/>
    <mergeCell ref="F56:F57"/>
    <mergeCell ref="G56:G57"/>
  </mergeCells>
  <pageMargins left="0.19685039370078741" right="0.27559055118110237" top="0.19685039370078741" bottom="0.19685039370078741" header="0.31496062992125984" footer="0.31496062992125984"/>
  <pageSetup paperSize="14" scale="9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P54"/>
  <sheetViews>
    <sheetView topLeftCell="A10" workbookViewId="0">
      <selection activeCell="G36" sqref="G36"/>
    </sheetView>
  </sheetViews>
  <sheetFormatPr defaultRowHeight="16.5" x14ac:dyDescent="0.3"/>
  <cols>
    <col min="1" max="1" width="9.140625" style="3"/>
    <col min="2" max="2" width="17.140625" style="3" customWidth="1"/>
    <col min="3" max="3" width="12.85546875" style="3" customWidth="1"/>
    <col min="4" max="4" width="15.7109375" style="3" customWidth="1"/>
    <col min="5" max="5" width="19.7109375" style="3" customWidth="1"/>
    <col min="6" max="6" width="14.42578125" style="3" customWidth="1"/>
    <col min="7" max="7" width="11.5703125" style="3" bestFit="1" customWidth="1"/>
    <col min="8" max="8" width="9.42578125" style="3" customWidth="1"/>
    <col min="9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22.5" customHeight="1" x14ac:dyDescent="0.3">
      <c r="A5" s="170" t="s">
        <v>3</v>
      </c>
      <c r="B5" s="170"/>
      <c r="C5" s="170"/>
      <c r="D5" s="170"/>
      <c r="E5" s="170"/>
      <c r="F5" s="170"/>
      <c r="G5" s="170"/>
      <c r="H5" s="170"/>
      <c r="I5" s="1"/>
    </row>
    <row r="6" spans="1:9" ht="22.5" customHeight="1" x14ac:dyDescent="0.3">
      <c r="A6" s="170" t="s">
        <v>4</v>
      </c>
      <c r="B6" s="170"/>
      <c r="C6" s="170"/>
      <c r="D6" s="170"/>
      <c r="E6" s="170"/>
      <c r="F6" s="170"/>
      <c r="G6" s="170"/>
      <c r="H6" s="170"/>
      <c r="I6" s="1"/>
    </row>
    <row r="7" spans="1:9" ht="22.5" customHeight="1" x14ac:dyDescent="0.3">
      <c r="A7" s="170" t="s">
        <v>5</v>
      </c>
      <c r="B7" s="170"/>
      <c r="C7" s="170"/>
      <c r="D7" s="170"/>
      <c r="E7" s="170"/>
      <c r="F7" s="170"/>
      <c r="G7" s="170"/>
      <c r="H7" s="170"/>
      <c r="I7" s="1"/>
    </row>
    <row r="8" spans="1:9" ht="22.5" customHeight="1" x14ac:dyDescent="0.3">
      <c r="A8" s="170" t="s">
        <v>6</v>
      </c>
      <c r="B8" s="170"/>
      <c r="C8" s="170"/>
      <c r="D8" s="170"/>
      <c r="E8" s="170"/>
      <c r="F8" s="170"/>
      <c r="G8" s="170"/>
      <c r="H8" s="170"/>
      <c r="I8" s="1"/>
    </row>
    <row r="9" spans="1:9" ht="7.5" customHeight="1" x14ac:dyDescent="0.3">
      <c r="A9" s="83"/>
      <c r="B9" s="83"/>
      <c r="C9" s="83"/>
      <c r="D9" s="83"/>
      <c r="E9" s="83"/>
      <c r="F9" s="83"/>
      <c r="G9" s="83"/>
      <c r="H9" s="83"/>
      <c r="I9" s="1"/>
    </row>
    <row r="10" spans="1:9" ht="22.5" customHeight="1" x14ac:dyDescent="0.3">
      <c r="A10" s="170" t="s">
        <v>7</v>
      </c>
      <c r="B10" s="170"/>
      <c r="C10" s="170"/>
      <c r="D10" s="170"/>
      <c r="E10" s="170"/>
      <c r="F10" s="170"/>
      <c r="G10" s="170"/>
      <c r="H10" s="170"/>
      <c r="I10" s="1"/>
    </row>
    <row r="11" spans="1:9" ht="22.5" customHeight="1" x14ac:dyDescent="0.3">
      <c r="A11" s="170" t="str">
        <f>'JANUARY 2026 -PMC  '!A11:H11</f>
        <v>REPORT FOR THE MONTH OF JANUARY 2026</v>
      </c>
      <c r="B11" s="170"/>
      <c r="C11" s="170"/>
      <c r="D11" s="170"/>
      <c r="E11" s="170"/>
      <c r="F11" s="170"/>
      <c r="G11" s="170"/>
      <c r="H11" s="170"/>
      <c r="I11" s="5"/>
    </row>
    <row r="12" spans="1:9" ht="15.75" customHeight="1" x14ac:dyDescent="0.3"/>
    <row r="13" spans="1:9" ht="15" customHeight="1" x14ac:dyDescent="0.3">
      <c r="F13" s="2" t="s">
        <v>63</v>
      </c>
      <c r="G13" s="165" t="str">
        <f>'JANUARY 2026 -PMC  '!G13:H13</f>
        <v>JANUARY 1-31,2026</v>
      </c>
      <c r="H13" s="165"/>
    </row>
    <row r="14" spans="1:9" ht="15" customHeight="1" x14ac:dyDescent="0.3">
      <c r="A14" s="6" t="s">
        <v>121</v>
      </c>
      <c r="B14" s="7"/>
      <c r="C14" s="156" t="s">
        <v>88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87</v>
      </c>
      <c r="D15" s="157"/>
      <c r="E15" s="157"/>
      <c r="G15" s="22"/>
      <c r="H15" s="22"/>
    </row>
    <row r="16" spans="1:9" ht="15" customHeight="1" x14ac:dyDescent="0.3">
      <c r="A16" s="6" t="s">
        <v>120</v>
      </c>
      <c r="C16" s="157" t="s">
        <v>95</v>
      </c>
      <c r="D16" s="157"/>
      <c r="E16" s="157"/>
      <c r="F16" s="4" t="s">
        <v>9</v>
      </c>
      <c r="G16" s="77" t="s">
        <v>45</v>
      </c>
      <c r="H16" s="77"/>
    </row>
    <row r="17" spans="1:8" ht="15" customHeight="1" x14ac:dyDescent="0.3">
      <c r="A17" s="6" t="s">
        <v>49</v>
      </c>
      <c r="C17" s="78" t="s">
        <v>109</v>
      </c>
      <c r="D17" s="78"/>
      <c r="E17" s="78"/>
      <c r="G17" s="22"/>
      <c r="H17" s="22"/>
    </row>
    <row r="18" spans="1:8" ht="15" customHeight="1" x14ac:dyDescent="0.3">
      <c r="A18" s="6" t="s">
        <v>48</v>
      </c>
      <c r="C18" s="49" t="s">
        <v>110</v>
      </c>
      <c r="D18" s="78"/>
      <c r="E18" s="78"/>
      <c r="F18" s="4" t="s">
        <v>10</v>
      </c>
      <c r="G18" s="77" t="s">
        <v>46</v>
      </c>
      <c r="H18" s="77"/>
    </row>
    <row r="19" spans="1:8" ht="15" customHeight="1" x14ac:dyDescent="0.3"/>
    <row r="20" spans="1:8" ht="33" customHeight="1" x14ac:dyDescent="0.3">
      <c r="A20" s="158" t="s">
        <v>11</v>
      </c>
      <c r="B20" s="158"/>
      <c r="C20" s="81" t="s">
        <v>12</v>
      </c>
      <c r="D20" s="79" t="s">
        <v>68</v>
      </c>
      <c r="E20" s="81" t="s">
        <v>90</v>
      </c>
      <c r="F20" s="87" t="s">
        <v>13</v>
      </c>
      <c r="G20" s="9" t="s">
        <v>59</v>
      </c>
      <c r="H20" s="9" t="s">
        <v>60</v>
      </c>
    </row>
    <row r="21" spans="1:8" ht="16.5" customHeight="1" x14ac:dyDescent="0.3">
      <c r="A21" s="74"/>
      <c r="B21" s="50"/>
      <c r="C21" s="75"/>
      <c r="D21" s="79"/>
      <c r="E21" s="81"/>
      <c r="F21" s="87"/>
      <c r="G21" s="10" t="s">
        <v>61</v>
      </c>
      <c r="H21" s="10" t="s">
        <v>58</v>
      </c>
    </row>
    <row r="22" spans="1:8" ht="21.95" customHeight="1" x14ac:dyDescent="0.3">
      <c r="A22" s="27" t="s">
        <v>54</v>
      </c>
      <c r="B22" s="28"/>
      <c r="C22" s="75" t="s">
        <v>62</v>
      </c>
      <c r="D22" s="11" t="s">
        <v>104</v>
      </c>
      <c r="E22" s="11" t="s">
        <v>89</v>
      </c>
      <c r="F22" s="12" t="s">
        <v>16</v>
      </c>
      <c r="G22" s="14">
        <v>3128</v>
      </c>
      <c r="H22" s="13">
        <f>G22/215*25</f>
        <v>363.72093023255815</v>
      </c>
    </row>
    <row r="23" spans="1:8" ht="21.95" customHeight="1" x14ac:dyDescent="0.3">
      <c r="A23" s="82" t="s">
        <v>138</v>
      </c>
      <c r="B23" s="82"/>
      <c r="C23" s="74" t="s">
        <v>14</v>
      </c>
      <c r="D23" s="11" t="s">
        <v>72</v>
      </c>
      <c r="E23" s="11" t="s">
        <v>89</v>
      </c>
      <c r="F23" s="12" t="s">
        <v>47</v>
      </c>
      <c r="G23" s="76" t="s">
        <v>43</v>
      </c>
      <c r="H23" s="52">
        <v>375.6</v>
      </c>
    </row>
    <row r="24" spans="1:8" ht="21.95" customHeight="1" x14ac:dyDescent="0.3">
      <c r="A24" s="166" t="s">
        <v>19</v>
      </c>
      <c r="B24" s="167"/>
      <c r="C24" s="74" t="s">
        <v>14</v>
      </c>
      <c r="D24" s="76" t="s">
        <v>43</v>
      </c>
      <c r="E24" s="11" t="s">
        <v>89</v>
      </c>
      <c r="F24" s="76" t="s">
        <v>43</v>
      </c>
      <c r="G24" s="76"/>
      <c r="H24" s="52" t="s">
        <v>43</v>
      </c>
    </row>
    <row r="25" spans="1:8" ht="21.95" customHeight="1" x14ac:dyDescent="0.3">
      <c r="A25" s="140" t="s">
        <v>20</v>
      </c>
      <c r="B25" s="141"/>
      <c r="C25" s="74" t="s">
        <v>21</v>
      </c>
      <c r="D25" s="11" t="s">
        <v>74</v>
      </c>
      <c r="E25" s="11" t="s">
        <v>89</v>
      </c>
      <c r="F25" s="12" t="s">
        <v>43</v>
      </c>
      <c r="G25" s="12">
        <v>0</v>
      </c>
      <c r="H25" s="13" t="s">
        <v>43</v>
      </c>
    </row>
    <row r="26" spans="1:8" ht="21.95" customHeight="1" x14ac:dyDescent="0.3">
      <c r="A26" s="166" t="s">
        <v>22</v>
      </c>
      <c r="B26" s="168"/>
      <c r="C26" s="36" t="s">
        <v>21</v>
      </c>
      <c r="D26" s="11" t="s">
        <v>75</v>
      </c>
      <c r="E26" s="11" t="s">
        <v>89</v>
      </c>
      <c r="F26" s="12" t="s">
        <v>23</v>
      </c>
      <c r="G26" s="13">
        <v>84</v>
      </c>
      <c r="H26" s="18"/>
    </row>
    <row r="27" spans="1:8" ht="21.95" customHeight="1" x14ac:dyDescent="0.3">
      <c r="A27" s="140" t="s">
        <v>84</v>
      </c>
      <c r="B27" s="141"/>
      <c r="C27" s="86" t="s">
        <v>21</v>
      </c>
      <c r="D27" s="11" t="s">
        <v>78</v>
      </c>
      <c r="E27" s="11" t="s">
        <v>89</v>
      </c>
      <c r="F27" s="12" t="s">
        <v>64</v>
      </c>
      <c r="G27" s="14">
        <v>175</v>
      </c>
      <c r="H27" s="18"/>
    </row>
    <row r="28" spans="1:8" ht="21.95" customHeight="1" x14ac:dyDescent="0.3">
      <c r="A28" s="147"/>
      <c r="B28" s="148"/>
      <c r="C28" s="81" t="s">
        <v>21</v>
      </c>
      <c r="D28" s="11" t="s">
        <v>78</v>
      </c>
      <c r="E28" s="11" t="s">
        <v>89</v>
      </c>
      <c r="F28" s="12" t="s">
        <v>65</v>
      </c>
      <c r="G28" s="14">
        <v>773</v>
      </c>
      <c r="H28" s="13" t="s">
        <v>43</v>
      </c>
    </row>
    <row r="29" spans="1:8" ht="21.95" customHeight="1" x14ac:dyDescent="0.3">
      <c r="A29" s="142" t="s">
        <v>24</v>
      </c>
      <c r="B29" s="142"/>
      <c r="C29" s="81" t="s">
        <v>25</v>
      </c>
      <c r="D29" s="11" t="s">
        <v>80</v>
      </c>
      <c r="E29" s="11" t="s">
        <v>89</v>
      </c>
      <c r="F29" s="12" t="s">
        <v>44</v>
      </c>
      <c r="G29" s="54">
        <f>G26*2.43</f>
        <v>204.12</v>
      </c>
      <c r="H29" s="13" t="s">
        <v>43</v>
      </c>
    </row>
    <row r="30" spans="1:8" ht="21.95" customHeight="1" x14ac:dyDescent="0.3">
      <c r="A30" s="169" t="s">
        <v>26</v>
      </c>
      <c r="B30" s="169"/>
      <c r="C30" s="81" t="s">
        <v>25</v>
      </c>
      <c r="D30" s="11" t="s">
        <v>81</v>
      </c>
      <c r="E30" s="11" t="s">
        <v>89</v>
      </c>
      <c r="F30" s="12" t="s">
        <v>27</v>
      </c>
      <c r="G30" s="13">
        <v>328</v>
      </c>
      <c r="H30" s="13" t="s">
        <v>43</v>
      </c>
    </row>
    <row r="31" spans="1:8" ht="21.95" customHeight="1" x14ac:dyDescent="0.3">
      <c r="A31" s="142" t="s">
        <v>30</v>
      </c>
      <c r="B31" s="142"/>
      <c r="C31" s="154" t="s">
        <v>21</v>
      </c>
      <c r="D31" s="11" t="s">
        <v>31</v>
      </c>
      <c r="E31" s="11" t="s">
        <v>89</v>
      </c>
      <c r="F31" s="12" t="s">
        <v>55</v>
      </c>
      <c r="G31" s="13" t="s">
        <v>43</v>
      </c>
      <c r="H31" s="13" t="s">
        <v>43</v>
      </c>
    </row>
    <row r="32" spans="1:8" ht="21.95" customHeight="1" x14ac:dyDescent="0.3">
      <c r="A32" s="142"/>
      <c r="B32" s="142"/>
      <c r="C32" s="154"/>
      <c r="D32" s="11" t="s">
        <v>32</v>
      </c>
      <c r="E32" s="11" t="s">
        <v>89</v>
      </c>
      <c r="F32" s="12"/>
      <c r="G32" s="13" t="s">
        <v>43</v>
      </c>
      <c r="H32" s="13" t="s">
        <v>43</v>
      </c>
    </row>
    <row r="33" spans="1:11" ht="21.95" customHeight="1" x14ac:dyDescent="0.3">
      <c r="A33" s="142" t="s">
        <v>33</v>
      </c>
      <c r="B33" s="142"/>
      <c r="C33" s="154" t="s">
        <v>25</v>
      </c>
      <c r="D33" s="12" t="s">
        <v>43</v>
      </c>
      <c r="E33" s="12" t="s">
        <v>43</v>
      </c>
      <c r="F33" s="12" t="s">
        <v>43</v>
      </c>
      <c r="G33" s="13" t="s">
        <v>43</v>
      </c>
      <c r="H33" s="13" t="s">
        <v>43</v>
      </c>
    </row>
    <row r="34" spans="1:11" ht="17.25" customHeight="1" x14ac:dyDescent="0.3">
      <c r="A34" s="142"/>
      <c r="B34" s="142"/>
      <c r="C34" s="154"/>
      <c r="D34" s="12" t="s">
        <v>43</v>
      </c>
      <c r="E34" s="12" t="s">
        <v>43</v>
      </c>
      <c r="F34" s="12" t="s">
        <v>43</v>
      </c>
      <c r="G34" s="13" t="s">
        <v>43</v>
      </c>
      <c r="H34" s="13" t="s">
        <v>43</v>
      </c>
    </row>
    <row r="35" spans="1:11" ht="21.95" customHeight="1" x14ac:dyDescent="0.3">
      <c r="A35" s="142" t="s">
        <v>34</v>
      </c>
      <c r="B35" s="142"/>
      <c r="C35" s="81" t="s">
        <v>21</v>
      </c>
      <c r="D35" s="11" t="s">
        <v>82</v>
      </c>
      <c r="E35" s="11" t="s">
        <v>89</v>
      </c>
      <c r="F35" s="12" t="s">
        <v>43</v>
      </c>
      <c r="G35" s="13">
        <v>3</v>
      </c>
      <c r="H35" s="13" t="s">
        <v>43</v>
      </c>
    </row>
    <row r="36" spans="1:11" ht="21.95" customHeight="1" x14ac:dyDescent="0.3">
      <c r="A36" s="142" t="s">
        <v>35</v>
      </c>
      <c r="B36" s="142"/>
      <c r="C36" s="81" t="s">
        <v>25</v>
      </c>
      <c r="D36" s="12" t="s">
        <v>43</v>
      </c>
      <c r="E36" s="12" t="s">
        <v>43</v>
      </c>
      <c r="F36" s="12" t="s">
        <v>43</v>
      </c>
      <c r="G36" s="13" t="s">
        <v>43</v>
      </c>
      <c r="H36" s="13" t="s">
        <v>43</v>
      </c>
    </row>
    <row r="37" spans="1:11" ht="21.95" customHeight="1" x14ac:dyDescent="0.3">
      <c r="A37" s="142" t="s">
        <v>53</v>
      </c>
      <c r="B37" s="142"/>
      <c r="C37" s="81" t="s">
        <v>25</v>
      </c>
      <c r="D37" s="12" t="s">
        <v>43</v>
      </c>
      <c r="E37" s="12" t="s">
        <v>43</v>
      </c>
      <c r="F37" s="12" t="s">
        <v>43</v>
      </c>
      <c r="G37" s="13" t="s">
        <v>43</v>
      </c>
      <c r="H37" s="13" t="s">
        <v>43</v>
      </c>
    </row>
    <row r="38" spans="1:11" ht="8.25" customHeight="1" x14ac:dyDescent="0.3">
      <c r="A38" s="8"/>
      <c r="B38" s="8"/>
      <c r="C38" s="80"/>
      <c r="D38" s="80"/>
      <c r="E38" s="21"/>
      <c r="F38" s="21"/>
      <c r="G38" s="21"/>
      <c r="H38" s="21"/>
    </row>
    <row r="39" spans="1:11" ht="8.25" customHeight="1" x14ac:dyDescent="0.3">
      <c r="A39" s="8"/>
      <c r="B39" s="8"/>
      <c r="C39" s="80"/>
      <c r="D39" s="80"/>
      <c r="E39" s="21"/>
      <c r="F39" s="21"/>
      <c r="G39" s="21"/>
      <c r="H39" s="21"/>
    </row>
    <row r="40" spans="1:11" s="56" customFormat="1" ht="17.25" customHeight="1" x14ac:dyDescent="0.25">
      <c r="A40" s="56" t="s">
        <v>41</v>
      </c>
      <c r="D40" s="56" t="s">
        <v>85</v>
      </c>
      <c r="F40" s="56" t="s">
        <v>145</v>
      </c>
    </row>
    <row r="41" spans="1:11" ht="12.95" customHeight="1" x14ac:dyDescent="0.3">
      <c r="F41" s="7"/>
    </row>
    <row r="42" spans="1:11" ht="12.95" customHeight="1" x14ac:dyDescent="0.3">
      <c r="A42" s="25"/>
      <c r="E42" s="25"/>
    </row>
    <row r="43" spans="1:11" s="61" customFormat="1" ht="17.25" customHeight="1" x14ac:dyDescent="0.3">
      <c r="A43" s="64" t="s">
        <v>115</v>
      </c>
      <c r="B43" s="65"/>
      <c r="C43" s="61" t="s">
        <v>96</v>
      </c>
      <c r="D43" s="161" t="s">
        <v>146</v>
      </c>
      <c r="E43" s="161"/>
      <c r="F43" s="89" t="s">
        <v>141</v>
      </c>
      <c r="G43" s="89"/>
      <c r="H43" s="62"/>
      <c r="K43" s="57"/>
    </row>
    <row r="44" spans="1:11" s="42" customFormat="1" ht="15.75" x14ac:dyDescent="0.25">
      <c r="A44" s="37" t="s">
        <v>116</v>
      </c>
      <c r="D44" s="42" t="s">
        <v>123</v>
      </c>
      <c r="E44" s="46"/>
      <c r="F44" s="47" t="s">
        <v>142</v>
      </c>
      <c r="G44" s="47"/>
      <c r="H44" s="47"/>
    </row>
    <row r="45" spans="1:11" s="42" customFormat="1" ht="15.75" x14ac:dyDescent="0.25">
      <c r="A45" s="37" t="s">
        <v>8</v>
      </c>
      <c r="D45" s="37" t="s">
        <v>67</v>
      </c>
      <c r="F45" s="37" t="s">
        <v>8</v>
      </c>
      <c r="G45" s="37"/>
      <c r="H45" s="37"/>
    </row>
    <row r="46" spans="1:11" s="42" customFormat="1" ht="15.75" x14ac:dyDescent="0.25">
      <c r="A46" s="37" t="s">
        <v>118</v>
      </c>
      <c r="D46" s="37" t="s">
        <v>133</v>
      </c>
      <c r="H46" s="63"/>
    </row>
    <row r="47" spans="1:11" s="44" customFormat="1" ht="12.75" customHeight="1" x14ac:dyDescent="0.25">
      <c r="A47" s="37"/>
      <c r="K47" s="42"/>
    </row>
    <row r="48" spans="1:11" ht="13.5" customHeight="1" x14ac:dyDescent="0.3">
      <c r="A48" s="23"/>
    </row>
    <row r="49" spans="1:16" s="57" customFormat="1" ht="17.25" x14ac:dyDescent="0.3">
      <c r="A49" s="57" t="s">
        <v>144</v>
      </c>
      <c r="D49" s="58"/>
      <c r="E49" s="59"/>
    </row>
    <row r="51" spans="1:16" ht="7.5" customHeight="1" x14ac:dyDescent="0.3">
      <c r="M51" s="162"/>
      <c r="N51" s="162"/>
      <c r="O51" s="162"/>
      <c r="P51" s="162"/>
    </row>
    <row r="52" spans="1:16" s="31" customFormat="1" ht="17.25" x14ac:dyDescent="0.25">
      <c r="A52" s="58" t="s">
        <v>109</v>
      </c>
      <c r="B52" s="66"/>
      <c r="M52" s="163"/>
      <c r="N52" s="163"/>
      <c r="O52" s="163"/>
      <c r="P52" s="163"/>
    </row>
    <row r="53" spans="1:16" s="44" customFormat="1" ht="15.75" x14ac:dyDescent="0.25">
      <c r="A53" s="44" t="s">
        <v>161</v>
      </c>
      <c r="M53" s="164"/>
      <c r="N53" s="164"/>
      <c r="O53" s="164"/>
      <c r="P53" s="164"/>
    </row>
    <row r="54" spans="1:16" s="44" customFormat="1" ht="15.75" x14ac:dyDescent="0.25">
      <c r="A54" s="44" t="s">
        <v>8</v>
      </c>
    </row>
  </sheetData>
  <mergeCells count="28">
    <mergeCell ref="A11:H11"/>
    <mergeCell ref="A5:H5"/>
    <mergeCell ref="A6:H6"/>
    <mergeCell ref="A7:H7"/>
    <mergeCell ref="A8:H8"/>
    <mergeCell ref="A10:H10"/>
    <mergeCell ref="A31:B32"/>
    <mergeCell ref="G13:H13"/>
    <mergeCell ref="C14:E14"/>
    <mergeCell ref="C15:E15"/>
    <mergeCell ref="C16:E16"/>
    <mergeCell ref="A20:B20"/>
    <mergeCell ref="A24:B24"/>
    <mergeCell ref="A25:B25"/>
    <mergeCell ref="A26:B26"/>
    <mergeCell ref="A27:B28"/>
    <mergeCell ref="A29:B29"/>
    <mergeCell ref="A30:B30"/>
    <mergeCell ref="A33:B34"/>
    <mergeCell ref="C33:C34"/>
    <mergeCell ref="A35:B35"/>
    <mergeCell ref="A36:B36"/>
    <mergeCell ref="A37:B37"/>
    <mergeCell ref="D43:E43"/>
    <mergeCell ref="M51:P51"/>
    <mergeCell ref="M52:P52"/>
    <mergeCell ref="M53:P53"/>
    <mergeCell ref="C31:C32"/>
  </mergeCells>
  <pageMargins left="0.19685039370078741" right="0.19685039370078741" top="0.35433070866141736" bottom="0.39370078740157483" header="0.31496062992125984" footer="0.31496062992125984"/>
  <pageSetup paperSize="14" scale="9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L60"/>
  <sheetViews>
    <sheetView workbookViewId="0">
      <selection activeCell="I26" sqref="I26"/>
    </sheetView>
  </sheetViews>
  <sheetFormatPr defaultRowHeight="16.5" x14ac:dyDescent="0.3"/>
  <cols>
    <col min="1" max="1" width="9.140625" style="3"/>
    <col min="2" max="2" width="16.85546875" style="3" customWidth="1"/>
    <col min="3" max="3" width="13.5703125" style="3" customWidth="1"/>
    <col min="4" max="4" width="16.5703125" style="3" customWidth="1"/>
    <col min="5" max="5" width="17.140625" style="3" customWidth="1"/>
    <col min="6" max="6" width="2.140625" style="3" customWidth="1"/>
    <col min="7" max="7" width="15.140625" style="3" customWidth="1"/>
    <col min="8" max="8" width="10.42578125" style="3" customWidth="1"/>
    <col min="9" max="9" width="9.42578125" style="3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  <c r="F1" s="6"/>
    </row>
    <row r="2" spans="1:9" s="30" customFormat="1" ht="8.25" customHeight="1" x14ac:dyDescent="0.2">
      <c r="A2" s="6"/>
      <c r="B2" s="6"/>
      <c r="C2" s="6"/>
      <c r="D2" s="6"/>
      <c r="E2" s="6"/>
      <c r="F2" s="6"/>
    </row>
    <row r="3" spans="1:9" s="30" customFormat="1" ht="15" customHeight="1" x14ac:dyDescent="0.2">
      <c r="A3" s="6"/>
      <c r="B3" s="6" t="s">
        <v>2</v>
      </c>
      <c r="C3" s="6"/>
      <c r="D3" s="6"/>
      <c r="E3" s="6"/>
      <c r="F3" s="6"/>
    </row>
    <row r="4" spans="1:9" s="44" customFormat="1" ht="20.100000000000001" customHeight="1" x14ac:dyDescent="0.25">
      <c r="A4" s="180" t="s">
        <v>3</v>
      </c>
      <c r="B4" s="180"/>
      <c r="C4" s="180"/>
      <c r="D4" s="180"/>
      <c r="E4" s="180"/>
      <c r="F4" s="180"/>
      <c r="G4" s="180"/>
      <c r="H4" s="180"/>
      <c r="I4" s="180"/>
    </row>
    <row r="5" spans="1:9" s="44" customFormat="1" ht="20.100000000000001" customHeight="1" x14ac:dyDescent="0.25">
      <c r="A5" s="180" t="s">
        <v>4</v>
      </c>
      <c r="B5" s="180"/>
      <c r="C5" s="180"/>
      <c r="D5" s="180"/>
      <c r="E5" s="180"/>
      <c r="F5" s="180"/>
      <c r="G5" s="180"/>
      <c r="H5" s="180"/>
      <c r="I5" s="180"/>
    </row>
    <row r="6" spans="1:9" s="44" customFormat="1" ht="20.100000000000001" customHeight="1" x14ac:dyDescent="0.25">
      <c r="A6" s="180" t="s">
        <v>5</v>
      </c>
      <c r="B6" s="180"/>
      <c r="C6" s="180"/>
      <c r="D6" s="180"/>
      <c r="E6" s="180"/>
      <c r="F6" s="180"/>
      <c r="G6" s="180"/>
      <c r="H6" s="180"/>
      <c r="I6" s="180"/>
    </row>
    <row r="7" spans="1:9" s="44" customFormat="1" ht="20.100000000000001" customHeight="1" x14ac:dyDescent="0.25">
      <c r="A7" s="180" t="s">
        <v>6</v>
      </c>
      <c r="B7" s="180"/>
      <c r="C7" s="180"/>
      <c r="D7" s="180"/>
      <c r="E7" s="180"/>
      <c r="F7" s="180"/>
      <c r="G7" s="180"/>
      <c r="H7" s="180"/>
      <c r="I7" s="180"/>
    </row>
    <row r="8" spans="1:9" s="44" customFormat="1" ht="7.5" customHeight="1" x14ac:dyDescent="0.25">
      <c r="A8" s="88"/>
      <c r="B8" s="88"/>
      <c r="C8" s="88"/>
      <c r="D8" s="88"/>
      <c r="E8" s="88"/>
      <c r="F8" s="88"/>
      <c r="G8" s="88"/>
      <c r="H8" s="88"/>
      <c r="I8" s="88"/>
    </row>
    <row r="9" spans="1:9" s="44" customFormat="1" ht="20.100000000000001" customHeight="1" x14ac:dyDescent="0.25">
      <c r="A9" s="180" t="s">
        <v>7</v>
      </c>
      <c r="B9" s="180"/>
      <c r="C9" s="180"/>
      <c r="D9" s="180"/>
      <c r="E9" s="180"/>
      <c r="F9" s="180"/>
      <c r="G9" s="180"/>
      <c r="H9" s="180"/>
      <c r="I9" s="180"/>
    </row>
    <row r="10" spans="1:9" s="44" customFormat="1" ht="20.100000000000001" customHeight="1" x14ac:dyDescent="0.25">
      <c r="A10" s="180" t="str">
        <f>'JANUARY 2026 -PMC  '!A11:H11</f>
        <v>REPORT FOR THE MONTH OF JANUARY 2026</v>
      </c>
      <c r="B10" s="180"/>
      <c r="C10" s="180"/>
      <c r="D10" s="180"/>
      <c r="E10" s="180"/>
      <c r="F10" s="180"/>
      <c r="G10" s="180"/>
      <c r="H10" s="180"/>
      <c r="I10" s="180"/>
    </row>
    <row r="11" spans="1:9" ht="6" customHeight="1" x14ac:dyDescent="0.3"/>
    <row r="12" spans="1:9" ht="15" customHeight="1" x14ac:dyDescent="0.3">
      <c r="G12" s="2" t="s">
        <v>63</v>
      </c>
      <c r="H12" s="177" t="s">
        <v>163</v>
      </c>
      <c r="I12" s="177"/>
    </row>
    <row r="13" spans="1:9" ht="15" customHeight="1" x14ac:dyDescent="0.3">
      <c r="A13" s="6" t="s">
        <v>122</v>
      </c>
      <c r="B13" s="7"/>
      <c r="C13" s="156" t="s">
        <v>113</v>
      </c>
      <c r="D13" s="156"/>
      <c r="E13" s="156"/>
      <c r="F13" s="38"/>
      <c r="H13" s="22"/>
      <c r="I13" s="22"/>
    </row>
    <row r="14" spans="1:9" ht="15" customHeight="1" x14ac:dyDescent="0.3">
      <c r="A14" s="6"/>
      <c r="B14" s="7"/>
      <c r="C14" s="157" t="s">
        <v>92</v>
      </c>
      <c r="D14" s="157"/>
      <c r="E14" s="157"/>
      <c r="F14" s="38"/>
      <c r="H14" s="22"/>
      <c r="I14" s="22"/>
    </row>
    <row r="15" spans="1:9" ht="15" customHeight="1" x14ac:dyDescent="0.3">
      <c r="A15" s="6" t="s">
        <v>120</v>
      </c>
      <c r="C15" s="157" t="s">
        <v>114</v>
      </c>
      <c r="D15" s="157"/>
      <c r="E15" s="157"/>
      <c r="F15" s="38"/>
      <c r="G15" s="4" t="s">
        <v>9</v>
      </c>
      <c r="H15" s="77" t="s">
        <v>45</v>
      </c>
      <c r="I15" s="77"/>
    </row>
    <row r="16" spans="1:9" ht="15" customHeight="1" x14ac:dyDescent="0.3">
      <c r="A16" s="6" t="s">
        <v>49</v>
      </c>
      <c r="C16" s="78" t="s">
        <v>109</v>
      </c>
      <c r="D16" s="78"/>
      <c r="E16" s="78"/>
      <c r="F16" s="38"/>
      <c r="H16" s="22"/>
      <c r="I16" s="22"/>
    </row>
    <row r="17" spans="1:9" ht="15" customHeight="1" x14ac:dyDescent="0.3">
      <c r="A17" s="6" t="s">
        <v>48</v>
      </c>
      <c r="C17" s="49" t="s">
        <v>110</v>
      </c>
      <c r="D17" s="78"/>
      <c r="E17" s="78"/>
      <c r="F17" s="38"/>
      <c r="G17" s="4" t="s">
        <v>10</v>
      </c>
      <c r="H17" s="77" t="s">
        <v>46</v>
      </c>
      <c r="I17" s="77"/>
    </row>
    <row r="18" spans="1:9" ht="6.75" customHeight="1" x14ac:dyDescent="0.3"/>
    <row r="19" spans="1:9" ht="25.5" customHeight="1" x14ac:dyDescent="0.3">
      <c r="A19" s="158" t="s">
        <v>11</v>
      </c>
      <c r="B19" s="158"/>
      <c r="C19" s="81" t="s">
        <v>12</v>
      </c>
      <c r="D19" s="79" t="s">
        <v>68</v>
      </c>
      <c r="E19" s="178" t="s">
        <v>90</v>
      </c>
      <c r="F19" s="179"/>
      <c r="G19" s="87" t="s">
        <v>13</v>
      </c>
      <c r="H19" s="9" t="s">
        <v>59</v>
      </c>
      <c r="I19" s="9" t="s">
        <v>60</v>
      </c>
    </row>
    <row r="20" spans="1:9" x14ac:dyDescent="0.3">
      <c r="A20" s="173"/>
      <c r="B20" s="174"/>
      <c r="C20" s="10"/>
      <c r="D20" s="10"/>
      <c r="E20" s="173"/>
      <c r="F20" s="174"/>
      <c r="G20" s="10"/>
      <c r="H20" s="10" t="s">
        <v>61</v>
      </c>
      <c r="I20" s="10" t="s">
        <v>58</v>
      </c>
    </row>
    <row r="21" spans="1:9" ht="18" hidden="1" customHeight="1" x14ac:dyDescent="0.3">
      <c r="A21" s="140" t="s">
        <v>54</v>
      </c>
      <c r="B21" s="141"/>
      <c r="C21" s="75" t="s">
        <v>62</v>
      </c>
      <c r="D21" s="11" t="s">
        <v>104</v>
      </c>
      <c r="E21" s="175" t="s">
        <v>140</v>
      </c>
      <c r="F21" s="176"/>
      <c r="G21" s="12" t="s">
        <v>16</v>
      </c>
      <c r="H21" s="14"/>
      <c r="I21" s="14"/>
    </row>
    <row r="22" spans="1:9" ht="18" customHeight="1" x14ac:dyDescent="0.3">
      <c r="A22" s="149"/>
      <c r="B22" s="150"/>
      <c r="C22" s="75" t="s">
        <v>62</v>
      </c>
      <c r="D22" s="11" t="s">
        <v>148</v>
      </c>
      <c r="E22" s="171" t="s">
        <v>93</v>
      </c>
      <c r="F22" s="172"/>
      <c r="G22" s="12" t="s">
        <v>149</v>
      </c>
      <c r="H22" s="39">
        <v>0</v>
      </c>
      <c r="I22" s="13">
        <f>H22/91*25</f>
        <v>0</v>
      </c>
    </row>
    <row r="23" spans="1:9" ht="18" customHeight="1" x14ac:dyDescent="0.3">
      <c r="A23" s="149"/>
      <c r="B23" s="150"/>
      <c r="C23" s="75" t="s">
        <v>62</v>
      </c>
      <c r="D23" s="11" t="s">
        <v>150</v>
      </c>
      <c r="E23" s="171" t="s">
        <v>93</v>
      </c>
      <c r="F23" s="172"/>
      <c r="G23" s="12" t="s">
        <v>134</v>
      </c>
      <c r="H23" s="39">
        <v>0</v>
      </c>
      <c r="I23" s="13">
        <f>H23/208*25</f>
        <v>0</v>
      </c>
    </row>
    <row r="24" spans="1:9" ht="18" customHeight="1" x14ac:dyDescent="0.3">
      <c r="A24" s="149"/>
      <c r="B24" s="150"/>
      <c r="C24" s="75" t="s">
        <v>62</v>
      </c>
      <c r="D24" s="11" t="s">
        <v>147</v>
      </c>
      <c r="E24" s="171" t="s">
        <v>93</v>
      </c>
      <c r="F24" s="172"/>
      <c r="G24" s="12" t="s">
        <v>129</v>
      </c>
      <c r="H24" s="39">
        <f>177*91</f>
        <v>16107</v>
      </c>
      <c r="I24" s="90">
        <f>H24/91*25</f>
        <v>4425</v>
      </c>
    </row>
    <row r="25" spans="1:9" ht="18" customHeight="1" x14ac:dyDescent="0.3">
      <c r="A25" s="149"/>
      <c r="B25" s="150"/>
      <c r="C25" s="75" t="s">
        <v>62</v>
      </c>
      <c r="D25" s="11" t="s">
        <v>151</v>
      </c>
      <c r="E25" s="171" t="s">
        <v>93</v>
      </c>
      <c r="F25" s="172"/>
      <c r="G25" s="12" t="s">
        <v>128</v>
      </c>
      <c r="H25" s="39">
        <v>0</v>
      </c>
      <c r="I25" s="13">
        <f>H25/200*25</f>
        <v>0</v>
      </c>
    </row>
    <row r="26" spans="1:9" ht="18" customHeight="1" x14ac:dyDescent="0.3">
      <c r="A26" s="82" t="s">
        <v>138</v>
      </c>
      <c r="B26" s="82"/>
      <c r="C26" s="74" t="s">
        <v>14</v>
      </c>
      <c r="D26" s="11" t="s">
        <v>119</v>
      </c>
      <c r="E26" s="171" t="s">
        <v>93</v>
      </c>
      <c r="F26" s="172"/>
      <c r="G26" s="12" t="s">
        <v>47</v>
      </c>
      <c r="H26" s="76"/>
      <c r="I26" s="51">
        <f>112*25</f>
        <v>2800</v>
      </c>
    </row>
    <row r="27" spans="1:9" ht="18" customHeight="1" x14ac:dyDescent="0.3">
      <c r="A27" s="140" t="s">
        <v>19</v>
      </c>
      <c r="B27" s="141"/>
      <c r="C27" s="74" t="s">
        <v>14</v>
      </c>
      <c r="D27" s="76" t="s">
        <v>43</v>
      </c>
      <c r="E27" s="171" t="s">
        <v>93</v>
      </c>
      <c r="F27" s="172"/>
      <c r="G27" s="76" t="s">
        <v>43</v>
      </c>
      <c r="H27" s="76" t="s">
        <v>43</v>
      </c>
      <c r="I27" s="52" t="s">
        <v>43</v>
      </c>
    </row>
    <row r="28" spans="1:9" ht="18" customHeight="1" x14ac:dyDescent="0.3">
      <c r="A28" s="140" t="s">
        <v>20</v>
      </c>
      <c r="B28" s="141"/>
      <c r="C28" s="74" t="s">
        <v>21</v>
      </c>
      <c r="D28" s="11" t="s">
        <v>74</v>
      </c>
      <c r="E28" s="171" t="s">
        <v>93</v>
      </c>
      <c r="F28" s="172"/>
      <c r="G28" s="12" t="s">
        <v>43</v>
      </c>
      <c r="H28" s="76" t="s">
        <v>43</v>
      </c>
      <c r="I28" s="13" t="s">
        <v>43</v>
      </c>
    </row>
    <row r="29" spans="1:9" ht="18" customHeight="1" x14ac:dyDescent="0.3">
      <c r="A29" s="166" t="s">
        <v>22</v>
      </c>
      <c r="B29" s="168"/>
      <c r="C29" s="36" t="s">
        <v>21</v>
      </c>
      <c r="D29" s="11" t="s">
        <v>75</v>
      </c>
      <c r="E29" s="171" t="s">
        <v>93</v>
      </c>
      <c r="F29" s="172"/>
      <c r="G29" s="12" t="s">
        <v>23</v>
      </c>
      <c r="H29" s="13">
        <v>179</v>
      </c>
      <c r="I29" s="18"/>
    </row>
    <row r="30" spans="1:9" ht="18" customHeight="1" x14ac:dyDescent="0.3">
      <c r="A30" s="140" t="s">
        <v>84</v>
      </c>
      <c r="B30" s="141"/>
      <c r="C30" s="86" t="s">
        <v>21</v>
      </c>
      <c r="D30" s="11" t="s">
        <v>77</v>
      </c>
      <c r="E30" s="171" t="s">
        <v>93</v>
      </c>
      <c r="F30" s="172"/>
      <c r="G30" s="12" t="s">
        <v>64</v>
      </c>
      <c r="H30" s="55">
        <v>6</v>
      </c>
      <c r="I30" s="13" t="s">
        <v>43</v>
      </c>
    </row>
    <row r="31" spans="1:9" ht="18" customHeight="1" x14ac:dyDescent="0.3">
      <c r="A31" s="149"/>
      <c r="B31" s="150"/>
      <c r="C31" s="86" t="s">
        <v>21</v>
      </c>
      <c r="D31" s="11" t="s">
        <v>77</v>
      </c>
      <c r="E31" s="171" t="s">
        <v>93</v>
      </c>
      <c r="F31" s="172"/>
      <c r="G31" s="12" t="s">
        <v>107</v>
      </c>
      <c r="H31" s="39">
        <v>1780</v>
      </c>
      <c r="I31" s="13" t="s">
        <v>43</v>
      </c>
    </row>
    <row r="32" spans="1:9" ht="18" customHeight="1" x14ac:dyDescent="0.3">
      <c r="A32" s="149"/>
      <c r="B32" s="150"/>
      <c r="C32" s="86" t="s">
        <v>21</v>
      </c>
      <c r="D32" s="11" t="s">
        <v>111</v>
      </c>
      <c r="E32" s="171" t="s">
        <v>93</v>
      </c>
      <c r="F32" s="172"/>
      <c r="G32" s="12" t="s">
        <v>64</v>
      </c>
      <c r="H32" s="76" t="s">
        <v>43</v>
      </c>
      <c r="I32" s="13" t="s">
        <v>43</v>
      </c>
    </row>
    <row r="33" spans="1:9" ht="18" customHeight="1" x14ac:dyDescent="0.3">
      <c r="A33" s="147"/>
      <c r="B33" s="148"/>
      <c r="C33" s="81" t="s">
        <v>21</v>
      </c>
      <c r="D33" s="11" t="s">
        <v>111</v>
      </c>
      <c r="E33" s="171" t="s">
        <v>93</v>
      </c>
      <c r="F33" s="172"/>
      <c r="G33" s="12" t="s">
        <v>112</v>
      </c>
      <c r="H33" s="14" t="s">
        <v>43</v>
      </c>
      <c r="I33" s="13"/>
    </row>
    <row r="34" spans="1:9" ht="18" customHeight="1" x14ac:dyDescent="0.3">
      <c r="A34" s="142" t="s">
        <v>24</v>
      </c>
      <c r="B34" s="142"/>
      <c r="C34" s="81" t="s">
        <v>25</v>
      </c>
      <c r="D34" s="11" t="s">
        <v>80</v>
      </c>
      <c r="E34" s="171" t="s">
        <v>93</v>
      </c>
      <c r="F34" s="172"/>
      <c r="G34" s="12" t="s">
        <v>44</v>
      </c>
      <c r="H34" s="14">
        <v>249</v>
      </c>
      <c r="I34" s="13" t="s">
        <v>43</v>
      </c>
    </row>
    <row r="35" spans="1:9" ht="18" customHeight="1" x14ac:dyDescent="0.3">
      <c r="A35" s="140" t="s">
        <v>26</v>
      </c>
      <c r="B35" s="141"/>
      <c r="C35" s="81" t="s">
        <v>25</v>
      </c>
      <c r="D35" s="11" t="s">
        <v>132</v>
      </c>
      <c r="E35" s="171" t="s">
        <v>93</v>
      </c>
      <c r="F35" s="172"/>
      <c r="G35" s="12" t="s">
        <v>28</v>
      </c>
      <c r="H35" s="13">
        <v>0</v>
      </c>
      <c r="I35" s="13" t="s">
        <v>43</v>
      </c>
    </row>
    <row r="36" spans="1:9" ht="18" customHeight="1" x14ac:dyDescent="0.3">
      <c r="A36" s="149"/>
      <c r="B36" s="150"/>
      <c r="C36" s="81" t="s">
        <v>25</v>
      </c>
      <c r="D36" s="11" t="s">
        <v>103</v>
      </c>
      <c r="E36" s="171" t="s">
        <v>93</v>
      </c>
      <c r="F36" s="172"/>
      <c r="G36" s="12" t="s">
        <v>28</v>
      </c>
      <c r="H36" s="13">
        <v>1451</v>
      </c>
      <c r="I36" s="13"/>
    </row>
    <row r="37" spans="1:9" ht="18" customHeight="1" x14ac:dyDescent="0.3">
      <c r="A37" s="147"/>
      <c r="B37" s="148"/>
      <c r="C37" s="81" t="s">
        <v>25</v>
      </c>
      <c r="D37" s="11" t="s">
        <v>103</v>
      </c>
      <c r="E37" s="171" t="s">
        <v>93</v>
      </c>
      <c r="F37" s="172"/>
      <c r="G37" s="12" t="s">
        <v>29</v>
      </c>
      <c r="H37" s="13">
        <v>1275</v>
      </c>
      <c r="I37" s="13"/>
    </row>
    <row r="38" spans="1:9" ht="18" customHeight="1" x14ac:dyDescent="0.3">
      <c r="A38" s="142" t="s">
        <v>30</v>
      </c>
      <c r="B38" s="142"/>
      <c r="C38" s="154" t="s">
        <v>21</v>
      </c>
      <c r="D38" s="11" t="s">
        <v>31</v>
      </c>
      <c r="E38" s="171" t="s">
        <v>93</v>
      </c>
      <c r="F38" s="172"/>
      <c r="G38" s="12" t="s">
        <v>55</v>
      </c>
      <c r="H38" s="13" t="s">
        <v>43</v>
      </c>
      <c r="I38" s="13" t="s">
        <v>43</v>
      </c>
    </row>
    <row r="39" spans="1:9" ht="18" customHeight="1" x14ac:dyDescent="0.3">
      <c r="A39" s="142"/>
      <c r="B39" s="142"/>
      <c r="C39" s="154"/>
      <c r="D39" s="11" t="s">
        <v>32</v>
      </c>
      <c r="E39" s="171" t="s">
        <v>93</v>
      </c>
      <c r="F39" s="172"/>
      <c r="G39" s="12"/>
      <c r="H39" s="13" t="s">
        <v>43</v>
      </c>
      <c r="I39" s="13" t="s">
        <v>43</v>
      </c>
    </row>
    <row r="40" spans="1:9" ht="18" customHeight="1" x14ac:dyDescent="0.3">
      <c r="A40" s="142" t="s">
        <v>33</v>
      </c>
      <c r="B40" s="142"/>
      <c r="C40" s="154" t="s">
        <v>25</v>
      </c>
      <c r="D40" s="12" t="s">
        <v>43</v>
      </c>
      <c r="E40" s="171" t="s">
        <v>43</v>
      </c>
      <c r="F40" s="172"/>
      <c r="G40" s="12" t="s">
        <v>43</v>
      </c>
      <c r="H40" s="13" t="s">
        <v>43</v>
      </c>
      <c r="I40" s="13" t="s">
        <v>43</v>
      </c>
    </row>
    <row r="41" spans="1:9" ht="18" customHeight="1" x14ac:dyDescent="0.3">
      <c r="A41" s="142"/>
      <c r="B41" s="142"/>
      <c r="C41" s="154"/>
      <c r="D41" s="12" t="s">
        <v>43</v>
      </c>
      <c r="E41" s="171" t="s">
        <v>43</v>
      </c>
      <c r="F41" s="172"/>
      <c r="G41" s="12" t="s">
        <v>43</v>
      </c>
      <c r="H41" s="13" t="s">
        <v>43</v>
      </c>
      <c r="I41" s="13" t="s">
        <v>43</v>
      </c>
    </row>
    <row r="42" spans="1:9" ht="18" customHeight="1" x14ac:dyDescent="0.3">
      <c r="A42" s="142" t="s">
        <v>34</v>
      </c>
      <c r="B42" s="142"/>
      <c r="C42" s="81" t="s">
        <v>21</v>
      </c>
      <c r="D42" s="11" t="s">
        <v>82</v>
      </c>
      <c r="E42" s="171" t="s">
        <v>93</v>
      </c>
      <c r="F42" s="172"/>
      <c r="G42" s="12" t="s">
        <v>43</v>
      </c>
      <c r="H42" s="13" t="s">
        <v>43</v>
      </c>
      <c r="I42" s="13" t="s">
        <v>43</v>
      </c>
    </row>
    <row r="43" spans="1:9" ht="18" customHeight="1" x14ac:dyDescent="0.3">
      <c r="A43" s="142" t="s">
        <v>35</v>
      </c>
      <c r="B43" s="142"/>
      <c r="C43" s="81" t="s">
        <v>25</v>
      </c>
      <c r="D43" s="12" t="s">
        <v>43</v>
      </c>
      <c r="E43" s="171" t="s">
        <v>43</v>
      </c>
      <c r="F43" s="172"/>
      <c r="G43" s="12" t="s">
        <v>43</v>
      </c>
      <c r="H43" s="13" t="s">
        <v>43</v>
      </c>
      <c r="I43" s="13" t="s">
        <v>43</v>
      </c>
    </row>
    <row r="44" spans="1:9" ht="18" customHeight="1" x14ac:dyDescent="0.3">
      <c r="A44" s="142" t="s">
        <v>53</v>
      </c>
      <c r="B44" s="142"/>
      <c r="C44" s="81" t="s">
        <v>25</v>
      </c>
      <c r="D44" s="12" t="s">
        <v>43</v>
      </c>
      <c r="E44" s="171" t="s">
        <v>43</v>
      </c>
      <c r="F44" s="172"/>
      <c r="G44" s="12" t="s">
        <v>43</v>
      </c>
      <c r="H44" s="13" t="s">
        <v>43</v>
      </c>
      <c r="I44" s="13" t="s">
        <v>43</v>
      </c>
    </row>
    <row r="45" spans="1:9" ht="12.75" customHeight="1" x14ac:dyDescent="0.3">
      <c r="A45" s="8"/>
      <c r="B45" s="8"/>
      <c r="C45" s="80"/>
      <c r="D45" s="80"/>
      <c r="E45" s="21"/>
      <c r="F45" s="21"/>
      <c r="G45" s="21"/>
      <c r="H45" s="21"/>
      <c r="I45" s="21"/>
    </row>
    <row r="46" spans="1:9" s="71" customFormat="1" ht="17.25" customHeight="1" x14ac:dyDescent="0.25">
      <c r="A46" s="71" t="s">
        <v>41</v>
      </c>
      <c r="D46" s="71" t="s">
        <v>85</v>
      </c>
      <c r="G46" s="71" t="s">
        <v>143</v>
      </c>
    </row>
    <row r="47" spans="1:9" ht="10.5" customHeight="1" x14ac:dyDescent="0.3">
      <c r="G47" s="7"/>
    </row>
    <row r="48" spans="1:9" ht="12.95" customHeight="1" x14ac:dyDescent="0.3">
      <c r="A48" s="25"/>
      <c r="E48" s="25"/>
      <c r="F48" s="25"/>
    </row>
    <row r="49" spans="1:12" s="60" customFormat="1" ht="17.25" customHeight="1" x14ac:dyDescent="0.3">
      <c r="A49" s="59" t="s">
        <v>115</v>
      </c>
      <c r="B49" s="58"/>
      <c r="C49" s="60" t="s">
        <v>96</v>
      </c>
      <c r="D49" s="58" t="s">
        <v>153</v>
      </c>
      <c r="E49" s="58"/>
      <c r="G49" s="58" t="s">
        <v>157</v>
      </c>
      <c r="H49" s="67"/>
      <c r="I49" s="67"/>
      <c r="L49" s="57"/>
    </row>
    <row r="50" spans="1:12" s="42" customFormat="1" ht="15.75" x14ac:dyDescent="0.25">
      <c r="A50" s="37" t="s">
        <v>116</v>
      </c>
      <c r="D50" s="37" t="s">
        <v>117</v>
      </c>
      <c r="E50" s="37"/>
      <c r="F50" s="37"/>
      <c r="G50" s="47" t="s">
        <v>158</v>
      </c>
      <c r="H50" s="47"/>
      <c r="I50" s="47"/>
      <c r="L50" s="44"/>
    </row>
    <row r="51" spans="1:12" s="44" customFormat="1" ht="15.75" x14ac:dyDescent="0.25">
      <c r="A51" s="37" t="s">
        <v>8</v>
      </c>
      <c r="D51" s="37" t="s">
        <v>66</v>
      </c>
      <c r="E51" s="37"/>
      <c r="F51" s="37"/>
      <c r="G51" s="37" t="s">
        <v>136</v>
      </c>
      <c r="H51" s="37"/>
      <c r="I51" s="37"/>
    </row>
    <row r="52" spans="1:12" s="44" customFormat="1" ht="15.75" x14ac:dyDescent="0.25">
      <c r="A52" s="37" t="s">
        <v>118</v>
      </c>
      <c r="D52" s="48" t="s">
        <v>154</v>
      </c>
      <c r="E52" s="48"/>
      <c r="F52" s="48"/>
      <c r="I52" s="45"/>
      <c r="L52" s="42"/>
    </row>
    <row r="53" spans="1:12" s="44" customFormat="1" ht="13.5" customHeight="1" x14ac:dyDescent="0.25">
      <c r="A53" s="37"/>
      <c r="L53" s="42"/>
    </row>
    <row r="54" spans="1:12" ht="9.75" customHeight="1" x14ac:dyDescent="0.3">
      <c r="A54" s="23"/>
    </row>
    <row r="55" spans="1:12" s="68" customFormat="1" ht="17.25" x14ac:dyDescent="0.3">
      <c r="A55" s="68" t="s">
        <v>144</v>
      </c>
      <c r="D55" s="69"/>
      <c r="E55" s="70"/>
      <c r="F55" s="70"/>
    </row>
    <row r="56" spans="1:12" ht="10.5" customHeight="1" x14ac:dyDescent="0.3"/>
    <row r="57" spans="1:12" ht="13.5" customHeight="1" x14ac:dyDescent="0.3"/>
    <row r="58" spans="1:12" s="57" customFormat="1" ht="17.25" x14ac:dyDescent="0.3">
      <c r="A58" s="65" t="s">
        <v>109</v>
      </c>
    </row>
    <row r="59" spans="1:12" s="44" customFormat="1" ht="15.75" x14ac:dyDescent="0.25">
      <c r="A59" s="44" t="s">
        <v>161</v>
      </c>
    </row>
    <row r="60" spans="1:12" s="44" customFormat="1" ht="15.75" x14ac:dyDescent="0.25">
      <c r="A60" s="44" t="s">
        <v>8</v>
      </c>
    </row>
  </sheetData>
  <mergeCells count="52">
    <mergeCell ref="A10:I10"/>
    <mergeCell ref="A4:I4"/>
    <mergeCell ref="A5:I5"/>
    <mergeCell ref="A6:I6"/>
    <mergeCell ref="A7:I7"/>
    <mergeCell ref="A9:I9"/>
    <mergeCell ref="H12:I12"/>
    <mergeCell ref="C13:E13"/>
    <mergeCell ref="C14:E14"/>
    <mergeCell ref="C15:E15"/>
    <mergeCell ref="A19:B19"/>
    <mergeCell ref="E19:F19"/>
    <mergeCell ref="A20:B20"/>
    <mergeCell ref="E20:F20"/>
    <mergeCell ref="A21:B25"/>
    <mergeCell ref="E21:F21"/>
    <mergeCell ref="E22:F22"/>
    <mergeCell ref="E23:F23"/>
    <mergeCell ref="E24:F24"/>
    <mergeCell ref="E25:F25"/>
    <mergeCell ref="A34:B34"/>
    <mergeCell ref="E34:F34"/>
    <mergeCell ref="E26:F26"/>
    <mergeCell ref="A27:B27"/>
    <mergeCell ref="E27:F27"/>
    <mergeCell ref="A28:B28"/>
    <mergeCell ref="E28:F28"/>
    <mergeCell ref="A29:B29"/>
    <mergeCell ref="E29:F29"/>
    <mergeCell ref="A30:B33"/>
    <mergeCell ref="E30:F30"/>
    <mergeCell ref="E31:F31"/>
    <mergeCell ref="E32:F32"/>
    <mergeCell ref="E33:F33"/>
    <mergeCell ref="A35:B37"/>
    <mergeCell ref="E35:F35"/>
    <mergeCell ref="E36:F36"/>
    <mergeCell ref="E37:F37"/>
    <mergeCell ref="A38:B39"/>
    <mergeCell ref="C38:C39"/>
    <mergeCell ref="E38:F38"/>
    <mergeCell ref="E39:F39"/>
    <mergeCell ref="A43:B43"/>
    <mergeCell ref="E43:F43"/>
    <mergeCell ref="A44:B44"/>
    <mergeCell ref="E44:F44"/>
    <mergeCell ref="A40:B41"/>
    <mergeCell ref="C40:C41"/>
    <mergeCell ref="E40:F40"/>
    <mergeCell ref="E41:F41"/>
    <mergeCell ref="A42:B42"/>
    <mergeCell ref="E42:F42"/>
  </mergeCells>
  <pageMargins left="0.19685039370078741" right="0.27559055118110237" top="0.35433070866141736" bottom="0.39370078740157483" header="0.31496062992125984" footer="0.31496062992125984"/>
  <pageSetup paperSize="14" scale="9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M85"/>
  <sheetViews>
    <sheetView zoomScale="130" zoomScaleNormal="130" workbookViewId="0">
      <selection activeCell="N14" sqref="N14"/>
    </sheetView>
  </sheetViews>
  <sheetFormatPr defaultRowHeight="16.5" x14ac:dyDescent="0.3"/>
  <cols>
    <col min="1" max="1" width="9.140625" style="3"/>
    <col min="2" max="2" width="15.7109375" style="3" customWidth="1"/>
    <col min="3" max="3" width="12.7109375" style="3" customWidth="1"/>
    <col min="4" max="4" width="15.85546875" style="3" customWidth="1"/>
    <col min="5" max="5" width="20.28515625" style="3" customWidth="1"/>
    <col min="6" max="6" width="14.42578125" style="3" customWidth="1"/>
    <col min="7" max="7" width="11" style="3" customWidth="1"/>
    <col min="8" max="8" width="10.42578125" style="3" customWidth="1"/>
    <col min="9" max="9" width="9.85546875" style="3" bestFit="1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15" customHeight="1" x14ac:dyDescent="0.3">
      <c r="A5" s="160" t="s">
        <v>3</v>
      </c>
      <c r="B5" s="160"/>
      <c r="C5" s="160"/>
      <c r="D5" s="160"/>
      <c r="E5" s="160"/>
      <c r="F5" s="160"/>
      <c r="G5" s="160"/>
      <c r="H5" s="160"/>
      <c r="I5" s="1"/>
    </row>
    <row r="6" spans="1:9" x14ac:dyDescent="0.3">
      <c r="A6" s="160" t="s">
        <v>4</v>
      </c>
      <c r="B6" s="160"/>
      <c r="C6" s="160"/>
      <c r="D6" s="160"/>
      <c r="E6" s="160"/>
      <c r="F6" s="160"/>
      <c r="G6" s="160"/>
      <c r="H6" s="160"/>
      <c r="I6" s="1"/>
    </row>
    <row r="7" spans="1:9" x14ac:dyDescent="0.3">
      <c r="A7" s="160" t="s">
        <v>5</v>
      </c>
      <c r="B7" s="160"/>
      <c r="C7" s="160"/>
      <c r="D7" s="160"/>
      <c r="E7" s="160"/>
      <c r="F7" s="160"/>
      <c r="G7" s="160"/>
      <c r="H7" s="160"/>
      <c r="I7" s="1"/>
    </row>
    <row r="8" spans="1:9" x14ac:dyDescent="0.3">
      <c r="A8" s="160" t="s">
        <v>6</v>
      </c>
      <c r="B8" s="160"/>
      <c r="C8" s="160"/>
      <c r="D8" s="160"/>
      <c r="E8" s="160"/>
      <c r="F8" s="160"/>
      <c r="G8" s="160"/>
      <c r="H8" s="160"/>
      <c r="I8" s="1"/>
    </row>
    <row r="9" spans="1:9" ht="3" customHeight="1" x14ac:dyDescent="0.3">
      <c r="A9" s="80"/>
      <c r="B9" s="80"/>
      <c r="C9" s="80"/>
      <c r="D9" s="80"/>
      <c r="E9" s="80"/>
      <c r="F9" s="80"/>
      <c r="G9" s="80"/>
      <c r="H9" s="80"/>
      <c r="I9" s="1"/>
    </row>
    <row r="10" spans="1:9" ht="18.75" customHeight="1" x14ac:dyDescent="0.3">
      <c r="A10" s="160" t="s">
        <v>7</v>
      </c>
      <c r="B10" s="160"/>
      <c r="C10" s="160"/>
      <c r="D10" s="160"/>
      <c r="E10" s="160"/>
      <c r="F10" s="160"/>
      <c r="G10" s="160"/>
      <c r="H10" s="160"/>
      <c r="I10" s="1"/>
    </row>
    <row r="11" spans="1:9" x14ac:dyDescent="0.3">
      <c r="A11" s="159" t="s">
        <v>164</v>
      </c>
      <c r="B11" s="159"/>
      <c r="C11" s="159"/>
      <c r="D11" s="159"/>
      <c r="E11" s="159"/>
      <c r="F11" s="159"/>
      <c r="G11" s="159"/>
      <c r="H11" s="159"/>
      <c r="I11" s="5"/>
    </row>
    <row r="12" spans="1:9" ht="3" customHeight="1" x14ac:dyDescent="0.3">
      <c r="I12" s="5"/>
    </row>
    <row r="13" spans="1:9" ht="14.25" customHeight="1" x14ac:dyDescent="0.3">
      <c r="F13" s="2" t="s">
        <v>63</v>
      </c>
      <c r="G13" s="155" t="s">
        <v>165</v>
      </c>
      <c r="H13" s="155"/>
    </row>
    <row r="14" spans="1:9" ht="15" customHeight="1" x14ac:dyDescent="0.3">
      <c r="A14" s="6" t="s">
        <v>127</v>
      </c>
      <c r="B14" s="7"/>
      <c r="C14" s="156" t="s">
        <v>91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92</v>
      </c>
      <c r="D15" s="157"/>
      <c r="E15" s="157"/>
      <c r="G15" s="22"/>
      <c r="H15" s="22"/>
    </row>
    <row r="16" spans="1:9" ht="15" customHeight="1" x14ac:dyDescent="0.3">
      <c r="A16" s="6" t="s">
        <v>125</v>
      </c>
      <c r="C16" s="49" t="s">
        <v>42</v>
      </c>
      <c r="D16" s="49"/>
      <c r="E16" s="49"/>
      <c r="F16" s="4" t="s">
        <v>9</v>
      </c>
      <c r="G16" s="77" t="s">
        <v>45</v>
      </c>
      <c r="H16" s="77"/>
    </row>
    <row r="17" spans="1:13" ht="15" customHeight="1" x14ac:dyDescent="0.3">
      <c r="A17" s="6" t="s">
        <v>126</v>
      </c>
      <c r="C17" s="78" t="s">
        <v>109</v>
      </c>
      <c r="D17" s="49"/>
      <c r="E17" s="49"/>
      <c r="G17" s="22"/>
      <c r="H17" s="22"/>
    </row>
    <row r="18" spans="1:13" ht="15" customHeight="1" x14ac:dyDescent="0.3">
      <c r="A18" s="6" t="s">
        <v>124</v>
      </c>
      <c r="C18" s="49" t="s">
        <v>110</v>
      </c>
      <c r="D18" s="49"/>
      <c r="E18" s="49"/>
      <c r="F18" s="4" t="s">
        <v>10</v>
      </c>
      <c r="G18" s="77" t="s">
        <v>46</v>
      </c>
      <c r="H18" s="77"/>
    </row>
    <row r="19" spans="1:13" ht="3" customHeight="1" thickBot="1" x14ac:dyDescent="0.35"/>
    <row r="20" spans="1:13" ht="25.5" customHeight="1" x14ac:dyDescent="0.3">
      <c r="A20" s="191" t="s">
        <v>11</v>
      </c>
      <c r="B20" s="192"/>
      <c r="C20" s="92" t="s">
        <v>12</v>
      </c>
      <c r="D20" s="92" t="s">
        <v>68</v>
      </c>
      <c r="E20" s="93" t="s">
        <v>90</v>
      </c>
      <c r="F20" s="94" t="s">
        <v>13</v>
      </c>
      <c r="G20" s="95" t="s">
        <v>59</v>
      </c>
      <c r="H20" s="96" t="s">
        <v>60</v>
      </c>
      <c r="M20" s="3">
        <f>1049-15</f>
        <v>1034</v>
      </c>
    </row>
    <row r="21" spans="1:13" ht="13.5" customHeight="1" x14ac:dyDescent="0.3">
      <c r="A21" s="97"/>
      <c r="B21" s="85"/>
      <c r="C21" s="84"/>
      <c r="D21" s="85"/>
      <c r="E21" s="10"/>
      <c r="F21" s="85"/>
      <c r="G21" s="10" t="s">
        <v>61</v>
      </c>
      <c r="H21" s="98" t="s">
        <v>58</v>
      </c>
    </row>
    <row r="22" spans="1:13" ht="15" hidden="1" customHeight="1" x14ac:dyDescent="0.3">
      <c r="A22" s="183" t="s">
        <v>100</v>
      </c>
      <c r="B22" s="141"/>
      <c r="C22" s="144" t="s">
        <v>62</v>
      </c>
      <c r="D22" s="11" t="s">
        <v>130</v>
      </c>
      <c r="E22" s="11" t="s">
        <v>93</v>
      </c>
      <c r="F22" s="12" t="s">
        <v>15</v>
      </c>
      <c r="G22" s="12" t="s">
        <v>43</v>
      </c>
      <c r="H22" s="99" t="s">
        <v>43</v>
      </c>
    </row>
    <row r="23" spans="1:13" ht="15" hidden="1" customHeight="1" x14ac:dyDescent="0.3">
      <c r="A23" s="190"/>
      <c r="B23" s="150"/>
      <c r="C23" s="151"/>
      <c r="D23" s="11" t="s">
        <v>69</v>
      </c>
      <c r="E23" s="11" t="s">
        <v>93</v>
      </c>
      <c r="F23" s="12" t="s">
        <v>15</v>
      </c>
      <c r="G23" s="12" t="s">
        <v>43</v>
      </c>
      <c r="H23" s="99" t="s">
        <v>43</v>
      </c>
    </row>
    <row r="24" spans="1:13" ht="15" customHeight="1" x14ac:dyDescent="0.3">
      <c r="A24" s="190"/>
      <c r="B24" s="150"/>
      <c r="C24" s="151"/>
      <c r="D24" s="11" t="s">
        <v>159</v>
      </c>
      <c r="E24" s="11" t="s">
        <v>93</v>
      </c>
      <c r="F24" s="12" t="s">
        <v>15</v>
      </c>
      <c r="G24" s="14">
        <v>41302</v>
      </c>
      <c r="H24" s="100">
        <f>G24/200*25</f>
        <v>5162.75</v>
      </c>
    </row>
    <row r="25" spans="1:13" ht="15" hidden="1" customHeight="1" x14ac:dyDescent="0.3">
      <c r="A25" s="190"/>
      <c r="B25" s="150"/>
      <c r="C25" s="151"/>
      <c r="D25" s="11" t="s">
        <v>70</v>
      </c>
      <c r="E25" s="11" t="s">
        <v>94</v>
      </c>
      <c r="F25" s="12" t="s">
        <v>16</v>
      </c>
      <c r="G25" s="14" t="s">
        <v>43</v>
      </c>
      <c r="H25" s="100" t="s">
        <v>43</v>
      </c>
    </row>
    <row r="26" spans="1:13" ht="15" hidden="1" customHeight="1" x14ac:dyDescent="0.3">
      <c r="A26" s="190"/>
      <c r="B26" s="150"/>
      <c r="C26" s="151"/>
      <c r="D26" s="11" t="s">
        <v>99</v>
      </c>
      <c r="E26" s="11" t="s">
        <v>94</v>
      </c>
      <c r="F26" s="12" t="s">
        <v>17</v>
      </c>
      <c r="G26" s="12" t="s">
        <v>43</v>
      </c>
      <c r="H26" s="100"/>
    </row>
    <row r="27" spans="1:13" ht="15" hidden="1" customHeight="1" x14ac:dyDescent="0.3">
      <c r="A27" s="190"/>
      <c r="B27" s="150"/>
      <c r="C27" s="151"/>
      <c r="D27" s="11" t="s">
        <v>71</v>
      </c>
      <c r="E27" s="11" t="s">
        <v>94</v>
      </c>
      <c r="F27" s="12" t="s">
        <v>52</v>
      </c>
      <c r="G27" s="12" t="s">
        <v>43</v>
      </c>
      <c r="H27" s="100" t="s">
        <v>43</v>
      </c>
    </row>
    <row r="28" spans="1:13" ht="15" hidden="1" customHeight="1" x14ac:dyDescent="0.3">
      <c r="A28" s="190"/>
      <c r="B28" s="150"/>
      <c r="C28" s="151"/>
      <c r="D28" s="11" t="s">
        <v>101</v>
      </c>
      <c r="E28" s="11" t="s">
        <v>94</v>
      </c>
      <c r="F28" s="12" t="s">
        <v>16</v>
      </c>
      <c r="G28" s="12" t="s">
        <v>43</v>
      </c>
      <c r="H28" s="100" t="s">
        <v>43</v>
      </c>
    </row>
    <row r="29" spans="1:13" ht="15" hidden="1" customHeight="1" x14ac:dyDescent="0.3">
      <c r="A29" s="190"/>
      <c r="B29" s="150"/>
      <c r="C29" s="151"/>
      <c r="D29" s="11" t="s">
        <v>108</v>
      </c>
      <c r="E29" s="11" t="s">
        <v>94</v>
      </c>
      <c r="F29" s="12" t="s">
        <v>98</v>
      </c>
      <c r="G29" s="12" t="s">
        <v>43</v>
      </c>
      <c r="H29" s="100" t="s">
        <v>43</v>
      </c>
    </row>
    <row r="30" spans="1:13" ht="15" hidden="1" customHeight="1" x14ac:dyDescent="0.3">
      <c r="A30" s="190"/>
      <c r="B30" s="150"/>
      <c r="C30" s="151"/>
      <c r="D30" s="11" t="s">
        <v>102</v>
      </c>
      <c r="E30" s="11" t="s">
        <v>94</v>
      </c>
      <c r="F30" s="12" t="s">
        <v>98</v>
      </c>
      <c r="G30" s="12" t="s">
        <v>43</v>
      </c>
      <c r="H30" s="100" t="s">
        <v>43</v>
      </c>
    </row>
    <row r="31" spans="1:13" ht="15" customHeight="1" x14ac:dyDescent="0.3">
      <c r="A31" s="189"/>
      <c r="B31" s="148"/>
      <c r="C31" s="145"/>
      <c r="D31" s="11" t="s">
        <v>104</v>
      </c>
      <c r="E31" s="11" t="s">
        <v>94</v>
      </c>
      <c r="F31" s="12" t="s">
        <v>16</v>
      </c>
      <c r="G31" s="14">
        <v>39560</v>
      </c>
      <c r="H31" s="100">
        <f>G31/215*25</f>
        <v>4600</v>
      </c>
    </row>
    <row r="32" spans="1:13" ht="15" customHeight="1" x14ac:dyDescent="0.3">
      <c r="A32" s="101" t="s">
        <v>18</v>
      </c>
      <c r="B32" s="28"/>
      <c r="C32" s="144" t="s">
        <v>14</v>
      </c>
      <c r="D32" s="11" t="s">
        <v>72</v>
      </c>
      <c r="E32" s="11" t="s">
        <v>94</v>
      </c>
      <c r="F32" s="12" t="s">
        <v>47</v>
      </c>
      <c r="G32" s="13" t="s">
        <v>43</v>
      </c>
      <c r="H32" s="100">
        <f>I32</f>
        <v>39560</v>
      </c>
      <c r="I32" s="15">
        <v>39560</v>
      </c>
      <c r="J32" s="17" t="e">
        <f>H32+H33</f>
        <v>#VALUE!</v>
      </c>
    </row>
    <row r="33" spans="1:11" ht="15" customHeight="1" x14ac:dyDescent="0.3">
      <c r="A33" s="189" t="s">
        <v>137</v>
      </c>
      <c r="B33" s="148"/>
      <c r="C33" s="145"/>
      <c r="D33" s="11" t="s">
        <v>73</v>
      </c>
      <c r="E33" s="11" t="s">
        <v>93</v>
      </c>
      <c r="F33" s="12" t="s">
        <v>47</v>
      </c>
      <c r="G33" s="13" t="s">
        <v>43</v>
      </c>
      <c r="H33" s="100" t="s">
        <v>43</v>
      </c>
      <c r="I33" s="16"/>
      <c r="J33" s="3">
        <f>I32/3</f>
        <v>13186.666666666666</v>
      </c>
      <c r="K33" s="3">
        <f>J33*2</f>
        <v>26373.333333333332</v>
      </c>
    </row>
    <row r="34" spans="1:11" ht="15" customHeight="1" x14ac:dyDescent="0.3">
      <c r="A34" s="183" t="s">
        <v>19</v>
      </c>
      <c r="B34" s="141"/>
      <c r="C34" s="74" t="s">
        <v>14</v>
      </c>
      <c r="D34" s="76" t="s">
        <v>43</v>
      </c>
      <c r="E34" s="76" t="s">
        <v>43</v>
      </c>
      <c r="F34" s="76" t="s">
        <v>43</v>
      </c>
      <c r="G34" s="52" t="s">
        <v>43</v>
      </c>
      <c r="H34" s="102" t="s">
        <v>43</v>
      </c>
      <c r="I34" s="17"/>
      <c r="J34" s="17"/>
    </row>
    <row r="35" spans="1:11" ht="15" customHeight="1" x14ac:dyDescent="0.3">
      <c r="A35" s="183" t="s">
        <v>20</v>
      </c>
      <c r="B35" s="141"/>
      <c r="C35" s="74" t="s">
        <v>21</v>
      </c>
      <c r="D35" s="11" t="s">
        <v>74</v>
      </c>
      <c r="E35" s="11" t="s">
        <v>94</v>
      </c>
      <c r="F35" s="12" t="s">
        <v>43</v>
      </c>
      <c r="G35" s="52">
        <v>158</v>
      </c>
      <c r="H35" s="100" t="s">
        <v>43</v>
      </c>
    </row>
    <row r="36" spans="1:11" ht="15" customHeight="1" x14ac:dyDescent="0.3">
      <c r="A36" s="183" t="s">
        <v>22</v>
      </c>
      <c r="B36" s="152"/>
      <c r="C36" s="154" t="s">
        <v>21</v>
      </c>
      <c r="D36" s="11" t="s">
        <v>75</v>
      </c>
      <c r="E36" s="11" t="s">
        <v>94</v>
      </c>
      <c r="F36" s="12"/>
      <c r="G36" s="13">
        <f>I36/2</f>
        <v>2310</v>
      </c>
      <c r="H36" s="100"/>
      <c r="I36" s="53">
        <v>4620</v>
      </c>
    </row>
    <row r="37" spans="1:11" ht="15" customHeight="1" x14ac:dyDescent="0.3">
      <c r="A37" s="189"/>
      <c r="B37" s="153"/>
      <c r="C37" s="154"/>
      <c r="D37" s="11" t="s">
        <v>75</v>
      </c>
      <c r="E37" s="11" t="s">
        <v>93</v>
      </c>
      <c r="F37" s="12" t="s">
        <v>23</v>
      </c>
      <c r="G37" s="13">
        <f>I36/2</f>
        <v>2310</v>
      </c>
      <c r="H37" s="100" t="s">
        <v>43</v>
      </c>
    </row>
    <row r="38" spans="1:11" ht="15" customHeight="1" x14ac:dyDescent="0.3">
      <c r="A38" s="183" t="s">
        <v>105</v>
      </c>
      <c r="B38" s="141"/>
      <c r="C38" s="144" t="s">
        <v>21</v>
      </c>
      <c r="D38" s="11" t="s">
        <v>76</v>
      </c>
      <c r="E38" s="11" t="s">
        <v>93</v>
      </c>
      <c r="F38" s="12" t="s">
        <v>64</v>
      </c>
      <c r="G38" s="14">
        <v>0</v>
      </c>
      <c r="H38" s="100" t="s">
        <v>43</v>
      </c>
    </row>
    <row r="39" spans="1:11" ht="14.25" customHeight="1" x14ac:dyDescent="0.3">
      <c r="A39" s="189"/>
      <c r="B39" s="148"/>
      <c r="C39" s="145"/>
      <c r="D39" s="11" t="s">
        <v>76</v>
      </c>
      <c r="E39" s="11" t="s">
        <v>93</v>
      </c>
      <c r="F39" s="12" t="s">
        <v>65</v>
      </c>
      <c r="G39" s="14">
        <v>0</v>
      </c>
      <c r="H39" s="100" t="s">
        <v>43</v>
      </c>
    </row>
    <row r="40" spans="1:11" ht="15" customHeight="1" x14ac:dyDescent="0.3">
      <c r="A40" s="189" t="s">
        <v>106</v>
      </c>
      <c r="B40" s="148"/>
      <c r="C40" s="86" t="s">
        <v>21</v>
      </c>
      <c r="D40" s="11" t="s">
        <v>77</v>
      </c>
      <c r="E40" s="11" t="s">
        <v>93</v>
      </c>
      <c r="F40" s="12" t="s">
        <v>64</v>
      </c>
      <c r="G40" s="14">
        <v>0</v>
      </c>
      <c r="H40" s="100" t="s">
        <v>43</v>
      </c>
    </row>
    <row r="41" spans="1:11" ht="15" customHeight="1" x14ac:dyDescent="0.3">
      <c r="A41" s="189" t="s">
        <v>106</v>
      </c>
      <c r="B41" s="148"/>
      <c r="C41" s="86" t="s">
        <v>21</v>
      </c>
      <c r="D41" s="11" t="s">
        <v>77</v>
      </c>
      <c r="E41" s="11" t="s">
        <v>93</v>
      </c>
      <c r="F41" s="12" t="s">
        <v>65</v>
      </c>
      <c r="G41" s="14">
        <v>0</v>
      </c>
      <c r="H41" s="100" t="s">
        <v>43</v>
      </c>
    </row>
    <row r="42" spans="1:11" ht="15" customHeight="1" x14ac:dyDescent="0.3">
      <c r="A42" s="189" t="s">
        <v>106</v>
      </c>
      <c r="B42" s="148"/>
      <c r="C42" s="86" t="s">
        <v>21</v>
      </c>
      <c r="D42" s="11" t="s">
        <v>111</v>
      </c>
      <c r="E42" s="11" t="s">
        <v>93</v>
      </c>
      <c r="F42" s="12" t="s">
        <v>64</v>
      </c>
      <c r="G42" s="14">
        <v>0</v>
      </c>
      <c r="H42" s="100" t="s">
        <v>43</v>
      </c>
    </row>
    <row r="43" spans="1:11" ht="15" customHeight="1" x14ac:dyDescent="0.3">
      <c r="A43" s="189" t="s">
        <v>106</v>
      </c>
      <c r="B43" s="148"/>
      <c r="C43" s="86" t="s">
        <v>21</v>
      </c>
      <c r="D43" s="11" t="s">
        <v>78</v>
      </c>
      <c r="E43" s="11" t="s">
        <v>94</v>
      </c>
      <c r="F43" s="12" t="s">
        <v>64</v>
      </c>
      <c r="G43" s="14">
        <v>39733</v>
      </c>
      <c r="H43" s="100" t="s">
        <v>43</v>
      </c>
    </row>
    <row r="44" spans="1:11" ht="15" customHeight="1" x14ac:dyDescent="0.3">
      <c r="A44" s="189" t="s">
        <v>106</v>
      </c>
      <c r="B44" s="148"/>
      <c r="C44" s="36" t="s">
        <v>21</v>
      </c>
      <c r="D44" s="11" t="s">
        <v>79</v>
      </c>
      <c r="E44" s="11" t="s">
        <v>94</v>
      </c>
      <c r="F44" s="12" t="s">
        <v>65</v>
      </c>
      <c r="G44" s="14">
        <v>414</v>
      </c>
      <c r="H44" s="100" t="s">
        <v>43</v>
      </c>
    </row>
    <row r="45" spans="1:11" ht="15" customHeight="1" x14ac:dyDescent="0.3">
      <c r="A45" s="189" t="s">
        <v>106</v>
      </c>
      <c r="B45" s="148"/>
      <c r="C45" s="36" t="s">
        <v>21</v>
      </c>
      <c r="D45" s="11" t="s">
        <v>79</v>
      </c>
      <c r="E45" s="11" t="s">
        <v>94</v>
      </c>
      <c r="F45" s="12" t="s">
        <v>107</v>
      </c>
      <c r="G45" s="14">
        <v>0</v>
      </c>
      <c r="H45" s="100" t="s">
        <v>43</v>
      </c>
    </row>
    <row r="46" spans="1:11" ht="15" customHeight="1" x14ac:dyDescent="0.3">
      <c r="A46" s="183" t="s">
        <v>24</v>
      </c>
      <c r="B46" s="141"/>
      <c r="C46" s="36" t="s">
        <v>25</v>
      </c>
      <c r="D46" s="11" t="s">
        <v>80</v>
      </c>
      <c r="E46" s="11" t="s">
        <v>139</v>
      </c>
      <c r="F46" s="12" t="s">
        <v>44</v>
      </c>
      <c r="G46" s="14">
        <f>I36*2.43</f>
        <v>11226.6</v>
      </c>
      <c r="H46" s="100" t="s">
        <v>43</v>
      </c>
      <c r="I46" s="15">
        <f>I36</f>
        <v>4620</v>
      </c>
    </row>
    <row r="47" spans="1:11" ht="15" customHeight="1" x14ac:dyDescent="0.3">
      <c r="A47" s="189"/>
      <c r="B47" s="148"/>
      <c r="C47" s="36" t="s">
        <v>25</v>
      </c>
      <c r="D47" s="11" t="s">
        <v>80</v>
      </c>
      <c r="E47" s="11" t="s">
        <v>93</v>
      </c>
      <c r="F47" s="12" t="s">
        <v>44</v>
      </c>
      <c r="G47" s="14">
        <v>0</v>
      </c>
      <c r="H47" s="100"/>
      <c r="I47" s="16"/>
    </row>
    <row r="48" spans="1:11" ht="15" customHeight="1" x14ac:dyDescent="0.3">
      <c r="A48" s="183" t="s">
        <v>26</v>
      </c>
      <c r="B48" s="141"/>
      <c r="C48" s="144" t="s">
        <v>25</v>
      </c>
      <c r="D48" s="11" t="s">
        <v>81</v>
      </c>
      <c r="E48" s="11" t="s">
        <v>94</v>
      </c>
      <c r="F48" s="12" t="s">
        <v>27</v>
      </c>
      <c r="G48" s="14">
        <v>18752</v>
      </c>
      <c r="H48" s="100" t="s">
        <v>43</v>
      </c>
    </row>
    <row r="49" spans="1:9" ht="15" hidden="1" customHeight="1" x14ac:dyDescent="0.3">
      <c r="A49" s="190"/>
      <c r="B49" s="150"/>
      <c r="C49" s="151"/>
      <c r="D49" s="11" t="s">
        <v>103</v>
      </c>
      <c r="E49" s="11" t="s">
        <v>93</v>
      </c>
      <c r="F49" s="12" t="s">
        <v>51</v>
      </c>
      <c r="G49" s="12">
        <v>0</v>
      </c>
      <c r="H49" s="100" t="s">
        <v>43</v>
      </c>
    </row>
    <row r="50" spans="1:9" ht="15" hidden="1" customHeight="1" x14ac:dyDescent="0.3">
      <c r="A50" s="190"/>
      <c r="B50" s="150"/>
      <c r="C50" s="151"/>
      <c r="D50" s="11" t="s">
        <v>103</v>
      </c>
      <c r="E50" s="11" t="s">
        <v>93</v>
      </c>
      <c r="F50" s="12" t="s">
        <v>50</v>
      </c>
      <c r="G50" s="13" t="s">
        <v>43</v>
      </c>
      <c r="H50" s="100" t="s">
        <v>43</v>
      </c>
    </row>
    <row r="51" spans="1:9" ht="15" customHeight="1" x14ac:dyDescent="0.3">
      <c r="A51" s="190"/>
      <c r="B51" s="150"/>
      <c r="C51" s="151"/>
      <c r="D51" s="11" t="s">
        <v>103</v>
      </c>
      <c r="E51" s="11" t="s">
        <v>93</v>
      </c>
      <c r="F51" s="12" t="s">
        <v>28</v>
      </c>
      <c r="G51" s="13">
        <v>20</v>
      </c>
      <c r="H51" s="100" t="s">
        <v>43</v>
      </c>
      <c r="I51" s="17"/>
    </row>
    <row r="52" spans="1:9" ht="15" customHeight="1" x14ac:dyDescent="0.3">
      <c r="A52" s="190"/>
      <c r="B52" s="150"/>
      <c r="C52" s="151"/>
      <c r="D52" s="11" t="s">
        <v>103</v>
      </c>
      <c r="E52" s="11" t="s">
        <v>94</v>
      </c>
      <c r="F52" s="12" t="s">
        <v>135</v>
      </c>
      <c r="G52" s="13">
        <v>797</v>
      </c>
      <c r="H52" s="100"/>
      <c r="I52" s="17"/>
    </row>
    <row r="53" spans="1:9" ht="15" customHeight="1" x14ac:dyDescent="0.3">
      <c r="A53" s="189"/>
      <c r="B53" s="148"/>
      <c r="C53" s="145"/>
      <c r="D53" s="11" t="s">
        <v>103</v>
      </c>
      <c r="E53" s="11" t="s">
        <v>94</v>
      </c>
      <c r="F53" s="12" t="s">
        <v>29</v>
      </c>
      <c r="G53" s="18" t="s">
        <v>43</v>
      </c>
      <c r="H53" s="100" t="s">
        <v>43</v>
      </c>
    </row>
    <row r="54" spans="1:9" ht="15" customHeight="1" x14ac:dyDescent="0.3">
      <c r="A54" s="183" t="s">
        <v>30</v>
      </c>
      <c r="B54" s="141"/>
      <c r="C54" s="144" t="s">
        <v>21</v>
      </c>
      <c r="D54" s="19" t="s">
        <v>31</v>
      </c>
      <c r="E54" s="11" t="s">
        <v>94</v>
      </c>
      <c r="F54" s="12" t="s">
        <v>55</v>
      </c>
      <c r="G54" s="18" t="s">
        <v>43</v>
      </c>
      <c r="H54" s="99" t="s">
        <v>43</v>
      </c>
    </row>
    <row r="55" spans="1:9" ht="15" customHeight="1" x14ac:dyDescent="0.3">
      <c r="A55" s="189"/>
      <c r="B55" s="148"/>
      <c r="C55" s="145"/>
      <c r="D55" s="20" t="s">
        <v>32</v>
      </c>
      <c r="E55" s="11" t="s">
        <v>94</v>
      </c>
      <c r="F55" s="12"/>
      <c r="G55" s="18" t="s">
        <v>43</v>
      </c>
      <c r="H55" s="99" t="s">
        <v>43</v>
      </c>
    </row>
    <row r="56" spans="1:9" ht="15" customHeight="1" x14ac:dyDescent="0.3">
      <c r="A56" s="183" t="s">
        <v>33</v>
      </c>
      <c r="B56" s="141"/>
      <c r="C56" s="144" t="s">
        <v>25</v>
      </c>
      <c r="D56" s="138" t="s">
        <v>43</v>
      </c>
      <c r="E56" s="138" t="s">
        <v>43</v>
      </c>
      <c r="F56" s="138" t="s">
        <v>43</v>
      </c>
      <c r="G56" s="138" t="s">
        <v>43</v>
      </c>
      <c r="H56" s="181" t="s">
        <v>43</v>
      </c>
    </row>
    <row r="57" spans="1:9" ht="2.25" customHeight="1" x14ac:dyDescent="0.3">
      <c r="A57" s="189"/>
      <c r="B57" s="148"/>
      <c r="C57" s="145"/>
      <c r="D57" s="139"/>
      <c r="E57" s="139"/>
      <c r="F57" s="139"/>
      <c r="G57" s="139"/>
      <c r="H57" s="182"/>
    </row>
    <row r="58" spans="1:9" ht="15" customHeight="1" x14ac:dyDescent="0.3">
      <c r="A58" s="183" t="s">
        <v>34</v>
      </c>
      <c r="B58" s="141"/>
      <c r="C58" s="36" t="s">
        <v>21</v>
      </c>
      <c r="D58" s="11" t="s">
        <v>82</v>
      </c>
      <c r="E58" s="11" t="s">
        <v>83</v>
      </c>
      <c r="F58" s="12" t="s">
        <v>43</v>
      </c>
      <c r="G58" s="12">
        <v>1</v>
      </c>
      <c r="H58" s="99" t="s">
        <v>43</v>
      </c>
    </row>
    <row r="59" spans="1:9" ht="15" customHeight="1" x14ac:dyDescent="0.3">
      <c r="A59" s="184" t="s">
        <v>35</v>
      </c>
      <c r="B59" s="142"/>
      <c r="C59" s="81" t="s">
        <v>25</v>
      </c>
      <c r="D59" s="12" t="s">
        <v>43</v>
      </c>
      <c r="E59" s="12" t="s">
        <v>43</v>
      </c>
      <c r="F59" s="12" t="s">
        <v>43</v>
      </c>
      <c r="G59" s="12" t="s">
        <v>43</v>
      </c>
      <c r="H59" s="99" t="s">
        <v>43</v>
      </c>
    </row>
    <row r="60" spans="1:9" ht="15" customHeight="1" x14ac:dyDescent="0.3">
      <c r="A60" s="184" t="s">
        <v>53</v>
      </c>
      <c r="B60" s="142"/>
      <c r="C60" s="81" t="s">
        <v>25</v>
      </c>
      <c r="D60" s="12" t="s">
        <v>43</v>
      </c>
      <c r="E60" s="12" t="s">
        <v>43</v>
      </c>
      <c r="F60" s="12" t="s">
        <v>43</v>
      </c>
      <c r="G60" s="12">
        <v>340</v>
      </c>
      <c r="H60" s="99" t="s">
        <v>43</v>
      </c>
    </row>
    <row r="61" spans="1:9" ht="15" customHeight="1" x14ac:dyDescent="0.3">
      <c r="A61" s="185" t="s">
        <v>36</v>
      </c>
      <c r="B61" s="143"/>
      <c r="C61" s="144" t="s">
        <v>37</v>
      </c>
      <c r="D61" s="11" t="s">
        <v>38</v>
      </c>
      <c r="E61" s="11" t="s">
        <v>94</v>
      </c>
      <c r="F61" s="12" t="s">
        <v>56</v>
      </c>
      <c r="G61" s="12" t="s">
        <v>43</v>
      </c>
      <c r="H61" s="99" t="s">
        <v>43</v>
      </c>
    </row>
    <row r="62" spans="1:9" ht="15" customHeight="1" thickBot="1" x14ac:dyDescent="0.35">
      <c r="A62" s="187" t="s">
        <v>39</v>
      </c>
      <c r="B62" s="188"/>
      <c r="C62" s="186"/>
      <c r="D62" s="103" t="s">
        <v>40</v>
      </c>
      <c r="E62" s="103" t="s">
        <v>94</v>
      </c>
      <c r="F62" s="104" t="s">
        <v>57</v>
      </c>
      <c r="G62" s="104" t="s">
        <v>43</v>
      </c>
      <c r="H62" s="105" t="s">
        <v>43</v>
      </c>
    </row>
    <row r="63" spans="1:9" ht="3" customHeight="1" x14ac:dyDescent="0.3">
      <c r="A63" s="32"/>
      <c r="B63" s="32"/>
      <c r="C63" s="33"/>
      <c r="D63" s="34"/>
      <c r="E63" s="34"/>
      <c r="F63" s="35"/>
      <c r="G63" s="35"/>
      <c r="H63" s="35"/>
    </row>
    <row r="64" spans="1:9" ht="17.25" customHeight="1" x14ac:dyDescent="0.3">
      <c r="A64" s="32"/>
      <c r="B64" s="32"/>
      <c r="C64" s="33"/>
      <c r="D64" s="34"/>
      <c r="E64" s="34"/>
      <c r="F64" s="35"/>
      <c r="G64" s="35"/>
      <c r="H64" s="35"/>
    </row>
    <row r="65" spans="1:13" ht="17.25" customHeight="1" x14ac:dyDescent="0.3">
      <c r="A65" s="3" t="s">
        <v>41</v>
      </c>
      <c r="D65" s="3" t="s">
        <v>85</v>
      </c>
      <c r="F65" s="3" t="s">
        <v>86</v>
      </c>
    </row>
    <row r="66" spans="1:13" ht="26.25" customHeight="1" x14ac:dyDescent="0.3">
      <c r="E66" s="25"/>
    </row>
    <row r="67" spans="1:13" s="40" customFormat="1" ht="17.25" customHeight="1" x14ac:dyDescent="0.25">
      <c r="A67" s="73" t="s">
        <v>115</v>
      </c>
      <c r="D67" s="43" t="s">
        <v>152</v>
      </c>
      <c r="E67" s="72"/>
      <c r="F67" s="41" t="s">
        <v>131</v>
      </c>
      <c r="G67" s="42"/>
      <c r="H67" s="42"/>
      <c r="I67" s="43"/>
    </row>
    <row r="68" spans="1:13" s="31" customFormat="1" x14ac:dyDescent="0.3">
      <c r="A68" s="23" t="s">
        <v>116</v>
      </c>
      <c r="D68" s="31" t="s">
        <v>123</v>
      </c>
      <c r="E68" s="26"/>
      <c r="F68" s="29" t="s">
        <v>160</v>
      </c>
      <c r="G68" s="3"/>
      <c r="H68" s="3"/>
    </row>
    <row r="69" spans="1:13" x14ac:dyDescent="0.3">
      <c r="A69" s="23" t="s">
        <v>8</v>
      </c>
      <c r="D69" s="23" t="s">
        <v>67</v>
      </c>
      <c r="F69" s="23" t="s">
        <v>97</v>
      </c>
    </row>
    <row r="70" spans="1:13" x14ac:dyDescent="0.3">
      <c r="A70" s="23" t="s">
        <v>118</v>
      </c>
      <c r="D70" s="25" t="s">
        <v>133</v>
      </c>
      <c r="H70" s="7"/>
    </row>
    <row r="71" spans="1:13" ht="28.5" customHeight="1" x14ac:dyDescent="0.3">
      <c r="A71" s="23"/>
      <c r="H71" s="7"/>
    </row>
    <row r="72" spans="1:13" s="44" customFormat="1" ht="15.75" x14ac:dyDescent="0.25">
      <c r="A72" s="37"/>
      <c r="D72" s="43" t="s">
        <v>155</v>
      </c>
      <c r="H72" s="45"/>
    </row>
    <row r="73" spans="1:13" x14ac:dyDescent="0.3">
      <c r="A73" s="26"/>
      <c r="D73" s="31" t="s">
        <v>123</v>
      </c>
      <c r="I73" s="72"/>
    </row>
    <row r="74" spans="1:13" x14ac:dyDescent="0.3">
      <c r="A74" s="26"/>
      <c r="D74" s="23" t="s">
        <v>66</v>
      </c>
    </row>
    <row r="75" spans="1:13" x14ac:dyDescent="0.3">
      <c r="A75" s="23"/>
      <c r="D75" s="25" t="s">
        <v>156</v>
      </c>
    </row>
    <row r="79" spans="1:13" x14ac:dyDescent="0.3">
      <c r="M79" s="31"/>
    </row>
    <row r="80" spans="1:13" x14ac:dyDescent="0.3">
      <c r="M80" s="31"/>
    </row>
    <row r="81" spans="13:13" x14ac:dyDescent="0.3">
      <c r="M81" s="23"/>
    </row>
    <row r="83" spans="13:13" x14ac:dyDescent="0.3">
      <c r="M83" s="24"/>
    </row>
    <row r="84" spans="13:13" x14ac:dyDescent="0.3">
      <c r="M84" s="23"/>
    </row>
    <row r="85" spans="13:13" x14ac:dyDescent="0.3">
      <c r="M85" s="23"/>
    </row>
  </sheetData>
  <mergeCells count="44">
    <mergeCell ref="A11:H11"/>
    <mergeCell ref="A5:H5"/>
    <mergeCell ref="A6:H6"/>
    <mergeCell ref="A7:H7"/>
    <mergeCell ref="A8:H8"/>
    <mergeCell ref="A10:H10"/>
    <mergeCell ref="G13:H13"/>
    <mergeCell ref="C14:E14"/>
    <mergeCell ref="C15:E15"/>
    <mergeCell ref="A20:B20"/>
    <mergeCell ref="A22:B31"/>
    <mergeCell ref="C22:C31"/>
    <mergeCell ref="C32:C33"/>
    <mergeCell ref="A33:B33"/>
    <mergeCell ref="A34:B34"/>
    <mergeCell ref="A35:B35"/>
    <mergeCell ref="A36:B37"/>
    <mergeCell ref="C36:C37"/>
    <mergeCell ref="A54:B55"/>
    <mergeCell ref="C54:C55"/>
    <mergeCell ref="A38:B39"/>
    <mergeCell ref="C38:C39"/>
    <mergeCell ref="A40:B40"/>
    <mergeCell ref="A41:B41"/>
    <mergeCell ref="A42:B42"/>
    <mergeCell ref="A43:B43"/>
    <mergeCell ref="A44:B44"/>
    <mergeCell ref="A45:B45"/>
    <mergeCell ref="A46:B47"/>
    <mergeCell ref="A48:B53"/>
    <mergeCell ref="C48:C53"/>
    <mergeCell ref="H56:H57"/>
    <mergeCell ref="A58:B58"/>
    <mergeCell ref="A59:B59"/>
    <mergeCell ref="A60:B60"/>
    <mergeCell ref="A61:B61"/>
    <mergeCell ref="C61:C62"/>
    <mergeCell ref="A62:B62"/>
    <mergeCell ref="A56:B57"/>
    <mergeCell ref="C56:C57"/>
    <mergeCell ref="D56:D57"/>
    <mergeCell ref="E56:E57"/>
    <mergeCell ref="F56:F57"/>
    <mergeCell ref="G56:G57"/>
  </mergeCells>
  <pageMargins left="0.19685039370078741" right="0.27559055118110237" top="0.19685039370078741" bottom="0.19685039370078741" header="0.31496062992125984" footer="0.31496062992125984"/>
  <pageSetup paperSize="14" scale="93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P54"/>
  <sheetViews>
    <sheetView topLeftCell="A16" workbookViewId="0">
      <selection activeCell="Q37" sqref="Q37"/>
    </sheetView>
  </sheetViews>
  <sheetFormatPr defaultRowHeight="16.5" x14ac:dyDescent="0.3"/>
  <cols>
    <col min="1" max="1" width="9.140625" style="3"/>
    <col min="2" max="2" width="17.140625" style="3" customWidth="1"/>
    <col min="3" max="3" width="12.85546875" style="3" customWidth="1"/>
    <col min="4" max="4" width="15.7109375" style="3" customWidth="1"/>
    <col min="5" max="5" width="19.7109375" style="3" customWidth="1"/>
    <col min="6" max="6" width="14.42578125" style="3" customWidth="1"/>
    <col min="7" max="7" width="11.5703125" style="3" bestFit="1" customWidth="1"/>
    <col min="8" max="8" width="9.42578125" style="3" customWidth="1"/>
    <col min="9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22.5" customHeight="1" x14ac:dyDescent="0.3">
      <c r="A5" s="170" t="s">
        <v>3</v>
      </c>
      <c r="B5" s="170"/>
      <c r="C5" s="170"/>
      <c r="D5" s="170"/>
      <c r="E5" s="170"/>
      <c r="F5" s="170"/>
      <c r="G5" s="170"/>
      <c r="H5" s="170"/>
      <c r="I5" s="1"/>
    </row>
    <row r="6" spans="1:9" ht="22.5" customHeight="1" x14ac:dyDescent="0.3">
      <c r="A6" s="170" t="s">
        <v>4</v>
      </c>
      <c r="B6" s="170"/>
      <c r="C6" s="170"/>
      <c r="D6" s="170"/>
      <c r="E6" s="170"/>
      <c r="F6" s="170"/>
      <c r="G6" s="170"/>
      <c r="H6" s="170"/>
      <c r="I6" s="1"/>
    </row>
    <row r="7" spans="1:9" ht="22.5" customHeight="1" x14ac:dyDescent="0.3">
      <c r="A7" s="170" t="s">
        <v>5</v>
      </c>
      <c r="B7" s="170"/>
      <c r="C7" s="170"/>
      <c r="D7" s="170"/>
      <c r="E7" s="170"/>
      <c r="F7" s="170"/>
      <c r="G7" s="170"/>
      <c r="H7" s="170"/>
      <c r="I7" s="1"/>
    </row>
    <row r="8" spans="1:9" ht="22.5" customHeight="1" x14ac:dyDescent="0.3">
      <c r="A8" s="170" t="s">
        <v>6</v>
      </c>
      <c r="B8" s="170"/>
      <c r="C8" s="170"/>
      <c r="D8" s="170"/>
      <c r="E8" s="170"/>
      <c r="F8" s="170"/>
      <c r="G8" s="170"/>
      <c r="H8" s="170"/>
      <c r="I8" s="1"/>
    </row>
    <row r="9" spans="1:9" ht="7.5" customHeight="1" x14ac:dyDescent="0.3">
      <c r="A9" s="83"/>
      <c r="B9" s="83"/>
      <c r="C9" s="83"/>
      <c r="D9" s="83"/>
      <c r="E9" s="83"/>
      <c r="F9" s="83"/>
      <c r="G9" s="83"/>
      <c r="H9" s="83"/>
      <c r="I9" s="1"/>
    </row>
    <row r="10" spans="1:9" ht="22.5" customHeight="1" x14ac:dyDescent="0.3">
      <c r="A10" s="170" t="s">
        <v>7</v>
      </c>
      <c r="B10" s="170"/>
      <c r="C10" s="170"/>
      <c r="D10" s="170"/>
      <c r="E10" s="170"/>
      <c r="F10" s="170"/>
      <c r="G10" s="170"/>
      <c r="H10" s="170"/>
      <c r="I10" s="1"/>
    </row>
    <row r="11" spans="1:9" ht="22.5" customHeight="1" x14ac:dyDescent="0.3">
      <c r="A11" s="170" t="str">
        <f>'FEBRUARY 2026 -PMC '!A11:H11</f>
        <v>REPORT FOR THE MONTH OF FEBRUARY 2026</v>
      </c>
      <c r="B11" s="170"/>
      <c r="C11" s="170"/>
      <c r="D11" s="170"/>
      <c r="E11" s="170"/>
      <c r="F11" s="170"/>
      <c r="G11" s="170"/>
      <c r="H11" s="170"/>
      <c r="I11" s="5"/>
    </row>
    <row r="12" spans="1:9" ht="15.75" customHeight="1" x14ac:dyDescent="0.3"/>
    <row r="13" spans="1:9" ht="15" customHeight="1" x14ac:dyDescent="0.3">
      <c r="F13" s="2" t="s">
        <v>63</v>
      </c>
      <c r="G13" s="165" t="str">
        <f>'FEBRUARY 2026 -PMC '!G13:H13</f>
        <v>FEBRUARY 1-28,2026</v>
      </c>
      <c r="H13" s="165"/>
    </row>
    <row r="14" spans="1:9" ht="15" customHeight="1" x14ac:dyDescent="0.3">
      <c r="A14" s="6" t="s">
        <v>121</v>
      </c>
      <c r="B14" s="7"/>
      <c r="C14" s="156" t="s">
        <v>88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87</v>
      </c>
      <c r="D15" s="157"/>
      <c r="E15" s="157"/>
      <c r="G15" s="22"/>
      <c r="H15" s="22"/>
    </row>
    <row r="16" spans="1:9" ht="15" customHeight="1" x14ac:dyDescent="0.3">
      <c r="A16" s="6" t="s">
        <v>120</v>
      </c>
      <c r="C16" s="157" t="s">
        <v>95</v>
      </c>
      <c r="D16" s="157"/>
      <c r="E16" s="157"/>
      <c r="F16" s="4" t="s">
        <v>9</v>
      </c>
      <c r="G16" s="77" t="s">
        <v>45</v>
      </c>
      <c r="H16" s="77"/>
    </row>
    <row r="17" spans="1:8" ht="15" customHeight="1" x14ac:dyDescent="0.3">
      <c r="A17" s="6" t="s">
        <v>49</v>
      </c>
      <c r="C17" s="78" t="s">
        <v>109</v>
      </c>
      <c r="D17" s="78"/>
      <c r="E17" s="78"/>
      <c r="G17" s="22"/>
      <c r="H17" s="22"/>
    </row>
    <row r="18" spans="1:8" ht="15" customHeight="1" x14ac:dyDescent="0.3">
      <c r="A18" s="6" t="s">
        <v>48</v>
      </c>
      <c r="C18" s="49" t="s">
        <v>110</v>
      </c>
      <c r="D18" s="78"/>
      <c r="E18" s="78"/>
      <c r="F18" s="4" t="s">
        <v>10</v>
      </c>
      <c r="G18" s="77" t="s">
        <v>46</v>
      </c>
      <c r="H18" s="77"/>
    </row>
    <row r="19" spans="1:8" ht="15" customHeight="1" x14ac:dyDescent="0.3"/>
    <row r="20" spans="1:8" ht="33" customHeight="1" x14ac:dyDescent="0.3">
      <c r="A20" s="158" t="s">
        <v>11</v>
      </c>
      <c r="B20" s="158"/>
      <c r="C20" s="81" t="s">
        <v>12</v>
      </c>
      <c r="D20" s="79" t="s">
        <v>68</v>
      </c>
      <c r="E20" s="81" t="s">
        <v>90</v>
      </c>
      <c r="F20" s="87" t="s">
        <v>13</v>
      </c>
      <c r="G20" s="9" t="s">
        <v>59</v>
      </c>
      <c r="H20" s="9" t="s">
        <v>60</v>
      </c>
    </row>
    <row r="21" spans="1:8" ht="16.5" customHeight="1" x14ac:dyDescent="0.3">
      <c r="A21" s="74"/>
      <c r="B21" s="50"/>
      <c r="C21" s="75"/>
      <c r="D21" s="79"/>
      <c r="E21" s="81"/>
      <c r="F21" s="87"/>
      <c r="G21" s="10" t="s">
        <v>61</v>
      </c>
      <c r="H21" s="10" t="s">
        <v>58</v>
      </c>
    </row>
    <row r="22" spans="1:8" ht="21.95" customHeight="1" x14ac:dyDescent="0.3">
      <c r="A22" s="27" t="s">
        <v>54</v>
      </c>
      <c r="B22" s="28"/>
      <c r="C22" s="75" t="s">
        <v>62</v>
      </c>
      <c r="D22" s="11" t="s">
        <v>104</v>
      </c>
      <c r="E22" s="11" t="s">
        <v>89</v>
      </c>
      <c r="F22" s="12" t="s">
        <v>16</v>
      </c>
      <c r="G22" s="14">
        <v>1090</v>
      </c>
      <c r="H22" s="13">
        <f>G22/215*25</f>
        <v>126.74418604651163</v>
      </c>
    </row>
    <row r="23" spans="1:8" ht="21.95" customHeight="1" x14ac:dyDescent="0.3">
      <c r="A23" s="82" t="s">
        <v>138</v>
      </c>
      <c r="B23" s="82"/>
      <c r="C23" s="74" t="s">
        <v>14</v>
      </c>
      <c r="D23" s="11" t="s">
        <v>72</v>
      </c>
      <c r="E23" s="11" t="s">
        <v>89</v>
      </c>
      <c r="F23" s="12" t="s">
        <v>47</v>
      </c>
      <c r="G23" s="76" t="s">
        <v>43</v>
      </c>
      <c r="H23" s="52">
        <v>118.4</v>
      </c>
    </row>
    <row r="24" spans="1:8" ht="21.95" customHeight="1" x14ac:dyDescent="0.3">
      <c r="A24" s="166" t="s">
        <v>19</v>
      </c>
      <c r="B24" s="167"/>
      <c r="C24" s="74" t="s">
        <v>14</v>
      </c>
      <c r="D24" s="76" t="s">
        <v>43</v>
      </c>
      <c r="E24" s="11" t="s">
        <v>89</v>
      </c>
      <c r="F24" s="76" t="s">
        <v>43</v>
      </c>
      <c r="G24" s="76"/>
      <c r="H24" s="52" t="s">
        <v>43</v>
      </c>
    </row>
    <row r="25" spans="1:8" ht="21.95" customHeight="1" x14ac:dyDescent="0.3">
      <c r="A25" s="140" t="s">
        <v>20</v>
      </c>
      <c r="B25" s="141"/>
      <c r="C25" s="74" t="s">
        <v>21</v>
      </c>
      <c r="D25" s="11" t="s">
        <v>74</v>
      </c>
      <c r="E25" s="11" t="s">
        <v>89</v>
      </c>
      <c r="F25" s="12" t="s">
        <v>43</v>
      </c>
      <c r="G25" s="12">
        <v>0</v>
      </c>
      <c r="H25" s="13" t="s">
        <v>43</v>
      </c>
    </row>
    <row r="26" spans="1:8" ht="21.95" customHeight="1" x14ac:dyDescent="0.3">
      <c r="A26" s="166" t="s">
        <v>22</v>
      </c>
      <c r="B26" s="168"/>
      <c r="C26" s="36" t="s">
        <v>21</v>
      </c>
      <c r="D26" s="11" t="s">
        <v>75</v>
      </c>
      <c r="E26" s="11" t="s">
        <v>89</v>
      </c>
      <c r="F26" s="12" t="s">
        <v>23</v>
      </c>
      <c r="G26" s="13">
        <v>30</v>
      </c>
      <c r="H26" s="18"/>
    </row>
    <row r="27" spans="1:8" ht="21.95" customHeight="1" x14ac:dyDescent="0.3">
      <c r="A27" s="140" t="s">
        <v>84</v>
      </c>
      <c r="B27" s="141"/>
      <c r="C27" s="86" t="s">
        <v>21</v>
      </c>
      <c r="D27" s="11" t="s">
        <v>78</v>
      </c>
      <c r="E27" s="11" t="s">
        <v>89</v>
      </c>
      <c r="F27" s="12" t="s">
        <v>64</v>
      </c>
      <c r="G27" s="14">
        <v>145</v>
      </c>
      <c r="H27" s="18"/>
    </row>
    <row r="28" spans="1:8" ht="21.95" customHeight="1" x14ac:dyDescent="0.3">
      <c r="A28" s="147"/>
      <c r="B28" s="148"/>
      <c r="C28" s="81" t="s">
        <v>21</v>
      </c>
      <c r="D28" s="11" t="s">
        <v>78</v>
      </c>
      <c r="E28" s="11" t="s">
        <v>89</v>
      </c>
      <c r="F28" s="12" t="s">
        <v>65</v>
      </c>
      <c r="G28" s="14">
        <v>173</v>
      </c>
      <c r="H28" s="13" t="s">
        <v>43</v>
      </c>
    </row>
    <row r="29" spans="1:8" ht="21.95" customHeight="1" x14ac:dyDescent="0.3">
      <c r="A29" s="142" t="s">
        <v>24</v>
      </c>
      <c r="B29" s="142"/>
      <c r="C29" s="81" t="s">
        <v>25</v>
      </c>
      <c r="D29" s="11" t="s">
        <v>80</v>
      </c>
      <c r="E29" s="11" t="s">
        <v>89</v>
      </c>
      <c r="F29" s="12" t="s">
        <v>44</v>
      </c>
      <c r="G29" s="54">
        <f>G26*2.43</f>
        <v>72.900000000000006</v>
      </c>
      <c r="H29" s="13" t="s">
        <v>43</v>
      </c>
    </row>
    <row r="30" spans="1:8" ht="21.95" customHeight="1" x14ac:dyDescent="0.3">
      <c r="A30" s="169" t="s">
        <v>26</v>
      </c>
      <c r="B30" s="169"/>
      <c r="C30" s="81" t="s">
        <v>25</v>
      </c>
      <c r="D30" s="11" t="s">
        <v>81</v>
      </c>
      <c r="E30" s="11" t="s">
        <v>89</v>
      </c>
      <c r="F30" s="12" t="s">
        <v>27</v>
      </c>
      <c r="G30" s="13">
        <v>110</v>
      </c>
      <c r="H30" s="13" t="s">
        <v>43</v>
      </c>
    </row>
    <row r="31" spans="1:8" ht="21.95" customHeight="1" x14ac:dyDescent="0.3">
      <c r="A31" s="142" t="s">
        <v>30</v>
      </c>
      <c r="B31" s="142"/>
      <c r="C31" s="154" t="s">
        <v>21</v>
      </c>
      <c r="D31" s="11" t="s">
        <v>31</v>
      </c>
      <c r="E31" s="11" t="s">
        <v>89</v>
      </c>
      <c r="F31" s="12" t="s">
        <v>55</v>
      </c>
      <c r="G31" s="13" t="s">
        <v>43</v>
      </c>
      <c r="H31" s="13" t="s">
        <v>43</v>
      </c>
    </row>
    <row r="32" spans="1:8" ht="21.95" customHeight="1" x14ac:dyDescent="0.3">
      <c r="A32" s="142"/>
      <c r="B32" s="142"/>
      <c r="C32" s="154"/>
      <c r="D32" s="11" t="s">
        <v>32</v>
      </c>
      <c r="E32" s="11" t="s">
        <v>89</v>
      </c>
      <c r="F32" s="12"/>
      <c r="G32" s="13" t="s">
        <v>43</v>
      </c>
      <c r="H32" s="13" t="s">
        <v>43</v>
      </c>
    </row>
    <row r="33" spans="1:11" ht="21.95" customHeight="1" x14ac:dyDescent="0.3">
      <c r="A33" s="142" t="s">
        <v>33</v>
      </c>
      <c r="B33" s="142"/>
      <c r="C33" s="154" t="s">
        <v>25</v>
      </c>
      <c r="D33" s="12" t="s">
        <v>43</v>
      </c>
      <c r="E33" s="12" t="s">
        <v>43</v>
      </c>
      <c r="F33" s="12" t="s">
        <v>43</v>
      </c>
      <c r="G33" s="13" t="s">
        <v>43</v>
      </c>
      <c r="H33" s="13" t="s">
        <v>43</v>
      </c>
    </row>
    <row r="34" spans="1:11" ht="17.25" customHeight="1" x14ac:dyDescent="0.3">
      <c r="A34" s="142"/>
      <c r="B34" s="142"/>
      <c r="C34" s="154"/>
      <c r="D34" s="12" t="s">
        <v>43</v>
      </c>
      <c r="E34" s="12" t="s">
        <v>43</v>
      </c>
      <c r="F34" s="12" t="s">
        <v>43</v>
      </c>
      <c r="G34" s="13" t="s">
        <v>43</v>
      </c>
      <c r="H34" s="13" t="s">
        <v>43</v>
      </c>
    </row>
    <row r="35" spans="1:11" ht="21.95" customHeight="1" x14ac:dyDescent="0.3">
      <c r="A35" s="142" t="s">
        <v>34</v>
      </c>
      <c r="B35" s="142"/>
      <c r="C35" s="81" t="s">
        <v>21</v>
      </c>
      <c r="D35" s="11" t="s">
        <v>82</v>
      </c>
      <c r="E35" s="11" t="s">
        <v>89</v>
      </c>
      <c r="F35" s="12" t="s">
        <v>43</v>
      </c>
      <c r="G35" s="13">
        <v>0</v>
      </c>
      <c r="H35" s="13" t="s">
        <v>43</v>
      </c>
    </row>
    <row r="36" spans="1:11" ht="21.95" customHeight="1" x14ac:dyDescent="0.3">
      <c r="A36" s="142" t="s">
        <v>35</v>
      </c>
      <c r="B36" s="142"/>
      <c r="C36" s="81" t="s">
        <v>25</v>
      </c>
      <c r="D36" s="12" t="s">
        <v>43</v>
      </c>
      <c r="E36" s="12" t="s">
        <v>43</v>
      </c>
      <c r="F36" s="12" t="s">
        <v>43</v>
      </c>
      <c r="G36" s="13" t="s">
        <v>43</v>
      </c>
      <c r="H36" s="13" t="s">
        <v>43</v>
      </c>
    </row>
    <row r="37" spans="1:11" ht="21.95" customHeight="1" x14ac:dyDescent="0.3">
      <c r="A37" s="142" t="s">
        <v>53</v>
      </c>
      <c r="B37" s="142"/>
      <c r="C37" s="81" t="s">
        <v>25</v>
      </c>
      <c r="D37" s="12" t="s">
        <v>43</v>
      </c>
      <c r="E37" s="12" t="s">
        <v>43</v>
      </c>
      <c r="F37" s="12" t="s">
        <v>43</v>
      </c>
      <c r="G37" s="13" t="s">
        <v>43</v>
      </c>
      <c r="H37" s="13" t="s">
        <v>43</v>
      </c>
    </row>
    <row r="38" spans="1:11" ht="8.25" customHeight="1" x14ac:dyDescent="0.3">
      <c r="A38" s="8"/>
      <c r="B38" s="8"/>
      <c r="C38" s="80"/>
      <c r="D38" s="80"/>
      <c r="E38" s="21"/>
      <c r="F38" s="21"/>
      <c r="G38" s="21"/>
      <c r="H38" s="21"/>
    </row>
    <row r="39" spans="1:11" ht="8.25" customHeight="1" x14ac:dyDescent="0.3">
      <c r="A39" s="8"/>
      <c r="B39" s="8"/>
      <c r="C39" s="80"/>
      <c r="D39" s="80"/>
      <c r="E39" s="21"/>
      <c r="F39" s="21"/>
      <c r="G39" s="21"/>
      <c r="H39" s="21"/>
    </row>
    <row r="40" spans="1:11" s="56" customFormat="1" ht="17.25" customHeight="1" x14ac:dyDescent="0.25">
      <c r="A40" s="56" t="s">
        <v>41</v>
      </c>
      <c r="D40" s="56" t="s">
        <v>85</v>
      </c>
      <c r="F40" s="56" t="s">
        <v>145</v>
      </c>
    </row>
    <row r="41" spans="1:11" ht="12.95" customHeight="1" x14ac:dyDescent="0.3">
      <c r="F41" s="7"/>
    </row>
    <row r="42" spans="1:11" ht="12.95" customHeight="1" x14ac:dyDescent="0.3">
      <c r="A42" s="25"/>
      <c r="E42" s="25"/>
    </row>
    <row r="43" spans="1:11" s="61" customFormat="1" ht="17.25" customHeight="1" x14ac:dyDescent="0.3">
      <c r="A43" s="64" t="s">
        <v>115</v>
      </c>
      <c r="B43" s="65"/>
      <c r="C43" s="61" t="s">
        <v>96</v>
      </c>
      <c r="D43" s="161" t="s">
        <v>146</v>
      </c>
      <c r="E43" s="161"/>
      <c r="F43" s="89" t="s">
        <v>141</v>
      </c>
      <c r="G43" s="89"/>
      <c r="H43" s="62"/>
      <c r="K43" s="57"/>
    </row>
    <row r="44" spans="1:11" s="42" customFormat="1" ht="15.75" x14ac:dyDescent="0.25">
      <c r="A44" s="37" t="s">
        <v>116</v>
      </c>
      <c r="D44" s="42" t="s">
        <v>123</v>
      </c>
      <c r="E44" s="46"/>
      <c r="F44" s="47" t="s">
        <v>142</v>
      </c>
      <c r="G44" s="47"/>
      <c r="H44" s="47"/>
    </row>
    <row r="45" spans="1:11" s="42" customFormat="1" ht="15.75" x14ac:dyDescent="0.25">
      <c r="A45" s="37" t="s">
        <v>8</v>
      </c>
      <c r="D45" s="37" t="s">
        <v>67</v>
      </c>
      <c r="F45" s="37" t="s">
        <v>8</v>
      </c>
      <c r="G45" s="37"/>
      <c r="H45" s="37"/>
    </row>
    <row r="46" spans="1:11" s="42" customFormat="1" ht="15.75" x14ac:dyDescent="0.25">
      <c r="A46" s="37" t="s">
        <v>118</v>
      </c>
      <c r="D46" s="37" t="s">
        <v>133</v>
      </c>
      <c r="H46" s="63"/>
    </row>
    <row r="47" spans="1:11" s="44" customFormat="1" ht="12.75" customHeight="1" x14ac:dyDescent="0.25">
      <c r="A47" s="37"/>
      <c r="K47" s="42"/>
    </row>
    <row r="48" spans="1:11" ht="13.5" customHeight="1" x14ac:dyDescent="0.3">
      <c r="A48" s="23"/>
    </row>
    <row r="49" spans="1:16" s="57" customFormat="1" ht="17.25" x14ac:dyDescent="0.3">
      <c r="A49" s="57" t="s">
        <v>144</v>
      </c>
      <c r="D49" s="58"/>
      <c r="E49" s="59"/>
    </row>
    <row r="51" spans="1:16" ht="7.5" customHeight="1" x14ac:dyDescent="0.3">
      <c r="M51" s="162"/>
      <c r="N51" s="162"/>
      <c r="O51" s="162"/>
      <c r="P51" s="162"/>
    </row>
    <row r="52" spans="1:16" s="31" customFormat="1" ht="17.25" x14ac:dyDescent="0.25">
      <c r="A52" s="58" t="s">
        <v>109</v>
      </c>
      <c r="B52" s="66"/>
      <c r="M52" s="163"/>
      <c r="N52" s="163"/>
      <c r="O52" s="163"/>
      <c r="P52" s="163"/>
    </row>
    <row r="53" spans="1:16" s="44" customFormat="1" ht="15.75" x14ac:dyDescent="0.25">
      <c r="A53" s="44" t="s">
        <v>161</v>
      </c>
      <c r="M53" s="164"/>
      <c r="N53" s="164"/>
      <c r="O53" s="164"/>
      <c r="P53" s="164"/>
    </row>
    <row r="54" spans="1:16" s="44" customFormat="1" ht="15.75" x14ac:dyDescent="0.25">
      <c r="A54" s="44" t="s">
        <v>8</v>
      </c>
    </row>
  </sheetData>
  <mergeCells count="28">
    <mergeCell ref="A11:H11"/>
    <mergeCell ref="A5:H5"/>
    <mergeCell ref="A6:H6"/>
    <mergeCell ref="A7:H7"/>
    <mergeCell ref="A8:H8"/>
    <mergeCell ref="A10:H10"/>
    <mergeCell ref="A31:B32"/>
    <mergeCell ref="G13:H13"/>
    <mergeCell ref="C14:E14"/>
    <mergeCell ref="C15:E15"/>
    <mergeCell ref="C16:E16"/>
    <mergeCell ref="A20:B20"/>
    <mergeCell ref="A24:B24"/>
    <mergeCell ref="A25:B25"/>
    <mergeCell ref="A26:B26"/>
    <mergeCell ref="A27:B28"/>
    <mergeCell ref="A29:B29"/>
    <mergeCell ref="A30:B30"/>
    <mergeCell ref="A33:B34"/>
    <mergeCell ref="C33:C34"/>
    <mergeCell ref="A35:B35"/>
    <mergeCell ref="A36:B36"/>
    <mergeCell ref="A37:B37"/>
    <mergeCell ref="D43:E43"/>
    <mergeCell ref="M51:P51"/>
    <mergeCell ref="M52:P52"/>
    <mergeCell ref="M53:P53"/>
    <mergeCell ref="C31:C32"/>
  </mergeCells>
  <pageMargins left="0.19685039370078741" right="0.19685039370078741" top="0.35433070866141736" bottom="0.39370078740157483" header="0.31496062992125984" footer="0.31496062992125984"/>
  <pageSetup paperSize="14" scale="93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L61"/>
  <sheetViews>
    <sheetView topLeftCell="A18" workbookViewId="0">
      <selection activeCell="A50" sqref="A50:A53"/>
    </sheetView>
  </sheetViews>
  <sheetFormatPr defaultRowHeight="16.5" x14ac:dyDescent="0.3"/>
  <cols>
    <col min="1" max="1" width="9.140625" style="3"/>
    <col min="2" max="2" width="16.85546875" style="3" customWidth="1"/>
    <col min="3" max="3" width="13.5703125" style="3" customWidth="1"/>
    <col min="4" max="4" width="16.5703125" style="3" customWidth="1"/>
    <col min="5" max="5" width="17.140625" style="3" customWidth="1"/>
    <col min="6" max="6" width="2.140625" style="3" customWidth="1"/>
    <col min="7" max="7" width="15.140625" style="3" customWidth="1"/>
    <col min="8" max="8" width="10.42578125" style="3" customWidth="1"/>
    <col min="9" max="9" width="9.42578125" style="3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  <c r="F1" s="6"/>
    </row>
    <row r="2" spans="1:9" s="30" customFormat="1" ht="8.25" customHeight="1" x14ac:dyDescent="0.2">
      <c r="A2" s="6"/>
      <c r="B2" s="6"/>
      <c r="C2" s="6"/>
      <c r="D2" s="6"/>
      <c r="E2" s="6"/>
      <c r="F2" s="6"/>
    </row>
    <row r="3" spans="1:9" s="30" customFormat="1" ht="15" customHeight="1" x14ac:dyDescent="0.2">
      <c r="A3" s="6"/>
      <c r="B3" s="6" t="s">
        <v>2</v>
      </c>
      <c r="C3" s="6"/>
      <c r="D3" s="6"/>
      <c r="E3" s="6"/>
      <c r="F3" s="6"/>
    </row>
    <row r="4" spans="1:9" s="44" customFormat="1" ht="20.100000000000001" customHeight="1" x14ac:dyDescent="0.25">
      <c r="A4" s="180" t="s">
        <v>3</v>
      </c>
      <c r="B4" s="180"/>
      <c r="C4" s="180"/>
      <c r="D4" s="180"/>
      <c r="E4" s="180"/>
      <c r="F4" s="180"/>
      <c r="G4" s="180"/>
      <c r="H4" s="180"/>
      <c r="I4" s="180"/>
    </row>
    <row r="5" spans="1:9" s="44" customFormat="1" ht="20.100000000000001" customHeight="1" x14ac:dyDescent="0.25">
      <c r="A5" s="180" t="s">
        <v>4</v>
      </c>
      <c r="B5" s="180"/>
      <c r="C5" s="180"/>
      <c r="D5" s="180"/>
      <c r="E5" s="180"/>
      <c r="F5" s="180"/>
      <c r="G5" s="180"/>
      <c r="H5" s="180"/>
      <c r="I5" s="180"/>
    </row>
    <row r="6" spans="1:9" s="44" customFormat="1" ht="20.100000000000001" customHeight="1" x14ac:dyDescent="0.25">
      <c r="A6" s="180" t="s">
        <v>5</v>
      </c>
      <c r="B6" s="180"/>
      <c r="C6" s="180"/>
      <c r="D6" s="180"/>
      <c r="E6" s="180"/>
      <c r="F6" s="180"/>
      <c r="G6" s="180"/>
      <c r="H6" s="180"/>
      <c r="I6" s="180"/>
    </row>
    <row r="7" spans="1:9" s="44" customFormat="1" ht="20.100000000000001" customHeight="1" x14ac:dyDescent="0.25">
      <c r="A7" s="180" t="s">
        <v>6</v>
      </c>
      <c r="B7" s="180"/>
      <c r="C7" s="180"/>
      <c r="D7" s="180"/>
      <c r="E7" s="180"/>
      <c r="F7" s="180"/>
      <c r="G7" s="180"/>
      <c r="H7" s="180"/>
      <c r="I7" s="180"/>
    </row>
    <row r="8" spans="1:9" s="44" customFormat="1" ht="7.5" customHeight="1" x14ac:dyDescent="0.25">
      <c r="A8" s="88"/>
      <c r="B8" s="88"/>
      <c r="C8" s="88"/>
      <c r="D8" s="88"/>
      <c r="E8" s="88"/>
      <c r="F8" s="88"/>
      <c r="G8" s="88"/>
      <c r="H8" s="88"/>
      <c r="I8" s="88"/>
    </row>
    <row r="9" spans="1:9" s="44" customFormat="1" ht="20.100000000000001" customHeight="1" x14ac:dyDescent="0.25">
      <c r="A9" s="180" t="s">
        <v>7</v>
      </c>
      <c r="B9" s="180"/>
      <c r="C9" s="180"/>
      <c r="D9" s="180"/>
      <c r="E9" s="180"/>
      <c r="F9" s="180"/>
      <c r="G9" s="180"/>
      <c r="H9" s="180"/>
      <c r="I9" s="180"/>
    </row>
    <row r="10" spans="1:9" s="44" customFormat="1" ht="20.100000000000001" customHeight="1" x14ac:dyDescent="0.25">
      <c r="A10" s="180" t="str">
        <f>'FEBRUARY 2026 -PMC '!A11:H11</f>
        <v>REPORT FOR THE MONTH OF FEBRUARY 2026</v>
      </c>
      <c r="B10" s="180"/>
      <c r="C10" s="180"/>
      <c r="D10" s="180"/>
      <c r="E10" s="180"/>
      <c r="F10" s="180"/>
      <c r="G10" s="180"/>
      <c r="H10" s="180"/>
      <c r="I10" s="180"/>
    </row>
    <row r="11" spans="1:9" ht="6" customHeight="1" x14ac:dyDescent="0.3"/>
    <row r="12" spans="1:9" ht="15" customHeight="1" x14ac:dyDescent="0.3">
      <c r="G12" s="2" t="s">
        <v>63</v>
      </c>
      <c r="H12" s="177" t="s">
        <v>165</v>
      </c>
      <c r="I12" s="177"/>
    </row>
    <row r="13" spans="1:9" ht="15" customHeight="1" x14ac:dyDescent="0.3">
      <c r="A13" s="6" t="s">
        <v>122</v>
      </c>
      <c r="B13" s="7"/>
      <c r="C13" s="156" t="s">
        <v>113</v>
      </c>
      <c r="D13" s="156"/>
      <c r="E13" s="156"/>
      <c r="F13" s="38"/>
      <c r="H13" s="22"/>
      <c r="I13" s="22"/>
    </row>
    <row r="14" spans="1:9" ht="15" customHeight="1" x14ac:dyDescent="0.3">
      <c r="A14" s="6"/>
      <c r="B14" s="7"/>
      <c r="C14" s="157" t="s">
        <v>92</v>
      </c>
      <c r="D14" s="157"/>
      <c r="E14" s="157"/>
      <c r="F14" s="38"/>
      <c r="H14" s="22"/>
      <c r="I14" s="22"/>
    </row>
    <row r="15" spans="1:9" ht="15" customHeight="1" x14ac:dyDescent="0.3">
      <c r="A15" s="6" t="s">
        <v>120</v>
      </c>
      <c r="C15" s="157" t="s">
        <v>114</v>
      </c>
      <c r="D15" s="157"/>
      <c r="E15" s="157"/>
      <c r="F15" s="38"/>
      <c r="G15" s="4" t="s">
        <v>9</v>
      </c>
      <c r="H15" s="77" t="s">
        <v>45</v>
      </c>
      <c r="I15" s="77"/>
    </row>
    <row r="16" spans="1:9" ht="15" customHeight="1" x14ac:dyDescent="0.3">
      <c r="A16" s="6" t="s">
        <v>49</v>
      </c>
      <c r="C16" s="78" t="s">
        <v>109</v>
      </c>
      <c r="D16" s="78"/>
      <c r="E16" s="78"/>
      <c r="F16" s="38"/>
      <c r="H16" s="22"/>
      <c r="I16" s="22"/>
    </row>
    <row r="17" spans="1:9" ht="15" customHeight="1" x14ac:dyDescent="0.3">
      <c r="A17" s="6" t="s">
        <v>48</v>
      </c>
      <c r="C17" s="49" t="s">
        <v>110</v>
      </c>
      <c r="D17" s="78"/>
      <c r="E17" s="78"/>
      <c r="F17" s="38"/>
      <c r="G17" s="4" t="s">
        <v>10</v>
      </c>
      <c r="H17" s="77" t="s">
        <v>46</v>
      </c>
      <c r="I17" s="77"/>
    </row>
    <row r="18" spans="1:9" ht="6.75" customHeight="1" x14ac:dyDescent="0.3"/>
    <row r="19" spans="1:9" ht="25.5" customHeight="1" x14ac:dyDescent="0.3">
      <c r="A19" s="158" t="s">
        <v>11</v>
      </c>
      <c r="B19" s="158"/>
      <c r="C19" s="81" t="s">
        <v>12</v>
      </c>
      <c r="D19" s="79" t="s">
        <v>68</v>
      </c>
      <c r="E19" s="178" t="s">
        <v>90</v>
      </c>
      <c r="F19" s="179"/>
      <c r="G19" s="87" t="s">
        <v>13</v>
      </c>
      <c r="H19" s="9" t="s">
        <v>59</v>
      </c>
      <c r="I19" s="9" t="s">
        <v>60</v>
      </c>
    </row>
    <row r="20" spans="1:9" x14ac:dyDescent="0.3">
      <c r="A20" s="173"/>
      <c r="B20" s="174"/>
      <c r="C20" s="10"/>
      <c r="D20" s="10"/>
      <c r="E20" s="173"/>
      <c r="F20" s="174"/>
      <c r="G20" s="10"/>
      <c r="H20" s="10" t="s">
        <v>61</v>
      </c>
      <c r="I20" s="10" t="s">
        <v>58</v>
      </c>
    </row>
    <row r="21" spans="1:9" ht="18" hidden="1" customHeight="1" x14ac:dyDescent="0.3">
      <c r="A21" s="140" t="s">
        <v>54</v>
      </c>
      <c r="B21" s="141"/>
      <c r="C21" s="75" t="s">
        <v>62</v>
      </c>
      <c r="D21" s="11" t="s">
        <v>104</v>
      </c>
      <c r="E21" s="175" t="s">
        <v>140</v>
      </c>
      <c r="F21" s="176"/>
      <c r="G21" s="12" t="s">
        <v>16</v>
      </c>
      <c r="H21" s="14"/>
      <c r="I21" s="14"/>
    </row>
    <row r="22" spans="1:9" ht="18" customHeight="1" x14ac:dyDescent="0.3">
      <c r="A22" s="149"/>
      <c r="B22" s="150"/>
      <c r="C22" s="75" t="s">
        <v>62</v>
      </c>
      <c r="D22" s="11" t="s">
        <v>148</v>
      </c>
      <c r="E22" s="171" t="s">
        <v>93</v>
      </c>
      <c r="F22" s="172"/>
      <c r="G22" s="12" t="s">
        <v>149</v>
      </c>
      <c r="H22" s="39">
        <v>0</v>
      </c>
      <c r="I22" s="13">
        <f>H22/91*25</f>
        <v>0</v>
      </c>
    </row>
    <row r="23" spans="1:9" ht="18" customHeight="1" x14ac:dyDescent="0.3">
      <c r="A23" s="149"/>
      <c r="B23" s="150"/>
      <c r="C23" s="75" t="s">
        <v>62</v>
      </c>
      <c r="D23" s="11" t="s">
        <v>150</v>
      </c>
      <c r="E23" s="171" t="s">
        <v>93</v>
      </c>
      <c r="F23" s="172"/>
      <c r="G23" s="12" t="s">
        <v>134</v>
      </c>
      <c r="H23" s="39">
        <v>0</v>
      </c>
      <c r="I23" s="13">
        <f>H23/208*25</f>
        <v>0</v>
      </c>
    </row>
    <row r="24" spans="1:9" ht="18" customHeight="1" x14ac:dyDescent="0.3">
      <c r="A24" s="149"/>
      <c r="B24" s="150"/>
      <c r="C24" s="75" t="s">
        <v>62</v>
      </c>
      <c r="D24" s="11" t="s">
        <v>147</v>
      </c>
      <c r="E24" s="171" t="s">
        <v>93</v>
      </c>
      <c r="F24" s="172"/>
      <c r="G24" s="12" t="s">
        <v>129</v>
      </c>
      <c r="H24" s="39">
        <v>2002</v>
      </c>
      <c r="I24" s="13">
        <f>H24/91*25</f>
        <v>550</v>
      </c>
    </row>
    <row r="25" spans="1:9" ht="18" customHeight="1" x14ac:dyDescent="0.3">
      <c r="A25" s="149"/>
      <c r="B25" s="150"/>
      <c r="C25" s="75" t="s">
        <v>62</v>
      </c>
      <c r="D25" s="11" t="s">
        <v>166</v>
      </c>
      <c r="E25" s="171" t="s">
        <v>93</v>
      </c>
      <c r="F25" s="172"/>
      <c r="G25" s="12" t="s">
        <v>129</v>
      </c>
      <c r="H25" s="39">
        <v>11904</v>
      </c>
      <c r="I25" s="13">
        <f>H25/93*25</f>
        <v>3200</v>
      </c>
    </row>
    <row r="26" spans="1:9" ht="18" customHeight="1" x14ac:dyDescent="0.3">
      <c r="A26" s="149"/>
      <c r="B26" s="150"/>
      <c r="C26" s="75" t="s">
        <v>62</v>
      </c>
      <c r="D26" s="11" t="s">
        <v>151</v>
      </c>
      <c r="E26" s="171" t="s">
        <v>93</v>
      </c>
      <c r="F26" s="172"/>
      <c r="G26" s="12" t="s">
        <v>128</v>
      </c>
      <c r="H26" s="39">
        <v>0</v>
      </c>
      <c r="I26" s="13">
        <f>H26/200*25</f>
        <v>0</v>
      </c>
    </row>
    <row r="27" spans="1:9" ht="18" customHeight="1" x14ac:dyDescent="0.3">
      <c r="A27" s="82" t="s">
        <v>138</v>
      </c>
      <c r="B27" s="82"/>
      <c r="C27" s="74" t="s">
        <v>14</v>
      </c>
      <c r="D27" s="11" t="s">
        <v>119</v>
      </c>
      <c r="E27" s="171" t="s">
        <v>93</v>
      </c>
      <c r="F27" s="172"/>
      <c r="G27" s="12" t="s">
        <v>47</v>
      </c>
      <c r="H27" s="76"/>
      <c r="I27" s="91">
        <v>3575</v>
      </c>
    </row>
    <row r="28" spans="1:9" ht="18" customHeight="1" x14ac:dyDescent="0.3">
      <c r="A28" s="140" t="s">
        <v>19</v>
      </c>
      <c r="B28" s="141"/>
      <c r="C28" s="74" t="s">
        <v>14</v>
      </c>
      <c r="D28" s="76" t="s">
        <v>43</v>
      </c>
      <c r="E28" s="171" t="s">
        <v>93</v>
      </c>
      <c r="F28" s="172"/>
      <c r="G28" s="76" t="s">
        <v>43</v>
      </c>
      <c r="H28" s="76" t="s">
        <v>43</v>
      </c>
      <c r="I28" s="52" t="s">
        <v>43</v>
      </c>
    </row>
    <row r="29" spans="1:9" ht="18" customHeight="1" x14ac:dyDescent="0.3">
      <c r="A29" s="140" t="s">
        <v>20</v>
      </c>
      <c r="B29" s="141"/>
      <c r="C29" s="74" t="s">
        <v>21</v>
      </c>
      <c r="D29" s="11" t="s">
        <v>74</v>
      </c>
      <c r="E29" s="171" t="s">
        <v>93</v>
      </c>
      <c r="F29" s="172"/>
      <c r="G29" s="12" t="s">
        <v>43</v>
      </c>
      <c r="H29" s="76" t="s">
        <v>43</v>
      </c>
      <c r="I29" s="13" t="s">
        <v>43</v>
      </c>
    </row>
    <row r="30" spans="1:9" ht="18" customHeight="1" x14ac:dyDescent="0.3">
      <c r="A30" s="166" t="s">
        <v>22</v>
      </c>
      <c r="B30" s="168"/>
      <c r="C30" s="36" t="s">
        <v>21</v>
      </c>
      <c r="D30" s="11" t="s">
        <v>75</v>
      </c>
      <c r="E30" s="171" t="s">
        <v>93</v>
      </c>
      <c r="F30" s="172"/>
      <c r="G30" s="12" t="s">
        <v>23</v>
      </c>
      <c r="H30" s="13">
        <v>147</v>
      </c>
      <c r="I30" s="18"/>
    </row>
    <row r="31" spans="1:9" ht="18" customHeight="1" x14ac:dyDescent="0.3">
      <c r="A31" s="140" t="s">
        <v>84</v>
      </c>
      <c r="B31" s="141"/>
      <c r="C31" s="86" t="s">
        <v>21</v>
      </c>
      <c r="D31" s="11" t="s">
        <v>77</v>
      </c>
      <c r="E31" s="171" t="s">
        <v>93</v>
      </c>
      <c r="F31" s="172"/>
      <c r="G31" s="12" t="s">
        <v>64</v>
      </c>
      <c r="H31" s="55">
        <v>0</v>
      </c>
      <c r="I31" s="13" t="s">
        <v>43</v>
      </c>
    </row>
    <row r="32" spans="1:9" ht="18" customHeight="1" x14ac:dyDescent="0.3">
      <c r="A32" s="149"/>
      <c r="B32" s="150"/>
      <c r="C32" s="86" t="s">
        <v>21</v>
      </c>
      <c r="D32" s="11" t="s">
        <v>77</v>
      </c>
      <c r="E32" s="171" t="s">
        <v>93</v>
      </c>
      <c r="F32" s="172"/>
      <c r="G32" s="12" t="s">
        <v>107</v>
      </c>
      <c r="H32" s="39">
        <v>1683</v>
      </c>
      <c r="I32" s="13" t="s">
        <v>43</v>
      </c>
    </row>
    <row r="33" spans="1:9" ht="18" customHeight="1" x14ac:dyDescent="0.3">
      <c r="A33" s="149"/>
      <c r="B33" s="150"/>
      <c r="C33" s="86" t="s">
        <v>21</v>
      </c>
      <c r="D33" s="11" t="s">
        <v>111</v>
      </c>
      <c r="E33" s="171" t="s">
        <v>93</v>
      </c>
      <c r="F33" s="172"/>
      <c r="G33" s="12" t="s">
        <v>64</v>
      </c>
      <c r="H33" s="76" t="s">
        <v>43</v>
      </c>
      <c r="I33" s="13" t="s">
        <v>43</v>
      </c>
    </row>
    <row r="34" spans="1:9" ht="18" customHeight="1" x14ac:dyDescent="0.3">
      <c r="A34" s="147"/>
      <c r="B34" s="148"/>
      <c r="C34" s="81" t="s">
        <v>21</v>
      </c>
      <c r="D34" s="11" t="s">
        <v>111</v>
      </c>
      <c r="E34" s="171" t="s">
        <v>93</v>
      </c>
      <c r="F34" s="172"/>
      <c r="G34" s="12" t="s">
        <v>112</v>
      </c>
      <c r="H34" s="14" t="s">
        <v>43</v>
      </c>
      <c r="I34" s="13"/>
    </row>
    <row r="35" spans="1:9" ht="18" customHeight="1" x14ac:dyDescent="0.3">
      <c r="A35" s="142" t="s">
        <v>24</v>
      </c>
      <c r="B35" s="142"/>
      <c r="C35" s="81" t="s">
        <v>25</v>
      </c>
      <c r="D35" s="11" t="s">
        <v>80</v>
      </c>
      <c r="E35" s="171" t="s">
        <v>93</v>
      </c>
      <c r="F35" s="172"/>
      <c r="G35" s="12" t="s">
        <v>44</v>
      </c>
      <c r="H35" s="14">
        <v>171</v>
      </c>
      <c r="I35" s="13" t="s">
        <v>43</v>
      </c>
    </row>
    <row r="36" spans="1:9" ht="18" customHeight="1" x14ac:dyDescent="0.3">
      <c r="A36" s="140" t="s">
        <v>26</v>
      </c>
      <c r="B36" s="141"/>
      <c r="C36" s="81" t="s">
        <v>25</v>
      </c>
      <c r="D36" s="11" t="s">
        <v>132</v>
      </c>
      <c r="E36" s="171" t="s">
        <v>93</v>
      </c>
      <c r="F36" s="172"/>
      <c r="G36" s="12" t="s">
        <v>28</v>
      </c>
      <c r="H36" s="13">
        <v>0</v>
      </c>
      <c r="I36" s="13" t="s">
        <v>43</v>
      </c>
    </row>
    <row r="37" spans="1:9" ht="18" customHeight="1" x14ac:dyDescent="0.3">
      <c r="A37" s="149"/>
      <c r="B37" s="150"/>
      <c r="C37" s="81" t="s">
        <v>25</v>
      </c>
      <c r="D37" s="11" t="s">
        <v>103</v>
      </c>
      <c r="E37" s="171" t="s">
        <v>93</v>
      </c>
      <c r="F37" s="172"/>
      <c r="G37" s="12" t="s">
        <v>28</v>
      </c>
      <c r="H37" s="13">
        <v>1406</v>
      </c>
      <c r="I37" s="13"/>
    </row>
    <row r="38" spans="1:9" ht="18" customHeight="1" x14ac:dyDescent="0.3">
      <c r="A38" s="147"/>
      <c r="B38" s="148"/>
      <c r="C38" s="81" t="s">
        <v>25</v>
      </c>
      <c r="D38" s="11" t="s">
        <v>103</v>
      </c>
      <c r="E38" s="171" t="s">
        <v>93</v>
      </c>
      <c r="F38" s="172"/>
      <c r="G38" s="12" t="s">
        <v>29</v>
      </c>
      <c r="H38" s="13">
        <v>1575</v>
      </c>
      <c r="I38" s="13"/>
    </row>
    <row r="39" spans="1:9" ht="18" customHeight="1" x14ac:dyDescent="0.3">
      <c r="A39" s="142" t="s">
        <v>30</v>
      </c>
      <c r="B39" s="142"/>
      <c r="C39" s="154" t="s">
        <v>21</v>
      </c>
      <c r="D39" s="11" t="s">
        <v>31</v>
      </c>
      <c r="E39" s="171" t="s">
        <v>93</v>
      </c>
      <c r="F39" s="172"/>
      <c r="G39" s="12" t="s">
        <v>55</v>
      </c>
      <c r="H39" s="13" t="s">
        <v>43</v>
      </c>
      <c r="I39" s="13" t="s">
        <v>43</v>
      </c>
    </row>
    <row r="40" spans="1:9" ht="18" customHeight="1" x14ac:dyDescent="0.3">
      <c r="A40" s="142"/>
      <c r="B40" s="142"/>
      <c r="C40" s="154"/>
      <c r="D40" s="11" t="s">
        <v>32</v>
      </c>
      <c r="E40" s="171" t="s">
        <v>93</v>
      </c>
      <c r="F40" s="172"/>
      <c r="G40" s="12"/>
      <c r="H40" s="13" t="s">
        <v>43</v>
      </c>
      <c r="I40" s="13" t="s">
        <v>43</v>
      </c>
    </row>
    <row r="41" spans="1:9" ht="18" customHeight="1" x14ac:dyDescent="0.3">
      <c r="A41" s="142" t="s">
        <v>33</v>
      </c>
      <c r="B41" s="142"/>
      <c r="C41" s="154" t="s">
        <v>25</v>
      </c>
      <c r="D41" s="12" t="s">
        <v>43</v>
      </c>
      <c r="E41" s="171" t="s">
        <v>43</v>
      </c>
      <c r="F41" s="172"/>
      <c r="G41" s="12" t="s">
        <v>43</v>
      </c>
      <c r="H41" s="13" t="s">
        <v>43</v>
      </c>
      <c r="I41" s="13" t="s">
        <v>43</v>
      </c>
    </row>
    <row r="42" spans="1:9" ht="18" customHeight="1" x14ac:dyDescent="0.3">
      <c r="A42" s="142"/>
      <c r="B42" s="142"/>
      <c r="C42" s="154"/>
      <c r="D42" s="12" t="s">
        <v>43</v>
      </c>
      <c r="E42" s="171" t="s">
        <v>43</v>
      </c>
      <c r="F42" s="172"/>
      <c r="G42" s="12" t="s">
        <v>43</v>
      </c>
      <c r="H42" s="13" t="s">
        <v>43</v>
      </c>
      <c r="I42" s="13" t="s">
        <v>43</v>
      </c>
    </row>
    <row r="43" spans="1:9" ht="18" customHeight="1" x14ac:dyDescent="0.3">
      <c r="A43" s="142" t="s">
        <v>34</v>
      </c>
      <c r="B43" s="142"/>
      <c r="C43" s="81" t="s">
        <v>21</v>
      </c>
      <c r="D43" s="11" t="s">
        <v>82</v>
      </c>
      <c r="E43" s="171" t="s">
        <v>93</v>
      </c>
      <c r="F43" s="172"/>
      <c r="G43" s="12" t="s">
        <v>43</v>
      </c>
      <c r="H43" s="13" t="s">
        <v>43</v>
      </c>
      <c r="I43" s="13" t="s">
        <v>43</v>
      </c>
    </row>
    <row r="44" spans="1:9" ht="18" customHeight="1" x14ac:dyDescent="0.3">
      <c r="A44" s="142" t="s">
        <v>35</v>
      </c>
      <c r="B44" s="142"/>
      <c r="C44" s="81" t="s">
        <v>25</v>
      </c>
      <c r="D44" s="12" t="s">
        <v>43</v>
      </c>
      <c r="E44" s="171" t="s">
        <v>43</v>
      </c>
      <c r="F44" s="172"/>
      <c r="G44" s="12" t="s">
        <v>43</v>
      </c>
      <c r="H44" s="13" t="s">
        <v>43</v>
      </c>
      <c r="I44" s="13" t="s">
        <v>43</v>
      </c>
    </row>
    <row r="45" spans="1:9" ht="18" customHeight="1" x14ac:dyDescent="0.3">
      <c r="A45" s="142" t="s">
        <v>53</v>
      </c>
      <c r="B45" s="142"/>
      <c r="C45" s="81" t="s">
        <v>25</v>
      </c>
      <c r="D45" s="12" t="s">
        <v>43</v>
      </c>
      <c r="E45" s="171" t="s">
        <v>43</v>
      </c>
      <c r="F45" s="172"/>
      <c r="G45" s="12" t="s">
        <v>43</v>
      </c>
      <c r="H45" s="13" t="s">
        <v>43</v>
      </c>
      <c r="I45" s="13" t="s">
        <v>43</v>
      </c>
    </row>
    <row r="46" spans="1:9" ht="12.75" customHeight="1" x14ac:dyDescent="0.3">
      <c r="A46" s="8"/>
      <c r="B46" s="8"/>
      <c r="C46" s="80"/>
      <c r="D46" s="80"/>
      <c r="E46" s="21"/>
      <c r="F46" s="21"/>
      <c r="G46" s="21"/>
      <c r="H46" s="21"/>
      <c r="I46" s="21"/>
    </row>
    <row r="47" spans="1:9" s="71" customFormat="1" ht="17.25" customHeight="1" x14ac:dyDescent="0.25">
      <c r="A47" s="71" t="s">
        <v>41</v>
      </c>
      <c r="D47" s="71" t="s">
        <v>85</v>
      </c>
      <c r="G47" s="71" t="s">
        <v>143</v>
      </c>
    </row>
    <row r="48" spans="1:9" ht="10.5" customHeight="1" x14ac:dyDescent="0.3">
      <c r="G48" s="7"/>
    </row>
    <row r="49" spans="1:12" ht="12.95" customHeight="1" x14ac:dyDescent="0.3">
      <c r="A49" s="25"/>
      <c r="E49" s="25"/>
      <c r="F49" s="25"/>
    </row>
    <row r="50" spans="1:12" s="60" customFormat="1" ht="17.25" customHeight="1" x14ac:dyDescent="0.3">
      <c r="A50" s="59" t="s">
        <v>115</v>
      </c>
      <c r="B50" s="58"/>
      <c r="C50" s="60" t="s">
        <v>96</v>
      </c>
      <c r="D50" s="58" t="s">
        <v>153</v>
      </c>
      <c r="E50" s="58"/>
      <c r="G50" s="58" t="s">
        <v>157</v>
      </c>
      <c r="H50" s="67"/>
      <c r="I50" s="67"/>
      <c r="L50" s="57"/>
    </row>
    <row r="51" spans="1:12" s="42" customFormat="1" ht="15.75" x14ac:dyDescent="0.25">
      <c r="A51" s="37" t="s">
        <v>116</v>
      </c>
      <c r="D51" s="37" t="s">
        <v>117</v>
      </c>
      <c r="E51" s="37"/>
      <c r="F51" s="37"/>
      <c r="G51" s="47" t="s">
        <v>158</v>
      </c>
      <c r="H51" s="47"/>
      <c r="I51" s="47"/>
      <c r="L51" s="44"/>
    </row>
    <row r="52" spans="1:12" s="44" customFormat="1" ht="15.75" x14ac:dyDescent="0.25">
      <c r="A52" s="37" t="s">
        <v>8</v>
      </c>
      <c r="D52" s="37" t="s">
        <v>66</v>
      </c>
      <c r="E52" s="37"/>
      <c r="F52" s="37"/>
      <c r="G52" s="37" t="s">
        <v>136</v>
      </c>
      <c r="H52" s="37"/>
      <c r="I52" s="37"/>
    </row>
    <row r="53" spans="1:12" s="44" customFormat="1" ht="15.75" x14ac:dyDescent="0.25">
      <c r="A53" s="37" t="s">
        <v>118</v>
      </c>
      <c r="D53" s="48" t="s">
        <v>154</v>
      </c>
      <c r="E53" s="48"/>
      <c r="F53" s="48"/>
      <c r="I53" s="45"/>
      <c r="L53" s="42"/>
    </row>
    <row r="54" spans="1:12" s="44" customFormat="1" ht="13.5" customHeight="1" x14ac:dyDescent="0.25">
      <c r="A54" s="37"/>
      <c r="L54" s="42"/>
    </row>
    <row r="55" spans="1:12" ht="9.75" customHeight="1" x14ac:dyDescent="0.3">
      <c r="A55" s="23"/>
    </row>
    <row r="56" spans="1:12" s="68" customFormat="1" ht="17.25" x14ac:dyDescent="0.3">
      <c r="A56" s="68" t="s">
        <v>144</v>
      </c>
      <c r="D56" s="69"/>
      <c r="E56" s="70"/>
      <c r="F56" s="70"/>
    </row>
    <row r="57" spans="1:12" ht="10.5" customHeight="1" x14ac:dyDescent="0.3"/>
    <row r="58" spans="1:12" ht="13.5" customHeight="1" x14ac:dyDescent="0.3"/>
    <row r="59" spans="1:12" s="57" customFormat="1" ht="17.25" x14ac:dyDescent="0.3">
      <c r="A59" s="65" t="s">
        <v>109</v>
      </c>
    </row>
    <row r="60" spans="1:12" s="44" customFormat="1" ht="15.75" x14ac:dyDescent="0.25">
      <c r="A60" s="44" t="s">
        <v>161</v>
      </c>
    </row>
    <row r="61" spans="1:12" s="44" customFormat="1" ht="15.75" x14ac:dyDescent="0.25">
      <c r="A61" s="44" t="s">
        <v>8</v>
      </c>
    </row>
  </sheetData>
  <mergeCells count="53">
    <mergeCell ref="A10:I10"/>
    <mergeCell ref="E25:F25"/>
    <mergeCell ref="A4:I4"/>
    <mergeCell ref="A5:I5"/>
    <mergeCell ref="A6:I6"/>
    <mergeCell ref="A7:I7"/>
    <mergeCell ref="A9:I9"/>
    <mergeCell ref="H12:I12"/>
    <mergeCell ref="C13:E13"/>
    <mergeCell ref="C14:E14"/>
    <mergeCell ref="C15:E15"/>
    <mergeCell ref="A19:B19"/>
    <mergeCell ref="E19:F19"/>
    <mergeCell ref="A20:B20"/>
    <mergeCell ref="E20:F20"/>
    <mergeCell ref="A21:B26"/>
    <mergeCell ref="E21:F21"/>
    <mergeCell ref="E22:F22"/>
    <mergeCell ref="E23:F23"/>
    <mergeCell ref="E24:F24"/>
    <mergeCell ref="E26:F26"/>
    <mergeCell ref="A35:B35"/>
    <mergeCell ref="E35:F35"/>
    <mergeCell ref="E27:F27"/>
    <mergeCell ref="A28:B28"/>
    <mergeCell ref="E28:F28"/>
    <mergeCell ref="A29:B29"/>
    <mergeCell ref="E29:F29"/>
    <mergeCell ref="A30:B30"/>
    <mergeCell ref="E30:F30"/>
    <mergeCell ref="A31:B34"/>
    <mergeCell ref="E31:F31"/>
    <mergeCell ref="E32:F32"/>
    <mergeCell ref="E33:F33"/>
    <mergeCell ref="E34:F34"/>
    <mergeCell ref="A36:B38"/>
    <mergeCell ref="E36:F36"/>
    <mergeCell ref="E37:F37"/>
    <mergeCell ref="E38:F38"/>
    <mergeCell ref="A39:B40"/>
    <mergeCell ref="C39:C40"/>
    <mergeCell ref="E39:F39"/>
    <mergeCell ref="E40:F40"/>
    <mergeCell ref="A44:B44"/>
    <mergeCell ref="E44:F44"/>
    <mergeCell ref="A45:B45"/>
    <mergeCell ref="E45:F45"/>
    <mergeCell ref="A41:B42"/>
    <mergeCell ref="C41:C42"/>
    <mergeCell ref="E41:F41"/>
    <mergeCell ref="E42:F42"/>
    <mergeCell ref="A43:B43"/>
    <mergeCell ref="E43:F43"/>
  </mergeCells>
  <pageMargins left="0.19685039370078741" right="0.27559055118110237" top="0.35433070866141736" bottom="0.39370078740157483" header="0.31496062992125984" footer="0.31496062992125984"/>
  <pageSetup paperSize="14" scale="93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M85"/>
  <sheetViews>
    <sheetView topLeftCell="A37" zoomScale="130" zoomScaleNormal="130" workbookViewId="0">
      <selection activeCell="E37" sqref="E37"/>
    </sheetView>
  </sheetViews>
  <sheetFormatPr defaultRowHeight="16.5" x14ac:dyDescent="0.3"/>
  <cols>
    <col min="1" max="1" width="9.140625" style="3"/>
    <col min="2" max="2" width="15.7109375" style="3" customWidth="1"/>
    <col min="3" max="3" width="12.7109375" style="3" customWidth="1"/>
    <col min="4" max="4" width="15.85546875" style="3" customWidth="1"/>
    <col min="5" max="5" width="20.28515625" style="3" customWidth="1"/>
    <col min="6" max="6" width="14.42578125" style="3" customWidth="1"/>
    <col min="7" max="7" width="11" style="3" customWidth="1"/>
    <col min="8" max="8" width="10.42578125" style="3" customWidth="1"/>
    <col min="9" max="9" width="9.85546875" style="3" bestFit="1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15" customHeight="1" x14ac:dyDescent="0.3">
      <c r="A5" s="160" t="s">
        <v>3</v>
      </c>
      <c r="B5" s="160"/>
      <c r="C5" s="160"/>
      <c r="D5" s="160"/>
      <c r="E5" s="160"/>
      <c r="F5" s="160"/>
      <c r="G5" s="160"/>
      <c r="H5" s="160"/>
      <c r="I5" s="1"/>
    </row>
    <row r="6" spans="1:9" x14ac:dyDescent="0.3">
      <c r="A6" s="160" t="s">
        <v>4</v>
      </c>
      <c r="B6" s="160"/>
      <c r="C6" s="160"/>
      <c r="D6" s="160"/>
      <c r="E6" s="160"/>
      <c r="F6" s="160"/>
      <c r="G6" s="160"/>
      <c r="H6" s="160"/>
      <c r="I6" s="1"/>
    </row>
    <row r="7" spans="1:9" x14ac:dyDescent="0.3">
      <c r="A7" s="160" t="s">
        <v>5</v>
      </c>
      <c r="B7" s="160"/>
      <c r="C7" s="160"/>
      <c r="D7" s="160"/>
      <c r="E7" s="160"/>
      <c r="F7" s="160"/>
      <c r="G7" s="160"/>
      <c r="H7" s="160"/>
      <c r="I7" s="1"/>
    </row>
    <row r="8" spans="1:9" x14ac:dyDescent="0.3">
      <c r="A8" s="160" t="s">
        <v>6</v>
      </c>
      <c r="B8" s="160"/>
      <c r="C8" s="160"/>
      <c r="D8" s="160"/>
      <c r="E8" s="160"/>
      <c r="F8" s="160"/>
      <c r="G8" s="160"/>
      <c r="H8" s="160"/>
      <c r="I8" s="1"/>
    </row>
    <row r="9" spans="1:9" ht="3" customHeight="1" x14ac:dyDescent="0.3">
      <c r="A9" s="80"/>
      <c r="B9" s="80"/>
      <c r="C9" s="80"/>
      <c r="D9" s="80"/>
      <c r="E9" s="80"/>
      <c r="F9" s="80"/>
      <c r="G9" s="80"/>
      <c r="H9" s="80"/>
      <c r="I9" s="1"/>
    </row>
    <row r="10" spans="1:9" ht="18.75" customHeight="1" x14ac:dyDescent="0.3">
      <c r="A10" s="160" t="s">
        <v>7</v>
      </c>
      <c r="B10" s="160"/>
      <c r="C10" s="160"/>
      <c r="D10" s="160"/>
      <c r="E10" s="160"/>
      <c r="F10" s="160"/>
      <c r="G10" s="160"/>
      <c r="H10" s="160"/>
      <c r="I10" s="1"/>
    </row>
    <row r="11" spans="1:9" x14ac:dyDescent="0.3">
      <c r="A11" s="159" t="s">
        <v>167</v>
      </c>
      <c r="B11" s="159"/>
      <c r="C11" s="159"/>
      <c r="D11" s="159"/>
      <c r="E11" s="159"/>
      <c r="F11" s="159"/>
      <c r="G11" s="159"/>
      <c r="H11" s="159"/>
      <c r="I11" s="5"/>
    </row>
    <row r="12" spans="1:9" ht="3" customHeight="1" x14ac:dyDescent="0.3">
      <c r="I12" s="5"/>
    </row>
    <row r="13" spans="1:9" ht="14.25" customHeight="1" x14ac:dyDescent="0.3">
      <c r="F13" s="2" t="s">
        <v>63</v>
      </c>
      <c r="G13" s="155" t="s">
        <v>168</v>
      </c>
      <c r="H13" s="155"/>
    </row>
    <row r="14" spans="1:9" ht="15" customHeight="1" x14ac:dyDescent="0.3">
      <c r="A14" s="6" t="s">
        <v>127</v>
      </c>
      <c r="B14" s="7"/>
      <c r="C14" s="156" t="s">
        <v>91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92</v>
      </c>
      <c r="D15" s="157"/>
      <c r="E15" s="157"/>
      <c r="G15" s="22"/>
      <c r="H15" s="22"/>
    </row>
    <row r="16" spans="1:9" ht="15" customHeight="1" x14ac:dyDescent="0.3">
      <c r="A16" s="6" t="s">
        <v>125</v>
      </c>
      <c r="C16" s="49" t="s">
        <v>42</v>
      </c>
      <c r="D16" s="49"/>
      <c r="E16" s="49"/>
      <c r="F16" s="4" t="s">
        <v>9</v>
      </c>
      <c r="G16" s="77" t="s">
        <v>45</v>
      </c>
      <c r="H16" s="77"/>
    </row>
    <row r="17" spans="1:13" ht="15" customHeight="1" x14ac:dyDescent="0.3">
      <c r="A17" s="6" t="s">
        <v>126</v>
      </c>
      <c r="C17" s="78" t="s">
        <v>109</v>
      </c>
      <c r="D17" s="49"/>
      <c r="E17" s="49"/>
      <c r="G17" s="22"/>
      <c r="H17" s="22"/>
    </row>
    <row r="18" spans="1:13" ht="15" customHeight="1" x14ac:dyDescent="0.3">
      <c r="A18" s="6" t="s">
        <v>124</v>
      </c>
      <c r="C18" s="49" t="s">
        <v>178</v>
      </c>
      <c r="D18" s="49"/>
      <c r="E18" s="49"/>
      <c r="F18" s="4" t="s">
        <v>10</v>
      </c>
      <c r="G18" s="77" t="s">
        <v>46</v>
      </c>
      <c r="H18" s="77"/>
    </row>
    <row r="19" spans="1:13" ht="3" customHeight="1" thickBot="1" x14ac:dyDescent="0.35"/>
    <row r="20" spans="1:13" ht="25.5" customHeight="1" x14ac:dyDescent="0.3">
      <c r="A20" s="191" t="s">
        <v>11</v>
      </c>
      <c r="B20" s="192"/>
      <c r="C20" s="92" t="s">
        <v>12</v>
      </c>
      <c r="D20" s="92" t="s">
        <v>68</v>
      </c>
      <c r="E20" s="93" t="s">
        <v>90</v>
      </c>
      <c r="F20" s="94" t="s">
        <v>13</v>
      </c>
      <c r="G20" s="95" t="s">
        <v>59</v>
      </c>
      <c r="H20" s="96" t="s">
        <v>60</v>
      </c>
      <c r="M20" s="3">
        <f>1049-15</f>
        <v>1034</v>
      </c>
    </row>
    <row r="21" spans="1:13" ht="13.5" customHeight="1" x14ac:dyDescent="0.3">
      <c r="A21" s="97"/>
      <c r="B21" s="85"/>
      <c r="C21" s="84"/>
      <c r="D21" s="85"/>
      <c r="E21" s="10"/>
      <c r="F21" s="85"/>
      <c r="G21" s="10" t="s">
        <v>61</v>
      </c>
      <c r="H21" s="98" t="s">
        <v>58</v>
      </c>
    </row>
    <row r="22" spans="1:13" ht="15" hidden="1" customHeight="1" x14ac:dyDescent="0.3">
      <c r="A22" s="183" t="s">
        <v>100</v>
      </c>
      <c r="B22" s="141"/>
      <c r="C22" s="144" t="s">
        <v>62</v>
      </c>
      <c r="D22" s="11" t="s">
        <v>130</v>
      </c>
      <c r="E22" s="11" t="s">
        <v>93</v>
      </c>
      <c r="F22" s="12" t="s">
        <v>15</v>
      </c>
      <c r="G22" s="12" t="s">
        <v>43</v>
      </c>
      <c r="H22" s="99" t="s">
        <v>43</v>
      </c>
    </row>
    <row r="23" spans="1:13" ht="15" hidden="1" customHeight="1" x14ac:dyDescent="0.3">
      <c r="A23" s="190"/>
      <c r="B23" s="150"/>
      <c r="C23" s="151"/>
      <c r="D23" s="11" t="s">
        <v>69</v>
      </c>
      <c r="E23" s="11" t="s">
        <v>93</v>
      </c>
      <c r="F23" s="12" t="s">
        <v>15</v>
      </c>
      <c r="G23" s="12" t="s">
        <v>43</v>
      </c>
      <c r="H23" s="99" t="s">
        <v>43</v>
      </c>
    </row>
    <row r="24" spans="1:13" ht="15" customHeight="1" x14ac:dyDescent="0.3">
      <c r="A24" s="190"/>
      <c r="B24" s="150"/>
      <c r="C24" s="151"/>
      <c r="D24" s="11" t="s">
        <v>159</v>
      </c>
      <c r="E24" s="11" t="s">
        <v>93</v>
      </c>
      <c r="F24" s="12" t="s">
        <v>15</v>
      </c>
      <c r="G24" s="14">
        <v>55225</v>
      </c>
      <c r="H24" s="100">
        <f>G24/200*25</f>
        <v>6903.125</v>
      </c>
    </row>
    <row r="25" spans="1:13" ht="15" hidden="1" customHeight="1" x14ac:dyDescent="0.3">
      <c r="A25" s="190"/>
      <c r="B25" s="150"/>
      <c r="C25" s="151"/>
      <c r="D25" s="11" t="s">
        <v>70</v>
      </c>
      <c r="E25" s="11" t="s">
        <v>94</v>
      </c>
      <c r="F25" s="12" t="s">
        <v>16</v>
      </c>
      <c r="G25" s="14" t="s">
        <v>43</v>
      </c>
      <c r="H25" s="100" t="s">
        <v>43</v>
      </c>
    </row>
    <row r="26" spans="1:13" ht="15" hidden="1" customHeight="1" x14ac:dyDescent="0.3">
      <c r="A26" s="190"/>
      <c r="B26" s="150"/>
      <c r="C26" s="151"/>
      <c r="D26" s="11" t="s">
        <v>99</v>
      </c>
      <c r="E26" s="11" t="s">
        <v>94</v>
      </c>
      <c r="F26" s="12" t="s">
        <v>17</v>
      </c>
      <c r="G26" s="12" t="s">
        <v>43</v>
      </c>
      <c r="H26" s="100"/>
    </row>
    <row r="27" spans="1:13" ht="15" hidden="1" customHeight="1" x14ac:dyDescent="0.3">
      <c r="A27" s="190"/>
      <c r="B27" s="150"/>
      <c r="C27" s="151"/>
      <c r="D27" s="11" t="s">
        <v>71</v>
      </c>
      <c r="E27" s="11" t="s">
        <v>94</v>
      </c>
      <c r="F27" s="12" t="s">
        <v>52</v>
      </c>
      <c r="G27" s="12" t="s">
        <v>43</v>
      </c>
      <c r="H27" s="100" t="s">
        <v>43</v>
      </c>
    </row>
    <row r="28" spans="1:13" ht="15" hidden="1" customHeight="1" x14ac:dyDescent="0.3">
      <c r="A28" s="190"/>
      <c r="B28" s="150"/>
      <c r="C28" s="151"/>
      <c r="D28" s="11" t="s">
        <v>101</v>
      </c>
      <c r="E28" s="11" t="s">
        <v>94</v>
      </c>
      <c r="F28" s="12" t="s">
        <v>16</v>
      </c>
      <c r="G28" s="12" t="s">
        <v>43</v>
      </c>
      <c r="H28" s="100" t="s">
        <v>43</v>
      </c>
    </row>
    <row r="29" spans="1:13" ht="15" hidden="1" customHeight="1" x14ac:dyDescent="0.3">
      <c r="A29" s="190"/>
      <c r="B29" s="150"/>
      <c r="C29" s="151"/>
      <c r="D29" s="11" t="s">
        <v>108</v>
      </c>
      <c r="E29" s="11" t="s">
        <v>94</v>
      </c>
      <c r="F29" s="12" t="s">
        <v>98</v>
      </c>
      <c r="G29" s="12" t="s">
        <v>43</v>
      </c>
      <c r="H29" s="100" t="s">
        <v>43</v>
      </c>
    </row>
    <row r="30" spans="1:13" ht="15" hidden="1" customHeight="1" x14ac:dyDescent="0.3">
      <c r="A30" s="190"/>
      <c r="B30" s="150"/>
      <c r="C30" s="151"/>
      <c r="D30" s="11" t="s">
        <v>102</v>
      </c>
      <c r="E30" s="11" t="s">
        <v>94</v>
      </c>
      <c r="F30" s="12" t="s">
        <v>98</v>
      </c>
      <c r="G30" s="12" t="s">
        <v>43</v>
      </c>
      <c r="H30" s="100" t="s">
        <v>43</v>
      </c>
    </row>
    <row r="31" spans="1:13" ht="15" customHeight="1" x14ac:dyDescent="0.3">
      <c r="A31" s="189"/>
      <c r="B31" s="148"/>
      <c r="C31" s="145"/>
      <c r="D31" s="11" t="s">
        <v>104</v>
      </c>
      <c r="E31" s="11" t="s">
        <v>94</v>
      </c>
      <c r="F31" s="12" t="s">
        <v>16</v>
      </c>
      <c r="G31" s="14">
        <v>46249</v>
      </c>
      <c r="H31" s="100">
        <f>G31/215*25</f>
        <v>5377.790697674418</v>
      </c>
    </row>
    <row r="32" spans="1:13" ht="15" customHeight="1" x14ac:dyDescent="0.3">
      <c r="A32" s="101" t="s">
        <v>18</v>
      </c>
      <c r="B32" s="28"/>
      <c r="C32" s="144" t="s">
        <v>14</v>
      </c>
      <c r="D32" s="11" t="s">
        <v>72</v>
      </c>
      <c r="E32" s="11" t="s">
        <v>94</v>
      </c>
      <c r="F32" s="12" t="s">
        <v>47</v>
      </c>
      <c r="G32" s="13" t="s">
        <v>43</v>
      </c>
      <c r="H32" s="100">
        <f>I32</f>
        <v>35141.07</v>
      </c>
      <c r="I32" s="15">
        <v>35141.07</v>
      </c>
      <c r="J32" s="17" t="e">
        <f>H32+H33</f>
        <v>#VALUE!</v>
      </c>
    </row>
    <row r="33" spans="1:11" ht="15" customHeight="1" x14ac:dyDescent="0.3">
      <c r="A33" s="189" t="s">
        <v>137</v>
      </c>
      <c r="B33" s="148"/>
      <c r="C33" s="145"/>
      <c r="D33" s="11" t="s">
        <v>73</v>
      </c>
      <c r="E33" s="11" t="s">
        <v>93</v>
      </c>
      <c r="F33" s="12" t="s">
        <v>47</v>
      </c>
      <c r="G33" s="13" t="s">
        <v>43</v>
      </c>
      <c r="H33" s="100" t="s">
        <v>43</v>
      </c>
      <c r="I33" s="16"/>
      <c r="J33" s="3">
        <f>I32/3</f>
        <v>11713.69</v>
      </c>
      <c r="K33" s="3">
        <f>J33*2</f>
        <v>23427.38</v>
      </c>
    </row>
    <row r="34" spans="1:11" ht="15" customHeight="1" x14ac:dyDescent="0.3">
      <c r="A34" s="183" t="s">
        <v>19</v>
      </c>
      <c r="B34" s="141"/>
      <c r="C34" s="74" t="s">
        <v>14</v>
      </c>
      <c r="D34" s="76" t="s">
        <v>43</v>
      </c>
      <c r="E34" s="76" t="s">
        <v>43</v>
      </c>
      <c r="F34" s="76" t="s">
        <v>43</v>
      </c>
      <c r="G34" s="52" t="s">
        <v>43</v>
      </c>
      <c r="H34" s="102" t="s">
        <v>43</v>
      </c>
      <c r="I34" s="17"/>
      <c r="J34" s="17"/>
    </row>
    <row r="35" spans="1:11" ht="15" customHeight="1" x14ac:dyDescent="0.3">
      <c r="A35" s="183" t="s">
        <v>20</v>
      </c>
      <c r="B35" s="141"/>
      <c r="C35" s="74" t="s">
        <v>21</v>
      </c>
      <c r="D35" s="11" t="s">
        <v>74</v>
      </c>
      <c r="E35" s="11" t="s">
        <v>94</v>
      </c>
      <c r="F35" s="12" t="s">
        <v>43</v>
      </c>
      <c r="G35" s="52">
        <v>156</v>
      </c>
      <c r="H35" s="100" t="s">
        <v>43</v>
      </c>
    </row>
    <row r="36" spans="1:11" ht="15" customHeight="1" x14ac:dyDescent="0.3">
      <c r="A36" s="183" t="s">
        <v>22</v>
      </c>
      <c r="B36" s="152"/>
      <c r="C36" s="154" t="s">
        <v>21</v>
      </c>
      <c r="D36" s="11" t="s">
        <v>75</v>
      </c>
      <c r="E36" s="11" t="s">
        <v>94</v>
      </c>
      <c r="F36" s="12"/>
      <c r="G36" s="13">
        <f>I36/2</f>
        <v>2914</v>
      </c>
      <c r="H36" s="100"/>
      <c r="I36" s="53">
        <v>5828</v>
      </c>
    </row>
    <row r="37" spans="1:11" ht="15" customHeight="1" x14ac:dyDescent="0.3">
      <c r="A37" s="189"/>
      <c r="B37" s="153"/>
      <c r="C37" s="154"/>
      <c r="D37" s="11" t="s">
        <v>75</v>
      </c>
      <c r="E37" s="11" t="s">
        <v>93</v>
      </c>
      <c r="F37" s="12" t="s">
        <v>23</v>
      </c>
      <c r="G37" s="13">
        <f>I36/2</f>
        <v>2914</v>
      </c>
      <c r="H37" s="100" t="s">
        <v>43</v>
      </c>
    </row>
    <row r="38" spans="1:11" ht="15" customHeight="1" x14ac:dyDescent="0.3">
      <c r="A38" s="183" t="s">
        <v>105</v>
      </c>
      <c r="B38" s="141"/>
      <c r="C38" s="144" t="s">
        <v>21</v>
      </c>
      <c r="D38" s="11" t="s">
        <v>76</v>
      </c>
      <c r="E38" s="11" t="s">
        <v>93</v>
      </c>
      <c r="F38" s="12" t="s">
        <v>64</v>
      </c>
      <c r="G38" s="14">
        <v>0</v>
      </c>
      <c r="H38" s="100" t="s">
        <v>43</v>
      </c>
    </row>
    <row r="39" spans="1:11" ht="14.25" customHeight="1" x14ac:dyDescent="0.3">
      <c r="A39" s="189"/>
      <c r="B39" s="148"/>
      <c r="C39" s="145"/>
      <c r="D39" s="11" t="s">
        <v>76</v>
      </c>
      <c r="E39" s="11" t="s">
        <v>93</v>
      </c>
      <c r="F39" s="12" t="s">
        <v>65</v>
      </c>
      <c r="G39" s="14">
        <v>0</v>
      </c>
      <c r="H39" s="100" t="s">
        <v>43</v>
      </c>
    </row>
    <row r="40" spans="1:11" ht="15" customHeight="1" x14ac:dyDescent="0.3">
      <c r="A40" s="189" t="s">
        <v>106</v>
      </c>
      <c r="B40" s="148"/>
      <c r="C40" s="86" t="s">
        <v>21</v>
      </c>
      <c r="D40" s="11" t="s">
        <v>77</v>
      </c>
      <c r="E40" s="11" t="s">
        <v>93</v>
      </c>
      <c r="F40" s="12" t="s">
        <v>64</v>
      </c>
      <c r="G40" s="14">
        <v>0</v>
      </c>
      <c r="H40" s="100" t="s">
        <v>43</v>
      </c>
    </row>
    <row r="41" spans="1:11" ht="15" customHeight="1" x14ac:dyDescent="0.3">
      <c r="A41" s="189" t="s">
        <v>106</v>
      </c>
      <c r="B41" s="148"/>
      <c r="C41" s="86" t="s">
        <v>21</v>
      </c>
      <c r="D41" s="11" t="s">
        <v>77</v>
      </c>
      <c r="E41" s="11" t="s">
        <v>93</v>
      </c>
      <c r="F41" s="12" t="s">
        <v>65</v>
      </c>
      <c r="G41" s="14">
        <v>0</v>
      </c>
      <c r="H41" s="100" t="s">
        <v>43</v>
      </c>
    </row>
    <row r="42" spans="1:11" ht="15" customHeight="1" x14ac:dyDescent="0.3">
      <c r="A42" s="189" t="s">
        <v>106</v>
      </c>
      <c r="B42" s="148"/>
      <c r="C42" s="86" t="s">
        <v>21</v>
      </c>
      <c r="D42" s="11" t="s">
        <v>111</v>
      </c>
      <c r="E42" s="11" t="s">
        <v>93</v>
      </c>
      <c r="F42" s="12" t="s">
        <v>64</v>
      </c>
      <c r="G42" s="14">
        <v>0</v>
      </c>
      <c r="H42" s="100" t="s">
        <v>43</v>
      </c>
    </row>
    <row r="43" spans="1:11" ht="15" customHeight="1" x14ac:dyDescent="0.3">
      <c r="A43" s="189" t="s">
        <v>106</v>
      </c>
      <c r="B43" s="148"/>
      <c r="C43" s="86" t="s">
        <v>21</v>
      </c>
      <c r="D43" s="11" t="s">
        <v>78</v>
      </c>
      <c r="E43" s="11" t="s">
        <v>94</v>
      </c>
      <c r="F43" s="12" t="s">
        <v>64</v>
      </c>
      <c r="G43" s="14">
        <v>49312</v>
      </c>
      <c r="H43" s="100" t="s">
        <v>43</v>
      </c>
    </row>
    <row r="44" spans="1:11" ht="15" customHeight="1" x14ac:dyDescent="0.3">
      <c r="A44" s="189" t="s">
        <v>106</v>
      </c>
      <c r="B44" s="148"/>
      <c r="C44" s="36" t="s">
        <v>21</v>
      </c>
      <c r="D44" s="11" t="s">
        <v>79</v>
      </c>
      <c r="E44" s="11" t="s">
        <v>94</v>
      </c>
      <c r="F44" s="12" t="s">
        <v>65</v>
      </c>
      <c r="G44" s="14">
        <v>368</v>
      </c>
      <c r="H44" s="100" t="s">
        <v>43</v>
      </c>
    </row>
    <row r="45" spans="1:11" ht="15" customHeight="1" x14ac:dyDescent="0.3">
      <c r="A45" s="189" t="s">
        <v>106</v>
      </c>
      <c r="B45" s="148"/>
      <c r="C45" s="36" t="s">
        <v>21</v>
      </c>
      <c r="D45" s="11" t="s">
        <v>79</v>
      </c>
      <c r="E45" s="11" t="s">
        <v>94</v>
      </c>
      <c r="F45" s="12" t="s">
        <v>107</v>
      </c>
      <c r="G45" s="14">
        <v>0</v>
      </c>
      <c r="H45" s="100" t="s">
        <v>43</v>
      </c>
    </row>
    <row r="46" spans="1:11" ht="15" customHeight="1" x14ac:dyDescent="0.3">
      <c r="A46" s="183" t="s">
        <v>24</v>
      </c>
      <c r="B46" s="141"/>
      <c r="C46" s="36" t="s">
        <v>25</v>
      </c>
      <c r="D46" s="11" t="s">
        <v>80</v>
      </c>
      <c r="E46" s="11" t="s">
        <v>139</v>
      </c>
      <c r="F46" s="12" t="s">
        <v>44</v>
      </c>
      <c r="G46" s="14">
        <f>I36*2.43</f>
        <v>14162.04</v>
      </c>
      <c r="H46" s="100" t="s">
        <v>43</v>
      </c>
      <c r="I46" s="15">
        <v>14162.04</v>
      </c>
    </row>
    <row r="47" spans="1:11" ht="15" customHeight="1" x14ac:dyDescent="0.3">
      <c r="A47" s="189"/>
      <c r="B47" s="148"/>
      <c r="C47" s="36" t="s">
        <v>25</v>
      </c>
      <c r="D47" s="11" t="s">
        <v>80</v>
      </c>
      <c r="E47" s="11" t="s">
        <v>93</v>
      </c>
      <c r="F47" s="12" t="s">
        <v>44</v>
      </c>
      <c r="G47" s="14">
        <v>0</v>
      </c>
      <c r="H47" s="100"/>
      <c r="I47" s="16"/>
    </row>
    <row r="48" spans="1:11" ht="15" customHeight="1" x14ac:dyDescent="0.3">
      <c r="A48" s="183" t="s">
        <v>26</v>
      </c>
      <c r="B48" s="141"/>
      <c r="C48" s="144" t="s">
        <v>25</v>
      </c>
      <c r="D48" s="11" t="s">
        <v>81</v>
      </c>
      <c r="E48" s="11" t="s">
        <v>94</v>
      </c>
      <c r="F48" s="12" t="s">
        <v>27</v>
      </c>
      <c r="G48" s="14">
        <v>24333</v>
      </c>
      <c r="H48" s="100" t="s">
        <v>43</v>
      </c>
    </row>
    <row r="49" spans="1:9" ht="15" hidden="1" customHeight="1" x14ac:dyDescent="0.3">
      <c r="A49" s="190"/>
      <c r="B49" s="150"/>
      <c r="C49" s="151"/>
      <c r="D49" s="11" t="s">
        <v>103</v>
      </c>
      <c r="E49" s="11" t="s">
        <v>93</v>
      </c>
      <c r="F49" s="12" t="s">
        <v>51</v>
      </c>
      <c r="G49" s="12">
        <v>0</v>
      </c>
      <c r="H49" s="100" t="s">
        <v>43</v>
      </c>
    </row>
    <row r="50" spans="1:9" ht="15" hidden="1" customHeight="1" x14ac:dyDescent="0.3">
      <c r="A50" s="190"/>
      <c r="B50" s="150"/>
      <c r="C50" s="151"/>
      <c r="D50" s="11" t="s">
        <v>103</v>
      </c>
      <c r="E50" s="11" t="s">
        <v>93</v>
      </c>
      <c r="F50" s="12" t="s">
        <v>50</v>
      </c>
      <c r="G50" s="13" t="s">
        <v>43</v>
      </c>
      <c r="H50" s="100" t="s">
        <v>43</v>
      </c>
    </row>
    <row r="51" spans="1:9" ht="15" customHeight="1" x14ac:dyDescent="0.3">
      <c r="A51" s="190"/>
      <c r="B51" s="150"/>
      <c r="C51" s="151"/>
      <c r="D51" s="11" t="s">
        <v>103</v>
      </c>
      <c r="E51" s="11" t="s">
        <v>93</v>
      </c>
      <c r="F51" s="12" t="s">
        <v>28</v>
      </c>
      <c r="G51" s="13" t="s">
        <v>43</v>
      </c>
      <c r="H51" s="100" t="s">
        <v>43</v>
      </c>
      <c r="I51" s="17"/>
    </row>
    <row r="52" spans="1:9" ht="15" customHeight="1" x14ac:dyDescent="0.3">
      <c r="A52" s="190"/>
      <c r="B52" s="150"/>
      <c r="C52" s="151"/>
      <c r="D52" s="11" t="s">
        <v>103</v>
      </c>
      <c r="E52" s="11" t="s">
        <v>94</v>
      </c>
      <c r="F52" s="12" t="s">
        <v>135</v>
      </c>
      <c r="G52" s="13" t="s">
        <v>43</v>
      </c>
      <c r="H52" s="100"/>
      <c r="I52" s="17"/>
    </row>
    <row r="53" spans="1:9" ht="15" customHeight="1" x14ac:dyDescent="0.3">
      <c r="A53" s="189"/>
      <c r="B53" s="148"/>
      <c r="C53" s="145"/>
      <c r="D53" s="11" t="s">
        <v>103</v>
      </c>
      <c r="E53" s="11" t="s">
        <v>94</v>
      </c>
      <c r="F53" s="12" t="s">
        <v>29</v>
      </c>
      <c r="G53" s="18" t="s">
        <v>43</v>
      </c>
      <c r="H53" s="100" t="s">
        <v>43</v>
      </c>
    </row>
    <row r="54" spans="1:9" ht="15" customHeight="1" x14ac:dyDescent="0.3">
      <c r="A54" s="183" t="s">
        <v>30</v>
      </c>
      <c r="B54" s="141"/>
      <c r="C54" s="144" t="s">
        <v>21</v>
      </c>
      <c r="D54" s="19" t="s">
        <v>31</v>
      </c>
      <c r="E54" s="11" t="s">
        <v>94</v>
      </c>
      <c r="F54" s="12" t="s">
        <v>55</v>
      </c>
      <c r="G54" s="18" t="s">
        <v>43</v>
      </c>
      <c r="H54" s="99" t="s">
        <v>43</v>
      </c>
    </row>
    <row r="55" spans="1:9" ht="15" customHeight="1" x14ac:dyDescent="0.3">
      <c r="A55" s="189"/>
      <c r="B55" s="148"/>
      <c r="C55" s="145"/>
      <c r="D55" s="20" t="s">
        <v>32</v>
      </c>
      <c r="E55" s="11" t="s">
        <v>94</v>
      </c>
      <c r="F55" s="12"/>
      <c r="G55" s="18" t="s">
        <v>43</v>
      </c>
      <c r="H55" s="99" t="s">
        <v>43</v>
      </c>
    </row>
    <row r="56" spans="1:9" ht="15" customHeight="1" x14ac:dyDescent="0.3">
      <c r="A56" s="183" t="s">
        <v>33</v>
      </c>
      <c r="B56" s="141"/>
      <c r="C56" s="144" t="s">
        <v>25</v>
      </c>
      <c r="D56" s="138" t="s">
        <v>43</v>
      </c>
      <c r="E56" s="138" t="s">
        <v>43</v>
      </c>
      <c r="F56" s="138" t="s">
        <v>43</v>
      </c>
      <c r="G56" s="138" t="s">
        <v>43</v>
      </c>
      <c r="H56" s="181" t="s">
        <v>43</v>
      </c>
    </row>
    <row r="57" spans="1:9" ht="2.25" customHeight="1" x14ac:dyDescent="0.3">
      <c r="A57" s="189"/>
      <c r="B57" s="148"/>
      <c r="C57" s="145"/>
      <c r="D57" s="139"/>
      <c r="E57" s="139"/>
      <c r="F57" s="139"/>
      <c r="G57" s="139"/>
      <c r="H57" s="182"/>
    </row>
    <row r="58" spans="1:9" ht="15" customHeight="1" x14ac:dyDescent="0.3">
      <c r="A58" s="183" t="s">
        <v>34</v>
      </c>
      <c r="B58" s="141"/>
      <c r="C58" s="36" t="s">
        <v>21</v>
      </c>
      <c r="D58" s="11" t="s">
        <v>82</v>
      </c>
      <c r="E58" s="11" t="s">
        <v>83</v>
      </c>
      <c r="F58" s="12" t="s">
        <v>43</v>
      </c>
      <c r="G58" s="12" t="s">
        <v>43</v>
      </c>
      <c r="H58" s="99" t="s">
        <v>43</v>
      </c>
    </row>
    <row r="59" spans="1:9" ht="15" customHeight="1" x14ac:dyDescent="0.3">
      <c r="A59" s="184" t="s">
        <v>35</v>
      </c>
      <c r="B59" s="142"/>
      <c r="C59" s="81" t="s">
        <v>25</v>
      </c>
      <c r="D59" s="12" t="s">
        <v>43</v>
      </c>
      <c r="E59" s="12" t="s">
        <v>43</v>
      </c>
      <c r="F59" s="12" t="s">
        <v>43</v>
      </c>
      <c r="G59" s="12" t="s">
        <v>43</v>
      </c>
      <c r="H59" s="99" t="s">
        <v>43</v>
      </c>
    </row>
    <row r="60" spans="1:9" ht="15" customHeight="1" x14ac:dyDescent="0.3">
      <c r="A60" s="184" t="s">
        <v>53</v>
      </c>
      <c r="B60" s="142"/>
      <c r="C60" s="81" t="s">
        <v>25</v>
      </c>
      <c r="D60" s="12" t="s">
        <v>43</v>
      </c>
      <c r="E60" s="12" t="s">
        <v>43</v>
      </c>
      <c r="F60" s="12" t="s">
        <v>43</v>
      </c>
      <c r="G60" s="12">
        <v>90</v>
      </c>
      <c r="H60" s="99" t="s">
        <v>43</v>
      </c>
    </row>
    <row r="61" spans="1:9" ht="15" customHeight="1" x14ac:dyDescent="0.3">
      <c r="A61" s="185" t="s">
        <v>36</v>
      </c>
      <c r="B61" s="143"/>
      <c r="C61" s="144" t="s">
        <v>37</v>
      </c>
      <c r="D61" s="11" t="s">
        <v>38</v>
      </c>
      <c r="E61" s="11" t="s">
        <v>94</v>
      </c>
      <c r="F61" s="12" t="s">
        <v>56</v>
      </c>
      <c r="G61" s="12" t="s">
        <v>43</v>
      </c>
      <c r="H61" s="99" t="s">
        <v>43</v>
      </c>
    </row>
    <row r="62" spans="1:9" ht="15" customHeight="1" thickBot="1" x14ac:dyDescent="0.35">
      <c r="A62" s="187" t="s">
        <v>39</v>
      </c>
      <c r="B62" s="188"/>
      <c r="C62" s="186"/>
      <c r="D62" s="103" t="s">
        <v>40</v>
      </c>
      <c r="E62" s="103" t="s">
        <v>94</v>
      </c>
      <c r="F62" s="104" t="s">
        <v>57</v>
      </c>
      <c r="G62" s="104" t="s">
        <v>43</v>
      </c>
      <c r="H62" s="105" t="s">
        <v>43</v>
      </c>
    </row>
    <row r="63" spans="1:9" ht="3" customHeight="1" x14ac:dyDescent="0.3">
      <c r="A63" s="32"/>
      <c r="B63" s="32"/>
      <c r="C63" s="33"/>
      <c r="D63" s="34"/>
      <c r="E63" s="34"/>
      <c r="F63" s="35"/>
      <c r="G63" s="35"/>
      <c r="H63" s="35"/>
    </row>
    <row r="64" spans="1:9" ht="17.25" customHeight="1" x14ac:dyDescent="0.3">
      <c r="A64" s="32"/>
      <c r="B64" s="32"/>
      <c r="C64" s="33"/>
      <c r="D64" s="34"/>
      <c r="E64" s="34"/>
      <c r="F64" s="35"/>
      <c r="G64" s="35"/>
      <c r="H64" s="35"/>
    </row>
    <row r="65" spans="1:13" ht="17.25" customHeight="1" x14ac:dyDescent="0.3">
      <c r="A65" s="3" t="s">
        <v>41</v>
      </c>
      <c r="D65" s="3" t="s">
        <v>85</v>
      </c>
      <c r="F65" s="3" t="s">
        <v>86</v>
      </c>
    </row>
    <row r="66" spans="1:13" ht="26.25" customHeight="1" x14ac:dyDescent="0.3">
      <c r="E66" s="25"/>
    </row>
    <row r="67" spans="1:13" s="40" customFormat="1" ht="17.25" customHeight="1" x14ac:dyDescent="0.25">
      <c r="A67" s="73" t="s">
        <v>175</v>
      </c>
      <c r="D67" s="43" t="s">
        <v>169</v>
      </c>
      <c r="E67" s="72"/>
      <c r="F67" s="41" t="s">
        <v>131</v>
      </c>
      <c r="G67" s="42"/>
      <c r="H67" s="42"/>
      <c r="I67" s="43"/>
    </row>
    <row r="68" spans="1:13" s="31" customFormat="1" x14ac:dyDescent="0.3">
      <c r="A68" s="23" t="s">
        <v>176</v>
      </c>
      <c r="D68" s="31" t="s">
        <v>123</v>
      </c>
      <c r="E68" s="26"/>
      <c r="F68" s="29" t="s">
        <v>160</v>
      </c>
      <c r="G68" s="3"/>
      <c r="H68" s="3"/>
    </row>
    <row r="69" spans="1:13" x14ac:dyDescent="0.3">
      <c r="A69" s="23" t="s">
        <v>8</v>
      </c>
      <c r="D69" s="23" t="s">
        <v>67</v>
      </c>
      <c r="F69" s="23" t="s">
        <v>97</v>
      </c>
    </row>
    <row r="70" spans="1:13" x14ac:dyDescent="0.3">
      <c r="A70" s="23" t="s">
        <v>177</v>
      </c>
      <c r="D70" s="25" t="s">
        <v>170</v>
      </c>
      <c r="H70" s="7"/>
    </row>
    <row r="71" spans="1:13" ht="28.5" customHeight="1" x14ac:dyDescent="0.3">
      <c r="A71" s="23"/>
      <c r="H71" s="7"/>
    </row>
    <row r="72" spans="1:13" s="44" customFormat="1" ht="15.75" x14ac:dyDescent="0.25">
      <c r="A72" s="37"/>
      <c r="D72" s="43" t="s">
        <v>171</v>
      </c>
      <c r="H72" s="45"/>
    </row>
    <row r="73" spans="1:13" x14ac:dyDescent="0.3">
      <c r="A73" s="26"/>
      <c r="D73" s="31" t="s">
        <v>123</v>
      </c>
      <c r="I73" s="72"/>
    </row>
    <row r="74" spans="1:13" x14ac:dyDescent="0.3">
      <c r="A74" s="26"/>
      <c r="D74" s="23" t="s">
        <v>66</v>
      </c>
    </row>
    <row r="75" spans="1:13" x14ac:dyDescent="0.3">
      <c r="A75" s="23"/>
      <c r="D75" s="25" t="s">
        <v>172</v>
      </c>
    </row>
    <row r="79" spans="1:13" x14ac:dyDescent="0.3">
      <c r="M79" s="31"/>
    </row>
    <row r="80" spans="1:13" x14ac:dyDescent="0.3">
      <c r="M80" s="31"/>
    </row>
    <row r="81" spans="13:13" x14ac:dyDescent="0.3">
      <c r="M81" s="23"/>
    </row>
    <row r="83" spans="13:13" x14ac:dyDescent="0.3">
      <c r="M83" s="24"/>
    </row>
    <row r="84" spans="13:13" x14ac:dyDescent="0.3">
      <c r="M84" s="23"/>
    </row>
    <row r="85" spans="13:13" x14ac:dyDescent="0.3">
      <c r="M85" s="23"/>
    </row>
  </sheetData>
  <mergeCells count="44">
    <mergeCell ref="H56:H57"/>
    <mergeCell ref="A58:B58"/>
    <mergeCell ref="A59:B59"/>
    <mergeCell ref="A60:B60"/>
    <mergeCell ref="A61:B61"/>
    <mergeCell ref="C61:C62"/>
    <mergeCell ref="A62:B62"/>
    <mergeCell ref="A56:B57"/>
    <mergeCell ref="C56:C57"/>
    <mergeCell ref="D56:D57"/>
    <mergeCell ref="E56:E57"/>
    <mergeCell ref="F56:F57"/>
    <mergeCell ref="G56:G57"/>
    <mergeCell ref="A54:B55"/>
    <mergeCell ref="C54:C55"/>
    <mergeCell ref="A38:B39"/>
    <mergeCell ref="C38:C39"/>
    <mergeCell ref="A40:B40"/>
    <mergeCell ref="A41:B41"/>
    <mergeCell ref="A42:B42"/>
    <mergeCell ref="A43:B43"/>
    <mergeCell ref="A44:B44"/>
    <mergeCell ref="A45:B45"/>
    <mergeCell ref="A46:B47"/>
    <mergeCell ref="A48:B53"/>
    <mergeCell ref="C48:C53"/>
    <mergeCell ref="C32:C33"/>
    <mergeCell ref="A33:B33"/>
    <mergeCell ref="A34:B34"/>
    <mergeCell ref="A35:B35"/>
    <mergeCell ref="A36:B37"/>
    <mergeCell ref="C36:C37"/>
    <mergeCell ref="G13:H13"/>
    <mergeCell ref="C14:E14"/>
    <mergeCell ref="C15:E15"/>
    <mergeCell ref="A20:B20"/>
    <mergeCell ref="A22:B31"/>
    <mergeCell ref="C22:C31"/>
    <mergeCell ref="A11:H11"/>
    <mergeCell ref="A5:H5"/>
    <mergeCell ref="A6:H6"/>
    <mergeCell ref="A7:H7"/>
    <mergeCell ref="A8:H8"/>
    <mergeCell ref="A10:H10"/>
  </mergeCells>
  <pageMargins left="0.19685039370078741" right="0.27559055118110237" top="0.19685039370078741" bottom="0.19685039370078741" header="0.31496062992125984" footer="0.31496062992125984"/>
  <pageSetup paperSize="14" scale="93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P54"/>
  <sheetViews>
    <sheetView topLeftCell="A16" workbookViewId="0">
      <selection activeCell="P26" sqref="P26"/>
    </sheetView>
  </sheetViews>
  <sheetFormatPr defaultRowHeight="16.5" x14ac:dyDescent="0.3"/>
  <cols>
    <col min="1" max="1" width="9.140625" style="3"/>
    <col min="2" max="2" width="17.140625" style="3" customWidth="1"/>
    <col min="3" max="3" width="12.85546875" style="3" customWidth="1"/>
    <col min="4" max="4" width="15.7109375" style="3" customWidth="1"/>
    <col min="5" max="5" width="19.7109375" style="3" customWidth="1"/>
    <col min="6" max="6" width="14.42578125" style="3" customWidth="1"/>
    <col min="7" max="7" width="11.5703125" style="3" bestFit="1" customWidth="1"/>
    <col min="8" max="8" width="9.42578125" style="3" customWidth="1"/>
    <col min="9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22.5" customHeight="1" x14ac:dyDescent="0.3">
      <c r="A5" s="170" t="s">
        <v>3</v>
      </c>
      <c r="B5" s="170"/>
      <c r="C5" s="170"/>
      <c r="D5" s="170"/>
      <c r="E5" s="170"/>
      <c r="F5" s="170"/>
      <c r="G5" s="170"/>
      <c r="H5" s="170"/>
      <c r="I5" s="1"/>
    </row>
    <row r="6" spans="1:9" ht="22.5" customHeight="1" x14ac:dyDescent="0.3">
      <c r="A6" s="170" t="s">
        <v>4</v>
      </c>
      <c r="B6" s="170"/>
      <c r="C6" s="170"/>
      <c r="D6" s="170"/>
      <c r="E6" s="170"/>
      <c r="F6" s="170"/>
      <c r="G6" s="170"/>
      <c r="H6" s="170"/>
      <c r="I6" s="1"/>
    </row>
    <row r="7" spans="1:9" ht="22.5" customHeight="1" x14ac:dyDescent="0.3">
      <c r="A7" s="170" t="s">
        <v>5</v>
      </c>
      <c r="B7" s="170"/>
      <c r="C7" s="170"/>
      <c r="D7" s="170"/>
      <c r="E7" s="170"/>
      <c r="F7" s="170"/>
      <c r="G7" s="170"/>
      <c r="H7" s="170"/>
      <c r="I7" s="1"/>
    </row>
    <row r="8" spans="1:9" ht="22.5" customHeight="1" x14ac:dyDescent="0.3">
      <c r="A8" s="170" t="s">
        <v>6</v>
      </c>
      <c r="B8" s="170"/>
      <c r="C8" s="170"/>
      <c r="D8" s="170"/>
      <c r="E8" s="170"/>
      <c r="F8" s="170"/>
      <c r="G8" s="170"/>
      <c r="H8" s="170"/>
      <c r="I8" s="1"/>
    </row>
    <row r="9" spans="1:9" ht="7.5" customHeight="1" x14ac:dyDescent="0.3">
      <c r="A9" s="83"/>
      <c r="B9" s="83"/>
      <c r="C9" s="83"/>
      <c r="D9" s="83"/>
      <c r="E9" s="83"/>
      <c r="F9" s="83"/>
      <c r="G9" s="83"/>
      <c r="H9" s="83"/>
      <c r="I9" s="1"/>
    </row>
    <row r="10" spans="1:9" ht="22.5" customHeight="1" x14ac:dyDescent="0.3">
      <c r="A10" s="170" t="s">
        <v>7</v>
      </c>
      <c r="B10" s="170"/>
      <c r="C10" s="170"/>
      <c r="D10" s="170"/>
      <c r="E10" s="170"/>
      <c r="F10" s="170"/>
      <c r="G10" s="170"/>
      <c r="H10" s="170"/>
      <c r="I10" s="1"/>
    </row>
    <row r="11" spans="1:9" ht="22.5" customHeight="1" x14ac:dyDescent="0.3">
      <c r="A11" s="170" t="str">
        <f>'MARCH  2026 -PMC  '!A11:H11</f>
        <v>REPORT FOR THE MONTH OF MARCH 2026</v>
      </c>
      <c r="B11" s="170"/>
      <c r="C11" s="170"/>
      <c r="D11" s="170"/>
      <c r="E11" s="170"/>
      <c r="F11" s="170"/>
      <c r="G11" s="170"/>
      <c r="H11" s="170"/>
      <c r="I11" s="5"/>
    </row>
    <row r="12" spans="1:9" ht="15.75" customHeight="1" x14ac:dyDescent="0.3"/>
    <row r="13" spans="1:9" ht="15" customHeight="1" x14ac:dyDescent="0.3">
      <c r="F13" s="2" t="s">
        <v>63</v>
      </c>
      <c r="G13" s="165" t="str">
        <f>'MARCH  2026 -PMC  '!G13:H13</f>
        <v>MARCH 1-31,2026</v>
      </c>
      <c r="H13" s="165"/>
    </row>
    <row r="14" spans="1:9" ht="15" customHeight="1" x14ac:dyDescent="0.3">
      <c r="A14" s="6" t="s">
        <v>121</v>
      </c>
      <c r="B14" s="7"/>
      <c r="C14" s="156" t="s">
        <v>88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87</v>
      </c>
      <c r="D15" s="157"/>
      <c r="E15" s="157"/>
      <c r="G15" s="22"/>
      <c r="H15" s="22"/>
    </row>
    <row r="16" spans="1:9" ht="15" customHeight="1" x14ac:dyDescent="0.3">
      <c r="A16" s="6" t="s">
        <v>120</v>
      </c>
      <c r="C16" s="157" t="s">
        <v>95</v>
      </c>
      <c r="D16" s="157"/>
      <c r="E16" s="157"/>
      <c r="F16" s="4" t="s">
        <v>9</v>
      </c>
      <c r="G16" s="77" t="s">
        <v>45</v>
      </c>
      <c r="H16" s="77"/>
    </row>
    <row r="17" spans="1:8" ht="15" customHeight="1" x14ac:dyDescent="0.3">
      <c r="A17" s="6" t="s">
        <v>49</v>
      </c>
      <c r="C17" s="78" t="s">
        <v>109</v>
      </c>
      <c r="D17" s="78"/>
      <c r="E17" s="78"/>
      <c r="G17" s="22"/>
      <c r="H17" s="22"/>
    </row>
    <row r="18" spans="1:8" ht="15" customHeight="1" x14ac:dyDescent="0.3">
      <c r="A18" s="6" t="s">
        <v>48</v>
      </c>
      <c r="C18" s="49" t="s">
        <v>178</v>
      </c>
      <c r="D18" s="78"/>
      <c r="E18" s="78"/>
      <c r="F18" s="4" t="s">
        <v>10</v>
      </c>
      <c r="G18" s="77" t="s">
        <v>46</v>
      </c>
      <c r="H18" s="77"/>
    </row>
    <row r="19" spans="1:8" ht="15" customHeight="1" x14ac:dyDescent="0.3"/>
    <row r="20" spans="1:8" ht="33" customHeight="1" x14ac:dyDescent="0.3">
      <c r="A20" s="158" t="s">
        <v>11</v>
      </c>
      <c r="B20" s="158"/>
      <c r="C20" s="81" t="s">
        <v>12</v>
      </c>
      <c r="D20" s="79" t="s">
        <v>68</v>
      </c>
      <c r="E20" s="81" t="s">
        <v>90</v>
      </c>
      <c r="F20" s="87" t="s">
        <v>13</v>
      </c>
      <c r="G20" s="9" t="s">
        <v>59</v>
      </c>
      <c r="H20" s="9" t="s">
        <v>60</v>
      </c>
    </row>
    <row r="21" spans="1:8" ht="16.5" customHeight="1" x14ac:dyDescent="0.3">
      <c r="A21" s="74"/>
      <c r="B21" s="50"/>
      <c r="C21" s="75"/>
      <c r="D21" s="79"/>
      <c r="E21" s="81"/>
      <c r="F21" s="87"/>
      <c r="G21" s="10" t="s">
        <v>61</v>
      </c>
      <c r="H21" s="10" t="s">
        <v>58</v>
      </c>
    </row>
    <row r="22" spans="1:8" ht="21.95" customHeight="1" x14ac:dyDescent="0.3">
      <c r="A22" s="27" t="s">
        <v>54</v>
      </c>
      <c r="B22" s="28"/>
      <c r="C22" s="75" t="s">
        <v>62</v>
      </c>
      <c r="D22" s="11" t="s">
        <v>104</v>
      </c>
      <c r="E22" s="11" t="s">
        <v>89</v>
      </c>
      <c r="F22" s="12" t="s">
        <v>16</v>
      </c>
      <c r="G22" s="52" t="s">
        <v>43</v>
      </c>
      <c r="H22" s="52" t="s">
        <v>43</v>
      </c>
    </row>
    <row r="23" spans="1:8" ht="21.95" customHeight="1" x14ac:dyDescent="0.3">
      <c r="A23" s="82" t="s">
        <v>138</v>
      </c>
      <c r="B23" s="82"/>
      <c r="C23" s="74" t="s">
        <v>14</v>
      </c>
      <c r="D23" s="11" t="s">
        <v>72</v>
      </c>
      <c r="E23" s="11" t="s">
        <v>89</v>
      </c>
      <c r="F23" s="12" t="s">
        <v>47</v>
      </c>
      <c r="G23" s="52" t="s">
        <v>43</v>
      </c>
      <c r="H23" s="52" t="s">
        <v>43</v>
      </c>
    </row>
    <row r="24" spans="1:8" ht="21.95" customHeight="1" x14ac:dyDescent="0.3">
      <c r="A24" s="166" t="s">
        <v>19</v>
      </c>
      <c r="B24" s="167"/>
      <c r="C24" s="74" t="s">
        <v>14</v>
      </c>
      <c r="D24" s="76" t="s">
        <v>43</v>
      </c>
      <c r="E24" s="11" t="s">
        <v>89</v>
      </c>
      <c r="F24" s="76" t="s">
        <v>43</v>
      </c>
      <c r="G24" s="52" t="s">
        <v>43</v>
      </c>
      <c r="H24" s="52" t="s">
        <v>43</v>
      </c>
    </row>
    <row r="25" spans="1:8" ht="21.95" customHeight="1" x14ac:dyDescent="0.3">
      <c r="A25" s="140" t="s">
        <v>20</v>
      </c>
      <c r="B25" s="141"/>
      <c r="C25" s="74" t="s">
        <v>21</v>
      </c>
      <c r="D25" s="11" t="s">
        <v>74</v>
      </c>
      <c r="E25" s="11" t="s">
        <v>89</v>
      </c>
      <c r="F25" s="12" t="s">
        <v>43</v>
      </c>
      <c r="G25" s="52" t="s">
        <v>43</v>
      </c>
      <c r="H25" s="52" t="s">
        <v>43</v>
      </c>
    </row>
    <row r="26" spans="1:8" ht="21.95" customHeight="1" x14ac:dyDescent="0.3">
      <c r="A26" s="166" t="s">
        <v>22</v>
      </c>
      <c r="B26" s="168"/>
      <c r="C26" s="36" t="s">
        <v>21</v>
      </c>
      <c r="D26" s="11" t="s">
        <v>75</v>
      </c>
      <c r="E26" s="11" t="s">
        <v>89</v>
      </c>
      <c r="F26" s="12" t="s">
        <v>23</v>
      </c>
      <c r="G26" s="52" t="s">
        <v>43</v>
      </c>
      <c r="H26" s="52" t="s">
        <v>43</v>
      </c>
    </row>
    <row r="27" spans="1:8" ht="21.95" customHeight="1" x14ac:dyDescent="0.3">
      <c r="A27" s="140" t="s">
        <v>84</v>
      </c>
      <c r="B27" s="141"/>
      <c r="C27" s="86" t="s">
        <v>21</v>
      </c>
      <c r="D27" s="11" t="s">
        <v>78</v>
      </c>
      <c r="E27" s="11" t="s">
        <v>89</v>
      </c>
      <c r="F27" s="12" t="s">
        <v>64</v>
      </c>
      <c r="G27" s="52" t="s">
        <v>43</v>
      </c>
      <c r="H27" s="52" t="s">
        <v>43</v>
      </c>
    </row>
    <row r="28" spans="1:8" ht="21.95" customHeight="1" x14ac:dyDescent="0.3">
      <c r="A28" s="147"/>
      <c r="B28" s="148"/>
      <c r="C28" s="81" t="s">
        <v>21</v>
      </c>
      <c r="D28" s="11" t="s">
        <v>78</v>
      </c>
      <c r="E28" s="11" t="s">
        <v>89</v>
      </c>
      <c r="F28" s="12" t="s">
        <v>65</v>
      </c>
      <c r="G28" s="52" t="s">
        <v>43</v>
      </c>
      <c r="H28" s="52" t="s">
        <v>43</v>
      </c>
    </row>
    <row r="29" spans="1:8" ht="21.95" customHeight="1" x14ac:dyDescent="0.3">
      <c r="A29" s="142" t="s">
        <v>24</v>
      </c>
      <c r="B29" s="142"/>
      <c r="C29" s="81" t="s">
        <v>25</v>
      </c>
      <c r="D29" s="11" t="s">
        <v>80</v>
      </c>
      <c r="E29" s="11" t="s">
        <v>89</v>
      </c>
      <c r="F29" s="12" t="s">
        <v>44</v>
      </c>
      <c r="G29" s="52" t="s">
        <v>43</v>
      </c>
      <c r="H29" s="52" t="s">
        <v>43</v>
      </c>
    </row>
    <row r="30" spans="1:8" ht="21.95" customHeight="1" x14ac:dyDescent="0.3">
      <c r="A30" s="169" t="s">
        <v>26</v>
      </c>
      <c r="B30" s="169"/>
      <c r="C30" s="81" t="s">
        <v>25</v>
      </c>
      <c r="D30" s="11" t="s">
        <v>81</v>
      </c>
      <c r="E30" s="11" t="s">
        <v>89</v>
      </c>
      <c r="F30" s="12" t="s">
        <v>27</v>
      </c>
      <c r="G30" s="52" t="s">
        <v>43</v>
      </c>
      <c r="H30" s="52" t="s">
        <v>43</v>
      </c>
    </row>
    <row r="31" spans="1:8" ht="21.95" customHeight="1" x14ac:dyDescent="0.3">
      <c r="A31" s="142" t="s">
        <v>30</v>
      </c>
      <c r="B31" s="142"/>
      <c r="C31" s="154" t="s">
        <v>21</v>
      </c>
      <c r="D31" s="11" t="s">
        <v>31</v>
      </c>
      <c r="E31" s="11" t="s">
        <v>89</v>
      </c>
      <c r="F31" s="12" t="s">
        <v>55</v>
      </c>
      <c r="G31" s="52" t="s">
        <v>43</v>
      </c>
      <c r="H31" s="52" t="s">
        <v>43</v>
      </c>
    </row>
    <row r="32" spans="1:8" ht="21.95" customHeight="1" x14ac:dyDescent="0.3">
      <c r="A32" s="142"/>
      <c r="B32" s="142"/>
      <c r="C32" s="154"/>
      <c r="D32" s="11" t="s">
        <v>32</v>
      </c>
      <c r="E32" s="11" t="s">
        <v>89</v>
      </c>
      <c r="F32" s="12"/>
      <c r="G32" s="52" t="s">
        <v>43</v>
      </c>
      <c r="H32" s="52" t="s">
        <v>43</v>
      </c>
    </row>
    <row r="33" spans="1:11" ht="21.95" customHeight="1" x14ac:dyDescent="0.3">
      <c r="A33" s="142" t="s">
        <v>33</v>
      </c>
      <c r="B33" s="142"/>
      <c r="C33" s="154" t="s">
        <v>25</v>
      </c>
      <c r="D33" s="12" t="s">
        <v>43</v>
      </c>
      <c r="E33" s="12" t="s">
        <v>43</v>
      </c>
      <c r="F33" s="12" t="s">
        <v>43</v>
      </c>
      <c r="G33" s="52" t="s">
        <v>43</v>
      </c>
      <c r="H33" s="52" t="s">
        <v>43</v>
      </c>
    </row>
    <row r="34" spans="1:11" ht="17.25" customHeight="1" x14ac:dyDescent="0.3">
      <c r="A34" s="142"/>
      <c r="B34" s="142"/>
      <c r="C34" s="154"/>
      <c r="D34" s="12" t="s">
        <v>43</v>
      </c>
      <c r="E34" s="12" t="s">
        <v>43</v>
      </c>
      <c r="F34" s="12" t="s">
        <v>43</v>
      </c>
      <c r="G34" s="52" t="s">
        <v>43</v>
      </c>
      <c r="H34" s="52" t="s">
        <v>43</v>
      </c>
    </row>
    <row r="35" spans="1:11" ht="21.95" customHeight="1" x14ac:dyDescent="0.3">
      <c r="A35" s="142" t="s">
        <v>34</v>
      </c>
      <c r="B35" s="142"/>
      <c r="C35" s="81" t="s">
        <v>21</v>
      </c>
      <c r="D35" s="11" t="s">
        <v>82</v>
      </c>
      <c r="E35" s="11" t="s">
        <v>89</v>
      </c>
      <c r="F35" s="12" t="s">
        <v>43</v>
      </c>
      <c r="G35" s="52" t="s">
        <v>43</v>
      </c>
      <c r="H35" s="52" t="s">
        <v>43</v>
      </c>
    </row>
    <row r="36" spans="1:11" ht="21.95" customHeight="1" x14ac:dyDescent="0.3">
      <c r="A36" s="142" t="s">
        <v>35</v>
      </c>
      <c r="B36" s="142"/>
      <c r="C36" s="81" t="s">
        <v>25</v>
      </c>
      <c r="D36" s="12" t="s">
        <v>43</v>
      </c>
      <c r="E36" s="12" t="s">
        <v>43</v>
      </c>
      <c r="F36" s="12" t="s">
        <v>43</v>
      </c>
      <c r="G36" s="52" t="s">
        <v>43</v>
      </c>
      <c r="H36" s="52" t="s">
        <v>43</v>
      </c>
    </row>
    <row r="37" spans="1:11" ht="21.95" customHeight="1" x14ac:dyDescent="0.3">
      <c r="A37" s="142" t="s">
        <v>53</v>
      </c>
      <c r="B37" s="142"/>
      <c r="C37" s="81" t="s">
        <v>25</v>
      </c>
      <c r="D37" s="12" t="s">
        <v>43</v>
      </c>
      <c r="E37" s="12" t="s">
        <v>43</v>
      </c>
      <c r="F37" s="12" t="s">
        <v>43</v>
      </c>
      <c r="G37" s="52" t="s">
        <v>43</v>
      </c>
      <c r="H37" s="52" t="s">
        <v>43</v>
      </c>
    </row>
    <row r="38" spans="1:11" ht="8.25" customHeight="1" x14ac:dyDescent="0.3">
      <c r="A38" s="8"/>
      <c r="B38" s="8"/>
      <c r="C38" s="80"/>
      <c r="D38" s="80"/>
      <c r="E38" s="21"/>
      <c r="F38" s="21"/>
      <c r="G38" s="21"/>
      <c r="H38" s="21"/>
    </row>
    <row r="39" spans="1:11" ht="8.25" customHeight="1" x14ac:dyDescent="0.3">
      <c r="A39" s="8"/>
      <c r="B39" s="8"/>
      <c r="C39" s="80"/>
      <c r="D39" s="80"/>
      <c r="E39" s="21"/>
      <c r="F39" s="21"/>
      <c r="G39" s="21"/>
      <c r="H39" s="21"/>
    </row>
    <row r="40" spans="1:11" s="56" customFormat="1" ht="17.25" customHeight="1" x14ac:dyDescent="0.25">
      <c r="A40" s="56" t="s">
        <v>41</v>
      </c>
      <c r="D40" s="56" t="s">
        <v>85</v>
      </c>
      <c r="F40" s="56" t="s">
        <v>145</v>
      </c>
    </row>
    <row r="41" spans="1:11" ht="12.95" customHeight="1" x14ac:dyDescent="0.3">
      <c r="F41" s="7"/>
    </row>
    <row r="42" spans="1:11" ht="12.95" customHeight="1" x14ac:dyDescent="0.3">
      <c r="A42" s="25"/>
      <c r="E42" s="25"/>
    </row>
    <row r="43" spans="1:11" s="61" customFormat="1" ht="17.25" customHeight="1" x14ac:dyDescent="0.3">
      <c r="A43" s="64" t="s">
        <v>175</v>
      </c>
      <c r="B43" s="65"/>
      <c r="C43" s="61" t="s">
        <v>96</v>
      </c>
      <c r="D43" s="161" t="s">
        <v>169</v>
      </c>
      <c r="E43" s="161"/>
      <c r="F43" s="89" t="s">
        <v>141</v>
      </c>
      <c r="G43" s="89"/>
      <c r="H43" s="62"/>
      <c r="K43" s="57"/>
    </row>
    <row r="44" spans="1:11" s="42" customFormat="1" x14ac:dyDescent="0.25">
      <c r="A44" s="37" t="s">
        <v>176</v>
      </c>
      <c r="D44" s="31" t="s">
        <v>123</v>
      </c>
      <c r="E44" s="46"/>
      <c r="F44" s="47" t="s">
        <v>142</v>
      </c>
      <c r="G44" s="47"/>
      <c r="H44" s="47"/>
    </row>
    <row r="45" spans="1:11" s="42" customFormat="1" x14ac:dyDescent="0.25">
      <c r="A45" s="37" t="s">
        <v>8</v>
      </c>
      <c r="D45" s="23" t="s">
        <v>67</v>
      </c>
      <c r="F45" s="37" t="s">
        <v>8</v>
      </c>
      <c r="G45" s="37"/>
      <c r="H45" s="37"/>
    </row>
    <row r="46" spans="1:11" s="42" customFormat="1" x14ac:dyDescent="0.3">
      <c r="A46" s="37" t="s">
        <v>177</v>
      </c>
      <c r="D46" s="25" t="s">
        <v>170</v>
      </c>
      <c r="H46" s="63"/>
    </row>
    <row r="47" spans="1:11" s="44" customFormat="1" ht="12.75" customHeight="1" x14ac:dyDescent="0.25">
      <c r="A47" s="37"/>
      <c r="K47" s="42"/>
    </row>
    <row r="48" spans="1:11" ht="13.5" customHeight="1" x14ac:dyDescent="0.3">
      <c r="A48" s="23"/>
    </row>
    <row r="49" spans="1:16" s="57" customFormat="1" ht="17.25" x14ac:dyDescent="0.3">
      <c r="A49" s="57" t="s">
        <v>144</v>
      </c>
      <c r="D49" s="58"/>
      <c r="E49" s="59"/>
    </row>
    <row r="51" spans="1:16" ht="7.5" customHeight="1" x14ac:dyDescent="0.3">
      <c r="M51" s="162"/>
      <c r="N51" s="162"/>
      <c r="O51" s="162"/>
      <c r="P51" s="162"/>
    </row>
    <row r="52" spans="1:16" s="31" customFormat="1" ht="17.25" x14ac:dyDescent="0.25">
      <c r="A52" s="58" t="s">
        <v>109</v>
      </c>
      <c r="B52" s="66"/>
      <c r="M52" s="163"/>
      <c r="N52" s="163"/>
      <c r="O52" s="163"/>
      <c r="P52" s="163"/>
    </row>
    <row r="53" spans="1:16" s="44" customFormat="1" ht="15.75" x14ac:dyDescent="0.25">
      <c r="A53" s="44" t="s">
        <v>161</v>
      </c>
      <c r="M53" s="164"/>
      <c r="N53" s="164"/>
      <c r="O53" s="164"/>
      <c r="P53" s="164"/>
    </row>
    <row r="54" spans="1:16" s="44" customFormat="1" ht="15.75" x14ac:dyDescent="0.25">
      <c r="A54" s="44" t="s">
        <v>8</v>
      </c>
    </row>
  </sheetData>
  <mergeCells count="28">
    <mergeCell ref="D43:E43"/>
    <mergeCell ref="M51:P51"/>
    <mergeCell ref="M52:P52"/>
    <mergeCell ref="M53:P53"/>
    <mergeCell ref="C31:C32"/>
    <mergeCell ref="A33:B34"/>
    <mergeCell ref="C33:C34"/>
    <mergeCell ref="A35:B35"/>
    <mergeCell ref="A36:B36"/>
    <mergeCell ref="A37:B37"/>
    <mergeCell ref="A31:B32"/>
    <mergeCell ref="G13:H13"/>
    <mergeCell ref="C14:E14"/>
    <mergeCell ref="C15:E15"/>
    <mergeCell ref="C16:E16"/>
    <mergeCell ref="A20:B20"/>
    <mergeCell ref="A24:B24"/>
    <mergeCell ref="A25:B25"/>
    <mergeCell ref="A26:B26"/>
    <mergeCell ref="A27:B28"/>
    <mergeCell ref="A29:B29"/>
    <mergeCell ref="A30:B30"/>
    <mergeCell ref="A11:H11"/>
    <mergeCell ref="A5:H5"/>
    <mergeCell ref="A6:H6"/>
    <mergeCell ref="A7:H7"/>
    <mergeCell ref="A8:H8"/>
    <mergeCell ref="A10:H10"/>
  </mergeCells>
  <pageMargins left="0.19685039370078741" right="0.19685039370078741" top="0.35433070866141736" bottom="0.39370078740157483" header="0.31496062992125984" footer="0.31496062992125984"/>
  <pageSetup paperSize="14" scale="93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L63"/>
  <sheetViews>
    <sheetView topLeftCell="A28" workbookViewId="0">
      <selection activeCell="O49" sqref="O49"/>
    </sheetView>
  </sheetViews>
  <sheetFormatPr defaultRowHeight="16.5" x14ac:dyDescent="0.3"/>
  <cols>
    <col min="1" max="1" width="9.140625" style="3"/>
    <col min="2" max="2" width="16.85546875" style="3" customWidth="1"/>
    <col min="3" max="3" width="13.5703125" style="3" customWidth="1"/>
    <col min="4" max="4" width="16.5703125" style="3" customWidth="1"/>
    <col min="5" max="5" width="17.140625" style="3" customWidth="1"/>
    <col min="6" max="6" width="2.140625" style="3" customWidth="1"/>
    <col min="7" max="7" width="15.140625" style="3" customWidth="1"/>
    <col min="8" max="8" width="10.42578125" style="3" customWidth="1"/>
    <col min="9" max="9" width="9.42578125" style="3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  <c r="F1" s="6"/>
    </row>
    <row r="2" spans="1:9" s="30" customFormat="1" ht="8.25" customHeight="1" x14ac:dyDescent="0.2">
      <c r="A2" s="6"/>
      <c r="B2" s="6"/>
      <c r="C2" s="6"/>
      <c r="D2" s="6"/>
      <c r="E2" s="6"/>
      <c r="F2" s="6"/>
    </row>
    <row r="3" spans="1:9" s="30" customFormat="1" ht="15" customHeight="1" x14ac:dyDescent="0.2">
      <c r="A3" s="6"/>
      <c r="B3" s="6" t="s">
        <v>2</v>
      </c>
      <c r="C3" s="6"/>
      <c r="D3" s="6"/>
      <c r="E3" s="6"/>
      <c r="F3" s="6"/>
    </row>
    <row r="4" spans="1:9" s="44" customFormat="1" ht="20.100000000000001" customHeight="1" x14ac:dyDescent="0.25">
      <c r="A4" s="180" t="s">
        <v>3</v>
      </c>
      <c r="B4" s="180"/>
      <c r="C4" s="180"/>
      <c r="D4" s="180"/>
      <c r="E4" s="180"/>
      <c r="F4" s="180"/>
      <c r="G4" s="180"/>
      <c r="H4" s="180"/>
      <c r="I4" s="180"/>
    </row>
    <row r="5" spans="1:9" s="44" customFormat="1" ht="20.100000000000001" customHeight="1" x14ac:dyDescent="0.25">
      <c r="A5" s="180" t="s">
        <v>4</v>
      </c>
      <c r="B5" s="180"/>
      <c r="C5" s="180"/>
      <c r="D5" s="180"/>
      <c r="E5" s="180"/>
      <c r="F5" s="180"/>
      <c r="G5" s="180"/>
      <c r="H5" s="180"/>
      <c r="I5" s="180"/>
    </row>
    <row r="6" spans="1:9" s="44" customFormat="1" ht="20.100000000000001" customHeight="1" x14ac:dyDescent="0.25">
      <c r="A6" s="180" t="s">
        <v>5</v>
      </c>
      <c r="B6" s="180"/>
      <c r="C6" s="180"/>
      <c r="D6" s="180"/>
      <c r="E6" s="180"/>
      <c r="F6" s="180"/>
      <c r="G6" s="180"/>
      <c r="H6" s="180"/>
      <c r="I6" s="180"/>
    </row>
    <row r="7" spans="1:9" s="44" customFormat="1" ht="20.100000000000001" customHeight="1" x14ac:dyDescent="0.25">
      <c r="A7" s="180" t="s">
        <v>6</v>
      </c>
      <c r="B7" s="180"/>
      <c r="C7" s="180"/>
      <c r="D7" s="180"/>
      <c r="E7" s="180"/>
      <c r="F7" s="180"/>
      <c r="G7" s="180"/>
      <c r="H7" s="180"/>
      <c r="I7" s="180"/>
    </row>
    <row r="8" spans="1:9" s="44" customFormat="1" ht="7.5" customHeight="1" x14ac:dyDescent="0.25">
      <c r="A8" s="88"/>
      <c r="B8" s="88"/>
      <c r="C8" s="88"/>
      <c r="D8" s="88"/>
      <c r="E8" s="88"/>
      <c r="F8" s="88"/>
      <c r="G8" s="88"/>
      <c r="H8" s="88"/>
      <c r="I8" s="88"/>
    </row>
    <row r="9" spans="1:9" s="44" customFormat="1" ht="20.100000000000001" customHeight="1" x14ac:dyDescent="0.25">
      <c r="A9" s="180" t="s">
        <v>7</v>
      </c>
      <c r="B9" s="180"/>
      <c r="C9" s="180"/>
      <c r="D9" s="180"/>
      <c r="E9" s="180"/>
      <c r="F9" s="180"/>
      <c r="G9" s="180"/>
      <c r="H9" s="180"/>
      <c r="I9" s="180"/>
    </row>
    <row r="10" spans="1:9" s="44" customFormat="1" ht="20.100000000000001" customHeight="1" x14ac:dyDescent="0.25">
      <c r="A10" s="180" t="str">
        <f>'MARCH  2026 -PMC  '!A11:H11</f>
        <v>REPORT FOR THE MONTH OF MARCH 2026</v>
      </c>
      <c r="B10" s="180"/>
      <c r="C10" s="180"/>
      <c r="D10" s="180"/>
      <c r="E10" s="180"/>
      <c r="F10" s="180"/>
      <c r="G10" s="180"/>
      <c r="H10" s="180"/>
      <c r="I10" s="180"/>
    </row>
    <row r="11" spans="1:9" ht="6" customHeight="1" x14ac:dyDescent="0.3"/>
    <row r="12" spans="1:9" ht="15" customHeight="1" x14ac:dyDescent="0.3">
      <c r="G12" s="2" t="s">
        <v>63</v>
      </c>
      <c r="H12" s="177" t="s">
        <v>168</v>
      </c>
      <c r="I12" s="177"/>
    </row>
    <row r="13" spans="1:9" ht="15" customHeight="1" x14ac:dyDescent="0.3">
      <c r="A13" s="6" t="s">
        <v>122</v>
      </c>
      <c r="B13" s="7"/>
      <c r="C13" s="156" t="s">
        <v>113</v>
      </c>
      <c r="D13" s="156"/>
      <c r="E13" s="156"/>
      <c r="F13" s="38"/>
      <c r="H13" s="22"/>
      <c r="I13" s="22"/>
    </row>
    <row r="14" spans="1:9" ht="15" customHeight="1" x14ac:dyDescent="0.3">
      <c r="A14" s="6"/>
      <c r="B14" s="7"/>
      <c r="C14" s="157" t="s">
        <v>92</v>
      </c>
      <c r="D14" s="157"/>
      <c r="E14" s="157"/>
      <c r="F14" s="38"/>
      <c r="H14" s="22"/>
      <c r="I14" s="22"/>
    </row>
    <row r="15" spans="1:9" ht="15" customHeight="1" x14ac:dyDescent="0.3">
      <c r="A15" s="6" t="s">
        <v>120</v>
      </c>
      <c r="C15" s="157" t="s">
        <v>114</v>
      </c>
      <c r="D15" s="157"/>
      <c r="E15" s="157"/>
      <c r="F15" s="38"/>
      <c r="G15" s="4" t="s">
        <v>9</v>
      </c>
      <c r="H15" s="77" t="s">
        <v>45</v>
      </c>
      <c r="I15" s="77"/>
    </row>
    <row r="16" spans="1:9" ht="15" customHeight="1" x14ac:dyDescent="0.3">
      <c r="A16" s="6" t="s">
        <v>49</v>
      </c>
      <c r="C16" s="78" t="s">
        <v>109</v>
      </c>
      <c r="D16" s="78"/>
      <c r="E16" s="78"/>
      <c r="F16" s="38"/>
      <c r="H16" s="22"/>
      <c r="I16" s="22"/>
    </row>
    <row r="17" spans="1:9" ht="15" customHeight="1" x14ac:dyDescent="0.3">
      <c r="A17" s="6" t="s">
        <v>48</v>
      </c>
      <c r="C17" s="49" t="s">
        <v>178</v>
      </c>
      <c r="D17" s="78"/>
      <c r="E17" s="78"/>
      <c r="F17" s="38"/>
      <c r="G17" s="4" t="s">
        <v>10</v>
      </c>
      <c r="H17" s="77" t="s">
        <v>46</v>
      </c>
      <c r="I17" s="77"/>
    </row>
    <row r="18" spans="1:9" ht="6.75" customHeight="1" x14ac:dyDescent="0.3"/>
    <row r="19" spans="1:9" ht="25.5" customHeight="1" x14ac:dyDescent="0.3">
      <c r="A19" s="158" t="s">
        <v>11</v>
      </c>
      <c r="B19" s="158"/>
      <c r="C19" s="81" t="s">
        <v>12</v>
      </c>
      <c r="D19" s="79" t="s">
        <v>68</v>
      </c>
      <c r="E19" s="178" t="s">
        <v>90</v>
      </c>
      <c r="F19" s="179"/>
      <c r="G19" s="87" t="s">
        <v>13</v>
      </c>
      <c r="H19" s="9" t="s">
        <v>59</v>
      </c>
      <c r="I19" s="9" t="s">
        <v>60</v>
      </c>
    </row>
    <row r="20" spans="1:9" x14ac:dyDescent="0.3">
      <c r="A20" s="173"/>
      <c r="B20" s="174"/>
      <c r="C20" s="10"/>
      <c r="D20" s="10"/>
      <c r="E20" s="173"/>
      <c r="F20" s="174"/>
      <c r="G20" s="10"/>
      <c r="H20" s="10" t="s">
        <v>61</v>
      </c>
      <c r="I20" s="10" t="s">
        <v>58</v>
      </c>
    </row>
    <row r="21" spans="1:9" ht="18" hidden="1" customHeight="1" x14ac:dyDescent="0.3">
      <c r="A21" s="140" t="s">
        <v>54</v>
      </c>
      <c r="B21" s="141"/>
      <c r="C21" s="75" t="s">
        <v>62</v>
      </c>
      <c r="D21" s="11" t="s">
        <v>104</v>
      </c>
      <c r="E21" s="175" t="s">
        <v>140</v>
      </c>
      <c r="F21" s="176"/>
      <c r="G21" s="12" t="s">
        <v>16</v>
      </c>
      <c r="H21" s="14"/>
      <c r="I21" s="14"/>
    </row>
    <row r="22" spans="1:9" ht="18" customHeight="1" x14ac:dyDescent="0.3">
      <c r="A22" s="149"/>
      <c r="B22" s="150"/>
      <c r="C22" s="75" t="s">
        <v>62</v>
      </c>
      <c r="D22" s="11" t="s">
        <v>148</v>
      </c>
      <c r="E22" s="171" t="s">
        <v>93</v>
      </c>
      <c r="F22" s="172"/>
      <c r="G22" s="12" t="s">
        <v>149</v>
      </c>
      <c r="H22" s="39">
        <v>0</v>
      </c>
      <c r="I22" s="13">
        <f>H22/91*25</f>
        <v>0</v>
      </c>
    </row>
    <row r="23" spans="1:9" ht="18" customHeight="1" x14ac:dyDescent="0.3">
      <c r="A23" s="149"/>
      <c r="B23" s="150"/>
      <c r="C23" s="75" t="s">
        <v>62</v>
      </c>
      <c r="D23" s="11" t="s">
        <v>150</v>
      </c>
      <c r="E23" s="171" t="s">
        <v>93</v>
      </c>
      <c r="F23" s="172"/>
      <c r="G23" s="12" t="s">
        <v>134</v>
      </c>
      <c r="H23" s="39">
        <v>0</v>
      </c>
      <c r="I23" s="13">
        <f>H23/208*25</f>
        <v>0</v>
      </c>
    </row>
    <row r="24" spans="1:9" ht="18" customHeight="1" x14ac:dyDescent="0.3">
      <c r="A24" s="149"/>
      <c r="B24" s="150"/>
      <c r="C24" s="75" t="s">
        <v>62</v>
      </c>
      <c r="D24" s="11" t="s">
        <v>147</v>
      </c>
      <c r="E24" s="171" t="s">
        <v>93</v>
      </c>
      <c r="F24" s="172"/>
      <c r="G24" s="12" t="s">
        <v>129</v>
      </c>
      <c r="H24" s="39">
        <v>637</v>
      </c>
      <c r="I24" s="13">
        <f>H24/91*25</f>
        <v>175</v>
      </c>
    </row>
    <row r="25" spans="1:9" ht="18" customHeight="1" x14ac:dyDescent="0.3">
      <c r="A25" s="149"/>
      <c r="B25" s="150"/>
      <c r="C25" s="75" t="s">
        <v>62</v>
      </c>
      <c r="D25" s="11" t="s">
        <v>166</v>
      </c>
      <c r="E25" s="171" t="s">
        <v>93</v>
      </c>
      <c r="F25" s="172"/>
      <c r="G25" s="12" t="s">
        <v>129</v>
      </c>
      <c r="H25" s="39">
        <v>14880</v>
      </c>
      <c r="I25" s="13">
        <f>H25/93*25</f>
        <v>4000</v>
      </c>
    </row>
    <row r="26" spans="1:9" ht="18" customHeight="1" x14ac:dyDescent="0.3">
      <c r="A26" s="149"/>
      <c r="B26" s="150"/>
      <c r="C26" s="75" t="s">
        <v>62</v>
      </c>
      <c r="D26" s="11" t="s">
        <v>151</v>
      </c>
      <c r="E26" s="171" t="s">
        <v>93</v>
      </c>
      <c r="F26" s="172"/>
      <c r="G26" s="12" t="s">
        <v>128</v>
      </c>
      <c r="H26" s="39">
        <v>0</v>
      </c>
      <c r="I26" s="13">
        <f>H26/200*25</f>
        <v>0</v>
      </c>
    </row>
    <row r="27" spans="1:9" ht="18" customHeight="1" x14ac:dyDescent="0.3">
      <c r="A27" s="82" t="s">
        <v>138</v>
      </c>
      <c r="B27" s="82"/>
      <c r="C27" s="74" t="s">
        <v>14</v>
      </c>
      <c r="D27" s="11" t="s">
        <v>119</v>
      </c>
      <c r="E27" s="171" t="s">
        <v>93</v>
      </c>
      <c r="F27" s="172"/>
      <c r="G27" s="12" t="s">
        <v>47</v>
      </c>
      <c r="H27" s="76"/>
      <c r="I27" s="91">
        <v>2325</v>
      </c>
    </row>
    <row r="28" spans="1:9" ht="18" customHeight="1" x14ac:dyDescent="0.3">
      <c r="A28" s="140" t="s">
        <v>19</v>
      </c>
      <c r="B28" s="141"/>
      <c r="C28" s="74" t="s">
        <v>14</v>
      </c>
      <c r="D28" s="76" t="s">
        <v>43</v>
      </c>
      <c r="E28" s="171" t="s">
        <v>93</v>
      </c>
      <c r="F28" s="172"/>
      <c r="G28" s="76" t="s">
        <v>43</v>
      </c>
      <c r="H28" s="76" t="s">
        <v>43</v>
      </c>
      <c r="I28" s="52" t="s">
        <v>43</v>
      </c>
    </row>
    <row r="29" spans="1:9" ht="18" customHeight="1" x14ac:dyDescent="0.3">
      <c r="A29" s="140" t="s">
        <v>20</v>
      </c>
      <c r="B29" s="141"/>
      <c r="C29" s="74" t="s">
        <v>21</v>
      </c>
      <c r="D29" s="11" t="s">
        <v>74</v>
      </c>
      <c r="E29" s="171" t="s">
        <v>93</v>
      </c>
      <c r="F29" s="172"/>
      <c r="G29" s="12" t="s">
        <v>43</v>
      </c>
      <c r="H29" s="76" t="s">
        <v>43</v>
      </c>
      <c r="I29" s="13" t="s">
        <v>43</v>
      </c>
    </row>
    <row r="30" spans="1:9" ht="18" customHeight="1" x14ac:dyDescent="0.3">
      <c r="A30" s="166" t="s">
        <v>22</v>
      </c>
      <c r="B30" s="168"/>
      <c r="C30" s="36" t="s">
        <v>21</v>
      </c>
      <c r="D30" s="11" t="s">
        <v>75</v>
      </c>
      <c r="E30" s="171" t="s">
        <v>93</v>
      </c>
      <c r="F30" s="172"/>
      <c r="G30" s="12" t="s">
        <v>23</v>
      </c>
      <c r="H30" s="13">
        <v>166</v>
      </c>
      <c r="I30" s="18"/>
    </row>
    <row r="31" spans="1:9" ht="18" customHeight="1" x14ac:dyDescent="0.3">
      <c r="A31" s="140" t="s">
        <v>84</v>
      </c>
      <c r="B31" s="141"/>
      <c r="C31" s="86" t="s">
        <v>21</v>
      </c>
      <c r="D31" s="11" t="s">
        <v>77</v>
      </c>
      <c r="E31" s="171" t="s">
        <v>93</v>
      </c>
      <c r="F31" s="172"/>
      <c r="G31" s="12" t="s">
        <v>64</v>
      </c>
      <c r="H31" s="55">
        <v>0</v>
      </c>
      <c r="I31" s="13" t="s">
        <v>43</v>
      </c>
    </row>
    <row r="32" spans="1:9" ht="18" customHeight="1" x14ac:dyDescent="0.3">
      <c r="A32" s="149"/>
      <c r="B32" s="150"/>
      <c r="C32" s="86" t="s">
        <v>21</v>
      </c>
      <c r="D32" s="11" t="s">
        <v>77</v>
      </c>
      <c r="E32" s="171" t="s">
        <v>93</v>
      </c>
      <c r="F32" s="172"/>
      <c r="G32" s="12" t="s">
        <v>107</v>
      </c>
      <c r="H32" s="39">
        <v>1820</v>
      </c>
      <c r="I32" s="13" t="s">
        <v>43</v>
      </c>
    </row>
    <row r="33" spans="1:9" ht="18" customHeight="1" x14ac:dyDescent="0.3">
      <c r="A33" s="149"/>
      <c r="B33" s="150"/>
      <c r="C33" s="86" t="s">
        <v>21</v>
      </c>
      <c r="D33" s="11" t="s">
        <v>77</v>
      </c>
      <c r="E33" s="171" t="s">
        <v>93</v>
      </c>
      <c r="F33" s="172"/>
      <c r="G33" s="12" t="s">
        <v>179</v>
      </c>
      <c r="H33" s="39">
        <v>210</v>
      </c>
      <c r="I33" s="13" t="s">
        <v>43</v>
      </c>
    </row>
    <row r="34" spans="1:9" ht="18" customHeight="1" x14ac:dyDescent="0.3">
      <c r="A34" s="149"/>
      <c r="B34" s="150"/>
      <c r="C34" s="86" t="s">
        <v>21</v>
      </c>
      <c r="D34" s="11" t="s">
        <v>180</v>
      </c>
      <c r="E34" s="171" t="s">
        <v>93</v>
      </c>
      <c r="F34" s="172"/>
      <c r="G34" s="12" t="s">
        <v>181</v>
      </c>
      <c r="H34" s="39">
        <v>10</v>
      </c>
      <c r="I34" s="13"/>
    </row>
    <row r="35" spans="1:9" ht="18" customHeight="1" x14ac:dyDescent="0.3">
      <c r="A35" s="149"/>
      <c r="B35" s="150"/>
      <c r="C35" s="86" t="s">
        <v>21</v>
      </c>
      <c r="D35" s="11" t="s">
        <v>111</v>
      </c>
      <c r="E35" s="171" t="s">
        <v>93</v>
      </c>
      <c r="F35" s="172"/>
      <c r="G35" s="12" t="s">
        <v>64</v>
      </c>
      <c r="H35" s="76" t="s">
        <v>43</v>
      </c>
      <c r="I35" s="13" t="s">
        <v>43</v>
      </c>
    </row>
    <row r="36" spans="1:9" ht="18" customHeight="1" x14ac:dyDescent="0.3">
      <c r="A36" s="147"/>
      <c r="B36" s="148"/>
      <c r="C36" s="81" t="s">
        <v>21</v>
      </c>
      <c r="D36" s="11" t="s">
        <v>111</v>
      </c>
      <c r="E36" s="171" t="s">
        <v>93</v>
      </c>
      <c r="F36" s="172"/>
      <c r="G36" s="12" t="s">
        <v>112</v>
      </c>
      <c r="H36" s="14" t="s">
        <v>43</v>
      </c>
      <c r="I36" s="13"/>
    </row>
    <row r="37" spans="1:9" ht="18" customHeight="1" x14ac:dyDescent="0.3">
      <c r="A37" s="142" t="s">
        <v>24</v>
      </c>
      <c r="B37" s="142"/>
      <c r="C37" s="81" t="s">
        <v>25</v>
      </c>
      <c r="D37" s="11" t="s">
        <v>80</v>
      </c>
      <c r="E37" s="171" t="s">
        <v>93</v>
      </c>
      <c r="F37" s="172"/>
      <c r="G37" s="12" t="s">
        <v>44</v>
      </c>
      <c r="H37" s="14">
        <v>239</v>
      </c>
      <c r="I37" s="13" t="s">
        <v>43</v>
      </c>
    </row>
    <row r="38" spans="1:9" ht="18" customHeight="1" x14ac:dyDescent="0.3">
      <c r="A38" s="140" t="s">
        <v>26</v>
      </c>
      <c r="B38" s="141"/>
      <c r="C38" s="81" t="s">
        <v>25</v>
      </c>
      <c r="D38" s="11" t="s">
        <v>132</v>
      </c>
      <c r="E38" s="171" t="s">
        <v>93</v>
      </c>
      <c r="F38" s="172"/>
      <c r="G38" s="12" t="s">
        <v>28</v>
      </c>
      <c r="H38" s="13">
        <v>145</v>
      </c>
      <c r="I38" s="13" t="s">
        <v>43</v>
      </c>
    </row>
    <row r="39" spans="1:9" ht="18" customHeight="1" x14ac:dyDescent="0.3">
      <c r="A39" s="149"/>
      <c r="B39" s="150"/>
      <c r="C39" s="81" t="s">
        <v>25</v>
      </c>
      <c r="D39" s="11" t="s">
        <v>103</v>
      </c>
      <c r="E39" s="171" t="s">
        <v>93</v>
      </c>
      <c r="F39" s="172"/>
      <c r="G39" s="12" t="s">
        <v>28</v>
      </c>
      <c r="H39" s="13">
        <v>856</v>
      </c>
      <c r="I39" s="13"/>
    </row>
    <row r="40" spans="1:9" ht="18" customHeight="1" x14ac:dyDescent="0.3">
      <c r="A40" s="147"/>
      <c r="B40" s="148"/>
      <c r="C40" s="81" t="s">
        <v>25</v>
      </c>
      <c r="D40" s="11" t="s">
        <v>103</v>
      </c>
      <c r="E40" s="171" t="s">
        <v>93</v>
      </c>
      <c r="F40" s="172"/>
      <c r="G40" s="12" t="s">
        <v>29</v>
      </c>
      <c r="H40" s="13">
        <v>1200</v>
      </c>
      <c r="I40" s="13"/>
    </row>
    <row r="41" spans="1:9" ht="18" customHeight="1" x14ac:dyDescent="0.3">
      <c r="A41" s="142" t="s">
        <v>30</v>
      </c>
      <c r="B41" s="142"/>
      <c r="C41" s="154" t="s">
        <v>21</v>
      </c>
      <c r="D41" s="11" t="s">
        <v>31</v>
      </c>
      <c r="E41" s="171" t="s">
        <v>93</v>
      </c>
      <c r="F41" s="172"/>
      <c r="G41" s="12" t="s">
        <v>55</v>
      </c>
      <c r="H41" s="13" t="s">
        <v>43</v>
      </c>
      <c r="I41" s="13" t="s">
        <v>43</v>
      </c>
    </row>
    <row r="42" spans="1:9" ht="18" customHeight="1" x14ac:dyDescent="0.3">
      <c r="A42" s="142"/>
      <c r="B42" s="142"/>
      <c r="C42" s="154"/>
      <c r="D42" s="11" t="s">
        <v>32</v>
      </c>
      <c r="E42" s="171" t="s">
        <v>93</v>
      </c>
      <c r="F42" s="172"/>
      <c r="G42" s="12"/>
      <c r="H42" s="13" t="s">
        <v>43</v>
      </c>
      <c r="I42" s="13" t="s">
        <v>43</v>
      </c>
    </row>
    <row r="43" spans="1:9" ht="18" customHeight="1" x14ac:dyDescent="0.3">
      <c r="A43" s="142" t="s">
        <v>33</v>
      </c>
      <c r="B43" s="142"/>
      <c r="C43" s="154" t="s">
        <v>25</v>
      </c>
      <c r="D43" s="12" t="s">
        <v>43</v>
      </c>
      <c r="E43" s="171" t="s">
        <v>43</v>
      </c>
      <c r="F43" s="172"/>
      <c r="G43" s="12" t="s">
        <v>43</v>
      </c>
      <c r="H43" s="13" t="s">
        <v>43</v>
      </c>
      <c r="I43" s="13" t="s">
        <v>43</v>
      </c>
    </row>
    <row r="44" spans="1:9" ht="18" customHeight="1" x14ac:dyDescent="0.3">
      <c r="A44" s="142"/>
      <c r="B44" s="142"/>
      <c r="C44" s="154"/>
      <c r="D44" s="12" t="s">
        <v>43</v>
      </c>
      <c r="E44" s="171" t="s">
        <v>43</v>
      </c>
      <c r="F44" s="172"/>
      <c r="G44" s="12" t="s">
        <v>43</v>
      </c>
      <c r="H44" s="13" t="s">
        <v>43</v>
      </c>
      <c r="I44" s="13" t="s">
        <v>43</v>
      </c>
    </row>
    <row r="45" spans="1:9" ht="18" customHeight="1" x14ac:dyDescent="0.3">
      <c r="A45" s="142" t="s">
        <v>34</v>
      </c>
      <c r="B45" s="142"/>
      <c r="C45" s="81" t="s">
        <v>21</v>
      </c>
      <c r="D45" s="11" t="s">
        <v>82</v>
      </c>
      <c r="E45" s="171" t="s">
        <v>93</v>
      </c>
      <c r="F45" s="172"/>
      <c r="G45" s="12" t="s">
        <v>43</v>
      </c>
      <c r="H45" s="13" t="s">
        <v>43</v>
      </c>
      <c r="I45" s="13" t="s">
        <v>43</v>
      </c>
    </row>
    <row r="46" spans="1:9" ht="18" customHeight="1" x14ac:dyDescent="0.3">
      <c r="A46" s="142" t="s">
        <v>35</v>
      </c>
      <c r="B46" s="142"/>
      <c r="C46" s="81" t="s">
        <v>25</v>
      </c>
      <c r="D46" s="12" t="s">
        <v>43</v>
      </c>
      <c r="E46" s="171" t="s">
        <v>43</v>
      </c>
      <c r="F46" s="172"/>
      <c r="G46" s="12" t="s">
        <v>43</v>
      </c>
      <c r="H46" s="13" t="s">
        <v>43</v>
      </c>
      <c r="I46" s="13" t="s">
        <v>43</v>
      </c>
    </row>
    <row r="47" spans="1:9" ht="18" customHeight="1" x14ac:dyDescent="0.3">
      <c r="A47" s="142" t="s">
        <v>53</v>
      </c>
      <c r="B47" s="142"/>
      <c r="C47" s="81" t="s">
        <v>25</v>
      </c>
      <c r="D47" s="12" t="s">
        <v>43</v>
      </c>
      <c r="E47" s="171" t="s">
        <v>43</v>
      </c>
      <c r="F47" s="172"/>
      <c r="G47" s="12" t="s">
        <v>43</v>
      </c>
      <c r="H47" s="13" t="s">
        <v>43</v>
      </c>
      <c r="I47" s="13" t="s">
        <v>43</v>
      </c>
    </row>
    <row r="48" spans="1:9" ht="12.75" customHeight="1" x14ac:dyDescent="0.3">
      <c r="A48" s="8"/>
      <c r="B48" s="8"/>
      <c r="C48" s="80"/>
      <c r="D48" s="80"/>
      <c r="E48" s="21"/>
      <c r="F48" s="21"/>
      <c r="G48" s="21"/>
      <c r="H48" s="21"/>
      <c r="I48" s="21"/>
    </row>
    <row r="49" spans="1:12" s="71" customFormat="1" ht="17.25" customHeight="1" x14ac:dyDescent="0.25">
      <c r="A49" s="71" t="s">
        <v>41</v>
      </c>
      <c r="D49" s="71" t="s">
        <v>85</v>
      </c>
      <c r="G49" s="71" t="s">
        <v>143</v>
      </c>
    </row>
    <row r="50" spans="1:12" ht="10.5" customHeight="1" x14ac:dyDescent="0.3">
      <c r="G50" s="7"/>
    </row>
    <row r="51" spans="1:12" ht="12.95" customHeight="1" x14ac:dyDescent="0.3">
      <c r="A51" s="25"/>
      <c r="E51" s="25"/>
      <c r="F51" s="25"/>
    </row>
    <row r="52" spans="1:12" s="60" customFormat="1" ht="17.25" customHeight="1" x14ac:dyDescent="0.3">
      <c r="A52" s="59" t="s">
        <v>175</v>
      </c>
      <c r="B52" s="58"/>
      <c r="C52" s="60" t="s">
        <v>96</v>
      </c>
      <c r="D52" s="58" t="s">
        <v>153</v>
      </c>
      <c r="E52" s="58"/>
      <c r="G52" s="58" t="s">
        <v>173</v>
      </c>
      <c r="H52" s="67"/>
      <c r="I52" s="67"/>
      <c r="L52" s="57"/>
    </row>
    <row r="53" spans="1:12" s="42" customFormat="1" ht="15.75" x14ac:dyDescent="0.25">
      <c r="A53" s="37" t="s">
        <v>176</v>
      </c>
      <c r="D53" s="37" t="s">
        <v>117</v>
      </c>
      <c r="E53" s="37"/>
      <c r="F53" s="37"/>
      <c r="G53" s="42" t="s">
        <v>174</v>
      </c>
      <c r="H53" s="47"/>
      <c r="I53" s="47"/>
      <c r="L53" s="44"/>
    </row>
    <row r="54" spans="1:12" s="44" customFormat="1" ht="15.75" x14ac:dyDescent="0.25">
      <c r="A54" s="37" t="s">
        <v>8</v>
      </c>
      <c r="D54" s="37" t="s">
        <v>66</v>
      </c>
      <c r="E54" s="37"/>
      <c r="F54" s="37"/>
      <c r="G54" s="37" t="s">
        <v>136</v>
      </c>
      <c r="H54" s="37"/>
      <c r="I54" s="37"/>
    </row>
    <row r="55" spans="1:12" s="44" customFormat="1" ht="15.75" x14ac:dyDescent="0.25">
      <c r="A55" s="37" t="s">
        <v>177</v>
      </c>
      <c r="D55" s="48" t="s">
        <v>154</v>
      </c>
      <c r="E55" s="48"/>
      <c r="F55" s="48"/>
      <c r="I55" s="45"/>
      <c r="L55" s="42"/>
    </row>
    <row r="56" spans="1:12" s="44" customFormat="1" ht="13.5" customHeight="1" x14ac:dyDescent="0.25">
      <c r="A56" s="37"/>
      <c r="L56" s="42"/>
    </row>
    <row r="57" spans="1:12" ht="9.75" customHeight="1" x14ac:dyDescent="0.3">
      <c r="A57" s="23"/>
    </row>
    <row r="58" spans="1:12" s="68" customFormat="1" ht="17.25" x14ac:dyDescent="0.3">
      <c r="A58" s="68" t="s">
        <v>144</v>
      </c>
      <c r="D58" s="69"/>
      <c r="E58" s="70"/>
      <c r="F58" s="70"/>
    </row>
    <row r="59" spans="1:12" ht="10.5" customHeight="1" x14ac:dyDescent="0.3"/>
    <row r="60" spans="1:12" ht="13.5" customHeight="1" x14ac:dyDescent="0.3"/>
    <row r="61" spans="1:12" s="57" customFormat="1" ht="17.25" x14ac:dyDescent="0.3">
      <c r="A61" s="65" t="s">
        <v>109</v>
      </c>
    </row>
    <row r="62" spans="1:12" s="44" customFormat="1" ht="15.75" x14ac:dyDescent="0.25">
      <c r="A62" s="44" t="s">
        <v>161</v>
      </c>
    </row>
    <row r="63" spans="1:12" s="44" customFormat="1" ht="15.75" x14ac:dyDescent="0.25">
      <c r="A63" s="44" t="s">
        <v>8</v>
      </c>
    </row>
  </sheetData>
  <mergeCells count="55">
    <mergeCell ref="A46:B46"/>
    <mergeCell ref="E46:F46"/>
    <mergeCell ref="A47:B47"/>
    <mergeCell ref="E47:F47"/>
    <mergeCell ref="A43:B44"/>
    <mergeCell ref="C43:C44"/>
    <mergeCell ref="E43:F43"/>
    <mergeCell ref="E44:F44"/>
    <mergeCell ref="A45:B45"/>
    <mergeCell ref="E45:F45"/>
    <mergeCell ref="A38:B40"/>
    <mergeCell ref="E38:F38"/>
    <mergeCell ref="E39:F39"/>
    <mergeCell ref="E40:F40"/>
    <mergeCell ref="A41:B42"/>
    <mergeCell ref="C41:C42"/>
    <mergeCell ref="E41:F41"/>
    <mergeCell ref="E42:F42"/>
    <mergeCell ref="A37:B37"/>
    <mergeCell ref="E37:F37"/>
    <mergeCell ref="E27:F27"/>
    <mergeCell ref="A28:B28"/>
    <mergeCell ref="E28:F28"/>
    <mergeCell ref="A29:B29"/>
    <mergeCell ref="E29:F29"/>
    <mergeCell ref="A30:B30"/>
    <mergeCell ref="E30:F30"/>
    <mergeCell ref="A31:B36"/>
    <mergeCell ref="E31:F31"/>
    <mergeCell ref="E32:F32"/>
    <mergeCell ref="E35:F35"/>
    <mergeCell ref="E36:F36"/>
    <mergeCell ref="A21:B26"/>
    <mergeCell ref="E21:F21"/>
    <mergeCell ref="E22:F22"/>
    <mergeCell ref="E23:F23"/>
    <mergeCell ref="E24:F24"/>
    <mergeCell ref="E25:F25"/>
    <mergeCell ref="E26:F26"/>
    <mergeCell ref="A10:I10"/>
    <mergeCell ref="E33:F33"/>
    <mergeCell ref="E34:F34"/>
    <mergeCell ref="A4:I4"/>
    <mergeCell ref="A5:I5"/>
    <mergeCell ref="A6:I6"/>
    <mergeCell ref="A7:I7"/>
    <mergeCell ref="A9:I9"/>
    <mergeCell ref="H12:I12"/>
    <mergeCell ref="C13:E13"/>
    <mergeCell ref="C14:E14"/>
    <mergeCell ref="C15:E15"/>
    <mergeCell ref="A19:B19"/>
    <mergeCell ref="E19:F19"/>
    <mergeCell ref="A20:B20"/>
    <mergeCell ref="E20:F20"/>
  </mergeCells>
  <pageMargins left="0.39370078740157483" right="0.27559055118110237" top="0.35433070866141736" bottom="0.39370078740157483" header="0.31496062992125984" footer="0.31496062992125984"/>
  <pageSetup paperSize="14" scale="9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M85"/>
  <sheetViews>
    <sheetView topLeftCell="A51" zoomScale="130" zoomScaleNormal="130" workbookViewId="0">
      <selection activeCell="D67" sqref="D67:D70"/>
    </sheetView>
  </sheetViews>
  <sheetFormatPr defaultRowHeight="16.5" x14ac:dyDescent="0.3"/>
  <cols>
    <col min="1" max="1" width="9.140625" style="3"/>
    <col min="2" max="2" width="15.7109375" style="3" customWidth="1"/>
    <col min="3" max="3" width="12.7109375" style="3" customWidth="1"/>
    <col min="4" max="4" width="15.85546875" style="3" customWidth="1"/>
    <col min="5" max="5" width="20.28515625" style="3" customWidth="1"/>
    <col min="6" max="6" width="14.42578125" style="3" customWidth="1"/>
    <col min="7" max="7" width="11" style="3" customWidth="1"/>
    <col min="8" max="8" width="10.42578125" style="3" customWidth="1"/>
    <col min="9" max="9" width="9.85546875" style="3" bestFit="1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15" customHeight="1" x14ac:dyDescent="0.3">
      <c r="A5" s="160" t="s">
        <v>3</v>
      </c>
      <c r="B5" s="160"/>
      <c r="C5" s="160"/>
      <c r="D5" s="160"/>
      <c r="E5" s="160"/>
      <c r="F5" s="160"/>
      <c r="G5" s="160"/>
      <c r="H5" s="160"/>
      <c r="I5" s="1"/>
    </row>
    <row r="6" spans="1:9" x14ac:dyDescent="0.3">
      <c r="A6" s="160" t="s">
        <v>4</v>
      </c>
      <c r="B6" s="160"/>
      <c r="C6" s="160"/>
      <c r="D6" s="160"/>
      <c r="E6" s="160"/>
      <c r="F6" s="160"/>
      <c r="G6" s="160"/>
      <c r="H6" s="160"/>
      <c r="I6" s="1"/>
    </row>
    <row r="7" spans="1:9" x14ac:dyDescent="0.3">
      <c r="A7" s="160" t="s">
        <v>5</v>
      </c>
      <c r="B7" s="160"/>
      <c r="C7" s="160"/>
      <c r="D7" s="160"/>
      <c r="E7" s="160"/>
      <c r="F7" s="160"/>
      <c r="G7" s="160"/>
      <c r="H7" s="160"/>
      <c r="I7" s="1"/>
    </row>
    <row r="8" spans="1:9" x14ac:dyDescent="0.3">
      <c r="A8" s="160" t="s">
        <v>6</v>
      </c>
      <c r="B8" s="160"/>
      <c r="C8" s="160"/>
      <c r="D8" s="160"/>
      <c r="E8" s="160"/>
      <c r="F8" s="160"/>
      <c r="G8" s="160"/>
      <c r="H8" s="160"/>
      <c r="I8" s="1"/>
    </row>
    <row r="9" spans="1:9" ht="3" customHeight="1" x14ac:dyDescent="0.3">
      <c r="A9" s="80"/>
      <c r="B9" s="80"/>
      <c r="C9" s="80"/>
      <c r="D9" s="80"/>
      <c r="E9" s="80"/>
      <c r="F9" s="80"/>
      <c r="G9" s="80"/>
      <c r="H9" s="80"/>
      <c r="I9" s="1"/>
    </row>
    <row r="10" spans="1:9" ht="18.75" customHeight="1" x14ac:dyDescent="0.3">
      <c r="A10" s="160" t="s">
        <v>7</v>
      </c>
      <c r="B10" s="160"/>
      <c r="C10" s="160"/>
      <c r="D10" s="160"/>
      <c r="E10" s="160"/>
      <c r="F10" s="160"/>
      <c r="G10" s="160"/>
      <c r="H10" s="160"/>
      <c r="I10" s="1"/>
    </row>
    <row r="11" spans="1:9" x14ac:dyDescent="0.3">
      <c r="A11" s="159" t="s">
        <v>182</v>
      </c>
      <c r="B11" s="159"/>
      <c r="C11" s="159"/>
      <c r="D11" s="159"/>
      <c r="E11" s="159"/>
      <c r="F11" s="159"/>
      <c r="G11" s="159"/>
      <c r="H11" s="159"/>
      <c r="I11" s="5"/>
    </row>
    <row r="12" spans="1:9" ht="3" customHeight="1" x14ac:dyDescent="0.3">
      <c r="I12" s="5"/>
    </row>
    <row r="13" spans="1:9" ht="14.25" customHeight="1" x14ac:dyDescent="0.3">
      <c r="F13" s="2" t="s">
        <v>63</v>
      </c>
      <c r="G13" s="155" t="s">
        <v>183</v>
      </c>
      <c r="H13" s="155"/>
    </row>
    <row r="14" spans="1:9" ht="15" customHeight="1" x14ac:dyDescent="0.3">
      <c r="A14" s="6" t="s">
        <v>127</v>
      </c>
      <c r="B14" s="7"/>
      <c r="C14" s="156" t="s">
        <v>91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92</v>
      </c>
      <c r="D15" s="157"/>
      <c r="E15" s="157"/>
      <c r="G15" s="22"/>
      <c r="H15" s="22"/>
    </row>
    <row r="16" spans="1:9" ht="15" customHeight="1" x14ac:dyDescent="0.3">
      <c r="A16" s="6" t="s">
        <v>125</v>
      </c>
      <c r="C16" s="49" t="s">
        <v>42</v>
      </c>
      <c r="D16" s="49"/>
      <c r="E16" s="49"/>
      <c r="F16" s="4" t="s">
        <v>9</v>
      </c>
      <c r="G16" s="77" t="s">
        <v>45</v>
      </c>
      <c r="H16" s="77"/>
    </row>
    <row r="17" spans="1:13" ht="15" customHeight="1" x14ac:dyDescent="0.3">
      <c r="A17" s="6" t="s">
        <v>126</v>
      </c>
      <c r="C17" s="78" t="s">
        <v>109</v>
      </c>
      <c r="D17" s="49"/>
      <c r="E17" s="49"/>
      <c r="G17" s="22"/>
      <c r="H17" s="22"/>
    </row>
    <row r="18" spans="1:13" ht="15" customHeight="1" x14ac:dyDescent="0.3">
      <c r="A18" s="6" t="s">
        <v>124</v>
      </c>
      <c r="C18" s="49" t="s">
        <v>178</v>
      </c>
      <c r="D18" s="49"/>
      <c r="E18" s="49"/>
      <c r="F18" s="4" t="s">
        <v>10</v>
      </c>
      <c r="G18" s="77" t="s">
        <v>46</v>
      </c>
      <c r="H18" s="77"/>
    </row>
    <row r="19" spans="1:13" ht="3" customHeight="1" thickBot="1" x14ac:dyDescent="0.35"/>
    <row r="20" spans="1:13" ht="25.5" customHeight="1" x14ac:dyDescent="0.3">
      <c r="A20" s="191" t="s">
        <v>11</v>
      </c>
      <c r="B20" s="192"/>
      <c r="C20" s="92" t="s">
        <v>12</v>
      </c>
      <c r="D20" s="92" t="s">
        <v>68</v>
      </c>
      <c r="E20" s="93" t="s">
        <v>90</v>
      </c>
      <c r="F20" s="94" t="s">
        <v>13</v>
      </c>
      <c r="G20" s="95" t="s">
        <v>59</v>
      </c>
      <c r="H20" s="96" t="s">
        <v>60</v>
      </c>
      <c r="M20" s="3">
        <f>1049-15</f>
        <v>1034</v>
      </c>
    </row>
    <row r="21" spans="1:13" ht="13.5" customHeight="1" x14ac:dyDescent="0.3">
      <c r="A21" s="97"/>
      <c r="B21" s="85"/>
      <c r="C21" s="84"/>
      <c r="D21" s="85"/>
      <c r="E21" s="10"/>
      <c r="F21" s="85"/>
      <c r="G21" s="10" t="s">
        <v>61</v>
      </c>
      <c r="H21" s="98" t="s">
        <v>58</v>
      </c>
    </row>
    <row r="22" spans="1:13" ht="15" hidden="1" customHeight="1" x14ac:dyDescent="0.3">
      <c r="A22" s="183" t="s">
        <v>100</v>
      </c>
      <c r="B22" s="141"/>
      <c r="C22" s="144" t="s">
        <v>62</v>
      </c>
      <c r="D22" s="11" t="s">
        <v>130</v>
      </c>
      <c r="E22" s="11" t="s">
        <v>93</v>
      </c>
      <c r="F22" s="12" t="s">
        <v>15</v>
      </c>
      <c r="G22" s="12" t="s">
        <v>43</v>
      </c>
      <c r="H22" s="99" t="s">
        <v>43</v>
      </c>
    </row>
    <row r="23" spans="1:13" ht="15" hidden="1" customHeight="1" x14ac:dyDescent="0.3">
      <c r="A23" s="190"/>
      <c r="B23" s="150"/>
      <c r="C23" s="151"/>
      <c r="D23" s="11" t="s">
        <v>69</v>
      </c>
      <c r="E23" s="11" t="s">
        <v>93</v>
      </c>
      <c r="F23" s="12" t="s">
        <v>15</v>
      </c>
      <c r="G23" s="12" t="s">
        <v>43</v>
      </c>
      <c r="H23" s="99" t="s">
        <v>43</v>
      </c>
    </row>
    <row r="24" spans="1:13" ht="15" customHeight="1" x14ac:dyDescent="0.3">
      <c r="A24" s="190"/>
      <c r="B24" s="150"/>
      <c r="C24" s="151"/>
      <c r="D24" s="11" t="s">
        <v>159</v>
      </c>
      <c r="E24" s="11" t="s">
        <v>93</v>
      </c>
      <c r="F24" s="12" t="s">
        <v>15</v>
      </c>
      <c r="G24" s="14">
        <v>16788</v>
      </c>
      <c r="H24" s="100">
        <f>G24/200*25</f>
        <v>2098.5</v>
      </c>
    </row>
    <row r="25" spans="1:13" ht="15" hidden="1" customHeight="1" x14ac:dyDescent="0.3">
      <c r="A25" s="190"/>
      <c r="B25" s="150"/>
      <c r="C25" s="151"/>
      <c r="D25" s="11" t="s">
        <v>70</v>
      </c>
      <c r="E25" s="11" t="s">
        <v>94</v>
      </c>
      <c r="F25" s="12" t="s">
        <v>16</v>
      </c>
      <c r="G25" s="14" t="s">
        <v>43</v>
      </c>
      <c r="H25" s="100" t="s">
        <v>43</v>
      </c>
    </row>
    <row r="26" spans="1:13" ht="15" hidden="1" customHeight="1" x14ac:dyDescent="0.3">
      <c r="A26" s="190"/>
      <c r="B26" s="150"/>
      <c r="C26" s="151"/>
      <c r="D26" s="11" t="s">
        <v>99</v>
      </c>
      <c r="E26" s="11" t="s">
        <v>94</v>
      </c>
      <c r="F26" s="12" t="s">
        <v>17</v>
      </c>
      <c r="G26" s="12" t="s">
        <v>43</v>
      </c>
      <c r="H26" s="100"/>
    </row>
    <row r="27" spans="1:13" ht="15" hidden="1" customHeight="1" x14ac:dyDescent="0.3">
      <c r="A27" s="190"/>
      <c r="B27" s="150"/>
      <c r="C27" s="151"/>
      <c r="D27" s="11" t="s">
        <v>71</v>
      </c>
      <c r="E27" s="11" t="s">
        <v>94</v>
      </c>
      <c r="F27" s="12" t="s">
        <v>52</v>
      </c>
      <c r="G27" s="12" t="s">
        <v>43</v>
      </c>
      <c r="H27" s="100" t="s">
        <v>43</v>
      </c>
    </row>
    <row r="28" spans="1:13" ht="15" hidden="1" customHeight="1" x14ac:dyDescent="0.3">
      <c r="A28" s="190"/>
      <c r="B28" s="150"/>
      <c r="C28" s="151"/>
      <c r="D28" s="11" t="s">
        <v>101</v>
      </c>
      <c r="E28" s="11" t="s">
        <v>94</v>
      </c>
      <c r="F28" s="12" t="s">
        <v>16</v>
      </c>
      <c r="G28" s="12" t="s">
        <v>43</v>
      </c>
      <c r="H28" s="100" t="s">
        <v>43</v>
      </c>
    </row>
    <row r="29" spans="1:13" ht="15" hidden="1" customHeight="1" x14ac:dyDescent="0.3">
      <c r="A29" s="190"/>
      <c r="B29" s="150"/>
      <c r="C29" s="151"/>
      <c r="D29" s="11" t="s">
        <v>108</v>
      </c>
      <c r="E29" s="11" t="s">
        <v>94</v>
      </c>
      <c r="F29" s="12" t="s">
        <v>98</v>
      </c>
      <c r="G29" s="12" t="s">
        <v>43</v>
      </c>
      <c r="H29" s="100" t="s">
        <v>43</v>
      </c>
    </row>
    <row r="30" spans="1:13" ht="15" hidden="1" customHeight="1" x14ac:dyDescent="0.3">
      <c r="A30" s="190"/>
      <c r="B30" s="150"/>
      <c r="C30" s="151"/>
      <c r="D30" s="11" t="s">
        <v>102</v>
      </c>
      <c r="E30" s="11" t="s">
        <v>94</v>
      </c>
      <c r="F30" s="12" t="s">
        <v>98</v>
      </c>
      <c r="G30" s="12" t="s">
        <v>43</v>
      </c>
      <c r="H30" s="100" t="s">
        <v>43</v>
      </c>
    </row>
    <row r="31" spans="1:13" ht="15" customHeight="1" x14ac:dyDescent="0.3">
      <c r="A31" s="189"/>
      <c r="B31" s="148"/>
      <c r="C31" s="145"/>
      <c r="D31" s="11" t="s">
        <v>104</v>
      </c>
      <c r="E31" s="11" t="s">
        <v>94</v>
      </c>
      <c r="F31" s="12" t="s">
        <v>16</v>
      </c>
      <c r="G31" s="14">
        <v>63497</v>
      </c>
      <c r="H31" s="100">
        <f>G31/215*25</f>
        <v>7383.3720930232557</v>
      </c>
    </row>
    <row r="32" spans="1:13" ht="15" customHeight="1" x14ac:dyDescent="0.3">
      <c r="A32" s="101" t="s">
        <v>18</v>
      </c>
      <c r="B32" s="28"/>
      <c r="C32" s="144" t="s">
        <v>14</v>
      </c>
      <c r="D32" s="11" t="s">
        <v>72</v>
      </c>
      <c r="E32" s="11" t="s">
        <v>94</v>
      </c>
      <c r="F32" s="12" t="s">
        <v>47</v>
      </c>
      <c r="G32" s="13" t="s">
        <v>43</v>
      </c>
      <c r="H32" s="100">
        <v>26252.2</v>
      </c>
      <c r="I32" s="15">
        <v>35141.07</v>
      </c>
      <c r="J32" s="17" t="e">
        <f>H32+H33</f>
        <v>#VALUE!</v>
      </c>
    </row>
    <row r="33" spans="1:11" ht="15" customHeight="1" x14ac:dyDescent="0.3">
      <c r="A33" s="189" t="s">
        <v>137</v>
      </c>
      <c r="B33" s="148"/>
      <c r="C33" s="145"/>
      <c r="D33" s="11" t="s">
        <v>73</v>
      </c>
      <c r="E33" s="11" t="s">
        <v>93</v>
      </c>
      <c r="F33" s="12" t="s">
        <v>47</v>
      </c>
      <c r="G33" s="13" t="s">
        <v>43</v>
      </c>
      <c r="H33" s="100" t="s">
        <v>43</v>
      </c>
      <c r="I33" s="16"/>
      <c r="J33" s="3">
        <f>I32/3</f>
        <v>11713.69</v>
      </c>
      <c r="K33" s="3">
        <f>J33*2</f>
        <v>23427.38</v>
      </c>
    </row>
    <row r="34" spans="1:11" ht="15" customHeight="1" x14ac:dyDescent="0.3">
      <c r="A34" s="183" t="s">
        <v>19</v>
      </c>
      <c r="B34" s="141"/>
      <c r="C34" s="74" t="s">
        <v>14</v>
      </c>
      <c r="D34" s="76" t="s">
        <v>43</v>
      </c>
      <c r="E34" s="76" t="s">
        <v>43</v>
      </c>
      <c r="F34" s="76" t="s">
        <v>43</v>
      </c>
      <c r="G34" s="52" t="s">
        <v>43</v>
      </c>
      <c r="H34" s="102" t="s">
        <v>43</v>
      </c>
      <c r="I34" s="17"/>
      <c r="J34" s="17"/>
    </row>
    <row r="35" spans="1:11" ht="15" customHeight="1" x14ac:dyDescent="0.3">
      <c r="A35" s="183" t="s">
        <v>20</v>
      </c>
      <c r="B35" s="141"/>
      <c r="C35" s="74" t="s">
        <v>21</v>
      </c>
      <c r="D35" s="11" t="s">
        <v>74</v>
      </c>
      <c r="E35" s="11" t="s">
        <v>94</v>
      </c>
      <c r="F35" s="12" t="s">
        <v>43</v>
      </c>
      <c r="G35" s="52">
        <v>148</v>
      </c>
      <c r="H35" s="100" t="s">
        <v>43</v>
      </c>
    </row>
    <row r="36" spans="1:11" ht="15" customHeight="1" x14ac:dyDescent="0.3">
      <c r="A36" s="183" t="s">
        <v>22</v>
      </c>
      <c r="B36" s="152"/>
      <c r="C36" s="154" t="s">
        <v>21</v>
      </c>
      <c r="D36" s="11" t="s">
        <v>75</v>
      </c>
      <c r="E36" s="11" t="s">
        <v>94</v>
      </c>
      <c r="F36" s="12"/>
      <c r="G36" s="13">
        <f>I36/2</f>
        <v>2299.5</v>
      </c>
      <c r="H36" s="100"/>
      <c r="I36" s="53">
        <v>4599</v>
      </c>
    </row>
    <row r="37" spans="1:11" ht="15" customHeight="1" x14ac:dyDescent="0.3">
      <c r="A37" s="189"/>
      <c r="B37" s="153"/>
      <c r="C37" s="154"/>
      <c r="D37" s="11" t="s">
        <v>75</v>
      </c>
      <c r="E37" s="11" t="s">
        <v>93</v>
      </c>
      <c r="F37" s="12" t="s">
        <v>23</v>
      </c>
      <c r="G37" s="13">
        <f>I36/2</f>
        <v>2299.5</v>
      </c>
      <c r="H37" s="100" t="s">
        <v>43</v>
      </c>
    </row>
    <row r="38" spans="1:11" ht="15" customHeight="1" x14ac:dyDescent="0.3">
      <c r="A38" s="183" t="s">
        <v>105</v>
      </c>
      <c r="B38" s="141"/>
      <c r="C38" s="144" t="s">
        <v>21</v>
      </c>
      <c r="D38" s="11" t="s">
        <v>76</v>
      </c>
      <c r="E38" s="11" t="s">
        <v>93</v>
      </c>
      <c r="F38" s="12" t="s">
        <v>64</v>
      </c>
      <c r="G38" s="14">
        <v>0</v>
      </c>
      <c r="H38" s="100" t="s">
        <v>43</v>
      </c>
    </row>
    <row r="39" spans="1:11" ht="14.25" customHeight="1" x14ac:dyDescent="0.3">
      <c r="A39" s="189"/>
      <c r="B39" s="148"/>
      <c r="C39" s="145"/>
      <c r="D39" s="11" t="s">
        <v>76</v>
      </c>
      <c r="E39" s="11" t="s">
        <v>93</v>
      </c>
      <c r="F39" s="12" t="s">
        <v>65</v>
      </c>
      <c r="G39" s="14">
        <v>0</v>
      </c>
      <c r="H39" s="100" t="s">
        <v>43</v>
      </c>
    </row>
    <row r="40" spans="1:11" ht="15" customHeight="1" x14ac:dyDescent="0.3">
      <c r="A40" s="189" t="s">
        <v>106</v>
      </c>
      <c r="B40" s="148"/>
      <c r="C40" s="86" t="s">
        <v>21</v>
      </c>
      <c r="D40" s="11" t="s">
        <v>77</v>
      </c>
      <c r="E40" s="11" t="s">
        <v>93</v>
      </c>
      <c r="F40" s="12" t="s">
        <v>64</v>
      </c>
      <c r="G40" s="14">
        <v>0</v>
      </c>
      <c r="H40" s="100" t="s">
        <v>43</v>
      </c>
    </row>
    <row r="41" spans="1:11" ht="15" customHeight="1" x14ac:dyDescent="0.3">
      <c r="A41" s="189" t="s">
        <v>106</v>
      </c>
      <c r="B41" s="148"/>
      <c r="C41" s="86" t="s">
        <v>21</v>
      </c>
      <c r="D41" s="11" t="s">
        <v>77</v>
      </c>
      <c r="E41" s="11" t="s">
        <v>93</v>
      </c>
      <c r="F41" s="12" t="s">
        <v>65</v>
      </c>
      <c r="G41" s="14">
        <v>0</v>
      </c>
      <c r="H41" s="100" t="s">
        <v>43</v>
      </c>
    </row>
    <row r="42" spans="1:11" ht="15" customHeight="1" x14ac:dyDescent="0.3">
      <c r="A42" s="189" t="s">
        <v>106</v>
      </c>
      <c r="B42" s="148"/>
      <c r="C42" s="86" t="s">
        <v>21</v>
      </c>
      <c r="D42" s="11" t="s">
        <v>111</v>
      </c>
      <c r="E42" s="11" t="s">
        <v>93</v>
      </c>
      <c r="F42" s="12" t="s">
        <v>64</v>
      </c>
      <c r="G42" s="14">
        <v>0</v>
      </c>
      <c r="H42" s="100" t="s">
        <v>43</v>
      </c>
    </row>
    <row r="43" spans="1:11" ht="15" customHeight="1" x14ac:dyDescent="0.3">
      <c r="A43" s="189" t="s">
        <v>106</v>
      </c>
      <c r="B43" s="148"/>
      <c r="C43" s="86" t="s">
        <v>21</v>
      </c>
      <c r="D43" s="11" t="s">
        <v>78</v>
      </c>
      <c r="E43" s="11" t="s">
        <v>94</v>
      </c>
      <c r="F43" s="12" t="s">
        <v>64</v>
      </c>
      <c r="G43" s="14">
        <v>39526</v>
      </c>
      <c r="H43" s="100" t="s">
        <v>43</v>
      </c>
    </row>
    <row r="44" spans="1:11" ht="15" customHeight="1" x14ac:dyDescent="0.3">
      <c r="A44" s="189" t="s">
        <v>106</v>
      </c>
      <c r="B44" s="148"/>
      <c r="C44" s="36" t="s">
        <v>21</v>
      </c>
      <c r="D44" s="11" t="s">
        <v>79</v>
      </c>
      <c r="E44" s="11" t="s">
        <v>94</v>
      </c>
      <c r="F44" s="12" t="s">
        <v>65</v>
      </c>
      <c r="G44" s="14">
        <v>570</v>
      </c>
      <c r="H44" s="100" t="s">
        <v>43</v>
      </c>
    </row>
    <row r="45" spans="1:11" ht="15" customHeight="1" x14ac:dyDescent="0.3">
      <c r="A45" s="189" t="s">
        <v>106</v>
      </c>
      <c r="B45" s="148"/>
      <c r="C45" s="36" t="s">
        <v>21</v>
      </c>
      <c r="D45" s="11" t="s">
        <v>79</v>
      </c>
      <c r="E45" s="11" t="s">
        <v>94</v>
      </c>
      <c r="F45" s="12" t="s">
        <v>107</v>
      </c>
      <c r="G45" s="14">
        <v>0</v>
      </c>
      <c r="H45" s="100" t="s">
        <v>43</v>
      </c>
    </row>
    <row r="46" spans="1:11" ht="15" customHeight="1" x14ac:dyDescent="0.3">
      <c r="A46" s="183" t="s">
        <v>24</v>
      </c>
      <c r="B46" s="141"/>
      <c r="C46" s="36" t="s">
        <v>25</v>
      </c>
      <c r="D46" s="11" t="s">
        <v>80</v>
      </c>
      <c r="E46" s="11" t="s">
        <v>139</v>
      </c>
      <c r="F46" s="12" t="s">
        <v>44</v>
      </c>
      <c r="G46" s="14">
        <f>I36*2.43</f>
        <v>11175.570000000002</v>
      </c>
      <c r="H46" s="100" t="s">
        <v>43</v>
      </c>
      <c r="I46" s="15"/>
    </row>
    <row r="47" spans="1:11" ht="15" customHeight="1" x14ac:dyDescent="0.3">
      <c r="A47" s="189"/>
      <c r="B47" s="148"/>
      <c r="C47" s="36" t="s">
        <v>25</v>
      </c>
      <c r="D47" s="11" t="s">
        <v>80</v>
      </c>
      <c r="E47" s="11" t="s">
        <v>93</v>
      </c>
      <c r="F47" s="12" t="s">
        <v>44</v>
      </c>
      <c r="G47" s="14">
        <v>0</v>
      </c>
      <c r="H47" s="100"/>
      <c r="I47" s="16"/>
    </row>
    <row r="48" spans="1:11" ht="15" customHeight="1" x14ac:dyDescent="0.3">
      <c r="A48" s="183" t="s">
        <v>26</v>
      </c>
      <c r="B48" s="141"/>
      <c r="C48" s="144" t="s">
        <v>25</v>
      </c>
      <c r="D48" s="11" t="s">
        <v>81</v>
      </c>
      <c r="E48" s="11" t="s">
        <v>94</v>
      </c>
      <c r="F48" s="12" t="s">
        <v>27</v>
      </c>
      <c r="G48" s="14">
        <v>10819</v>
      </c>
      <c r="H48" s="100" t="s">
        <v>43</v>
      </c>
    </row>
    <row r="49" spans="1:9" ht="15" hidden="1" customHeight="1" x14ac:dyDescent="0.3">
      <c r="A49" s="190"/>
      <c r="B49" s="150"/>
      <c r="C49" s="151"/>
      <c r="D49" s="11" t="s">
        <v>103</v>
      </c>
      <c r="E49" s="11" t="s">
        <v>93</v>
      </c>
      <c r="F49" s="12" t="s">
        <v>51</v>
      </c>
      <c r="G49" s="12">
        <v>0</v>
      </c>
      <c r="H49" s="100" t="s">
        <v>43</v>
      </c>
    </row>
    <row r="50" spans="1:9" ht="15" hidden="1" customHeight="1" x14ac:dyDescent="0.3">
      <c r="A50" s="190"/>
      <c r="B50" s="150"/>
      <c r="C50" s="151"/>
      <c r="D50" s="11" t="s">
        <v>103</v>
      </c>
      <c r="E50" s="11" t="s">
        <v>93</v>
      </c>
      <c r="F50" s="12" t="s">
        <v>50</v>
      </c>
      <c r="G50" s="13" t="s">
        <v>43</v>
      </c>
      <c r="H50" s="100" t="s">
        <v>43</v>
      </c>
    </row>
    <row r="51" spans="1:9" ht="15" customHeight="1" x14ac:dyDescent="0.3">
      <c r="A51" s="190"/>
      <c r="B51" s="150"/>
      <c r="C51" s="151"/>
      <c r="D51" s="11" t="s">
        <v>103</v>
      </c>
      <c r="E51" s="11" t="s">
        <v>93</v>
      </c>
      <c r="F51" s="12" t="s">
        <v>28</v>
      </c>
      <c r="G51" s="13" t="s">
        <v>43</v>
      </c>
      <c r="H51" s="100" t="s">
        <v>43</v>
      </c>
      <c r="I51" s="17"/>
    </row>
    <row r="52" spans="1:9" ht="15" customHeight="1" x14ac:dyDescent="0.3">
      <c r="A52" s="190"/>
      <c r="B52" s="150"/>
      <c r="C52" s="151"/>
      <c r="D52" s="11" t="s">
        <v>103</v>
      </c>
      <c r="E52" s="11" t="s">
        <v>94</v>
      </c>
      <c r="F52" s="12" t="s">
        <v>135</v>
      </c>
      <c r="G52" s="13" t="s">
        <v>43</v>
      </c>
      <c r="H52" s="100"/>
      <c r="I52" s="17"/>
    </row>
    <row r="53" spans="1:9" ht="15" customHeight="1" x14ac:dyDescent="0.3">
      <c r="A53" s="189"/>
      <c r="B53" s="148"/>
      <c r="C53" s="145"/>
      <c r="D53" s="11" t="s">
        <v>103</v>
      </c>
      <c r="E53" s="11" t="s">
        <v>94</v>
      </c>
      <c r="F53" s="12" t="s">
        <v>29</v>
      </c>
      <c r="G53" s="18" t="s">
        <v>43</v>
      </c>
      <c r="H53" s="100" t="s">
        <v>43</v>
      </c>
    </row>
    <row r="54" spans="1:9" ht="15" customHeight="1" x14ac:dyDescent="0.3">
      <c r="A54" s="183" t="s">
        <v>30</v>
      </c>
      <c r="B54" s="141"/>
      <c r="C54" s="144" t="s">
        <v>21</v>
      </c>
      <c r="D54" s="19" t="s">
        <v>31</v>
      </c>
      <c r="E54" s="11" t="s">
        <v>94</v>
      </c>
      <c r="F54" s="12" t="s">
        <v>55</v>
      </c>
      <c r="G54" s="18" t="s">
        <v>43</v>
      </c>
      <c r="H54" s="99" t="s">
        <v>43</v>
      </c>
    </row>
    <row r="55" spans="1:9" ht="15" customHeight="1" x14ac:dyDescent="0.3">
      <c r="A55" s="189"/>
      <c r="B55" s="148"/>
      <c r="C55" s="145"/>
      <c r="D55" s="20" t="s">
        <v>32</v>
      </c>
      <c r="E55" s="11" t="s">
        <v>94</v>
      </c>
      <c r="F55" s="12"/>
      <c r="G55" s="18" t="s">
        <v>43</v>
      </c>
      <c r="H55" s="99" t="s">
        <v>43</v>
      </c>
    </row>
    <row r="56" spans="1:9" ht="15" customHeight="1" x14ac:dyDescent="0.3">
      <c r="A56" s="183" t="s">
        <v>33</v>
      </c>
      <c r="B56" s="141"/>
      <c r="C56" s="144" t="s">
        <v>25</v>
      </c>
      <c r="D56" s="138" t="s">
        <v>43</v>
      </c>
      <c r="E56" s="138" t="s">
        <v>43</v>
      </c>
      <c r="F56" s="138" t="s">
        <v>43</v>
      </c>
      <c r="G56" s="138" t="s">
        <v>43</v>
      </c>
      <c r="H56" s="181" t="s">
        <v>43</v>
      </c>
    </row>
    <row r="57" spans="1:9" ht="2.25" customHeight="1" x14ac:dyDescent="0.3">
      <c r="A57" s="189"/>
      <c r="B57" s="148"/>
      <c r="C57" s="145"/>
      <c r="D57" s="139"/>
      <c r="E57" s="139"/>
      <c r="F57" s="139"/>
      <c r="G57" s="139"/>
      <c r="H57" s="182"/>
    </row>
    <row r="58" spans="1:9" ht="15" customHeight="1" x14ac:dyDescent="0.3">
      <c r="A58" s="183" t="s">
        <v>34</v>
      </c>
      <c r="B58" s="141"/>
      <c r="C58" s="36" t="s">
        <v>21</v>
      </c>
      <c r="D58" s="11" t="s">
        <v>82</v>
      </c>
      <c r="E58" s="11" t="s">
        <v>83</v>
      </c>
      <c r="F58" s="12" t="s">
        <v>43</v>
      </c>
      <c r="G58" s="12" t="s">
        <v>43</v>
      </c>
      <c r="H58" s="99" t="s">
        <v>43</v>
      </c>
    </row>
    <row r="59" spans="1:9" ht="15" customHeight="1" x14ac:dyDescent="0.3">
      <c r="A59" s="184" t="s">
        <v>35</v>
      </c>
      <c r="B59" s="142"/>
      <c r="C59" s="81" t="s">
        <v>25</v>
      </c>
      <c r="D59" s="12" t="s">
        <v>43</v>
      </c>
      <c r="E59" s="12" t="s">
        <v>43</v>
      </c>
      <c r="F59" s="12" t="s">
        <v>43</v>
      </c>
      <c r="G59" s="12" t="s">
        <v>43</v>
      </c>
      <c r="H59" s="99" t="s">
        <v>43</v>
      </c>
    </row>
    <row r="60" spans="1:9" ht="15" customHeight="1" x14ac:dyDescent="0.3">
      <c r="A60" s="184" t="s">
        <v>53</v>
      </c>
      <c r="B60" s="142"/>
      <c r="C60" s="81" t="s">
        <v>25</v>
      </c>
      <c r="D60" s="12" t="s">
        <v>43</v>
      </c>
      <c r="E60" s="12" t="s">
        <v>43</v>
      </c>
      <c r="F60" s="12" t="s">
        <v>43</v>
      </c>
      <c r="G60" s="12">
        <v>30</v>
      </c>
      <c r="H60" s="99" t="s">
        <v>43</v>
      </c>
    </row>
    <row r="61" spans="1:9" ht="15" customHeight="1" x14ac:dyDescent="0.3">
      <c r="A61" s="185" t="s">
        <v>36</v>
      </c>
      <c r="B61" s="143"/>
      <c r="C61" s="144" t="s">
        <v>37</v>
      </c>
      <c r="D61" s="11" t="s">
        <v>38</v>
      </c>
      <c r="E61" s="11" t="s">
        <v>94</v>
      </c>
      <c r="F61" s="12" t="s">
        <v>56</v>
      </c>
      <c r="G61" s="12" t="s">
        <v>43</v>
      </c>
      <c r="H61" s="99" t="s">
        <v>43</v>
      </c>
    </row>
    <row r="62" spans="1:9" ht="15" customHeight="1" thickBot="1" x14ac:dyDescent="0.35">
      <c r="A62" s="187" t="s">
        <v>39</v>
      </c>
      <c r="B62" s="188"/>
      <c r="C62" s="186"/>
      <c r="D62" s="103" t="s">
        <v>40</v>
      </c>
      <c r="E62" s="103" t="s">
        <v>94</v>
      </c>
      <c r="F62" s="104" t="s">
        <v>57</v>
      </c>
      <c r="G62" s="104" t="s">
        <v>43</v>
      </c>
      <c r="H62" s="105" t="s">
        <v>43</v>
      </c>
    </row>
    <row r="63" spans="1:9" ht="3" customHeight="1" x14ac:dyDescent="0.3">
      <c r="A63" s="32"/>
      <c r="B63" s="32"/>
      <c r="C63" s="33"/>
      <c r="D63" s="34"/>
      <c r="E63" s="34"/>
      <c r="F63" s="35"/>
      <c r="G63" s="35"/>
      <c r="H63" s="35"/>
    </row>
    <row r="64" spans="1:9" ht="17.25" customHeight="1" x14ac:dyDescent="0.3">
      <c r="A64" s="32"/>
      <c r="B64" s="32"/>
      <c r="C64" s="33"/>
      <c r="D64" s="34"/>
      <c r="E64" s="34"/>
      <c r="F64" s="35"/>
      <c r="G64" s="35"/>
      <c r="H64" s="35"/>
    </row>
    <row r="65" spans="1:13" ht="17.25" customHeight="1" x14ac:dyDescent="0.3">
      <c r="A65" s="3" t="s">
        <v>41</v>
      </c>
      <c r="D65" s="3" t="s">
        <v>85</v>
      </c>
      <c r="F65" s="3" t="s">
        <v>86</v>
      </c>
    </row>
    <row r="66" spans="1:13" ht="26.25" customHeight="1" x14ac:dyDescent="0.3">
      <c r="E66" s="25"/>
    </row>
    <row r="67" spans="1:13" s="40" customFormat="1" ht="17.25" customHeight="1" x14ac:dyDescent="0.25">
      <c r="A67" s="73" t="s">
        <v>175</v>
      </c>
      <c r="D67" s="43" t="s">
        <v>185</v>
      </c>
      <c r="E67" s="72"/>
      <c r="F67" s="41" t="s">
        <v>131</v>
      </c>
      <c r="G67" s="42"/>
      <c r="H67" s="42"/>
      <c r="I67" s="43"/>
    </row>
    <row r="68" spans="1:13" s="31" customFormat="1" x14ac:dyDescent="0.3">
      <c r="A68" s="23" t="s">
        <v>176</v>
      </c>
      <c r="D68" s="31" t="s">
        <v>123</v>
      </c>
      <c r="E68" s="26"/>
      <c r="F68" s="29" t="s">
        <v>160</v>
      </c>
      <c r="G68" s="3"/>
      <c r="H68" s="3"/>
    </row>
    <row r="69" spans="1:13" x14ac:dyDescent="0.3">
      <c r="A69" s="23" t="s">
        <v>8</v>
      </c>
      <c r="D69" s="23" t="s">
        <v>67</v>
      </c>
      <c r="F69" s="23" t="s">
        <v>97</v>
      </c>
    </row>
    <row r="70" spans="1:13" x14ac:dyDescent="0.3">
      <c r="A70" s="23" t="s">
        <v>177</v>
      </c>
      <c r="D70" s="25" t="s">
        <v>186</v>
      </c>
      <c r="H70" s="7"/>
    </row>
    <row r="71" spans="1:13" ht="28.5" customHeight="1" x14ac:dyDescent="0.3">
      <c r="A71" s="23"/>
      <c r="H71" s="7"/>
    </row>
    <row r="72" spans="1:13" s="44" customFormat="1" ht="15.75" x14ac:dyDescent="0.25">
      <c r="A72" s="37"/>
      <c r="D72" s="43" t="s">
        <v>171</v>
      </c>
      <c r="H72" s="45"/>
    </row>
    <row r="73" spans="1:13" x14ac:dyDescent="0.3">
      <c r="A73" s="26"/>
      <c r="D73" s="31" t="s">
        <v>123</v>
      </c>
      <c r="I73" s="72"/>
    </row>
    <row r="74" spans="1:13" x14ac:dyDescent="0.3">
      <c r="A74" s="26"/>
      <c r="D74" s="23" t="s">
        <v>66</v>
      </c>
    </row>
    <row r="75" spans="1:13" x14ac:dyDescent="0.3">
      <c r="A75" s="23"/>
      <c r="D75" s="25" t="s">
        <v>172</v>
      </c>
    </row>
    <row r="79" spans="1:13" x14ac:dyDescent="0.3">
      <c r="M79" s="31"/>
    </row>
    <row r="80" spans="1:13" x14ac:dyDescent="0.3">
      <c r="M80" s="31"/>
    </row>
    <row r="81" spans="13:13" x14ac:dyDescent="0.3">
      <c r="M81" s="23"/>
    </row>
    <row r="83" spans="13:13" x14ac:dyDescent="0.3">
      <c r="M83" s="24"/>
    </row>
    <row r="84" spans="13:13" x14ac:dyDescent="0.3">
      <c r="M84" s="23"/>
    </row>
    <row r="85" spans="13:13" x14ac:dyDescent="0.3">
      <c r="M85" s="23"/>
    </row>
  </sheetData>
  <mergeCells count="44">
    <mergeCell ref="H56:H57"/>
    <mergeCell ref="A58:B58"/>
    <mergeCell ref="A59:B59"/>
    <mergeCell ref="A60:B60"/>
    <mergeCell ref="A61:B61"/>
    <mergeCell ref="C61:C62"/>
    <mergeCell ref="A62:B62"/>
    <mergeCell ref="A56:B57"/>
    <mergeCell ref="C56:C57"/>
    <mergeCell ref="D56:D57"/>
    <mergeCell ref="E56:E57"/>
    <mergeCell ref="F56:F57"/>
    <mergeCell ref="G56:G57"/>
    <mergeCell ref="A54:B55"/>
    <mergeCell ref="C54:C55"/>
    <mergeCell ref="A38:B39"/>
    <mergeCell ref="C38:C39"/>
    <mergeCell ref="A40:B40"/>
    <mergeCell ref="A41:B41"/>
    <mergeCell ref="A42:B42"/>
    <mergeCell ref="A43:B43"/>
    <mergeCell ref="A44:B44"/>
    <mergeCell ref="A45:B45"/>
    <mergeCell ref="A46:B47"/>
    <mergeCell ref="A48:B53"/>
    <mergeCell ref="C48:C53"/>
    <mergeCell ref="C32:C33"/>
    <mergeCell ref="A33:B33"/>
    <mergeCell ref="A34:B34"/>
    <mergeCell ref="A35:B35"/>
    <mergeCell ref="A36:B37"/>
    <mergeCell ref="C36:C37"/>
    <mergeCell ref="G13:H13"/>
    <mergeCell ref="C14:E14"/>
    <mergeCell ref="C15:E15"/>
    <mergeCell ref="A20:B20"/>
    <mergeCell ref="A22:B31"/>
    <mergeCell ref="C22:C31"/>
    <mergeCell ref="A11:H11"/>
    <mergeCell ref="A5:H5"/>
    <mergeCell ref="A6:H6"/>
    <mergeCell ref="A7:H7"/>
    <mergeCell ref="A8:H8"/>
    <mergeCell ref="A10:H10"/>
  </mergeCells>
  <pageMargins left="0.19685039370078741" right="0.27559055118110237" top="0.19685039370078741" bottom="0.19685039370078741" header="0.31496062992125984" footer="0.31496062992125984"/>
  <pageSetup paperSize="14" scale="93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P54"/>
  <sheetViews>
    <sheetView topLeftCell="A16" workbookViewId="0">
      <selection activeCell="F48" sqref="F48"/>
    </sheetView>
  </sheetViews>
  <sheetFormatPr defaultRowHeight="16.5" x14ac:dyDescent="0.3"/>
  <cols>
    <col min="1" max="1" width="9.140625" style="3"/>
    <col min="2" max="2" width="17.140625" style="3" customWidth="1"/>
    <col min="3" max="3" width="12.85546875" style="3" customWidth="1"/>
    <col min="4" max="4" width="15.7109375" style="3" customWidth="1"/>
    <col min="5" max="5" width="20.28515625" style="3" customWidth="1"/>
    <col min="6" max="6" width="14.42578125" style="3" customWidth="1"/>
    <col min="7" max="7" width="11.5703125" style="3" bestFit="1" customWidth="1"/>
    <col min="8" max="8" width="9.42578125" style="3" customWidth="1"/>
    <col min="9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22.5" customHeight="1" x14ac:dyDescent="0.3">
      <c r="A5" s="170" t="s">
        <v>3</v>
      </c>
      <c r="B5" s="170"/>
      <c r="C5" s="170"/>
      <c r="D5" s="170"/>
      <c r="E5" s="170"/>
      <c r="F5" s="170"/>
      <c r="G5" s="170"/>
      <c r="H5" s="170"/>
      <c r="I5" s="1"/>
    </row>
    <row r="6" spans="1:9" ht="22.5" customHeight="1" x14ac:dyDescent="0.3">
      <c r="A6" s="170" t="s">
        <v>4</v>
      </c>
      <c r="B6" s="170"/>
      <c r="C6" s="170"/>
      <c r="D6" s="170"/>
      <c r="E6" s="170"/>
      <c r="F6" s="170"/>
      <c r="G6" s="170"/>
      <c r="H6" s="170"/>
      <c r="I6" s="1"/>
    </row>
    <row r="7" spans="1:9" ht="22.5" customHeight="1" x14ac:dyDescent="0.3">
      <c r="A7" s="170" t="s">
        <v>5</v>
      </c>
      <c r="B7" s="170"/>
      <c r="C7" s="170"/>
      <c r="D7" s="170"/>
      <c r="E7" s="170"/>
      <c r="F7" s="170"/>
      <c r="G7" s="170"/>
      <c r="H7" s="170"/>
      <c r="I7" s="1"/>
    </row>
    <row r="8" spans="1:9" ht="22.5" customHeight="1" x14ac:dyDescent="0.3">
      <c r="A8" s="170" t="s">
        <v>6</v>
      </c>
      <c r="B8" s="170"/>
      <c r="C8" s="170"/>
      <c r="D8" s="170"/>
      <c r="E8" s="170"/>
      <c r="F8" s="170"/>
      <c r="G8" s="170"/>
      <c r="H8" s="170"/>
      <c r="I8" s="1"/>
    </row>
    <row r="9" spans="1:9" ht="7.5" customHeight="1" x14ac:dyDescent="0.3">
      <c r="A9" s="83"/>
      <c r="B9" s="83"/>
      <c r="C9" s="83"/>
      <c r="D9" s="83"/>
      <c r="E9" s="83"/>
      <c r="F9" s="83"/>
      <c r="G9" s="83"/>
      <c r="H9" s="83"/>
      <c r="I9" s="1"/>
    </row>
    <row r="10" spans="1:9" ht="22.5" customHeight="1" x14ac:dyDescent="0.3">
      <c r="A10" s="170" t="s">
        <v>7</v>
      </c>
      <c r="B10" s="170"/>
      <c r="C10" s="170"/>
      <c r="D10" s="170"/>
      <c r="E10" s="170"/>
      <c r="F10" s="170"/>
      <c r="G10" s="170"/>
      <c r="H10" s="170"/>
      <c r="I10" s="1"/>
    </row>
    <row r="11" spans="1:9" ht="22.5" customHeight="1" x14ac:dyDescent="0.3">
      <c r="A11" s="170" t="str">
        <f>'APRIL  2026 -PMC '!A11:H11</f>
        <v>REPORT FOR THE MONTH OF APRIL 2026</v>
      </c>
      <c r="B11" s="170"/>
      <c r="C11" s="170"/>
      <c r="D11" s="170"/>
      <c r="E11" s="170"/>
      <c r="F11" s="170"/>
      <c r="G11" s="170"/>
      <c r="H11" s="170"/>
      <c r="I11" s="5"/>
    </row>
    <row r="12" spans="1:9" ht="15.75" customHeight="1" x14ac:dyDescent="0.3"/>
    <row r="13" spans="1:9" ht="15" customHeight="1" x14ac:dyDescent="0.3">
      <c r="F13" s="2" t="s">
        <v>63</v>
      </c>
      <c r="G13" s="165" t="str">
        <f>'APRIL  2026 -PMC '!G13:H13</f>
        <v>APRIL 1-30,2026</v>
      </c>
      <c r="H13" s="165"/>
    </row>
    <row r="14" spans="1:9" ht="15" customHeight="1" x14ac:dyDescent="0.3">
      <c r="A14" s="6" t="s">
        <v>121</v>
      </c>
      <c r="B14" s="7"/>
      <c r="C14" s="156" t="s">
        <v>88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87</v>
      </c>
      <c r="D15" s="157"/>
      <c r="E15" s="157"/>
      <c r="G15" s="22"/>
      <c r="H15" s="22"/>
    </row>
    <row r="16" spans="1:9" ht="15" customHeight="1" x14ac:dyDescent="0.3">
      <c r="A16" s="6" t="s">
        <v>120</v>
      </c>
      <c r="C16" s="157" t="s">
        <v>95</v>
      </c>
      <c r="D16" s="157"/>
      <c r="E16" s="157"/>
      <c r="F16" s="4" t="s">
        <v>9</v>
      </c>
      <c r="G16" s="77" t="s">
        <v>45</v>
      </c>
      <c r="H16" s="77"/>
    </row>
    <row r="17" spans="1:8" ht="15" customHeight="1" x14ac:dyDescent="0.3">
      <c r="A17" s="6" t="s">
        <v>49</v>
      </c>
      <c r="C17" s="78" t="s">
        <v>109</v>
      </c>
      <c r="D17" s="78"/>
      <c r="E17" s="78"/>
      <c r="G17" s="22"/>
      <c r="H17" s="22"/>
    </row>
    <row r="18" spans="1:8" ht="15" customHeight="1" x14ac:dyDescent="0.3">
      <c r="A18" s="6" t="s">
        <v>48</v>
      </c>
      <c r="C18" s="49" t="s">
        <v>178</v>
      </c>
      <c r="D18" s="78"/>
      <c r="E18" s="78"/>
      <c r="F18" s="4" t="s">
        <v>10</v>
      </c>
      <c r="G18" s="77" t="s">
        <v>46</v>
      </c>
      <c r="H18" s="77"/>
    </row>
    <row r="19" spans="1:8" ht="15" customHeight="1" x14ac:dyDescent="0.3"/>
    <row r="20" spans="1:8" ht="33" customHeight="1" x14ac:dyDescent="0.3">
      <c r="A20" s="158" t="s">
        <v>11</v>
      </c>
      <c r="B20" s="158"/>
      <c r="C20" s="81" t="s">
        <v>12</v>
      </c>
      <c r="D20" s="79" t="s">
        <v>68</v>
      </c>
      <c r="E20" s="81" t="s">
        <v>90</v>
      </c>
      <c r="F20" s="87" t="s">
        <v>13</v>
      </c>
      <c r="G20" s="9" t="s">
        <v>59</v>
      </c>
      <c r="H20" s="9" t="s">
        <v>60</v>
      </c>
    </row>
    <row r="21" spans="1:8" ht="16.5" customHeight="1" x14ac:dyDescent="0.3">
      <c r="A21" s="74"/>
      <c r="B21" s="50"/>
      <c r="C21" s="75"/>
      <c r="D21" s="79"/>
      <c r="E21" s="81"/>
      <c r="F21" s="87"/>
      <c r="G21" s="10" t="s">
        <v>61</v>
      </c>
      <c r="H21" s="10" t="s">
        <v>58</v>
      </c>
    </row>
    <row r="22" spans="1:8" ht="21.95" customHeight="1" x14ac:dyDescent="0.3">
      <c r="A22" s="27" t="s">
        <v>54</v>
      </c>
      <c r="B22" s="28"/>
      <c r="C22" s="75" t="s">
        <v>62</v>
      </c>
      <c r="D22" s="11" t="s">
        <v>104</v>
      </c>
      <c r="E22" s="11" t="s">
        <v>89</v>
      </c>
      <c r="F22" s="12" t="s">
        <v>16</v>
      </c>
      <c r="G22" s="52" t="s">
        <v>43</v>
      </c>
      <c r="H22" s="52" t="s">
        <v>43</v>
      </c>
    </row>
    <row r="23" spans="1:8" ht="21.95" customHeight="1" x14ac:dyDescent="0.3">
      <c r="A23" s="82" t="s">
        <v>138</v>
      </c>
      <c r="B23" s="82"/>
      <c r="C23" s="74" t="s">
        <v>14</v>
      </c>
      <c r="D23" s="11" t="s">
        <v>72</v>
      </c>
      <c r="E23" s="11" t="s">
        <v>89</v>
      </c>
      <c r="F23" s="12" t="s">
        <v>47</v>
      </c>
      <c r="G23" s="52" t="s">
        <v>43</v>
      </c>
      <c r="H23" s="52" t="s">
        <v>43</v>
      </c>
    </row>
    <row r="24" spans="1:8" ht="21.95" customHeight="1" x14ac:dyDescent="0.3">
      <c r="A24" s="166" t="s">
        <v>19</v>
      </c>
      <c r="B24" s="167"/>
      <c r="C24" s="74" t="s">
        <v>14</v>
      </c>
      <c r="D24" s="76" t="s">
        <v>43</v>
      </c>
      <c r="E24" s="11" t="s">
        <v>89</v>
      </c>
      <c r="F24" s="76" t="s">
        <v>43</v>
      </c>
      <c r="G24" s="52" t="s">
        <v>43</v>
      </c>
      <c r="H24" s="52" t="s">
        <v>43</v>
      </c>
    </row>
    <row r="25" spans="1:8" ht="21.95" customHeight="1" x14ac:dyDescent="0.3">
      <c r="A25" s="140" t="s">
        <v>20</v>
      </c>
      <c r="B25" s="141"/>
      <c r="C25" s="74" t="s">
        <v>21</v>
      </c>
      <c r="D25" s="11" t="s">
        <v>74</v>
      </c>
      <c r="E25" s="11" t="s">
        <v>89</v>
      </c>
      <c r="F25" s="12" t="s">
        <v>43</v>
      </c>
      <c r="G25" s="52" t="s">
        <v>43</v>
      </c>
      <c r="H25" s="52" t="s">
        <v>43</v>
      </c>
    </row>
    <row r="26" spans="1:8" ht="21.95" customHeight="1" x14ac:dyDescent="0.3">
      <c r="A26" s="166" t="s">
        <v>22</v>
      </c>
      <c r="B26" s="168"/>
      <c r="C26" s="36" t="s">
        <v>21</v>
      </c>
      <c r="D26" s="11" t="s">
        <v>75</v>
      </c>
      <c r="E26" s="11" t="s">
        <v>89</v>
      </c>
      <c r="F26" s="12" t="s">
        <v>23</v>
      </c>
      <c r="G26" s="52" t="s">
        <v>43</v>
      </c>
      <c r="H26" s="52" t="s">
        <v>43</v>
      </c>
    </row>
    <row r="27" spans="1:8" ht="21.95" customHeight="1" x14ac:dyDescent="0.3">
      <c r="A27" s="140" t="s">
        <v>84</v>
      </c>
      <c r="B27" s="141"/>
      <c r="C27" s="86" t="s">
        <v>21</v>
      </c>
      <c r="D27" s="11" t="s">
        <v>78</v>
      </c>
      <c r="E27" s="11" t="s">
        <v>89</v>
      </c>
      <c r="F27" s="12" t="s">
        <v>64</v>
      </c>
      <c r="G27" s="52" t="s">
        <v>43</v>
      </c>
      <c r="H27" s="52" t="s">
        <v>43</v>
      </c>
    </row>
    <row r="28" spans="1:8" ht="21.95" customHeight="1" x14ac:dyDescent="0.3">
      <c r="A28" s="147"/>
      <c r="B28" s="148"/>
      <c r="C28" s="81" t="s">
        <v>21</v>
      </c>
      <c r="D28" s="11" t="s">
        <v>78</v>
      </c>
      <c r="E28" s="11" t="s">
        <v>89</v>
      </c>
      <c r="F28" s="12" t="s">
        <v>65</v>
      </c>
      <c r="G28" s="52" t="s">
        <v>43</v>
      </c>
      <c r="H28" s="52" t="s">
        <v>43</v>
      </c>
    </row>
    <row r="29" spans="1:8" ht="21.95" customHeight="1" x14ac:dyDescent="0.3">
      <c r="A29" s="142" t="s">
        <v>24</v>
      </c>
      <c r="B29" s="142"/>
      <c r="C29" s="81" t="s">
        <v>25</v>
      </c>
      <c r="D29" s="11" t="s">
        <v>80</v>
      </c>
      <c r="E29" s="11" t="s">
        <v>89</v>
      </c>
      <c r="F29" s="12" t="s">
        <v>44</v>
      </c>
      <c r="G29" s="52" t="s">
        <v>43</v>
      </c>
      <c r="H29" s="52" t="s">
        <v>43</v>
      </c>
    </row>
    <row r="30" spans="1:8" ht="21.95" customHeight="1" x14ac:dyDescent="0.3">
      <c r="A30" s="169" t="s">
        <v>26</v>
      </c>
      <c r="B30" s="169"/>
      <c r="C30" s="81" t="s">
        <v>25</v>
      </c>
      <c r="D30" s="11" t="s">
        <v>81</v>
      </c>
      <c r="E30" s="11" t="s">
        <v>89</v>
      </c>
      <c r="F30" s="12" t="s">
        <v>27</v>
      </c>
      <c r="G30" s="52" t="s">
        <v>43</v>
      </c>
      <c r="H30" s="52" t="s">
        <v>43</v>
      </c>
    </row>
    <row r="31" spans="1:8" ht="21.95" customHeight="1" x14ac:dyDescent="0.3">
      <c r="A31" s="142" t="s">
        <v>30</v>
      </c>
      <c r="B31" s="142"/>
      <c r="C31" s="154" t="s">
        <v>21</v>
      </c>
      <c r="D31" s="11" t="s">
        <v>31</v>
      </c>
      <c r="E31" s="11" t="s">
        <v>89</v>
      </c>
      <c r="F31" s="12" t="s">
        <v>55</v>
      </c>
      <c r="G31" s="52" t="s">
        <v>43</v>
      </c>
      <c r="H31" s="52" t="s">
        <v>43</v>
      </c>
    </row>
    <row r="32" spans="1:8" ht="21.95" customHeight="1" x14ac:dyDescent="0.3">
      <c r="A32" s="142"/>
      <c r="B32" s="142"/>
      <c r="C32" s="154"/>
      <c r="D32" s="11" t="s">
        <v>32</v>
      </c>
      <c r="E32" s="11" t="s">
        <v>89</v>
      </c>
      <c r="F32" s="12"/>
      <c r="G32" s="52" t="s">
        <v>43</v>
      </c>
      <c r="H32" s="52" t="s">
        <v>43</v>
      </c>
    </row>
    <row r="33" spans="1:11" ht="21.95" customHeight="1" x14ac:dyDescent="0.3">
      <c r="A33" s="142" t="s">
        <v>33</v>
      </c>
      <c r="B33" s="142"/>
      <c r="C33" s="154" t="s">
        <v>25</v>
      </c>
      <c r="D33" s="12" t="s">
        <v>43</v>
      </c>
      <c r="E33" s="12" t="s">
        <v>43</v>
      </c>
      <c r="F33" s="12" t="s">
        <v>43</v>
      </c>
      <c r="G33" s="52" t="s">
        <v>43</v>
      </c>
      <c r="H33" s="52" t="s">
        <v>43</v>
      </c>
    </row>
    <row r="34" spans="1:11" ht="17.25" customHeight="1" x14ac:dyDescent="0.3">
      <c r="A34" s="142"/>
      <c r="B34" s="142"/>
      <c r="C34" s="154"/>
      <c r="D34" s="12" t="s">
        <v>43</v>
      </c>
      <c r="E34" s="12" t="s">
        <v>43</v>
      </c>
      <c r="F34" s="12" t="s">
        <v>43</v>
      </c>
      <c r="G34" s="52" t="s">
        <v>43</v>
      </c>
      <c r="H34" s="52" t="s">
        <v>43</v>
      </c>
    </row>
    <row r="35" spans="1:11" ht="21.95" customHeight="1" x14ac:dyDescent="0.3">
      <c r="A35" s="142" t="s">
        <v>34</v>
      </c>
      <c r="B35" s="142"/>
      <c r="C35" s="81" t="s">
        <v>21</v>
      </c>
      <c r="D35" s="11" t="s">
        <v>82</v>
      </c>
      <c r="E35" s="11" t="s">
        <v>89</v>
      </c>
      <c r="F35" s="12" t="s">
        <v>43</v>
      </c>
      <c r="G35" s="52" t="s">
        <v>43</v>
      </c>
      <c r="H35" s="52" t="s">
        <v>43</v>
      </c>
    </row>
    <row r="36" spans="1:11" ht="21.95" customHeight="1" x14ac:dyDescent="0.3">
      <c r="A36" s="142" t="s">
        <v>35</v>
      </c>
      <c r="B36" s="142"/>
      <c r="C36" s="81" t="s">
        <v>25</v>
      </c>
      <c r="D36" s="12" t="s">
        <v>43</v>
      </c>
      <c r="E36" s="12" t="s">
        <v>43</v>
      </c>
      <c r="F36" s="12" t="s">
        <v>43</v>
      </c>
      <c r="G36" s="52" t="s">
        <v>43</v>
      </c>
      <c r="H36" s="52" t="s">
        <v>43</v>
      </c>
    </row>
    <row r="37" spans="1:11" ht="21.95" customHeight="1" x14ac:dyDescent="0.3">
      <c r="A37" s="142" t="s">
        <v>53</v>
      </c>
      <c r="B37" s="142"/>
      <c r="C37" s="81" t="s">
        <v>25</v>
      </c>
      <c r="D37" s="12" t="s">
        <v>43</v>
      </c>
      <c r="E37" s="12" t="s">
        <v>43</v>
      </c>
      <c r="F37" s="12" t="s">
        <v>43</v>
      </c>
      <c r="G37" s="52" t="s">
        <v>43</v>
      </c>
      <c r="H37" s="52" t="s">
        <v>43</v>
      </c>
    </row>
    <row r="38" spans="1:11" ht="8.25" customHeight="1" x14ac:dyDescent="0.3">
      <c r="A38" s="8"/>
      <c r="B38" s="8"/>
      <c r="C38" s="80"/>
      <c r="D38" s="80"/>
      <c r="E38" s="21"/>
      <c r="F38" s="21"/>
      <c r="G38" s="21"/>
      <c r="H38" s="21"/>
    </row>
    <row r="39" spans="1:11" ht="8.25" customHeight="1" x14ac:dyDescent="0.3">
      <c r="A39" s="8"/>
      <c r="B39" s="8"/>
      <c r="C39" s="80"/>
      <c r="D39" s="80"/>
      <c r="E39" s="21"/>
      <c r="F39" s="21"/>
      <c r="G39" s="21"/>
      <c r="H39" s="21"/>
    </row>
    <row r="40" spans="1:11" s="56" customFormat="1" ht="17.25" customHeight="1" x14ac:dyDescent="0.25">
      <c r="A40" s="56" t="s">
        <v>41</v>
      </c>
      <c r="D40" s="56" t="s">
        <v>85</v>
      </c>
      <c r="F40" s="56" t="s">
        <v>145</v>
      </c>
    </row>
    <row r="41" spans="1:11" ht="12.95" customHeight="1" x14ac:dyDescent="0.3">
      <c r="F41" s="7"/>
    </row>
    <row r="42" spans="1:11" ht="12.95" customHeight="1" x14ac:dyDescent="0.3">
      <c r="A42" s="25"/>
      <c r="E42" s="25"/>
    </row>
    <row r="43" spans="1:11" s="61" customFormat="1" ht="17.25" customHeight="1" x14ac:dyDescent="0.3">
      <c r="A43" s="64" t="s">
        <v>175</v>
      </c>
      <c r="B43" s="65"/>
      <c r="C43" s="61" t="s">
        <v>96</v>
      </c>
      <c r="D43" s="58" t="s">
        <v>185</v>
      </c>
      <c r="E43" s="58"/>
      <c r="F43" s="107" t="s">
        <v>141</v>
      </c>
      <c r="G43" s="107"/>
      <c r="H43" s="62"/>
      <c r="K43" s="57"/>
    </row>
    <row r="44" spans="1:11" s="42" customFormat="1" x14ac:dyDescent="0.25">
      <c r="A44" s="37" t="s">
        <v>176</v>
      </c>
      <c r="D44" s="31" t="s">
        <v>123</v>
      </c>
      <c r="E44" s="31"/>
      <c r="F44" s="47" t="s">
        <v>142</v>
      </c>
      <c r="G44" s="47"/>
      <c r="H44" s="47"/>
    </row>
    <row r="45" spans="1:11" s="42" customFormat="1" x14ac:dyDescent="0.25">
      <c r="A45" s="37" t="s">
        <v>8</v>
      </c>
      <c r="D45" s="23" t="s">
        <v>67</v>
      </c>
      <c r="E45" s="23"/>
      <c r="F45" s="37" t="s">
        <v>8</v>
      </c>
      <c r="G45" s="37"/>
      <c r="H45" s="37"/>
    </row>
    <row r="46" spans="1:11" s="42" customFormat="1" x14ac:dyDescent="0.3">
      <c r="A46" s="37" t="s">
        <v>177</v>
      </c>
      <c r="D46" s="25" t="s">
        <v>186</v>
      </c>
      <c r="E46" s="25"/>
      <c r="H46" s="63"/>
    </row>
    <row r="47" spans="1:11" s="44" customFormat="1" ht="12.75" customHeight="1" x14ac:dyDescent="0.25">
      <c r="A47" s="37"/>
      <c r="K47" s="42"/>
    </row>
    <row r="48" spans="1:11" ht="13.5" customHeight="1" x14ac:dyDescent="0.3">
      <c r="A48" s="23"/>
    </row>
    <row r="49" spans="1:16" s="57" customFormat="1" ht="17.25" x14ac:dyDescent="0.3">
      <c r="A49" s="57" t="s">
        <v>144</v>
      </c>
      <c r="D49" s="58"/>
      <c r="E49" s="59"/>
    </row>
    <row r="51" spans="1:16" ht="7.5" customHeight="1" x14ac:dyDescent="0.3">
      <c r="M51" s="162"/>
      <c r="N51" s="162"/>
      <c r="O51" s="162"/>
      <c r="P51" s="162"/>
    </row>
    <row r="52" spans="1:16" s="31" customFormat="1" ht="17.25" x14ac:dyDescent="0.25">
      <c r="A52" s="58" t="s">
        <v>109</v>
      </c>
      <c r="B52" s="66"/>
      <c r="M52" s="163"/>
      <c r="N52" s="163"/>
      <c r="O52" s="163"/>
      <c r="P52" s="163"/>
    </row>
    <row r="53" spans="1:16" s="44" customFormat="1" ht="15.75" x14ac:dyDescent="0.25">
      <c r="A53" s="44" t="s">
        <v>161</v>
      </c>
      <c r="M53" s="164"/>
      <c r="N53" s="164"/>
      <c r="O53" s="164"/>
      <c r="P53" s="164"/>
    </row>
    <row r="54" spans="1:16" s="44" customFormat="1" ht="15.75" x14ac:dyDescent="0.25">
      <c r="A54" s="44" t="s">
        <v>8</v>
      </c>
    </row>
  </sheetData>
  <mergeCells count="27">
    <mergeCell ref="A30:B30"/>
    <mergeCell ref="A24:B24"/>
    <mergeCell ref="A25:B25"/>
    <mergeCell ref="A26:B26"/>
    <mergeCell ref="A27:B28"/>
    <mergeCell ref="M51:P51"/>
    <mergeCell ref="M52:P52"/>
    <mergeCell ref="M53:P53"/>
    <mergeCell ref="C31:C32"/>
    <mergeCell ref="A33:B34"/>
    <mergeCell ref="C33:C34"/>
    <mergeCell ref="A35:B35"/>
    <mergeCell ref="A36:B36"/>
    <mergeCell ref="A37:B37"/>
    <mergeCell ref="A31:B32"/>
    <mergeCell ref="A11:H11"/>
    <mergeCell ref="A5:H5"/>
    <mergeCell ref="A6:H6"/>
    <mergeCell ref="A7:H7"/>
    <mergeCell ref="A8:H8"/>
    <mergeCell ref="A10:H10"/>
    <mergeCell ref="A29:B29"/>
    <mergeCell ref="G13:H13"/>
    <mergeCell ref="C14:E14"/>
    <mergeCell ref="C15:E15"/>
    <mergeCell ref="C16:E16"/>
    <mergeCell ref="A20:B20"/>
  </mergeCells>
  <pageMargins left="0.19685039370078741" right="0.19685039370078741" top="0.35433070866141736" bottom="0.39370078740157483" header="0.31496062992125984" footer="0.31496062992125984"/>
  <pageSetup paperSize="14" scale="93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L63"/>
  <sheetViews>
    <sheetView topLeftCell="A31" workbookViewId="0">
      <selection activeCell="J60" sqref="J60"/>
    </sheetView>
  </sheetViews>
  <sheetFormatPr defaultRowHeight="16.5" x14ac:dyDescent="0.3"/>
  <cols>
    <col min="1" max="1" width="9.140625" style="3"/>
    <col min="2" max="2" width="16.85546875" style="3" customWidth="1"/>
    <col min="3" max="3" width="13.5703125" style="3" customWidth="1"/>
    <col min="4" max="4" width="16.5703125" style="3" customWidth="1"/>
    <col min="5" max="5" width="17.140625" style="3" customWidth="1"/>
    <col min="6" max="6" width="2.140625" style="3" customWidth="1"/>
    <col min="7" max="7" width="15.140625" style="3" customWidth="1"/>
    <col min="8" max="8" width="10.42578125" style="3" customWidth="1"/>
    <col min="9" max="9" width="9.42578125" style="3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  <c r="F1" s="6"/>
    </row>
    <row r="2" spans="1:9" s="30" customFormat="1" ht="8.25" customHeight="1" x14ac:dyDescent="0.2">
      <c r="A2" s="6"/>
      <c r="B2" s="6"/>
      <c r="C2" s="6"/>
      <c r="D2" s="6"/>
      <c r="E2" s="6"/>
      <c r="F2" s="6"/>
    </row>
    <row r="3" spans="1:9" s="30" customFormat="1" ht="15" customHeight="1" x14ac:dyDescent="0.2">
      <c r="A3" s="6"/>
      <c r="B3" s="6" t="s">
        <v>2</v>
      </c>
      <c r="C3" s="6"/>
      <c r="D3" s="6"/>
      <c r="E3" s="6"/>
      <c r="F3" s="6"/>
    </row>
    <row r="4" spans="1:9" s="44" customFormat="1" ht="20.100000000000001" customHeight="1" x14ac:dyDescent="0.25">
      <c r="A4" s="180" t="s">
        <v>3</v>
      </c>
      <c r="B4" s="180"/>
      <c r="C4" s="180"/>
      <c r="D4" s="180"/>
      <c r="E4" s="180"/>
      <c r="F4" s="180"/>
      <c r="G4" s="180"/>
      <c r="H4" s="180"/>
      <c r="I4" s="180"/>
    </row>
    <row r="5" spans="1:9" s="44" customFormat="1" ht="20.100000000000001" customHeight="1" x14ac:dyDescent="0.25">
      <c r="A5" s="180" t="s">
        <v>4</v>
      </c>
      <c r="B5" s="180"/>
      <c r="C5" s="180"/>
      <c r="D5" s="180"/>
      <c r="E5" s="180"/>
      <c r="F5" s="180"/>
      <c r="G5" s="180"/>
      <c r="H5" s="180"/>
      <c r="I5" s="180"/>
    </row>
    <row r="6" spans="1:9" s="44" customFormat="1" ht="20.100000000000001" customHeight="1" x14ac:dyDescent="0.25">
      <c r="A6" s="180" t="s">
        <v>5</v>
      </c>
      <c r="B6" s="180"/>
      <c r="C6" s="180"/>
      <c r="D6" s="180"/>
      <c r="E6" s="180"/>
      <c r="F6" s="180"/>
      <c r="G6" s="180"/>
      <c r="H6" s="180"/>
      <c r="I6" s="180"/>
    </row>
    <row r="7" spans="1:9" s="44" customFormat="1" ht="20.100000000000001" customHeight="1" x14ac:dyDescent="0.25">
      <c r="A7" s="180" t="s">
        <v>6</v>
      </c>
      <c r="B7" s="180"/>
      <c r="C7" s="180"/>
      <c r="D7" s="180"/>
      <c r="E7" s="180"/>
      <c r="F7" s="180"/>
      <c r="G7" s="180"/>
      <c r="H7" s="180"/>
      <c r="I7" s="180"/>
    </row>
    <row r="8" spans="1:9" s="44" customFormat="1" ht="7.5" customHeight="1" x14ac:dyDescent="0.25">
      <c r="A8" s="88"/>
      <c r="B8" s="88"/>
      <c r="C8" s="88"/>
      <c r="D8" s="88"/>
      <c r="E8" s="88"/>
      <c r="F8" s="88"/>
      <c r="G8" s="88"/>
      <c r="H8" s="88"/>
      <c r="I8" s="88"/>
    </row>
    <row r="9" spans="1:9" s="44" customFormat="1" ht="20.100000000000001" customHeight="1" x14ac:dyDescent="0.25">
      <c r="A9" s="180" t="s">
        <v>7</v>
      </c>
      <c r="B9" s="180"/>
      <c r="C9" s="180"/>
      <c r="D9" s="180"/>
      <c r="E9" s="180"/>
      <c r="F9" s="180"/>
      <c r="G9" s="180"/>
      <c r="H9" s="180"/>
      <c r="I9" s="180"/>
    </row>
    <row r="10" spans="1:9" s="44" customFormat="1" ht="20.100000000000001" customHeight="1" x14ac:dyDescent="0.25">
      <c r="A10" s="180" t="str">
        <f>'APRIL  2026 -PMC '!A11:H11</f>
        <v>REPORT FOR THE MONTH OF APRIL 2026</v>
      </c>
      <c r="B10" s="180"/>
      <c r="C10" s="180"/>
      <c r="D10" s="180"/>
      <c r="E10" s="180"/>
      <c r="F10" s="180"/>
      <c r="G10" s="180"/>
      <c r="H10" s="180"/>
      <c r="I10" s="180"/>
    </row>
    <row r="11" spans="1:9" ht="6" customHeight="1" x14ac:dyDescent="0.3"/>
    <row r="12" spans="1:9" ht="15" customHeight="1" x14ac:dyDescent="0.3">
      <c r="G12" s="2" t="s">
        <v>63</v>
      </c>
      <c r="H12" s="177" t="s">
        <v>183</v>
      </c>
      <c r="I12" s="177"/>
    </row>
    <row r="13" spans="1:9" ht="15" customHeight="1" x14ac:dyDescent="0.3">
      <c r="A13" s="6" t="s">
        <v>122</v>
      </c>
      <c r="B13" s="7"/>
      <c r="C13" s="156" t="s">
        <v>113</v>
      </c>
      <c r="D13" s="156"/>
      <c r="E13" s="156"/>
      <c r="F13" s="38"/>
      <c r="H13" s="22"/>
      <c r="I13" s="22"/>
    </row>
    <row r="14" spans="1:9" ht="15" customHeight="1" x14ac:dyDescent="0.3">
      <c r="A14" s="6"/>
      <c r="B14" s="7"/>
      <c r="C14" s="157" t="s">
        <v>92</v>
      </c>
      <c r="D14" s="157"/>
      <c r="E14" s="157"/>
      <c r="F14" s="38"/>
      <c r="H14" s="22"/>
      <c r="I14" s="22"/>
    </row>
    <row r="15" spans="1:9" ht="15" customHeight="1" x14ac:dyDescent="0.3">
      <c r="A15" s="6" t="s">
        <v>120</v>
      </c>
      <c r="C15" s="157" t="s">
        <v>114</v>
      </c>
      <c r="D15" s="157"/>
      <c r="E15" s="157"/>
      <c r="F15" s="38"/>
      <c r="G15" s="4" t="s">
        <v>9</v>
      </c>
      <c r="H15" s="77" t="s">
        <v>45</v>
      </c>
      <c r="I15" s="77"/>
    </row>
    <row r="16" spans="1:9" ht="15" customHeight="1" x14ac:dyDescent="0.3">
      <c r="A16" s="6" t="s">
        <v>49</v>
      </c>
      <c r="C16" s="78" t="s">
        <v>109</v>
      </c>
      <c r="D16" s="78"/>
      <c r="E16" s="78"/>
      <c r="F16" s="38"/>
      <c r="H16" s="22"/>
      <c r="I16" s="22"/>
    </row>
    <row r="17" spans="1:9" ht="15" customHeight="1" x14ac:dyDescent="0.3">
      <c r="A17" s="6" t="s">
        <v>48</v>
      </c>
      <c r="C17" s="49" t="s">
        <v>178</v>
      </c>
      <c r="D17" s="78"/>
      <c r="E17" s="78"/>
      <c r="F17" s="38"/>
      <c r="G17" s="4" t="s">
        <v>10</v>
      </c>
      <c r="H17" s="77" t="s">
        <v>46</v>
      </c>
      <c r="I17" s="77"/>
    </row>
    <row r="18" spans="1:9" ht="6.75" customHeight="1" x14ac:dyDescent="0.3"/>
    <row r="19" spans="1:9" ht="25.5" customHeight="1" x14ac:dyDescent="0.3">
      <c r="A19" s="158" t="s">
        <v>11</v>
      </c>
      <c r="B19" s="158"/>
      <c r="C19" s="81" t="s">
        <v>12</v>
      </c>
      <c r="D19" s="79" t="s">
        <v>68</v>
      </c>
      <c r="E19" s="178" t="s">
        <v>90</v>
      </c>
      <c r="F19" s="179"/>
      <c r="G19" s="87" t="s">
        <v>13</v>
      </c>
      <c r="H19" s="9" t="s">
        <v>59</v>
      </c>
      <c r="I19" s="9" t="s">
        <v>60</v>
      </c>
    </row>
    <row r="20" spans="1:9" x14ac:dyDescent="0.3">
      <c r="A20" s="173"/>
      <c r="B20" s="174"/>
      <c r="C20" s="10"/>
      <c r="D20" s="10"/>
      <c r="E20" s="173"/>
      <c r="F20" s="174"/>
      <c r="G20" s="10"/>
      <c r="H20" s="10" t="s">
        <v>61</v>
      </c>
      <c r="I20" s="10" t="s">
        <v>58</v>
      </c>
    </row>
    <row r="21" spans="1:9" ht="18" hidden="1" customHeight="1" x14ac:dyDescent="0.3">
      <c r="A21" s="140" t="s">
        <v>54</v>
      </c>
      <c r="B21" s="141"/>
      <c r="C21" s="75" t="s">
        <v>62</v>
      </c>
      <c r="D21" s="11" t="s">
        <v>104</v>
      </c>
      <c r="E21" s="175" t="s">
        <v>140</v>
      </c>
      <c r="F21" s="176"/>
      <c r="G21" s="12" t="s">
        <v>16</v>
      </c>
      <c r="H21" s="14"/>
      <c r="I21" s="14"/>
    </row>
    <row r="22" spans="1:9" ht="18" customHeight="1" x14ac:dyDescent="0.3">
      <c r="A22" s="149"/>
      <c r="B22" s="150"/>
      <c r="C22" s="75" t="s">
        <v>62</v>
      </c>
      <c r="D22" s="11" t="s">
        <v>148</v>
      </c>
      <c r="E22" s="171" t="s">
        <v>93</v>
      </c>
      <c r="F22" s="172"/>
      <c r="G22" s="12" t="s">
        <v>149</v>
      </c>
      <c r="H22" s="39">
        <v>0</v>
      </c>
      <c r="I22" s="13">
        <f>H22/91*25</f>
        <v>0</v>
      </c>
    </row>
    <row r="23" spans="1:9" ht="18" customHeight="1" x14ac:dyDescent="0.3">
      <c r="A23" s="149"/>
      <c r="B23" s="150"/>
      <c r="C23" s="75" t="s">
        <v>62</v>
      </c>
      <c r="D23" s="11" t="s">
        <v>150</v>
      </c>
      <c r="E23" s="171" t="s">
        <v>93</v>
      </c>
      <c r="F23" s="172"/>
      <c r="G23" s="12" t="s">
        <v>134</v>
      </c>
      <c r="H23" s="39">
        <v>0</v>
      </c>
      <c r="I23" s="13">
        <f>H23/208*25</f>
        <v>0</v>
      </c>
    </row>
    <row r="24" spans="1:9" ht="18" customHeight="1" x14ac:dyDescent="0.3">
      <c r="A24" s="149"/>
      <c r="B24" s="150"/>
      <c r="C24" s="75" t="s">
        <v>62</v>
      </c>
      <c r="D24" s="11" t="s">
        <v>147</v>
      </c>
      <c r="E24" s="171" t="s">
        <v>93</v>
      </c>
      <c r="F24" s="172"/>
      <c r="G24" s="12" t="s">
        <v>129</v>
      </c>
      <c r="H24" s="39">
        <v>9464</v>
      </c>
      <c r="I24" s="13">
        <f>H24/91*25</f>
        <v>2600</v>
      </c>
    </row>
    <row r="25" spans="1:9" ht="18" customHeight="1" x14ac:dyDescent="0.3">
      <c r="A25" s="149"/>
      <c r="B25" s="150"/>
      <c r="C25" s="75" t="s">
        <v>62</v>
      </c>
      <c r="D25" s="11" t="s">
        <v>166</v>
      </c>
      <c r="E25" s="171" t="s">
        <v>93</v>
      </c>
      <c r="F25" s="172"/>
      <c r="G25" s="12" t="s">
        <v>129</v>
      </c>
      <c r="H25" s="39">
        <v>5208</v>
      </c>
      <c r="I25" s="13">
        <f>H25/93*25</f>
        <v>1400</v>
      </c>
    </row>
    <row r="26" spans="1:9" ht="18" customHeight="1" x14ac:dyDescent="0.3">
      <c r="A26" s="149"/>
      <c r="B26" s="150"/>
      <c r="C26" s="75" t="s">
        <v>62</v>
      </c>
      <c r="D26" s="11" t="s">
        <v>151</v>
      </c>
      <c r="E26" s="171" t="s">
        <v>93</v>
      </c>
      <c r="F26" s="172"/>
      <c r="G26" s="12" t="s">
        <v>128</v>
      </c>
      <c r="H26" s="39">
        <v>400</v>
      </c>
      <c r="I26" s="13">
        <f>H26/200*25</f>
        <v>50</v>
      </c>
    </row>
    <row r="27" spans="1:9" ht="18" customHeight="1" x14ac:dyDescent="0.3">
      <c r="A27" s="82" t="s">
        <v>138</v>
      </c>
      <c r="B27" s="82"/>
      <c r="C27" s="74" t="s">
        <v>14</v>
      </c>
      <c r="D27" s="11" t="s">
        <v>119</v>
      </c>
      <c r="E27" s="171" t="s">
        <v>93</v>
      </c>
      <c r="F27" s="172"/>
      <c r="G27" s="12" t="s">
        <v>47</v>
      </c>
      <c r="H27" s="76"/>
      <c r="I27" s="91">
        <v>2175</v>
      </c>
    </row>
    <row r="28" spans="1:9" ht="18" customHeight="1" x14ac:dyDescent="0.3">
      <c r="A28" s="140" t="s">
        <v>19</v>
      </c>
      <c r="B28" s="141"/>
      <c r="C28" s="74" t="s">
        <v>14</v>
      </c>
      <c r="D28" s="76" t="s">
        <v>43</v>
      </c>
      <c r="E28" s="171" t="s">
        <v>93</v>
      </c>
      <c r="F28" s="172"/>
      <c r="G28" s="76" t="s">
        <v>43</v>
      </c>
      <c r="H28" s="76" t="s">
        <v>43</v>
      </c>
      <c r="I28" s="52" t="s">
        <v>43</v>
      </c>
    </row>
    <row r="29" spans="1:9" ht="18" customHeight="1" x14ac:dyDescent="0.3">
      <c r="A29" s="140" t="s">
        <v>20</v>
      </c>
      <c r="B29" s="141"/>
      <c r="C29" s="74" t="s">
        <v>21</v>
      </c>
      <c r="D29" s="11" t="s">
        <v>74</v>
      </c>
      <c r="E29" s="171" t="s">
        <v>93</v>
      </c>
      <c r="F29" s="172"/>
      <c r="G29" s="12" t="s">
        <v>43</v>
      </c>
      <c r="H29" s="76" t="s">
        <v>43</v>
      </c>
      <c r="I29" s="13" t="s">
        <v>43</v>
      </c>
    </row>
    <row r="30" spans="1:9" ht="18" customHeight="1" x14ac:dyDescent="0.3">
      <c r="A30" s="166" t="s">
        <v>22</v>
      </c>
      <c r="B30" s="168"/>
      <c r="C30" s="36" t="s">
        <v>21</v>
      </c>
      <c r="D30" s="11" t="s">
        <v>75</v>
      </c>
      <c r="E30" s="171" t="s">
        <v>93</v>
      </c>
      <c r="F30" s="172"/>
      <c r="G30" s="12" t="s">
        <v>23</v>
      </c>
      <c r="H30" s="13">
        <v>157</v>
      </c>
      <c r="I30" s="18"/>
    </row>
    <row r="31" spans="1:9" ht="18" customHeight="1" x14ac:dyDescent="0.3">
      <c r="A31" s="140" t="s">
        <v>84</v>
      </c>
      <c r="B31" s="141"/>
      <c r="C31" s="86" t="s">
        <v>21</v>
      </c>
      <c r="D31" s="11" t="s">
        <v>77</v>
      </c>
      <c r="E31" s="171" t="s">
        <v>93</v>
      </c>
      <c r="F31" s="172"/>
      <c r="G31" s="12" t="s">
        <v>64</v>
      </c>
      <c r="H31" s="55">
        <v>65</v>
      </c>
      <c r="I31" s="13" t="s">
        <v>43</v>
      </c>
    </row>
    <row r="32" spans="1:9" ht="18" customHeight="1" x14ac:dyDescent="0.3">
      <c r="A32" s="149"/>
      <c r="B32" s="150"/>
      <c r="C32" s="86" t="s">
        <v>21</v>
      </c>
      <c r="D32" s="11" t="s">
        <v>77</v>
      </c>
      <c r="E32" s="171" t="s">
        <v>93</v>
      </c>
      <c r="F32" s="172"/>
      <c r="G32" s="12" t="s">
        <v>107</v>
      </c>
      <c r="H32" s="39">
        <v>2083</v>
      </c>
      <c r="I32" s="13" t="s">
        <v>43</v>
      </c>
    </row>
    <row r="33" spans="1:9" ht="18" customHeight="1" x14ac:dyDescent="0.3">
      <c r="A33" s="149"/>
      <c r="B33" s="150"/>
      <c r="C33" s="86" t="s">
        <v>21</v>
      </c>
      <c r="D33" s="11" t="s">
        <v>77</v>
      </c>
      <c r="E33" s="171" t="s">
        <v>93</v>
      </c>
      <c r="F33" s="172"/>
      <c r="G33" s="12" t="s">
        <v>179</v>
      </c>
      <c r="H33" s="39" t="s">
        <v>43</v>
      </c>
      <c r="I33" s="13" t="s">
        <v>43</v>
      </c>
    </row>
    <row r="34" spans="1:9" ht="18" customHeight="1" x14ac:dyDescent="0.3">
      <c r="A34" s="149"/>
      <c r="B34" s="150"/>
      <c r="C34" s="106" t="s">
        <v>21</v>
      </c>
      <c r="D34" s="11" t="s">
        <v>77</v>
      </c>
      <c r="E34" s="171" t="s">
        <v>93</v>
      </c>
      <c r="F34" s="172"/>
      <c r="G34" s="12" t="s">
        <v>184</v>
      </c>
      <c r="H34" s="39">
        <v>10</v>
      </c>
      <c r="I34" s="13"/>
    </row>
    <row r="35" spans="1:9" ht="18" customHeight="1" x14ac:dyDescent="0.3">
      <c r="A35" s="149"/>
      <c r="B35" s="150"/>
      <c r="C35" s="86" t="s">
        <v>21</v>
      </c>
      <c r="D35" s="11" t="s">
        <v>180</v>
      </c>
      <c r="E35" s="171" t="s">
        <v>93</v>
      </c>
      <c r="F35" s="172"/>
      <c r="G35" s="12" t="s">
        <v>181</v>
      </c>
      <c r="H35" s="39">
        <v>200</v>
      </c>
      <c r="I35" s="13"/>
    </row>
    <row r="36" spans="1:9" ht="18" customHeight="1" x14ac:dyDescent="0.3">
      <c r="A36" s="149"/>
      <c r="B36" s="150"/>
      <c r="C36" s="86" t="s">
        <v>21</v>
      </c>
      <c r="D36" s="11" t="s">
        <v>111</v>
      </c>
      <c r="E36" s="171" t="s">
        <v>93</v>
      </c>
      <c r="F36" s="172"/>
      <c r="G36" s="12" t="s">
        <v>64</v>
      </c>
      <c r="H36" s="76" t="s">
        <v>43</v>
      </c>
      <c r="I36" s="13" t="s">
        <v>43</v>
      </c>
    </row>
    <row r="37" spans="1:9" ht="18" customHeight="1" x14ac:dyDescent="0.3">
      <c r="A37" s="147"/>
      <c r="B37" s="148"/>
      <c r="C37" s="81" t="s">
        <v>21</v>
      </c>
      <c r="D37" s="11" t="s">
        <v>111</v>
      </c>
      <c r="E37" s="171" t="s">
        <v>93</v>
      </c>
      <c r="F37" s="172"/>
      <c r="G37" s="12" t="s">
        <v>112</v>
      </c>
      <c r="H37" s="14" t="s">
        <v>43</v>
      </c>
      <c r="I37" s="13"/>
    </row>
    <row r="38" spans="1:9" ht="18" customHeight="1" x14ac:dyDescent="0.3">
      <c r="A38" s="142" t="s">
        <v>24</v>
      </c>
      <c r="B38" s="142"/>
      <c r="C38" s="81" t="s">
        <v>25</v>
      </c>
      <c r="D38" s="11" t="s">
        <v>80</v>
      </c>
      <c r="E38" s="171" t="s">
        <v>93</v>
      </c>
      <c r="F38" s="172"/>
      <c r="G38" s="12" t="s">
        <v>44</v>
      </c>
      <c r="H38" s="14">
        <v>153</v>
      </c>
      <c r="I38" s="13" t="s">
        <v>43</v>
      </c>
    </row>
    <row r="39" spans="1:9" ht="18" customHeight="1" x14ac:dyDescent="0.3">
      <c r="A39" s="140" t="s">
        <v>26</v>
      </c>
      <c r="B39" s="141"/>
      <c r="C39" s="81" t="s">
        <v>25</v>
      </c>
      <c r="D39" s="11" t="s">
        <v>132</v>
      </c>
      <c r="E39" s="171" t="s">
        <v>93</v>
      </c>
      <c r="F39" s="172"/>
      <c r="G39" s="12" t="s">
        <v>28</v>
      </c>
      <c r="H39" s="13">
        <v>1065</v>
      </c>
      <c r="I39" s="13" t="s">
        <v>43</v>
      </c>
    </row>
    <row r="40" spans="1:9" ht="18" customHeight="1" x14ac:dyDescent="0.3">
      <c r="A40" s="149"/>
      <c r="B40" s="150"/>
      <c r="C40" s="81" t="s">
        <v>25</v>
      </c>
      <c r="D40" s="11" t="s">
        <v>103</v>
      </c>
      <c r="E40" s="171" t="s">
        <v>93</v>
      </c>
      <c r="F40" s="172"/>
      <c r="G40" s="12" t="s">
        <v>28</v>
      </c>
      <c r="H40" s="13" t="s">
        <v>43</v>
      </c>
      <c r="I40" s="13"/>
    </row>
    <row r="41" spans="1:9" ht="18" customHeight="1" x14ac:dyDescent="0.3">
      <c r="A41" s="147"/>
      <c r="B41" s="148"/>
      <c r="C41" s="81" t="s">
        <v>25</v>
      </c>
      <c r="D41" s="11" t="s">
        <v>103</v>
      </c>
      <c r="E41" s="171" t="s">
        <v>93</v>
      </c>
      <c r="F41" s="172"/>
      <c r="G41" s="12" t="s">
        <v>29</v>
      </c>
      <c r="H41" s="13">
        <v>1350</v>
      </c>
      <c r="I41" s="13"/>
    </row>
    <row r="42" spans="1:9" ht="18" customHeight="1" x14ac:dyDescent="0.3">
      <c r="A42" s="142" t="s">
        <v>30</v>
      </c>
      <c r="B42" s="142"/>
      <c r="C42" s="154" t="s">
        <v>21</v>
      </c>
      <c r="D42" s="11" t="s">
        <v>31</v>
      </c>
      <c r="E42" s="171" t="s">
        <v>93</v>
      </c>
      <c r="F42" s="172"/>
      <c r="G42" s="12" t="s">
        <v>55</v>
      </c>
      <c r="H42" s="13" t="s">
        <v>43</v>
      </c>
      <c r="I42" s="13" t="s">
        <v>43</v>
      </c>
    </row>
    <row r="43" spans="1:9" ht="18" customHeight="1" x14ac:dyDescent="0.3">
      <c r="A43" s="142"/>
      <c r="B43" s="142"/>
      <c r="C43" s="154"/>
      <c r="D43" s="11" t="s">
        <v>32</v>
      </c>
      <c r="E43" s="171" t="s">
        <v>93</v>
      </c>
      <c r="F43" s="172"/>
      <c r="G43" s="12"/>
      <c r="H43" s="13" t="s">
        <v>43</v>
      </c>
      <c r="I43" s="13" t="s">
        <v>43</v>
      </c>
    </row>
    <row r="44" spans="1:9" ht="18" customHeight="1" x14ac:dyDescent="0.3">
      <c r="A44" s="142" t="s">
        <v>33</v>
      </c>
      <c r="B44" s="142"/>
      <c r="C44" s="154" t="s">
        <v>25</v>
      </c>
      <c r="D44" s="12" t="s">
        <v>43</v>
      </c>
      <c r="E44" s="171" t="s">
        <v>43</v>
      </c>
      <c r="F44" s="172"/>
      <c r="G44" s="12" t="s">
        <v>43</v>
      </c>
      <c r="H44" s="13" t="s">
        <v>43</v>
      </c>
      <c r="I44" s="13" t="s">
        <v>43</v>
      </c>
    </row>
    <row r="45" spans="1:9" ht="13.5" customHeight="1" x14ac:dyDescent="0.3">
      <c r="A45" s="142"/>
      <c r="B45" s="142"/>
      <c r="C45" s="154"/>
      <c r="D45" s="12" t="s">
        <v>43</v>
      </c>
      <c r="E45" s="171" t="s">
        <v>43</v>
      </c>
      <c r="F45" s="172"/>
      <c r="G45" s="12" t="s">
        <v>43</v>
      </c>
      <c r="H45" s="13" t="s">
        <v>43</v>
      </c>
      <c r="I45" s="13" t="s">
        <v>43</v>
      </c>
    </row>
    <row r="46" spans="1:9" ht="18" customHeight="1" x14ac:dyDescent="0.3">
      <c r="A46" s="142" t="s">
        <v>34</v>
      </c>
      <c r="B46" s="142"/>
      <c r="C46" s="81" t="s">
        <v>21</v>
      </c>
      <c r="D46" s="11" t="s">
        <v>82</v>
      </c>
      <c r="E46" s="171" t="s">
        <v>93</v>
      </c>
      <c r="F46" s="172"/>
      <c r="G46" s="12" t="s">
        <v>43</v>
      </c>
      <c r="H46" s="13" t="s">
        <v>43</v>
      </c>
      <c r="I46" s="13" t="s">
        <v>43</v>
      </c>
    </row>
    <row r="47" spans="1:9" ht="18" customHeight="1" x14ac:dyDescent="0.3">
      <c r="A47" s="142" t="s">
        <v>35</v>
      </c>
      <c r="B47" s="142"/>
      <c r="C47" s="81" t="s">
        <v>25</v>
      </c>
      <c r="D47" s="12" t="s">
        <v>43</v>
      </c>
      <c r="E47" s="171" t="s">
        <v>43</v>
      </c>
      <c r="F47" s="172"/>
      <c r="G47" s="12" t="s">
        <v>43</v>
      </c>
      <c r="H47" s="13" t="s">
        <v>43</v>
      </c>
      <c r="I47" s="13" t="s">
        <v>43</v>
      </c>
    </row>
    <row r="48" spans="1:9" ht="18" customHeight="1" x14ac:dyDescent="0.3">
      <c r="A48" s="142" t="s">
        <v>53</v>
      </c>
      <c r="B48" s="142"/>
      <c r="C48" s="81" t="s">
        <v>25</v>
      </c>
      <c r="D48" s="12" t="s">
        <v>43</v>
      </c>
      <c r="E48" s="171" t="s">
        <v>43</v>
      </c>
      <c r="F48" s="172"/>
      <c r="G48" s="12" t="s">
        <v>43</v>
      </c>
      <c r="H48" s="13" t="s">
        <v>43</v>
      </c>
      <c r="I48" s="13" t="s">
        <v>43</v>
      </c>
    </row>
    <row r="49" spans="1:12" ht="8.25" customHeight="1" x14ac:dyDescent="0.3">
      <c r="A49" s="8"/>
      <c r="B49" s="8"/>
      <c r="C49" s="80"/>
      <c r="D49" s="80"/>
      <c r="E49" s="21"/>
      <c r="F49" s="21"/>
      <c r="G49" s="21"/>
      <c r="H49" s="21"/>
      <c r="I49" s="21"/>
    </row>
    <row r="50" spans="1:12" s="71" customFormat="1" ht="17.25" customHeight="1" x14ac:dyDescent="0.25">
      <c r="A50" s="71" t="s">
        <v>41</v>
      </c>
      <c r="D50" s="71" t="s">
        <v>85</v>
      </c>
      <c r="G50" s="71" t="s">
        <v>143</v>
      </c>
    </row>
    <row r="51" spans="1:12" ht="10.5" customHeight="1" x14ac:dyDescent="0.3">
      <c r="G51" s="7"/>
    </row>
    <row r="52" spans="1:12" ht="12.95" customHeight="1" x14ac:dyDescent="0.3">
      <c r="A52" s="25"/>
      <c r="E52" s="25"/>
      <c r="F52" s="25"/>
    </row>
    <row r="53" spans="1:12" s="60" customFormat="1" ht="17.25" customHeight="1" x14ac:dyDescent="0.3">
      <c r="A53" s="59" t="s">
        <v>175</v>
      </c>
      <c r="B53" s="58"/>
      <c r="C53" s="60" t="s">
        <v>96</v>
      </c>
      <c r="D53" s="58" t="s">
        <v>153</v>
      </c>
      <c r="E53" s="58"/>
      <c r="G53" s="58" t="s">
        <v>173</v>
      </c>
      <c r="H53" s="67"/>
      <c r="I53" s="67"/>
      <c r="L53" s="57"/>
    </row>
    <row r="54" spans="1:12" s="42" customFormat="1" ht="15.75" x14ac:dyDescent="0.25">
      <c r="A54" s="37" t="s">
        <v>176</v>
      </c>
      <c r="D54" s="37" t="s">
        <v>117</v>
      </c>
      <c r="E54" s="37"/>
      <c r="F54" s="37"/>
      <c r="G54" s="42" t="s">
        <v>174</v>
      </c>
      <c r="H54" s="47"/>
      <c r="I54" s="47"/>
      <c r="L54" s="44"/>
    </row>
    <row r="55" spans="1:12" s="44" customFormat="1" ht="15.75" x14ac:dyDescent="0.25">
      <c r="A55" s="37" t="s">
        <v>8</v>
      </c>
      <c r="D55" s="37" t="s">
        <v>66</v>
      </c>
      <c r="E55" s="37"/>
      <c r="F55" s="37"/>
      <c r="G55" s="37" t="s">
        <v>136</v>
      </c>
      <c r="H55" s="37"/>
      <c r="I55" s="37"/>
    </row>
    <row r="56" spans="1:12" s="44" customFormat="1" ht="15.75" x14ac:dyDescent="0.25">
      <c r="A56" s="37" t="s">
        <v>177</v>
      </c>
      <c r="D56" s="48" t="s">
        <v>154</v>
      </c>
      <c r="E56" s="48"/>
      <c r="F56" s="48"/>
      <c r="I56" s="45"/>
      <c r="L56" s="42"/>
    </row>
    <row r="57" spans="1:12" s="44" customFormat="1" ht="13.5" customHeight="1" x14ac:dyDescent="0.25">
      <c r="A57" s="37"/>
      <c r="L57" s="42"/>
    </row>
    <row r="58" spans="1:12" s="68" customFormat="1" ht="17.25" x14ac:dyDescent="0.3">
      <c r="A58" s="68" t="s">
        <v>144</v>
      </c>
      <c r="D58" s="69"/>
      <c r="E58" s="70"/>
      <c r="F58" s="70"/>
    </row>
    <row r="59" spans="1:12" ht="10.5" customHeight="1" x14ac:dyDescent="0.3"/>
    <row r="60" spans="1:12" ht="13.5" customHeight="1" x14ac:dyDescent="0.3"/>
    <row r="61" spans="1:12" s="57" customFormat="1" ht="17.25" x14ac:dyDescent="0.3">
      <c r="A61" s="65" t="s">
        <v>109</v>
      </c>
    </row>
    <row r="62" spans="1:12" s="44" customFormat="1" ht="15.75" x14ac:dyDescent="0.25">
      <c r="A62" s="44" t="s">
        <v>161</v>
      </c>
    </row>
    <row r="63" spans="1:12" s="44" customFormat="1" ht="15.75" x14ac:dyDescent="0.25">
      <c r="A63" s="44" t="s">
        <v>8</v>
      </c>
    </row>
  </sheetData>
  <mergeCells count="56">
    <mergeCell ref="A46:B46"/>
    <mergeCell ref="E46:F46"/>
    <mergeCell ref="A47:B47"/>
    <mergeCell ref="E47:F47"/>
    <mergeCell ref="A48:B48"/>
    <mergeCell ref="E48:F48"/>
    <mergeCell ref="A42:B43"/>
    <mergeCell ref="C42:C43"/>
    <mergeCell ref="E42:F42"/>
    <mergeCell ref="E43:F43"/>
    <mergeCell ref="A44:B45"/>
    <mergeCell ref="C44:C45"/>
    <mergeCell ref="E44:F44"/>
    <mergeCell ref="E45:F45"/>
    <mergeCell ref="A38:B38"/>
    <mergeCell ref="E38:F38"/>
    <mergeCell ref="A39:B41"/>
    <mergeCell ref="E39:F39"/>
    <mergeCell ref="E40:F40"/>
    <mergeCell ref="E41:F41"/>
    <mergeCell ref="A31:B37"/>
    <mergeCell ref="E31:F31"/>
    <mergeCell ref="E32:F32"/>
    <mergeCell ref="E33:F33"/>
    <mergeCell ref="E35:F35"/>
    <mergeCell ref="E36:F36"/>
    <mergeCell ref="E37:F37"/>
    <mergeCell ref="E34:F34"/>
    <mergeCell ref="A30:B30"/>
    <mergeCell ref="E30:F30"/>
    <mergeCell ref="A20:B20"/>
    <mergeCell ref="E20:F20"/>
    <mergeCell ref="A21:B26"/>
    <mergeCell ref="E21:F21"/>
    <mergeCell ref="E22:F22"/>
    <mergeCell ref="E23:F23"/>
    <mergeCell ref="E24:F24"/>
    <mergeCell ref="E25:F25"/>
    <mergeCell ref="E26:F26"/>
    <mergeCell ref="E27:F27"/>
    <mergeCell ref="A28:B28"/>
    <mergeCell ref="E28:F28"/>
    <mergeCell ref="A29:B29"/>
    <mergeCell ref="E29:F29"/>
    <mergeCell ref="H12:I12"/>
    <mergeCell ref="C13:E13"/>
    <mergeCell ref="C14:E14"/>
    <mergeCell ref="C15:E15"/>
    <mergeCell ref="A19:B19"/>
    <mergeCell ref="E19:F19"/>
    <mergeCell ref="A10:I10"/>
    <mergeCell ref="A4:I4"/>
    <mergeCell ref="A5:I5"/>
    <mergeCell ref="A6:I6"/>
    <mergeCell ref="A7:I7"/>
    <mergeCell ref="A9:I9"/>
  </mergeCells>
  <pageMargins left="0.39370078740157483" right="0.27559055118110237" top="0.35433070866141736" bottom="0.39370078740157483" header="0.31496062992125984" footer="0.31496062992125984"/>
  <pageSetup paperSize="14" scale="9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M85"/>
  <sheetViews>
    <sheetView topLeftCell="A46" zoomScale="130" zoomScaleNormal="130" workbookViewId="0">
      <selection activeCell="F65" sqref="F65"/>
    </sheetView>
  </sheetViews>
  <sheetFormatPr defaultRowHeight="16.5" x14ac:dyDescent="0.3"/>
  <cols>
    <col min="1" max="1" width="9.140625" style="3"/>
    <col min="2" max="2" width="15.7109375" style="3" customWidth="1"/>
    <col min="3" max="3" width="12.7109375" style="3" customWidth="1"/>
    <col min="4" max="4" width="15.85546875" style="3" customWidth="1"/>
    <col min="5" max="5" width="20.28515625" style="3" customWidth="1"/>
    <col min="6" max="6" width="14.42578125" style="3" customWidth="1"/>
    <col min="7" max="7" width="11" style="3" customWidth="1"/>
    <col min="8" max="8" width="10.42578125" style="3" customWidth="1"/>
    <col min="9" max="9" width="9.85546875" style="3" bestFit="1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15" customHeight="1" x14ac:dyDescent="0.3">
      <c r="A5" s="160" t="s">
        <v>3</v>
      </c>
      <c r="B5" s="160"/>
      <c r="C5" s="160"/>
      <c r="D5" s="160"/>
      <c r="E5" s="160"/>
      <c r="F5" s="160"/>
      <c r="G5" s="160"/>
      <c r="H5" s="160"/>
      <c r="I5" s="1"/>
    </row>
    <row r="6" spans="1:9" x14ac:dyDescent="0.3">
      <c r="A6" s="160" t="s">
        <v>4</v>
      </c>
      <c r="B6" s="160"/>
      <c r="C6" s="160"/>
      <c r="D6" s="160"/>
      <c r="E6" s="160"/>
      <c r="F6" s="160"/>
      <c r="G6" s="160"/>
      <c r="H6" s="160"/>
      <c r="I6" s="1"/>
    </row>
    <row r="7" spans="1:9" x14ac:dyDescent="0.3">
      <c r="A7" s="160" t="s">
        <v>5</v>
      </c>
      <c r="B7" s="160"/>
      <c r="C7" s="160"/>
      <c r="D7" s="160"/>
      <c r="E7" s="160"/>
      <c r="F7" s="160"/>
      <c r="G7" s="160"/>
      <c r="H7" s="160"/>
      <c r="I7" s="1"/>
    </row>
    <row r="8" spans="1:9" x14ac:dyDescent="0.3">
      <c r="A8" s="160" t="s">
        <v>6</v>
      </c>
      <c r="B8" s="160"/>
      <c r="C8" s="160"/>
      <c r="D8" s="160"/>
      <c r="E8" s="160"/>
      <c r="F8" s="160"/>
      <c r="G8" s="160"/>
      <c r="H8" s="160"/>
      <c r="I8" s="1"/>
    </row>
    <row r="9" spans="1:9" ht="3" customHeight="1" x14ac:dyDescent="0.3">
      <c r="A9" s="113"/>
      <c r="B9" s="113"/>
      <c r="C9" s="113"/>
      <c r="D9" s="113"/>
      <c r="E9" s="113"/>
      <c r="F9" s="113"/>
      <c r="G9" s="113"/>
      <c r="H9" s="113"/>
      <c r="I9" s="1"/>
    </row>
    <row r="10" spans="1:9" ht="18.75" customHeight="1" x14ac:dyDescent="0.3">
      <c r="A10" s="160" t="s">
        <v>7</v>
      </c>
      <c r="B10" s="160"/>
      <c r="C10" s="160"/>
      <c r="D10" s="160"/>
      <c r="E10" s="160"/>
      <c r="F10" s="160"/>
      <c r="G10" s="160"/>
      <c r="H10" s="160"/>
      <c r="I10" s="1"/>
    </row>
    <row r="11" spans="1:9" x14ac:dyDescent="0.3">
      <c r="A11" s="159" t="s">
        <v>187</v>
      </c>
      <c r="B11" s="159"/>
      <c r="C11" s="159"/>
      <c r="D11" s="159"/>
      <c r="E11" s="159"/>
      <c r="F11" s="159"/>
      <c r="G11" s="159"/>
      <c r="H11" s="159"/>
      <c r="I11" s="5"/>
    </row>
    <row r="12" spans="1:9" ht="3" customHeight="1" x14ac:dyDescent="0.3">
      <c r="I12" s="5"/>
    </row>
    <row r="13" spans="1:9" ht="14.25" customHeight="1" x14ac:dyDescent="0.3">
      <c r="F13" s="2" t="s">
        <v>63</v>
      </c>
      <c r="G13" s="155" t="s">
        <v>188</v>
      </c>
      <c r="H13" s="155"/>
    </row>
    <row r="14" spans="1:9" ht="15" customHeight="1" x14ac:dyDescent="0.3">
      <c r="A14" s="6" t="s">
        <v>127</v>
      </c>
      <c r="B14" s="7"/>
      <c r="C14" s="156" t="s">
        <v>91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92</v>
      </c>
      <c r="D15" s="157"/>
      <c r="E15" s="157"/>
      <c r="G15" s="22"/>
      <c r="H15" s="22"/>
    </row>
    <row r="16" spans="1:9" ht="15" customHeight="1" x14ac:dyDescent="0.3">
      <c r="A16" s="6" t="s">
        <v>125</v>
      </c>
      <c r="C16" s="49" t="s">
        <v>42</v>
      </c>
      <c r="D16" s="49"/>
      <c r="E16" s="49"/>
      <c r="F16" s="4" t="s">
        <v>9</v>
      </c>
      <c r="G16" s="111" t="s">
        <v>45</v>
      </c>
      <c r="H16" s="111"/>
    </row>
    <row r="17" spans="1:13" ht="15" customHeight="1" x14ac:dyDescent="0.3">
      <c r="A17" s="6" t="s">
        <v>126</v>
      </c>
      <c r="C17" s="112" t="s">
        <v>109</v>
      </c>
      <c r="D17" s="49"/>
      <c r="E17" s="49"/>
      <c r="G17" s="22"/>
      <c r="H17" s="22"/>
    </row>
    <row r="18" spans="1:13" ht="15" customHeight="1" x14ac:dyDescent="0.3">
      <c r="A18" s="6" t="s">
        <v>124</v>
      </c>
      <c r="C18" s="49" t="s">
        <v>110</v>
      </c>
      <c r="D18" s="49"/>
      <c r="E18" s="49"/>
      <c r="F18" s="4" t="s">
        <v>10</v>
      </c>
      <c r="G18" s="111" t="s">
        <v>46</v>
      </c>
      <c r="H18" s="111"/>
    </row>
    <row r="19" spans="1:13" ht="3" customHeight="1" thickBot="1" x14ac:dyDescent="0.35"/>
    <row r="20" spans="1:13" ht="25.5" customHeight="1" x14ac:dyDescent="0.3">
      <c r="A20" s="191" t="s">
        <v>11</v>
      </c>
      <c r="B20" s="192"/>
      <c r="C20" s="119" t="s">
        <v>12</v>
      </c>
      <c r="D20" s="119" t="s">
        <v>68</v>
      </c>
      <c r="E20" s="93" t="s">
        <v>90</v>
      </c>
      <c r="F20" s="94" t="s">
        <v>13</v>
      </c>
      <c r="G20" s="95" t="s">
        <v>59</v>
      </c>
      <c r="H20" s="96" t="s">
        <v>60</v>
      </c>
      <c r="M20" s="3">
        <f>1049-15</f>
        <v>1034</v>
      </c>
    </row>
    <row r="21" spans="1:13" ht="13.5" customHeight="1" x14ac:dyDescent="0.3">
      <c r="A21" s="97"/>
      <c r="B21" s="116"/>
      <c r="C21" s="115"/>
      <c r="D21" s="116"/>
      <c r="E21" s="10"/>
      <c r="F21" s="116"/>
      <c r="G21" s="10" t="s">
        <v>61</v>
      </c>
      <c r="H21" s="98" t="s">
        <v>58</v>
      </c>
    </row>
    <row r="22" spans="1:13" ht="15" hidden="1" customHeight="1" x14ac:dyDescent="0.3">
      <c r="A22" s="183" t="s">
        <v>100</v>
      </c>
      <c r="B22" s="141"/>
      <c r="C22" s="144" t="s">
        <v>62</v>
      </c>
      <c r="D22" s="11" t="s">
        <v>130</v>
      </c>
      <c r="E22" s="11" t="s">
        <v>93</v>
      </c>
      <c r="F22" s="12" t="s">
        <v>15</v>
      </c>
      <c r="G22" s="12" t="s">
        <v>43</v>
      </c>
      <c r="H22" s="99" t="s">
        <v>43</v>
      </c>
    </row>
    <row r="23" spans="1:13" ht="15" hidden="1" customHeight="1" x14ac:dyDescent="0.3">
      <c r="A23" s="190"/>
      <c r="B23" s="150"/>
      <c r="C23" s="151"/>
      <c r="D23" s="11" t="s">
        <v>69</v>
      </c>
      <c r="E23" s="11" t="s">
        <v>93</v>
      </c>
      <c r="F23" s="12" t="s">
        <v>15</v>
      </c>
      <c r="G23" s="12" t="s">
        <v>43</v>
      </c>
      <c r="H23" s="99" t="s">
        <v>43</v>
      </c>
    </row>
    <row r="24" spans="1:13" ht="15" customHeight="1" x14ac:dyDescent="0.3">
      <c r="A24" s="190"/>
      <c r="B24" s="150"/>
      <c r="C24" s="151"/>
      <c r="D24" s="11" t="s">
        <v>159</v>
      </c>
      <c r="E24" s="11" t="s">
        <v>93</v>
      </c>
      <c r="F24" s="12" t="s">
        <v>15</v>
      </c>
      <c r="G24" s="14">
        <v>46364</v>
      </c>
      <c r="H24" s="100">
        <f>G24/200*25</f>
        <v>5795.5</v>
      </c>
    </row>
    <row r="25" spans="1:13" ht="15" hidden="1" customHeight="1" x14ac:dyDescent="0.3">
      <c r="A25" s="190"/>
      <c r="B25" s="150"/>
      <c r="C25" s="151"/>
      <c r="D25" s="11" t="s">
        <v>70</v>
      </c>
      <c r="E25" s="11" t="s">
        <v>94</v>
      </c>
      <c r="F25" s="12" t="s">
        <v>16</v>
      </c>
      <c r="G25" s="14" t="s">
        <v>43</v>
      </c>
      <c r="H25" s="100" t="s">
        <v>43</v>
      </c>
    </row>
    <row r="26" spans="1:13" ht="15" hidden="1" customHeight="1" x14ac:dyDescent="0.3">
      <c r="A26" s="190"/>
      <c r="B26" s="150"/>
      <c r="C26" s="151"/>
      <c r="D26" s="11" t="s">
        <v>99</v>
      </c>
      <c r="E26" s="11" t="s">
        <v>94</v>
      </c>
      <c r="F26" s="12" t="s">
        <v>17</v>
      </c>
      <c r="G26" s="12" t="s">
        <v>43</v>
      </c>
      <c r="H26" s="100"/>
    </row>
    <row r="27" spans="1:13" ht="15" hidden="1" customHeight="1" x14ac:dyDescent="0.3">
      <c r="A27" s="190"/>
      <c r="B27" s="150"/>
      <c r="C27" s="151"/>
      <c r="D27" s="11" t="s">
        <v>71</v>
      </c>
      <c r="E27" s="11" t="s">
        <v>94</v>
      </c>
      <c r="F27" s="12" t="s">
        <v>52</v>
      </c>
      <c r="G27" s="12" t="s">
        <v>43</v>
      </c>
      <c r="H27" s="100" t="s">
        <v>43</v>
      </c>
    </row>
    <row r="28" spans="1:13" ht="15" hidden="1" customHeight="1" x14ac:dyDescent="0.3">
      <c r="A28" s="190"/>
      <c r="B28" s="150"/>
      <c r="C28" s="151"/>
      <c r="D28" s="11" t="s">
        <v>101</v>
      </c>
      <c r="E28" s="11" t="s">
        <v>94</v>
      </c>
      <c r="F28" s="12" t="s">
        <v>16</v>
      </c>
      <c r="G28" s="12" t="s">
        <v>43</v>
      </c>
      <c r="H28" s="100" t="s">
        <v>43</v>
      </c>
    </row>
    <row r="29" spans="1:13" ht="15" hidden="1" customHeight="1" x14ac:dyDescent="0.3">
      <c r="A29" s="190"/>
      <c r="B29" s="150"/>
      <c r="C29" s="151"/>
      <c r="D29" s="11" t="s">
        <v>108</v>
      </c>
      <c r="E29" s="11" t="s">
        <v>94</v>
      </c>
      <c r="F29" s="12" t="s">
        <v>98</v>
      </c>
      <c r="G29" s="12" t="s">
        <v>43</v>
      </c>
      <c r="H29" s="100" t="s">
        <v>43</v>
      </c>
    </row>
    <row r="30" spans="1:13" ht="15" hidden="1" customHeight="1" x14ac:dyDescent="0.3">
      <c r="A30" s="190"/>
      <c r="B30" s="150"/>
      <c r="C30" s="151"/>
      <c r="D30" s="11" t="s">
        <v>102</v>
      </c>
      <c r="E30" s="11" t="s">
        <v>94</v>
      </c>
      <c r="F30" s="12" t="s">
        <v>98</v>
      </c>
      <c r="G30" s="12" t="s">
        <v>43</v>
      </c>
      <c r="H30" s="100" t="s">
        <v>43</v>
      </c>
    </row>
    <row r="31" spans="1:13" ht="15" customHeight="1" x14ac:dyDescent="0.3">
      <c r="A31" s="189"/>
      <c r="B31" s="148"/>
      <c r="C31" s="145"/>
      <c r="D31" s="11" t="s">
        <v>104</v>
      </c>
      <c r="E31" s="11" t="s">
        <v>94</v>
      </c>
      <c r="F31" s="12" t="s">
        <v>16</v>
      </c>
      <c r="G31" s="14">
        <v>42223</v>
      </c>
      <c r="H31" s="100">
        <f>G31/215*25</f>
        <v>4909.6511627906975</v>
      </c>
    </row>
    <row r="32" spans="1:13" ht="15" customHeight="1" x14ac:dyDescent="0.3">
      <c r="A32" s="101" t="s">
        <v>18</v>
      </c>
      <c r="B32" s="28"/>
      <c r="C32" s="144" t="s">
        <v>14</v>
      </c>
      <c r="D32" s="11" t="s">
        <v>72</v>
      </c>
      <c r="E32" s="11" t="s">
        <v>94</v>
      </c>
      <c r="F32" s="12" t="s">
        <v>47</v>
      </c>
      <c r="G32" s="13" t="s">
        <v>43</v>
      </c>
      <c r="H32" s="100">
        <f>I32</f>
        <v>30961.5</v>
      </c>
      <c r="I32" s="15">
        <v>30961.5</v>
      </c>
      <c r="J32" s="17" t="e">
        <f>H32+H33</f>
        <v>#VALUE!</v>
      </c>
    </row>
    <row r="33" spans="1:11" ht="15" customHeight="1" x14ac:dyDescent="0.3">
      <c r="A33" s="189" t="s">
        <v>137</v>
      </c>
      <c r="B33" s="148"/>
      <c r="C33" s="145"/>
      <c r="D33" s="11" t="s">
        <v>73</v>
      </c>
      <c r="E33" s="11" t="s">
        <v>93</v>
      </c>
      <c r="F33" s="12" t="s">
        <v>47</v>
      </c>
      <c r="G33" s="13" t="s">
        <v>43</v>
      </c>
      <c r="H33" s="100" t="s">
        <v>43</v>
      </c>
      <c r="I33" s="16"/>
      <c r="J33" s="3">
        <f>I32/3</f>
        <v>10320.5</v>
      </c>
      <c r="K33" s="3">
        <f>J33*2</f>
        <v>20641</v>
      </c>
    </row>
    <row r="34" spans="1:11" ht="15" customHeight="1" x14ac:dyDescent="0.3">
      <c r="A34" s="183" t="s">
        <v>19</v>
      </c>
      <c r="B34" s="141"/>
      <c r="C34" s="109" t="s">
        <v>14</v>
      </c>
      <c r="D34" s="108" t="s">
        <v>43</v>
      </c>
      <c r="E34" s="108" t="s">
        <v>43</v>
      </c>
      <c r="F34" s="108" t="s">
        <v>43</v>
      </c>
      <c r="G34" s="52" t="s">
        <v>43</v>
      </c>
      <c r="H34" s="102" t="s">
        <v>43</v>
      </c>
      <c r="I34" s="17"/>
      <c r="J34" s="17"/>
    </row>
    <row r="35" spans="1:11" ht="15" customHeight="1" x14ac:dyDescent="0.3">
      <c r="A35" s="183" t="s">
        <v>20</v>
      </c>
      <c r="B35" s="141"/>
      <c r="C35" s="109" t="s">
        <v>21</v>
      </c>
      <c r="D35" s="11" t="s">
        <v>74</v>
      </c>
      <c r="E35" s="11" t="s">
        <v>94</v>
      </c>
      <c r="F35" s="12" t="s">
        <v>43</v>
      </c>
      <c r="G35" s="52">
        <v>128</v>
      </c>
      <c r="H35" s="100" t="s">
        <v>43</v>
      </c>
    </row>
    <row r="36" spans="1:11" ht="15" customHeight="1" x14ac:dyDescent="0.3">
      <c r="A36" s="183" t="s">
        <v>22</v>
      </c>
      <c r="B36" s="152"/>
      <c r="C36" s="154" t="s">
        <v>21</v>
      </c>
      <c r="D36" s="11" t="s">
        <v>75</v>
      </c>
      <c r="E36" s="11" t="s">
        <v>94</v>
      </c>
      <c r="F36" s="12"/>
      <c r="G36" s="13">
        <f>I36/2</f>
        <v>2501</v>
      </c>
      <c r="H36" s="100"/>
      <c r="I36" s="53">
        <v>5002</v>
      </c>
    </row>
    <row r="37" spans="1:11" ht="15" customHeight="1" x14ac:dyDescent="0.3">
      <c r="A37" s="189"/>
      <c r="B37" s="153"/>
      <c r="C37" s="154"/>
      <c r="D37" s="11" t="s">
        <v>75</v>
      </c>
      <c r="E37" s="11" t="s">
        <v>93</v>
      </c>
      <c r="F37" s="12" t="s">
        <v>23</v>
      </c>
      <c r="G37" s="13">
        <f>I36/2</f>
        <v>2501</v>
      </c>
      <c r="H37" s="100" t="s">
        <v>43</v>
      </c>
    </row>
    <row r="38" spans="1:11" ht="15" customHeight="1" x14ac:dyDescent="0.3">
      <c r="A38" s="183" t="s">
        <v>105</v>
      </c>
      <c r="B38" s="141"/>
      <c r="C38" s="144" t="s">
        <v>21</v>
      </c>
      <c r="D38" s="11" t="s">
        <v>76</v>
      </c>
      <c r="E38" s="11" t="s">
        <v>93</v>
      </c>
      <c r="F38" s="12" t="s">
        <v>64</v>
      </c>
      <c r="G38" s="14">
        <v>0</v>
      </c>
      <c r="H38" s="100" t="s">
        <v>43</v>
      </c>
    </row>
    <row r="39" spans="1:11" ht="14.25" customHeight="1" x14ac:dyDescent="0.3">
      <c r="A39" s="189"/>
      <c r="B39" s="148"/>
      <c r="C39" s="145"/>
      <c r="D39" s="11" t="s">
        <v>76</v>
      </c>
      <c r="E39" s="11" t="s">
        <v>93</v>
      </c>
      <c r="F39" s="12" t="s">
        <v>65</v>
      </c>
      <c r="G39" s="14">
        <v>0</v>
      </c>
      <c r="H39" s="100" t="s">
        <v>43</v>
      </c>
    </row>
    <row r="40" spans="1:11" ht="15" customHeight="1" x14ac:dyDescent="0.3">
      <c r="A40" s="189" t="s">
        <v>106</v>
      </c>
      <c r="B40" s="148"/>
      <c r="C40" s="117" t="s">
        <v>21</v>
      </c>
      <c r="D40" s="11" t="s">
        <v>77</v>
      </c>
      <c r="E40" s="11" t="s">
        <v>93</v>
      </c>
      <c r="F40" s="12" t="s">
        <v>64</v>
      </c>
      <c r="G40" s="14">
        <v>0</v>
      </c>
      <c r="H40" s="100" t="s">
        <v>43</v>
      </c>
    </row>
    <row r="41" spans="1:11" ht="15" customHeight="1" x14ac:dyDescent="0.3">
      <c r="A41" s="189" t="s">
        <v>106</v>
      </c>
      <c r="B41" s="148"/>
      <c r="C41" s="117" t="s">
        <v>21</v>
      </c>
      <c r="D41" s="11" t="s">
        <v>77</v>
      </c>
      <c r="E41" s="11" t="s">
        <v>93</v>
      </c>
      <c r="F41" s="12" t="s">
        <v>65</v>
      </c>
      <c r="G41" s="14">
        <v>0</v>
      </c>
      <c r="H41" s="100" t="s">
        <v>43</v>
      </c>
    </row>
    <row r="42" spans="1:11" ht="15" customHeight="1" x14ac:dyDescent="0.3">
      <c r="A42" s="189" t="s">
        <v>106</v>
      </c>
      <c r="B42" s="148"/>
      <c r="C42" s="117" t="s">
        <v>21</v>
      </c>
      <c r="D42" s="11" t="s">
        <v>111</v>
      </c>
      <c r="E42" s="11" t="s">
        <v>93</v>
      </c>
      <c r="F42" s="12" t="s">
        <v>64</v>
      </c>
      <c r="G42" s="14">
        <v>0</v>
      </c>
      <c r="H42" s="100" t="s">
        <v>43</v>
      </c>
    </row>
    <row r="43" spans="1:11" ht="15" customHeight="1" x14ac:dyDescent="0.3">
      <c r="A43" s="189" t="s">
        <v>106</v>
      </c>
      <c r="B43" s="148"/>
      <c r="C43" s="117" t="s">
        <v>21</v>
      </c>
      <c r="D43" s="11" t="s">
        <v>78</v>
      </c>
      <c r="E43" s="11" t="s">
        <v>94</v>
      </c>
      <c r="F43" s="12" t="s">
        <v>64</v>
      </c>
      <c r="G43" s="14">
        <v>44222</v>
      </c>
      <c r="H43" s="100" t="s">
        <v>43</v>
      </c>
    </row>
    <row r="44" spans="1:11" ht="15" customHeight="1" x14ac:dyDescent="0.3">
      <c r="A44" s="189" t="s">
        <v>106</v>
      </c>
      <c r="B44" s="148"/>
      <c r="C44" s="36" t="s">
        <v>21</v>
      </c>
      <c r="D44" s="11" t="s">
        <v>79</v>
      </c>
      <c r="E44" s="11" t="s">
        <v>94</v>
      </c>
      <c r="F44" s="12" t="s">
        <v>65</v>
      </c>
      <c r="G44" s="14">
        <v>3453</v>
      </c>
      <c r="H44" s="100" t="s">
        <v>43</v>
      </c>
    </row>
    <row r="45" spans="1:11" ht="15" customHeight="1" x14ac:dyDescent="0.3">
      <c r="A45" s="189" t="s">
        <v>106</v>
      </c>
      <c r="B45" s="148"/>
      <c r="C45" s="36" t="s">
        <v>21</v>
      </c>
      <c r="D45" s="11" t="s">
        <v>79</v>
      </c>
      <c r="E45" s="11" t="s">
        <v>94</v>
      </c>
      <c r="F45" s="12" t="s">
        <v>107</v>
      </c>
      <c r="G45" s="14">
        <v>0</v>
      </c>
      <c r="H45" s="100" t="s">
        <v>43</v>
      </c>
    </row>
    <row r="46" spans="1:11" ht="15" customHeight="1" x14ac:dyDescent="0.3">
      <c r="A46" s="183" t="s">
        <v>24</v>
      </c>
      <c r="B46" s="141"/>
      <c r="C46" s="36" t="s">
        <v>25</v>
      </c>
      <c r="D46" s="11" t="s">
        <v>80</v>
      </c>
      <c r="E46" s="11" t="s">
        <v>139</v>
      </c>
      <c r="F46" s="12" t="s">
        <v>44</v>
      </c>
      <c r="G46" s="14">
        <f>I36*2.43</f>
        <v>12154.86</v>
      </c>
      <c r="H46" s="100" t="s">
        <v>43</v>
      </c>
      <c r="I46" s="15"/>
    </row>
    <row r="47" spans="1:11" ht="15" customHeight="1" x14ac:dyDescent="0.3">
      <c r="A47" s="189"/>
      <c r="B47" s="148"/>
      <c r="C47" s="36" t="s">
        <v>25</v>
      </c>
      <c r="D47" s="11" t="s">
        <v>80</v>
      </c>
      <c r="E47" s="11" t="s">
        <v>93</v>
      </c>
      <c r="F47" s="12" t="s">
        <v>44</v>
      </c>
      <c r="G47" s="14">
        <v>0</v>
      </c>
      <c r="H47" s="100"/>
      <c r="I47" s="16"/>
    </row>
    <row r="48" spans="1:11" ht="15" customHeight="1" x14ac:dyDescent="0.3">
      <c r="A48" s="183" t="s">
        <v>26</v>
      </c>
      <c r="B48" s="141"/>
      <c r="C48" s="144" t="s">
        <v>25</v>
      </c>
      <c r="D48" s="11" t="s">
        <v>81</v>
      </c>
      <c r="E48" s="11" t="s">
        <v>94</v>
      </c>
      <c r="F48" s="12" t="s">
        <v>27</v>
      </c>
      <c r="G48" s="14">
        <v>12260</v>
      </c>
      <c r="H48" s="100" t="s">
        <v>43</v>
      </c>
    </row>
    <row r="49" spans="1:9" ht="15" hidden="1" customHeight="1" x14ac:dyDescent="0.3">
      <c r="A49" s="190"/>
      <c r="B49" s="150"/>
      <c r="C49" s="151"/>
      <c r="D49" s="11" t="s">
        <v>103</v>
      </c>
      <c r="E49" s="11" t="s">
        <v>93</v>
      </c>
      <c r="F49" s="12" t="s">
        <v>51</v>
      </c>
      <c r="G49" s="12">
        <v>0</v>
      </c>
      <c r="H49" s="100" t="s">
        <v>43</v>
      </c>
    </row>
    <row r="50" spans="1:9" ht="15" hidden="1" customHeight="1" x14ac:dyDescent="0.3">
      <c r="A50" s="190"/>
      <c r="B50" s="150"/>
      <c r="C50" s="151"/>
      <c r="D50" s="11" t="s">
        <v>103</v>
      </c>
      <c r="E50" s="11" t="s">
        <v>93</v>
      </c>
      <c r="F50" s="12" t="s">
        <v>50</v>
      </c>
      <c r="G50" s="13" t="s">
        <v>43</v>
      </c>
      <c r="H50" s="100" t="s">
        <v>43</v>
      </c>
    </row>
    <row r="51" spans="1:9" ht="15" customHeight="1" x14ac:dyDescent="0.3">
      <c r="A51" s="190"/>
      <c r="B51" s="150"/>
      <c r="C51" s="151"/>
      <c r="D51" s="11" t="s">
        <v>103</v>
      </c>
      <c r="E51" s="11" t="s">
        <v>93</v>
      </c>
      <c r="F51" s="12" t="s">
        <v>28</v>
      </c>
      <c r="G51" s="13">
        <v>8724</v>
      </c>
      <c r="H51" s="100" t="s">
        <v>43</v>
      </c>
      <c r="I51" s="17"/>
    </row>
    <row r="52" spans="1:9" ht="15" customHeight="1" x14ac:dyDescent="0.3">
      <c r="A52" s="190"/>
      <c r="B52" s="150"/>
      <c r="C52" s="151"/>
      <c r="D52" s="11" t="s">
        <v>103</v>
      </c>
      <c r="E52" s="11" t="s">
        <v>94</v>
      </c>
      <c r="F52" s="12" t="s">
        <v>135</v>
      </c>
      <c r="G52" s="13" t="s">
        <v>43</v>
      </c>
      <c r="H52" s="100"/>
      <c r="I52" s="17"/>
    </row>
    <row r="53" spans="1:9" ht="15" customHeight="1" x14ac:dyDescent="0.3">
      <c r="A53" s="189"/>
      <c r="B53" s="148"/>
      <c r="C53" s="145"/>
      <c r="D53" s="11" t="s">
        <v>103</v>
      </c>
      <c r="E53" s="11" t="s">
        <v>94</v>
      </c>
      <c r="F53" s="12" t="s">
        <v>29</v>
      </c>
      <c r="G53" s="18" t="s">
        <v>43</v>
      </c>
      <c r="H53" s="100" t="s">
        <v>43</v>
      </c>
    </row>
    <row r="54" spans="1:9" ht="15" customHeight="1" x14ac:dyDescent="0.3">
      <c r="A54" s="183" t="s">
        <v>30</v>
      </c>
      <c r="B54" s="141"/>
      <c r="C54" s="144" t="s">
        <v>21</v>
      </c>
      <c r="D54" s="19" t="s">
        <v>31</v>
      </c>
      <c r="E54" s="11" t="s">
        <v>94</v>
      </c>
      <c r="F54" s="12" t="s">
        <v>55</v>
      </c>
      <c r="G54" s="18" t="s">
        <v>43</v>
      </c>
      <c r="H54" s="99" t="s">
        <v>43</v>
      </c>
    </row>
    <row r="55" spans="1:9" ht="15" customHeight="1" x14ac:dyDescent="0.3">
      <c r="A55" s="189"/>
      <c r="B55" s="148"/>
      <c r="C55" s="145"/>
      <c r="D55" s="20" t="s">
        <v>32</v>
      </c>
      <c r="E55" s="11" t="s">
        <v>94</v>
      </c>
      <c r="F55" s="12"/>
      <c r="G55" s="18" t="s">
        <v>43</v>
      </c>
      <c r="H55" s="99" t="s">
        <v>43</v>
      </c>
    </row>
    <row r="56" spans="1:9" ht="15" customHeight="1" x14ac:dyDescent="0.3">
      <c r="A56" s="183" t="s">
        <v>33</v>
      </c>
      <c r="B56" s="141"/>
      <c r="C56" s="144" t="s">
        <v>25</v>
      </c>
      <c r="D56" s="138" t="s">
        <v>43</v>
      </c>
      <c r="E56" s="138" t="s">
        <v>43</v>
      </c>
      <c r="F56" s="138" t="s">
        <v>43</v>
      </c>
      <c r="G56" s="138" t="s">
        <v>43</v>
      </c>
      <c r="H56" s="181" t="s">
        <v>43</v>
      </c>
    </row>
    <row r="57" spans="1:9" ht="2.25" customHeight="1" x14ac:dyDescent="0.3">
      <c r="A57" s="189"/>
      <c r="B57" s="148"/>
      <c r="C57" s="145"/>
      <c r="D57" s="139"/>
      <c r="E57" s="139"/>
      <c r="F57" s="139"/>
      <c r="G57" s="139"/>
      <c r="H57" s="182"/>
    </row>
    <row r="58" spans="1:9" ht="15" customHeight="1" x14ac:dyDescent="0.3">
      <c r="A58" s="183" t="s">
        <v>34</v>
      </c>
      <c r="B58" s="141"/>
      <c r="C58" s="36" t="s">
        <v>21</v>
      </c>
      <c r="D58" s="11" t="s">
        <v>82</v>
      </c>
      <c r="E58" s="11" t="s">
        <v>83</v>
      </c>
      <c r="F58" s="12" t="s">
        <v>43</v>
      </c>
      <c r="G58" s="12" t="s">
        <v>43</v>
      </c>
      <c r="H58" s="99" t="s">
        <v>43</v>
      </c>
    </row>
    <row r="59" spans="1:9" ht="15" customHeight="1" x14ac:dyDescent="0.3">
      <c r="A59" s="184" t="s">
        <v>35</v>
      </c>
      <c r="B59" s="142"/>
      <c r="C59" s="110" t="s">
        <v>25</v>
      </c>
      <c r="D59" s="12" t="s">
        <v>43</v>
      </c>
      <c r="E59" s="12" t="s">
        <v>43</v>
      </c>
      <c r="F59" s="12" t="s">
        <v>43</v>
      </c>
      <c r="G59" s="12" t="s">
        <v>43</v>
      </c>
      <c r="H59" s="99" t="s">
        <v>43</v>
      </c>
    </row>
    <row r="60" spans="1:9" ht="15" customHeight="1" x14ac:dyDescent="0.3">
      <c r="A60" s="184" t="s">
        <v>53</v>
      </c>
      <c r="B60" s="142"/>
      <c r="C60" s="110" t="s">
        <v>25</v>
      </c>
      <c r="D60" s="12" t="s">
        <v>43</v>
      </c>
      <c r="E60" s="129" t="s">
        <v>94</v>
      </c>
      <c r="F60" s="12" t="s">
        <v>43</v>
      </c>
      <c r="G60" s="12">
        <v>330</v>
      </c>
      <c r="H60" s="99" t="s">
        <v>43</v>
      </c>
    </row>
    <row r="61" spans="1:9" ht="15" customHeight="1" x14ac:dyDescent="0.3">
      <c r="A61" s="185" t="s">
        <v>36</v>
      </c>
      <c r="B61" s="143"/>
      <c r="C61" s="144" t="s">
        <v>37</v>
      </c>
      <c r="D61" s="11" t="s">
        <v>38</v>
      </c>
      <c r="E61" s="11" t="s">
        <v>94</v>
      </c>
      <c r="F61" s="12" t="s">
        <v>56</v>
      </c>
      <c r="G61" s="12" t="s">
        <v>43</v>
      </c>
      <c r="H61" s="99" t="s">
        <v>43</v>
      </c>
    </row>
    <row r="62" spans="1:9" ht="15" customHeight="1" thickBot="1" x14ac:dyDescent="0.35">
      <c r="A62" s="187" t="s">
        <v>39</v>
      </c>
      <c r="B62" s="188"/>
      <c r="C62" s="186"/>
      <c r="D62" s="103" t="s">
        <v>40</v>
      </c>
      <c r="E62" s="103" t="s">
        <v>94</v>
      </c>
      <c r="F62" s="104" t="s">
        <v>57</v>
      </c>
      <c r="G62" s="104" t="s">
        <v>43</v>
      </c>
      <c r="H62" s="105" t="s">
        <v>43</v>
      </c>
    </row>
    <row r="63" spans="1:9" ht="3" customHeight="1" x14ac:dyDescent="0.3">
      <c r="A63" s="32"/>
      <c r="B63" s="32"/>
      <c r="C63" s="33"/>
      <c r="D63" s="34"/>
      <c r="E63" s="34"/>
      <c r="F63" s="35"/>
      <c r="G63" s="35"/>
      <c r="H63" s="35"/>
    </row>
    <row r="64" spans="1:9" ht="17.25" customHeight="1" x14ac:dyDescent="0.3">
      <c r="A64" s="32"/>
      <c r="B64" s="32"/>
      <c r="C64" s="33"/>
      <c r="D64" s="34"/>
      <c r="E64" s="34"/>
      <c r="F64" s="35"/>
      <c r="G64" s="35"/>
      <c r="H64" s="35"/>
    </row>
    <row r="65" spans="1:13" ht="17.25" customHeight="1" x14ac:dyDescent="0.3">
      <c r="A65" s="3" t="s">
        <v>41</v>
      </c>
      <c r="D65" s="3" t="s">
        <v>85</v>
      </c>
      <c r="F65" s="3" t="s">
        <v>86</v>
      </c>
    </row>
    <row r="66" spans="1:13" ht="26.25" customHeight="1" x14ac:dyDescent="0.3">
      <c r="E66" s="25"/>
    </row>
    <row r="67" spans="1:13" s="40" customFormat="1" ht="17.25" customHeight="1" x14ac:dyDescent="0.25">
      <c r="A67" s="73" t="s">
        <v>115</v>
      </c>
      <c r="D67" s="43" t="s">
        <v>185</v>
      </c>
      <c r="E67" s="72"/>
      <c r="F67" s="41" t="s">
        <v>131</v>
      </c>
      <c r="G67" s="42"/>
      <c r="H67" s="42"/>
      <c r="I67" s="43"/>
    </row>
    <row r="68" spans="1:13" s="31" customFormat="1" x14ac:dyDescent="0.3">
      <c r="A68" s="23" t="s">
        <v>116</v>
      </c>
      <c r="D68" s="31" t="s">
        <v>123</v>
      </c>
      <c r="E68" s="26"/>
      <c r="F68" s="29" t="s">
        <v>160</v>
      </c>
      <c r="G68" s="3"/>
      <c r="H68" s="3"/>
    </row>
    <row r="69" spans="1:13" x14ac:dyDescent="0.3">
      <c r="A69" s="23" t="s">
        <v>8</v>
      </c>
      <c r="D69" s="23" t="s">
        <v>67</v>
      </c>
      <c r="F69" s="23" t="s">
        <v>97</v>
      </c>
    </row>
    <row r="70" spans="1:13" x14ac:dyDescent="0.3">
      <c r="A70" s="23" t="s">
        <v>118</v>
      </c>
      <c r="D70" s="25" t="s">
        <v>186</v>
      </c>
      <c r="H70" s="7"/>
    </row>
    <row r="71" spans="1:13" ht="28.5" customHeight="1" x14ac:dyDescent="0.3">
      <c r="A71" s="23"/>
      <c r="H71" s="7"/>
    </row>
    <row r="72" spans="1:13" s="44" customFormat="1" ht="15.75" x14ac:dyDescent="0.25">
      <c r="A72" s="37"/>
      <c r="D72" s="43" t="s">
        <v>171</v>
      </c>
      <c r="H72" s="45"/>
    </row>
    <row r="73" spans="1:13" x14ac:dyDescent="0.3">
      <c r="A73" s="26"/>
      <c r="D73" s="31" t="s">
        <v>123</v>
      </c>
      <c r="I73" s="72"/>
    </row>
    <row r="74" spans="1:13" x14ac:dyDescent="0.3">
      <c r="A74" s="26"/>
      <c r="D74" s="23" t="s">
        <v>66</v>
      </c>
    </row>
    <row r="75" spans="1:13" x14ac:dyDescent="0.3">
      <c r="A75" s="23"/>
      <c r="D75" s="25" t="s">
        <v>172</v>
      </c>
    </row>
    <row r="79" spans="1:13" x14ac:dyDescent="0.3">
      <c r="M79" s="31"/>
    </row>
    <row r="80" spans="1:13" x14ac:dyDescent="0.3">
      <c r="M80" s="31"/>
    </row>
    <row r="81" spans="13:13" x14ac:dyDescent="0.3">
      <c r="M81" s="23"/>
    </row>
    <row r="83" spans="13:13" x14ac:dyDescent="0.3">
      <c r="M83" s="24"/>
    </row>
    <row r="84" spans="13:13" x14ac:dyDescent="0.3">
      <c r="M84" s="23"/>
    </row>
    <row r="85" spans="13:13" x14ac:dyDescent="0.3">
      <c r="M85" s="23"/>
    </row>
  </sheetData>
  <mergeCells count="44">
    <mergeCell ref="A11:H11"/>
    <mergeCell ref="A5:H5"/>
    <mergeCell ref="A6:H6"/>
    <mergeCell ref="A7:H7"/>
    <mergeCell ref="A8:H8"/>
    <mergeCell ref="A10:H10"/>
    <mergeCell ref="G13:H13"/>
    <mergeCell ref="C14:E14"/>
    <mergeCell ref="C15:E15"/>
    <mergeCell ref="A20:B20"/>
    <mergeCell ref="A22:B31"/>
    <mergeCell ref="C22:C31"/>
    <mergeCell ref="C32:C33"/>
    <mergeCell ref="A33:B33"/>
    <mergeCell ref="A34:B34"/>
    <mergeCell ref="A35:B35"/>
    <mergeCell ref="A36:B37"/>
    <mergeCell ref="C36:C37"/>
    <mergeCell ref="A54:B55"/>
    <mergeCell ref="C54:C55"/>
    <mergeCell ref="A38:B39"/>
    <mergeCell ref="C38:C39"/>
    <mergeCell ref="A40:B40"/>
    <mergeCell ref="A41:B41"/>
    <mergeCell ref="A42:B42"/>
    <mergeCell ref="A43:B43"/>
    <mergeCell ref="A44:B44"/>
    <mergeCell ref="A45:B45"/>
    <mergeCell ref="A46:B47"/>
    <mergeCell ref="A48:B53"/>
    <mergeCell ref="C48:C53"/>
    <mergeCell ref="H56:H57"/>
    <mergeCell ref="A58:B58"/>
    <mergeCell ref="A59:B59"/>
    <mergeCell ref="A60:B60"/>
    <mergeCell ref="A61:B61"/>
    <mergeCell ref="C61:C62"/>
    <mergeCell ref="A62:B62"/>
    <mergeCell ref="A56:B57"/>
    <mergeCell ref="C56:C57"/>
    <mergeCell ref="D56:D57"/>
    <mergeCell ref="E56:E57"/>
    <mergeCell ref="F56:F57"/>
    <mergeCell ref="G56:G57"/>
  </mergeCells>
  <pageMargins left="0.19685039370078741" right="0.27559055118110237" top="0.19685039370078741" bottom="0.19685039370078741" header="0.31496062992125984" footer="0.31496062992125984"/>
  <pageSetup paperSize="14" scale="93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P54"/>
  <sheetViews>
    <sheetView tabSelected="1" topLeftCell="A13" workbookViewId="0">
      <selection activeCell="F51" sqref="F51"/>
    </sheetView>
  </sheetViews>
  <sheetFormatPr defaultRowHeight="16.5" x14ac:dyDescent="0.3"/>
  <cols>
    <col min="1" max="1" width="9.140625" style="3"/>
    <col min="2" max="2" width="17.140625" style="3" customWidth="1"/>
    <col min="3" max="3" width="12.42578125" style="3" customWidth="1"/>
    <col min="4" max="4" width="15.28515625" style="3" customWidth="1"/>
    <col min="5" max="5" width="20.85546875" style="3" customWidth="1"/>
    <col min="6" max="6" width="16.42578125" style="3" customWidth="1"/>
    <col min="7" max="7" width="11.140625" style="3" customWidth="1"/>
    <col min="8" max="8" width="9.42578125" style="3" customWidth="1"/>
    <col min="9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</row>
    <row r="2" spans="1:9" ht="4.5" customHeight="1" x14ac:dyDescent="0.3">
      <c r="A2" s="1"/>
      <c r="B2" s="1"/>
      <c r="C2" s="1"/>
      <c r="D2" s="1"/>
      <c r="E2" s="1"/>
    </row>
    <row r="3" spans="1:9" s="30" customFormat="1" ht="11.25" customHeight="1" x14ac:dyDescent="0.2">
      <c r="A3" s="6"/>
      <c r="B3" s="6" t="s">
        <v>2</v>
      </c>
      <c r="C3" s="6"/>
      <c r="D3" s="6"/>
      <c r="E3" s="6"/>
    </row>
    <row r="4" spans="1:9" ht="3.75" customHeight="1" x14ac:dyDescent="0.3"/>
    <row r="5" spans="1:9" ht="22.5" customHeight="1" x14ac:dyDescent="0.3">
      <c r="A5" s="170" t="s">
        <v>3</v>
      </c>
      <c r="B5" s="170"/>
      <c r="C5" s="170"/>
      <c r="D5" s="170"/>
      <c r="E5" s="170"/>
      <c r="F5" s="170"/>
      <c r="G5" s="170"/>
      <c r="H5" s="170"/>
      <c r="I5" s="1"/>
    </row>
    <row r="6" spans="1:9" ht="22.5" customHeight="1" x14ac:dyDescent="0.3">
      <c r="A6" s="170" t="s">
        <v>4</v>
      </c>
      <c r="B6" s="170"/>
      <c r="C6" s="170"/>
      <c r="D6" s="170"/>
      <c r="E6" s="170"/>
      <c r="F6" s="170"/>
      <c r="G6" s="170"/>
      <c r="H6" s="170"/>
      <c r="I6" s="1"/>
    </row>
    <row r="7" spans="1:9" ht="22.5" customHeight="1" x14ac:dyDescent="0.3">
      <c r="A7" s="170" t="s">
        <v>5</v>
      </c>
      <c r="B7" s="170"/>
      <c r="C7" s="170"/>
      <c r="D7" s="170"/>
      <c r="E7" s="170"/>
      <c r="F7" s="170"/>
      <c r="G7" s="170"/>
      <c r="H7" s="170"/>
      <c r="I7" s="1"/>
    </row>
    <row r="8" spans="1:9" ht="22.5" customHeight="1" x14ac:dyDescent="0.3">
      <c r="A8" s="170" t="s">
        <v>6</v>
      </c>
      <c r="B8" s="170"/>
      <c r="C8" s="170"/>
      <c r="D8" s="170"/>
      <c r="E8" s="170"/>
      <c r="F8" s="170"/>
      <c r="G8" s="170"/>
      <c r="H8" s="170"/>
      <c r="I8" s="1"/>
    </row>
    <row r="9" spans="1:9" ht="7.5" customHeight="1" x14ac:dyDescent="0.3">
      <c r="A9" s="114"/>
      <c r="B9" s="114"/>
      <c r="C9" s="114"/>
      <c r="D9" s="114"/>
      <c r="E9" s="114"/>
      <c r="F9" s="114"/>
      <c r="G9" s="114"/>
      <c r="H9" s="114"/>
      <c r="I9" s="1"/>
    </row>
    <row r="10" spans="1:9" ht="22.5" customHeight="1" x14ac:dyDescent="0.3">
      <c r="A10" s="170" t="s">
        <v>7</v>
      </c>
      <c r="B10" s="170"/>
      <c r="C10" s="170"/>
      <c r="D10" s="170"/>
      <c r="E10" s="170"/>
      <c r="F10" s="170"/>
      <c r="G10" s="170"/>
      <c r="H10" s="170"/>
      <c r="I10" s="1"/>
    </row>
    <row r="11" spans="1:9" ht="22.5" customHeight="1" x14ac:dyDescent="0.3">
      <c r="A11" s="170" t="str">
        <f>'MAY  2026 -PMC  '!A11:H11</f>
        <v>REPORT FOR THE MONTH OF MAY 2026</v>
      </c>
      <c r="B11" s="170"/>
      <c r="C11" s="170"/>
      <c r="D11" s="170"/>
      <c r="E11" s="170"/>
      <c r="F11" s="170"/>
      <c r="G11" s="170"/>
      <c r="H11" s="170"/>
      <c r="I11" s="5"/>
    </row>
    <row r="12" spans="1:9" ht="15.75" customHeight="1" x14ac:dyDescent="0.3"/>
    <row r="13" spans="1:9" ht="15" customHeight="1" x14ac:dyDescent="0.3">
      <c r="F13" s="2" t="s">
        <v>63</v>
      </c>
      <c r="G13" s="165" t="str">
        <f>'MAY  2026 -PMC  '!G13:H13</f>
        <v>MAY 1-31,2026</v>
      </c>
      <c r="H13" s="165"/>
    </row>
    <row r="14" spans="1:9" ht="15" customHeight="1" x14ac:dyDescent="0.3">
      <c r="A14" s="6" t="s">
        <v>121</v>
      </c>
      <c r="B14" s="7"/>
      <c r="C14" s="156" t="s">
        <v>88</v>
      </c>
      <c r="D14" s="156"/>
      <c r="E14" s="156"/>
      <c r="G14" s="22"/>
      <c r="H14" s="22"/>
    </row>
    <row r="15" spans="1:9" ht="15" customHeight="1" x14ac:dyDescent="0.3">
      <c r="A15" s="6"/>
      <c r="B15" s="7"/>
      <c r="C15" s="157" t="s">
        <v>87</v>
      </c>
      <c r="D15" s="157"/>
      <c r="E15" s="157"/>
      <c r="G15" s="22"/>
      <c r="H15" s="22"/>
    </row>
    <row r="16" spans="1:9" ht="15" customHeight="1" x14ac:dyDescent="0.3">
      <c r="A16" s="6" t="s">
        <v>120</v>
      </c>
      <c r="C16" s="157" t="s">
        <v>95</v>
      </c>
      <c r="D16" s="157"/>
      <c r="E16" s="157"/>
      <c r="F16" s="4" t="s">
        <v>9</v>
      </c>
      <c r="G16" s="111" t="s">
        <v>45</v>
      </c>
      <c r="H16" s="111"/>
    </row>
    <row r="17" spans="1:8" ht="15" customHeight="1" x14ac:dyDescent="0.3">
      <c r="A17" s="6" t="s">
        <v>49</v>
      </c>
      <c r="C17" s="112" t="s">
        <v>109</v>
      </c>
      <c r="D17" s="112"/>
      <c r="E17" s="112"/>
      <c r="G17" s="22"/>
      <c r="H17" s="22"/>
    </row>
    <row r="18" spans="1:8" ht="15" customHeight="1" x14ac:dyDescent="0.3">
      <c r="A18" s="6" t="s">
        <v>48</v>
      </c>
      <c r="C18" s="49" t="s">
        <v>110</v>
      </c>
      <c r="D18" s="112"/>
      <c r="E18" s="112"/>
      <c r="F18" s="4" t="s">
        <v>10</v>
      </c>
      <c r="G18" s="111" t="s">
        <v>46</v>
      </c>
      <c r="H18" s="111"/>
    </row>
    <row r="19" spans="1:8" ht="15" customHeight="1" thickBot="1" x14ac:dyDescent="0.35"/>
    <row r="20" spans="1:8" ht="33" customHeight="1" x14ac:dyDescent="0.3">
      <c r="A20" s="191" t="s">
        <v>11</v>
      </c>
      <c r="B20" s="192"/>
      <c r="C20" s="93" t="s">
        <v>12</v>
      </c>
      <c r="D20" s="128" t="s">
        <v>68</v>
      </c>
      <c r="E20" s="93" t="s">
        <v>90</v>
      </c>
      <c r="F20" s="94" t="s">
        <v>13</v>
      </c>
      <c r="G20" s="95" t="s">
        <v>59</v>
      </c>
      <c r="H20" s="96" t="s">
        <v>60</v>
      </c>
    </row>
    <row r="21" spans="1:8" ht="16.5" customHeight="1" x14ac:dyDescent="0.3">
      <c r="A21" s="130"/>
      <c r="B21" s="50"/>
      <c r="C21" s="122"/>
      <c r="D21" s="124"/>
      <c r="E21" s="123"/>
      <c r="F21" s="127"/>
      <c r="G21" s="10" t="s">
        <v>61</v>
      </c>
      <c r="H21" s="98" t="s">
        <v>58</v>
      </c>
    </row>
    <row r="22" spans="1:8" ht="21.95" customHeight="1" x14ac:dyDescent="0.3">
      <c r="A22" s="101" t="s">
        <v>54</v>
      </c>
      <c r="B22" s="28"/>
      <c r="C22" s="122" t="s">
        <v>62</v>
      </c>
      <c r="D22" s="11" t="s">
        <v>104</v>
      </c>
      <c r="E22" s="11" t="s">
        <v>89</v>
      </c>
      <c r="F22" s="12" t="s">
        <v>16</v>
      </c>
      <c r="G22" s="52" t="s">
        <v>43</v>
      </c>
      <c r="H22" s="102" t="s">
        <v>43</v>
      </c>
    </row>
    <row r="23" spans="1:8" ht="21.95" customHeight="1" x14ac:dyDescent="0.3">
      <c r="A23" s="131" t="s">
        <v>138</v>
      </c>
      <c r="B23" s="125"/>
      <c r="C23" s="121" t="s">
        <v>14</v>
      </c>
      <c r="D23" s="11" t="s">
        <v>72</v>
      </c>
      <c r="E23" s="11" t="s">
        <v>89</v>
      </c>
      <c r="F23" s="12" t="s">
        <v>47</v>
      </c>
      <c r="G23" s="52" t="s">
        <v>43</v>
      </c>
      <c r="H23" s="102" t="s">
        <v>43</v>
      </c>
    </row>
    <row r="24" spans="1:8" ht="21.95" customHeight="1" x14ac:dyDescent="0.3">
      <c r="A24" s="195" t="s">
        <v>19</v>
      </c>
      <c r="B24" s="167"/>
      <c r="C24" s="121" t="s">
        <v>14</v>
      </c>
      <c r="D24" s="120" t="s">
        <v>43</v>
      </c>
      <c r="E24" s="11" t="s">
        <v>89</v>
      </c>
      <c r="F24" s="120" t="s">
        <v>43</v>
      </c>
      <c r="G24" s="52" t="s">
        <v>43</v>
      </c>
      <c r="H24" s="102" t="s">
        <v>43</v>
      </c>
    </row>
    <row r="25" spans="1:8" ht="21.95" customHeight="1" x14ac:dyDescent="0.3">
      <c r="A25" s="183" t="s">
        <v>20</v>
      </c>
      <c r="B25" s="141"/>
      <c r="C25" s="121" t="s">
        <v>21</v>
      </c>
      <c r="D25" s="11" t="s">
        <v>74</v>
      </c>
      <c r="E25" s="11" t="s">
        <v>89</v>
      </c>
      <c r="F25" s="12" t="s">
        <v>43</v>
      </c>
      <c r="G25" s="52" t="s">
        <v>43</v>
      </c>
      <c r="H25" s="102" t="s">
        <v>43</v>
      </c>
    </row>
    <row r="26" spans="1:8" ht="21.95" customHeight="1" x14ac:dyDescent="0.3">
      <c r="A26" s="195" t="s">
        <v>22</v>
      </c>
      <c r="B26" s="168"/>
      <c r="C26" s="36" t="s">
        <v>21</v>
      </c>
      <c r="D26" s="11" t="s">
        <v>75</v>
      </c>
      <c r="E26" s="11" t="s">
        <v>89</v>
      </c>
      <c r="F26" s="12" t="s">
        <v>23</v>
      </c>
      <c r="G26" s="52" t="s">
        <v>43</v>
      </c>
      <c r="H26" s="102" t="s">
        <v>43</v>
      </c>
    </row>
    <row r="27" spans="1:8" ht="21.95" customHeight="1" x14ac:dyDescent="0.3">
      <c r="A27" s="183" t="s">
        <v>84</v>
      </c>
      <c r="B27" s="141"/>
      <c r="C27" s="126" t="s">
        <v>21</v>
      </c>
      <c r="D27" s="11" t="s">
        <v>78</v>
      </c>
      <c r="E27" s="11" t="s">
        <v>89</v>
      </c>
      <c r="F27" s="12" t="s">
        <v>64</v>
      </c>
      <c r="G27" s="52" t="s">
        <v>43</v>
      </c>
      <c r="H27" s="102" t="s">
        <v>43</v>
      </c>
    </row>
    <row r="28" spans="1:8" ht="21.95" customHeight="1" x14ac:dyDescent="0.3">
      <c r="A28" s="189"/>
      <c r="B28" s="148"/>
      <c r="C28" s="123" t="s">
        <v>21</v>
      </c>
      <c r="D28" s="11" t="s">
        <v>78</v>
      </c>
      <c r="E28" s="11" t="s">
        <v>89</v>
      </c>
      <c r="F28" s="12" t="s">
        <v>65</v>
      </c>
      <c r="G28" s="52" t="s">
        <v>43</v>
      </c>
      <c r="H28" s="102" t="s">
        <v>43</v>
      </c>
    </row>
    <row r="29" spans="1:8" ht="21.95" customHeight="1" x14ac:dyDescent="0.3">
      <c r="A29" s="184" t="s">
        <v>24</v>
      </c>
      <c r="B29" s="142"/>
      <c r="C29" s="123" t="s">
        <v>25</v>
      </c>
      <c r="D29" s="11" t="s">
        <v>80</v>
      </c>
      <c r="E29" s="11" t="s">
        <v>89</v>
      </c>
      <c r="F29" s="12" t="s">
        <v>44</v>
      </c>
      <c r="G29" s="52" t="s">
        <v>43</v>
      </c>
      <c r="H29" s="102" t="s">
        <v>43</v>
      </c>
    </row>
    <row r="30" spans="1:8" ht="21.95" customHeight="1" x14ac:dyDescent="0.3">
      <c r="A30" s="196" t="s">
        <v>26</v>
      </c>
      <c r="B30" s="169"/>
      <c r="C30" s="123" t="s">
        <v>25</v>
      </c>
      <c r="D30" s="11" t="s">
        <v>81</v>
      </c>
      <c r="E30" s="11" t="s">
        <v>89</v>
      </c>
      <c r="F30" s="12" t="s">
        <v>27</v>
      </c>
      <c r="G30" s="52" t="s">
        <v>43</v>
      </c>
      <c r="H30" s="102" t="s">
        <v>43</v>
      </c>
    </row>
    <row r="31" spans="1:8" ht="21.95" customHeight="1" x14ac:dyDescent="0.3">
      <c r="A31" s="184" t="s">
        <v>30</v>
      </c>
      <c r="B31" s="142"/>
      <c r="C31" s="154" t="s">
        <v>21</v>
      </c>
      <c r="D31" s="11" t="s">
        <v>31</v>
      </c>
      <c r="E31" s="11" t="s">
        <v>89</v>
      </c>
      <c r="F31" s="12" t="s">
        <v>55</v>
      </c>
      <c r="G31" s="52" t="s">
        <v>43</v>
      </c>
      <c r="H31" s="102" t="s">
        <v>43</v>
      </c>
    </row>
    <row r="32" spans="1:8" ht="21.95" customHeight="1" x14ac:dyDescent="0.3">
      <c r="A32" s="184"/>
      <c r="B32" s="142"/>
      <c r="C32" s="154"/>
      <c r="D32" s="11" t="s">
        <v>32</v>
      </c>
      <c r="E32" s="11" t="s">
        <v>89</v>
      </c>
      <c r="F32" s="12"/>
      <c r="G32" s="52" t="s">
        <v>43</v>
      </c>
      <c r="H32" s="102" t="s">
        <v>43</v>
      </c>
    </row>
    <row r="33" spans="1:11" ht="21.95" customHeight="1" x14ac:dyDescent="0.3">
      <c r="A33" s="184" t="s">
        <v>33</v>
      </c>
      <c r="B33" s="142"/>
      <c r="C33" s="154" t="s">
        <v>25</v>
      </c>
      <c r="D33" s="12" t="s">
        <v>43</v>
      </c>
      <c r="E33" s="12" t="s">
        <v>43</v>
      </c>
      <c r="F33" s="12" t="s">
        <v>43</v>
      </c>
      <c r="G33" s="52" t="s">
        <v>43</v>
      </c>
      <c r="H33" s="102" t="s">
        <v>43</v>
      </c>
    </row>
    <row r="34" spans="1:11" ht="17.25" customHeight="1" x14ac:dyDescent="0.3">
      <c r="A34" s="184"/>
      <c r="B34" s="142"/>
      <c r="C34" s="154"/>
      <c r="D34" s="12" t="s">
        <v>43</v>
      </c>
      <c r="E34" s="12" t="s">
        <v>43</v>
      </c>
      <c r="F34" s="12" t="s">
        <v>43</v>
      </c>
      <c r="G34" s="52" t="s">
        <v>43</v>
      </c>
      <c r="H34" s="102" t="s">
        <v>43</v>
      </c>
    </row>
    <row r="35" spans="1:11" ht="21.95" customHeight="1" x14ac:dyDescent="0.3">
      <c r="A35" s="184" t="s">
        <v>34</v>
      </c>
      <c r="B35" s="142"/>
      <c r="C35" s="123" t="s">
        <v>21</v>
      </c>
      <c r="D35" s="11" t="s">
        <v>82</v>
      </c>
      <c r="E35" s="11" t="s">
        <v>89</v>
      </c>
      <c r="F35" s="12" t="s">
        <v>43</v>
      </c>
      <c r="G35" s="52" t="s">
        <v>43</v>
      </c>
      <c r="H35" s="102" t="s">
        <v>43</v>
      </c>
    </row>
    <row r="36" spans="1:11" ht="21.95" customHeight="1" x14ac:dyDescent="0.3">
      <c r="A36" s="184" t="s">
        <v>35</v>
      </c>
      <c r="B36" s="142"/>
      <c r="C36" s="123" t="s">
        <v>25</v>
      </c>
      <c r="D36" s="12" t="s">
        <v>43</v>
      </c>
      <c r="E36" s="12" t="s">
        <v>43</v>
      </c>
      <c r="F36" s="12" t="s">
        <v>43</v>
      </c>
      <c r="G36" s="52" t="s">
        <v>43</v>
      </c>
      <c r="H36" s="102" t="s">
        <v>43</v>
      </c>
    </row>
    <row r="37" spans="1:11" ht="21.95" customHeight="1" thickBot="1" x14ac:dyDescent="0.35">
      <c r="A37" s="193" t="s">
        <v>53</v>
      </c>
      <c r="B37" s="194"/>
      <c r="C37" s="132" t="s">
        <v>25</v>
      </c>
      <c r="D37" s="104" t="s">
        <v>43</v>
      </c>
      <c r="E37" s="104" t="s">
        <v>43</v>
      </c>
      <c r="F37" s="104" t="s">
        <v>43</v>
      </c>
      <c r="G37" s="133" t="s">
        <v>43</v>
      </c>
      <c r="H37" s="134" t="s">
        <v>43</v>
      </c>
    </row>
    <row r="38" spans="1:11" ht="8.25" customHeight="1" x14ac:dyDescent="0.3">
      <c r="A38" s="8"/>
      <c r="B38" s="8"/>
      <c r="C38" s="113"/>
      <c r="D38" s="113"/>
      <c r="E38" s="21"/>
      <c r="F38" s="21"/>
      <c r="G38" s="21"/>
      <c r="H38" s="21"/>
    </row>
    <row r="39" spans="1:11" ht="8.25" customHeight="1" x14ac:dyDescent="0.3">
      <c r="A39" s="8"/>
      <c r="B39" s="8"/>
      <c r="C39" s="113"/>
      <c r="D39" s="113"/>
      <c r="E39" s="21"/>
      <c r="F39" s="21"/>
      <c r="G39" s="21"/>
      <c r="H39" s="21"/>
    </row>
    <row r="40" spans="1:11" s="56" customFormat="1" ht="17.25" customHeight="1" x14ac:dyDescent="0.3">
      <c r="A40" s="56" t="s">
        <v>41</v>
      </c>
      <c r="D40" s="56" t="s">
        <v>85</v>
      </c>
      <c r="F40" s="3" t="s">
        <v>189</v>
      </c>
    </row>
    <row r="41" spans="1:11" ht="12.95" customHeight="1" x14ac:dyDescent="0.3">
      <c r="F41" s="7"/>
    </row>
    <row r="42" spans="1:11" ht="12.95" customHeight="1" x14ac:dyDescent="0.3">
      <c r="A42" s="25"/>
      <c r="E42" s="25"/>
    </row>
    <row r="43" spans="1:11" s="204" customFormat="1" ht="17.25" customHeight="1" x14ac:dyDescent="0.3">
      <c r="A43" s="202" t="s">
        <v>115</v>
      </c>
      <c r="B43" s="203"/>
      <c r="C43" s="204" t="s">
        <v>96</v>
      </c>
      <c r="D43" s="69" t="s">
        <v>185</v>
      </c>
      <c r="E43" s="69"/>
      <c r="F43" s="203" t="s">
        <v>109</v>
      </c>
      <c r="G43" s="205"/>
      <c r="H43" s="206"/>
      <c r="K43" s="68"/>
    </row>
    <row r="44" spans="1:11" s="42" customFormat="1" x14ac:dyDescent="0.25">
      <c r="A44" s="37" t="s">
        <v>116</v>
      </c>
      <c r="D44" s="31" t="s">
        <v>123</v>
      </c>
      <c r="E44" s="31"/>
      <c r="F44" s="44" t="s">
        <v>161</v>
      </c>
      <c r="G44" s="47"/>
      <c r="H44" s="47"/>
    </row>
    <row r="45" spans="1:11" s="42" customFormat="1" x14ac:dyDescent="0.25">
      <c r="A45" s="37" t="s">
        <v>8</v>
      </c>
      <c r="D45" s="23" t="s">
        <v>67</v>
      </c>
      <c r="E45" s="23"/>
      <c r="F45" s="44" t="s">
        <v>8</v>
      </c>
      <c r="G45" s="37"/>
      <c r="H45" s="37"/>
    </row>
    <row r="46" spans="1:11" s="42" customFormat="1" x14ac:dyDescent="0.3">
      <c r="A46" s="37" t="s">
        <v>118</v>
      </c>
      <c r="D46" s="25" t="s">
        <v>186</v>
      </c>
      <c r="E46" s="25"/>
      <c r="H46" s="63"/>
    </row>
    <row r="47" spans="1:11" s="44" customFormat="1" ht="12.75" customHeight="1" x14ac:dyDescent="0.25">
      <c r="A47" s="37"/>
      <c r="K47" s="42"/>
    </row>
    <row r="48" spans="1:11" ht="13.5" customHeight="1" x14ac:dyDescent="0.3">
      <c r="A48" s="23"/>
    </row>
    <row r="49" spans="1:16" s="57" customFormat="1" ht="17.25" x14ac:dyDescent="0.3">
      <c r="D49" s="58"/>
      <c r="E49" s="59"/>
    </row>
    <row r="51" spans="1:16" ht="7.5" customHeight="1" x14ac:dyDescent="0.3">
      <c r="M51" s="162"/>
      <c r="N51" s="162"/>
      <c r="O51" s="162"/>
      <c r="P51" s="162"/>
    </row>
    <row r="52" spans="1:16" s="31" customFormat="1" ht="17.25" x14ac:dyDescent="0.25">
      <c r="A52" s="58"/>
      <c r="B52" s="66"/>
      <c r="M52" s="163"/>
      <c r="N52" s="163"/>
      <c r="O52" s="163"/>
      <c r="P52" s="163"/>
    </row>
    <row r="53" spans="1:16" s="44" customFormat="1" ht="15.75" x14ac:dyDescent="0.25">
      <c r="M53" s="164"/>
      <c r="N53" s="164"/>
      <c r="O53" s="164"/>
      <c r="P53" s="164"/>
    </row>
    <row r="54" spans="1:16" s="44" customFormat="1" ht="15.75" x14ac:dyDescent="0.25"/>
  </sheetData>
  <mergeCells count="27">
    <mergeCell ref="A24:B24"/>
    <mergeCell ref="A5:H5"/>
    <mergeCell ref="A6:H6"/>
    <mergeCell ref="A7:H7"/>
    <mergeCell ref="A8:H8"/>
    <mergeCell ref="A10:H10"/>
    <mergeCell ref="A11:H11"/>
    <mergeCell ref="G13:H13"/>
    <mergeCell ref="C14:E14"/>
    <mergeCell ref="C15:E15"/>
    <mergeCell ref="C16:E16"/>
    <mergeCell ref="A20:B20"/>
    <mergeCell ref="A25:B25"/>
    <mergeCell ref="A26:B26"/>
    <mergeCell ref="A27:B28"/>
    <mergeCell ref="A29:B29"/>
    <mergeCell ref="A30:B30"/>
    <mergeCell ref="M51:P51"/>
    <mergeCell ref="M52:P52"/>
    <mergeCell ref="M53:P53"/>
    <mergeCell ref="C31:C32"/>
    <mergeCell ref="A33:B34"/>
    <mergeCell ref="C33:C34"/>
    <mergeCell ref="A35:B35"/>
    <mergeCell ref="A36:B36"/>
    <mergeCell ref="A37:B37"/>
    <mergeCell ref="A31:B32"/>
  </mergeCells>
  <pageMargins left="0.19685039370078741" right="0.19685039370078741" top="0.35433070866141736" bottom="0.39370078740157483" header="0.31496062992125984" footer="0.31496062992125984"/>
  <pageSetup paperSize="14" scale="93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L63"/>
  <sheetViews>
    <sheetView topLeftCell="A29" workbookViewId="0">
      <selection activeCell="A61" sqref="A61:A63"/>
    </sheetView>
  </sheetViews>
  <sheetFormatPr defaultRowHeight="16.5" x14ac:dyDescent="0.3"/>
  <cols>
    <col min="1" max="1" width="9.140625" style="3"/>
    <col min="2" max="2" width="16.85546875" style="3" customWidth="1"/>
    <col min="3" max="3" width="13.5703125" style="3" customWidth="1"/>
    <col min="4" max="4" width="16.5703125" style="3" customWidth="1"/>
    <col min="5" max="5" width="17.140625" style="3" customWidth="1"/>
    <col min="6" max="6" width="2.140625" style="3" customWidth="1"/>
    <col min="7" max="7" width="15.140625" style="3" customWidth="1"/>
    <col min="8" max="8" width="10.42578125" style="3" customWidth="1"/>
    <col min="9" max="9" width="9.42578125" style="3" customWidth="1"/>
    <col min="10" max="16384" width="9.140625" style="3"/>
  </cols>
  <sheetData>
    <row r="1" spans="1:9" s="30" customFormat="1" ht="15" customHeight="1" x14ac:dyDescent="0.2">
      <c r="A1" s="6" t="s">
        <v>0</v>
      </c>
      <c r="B1" s="6"/>
      <c r="C1" s="6"/>
      <c r="D1" s="6"/>
      <c r="E1" s="6" t="s">
        <v>1</v>
      </c>
      <c r="F1" s="6"/>
    </row>
    <row r="2" spans="1:9" s="30" customFormat="1" ht="8.25" customHeight="1" x14ac:dyDescent="0.2">
      <c r="A2" s="6"/>
      <c r="B2" s="6"/>
      <c r="C2" s="6"/>
      <c r="D2" s="6"/>
      <c r="E2" s="6"/>
      <c r="F2" s="6"/>
    </row>
    <row r="3" spans="1:9" s="30" customFormat="1" ht="15" customHeight="1" x14ac:dyDescent="0.2">
      <c r="A3" s="6"/>
      <c r="B3" s="6" t="s">
        <v>2</v>
      </c>
      <c r="C3" s="6"/>
      <c r="D3" s="6"/>
      <c r="E3" s="6"/>
      <c r="F3" s="6"/>
    </row>
    <row r="4" spans="1:9" s="44" customFormat="1" ht="20.100000000000001" customHeight="1" x14ac:dyDescent="0.25">
      <c r="A4" s="180" t="s">
        <v>3</v>
      </c>
      <c r="B4" s="180"/>
      <c r="C4" s="180"/>
      <c r="D4" s="180"/>
      <c r="E4" s="180"/>
      <c r="F4" s="180"/>
      <c r="G4" s="180"/>
      <c r="H4" s="180"/>
      <c r="I4" s="180"/>
    </row>
    <row r="5" spans="1:9" s="44" customFormat="1" ht="20.100000000000001" customHeight="1" x14ac:dyDescent="0.25">
      <c r="A5" s="180" t="s">
        <v>4</v>
      </c>
      <c r="B5" s="180"/>
      <c r="C5" s="180"/>
      <c r="D5" s="180"/>
      <c r="E5" s="180"/>
      <c r="F5" s="180"/>
      <c r="G5" s="180"/>
      <c r="H5" s="180"/>
      <c r="I5" s="180"/>
    </row>
    <row r="6" spans="1:9" s="44" customFormat="1" ht="20.100000000000001" customHeight="1" x14ac:dyDescent="0.25">
      <c r="A6" s="180" t="s">
        <v>5</v>
      </c>
      <c r="B6" s="180"/>
      <c r="C6" s="180"/>
      <c r="D6" s="180"/>
      <c r="E6" s="180"/>
      <c r="F6" s="180"/>
      <c r="G6" s="180"/>
      <c r="H6" s="180"/>
      <c r="I6" s="180"/>
    </row>
    <row r="7" spans="1:9" s="44" customFormat="1" ht="20.100000000000001" customHeight="1" x14ac:dyDescent="0.25">
      <c r="A7" s="180" t="s">
        <v>6</v>
      </c>
      <c r="B7" s="180"/>
      <c r="C7" s="180"/>
      <c r="D7" s="180"/>
      <c r="E7" s="180"/>
      <c r="F7" s="180"/>
      <c r="G7" s="180"/>
      <c r="H7" s="180"/>
      <c r="I7" s="180"/>
    </row>
    <row r="8" spans="1:9" s="44" customFormat="1" ht="7.5" customHeight="1" x14ac:dyDescent="0.25">
      <c r="A8" s="118"/>
      <c r="B8" s="118"/>
      <c r="C8" s="118"/>
      <c r="D8" s="118"/>
      <c r="E8" s="118"/>
      <c r="F8" s="118"/>
      <c r="G8" s="118"/>
      <c r="H8" s="118"/>
      <c r="I8" s="118"/>
    </row>
    <row r="9" spans="1:9" s="44" customFormat="1" ht="20.100000000000001" customHeight="1" x14ac:dyDescent="0.25">
      <c r="A9" s="180" t="s">
        <v>7</v>
      </c>
      <c r="B9" s="180"/>
      <c r="C9" s="180"/>
      <c r="D9" s="180"/>
      <c r="E9" s="180"/>
      <c r="F9" s="180"/>
      <c r="G9" s="180"/>
      <c r="H9" s="180"/>
      <c r="I9" s="180"/>
    </row>
    <row r="10" spans="1:9" s="44" customFormat="1" ht="20.100000000000001" customHeight="1" x14ac:dyDescent="0.25">
      <c r="A10" s="180" t="str">
        <f>'MAY  2026 -PMC  '!A11:H11</f>
        <v>REPORT FOR THE MONTH OF MAY 2026</v>
      </c>
      <c r="B10" s="180"/>
      <c r="C10" s="180"/>
      <c r="D10" s="180"/>
      <c r="E10" s="180"/>
      <c r="F10" s="180"/>
      <c r="G10" s="180"/>
      <c r="H10" s="180"/>
      <c r="I10" s="180"/>
    </row>
    <row r="11" spans="1:9" ht="6" customHeight="1" x14ac:dyDescent="0.3"/>
    <row r="12" spans="1:9" ht="15" customHeight="1" x14ac:dyDescent="0.3">
      <c r="G12" s="2" t="s">
        <v>63</v>
      </c>
      <c r="H12" s="177" t="s">
        <v>188</v>
      </c>
      <c r="I12" s="177"/>
    </row>
    <row r="13" spans="1:9" ht="15" customHeight="1" x14ac:dyDescent="0.3">
      <c r="A13" s="6" t="s">
        <v>122</v>
      </c>
      <c r="B13" s="7"/>
      <c r="C13" s="156" t="s">
        <v>113</v>
      </c>
      <c r="D13" s="156"/>
      <c r="E13" s="156"/>
      <c r="F13" s="38"/>
      <c r="H13" s="22"/>
      <c r="I13" s="22"/>
    </row>
    <row r="14" spans="1:9" ht="15" customHeight="1" x14ac:dyDescent="0.3">
      <c r="A14" s="6"/>
      <c r="B14" s="7"/>
      <c r="C14" s="157" t="s">
        <v>92</v>
      </c>
      <c r="D14" s="157"/>
      <c r="E14" s="157"/>
      <c r="F14" s="38"/>
      <c r="H14" s="22"/>
      <c r="I14" s="22"/>
    </row>
    <row r="15" spans="1:9" ht="15" customHeight="1" x14ac:dyDescent="0.3">
      <c r="A15" s="6" t="s">
        <v>120</v>
      </c>
      <c r="C15" s="157" t="s">
        <v>114</v>
      </c>
      <c r="D15" s="157"/>
      <c r="E15" s="157"/>
      <c r="F15" s="38"/>
      <c r="G15" s="4" t="s">
        <v>9</v>
      </c>
      <c r="H15" s="111" t="s">
        <v>45</v>
      </c>
      <c r="I15" s="111"/>
    </row>
    <row r="16" spans="1:9" ht="15" customHeight="1" x14ac:dyDescent="0.3">
      <c r="A16" s="6" t="s">
        <v>49</v>
      </c>
      <c r="C16" s="112" t="s">
        <v>109</v>
      </c>
      <c r="D16" s="112"/>
      <c r="E16" s="112"/>
      <c r="F16" s="38"/>
      <c r="H16" s="22"/>
      <c r="I16" s="22"/>
    </row>
    <row r="17" spans="1:9" ht="15" customHeight="1" x14ac:dyDescent="0.3">
      <c r="A17" s="6" t="s">
        <v>48</v>
      </c>
      <c r="C17" s="49" t="s">
        <v>110</v>
      </c>
      <c r="D17" s="112"/>
      <c r="E17" s="112"/>
      <c r="F17" s="38"/>
      <c r="G17" s="4" t="s">
        <v>10</v>
      </c>
      <c r="H17" s="111" t="s">
        <v>46</v>
      </c>
      <c r="I17" s="111"/>
    </row>
    <row r="18" spans="1:9" ht="6.75" customHeight="1" thickBot="1" x14ac:dyDescent="0.35"/>
    <row r="19" spans="1:9" ht="25.5" customHeight="1" x14ac:dyDescent="0.3">
      <c r="A19" s="191" t="s">
        <v>11</v>
      </c>
      <c r="B19" s="192"/>
      <c r="C19" s="93" t="s">
        <v>12</v>
      </c>
      <c r="D19" s="128" t="s">
        <v>68</v>
      </c>
      <c r="E19" s="200" t="s">
        <v>90</v>
      </c>
      <c r="F19" s="201"/>
      <c r="G19" s="94" t="s">
        <v>13</v>
      </c>
      <c r="H19" s="95" t="s">
        <v>59</v>
      </c>
      <c r="I19" s="96" t="s">
        <v>60</v>
      </c>
    </row>
    <row r="20" spans="1:9" x14ac:dyDescent="0.3">
      <c r="A20" s="199"/>
      <c r="B20" s="174"/>
      <c r="C20" s="10"/>
      <c r="D20" s="10"/>
      <c r="E20" s="173"/>
      <c r="F20" s="174"/>
      <c r="G20" s="10"/>
      <c r="H20" s="10" t="s">
        <v>61</v>
      </c>
      <c r="I20" s="98" t="s">
        <v>58</v>
      </c>
    </row>
    <row r="21" spans="1:9" ht="18" hidden="1" customHeight="1" x14ac:dyDescent="0.3">
      <c r="A21" s="183" t="s">
        <v>54</v>
      </c>
      <c r="B21" s="141"/>
      <c r="C21" s="122" t="s">
        <v>62</v>
      </c>
      <c r="D21" s="11" t="s">
        <v>104</v>
      </c>
      <c r="E21" s="175" t="s">
        <v>140</v>
      </c>
      <c r="F21" s="176"/>
      <c r="G21" s="12" t="s">
        <v>16</v>
      </c>
      <c r="H21" s="14"/>
      <c r="I21" s="135"/>
    </row>
    <row r="22" spans="1:9" ht="18" customHeight="1" x14ac:dyDescent="0.3">
      <c r="A22" s="190"/>
      <c r="B22" s="150"/>
      <c r="C22" s="122" t="s">
        <v>62</v>
      </c>
      <c r="D22" s="11" t="s">
        <v>148</v>
      </c>
      <c r="E22" s="171" t="s">
        <v>93</v>
      </c>
      <c r="F22" s="172"/>
      <c r="G22" s="12" t="s">
        <v>149</v>
      </c>
      <c r="H22" s="39">
        <v>0</v>
      </c>
      <c r="I22" s="100">
        <f>H22/91*25</f>
        <v>0</v>
      </c>
    </row>
    <row r="23" spans="1:9" ht="18" customHeight="1" x14ac:dyDescent="0.3">
      <c r="A23" s="190"/>
      <c r="B23" s="150"/>
      <c r="C23" s="122" t="s">
        <v>62</v>
      </c>
      <c r="D23" s="11" t="s">
        <v>150</v>
      </c>
      <c r="E23" s="171" t="s">
        <v>93</v>
      </c>
      <c r="F23" s="172"/>
      <c r="G23" s="12" t="s">
        <v>134</v>
      </c>
      <c r="H23" s="39">
        <v>0</v>
      </c>
      <c r="I23" s="100">
        <f>H23/208*25</f>
        <v>0</v>
      </c>
    </row>
    <row r="24" spans="1:9" ht="18" customHeight="1" x14ac:dyDescent="0.3">
      <c r="A24" s="190"/>
      <c r="B24" s="150"/>
      <c r="C24" s="122" t="s">
        <v>62</v>
      </c>
      <c r="D24" s="11" t="s">
        <v>147</v>
      </c>
      <c r="E24" s="171" t="s">
        <v>93</v>
      </c>
      <c r="F24" s="172"/>
      <c r="G24" s="12" t="s">
        <v>129</v>
      </c>
      <c r="H24" s="39">
        <f>47*91</f>
        <v>4277</v>
      </c>
      <c r="I24" s="100">
        <f>H24/91*25</f>
        <v>1175</v>
      </c>
    </row>
    <row r="25" spans="1:9" ht="18" customHeight="1" x14ac:dyDescent="0.3">
      <c r="A25" s="190"/>
      <c r="B25" s="150"/>
      <c r="C25" s="122" t="s">
        <v>62</v>
      </c>
      <c r="D25" s="11" t="s">
        <v>166</v>
      </c>
      <c r="E25" s="171" t="s">
        <v>93</v>
      </c>
      <c r="F25" s="172"/>
      <c r="G25" s="12" t="s">
        <v>129</v>
      </c>
      <c r="H25" s="39">
        <f>82*93</f>
        <v>7626</v>
      </c>
      <c r="I25" s="100">
        <f>H25/93*25</f>
        <v>2050</v>
      </c>
    </row>
    <row r="26" spans="1:9" ht="18" customHeight="1" x14ac:dyDescent="0.3">
      <c r="A26" s="190"/>
      <c r="B26" s="150"/>
      <c r="C26" s="122" t="s">
        <v>62</v>
      </c>
      <c r="D26" s="11" t="s">
        <v>151</v>
      </c>
      <c r="E26" s="171" t="s">
        <v>93</v>
      </c>
      <c r="F26" s="172"/>
      <c r="G26" s="12" t="s">
        <v>128</v>
      </c>
      <c r="H26" s="39">
        <v>0</v>
      </c>
      <c r="I26" s="100">
        <f>H26/200*25</f>
        <v>0</v>
      </c>
    </row>
    <row r="27" spans="1:9" ht="18" customHeight="1" x14ac:dyDescent="0.3">
      <c r="A27" s="131" t="s">
        <v>138</v>
      </c>
      <c r="B27" s="125"/>
      <c r="C27" s="121" t="s">
        <v>14</v>
      </c>
      <c r="D27" s="11" t="s">
        <v>119</v>
      </c>
      <c r="E27" s="171" t="s">
        <v>93</v>
      </c>
      <c r="F27" s="172"/>
      <c r="G27" s="12" t="s">
        <v>47</v>
      </c>
      <c r="H27" s="120"/>
      <c r="I27" s="136">
        <f>97*25</f>
        <v>2425</v>
      </c>
    </row>
    <row r="28" spans="1:9" ht="18" customHeight="1" x14ac:dyDescent="0.3">
      <c r="A28" s="183" t="s">
        <v>19</v>
      </c>
      <c r="B28" s="141"/>
      <c r="C28" s="121" t="s">
        <v>14</v>
      </c>
      <c r="D28" s="120" t="s">
        <v>43</v>
      </c>
      <c r="E28" s="171" t="s">
        <v>93</v>
      </c>
      <c r="F28" s="172"/>
      <c r="G28" s="120" t="s">
        <v>43</v>
      </c>
      <c r="H28" s="120" t="s">
        <v>43</v>
      </c>
      <c r="I28" s="102" t="s">
        <v>43</v>
      </c>
    </row>
    <row r="29" spans="1:9" ht="18" customHeight="1" x14ac:dyDescent="0.3">
      <c r="A29" s="183" t="s">
        <v>20</v>
      </c>
      <c r="B29" s="141"/>
      <c r="C29" s="121" t="s">
        <v>21</v>
      </c>
      <c r="D29" s="11" t="s">
        <v>74</v>
      </c>
      <c r="E29" s="171" t="s">
        <v>93</v>
      </c>
      <c r="F29" s="172"/>
      <c r="G29" s="12" t="s">
        <v>43</v>
      </c>
      <c r="H29" s="120" t="s">
        <v>43</v>
      </c>
      <c r="I29" s="100" t="s">
        <v>43</v>
      </c>
    </row>
    <row r="30" spans="1:9" ht="18" customHeight="1" x14ac:dyDescent="0.3">
      <c r="A30" s="195" t="s">
        <v>22</v>
      </c>
      <c r="B30" s="168"/>
      <c r="C30" s="36" t="s">
        <v>21</v>
      </c>
      <c r="D30" s="11" t="s">
        <v>75</v>
      </c>
      <c r="E30" s="171" t="s">
        <v>93</v>
      </c>
      <c r="F30" s="172"/>
      <c r="G30" s="12" t="s">
        <v>23</v>
      </c>
      <c r="H30" s="13">
        <v>175</v>
      </c>
      <c r="I30" s="137"/>
    </row>
    <row r="31" spans="1:9" ht="18" customHeight="1" x14ac:dyDescent="0.3">
      <c r="A31" s="183" t="s">
        <v>84</v>
      </c>
      <c r="B31" s="141"/>
      <c r="C31" s="126" t="s">
        <v>21</v>
      </c>
      <c r="D31" s="11" t="s">
        <v>77</v>
      </c>
      <c r="E31" s="171" t="s">
        <v>93</v>
      </c>
      <c r="F31" s="172"/>
      <c r="G31" s="12" t="s">
        <v>64</v>
      </c>
      <c r="H31" s="55">
        <v>4</v>
      </c>
      <c r="I31" s="100" t="s">
        <v>43</v>
      </c>
    </row>
    <row r="32" spans="1:9" ht="18" customHeight="1" x14ac:dyDescent="0.3">
      <c r="A32" s="190"/>
      <c r="B32" s="150"/>
      <c r="C32" s="126" t="s">
        <v>21</v>
      </c>
      <c r="D32" s="11" t="s">
        <v>77</v>
      </c>
      <c r="E32" s="171" t="s">
        <v>93</v>
      </c>
      <c r="F32" s="172"/>
      <c r="G32" s="12" t="s">
        <v>107</v>
      </c>
      <c r="H32" s="39">
        <v>1349</v>
      </c>
      <c r="I32" s="100" t="s">
        <v>43</v>
      </c>
    </row>
    <row r="33" spans="1:9" ht="18" customHeight="1" x14ac:dyDescent="0.3">
      <c r="A33" s="190"/>
      <c r="B33" s="150"/>
      <c r="C33" s="126" t="s">
        <v>21</v>
      </c>
      <c r="D33" s="11" t="s">
        <v>77</v>
      </c>
      <c r="E33" s="171" t="s">
        <v>93</v>
      </c>
      <c r="F33" s="172"/>
      <c r="G33" s="12" t="s">
        <v>179</v>
      </c>
      <c r="H33" s="39" t="s">
        <v>43</v>
      </c>
      <c r="I33" s="100" t="s">
        <v>43</v>
      </c>
    </row>
    <row r="34" spans="1:9" ht="18" customHeight="1" x14ac:dyDescent="0.3">
      <c r="A34" s="190"/>
      <c r="B34" s="150"/>
      <c r="C34" s="126" t="s">
        <v>21</v>
      </c>
      <c r="D34" s="11" t="s">
        <v>77</v>
      </c>
      <c r="E34" s="171" t="s">
        <v>93</v>
      </c>
      <c r="F34" s="172"/>
      <c r="G34" s="12" t="s">
        <v>184</v>
      </c>
      <c r="H34" s="39">
        <v>190</v>
      </c>
      <c r="I34" s="100"/>
    </row>
    <row r="35" spans="1:9" ht="18" customHeight="1" x14ac:dyDescent="0.3">
      <c r="A35" s="190"/>
      <c r="B35" s="150"/>
      <c r="C35" s="126" t="s">
        <v>21</v>
      </c>
      <c r="D35" s="11" t="s">
        <v>180</v>
      </c>
      <c r="E35" s="171" t="s">
        <v>93</v>
      </c>
      <c r="F35" s="172"/>
      <c r="G35" s="12" t="s">
        <v>181</v>
      </c>
      <c r="H35" s="39">
        <v>210</v>
      </c>
      <c r="I35" s="100"/>
    </row>
    <row r="36" spans="1:9" ht="18" customHeight="1" x14ac:dyDescent="0.3">
      <c r="A36" s="190"/>
      <c r="B36" s="150"/>
      <c r="C36" s="126" t="s">
        <v>21</v>
      </c>
      <c r="D36" s="11" t="s">
        <v>111</v>
      </c>
      <c r="E36" s="171" t="s">
        <v>93</v>
      </c>
      <c r="F36" s="172"/>
      <c r="G36" s="12" t="s">
        <v>64</v>
      </c>
      <c r="H36" s="120" t="s">
        <v>43</v>
      </c>
      <c r="I36" s="100" t="s">
        <v>43</v>
      </c>
    </row>
    <row r="37" spans="1:9" ht="18" customHeight="1" x14ac:dyDescent="0.3">
      <c r="A37" s="189"/>
      <c r="B37" s="148"/>
      <c r="C37" s="123" t="s">
        <v>21</v>
      </c>
      <c r="D37" s="11" t="s">
        <v>111</v>
      </c>
      <c r="E37" s="171" t="s">
        <v>93</v>
      </c>
      <c r="F37" s="172"/>
      <c r="G37" s="12" t="s">
        <v>112</v>
      </c>
      <c r="H37" s="14" t="s">
        <v>43</v>
      </c>
      <c r="I37" s="100"/>
    </row>
    <row r="38" spans="1:9" ht="18" customHeight="1" x14ac:dyDescent="0.3">
      <c r="A38" s="184" t="s">
        <v>24</v>
      </c>
      <c r="B38" s="142"/>
      <c r="C38" s="123" t="s">
        <v>25</v>
      </c>
      <c r="D38" s="11" t="s">
        <v>80</v>
      </c>
      <c r="E38" s="171" t="s">
        <v>93</v>
      </c>
      <c r="F38" s="172"/>
      <c r="G38" s="12" t="s">
        <v>44</v>
      </c>
      <c r="H38" s="14">
        <v>175</v>
      </c>
      <c r="I38" s="100" t="s">
        <v>43</v>
      </c>
    </row>
    <row r="39" spans="1:9" ht="18" customHeight="1" x14ac:dyDescent="0.3">
      <c r="A39" s="183" t="s">
        <v>26</v>
      </c>
      <c r="B39" s="141"/>
      <c r="C39" s="123" t="s">
        <v>25</v>
      </c>
      <c r="D39" s="11" t="s">
        <v>132</v>
      </c>
      <c r="E39" s="171" t="s">
        <v>93</v>
      </c>
      <c r="F39" s="172"/>
      <c r="G39" s="12" t="s">
        <v>28</v>
      </c>
      <c r="H39" s="13">
        <v>1066</v>
      </c>
      <c r="I39" s="100" t="s">
        <v>43</v>
      </c>
    </row>
    <row r="40" spans="1:9" ht="18" customHeight="1" x14ac:dyDescent="0.3">
      <c r="A40" s="190"/>
      <c r="B40" s="150"/>
      <c r="C40" s="123" t="s">
        <v>25</v>
      </c>
      <c r="D40" s="11" t="s">
        <v>103</v>
      </c>
      <c r="E40" s="171" t="s">
        <v>93</v>
      </c>
      <c r="F40" s="172"/>
      <c r="G40" s="12" t="s">
        <v>28</v>
      </c>
      <c r="H40" s="13" t="s">
        <v>43</v>
      </c>
      <c r="I40" s="100"/>
    </row>
    <row r="41" spans="1:9" ht="18" customHeight="1" x14ac:dyDescent="0.3">
      <c r="A41" s="189"/>
      <c r="B41" s="148"/>
      <c r="C41" s="123" t="s">
        <v>25</v>
      </c>
      <c r="D41" s="11" t="s">
        <v>103</v>
      </c>
      <c r="E41" s="171" t="s">
        <v>93</v>
      </c>
      <c r="F41" s="172"/>
      <c r="G41" s="12" t="s">
        <v>29</v>
      </c>
      <c r="H41" s="13">
        <v>1575</v>
      </c>
      <c r="I41" s="100"/>
    </row>
    <row r="42" spans="1:9" ht="18" customHeight="1" x14ac:dyDescent="0.3">
      <c r="A42" s="184" t="s">
        <v>30</v>
      </c>
      <c r="B42" s="142"/>
      <c r="C42" s="154" t="s">
        <v>21</v>
      </c>
      <c r="D42" s="11" t="s">
        <v>31</v>
      </c>
      <c r="E42" s="171" t="s">
        <v>93</v>
      </c>
      <c r="F42" s="172"/>
      <c r="G42" s="12" t="s">
        <v>55</v>
      </c>
      <c r="H42" s="13" t="s">
        <v>43</v>
      </c>
      <c r="I42" s="100" t="s">
        <v>43</v>
      </c>
    </row>
    <row r="43" spans="1:9" ht="18" customHeight="1" x14ac:dyDescent="0.3">
      <c r="A43" s="184"/>
      <c r="B43" s="142"/>
      <c r="C43" s="154"/>
      <c r="D43" s="11" t="s">
        <v>32</v>
      </c>
      <c r="E43" s="171" t="s">
        <v>93</v>
      </c>
      <c r="F43" s="172"/>
      <c r="G43" s="12"/>
      <c r="H43" s="13" t="s">
        <v>43</v>
      </c>
      <c r="I43" s="100" t="s">
        <v>43</v>
      </c>
    </row>
    <row r="44" spans="1:9" ht="18" customHeight="1" x14ac:dyDescent="0.3">
      <c r="A44" s="184" t="s">
        <v>33</v>
      </c>
      <c r="B44" s="142"/>
      <c r="C44" s="154" t="s">
        <v>25</v>
      </c>
      <c r="D44" s="12" t="s">
        <v>43</v>
      </c>
      <c r="E44" s="171" t="s">
        <v>43</v>
      </c>
      <c r="F44" s="172"/>
      <c r="G44" s="12" t="s">
        <v>43</v>
      </c>
      <c r="H44" s="13" t="s">
        <v>43</v>
      </c>
      <c r="I44" s="100" t="s">
        <v>43</v>
      </c>
    </row>
    <row r="45" spans="1:9" ht="13.5" customHeight="1" x14ac:dyDescent="0.3">
      <c r="A45" s="184"/>
      <c r="B45" s="142"/>
      <c r="C45" s="154"/>
      <c r="D45" s="12" t="s">
        <v>43</v>
      </c>
      <c r="E45" s="171" t="s">
        <v>43</v>
      </c>
      <c r="F45" s="172"/>
      <c r="G45" s="12" t="s">
        <v>43</v>
      </c>
      <c r="H45" s="13" t="s">
        <v>43</v>
      </c>
      <c r="I45" s="100" t="s">
        <v>43</v>
      </c>
    </row>
    <row r="46" spans="1:9" ht="18" customHeight="1" x14ac:dyDescent="0.3">
      <c r="A46" s="184" t="s">
        <v>34</v>
      </c>
      <c r="B46" s="142"/>
      <c r="C46" s="123" t="s">
        <v>21</v>
      </c>
      <c r="D46" s="11" t="s">
        <v>82</v>
      </c>
      <c r="E46" s="171" t="s">
        <v>93</v>
      </c>
      <c r="F46" s="172"/>
      <c r="G46" s="12" t="s">
        <v>43</v>
      </c>
      <c r="H46" s="13" t="s">
        <v>43</v>
      </c>
      <c r="I46" s="100" t="s">
        <v>43</v>
      </c>
    </row>
    <row r="47" spans="1:9" ht="18" customHeight="1" x14ac:dyDescent="0.3">
      <c r="A47" s="184" t="s">
        <v>35</v>
      </c>
      <c r="B47" s="142"/>
      <c r="C47" s="123" t="s">
        <v>25</v>
      </c>
      <c r="D47" s="12" t="s">
        <v>43</v>
      </c>
      <c r="E47" s="171" t="s">
        <v>43</v>
      </c>
      <c r="F47" s="172"/>
      <c r="G47" s="12" t="s">
        <v>43</v>
      </c>
      <c r="H47" s="13" t="s">
        <v>43</v>
      </c>
      <c r="I47" s="100" t="s">
        <v>43</v>
      </c>
    </row>
    <row r="48" spans="1:9" ht="18" customHeight="1" thickBot="1" x14ac:dyDescent="0.35">
      <c r="A48" s="193" t="s">
        <v>53</v>
      </c>
      <c r="B48" s="194"/>
      <c r="C48" s="132" t="s">
        <v>25</v>
      </c>
      <c r="D48" s="104" t="s">
        <v>43</v>
      </c>
      <c r="E48" s="197" t="s">
        <v>43</v>
      </c>
      <c r="F48" s="198"/>
      <c r="G48" s="104" t="s">
        <v>43</v>
      </c>
      <c r="H48" s="133" t="s">
        <v>43</v>
      </c>
      <c r="I48" s="134" t="s">
        <v>43</v>
      </c>
    </row>
    <row r="49" spans="1:12" ht="8.25" customHeight="1" x14ac:dyDescent="0.3">
      <c r="A49" s="8"/>
      <c r="B49" s="8"/>
      <c r="C49" s="113"/>
      <c r="D49" s="113"/>
      <c r="E49" s="21"/>
      <c r="F49" s="21"/>
      <c r="G49" s="21"/>
      <c r="H49" s="21"/>
      <c r="I49" s="21"/>
    </row>
    <row r="50" spans="1:12" s="71" customFormat="1" ht="17.25" customHeight="1" x14ac:dyDescent="0.25">
      <c r="A50" s="71" t="s">
        <v>41</v>
      </c>
      <c r="D50" s="71" t="s">
        <v>85</v>
      </c>
      <c r="G50" s="71" t="s">
        <v>143</v>
      </c>
    </row>
    <row r="51" spans="1:12" ht="10.5" customHeight="1" x14ac:dyDescent="0.3">
      <c r="G51" s="7"/>
    </row>
    <row r="52" spans="1:12" ht="12.95" customHeight="1" x14ac:dyDescent="0.3">
      <c r="A52" s="25"/>
      <c r="E52" s="25"/>
      <c r="F52" s="25"/>
    </row>
    <row r="53" spans="1:12" s="60" customFormat="1" ht="17.25" customHeight="1" x14ac:dyDescent="0.3">
      <c r="A53" s="59" t="s">
        <v>115</v>
      </c>
      <c r="B53" s="58"/>
      <c r="C53" s="60" t="s">
        <v>96</v>
      </c>
      <c r="D53" s="58" t="s">
        <v>153</v>
      </c>
      <c r="E53" s="58"/>
      <c r="G53" s="58" t="s">
        <v>173</v>
      </c>
      <c r="H53" s="67"/>
      <c r="I53" s="67"/>
      <c r="L53" s="57"/>
    </row>
    <row r="54" spans="1:12" s="42" customFormat="1" ht="15.75" x14ac:dyDescent="0.25">
      <c r="A54" s="37" t="s">
        <v>116</v>
      </c>
      <c r="D54" s="37" t="s">
        <v>117</v>
      </c>
      <c r="E54" s="37"/>
      <c r="F54" s="37"/>
      <c r="G54" s="42" t="s">
        <v>174</v>
      </c>
      <c r="H54" s="47"/>
      <c r="I54" s="47"/>
      <c r="L54" s="44"/>
    </row>
    <row r="55" spans="1:12" s="44" customFormat="1" ht="15.75" x14ac:dyDescent="0.25">
      <c r="A55" s="37" t="s">
        <v>8</v>
      </c>
      <c r="D55" s="37" t="s">
        <v>66</v>
      </c>
      <c r="E55" s="37"/>
      <c r="F55" s="37"/>
      <c r="G55" s="37" t="s">
        <v>136</v>
      </c>
      <c r="H55" s="37"/>
      <c r="I55" s="37"/>
    </row>
    <row r="56" spans="1:12" s="44" customFormat="1" ht="15.75" x14ac:dyDescent="0.25">
      <c r="A56" s="37" t="s">
        <v>118</v>
      </c>
      <c r="D56" s="48" t="s">
        <v>154</v>
      </c>
      <c r="E56" s="48"/>
      <c r="F56" s="48"/>
      <c r="I56" s="45"/>
      <c r="L56" s="42"/>
    </row>
    <row r="57" spans="1:12" s="44" customFormat="1" ht="13.5" customHeight="1" x14ac:dyDescent="0.25">
      <c r="A57" s="37"/>
      <c r="L57" s="42"/>
    </row>
    <row r="58" spans="1:12" s="68" customFormat="1" ht="17.25" x14ac:dyDescent="0.3">
      <c r="A58" s="68" t="s">
        <v>144</v>
      </c>
      <c r="D58" s="69"/>
      <c r="E58" s="70"/>
      <c r="F58" s="70"/>
    </row>
    <row r="59" spans="1:12" ht="10.5" customHeight="1" x14ac:dyDescent="0.3"/>
    <row r="60" spans="1:12" ht="13.5" customHeight="1" x14ac:dyDescent="0.3"/>
    <row r="61" spans="1:12" s="57" customFormat="1" ht="17.25" x14ac:dyDescent="0.3">
      <c r="A61" s="65" t="s">
        <v>109</v>
      </c>
    </row>
    <row r="62" spans="1:12" s="44" customFormat="1" ht="15.75" x14ac:dyDescent="0.25">
      <c r="A62" s="44" t="s">
        <v>161</v>
      </c>
    </row>
    <row r="63" spans="1:12" s="44" customFormat="1" ht="15.75" x14ac:dyDescent="0.25">
      <c r="A63" s="44" t="s">
        <v>8</v>
      </c>
    </row>
  </sheetData>
  <mergeCells count="56">
    <mergeCell ref="A10:I10"/>
    <mergeCell ref="A4:I4"/>
    <mergeCell ref="A5:I5"/>
    <mergeCell ref="A6:I6"/>
    <mergeCell ref="A7:I7"/>
    <mergeCell ref="A9:I9"/>
    <mergeCell ref="H12:I12"/>
    <mergeCell ref="C13:E13"/>
    <mergeCell ref="C14:E14"/>
    <mergeCell ref="C15:E15"/>
    <mergeCell ref="A19:B19"/>
    <mergeCell ref="E19:F19"/>
    <mergeCell ref="A30:B30"/>
    <mergeCell ref="E30:F30"/>
    <mergeCell ref="A20:B20"/>
    <mergeCell ref="E20:F20"/>
    <mergeCell ref="A21:B26"/>
    <mergeCell ref="E21:F21"/>
    <mergeCell ref="E22:F22"/>
    <mergeCell ref="E23:F23"/>
    <mergeCell ref="E24:F24"/>
    <mergeCell ref="E25:F25"/>
    <mergeCell ref="E26:F26"/>
    <mergeCell ref="E27:F27"/>
    <mergeCell ref="A28:B28"/>
    <mergeCell ref="E28:F28"/>
    <mergeCell ref="A29:B29"/>
    <mergeCell ref="E29:F29"/>
    <mergeCell ref="A31:B37"/>
    <mergeCell ref="E31:F31"/>
    <mergeCell ref="E32:F32"/>
    <mergeCell ref="E33:F33"/>
    <mergeCell ref="E34:F34"/>
    <mergeCell ref="E35:F35"/>
    <mergeCell ref="E36:F36"/>
    <mergeCell ref="E37:F37"/>
    <mergeCell ref="A38:B38"/>
    <mergeCell ref="E38:F38"/>
    <mergeCell ref="A39:B41"/>
    <mergeCell ref="E39:F39"/>
    <mergeCell ref="E40:F40"/>
    <mergeCell ref="E41:F41"/>
    <mergeCell ref="A42:B43"/>
    <mergeCell ref="C42:C43"/>
    <mergeCell ref="E42:F42"/>
    <mergeCell ref="E43:F43"/>
    <mergeCell ref="A44:B45"/>
    <mergeCell ref="C44:C45"/>
    <mergeCell ref="E44:F44"/>
    <mergeCell ref="E45:F45"/>
    <mergeCell ref="A46:B46"/>
    <mergeCell ref="E46:F46"/>
    <mergeCell ref="A47:B47"/>
    <mergeCell ref="E47:F47"/>
    <mergeCell ref="A48:B48"/>
    <mergeCell ref="E48:F48"/>
  </mergeCells>
  <pageMargins left="0.39370078740157483" right="0.27559055118110237" top="0.35433070866141736" bottom="0.39370078740157483" header="0.31496062992125984" footer="0.31496062992125984"/>
  <pageSetup paperSize="14" scale="9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JANUARY 2026 -PMC  </vt:lpstr>
      <vt:lpstr>JANUARY 2026 - EXPLO </vt:lpstr>
      <vt:lpstr>JANUARY 2026- TIGERWAY  </vt:lpstr>
      <vt:lpstr>FEBRUARY 2026 -PMC </vt:lpstr>
      <vt:lpstr>FEBRUARY 2026 - EXPLO</vt:lpstr>
      <vt:lpstr>FEBRUARY 2026- TIGERWAY  </vt:lpstr>
      <vt:lpstr>MARCH  2026 -PMC  </vt:lpstr>
      <vt:lpstr>MARCH 2026 - EXPLO</vt:lpstr>
      <vt:lpstr>MARCH 2026- TIGERWAY  </vt:lpstr>
      <vt:lpstr>APRIL  2026 -PMC </vt:lpstr>
      <vt:lpstr>APRIL 2026 - EXPLO </vt:lpstr>
      <vt:lpstr>APRIL 2026- TIGERWAY  </vt:lpstr>
      <vt:lpstr>MAY  2026 -PMC  </vt:lpstr>
      <vt:lpstr>MAY 2026 - EXPLO  </vt:lpstr>
      <vt:lpstr>MAY 2026- TIGERWAY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EXPLOSIVE</dc:creator>
  <cp:lastModifiedBy>Airene B. Tabotabo</cp:lastModifiedBy>
  <cp:lastPrinted>2026-06-02T22:54:28Z</cp:lastPrinted>
  <dcterms:created xsi:type="dcterms:W3CDTF">2011-06-30T05:22:59Z</dcterms:created>
  <dcterms:modified xsi:type="dcterms:W3CDTF">2026-06-02T22:54:29Z</dcterms:modified>
</cp:coreProperties>
</file>