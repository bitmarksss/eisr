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7.MINE EXPLOSIVES REPORTS\06.MONTHLY REPORT\2026\"/>
    </mc:Choice>
  </mc:AlternateContent>
  <bookViews>
    <workbookView xWindow="0" yWindow="0" windowWidth="28800" windowHeight="11715" activeTab="4"/>
  </bookViews>
  <sheets>
    <sheet name="JANUARY 2026" sheetId="29" r:id="rId1"/>
    <sheet name="FEBRUARY 2026" sheetId="30" r:id="rId2"/>
    <sheet name="MARCH 2026" sheetId="31" r:id="rId3"/>
    <sheet name="APRIL 2026" sheetId="32" r:id="rId4"/>
    <sheet name="MAY 2026" sheetId="33" r:id="rId5"/>
    <sheet name="FORMAT" sheetId="2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33" l="1"/>
  <c r="E39" i="33"/>
  <c r="E38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C21" i="33"/>
  <c r="E21" i="33" s="1"/>
  <c r="E20" i="33"/>
  <c r="E19" i="33"/>
  <c r="C18" i="33"/>
  <c r="E17" i="33"/>
  <c r="D17" i="33"/>
  <c r="E16" i="33"/>
  <c r="D16" i="33"/>
  <c r="E15" i="33"/>
  <c r="D15" i="33"/>
  <c r="E14" i="33"/>
  <c r="D14" i="33"/>
  <c r="D18" i="33" s="1"/>
  <c r="E13" i="33"/>
  <c r="E18" i="33" s="1"/>
  <c r="D13" i="33"/>
  <c r="E41" i="33" l="1"/>
  <c r="E18" i="32"/>
  <c r="E40" i="32" l="1"/>
  <c r="E39" i="32"/>
  <c r="E38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C21" i="32"/>
  <c r="E21" i="32" s="1"/>
  <c r="E20" i="32"/>
  <c r="E19" i="32"/>
  <c r="C18" i="32"/>
  <c r="E17" i="32"/>
  <c r="D17" i="32"/>
  <c r="E16" i="32"/>
  <c r="D16" i="32"/>
  <c r="E15" i="32"/>
  <c r="D15" i="32"/>
  <c r="E14" i="32"/>
  <c r="D14" i="32"/>
  <c r="E13" i="32"/>
  <c r="D13" i="32"/>
  <c r="D18" i="32" l="1"/>
  <c r="E41" i="32"/>
  <c r="E40" i="31"/>
  <c r="E39" i="31"/>
  <c r="E38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C21" i="31"/>
  <c r="E21" i="31" s="1"/>
  <c r="E20" i="31"/>
  <c r="E19" i="31"/>
  <c r="C18" i="31"/>
  <c r="E17" i="31"/>
  <c r="D17" i="31"/>
  <c r="E16" i="31"/>
  <c r="E18" i="31" s="1"/>
  <c r="D16" i="31"/>
  <c r="D18" i="31" s="1"/>
  <c r="E15" i="31"/>
  <c r="D15" i="31"/>
  <c r="E14" i="31"/>
  <c r="D14" i="31"/>
  <c r="E13" i="31"/>
  <c r="D13" i="31"/>
  <c r="E41" i="31" l="1"/>
  <c r="E41" i="30"/>
  <c r="C21" i="30"/>
  <c r="E40" i="30" l="1"/>
  <c r="E39" i="30"/>
  <c r="E38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C18" i="30"/>
  <c r="E17" i="30"/>
  <c r="D17" i="30"/>
  <c r="E16" i="30"/>
  <c r="D16" i="30"/>
  <c r="E15" i="30"/>
  <c r="D15" i="30"/>
  <c r="E14" i="30"/>
  <c r="D14" i="30"/>
  <c r="E13" i="30"/>
  <c r="D13" i="30"/>
  <c r="E18" i="30" l="1"/>
  <c r="D18" i="30"/>
  <c r="E40" i="29"/>
  <c r="E39" i="29"/>
  <c r="E38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C21" i="29"/>
  <c r="E21" i="29" s="1"/>
  <c r="E20" i="29"/>
  <c r="E19" i="29"/>
  <c r="C18" i="29"/>
  <c r="E17" i="29"/>
  <c r="D17" i="29"/>
  <c r="E16" i="29"/>
  <c r="D16" i="29"/>
  <c r="E15" i="29"/>
  <c r="D15" i="29"/>
  <c r="E14" i="29"/>
  <c r="D14" i="29"/>
  <c r="E13" i="29"/>
  <c r="D13" i="29"/>
  <c r="E18" i="29" l="1"/>
  <c r="E41" i="29" s="1"/>
  <c r="D18" i="29"/>
  <c r="E40" i="25" l="1"/>
  <c r="E39" i="25"/>
  <c r="E38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C21" i="25"/>
  <c r="E21" i="25" s="1"/>
  <c r="E20" i="25"/>
  <c r="E19" i="25"/>
  <c r="C18" i="25"/>
  <c r="E17" i="25"/>
  <c r="D17" i="25"/>
  <c r="E16" i="25"/>
  <c r="D16" i="25"/>
  <c r="E15" i="25"/>
  <c r="D15" i="25"/>
  <c r="E14" i="25"/>
  <c r="D14" i="25"/>
  <c r="E13" i="25"/>
  <c r="D13" i="25"/>
  <c r="D18" i="25" l="1"/>
  <c r="E18" i="25"/>
  <c r="E41" i="25" s="1"/>
</calcChain>
</file>

<file path=xl/sharedStrings.xml><?xml version="1.0" encoding="utf-8"?>
<sst xmlns="http://schemas.openxmlformats.org/spreadsheetml/2006/main" count="378" uniqueCount="71">
  <si>
    <t>PHILSAGA MINING CORPORATION</t>
  </si>
  <si>
    <t>BAYUGAN 3, ROSARIO AGUSAN DEL SUR</t>
  </si>
  <si>
    <t>MONTHLY  CONSUMPTION AND MONTHLY COSTING</t>
  </si>
  <si>
    <t>SUPPLIER</t>
  </si>
  <si>
    <t>DESCRIPTION</t>
  </si>
  <si>
    <t>MONTHLY CONSUMPTION</t>
  </si>
  <si>
    <t>MONTHLY COST</t>
  </si>
  <si>
    <t>UNIT PRICE</t>
  </si>
  <si>
    <t>PCS</t>
  </si>
  <si>
    <t>KLS</t>
  </si>
  <si>
    <t>PESOS</t>
  </si>
  <si>
    <t>EXPEDITION</t>
  </si>
  <si>
    <t>DYNA 200</t>
  </si>
  <si>
    <t>MT. ROCK</t>
  </si>
  <si>
    <t>DYNA SUPERPOWER 208</t>
  </si>
  <si>
    <t xml:space="preserve">DYNA PULSAR 135 </t>
  </si>
  <si>
    <t xml:space="preserve">DYNAPULSAR  215 </t>
  </si>
  <si>
    <t>DYNA PULSAR 38</t>
  </si>
  <si>
    <t xml:space="preserve">TOTAL </t>
  </si>
  <si>
    <t>EXPEDITION/MT.ROCK</t>
  </si>
  <si>
    <t>ANFO</t>
  </si>
  <si>
    <t>S/FUSE(SAVINGS)</t>
  </si>
  <si>
    <t>S/FUSE</t>
  </si>
  <si>
    <t>OBC</t>
  </si>
  <si>
    <t>F/LIGHTER</t>
  </si>
  <si>
    <t>NONEL 2.4</t>
  </si>
  <si>
    <t>NONEL 3.6</t>
  </si>
  <si>
    <t>SUPREME 2.4</t>
  </si>
  <si>
    <t>SUPREME 3.6</t>
  </si>
  <si>
    <t>SHOCKSTAR</t>
  </si>
  <si>
    <t>EXEL 2.4</t>
  </si>
  <si>
    <t>EXEL 4.9</t>
  </si>
  <si>
    <t>EXEL 3.6</t>
  </si>
  <si>
    <t>MS 12</t>
  </si>
  <si>
    <t>MS 18</t>
  </si>
  <si>
    <t>CORDTEX 5</t>
  </si>
  <si>
    <t>CORDTEX 10</t>
  </si>
  <si>
    <t>CORDTEX 11</t>
  </si>
  <si>
    <t>CORDTEX 40</t>
  </si>
  <si>
    <t>BILL WIRE</t>
  </si>
  <si>
    <t>EBC</t>
  </si>
  <si>
    <t>Prepared by:</t>
  </si>
  <si>
    <t>AIHREIN T. BACLAAN</t>
  </si>
  <si>
    <t>Checked by:</t>
  </si>
  <si>
    <t>NHOLL GREAL O. LOZADA</t>
  </si>
  <si>
    <t>Mine Explosives Inventory Supervisor</t>
  </si>
  <si>
    <t>Noted by:</t>
  </si>
  <si>
    <t>ENGR.RAFFY D. TORRES</t>
  </si>
  <si>
    <t>Mine Explosives Manager</t>
  </si>
  <si>
    <t>Approved by:</t>
  </si>
  <si>
    <t>ENGR. EARL M. SON</t>
  </si>
  <si>
    <t>Mines Manager</t>
  </si>
  <si>
    <t>Mine Explosives Supervisor</t>
  </si>
  <si>
    <t>DCORD I5</t>
  </si>
  <si>
    <t>MONTH OF AUGUST 2025</t>
  </si>
  <si>
    <t>MONTH OF AUGUST 2025  COST</t>
  </si>
  <si>
    <t>DYNA NEOGEL 200</t>
  </si>
  <si>
    <t>Mine Division Manager</t>
  </si>
  <si>
    <t>Mine Explosives  Manager</t>
  </si>
  <si>
    <t>MONTH OF JANUARY 2026  COST</t>
  </si>
  <si>
    <t>MONTH OF JANUARY 2026</t>
  </si>
  <si>
    <t>MONTH OF FEBRUARY 2026  COST</t>
  </si>
  <si>
    <t>MONTH OF FEBRUARY 2026</t>
  </si>
  <si>
    <t>MONTH OF MARCH 2026</t>
  </si>
  <si>
    <t>MONTH OF MARCH 2026  COST</t>
  </si>
  <si>
    <t>ENGR.EDWIN B. BATAL</t>
  </si>
  <si>
    <t>Mine Explosives Asst. Manager</t>
  </si>
  <si>
    <t>MONTH OF APRIL 2026  COST</t>
  </si>
  <si>
    <t>MONTH OF APRIL 2026</t>
  </si>
  <si>
    <t>MONTH OF MAY 2026  COST</t>
  </si>
  <si>
    <t>MONTH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</si>
</sst>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"/>
    <numFmt numFmtId="166" formatCode="0.0000"/>
    <numFmt numFmtId="167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u/>
      <sz val="12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 tint="0.14999847407452621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</cellStyleXfs>
  <cellXfs count="69">
    <xf numFmtId="0" fontId="0" fillId="0" borderId="0" xfId="0"/>
    <xf numFmtId="0" fontId="2" fillId="0" borderId="0" xfId="0" applyFont="1"/>
    <xf numFmtId="164" fontId="5" fillId="2" borderId="0" xfId="1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5" fillId="0" borderId="0" xfId="1" applyFont="1" applyAlignment="1">
      <alignment horizontal="left"/>
    </xf>
    <xf numFmtId="164" fontId="10" fillId="0" borderId="0" xfId="1" applyFont="1"/>
    <xf numFmtId="49" fontId="9" fillId="2" borderId="1" xfId="2" applyNumberFormat="1" applyFont="1" applyFill="1" applyBorder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/>
    </xf>
    <xf numFmtId="4" fontId="4" fillId="2" borderId="1" xfId="2" applyNumberFormat="1" applyFont="1" applyFill="1" applyBorder="1" applyAlignment="1">
      <alignment horizontal="center" vertical="center"/>
    </xf>
    <xf numFmtId="4" fontId="4" fillId="2" borderId="1" xfId="3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4" fillId="3" borderId="1" xfId="2" applyNumberFormat="1" applyFont="1" applyFill="1" applyBorder="1" applyAlignment="1">
      <alignment horizontal="center" vertical="center"/>
    </xf>
    <xf numFmtId="4" fontId="4" fillId="3" borderId="1" xfId="2" applyNumberFormat="1" applyFont="1" applyFill="1" applyBorder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4" fillId="2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4" fontId="5" fillId="4" borderId="1" xfId="3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10" fillId="0" borderId="0" xfId="2" applyFont="1"/>
    <xf numFmtId="39" fontId="10" fillId="0" borderId="0" xfId="2" applyNumberFormat="1" applyFont="1"/>
    <xf numFmtId="164" fontId="2" fillId="0" borderId="0" xfId="1" applyFont="1"/>
    <xf numFmtId="4" fontId="10" fillId="0" borderId="0" xfId="2" applyNumberFormat="1" applyFont="1"/>
    <xf numFmtId="0" fontId="10" fillId="0" borderId="0" xfId="0" applyFont="1"/>
    <xf numFmtId="0" fontId="7" fillId="0" borderId="0" xfId="0" applyFont="1" applyAlignment="1">
      <alignment horizontal="left"/>
    </xf>
    <xf numFmtId="0" fontId="4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7" fillId="0" borderId="0" xfId="0" applyFont="1"/>
    <xf numFmtId="0" fontId="12" fillId="0" borderId="0" xfId="4" applyFont="1"/>
    <xf numFmtId="0" fontId="12" fillId="0" borderId="0" xfId="0" applyFont="1"/>
    <xf numFmtId="0" fontId="10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4" fontId="2" fillId="0" borderId="0" xfId="0" applyNumberFormat="1" applyFont="1"/>
    <xf numFmtId="166" fontId="4" fillId="2" borderId="1" xfId="2" applyNumberFormat="1" applyFont="1" applyFill="1" applyBorder="1" applyAlignment="1">
      <alignment horizontal="center" vertical="center"/>
    </xf>
    <xf numFmtId="49" fontId="5" fillId="2" borderId="0" xfId="2" applyNumberFormat="1" applyFont="1" applyFill="1" applyAlignment="1">
      <alignment horizontal="left" vertical="center"/>
    </xf>
    <xf numFmtId="167" fontId="4" fillId="2" borderId="1" xfId="2" applyNumberFormat="1" applyFont="1" applyFill="1" applyBorder="1" applyAlignment="1">
      <alignment horizontal="center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0" fontId="5" fillId="0" borderId="0" xfId="2" applyFont="1" applyAlignment="1">
      <alignment horizontal="left"/>
    </xf>
    <xf numFmtId="49" fontId="4" fillId="2" borderId="0" xfId="2" applyNumberFormat="1" applyFont="1" applyFill="1" applyAlignment="1">
      <alignment horizontal="center" vertical="center"/>
    </xf>
    <xf numFmtId="49" fontId="5" fillId="2" borderId="0" xfId="2" applyNumberFormat="1" applyFont="1" applyFill="1" applyAlignment="1">
      <alignment horizontal="left" vertical="center"/>
    </xf>
    <xf numFmtId="49" fontId="7" fillId="0" borderId="0" xfId="2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5" fillId="4" borderId="1" xfId="2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</cellXfs>
  <cellStyles count="5">
    <cellStyle name="Comma" xfId="1" builtinId="3"/>
    <cellStyle name="Comma 2" xfId="3"/>
    <cellStyle name="Normal" xfId="0" builtinId="0"/>
    <cellStyle name="Normal 2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opLeftCell="A7" workbookViewId="0">
      <selection activeCell="K29" sqref="K29"/>
    </sheetView>
  </sheetViews>
  <sheetFormatPr defaultRowHeight="15.75" x14ac:dyDescent="0.25"/>
  <cols>
    <col min="1" max="1" width="16" style="1" customWidth="1"/>
    <col min="2" max="2" width="30.5703125" style="1" customWidth="1"/>
    <col min="3" max="3" width="12" style="1" customWidth="1"/>
    <col min="4" max="4" width="13.140625" style="1" customWidth="1"/>
    <col min="5" max="5" width="19.5703125" style="1" bestFit="1" customWidth="1"/>
    <col min="6" max="6" width="14.140625" style="1" customWidth="1"/>
    <col min="7" max="7" width="15.7109375" style="28" bestFit="1" customWidth="1"/>
    <col min="8" max="8" width="13.140625" style="1" bestFit="1" customWidth="1"/>
    <col min="9" max="9" width="9.140625" style="1"/>
    <col min="10" max="10" width="13.5703125" style="1" bestFit="1" customWidth="1"/>
    <col min="11" max="16384" width="9.140625" style="1"/>
  </cols>
  <sheetData>
    <row r="1" spans="1:13" ht="9.75" customHeight="1" x14ac:dyDescent="0.25">
      <c r="B1" s="55"/>
      <c r="C1" s="55"/>
      <c r="D1" s="55"/>
      <c r="E1" s="55"/>
      <c r="F1" s="55"/>
      <c r="G1" s="55"/>
    </row>
    <row r="2" spans="1:13" s="3" customFormat="1" ht="20.25" x14ac:dyDescent="0.3">
      <c r="A2" s="56" t="s">
        <v>0</v>
      </c>
      <c r="B2" s="56"/>
      <c r="C2" s="56"/>
      <c r="D2" s="56"/>
      <c r="E2" s="56"/>
      <c r="F2" s="56"/>
      <c r="G2" s="2"/>
    </row>
    <row r="3" spans="1:13" s="3" customFormat="1" ht="20.25" x14ac:dyDescent="0.3">
      <c r="A3" s="56" t="s">
        <v>1</v>
      </c>
      <c r="B3" s="56"/>
      <c r="C3" s="56"/>
      <c r="D3" s="56"/>
      <c r="E3" s="56"/>
      <c r="F3" s="56"/>
      <c r="G3" s="2"/>
    </row>
    <row r="4" spans="1:13" s="3" customFormat="1" ht="9.75" customHeight="1" x14ac:dyDescent="0.3">
      <c r="A4" s="4"/>
      <c r="B4" s="49"/>
      <c r="C4" s="49"/>
      <c r="D4" s="49"/>
      <c r="E4" s="49"/>
      <c r="F4" s="49"/>
      <c r="G4" s="2"/>
    </row>
    <row r="5" spans="1:13" s="3" customFormat="1" ht="0.75" customHeight="1" x14ac:dyDescent="0.3">
      <c r="A5" s="4"/>
      <c r="B5" s="56"/>
      <c r="C5" s="56"/>
      <c r="D5" s="56"/>
      <c r="E5" s="56"/>
      <c r="F5" s="56"/>
      <c r="G5" s="56"/>
    </row>
    <row r="6" spans="1:13" s="3" customFormat="1" ht="20.25" x14ac:dyDescent="0.3">
      <c r="A6" s="54" t="s">
        <v>2</v>
      </c>
      <c r="B6" s="54"/>
      <c r="C6" s="54"/>
      <c r="D6" s="54"/>
      <c r="E6" s="54"/>
      <c r="F6" s="54"/>
      <c r="G6" s="5"/>
    </row>
    <row r="7" spans="1:13" s="3" customFormat="1" ht="20.25" customHeight="1" x14ac:dyDescent="0.3">
      <c r="A7" s="54" t="s">
        <v>60</v>
      </c>
      <c r="B7" s="54"/>
      <c r="C7" s="54"/>
      <c r="D7" s="54"/>
      <c r="E7" s="54"/>
      <c r="F7" s="54"/>
      <c r="G7" s="5"/>
    </row>
    <row r="8" spans="1:13" ht="10.5" customHeight="1" x14ac:dyDescent="0.25">
      <c r="B8" s="57"/>
      <c r="C8" s="57"/>
      <c r="D8" s="57"/>
      <c r="E8" s="57"/>
      <c r="F8" s="57"/>
      <c r="G8" s="57"/>
    </row>
    <row r="9" spans="1:13" ht="21.95" customHeight="1" x14ac:dyDescent="0.25">
      <c r="A9" s="58" t="s">
        <v>3</v>
      </c>
      <c r="B9" s="59" t="s">
        <v>4</v>
      </c>
      <c r="C9" s="60" t="s">
        <v>5</v>
      </c>
      <c r="D9" s="60"/>
      <c r="E9" s="60" t="s">
        <v>6</v>
      </c>
      <c r="F9" s="59" t="s">
        <v>7</v>
      </c>
      <c r="G9" s="6"/>
    </row>
    <row r="10" spans="1:13" ht="21.95" customHeight="1" x14ac:dyDescent="0.25">
      <c r="A10" s="58"/>
      <c r="B10" s="59"/>
      <c r="C10" s="60"/>
      <c r="D10" s="60"/>
      <c r="E10" s="60"/>
      <c r="F10" s="59"/>
      <c r="G10" s="6"/>
    </row>
    <row r="11" spans="1:13" ht="21.95" customHeight="1" x14ac:dyDescent="0.25">
      <c r="A11" s="58"/>
      <c r="B11" s="59"/>
      <c r="C11" s="60"/>
      <c r="D11" s="60"/>
      <c r="E11" s="60"/>
      <c r="F11" s="59"/>
      <c r="G11" s="6"/>
    </row>
    <row r="12" spans="1:13" s="10" customFormat="1" ht="23.1" customHeight="1" x14ac:dyDescent="0.25">
      <c r="A12" s="58"/>
      <c r="B12" s="59"/>
      <c r="C12" s="7" t="s">
        <v>8</v>
      </c>
      <c r="D12" s="7" t="s">
        <v>9</v>
      </c>
      <c r="E12" s="7" t="s">
        <v>10</v>
      </c>
      <c r="F12" s="59"/>
      <c r="G12" s="8"/>
      <c r="H12" s="9"/>
      <c r="I12" s="9"/>
      <c r="J12" s="9"/>
      <c r="K12" s="9"/>
      <c r="L12" s="9"/>
      <c r="M12" s="9"/>
    </row>
    <row r="13" spans="1:13" s="9" customFormat="1" ht="23.1" hidden="1" customHeight="1" x14ac:dyDescent="0.25">
      <c r="A13" s="43" t="s">
        <v>11</v>
      </c>
      <c r="B13" s="11" t="s">
        <v>12</v>
      </c>
      <c r="C13" s="12"/>
      <c r="D13" s="12">
        <f>C13/200*25</f>
        <v>0</v>
      </c>
      <c r="E13" s="13">
        <f t="shared" ref="E13:E16" si="0">C13*F13</f>
        <v>0</v>
      </c>
      <c r="F13" s="14">
        <v>23.75</v>
      </c>
      <c r="G13" s="8"/>
    </row>
    <row r="14" spans="1:13" s="9" customFormat="1" ht="19.5" customHeight="1" x14ac:dyDescent="0.25">
      <c r="A14" s="64" t="s">
        <v>13</v>
      </c>
      <c r="B14" s="11" t="s">
        <v>56</v>
      </c>
      <c r="C14" s="12">
        <v>45072</v>
      </c>
      <c r="D14" s="15">
        <f>C14/208*25</f>
        <v>5417.3076923076924</v>
      </c>
      <c r="E14" s="16">
        <f>C14*F14</f>
        <v>1232439.7536000002</v>
      </c>
      <c r="F14" s="48">
        <v>27.343800000000002</v>
      </c>
      <c r="G14" s="8"/>
    </row>
    <row r="15" spans="1:13" s="9" customFormat="1" ht="15.75" hidden="1" customHeight="1" x14ac:dyDescent="0.25">
      <c r="A15" s="65"/>
      <c r="B15" s="11" t="s">
        <v>15</v>
      </c>
      <c r="C15" s="12"/>
      <c r="D15" s="15">
        <f>C15/135*25</f>
        <v>0</v>
      </c>
      <c r="E15" s="16">
        <f t="shared" si="0"/>
        <v>0</v>
      </c>
      <c r="F15" s="14">
        <v>40</v>
      </c>
      <c r="G15" s="8"/>
    </row>
    <row r="16" spans="1:13" s="9" customFormat="1" ht="23.1" customHeight="1" x14ac:dyDescent="0.25">
      <c r="A16" s="43" t="s">
        <v>11</v>
      </c>
      <c r="B16" s="11" t="s">
        <v>16</v>
      </c>
      <c r="C16" s="12">
        <v>49039</v>
      </c>
      <c r="D16" s="15">
        <f>C16/215*25</f>
        <v>5702.2093023255811</v>
      </c>
      <c r="E16" s="16">
        <f t="shared" si="0"/>
        <v>1449784.0921</v>
      </c>
      <c r="F16" s="46">
        <v>29.5639</v>
      </c>
      <c r="G16" s="8"/>
    </row>
    <row r="17" spans="1:8" s="9" customFormat="1" ht="23.1" hidden="1" customHeight="1" x14ac:dyDescent="0.25">
      <c r="A17" s="43" t="s">
        <v>13</v>
      </c>
      <c r="B17" s="11" t="s">
        <v>17</v>
      </c>
      <c r="C17" s="12"/>
      <c r="D17" s="15">
        <f>C17/38*25</f>
        <v>0</v>
      </c>
      <c r="E17" s="16">
        <f>C17*F17</f>
        <v>0</v>
      </c>
      <c r="F17" s="14">
        <v>115.8</v>
      </c>
      <c r="G17" s="8"/>
      <c r="H17" s="17"/>
    </row>
    <row r="18" spans="1:8" s="21" customFormat="1" ht="23.1" customHeight="1" x14ac:dyDescent="0.25">
      <c r="A18" s="66" t="s">
        <v>18</v>
      </c>
      <c r="B18" s="66"/>
      <c r="C18" s="18">
        <f>SUM(C13:C17)</f>
        <v>94111</v>
      </c>
      <c r="D18" s="19">
        <f>SUM(D13:D17)</f>
        <v>11119.516994633273</v>
      </c>
      <c r="E18" s="19">
        <f>SUM(E13:E17)</f>
        <v>2682223.8457000004</v>
      </c>
      <c r="F18" s="19"/>
      <c r="G18" s="8"/>
      <c r="H18" s="20"/>
    </row>
    <row r="19" spans="1:8" s="9" customFormat="1" ht="23.1" customHeight="1" x14ac:dyDescent="0.25">
      <c r="A19" s="67" t="s">
        <v>19</v>
      </c>
      <c r="B19" s="11" t="s">
        <v>20</v>
      </c>
      <c r="C19" s="15"/>
      <c r="D19" s="15">
        <v>30816.1</v>
      </c>
      <c r="E19" s="16">
        <f>D19*F19</f>
        <v>4495452.6679999996</v>
      </c>
      <c r="F19" s="14">
        <v>145.88</v>
      </c>
      <c r="G19" s="8"/>
    </row>
    <row r="20" spans="1:8" s="9" customFormat="1" ht="24.75" hidden="1" customHeight="1" x14ac:dyDescent="0.25">
      <c r="A20" s="67"/>
      <c r="B20" s="11" t="s">
        <v>21</v>
      </c>
      <c r="C20" s="12"/>
      <c r="D20" s="15"/>
      <c r="E20" s="16">
        <f t="shared" ref="E20:E34" si="1">C20*F20</f>
        <v>0</v>
      </c>
      <c r="F20" s="14">
        <v>26.5</v>
      </c>
      <c r="G20" s="8"/>
    </row>
    <row r="21" spans="1:8" s="9" customFormat="1" ht="23.1" customHeight="1" x14ac:dyDescent="0.25">
      <c r="A21" s="67"/>
      <c r="B21" s="11" t="s">
        <v>22</v>
      </c>
      <c r="C21" s="15">
        <f>C22*2.43</f>
        <v>13357.710000000001</v>
      </c>
      <c r="D21" s="22"/>
      <c r="E21" s="16">
        <f t="shared" si="1"/>
        <v>369474.2586</v>
      </c>
      <c r="F21" s="14">
        <v>27.66</v>
      </c>
      <c r="G21" s="8"/>
    </row>
    <row r="22" spans="1:8" s="9" customFormat="1" ht="23.1" customHeight="1" x14ac:dyDescent="0.25">
      <c r="A22" s="67"/>
      <c r="B22" s="11" t="s">
        <v>23</v>
      </c>
      <c r="C22" s="12">
        <v>5497</v>
      </c>
      <c r="D22" s="12"/>
      <c r="E22" s="16">
        <f t="shared" si="1"/>
        <v>144296.25</v>
      </c>
      <c r="F22" s="23">
        <v>26.25</v>
      </c>
      <c r="G22" s="8"/>
    </row>
    <row r="23" spans="1:8" s="9" customFormat="1" ht="23.1" customHeight="1" x14ac:dyDescent="0.25">
      <c r="A23" s="42" t="s">
        <v>11</v>
      </c>
      <c r="B23" s="11" t="s">
        <v>24</v>
      </c>
      <c r="C23" s="12">
        <v>3</v>
      </c>
      <c r="D23" s="12"/>
      <c r="E23" s="16">
        <f t="shared" si="1"/>
        <v>61.86</v>
      </c>
      <c r="F23" s="23">
        <v>20.62</v>
      </c>
      <c r="G23" s="8"/>
    </row>
    <row r="24" spans="1:8" s="9" customFormat="1" ht="23.1" customHeight="1" x14ac:dyDescent="0.25">
      <c r="A24" s="61" t="s">
        <v>13</v>
      </c>
      <c r="B24" s="11" t="s">
        <v>25</v>
      </c>
      <c r="C24" s="12">
        <v>0</v>
      </c>
      <c r="D24" s="12"/>
      <c r="E24" s="16">
        <f t="shared" si="1"/>
        <v>0</v>
      </c>
      <c r="F24" s="23">
        <v>171.74</v>
      </c>
      <c r="G24" s="8"/>
    </row>
    <row r="25" spans="1:8" s="9" customFormat="1" ht="23.1" customHeight="1" x14ac:dyDescent="0.25">
      <c r="A25" s="68"/>
      <c r="B25" s="11" t="s">
        <v>26</v>
      </c>
      <c r="C25" s="12">
        <v>0</v>
      </c>
      <c r="D25" s="12"/>
      <c r="E25" s="16">
        <f t="shared" si="1"/>
        <v>0</v>
      </c>
      <c r="F25" s="23">
        <v>176.79</v>
      </c>
      <c r="G25" s="8"/>
    </row>
    <row r="26" spans="1:8" s="9" customFormat="1" ht="23.1" customHeight="1" x14ac:dyDescent="0.25">
      <c r="A26" s="68"/>
      <c r="B26" s="11" t="s">
        <v>27</v>
      </c>
      <c r="C26" s="12">
        <v>0</v>
      </c>
      <c r="D26" s="12"/>
      <c r="E26" s="16">
        <f t="shared" si="1"/>
        <v>0</v>
      </c>
      <c r="F26" s="23">
        <v>180.36</v>
      </c>
      <c r="G26" s="8"/>
    </row>
    <row r="27" spans="1:8" s="9" customFormat="1" ht="23.1" customHeight="1" x14ac:dyDescent="0.25">
      <c r="A27" s="68"/>
      <c r="B27" s="11" t="s">
        <v>28</v>
      </c>
      <c r="C27" s="12">
        <v>0</v>
      </c>
      <c r="D27" s="12"/>
      <c r="E27" s="16">
        <f t="shared" si="1"/>
        <v>0</v>
      </c>
      <c r="F27" s="23">
        <v>185.71</v>
      </c>
      <c r="G27" s="8"/>
    </row>
    <row r="28" spans="1:8" s="9" customFormat="1" ht="23.1" hidden="1" customHeight="1" x14ac:dyDescent="0.25">
      <c r="A28" s="62"/>
      <c r="B28" s="11" t="s">
        <v>29</v>
      </c>
      <c r="C28" s="12"/>
      <c r="D28" s="12"/>
      <c r="E28" s="16">
        <f t="shared" si="1"/>
        <v>0</v>
      </c>
      <c r="F28" s="23">
        <v>207</v>
      </c>
      <c r="G28" s="8"/>
    </row>
    <row r="29" spans="1:8" s="9" customFormat="1" ht="23.1" customHeight="1" x14ac:dyDescent="0.25">
      <c r="A29" s="61" t="s">
        <v>11</v>
      </c>
      <c r="B29" s="11" t="s">
        <v>30</v>
      </c>
      <c r="C29" s="12">
        <v>44750</v>
      </c>
      <c r="D29" s="12"/>
      <c r="E29" s="16">
        <f t="shared" si="1"/>
        <v>8474755</v>
      </c>
      <c r="F29" s="14">
        <v>189.38</v>
      </c>
      <c r="G29" s="8"/>
    </row>
    <row r="30" spans="1:8" s="9" customFormat="1" ht="23.1" customHeight="1" x14ac:dyDescent="0.25">
      <c r="A30" s="68"/>
      <c r="B30" s="11" t="s">
        <v>31</v>
      </c>
      <c r="C30" s="12">
        <v>0</v>
      </c>
      <c r="D30" s="12"/>
      <c r="E30" s="13">
        <f>C30*F30</f>
        <v>0</v>
      </c>
      <c r="F30" s="14">
        <v>195</v>
      </c>
      <c r="G30" s="8"/>
    </row>
    <row r="31" spans="1:8" s="9" customFormat="1" ht="23.1" customHeight="1" x14ac:dyDescent="0.25">
      <c r="A31" s="68"/>
      <c r="B31" s="11" t="s">
        <v>32</v>
      </c>
      <c r="C31" s="12">
        <v>1609</v>
      </c>
      <c r="D31" s="12"/>
      <c r="E31" s="13">
        <f t="shared" si="1"/>
        <v>313755</v>
      </c>
      <c r="F31" s="14">
        <v>195</v>
      </c>
      <c r="G31" s="8"/>
    </row>
    <row r="32" spans="1:8" s="9" customFormat="1" ht="24.75" hidden="1" customHeight="1" x14ac:dyDescent="0.25">
      <c r="A32" s="68"/>
      <c r="B32" s="11" t="s">
        <v>33</v>
      </c>
      <c r="C32" s="12"/>
      <c r="D32" s="12"/>
      <c r="E32" s="13">
        <f t="shared" si="1"/>
        <v>0</v>
      </c>
      <c r="F32" s="23">
        <v>359.83</v>
      </c>
      <c r="G32" s="8"/>
    </row>
    <row r="33" spans="1:17" s="9" customFormat="1" ht="24.75" hidden="1" customHeight="1" x14ac:dyDescent="0.25">
      <c r="A33" s="68"/>
      <c r="B33" s="11" t="s">
        <v>34</v>
      </c>
      <c r="C33" s="12"/>
      <c r="D33" s="12"/>
      <c r="E33" s="13">
        <f t="shared" si="1"/>
        <v>0</v>
      </c>
      <c r="F33" s="23">
        <v>379.46</v>
      </c>
      <c r="G33" s="8"/>
    </row>
    <row r="34" spans="1:17" s="9" customFormat="1" ht="23.1" customHeight="1" x14ac:dyDescent="0.25">
      <c r="A34" s="68"/>
      <c r="B34" s="11" t="s">
        <v>35</v>
      </c>
      <c r="C34" s="12">
        <v>20129</v>
      </c>
      <c r="D34" s="12"/>
      <c r="E34" s="16">
        <f t="shared" si="1"/>
        <v>707534.35</v>
      </c>
      <c r="F34" s="14">
        <v>35.15</v>
      </c>
      <c r="G34" s="8"/>
    </row>
    <row r="35" spans="1:17" s="9" customFormat="1" ht="19.5" customHeight="1" x14ac:dyDescent="0.25">
      <c r="A35" s="62"/>
      <c r="B35" s="11" t="s">
        <v>53</v>
      </c>
      <c r="C35" s="12">
        <v>1676</v>
      </c>
      <c r="D35" s="12"/>
      <c r="E35" s="16">
        <f>C35*F35</f>
        <v>62850</v>
      </c>
      <c r="F35" s="14">
        <v>37.5</v>
      </c>
      <c r="G35" s="8"/>
    </row>
    <row r="36" spans="1:17" s="9" customFormat="1" ht="23.1" customHeight="1" x14ac:dyDescent="0.25">
      <c r="A36" s="61" t="s">
        <v>13</v>
      </c>
      <c r="B36" s="11" t="s">
        <v>36</v>
      </c>
      <c r="C36" s="22"/>
      <c r="D36" s="12"/>
      <c r="E36" s="16">
        <f>C36*F36</f>
        <v>0</v>
      </c>
      <c r="F36" s="46">
        <v>35.892857142857139</v>
      </c>
      <c r="G36" s="8"/>
    </row>
    <row r="37" spans="1:17" s="9" customFormat="1" ht="24.75" hidden="1" customHeight="1" x14ac:dyDescent="0.25">
      <c r="A37" s="68"/>
      <c r="B37" s="11" t="s">
        <v>37</v>
      </c>
      <c r="C37" s="12"/>
      <c r="D37" s="12"/>
      <c r="E37" s="16"/>
      <c r="F37" s="23">
        <v>40.200000000000003</v>
      </c>
      <c r="G37" s="8"/>
    </row>
    <row r="38" spans="1:17" s="9" customFormat="1" ht="23.1" customHeight="1" x14ac:dyDescent="0.25">
      <c r="A38" s="62"/>
      <c r="B38" s="11" t="s">
        <v>38</v>
      </c>
      <c r="C38" s="12"/>
      <c r="D38" s="12"/>
      <c r="E38" s="13">
        <f>C38*F38</f>
        <v>0</v>
      </c>
      <c r="F38" s="23">
        <v>81.900000000000006</v>
      </c>
      <c r="G38" s="8"/>
    </row>
    <row r="39" spans="1:17" s="9" customFormat="1" ht="23.1" customHeight="1" x14ac:dyDescent="0.25">
      <c r="A39" s="61" t="s">
        <v>11</v>
      </c>
      <c r="B39" s="11" t="s">
        <v>39</v>
      </c>
      <c r="C39" s="22">
        <v>310</v>
      </c>
      <c r="D39" s="12"/>
      <c r="E39" s="13">
        <f>C39*F39</f>
        <v>2325</v>
      </c>
      <c r="F39" s="23">
        <v>7.5</v>
      </c>
      <c r="G39" s="8"/>
    </row>
    <row r="40" spans="1:17" s="9" customFormat="1" ht="23.1" customHeight="1" x14ac:dyDescent="0.25">
      <c r="A40" s="62"/>
      <c r="B40" s="11" t="s">
        <v>40</v>
      </c>
      <c r="C40" s="12">
        <v>92</v>
      </c>
      <c r="D40" s="12"/>
      <c r="E40" s="16">
        <f>C40*F40</f>
        <v>24580.560000000001</v>
      </c>
      <c r="F40" s="23">
        <v>267.18</v>
      </c>
      <c r="G40" s="8"/>
    </row>
    <row r="41" spans="1:17" s="9" customFormat="1" ht="25.5" customHeight="1" x14ac:dyDescent="0.25">
      <c r="A41" s="63" t="s">
        <v>59</v>
      </c>
      <c r="B41" s="63"/>
      <c r="C41" s="63"/>
      <c r="D41" s="63"/>
      <c r="E41" s="24">
        <f>SUM(E18:E40)</f>
        <v>17277308.792300001</v>
      </c>
      <c r="F41" s="25"/>
      <c r="G41" s="8"/>
      <c r="H41" s="44"/>
    </row>
    <row r="42" spans="1:17" x14ac:dyDescent="0.25">
      <c r="B42" s="26"/>
      <c r="C42" s="26"/>
      <c r="D42" s="26"/>
      <c r="E42" s="27"/>
      <c r="F42" s="26"/>
      <c r="H42" s="45"/>
    </row>
    <row r="43" spans="1:17" x14ac:dyDescent="0.25">
      <c r="B43" s="26"/>
      <c r="C43" s="26"/>
      <c r="D43" s="26"/>
      <c r="E43" s="29"/>
      <c r="F43" s="28"/>
      <c r="G43" s="1"/>
    </row>
    <row r="44" spans="1:17" x14ac:dyDescent="0.25">
      <c r="B44" s="26"/>
      <c r="C44" s="26"/>
      <c r="D44" s="26"/>
      <c r="E44" s="29"/>
      <c r="F44" s="28"/>
      <c r="G44" s="1"/>
    </row>
    <row r="45" spans="1:17" s="30" customFormat="1" x14ac:dyDescent="0.25">
      <c r="A45" s="30" t="s">
        <v>41</v>
      </c>
      <c r="B45" s="31" t="s">
        <v>42</v>
      </c>
      <c r="C45" s="32"/>
      <c r="E45" s="33"/>
      <c r="F45" s="32"/>
      <c r="G45" s="32"/>
      <c r="H45" s="32"/>
      <c r="I45" s="32"/>
      <c r="J45" s="32"/>
      <c r="L45" s="32"/>
    </row>
    <row r="46" spans="1:17" s="30" customFormat="1" x14ac:dyDescent="0.25">
      <c r="B46" s="30" t="s">
        <v>52</v>
      </c>
      <c r="C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0" customFormat="1" ht="28.5" customHeight="1" x14ac:dyDescent="0.25"/>
    <row r="48" spans="1:17" s="30" customFormat="1" x14ac:dyDescent="0.25">
      <c r="A48" s="30" t="s">
        <v>43</v>
      </c>
      <c r="B48" s="35" t="s">
        <v>44</v>
      </c>
    </row>
    <row r="49" spans="1:21" s="30" customFormat="1" x14ac:dyDescent="0.25">
      <c r="B49" s="30" t="s">
        <v>45</v>
      </c>
      <c r="K49" s="32"/>
      <c r="L49" s="32"/>
      <c r="M49" s="32"/>
      <c r="N49" s="32"/>
      <c r="O49" s="32"/>
    </row>
    <row r="50" spans="1:21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6"/>
      <c r="U50" s="37"/>
    </row>
    <row r="51" spans="1:21" ht="21" customHeight="1" x14ac:dyDescent="0.25"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6"/>
      <c r="U51" s="37"/>
    </row>
    <row r="52" spans="1:21" x14ac:dyDescent="0.25">
      <c r="A52" s="1" t="s">
        <v>46</v>
      </c>
      <c r="B52" s="35" t="s">
        <v>47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6"/>
      <c r="U52" s="37"/>
    </row>
    <row r="53" spans="1:21" x14ac:dyDescent="0.25">
      <c r="B53" s="30" t="s">
        <v>58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6"/>
      <c r="U53" s="37"/>
    </row>
    <row r="54" spans="1:21" ht="17.25" customHeight="1" x14ac:dyDescent="0.25">
      <c r="B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6"/>
      <c r="U54" s="37"/>
    </row>
    <row r="55" spans="1:21" x14ac:dyDescent="0.25">
      <c r="B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6"/>
      <c r="U55" s="37"/>
    </row>
    <row r="56" spans="1:21" x14ac:dyDescent="0.25">
      <c r="A56" s="38" t="s">
        <v>49</v>
      </c>
      <c r="B56" s="35" t="s">
        <v>50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7"/>
      <c r="U56" s="37"/>
    </row>
    <row r="57" spans="1:21" s="39" customFormat="1" ht="17.25" customHeight="1" x14ac:dyDescent="0.25">
      <c r="B57" s="40" t="s">
        <v>57</v>
      </c>
    </row>
    <row r="58" spans="1:21" s="30" customFormat="1" x14ac:dyDescent="0.25">
      <c r="B58" s="3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1:21" s="30" customFormat="1" x14ac:dyDescent="0.25">
      <c r="B59" s="3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30" customFormat="1" x14ac:dyDescent="0.2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30" customFormat="1" x14ac:dyDescent="0.25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30" customFormat="1" x14ac:dyDescent="0.25"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s="30" customFormat="1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s="30" customFormat="1" x14ac:dyDescent="0.25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 s="30" customFormat="1" x14ac:dyDescent="0.2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2:21" s="30" customFormat="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</sheetData>
  <mergeCells count="20">
    <mergeCell ref="A39:A40"/>
    <mergeCell ref="A41:D41"/>
    <mergeCell ref="A14:A15"/>
    <mergeCell ref="A18:B18"/>
    <mergeCell ref="A19:A22"/>
    <mergeCell ref="A24:A28"/>
    <mergeCell ref="A29:A35"/>
    <mergeCell ref="A36:A38"/>
    <mergeCell ref="B8:G8"/>
    <mergeCell ref="A9:A12"/>
    <mergeCell ref="B9:B12"/>
    <mergeCell ref="C9:D11"/>
    <mergeCell ref="E9:E11"/>
    <mergeCell ref="F9:F12"/>
    <mergeCell ref="A7:F7"/>
    <mergeCell ref="B1:G1"/>
    <mergeCell ref="A2:F2"/>
    <mergeCell ref="A3:F3"/>
    <mergeCell ref="B5:G5"/>
    <mergeCell ref="A6:F6"/>
  </mergeCells>
  <pageMargins left="0.59055118110236227" right="0.70866141732283472" top="0.39370078740157483" bottom="0.74803149606299213" header="0.31496062992125984" footer="0.31496062992125984"/>
  <pageSetup paperSize="14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opLeftCell="A21" workbookViewId="0">
      <selection activeCell="B52" sqref="B52:B53"/>
    </sheetView>
  </sheetViews>
  <sheetFormatPr defaultRowHeight="15.75" x14ac:dyDescent="0.25"/>
  <cols>
    <col min="1" max="1" width="16" style="1" customWidth="1"/>
    <col min="2" max="2" width="30.5703125" style="1" customWidth="1"/>
    <col min="3" max="3" width="12" style="1" customWidth="1"/>
    <col min="4" max="4" width="13.140625" style="1" customWidth="1"/>
    <col min="5" max="5" width="19.5703125" style="1" bestFit="1" customWidth="1"/>
    <col min="6" max="6" width="14.140625" style="1" customWidth="1"/>
    <col min="7" max="7" width="15.7109375" style="28" bestFit="1" customWidth="1"/>
    <col min="8" max="8" width="13.140625" style="1" bestFit="1" customWidth="1"/>
    <col min="9" max="9" width="9.140625" style="1"/>
    <col min="10" max="10" width="13.5703125" style="1" bestFit="1" customWidth="1"/>
    <col min="11" max="16384" width="9.140625" style="1"/>
  </cols>
  <sheetData>
    <row r="1" spans="1:13" ht="9.75" customHeight="1" x14ac:dyDescent="0.25">
      <c r="B1" s="55"/>
      <c r="C1" s="55"/>
      <c r="D1" s="55"/>
      <c r="E1" s="55"/>
      <c r="F1" s="55"/>
      <c r="G1" s="55"/>
    </row>
    <row r="2" spans="1:13" s="3" customFormat="1" ht="20.25" x14ac:dyDescent="0.3">
      <c r="A2" s="56" t="s">
        <v>0</v>
      </c>
      <c r="B2" s="56"/>
      <c r="C2" s="56"/>
      <c r="D2" s="56"/>
      <c r="E2" s="56"/>
      <c r="F2" s="56"/>
      <c r="G2" s="2"/>
    </row>
    <row r="3" spans="1:13" s="3" customFormat="1" ht="20.25" x14ac:dyDescent="0.3">
      <c r="A3" s="56" t="s">
        <v>1</v>
      </c>
      <c r="B3" s="56"/>
      <c r="C3" s="56"/>
      <c r="D3" s="56"/>
      <c r="E3" s="56"/>
      <c r="F3" s="56"/>
      <c r="G3" s="2"/>
    </row>
    <row r="4" spans="1:13" s="3" customFormat="1" ht="9.75" customHeight="1" x14ac:dyDescent="0.3">
      <c r="A4" s="4"/>
      <c r="B4" s="50"/>
      <c r="C4" s="50"/>
      <c r="D4" s="50"/>
      <c r="E4" s="50"/>
      <c r="F4" s="50"/>
      <c r="G4" s="2"/>
    </row>
    <row r="5" spans="1:13" s="3" customFormat="1" ht="0.75" customHeight="1" x14ac:dyDescent="0.3">
      <c r="A5" s="4"/>
      <c r="B5" s="56"/>
      <c r="C5" s="56"/>
      <c r="D5" s="56"/>
      <c r="E5" s="56"/>
      <c r="F5" s="56"/>
      <c r="G5" s="56"/>
    </row>
    <row r="6" spans="1:13" s="3" customFormat="1" ht="20.25" x14ac:dyDescent="0.3">
      <c r="A6" s="54" t="s">
        <v>2</v>
      </c>
      <c r="B6" s="54"/>
      <c r="C6" s="54"/>
      <c r="D6" s="54"/>
      <c r="E6" s="54"/>
      <c r="F6" s="54"/>
      <c r="G6" s="5"/>
    </row>
    <row r="7" spans="1:13" s="3" customFormat="1" ht="20.25" customHeight="1" x14ac:dyDescent="0.3">
      <c r="A7" s="54" t="s">
        <v>62</v>
      </c>
      <c r="B7" s="54"/>
      <c r="C7" s="54"/>
      <c r="D7" s="54"/>
      <c r="E7" s="54"/>
      <c r="F7" s="54"/>
      <c r="G7" s="5"/>
    </row>
    <row r="8" spans="1:13" ht="10.5" customHeight="1" x14ac:dyDescent="0.25">
      <c r="B8" s="57"/>
      <c r="C8" s="57"/>
      <c r="D8" s="57"/>
      <c r="E8" s="57"/>
      <c r="F8" s="57"/>
      <c r="G8" s="57"/>
    </row>
    <row r="9" spans="1:13" ht="21.95" customHeight="1" x14ac:dyDescent="0.25">
      <c r="A9" s="58" t="s">
        <v>3</v>
      </c>
      <c r="B9" s="59" t="s">
        <v>4</v>
      </c>
      <c r="C9" s="60" t="s">
        <v>5</v>
      </c>
      <c r="D9" s="60"/>
      <c r="E9" s="60" t="s">
        <v>6</v>
      </c>
      <c r="F9" s="59" t="s">
        <v>7</v>
      </c>
      <c r="G9" s="6"/>
    </row>
    <row r="10" spans="1:13" ht="21.95" customHeight="1" x14ac:dyDescent="0.25">
      <c r="A10" s="58"/>
      <c r="B10" s="59"/>
      <c r="C10" s="60"/>
      <c r="D10" s="60"/>
      <c r="E10" s="60"/>
      <c r="F10" s="59"/>
      <c r="G10" s="6"/>
    </row>
    <row r="11" spans="1:13" ht="21.95" customHeight="1" x14ac:dyDescent="0.25">
      <c r="A11" s="58"/>
      <c r="B11" s="59"/>
      <c r="C11" s="60"/>
      <c r="D11" s="60"/>
      <c r="E11" s="60"/>
      <c r="F11" s="59"/>
      <c r="G11" s="6"/>
    </row>
    <row r="12" spans="1:13" s="10" customFormat="1" ht="23.1" customHeight="1" x14ac:dyDescent="0.25">
      <c r="A12" s="58"/>
      <c r="B12" s="59"/>
      <c r="C12" s="7" t="s">
        <v>8</v>
      </c>
      <c r="D12" s="7" t="s">
        <v>9</v>
      </c>
      <c r="E12" s="7" t="s">
        <v>10</v>
      </c>
      <c r="F12" s="59"/>
      <c r="G12" s="8"/>
      <c r="H12" s="9"/>
      <c r="I12" s="9"/>
      <c r="J12" s="9"/>
      <c r="K12" s="9"/>
      <c r="L12" s="9"/>
      <c r="M12" s="9"/>
    </row>
    <row r="13" spans="1:13" s="9" customFormat="1" ht="23.1" hidden="1" customHeight="1" x14ac:dyDescent="0.25">
      <c r="A13" s="43" t="s">
        <v>11</v>
      </c>
      <c r="B13" s="11" t="s">
        <v>12</v>
      </c>
      <c r="C13" s="12"/>
      <c r="D13" s="12">
        <f>C13/200*25</f>
        <v>0</v>
      </c>
      <c r="E13" s="13">
        <f t="shared" ref="E13:E16" si="0">C13*F13</f>
        <v>0</v>
      </c>
      <c r="F13" s="14">
        <v>23.75</v>
      </c>
      <c r="G13" s="8"/>
    </row>
    <row r="14" spans="1:13" s="9" customFormat="1" ht="19.5" customHeight="1" x14ac:dyDescent="0.25">
      <c r="A14" s="64" t="s">
        <v>13</v>
      </c>
      <c r="B14" s="11" t="s">
        <v>56</v>
      </c>
      <c r="C14" s="12">
        <v>41302</v>
      </c>
      <c r="D14" s="15">
        <f>C14/208*25</f>
        <v>4964.1826923076924</v>
      </c>
      <c r="E14" s="16">
        <f>C14*F14</f>
        <v>1129353.6276</v>
      </c>
      <c r="F14" s="48">
        <v>27.343800000000002</v>
      </c>
      <c r="G14" s="8"/>
    </row>
    <row r="15" spans="1:13" s="9" customFormat="1" ht="15.75" hidden="1" customHeight="1" x14ac:dyDescent="0.25">
      <c r="A15" s="65"/>
      <c r="B15" s="11" t="s">
        <v>15</v>
      </c>
      <c r="C15" s="12"/>
      <c r="D15" s="15">
        <f>C15/135*25</f>
        <v>0</v>
      </c>
      <c r="E15" s="16">
        <f t="shared" si="0"/>
        <v>0</v>
      </c>
      <c r="F15" s="14">
        <v>40</v>
      </c>
      <c r="G15" s="8"/>
    </row>
    <row r="16" spans="1:13" s="9" customFormat="1" ht="23.1" customHeight="1" x14ac:dyDescent="0.25">
      <c r="A16" s="43" t="s">
        <v>11</v>
      </c>
      <c r="B16" s="11" t="s">
        <v>16</v>
      </c>
      <c r="C16" s="12">
        <v>40650</v>
      </c>
      <c r="D16" s="15">
        <f>C16/215*25</f>
        <v>4726.7441860465124</v>
      </c>
      <c r="E16" s="16">
        <f t="shared" si="0"/>
        <v>1201772.5349999999</v>
      </c>
      <c r="F16" s="46">
        <v>29.5639</v>
      </c>
      <c r="G16" s="8"/>
    </row>
    <row r="17" spans="1:8" s="9" customFormat="1" ht="23.1" hidden="1" customHeight="1" x14ac:dyDescent="0.25">
      <c r="A17" s="43" t="s">
        <v>13</v>
      </c>
      <c r="B17" s="11" t="s">
        <v>17</v>
      </c>
      <c r="C17" s="12"/>
      <c r="D17" s="15">
        <f>C17/38*25</f>
        <v>0</v>
      </c>
      <c r="E17" s="16">
        <f>C17*F17</f>
        <v>0</v>
      </c>
      <c r="F17" s="14">
        <v>115.8</v>
      </c>
      <c r="G17" s="8"/>
      <c r="H17" s="17"/>
    </row>
    <row r="18" spans="1:8" s="21" customFormat="1" ht="23.1" customHeight="1" x14ac:dyDescent="0.25">
      <c r="A18" s="66" t="s">
        <v>18</v>
      </c>
      <c r="B18" s="66"/>
      <c r="C18" s="18">
        <f>SUM(C13:C17)</f>
        <v>81952</v>
      </c>
      <c r="D18" s="19">
        <f>SUM(D13:D17)</f>
        <v>9690.9268783542047</v>
      </c>
      <c r="E18" s="19">
        <f>SUM(E13:E17)</f>
        <v>2331126.1625999999</v>
      </c>
      <c r="F18" s="19"/>
      <c r="G18" s="8"/>
      <c r="H18" s="20"/>
    </row>
    <row r="19" spans="1:8" s="9" customFormat="1" ht="23.1" customHeight="1" x14ac:dyDescent="0.25">
      <c r="A19" s="67" t="s">
        <v>19</v>
      </c>
      <c r="B19" s="11" t="s">
        <v>20</v>
      </c>
      <c r="C19" s="15"/>
      <c r="D19" s="15">
        <v>29541.5</v>
      </c>
      <c r="E19" s="16">
        <f>D19*F19</f>
        <v>4309514.0199999996</v>
      </c>
      <c r="F19" s="14">
        <v>145.88</v>
      </c>
      <c r="G19" s="8"/>
    </row>
    <row r="20" spans="1:8" s="9" customFormat="1" ht="24.75" hidden="1" customHeight="1" x14ac:dyDescent="0.25">
      <c r="A20" s="67"/>
      <c r="B20" s="11" t="s">
        <v>21</v>
      </c>
      <c r="C20" s="12"/>
      <c r="D20" s="15"/>
      <c r="E20" s="16">
        <f t="shared" ref="E20:E34" si="1">C20*F20</f>
        <v>0</v>
      </c>
      <c r="F20" s="14">
        <v>26.5</v>
      </c>
      <c r="G20" s="8"/>
    </row>
    <row r="21" spans="1:8" s="9" customFormat="1" ht="23.1" customHeight="1" x14ac:dyDescent="0.25">
      <c r="A21" s="67"/>
      <c r="B21" s="11" t="s">
        <v>22</v>
      </c>
      <c r="C21" s="15">
        <f>C22*2.43</f>
        <v>11299.5</v>
      </c>
      <c r="D21" s="22"/>
      <c r="E21" s="16">
        <f t="shared" si="1"/>
        <v>312544.17</v>
      </c>
      <c r="F21" s="14">
        <v>27.66</v>
      </c>
      <c r="G21" s="8"/>
    </row>
    <row r="22" spans="1:8" s="9" customFormat="1" ht="23.1" customHeight="1" x14ac:dyDescent="0.25">
      <c r="A22" s="67"/>
      <c r="B22" s="11" t="s">
        <v>23</v>
      </c>
      <c r="C22" s="12">
        <v>4650</v>
      </c>
      <c r="D22" s="12"/>
      <c r="E22" s="16">
        <f t="shared" si="1"/>
        <v>122062.5</v>
      </c>
      <c r="F22" s="23">
        <v>26.25</v>
      </c>
      <c r="G22" s="8"/>
    </row>
    <row r="23" spans="1:8" s="9" customFormat="1" ht="23.1" customHeight="1" x14ac:dyDescent="0.25">
      <c r="A23" s="42" t="s">
        <v>11</v>
      </c>
      <c r="B23" s="11" t="s">
        <v>24</v>
      </c>
      <c r="C23" s="12">
        <v>1</v>
      </c>
      <c r="D23" s="12"/>
      <c r="E23" s="16">
        <f t="shared" si="1"/>
        <v>20.62</v>
      </c>
      <c r="F23" s="23">
        <v>20.62</v>
      </c>
      <c r="G23" s="8"/>
    </row>
    <row r="24" spans="1:8" s="9" customFormat="1" ht="23.1" customHeight="1" x14ac:dyDescent="0.25">
      <c r="A24" s="61" t="s">
        <v>13</v>
      </c>
      <c r="B24" s="11" t="s">
        <v>25</v>
      </c>
      <c r="C24" s="12">
        <v>0</v>
      </c>
      <c r="D24" s="12"/>
      <c r="E24" s="16">
        <f t="shared" si="1"/>
        <v>0</v>
      </c>
      <c r="F24" s="23">
        <v>171.74</v>
      </c>
      <c r="G24" s="8"/>
    </row>
    <row r="25" spans="1:8" s="9" customFormat="1" ht="23.1" customHeight="1" x14ac:dyDescent="0.25">
      <c r="A25" s="68"/>
      <c r="B25" s="11" t="s">
        <v>26</v>
      </c>
      <c r="C25" s="12">
        <v>0</v>
      </c>
      <c r="D25" s="12"/>
      <c r="E25" s="16">
        <f t="shared" si="1"/>
        <v>0</v>
      </c>
      <c r="F25" s="23">
        <v>176.79</v>
      </c>
      <c r="G25" s="8"/>
    </row>
    <row r="26" spans="1:8" s="9" customFormat="1" ht="23.1" customHeight="1" x14ac:dyDescent="0.25">
      <c r="A26" s="68"/>
      <c r="B26" s="11" t="s">
        <v>27</v>
      </c>
      <c r="C26" s="12">
        <v>0</v>
      </c>
      <c r="D26" s="12"/>
      <c r="E26" s="16">
        <f t="shared" si="1"/>
        <v>0</v>
      </c>
      <c r="F26" s="23">
        <v>180.36</v>
      </c>
      <c r="G26" s="8"/>
    </row>
    <row r="27" spans="1:8" s="9" customFormat="1" ht="23.1" customHeight="1" x14ac:dyDescent="0.25">
      <c r="A27" s="68"/>
      <c r="B27" s="11" t="s">
        <v>28</v>
      </c>
      <c r="C27" s="12">
        <v>0</v>
      </c>
      <c r="D27" s="12"/>
      <c r="E27" s="16">
        <f t="shared" si="1"/>
        <v>0</v>
      </c>
      <c r="F27" s="23">
        <v>185.71</v>
      </c>
      <c r="G27" s="8"/>
    </row>
    <row r="28" spans="1:8" s="9" customFormat="1" ht="23.1" hidden="1" customHeight="1" x14ac:dyDescent="0.25">
      <c r="A28" s="62"/>
      <c r="B28" s="11" t="s">
        <v>29</v>
      </c>
      <c r="C28" s="12"/>
      <c r="D28" s="12"/>
      <c r="E28" s="16">
        <f t="shared" si="1"/>
        <v>0</v>
      </c>
      <c r="F28" s="23">
        <v>207</v>
      </c>
      <c r="G28" s="8"/>
    </row>
    <row r="29" spans="1:8" s="9" customFormat="1" ht="23.1" customHeight="1" x14ac:dyDescent="0.25">
      <c r="A29" s="61" t="s">
        <v>11</v>
      </c>
      <c r="B29" s="11" t="s">
        <v>30</v>
      </c>
      <c r="C29" s="12">
        <v>39878</v>
      </c>
      <c r="D29" s="12"/>
      <c r="E29" s="16">
        <f t="shared" si="1"/>
        <v>7552095.6399999997</v>
      </c>
      <c r="F29" s="14">
        <v>189.38</v>
      </c>
      <c r="G29" s="8"/>
    </row>
    <row r="30" spans="1:8" s="9" customFormat="1" ht="23.1" customHeight="1" x14ac:dyDescent="0.25">
      <c r="A30" s="68"/>
      <c r="B30" s="11" t="s">
        <v>31</v>
      </c>
      <c r="C30" s="12">
        <v>0</v>
      </c>
      <c r="D30" s="12"/>
      <c r="E30" s="13">
        <f>C30*F30</f>
        <v>0</v>
      </c>
      <c r="F30" s="14">
        <v>195</v>
      </c>
      <c r="G30" s="8"/>
    </row>
    <row r="31" spans="1:8" s="9" customFormat="1" ht="23.1" customHeight="1" x14ac:dyDescent="0.25">
      <c r="A31" s="68"/>
      <c r="B31" s="11" t="s">
        <v>32</v>
      </c>
      <c r="C31" s="12">
        <v>587</v>
      </c>
      <c r="D31" s="12"/>
      <c r="E31" s="13">
        <f t="shared" si="1"/>
        <v>114465</v>
      </c>
      <c r="F31" s="14">
        <v>195</v>
      </c>
      <c r="G31" s="8"/>
    </row>
    <row r="32" spans="1:8" s="9" customFormat="1" ht="24.75" hidden="1" customHeight="1" x14ac:dyDescent="0.25">
      <c r="A32" s="68"/>
      <c r="B32" s="11" t="s">
        <v>33</v>
      </c>
      <c r="C32" s="12"/>
      <c r="D32" s="12"/>
      <c r="E32" s="13">
        <f t="shared" si="1"/>
        <v>0</v>
      </c>
      <c r="F32" s="23">
        <v>359.83</v>
      </c>
      <c r="G32" s="8"/>
    </row>
    <row r="33" spans="1:17" s="9" customFormat="1" ht="24.75" hidden="1" customHeight="1" x14ac:dyDescent="0.25">
      <c r="A33" s="68"/>
      <c r="B33" s="11" t="s">
        <v>34</v>
      </c>
      <c r="C33" s="12"/>
      <c r="D33" s="12"/>
      <c r="E33" s="13">
        <f t="shared" si="1"/>
        <v>0</v>
      </c>
      <c r="F33" s="23">
        <v>379.46</v>
      </c>
      <c r="G33" s="8"/>
    </row>
    <row r="34" spans="1:17" s="9" customFormat="1" ht="23.1" customHeight="1" x14ac:dyDescent="0.25">
      <c r="A34" s="68"/>
      <c r="B34" s="11" t="s">
        <v>35</v>
      </c>
      <c r="C34" s="12">
        <v>18862</v>
      </c>
      <c r="D34" s="12"/>
      <c r="E34" s="16">
        <f t="shared" si="1"/>
        <v>662999.29999999993</v>
      </c>
      <c r="F34" s="14">
        <v>35.15</v>
      </c>
      <c r="G34" s="8"/>
    </row>
    <row r="35" spans="1:17" s="9" customFormat="1" ht="19.5" customHeight="1" x14ac:dyDescent="0.25">
      <c r="A35" s="62"/>
      <c r="B35" s="11" t="s">
        <v>53</v>
      </c>
      <c r="C35" s="12">
        <v>797</v>
      </c>
      <c r="D35" s="12"/>
      <c r="E35" s="16">
        <f>C35*F35</f>
        <v>29887.5</v>
      </c>
      <c r="F35" s="14">
        <v>37.5</v>
      </c>
      <c r="G35" s="8"/>
    </row>
    <row r="36" spans="1:17" s="9" customFormat="1" ht="23.1" customHeight="1" x14ac:dyDescent="0.25">
      <c r="A36" s="61" t="s">
        <v>13</v>
      </c>
      <c r="B36" s="11" t="s">
        <v>36</v>
      </c>
      <c r="C36" s="22">
        <v>20</v>
      </c>
      <c r="D36" s="12"/>
      <c r="E36" s="16">
        <f>C36*F36</f>
        <v>717.85714285714278</v>
      </c>
      <c r="F36" s="46">
        <v>35.892857142857139</v>
      </c>
      <c r="G36" s="8"/>
    </row>
    <row r="37" spans="1:17" s="9" customFormat="1" ht="24.75" hidden="1" customHeight="1" x14ac:dyDescent="0.25">
      <c r="A37" s="68"/>
      <c r="B37" s="11" t="s">
        <v>37</v>
      </c>
      <c r="C37" s="12"/>
      <c r="D37" s="12"/>
      <c r="E37" s="16"/>
      <c r="F37" s="23">
        <v>40.200000000000003</v>
      </c>
      <c r="G37" s="8"/>
    </row>
    <row r="38" spans="1:17" s="9" customFormat="1" ht="23.1" customHeight="1" x14ac:dyDescent="0.25">
      <c r="A38" s="62"/>
      <c r="B38" s="11" t="s">
        <v>38</v>
      </c>
      <c r="C38" s="12">
        <v>0</v>
      </c>
      <c r="D38" s="12"/>
      <c r="E38" s="13">
        <f>C38*F38</f>
        <v>0</v>
      </c>
      <c r="F38" s="23">
        <v>81.900000000000006</v>
      </c>
      <c r="G38" s="8"/>
    </row>
    <row r="39" spans="1:17" s="9" customFormat="1" ht="23.1" customHeight="1" x14ac:dyDescent="0.25">
      <c r="A39" s="61" t="s">
        <v>11</v>
      </c>
      <c r="B39" s="11" t="s">
        <v>39</v>
      </c>
      <c r="C39" s="22">
        <v>340</v>
      </c>
      <c r="D39" s="12"/>
      <c r="E39" s="13">
        <f>C39*F39</f>
        <v>2550</v>
      </c>
      <c r="F39" s="23">
        <v>7.5</v>
      </c>
      <c r="G39" s="8"/>
    </row>
    <row r="40" spans="1:17" s="9" customFormat="1" ht="23.1" customHeight="1" x14ac:dyDescent="0.25">
      <c r="A40" s="62"/>
      <c r="B40" s="11" t="s">
        <v>40</v>
      </c>
      <c r="C40" s="12">
        <v>158</v>
      </c>
      <c r="D40" s="12"/>
      <c r="E40" s="16">
        <f>C40*F40</f>
        <v>42214.44</v>
      </c>
      <c r="F40" s="23">
        <v>267.18</v>
      </c>
      <c r="G40" s="8"/>
    </row>
    <row r="41" spans="1:17" s="9" customFormat="1" ht="25.5" customHeight="1" x14ac:dyDescent="0.25">
      <c r="A41" s="63" t="s">
        <v>61</v>
      </c>
      <c r="B41" s="63"/>
      <c r="C41" s="63"/>
      <c r="D41" s="63"/>
      <c r="E41" s="24">
        <f>SUM(E18:E40)</f>
        <v>15480197.209742855</v>
      </c>
      <c r="F41" s="25"/>
      <c r="G41" s="8"/>
      <c r="H41" s="44"/>
    </row>
    <row r="42" spans="1:17" x14ac:dyDescent="0.25">
      <c r="B42" s="26"/>
      <c r="C42" s="26"/>
      <c r="D42" s="26"/>
      <c r="E42" s="27"/>
      <c r="F42" s="26"/>
      <c r="H42" s="45"/>
    </row>
    <row r="43" spans="1:17" x14ac:dyDescent="0.25">
      <c r="B43" s="26"/>
      <c r="C43" s="26"/>
      <c r="D43" s="26"/>
      <c r="E43" s="29"/>
      <c r="F43" s="28"/>
      <c r="G43" s="1"/>
    </row>
    <row r="44" spans="1:17" x14ac:dyDescent="0.25">
      <c r="B44" s="26"/>
      <c r="C44" s="26"/>
      <c r="D44" s="26"/>
      <c r="E44" s="29"/>
      <c r="F44" s="28"/>
      <c r="G44" s="1"/>
    </row>
    <row r="45" spans="1:17" s="30" customFormat="1" x14ac:dyDescent="0.25">
      <c r="A45" s="30" t="s">
        <v>41</v>
      </c>
      <c r="B45" s="31" t="s">
        <v>42</v>
      </c>
      <c r="C45" s="32"/>
      <c r="E45" s="33"/>
      <c r="F45" s="32"/>
      <c r="G45" s="32"/>
      <c r="H45" s="32"/>
      <c r="I45" s="32"/>
      <c r="J45" s="32"/>
      <c r="L45" s="32"/>
    </row>
    <row r="46" spans="1:17" s="30" customFormat="1" x14ac:dyDescent="0.25">
      <c r="B46" s="30" t="s">
        <v>52</v>
      </c>
      <c r="C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0" customFormat="1" ht="28.5" customHeight="1" x14ac:dyDescent="0.25"/>
    <row r="48" spans="1:17" s="30" customFormat="1" x14ac:dyDescent="0.25">
      <c r="A48" s="30" t="s">
        <v>43</v>
      </c>
      <c r="B48" s="35" t="s">
        <v>44</v>
      </c>
    </row>
    <row r="49" spans="1:21" s="30" customFormat="1" x14ac:dyDescent="0.25">
      <c r="B49" s="30" t="s">
        <v>45</v>
      </c>
      <c r="K49" s="32"/>
      <c r="L49" s="32"/>
      <c r="M49" s="32"/>
      <c r="N49" s="32"/>
      <c r="O49" s="32"/>
    </row>
    <row r="50" spans="1:21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6"/>
      <c r="U50" s="37"/>
    </row>
    <row r="51" spans="1:21" ht="21" customHeight="1" x14ac:dyDescent="0.25"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6"/>
      <c r="U51" s="37"/>
    </row>
    <row r="52" spans="1:21" x14ac:dyDescent="0.25">
      <c r="A52" s="1" t="s">
        <v>46</v>
      </c>
      <c r="B52" s="35" t="s">
        <v>47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6"/>
      <c r="U52" s="37"/>
    </row>
    <row r="53" spans="1:21" x14ac:dyDescent="0.25">
      <c r="B53" s="30" t="s">
        <v>58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6"/>
      <c r="U53" s="37"/>
    </row>
    <row r="54" spans="1:21" ht="17.25" customHeight="1" x14ac:dyDescent="0.25">
      <c r="B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6"/>
      <c r="U54" s="37"/>
    </row>
    <row r="55" spans="1:21" x14ac:dyDescent="0.25">
      <c r="B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6"/>
      <c r="U55" s="37"/>
    </row>
    <row r="56" spans="1:21" x14ac:dyDescent="0.25">
      <c r="A56" s="38" t="s">
        <v>49</v>
      </c>
      <c r="B56" s="35" t="s">
        <v>50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7"/>
      <c r="U56" s="37"/>
    </row>
    <row r="57" spans="1:21" s="39" customFormat="1" ht="17.25" customHeight="1" x14ac:dyDescent="0.25">
      <c r="B57" s="40" t="s">
        <v>57</v>
      </c>
    </row>
    <row r="58" spans="1:21" s="30" customFormat="1" x14ac:dyDescent="0.25">
      <c r="B58" s="3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1:21" s="30" customFormat="1" x14ac:dyDescent="0.25">
      <c r="B59" s="3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30" customFormat="1" x14ac:dyDescent="0.2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30" customFormat="1" x14ac:dyDescent="0.25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30" customFormat="1" x14ac:dyDescent="0.25"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s="30" customFormat="1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s="30" customFormat="1" x14ac:dyDescent="0.25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 s="30" customFormat="1" x14ac:dyDescent="0.2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2:21" s="30" customFormat="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</sheetData>
  <mergeCells count="20">
    <mergeCell ref="A39:A40"/>
    <mergeCell ref="A41:D41"/>
    <mergeCell ref="A14:A15"/>
    <mergeCell ref="A18:B18"/>
    <mergeCell ref="A19:A22"/>
    <mergeCell ref="A24:A28"/>
    <mergeCell ref="A29:A35"/>
    <mergeCell ref="A36:A38"/>
    <mergeCell ref="B8:G8"/>
    <mergeCell ref="A9:A12"/>
    <mergeCell ref="B9:B12"/>
    <mergeCell ref="C9:D11"/>
    <mergeCell ref="E9:E11"/>
    <mergeCell ref="F9:F12"/>
    <mergeCell ref="A7:F7"/>
    <mergeCell ref="B1:G1"/>
    <mergeCell ref="A2:F2"/>
    <mergeCell ref="A3:F3"/>
    <mergeCell ref="B5:G5"/>
    <mergeCell ref="A6:F6"/>
  </mergeCells>
  <pageMargins left="0.59055118110236227" right="0.70866141732283472" top="0.39370078740157483" bottom="0.74803149606299213" header="0.31496062992125984" footer="0.31496062992125984"/>
  <pageSetup paperSize="14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opLeftCell="A29" workbookViewId="0">
      <selection activeCell="G52" sqref="G52"/>
    </sheetView>
  </sheetViews>
  <sheetFormatPr defaultRowHeight="15.75" x14ac:dyDescent="0.25"/>
  <cols>
    <col min="1" max="1" width="16" style="1" customWidth="1"/>
    <col min="2" max="2" width="30.5703125" style="1" customWidth="1"/>
    <col min="3" max="3" width="12" style="1" customWidth="1"/>
    <col min="4" max="4" width="13.140625" style="1" customWidth="1"/>
    <col min="5" max="5" width="19.5703125" style="1" bestFit="1" customWidth="1"/>
    <col min="6" max="6" width="14.140625" style="1" customWidth="1"/>
    <col min="7" max="7" width="15.7109375" style="28" bestFit="1" customWidth="1"/>
    <col min="8" max="8" width="13.140625" style="1" bestFit="1" customWidth="1"/>
    <col min="9" max="9" width="9.140625" style="1"/>
    <col min="10" max="10" width="13.5703125" style="1" bestFit="1" customWidth="1"/>
    <col min="11" max="16384" width="9.140625" style="1"/>
  </cols>
  <sheetData>
    <row r="1" spans="1:13" ht="9.75" customHeight="1" x14ac:dyDescent="0.25">
      <c r="B1" s="55"/>
      <c r="C1" s="55"/>
      <c r="D1" s="55"/>
      <c r="E1" s="55"/>
      <c r="F1" s="55"/>
      <c r="G1" s="55"/>
    </row>
    <row r="2" spans="1:13" s="3" customFormat="1" ht="20.25" x14ac:dyDescent="0.3">
      <c r="A2" s="56" t="s">
        <v>0</v>
      </c>
      <c r="B2" s="56"/>
      <c r="C2" s="56"/>
      <c r="D2" s="56"/>
      <c r="E2" s="56"/>
      <c r="F2" s="56"/>
      <c r="G2" s="2"/>
    </row>
    <row r="3" spans="1:13" s="3" customFormat="1" ht="20.25" x14ac:dyDescent="0.3">
      <c r="A3" s="56" t="s">
        <v>1</v>
      </c>
      <c r="B3" s="56"/>
      <c r="C3" s="56"/>
      <c r="D3" s="56"/>
      <c r="E3" s="56"/>
      <c r="F3" s="56"/>
      <c r="G3" s="2"/>
    </row>
    <row r="4" spans="1:13" s="3" customFormat="1" ht="9.75" customHeight="1" x14ac:dyDescent="0.3">
      <c r="A4" s="4"/>
      <c r="B4" s="51"/>
      <c r="C4" s="51"/>
      <c r="D4" s="51"/>
      <c r="E4" s="51"/>
      <c r="F4" s="51"/>
      <c r="G4" s="2"/>
    </row>
    <row r="5" spans="1:13" s="3" customFormat="1" ht="0.75" customHeight="1" x14ac:dyDescent="0.3">
      <c r="A5" s="4"/>
      <c r="B5" s="56"/>
      <c r="C5" s="56"/>
      <c r="D5" s="56"/>
      <c r="E5" s="56"/>
      <c r="F5" s="56"/>
      <c r="G5" s="56"/>
    </row>
    <row r="6" spans="1:13" s="3" customFormat="1" ht="20.25" x14ac:dyDescent="0.3">
      <c r="A6" s="54" t="s">
        <v>2</v>
      </c>
      <c r="B6" s="54"/>
      <c r="C6" s="54"/>
      <c r="D6" s="54"/>
      <c r="E6" s="54"/>
      <c r="F6" s="54"/>
      <c r="G6" s="5"/>
    </row>
    <row r="7" spans="1:13" s="3" customFormat="1" ht="20.25" customHeight="1" x14ac:dyDescent="0.3">
      <c r="A7" s="54" t="s">
        <v>63</v>
      </c>
      <c r="B7" s="54"/>
      <c r="C7" s="54"/>
      <c r="D7" s="54"/>
      <c r="E7" s="54"/>
      <c r="F7" s="54"/>
      <c r="G7" s="5"/>
    </row>
    <row r="8" spans="1:13" ht="10.5" customHeight="1" x14ac:dyDescent="0.25">
      <c r="B8" s="57"/>
      <c r="C8" s="57"/>
      <c r="D8" s="57"/>
      <c r="E8" s="57"/>
      <c r="F8" s="57"/>
      <c r="G8" s="57"/>
    </row>
    <row r="9" spans="1:13" ht="21.95" customHeight="1" x14ac:dyDescent="0.25">
      <c r="A9" s="58" t="s">
        <v>3</v>
      </c>
      <c r="B9" s="59" t="s">
        <v>4</v>
      </c>
      <c r="C9" s="60" t="s">
        <v>5</v>
      </c>
      <c r="D9" s="60"/>
      <c r="E9" s="60" t="s">
        <v>6</v>
      </c>
      <c r="F9" s="59" t="s">
        <v>7</v>
      </c>
      <c r="G9" s="6"/>
    </row>
    <row r="10" spans="1:13" ht="21.95" customHeight="1" x14ac:dyDescent="0.25">
      <c r="A10" s="58"/>
      <c r="B10" s="59"/>
      <c r="C10" s="60"/>
      <c r="D10" s="60"/>
      <c r="E10" s="60"/>
      <c r="F10" s="59"/>
      <c r="G10" s="6"/>
    </row>
    <row r="11" spans="1:13" ht="21.95" customHeight="1" x14ac:dyDescent="0.25">
      <c r="A11" s="58"/>
      <c r="B11" s="59"/>
      <c r="C11" s="60"/>
      <c r="D11" s="60"/>
      <c r="E11" s="60"/>
      <c r="F11" s="59"/>
      <c r="G11" s="6"/>
    </row>
    <row r="12" spans="1:13" s="10" customFormat="1" ht="23.1" customHeight="1" x14ac:dyDescent="0.25">
      <c r="A12" s="58"/>
      <c r="B12" s="59"/>
      <c r="C12" s="7" t="s">
        <v>8</v>
      </c>
      <c r="D12" s="7" t="s">
        <v>9</v>
      </c>
      <c r="E12" s="7" t="s">
        <v>10</v>
      </c>
      <c r="F12" s="59"/>
      <c r="G12" s="8"/>
      <c r="H12" s="9"/>
      <c r="I12" s="9"/>
      <c r="J12" s="9"/>
      <c r="K12" s="9"/>
      <c r="L12" s="9"/>
      <c r="M12" s="9"/>
    </row>
    <row r="13" spans="1:13" s="9" customFormat="1" ht="23.1" hidden="1" customHeight="1" x14ac:dyDescent="0.25">
      <c r="A13" s="43" t="s">
        <v>11</v>
      </c>
      <c r="B13" s="11" t="s">
        <v>12</v>
      </c>
      <c r="C13" s="12"/>
      <c r="D13" s="12">
        <f>C13/200*25</f>
        <v>0</v>
      </c>
      <c r="E13" s="13">
        <f t="shared" ref="E13:E16" si="0">C13*F13</f>
        <v>0</v>
      </c>
      <c r="F13" s="14">
        <v>23.75</v>
      </c>
      <c r="G13" s="8"/>
    </row>
    <row r="14" spans="1:13" s="9" customFormat="1" ht="19.5" customHeight="1" x14ac:dyDescent="0.25">
      <c r="A14" s="64" t="s">
        <v>13</v>
      </c>
      <c r="B14" s="11" t="s">
        <v>56</v>
      </c>
      <c r="C14" s="12">
        <v>55225</v>
      </c>
      <c r="D14" s="15">
        <f>C14/208*25</f>
        <v>6637.6201923076924</v>
      </c>
      <c r="E14" s="16">
        <f>C14*F14</f>
        <v>1510061.355</v>
      </c>
      <c r="F14" s="48">
        <v>27.343800000000002</v>
      </c>
      <c r="G14" s="8"/>
    </row>
    <row r="15" spans="1:13" s="9" customFormat="1" ht="15.75" hidden="1" customHeight="1" x14ac:dyDescent="0.25">
      <c r="A15" s="65"/>
      <c r="B15" s="11" t="s">
        <v>15</v>
      </c>
      <c r="C15" s="12"/>
      <c r="D15" s="15">
        <f>C15/135*25</f>
        <v>0</v>
      </c>
      <c r="E15" s="16">
        <f t="shared" si="0"/>
        <v>0</v>
      </c>
      <c r="F15" s="14">
        <v>40</v>
      </c>
      <c r="G15" s="8"/>
    </row>
    <row r="16" spans="1:13" s="9" customFormat="1" ht="23.1" customHeight="1" x14ac:dyDescent="0.25">
      <c r="A16" s="43" t="s">
        <v>11</v>
      </c>
      <c r="B16" s="11" t="s">
        <v>16</v>
      </c>
      <c r="C16" s="12">
        <v>46249</v>
      </c>
      <c r="D16" s="15">
        <f>C16/215*25</f>
        <v>5377.790697674418</v>
      </c>
      <c r="E16" s="16">
        <f t="shared" si="0"/>
        <v>1367300.8111</v>
      </c>
      <c r="F16" s="46">
        <v>29.5639</v>
      </c>
      <c r="G16" s="8"/>
    </row>
    <row r="17" spans="1:8" s="9" customFormat="1" ht="23.1" hidden="1" customHeight="1" x14ac:dyDescent="0.25">
      <c r="A17" s="43" t="s">
        <v>13</v>
      </c>
      <c r="B17" s="11" t="s">
        <v>17</v>
      </c>
      <c r="C17" s="12"/>
      <c r="D17" s="15">
        <f>C17/38*25</f>
        <v>0</v>
      </c>
      <c r="E17" s="16">
        <f>C17*F17</f>
        <v>0</v>
      </c>
      <c r="F17" s="14">
        <v>115.8</v>
      </c>
      <c r="G17" s="8"/>
      <c r="H17" s="17"/>
    </row>
    <row r="18" spans="1:8" s="21" customFormat="1" ht="23.1" customHeight="1" x14ac:dyDescent="0.25">
      <c r="A18" s="66" t="s">
        <v>18</v>
      </c>
      <c r="B18" s="66"/>
      <c r="C18" s="18">
        <f>SUM(C13:C17)</f>
        <v>101474</v>
      </c>
      <c r="D18" s="19">
        <f>SUM(D13:D17)</f>
        <v>12015.410889982111</v>
      </c>
      <c r="E18" s="19">
        <f>SUM(E13:E17)</f>
        <v>2877362.1661</v>
      </c>
      <c r="F18" s="19"/>
      <c r="G18" s="8"/>
      <c r="H18" s="20"/>
    </row>
    <row r="19" spans="1:8" s="9" customFormat="1" ht="23.1" customHeight="1" x14ac:dyDescent="0.25">
      <c r="A19" s="67" t="s">
        <v>19</v>
      </c>
      <c r="B19" s="11" t="s">
        <v>20</v>
      </c>
      <c r="C19" s="15"/>
      <c r="D19" s="15">
        <v>35141.07</v>
      </c>
      <c r="E19" s="16">
        <f>D19*F19</f>
        <v>5126379.2916000001</v>
      </c>
      <c r="F19" s="14">
        <v>145.88</v>
      </c>
      <c r="G19" s="8"/>
    </row>
    <row r="20" spans="1:8" s="9" customFormat="1" ht="24.75" hidden="1" customHeight="1" x14ac:dyDescent="0.25">
      <c r="A20" s="67"/>
      <c r="B20" s="11" t="s">
        <v>21</v>
      </c>
      <c r="C20" s="12"/>
      <c r="D20" s="15"/>
      <c r="E20" s="16">
        <f t="shared" ref="E20:E34" si="1">C20*F20</f>
        <v>0</v>
      </c>
      <c r="F20" s="14">
        <v>26.5</v>
      </c>
      <c r="G20" s="8"/>
    </row>
    <row r="21" spans="1:8" s="9" customFormat="1" ht="23.1" customHeight="1" x14ac:dyDescent="0.25">
      <c r="A21" s="67"/>
      <c r="B21" s="11" t="s">
        <v>22</v>
      </c>
      <c r="C21" s="15">
        <f>C22*2.43</f>
        <v>14162.04</v>
      </c>
      <c r="D21" s="22"/>
      <c r="E21" s="16">
        <f t="shared" si="1"/>
        <v>391722.02640000003</v>
      </c>
      <c r="F21" s="14">
        <v>27.66</v>
      </c>
      <c r="G21" s="8"/>
    </row>
    <row r="22" spans="1:8" s="9" customFormat="1" ht="23.1" customHeight="1" x14ac:dyDescent="0.25">
      <c r="A22" s="67"/>
      <c r="B22" s="11" t="s">
        <v>23</v>
      </c>
      <c r="C22" s="12">
        <v>5828</v>
      </c>
      <c r="D22" s="12"/>
      <c r="E22" s="16">
        <f t="shared" si="1"/>
        <v>152985</v>
      </c>
      <c r="F22" s="23">
        <v>26.25</v>
      </c>
      <c r="G22" s="8"/>
    </row>
    <row r="23" spans="1:8" s="9" customFormat="1" ht="23.1" customHeight="1" x14ac:dyDescent="0.25">
      <c r="A23" s="42" t="s">
        <v>11</v>
      </c>
      <c r="B23" s="11" t="s">
        <v>24</v>
      </c>
      <c r="C23" s="12"/>
      <c r="D23" s="12"/>
      <c r="E23" s="16">
        <f t="shared" si="1"/>
        <v>0</v>
      </c>
      <c r="F23" s="23">
        <v>20.62</v>
      </c>
      <c r="G23" s="8"/>
    </row>
    <row r="24" spans="1:8" s="9" customFormat="1" ht="23.1" customHeight="1" x14ac:dyDescent="0.25">
      <c r="A24" s="61" t="s">
        <v>13</v>
      </c>
      <c r="B24" s="11" t="s">
        <v>25</v>
      </c>
      <c r="C24" s="12"/>
      <c r="D24" s="12"/>
      <c r="E24" s="16">
        <f t="shared" si="1"/>
        <v>0</v>
      </c>
      <c r="F24" s="23">
        <v>171.74</v>
      </c>
      <c r="G24" s="8"/>
    </row>
    <row r="25" spans="1:8" s="9" customFormat="1" ht="23.1" customHeight="1" x14ac:dyDescent="0.25">
      <c r="A25" s="68"/>
      <c r="B25" s="11" t="s">
        <v>26</v>
      </c>
      <c r="C25" s="12"/>
      <c r="D25" s="12"/>
      <c r="E25" s="16">
        <f t="shared" si="1"/>
        <v>0</v>
      </c>
      <c r="F25" s="23">
        <v>176.79</v>
      </c>
      <c r="G25" s="8"/>
    </row>
    <row r="26" spans="1:8" s="9" customFormat="1" ht="23.1" customHeight="1" x14ac:dyDescent="0.25">
      <c r="A26" s="68"/>
      <c r="B26" s="11" t="s">
        <v>27</v>
      </c>
      <c r="C26" s="12"/>
      <c r="D26" s="12"/>
      <c r="E26" s="16">
        <f t="shared" si="1"/>
        <v>0</v>
      </c>
      <c r="F26" s="23">
        <v>180.36</v>
      </c>
      <c r="G26" s="8"/>
    </row>
    <row r="27" spans="1:8" s="9" customFormat="1" ht="23.1" customHeight="1" x14ac:dyDescent="0.25">
      <c r="A27" s="68"/>
      <c r="B27" s="11" t="s">
        <v>28</v>
      </c>
      <c r="C27" s="12"/>
      <c r="D27" s="12"/>
      <c r="E27" s="16">
        <f t="shared" si="1"/>
        <v>0</v>
      </c>
      <c r="F27" s="23">
        <v>185.71</v>
      </c>
      <c r="G27" s="8"/>
    </row>
    <row r="28" spans="1:8" s="9" customFormat="1" ht="23.1" hidden="1" customHeight="1" x14ac:dyDescent="0.25">
      <c r="A28" s="62"/>
      <c r="B28" s="11" t="s">
        <v>29</v>
      </c>
      <c r="C28" s="12"/>
      <c r="D28" s="12"/>
      <c r="E28" s="16">
        <f t="shared" si="1"/>
        <v>0</v>
      </c>
      <c r="F28" s="23">
        <v>207</v>
      </c>
      <c r="G28" s="8"/>
    </row>
    <row r="29" spans="1:8" s="9" customFormat="1" ht="23.1" customHeight="1" x14ac:dyDescent="0.25">
      <c r="A29" s="61" t="s">
        <v>11</v>
      </c>
      <c r="B29" s="11" t="s">
        <v>30</v>
      </c>
      <c r="C29" s="12">
        <v>49312</v>
      </c>
      <c r="D29" s="12"/>
      <c r="E29" s="16">
        <f t="shared" si="1"/>
        <v>9338706.5600000005</v>
      </c>
      <c r="F29" s="14">
        <v>189.38</v>
      </c>
      <c r="G29" s="8"/>
    </row>
    <row r="30" spans="1:8" s="9" customFormat="1" ht="23.1" customHeight="1" x14ac:dyDescent="0.25">
      <c r="A30" s="68"/>
      <c r="B30" s="11" t="s">
        <v>31</v>
      </c>
      <c r="C30" s="12"/>
      <c r="D30" s="12"/>
      <c r="E30" s="13">
        <f>C30*F30</f>
        <v>0</v>
      </c>
      <c r="F30" s="14">
        <v>195</v>
      </c>
      <c r="G30" s="8"/>
    </row>
    <row r="31" spans="1:8" s="9" customFormat="1" ht="23.1" customHeight="1" x14ac:dyDescent="0.25">
      <c r="A31" s="68"/>
      <c r="B31" s="11" t="s">
        <v>32</v>
      </c>
      <c r="C31" s="12">
        <v>368</v>
      </c>
      <c r="D31" s="12"/>
      <c r="E31" s="13">
        <f t="shared" si="1"/>
        <v>71760</v>
      </c>
      <c r="F31" s="14">
        <v>195</v>
      </c>
      <c r="G31" s="8"/>
    </row>
    <row r="32" spans="1:8" s="9" customFormat="1" ht="24.75" hidden="1" customHeight="1" x14ac:dyDescent="0.25">
      <c r="A32" s="68"/>
      <c r="B32" s="11" t="s">
        <v>33</v>
      </c>
      <c r="C32" s="12"/>
      <c r="D32" s="12"/>
      <c r="E32" s="13">
        <f t="shared" si="1"/>
        <v>0</v>
      </c>
      <c r="F32" s="23">
        <v>359.83</v>
      </c>
      <c r="G32" s="8"/>
    </row>
    <row r="33" spans="1:17" s="9" customFormat="1" ht="24.75" hidden="1" customHeight="1" x14ac:dyDescent="0.25">
      <c r="A33" s="68"/>
      <c r="B33" s="11" t="s">
        <v>34</v>
      </c>
      <c r="C33" s="12"/>
      <c r="D33" s="12"/>
      <c r="E33" s="13">
        <f t="shared" si="1"/>
        <v>0</v>
      </c>
      <c r="F33" s="23">
        <v>379.46</v>
      </c>
      <c r="G33" s="8"/>
    </row>
    <row r="34" spans="1:17" s="9" customFormat="1" ht="23.1" customHeight="1" x14ac:dyDescent="0.25">
      <c r="A34" s="68"/>
      <c r="B34" s="11" t="s">
        <v>35</v>
      </c>
      <c r="C34" s="12">
        <v>24333</v>
      </c>
      <c r="D34" s="12"/>
      <c r="E34" s="16">
        <f t="shared" si="1"/>
        <v>855304.95</v>
      </c>
      <c r="F34" s="14">
        <v>35.15</v>
      </c>
      <c r="G34" s="8"/>
    </row>
    <row r="35" spans="1:17" s="9" customFormat="1" ht="19.5" customHeight="1" x14ac:dyDescent="0.25">
      <c r="A35" s="62"/>
      <c r="B35" s="11" t="s">
        <v>53</v>
      </c>
      <c r="C35" s="12"/>
      <c r="D35" s="12"/>
      <c r="E35" s="16">
        <f>C35*F35</f>
        <v>0</v>
      </c>
      <c r="F35" s="14">
        <v>37.5</v>
      </c>
      <c r="G35" s="8"/>
    </row>
    <row r="36" spans="1:17" s="9" customFormat="1" ht="23.1" customHeight="1" x14ac:dyDescent="0.25">
      <c r="A36" s="61" t="s">
        <v>13</v>
      </c>
      <c r="B36" s="11" t="s">
        <v>36</v>
      </c>
      <c r="C36" s="22"/>
      <c r="D36" s="12"/>
      <c r="E36" s="16">
        <f>C36*F36</f>
        <v>0</v>
      </c>
      <c r="F36" s="46">
        <v>35.892857142857139</v>
      </c>
      <c r="G36" s="8"/>
    </row>
    <row r="37" spans="1:17" s="9" customFormat="1" ht="24.75" hidden="1" customHeight="1" x14ac:dyDescent="0.25">
      <c r="A37" s="68"/>
      <c r="B37" s="11" t="s">
        <v>37</v>
      </c>
      <c r="C37" s="12"/>
      <c r="D37" s="12"/>
      <c r="E37" s="16"/>
      <c r="F37" s="23">
        <v>40.200000000000003</v>
      </c>
      <c r="G37" s="8"/>
    </row>
    <row r="38" spans="1:17" s="9" customFormat="1" ht="23.1" customHeight="1" x14ac:dyDescent="0.25">
      <c r="A38" s="62"/>
      <c r="B38" s="11" t="s">
        <v>38</v>
      </c>
      <c r="C38" s="12"/>
      <c r="D38" s="12"/>
      <c r="E38" s="13">
        <f>C38*F38</f>
        <v>0</v>
      </c>
      <c r="F38" s="23">
        <v>81.900000000000006</v>
      </c>
      <c r="G38" s="8"/>
    </row>
    <row r="39" spans="1:17" s="9" customFormat="1" ht="23.1" customHeight="1" x14ac:dyDescent="0.25">
      <c r="A39" s="61" t="s">
        <v>11</v>
      </c>
      <c r="B39" s="11" t="s">
        <v>39</v>
      </c>
      <c r="C39" s="22">
        <v>90</v>
      </c>
      <c r="D39" s="12"/>
      <c r="E39" s="13">
        <f>C39*F39</f>
        <v>675</v>
      </c>
      <c r="F39" s="23">
        <v>7.5</v>
      </c>
      <c r="G39" s="8"/>
    </row>
    <row r="40" spans="1:17" s="9" customFormat="1" ht="23.1" customHeight="1" x14ac:dyDescent="0.25">
      <c r="A40" s="62"/>
      <c r="B40" s="11" t="s">
        <v>40</v>
      </c>
      <c r="C40" s="12">
        <v>156</v>
      </c>
      <c r="D40" s="12"/>
      <c r="E40" s="16">
        <f>C40*F40</f>
        <v>41680.080000000002</v>
      </c>
      <c r="F40" s="23">
        <v>267.18</v>
      </c>
      <c r="G40" s="8"/>
    </row>
    <row r="41" spans="1:17" s="9" customFormat="1" ht="25.5" customHeight="1" x14ac:dyDescent="0.25">
      <c r="A41" s="63" t="s">
        <v>64</v>
      </c>
      <c r="B41" s="63"/>
      <c r="C41" s="63"/>
      <c r="D41" s="63"/>
      <c r="E41" s="24">
        <f>SUM(E18:E40)</f>
        <v>18856575.074099999</v>
      </c>
      <c r="F41" s="25"/>
      <c r="G41" s="8"/>
      <c r="H41" s="44"/>
    </row>
    <row r="42" spans="1:17" x14ac:dyDescent="0.25">
      <c r="B42" s="26"/>
      <c r="C42" s="26"/>
      <c r="D42" s="26"/>
      <c r="E42" s="27"/>
      <c r="F42" s="26"/>
      <c r="H42" s="45"/>
    </row>
    <row r="43" spans="1:17" x14ac:dyDescent="0.25">
      <c r="B43" s="26"/>
      <c r="C43" s="26"/>
      <c r="D43" s="26"/>
      <c r="E43" s="29"/>
      <c r="F43" s="28"/>
      <c r="G43" s="1"/>
    </row>
    <row r="44" spans="1:17" x14ac:dyDescent="0.25">
      <c r="B44" s="26"/>
      <c r="C44" s="26"/>
      <c r="D44" s="26"/>
      <c r="E44" s="29"/>
      <c r="F44" s="28"/>
      <c r="G44" s="1"/>
    </row>
    <row r="45" spans="1:17" s="30" customFormat="1" x14ac:dyDescent="0.25">
      <c r="A45" s="30" t="s">
        <v>41</v>
      </c>
      <c r="B45" s="31" t="s">
        <v>42</v>
      </c>
      <c r="C45" s="32"/>
      <c r="E45" s="33"/>
      <c r="F45" s="32"/>
      <c r="G45" s="32"/>
      <c r="H45" s="32"/>
      <c r="I45" s="32"/>
      <c r="J45" s="32"/>
      <c r="L45" s="32"/>
    </row>
    <row r="46" spans="1:17" s="30" customFormat="1" x14ac:dyDescent="0.25">
      <c r="B46" s="30" t="s">
        <v>52</v>
      </c>
      <c r="C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0" customFormat="1" ht="28.5" customHeight="1" x14ac:dyDescent="0.25"/>
    <row r="48" spans="1:17" s="30" customFormat="1" x14ac:dyDescent="0.25">
      <c r="A48" s="30" t="s">
        <v>43</v>
      </c>
      <c r="B48" s="35" t="s">
        <v>44</v>
      </c>
    </row>
    <row r="49" spans="1:21" s="30" customFormat="1" x14ac:dyDescent="0.25">
      <c r="B49" s="30" t="s">
        <v>45</v>
      </c>
      <c r="K49" s="32"/>
      <c r="L49" s="32"/>
      <c r="M49" s="32"/>
      <c r="N49" s="32"/>
      <c r="O49" s="32"/>
    </row>
    <row r="50" spans="1:21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6"/>
      <c r="U50" s="37"/>
    </row>
    <row r="51" spans="1:21" ht="21" customHeight="1" x14ac:dyDescent="0.25"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6"/>
      <c r="U51" s="37"/>
    </row>
    <row r="52" spans="1:21" x14ac:dyDescent="0.25">
      <c r="A52" s="1" t="s">
        <v>46</v>
      </c>
      <c r="B52" s="35" t="s">
        <v>65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6"/>
      <c r="U52" s="37"/>
    </row>
    <row r="53" spans="1:21" x14ac:dyDescent="0.25">
      <c r="B53" s="30" t="s">
        <v>66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6"/>
      <c r="U53" s="37"/>
    </row>
    <row r="54" spans="1:21" ht="17.25" customHeight="1" x14ac:dyDescent="0.25">
      <c r="B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6"/>
      <c r="U54" s="37"/>
    </row>
    <row r="55" spans="1:21" x14ac:dyDescent="0.25">
      <c r="B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6"/>
      <c r="U55" s="37"/>
    </row>
    <row r="56" spans="1:21" x14ac:dyDescent="0.25">
      <c r="A56" s="38" t="s">
        <v>49</v>
      </c>
      <c r="B56" s="35" t="s">
        <v>50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7"/>
      <c r="U56" s="37"/>
    </row>
    <row r="57" spans="1:21" s="39" customFormat="1" ht="17.25" customHeight="1" x14ac:dyDescent="0.25">
      <c r="B57" s="40" t="s">
        <v>57</v>
      </c>
    </row>
    <row r="58" spans="1:21" s="30" customFormat="1" x14ac:dyDescent="0.25">
      <c r="B58" s="3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1:21" s="30" customFormat="1" x14ac:dyDescent="0.25">
      <c r="B59" s="3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30" customFormat="1" x14ac:dyDescent="0.2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30" customFormat="1" x14ac:dyDescent="0.25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30" customFormat="1" x14ac:dyDescent="0.25"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s="30" customFormat="1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s="30" customFormat="1" x14ac:dyDescent="0.25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 s="30" customFormat="1" x14ac:dyDescent="0.2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2:21" s="30" customFormat="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</sheetData>
  <mergeCells count="20">
    <mergeCell ref="A39:A40"/>
    <mergeCell ref="A41:D41"/>
    <mergeCell ref="A14:A15"/>
    <mergeCell ref="A18:B18"/>
    <mergeCell ref="A19:A22"/>
    <mergeCell ref="A24:A28"/>
    <mergeCell ref="A29:A35"/>
    <mergeCell ref="A36:A38"/>
    <mergeCell ref="B8:G8"/>
    <mergeCell ref="A9:A12"/>
    <mergeCell ref="B9:B12"/>
    <mergeCell ref="C9:D11"/>
    <mergeCell ref="E9:E11"/>
    <mergeCell ref="F9:F12"/>
    <mergeCell ref="A7:F7"/>
    <mergeCell ref="B1:G1"/>
    <mergeCell ref="A2:F2"/>
    <mergeCell ref="A3:F3"/>
    <mergeCell ref="B5:G5"/>
    <mergeCell ref="A6:F6"/>
  </mergeCells>
  <pageMargins left="0.59055118110236227" right="0.70866141732283472" top="0.39370078740157483" bottom="0.74803149606299213" header="0.31496062992125984" footer="0.31496062992125984"/>
  <pageSetup paperSize="14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opLeftCell="A9" workbookViewId="0">
      <selection activeCell="E42" sqref="E42:E44"/>
    </sheetView>
  </sheetViews>
  <sheetFormatPr defaultRowHeight="15.75" x14ac:dyDescent="0.25"/>
  <cols>
    <col min="1" max="1" width="16" style="1" customWidth="1"/>
    <col min="2" max="2" width="30.5703125" style="1" customWidth="1"/>
    <col min="3" max="3" width="12" style="1" customWidth="1"/>
    <col min="4" max="4" width="13.140625" style="1" customWidth="1"/>
    <col min="5" max="5" width="19.5703125" style="1" bestFit="1" customWidth="1"/>
    <col min="6" max="6" width="14.140625" style="1" customWidth="1"/>
    <col min="7" max="7" width="15.7109375" style="28" bestFit="1" customWidth="1"/>
    <col min="8" max="8" width="13.140625" style="1" bestFit="1" customWidth="1"/>
    <col min="9" max="9" width="9.140625" style="1"/>
    <col min="10" max="10" width="13.5703125" style="1" bestFit="1" customWidth="1"/>
    <col min="11" max="16384" width="9.140625" style="1"/>
  </cols>
  <sheetData>
    <row r="1" spans="1:13" ht="9.75" customHeight="1" x14ac:dyDescent="0.25">
      <c r="B1" s="55"/>
      <c r="C1" s="55"/>
      <c r="D1" s="55"/>
      <c r="E1" s="55"/>
      <c r="F1" s="55"/>
      <c r="G1" s="55"/>
    </row>
    <row r="2" spans="1:13" s="3" customFormat="1" ht="20.25" x14ac:dyDescent="0.3">
      <c r="A2" s="56" t="s">
        <v>0</v>
      </c>
      <c r="B2" s="56"/>
      <c r="C2" s="56"/>
      <c r="D2" s="56"/>
      <c r="E2" s="56"/>
      <c r="F2" s="56"/>
      <c r="G2" s="2"/>
    </row>
    <row r="3" spans="1:13" s="3" customFormat="1" ht="20.25" x14ac:dyDescent="0.3">
      <c r="A3" s="56" t="s">
        <v>1</v>
      </c>
      <c r="B3" s="56"/>
      <c r="C3" s="56"/>
      <c r="D3" s="56"/>
      <c r="E3" s="56"/>
      <c r="F3" s="56"/>
      <c r="G3" s="2"/>
    </row>
    <row r="4" spans="1:13" s="3" customFormat="1" ht="9.75" customHeight="1" x14ac:dyDescent="0.3">
      <c r="A4" s="4"/>
      <c r="B4" s="52"/>
      <c r="C4" s="52"/>
      <c r="D4" s="52"/>
      <c r="E4" s="52"/>
      <c r="F4" s="52"/>
      <c r="G4" s="2"/>
    </row>
    <row r="5" spans="1:13" s="3" customFormat="1" ht="0.75" customHeight="1" x14ac:dyDescent="0.3">
      <c r="A5" s="4"/>
      <c r="B5" s="56"/>
      <c r="C5" s="56"/>
      <c r="D5" s="56"/>
      <c r="E5" s="56"/>
      <c r="F5" s="56"/>
      <c r="G5" s="56"/>
    </row>
    <row r="6" spans="1:13" s="3" customFormat="1" ht="20.25" x14ac:dyDescent="0.3">
      <c r="A6" s="54" t="s">
        <v>2</v>
      </c>
      <c r="B6" s="54"/>
      <c r="C6" s="54"/>
      <c r="D6" s="54"/>
      <c r="E6" s="54"/>
      <c r="F6" s="54"/>
      <c r="G6" s="5"/>
    </row>
    <row r="7" spans="1:13" s="3" customFormat="1" ht="20.25" customHeight="1" x14ac:dyDescent="0.3">
      <c r="A7" s="54" t="s">
        <v>68</v>
      </c>
      <c r="B7" s="54"/>
      <c r="C7" s="54"/>
      <c r="D7" s="54"/>
      <c r="E7" s="54"/>
      <c r="F7" s="54"/>
      <c r="G7" s="5"/>
    </row>
    <row r="8" spans="1:13" ht="10.5" customHeight="1" x14ac:dyDescent="0.25">
      <c r="B8" s="57"/>
      <c r="C8" s="57"/>
      <c r="D8" s="57"/>
      <c r="E8" s="57"/>
      <c r="F8" s="57"/>
      <c r="G8" s="57"/>
    </row>
    <row r="9" spans="1:13" ht="21.95" customHeight="1" x14ac:dyDescent="0.25">
      <c r="A9" s="58" t="s">
        <v>3</v>
      </c>
      <c r="B9" s="59" t="s">
        <v>4</v>
      </c>
      <c r="C9" s="60" t="s">
        <v>5</v>
      </c>
      <c r="D9" s="60"/>
      <c r="E9" s="60" t="s">
        <v>6</v>
      </c>
      <c r="F9" s="59" t="s">
        <v>7</v>
      </c>
      <c r="G9" s="6"/>
    </row>
    <row r="10" spans="1:13" ht="21.95" customHeight="1" x14ac:dyDescent="0.25">
      <c r="A10" s="58"/>
      <c r="B10" s="59"/>
      <c r="C10" s="60"/>
      <c r="D10" s="60"/>
      <c r="E10" s="60"/>
      <c r="F10" s="59"/>
      <c r="G10" s="6"/>
    </row>
    <row r="11" spans="1:13" ht="21.95" customHeight="1" x14ac:dyDescent="0.25">
      <c r="A11" s="58"/>
      <c r="B11" s="59"/>
      <c r="C11" s="60"/>
      <c r="D11" s="60"/>
      <c r="E11" s="60"/>
      <c r="F11" s="59"/>
      <c r="G11" s="6"/>
    </row>
    <row r="12" spans="1:13" s="10" customFormat="1" ht="23.1" customHeight="1" x14ac:dyDescent="0.25">
      <c r="A12" s="58"/>
      <c r="B12" s="59"/>
      <c r="C12" s="7" t="s">
        <v>8</v>
      </c>
      <c r="D12" s="7" t="s">
        <v>9</v>
      </c>
      <c r="E12" s="7" t="s">
        <v>10</v>
      </c>
      <c r="F12" s="59"/>
      <c r="G12" s="8"/>
      <c r="H12" s="9"/>
      <c r="I12" s="9"/>
      <c r="J12" s="9"/>
      <c r="K12" s="9"/>
      <c r="L12" s="9"/>
      <c r="M12" s="9"/>
    </row>
    <row r="13" spans="1:13" s="9" customFormat="1" ht="23.1" hidden="1" customHeight="1" x14ac:dyDescent="0.25">
      <c r="A13" s="43" t="s">
        <v>11</v>
      </c>
      <c r="B13" s="11" t="s">
        <v>12</v>
      </c>
      <c r="C13" s="12"/>
      <c r="D13" s="12">
        <f>C13/200*25</f>
        <v>0</v>
      </c>
      <c r="E13" s="13">
        <f t="shared" ref="E13:E16" si="0">C13*F13</f>
        <v>0</v>
      </c>
      <c r="F13" s="14">
        <v>23.75</v>
      </c>
      <c r="G13" s="8"/>
    </row>
    <row r="14" spans="1:13" s="9" customFormat="1" ht="19.5" customHeight="1" x14ac:dyDescent="0.25">
      <c r="A14" s="64" t="s">
        <v>13</v>
      </c>
      <c r="B14" s="11" t="s">
        <v>56</v>
      </c>
      <c r="C14" s="12">
        <v>16788</v>
      </c>
      <c r="D14" s="15">
        <f>C14/208*25</f>
        <v>2017.7884615384617</v>
      </c>
      <c r="E14" s="16">
        <f>C14*F14</f>
        <v>459047.71440000006</v>
      </c>
      <c r="F14" s="48">
        <v>27.343800000000002</v>
      </c>
      <c r="G14" s="8"/>
    </row>
    <row r="15" spans="1:13" s="9" customFormat="1" ht="15.75" hidden="1" customHeight="1" x14ac:dyDescent="0.25">
      <c r="A15" s="65"/>
      <c r="B15" s="11" t="s">
        <v>15</v>
      </c>
      <c r="C15" s="12"/>
      <c r="D15" s="15">
        <f>C15/135*25</f>
        <v>0</v>
      </c>
      <c r="E15" s="16">
        <f t="shared" si="0"/>
        <v>0</v>
      </c>
      <c r="F15" s="14">
        <v>40</v>
      </c>
      <c r="G15" s="8"/>
    </row>
    <row r="16" spans="1:13" s="9" customFormat="1" ht="23.1" customHeight="1" x14ac:dyDescent="0.25">
      <c r="A16" s="43" t="s">
        <v>11</v>
      </c>
      <c r="B16" s="11" t="s">
        <v>16</v>
      </c>
      <c r="C16" s="12">
        <v>63497</v>
      </c>
      <c r="D16" s="15">
        <f>C16/215*25</f>
        <v>7383.3720930232557</v>
      </c>
      <c r="E16" s="16">
        <f t="shared" si="0"/>
        <v>1877218.9583000001</v>
      </c>
      <c r="F16" s="46">
        <v>29.5639</v>
      </c>
      <c r="G16" s="8"/>
    </row>
    <row r="17" spans="1:8" s="9" customFormat="1" ht="23.1" hidden="1" customHeight="1" x14ac:dyDescent="0.25">
      <c r="A17" s="43" t="s">
        <v>13</v>
      </c>
      <c r="B17" s="11" t="s">
        <v>17</v>
      </c>
      <c r="C17" s="12"/>
      <c r="D17" s="15">
        <f>C17/38*25</f>
        <v>0</v>
      </c>
      <c r="E17" s="16">
        <f>C17*F17</f>
        <v>0</v>
      </c>
      <c r="F17" s="14">
        <v>115.8</v>
      </c>
      <c r="G17" s="8"/>
      <c r="H17" s="17"/>
    </row>
    <row r="18" spans="1:8" s="21" customFormat="1" ht="23.1" customHeight="1" x14ac:dyDescent="0.25">
      <c r="A18" s="66" t="s">
        <v>18</v>
      </c>
      <c r="B18" s="66"/>
      <c r="C18" s="18">
        <f>SUM(C13:C17)</f>
        <v>80285</v>
      </c>
      <c r="D18" s="19">
        <f>SUM(D13:D17)</f>
        <v>9401.1605545617167</v>
      </c>
      <c r="E18" s="19">
        <f>SUM(E13:E17)</f>
        <v>2336266.6727</v>
      </c>
      <c r="F18" s="19"/>
      <c r="G18" s="8"/>
      <c r="H18" s="20"/>
    </row>
    <row r="19" spans="1:8" s="9" customFormat="1" ht="23.1" customHeight="1" x14ac:dyDescent="0.25">
      <c r="A19" s="67" t="s">
        <v>19</v>
      </c>
      <c r="B19" s="11" t="s">
        <v>20</v>
      </c>
      <c r="C19" s="15"/>
      <c r="D19" s="15">
        <v>26252.2</v>
      </c>
      <c r="E19" s="16">
        <f>D19*F19</f>
        <v>3829670.9359999998</v>
      </c>
      <c r="F19" s="14">
        <v>145.88</v>
      </c>
      <c r="G19" s="8"/>
    </row>
    <row r="20" spans="1:8" s="9" customFormat="1" ht="24.75" hidden="1" customHeight="1" x14ac:dyDescent="0.25">
      <c r="A20" s="67"/>
      <c r="B20" s="11" t="s">
        <v>21</v>
      </c>
      <c r="C20" s="12"/>
      <c r="D20" s="15"/>
      <c r="E20" s="16">
        <f t="shared" ref="E20:E34" si="1">C20*F20</f>
        <v>0</v>
      </c>
      <c r="F20" s="14">
        <v>26.5</v>
      </c>
      <c r="G20" s="8"/>
    </row>
    <row r="21" spans="1:8" s="9" customFormat="1" ht="23.1" customHeight="1" x14ac:dyDescent="0.25">
      <c r="A21" s="67"/>
      <c r="B21" s="11" t="s">
        <v>22</v>
      </c>
      <c r="C21" s="15">
        <f>C22*2.43</f>
        <v>11175.570000000002</v>
      </c>
      <c r="D21" s="22"/>
      <c r="E21" s="16">
        <f t="shared" si="1"/>
        <v>309116.26620000007</v>
      </c>
      <c r="F21" s="14">
        <v>27.66</v>
      </c>
      <c r="G21" s="8"/>
    </row>
    <row r="22" spans="1:8" s="9" customFormat="1" ht="23.1" customHeight="1" x14ac:dyDescent="0.25">
      <c r="A22" s="67"/>
      <c r="B22" s="11" t="s">
        <v>23</v>
      </c>
      <c r="C22" s="12">
        <v>4599</v>
      </c>
      <c r="D22" s="12"/>
      <c r="E22" s="16">
        <f t="shared" si="1"/>
        <v>120723.75</v>
      </c>
      <c r="F22" s="23">
        <v>26.25</v>
      </c>
      <c r="G22" s="8"/>
    </row>
    <row r="23" spans="1:8" s="9" customFormat="1" ht="23.1" customHeight="1" x14ac:dyDescent="0.25">
      <c r="A23" s="42" t="s">
        <v>11</v>
      </c>
      <c r="B23" s="11" t="s">
        <v>24</v>
      </c>
      <c r="C23" s="12">
        <v>0</v>
      </c>
      <c r="D23" s="12"/>
      <c r="E23" s="16">
        <f t="shared" si="1"/>
        <v>0</v>
      </c>
      <c r="F23" s="23">
        <v>20.62</v>
      </c>
      <c r="G23" s="8"/>
    </row>
    <row r="24" spans="1:8" s="9" customFormat="1" ht="23.1" customHeight="1" x14ac:dyDescent="0.25">
      <c r="A24" s="61" t="s">
        <v>13</v>
      </c>
      <c r="B24" s="11" t="s">
        <v>25</v>
      </c>
      <c r="C24" s="12"/>
      <c r="D24" s="12"/>
      <c r="E24" s="16">
        <f t="shared" si="1"/>
        <v>0</v>
      </c>
      <c r="F24" s="23">
        <v>171.74</v>
      </c>
      <c r="G24" s="8"/>
    </row>
    <row r="25" spans="1:8" s="9" customFormat="1" ht="23.1" customHeight="1" x14ac:dyDescent="0.25">
      <c r="A25" s="68"/>
      <c r="B25" s="11" t="s">
        <v>26</v>
      </c>
      <c r="C25" s="12"/>
      <c r="D25" s="12"/>
      <c r="E25" s="16">
        <f t="shared" si="1"/>
        <v>0</v>
      </c>
      <c r="F25" s="23">
        <v>176.79</v>
      </c>
      <c r="G25" s="8"/>
    </row>
    <row r="26" spans="1:8" s="9" customFormat="1" ht="23.1" customHeight="1" x14ac:dyDescent="0.25">
      <c r="A26" s="68"/>
      <c r="B26" s="11" t="s">
        <v>27</v>
      </c>
      <c r="C26" s="12"/>
      <c r="D26" s="12"/>
      <c r="E26" s="16">
        <f t="shared" si="1"/>
        <v>0</v>
      </c>
      <c r="F26" s="23">
        <v>180.36</v>
      </c>
      <c r="G26" s="8"/>
    </row>
    <row r="27" spans="1:8" s="9" customFormat="1" ht="23.1" customHeight="1" x14ac:dyDescent="0.25">
      <c r="A27" s="68"/>
      <c r="B27" s="11" t="s">
        <v>28</v>
      </c>
      <c r="C27" s="12"/>
      <c r="D27" s="12"/>
      <c r="E27" s="16">
        <f t="shared" si="1"/>
        <v>0</v>
      </c>
      <c r="F27" s="23">
        <v>185.71</v>
      </c>
      <c r="G27" s="8"/>
    </row>
    <row r="28" spans="1:8" s="9" customFormat="1" ht="23.1" hidden="1" customHeight="1" x14ac:dyDescent="0.25">
      <c r="A28" s="62"/>
      <c r="B28" s="11" t="s">
        <v>29</v>
      </c>
      <c r="C28" s="12"/>
      <c r="D28" s="12"/>
      <c r="E28" s="16">
        <f t="shared" si="1"/>
        <v>0</v>
      </c>
      <c r="F28" s="23">
        <v>207</v>
      </c>
      <c r="G28" s="8"/>
    </row>
    <row r="29" spans="1:8" s="9" customFormat="1" ht="23.1" customHeight="1" x14ac:dyDescent="0.25">
      <c r="A29" s="61" t="s">
        <v>11</v>
      </c>
      <c r="B29" s="11" t="s">
        <v>30</v>
      </c>
      <c r="C29" s="12">
        <v>39526</v>
      </c>
      <c r="D29" s="12"/>
      <c r="E29" s="16">
        <f t="shared" si="1"/>
        <v>7485433.8799999999</v>
      </c>
      <c r="F29" s="14">
        <v>189.38</v>
      </c>
      <c r="G29" s="8"/>
    </row>
    <row r="30" spans="1:8" s="9" customFormat="1" ht="23.1" customHeight="1" x14ac:dyDescent="0.25">
      <c r="A30" s="68"/>
      <c r="B30" s="11" t="s">
        <v>31</v>
      </c>
      <c r="C30" s="12"/>
      <c r="D30" s="12"/>
      <c r="E30" s="13">
        <f>C30*F30</f>
        <v>0</v>
      </c>
      <c r="F30" s="14">
        <v>195</v>
      </c>
      <c r="G30" s="8"/>
    </row>
    <row r="31" spans="1:8" s="9" customFormat="1" ht="23.1" customHeight="1" x14ac:dyDescent="0.25">
      <c r="A31" s="68"/>
      <c r="B31" s="11" t="s">
        <v>32</v>
      </c>
      <c r="C31" s="12">
        <v>570</v>
      </c>
      <c r="D31" s="12"/>
      <c r="E31" s="13">
        <f t="shared" si="1"/>
        <v>111150</v>
      </c>
      <c r="F31" s="14">
        <v>195</v>
      </c>
      <c r="G31" s="8"/>
    </row>
    <row r="32" spans="1:8" s="9" customFormat="1" ht="24.75" hidden="1" customHeight="1" x14ac:dyDescent="0.25">
      <c r="A32" s="68"/>
      <c r="B32" s="11" t="s">
        <v>33</v>
      </c>
      <c r="C32" s="12"/>
      <c r="D32" s="12"/>
      <c r="E32" s="13">
        <f t="shared" si="1"/>
        <v>0</v>
      </c>
      <c r="F32" s="23">
        <v>359.83</v>
      </c>
      <c r="G32" s="8"/>
    </row>
    <row r="33" spans="1:17" s="9" customFormat="1" ht="24.75" hidden="1" customHeight="1" x14ac:dyDescent="0.25">
      <c r="A33" s="68"/>
      <c r="B33" s="11" t="s">
        <v>34</v>
      </c>
      <c r="C33" s="12"/>
      <c r="D33" s="12"/>
      <c r="E33" s="13">
        <f t="shared" si="1"/>
        <v>0</v>
      </c>
      <c r="F33" s="23">
        <v>379.46</v>
      </c>
      <c r="G33" s="8"/>
    </row>
    <row r="34" spans="1:17" s="9" customFormat="1" ht="23.1" customHeight="1" x14ac:dyDescent="0.25">
      <c r="A34" s="68"/>
      <c r="B34" s="11" t="s">
        <v>35</v>
      </c>
      <c r="C34" s="12">
        <v>10819</v>
      </c>
      <c r="D34" s="12"/>
      <c r="E34" s="16">
        <f t="shared" si="1"/>
        <v>380287.85</v>
      </c>
      <c r="F34" s="14">
        <v>35.15</v>
      </c>
      <c r="G34" s="8"/>
    </row>
    <row r="35" spans="1:17" s="9" customFormat="1" ht="19.5" customHeight="1" x14ac:dyDescent="0.25">
      <c r="A35" s="62"/>
      <c r="B35" s="11" t="s">
        <v>53</v>
      </c>
      <c r="C35" s="12"/>
      <c r="D35" s="12"/>
      <c r="E35" s="16">
        <f>C35*F35</f>
        <v>0</v>
      </c>
      <c r="F35" s="14">
        <v>37.5</v>
      </c>
      <c r="G35" s="8"/>
    </row>
    <row r="36" spans="1:17" s="9" customFormat="1" ht="23.1" customHeight="1" x14ac:dyDescent="0.25">
      <c r="A36" s="61" t="s">
        <v>13</v>
      </c>
      <c r="B36" s="11" t="s">
        <v>36</v>
      </c>
      <c r="C36" s="22">
        <v>8389</v>
      </c>
      <c r="D36" s="12"/>
      <c r="E36" s="16">
        <f>C36*F36</f>
        <v>301105.17857142852</v>
      </c>
      <c r="F36" s="46">
        <v>35.892857142857139</v>
      </c>
      <c r="G36" s="8"/>
    </row>
    <row r="37" spans="1:17" s="9" customFormat="1" ht="24.75" hidden="1" customHeight="1" x14ac:dyDescent="0.25">
      <c r="A37" s="68"/>
      <c r="B37" s="11" t="s">
        <v>37</v>
      </c>
      <c r="C37" s="12"/>
      <c r="D37" s="12"/>
      <c r="E37" s="16"/>
      <c r="F37" s="23">
        <v>40.200000000000003</v>
      </c>
      <c r="G37" s="8"/>
    </row>
    <row r="38" spans="1:17" s="9" customFormat="1" ht="23.1" customHeight="1" x14ac:dyDescent="0.25">
      <c r="A38" s="62"/>
      <c r="B38" s="11" t="s">
        <v>38</v>
      </c>
      <c r="C38" s="12"/>
      <c r="D38" s="12"/>
      <c r="E38" s="13">
        <f>C38*F38</f>
        <v>0</v>
      </c>
      <c r="F38" s="23">
        <v>81.900000000000006</v>
      </c>
      <c r="G38" s="8"/>
    </row>
    <row r="39" spans="1:17" s="9" customFormat="1" ht="23.1" customHeight="1" x14ac:dyDescent="0.25">
      <c r="A39" s="61" t="s">
        <v>11</v>
      </c>
      <c r="B39" s="11" t="s">
        <v>39</v>
      </c>
      <c r="C39" s="22">
        <v>30</v>
      </c>
      <c r="D39" s="12"/>
      <c r="E39" s="13">
        <f>C39*F39</f>
        <v>225</v>
      </c>
      <c r="F39" s="23">
        <v>7.5</v>
      </c>
      <c r="G39" s="8"/>
    </row>
    <row r="40" spans="1:17" s="9" customFormat="1" ht="23.1" customHeight="1" x14ac:dyDescent="0.25">
      <c r="A40" s="62"/>
      <c r="B40" s="11" t="s">
        <v>40</v>
      </c>
      <c r="C40" s="12">
        <v>148</v>
      </c>
      <c r="D40" s="12"/>
      <c r="E40" s="16">
        <f>C40*F40</f>
        <v>39542.639999999999</v>
      </c>
      <c r="F40" s="23">
        <v>267.18</v>
      </c>
      <c r="G40" s="8"/>
    </row>
    <row r="41" spans="1:17" s="9" customFormat="1" ht="25.5" customHeight="1" x14ac:dyDescent="0.25">
      <c r="A41" s="63" t="s">
        <v>67</v>
      </c>
      <c r="B41" s="63"/>
      <c r="C41" s="63"/>
      <c r="D41" s="63"/>
      <c r="E41" s="24">
        <f>SUM(E18:E40)</f>
        <v>14913522.17347143</v>
      </c>
      <c r="F41" s="25"/>
      <c r="G41" s="8"/>
      <c r="H41" s="44"/>
    </row>
    <row r="42" spans="1:17" x14ac:dyDescent="0.25">
      <c r="B42" s="26"/>
      <c r="C42" s="26"/>
      <c r="D42" s="26"/>
      <c r="E42" s="27"/>
      <c r="F42" s="26"/>
      <c r="H42" s="45"/>
    </row>
    <row r="43" spans="1:17" x14ac:dyDescent="0.25">
      <c r="B43" s="26"/>
      <c r="C43" s="26"/>
      <c r="D43" s="26"/>
      <c r="E43" s="29"/>
      <c r="F43" s="28"/>
      <c r="G43" s="1"/>
    </row>
    <row r="44" spans="1:17" x14ac:dyDescent="0.25">
      <c r="B44" s="26"/>
      <c r="C44" s="26"/>
      <c r="D44" s="26"/>
      <c r="E44" s="29"/>
      <c r="F44" s="28"/>
      <c r="G44" s="1"/>
    </row>
    <row r="45" spans="1:17" s="30" customFormat="1" x14ac:dyDescent="0.25">
      <c r="A45" s="30" t="s">
        <v>41</v>
      </c>
      <c r="B45" s="31" t="s">
        <v>42</v>
      </c>
      <c r="C45" s="32"/>
      <c r="E45" s="33"/>
      <c r="F45" s="32"/>
      <c r="G45" s="32"/>
      <c r="H45" s="32"/>
      <c r="I45" s="32"/>
      <c r="J45" s="32"/>
      <c r="L45" s="32"/>
    </row>
    <row r="46" spans="1:17" s="30" customFormat="1" x14ac:dyDescent="0.25">
      <c r="B46" s="30" t="s">
        <v>52</v>
      </c>
      <c r="C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0" customFormat="1" ht="28.5" customHeight="1" x14ac:dyDescent="0.25"/>
    <row r="48" spans="1:17" s="30" customFormat="1" x14ac:dyDescent="0.25">
      <c r="A48" s="30" t="s">
        <v>43</v>
      </c>
      <c r="B48" s="35" t="s">
        <v>44</v>
      </c>
    </row>
    <row r="49" spans="1:21" s="30" customFormat="1" x14ac:dyDescent="0.25">
      <c r="B49" s="30" t="s">
        <v>45</v>
      </c>
      <c r="K49" s="32"/>
      <c r="L49" s="32"/>
      <c r="M49" s="32"/>
      <c r="N49" s="32"/>
      <c r="O49" s="32"/>
    </row>
    <row r="50" spans="1:21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6"/>
      <c r="U50" s="37"/>
    </row>
    <row r="51" spans="1:21" ht="21" customHeight="1" x14ac:dyDescent="0.25"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6"/>
      <c r="U51" s="37"/>
    </row>
    <row r="52" spans="1:21" x14ac:dyDescent="0.25">
      <c r="A52" s="1" t="s">
        <v>46</v>
      </c>
      <c r="B52" s="35" t="s">
        <v>65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6"/>
      <c r="U52" s="37"/>
    </row>
    <row r="53" spans="1:21" x14ac:dyDescent="0.25">
      <c r="B53" s="30" t="s">
        <v>66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6"/>
      <c r="U53" s="37"/>
    </row>
    <row r="54" spans="1:21" ht="17.25" customHeight="1" x14ac:dyDescent="0.25">
      <c r="B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6"/>
      <c r="U54" s="37"/>
    </row>
    <row r="55" spans="1:21" x14ac:dyDescent="0.25">
      <c r="B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6"/>
      <c r="U55" s="37"/>
    </row>
    <row r="56" spans="1:21" x14ac:dyDescent="0.25">
      <c r="A56" s="38" t="s">
        <v>49</v>
      </c>
      <c r="B56" s="35" t="s">
        <v>50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7"/>
      <c r="U56" s="37"/>
    </row>
    <row r="57" spans="1:21" s="39" customFormat="1" ht="17.25" customHeight="1" x14ac:dyDescent="0.25">
      <c r="B57" s="40" t="s">
        <v>57</v>
      </c>
    </row>
    <row r="58" spans="1:21" s="30" customFormat="1" x14ac:dyDescent="0.25">
      <c r="B58" s="3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1:21" s="30" customFormat="1" x14ac:dyDescent="0.25">
      <c r="B59" s="3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30" customFormat="1" x14ac:dyDescent="0.2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30" customFormat="1" x14ac:dyDescent="0.25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30" customFormat="1" x14ac:dyDescent="0.25"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s="30" customFormat="1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s="30" customFormat="1" x14ac:dyDescent="0.25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 s="30" customFormat="1" x14ac:dyDescent="0.2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2:21" s="30" customFormat="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</sheetData>
  <mergeCells count="20">
    <mergeCell ref="A39:A40"/>
    <mergeCell ref="A41:D41"/>
    <mergeCell ref="A14:A15"/>
    <mergeCell ref="A18:B18"/>
    <mergeCell ref="A19:A22"/>
    <mergeCell ref="A24:A28"/>
    <mergeCell ref="A29:A35"/>
    <mergeCell ref="A36:A38"/>
    <mergeCell ref="B8:G8"/>
    <mergeCell ref="A9:A12"/>
    <mergeCell ref="B9:B12"/>
    <mergeCell ref="C9:D11"/>
    <mergeCell ref="E9:E11"/>
    <mergeCell ref="F9:F12"/>
    <mergeCell ref="A7:F7"/>
    <mergeCell ref="B1:G1"/>
    <mergeCell ref="A2:F2"/>
    <mergeCell ref="A3:F3"/>
    <mergeCell ref="B5:G5"/>
    <mergeCell ref="A6:F6"/>
  </mergeCells>
  <pageMargins left="0.59055118110236227" right="0.70866141732283472" top="0.39370078740157483" bottom="0.74803149606299213" header="0.31496062992125984" footer="0.31496062992125984"/>
  <pageSetup paperSize="14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abSelected="1" topLeftCell="A22" workbookViewId="0">
      <selection activeCell="C34" sqref="C34"/>
    </sheetView>
  </sheetViews>
  <sheetFormatPr defaultRowHeight="15.75" x14ac:dyDescent="0.25"/>
  <cols>
    <col min="1" max="1" width="16" style="1" customWidth="1"/>
    <col min="2" max="2" width="30.5703125" style="1" customWidth="1"/>
    <col min="3" max="3" width="12" style="1" customWidth="1"/>
    <col min="4" max="4" width="13.140625" style="1" customWidth="1"/>
    <col min="5" max="5" width="19.5703125" style="1" bestFit="1" customWidth="1"/>
    <col min="6" max="6" width="14.140625" style="1" customWidth="1"/>
    <col min="7" max="7" width="15.7109375" style="28" bestFit="1" customWidth="1"/>
    <col min="8" max="8" width="13.140625" style="1" bestFit="1" customWidth="1"/>
    <col min="9" max="9" width="9.140625" style="1"/>
    <col min="10" max="10" width="13.5703125" style="1" bestFit="1" customWidth="1"/>
    <col min="11" max="16384" width="9.140625" style="1"/>
  </cols>
  <sheetData>
    <row r="1" spans="1:13" ht="9.75" customHeight="1" x14ac:dyDescent="0.25">
      <c r="B1" s="55"/>
      <c r="C1" s="55"/>
      <c r="D1" s="55"/>
      <c r="E1" s="55"/>
      <c r="F1" s="55"/>
      <c r="G1" s="55"/>
    </row>
    <row r="2" spans="1:13" s="3" customFormat="1" ht="20.25" x14ac:dyDescent="0.3">
      <c r="A2" s="56" t="s">
        <v>0</v>
      </c>
      <c r="B2" s="56"/>
      <c r="C2" s="56"/>
      <c r="D2" s="56"/>
      <c r="E2" s="56"/>
      <c r="F2" s="56"/>
      <c r="G2" s="2"/>
    </row>
    <row r="3" spans="1:13" s="3" customFormat="1" ht="20.25" x14ac:dyDescent="0.3">
      <c r="A3" s="56" t="s">
        <v>1</v>
      </c>
      <c r="B3" s="56"/>
      <c r="C3" s="56"/>
      <c r="D3" s="56"/>
      <c r="E3" s="56"/>
      <c r="F3" s="56"/>
      <c r="G3" s="2"/>
    </row>
    <row r="4" spans="1:13" s="3" customFormat="1" ht="9.75" customHeight="1" x14ac:dyDescent="0.3">
      <c r="A4" s="4"/>
      <c r="B4" s="53"/>
      <c r="C4" s="53"/>
      <c r="D4" s="53"/>
      <c r="E4" s="53"/>
      <c r="F4" s="53"/>
      <c r="G4" s="2"/>
    </row>
    <row r="5" spans="1:13" s="3" customFormat="1" ht="0.75" customHeight="1" x14ac:dyDescent="0.3">
      <c r="A5" s="4"/>
      <c r="B5" s="56"/>
      <c r="C5" s="56"/>
      <c r="D5" s="56"/>
      <c r="E5" s="56"/>
      <c r="F5" s="56"/>
      <c r="G5" s="56"/>
    </row>
    <row r="6" spans="1:13" s="3" customFormat="1" ht="20.25" x14ac:dyDescent="0.3">
      <c r="A6" s="54" t="s">
        <v>2</v>
      </c>
      <c r="B6" s="54"/>
      <c r="C6" s="54"/>
      <c r="D6" s="54"/>
      <c r="E6" s="54"/>
      <c r="F6" s="54"/>
      <c r="G6" s="5"/>
    </row>
    <row r="7" spans="1:13" s="3" customFormat="1" ht="20.25" customHeight="1" x14ac:dyDescent="0.3">
      <c r="A7" s="54" t="s">
        <v>70</v>
      </c>
      <c r="B7" s="54"/>
      <c r="C7" s="54"/>
      <c r="D7" s="54"/>
      <c r="E7" s="54"/>
      <c r="F7" s="54"/>
      <c r="G7" s="5"/>
    </row>
    <row r="8" spans="1:13" ht="10.5" customHeight="1" x14ac:dyDescent="0.25">
      <c r="B8" s="57"/>
      <c r="C8" s="57"/>
      <c r="D8" s="57"/>
      <c r="E8" s="57"/>
      <c r="F8" s="57"/>
      <c r="G8" s="57"/>
    </row>
    <row r="9" spans="1:13" ht="21.95" customHeight="1" x14ac:dyDescent="0.25">
      <c r="A9" s="58" t="s">
        <v>3</v>
      </c>
      <c r="B9" s="59" t="s">
        <v>4</v>
      </c>
      <c r="C9" s="60" t="s">
        <v>5</v>
      </c>
      <c r="D9" s="60"/>
      <c r="E9" s="60" t="s">
        <v>6</v>
      </c>
      <c r="F9" s="59" t="s">
        <v>7</v>
      </c>
      <c r="G9" s="6"/>
    </row>
    <row r="10" spans="1:13" ht="21.95" customHeight="1" x14ac:dyDescent="0.25">
      <c r="A10" s="58"/>
      <c r="B10" s="59"/>
      <c r="C10" s="60"/>
      <c r="D10" s="60"/>
      <c r="E10" s="60"/>
      <c r="F10" s="59"/>
      <c r="G10" s="6"/>
    </row>
    <row r="11" spans="1:13" ht="21.95" customHeight="1" x14ac:dyDescent="0.25">
      <c r="A11" s="58"/>
      <c r="B11" s="59"/>
      <c r="C11" s="60"/>
      <c r="D11" s="60"/>
      <c r="E11" s="60"/>
      <c r="F11" s="59"/>
      <c r="G11" s="6"/>
    </row>
    <row r="12" spans="1:13" s="10" customFormat="1" ht="23.1" customHeight="1" x14ac:dyDescent="0.25">
      <c r="A12" s="58"/>
      <c r="B12" s="59"/>
      <c r="C12" s="7" t="s">
        <v>8</v>
      </c>
      <c r="D12" s="7" t="s">
        <v>9</v>
      </c>
      <c r="E12" s="7" t="s">
        <v>10</v>
      </c>
      <c r="F12" s="59"/>
      <c r="G12" s="8"/>
      <c r="H12" s="9"/>
      <c r="I12" s="9"/>
      <c r="J12" s="9"/>
      <c r="K12" s="9"/>
      <c r="L12" s="9"/>
      <c r="M12" s="9"/>
    </row>
    <row r="13" spans="1:13" s="9" customFormat="1" ht="23.1" hidden="1" customHeight="1" x14ac:dyDescent="0.25">
      <c r="A13" s="43" t="s">
        <v>11</v>
      </c>
      <c r="B13" s="11" t="s">
        <v>12</v>
      </c>
      <c r="C13" s="12"/>
      <c r="D13" s="12">
        <f>C13/200*25</f>
        <v>0</v>
      </c>
      <c r="E13" s="13">
        <f t="shared" ref="E13:E16" si="0">C13*F13</f>
        <v>0</v>
      </c>
      <c r="F13" s="14">
        <v>23.75</v>
      </c>
      <c r="G13" s="8"/>
    </row>
    <row r="14" spans="1:13" s="9" customFormat="1" ht="19.5" customHeight="1" x14ac:dyDescent="0.25">
      <c r="A14" s="64" t="s">
        <v>13</v>
      </c>
      <c r="B14" s="11" t="s">
        <v>56</v>
      </c>
      <c r="C14" s="12">
        <v>46364</v>
      </c>
      <c r="D14" s="15">
        <f>C14/208*25</f>
        <v>5572.5961538461543</v>
      </c>
      <c r="E14" s="16">
        <f>C14*F14</f>
        <v>1267767.9432000001</v>
      </c>
      <c r="F14" s="48">
        <v>27.343800000000002</v>
      </c>
      <c r="G14" s="8"/>
    </row>
    <row r="15" spans="1:13" s="9" customFormat="1" ht="15.75" hidden="1" customHeight="1" x14ac:dyDescent="0.25">
      <c r="A15" s="65"/>
      <c r="B15" s="11" t="s">
        <v>15</v>
      </c>
      <c r="C15" s="12"/>
      <c r="D15" s="15">
        <f>C15/135*25</f>
        <v>0</v>
      </c>
      <c r="E15" s="16">
        <f t="shared" si="0"/>
        <v>0</v>
      </c>
      <c r="F15" s="14">
        <v>40</v>
      </c>
      <c r="G15" s="8"/>
    </row>
    <row r="16" spans="1:13" s="9" customFormat="1" ht="23.1" customHeight="1" x14ac:dyDescent="0.25">
      <c r="A16" s="43" t="s">
        <v>11</v>
      </c>
      <c r="B16" s="11" t="s">
        <v>16</v>
      </c>
      <c r="C16" s="12">
        <v>42223</v>
      </c>
      <c r="D16" s="15">
        <f>C16/215*25</f>
        <v>4909.6511627906975</v>
      </c>
      <c r="E16" s="16">
        <f t="shared" si="0"/>
        <v>1248276.5497000001</v>
      </c>
      <c r="F16" s="46">
        <v>29.5639</v>
      </c>
      <c r="G16" s="8"/>
    </row>
    <row r="17" spans="1:8" s="9" customFormat="1" ht="23.1" hidden="1" customHeight="1" x14ac:dyDescent="0.25">
      <c r="A17" s="43" t="s">
        <v>13</v>
      </c>
      <c r="B17" s="11" t="s">
        <v>17</v>
      </c>
      <c r="C17" s="12"/>
      <c r="D17" s="15">
        <f>C17/38*25</f>
        <v>0</v>
      </c>
      <c r="E17" s="16">
        <f>C17*F17</f>
        <v>0</v>
      </c>
      <c r="F17" s="14">
        <v>115.8</v>
      </c>
      <c r="G17" s="8"/>
      <c r="H17" s="17"/>
    </row>
    <row r="18" spans="1:8" s="21" customFormat="1" ht="23.1" customHeight="1" x14ac:dyDescent="0.25">
      <c r="A18" s="66" t="s">
        <v>18</v>
      </c>
      <c r="B18" s="66"/>
      <c r="C18" s="18">
        <f>SUM(C13:C17)</f>
        <v>88587</v>
      </c>
      <c r="D18" s="19">
        <f>SUM(D13:D17)</f>
        <v>10482.247316636851</v>
      </c>
      <c r="E18" s="19">
        <f>SUM(E13:E17)</f>
        <v>2516044.4929</v>
      </c>
      <c r="F18" s="19"/>
      <c r="G18" s="8"/>
      <c r="H18" s="20"/>
    </row>
    <row r="19" spans="1:8" s="9" customFormat="1" ht="23.1" customHeight="1" x14ac:dyDescent="0.25">
      <c r="A19" s="67" t="s">
        <v>19</v>
      </c>
      <c r="B19" s="11" t="s">
        <v>20</v>
      </c>
      <c r="C19" s="15"/>
      <c r="D19" s="15">
        <v>30961.5</v>
      </c>
      <c r="E19" s="16">
        <f>D19*F19</f>
        <v>4516663.62</v>
      </c>
      <c r="F19" s="14">
        <v>145.88</v>
      </c>
      <c r="G19" s="8"/>
    </row>
    <row r="20" spans="1:8" s="9" customFormat="1" ht="24.75" hidden="1" customHeight="1" x14ac:dyDescent="0.25">
      <c r="A20" s="67"/>
      <c r="B20" s="11" t="s">
        <v>21</v>
      </c>
      <c r="C20" s="12"/>
      <c r="D20" s="15"/>
      <c r="E20" s="16">
        <f t="shared" ref="E20:E34" si="1">C20*F20</f>
        <v>0</v>
      </c>
      <c r="F20" s="14">
        <v>26.5</v>
      </c>
      <c r="G20" s="8"/>
    </row>
    <row r="21" spans="1:8" s="9" customFormat="1" ht="23.1" customHeight="1" x14ac:dyDescent="0.25">
      <c r="A21" s="67"/>
      <c r="B21" s="11" t="s">
        <v>22</v>
      </c>
      <c r="C21" s="15">
        <f>C22*2.43</f>
        <v>12154.86</v>
      </c>
      <c r="D21" s="22"/>
      <c r="E21" s="16">
        <f t="shared" si="1"/>
        <v>336203.4276</v>
      </c>
      <c r="F21" s="14">
        <v>27.66</v>
      </c>
      <c r="G21" s="8"/>
    </row>
    <row r="22" spans="1:8" s="9" customFormat="1" ht="23.1" customHeight="1" x14ac:dyDescent="0.25">
      <c r="A22" s="67"/>
      <c r="B22" s="11" t="s">
        <v>23</v>
      </c>
      <c r="C22" s="12">
        <v>5002</v>
      </c>
      <c r="D22" s="12"/>
      <c r="E22" s="16">
        <f t="shared" si="1"/>
        <v>131302.5</v>
      </c>
      <c r="F22" s="23">
        <v>26.25</v>
      </c>
      <c r="G22" s="8"/>
    </row>
    <row r="23" spans="1:8" s="9" customFormat="1" ht="23.1" customHeight="1" x14ac:dyDescent="0.25">
      <c r="A23" s="42" t="s">
        <v>11</v>
      </c>
      <c r="B23" s="11" t="s">
        <v>24</v>
      </c>
      <c r="C23" s="12">
        <v>0</v>
      </c>
      <c r="D23" s="12"/>
      <c r="E23" s="16">
        <f t="shared" si="1"/>
        <v>0</v>
      </c>
      <c r="F23" s="23">
        <v>20.62</v>
      </c>
      <c r="G23" s="8"/>
    </row>
    <row r="24" spans="1:8" s="9" customFormat="1" ht="23.1" customHeight="1" x14ac:dyDescent="0.25">
      <c r="A24" s="61" t="s">
        <v>13</v>
      </c>
      <c r="B24" s="11" t="s">
        <v>25</v>
      </c>
      <c r="C24" s="12"/>
      <c r="D24" s="12"/>
      <c r="E24" s="16">
        <f t="shared" si="1"/>
        <v>0</v>
      </c>
      <c r="F24" s="23">
        <v>171.74</v>
      </c>
      <c r="G24" s="8"/>
    </row>
    <row r="25" spans="1:8" s="9" customFormat="1" ht="23.1" customHeight="1" x14ac:dyDescent="0.25">
      <c r="A25" s="68"/>
      <c r="B25" s="11" t="s">
        <v>26</v>
      </c>
      <c r="C25" s="12"/>
      <c r="D25" s="12"/>
      <c r="E25" s="16">
        <f t="shared" si="1"/>
        <v>0</v>
      </c>
      <c r="F25" s="23">
        <v>176.79</v>
      </c>
      <c r="G25" s="8"/>
    </row>
    <row r="26" spans="1:8" s="9" customFormat="1" ht="23.1" customHeight="1" x14ac:dyDescent="0.25">
      <c r="A26" s="68"/>
      <c r="B26" s="11" t="s">
        <v>27</v>
      </c>
      <c r="C26" s="12"/>
      <c r="D26" s="12"/>
      <c r="E26" s="16">
        <f t="shared" si="1"/>
        <v>0</v>
      </c>
      <c r="F26" s="23">
        <v>180.36</v>
      </c>
      <c r="G26" s="8"/>
    </row>
    <row r="27" spans="1:8" s="9" customFormat="1" ht="23.1" customHeight="1" x14ac:dyDescent="0.25">
      <c r="A27" s="68"/>
      <c r="B27" s="11" t="s">
        <v>28</v>
      </c>
      <c r="C27" s="12"/>
      <c r="D27" s="12"/>
      <c r="E27" s="16">
        <f t="shared" si="1"/>
        <v>0</v>
      </c>
      <c r="F27" s="23">
        <v>185.71</v>
      </c>
      <c r="G27" s="8"/>
    </row>
    <row r="28" spans="1:8" s="9" customFormat="1" ht="23.1" hidden="1" customHeight="1" x14ac:dyDescent="0.25">
      <c r="A28" s="62"/>
      <c r="B28" s="11" t="s">
        <v>29</v>
      </c>
      <c r="C28" s="12"/>
      <c r="D28" s="12"/>
      <c r="E28" s="16">
        <f t="shared" si="1"/>
        <v>0</v>
      </c>
      <c r="F28" s="23">
        <v>207</v>
      </c>
      <c r="G28" s="8"/>
    </row>
    <row r="29" spans="1:8" s="9" customFormat="1" ht="23.1" customHeight="1" x14ac:dyDescent="0.25">
      <c r="A29" s="61" t="s">
        <v>11</v>
      </c>
      <c r="B29" s="11" t="s">
        <v>30</v>
      </c>
      <c r="C29" s="12">
        <v>44222</v>
      </c>
      <c r="D29" s="12"/>
      <c r="E29" s="16">
        <f t="shared" si="1"/>
        <v>8374762.3599999994</v>
      </c>
      <c r="F29" s="14">
        <v>189.38</v>
      </c>
      <c r="G29" s="8"/>
    </row>
    <row r="30" spans="1:8" s="9" customFormat="1" ht="23.1" customHeight="1" x14ac:dyDescent="0.25">
      <c r="A30" s="68"/>
      <c r="B30" s="11" t="s">
        <v>31</v>
      </c>
      <c r="C30" s="12"/>
      <c r="D30" s="12"/>
      <c r="E30" s="13">
        <f>C30*F30</f>
        <v>0</v>
      </c>
      <c r="F30" s="14">
        <v>195</v>
      </c>
      <c r="G30" s="8"/>
    </row>
    <row r="31" spans="1:8" s="9" customFormat="1" ht="23.1" customHeight="1" x14ac:dyDescent="0.25">
      <c r="A31" s="68"/>
      <c r="B31" s="11" t="s">
        <v>32</v>
      </c>
      <c r="C31" s="12">
        <v>3453</v>
      </c>
      <c r="D31" s="12"/>
      <c r="E31" s="13">
        <f t="shared" si="1"/>
        <v>673335</v>
      </c>
      <c r="F31" s="14">
        <v>195</v>
      </c>
      <c r="G31" s="8"/>
    </row>
    <row r="32" spans="1:8" s="9" customFormat="1" ht="24.75" hidden="1" customHeight="1" x14ac:dyDescent="0.25">
      <c r="A32" s="68"/>
      <c r="B32" s="11" t="s">
        <v>33</v>
      </c>
      <c r="C32" s="12"/>
      <c r="D32" s="12"/>
      <c r="E32" s="13">
        <f t="shared" si="1"/>
        <v>0</v>
      </c>
      <c r="F32" s="23">
        <v>359.83</v>
      </c>
      <c r="G32" s="8"/>
    </row>
    <row r="33" spans="1:17" s="9" customFormat="1" ht="24.75" hidden="1" customHeight="1" x14ac:dyDescent="0.25">
      <c r="A33" s="68"/>
      <c r="B33" s="11" t="s">
        <v>34</v>
      </c>
      <c r="C33" s="12"/>
      <c r="D33" s="12"/>
      <c r="E33" s="13">
        <f t="shared" si="1"/>
        <v>0</v>
      </c>
      <c r="F33" s="23">
        <v>379.46</v>
      </c>
      <c r="G33" s="8"/>
    </row>
    <row r="34" spans="1:17" s="9" customFormat="1" ht="23.1" customHeight="1" x14ac:dyDescent="0.25">
      <c r="A34" s="68"/>
      <c r="B34" s="11" t="s">
        <v>35</v>
      </c>
      <c r="C34" s="12">
        <v>12260</v>
      </c>
      <c r="D34" s="12"/>
      <c r="E34" s="16">
        <f t="shared" si="1"/>
        <v>430939</v>
      </c>
      <c r="F34" s="14">
        <v>35.15</v>
      </c>
      <c r="G34" s="8"/>
    </row>
    <row r="35" spans="1:17" s="9" customFormat="1" ht="19.5" customHeight="1" x14ac:dyDescent="0.25">
      <c r="A35" s="62"/>
      <c r="B35" s="11" t="s">
        <v>53</v>
      </c>
      <c r="C35" s="12"/>
      <c r="D35" s="12"/>
      <c r="E35" s="16">
        <f>C35*F35</f>
        <v>0</v>
      </c>
      <c r="F35" s="14">
        <v>37.5</v>
      </c>
      <c r="G35" s="8"/>
    </row>
    <row r="36" spans="1:17" s="9" customFormat="1" ht="23.1" customHeight="1" x14ac:dyDescent="0.25">
      <c r="A36" s="61" t="s">
        <v>13</v>
      </c>
      <c r="B36" s="11" t="s">
        <v>36</v>
      </c>
      <c r="C36" s="22">
        <v>8724</v>
      </c>
      <c r="D36" s="12"/>
      <c r="E36" s="16">
        <f>C36*F36</f>
        <v>313129.28571428568</v>
      </c>
      <c r="F36" s="46">
        <v>35.892857142857139</v>
      </c>
      <c r="G36" s="8"/>
    </row>
    <row r="37" spans="1:17" s="9" customFormat="1" ht="24.75" hidden="1" customHeight="1" x14ac:dyDescent="0.25">
      <c r="A37" s="68"/>
      <c r="B37" s="11" t="s">
        <v>37</v>
      </c>
      <c r="C37" s="12"/>
      <c r="D37" s="12"/>
      <c r="E37" s="16"/>
      <c r="F37" s="23">
        <v>40.200000000000003</v>
      </c>
      <c r="G37" s="8"/>
    </row>
    <row r="38" spans="1:17" s="9" customFormat="1" ht="23.1" customHeight="1" x14ac:dyDescent="0.25">
      <c r="A38" s="62"/>
      <c r="B38" s="11" t="s">
        <v>38</v>
      </c>
      <c r="C38" s="12"/>
      <c r="D38" s="12"/>
      <c r="E38" s="13">
        <f>C38*F38</f>
        <v>0</v>
      </c>
      <c r="F38" s="23">
        <v>81.900000000000006</v>
      </c>
      <c r="G38" s="8"/>
    </row>
    <row r="39" spans="1:17" s="9" customFormat="1" ht="23.1" customHeight="1" x14ac:dyDescent="0.25">
      <c r="A39" s="61" t="s">
        <v>11</v>
      </c>
      <c r="B39" s="11" t="s">
        <v>39</v>
      </c>
      <c r="C39" s="22">
        <v>330</v>
      </c>
      <c r="D39" s="12"/>
      <c r="E39" s="13">
        <f>C39*F39</f>
        <v>2475</v>
      </c>
      <c r="F39" s="23">
        <v>7.5</v>
      </c>
      <c r="G39" s="8"/>
    </row>
    <row r="40" spans="1:17" s="9" customFormat="1" ht="23.1" customHeight="1" x14ac:dyDescent="0.25">
      <c r="A40" s="62"/>
      <c r="B40" s="11" t="s">
        <v>40</v>
      </c>
      <c r="C40" s="12">
        <v>128</v>
      </c>
      <c r="D40" s="12"/>
      <c r="E40" s="16">
        <f>C40*F40</f>
        <v>34199.040000000001</v>
      </c>
      <c r="F40" s="23">
        <v>267.18</v>
      </c>
      <c r="G40" s="8"/>
    </row>
    <row r="41" spans="1:17" s="9" customFormat="1" ht="25.5" customHeight="1" x14ac:dyDescent="0.25">
      <c r="A41" s="63" t="s">
        <v>69</v>
      </c>
      <c r="B41" s="63"/>
      <c r="C41" s="63"/>
      <c r="D41" s="63"/>
      <c r="E41" s="24">
        <f>SUM(E18:E40)</f>
        <v>17329053.726214286</v>
      </c>
      <c r="F41" s="25"/>
      <c r="G41" s="8"/>
      <c r="H41" s="44"/>
    </row>
    <row r="42" spans="1:17" x14ac:dyDescent="0.25">
      <c r="B42" s="26"/>
      <c r="C42" s="26"/>
      <c r="D42" s="26"/>
      <c r="E42" s="27"/>
      <c r="F42" s="26"/>
      <c r="H42" s="45"/>
    </row>
    <row r="43" spans="1:17" x14ac:dyDescent="0.25">
      <c r="B43" s="26"/>
      <c r="C43" s="26"/>
      <c r="D43" s="26"/>
      <c r="E43" s="29"/>
      <c r="F43" s="28"/>
      <c r="G43" s="1"/>
    </row>
    <row r="44" spans="1:17" x14ac:dyDescent="0.25">
      <c r="B44" s="26"/>
      <c r="C44" s="26"/>
      <c r="D44" s="26"/>
      <c r="E44" s="29"/>
      <c r="F44" s="28"/>
      <c r="G44" s="1"/>
    </row>
    <row r="45" spans="1:17" s="30" customFormat="1" x14ac:dyDescent="0.25">
      <c r="A45" s="30" t="s">
        <v>41</v>
      </c>
      <c r="B45" s="31" t="s">
        <v>42</v>
      </c>
      <c r="C45" s="32"/>
      <c r="E45" s="33"/>
      <c r="F45" s="32"/>
      <c r="G45" s="32"/>
      <c r="H45" s="32"/>
      <c r="I45" s="32"/>
      <c r="J45" s="32"/>
      <c r="L45" s="32"/>
    </row>
    <row r="46" spans="1:17" s="30" customFormat="1" x14ac:dyDescent="0.25">
      <c r="B46" s="30" t="s">
        <v>52</v>
      </c>
      <c r="C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0" customFormat="1" ht="28.5" customHeight="1" x14ac:dyDescent="0.25"/>
    <row r="48" spans="1:17" s="30" customFormat="1" x14ac:dyDescent="0.25">
      <c r="A48" s="30" t="s">
        <v>43</v>
      </c>
      <c r="B48" s="35" t="s">
        <v>44</v>
      </c>
    </row>
    <row r="49" spans="1:21" s="30" customFormat="1" x14ac:dyDescent="0.25">
      <c r="B49" s="30" t="s">
        <v>45</v>
      </c>
      <c r="K49" s="32"/>
      <c r="L49" s="32"/>
      <c r="M49" s="32"/>
      <c r="N49" s="32"/>
      <c r="O49" s="32"/>
    </row>
    <row r="50" spans="1:21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6"/>
      <c r="U50" s="37"/>
    </row>
    <row r="51" spans="1:21" ht="21" customHeight="1" x14ac:dyDescent="0.25"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6"/>
      <c r="U51" s="37"/>
    </row>
    <row r="52" spans="1:21" x14ac:dyDescent="0.25">
      <c r="A52" s="1" t="s">
        <v>46</v>
      </c>
      <c r="B52" s="35" t="s">
        <v>47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6"/>
      <c r="U52" s="37"/>
    </row>
    <row r="53" spans="1:21" x14ac:dyDescent="0.25">
      <c r="B53" s="30" t="s">
        <v>58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6"/>
      <c r="U53" s="37"/>
    </row>
    <row r="54" spans="1:21" ht="17.25" customHeight="1" x14ac:dyDescent="0.25">
      <c r="B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6"/>
      <c r="U54" s="37"/>
    </row>
    <row r="55" spans="1:21" x14ac:dyDescent="0.25">
      <c r="B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6"/>
      <c r="U55" s="37"/>
    </row>
    <row r="56" spans="1:21" x14ac:dyDescent="0.25">
      <c r="A56" s="38" t="s">
        <v>49</v>
      </c>
      <c r="B56" s="35" t="s">
        <v>50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7"/>
      <c r="U56" s="37"/>
    </row>
    <row r="57" spans="1:21" s="39" customFormat="1" ht="17.25" customHeight="1" x14ac:dyDescent="0.25">
      <c r="B57" s="40" t="s">
        <v>57</v>
      </c>
    </row>
    <row r="58" spans="1:21" s="30" customFormat="1" x14ac:dyDescent="0.25">
      <c r="B58" s="3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1:21" s="30" customFormat="1" x14ac:dyDescent="0.25">
      <c r="B59" s="3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30" customFormat="1" x14ac:dyDescent="0.2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30" customFormat="1" x14ac:dyDescent="0.25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30" customFormat="1" x14ac:dyDescent="0.25"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s="30" customFormat="1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s="30" customFormat="1" x14ac:dyDescent="0.25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 s="30" customFormat="1" x14ac:dyDescent="0.2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2:21" s="30" customFormat="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</sheetData>
  <mergeCells count="20">
    <mergeCell ref="A39:A40"/>
    <mergeCell ref="A41:D41"/>
    <mergeCell ref="A14:A15"/>
    <mergeCell ref="A18:B18"/>
    <mergeCell ref="A19:A22"/>
    <mergeCell ref="A24:A28"/>
    <mergeCell ref="A29:A35"/>
    <mergeCell ref="A36:A38"/>
    <mergeCell ref="B8:G8"/>
    <mergeCell ref="A9:A12"/>
    <mergeCell ref="B9:B12"/>
    <mergeCell ref="C9:D11"/>
    <mergeCell ref="E9:E11"/>
    <mergeCell ref="F9:F12"/>
    <mergeCell ref="A7:F7"/>
    <mergeCell ref="B1:G1"/>
    <mergeCell ref="A2:F2"/>
    <mergeCell ref="A3:F3"/>
    <mergeCell ref="B5:G5"/>
    <mergeCell ref="A6:F6"/>
  </mergeCells>
  <pageMargins left="0.59055118110236227" right="0.70866141732283472" top="0.39370078740157483" bottom="0.74803149606299213" header="0.31496062992125984" footer="0.31496062992125984"/>
  <pageSetup paperSize="14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opLeftCell="A7" workbookViewId="0">
      <selection activeCell="C38" sqref="C38"/>
    </sheetView>
  </sheetViews>
  <sheetFormatPr defaultRowHeight="15.75" x14ac:dyDescent="0.25"/>
  <cols>
    <col min="1" max="1" width="16" style="1" customWidth="1"/>
    <col min="2" max="2" width="30.5703125" style="1" customWidth="1"/>
    <col min="3" max="3" width="12" style="1" customWidth="1"/>
    <col min="4" max="4" width="13.140625" style="1" customWidth="1"/>
    <col min="5" max="5" width="19.5703125" style="1" bestFit="1" customWidth="1"/>
    <col min="6" max="6" width="14.140625" style="1" customWidth="1"/>
    <col min="7" max="7" width="15.7109375" style="28" bestFit="1" customWidth="1"/>
    <col min="8" max="8" width="13.140625" style="1" bestFit="1" customWidth="1"/>
    <col min="9" max="9" width="9.140625" style="1"/>
    <col min="10" max="10" width="13.5703125" style="1" bestFit="1" customWidth="1"/>
    <col min="11" max="16384" width="9.140625" style="1"/>
  </cols>
  <sheetData>
    <row r="1" spans="1:13" ht="9.75" customHeight="1" x14ac:dyDescent="0.25">
      <c r="B1" s="55"/>
      <c r="C1" s="55"/>
      <c r="D1" s="55"/>
      <c r="E1" s="55"/>
      <c r="F1" s="55"/>
      <c r="G1" s="55"/>
    </row>
    <row r="2" spans="1:13" s="3" customFormat="1" ht="20.25" x14ac:dyDescent="0.3">
      <c r="A2" s="56" t="s">
        <v>0</v>
      </c>
      <c r="B2" s="56"/>
      <c r="C2" s="56"/>
      <c r="D2" s="56"/>
      <c r="E2" s="56"/>
      <c r="F2" s="56"/>
      <c r="G2" s="2"/>
    </row>
    <row r="3" spans="1:13" s="3" customFormat="1" ht="20.25" x14ac:dyDescent="0.3">
      <c r="A3" s="56" t="s">
        <v>1</v>
      </c>
      <c r="B3" s="56"/>
      <c r="C3" s="56"/>
      <c r="D3" s="56"/>
      <c r="E3" s="56"/>
      <c r="F3" s="56"/>
      <c r="G3" s="2"/>
    </row>
    <row r="4" spans="1:13" s="3" customFormat="1" ht="9.75" customHeight="1" x14ac:dyDescent="0.3">
      <c r="A4" s="4"/>
      <c r="B4" s="47"/>
      <c r="C4" s="47"/>
      <c r="D4" s="47"/>
      <c r="E4" s="47"/>
      <c r="F4" s="47"/>
      <c r="G4" s="2"/>
    </row>
    <row r="5" spans="1:13" s="3" customFormat="1" ht="0.75" customHeight="1" x14ac:dyDescent="0.3">
      <c r="A5" s="4"/>
      <c r="B5" s="56"/>
      <c r="C5" s="56"/>
      <c r="D5" s="56"/>
      <c r="E5" s="56"/>
      <c r="F5" s="56"/>
      <c r="G5" s="56"/>
    </row>
    <row r="6" spans="1:13" s="3" customFormat="1" ht="20.25" x14ac:dyDescent="0.3">
      <c r="A6" s="54" t="s">
        <v>2</v>
      </c>
      <c r="B6" s="54"/>
      <c r="C6" s="54"/>
      <c r="D6" s="54"/>
      <c r="E6" s="54"/>
      <c r="F6" s="54"/>
      <c r="G6" s="5"/>
    </row>
    <row r="7" spans="1:13" s="3" customFormat="1" ht="20.25" customHeight="1" x14ac:dyDescent="0.3">
      <c r="A7" s="54" t="s">
        <v>54</v>
      </c>
      <c r="B7" s="54"/>
      <c r="C7" s="54"/>
      <c r="D7" s="54"/>
      <c r="E7" s="54"/>
      <c r="F7" s="54"/>
      <c r="G7" s="5"/>
    </row>
    <row r="8" spans="1:13" ht="10.5" customHeight="1" x14ac:dyDescent="0.25">
      <c r="B8" s="57"/>
      <c r="C8" s="57"/>
      <c r="D8" s="57"/>
      <c r="E8" s="57"/>
      <c r="F8" s="57"/>
      <c r="G8" s="57"/>
    </row>
    <row r="9" spans="1:13" ht="21.95" customHeight="1" x14ac:dyDescent="0.25">
      <c r="A9" s="58" t="s">
        <v>3</v>
      </c>
      <c r="B9" s="59" t="s">
        <v>4</v>
      </c>
      <c r="C9" s="60" t="s">
        <v>5</v>
      </c>
      <c r="D9" s="60"/>
      <c r="E9" s="60" t="s">
        <v>6</v>
      </c>
      <c r="F9" s="59" t="s">
        <v>7</v>
      </c>
      <c r="G9" s="6"/>
    </row>
    <row r="10" spans="1:13" ht="21.95" customHeight="1" x14ac:dyDescent="0.25">
      <c r="A10" s="58"/>
      <c r="B10" s="59"/>
      <c r="C10" s="60"/>
      <c r="D10" s="60"/>
      <c r="E10" s="60"/>
      <c r="F10" s="59"/>
      <c r="G10" s="6"/>
    </row>
    <row r="11" spans="1:13" ht="21.95" customHeight="1" x14ac:dyDescent="0.25">
      <c r="A11" s="58"/>
      <c r="B11" s="59"/>
      <c r="C11" s="60"/>
      <c r="D11" s="60"/>
      <c r="E11" s="60"/>
      <c r="F11" s="59"/>
      <c r="G11" s="6"/>
    </row>
    <row r="12" spans="1:13" s="10" customFormat="1" ht="23.1" customHeight="1" x14ac:dyDescent="0.25">
      <c r="A12" s="58"/>
      <c r="B12" s="59"/>
      <c r="C12" s="7" t="s">
        <v>8</v>
      </c>
      <c r="D12" s="7" t="s">
        <v>9</v>
      </c>
      <c r="E12" s="7" t="s">
        <v>10</v>
      </c>
      <c r="F12" s="59"/>
      <c r="G12" s="8"/>
      <c r="H12" s="9"/>
      <c r="I12" s="9"/>
      <c r="J12" s="9"/>
      <c r="K12" s="9"/>
      <c r="L12" s="9"/>
      <c r="M12" s="9"/>
    </row>
    <row r="13" spans="1:13" s="9" customFormat="1" ht="23.1" hidden="1" customHeight="1" x14ac:dyDescent="0.25">
      <c r="A13" s="43" t="s">
        <v>11</v>
      </c>
      <c r="B13" s="11" t="s">
        <v>12</v>
      </c>
      <c r="C13" s="12"/>
      <c r="D13" s="12">
        <f>C13/200*25</f>
        <v>0</v>
      </c>
      <c r="E13" s="13">
        <f t="shared" ref="E13:E16" si="0">C13*F13</f>
        <v>0</v>
      </c>
      <c r="F13" s="14">
        <v>23.75</v>
      </c>
      <c r="G13" s="8"/>
    </row>
    <row r="14" spans="1:13" s="9" customFormat="1" ht="19.5" customHeight="1" x14ac:dyDescent="0.25">
      <c r="A14" s="64" t="s">
        <v>13</v>
      </c>
      <c r="B14" s="11" t="s">
        <v>14</v>
      </c>
      <c r="C14" s="12">
        <v>0</v>
      </c>
      <c r="D14" s="15">
        <f>C14/208*25</f>
        <v>0</v>
      </c>
      <c r="E14" s="16">
        <f>C14*F14</f>
        <v>0</v>
      </c>
      <c r="F14" s="14">
        <v>26.9221</v>
      </c>
      <c r="G14" s="8"/>
    </row>
    <row r="15" spans="1:13" s="9" customFormat="1" ht="15.75" hidden="1" customHeight="1" x14ac:dyDescent="0.25">
      <c r="A15" s="65"/>
      <c r="B15" s="11" t="s">
        <v>15</v>
      </c>
      <c r="C15" s="12"/>
      <c r="D15" s="15">
        <f>C15/135*25</f>
        <v>0</v>
      </c>
      <c r="E15" s="16">
        <f t="shared" si="0"/>
        <v>0</v>
      </c>
      <c r="F15" s="14">
        <v>40</v>
      </c>
      <c r="G15" s="8"/>
    </row>
    <row r="16" spans="1:13" s="9" customFormat="1" ht="23.1" customHeight="1" x14ac:dyDescent="0.25">
      <c r="A16" s="43" t="s">
        <v>11</v>
      </c>
      <c r="B16" s="11" t="s">
        <v>16</v>
      </c>
      <c r="C16" s="12">
        <v>3192</v>
      </c>
      <c r="D16" s="15">
        <f>C16/215*25</f>
        <v>371.16279069767444</v>
      </c>
      <c r="E16" s="16">
        <f t="shared" si="0"/>
        <v>94367.968800000002</v>
      </c>
      <c r="F16" s="46">
        <v>29.5639</v>
      </c>
      <c r="G16" s="8"/>
    </row>
    <row r="17" spans="1:8" s="9" customFormat="1" ht="23.1" hidden="1" customHeight="1" x14ac:dyDescent="0.25">
      <c r="A17" s="43" t="s">
        <v>13</v>
      </c>
      <c r="B17" s="11" t="s">
        <v>17</v>
      </c>
      <c r="C17" s="12"/>
      <c r="D17" s="15">
        <f>C17/38*25</f>
        <v>0</v>
      </c>
      <c r="E17" s="16">
        <f>C17*F17</f>
        <v>0</v>
      </c>
      <c r="F17" s="14">
        <v>115.8</v>
      </c>
      <c r="G17" s="8"/>
      <c r="H17" s="17"/>
    </row>
    <row r="18" spans="1:8" s="21" customFormat="1" ht="23.1" customHeight="1" x14ac:dyDescent="0.25">
      <c r="A18" s="66" t="s">
        <v>18</v>
      </c>
      <c r="B18" s="66"/>
      <c r="C18" s="18">
        <f>SUM(C13:C17)</f>
        <v>3192</v>
      </c>
      <c r="D18" s="19">
        <f>SUM(D13:D17)</f>
        <v>371.16279069767444</v>
      </c>
      <c r="E18" s="19">
        <f>SUM(E13:E17)</f>
        <v>94367.968800000002</v>
      </c>
      <c r="F18" s="19"/>
      <c r="G18" s="8"/>
      <c r="H18" s="20"/>
    </row>
    <row r="19" spans="1:8" s="9" customFormat="1" ht="23.1" customHeight="1" x14ac:dyDescent="0.25">
      <c r="A19" s="67" t="s">
        <v>19</v>
      </c>
      <c r="B19" s="11" t="s">
        <v>20</v>
      </c>
      <c r="C19" s="15"/>
      <c r="D19" s="15">
        <v>891</v>
      </c>
      <c r="E19" s="16">
        <f>D19*F19</f>
        <v>129979.08</v>
      </c>
      <c r="F19" s="14">
        <v>145.88</v>
      </c>
      <c r="G19" s="8"/>
    </row>
    <row r="20" spans="1:8" s="9" customFormat="1" ht="24.75" hidden="1" customHeight="1" x14ac:dyDescent="0.25">
      <c r="A20" s="67"/>
      <c r="B20" s="11" t="s">
        <v>21</v>
      </c>
      <c r="C20" s="12"/>
      <c r="D20" s="15"/>
      <c r="E20" s="16">
        <f t="shared" ref="E20:E34" si="1">C20*F20</f>
        <v>0</v>
      </c>
      <c r="F20" s="14">
        <v>26.5</v>
      </c>
      <c r="G20" s="8"/>
    </row>
    <row r="21" spans="1:8" s="9" customFormat="1" ht="23.1" customHeight="1" x14ac:dyDescent="0.25">
      <c r="A21" s="67"/>
      <c r="B21" s="11" t="s">
        <v>22</v>
      </c>
      <c r="C21" s="15">
        <f>C22*2.43</f>
        <v>357.21000000000004</v>
      </c>
      <c r="D21" s="22"/>
      <c r="E21" s="16">
        <f t="shared" si="1"/>
        <v>9880.4286000000011</v>
      </c>
      <c r="F21" s="14">
        <v>27.66</v>
      </c>
      <c r="G21" s="8"/>
    </row>
    <row r="22" spans="1:8" s="9" customFormat="1" ht="23.1" customHeight="1" x14ac:dyDescent="0.25">
      <c r="A22" s="67"/>
      <c r="B22" s="11" t="s">
        <v>23</v>
      </c>
      <c r="C22" s="12">
        <v>147</v>
      </c>
      <c r="D22" s="12"/>
      <c r="E22" s="16">
        <f t="shared" si="1"/>
        <v>3858.75</v>
      </c>
      <c r="F22" s="23">
        <v>26.25</v>
      </c>
      <c r="G22" s="8"/>
    </row>
    <row r="23" spans="1:8" s="9" customFormat="1" ht="23.1" customHeight="1" x14ac:dyDescent="0.25">
      <c r="A23" s="42" t="s">
        <v>11</v>
      </c>
      <c r="B23" s="11" t="s">
        <v>24</v>
      </c>
      <c r="C23" s="12">
        <v>0</v>
      </c>
      <c r="D23" s="12"/>
      <c r="E23" s="16">
        <f t="shared" si="1"/>
        <v>0</v>
      </c>
      <c r="F23" s="23">
        <v>20.62</v>
      </c>
      <c r="G23" s="8"/>
    </row>
    <row r="24" spans="1:8" s="9" customFormat="1" ht="23.1" customHeight="1" x14ac:dyDescent="0.25">
      <c r="A24" s="61" t="s">
        <v>13</v>
      </c>
      <c r="B24" s="11" t="s">
        <v>25</v>
      </c>
      <c r="C24" s="12">
        <v>0</v>
      </c>
      <c r="D24" s="12"/>
      <c r="E24" s="16">
        <f t="shared" si="1"/>
        <v>0</v>
      </c>
      <c r="F24" s="23">
        <v>171.74</v>
      </c>
      <c r="G24" s="8"/>
    </row>
    <row r="25" spans="1:8" s="9" customFormat="1" ht="23.1" customHeight="1" x14ac:dyDescent="0.25">
      <c r="A25" s="68"/>
      <c r="B25" s="11" t="s">
        <v>26</v>
      </c>
      <c r="C25" s="12">
        <v>0</v>
      </c>
      <c r="D25" s="12"/>
      <c r="E25" s="16">
        <f t="shared" si="1"/>
        <v>0</v>
      </c>
      <c r="F25" s="23">
        <v>176.79</v>
      </c>
      <c r="G25" s="8"/>
    </row>
    <row r="26" spans="1:8" s="9" customFormat="1" ht="23.1" customHeight="1" x14ac:dyDescent="0.25">
      <c r="A26" s="68"/>
      <c r="B26" s="11" t="s">
        <v>27</v>
      </c>
      <c r="C26" s="12">
        <v>0</v>
      </c>
      <c r="D26" s="12"/>
      <c r="E26" s="16">
        <f t="shared" si="1"/>
        <v>0</v>
      </c>
      <c r="F26" s="23">
        <v>180.36</v>
      </c>
      <c r="G26" s="8"/>
    </row>
    <row r="27" spans="1:8" s="9" customFormat="1" ht="23.1" customHeight="1" x14ac:dyDescent="0.25">
      <c r="A27" s="68"/>
      <c r="B27" s="11" t="s">
        <v>28</v>
      </c>
      <c r="C27" s="12">
        <v>0</v>
      </c>
      <c r="D27" s="12"/>
      <c r="E27" s="16">
        <f t="shared" si="1"/>
        <v>0</v>
      </c>
      <c r="F27" s="23">
        <v>185.71</v>
      </c>
      <c r="G27" s="8"/>
    </row>
    <row r="28" spans="1:8" s="9" customFormat="1" ht="23.1" hidden="1" customHeight="1" x14ac:dyDescent="0.25">
      <c r="A28" s="62"/>
      <c r="B28" s="11" t="s">
        <v>29</v>
      </c>
      <c r="C28" s="12"/>
      <c r="D28" s="12"/>
      <c r="E28" s="16">
        <f t="shared" si="1"/>
        <v>0</v>
      </c>
      <c r="F28" s="23">
        <v>207</v>
      </c>
      <c r="G28" s="8"/>
    </row>
    <row r="29" spans="1:8" s="9" customFormat="1" ht="23.1" customHeight="1" x14ac:dyDescent="0.25">
      <c r="A29" s="61" t="s">
        <v>11</v>
      </c>
      <c r="B29" s="11" t="s">
        <v>30</v>
      </c>
      <c r="C29" s="12">
        <v>1515</v>
      </c>
      <c r="D29" s="12"/>
      <c r="E29" s="16">
        <f t="shared" si="1"/>
        <v>286910.7</v>
      </c>
      <c r="F29" s="14">
        <v>189.38</v>
      </c>
      <c r="G29" s="8"/>
    </row>
    <row r="30" spans="1:8" s="9" customFormat="1" ht="23.1" customHeight="1" x14ac:dyDescent="0.25">
      <c r="A30" s="68"/>
      <c r="B30" s="11" t="s">
        <v>31</v>
      </c>
      <c r="C30" s="12">
        <v>0</v>
      </c>
      <c r="D30" s="12"/>
      <c r="E30" s="13">
        <f>C30*F30</f>
        <v>0</v>
      </c>
      <c r="F30" s="14">
        <v>195</v>
      </c>
      <c r="G30" s="8"/>
    </row>
    <row r="31" spans="1:8" s="9" customFormat="1" ht="23.1" customHeight="1" x14ac:dyDescent="0.25">
      <c r="A31" s="68"/>
      <c r="B31" s="11" t="s">
        <v>32</v>
      </c>
      <c r="C31" s="12">
        <v>0</v>
      </c>
      <c r="D31" s="12"/>
      <c r="E31" s="13">
        <f t="shared" si="1"/>
        <v>0</v>
      </c>
      <c r="F31" s="14">
        <v>195</v>
      </c>
      <c r="G31" s="8"/>
    </row>
    <row r="32" spans="1:8" s="9" customFormat="1" ht="24.75" hidden="1" customHeight="1" x14ac:dyDescent="0.25">
      <c r="A32" s="68"/>
      <c r="B32" s="11" t="s">
        <v>33</v>
      </c>
      <c r="C32" s="12"/>
      <c r="D32" s="12"/>
      <c r="E32" s="13">
        <f t="shared" si="1"/>
        <v>0</v>
      </c>
      <c r="F32" s="23">
        <v>359.83</v>
      </c>
      <c r="G32" s="8"/>
    </row>
    <row r="33" spans="1:17" s="9" customFormat="1" ht="24.75" hidden="1" customHeight="1" x14ac:dyDescent="0.25">
      <c r="A33" s="68"/>
      <c r="B33" s="11" t="s">
        <v>34</v>
      </c>
      <c r="C33" s="12"/>
      <c r="D33" s="12"/>
      <c r="E33" s="13">
        <f t="shared" si="1"/>
        <v>0</v>
      </c>
      <c r="F33" s="23">
        <v>379.46</v>
      </c>
      <c r="G33" s="8"/>
    </row>
    <row r="34" spans="1:17" s="9" customFormat="1" ht="23.1" customHeight="1" x14ac:dyDescent="0.25">
      <c r="A34" s="68"/>
      <c r="B34" s="11" t="s">
        <v>35</v>
      </c>
      <c r="C34" s="12">
        <v>595</v>
      </c>
      <c r="D34" s="12"/>
      <c r="E34" s="16">
        <f t="shared" si="1"/>
        <v>20914.25</v>
      </c>
      <c r="F34" s="14">
        <v>35.15</v>
      </c>
      <c r="G34" s="8"/>
    </row>
    <row r="35" spans="1:17" s="9" customFormat="1" ht="19.5" customHeight="1" x14ac:dyDescent="0.25">
      <c r="A35" s="62"/>
      <c r="B35" s="11" t="s">
        <v>53</v>
      </c>
      <c r="C35" s="12">
        <v>0</v>
      </c>
      <c r="D35" s="12"/>
      <c r="E35" s="16">
        <f>C35*F35</f>
        <v>0</v>
      </c>
      <c r="F35" s="14">
        <v>37.5</v>
      </c>
      <c r="G35" s="8"/>
    </row>
    <row r="36" spans="1:17" s="9" customFormat="1" ht="23.1" customHeight="1" x14ac:dyDescent="0.25">
      <c r="A36" s="61" t="s">
        <v>13</v>
      </c>
      <c r="B36" s="11" t="s">
        <v>36</v>
      </c>
      <c r="C36" s="22">
        <v>0</v>
      </c>
      <c r="D36" s="12"/>
      <c r="E36" s="16">
        <f>C36*F36</f>
        <v>0</v>
      </c>
      <c r="F36" s="48">
        <v>35.893000000000001</v>
      </c>
      <c r="G36" s="8"/>
    </row>
    <row r="37" spans="1:17" s="9" customFormat="1" ht="24.75" hidden="1" customHeight="1" x14ac:dyDescent="0.25">
      <c r="A37" s="68"/>
      <c r="B37" s="11" t="s">
        <v>37</v>
      </c>
      <c r="C37" s="12"/>
      <c r="D37" s="12"/>
      <c r="E37" s="16"/>
      <c r="F37" s="23">
        <v>40.200000000000003</v>
      </c>
      <c r="G37" s="8"/>
    </row>
    <row r="38" spans="1:17" s="9" customFormat="1" ht="23.1" customHeight="1" x14ac:dyDescent="0.25">
      <c r="A38" s="62"/>
      <c r="B38" s="11" t="s">
        <v>38</v>
      </c>
      <c r="C38" s="12">
        <v>0</v>
      </c>
      <c r="D38" s="12"/>
      <c r="E38" s="13">
        <f>C38*F38</f>
        <v>0</v>
      </c>
      <c r="F38" s="23">
        <v>81.900000000000006</v>
      </c>
      <c r="G38" s="8"/>
    </row>
    <row r="39" spans="1:17" s="9" customFormat="1" ht="23.1" customHeight="1" x14ac:dyDescent="0.25">
      <c r="A39" s="61" t="s">
        <v>11</v>
      </c>
      <c r="B39" s="11" t="s">
        <v>39</v>
      </c>
      <c r="C39" s="22">
        <v>0</v>
      </c>
      <c r="D39" s="12"/>
      <c r="E39" s="13">
        <f>C39*F39</f>
        <v>0</v>
      </c>
      <c r="F39" s="23">
        <v>7.5</v>
      </c>
      <c r="G39" s="8"/>
    </row>
    <row r="40" spans="1:17" s="9" customFormat="1" ht="23.1" customHeight="1" x14ac:dyDescent="0.25">
      <c r="A40" s="62"/>
      <c r="B40" s="11" t="s">
        <v>40</v>
      </c>
      <c r="C40" s="12">
        <v>0</v>
      </c>
      <c r="D40" s="12"/>
      <c r="E40" s="16">
        <f>C40*F40</f>
        <v>0</v>
      </c>
      <c r="F40" s="23">
        <v>267.18</v>
      </c>
      <c r="G40" s="8"/>
    </row>
    <row r="41" spans="1:17" s="9" customFormat="1" ht="25.5" customHeight="1" x14ac:dyDescent="0.25">
      <c r="A41" s="63" t="s">
        <v>55</v>
      </c>
      <c r="B41" s="63"/>
      <c r="C41" s="63"/>
      <c r="D41" s="63"/>
      <c r="E41" s="24">
        <f>SUM(E18:E40)</f>
        <v>545911.17740000004</v>
      </c>
      <c r="F41" s="25"/>
      <c r="G41" s="8"/>
      <c r="H41" s="44"/>
    </row>
    <row r="42" spans="1:17" x14ac:dyDescent="0.25">
      <c r="B42" s="26"/>
      <c r="C42" s="26"/>
      <c r="D42" s="26"/>
      <c r="E42" s="27"/>
      <c r="F42" s="26"/>
      <c r="H42" s="45"/>
    </row>
    <row r="43" spans="1:17" x14ac:dyDescent="0.25">
      <c r="B43" s="26"/>
      <c r="C43" s="26"/>
      <c r="D43" s="26"/>
      <c r="E43" s="29"/>
      <c r="F43" s="28"/>
      <c r="G43" s="1"/>
    </row>
    <row r="44" spans="1:17" x14ac:dyDescent="0.25">
      <c r="B44" s="26"/>
      <c r="C44" s="26"/>
      <c r="D44" s="26"/>
      <c r="E44" s="29"/>
      <c r="F44" s="28"/>
      <c r="G44" s="1"/>
    </row>
    <row r="45" spans="1:17" s="30" customFormat="1" x14ac:dyDescent="0.25">
      <c r="A45" s="30" t="s">
        <v>41</v>
      </c>
      <c r="B45" s="31" t="s">
        <v>42</v>
      </c>
      <c r="C45" s="32"/>
      <c r="E45" s="33"/>
      <c r="F45" s="32"/>
      <c r="G45" s="32"/>
      <c r="H45" s="32"/>
      <c r="I45" s="32"/>
      <c r="J45" s="32"/>
      <c r="L45" s="32"/>
    </row>
    <row r="46" spans="1:17" s="30" customFormat="1" x14ac:dyDescent="0.25">
      <c r="B46" s="30" t="s">
        <v>52</v>
      </c>
      <c r="C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0" customFormat="1" ht="28.5" customHeight="1" x14ac:dyDescent="0.25"/>
    <row r="48" spans="1:17" s="30" customFormat="1" x14ac:dyDescent="0.25">
      <c r="A48" s="30" t="s">
        <v>43</v>
      </c>
      <c r="B48" s="35" t="s">
        <v>44</v>
      </c>
    </row>
    <row r="49" spans="1:21" s="30" customFormat="1" x14ac:dyDescent="0.25">
      <c r="B49" s="30" t="s">
        <v>45</v>
      </c>
      <c r="K49" s="32"/>
      <c r="L49" s="32"/>
      <c r="M49" s="32"/>
      <c r="N49" s="32"/>
      <c r="O49" s="32"/>
    </row>
    <row r="50" spans="1:21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6"/>
      <c r="U50" s="37"/>
    </row>
    <row r="51" spans="1:21" ht="21" customHeight="1" x14ac:dyDescent="0.25"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6"/>
      <c r="U51" s="37"/>
    </row>
    <row r="52" spans="1:21" x14ac:dyDescent="0.25">
      <c r="A52" s="1" t="s">
        <v>46</v>
      </c>
      <c r="B52" s="35" t="s">
        <v>47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6"/>
      <c r="U52" s="37"/>
    </row>
    <row r="53" spans="1:21" x14ac:dyDescent="0.25">
      <c r="B53" s="30" t="s">
        <v>48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6"/>
      <c r="U53" s="37"/>
    </row>
    <row r="54" spans="1:21" ht="17.25" customHeight="1" x14ac:dyDescent="0.25">
      <c r="B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6"/>
      <c r="U54" s="37"/>
    </row>
    <row r="55" spans="1:21" x14ac:dyDescent="0.25">
      <c r="B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6"/>
      <c r="U55" s="37"/>
    </row>
    <row r="56" spans="1:21" x14ac:dyDescent="0.25">
      <c r="A56" s="38" t="s">
        <v>49</v>
      </c>
      <c r="B56" s="35" t="s">
        <v>50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7"/>
      <c r="U56" s="37"/>
    </row>
    <row r="57" spans="1:21" s="39" customFormat="1" ht="17.25" customHeight="1" x14ac:dyDescent="0.25">
      <c r="B57" s="40" t="s">
        <v>51</v>
      </c>
    </row>
    <row r="58" spans="1:21" s="30" customFormat="1" x14ac:dyDescent="0.25">
      <c r="B58" s="3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 spans="1:21" s="30" customFormat="1" x14ac:dyDescent="0.25">
      <c r="B59" s="3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30" customFormat="1" x14ac:dyDescent="0.2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30" customFormat="1" x14ac:dyDescent="0.25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30" customFormat="1" x14ac:dyDescent="0.25"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s="30" customFormat="1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s="30" customFormat="1" x14ac:dyDescent="0.25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 s="30" customFormat="1" x14ac:dyDescent="0.2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2:21" s="30" customFormat="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</sheetData>
  <mergeCells count="20">
    <mergeCell ref="A39:A40"/>
    <mergeCell ref="A41:D41"/>
    <mergeCell ref="A14:A15"/>
    <mergeCell ref="A18:B18"/>
    <mergeCell ref="A19:A22"/>
    <mergeCell ref="A24:A28"/>
    <mergeCell ref="A29:A35"/>
    <mergeCell ref="A36:A38"/>
    <mergeCell ref="B8:G8"/>
    <mergeCell ref="A9:A12"/>
    <mergeCell ref="B9:B12"/>
    <mergeCell ref="C9:D11"/>
    <mergeCell ref="E9:E11"/>
    <mergeCell ref="F9:F12"/>
    <mergeCell ref="A7:F7"/>
    <mergeCell ref="B1:G1"/>
    <mergeCell ref="A2:F2"/>
    <mergeCell ref="A3:F3"/>
    <mergeCell ref="B5:G5"/>
    <mergeCell ref="A6:F6"/>
  </mergeCells>
  <pageMargins left="0.59055118110236227" right="0.70866141732283472" top="0.39370078740157483" bottom="0.74803149606299213" header="0.31496062992125984" footer="0.31496062992125984"/>
  <pageSetup paperSize="14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MAY 2026</vt:lpstr>
      <vt:lpstr>FORMAT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cp:lastPrinted>2026-06-02T00:16:01Z</cp:lastPrinted>
  <dcterms:created xsi:type="dcterms:W3CDTF">2024-02-01T02:45:11Z</dcterms:created>
  <dcterms:modified xsi:type="dcterms:W3CDTF">2026-06-02T00:16:06Z</dcterms:modified>
</cp:coreProperties>
</file>