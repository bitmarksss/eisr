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7.MINE EXPLOSIVES REPORTS\06.MONTHLY REPORT\2026\"/>
    </mc:Choice>
  </mc:AlternateContent>
  <bookViews>
    <workbookView xWindow="0" yWindow="0" windowWidth="28800" windowHeight="11715" firstSheet="1" activeTab="4"/>
  </bookViews>
  <sheets>
    <sheet name="JANUARY 2026" sheetId="24" r:id="rId1"/>
    <sheet name="FEBRUARY 2026" sheetId="25" r:id="rId2"/>
    <sheet name="MARCH 2026" sheetId="26" r:id="rId3"/>
    <sheet name="APRIL 2026" sheetId="27" r:id="rId4"/>
    <sheet name="MAY 2026" sheetId="2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" i="28" l="1"/>
  <c r="M17" i="28"/>
  <c r="K17" i="28" l="1"/>
  <c r="M16" i="28"/>
  <c r="K16" i="28"/>
  <c r="W16" i="28" l="1"/>
  <c r="W18" i="28" s="1"/>
  <c r="W19" i="28" s="1"/>
  <c r="H19" i="28"/>
  <c r="G19" i="28"/>
  <c r="F19" i="28"/>
  <c r="E19" i="28"/>
  <c r="AS18" i="28"/>
  <c r="AR18" i="28"/>
  <c r="AR19" i="28" s="1"/>
  <c r="AQ18" i="28"/>
  <c r="AQ19" i="28" s="1"/>
  <c r="AP18" i="28"/>
  <c r="AO18" i="28"/>
  <c r="AO19" i="28" s="1"/>
  <c r="AN18" i="28"/>
  <c r="AN19" i="28" s="1"/>
  <c r="AM18" i="28"/>
  <c r="AM19" i="28" s="1"/>
  <c r="AL18" i="28"/>
  <c r="AL19" i="28" s="1"/>
  <c r="AJ18" i="28"/>
  <c r="AI18" i="28"/>
  <c r="AH18" i="28"/>
  <c r="AG18" i="28"/>
  <c r="AF18" i="28"/>
  <c r="AF19" i="28" s="1"/>
  <c r="AE18" i="28"/>
  <c r="AE19" i="28" s="1"/>
  <c r="AD18" i="28"/>
  <c r="AD19" i="28" s="1"/>
  <c r="AC18" i="28"/>
  <c r="AC19" i="28" s="1"/>
  <c r="AB18" i="28"/>
  <c r="AB19" i="28" s="1"/>
  <c r="AA18" i="28"/>
  <c r="AA19" i="28" s="1"/>
  <c r="Z18" i="28"/>
  <c r="Z19" i="28" s="1"/>
  <c r="Y18" i="28"/>
  <c r="Y19" i="28" s="1"/>
  <c r="X18" i="28"/>
  <c r="U18" i="28"/>
  <c r="U19" i="28" s="1"/>
  <c r="T18" i="28"/>
  <c r="T19" i="28" s="1"/>
  <c r="S18" i="28"/>
  <c r="S19" i="28" s="1"/>
  <c r="R18" i="28"/>
  <c r="R19" i="28" s="1"/>
  <c r="Q18" i="28"/>
  <c r="Q19" i="28" s="1"/>
  <c r="O18" i="28"/>
  <c r="O19" i="28" s="1"/>
  <c r="J18" i="28"/>
  <c r="J19" i="28" s="1"/>
  <c r="I18" i="28"/>
  <c r="I19" i="28" s="1"/>
  <c r="H18" i="28"/>
  <c r="G18" i="28"/>
  <c r="F18" i="28"/>
  <c r="E18" i="28"/>
  <c r="D18" i="28"/>
  <c r="D19" i="28" s="1"/>
  <c r="C18" i="28"/>
  <c r="C19" i="28" s="1"/>
  <c r="V17" i="28"/>
  <c r="V18" i="28" s="1"/>
  <c r="V19" i="28" s="1"/>
  <c r="P17" i="28"/>
  <c r="N17" i="28"/>
  <c r="L17" i="28"/>
  <c r="J17" i="28"/>
  <c r="D17" i="28"/>
  <c r="V16" i="28"/>
  <c r="P16" i="28"/>
  <c r="M18" i="28"/>
  <c r="M19" i="28" s="1"/>
  <c r="K18" i="28"/>
  <c r="K19" i="28" s="1"/>
  <c r="J16" i="28"/>
  <c r="D16" i="28"/>
  <c r="AK18" i="28"/>
  <c r="AK19" i="28" s="1"/>
  <c r="P18" i="28"/>
  <c r="P19" i="28" s="1"/>
  <c r="AI19" i="28" l="1"/>
  <c r="AG19" i="28"/>
  <c r="L16" i="28"/>
  <c r="L18" i="28" s="1"/>
  <c r="L19" i="28" s="1"/>
  <c r="N16" i="28"/>
  <c r="N18" i="28" s="1"/>
  <c r="N19" i="28" s="1"/>
  <c r="W18" i="27"/>
  <c r="V18" i="27"/>
  <c r="P18" i="27"/>
  <c r="N18" i="27"/>
  <c r="M18" i="27"/>
  <c r="K18" i="27"/>
  <c r="L18" i="27" s="1"/>
  <c r="J18" i="27"/>
  <c r="D18" i="27"/>
  <c r="AK16" i="27" l="1"/>
  <c r="W16" i="27"/>
  <c r="V17" i="27" l="1"/>
  <c r="P17" i="27"/>
  <c r="N17" i="27"/>
  <c r="L17" i="27"/>
  <c r="J17" i="27"/>
  <c r="D17" i="27"/>
  <c r="H21" i="27"/>
  <c r="G21" i="27"/>
  <c r="F21" i="27"/>
  <c r="E21" i="27"/>
  <c r="AS20" i="27"/>
  <c r="AR20" i="27"/>
  <c r="AQ20" i="27"/>
  <c r="AQ21" i="27" s="1"/>
  <c r="AP20" i="27"/>
  <c r="AO20" i="27"/>
  <c r="AO21" i="27" s="1"/>
  <c r="AN20" i="27"/>
  <c r="AN21" i="27" s="1"/>
  <c r="AM20" i="27"/>
  <c r="AM21" i="27" s="1"/>
  <c r="AL20" i="27"/>
  <c r="AL21" i="27" s="1"/>
  <c r="AK20" i="27"/>
  <c r="AK21" i="27" s="1"/>
  <c r="AJ20" i="27"/>
  <c r="AI20" i="27"/>
  <c r="AH20" i="27"/>
  <c r="AG20" i="27"/>
  <c r="AF20" i="27"/>
  <c r="AF21" i="27" s="1"/>
  <c r="AE20" i="27"/>
  <c r="AE21" i="27" s="1"/>
  <c r="AD20" i="27"/>
  <c r="AD21" i="27" s="1"/>
  <c r="AC20" i="27"/>
  <c r="AC21" i="27" s="1"/>
  <c r="AB20" i="27"/>
  <c r="AB21" i="27" s="1"/>
  <c r="AA20" i="27"/>
  <c r="AA21" i="27" s="1"/>
  <c r="Z20" i="27"/>
  <c r="Z21" i="27" s="1"/>
  <c r="Y20" i="27"/>
  <c r="Y21" i="27" s="1"/>
  <c r="X20" i="27"/>
  <c r="W20" i="27"/>
  <c r="W21" i="27" s="1"/>
  <c r="U20" i="27"/>
  <c r="U21" i="27" s="1"/>
  <c r="T20" i="27"/>
  <c r="T21" i="27" s="1"/>
  <c r="S20" i="27"/>
  <c r="S21" i="27" s="1"/>
  <c r="R20" i="27"/>
  <c r="R21" i="27" s="1"/>
  <c r="Q20" i="27"/>
  <c r="Q21" i="27" s="1"/>
  <c r="O20" i="27"/>
  <c r="O21" i="27" s="1"/>
  <c r="M20" i="27"/>
  <c r="M21" i="27" s="1"/>
  <c r="K20" i="27"/>
  <c r="K21" i="27" s="1"/>
  <c r="J20" i="27"/>
  <c r="J21" i="27" s="1"/>
  <c r="I20" i="27"/>
  <c r="I21" i="27" s="1"/>
  <c r="H20" i="27"/>
  <c r="G20" i="27"/>
  <c r="F20" i="27"/>
  <c r="E20" i="27"/>
  <c r="D20" i="27"/>
  <c r="D21" i="27" s="1"/>
  <c r="C20" i="27"/>
  <c r="C21" i="27" s="1"/>
  <c r="V19" i="27"/>
  <c r="P19" i="27"/>
  <c r="N19" i="27"/>
  <c r="L19" i="27"/>
  <c r="J19" i="27"/>
  <c r="D19" i="27"/>
  <c r="V16" i="27"/>
  <c r="V20" i="27" s="1"/>
  <c r="V21" i="27" s="1"/>
  <c r="P16" i="27"/>
  <c r="P20" i="27" s="1"/>
  <c r="P21" i="27" s="1"/>
  <c r="N16" i="27"/>
  <c r="L16" i="27"/>
  <c r="J16" i="27"/>
  <c r="D16" i="27"/>
  <c r="N20" i="27" l="1"/>
  <c r="N21" i="27" s="1"/>
  <c r="AG21" i="27"/>
  <c r="AI21" i="27"/>
  <c r="L20" i="27"/>
  <c r="L21" i="27" s="1"/>
  <c r="AR21" i="27"/>
  <c r="AD19" i="26"/>
  <c r="U19" i="26"/>
  <c r="T19" i="26"/>
  <c r="S19" i="26"/>
  <c r="R19" i="26"/>
  <c r="Q19" i="26"/>
  <c r="H19" i="26"/>
  <c r="G19" i="26"/>
  <c r="F19" i="26"/>
  <c r="E19" i="26"/>
  <c r="AS18" i="26"/>
  <c r="AR18" i="26"/>
  <c r="AR19" i="26" s="1"/>
  <c r="AQ18" i="26"/>
  <c r="AQ19" i="26" s="1"/>
  <c r="AP18" i="26"/>
  <c r="AO18" i="26"/>
  <c r="AN18" i="26"/>
  <c r="AN19" i="26" s="1"/>
  <c r="AM18" i="26"/>
  <c r="AM19" i="26" s="1"/>
  <c r="AL18" i="26"/>
  <c r="AL19" i="26" s="1"/>
  <c r="AK18" i="26"/>
  <c r="AK19" i="26" s="1"/>
  <c r="AJ18" i="26"/>
  <c r="AI18" i="26"/>
  <c r="AH18" i="26"/>
  <c r="AG18" i="26"/>
  <c r="AF18" i="26"/>
  <c r="AF19" i="26" s="1"/>
  <c r="AE18" i="26"/>
  <c r="AE19" i="26" s="1"/>
  <c r="AD18" i="26"/>
  <c r="AC18" i="26"/>
  <c r="AC19" i="26" s="1"/>
  <c r="AB18" i="26"/>
  <c r="AB19" i="26" s="1"/>
  <c r="AA18" i="26"/>
  <c r="AA19" i="26" s="1"/>
  <c r="Z18" i="26"/>
  <c r="Z19" i="26" s="1"/>
  <c r="Y18" i="26"/>
  <c r="Y19" i="26" s="1"/>
  <c r="X18" i="26"/>
  <c r="U18" i="26"/>
  <c r="T18" i="26"/>
  <c r="S18" i="26"/>
  <c r="R18" i="26"/>
  <c r="Q18" i="26"/>
  <c r="O18" i="26"/>
  <c r="O19" i="26" s="1"/>
  <c r="J18" i="26"/>
  <c r="J19" i="26" s="1"/>
  <c r="I18" i="26"/>
  <c r="I19" i="26" s="1"/>
  <c r="H18" i="26"/>
  <c r="G18" i="26"/>
  <c r="F18" i="26"/>
  <c r="E18" i="26"/>
  <c r="D18" i="26"/>
  <c r="D19" i="26" s="1"/>
  <c r="C18" i="26"/>
  <c r="C19" i="26" s="1"/>
  <c r="V17" i="26"/>
  <c r="P17" i="26"/>
  <c r="N17" i="26"/>
  <c r="K18" i="26"/>
  <c r="K19" i="26" s="1"/>
  <c r="J17" i="26"/>
  <c r="D17" i="26"/>
  <c r="W18" i="26"/>
  <c r="W19" i="26" s="1"/>
  <c r="V16" i="26"/>
  <c r="V18" i="26" s="1"/>
  <c r="V19" i="26" s="1"/>
  <c r="P16" i="26"/>
  <c r="P18" i="26" s="1"/>
  <c r="P19" i="26" s="1"/>
  <c r="N16" i="26"/>
  <c r="N18" i="26" s="1"/>
  <c r="N19" i="26" s="1"/>
  <c r="L16" i="26"/>
  <c r="J16" i="26"/>
  <c r="D16" i="26"/>
  <c r="AG19" i="26" l="1"/>
  <c r="AI19" i="26"/>
  <c r="AO19" i="26"/>
  <c r="M18" i="26"/>
  <c r="M19" i="26" s="1"/>
  <c r="L17" i="26"/>
  <c r="L18" i="26" s="1"/>
  <c r="L19" i="26" s="1"/>
  <c r="M17" i="25"/>
  <c r="K17" i="25"/>
  <c r="AQ19" i="25"/>
  <c r="AK19" i="25"/>
  <c r="S19" i="25"/>
  <c r="H19" i="25"/>
  <c r="G19" i="25"/>
  <c r="F19" i="25"/>
  <c r="E19" i="25"/>
  <c r="AS18" i="25"/>
  <c r="AR18" i="25"/>
  <c r="AR19" i="25" s="1"/>
  <c r="AQ18" i="25"/>
  <c r="AP18" i="25"/>
  <c r="AO18" i="25"/>
  <c r="AO19" i="25" s="1"/>
  <c r="AN18" i="25"/>
  <c r="AN19" i="25" s="1"/>
  <c r="AM18" i="25"/>
  <c r="AM19" i="25" s="1"/>
  <c r="AL18" i="25"/>
  <c r="AL19" i="25" s="1"/>
  <c r="AK18" i="25"/>
  <c r="AJ18" i="25"/>
  <c r="AI18" i="25"/>
  <c r="AI19" i="25" s="1"/>
  <c r="AH18" i="25"/>
  <c r="AG18" i="25"/>
  <c r="AG19" i="25" s="1"/>
  <c r="AF18" i="25"/>
  <c r="AF19" i="25" s="1"/>
  <c r="AE18" i="25"/>
  <c r="AE19" i="25" s="1"/>
  <c r="AD18" i="25"/>
  <c r="AD19" i="25" s="1"/>
  <c r="AC18" i="25"/>
  <c r="AC19" i="25" s="1"/>
  <c r="AB18" i="25"/>
  <c r="AB19" i="25" s="1"/>
  <c r="AA18" i="25"/>
  <c r="AA19" i="25" s="1"/>
  <c r="Z18" i="25"/>
  <c r="Z19" i="25" s="1"/>
  <c r="Y18" i="25"/>
  <c r="Y19" i="25" s="1"/>
  <c r="X18" i="25"/>
  <c r="U18" i="25"/>
  <c r="U19" i="25" s="1"/>
  <c r="T18" i="25"/>
  <c r="T19" i="25" s="1"/>
  <c r="S18" i="25"/>
  <c r="R18" i="25"/>
  <c r="R19" i="25" s="1"/>
  <c r="Q18" i="25"/>
  <c r="Q19" i="25" s="1"/>
  <c r="O18" i="25"/>
  <c r="O19" i="25" s="1"/>
  <c r="K18" i="25"/>
  <c r="K19" i="25" s="1"/>
  <c r="J18" i="25"/>
  <c r="J19" i="25" s="1"/>
  <c r="I18" i="25"/>
  <c r="I19" i="25" s="1"/>
  <c r="H18" i="25"/>
  <c r="G18" i="25"/>
  <c r="F18" i="25"/>
  <c r="E18" i="25"/>
  <c r="D18" i="25"/>
  <c r="D19" i="25" s="1"/>
  <c r="C18" i="25"/>
  <c r="C19" i="25" s="1"/>
  <c r="V17" i="25"/>
  <c r="P17" i="25"/>
  <c r="N17" i="25"/>
  <c r="L17" i="25"/>
  <c r="J17" i="25"/>
  <c r="D17" i="25"/>
  <c r="W16" i="25"/>
  <c r="W18" i="25" s="1"/>
  <c r="W19" i="25" s="1"/>
  <c r="V16" i="25"/>
  <c r="P16" i="25"/>
  <c r="P18" i="25" s="1"/>
  <c r="P19" i="25" s="1"/>
  <c r="M16" i="25"/>
  <c r="M18" i="25" s="1"/>
  <c r="M19" i="25" s="1"/>
  <c r="L16" i="25"/>
  <c r="L18" i="25" s="1"/>
  <c r="L19" i="25" s="1"/>
  <c r="J16" i="25"/>
  <c r="D16" i="25"/>
  <c r="V18" i="25" l="1"/>
  <c r="V19" i="25" s="1"/>
  <c r="N16" i="25"/>
  <c r="N18" i="25" s="1"/>
  <c r="N19" i="25" s="1"/>
  <c r="N18" i="24"/>
  <c r="L18" i="24"/>
  <c r="W16" i="24"/>
  <c r="W19" i="24" s="1"/>
  <c r="M16" i="24"/>
  <c r="V17" i="24"/>
  <c r="V19" i="24" s="1"/>
  <c r="V20" i="24" s="1"/>
  <c r="P17" i="24"/>
  <c r="P19" i="24" s="1"/>
  <c r="P20" i="24" s="1"/>
  <c r="N17" i="24"/>
  <c r="L17" i="24"/>
  <c r="J17" i="24"/>
  <c r="D17" i="24"/>
  <c r="H20" i="24"/>
  <c r="G20" i="24"/>
  <c r="F20" i="24"/>
  <c r="E20" i="24"/>
  <c r="AS19" i="24"/>
  <c r="AR19" i="24"/>
  <c r="AQ19" i="24"/>
  <c r="AQ20" i="24" s="1"/>
  <c r="AP19" i="24"/>
  <c r="AO19" i="24"/>
  <c r="AN19" i="24"/>
  <c r="AN20" i="24" s="1"/>
  <c r="AM19" i="24"/>
  <c r="AM20" i="24" s="1"/>
  <c r="AL19" i="24"/>
  <c r="AL20" i="24" s="1"/>
  <c r="AK19" i="24"/>
  <c r="AK20" i="24" s="1"/>
  <c r="AJ19" i="24"/>
  <c r="AI19" i="24"/>
  <c r="AH19" i="24"/>
  <c r="AG19" i="24"/>
  <c r="AF19" i="24"/>
  <c r="AF20" i="24" s="1"/>
  <c r="AE19" i="24"/>
  <c r="AE20" i="24" s="1"/>
  <c r="AD19" i="24"/>
  <c r="AD20" i="24" s="1"/>
  <c r="AC19" i="24"/>
  <c r="AC20" i="24" s="1"/>
  <c r="AB19" i="24"/>
  <c r="AB20" i="24" s="1"/>
  <c r="AA19" i="24"/>
  <c r="AA20" i="24" s="1"/>
  <c r="Z19" i="24"/>
  <c r="Z20" i="24" s="1"/>
  <c r="Y19" i="24"/>
  <c r="Y20" i="24" s="1"/>
  <c r="X19" i="24"/>
  <c r="U19" i="24"/>
  <c r="U20" i="24" s="1"/>
  <c r="T19" i="24"/>
  <c r="T20" i="24" s="1"/>
  <c r="S19" i="24"/>
  <c r="S20" i="24" s="1"/>
  <c r="R19" i="24"/>
  <c r="R20" i="24" s="1"/>
  <c r="Q19" i="24"/>
  <c r="Q20" i="24" s="1"/>
  <c r="O19" i="24"/>
  <c r="O20" i="24" s="1"/>
  <c r="J19" i="24"/>
  <c r="J20" i="24" s="1"/>
  <c r="I19" i="24"/>
  <c r="I20" i="24" s="1"/>
  <c r="H19" i="24"/>
  <c r="G19" i="24"/>
  <c r="F19" i="24"/>
  <c r="E19" i="24"/>
  <c r="D19" i="24"/>
  <c r="D20" i="24" s="1"/>
  <c r="C19" i="24"/>
  <c r="C20" i="24" s="1"/>
  <c r="V18" i="24"/>
  <c r="P18" i="24"/>
  <c r="J18" i="24"/>
  <c r="D18" i="24"/>
  <c r="V16" i="24"/>
  <c r="P16" i="24"/>
  <c r="N16" i="24"/>
  <c r="J16" i="24"/>
  <c r="D16" i="24"/>
  <c r="K19" i="24" l="1"/>
  <c r="K20" i="24" s="1"/>
  <c r="L16" i="24"/>
  <c r="L19" i="24" s="1"/>
  <c r="L20" i="24" s="1"/>
  <c r="AG20" i="24"/>
  <c r="AI20" i="24"/>
  <c r="AO20" i="24"/>
  <c r="N19" i="24"/>
  <c r="N20" i="24" s="1"/>
  <c r="AR20" i="24"/>
  <c r="W20" i="24"/>
  <c r="M19" i="24"/>
  <c r="M20" i="24" s="1"/>
</calcChain>
</file>

<file path=xl/sharedStrings.xml><?xml version="1.0" encoding="utf-8"?>
<sst xmlns="http://schemas.openxmlformats.org/spreadsheetml/2006/main" count="533" uniqueCount="75">
  <si>
    <t>PHILSAGA MINING CORPORATION</t>
  </si>
  <si>
    <t>BAYUGAN 3, ROSARIO AGUSAN DEL SUR</t>
  </si>
  <si>
    <t xml:space="preserve">SUMMARY OF EXPLOSIVE PURCHASED </t>
  </si>
  <si>
    <t>DATE</t>
  </si>
  <si>
    <t>MT.ROCK</t>
  </si>
  <si>
    <t>MT. ROCK</t>
  </si>
  <si>
    <t>EXPEDITION</t>
  </si>
  <si>
    <t>EXPED ITION</t>
  </si>
  <si>
    <t>MT ROCK</t>
  </si>
  <si>
    <t>EXPEDI TION</t>
  </si>
  <si>
    <t xml:space="preserve">Emulex </t>
  </si>
  <si>
    <t>Superdyne</t>
  </si>
  <si>
    <t>Senatel Magnum</t>
  </si>
  <si>
    <t>EMULSION 208</t>
  </si>
  <si>
    <t>DYNA 200</t>
  </si>
  <si>
    <t>DYNA 215</t>
  </si>
  <si>
    <t>PACKAGE EMULSION</t>
  </si>
  <si>
    <t>Anfo</t>
  </si>
  <si>
    <t>DETONATORS</t>
  </si>
  <si>
    <t>DETONATING CORD</t>
  </si>
  <si>
    <t>SAFETY FUSE</t>
  </si>
  <si>
    <t>BILLWIRE</t>
  </si>
  <si>
    <t xml:space="preserve">FUSE LIGHTER </t>
  </si>
  <si>
    <t>NONEL</t>
  </si>
  <si>
    <t>SUPREME</t>
  </si>
  <si>
    <t>SHOCK STAR</t>
  </si>
  <si>
    <t>EXEL</t>
  </si>
  <si>
    <t>OBC</t>
  </si>
  <si>
    <t>EBC</t>
  </si>
  <si>
    <t>CORDTEX</t>
  </si>
  <si>
    <t>(pcs)</t>
  </si>
  <si>
    <t>(kls)</t>
  </si>
  <si>
    <t>EM AUSTIN</t>
  </si>
  <si>
    <t>Super Power</t>
  </si>
  <si>
    <t>Senatel/Pulsar</t>
  </si>
  <si>
    <t>Magnum</t>
  </si>
  <si>
    <t>Pcs</t>
  </si>
  <si>
    <t>Kls</t>
  </si>
  <si>
    <t>Mtrs</t>
  </si>
  <si>
    <t>TOTAL</t>
  </si>
  <si>
    <t>GRAND TOTAL</t>
  </si>
  <si>
    <t>Prepared by:</t>
  </si>
  <si>
    <t>Checked by:</t>
  </si>
  <si>
    <t>Noted by:</t>
  </si>
  <si>
    <t>Approved by:</t>
  </si>
  <si>
    <t>AIHREIN T. BACLAAN</t>
  </si>
  <si>
    <t>NHOLL GREAL O. LOZADA</t>
  </si>
  <si>
    <t>ENGR. RAFFY D. TORRES</t>
  </si>
  <si>
    <t>ENGR. EARL M. SON</t>
  </si>
  <si>
    <t>Mine Explosives Inventory Supervisor</t>
  </si>
  <si>
    <t xml:space="preserve">Mine Explosives Manager     </t>
  </si>
  <si>
    <t>Mine Explosives Supervisor</t>
  </si>
  <si>
    <t>DCORD I5</t>
  </si>
  <si>
    <t>Neogel</t>
  </si>
  <si>
    <t>Mine Division Manager</t>
  </si>
  <si>
    <t>JANUARY 15,2026</t>
  </si>
  <si>
    <t>JANUARY 21,2026</t>
  </si>
  <si>
    <t>JANUARY 29,2026</t>
  </si>
  <si>
    <t>MONTH OF JANUARY 2026</t>
  </si>
  <si>
    <t>MONTH OF FEBRUARY 2026</t>
  </si>
  <si>
    <t>FEBRUARY 12,2026</t>
  </si>
  <si>
    <t>FEBRUARY 23,2026</t>
  </si>
  <si>
    <t>MONTH OF MARCH 2026</t>
  </si>
  <si>
    <t>MARCH 12,2026</t>
  </si>
  <si>
    <t>MARCH 19,2026</t>
  </si>
  <si>
    <t>ENGR. EDWIN B. BATAL</t>
  </si>
  <si>
    <t xml:space="preserve">Mine Explosives Asst. Manager     </t>
  </si>
  <si>
    <t>MONTH OF APRIL 2026</t>
  </si>
  <si>
    <t>APRIL 8, 2026</t>
  </si>
  <si>
    <t>APRIL 16,2026</t>
  </si>
  <si>
    <t>APRIL 23,2026</t>
  </si>
  <si>
    <t>APRIL 30,2026</t>
  </si>
  <si>
    <t>MONTH OF MAY 2026</t>
  </si>
  <si>
    <t>MAY 20,2026</t>
  </si>
  <si>
    <t>MAY 26,2026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</si>
</sst>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409]mmmm\ d\,\ yyyy;@"/>
    <numFmt numFmtId="166" formatCode="[$-3409]d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3.5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u/>
      <sz val="15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0" applyFont="1"/>
    <xf numFmtId="0" fontId="5" fillId="0" borderId="0" xfId="2" applyFont="1" applyAlignment="1">
      <alignment horizontal="left"/>
    </xf>
    <xf numFmtId="0" fontId="5" fillId="0" borderId="0" xfId="2" applyFont="1"/>
    <xf numFmtId="0" fontId="5" fillId="0" borderId="0" xfId="0" applyFont="1"/>
    <xf numFmtId="0" fontId="5" fillId="2" borderId="4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26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6" fillId="3" borderId="23" xfId="2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2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6" fillId="0" borderId="34" xfId="2" applyFont="1" applyBorder="1" applyAlignment="1">
      <alignment horizontal="center" vertical="center"/>
    </xf>
    <xf numFmtId="0" fontId="6" fillId="0" borderId="35" xfId="2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7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6" fillId="0" borderId="38" xfId="2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165" fontId="9" fillId="0" borderId="28" xfId="2" applyNumberFormat="1" applyFont="1" applyBorder="1" applyAlignment="1">
      <alignment horizontal="left" vertical="center"/>
    </xf>
    <xf numFmtId="37" fontId="6" fillId="0" borderId="18" xfId="3" applyNumberFormat="1" applyFont="1" applyBorder="1" applyAlignment="1">
      <alignment horizontal="center" vertical="distributed"/>
    </xf>
    <xf numFmtId="37" fontId="6" fillId="0" borderId="18" xfId="1" applyNumberFormat="1" applyFont="1" applyBorder="1" applyAlignment="1">
      <alignment horizontal="center" vertical="center"/>
    </xf>
    <xf numFmtId="37" fontId="6" fillId="0" borderId="19" xfId="3" applyNumberFormat="1" applyFont="1" applyBorder="1" applyAlignment="1">
      <alignment horizontal="center" vertical="distributed"/>
    </xf>
    <xf numFmtId="0" fontId="10" fillId="0" borderId="0" xfId="0" applyFont="1"/>
    <xf numFmtId="166" fontId="5" fillId="5" borderId="28" xfId="2" applyNumberFormat="1" applyFont="1" applyFill="1" applyBorder="1" applyAlignment="1">
      <alignment horizontal="left" vertical="center"/>
    </xf>
    <xf numFmtId="37" fontId="6" fillId="5" borderId="18" xfId="3" applyNumberFormat="1" applyFont="1" applyFill="1" applyBorder="1" applyAlignment="1">
      <alignment horizontal="center" vertical="distributed"/>
    </xf>
    <xf numFmtId="49" fontId="6" fillId="6" borderId="41" xfId="2" applyNumberFormat="1" applyFont="1" applyFill="1" applyBorder="1" applyAlignment="1">
      <alignment horizontal="left" vertical="center" wrapText="1"/>
    </xf>
    <xf numFmtId="0" fontId="6" fillId="3" borderId="0" xfId="0" applyFont="1" applyFill="1"/>
    <xf numFmtId="0" fontId="7" fillId="0" borderId="0" xfId="2" applyFont="1" applyAlignment="1">
      <alignment horizontal="left"/>
    </xf>
    <xf numFmtId="0" fontId="7" fillId="0" borderId="0" xfId="2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7" fontId="6" fillId="6" borderId="34" xfId="3" applyNumberFormat="1" applyFont="1" applyFill="1" applyBorder="1" applyAlignment="1">
      <alignment horizontal="center" vertical="distributed"/>
    </xf>
    <xf numFmtId="0" fontId="5" fillId="0" borderId="0" xfId="0" applyFont="1" applyAlignment="1">
      <alignment horizontal="left"/>
    </xf>
    <xf numFmtId="0" fontId="6" fillId="2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37" fontId="6" fillId="6" borderId="34" xfId="3" applyNumberFormat="1" applyFont="1" applyFill="1" applyBorder="1" applyAlignment="1">
      <alignment horizontal="center" vertical="distributed"/>
    </xf>
    <xf numFmtId="0" fontId="5" fillId="0" borderId="0" xfId="0" applyFont="1" applyAlignment="1">
      <alignment horizontal="left"/>
    </xf>
    <xf numFmtId="37" fontId="6" fillId="6" borderId="34" xfId="3" applyNumberFormat="1" applyFont="1" applyFill="1" applyBorder="1" applyAlignment="1">
      <alignment horizontal="center" vertical="distributed"/>
    </xf>
    <xf numFmtId="0" fontId="5" fillId="0" borderId="0" xfId="0" applyFont="1" applyAlignment="1">
      <alignment horizontal="left"/>
    </xf>
    <xf numFmtId="0" fontId="6" fillId="2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2" applyFont="1" applyAlignment="1">
      <alignment horizontal="left"/>
    </xf>
    <xf numFmtId="37" fontId="6" fillId="6" borderId="34" xfId="3" applyNumberFormat="1" applyFont="1" applyFill="1" applyBorder="1" applyAlignment="1">
      <alignment horizontal="center" vertical="distributed"/>
    </xf>
    <xf numFmtId="0" fontId="6" fillId="2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37" fontId="6" fillId="6" borderId="34" xfId="3" applyNumberFormat="1" applyFont="1" applyFill="1" applyBorder="1" applyAlignment="1">
      <alignment horizontal="center" vertical="distributed"/>
    </xf>
    <xf numFmtId="0" fontId="5" fillId="0" borderId="0" xfId="0" applyFont="1" applyAlignment="1">
      <alignment horizontal="left"/>
    </xf>
    <xf numFmtId="37" fontId="6" fillId="5" borderId="19" xfId="3" applyNumberFormat="1" applyFont="1" applyFill="1" applyBorder="1" applyAlignment="1">
      <alignment horizontal="center" vertical="distributed"/>
    </xf>
    <xf numFmtId="0" fontId="3" fillId="0" borderId="0" xfId="2" applyFont="1" applyAlignment="1">
      <alignment horizontal="left"/>
    </xf>
    <xf numFmtId="0" fontId="6" fillId="0" borderId="1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3" borderId="21" xfId="2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37" fontId="6" fillId="6" borderId="34" xfId="3" applyNumberFormat="1" applyFont="1" applyFill="1" applyBorder="1" applyAlignment="1">
      <alignment horizontal="center" vertical="distributed"/>
    </xf>
    <xf numFmtId="37" fontId="6" fillId="6" borderId="33" xfId="3" applyNumberFormat="1" applyFont="1" applyFill="1" applyBorder="1" applyAlignment="1">
      <alignment horizontal="center" vertical="distributed"/>
    </xf>
    <xf numFmtId="0" fontId="5" fillId="0" borderId="0" xfId="0" applyFont="1" applyAlignment="1">
      <alignment horizontal="left"/>
    </xf>
    <xf numFmtId="0" fontId="6" fillId="2" borderId="28" xfId="0" applyFont="1" applyFill="1" applyBorder="1" applyAlignment="1">
      <alignment horizontal="center" vertic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3"/>
  <sheetViews>
    <sheetView workbookViewId="0">
      <selection activeCell="AQ19" sqref="AQ19"/>
    </sheetView>
  </sheetViews>
  <sheetFormatPr defaultRowHeight="15" x14ac:dyDescent="0.25"/>
  <cols>
    <col min="1" max="1" width="0.7109375" style="41" customWidth="1"/>
    <col min="2" max="2" width="24.5703125" style="51" customWidth="1"/>
    <col min="3" max="3" width="5.42578125" style="41" hidden="1" customWidth="1"/>
    <col min="4" max="4" width="6.28515625" style="41" hidden="1" customWidth="1"/>
    <col min="5" max="5" width="5.5703125" style="41" hidden="1" customWidth="1"/>
    <col min="6" max="6" width="5.28515625" style="41" hidden="1" customWidth="1"/>
    <col min="7" max="7" width="5.5703125" style="41" hidden="1" customWidth="1"/>
    <col min="8" max="8" width="5.28515625" style="41" hidden="1" customWidth="1"/>
    <col min="9" max="9" width="8.140625" style="41" hidden="1" customWidth="1"/>
    <col min="10" max="10" width="8.7109375" style="41" hidden="1" customWidth="1"/>
    <col min="11" max="11" width="8.140625" style="41" customWidth="1"/>
    <col min="12" max="12" width="8.7109375" style="41" customWidth="1"/>
    <col min="13" max="13" width="10.42578125" style="41" customWidth="1"/>
    <col min="14" max="14" width="7.85546875" style="41" bestFit="1" customWidth="1"/>
    <col min="15" max="15" width="6.42578125" style="41" hidden="1" customWidth="1"/>
    <col min="16" max="16" width="7.5703125" style="41" hidden="1" customWidth="1"/>
    <col min="17" max="17" width="5.7109375" style="41" hidden="1" customWidth="1"/>
    <col min="18" max="18" width="9.28515625" style="41" hidden="1" customWidth="1"/>
    <col min="19" max="19" width="4.42578125" style="41" hidden="1" customWidth="1"/>
    <col min="20" max="20" width="5" style="41" hidden="1" customWidth="1"/>
    <col min="21" max="21" width="7.5703125" style="41" hidden="1" customWidth="1"/>
    <col min="22" max="22" width="7.28515625" style="41" hidden="1" customWidth="1"/>
    <col min="23" max="23" width="9" style="41" customWidth="1"/>
    <col min="24" max="24" width="7.42578125" style="41" customWidth="1"/>
    <col min="25" max="25" width="7" style="41" hidden="1" customWidth="1"/>
    <col min="26" max="26" width="7.7109375" style="41" hidden="1" customWidth="1"/>
    <col min="27" max="27" width="7.7109375" style="41" bestFit="1" customWidth="1"/>
    <col min="28" max="28" width="7" style="41" customWidth="1"/>
    <col min="29" max="29" width="9.42578125" style="41" hidden="1" customWidth="1"/>
    <col min="30" max="30" width="8.140625" style="41" customWidth="1"/>
    <col min="31" max="31" width="8.85546875" style="41" customWidth="1"/>
    <col min="32" max="32" width="7.85546875" style="41" customWidth="1"/>
    <col min="33" max="33" width="9.42578125" style="41" customWidth="1"/>
    <col min="34" max="34" width="8.85546875" style="41" customWidth="1"/>
    <col min="35" max="35" width="8.5703125" style="41" customWidth="1"/>
    <col min="36" max="36" width="8" style="41" customWidth="1"/>
    <col min="37" max="37" width="9.5703125" style="41" customWidth="1"/>
    <col min="38" max="38" width="9" style="41" customWidth="1"/>
    <col min="39" max="39" width="9.7109375" style="41" customWidth="1"/>
    <col min="40" max="40" width="8.28515625" style="41" customWidth="1"/>
    <col min="41" max="41" width="9" style="41" customWidth="1"/>
    <col min="42" max="42" width="8.42578125" style="41" customWidth="1"/>
    <col min="43" max="43" width="7.5703125" style="41" customWidth="1"/>
    <col min="44" max="44" width="9" style="41" customWidth="1"/>
    <col min="45" max="45" width="8.140625" style="41" customWidth="1"/>
    <col min="46" max="16384" width="9.140625" style="41"/>
  </cols>
  <sheetData>
    <row r="1" spans="2:45" s="1" customFormat="1" ht="18.75" customHeight="1" x14ac:dyDescent="0.3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57"/>
      <c r="AP1" s="57"/>
      <c r="AQ1" s="57"/>
      <c r="AR1" s="57"/>
    </row>
    <row r="2" spans="2:45" s="1" customFormat="1" ht="20.25" x14ac:dyDescent="0.3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57"/>
      <c r="AP2" s="57"/>
      <c r="AQ2" s="57"/>
      <c r="AR2" s="57"/>
    </row>
    <row r="3" spans="2:45" s="1" customFormat="1" ht="12.75" customHeight="1" x14ac:dyDescent="0.3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2"/>
      <c r="AK3" s="57"/>
      <c r="AL3" s="57"/>
      <c r="AM3" s="57"/>
      <c r="AN3" s="57"/>
      <c r="AO3" s="57"/>
      <c r="AP3" s="57"/>
      <c r="AQ3" s="57"/>
      <c r="AR3" s="57"/>
    </row>
    <row r="4" spans="2:45" s="1" customFormat="1" ht="12.75" customHeight="1" x14ac:dyDescent="0.3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2"/>
      <c r="AK4" s="57"/>
      <c r="AL4" s="57"/>
      <c r="AM4" s="57"/>
      <c r="AN4" s="57"/>
      <c r="AO4" s="57"/>
      <c r="AP4" s="57"/>
      <c r="AQ4" s="57"/>
      <c r="AR4" s="57"/>
    </row>
    <row r="5" spans="2:45" s="1" customFormat="1" ht="20.25" x14ac:dyDescent="0.3"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57"/>
      <c r="AP5" s="57"/>
      <c r="AQ5" s="57"/>
      <c r="AR5" s="57"/>
    </row>
    <row r="6" spans="2:45" s="1" customFormat="1" ht="20.25" x14ac:dyDescent="0.3">
      <c r="B6" s="83" t="s">
        <v>58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57"/>
      <c r="AP6" s="57"/>
      <c r="AQ6" s="57"/>
      <c r="AR6" s="57"/>
    </row>
    <row r="7" spans="2:45" s="4" customFormat="1" ht="18.7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/>
      <c r="AL7" s="3"/>
      <c r="AM7" s="3"/>
      <c r="AN7" s="3"/>
      <c r="AO7" s="3"/>
      <c r="AP7" s="3"/>
      <c r="AQ7" s="3"/>
      <c r="AR7" s="3"/>
    </row>
    <row r="8" spans="2:45" s="7" customFormat="1" ht="6.75" customHeight="1" thickBot="1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K8" s="6"/>
      <c r="AL8" s="6"/>
      <c r="AM8" s="6"/>
      <c r="AN8" s="6"/>
      <c r="AO8" s="6"/>
      <c r="AP8" s="6"/>
      <c r="AQ8" s="6"/>
      <c r="AR8" s="6"/>
    </row>
    <row r="9" spans="2:45" s="9" customFormat="1" ht="18" customHeight="1" thickBot="1" x14ac:dyDescent="0.3">
      <c r="B9" s="84" t="s">
        <v>3</v>
      </c>
      <c r="C9" s="86" t="s">
        <v>4</v>
      </c>
      <c r="D9" s="87"/>
      <c r="E9" s="8"/>
      <c r="F9" s="8"/>
      <c r="G9" s="8"/>
      <c r="H9" s="8"/>
      <c r="I9" s="88" t="s">
        <v>5</v>
      </c>
      <c r="J9" s="89"/>
      <c r="K9" s="89"/>
      <c r="L9" s="90"/>
      <c r="M9" s="94" t="s">
        <v>6</v>
      </c>
      <c r="N9" s="89"/>
      <c r="O9" s="89"/>
      <c r="P9" s="89"/>
      <c r="Q9" s="89"/>
      <c r="R9" s="89"/>
      <c r="S9" s="89"/>
      <c r="T9" s="89"/>
      <c r="U9" s="89"/>
      <c r="V9" s="90"/>
      <c r="W9" s="96" t="s">
        <v>7</v>
      </c>
      <c r="X9" s="96" t="s">
        <v>8</v>
      </c>
      <c r="Y9" s="94" t="s">
        <v>5</v>
      </c>
      <c r="Z9" s="89"/>
      <c r="AA9" s="89"/>
      <c r="AB9" s="89"/>
      <c r="AC9" s="90"/>
      <c r="AD9" s="94" t="s">
        <v>6</v>
      </c>
      <c r="AE9" s="89"/>
      <c r="AF9" s="90"/>
      <c r="AG9" s="96" t="s">
        <v>9</v>
      </c>
      <c r="AH9" s="96" t="s">
        <v>8</v>
      </c>
      <c r="AI9" s="96" t="s">
        <v>6</v>
      </c>
      <c r="AJ9" s="96" t="s">
        <v>8</v>
      </c>
      <c r="AK9" s="98" t="s">
        <v>6</v>
      </c>
      <c r="AL9" s="99"/>
      <c r="AM9" s="99"/>
      <c r="AN9" s="99"/>
      <c r="AO9" s="100"/>
      <c r="AP9" s="96" t="s">
        <v>8</v>
      </c>
      <c r="AQ9" s="98" t="s">
        <v>9</v>
      </c>
      <c r="AR9" s="99"/>
      <c r="AS9" s="110"/>
    </row>
    <row r="10" spans="2:45" s="10" customFormat="1" ht="34.5" customHeight="1" thickBot="1" x14ac:dyDescent="0.3">
      <c r="B10" s="85"/>
      <c r="C10" s="112" t="s">
        <v>10</v>
      </c>
      <c r="D10" s="113"/>
      <c r="E10" s="112" t="s">
        <v>11</v>
      </c>
      <c r="F10" s="114"/>
      <c r="G10" s="114" t="s">
        <v>12</v>
      </c>
      <c r="H10" s="115"/>
      <c r="I10" s="91"/>
      <c r="J10" s="92"/>
      <c r="K10" s="92"/>
      <c r="L10" s="93"/>
      <c r="M10" s="95"/>
      <c r="N10" s="92"/>
      <c r="O10" s="92"/>
      <c r="P10" s="92"/>
      <c r="Q10" s="92"/>
      <c r="R10" s="92"/>
      <c r="S10" s="92"/>
      <c r="T10" s="92"/>
      <c r="U10" s="92"/>
      <c r="V10" s="93"/>
      <c r="W10" s="97"/>
      <c r="X10" s="97"/>
      <c r="Y10" s="95"/>
      <c r="Z10" s="92"/>
      <c r="AA10" s="92"/>
      <c r="AB10" s="92"/>
      <c r="AC10" s="93"/>
      <c r="AD10" s="95"/>
      <c r="AE10" s="92"/>
      <c r="AF10" s="93"/>
      <c r="AG10" s="97"/>
      <c r="AH10" s="97"/>
      <c r="AI10" s="97"/>
      <c r="AJ10" s="97"/>
      <c r="AK10" s="101"/>
      <c r="AL10" s="102"/>
      <c r="AM10" s="102"/>
      <c r="AN10" s="102"/>
      <c r="AO10" s="103"/>
      <c r="AP10" s="97"/>
      <c r="AQ10" s="101"/>
      <c r="AR10" s="102"/>
      <c r="AS10" s="111"/>
    </row>
    <row r="11" spans="2:45" s="10" customFormat="1" ht="24.95" customHeight="1" x14ac:dyDescent="0.25">
      <c r="B11" s="85"/>
      <c r="C11" s="125" t="s">
        <v>13</v>
      </c>
      <c r="D11" s="126"/>
      <c r="E11" s="125" t="s">
        <v>14</v>
      </c>
      <c r="F11" s="127"/>
      <c r="G11" s="127" t="s">
        <v>15</v>
      </c>
      <c r="H11" s="128"/>
      <c r="I11" s="129" t="s">
        <v>16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30"/>
      <c r="W11" s="131" t="s">
        <v>17</v>
      </c>
      <c r="X11" s="131"/>
      <c r="Y11" s="132" t="s">
        <v>18</v>
      </c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04" t="s">
        <v>19</v>
      </c>
      <c r="AL11" s="104"/>
      <c r="AM11" s="104"/>
      <c r="AN11" s="104"/>
      <c r="AO11" s="105" t="s">
        <v>20</v>
      </c>
      <c r="AP11" s="105"/>
      <c r="AQ11" s="116" t="s">
        <v>21</v>
      </c>
      <c r="AR11" s="117" t="s">
        <v>22</v>
      </c>
      <c r="AS11" s="118"/>
    </row>
    <row r="12" spans="2:45" s="10" customFormat="1" ht="36" customHeight="1" x14ac:dyDescent="0.25">
      <c r="B12" s="85"/>
      <c r="C12" s="123">
        <v>11083</v>
      </c>
      <c r="D12" s="124"/>
      <c r="E12" s="11"/>
      <c r="F12" s="12"/>
      <c r="G12" s="12"/>
      <c r="H12" s="13"/>
      <c r="I12" s="109">
        <v>200</v>
      </c>
      <c r="J12" s="105"/>
      <c r="K12" s="109">
        <v>200</v>
      </c>
      <c r="L12" s="105"/>
      <c r="M12" s="105">
        <v>215</v>
      </c>
      <c r="N12" s="105"/>
      <c r="O12" s="105">
        <v>135</v>
      </c>
      <c r="P12" s="105"/>
      <c r="Q12" s="105">
        <v>150</v>
      </c>
      <c r="R12" s="105"/>
      <c r="S12" s="105">
        <v>150</v>
      </c>
      <c r="T12" s="105"/>
      <c r="U12" s="105">
        <v>38</v>
      </c>
      <c r="V12" s="105"/>
      <c r="W12" s="131"/>
      <c r="X12" s="131"/>
      <c r="Y12" s="105" t="s">
        <v>23</v>
      </c>
      <c r="Z12" s="105"/>
      <c r="AA12" s="105" t="s">
        <v>24</v>
      </c>
      <c r="AB12" s="105"/>
      <c r="AC12" s="14" t="s">
        <v>25</v>
      </c>
      <c r="AD12" s="106" t="s">
        <v>26</v>
      </c>
      <c r="AE12" s="107"/>
      <c r="AF12" s="108"/>
      <c r="AG12" s="105" t="s">
        <v>27</v>
      </c>
      <c r="AH12" s="105"/>
      <c r="AI12" s="105" t="s">
        <v>28</v>
      </c>
      <c r="AJ12" s="105"/>
      <c r="AK12" s="106" t="s">
        <v>29</v>
      </c>
      <c r="AL12" s="107"/>
      <c r="AM12" s="107"/>
      <c r="AN12" s="108"/>
      <c r="AO12" s="105"/>
      <c r="AP12" s="105"/>
      <c r="AQ12" s="116"/>
      <c r="AR12" s="119"/>
      <c r="AS12" s="120"/>
    </row>
    <row r="13" spans="2:45" s="19" customFormat="1" ht="30" customHeight="1" thickBot="1" x14ac:dyDescent="0.3">
      <c r="B13" s="85"/>
      <c r="C13" s="15" t="s">
        <v>30</v>
      </c>
      <c r="D13" s="16" t="s">
        <v>31</v>
      </c>
      <c r="E13" s="15" t="s">
        <v>30</v>
      </c>
      <c r="F13" s="17" t="s">
        <v>31</v>
      </c>
      <c r="G13" s="17" t="s">
        <v>30</v>
      </c>
      <c r="H13" s="18" t="s">
        <v>31</v>
      </c>
      <c r="I13" s="109" t="s">
        <v>32</v>
      </c>
      <c r="J13" s="105"/>
      <c r="K13" s="109" t="s">
        <v>53</v>
      </c>
      <c r="L13" s="105"/>
      <c r="M13" s="105" t="s">
        <v>34</v>
      </c>
      <c r="N13" s="105"/>
      <c r="O13" s="105" t="s">
        <v>34</v>
      </c>
      <c r="P13" s="105"/>
      <c r="Q13" s="105" t="s">
        <v>33</v>
      </c>
      <c r="R13" s="105"/>
      <c r="S13" s="105" t="s">
        <v>35</v>
      </c>
      <c r="T13" s="105"/>
      <c r="U13" s="105" t="s">
        <v>34</v>
      </c>
      <c r="V13" s="105"/>
      <c r="W13" s="131"/>
      <c r="X13" s="131"/>
      <c r="Y13" s="55">
        <v>2.4</v>
      </c>
      <c r="Z13" s="55">
        <v>3.6</v>
      </c>
      <c r="AA13" s="55">
        <v>2.4</v>
      </c>
      <c r="AB13" s="55">
        <v>3.6</v>
      </c>
      <c r="AC13" s="55"/>
      <c r="AD13" s="55">
        <v>3.6</v>
      </c>
      <c r="AE13" s="55">
        <v>2.4</v>
      </c>
      <c r="AF13" s="55">
        <v>4.9000000000000004</v>
      </c>
      <c r="AG13" s="105"/>
      <c r="AH13" s="105"/>
      <c r="AI13" s="105"/>
      <c r="AJ13" s="105"/>
      <c r="AK13" s="55">
        <v>5</v>
      </c>
      <c r="AL13" s="55">
        <v>10</v>
      </c>
      <c r="AM13" s="56" t="s">
        <v>52</v>
      </c>
      <c r="AN13" s="55">
        <v>40</v>
      </c>
      <c r="AO13" s="105"/>
      <c r="AP13" s="105"/>
      <c r="AQ13" s="116"/>
      <c r="AR13" s="121"/>
      <c r="AS13" s="122"/>
    </row>
    <row r="14" spans="2:45" s="19" customFormat="1" ht="21.75" customHeight="1" x14ac:dyDescent="0.25">
      <c r="B14" s="85"/>
      <c r="C14" s="20"/>
      <c r="D14" s="21"/>
      <c r="E14" s="20"/>
      <c r="F14" s="22"/>
      <c r="G14" s="22"/>
      <c r="H14" s="21"/>
      <c r="I14" s="137">
        <v>31496</v>
      </c>
      <c r="J14" s="133"/>
      <c r="K14" s="137">
        <v>35245</v>
      </c>
      <c r="L14" s="133"/>
      <c r="M14" s="133">
        <v>11082</v>
      </c>
      <c r="N14" s="133"/>
      <c r="O14" s="133">
        <v>21810</v>
      </c>
      <c r="P14" s="133"/>
      <c r="Q14" s="133">
        <v>17362</v>
      </c>
      <c r="R14" s="133"/>
      <c r="S14" s="133">
        <v>18389</v>
      </c>
      <c r="T14" s="133"/>
      <c r="U14" s="133">
        <v>21811</v>
      </c>
      <c r="V14" s="133"/>
      <c r="W14" s="133">
        <v>10128</v>
      </c>
      <c r="X14" s="133"/>
      <c r="Y14" s="54">
        <v>10962</v>
      </c>
      <c r="Z14" s="54">
        <v>15427</v>
      </c>
      <c r="AA14" s="54">
        <v>16623</v>
      </c>
      <c r="AB14" s="54">
        <v>16967</v>
      </c>
      <c r="AC14" s="54">
        <v>28230</v>
      </c>
      <c r="AD14" s="54">
        <v>10966</v>
      </c>
      <c r="AE14" s="54">
        <v>10965</v>
      </c>
      <c r="AF14" s="54">
        <v>21809</v>
      </c>
      <c r="AG14" s="133">
        <v>11966</v>
      </c>
      <c r="AH14" s="133"/>
      <c r="AI14" s="133">
        <v>11089</v>
      </c>
      <c r="AJ14" s="133"/>
      <c r="AK14" s="54">
        <v>10960</v>
      </c>
      <c r="AL14" s="54">
        <v>10961</v>
      </c>
      <c r="AM14" s="54">
        <v>33442</v>
      </c>
      <c r="AN14" s="54">
        <v>10959</v>
      </c>
      <c r="AO14" s="133">
        <v>12487</v>
      </c>
      <c r="AP14" s="133"/>
      <c r="AQ14" s="54">
        <v>16823</v>
      </c>
      <c r="AR14" s="23">
        <v>11342</v>
      </c>
      <c r="AS14" s="23">
        <v>11342</v>
      </c>
    </row>
    <row r="15" spans="2:45" s="10" customFormat="1" ht="17.25" x14ac:dyDescent="0.25">
      <c r="B15" s="85"/>
      <c r="C15" s="24"/>
      <c r="D15" s="25"/>
      <c r="E15" s="24"/>
      <c r="F15" s="26"/>
      <c r="G15" s="26"/>
      <c r="H15" s="25"/>
      <c r="I15" s="27" t="s">
        <v>36</v>
      </c>
      <c r="J15" s="28" t="s">
        <v>37</v>
      </c>
      <c r="K15" s="27" t="s">
        <v>36</v>
      </c>
      <c r="L15" s="28" t="s">
        <v>37</v>
      </c>
      <c r="M15" s="28" t="s">
        <v>36</v>
      </c>
      <c r="N15" s="28" t="s">
        <v>37</v>
      </c>
      <c r="O15" s="28" t="s">
        <v>36</v>
      </c>
      <c r="P15" s="28" t="s">
        <v>37</v>
      </c>
      <c r="Q15" s="28" t="s">
        <v>36</v>
      </c>
      <c r="R15" s="28" t="s">
        <v>37</v>
      </c>
      <c r="S15" s="28" t="s">
        <v>36</v>
      </c>
      <c r="T15" s="28" t="s">
        <v>37</v>
      </c>
      <c r="U15" s="28" t="s">
        <v>36</v>
      </c>
      <c r="V15" s="28" t="s">
        <v>37</v>
      </c>
      <c r="W15" s="28" t="s">
        <v>37</v>
      </c>
      <c r="X15" s="28" t="s">
        <v>37</v>
      </c>
      <c r="Y15" s="28" t="s">
        <v>36</v>
      </c>
      <c r="Z15" s="28" t="s">
        <v>36</v>
      </c>
      <c r="AA15" s="28" t="s">
        <v>36</v>
      </c>
      <c r="AB15" s="28" t="s">
        <v>36</v>
      </c>
      <c r="AC15" s="28" t="s">
        <v>36</v>
      </c>
      <c r="AD15" s="28" t="s">
        <v>36</v>
      </c>
      <c r="AE15" s="28" t="s">
        <v>36</v>
      </c>
      <c r="AF15" s="28" t="s">
        <v>36</v>
      </c>
      <c r="AG15" s="28" t="s">
        <v>36</v>
      </c>
      <c r="AH15" s="28" t="s">
        <v>36</v>
      </c>
      <c r="AI15" s="28" t="s">
        <v>36</v>
      </c>
      <c r="AJ15" s="28" t="s">
        <v>36</v>
      </c>
      <c r="AK15" s="28" t="s">
        <v>38</v>
      </c>
      <c r="AL15" s="28" t="s">
        <v>38</v>
      </c>
      <c r="AM15" s="28" t="s">
        <v>38</v>
      </c>
      <c r="AN15" s="28" t="s">
        <v>38</v>
      </c>
      <c r="AO15" s="28" t="s">
        <v>38</v>
      </c>
      <c r="AP15" s="28" t="s">
        <v>38</v>
      </c>
      <c r="AQ15" s="28" t="s">
        <v>38</v>
      </c>
      <c r="AR15" s="29" t="s">
        <v>36</v>
      </c>
      <c r="AS15" s="29" t="s">
        <v>36</v>
      </c>
    </row>
    <row r="16" spans="2:45" s="34" customFormat="1" ht="30" customHeight="1" x14ac:dyDescent="0.25">
      <c r="B16" s="30" t="s">
        <v>55</v>
      </c>
      <c r="C16" s="31"/>
      <c r="D16" s="31">
        <f t="shared" ref="D16:D18" si="0">C16/208*25</f>
        <v>0</v>
      </c>
      <c r="E16" s="31"/>
      <c r="F16" s="31"/>
      <c r="G16" s="31"/>
      <c r="H16" s="31"/>
      <c r="I16" s="31"/>
      <c r="J16" s="31">
        <f>I16/200*25</f>
        <v>0</v>
      </c>
      <c r="K16" s="31">
        <v>20000</v>
      </c>
      <c r="L16" s="31">
        <f>K16/200*25</f>
        <v>2500</v>
      </c>
      <c r="M16" s="31">
        <f>100*215</f>
        <v>21500</v>
      </c>
      <c r="N16" s="31">
        <f>M16/215*25</f>
        <v>2500</v>
      </c>
      <c r="O16" s="31"/>
      <c r="P16" s="31">
        <f>O16/150*25</f>
        <v>0</v>
      </c>
      <c r="Q16" s="31"/>
      <c r="R16" s="31"/>
      <c r="S16" s="31"/>
      <c r="T16" s="31"/>
      <c r="U16" s="31"/>
      <c r="V16" s="31">
        <f>U16/38*25</f>
        <v>0</v>
      </c>
      <c r="W16" s="32">
        <f>600*25</f>
        <v>15000</v>
      </c>
      <c r="X16" s="32">
        <v>0</v>
      </c>
      <c r="Y16" s="31"/>
      <c r="Z16" s="31"/>
      <c r="AA16" s="31"/>
      <c r="AB16" s="31"/>
      <c r="AC16" s="31"/>
      <c r="AD16" s="31">
        <v>3960</v>
      </c>
      <c r="AE16" s="31">
        <v>23000</v>
      </c>
      <c r="AF16" s="31"/>
      <c r="AG16" s="32">
        <v>1000</v>
      </c>
      <c r="AH16" s="32">
        <v>1000</v>
      </c>
      <c r="AI16" s="31">
        <v>40</v>
      </c>
      <c r="AJ16" s="31"/>
      <c r="AK16" s="31">
        <v>9000</v>
      </c>
      <c r="AL16" s="31"/>
      <c r="AM16" s="31"/>
      <c r="AN16" s="31"/>
      <c r="AO16" s="32">
        <v>3000</v>
      </c>
      <c r="AP16" s="32">
        <v>0</v>
      </c>
      <c r="AQ16" s="31"/>
      <c r="AR16" s="31"/>
      <c r="AS16" s="33"/>
    </row>
    <row r="17" spans="2:45" s="34" customFormat="1" ht="30" customHeight="1" x14ac:dyDescent="0.25">
      <c r="B17" s="30" t="s">
        <v>56</v>
      </c>
      <c r="C17" s="31"/>
      <c r="D17" s="31">
        <f t="shared" ref="D17" si="1">C17/208*25</f>
        <v>0</v>
      </c>
      <c r="E17" s="31"/>
      <c r="F17" s="31"/>
      <c r="G17" s="31"/>
      <c r="H17" s="31"/>
      <c r="I17" s="31"/>
      <c r="J17" s="31">
        <f>I17/200*25</f>
        <v>0</v>
      </c>
      <c r="K17" s="31">
        <v>20000</v>
      </c>
      <c r="L17" s="31">
        <f>K17/200*25</f>
        <v>2500</v>
      </c>
      <c r="M17" s="31">
        <v>21500</v>
      </c>
      <c r="N17" s="31">
        <f>M17/215*25</f>
        <v>2500</v>
      </c>
      <c r="O17" s="31"/>
      <c r="P17" s="31">
        <f>O17/150*25</f>
        <v>0</v>
      </c>
      <c r="Q17" s="31"/>
      <c r="R17" s="31"/>
      <c r="S17" s="31"/>
      <c r="T17" s="31"/>
      <c r="U17" s="31"/>
      <c r="V17" s="31">
        <f>U17/38*25</f>
        <v>0</v>
      </c>
      <c r="W17" s="32">
        <v>7500</v>
      </c>
      <c r="X17" s="32">
        <v>0</v>
      </c>
      <c r="Y17" s="31"/>
      <c r="Z17" s="31"/>
      <c r="AA17" s="31"/>
      <c r="AB17" s="31"/>
      <c r="AC17" s="31"/>
      <c r="AD17" s="31"/>
      <c r="AE17" s="31">
        <v>24250</v>
      </c>
      <c r="AF17" s="31"/>
      <c r="AG17" s="32">
        <v>1000</v>
      </c>
      <c r="AH17" s="32">
        <v>1000</v>
      </c>
      <c r="AI17" s="31"/>
      <c r="AJ17" s="31"/>
      <c r="AK17" s="31">
        <v>13500</v>
      </c>
      <c r="AL17" s="31"/>
      <c r="AM17" s="31"/>
      <c r="AN17" s="31"/>
      <c r="AO17" s="32">
        <v>10000</v>
      </c>
      <c r="AP17" s="32"/>
      <c r="AQ17" s="31">
        <v>300</v>
      </c>
      <c r="AR17" s="31"/>
      <c r="AS17" s="33"/>
    </row>
    <row r="18" spans="2:45" s="34" customFormat="1" ht="30" customHeight="1" x14ac:dyDescent="0.25">
      <c r="B18" s="30" t="s">
        <v>57</v>
      </c>
      <c r="C18" s="31"/>
      <c r="D18" s="31">
        <f t="shared" si="0"/>
        <v>0</v>
      </c>
      <c r="E18" s="31"/>
      <c r="F18" s="31"/>
      <c r="G18" s="31"/>
      <c r="H18" s="31"/>
      <c r="I18" s="31"/>
      <c r="J18" s="31">
        <f>I18/200*25</f>
        <v>0</v>
      </c>
      <c r="K18" s="31">
        <v>20000</v>
      </c>
      <c r="L18" s="31">
        <f>K18/200*25</f>
        <v>2500</v>
      </c>
      <c r="M18" s="31">
        <v>21500</v>
      </c>
      <c r="N18" s="31">
        <f>M18/215*25</f>
        <v>2500</v>
      </c>
      <c r="O18" s="31"/>
      <c r="P18" s="31">
        <f>O18/150*25</f>
        <v>0</v>
      </c>
      <c r="Q18" s="31"/>
      <c r="R18" s="31"/>
      <c r="S18" s="31"/>
      <c r="T18" s="31"/>
      <c r="U18" s="31"/>
      <c r="V18" s="31">
        <f>U18/38*25</f>
        <v>0</v>
      </c>
      <c r="W18" s="32">
        <v>15000</v>
      </c>
      <c r="X18" s="32">
        <v>0</v>
      </c>
      <c r="Y18" s="31"/>
      <c r="Z18" s="31"/>
      <c r="AA18" s="31"/>
      <c r="AB18" s="31"/>
      <c r="AC18" s="31"/>
      <c r="AD18" s="31">
        <v>3520</v>
      </c>
      <c r="AE18" s="31">
        <v>13250</v>
      </c>
      <c r="AF18" s="31"/>
      <c r="AG18" s="32">
        <v>1000</v>
      </c>
      <c r="AH18" s="32">
        <v>1000</v>
      </c>
      <c r="AI18" s="31"/>
      <c r="AJ18" s="31">
        <v>10</v>
      </c>
      <c r="AK18" s="31">
        <v>5400</v>
      </c>
      <c r="AL18" s="31"/>
      <c r="AM18" s="31"/>
      <c r="AN18" s="31"/>
      <c r="AO18" s="32">
        <v>5000</v>
      </c>
      <c r="AP18" s="32"/>
      <c r="AQ18" s="31">
        <v>300</v>
      </c>
      <c r="AR18" s="31"/>
      <c r="AS18" s="33"/>
    </row>
    <row r="19" spans="2:45" s="34" customFormat="1" ht="30" customHeight="1" x14ac:dyDescent="0.25">
      <c r="B19" s="35" t="s">
        <v>39</v>
      </c>
      <c r="C19" s="36" t="e">
        <f>SUM(#REF!)</f>
        <v>#REF!</v>
      </c>
      <c r="D19" s="36" t="e">
        <f>SUM(#REF!)</f>
        <v>#REF!</v>
      </c>
      <c r="E19" s="36" t="e">
        <f>#REF!+#REF!+#REF!+#REF!+#REF!</f>
        <v>#REF!</v>
      </c>
      <c r="F19" s="36" t="e">
        <f>#REF!+#REF!+#REF!+#REF!+#REF!</f>
        <v>#REF!</v>
      </c>
      <c r="G19" s="36" t="e">
        <f>#REF!+#REF!+#REF!+#REF!+#REF!</f>
        <v>#REF!</v>
      </c>
      <c r="H19" s="36" t="e">
        <f>#REF!+#REF!+#REF!+#REF!+#REF!</f>
        <v>#REF!</v>
      </c>
      <c r="I19" s="36" t="e">
        <f>SUM(#REF!)</f>
        <v>#REF!</v>
      </c>
      <c r="J19" s="36" t="e">
        <f>SUM(#REF!)</f>
        <v>#REF!</v>
      </c>
      <c r="K19" s="36">
        <f t="shared" ref="K19:AS19" si="2">SUM(K16:K18)</f>
        <v>60000</v>
      </c>
      <c r="L19" s="36">
        <f t="shared" si="2"/>
        <v>7500</v>
      </c>
      <c r="M19" s="36">
        <f t="shared" si="2"/>
        <v>64500</v>
      </c>
      <c r="N19" s="36">
        <f t="shared" si="2"/>
        <v>7500</v>
      </c>
      <c r="O19" s="36">
        <f t="shared" si="2"/>
        <v>0</v>
      </c>
      <c r="P19" s="36">
        <f t="shared" si="2"/>
        <v>0</v>
      </c>
      <c r="Q19" s="36">
        <f t="shared" si="2"/>
        <v>0</v>
      </c>
      <c r="R19" s="36">
        <f t="shared" si="2"/>
        <v>0</v>
      </c>
      <c r="S19" s="36">
        <f t="shared" si="2"/>
        <v>0</v>
      </c>
      <c r="T19" s="36">
        <f t="shared" si="2"/>
        <v>0</v>
      </c>
      <c r="U19" s="36">
        <f t="shared" si="2"/>
        <v>0</v>
      </c>
      <c r="V19" s="36">
        <f t="shared" si="2"/>
        <v>0</v>
      </c>
      <c r="W19" s="36">
        <f t="shared" si="2"/>
        <v>37500</v>
      </c>
      <c r="X19" s="36">
        <f t="shared" si="2"/>
        <v>0</v>
      </c>
      <c r="Y19" s="36">
        <f t="shared" si="2"/>
        <v>0</v>
      </c>
      <c r="Z19" s="36">
        <f t="shared" si="2"/>
        <v>0</v>
      </c>
      <c r="AA19" s="36">
        <f t="shared" si="2"/>
        <v>0</v>
      </c>
      <c r="AB19" s="36">
        <f t="shared" si="2"/>
        <v>0</v>
      </c>
      <c r="AC19" s="36">
        <f t="shared" si="2"/>
        <v>0</v>
      </c>
      <c r="AD19" s="36">
        <f t="shared" si="2"/>
        <v>7480</v>
      </c>
      <c r="AE19" s="36">
        <f t="shared" si="2"/>
        <v>60500</v>
      </c>
      <c r="AF19" s="36">
        <f t="shared" si="2"/>
        <v>0</v>
      </c>
      <c r="AG19" s="36">
        <f t="shared" si="2"/>
        <v>3000</v>
      </c>
      <c r="AH19" s="36">
        <f t="shared" si="2"/>
        <v>3000</v>
      </c>
      <c r="AI19" s="36">
        <f t="shared" si="2"/>
        <v>40</v>
      </c>
      <c r="AJ19" s="36">
        <f t="shared" si="2"/>
        <v>10</v>
      </c>
      <c r="AK19" s="36">
        <f t="shared" si="2"/>
        <v>27900</v>
      </c>
      <c r="AL19" s="36">
        <f t="shared" si="2"/>
        <v>0</v>
      </c>
      <c r="AM19" s="36">
        <f t="shared" si="2"/>
        <v>0</v>
      </c>
      <c r="AN19" s="36">
        <f t="shared" si="2"/>
        <v>0</v>
      </c>
      <c r="AO19" s="36">
        <f t="shared" si="2"/>
        <v>18000</v>
      </c>
      <c r="AP19" s="36">
        <f t="shared" si="2"/>
        <v>0</v>
      </c>
      <c r="AQ19" s="36">
        <f t="shared" si="2"/>
        <v>600</v>
      </c>
      <c r="AR19" s="36">
        <f t="shared" si="2"/>
        <v>0</v>
      </c>
      <c r="AS19" s="36">
        <f t="shared" si="2"/>
        <v>0</v>
      </c>
    </row>
    <row r="20" spans="2:45" s="38" customFormat="1" ht="30" customHeight="1" thickBot="1" x14ac:dyDescent="0.3">
      <c r="B20" s="37" t="s">
        <v>40</v>
      </c>
      <c r="C20" s="52" t="e">
        <f>C19</f>
        <v>#REF!</v>
      </c>
      <c r="D20" s="52" t="e">
        <f>D19</f>
        <v>#REF!</v>
      </c>
      <c r="E20" s="52" t="e">
        <f>#REF!+#REF!+#REF!+#REF!+#REF!</f>
        <v>#REF!</v>
      </c>
      <c r="F20" s="52" t="e">
        <f>#REF!+#REF!+#REF!+#REF!+#REF!</f>
        <v>#REF!</v>
      </c>
      <c r="G20" s="52" t="e">
        <f>#REF!+#REF!+#REF!+#REF!+#REF!</f>
        <v>#REF!</v>
      </c>
      <c r="H20" s="52" t="e">
        <f>#REF!+#REF!+#REF!+#REF!+#REF!</f>
        <v>#REF!</v>
      </c>
      <c r="I20" s="52" t="e">
        <f t="shared" ref="I20:V20" si="3">I19</f>
        <v>#REF!</v>
      </c>
      <c r="J20" s="52" t="e">
        <f t="shared" si="3"/>
        <v>#REF!</v>
      </c>
      <c r="K20" s="52">
        <f t="shared" si="3"/>
        <v>60000</v>
      </c>
      <c r="L20" s="52">
        <f t="shared" si="3"/>
        <v>7500</v>
      </c>
      <c r="M20" s="52">
        <f t="shared" si="3"/>
        <v>64500</v>
      </c>
      <c r="N20" s="52">
        <f t="shared" si="3"/>
        <v>7500</v>
      </c>
      <c r="O20" s="52">
        <f t="shared" si="3"/>
        <v>0</v>
      </c>
      <c r="P20" s="52">
        <f t="shared" si="3"/>
        <v>0</v>
      </c>
      <c r="Q20" s="52">
        <f t="shared" si="3"/>
        <v>0</v>
      </c>
      <c r="R20" s="52">
        <f t="shared" si="3"/>
        <v>0</v>
      </c>
      <c r="S20" s="52">
        <f t="shared" si="3"/>
        <v>0</v>
      </c>
      <c r="T20" s="52">
        <f t="shared" si="3"/>
        <v>0</v>
      </c>
      <c r="U20" s="52">
        <f t="shared" si="3"/>
        <v>0</v>
      </c>
      <c r="V20" s="52">
        <f t="shared" si="3"/>
        <v>0</v>
      </c>
      <c r="W20" s="134">
        <f>W19+X19</f>
        <v>37500</v>
      </c>
      <c r="X20" s="134"/>
      <c r="Y20" s="52">
        <f t="shared" ref="Y20:AK20" si="4">Y19</f>
        <v>0</v>
      </c>
      <c r="Z20" s="52">
        <f>Z19</f>
        <v>0</v>
      </c>
      <c r="AA20" s="52">
        <f>AA19</f>
        <v>0</v>
      </c>
      <c r="AB20" s="52">
        <f t="shared" ref="AB20:AC20" si="5">AB19</f>
        <v>0</v>
      </c>
      <c r="AC20" s="52">
        <f t="shared" si="5"/>
        <v>0</v>
      </c>
      <c r="AD20" s="52">
        <f t="shared" si="4"/>
        <v>7480</v>
      </c>
      <c r="AE20" s="52">
        <f>AE19</f>
        <v>60500</v>
      </c>
      <c r="AF20" s="52">
        <f>AF19</f>
        <v>0</v>
      </c>
      <c r="AG20" s="134">
        <f>AG19+AH19</f>
        <v>6000</v>
      </c>
      <c r="AH20" s="134"/>
      <c r="AI20" s="134">
        <f>AI19+AJ19</f>
        <v>50</v>
      </c>
      <c r="AJ20" s="134"/>
      <c r="AK20" s="52">
        <f t="shared" si="4"/>
        <v>27900</v>
      </c>
      <c r="AL20" s="52">
        <f>AL19</f>
        <v>0</v>
      </c>
      <c r="AM20" s="52">
        <f t="shared" ref="AM20:AN20" si="6">AM19</f>
        <v>0</v>
      </c>
      <c r="AN20" s="52">
        <f t="shared" si="6"/>
        <v>0</v>
      </c>
      <c r="AO20" s="134">
        <f>AO19+AP19</f>
        <v>18000</v>
      </c>
      <c r="AP20" s="134"/>
      <c r="AQ20" s="52">
        <f>AQ19</f>
        <v>600</v>
      </c>
      <c r="AR20" s="134">
        <f>AR19+AS19</f>
        <v>0</v>
      </c>
      <c r="AS20" s="135"/>
    </row>
    <row r="21" spans="2:45" x14ac:dyDescent="0.25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</row>
    <row r="22" spans="2:45" x14ac:dyDescent="0.25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</row>
    <row r="23" spans="2:45" x14ac:dyDescent="0.25"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</row>
    <row r="24" spans="2:45" s="42" customFormat="1" ht="19.5" x14ac:dyDescent="0.3">
      <c r="B24" s="42" t="s">
        <v>41</v>
      </c>
      <c r="C24" s="43"/>
      <c r="N24" s="42" t="s">
        <v>42</v>
      </c>
      <c r="AG24" s="42" t="s">
        <v>43</v>
      </c>
      <c r="AM24" s="42" t="s">
        <v>44</v>
      </c>
    </row>
    <row r="25" spans="2:45" s="42" customFormat="1" ht="24.75" customHeight="1" x14ac:dyDescent="0.3">
      <c r="C25" s="43"/>
      <c r="N25" s="43"/>
    </row>
    <row r="26" spans="2:45" s="42" customFormat="1" ht="19.5" x14ac:dyDescent="0.3">
      <c r="B26" s="43"/>
      <c r="C26" s="43"/>
      <c r="N26" s="43"/>
    </row>
    <row r="27" spans="2:45" s="42" customFormat="1" ht="19.5" x14ac:dyDescent="0.3">
      <c r="B27" s="44" t="s">
        <v>45</v>
      </c>
      <c r="C27" s="43"/>
      <c r="N27" s="45" t="s">
        <v>46</v>
      </c>
      <c r="AG27" s="45" t="s">
        <v>47</v>
      </c>
      <c r="AM27" s="45" t="s">
        <v>48</v>
      </c>
      <c r="AN27" s="46"/>
    </row>
    <row r="28" spans="2:45" s="42" customFormat="1" ht="19.5" x14ac:dyDescent="0.3">
      <c r="B28" s="42" t="s">
        <v>51</v>
      </c>
      <c r="N28" s="42" t="s">
        <v>49</v>
      </c>
      <c r="AG28" s="42" t="s">
        <v>50</v>
      </c>
      <c r="AM28" s="47" t="s">
        <v>54</v>
      </c>
      <c r="AN28" s="47"/>
    </row>
    <row r="29" spans="2:45" s="48" customFormat="1" ht="20.25" x14ac:dyDescent="0.3"/>
    <row r="30" spans="2:45" x14ac:dyDescent="0.25">
      <c r="B30" s="41"/>
      <c r="AA30" s="7"/>
      <c r="AB30" s="7"/>
      <c r="AC30" s="7"/>
      <c r="AD30" s="7"/>
      <c r="AE30" s="7"/>
      <c r="AF30" s="7"/>
    </row>
    <row r="31" spans="2:45" s="49" customFormat="1" x14ac:dyDescent="0.25">
      <c r="AA31" s="50"/>
      <c r="AB31" s="50"/>
      <c r="AC31" s="50"/>
      <c r="AD31" s="50"/>
      <c r="AE31" s="50"/>
      <c r="AF31" s="50"/>
    </row>
    <row r="32" spans="2:45" x14ac:dyDescent="0.25"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53"/>
      <c r="V32" s="53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2:44" x14ac:dyDescent="0.25"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2:44" x14ac:dyDescent="0.25"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2:44" x14ac:dyDescent="0.25">
      <c r="B35" s="41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2:44" x14ac:dyDescent="0.25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2:44" x14ac:dyDescent="0.25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2:44" x14ac:dyDescent="0.25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2:44" x14ac:dyDescent="0.25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2:44" x14ac:dyDescent="0.25">
      <c r="B40" s="41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2:44" x14ac:dyDescent="0.25">
      <c r="B41" s="41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2:44" x14ac:dyDescent="0.25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2:44" x14ac:dyDescent="0.25"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2:44" x14ac:dyDescent="0.25"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2:44" x14ac:dyDescent="0.25"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2:44" x14ac:dyDescent="0.25"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2:44" x14ac:dyDescent="0.25">
      <c r="B47" s="41"/>
      <c r="AJ47" s="40"/>
    </row>
    <row r="53" spans="2:2" x14ac:dyDescent="0.25">
      <c r="B53" s="41"/>
    </row>
  </sheetData>
  <mergeCells count="70">
    <mergeCell ref="AR20:AS20"/>
    <mergeCell ref="B32:T32"/>
    <mergeCell ref="W14:X14"/>
    <mergeCell ref="AG14:AH14"/>
    <mergeCell ref="AI14:AJ14"/>
    <mergeCell ref="AO14:AP14"/>
    <mergeCell ref="W20:X20"/>
    <mergeCell ref="AG20:AH20"/>
    <mergeCell ref="AI20:AJ20"/>
    <mergeCell ref="AO20:AP20"/>
    <mergeCell ref="I14:J14"/>
    <mergeCell ref="K14:L14"/>
    <mergeCell ref="M14:N14"/>
    <mergeCell ref="O14:P14"/>
    <mergeCell ref="Q14:R14"/>
    <mergeCell ref="S14:T14"/>
    <mergeCell ref="S12:T12"/>
    <mergeCell ref="U12:V12"/>
    <mergeCell ref="Y12:Z12"/>
    <mergeCell ref="AA12:AB12"/>
    <mergeCell ref="U13:V13"/>
    <mergeCell ref="U14:V14"/>
    <mergeCell ref="K13:L13"/>
    <mergeCell ref="M13:N13"/>
    <mergeCell ref="O13:P13"/>
    <mergeCell ref="Q13:R13"/>
    <mergeCell ref="S13:T13"/>
    <mergeCell ref="AQ11:AQ13"/>
    <mergeCell ref="AR11:AS13"/>
    <mergeCell ref="C12:D12"/>
    <mergeCell ref="I12:J12"/>
    <mergeCell ref="K12:L12"/>
    <mergeCell ref="M12:N12"/>
    <mergeCell ref="O12:P12"/>
    <mergeCell ref="Q12:R12"/>
    <mergeCell ref="C11:D11"/>
    <mergeCell ref="E11:F11"/>
    <mergeCell ref="G11:H11"/>
    <mergeCell ref="I11:V11"/>
    <mergeCell ref="W11:X13"/>
    <mergeCell ref="Y11:AJ11"/>
    <mergeCell ref="AD12:AF12"/>
    <mergeCell ref="AG12:AH13"/>
    <mergeCell ref="AP9:AP10"/>
    <mergeCell ref="AQ9:AS10"/>
    <mergeCell ref="C10:D10"/>
    <mergeCell ref="E10:F10"/>
    <mergeCell ref="G10:H10"/>
    <mergeCell ref="Y9:AC10"/>
    <mergeCell ref="AD9:AF10"/>
    <mergeCell ref="AG9:AG10"/>
    <mergeCell ref="AH9:AH10"/>
    <mergeCell ref="AI9:AI10"/>
    <mergeCell ref="AJ9:AJ10"/>
    <mergeCell ref="B1:AN1"/>
    <mergeCell ref="B2:AN2"/>
    <mergeCell ref="B5:AN5"/>
    <mergeCell ref="B6:AN6"/>
    <mergeCell ref="B9:B15"/>
    <mergeCell ref="C9:D9"/>
    <mergeCell ref="I9:L10"/>
    <mergeCell ref="M9:V10"/>
    <mergeCell ref="W9:W10"/>
    <mergeCell ref="X9:X10"/>
    <mergeCell ref="AK9:AO10"/>
    <mergeCell ref="AK11:AN11"/>
    <mergeCell ref="AO11:AP13"/>
    <mergeCell ref="AI12:AJ13"/>
    <mergeCell ref="AK12:AN12"/>
    <mergeCell ref="I13:J13"/>
  </mergeCells>
  <pageMargins left="0.39370078740157483" right="0.27559055118110237" top="0.47244094488188981" bottom="0.15748031496062992" header="0.31496062992125984" footer="0.19685039370078741"/>
  <pageSetup paperSize="14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2"/>
  <sheetViews>
    <sheetView workbookViewId="0">
      <selection activeCell="AG26" sqref="AG26:AG27"/>
    </sheetView>
  </sheetViews>
  <sheetFormatPr defaultRowHeight="15" x14ac:dyDescent="0.25"/>
  <cols>
    <col min="1" max="1" width="0.7109375" style="41" customWidth="1"/>
    <col min="2" max="2" width="24.5703125" style="51" customWidth="1"/>
    <col min="3" max="3" width="5.42578125" style="41" hidden="1" customWidth="1"/>
    <col min="4" max="4" width="6.28515625" style="41" hidden="1" customWidth="1"/>
    <col min="5" max="5" width="5.5703125" style="41" hidden="1" customWidth="1"/>
    <col min="6" max="6" width="5.28515625" style="41" hidden="1" customWidth="1"/>
    <col min="7" max="7" width="5.5703125" style="41" hidden="1" customWidth="1"/>
    <col min="8" max="8" width="5.28515625" style="41" hidden="1" customWidth="1"/>
    <col min="9" max="9" width="8.140625" style="41" hidden="1" customWidth="1"/>
    <col min="10" max="10" width="8.7109375" style="41" hidden="1" customWidth="1"/>
    <col min="11" max="11" width="8.140625" style="41" customWidth="1"/>
    <col min="12" max="12" width="8.7109375" style="41" customWidth="1"/>
    <col min="13" max="13" width="10.42578125" style="41" customWidth="1"/>
    <col min="14" max="14" width="7.85546875" style="41" bestFit="1" customWidth="1"/>
    <col min="15" max="15" width="6.42578125" style="41" hidden="1" customWidth="1"/>
    <col min="16" max="16" width="7.5703125" style="41" hidden="1" customWidth="1"/>
    <col min="17" max="17" width="5.7109375" style="41" hidden="1" customWidth="1"/>
    <col min="18" max="18" width="9.28515625" style="41" hidden="1" customWidth="1"/>
    <col min="19" max="19" width="4.42578125" style="41" hidden="1" customWidth="1"/>
    <col min="20" max="20" width="5" style="41" hidden="1" customWidth="1"/>
    <col min="21" max="21" width="7.5703125" style="41" hidden="1" customWidth="1"/>
    <col min="22" max="22" width="7.28515625" style="41" hidden="1" customWidth="1"/>
    <col min="23" max="23" width="9" style="41" customWidth="1"/>
    <col min="24" max="24" width="7.42578125" style="41" customWidth="1"/>
    <col min="25" max="25" width="7" style="41" hidden="1" customWidth="1"/>
    <col min="26" max="26" width="7.7109375" style="41" hidden="1" customWidth="1"/>
    <col min="27" max="27" width="7.7109375" style="41" bestFit="1" customWidth="1"/>
    <col min="28" max="28" width="7" style="41" customWidth="1"/>
    <col min="29" max="29" width="9.42578125" style="41" hidden="1" customWidth="1"/>
    <col min="30" max="30" width="8.140625" style="41" customWidth="1"/>
    <col min="31" max="31" width="8.85546875" style="41" customWidth="1"/>
    <col min="32" max="32" width="7.85546875" style="41" customWidth="1"/>
    <col min="33" max="33" width="9.42578125" style="41" customWidth="1"/>
    <col min="34" max="34" width="8.85546875" style="41" customWidth="1"/>
    <col min="35" max="35" width="8.5703125" style="41" customWidth="1"/>
    <col min="36" max="36" width="8" style="41" customWidth="1"/>
    <col min="37" max="37" width="9.5703125" style="41" customWidth="1"/>
    <col min="38" max="38" width="9" style="41" customWidth="1"/>
    <col min="39" max="39" width="9.7109375" style="41" customWidth="1"/>
    <col min="40" max="40" width="8.28515625" style="41" customWidth="1"/>
    <col min="41" max="41" width="9" style="41" customWidth="1"/>
    <col min="42" max="42" width="8.42578125" style="41" customWidth="1"/>
    <col min="43" max="43" width="7.5703125" style="41" customWidth="1"/>
    <col min="44" max="44" width="9" style="41" customWidth="1"/>
    <col min="45" max="45" width="8.140625" style="41" customWidth="1"/>
    <col min="46" max="16384" width="9.140625" style="41"/>
  </cols>
  <sheetData>
    <row r="1" spans="2:45" s="1" customFormat="1" ht="18.75" customHeight="1" x14ac:dyDescent="0.3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58"/>
      <c r="AP1" s="58"/>
      <c r="AQ1" s="58"/>
      <c r="AR1" s="58"/>
    </row>
    <row r="2" spans="2:45" s="1" customFormat="1" ht="20.25" x14ac:dyDescent="0.3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58"/>
      <c r="AP2" s="58"/>
      <c r="AQ2" s="58"/>
      <c r="AR2" s="58"/>
    </row>
    <row r="3" spans="2:45" s="1" customFormat="1" ht="12.75" customHeight="1" x14ac:dyDescent="0.3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2"/>
      <c r="AK3" s="58"/>
      <c r="AL3" s="58"/>
      <c r="AM3" s="58"/>
      <c r="AN3" s="58"/>
      <c r="AO3" s="58"/>
      <c r="AP3" s="58"/>
      <c r="AQ3" s="58"/>
      <c r="AR3" s="58"/>
    </row>
    <row r="4" spans="2:45" s="1" customFormat="1" ht="12.75" customHeight="1" x14ac:dyDescent="0.3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2"/>
      <c r="AK4" s="58"/>
      <c r="AL4" s="58"/>
      <c r="AM4" s="58"/>
      <c r="AN4" s="58"/>
      <c r="AO4" s="58"/>
      <c r="AP4" s="58"/>
      <c r="AQ4" s="58"/>
      <c r="AR4" s="58"/>
    </row>
    <row r="5" spans="2:45" s="1" customFormat="1" ht="20.25" x14ac:dyDescent="0.3"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58"/>
      <c r="AP5" s="58"/>
      <c r="AQ5" s="58"/>
      <c r="AR5" s="58"/>
    </row>
    <row r="6" spans="2:45" s="1" customFormat="1" ht="20.25" x14ac:dyDescent="0.3">
      <c r="B6" s="83" t="s">
        <v>59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58"/>
      <c r="AP6" s="58"/>
      <c r="AQ6" s="58"/>
      <c r="AR6" s="58"/>
    </row>
    <row r="7" spans="2:45" s="4" customFormat="1" ht="18.7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/>
      <c r="AL7" s="3"/>
      <c r="AM7" s="3"/>
      <c r="AN7" s="3"/>
      <c r="AO7" s="3"/>
      <c r="AP7" s="3"/>
      <c r="AQ7" s="3"/>
      <c r="AR7" s="3"/>
    </row>
    <row r="8" spans="2:45" s="7" customFormat="1" ht="6.75" customHeight="1" thickBot="1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K8" s="6"/>
      <c r="AL8" s="6"/>
      <c r="AM8" s="6"/>
      <c r="AN8" s="6"/>
      <c r="AO8" s="6"/>
      <c r="AP8" s="6"/>
      <c r="AQ8" s="6"/>
      <c r="AR8" s="6"/>
    </row>
    <row r="9" spans="2:45" s="9" customFormat="1" ht="18" customHeight="1" thickBot="1" x14ac:dyDescent="0.3">
      <c r="B9" s="84" t="s">
        <v>3</v>
      </c>
      <c r="C9" s="86" t="s">
        <v>4</v>
      </c>
      <c r="D9" s="87"/>
      <c r="E9" s="8"/>
      <c r="F9" s="8"/>
      <c r="G9" s="8"/>
      <c r="H9" s="8"/>
      <c r="I9" s="88" t="s">
        <v>5</v>
      </c>
      <c r="J9" s="89"/>
      <c r="K9" s="89"/>
      <c r="L9" s="90"/>
      <c r="M9" s="94" t="s">
        <v>6</v>
      </c>
      <c r="N9" s="89"/>
      <c r="O9" s="89"/>
      <c r="P9" s="89"/>
      <c r="Q9" s="89"/>
      <c r="R9" s="89"/>
      <c r="S9" s="89"/>
      <c r="T9" s="89"/>
      <c r="U9" s="89"/>
      <c r="V9" s="90"/>
      <c r="W9" s="96" t="s">
        <v>7</v>
      </c>
      <c r="X9" s="96" t="s">
        <v>8</v>
      </c>
      <c r="Y9" s="94" t="s">
        <v>5</v>
      </c>
      <c r="Z9" s="89"/>
      <c r="AA9" s="89"/>
      <c r="AB9" s="89"/>
      <c r="AC9" s="90"/>
      <c r="AD9" s="94" t="s">
        <v>6</v>
      </c>
      <c r="AE9" s="89"/>
      <c r="AF9" s="90"/>
      <c r="AG9" s="96" t="s">
        <v>9</v>
      </c>
      <c r="AH9" s="96" t="s">
        <v>8</v>
      </c>
      <c r="AI9" s="96" t="s">
        <v>6</v>
      </c>
      <c r="AJ9" s="96" t="s">
        <v>8</v>
      </c>
      <c r="AK9" s="98" t="s">
        <v>6</v>
      </c>
      <c r="AL9" s="99"/>
      <c r="AM9" s="99"/>
      <c r="AN9" s="99"/>
      <c r="AO9" s="100"/>
      <c r="AP9" s="96" t="s">
        <v>8</v>
      </c>
      <c r="AQ9" s="98" t="s">
        <v>9</v>
      </c>
      <c r="AR9" s="99"/>
      <c r="AS9" s="110"/>
    </row>
    <row r="10" spans="2:45" s="10" customFormat="1" ht="34.5" customHeight="1" thickBot="1" x14ac:dyDescent="0.3">
      <c r="B10" s="85"/>
      <c r="C10" s="112" t="s">
        <v>10</v>
      </c>
      <c r="D10" s="113"/>
      <c r="E10" s="112" t="s">
        <v>11</v>
      </c>
      <c r="F10" s="114"/>
      <c r="G10" s="114" t="s">
        <v>12</v>
      </c>
      <c r="H10" s="115"/>
      <c r="I10" s="91"/>
      <c r="J10" s="92"/>
      <c r="K10" s="92"/>
      <c r="L10" s="93"/>
      <c r="M10" s="95"/>
      <c r="N10" s="92"/>
      <c r="O10" s="92"/>
      <c r="P10" s="92"/>
      <c r="Q10" s="92"/>
      <c r="R10" s="92"/>
      <c r="S10" s="92"/>
      <c r="T10" s="92"/>
      <c r="U10" s="92"/>
      <c r="V10" s="93"/>
      <c r="W10" s="97"/>
      <c r="X10" s="97"/>
      <c r="Y10" s="95"/>
      <c r="Z10" s="92"/>
      <c r="AA10" s="92"/>
      <c r="AB10" s="92"/>
      <c r="AC10" s="93"/>
      <c r="AD10" s="95"/>
      <c r="AE10" s="92"/>
      <c r="AF10" s="93"/>
      <c r="AG10" s="97"/>
      <c r="AH10" s="97"/>
      <c r="AI10" s="97"/>
      <c r="AJ10" s="97"/>
      <c r="AK10" s="101"/>
      <c r="AL10" s="102"/>
      <c r="AM10" s="102"/>
      <c r="AN10" s="102"/>
      <c r="AO10" s="103"/>
      <c r="AP10" s="97"/>
      <c r="AQ10" s="101"/>
      <c r="AR10" s="102"/>
      <c r="AS10" s="111"/>
    </row>
    <row r="11" spans="2:45" s="10" customFormat="1" ht="24.95" customHeight="1" x14ac:dyDescent="0.25">
      <c r="B11" s="85"/>
      <c r="C11" s="125" t="s">
        <v>13</v>
      </c>
      <c r="D11" s="126"/>
      <c r="E11" s="125" t="s">
        <v>14</v>
      </c>
      <c r="F11" s="127"/>
      <c r="G11" s="127" t="s">
        <v>15</v>
      </c>
      <c r="H11" s="128"/>
      <c r="I11" s="129" t="s">
        <v>16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30"/>
      <c r="W11" s="131" t="s">
        <v>17</v>
      </c>
      <c r="X11" s="131"/>
      <c r="Y11" s="132" t="s">
        <v>18</v>
      </c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04" t="s">
        <v>19</v>
      </c>
      <c r="AL11" s="104"/>
      <c r="AM11" s="104"/>
      <c r="AN11" s="104"/>
      <c r="AO11" s="105" t="s">
        <v>20</v>
      </c>
      <c r="AP11" s="105"/>
      <c r="AQ11" s="116" t="s">
        <v>21</v>
      </c>
      <c r="AR11" s="117" t="s">
        <v>22</v>
      </c>
      <c r="AS11" s="118"/>
    </row>
    <row r="12" spans="2:45" s="10" customFormat="1" ht="36" customHeight="1" x14ac:dyDescent="0.25">
      <c r="B12" s="85"/>
      <c r="C12" s="123">
        <v>11083</v>
      </c>
      <c r="D12" s="124"/>
      <c r="E12" s="11"/>
      <c r="F12" s="12"/>
      <c r="G12" s="12"/>
      <c r="H12" s="13"/>
      <c r="I12" s="109">
        <v>200</v>
      </c>
      <c r="J12" s="105"/>
      <c r="K12" s="109">
        <v>200</v>
      </c>
      <c r="L12" s="105"/>
      <c r="M12" s="105">
        <v>215</v>
      </c>
      <c r="N12" s="105"/>
      <c r="O12" s="105">
        <v>135</v>
      </c>
      <c r="P12" s="105"/>
      <c r="Q12" s="105">
        <v>150</v>
      </c>
      <c r="R12" s="105"/>
      <c r="S12" s="105">
        <v>150</v>
      </c>
      <c r="T12" s="105"/>
      <c r="U12" s="105">
        <v>38</v>
      </c>
      <c r="V12" s="105"/>
      <c r="W12" s="131"/>
      <c r="X12" s="131"/>
      <c r="Y12" s="105" t="s">
        <v>23</v>
      </c>
      <c r="Z12" s="105"/>
      <c r="AA12" s="105" t="s">
        <v>24</v>
      </c>
      <c r="AB12" s="105"/>
      <c r="AC12" s="14" t="s">
        <v>25</v>
      </c>
      <c r="AD12" s="106" t="s">
        <v>26</v>
      </c>
      <c r="AE12" s="107"/>
      <c r="AF12" s="108"/>
      <c r="AG12" s="105" t="s">
        <v>27</v>
      </c>
      <c r="AH12" s="105"/>
      <c r="AI12" s="105" t="s">
        <v>28</v>
      </c>
      <c r="AJ12" s="105"/>
      <c r="AK12" s="106" t="s">
        <v>29</v>
      </c>
      <c r="AL12" s="107"/>
      <c r="AM12" s="107"/>
      <c r="AN12" s="108"/>
      <c r="AO12" s="105"/>
      <c r="AP12" s="105"/>
      <c r="AQ12" s="116"/>
      <c r="AR12" s="119"/>
      <c r="AS12" s="120"/>
    </row>
    <row r="13" spans="2:45" s="19" customFormat="1" ht="30" customHeight="1" thickBot="1" x14ac:dyDescent="0.3">
      <c r="B13" s="85"/>
      <c r="C13" s="15" t="s">
        <v>30</v>
      </c>
      <c r="D13" s="16" t="s">
        <v>31</v>
      </c>
      <c r="E13" s="15" t="s">
        <v>30</v>
      </c>
      <c r="F13" s="17" t="s">
        <v>31</v>
      </c>
      <c r="G13" s="17" t="s">
        <v>30</v>
      </c>
      <c r="H13" s="18" t="s">
        <v>31</v>
      </c>
      <c r="I13" s="109" t="s">
        <v>32</v>
      </c>
      <c r="J13" s="105"/>
      <c r="K13" s="109" t="s">
        <v>53</v>
      </c>
      <c r="L13" s="105"/>
      <c r="M13" s="105" t="s">
        <v>34</v>
      </c>
      <c r="N13" s="105"/>
      <c r="O13" s="105" t="s">
        <v>34</v>
      </c>
      <c r="P13" s="105"/>
      <c r="Q13" s="105" t="s">
        <v>33</v>
      </c>
      <c r="R13" s="105"/>
      <c r="S13" s="105" t="s">
        <v>35</v>
      </c>
      <c r="T13" s="105"/>
      <c r="U13" s="105" t="s">
        <v>34</v>
      </c>
      <c r="V13" s="105"/>
      <c r="W13" s="131"/>
      <c r="X13" s="131"/>
      <c r="Y13" s="59">
        <v>2.4</v>
      </c>
      <c r="Z13" s="59">
        <v>3.6</v>
      </c>
      <c r="AA13" s="59">
        <v>2.4</v>
      </c>
      <c r="AB13" s="59">
        <v>3.6</v>
      </c>
      <c r="AC13" s="59"/>
      <c r="AD13" s="59">
        <v>3.6</v>
      </c>
      <c r="AE13" s="59">
        <v>2.4</v>
      </c>
      <c r="AF13" s="59">
        <v>4.9000000000000004</v>
      </c>
      <c r="AG13" s="105"/>
      <c r="AH13" s="105"/>
      <c r="AI13" s="105"/>
      <c r="AJ13" s="105"/>
      <c r="AK13" s="59">
        <v>5</v>
      </c>
      <c r="AL13" s="59">
        <v>10</v>
      </c>
      <c r="AM13" s="60" t="s">
        <v>52</v>
      </c>
      <c r="AN13" s="59">
        <v>40</v>
      </c>
      <c r="AO13" s="105"/>
      <c r="AP13" s="105"/>
      <c r="AQ13" s="116"/>
      <c r="AR13" s="121"/>
      <c r="AS13" s="122"/>
    </row>
    <row r="14" spans="2:45" s="19" customFormat="1" ht="21.75" customHeight="1" x14ac:dyDescent="0.25">
      <c r="B14" s="85"/>
      <c r="C14" s="20"/>
      <c r="D14" s="21"/>
      <c r="E14" s="20"/>
      <c r="F14" s="22"/>
      <c r="G14" s="22"/>
      <c r="H14" s="21"/>
      <c r="I14" s="137">
        <v>31496</v>
      </c>
      <c r="J14" s="133"/>
      <c r="K14" s="137">
        <v>35245</v>
      </c>
      <c r="L14" s="133"/>
      <c r="M14" s="133">
        <v>11082</v>
      </c>
      <c r="N14" s="133"/>
      <c r="O14" s="133">
        <v>21810</v>
      </c>
      <c r="P14" s="133"/>
      <c r="Q14" s="133">
        <v>17362</v>
      </c>
      <c r="R14" s="133"/>
      <c r="S14" s="133">
        <v>18389</v>
      </c>
      <c r="T14" s="133"/>
      <c r="U14" s="133">
        <v>21811</v>
      </c>
      <c r="V14" s="133"/>
      <c r="W14" s="133">
        <v>10128</v>
      </c>
      <c r="X14" s="133"/>
      <c r="Y14" s="61">
        <v>10962</v>
      </c>
      <c r="Z14" s="61">
        <v>15427</v>
      </c>
      <c r="AA14" s="61">
        <v>16623</v>
      </c>
      <c r="AB14" s="61">
        <v>16967</v>
      </c>
      <c r="AC14" s="61">
        <v>28230</v>
      </c>
      <c r="AD14" s="61">
        <v>10966</v>
      </c>
      <c r="AE14" s="61">
        <v>10965</v>
      </c>
      <c r="AF14" s="61">
        <v>21809</v>
      </c>
      <c r="AG14" s="133">
        <v>11966</v>
      </c>
      <c r="AH14" s="133"/>
      <c r="AI14" s="133">
        <v>11089</v>
      </c>
      <c r="AJ14" s="133"/>
      <c r="AK14" s="61">
        <v>10960</v>
      </c>
      <c r="AL14" s="61">
        <v>10961</v>
      </c>
      <c r="AM14" s="61">
        <v>33442</v>
      </c>
      <c r="AN14" s="61">
        <v>10959</v>
      </c>
      <c r="AO14" s="133">
        <v>12487</v>
      </c>
      <c r="AP14" s="133"/>
      <c r="AQ14" s="61">
        <v>16823</v>
      </c>
      <c r="AR14" s="23">
        <v>11342</v>
      </c>
      <c r="AS14" s="23">
        <v>11342</v>
      </c>
    </row>
    <row r="15" spans="2:45" s="10" customFormat="1" ht="17.25" x14ac:dyDescent="0.25">
      <c r="B15" s="85"/>
      <c r="C15" s="24"/>
      <c r="D15" s="25"/>
      <c r="E15" s="24"/>
      <c r="F15" s="26"/>
      <c r="G15" s="26"/>
      <c r="H15" s="25"/>
      <c r="I15" s="27" t="s">
        <v>36</v>
      </c>
      <c r="J15" s="28" t="s">
        <v>37</v>
      </c>
      <c r="K15" s="27" t="s">
        <v>36</v>
      </c>
      <c r="L15" s="28" t="s">
        <v>37</v>
      </c>
      <c r="M15" s="28" t="s">
        <v>36</v>
      </c>
      <c r="N15" s="28" t="s">
        <v>37</v>
      </c>
      <c r="O15" s="28" t="s">
        <v>36</v>
      </c>
      <c r="P15" s="28" t="s">
        <v>37</v>
      </c>
      <c r="Q15" s="28" t="s">
        <v>36</v>
      </c>
      <c r="R15" s="28" t="s">
        <v>37</v>
      </c>
      <c r="S15" s="28" t="s">
        <v>36</v>
      </c>
      <c r="T15" s="28" t="s">
        <v>37</v>
      </c>
      <c r="U15" s="28" t="s">
        <v>36</v>
      </c>
      <c r="V15" s="28" t="s">
        <v>37</v>
      </c>
      <c r="W15" s="28" t="s">
        <v>37</v>
      </c>
      <c r="X15" s="28" t="s">
        <v>37</v>
      </c>
      <c r="Y15" s="28" t="s">
        <v>36</v>
      </c>
      <c r="Z15" s="28" t="s">
        <v>36</v>
      </c>
      <c r="AA15" s="28" t="s">
        <v>36</v>
      </c>
      <c r="AB15" s="28" t="s">
        <v>36</v>
      </c>
      <c r="AC15" s="28" t="s">
        <v>36</v>
      </c>
      <c r="AD15" s="28" t="s">
        <v>36</v>
      </c>
      <c r="AE15" s="28" t="s">
        <v>36</v>
      </c>
      <c r="AF15" s="28" t="s">
        <v>36</v>
      </c>
      <c r="AG15" s="28" t="s">
        <v>36</v>
      </c>
      <c r="AH15" s="28" t="s">
        <v>36</v>
      </c>
      <c r="AI15" s="28" t="s">
        <v>36</v>
      </c>
      <c r="AJ15" s="28" t="s">
        <v>36</v>
      </c>
      <c r="AK15" s="28" t="s">
        <v>38</v>
      </c>
      <c r="AL15" s="28" t="s">
        <v>38</v>
      </c>
      <c r="AM15" s="28" t="s">
        <v>38</v>
      </c>
      <c r="AN15" s="28" t="s">
        <v>38</v>
      </c>
      <c r="AO15" s="28" t="s">
        <v>38</v>
      </c>
      <c r="AP15" s="28" t="s">
        <v>38</v>
      </c>
      <c r="AQ15" s="28" t="s">
        <v>38</v>
      </c>
      <c r="AR15" s="29" t="s">
        <v>36</v>
      </c>
      <c r="AS15" s="29" t="s">
        <v>36</v>
      </c>
    </row>
    <row r="16" spans="2:45" s="34" customFormat="1" ht="30" customHeight="1" x14ac:dyDescent="0.25">
      <c r="B16" s="30" t="s">
        <v>60</v>
      </c>
      <c r="C16" s="31"/>
      <c r="D16" s="31">
        <f t="shared" ref="D16:D17" si="0">C16/208*25</f>
        <v>0</v>
      </c>
      <c r="E16" s="31"/>
      <c r="F16" s="31"/>
      <c r="G16" s="31"/>
      <c r="H16" s="31"/>
      <c r="I16" s="31"/>
      <c r="J16" s="31">
        <f>I16/200*25</f>
        <v>0</v>
      </c>
      <c r="K16" s="31">
        <v>20000</v>
      </c>
      <c r="L16" s="31">
        <f>K16/200*25</f>
        <v>2500</v>
      </c>
      <c r="M16" s="31">
        <f>100*215</f>
        <v>21500</v>
      </c>
      <c r="N16" s="31">
        <f>M16/215*25</f>
        <v>2500</v>
      </c>
      <c r="O16" s="31"/>
      <c r="P16" s="31">
        <f>O16/150*25</f>
        <v>0</v>
      </c>
      <c r="Q16" s="31"/>
      <c r="R16" s="31"/>
      <c r="S16" s="31"/>
      <c r="T16" s="31"/>
      <c r="U16" s="31"/>
      <c r="V16" s="31">
        <f>U16/38*25</f>
        <v>0</v>
      </c>
      <c r="W16" s="32">
        <f>600*25</f>
        <v>15000</v>
      </c>
      <c r="X16" s="32">
        <v>0</v>
      </c>
      <c r="Y16" s="31"/>
      <c r="Z16" s="31"/>
      <c r="AA16" s="31"/>
      <c r="AB16" s="31"/>
      <c r="AC16" s="31"/>
      <c r="AD16" s="31"/>
      <c r="AE16" s="31">
        <v>17750</v>
      </c>
      <c r="AF16" s="31"/>
      <c r="AG16" s="32">
        <v>1000</v>
      </c>
      <c r="AH16" s="32">
        <v>1000</v>
      </c>
      <c r="AI16" s="31">
        <v>40</v>
      </c>
      <c r="AJ16" s="31"/>
      <c r="AK16" s="31">
        <v>9000</v>
      </c>
      <c r="AL16" s="31"/>
      <c r="AM16" s="31"/>
      <c r="AN16" s="31"/>
      <c r="AO16" s="32">
        <v>10000</v>
      </c>
      <c r="AP16" s="32"/>
      <c r="AQ16" s="31"/>
      <c r="AR16" s="31"/>
      <c r="AS16" s="33"/>
    </row>
    <row r="17" spans="2:45" s="34" customFormat="1" ht="30" customHeight="1" x14ac:dyDescent="0.25">
      <c r="B17" s="30" t="s">
        <v>61</v>
      </c>
      <c r="C17" s="31"/>
      <c r="D17" s="31">
        <f t="shared" si="0"/>
        <v>0</v>
      </c>
      <c r="E17" s="31"/>
      <c r="F17" s="31"/>
      <c r="G17" s="31"/>
      <c r="H17" s="31"/>
      <c r="I17" s="31"/>
      <c r="J17" s="31">
        <f>I17/200*25</f>
        <v>0</v>
      </c>
      <c r="K17" s="31">
        <f>75*200</f>
        <v>15000</v>
      </c>
      <c r="L17" s="31">
        <f>K17/200*25</f>
        <v>1875</v>
      </c>
      <c r="M17" s="31">
        <f>75*215</f>
        <v>16125</v>
      </c>
      <c r="N17" s="31">
        <f>M17/215*25</f>
        <v>1875</v>
      </c>
      <c r="O17" s="31"/>
      <c r="P17" s="31">
        <f>O17/150*25</f>
        <v>0</v>
      </c>
      <c r="Q17" s="31"/>
      <c r="R17" s="31"/>
      <c r="S17" s="31"/>
      <c r="T17" s="31"/>
      <c r="U17" s="31"/>
      <c r="V17" s="31">
        <f>U17/38*25</f>
        <v>0</v>
      </c>
      <c r="W17" s="32">
        <v>15000</v>
      </c>
      <c r="X17" s="32">
        <v>0</v>
      </c>
      <c r="Y17" s="31"/>
      <c r="Z17" s="31"/>
      <c r="AA17" s="31"/>
      <c r="AB17" s="31"/>
      <c r="AC17" s="31"/>
      <c r="AD17" s="31"/>
      <c r="AE17" s="31">
        <v>14500</v>
      </c>
      <c r="AF17" s="31"/>
      <c r="AG17" s="32">
        <v>1000</v>
      </c>
      <c r="AH17" s="32">
        <v>1000</v>
      </c>
      <c r="AI17" s="31">
        <v>120</v>
      </c>
      <c r="AJ17" s="31"/>
      <c r="AK17" s="31">
        <v>5400</v>
      </c>
      <c r="AL17" s="31"/>
      <c r="AM17" s="31"/>
      <c r="AN17" s="31"/>
      <c r="AO17" s="32">
        <v>5000</v>
      </c>
      <c r="AP17" s="32"/>
      <c r="AQ17" s="31">
        <v>600</v>
      </c>
      <c r="AR17" s="31"/>
      <c r="AS17" s="33"/>
    </row>
    <row r="18" spans="2:45" s="34" customFormat="1" ht="30" customHeight="1" x14ac:dyDescent="0.25">
      <c r="B18" s="35" t="s">
        <v>39</v>
      </c>
      <c r="C18" s="36" t="e">
        <f>SUM(#REF!)</f>
        <v>#REF!</v>
      </c>
      <c r="D18" s="36" t="e">
        <f>SUM(#REF!)</f>
        <v>#REF!</v>
      </c>
      <c r="E18" s="36" t="e">
        <f>#REF!+#REF!+#REF!+#REF!+#REF!</f>
        <v>#REF!</v>
      </c>
      <c r="F18" s="36" t="e">
        <f>#REF!+#REF!+#REF!+#REF!+#REF!</f>
        <v>#REF!</v>
      </c>
      <c r="G18" s="36" t="e">
        <f>#REF!+#REF!+#REF!+#REF!+#REF!</f>
        <v>#REF!</v>
      </c>
      <c r="H18" s="36" t="e">
        <f>#REF!+#REF!+#REF!+#REF!+#REF!</f>
        <v>#REF!</v>
      </c>
      <c r="I18" s="36" t="e">
        <f>SUM(#REF!)</f>
        <v>#REF!</v>
      </c>
      <c r="J18" s="36" t="e">
        <f>SUM(#REF!)</f>
        <v>#REF!</v>
      </c>
      <c r="K18" s="36">
        <f t="shared" ref="K18:AS18" si="1">SUM(K16:K17)</f>
        <v>35000</v>
      </c>
      <c r="L18" s="36">
        <f t="shared" si="1"/>
        <v>4375</v>
      </c>
      <c r="M18" s="36">
        <f t="shared" si="1"/>
        <v>37625</v>
      </c>
      <c r="N18" s="36">
        <f t="shared" si="1"/>
        <v>4375</v>
      </c>
      <c r="O18" s="36">
        <f t="shared" si="1"/>
        <v>0</v>
      </c>
      <c r="P18" s="36">
        <f t="shared" si="1"/>
        <v>0</v>
      </c>
      <c r="Q18" s="36">
        <f t="shared" si="1"/>
        <v>0</v>
      </c>
      <c r="R18" s="36">
        <f t="shared" si="1"/>
        <v>0</v>
      </c>
      <c r="S18" s="36">
        <f t="shared" si="1"/>
        <v>0</v>
      </c>
      <c r="T18" s="36">
        <f t="shared" si="1"/>
        <v>0</v>
      </c>
      <c r="U18" s="36">
        <f t="shared" si="1"/>
        <v>0</v>
      </c>
      <c r="V18" s="36">
        <f t="shared" si="1"/>
        <v>0</v>
      </c>
      <c r="W18" s="36">
        <f t="shared" si="1"/>
        <v>30000</v>
      </c>
      <c r="X18" s="36">
        <f t="shared" si="1"/>
        <v>0</v>
      </c>
      <c r="Y18" s="36">
        <f t="shared" si="1"/>
        <v>0</v>
      </c>
      <c r="Z18" s="36">
        <f t="shared" si="1"/>
        <v>0</v>
      </c>
      <c r="AA18" s="36">
        <f t="shared" si="1"/>
        <v>0</v>
      </c>
      <c r="AB18" s="36">
        <f t="shared" si="1"/>
        <v>0</v>
      </c>
      <c r="AC18" s="36">
        <f t="shared" si="1"/>
        <v>0</v>
      </c>
      <c r="AD18" s="36">
        <f t="shared" si="1"/>
        <v>0</v>
      </c>
      <c r="AE18" s="36">
        <f t="shared" si="1"/>
        <v>32250</v>
      </c>
      <c r="AF18" s="36">
        <f t="shared" si="1"/>
        <v>0</v>
      </c>
      <c r="AG18" s="36">
        <f t="shared" si="1"/>
        <v>2000</v>
      </c>
      <c r="AH18" s="36">
        <f t="shared" si="1"/>
        <v>2000</v>
      </c>
      <c r="AI18" s="36">
        <f t="shared" si="1"/>
        <v>160</v>
      </c>
      <c r="AJ18" s="36">
        <f t="shared" si="1"/>
        <v>0</v>
      </c>
      <c r="AK18" s="36">
        <f t="shared" si="1"/>
        <v>14400</v>
      </c>
      <c r="AL18" s="36">
        <f t="shared" si="1"/>
        <v>0</v>
      </c>
      <c r="AM18" s="36">
        <f t="shared" si="1"/>
        <v>0</v>
      </c>
      <c r="AN18" s="36">
        <f t="shared" si="1"/>
        <v>0</v>
      </c>
      <c r="AO18" s="36">
        <f t="shared" si="1"/>
        <v>15000</v>
      </c>
      <c r="AP18" s="36">
        <f t="shared" si="1"/>
        <v>0</v>
      </c>
      <c r="AQ18" s="36">
        <f t="shared" si="1"/>
        <v>600</v>
      </c>
      <c r="AR18" s="36">
        <f t="shared" si="1"/>
        <v>0</v>
      </c>
      <c r="AS18" s="36">
        <f t="shared" si="1"/>
        <v>0</v>
      </c>
    </row>
    <row r="19" spans="2:45" s="38" customFormat="1" ht="30" customHeight="1" thickBot="1" x14ac:dyDescent="0.3">
      <c r="B19" s="37" t="s">
        <v>40</v>
      </c>
      <c r="C19" s="62" t="e">
        <f>C18</f>
        <v>#REF!</v>
      </c>
      <c r="D19" s="62" t="e">
        <f>D18</f>
        <v>#REF!</v>
      </c>
      <c r="E19" s="62" t="e">
        <f>#REF!+#REF!+#REF!+#REF!+#REF!</f>
        <v>#REF!</v>
      </c>
      <c r="F19" s="62" t="e">
        <f>#REF!+#REF!+#REF!+#REF!+#REF!</f>
        <v>#REF!</v>
      </c>
      <c r="G19" s="62" t="e">
        <f>#REF!+#REF!+#REF!+#REF!+#REF!</f>
        <v>#REF!</v>
      </c>
      <c r="H19" s="62" t="e">
        <f>#REF!+#REF!+#REF!+#REF!+#REF!</f>
        <v>#REF!</v>
      </c>
      <c r="I19" s="62" t="e">
        <f t="shared" ref="I19:V19" si="2">I18</f>
        <v>#REF!</v>
      </c>
      <c r="J19" s="62" t="e">
        <f t="shared" si="2"/>
        <v>#REF!</v>
      </c>
      <c r="K19" s="62">
        <f t="shared" si="2"/>
        <v>35000</v>
      </c>
      <c r="L19" s="62">
        <f t="shared" si="2"/>
        <v>4375</v>
      </c>
      <c r="M19" s="62">
        <f t="shared" si="2"/>
        <v>37625</v>
      </c>
      <c r="N19" s="62">
        <f t="shared" si="2"/>
        <v>4375</v>
      </c>
      <c r="O19" s="62">
        <f t="shared" si="2"/>
        <v>0</v>
      </c>
      <c r="P19" s="62">
        <f t="shared" si="2"/>
        <v>0</v>
      </c>
      <c r="Q19" s="62">
        <f t="shared" si="2"/>
        <v>0</v>
      </c>
      <c r="R19" s="62">
        <f t="shared" si="2"/>
        <v>0</v>
      </c>
      <c r="S19" s="62">
        <f t="shared" si="2"/>
        <v>0</v>
      </c>
      <c r="T19" s="62">
        <f t="shared" si="2"/>
        <v>0</v>
      </c>
      <c r="U19" s="62">
        <f t="shared" si="2"/>
        <v>0</v>
      </c>
      <c r="V19" s="62">
        <f t="shared" si="2"/>
        <v>0</v>
      </c>
      <c r="W19" s="134">
        <f>W18+X18</f>
        <v>30000</v>
      </c>
      <c r="X19" s="134"/>
      <c r="Y19" s="62">
        <f t="shared" ref="Y19:AK19" si="3">Y18</f>
        <v>0</v>
      </c>
      <c r="Z19" s="62">
        <f>Z18</f>
        <v>0</v>
      </c>
      <c r="AA19" s="62">
        <f>AA18</f>
        <v>0</v>
      </c>
      <c r="AB19" s="62">
        <f t="shared" ref="AB19:AC19" si="4">AB18</f>
        <v>0</v>
      </c>
      <c r="AC19" s="62">
        <f t="shared" si="4"/>
        <v>0</v>
      </c>
      <c r="AD19" s="62">
        <f t="shared" si="3"/>
        <v>0</v>
      </c>
      <c r="AE19" s="62">
        <f>AE18</f>
        <v>32250</v>
      </c>
      <c r="AF19" s="62">
        <f>AF18</f>
        <v>0</v>
      </c>
      <c r="AG19" s="134">
        <f>AG18+AH18</f>
        <v>4000</v>
      </c>
      <c r="AH19" s="134"/>
      <c r="AI19" s="134">
        <f>AI18+AJ18</f>
        <v>160</v>
      </c>
      <c r="AJ19" s="134"/>
      <c r="AK19" s="62">
        <f t="shared" si="3"/>
        <v>14400</v>
      </c>
      <c r="AL19" s="62">
        <f>AL18</f>
        <v>0</v>
      </c>
      <c r="AM19" s="62">
        <f t="shared" ref="AM19:AN19" si="5">AM18</f>
        <v>0</v>
      </c>
      <c r="AN19" s="62">
        <f t="shared" si="5"/>
        <v>0</v>
      </c>
      <c r="AO19" s="134">
        <f>AO18+AP18</f>
        <v>15000</v>
      </c>
      <c r="AP19" s="134"/>
      <c r="AQ19" s="62">
        <f>AQ18</f>
        <v>600</v>
      </c>
      <c r="AR19" s="134">
        <f>AR18+AS18</f>
        <v>0</v>
      </c>
      <c r="AS19" s="135"/>
    </row>
    <row r="20" spans="2:45" x14ac:dyDescent="0.25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</row>
    <row r="21" spans="2:45" x14ac:dyDescent="0.25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</row>
    <row r="22" spans="2:45" x14ac:dyDescent="0.25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</row>
    <row r="23" spans="2:45" s="42" customFormat="1" ht="19.5" x14ac:dyDescent="0.3">
      <c r="B23" s="42" t="s">
        <v>41</v>
      </c>
      <c r="C23" s="43"/>
      <c r="N23" s="42" t="s">
        <v>42</v>
      </c>
      <c r="AG23" s="42" t="s">
        <v>43</v>
      </c>
      <c r="AM23" s="42" t="s">
        <v>44</v>
      </c>
    </row>
    <row r="24" spans="2:45" s="42" customFormat="1" ht="24.75" customHeight="1" x14ac:dyDescent="0.3">
      <c r="C24" s="43"/>
      <c r="N24" s="43"/>
    </row>
    <row r="25" spans="2:45" s="42" customFormat="1" ht="19.5" x14ac:dyDescent="0.3">
      <c r="B25" s="43"/>
      <c r="C25" s="43"/>
      <c r="N25" s="43"/>
    </row>
    <row r="26" spans="2:45" s="42" customFormat="1" ht="19.5" x14ac:dyDescent="0.3">
      <c r="B26" s="44" t="s">
        <v>45</v>
      </c>
      <c r="C26" s="43"/>
      <c r="N26" s="45" t="s">
        <v>46</v>
      </c>
      <c r="AG26" s="45" t="s">
        <v>47</v>
      </c>
      <c r="AM26" s="45" t="s">
        <v>48</v>
      </c>
      <c r="AN26" s="46"/>
    </row>
    <row r="27" spans="2:45" s="42" customFormat="1" ht="19.5" x14ac:dyDescent="0.3">
      <c r="B27" s="42" t="s">
        <v>51</v>
      </c>
      <c r="N27" s="42" t="s">
        <v>49</v>
      </c>
      <c r="AG27" s="42" t="s">
        <v>50</v>
      </c>
      <c r="AM27" s="47" t="s">
        <v>54</v>
      </c>
      <c r="AN27" s="47"/>
    </row>
    <row r="28" spans="2:45" s="48" customFormat="1" ht="20.25" x14ac:dyDescent="0.3"/>
    <row r="29" spans="2:45" x14ac:dyDescent="0.25">
      <c r="B29" s="41"/>
      <c r="AA29" s="7"/>
      <c r="AB29" s="7"/>
      <c r="AC29" s="7"/>
      <c r="AD29" s="7"/>
      <c r="AE29" s="7"/>
      <c r="AF29" s="7"/>
    </row>
    <row r="30" spans="2:45" s="49" customFormat="1" x14ac:dyDescent="0.25">
      <c r="AA30" s="50"/>
      <c r="AB30" s="50"/>
      <c r="AC30" s="50"/>
      <c r="AD30" s="50"/>
      <c r="AE30" s="50"/>
      <c r="AF30" s="50"/>
    </row>
    <row r="31" spans="2:45" x14ac:dyDescent="0.25"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63"/>
      <c r="V31" s="63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</row>
    <row r="32" spans="2:45" x14ac:dyDescent="0.25"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2:44" x14ac:dyDescent="0.25"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2:44" x14ac:dyDescent="0.25">
      <c r="B34" s="41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2:44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2:44" x14ac:dyDescent="0.25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2:44" x14ac:dyDescent="0.25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2:44" x14ac:dyDescent="0.25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2:44" x14ac:dyDescent="0.25">
      <c r="B39" s="41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2:44" x14ac:dyDescent="0.25">
      <c r="B40" s="41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2:44" x14ac:dyDescent="0.25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2:44" x14ac:dyDescent="0.25"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2:44" x14ac:dyDescent="0.25"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2:44" x14ac:dyDescent="0.25"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2:44" x14ac:dyDescent="0.25"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2:44" x14ac:dyDescent="0.25">
      <c r="B46" s="41"/>
      <c r="AJ46" s="40"/>
    </row>
    <row r="52" spans="2:2" x14ac:dyDescent="0.25">
      <c r="B52" s="41"/>
    </row>
  </sheetData>
  <mergeCells count="70">
    <mergeCell ref="B1:AN1"/>
    <mergeCell ref="B2:AN2"/>
    <mergeCell ref="B5:AN5"/>
    <mergeCell ref="B6:AN6"/>
    <mergeCell ref="B9:B15"/>
    <mergeCell ref="C9:D9"/>
    <mergeCell ref="I9:L10"/>
    <mergeCell ref="M9:V10"/>
    <mergeCell ref="W9:W10"/>
    <mergeCell ref="X9:X10"/>
    <mergeCell ref="AK9:AO10"/>
    <mergeCell ref="AK11:AN11"/>
    <mergeCell ref="AO11:AP13"/>
    <mergeCell ref="AI12:AJ13"/>
    <mergeCell ref="AK12:AN12"/>
    <mergeCell ref="I13:J13"/>
    <mergeCell ref="AP9:AP10"/>
    <mergeCell ref="AQ9:AS10"/>
    <mergeCell ref="C10:D10"/>
    <mergeCell ref="E10:F10"/>
    <mergeCell ref="G10:H10"/>
    <mergeCell ref="Y9:AC10"/>
    <mergeCell ref="AD9:AF10"/>
    <mergeCell ref="AG9:AG10"/>
    <mergeCell ref="AH9:AH10"/>
    <mergeCell ref="AI9:AI10"/>
    <mergeCell ref="AJ9:AJ10"/>
    <mergeCell ref="AQ11:AQ13"/>
    <mergeCell ref="AR11:AS13"/>
    <mergeCell ref="C12:D12"/>
    <mergeCell ref="I12:J12"/>
    <mergeCell ref="K12:L12"/>
    <mergeCell ref="M12:N12"/>
    <mergeCell ref="O12:P12"/>
    <mergeCell ref="Q12:R12"/>
    <mergeCell ref="C11:D11"/>
    <mergeCell ref="E11:F11"/>
    <mergeCell ref="G11:H11"/>
    <mergeCell ref="I11:V11"/>
    <mergeCell ref="W11:X13"/>
    <mergeCell ref="Y11:AJ11"/>
    <mergeCell ref="AD12:AF12"/>
    <mergeCell ref="AG12:AH13"/>
    <mergeCell ref="U14:V14"/>
    <mergeCell ref="K13:L13"/>
    <mergeCell ref="M13:N13"/>
    <mergeCell ref="O13:P13"/>
    <mergeCell ref="Q13:R13"/>
    <mergeCell ref="S13:T13"/>
    <mergeCell ref="S12:T12"/>
    <mergeCell ref="U12:V12"/>
    <mergeCell ref="Y12:Z12"/>
    <mergeCell ref="AA12:AB12"/>
    <mergeCell ref="U13:V13"/>
    <mergeCell ref="AR19:AS19"/>
    <mergeCell ref="B31:T31"/>
    <mergeCell ref="W14:X14"/>
    <mergeCell ref="AG14:AH14"/>
    <mergeCell ref="AI14:AJ14"/>
    <mergeCell ref="AO14:AP14"/>
    <mergeCell ref="W19:X19"/>
    <mergeCell ref="AG19:AH19"/>
    <mergeCell ref="AI19:AJ19"/>
    <mergeCell ref="AO19:AP19"/>
    <mergeCell ref="I14:J14"/>
    <mergeCell ref="K14:L14"/>
    <mergeCell ref="M14:N14"/>
    <mergeCell ref="O14:P14"/>
    <mergeCell ref="Q14:R14"/>
    <mergeCell ref="S14:T14"/>
  </mergeCells>
  <pageMargins left="0.39370078740157483" right="0.27559055118110237" top="0.47244094488188981" bottom="0.15748031496062992" header="0.31496062992125984" footer="0.19685039370078741"/>
  <pageSetup paperSize="14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2"/>
  <sheetViews>
    <sheetView workbookViewId="0">
      <selection activeCell="W17" sqref="W17"/>
    </sheetView>
  </sheetViews>
  <sheetFormatPr defaultRowHeight="15" x14ac:dyDescent="0.25"/>
  <cols>
    <col min="1" max="1" width="0.7109375" style="41" customWidth="1"/>
    <col min="2" max="2" width="24.5703125" style="51" customWidth="1"/>
    <col min="3" max="3" width="5.42578125" style="41" hidden="1" customWidth="1"/>
    <col min="4" max="4" width="6.28515625" style="41" hidden="1" customWidth="1"/>
    <col min="5" max="5" width="5.5703125" style="41" hidden="1" customWidth="1"/>
    <col min="6" max="6" width="5.28515625" style="41" hidden="1" customWidth="1"/>
    <col min="7" max="7" width="5.5703125" style="41" hidden="1" customWidth="1"/>
    <col min="8" max="8" width="5.28515625" style="41" hidden="1" customWidth="1"/>
    <col min="9" max="9" width="8.140625" style="41" hidden="1" customWidth="1"/>
    <col min="10" max="10" width="8.7109375" style="41" hidden="1" customWidth="1"/>
    <col min="11" max="11" width="8.140625" style="41" customWidth="1"/>
    <col min="12" max="12" width="8.7109375" style="41" customWidth="1"/>
    <col min="13" max="13" width="10.42578125" style="41" customWidth="1"/>
    <col min="14" max="14" width="7.85546875" style="41" bestFit="1" customWidth="1"/>
    <col min="15" max="15" width="6.42578125" style="41" hidden="1" customWidth="1"/>
    <col min="16" max="16" width="7.5703125" style="41" hidden="1" customWidth="1"/>
    <col min="17" max="17" width="5.7109375" style="41" hidden="1" customWidth="1"/>
    <col min="18" max="18" width="9.28515625" style="41" hidden="1" customWidth="1"/>
    <col min="19" max="19" width="4.42578125" style="41" hidden="1" customWidth="1"/>
    <col min="20" max="20" width="5" style="41" hidden="1" customWidth="1"/>
    <col min="21" max="21" width="7.5703125" style="41" hidden="1" customWidth="1"/>
    <col min="22" max="22" width="7.28515625" style="41" hidden="1" customWidth="1"/>
    <col min="23" max="23" width="9" style="41" customWidth="1"/>
    <col min="24" max="24" width="7.42578125" style="41" customWidth="1"/>
    <col min="25" max="25" width="7" style="41" hidden="1" customWidth="1"/>
    <col min="26" max="26" width="7.7109375" style="41" hidden="1" customWidth="1"/>
    <col min="27" max="27" width="7.7109375" style="41" bestFit="1" customWidth="1"/>
    <col min="28" max="28" width="7" style="41" customWidth="1"/>
    <col min="29" max="29" width="9.42578125" style="41" hidden="1" customWidth="1"/>
    <col min="30" max="30" width="8.140625" style="41" customWidth="1"/>
    <col min="31" max="31" width="8.85546875" style="41" customWidth="1"/>
    <col min="32" max="32" width="7.85546875" style="41" customWidth="1"/>
    <col min="33" max="33" width="9.42578125" style="41" customWidth="1"/>
    <col min="34" max="34" width="8.85546875" style="41" customWidth="1"/>
    <col min="35" max="35" width="8.5703125" style="41" customWidth="1"/>
    <col min="36" max="36" width="8" style="41" customWidth="1"/>
    <col min="37" max="37" width="9.5703125" style="41" customWidth="1"/>
    <col min="38" max="38" width="9" style="41" customWidth="1"/>
    <col min="39" max="39" width="9.7109375" style="41" customWidth="1"/>
    <col min="40" max="40" width="8.28515625" style="41" customWidth="1"/>
    <col min="41" max="41" width="9" style="41" customWidth="1"/>
    <col min="42" max="42" width="8.42578125" style="41" customWidth="1"/>
    <col min="43" max="43" width="7.5703125" style="41" customWidth="1"/>
    <col min="44" max="44" width="9" style="41" customWidth="1"/>
    <col min="45" max="45" width="8.140625" style="41" customWidth="1"/>
    <col min="46" max="16384" width="9.140625" style="41"/>
  </cols>
  <sheetData>
    <row r="1" spans="2:45" s="1" customFormat="1" ht="18.75" customHeight="1" x14ac:dyDescent="0.3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69"/>
      <c r="AP1" s="69"/>
      <c r="AQ1" s="69"/>
      <c r="AR1" s="69"/>
    </row>
    <row r="2" spans="2:45" s="1" customFormat="1" ht="20.25" x14ac:dyDescent="0.3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69"/>
      <c r="AP2" s="69"/>
      <c r="AQ2" s="69"/>
      <c r="AR2" s="69"/>
    </row>
    <row r="3" spans="2:45" s="1" customFormat="1" ht="12.75" customHeight="1" x14ac:dyDescent="0.3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2"/>
      <c r="AK3" s="69"/>
      <c r="AL3" s="69"/>
      <c r="AM3" s="69"/>
      <c r="AN3" s="69"/>
      <c r="AO3" s="69"/>
      <c r="AP3" s="69"/>
      <c r="AQ3" s="69"/>
      <c r="AR3" s="69"/>
    </row>
    <row r="4" spans="2:45" s="1" customFormat="1" ht="12.75" customHeight="1" x14ac:dyDescent="0.3"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2"/>
      <c r="AK4" s="69"/>
      <c r="AL4" s="69"/>
      <c r="AM4" s="69"/>
      <c r="AN4" s="69"/>
      <c r="AO4" s="69"/>
      <c r="AP4" s="69"/>
      <c r="AQ4" s="69"/>
      <c r="AR4" s="69"/>
    </row>
    <row r="5" spans="2:45" s="1" customFormat="1" ht="20.25" x14ac:dyDescent="0.3"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69"/>
      <c r="AP5" s="69"/>
      <c r="AQ5" s="69"/>
      <c r="AR5" s="69"/>
    </row>
    <row r="6" spans="2:45" s="1" customFormat="1" ht="20.25" x14ac:dyDescent="0.3">
      <c r="B6" s="83" t="s">
        <v>62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69"/>
      <c r="AP6" s="69"/>
      <c r="AQ6" s="69"/>
      <c r="AR6" s="69"/>
    </row>
    <row r="7" spans="2:45" s="4" customFormat="1" ht="18.7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/>
      <c r="AL7" s="3"/>
      <c r="AM7" s="3"/>
      <c r="AN7" s="3"/>
      <c r="AO7" s="3"/>
      <c r="AP7" s="3"/>
      <c r="AQ7" s="3"/>
      <c r="AR7" s="3"/>
    </row>
    <row r="8" spans="2:45" s="7" customFormat="1" ht="6.75" customHeight="1" thickBot="1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K8" s="6"/>
      <c r="AL8" s="6"/>
      <c r="AM8" s="6"/>
      <c r="AN8" s="6"/>
      <c r="AO8" s="6"/>
      <c r="AP8" s="6"/>
      <c r="AQ8" s="6"/>
      <c r="AR8" s="6"/>
    </row>
    <row r="9" spans="2:45" s="9" customFormat="1" ht="18" customHeight="1" thickBot="1" x14ac:dyDescent="0.3">
      <c r="B9" s="84" t="s">
        <v>3</v>
      </c>
      <c r="C9" s="86" t="s">
        <v>4</v>
      </c>
      <c r="D9" s="87"/>
      <c r="E9" s="8"/>
      <c r="F9" s="8"/>
      <c r="G9" s="8"/>
      <c r="H9" s="8"/>
      <c r="I9" s="88" t="s">
        <v>5</v>
      </c>
      <c r="J9" s="89"/>
      <c r="K9" s="89"/>
      <c r="L9" s="90"/>
      <c r="M9" s="94" t="s">
        <v>6</v>
      </c>
      <c r="N9" s="89"/>
      <c r="O9" s="89"/>
      <c r="P9" s="89"/>
      <c r="Q9" s="89"/>
      <c r="R9" s="89"/>
      <c r="S9" s="89"/>
      <c r="T9" s="89"/>
      <c r="U9" s="89"/>
      <c r="V9" s="90"/>
      <c r="W9" s="96" t="s">
        <v>7</v>
      </c>
      <c r="X9" s="96" t="s">
        <v>8</v>
      </c>
      <c r="Y9" s="94" t="s">
        <v>5</v>
      </c>
      <c r="Z9" s="89"/>
      <c r="AA9" s="89"/>
      <c r="AB9" s="89"/>
      <c r="AC9" s="90"/>
      <c r="AD9" s="94" t="s">
        <v>6</v>
      </c>
      <c r="AE9" s="89"/>
      <c r="AF9" s="90"/>
      <c r="AG9" s="96" t="s">
        <v>9</v>
      </c>
      <c r="AH9" s="96" t="s">
        <v>8</v>
      </c>
      <c r="AI9" s="96" t="s">
        <v>6</v>
      </c>
      <c r="AJ9" s="96" t="s">
        <v>8</v>
      </c>
      <c r="AK9" s="98" t="s">
        <v>6</v>
      </c>
      <c r="AL9" s="99"/>
      <c r="AM9" s="99"/>
      <c r="AN9" s="99"/>
      <c r="AO9" s="100"/>
      <c r="AP9" s="96" t="s">
        <v>8</v>
      </c>
      <c r="AQ9" s="98" t="s">
        <v>9</v>
      </c>
      <c r="AR9" s="99"/>
      <c r="AS9" s="110"/>
    </row>
    <row r="10" spans="2:45" s="10" customFormat="1" ht="34.5" customHeight="1" thickBot="1" x14ac:dyDescent="0.3">
      <c r="B10" s="85"/>
      <c r="C10" s="112" t="s">
        <v>10</v>
      </c>
      <c r="D10" s="113"/>
      <c r="E10" s="112" t="s">
        <v>11</v>
      </c>
      <c r="F10" s="114"/>
      <c r="G10" s="114" t="s">
        <v>12</v>
      </c>
      <c r="H10" s="115"/>
      <c r="I10" s="91"/>
      <c r="J10" s="92"/>
      <c r="K10" s="92"/>
      <c r="L10" s="93"/>
      <c r="M10" s="95"/>
      <c r="N10" s="92"/>
      <c r="O10" s="92"/>
      <c r="P10" s="92"/>
      <c r="Q10" s="92"/>
      <c r="R10" s="92"/>
      <c r="S10" s="92"/>
      <c r="T10" s="92"/>
      <c r="U10" s="92"/>
      <c r="V10" s="93"/>
      <c r="W10" s="97"/>
      <c r="X10" s="97"/>
      <c r="Y10" s="95"/>
      <c r="Z10" s="92"/>
      <c r="AA10" s="92"/>
      <c r="AB10" s="92"/>
      <c r="AC10" s="93"/>
      <c r="AD10" s="95"/>
      <c r="AE10" s="92"/>
      <c r="AF10" s="93"/>
      <c r="AG10" s="97"/>
      <c r="AH10" s="97"/>
      <c r="AI10" s="97"/>
      <c r="AJ10" s="97"/>
      <c r="AK10" s="101"/>
      <c r="AL10" s="102"/>
      <c r="AM10" s="102"/>
      <c r="AN10" s="102"/>
      <c r="AO10" s="103"/>
      <c r="AP10" s="97"/>
      <c r="AQ10" s="101"/>
      <c r="AR10" s="102"/>
      <c r="AS10" s="111"/>
    </row>
    <row r="11" spans="2:45" s="10" customFormat="1" ht="24.95" customHeight="1" x14ac:dyDescent="0.25">
      <c r="B11" s="85"/>
      <c r="C11" s="125" t="s">
        <v>13</v>
      </c>
      <c r="D11" s="126"/>
      <c r="E11" s="125" t="s">
        <v>14</v>
      </c>
      <c r="F11" s="127"/>
      <c r="G11" s="127" t="s">
        <v>15</v>
      </c>
      <c r="H11" s="128"/>
      <c r="I11" s="129" t="s">
        <v>16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30"/>
      <c r="W11" s="131" t="s">
        <v>17</v>
      </c>
      <c r="X11" s="131"/>
      <c r="Y11" s="132" t="s">
        <v>18</v>
      </c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04" t="s">
        <v>19</v>
      </c>
      <c r="AL11" s="104"/>
      <c r="AM11" s="104"/>
      <c r="AN11" s="104"/>
      <c r="AO11" s="105" t="s">
        <v>20</v>
      </c>
      <c r="AP11" s="105"/>
      <c r="AQ11" s="116" t="s">
        <v>21</v>
      </c>
      <c r="AR11" s="117" t="s">
        <v>22</v>
      </c>
      <c r="AS11" s="118"/>
    </row>
    <row r="12" spans="2:45" s="10" customFormat="1" ht="36" customHeight="1" x14ac:dyDescent="0.25">
      <c r="B12" s="85"/>
      <c r="C12" s="123">
        <v>11083</v>
      </c>
      <c r="D12" s="124"/>
      <c r="E12" s="11"/>
      <c r="F12" s="12"/>
      <c r="G12" s="12"/>
      <c r="H12" s="13"/>
      <c r="I12" s="109">
        <v>200</v>
      </c>
      <c r="J12" s="105"/>
      <c r="K12" s="109">
        <v>200</v>
      </c>
      <c r="L12" s="105"/>
      <c r="M12" s="105">
        <v>215</v>
      </c>
      <c r="N12" s="105"/>
      <c r="O12" s="105">
        <v>135</v>
      </c>
      <c r="P12" s="105"/>
      <c r="Q12" s="105">
        <v>150</v>
      </c>
      <c r="R12" s="105"/>
      <c r="S12" s="105">
        <v>150</v>
      </c>
      <c r="T12" s="105"/>
      <c r="U12" s="105">
        <v>38</v>
      </c>
      <c r="V12" s="105"/>
      <c r="W12" s="131"/>
      <c r="X12" s="131"/>
      <c r="Y12" s="105" t="s">
        <v>23</v>
      </c>
      <c r="Z12" s="105"/>
      <c r="AA12" s="105" t="s">
        <v>24</v>
      </c>
      <c r="AB12" s="105"/>
      <c r="AC12" s="14" t="s">
        <v>25</v>
      </c>
      <c r="AD12" s="106" t="s">
        <v>26</v>
      </c>
      <c r="AE12" s="107"/>
      <c r="AF12" s="108"/>
      <c r="AG12" s="105" t="s">
        <v>27</v>
      </c>
      <c r="AH12" s="105"/>
      <c r="AI12" s="105" t="s">
        <v>28</v>
      </c>
      <c r="AJ12" s="105"/>
      <c r="AK12" s="106" t="s">
        <v>29</v>
      </c>
      <c r="AL12" s="107"/>
      <c r="AM12" s="107"/>
      <c r="AN12" s="108"/>
      <c r="AO12" s="105"/>
      <c r="AP12" s="105"/>
      <c r="AQ12" s="116"/>
      <c r="AR12" s="119"/>
      <c r="AS12" s="120"/>
    </row>
    <row r="13" spans="2:45" s="19" customFormat="1" ht="30" customHeight="1" thickBot="1" x14ac:dyDescent="0.3">
      <c r="B13" s="85"/>
      <c r="C13" s="15" t="s">
        <v>30</v>
      </c>
      <c r="D13" s="16" t="s">
        <v>31</v>
      </c>
      <c r="E13" s="15" t="s">
        <v>30</v>
      </c>
      <c r="F13" s="17" t="s">
        <v>31</v>
      </c>
      <c r="G13" s="17" t="s">
        <v>30</v>
      </c>
      <c r="H13" s="18" t="s">
        <v>31</v>
      </c>
      <c r="I13" s="109" t="s">
        <v>32</v>
      </c>
      <c r="J13" s="105"/>
      <c r="K13" s="109" t="s">
        <v>53</v>
      </c>
      <c r="L13" s="105"/>
      <c r="M13" s="105" t="s">
        <v>34</v>
      </c>
      <c r="N13" s="105"/>
      <c r="O13" s="105" t="s">
        <v>34</v>
      </c>
      <c r="P13" s="105"/>
      <c r="Q13" s="105" t="s">
        <v>33</v>
      </c>
      <c r="R13" s="105"/>
      <c r="S13" s="105" t="s">
        <v>35</v>
      </c>
      <c r="T13" s="105"/>
      <c r="U13" s="105" t="s">
        <v>34</v>
      </c>
      <c r="V13" s="105"/>
      <c r="W13" s="131"/>
      <c r="X13" s="131"/>
      <c r="Y13" s="67">
        <v>2.4</v>
      </c>
      <c r="Z13" s="67">
        <v>3.6</v>
      </c>
      <c r="AA13" s="67">
        <v>2.4</v>
      </c>
      <c r="AB13" s="67">
        <v>3.6</v>
      </c>
      <c r="AC13" s="67"/>
      <c r="AD13" s="67">
        <v>3.6</v>
      </c>
      <c r="AE13" s="67">
        <v>2.4</v>
      </c>
      <c r="AF13" s="67">
        <v>4.9000000000000004</v>
      </c>
      <c r="AG13" s="105"/>
      <c r="AH13" s="105"/>
      <c r="AI13" s="105"/>
      <c r="AJ13" s="105"/>
      <c r="AK13" s="67">
        <v>5</v>
      </c>
      <c r="AL13" s="67">
        <v>10</v>
      </c>
      <c r="AM13" s="68" t="s">
        <v>52</v>
      </c>
      <c r="AN13" s="67">
        <v>40</v>
      </c>
      <c r="AO13" s="105"/>
      <c r="AP13" s="105"/>
      <c r="AQ13" s="116"/>
      <c r="AR13" s="121"/>
      <c r="AS13" s="122"/>
    </row>
    <row r="14" spans="2:45" s="19" customFormat="1" ht="21.75" customHeight="1" x14ac:dyDescent="0.25">
      <c r="B14" s="85"/>
      <c r="C14" s="20"/>
      <c r="D14" s="21"/>
      <c r="E14" s="20"/>
      <c r="F14" s="22"/>
      <c r="G14" s="22"/>
      <c r="H14" s="21"/>
      <c r="I14" s="137">
        <v>31496</v>
      </c>
      <c r="J14" s="133"/>
      <c r="K14" s="137">
        <v>35245</v>
      </c>
      <c r="L14" s="133"/>
      <c r="M14" s="133">
        <v>11082</v>
      </c>
      <c r="N14" s="133"/>
      <c r="O14" s="133">
        <v>21810</v>
      </c>
      <c r="P14" s="133"/>
      <c r="Q14" s="133">
        <v>17362</v>
      </c>
      <c r="R14" s="133"/>
      <c r="S14" s="133">
        <v>18389</v>
      </c>
      <c r="T14" s="133"/>
      <c r="U14" s="133">
        <v>21811</v>
      </c>
      <c r="V14" s="133"/>
      <c r="W14" s="133">
        <v>10128</v>
      </c>
      <c r="X14" s="133"/>
      <c r="Y14" s="66">
        <v>10962</v>
      </c>
      <c r="Z14" s="66">
        <v>15427</v>
      </c>
      <c r="AA14" s="66">
        <v>16623</v>
      </c>
      <c r="AB14" s="66">
        <v>16967</v>
      </c>
      <c r="AC14" s="66">
        <v>28230</v>
      </c>
      <c r="AD14" s="66">
        <v>10966</v>
      </c>
      <c r="AE14" s="66">
        <v>10965</v>
      </c>
      <c r="AF14" s="66">
        <v>21809</v>
      </c>
      <c r="AG14" s="133">
        <v>11966</v>
      </c>
      <c r="AH14" s="133"/>
      <c r="AI14" s="133">
        <v>11089</v>
      </c>
      <c r="AJ14" s="133"/>
      <c r="AK14" s="66">
        <v>10960</v>
      </c>
      <c r="AL14" s="66">
        <v>10961</v>
      </c>
      <c r="AM14" s="66">
        <v>33442</v>
      </c>
      <c r="AN14" s="66">
        <v>10959</v>
      </c>
      <c r="AO14" s="133">
        <v>12487</v>
      </c>
      <c r="AP14" s="133"/>
      <c r="AQ14" s="66">
        <v>16823</v>
      </c>
      <c r="AR14" s="23">
        <v>11342</v>
      </c>
      <c r="AS14" s="23">
        <v>11342</v>
      </c>
    </row>
    <row r="15" spans="2:45" s="10" customFormat="1" ht="17.25" x14ac:dyDescent="0.25">
      <c r="B15" s="85"/>
      <c r="C15" s="24"/>
      <c r="D15" s="25"/>
      <c r="E15" s="24"/>
      <c r="F15" s="26"/>
      <c r="G15" s="26"/>
      <c r="H15" s="25"/>
      <c r="I15" s="27" t="s">
        <v>36</v>
      </c>
      <c r="J15" s="28" t="s">
        <v>37</v>
      </c>
      <c r="K15" s="27" t="s">
        <v>36</v>
      </c>
      <c r="L15" s="28" t="s">
        <v>37</v>
      </c>
      <c r="M15" s="28" t="s">
        <v>36</v>
      </c>
      <c r="N15" s="28" t="s">
        <v>37</v>
      </c>
      <c r="O15" s="28" t="s">
        <v>36</v>
      </c>
      <c r="P15" s="28" t="s">
        <v>37</v>
      </c>
      <c r="Q15" s="28" t="s">
        <v>36</v>
      </c>
      <c r="R15" s="28" t="s">
        <v>37</v>
      </c>
      <c r="S15" s="28" t="s">
        <v>36</v>
      </c>
      <c r="T15" s="28" t="s">
        <v>37</v>
      </c>
      <c r="U15" s="28" t="s">
        <v>36</v>
      </c>
      <c r="V15" s="28" t="s">
        <v>37</v>
      </c>
      <c r="W15" s="28" t="s">
        <v>37</v>
      </c>
      <c r="X15" s="28" t="s">
        <v>37</v>
      </c>
      <c r="Y15" s="28" t="s">
        <v>36</v>
      </c>
      <c r="Z15" s="28" t="s">
        <v>36</v>
      </c>
      <c r="AA15" s="28" t="s">
        <v>36</v>
      </c>
      <c r="AB15" s="28" t="s">
        <v>36</v>
      </c>
      <c r="AC15" s="28" t="s">
        <v>36</v>
      </c>
      <c r="AD15" s="28" t="s">
        <v>36</v>
      </c>
      <c r="AE15" s="28" t="s">
        <v>36</v>
      </c>
      <c r="AF15" s="28" t="s">
        <v>36</v>
      </c>
      <c r="AG15" s="28" t="s">
        <v>36</v>
      </c>
      <c r="AH15" s="28" t="s">
        <v>36</v>
      </c>
      <c r="AI15" s="28" t="s">
        <v>36</v>
      </c>
      <c r="AJ15" s="28" t="s">
        <v>36</v>
      </c>
      <c r="AK15" s="28" t="s">
        <v>38</v>
      </c>
      <c r="AL15" s="28" t="s">
        <v>38</v>
      </c>
      <c r="AM15" s="28" t="s">
        <v>38</v>
      </c>
      <c r="AN15" s="28" t="s">
        <v>38</v>
      </c>
      <c r="AO15" s="28" t="s">
        <v>38</v>
      </c>
      <c r="AP15" s="28" t="s">
        <v>38</v>
      </c>
      <c r="AQ15" s="28" t="s">
        <v>38</v>
      </c>
      <c r="AR15" s="29" t="s">
        <v>36</v>
      </c>
      <c r="AS15" s="29" t="s">
        <v>36</v>
      </c>
    </row>
    <row r="16" spans="2:45" s="34" customFormat="1" ht="30" customHeight="1" x14ac:dyDescent="0.25">
      <c r="B16" s="30" t="s">
        <v>63</v>
      </c>
      <c r="C16" s="31"/>
      <c r="D16" s="31">
        <f t="shared" ref="D16:D17" si="0">C16/208*25</f>
        <v>0</v>
      </c>
      <c r="E16" s="31"/>
      <c r="F16" s="31"/>
      <c r="G16" s="31"/>
      <c r="H16" s="31"/>
      <c r="I16" s="31"/>
      <c r="J16" s="31">
        <f>I16/200*25</f>
        <v>0</v>
      </c>
      <c r="K16" s="31">
        <v>10000</v>
      </c>
      <c r="L16" s="31">
        <f>K16/200*25</f>
        <v>1250</v>
      </c>
      <c r="M16" s="31">
        <v>10750</v>
      </c>
      <c r="N16" s="31">
        <f>M16/215*25</f>
        <v>1250</v>
      </c>
      <c r="O16" s="31"/>
      <c r="P16" s="31">
        <f>O16/150*25</f>
        <v>0</v>
      </c>
      <c r="Q16" s="31"/>
      <c r="R16" s="31"/>
      <c r="S16" s="31"/>
      <c r="T16" s="31"/>
      <c r="U16" s="31"/>
      <c r="V16" s="31">
        <f>U16/38*25</f>
        <v>0</v>
      </c>
      <c r="W16" s="32">
        <v>15000</v>
      </c>
      <c r="X16" s="32">
        <v>0</v>
      </c>
      <c r="Y16" s="31"/>
      <c r="Z16" s="31"/>
      <c r="AA16" s="31"/>
      <c r="AB16" s="31"/>
      <c r="AC16" s="31"/>
      <c r="AD16" s="31"/>
      <c r="AE16" s="31">
        <v>18500</v>
      </c>
      <c r="AF16" s="31"/>
      <c r="AG16" s="32">
        <v>500</v>
      </c>
      <c r="AH16" s="32">
        <v>500</v>
      </c>
      <c r="AI16" s="31">
        <v>30</v>
      </c>
      <c r="AJ16" s="31">
        <v>30</v>
      </c>
      <c r="AK16" s="31">
        <v>5400</v>
      </c>
      <c r="AL16" s="31">
        <v>5000</v>
      </c>
      <c r="AM16" s="31"/>
      <c r="AN16" s="31"/>
      <c r="AO16" s="32">
        <v>2000</v>
      </c>
      <c r="AP16" s="32"/>
      <c r="AQ16" s="31"/>
      <c r="AR16" s="31"/>
      <c r="AS16" s="33"/>
    </row>
    <row r="17" spans="2:45" s="34" customFormat="1" ht="30" customHeight="1" x14ac:dyDescent="0.25">
      <c r="B17" s="30" t="s">
        <v>64</v>
      </c>
      <c r="C17" s="31"/>
      <c r="D17" s="31">
        <f t="shared" si="0"/>
        <v>0</v>
      </c>
      <c r="E17" s="31"/>
      <c r="F17" s="31"/>
      <c r="G17" s="31"/>
      <c r="H17" s="31"/>
      <c r="I17" s="31"/>
      <c r="J17" s="31">
        <f>I17/200*25</f>
        <v>0</v>
      </c>
      <c r="K17" s="31"/>
      <c r="L17" s="31">
        <f>K17/200*25</f>
        <v>0</v>
      </c>
      <c r="M17" s="31">
        <v>32250</v>
      </c>
      <c r="N17" s="31">
        <f>M17/215*25</f>
        <v>3750</v>
      </c>
      <c r="O17" s="31"/>
      <c r="P17" s="31">
        <f>O17/150*25</f>
        <v>0</v>
      </c>
      <c r="Q17" s="31"/>
      <c r="R17" s="31"/>
      <c r="S17" s="31"/>
      <c r="T17" s="31"/>
      <c r="U17" s="31"/>
      <c r="V17" s="31">
        <f>U17/38*25</f>
        <v>0</v>
      </c>
      <c r="W17" s="32">
        <v>15000</v>
      </c>
      <c r="X17" s="32">
        <v>0</v>
      </c>
      <c r="Y17" s="31"/>
      <c r="Z17" s="31"/>
      <c r="AA17" s="31"/>
      <c r="AB17" s="31"/>
      <c r="AC17" s="31"/>
      <c r="AD17" s="31"/>
      <c r="AE17" s="31">
        <v>17250</v>
      </c>
      <c r="AF17" s="31"/>
      <c r="AG17" s="32">
        <v>500</v>
      </c>
      <c r="AH17" s="32">
        <v>500</v>
      </c>
      <c r="AI17" s="31">
        <v>30</v>
      </c>
      <c r="AJ17" s="31">
        <v>30</v>
      </c>
      <c r="AK17" s="31">
        <v>7200</v>
      </c>
      <c r="AL17" s="31">
        <v>7000</v>
      </c>
      <c r="AM17" s="31"/>
      <c r="AN17" s="31"/>
      <c r="AO17" s="32">
        <v>2000</v>
      </c>
      <c r="AP17" s="32"/>
      <c r="AQ17" s="31"/>
      <c r="AR17" s="31"/>
      <c r="AS17" s="33"/>
    </row>
    <row r="18" spans="2:45" s="34" customFormat="1" ht="30" customHeight="1" x14ac:dyDescent="0.25">
      <c r="B18" s="35" t="s">
        <v>39</v>
      </c>
      <c r="C18" s="36" t="e">
        <f>SUM(#REF!)</f>
        <v>#REF!</v>
      </c>
      <c r="D18" s="36" t="e">
        <f>SUM(#REF!)</f>
        <v>#REF!</v>
      </c>
      <c r="E18" s="36" t="e">
        <f>#REF!+#REF!+#REF!+#REF!+#REF!</f>
        <v>#REF!</v>
      </c>
      <c r="F18" s="36" t="e">
        <f>#REF!+#REF!+#REF!+#REF!+#REF!</f>
        <v>#REF!</v>
      </c>
      <c r="G18" s="36" t="e">
        <f>#REF!+#REF!+#REF!+#REF!+#REF!</f>
        <v>#REF!</v>
      </c>
      <c r="H18" s="36" t="e">
        <f>#REF!+#REF!+#REF!+#REF!+#REF!</f>
        <v>#REF!</v>
      </c>
      <c r="I18" s="36" t="e">
        <f>SUM(#REF!)</f>
        <v>#REF!</v>
      </c>
      <c r="J18" s="36" t="e">
        <f>SUM(#REF!)</f>
        <v>#REF!</v>
      </c>
      <c r="K18" s="36">
        <f t="shared" ref="K18:AS18" si="1">SUM(K16:K17)</f>
        <v>10000</v>
      </c>
      <c r="L18" s="36">
        <f t="shared" si="1"/>
        <v>1250</v>
      </c>
      <c r="M18" s="36">
        <f t="shared" si="1"/>
        <v>43000</v>
      </c>
      <c r="N18" s="36">
        <f t="shared" si="1"/>
        <v>5000</v>
      </c>
      <c r="O18" s="36">
        <f t="shared" si="1"/>
        <v>0</v>
      </c>
      <c r="P18" s="36">
        <f t="shared" si="1"/>
        <v>0</v>
      </c>
      <c r="Q18" s="36">
        <f t="shared" si="1"/>
        <v>0</v>
      </c>
      <c r="R18" s="36">
        <f t="shared" si="1"/>
        <v>0</v>
      </c>
      <c r="S18" s="36">
        <f t="shared" si="1"/>
        <v>0</v>
      </c>
      <c r="T18" s="36">
        <f t="shared" si="1"/>
        <v>0</v>
      </c>
      <c r="U18" s="36">
        <f t="shared" si="1"/>
        <v>0</v>
      </c>
      <c r="V18" s="36">
        <f t="shared" si="1"/>
        <v>0</v>
      </c>
      <c r="W18" s="36">
        <f t="shared" si="1"/>
        <v>30000</v>
      </c>
      <c r="X18" s="36">
        <f t="shared" si="1"/>
        <v>0</v>
      </c>
      <c r="Y18" s="36">
        <f t="shared" si="1"/>
        <v>0</v>
      </c>
      <c r="Z18" s="36">
        <f t="shared" si="1"/>
        <v>0</v>
      </c>
      <c r="AA18" s="36">
        <f t="shared" si="1"/>
        <v>0</v>
      </c>
      <c r="AB18" s="36">
        <f t="shared" si="1"/>
        <v>0</v>
      </c>
      <c r="AC18" s="36">
        <f t="shared" si="1"/>
        <v>0</v>
      </c>
      <c r="AD18" s="36">
        <f t="shared" si="1"/>
        <v>0</v>
      </c>
      <c r="AE18" s="36">
        <f t="shared" si="1"/>
        <v>35750</v>
      </c>
      <c r="AF18" s="36">
        <f t="shared" si="1"/>
        <v>0</v>
      </c>
      <c r="AG18" s="36">
        <f t="shared" si="1"/>
        <v>1000</v>
      </c>
      <c r="AH18" s="36">
        <f t="shared" si="1"/>
        <v>1000</v>
      </c>
      <c r="AI18" s="36">
        <f t="shared" si="1"/>
        <v>60</v>
      </c>
      <c r="AJ18" s="36">
        <f t="shared" si="1"/>
        <v>60</v>
      </c>
      <c r="AK18" s="36">
        <f t="shared" si="1"/>
        <v>12600</v>
      </c>
      <c r="AL18" s="36">
        <f t="shared" si="1"/>
        <v>12000</v>
      </c>
      <c r="AM18" s="36">
        <f t="shared" si="1"/>
        <v>0</v>
      </c>
      <c r="AN18" s="36">
        <f t="shared" si="1"/>
        <v>0</v>
      </c>
      <c r="AO18" s="36">
        <f t="shared" si="1"/>
        <v>4000</v>
      </c>
      <c r="AP18" s="36">
        <f t="shared" si="1"/>
        <v>0</v>
      </c>
      <c r="AQ18" s="36">
        <f t="shared" si="1"/>
        <v>0</v>
      </c>
      <c r="AR18" s="36">
        <f t="shared" si="1"/>
        <v>0</v>
      </c>
      <c r="AS18" s="36">
        <f t="shared" si="1"/>
        <v>0</v>
      </c>
    </row>
    <row r="19" spans="2:45" s="38" customFormat="1" ht="30" customHeight="1" thickBot="1" x14ac:dyDescent="0.3">
      <c r="B19" s="37" t="s">
        <v>40</v>
      </c>
      <c r="C19" s="64" t="e">
        <f>C18</f>
        <v>#REF!</v>
      </c>
      <c r="D19" s="64" t="e">
        <f>D18</f>
        <v>#REF!</v>
      </c>
      <c r="E19" s="64" t="e">
        <f>#REF!+#REF!+#REF!+#REF!+#REF!</f>
        <v>#REF!</v>
      </c>
      <c r="F19" s="64" t="e">
        <f>#REF!+#REF!+#REF!+#REF!+#REF!</f>
        <v>#REF!</v>
      </c>
      <c r="G19" s="64" t="e">
        <f>#REF!+#REF!+#REF!+#REF!+#REF!</f>
        <v>#REF!</v>
      </c>
      <c r="H19" s="64" t="e">
        <f>#REF!+#REF!+#REF!+#REF!+#REF!</f>
        <v>#REF!</v>
      </c>
      <c r="I19" s="64" t="e">
        <f t="shared" ref="I19:V19" si="2">I18</f>
        <v>#REF!</v>
      </c>
      <c r="J19" s="64" t="e">
        <f t="shared" si="2"/>
        <v>#REF!</v>
      </c>
      <c r="K19" s="64">
        <f t="shared" si="2"/>
        <v>10000</v>
      </c>
      <c r="L19" s="64">
        <f t="shared" si="2"/>
        <v>1250</v>
      </c>
      <c r="M19" s="64">
        <f t="shared" si="2"/>
        <v>43000</v>
      </c>
      <c r="N19" s="64">
        <f t="shared" si="2"/>
        <v>5000</v>
      </c>
      <c r="O19" s="64">
        <f t="shared" si="2"/>
        <v>0</v>
      </c>
      <c r="P19" s="64">
        <f t="shared" si="2"/>
        <v>0</v>
      </c>
      <c r="Q19" s="64">
        <f t="shared" si="2"/>
        <v>0</v>
      </c>
      <c r="R19" s="64">
        <f t="shared" si="2"/>
        <v>0</v>
      </c>
      <c r="S19" s="64">
        <f t="shared" si="2"/>
        <v>0</v>
      </c>
      <c r="T19" s="64">
        <f t="shared" si="2"/>
        <v>0</v>
      </c>
      <c r="U19" s="64">
        <f t="shared" si="2"/>
        <v>0</v>
      </c>
      <c r="V19" s="64">
        <f t="shared" si="2"/>
        <v>0</v>
      </c>
      <c r="W19" s="134">
        <f>W18+X18</f>
        <v>30000</v>
      </c>
      <c r="X19" s="134"/>
      <c r="Y19" s="64">
        <f t="shared" ref="Y19:AK19" si="3">Y18</f>
        <v>0</v>
      </c>
      <c r="Z19" s="64">
        <f>Z18</f>
        <v>0</v>
      </c>
      <c r="AA19" s="64">
        <f>AA18</f>
        <v>0</v>
      </c>
      <c r="AB19" s="64">
        <f t="shared" ref="AB19:AC19" si="4">AB18</f>
        <v>0</v>
      </c>
      <c r="AC19" s="64">
        <f t="shared" si="4"/>
        <v>0</v>
      </c>
      <c r="AD19" s="64">
        <f t="shared" si="3"/>
        <v>0</v>
      </c>
      <c r="AE19" s="64">
        <f>AE18</f>
        <v>35750</v>
      </c>
      <c r="AF19" s="64">
        <f>AF18</f>
        <v>0</v>
      </c>
      <c r="AG19" s="134">
        <f>AG18+AH18</f>
        <v>2000</v>
      </c>
      <c r="AH19" s="134"/>
      <c r="AI19" s="134">
        <f>AI18+AJ18</f>
        <v>120</v>
      </c>
      <c r="AJ19" s="134"/>
      <c r="AK19" s="64">
        <f t="shared" si="3"/>
        <v>12600</v>
      </c>
      <c r="AL19" s="64">
        <f>AL18</f>
        <v>12000</v>
      </c>
      <c r="AM19" s="64">
        <f t="shared" ref="AM19:AN19" si="5">AM18</f>
        <v>0</v>
      </c>
      <c r="AN19" s="64">
        <f t="shared" si="5"/>
        <v>0</v>
      </c>
      <c r="AO19" s="134">
        <f>AO18+AP18</f>
        <v>4000</v>
      </c>
      <c r="AP19" s="134"/>
      <c r="AQ19" s="64">
        <f>AQ18</f>
        <v>0</v>
      </c>
      <c r="AR19" s="134">
        <f>AR18+AS18</f>
        <v>0</v>
      </c>
      <c r="AS19" s="135"/>
    </row>
    <row r="20" spans="2:45" x14ac:dyDescent="0.25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</row>
    <row r="21" spans="2:45" x14ac:dyDescent="0.25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</row>
    <row r="22" spans="2:45" x14ac:dyDescent="0.25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</row>
    <row r="23" spans="2:45" s="42" customFormat="1" ht="19.5" x14ac:dyDescent="0.3">
      <c r="B23" s="42" t="s">
        <v>41</v>
      </c>
      <c r="C23" s="43"/>
      <c r="N23" s="42" t="s">
        <v>42</v>
      </c>
      <c r="AG23" s="42" t="s">
        <v>43</v>
      </c>
      <c r="AM23" s="42" t="s">
        <v>44</v>
      </c>
    </row>
    <row r="24" spans="2:45" s="42" customFormat="1" ht="24.75" customHeight="1" x14ac:dyDescent="0.3">
      <c r="C24" s="43"/>
      <c r="N24" s="43"/>
    </row>
    <row r="25" spans="2:45" s="42" customFormat="1" ht="19.5" x14ac:dyDescent="0.3">
      <c r="B25" s="43"/>
      <c r="C25" s="43"/>
      <c r="N25" s="43"/>
    </row>
    <row r="26" spans="2:45" s="42" customFormat="1" ht="19.5" x14ac:dyDescent="0.3">
      <c r="B26" s="44" t="s">
        <v>45</v>
      </c>
      <c r="C26" s="43"/>
      <c r="N26" s="45" t="s">
        <v>46</v>
      </c>
      <c r="AG26" s="45" t="s">
        <v>65</v>
      </c>
      <c r="AM26" s="45" t="s">
        <v>48</v>
      </c>
      <c r="AN26" s="46"/>
    </row>
    <row r="27" spans="2:45" s="42" customFormat="1" ht="19.5" x14ac:dyDescent="0.3">
      <c r="B27" s="42" t="s">
        <v>51</v>
      </c>
      <c r="N27" s="42" t="s">
        <v>49</v>
      </c>
      <c r="AG27" s="42" t="s">
        <v>66</v>
      </c>
      <c r="AM27" s="47" t="s">
        <v>54</v>
      </c>
      <c r="AN27" s="47"/>
    </row>
    <row r="28" spans="2:45" s="48" customFormat="1" ht="20.25" x14ac:dyDescent="0.3"/>
    <row r="29" spans="2:45" x14ac:dyDescent="0.25">
      <c r="B29" s="41"/>
      <c r="AA29" s="7"/>
      <c r="AB29" s="7"/>
      <c r="AC29" s="7"/>
      <c r="AD29" s="7"/>
      <c r="AE29" s="7"/>
      <c r="AF29" s="7"/>
    </row>
    <row r="30" spans="2:45" s="49" customFormat="1" x14ac:dyDescent="0.25">
      <c r="AA30" s="50"/>
      <c r="AB30" s="50"/>
      <c r="AC30" s="50"/>
      <c r="AD30" s="50"/>
      <c r="AE30" s="50"/>
      <c r="AF30" s="50"/>
    </row>
    <row r="31" spans="2:45" x14ac:dyDescent="0.25"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65"/>
      <c r="V31" s="65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</row>
    <row r="32" spans="2:45" x14ac:dyDescent="0.25"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2:44" x14ac:dyDescent="0.25"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2:44" x14ac:dyDescent="0.25">
      <c r="B34" s="41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2:44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2:44" x14ac:dyDescent="0.25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2:44" x14ac:dyDescent="0.25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2:44" x14ac:dyDescent="0.25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2:44" x14ac:dyDescent="0.25">
      <c r="B39" s="41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2:44" x14ac:dyDescent="0.25">
      <c r="B40" s="41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2:44" x14ac:dyDescent="0.25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2:44" x14ac:dyDescent="0.25"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2:44" x14ac:dyDescent="0.25"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2:44" x14ac:dyDescent="0.25"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2:44" x14ac:dyDescent="0.25"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2:44" x14ac:dyDescent="0.25">
      <c r="B46" s="41"/>
      <c r="AJ46" s="40"/>
    </row>
    <row r="52" spans="2:2" x14ac:dyDescent="0.25">
      <c r="B52" s="41"/>
    </row>
  </sheetData>
  <mergeCells count="70">
    <mergeCell ref="AR19:AS19"/>
    <mergeCell ref="B31:T31"/>
    <mergeCell ref="W14:X14"/>
    <mergeCell ref="AG14:AH14"/>
    <mergeCell ref="AI14:AJ14"/>
    <mergeCell ref="AO14:AP14"/>
    <mergeCell ref="W19:X19"/>
    <mergeCell ref="AG19:AH19"/>
    <mergeCell ref="AI19:AJ19"/>
    <mergeCell ref="AO19:AP19"/>
    <mergeCell ref="I14:J14"/>
    <mergeCell ref="K14:L14"/>
    <mergeCell ref="M14:N14"/>
    <mergeCell ref="O14:P14"/>
    <mergeCell ref="Q14:R14"/>
    <mergeCell ref="S14:T14"/>
    <mergeCell ref="S12:T12"/>
    <mergeCell ref="U12:V12"/>
    <mergeCell ref="Y12:Z12"/>
    <mergeCell ref="AA12:AB12"/>
    <mergeCell ref="U13:V13"/>
    <mergeCell ref="U14:V14"/>
    <mergeCell ref="K13:L13"/>
    <mergeCell ref="M13:N13"/>
    <mergeCell ref="O13:P13"/>
    <mergeCell ref="Q13:R13"/>
    <mergeCell ref="S13:T13"/>
    <mergeCell ref="AQ11:AQ13"/>
    <mergeCell ref="AR11:AS13"/>
    <mergeCell ref="C12:D12"/>
    <mergeCell ref="I12:J12"/>
    <mergeCell ref="K12:L12"/>
    <mergeCell ref="M12:N12"/>
    <mergeCell ref="O12:P12"/>
    <mergeCell ref="Q12:R12"/>
    <mergeCell ref="C11:D11"/>
    <mergeCell ref="E11:F11"/>
    <mergeCell ref="G11:H11"/>
    <mergeCell ref="I11:V11"/>
    <mergeCell ref="W11:X13"/>
    <mergeCell ref="Y11:AJ11"/>
    <mergeCell ref="AD12:AF12"/>
    <mergeCell ref="AG12:AH13"/>
    <mergeCell ref="AP9:AP10"/>
    <mergeCell ref="AQ9:AS10"/>
    <mergeCell ref="C10:D10"/>
    <mergeCell ref="E10:F10"/>
    <mergeCell ref="G10:H10"/>
    <mergeCell ref="Y9:AC10"/>
    <mergeCell ref="AD9:AF10"/>
    <mergeCell ref="AG9:AG10"/>
    <mergeCell ref="AH9:AH10"/>
    <mergeCell ref="AI9:AI10"/>
    <mergeCell ref="AJ9:AJ10"/>
    <mergeCell ref="B1:AN1"/>
    <mergeCell ref="B2:AN2"/>
    <mergeCell ref="B5:AN5"/>
    <mergeCell ref="B6:AN6"/>
    <mergeCell ref="B9:B15"/>
    <mergeCell ref="C9:D9"/>
    <mergeCell ref="I9:L10"/>
    <mergeCell ref="M9:V10"/>
    <mergeCell ref="W9:W10"/>
    <mergeCell ref="X9:X10"/>
    <mergeCell ref="AK9:AO10"/>
    <mergeCell ref="AK11:AN11"/>
    <mergeCell ref="AO11:AP13"/>
    <mergeCell ref="AI12:AJ13"/>
    <mergeCell ref="AK12:AN12"/>
    <mergeCell ref="I13:J13"/>
  </mergeCells>
  <pageMargins left="0.39370078740157483" right="0.27559055118110237" top="0.47244094488188981" bottom="0.15748031496062992" header="0.31496062992125984" footer="0.19685039370078741"/>
  <pageSetup paperSize="14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4"/>
  <sheetViews>
    <sheetView workbookViewId="0">
      <selection activeCell="AP25" sqref="AP25"/>
    </sheetView>
  </sheetViews>
  <sheetFormatPr defaultRowHeight="15" x14ac:dyDescent="0.25"/>
  <cols>
    <col min="1" max="1" width="0.7109375" style="41" customWidth="1"/>
    <col min="2" max="2" width="24.5703125" style="51" customWidth="1"/>
    <col min="3" max="3" width="5.42578125" style="41" hidden="1" customWidth="1"/>
    <col min="4" max="4" width="6.28515625" style="41" hidden="1" customWidth="1"/>
    <col min="5" max="5" width="5.5703125" style="41" hidden="1" customWidth="1"/>
    <col min="6" max="6" width="5.28515625" style="41" hidden="1" customWidth="1"/>
    <col min="7" max="7" width="5.5703125" style="41" hidden="1" customWidth="1"/>
    <col min="8" max="8" width="5.28515625" style="41" hidden="1" customWidth="1"/>
    <col min="9" max="9" width="8.140625" style="41" hidden="1" customWidth="1"/>
    <col min="10" max="10" width="8.7109375" style="41" hidden="1" customWidth="1"/>
    <col min="11" max="11" width="8.140625" style="41" customWidth="1"/>
    <col min="12" max="12" width="8.7109375" style="41" customWidth="1"/>
    <col min="13" max="13" width="10.42578125" style="41" customWidth="1"/>
    <col min="14" max="14" width="7.85546875" style="41" bestFit="1" customWidth="1"/>
    <col min="15" max="15" width="6.42578125" style="41" hidden="1" customWidth="1"/>
    <col min="16" max="16" width="7.5703125" style="41" hidden="1" customWidth="1"/>
    <col min="17" max="17" width="5.7109375" style="41" hidden="1" customWidth="1"/>
    <col min="18" max="18" width="9.28515625" style="41" hidden="1" customWidth="1"/>
    <col min="19" max="19" width="4.42578125" style="41" hidden="1" customWidth="1"/>
    <col min="20" max="20" width="5" style="41" hidden="1" customWidth="1"/>
    <col min="21" max="21" width="7.5703125" style="41" hidden="1" customWidth="1"/>
    <col min="22" max="22" width="7.28515625" style="41" hidden="1" customWidth="1"/>
    <col min="23" max="23" width="9" style="41" customWidth="1"/>
    <col min="24" max="24" width="7.42578125" style="41" customWidth="1"/>
    <col min="25" max="25" width="7" style="41" hidden="1" customWidth="1"/>
    <col min="26" max="26" width="7.7109375" style="41" hidden="1" customWidth="1"/>
    <col min="27" max="27" width="7.7109375" style="41" bestFit="1" customWidth="1"/>
    <col min="28" max="28" width="7" style="41" customWidth="1"/>
    <col min="29" max="29" width="9.42578125" style="41" hidden="1" customWidth="1"/>
    <col min="30" max="30" width="8.140625" style="41" customWidth="1"/>
    <col min="31" max="31" width="8.85546875" style="41" customWidth="1"/>
    <col min="32" max="32" width="7.85546875" style="41" customWidth="1"/>
    <col min="33" max="33" width="9.42578125" style="41" customWidth="1"/>
    <col min="34" max="34" width="8.85546875" style="41" customWidth="1"/>
    <col min="35" max="35" width="8.5703125" style="41" customWidth="1"/>
    <col min="36" max="36" width="8" style="41" customWidth="1"/>
    <col min="37" max="37" width="9.5703125" style="41" customWidth="1"/>
    <col min="38" max="38" width="9" style="41" customWidth="1"/>
    <col min="39" max="39" width="9.7109375" style="41" customWidth="1"/>
    <col min="40" max="40" width="8.28515625" style="41" customWidth="1"/>
    <col min="41" max="41" width="9" style="41" customWidth="1"/>
    <col min="42" max="42" width="8.42578125" style="41" customWidth="1"/>
    <col min="43" max="43" width="7.5703125" style="41" customWidth="1"/>
    <col min="44" max="44" width="9" style="41" customWidth="1"/>
    <col min="45" max="45" width="8.140625" style="41" customWidth="1"/>
    <col min="46" max="16384" width="9.140625" style="41"/>
  </cols>
  <sheetData>
    <row r="1" spans="2:45" s="1" customFormat="1" ht="18.75" customHeight="1" x14ac:dyDescent="0.3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71"/>
      <c r="AP1" s="71"/>
      <c r="AQ1" s="71"/>
      <c r="AR1" s="71"/>
    </row>
    <row r="2" spans="2:45" s="1" customFormat="1" ht="20.25" x14ac:dyDescent="0.3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71"/>
      <c r="AP2" s="71"/>
      <c r="AQ2" s="71"/>
      <c r="AR2" s="71"/>
    </row>
    <row r="3" spans="2:45" s="1" customFormat="1" ht="12.75" customHeight="1" x14ac:dyDescent="0.3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2"/>
      <c r="AK3" s="71"/>
      <c r="AL3" s="71"/>
      <c r="AM3" s="71"/>
      <c r="AN3" s="71"/>
      <c r="AO3" s="71"/>
      <c r="AP3" s="71"/>
      <c r="AQ3" s="71"/>
      <c r="AR3" s="71"/>
    </row>
    <row r="4" spans="2:45" s="1" customFormat="1" ht="12.75" customHeight="1" x14ac:dyDescent="0.3"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2"/>
      <c r="AK4" s="71"/>
      <c r="AL4" s="71"/>
      <c r="AM4" s="71"/>
      <c r="AN4" s="71"/>
      <c r="AO4" s="71"/>
      <c r="AP4" s="71"/>
      <c r="AQ4" s="71"/>
      <c r="AR4" s="71"/>
    </row>
    <row r="5" spans="2:45" s="1" customFormat="1" ht="20.25" x14ac:dyDescent="0.3"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71"/>
      <c r="AP5" s="71"/>
      <c r="AQ5" s="71"/>
      <c r="AR5" s="71"/>
    </row>
    <row r="6" spans="2:45" s="1" customFormat="1" ht="20.25" x14ac:dyDescent="0.3">
      <c r="B6" s="83" t="s">
        <v>67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71"/>
      <c r="AP6" s="71"/>
      <c r="AQ6" s="71"/>
      <c r="AR6" s="71"/>
    </row>
    <row r="7" spans="2:45" s="4" customFormat="1" ht="18.7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/>
      <c r="AL7" s="3"/>
      <c r="AM7" s="3"/>
      <c r="AN7" s="3"/>
      <c r="AO7" s="3"/>
      <c r="AP7" s="3"/>
      <c r="AQ7" s="3"/>
      <c r="AR7" s="3"/>
    </row>
    <row r="8" spans="2:45" s="7" customFormat="1" ht="6.75" customHeight="1" thickBot="1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K8" s="6"/>
      <c r="AL8" s="6"/>
      <c r="AM8" s="6"/>
      <c r="AN8" s="6"/>
      <c r="AO8" s="6"/>
      <c r="AP8" s="6"/>
      <c r="AQ8" s="6"/>
      <c r="AR8" s="6"/>
    </row>
    <row r="9" spans="2:45" s="9" customFormat="1" ht="18" customHeight="1" thickBot="1" x14ac:dyDescent="0.3">
      <c r="B9" s="84" t="s">
        <v>3</v>
      </c>
      <c r="C9" s="86" t="s">
        <v>4</v>
      </c>
      <c r="D9" s="87"/>
      <c r="E9" s="8"/>
      <c r="F9" s="8"/>
      <c r="G9" s="8"/>
      <c r="H9" s="8"/>
      <c r="I9" s="88" t="s">
        <v>5</v>
      </c>
      <c r="J9" s="89"/>
      <c r="K9" s="89"/>
      <c r="L9" s="90"/>
      <c r="M9" s="94" t="s">
        <v>6</v>
      </c>
      <c r="N9" s="89"/>
      <c r="O9" s="89"/>
      <c r="P9" s="89"/>
      <c r="Q9" s="89"/>
      <c r="R9" s="89"/>
      <c r="S9" s="89"/>
      <c r="T9" s="89"/>
      <c r="U9" s="89"/>
      <c r="V9" s="90"/>
      <c r="W9" s="96" t="s">
        <v>7</v>
      </c>
      <c r="X9" s="96" t="s">
        <v>8</v>
      </c>
      <c r="Y9" s="94" t="s">
        <v>5</v>
      </c>
      <c r="Z9" s="89"/>
      <c r="AA9" s="89"/>
      <c r="AB9" s="89"/>
      <c r="AC9" s="90"/>
      <c r="AD9" s="94" t="s">
        <v>6</v>
      </c>
      <c r="AE9" s="89"/>
      <c r="AF9" s="90"/>
      <c r="AG9" s="96" t="s">
        <v>9</v>
      </c>
      <c r="AH9" s="96" t="s">
        <v>8</v>
      </c>
      <c r="AI9" s="96" t="s">
        <v>6</v>
      </c>
      <c r="AJ9" s="96" t="s">
        <v>8</v>
      </c>
      <c r="AK9" s="98" t="s">
        <v>6</v>
      </c>
      <c r="AL9" s="99"/>
      <c r="AM9" s="99"/>
      <c r="AN9" s="99"/>
      <c r="AO9" s="100"/>
      <c r="AP9" s="96" t="s">
        <v>8</v>
      </c>
      <c r="AQ9" s="98" t="s">
        <v>9</v>
      </c>
      <c r="AR9" s="99"/>
      <c r="AS9" s="110"/>
    </row>
    <row r="10" spans="2:45" s="10" customFormat="1" ht="34.5" customHeight="1" thickBot="1" x14ac:dyDescent="0.3">
      <c r="B10" s="85"/>
      <c r="C10" s="112" t="s">
        <v>10</v>
      </c>
      <c r="D10" s="113"/>
      <c r="E10" s="112" t="s">
        <v>11</v>
      </c>
      <c r="F10" s="114"/>
      <c r="G10" s="114" t="s">
        <v>12</v>
      </c>
      <c r="H10" s="115"/>
      <c r="I10" s="91"/>
      <c r="J10" s="92"/>
      <c r="K10" s="92"/>
      <c r="L10" s="93"/>
      <c r="M10" s="95"/>
      <c r="N10" s="92"/>
      <c r="O10" s="92"/>
      <c r="P10" s="92"/>
      <c r="Q10" s="92"/>
      <c r="R10" s="92"/>
      <c r="S10" s="92"/>
      <c r="T10" s="92"/>
      <c r="U10" s="92"/>
      <c r="V10" s="93"/>
      <c r="W10" s="97"/>
      <c r="X10" s="97"/>
      <c r="Y10" s="95"/>
      <c r="Z10" s="92"/>
      <c r="AA10" s="92"/>
      <c r="AB10" s="92"/>
      <c r="AC10" s="93"/>
      <c r="AD10" s="95"/>
      <c r="AE10" s="92"/>
      <c r="AF10" s="93"/>
      <c r="AG10" s="97"/>
      <c r="AH10" s="97"/>
      <c r="AI10" s="97"/>
      <c r="AJ10" s="97"/>
      <c r="AK10" s="101"/>
      <c r="AL10" s="102"/>
      <c r="AM10" s="102"/>
      <c r="AN10" s="102"/>
      <c r="AO10" s="103"/>
      <c r="AP10" s="97"/>
      <c r="AQ10" s="101"/>
      <c r="AR10" s="102"/>
      <c r="AS10" s="111"/>
    </row>
    <row r="11" spans="2:45" s="10" customFormat="1" ht="24.95" customHeight="1" x14ac:dyDescent="0.25">
      <c r="B11" s="85"/>
      <c r="C11" s="125" t="s">
        <v>13</v>
      </c>
      <c r="D11" s="126"/>
      <c r="E11" s="125" t="s">
        <v>14</v>
      </c>
      <c r="F11" s="127"/>
      <c r="G11" s="127" t="s">
        <v>15</v>
      </c>
      <c r="H11" s="128"/>
      <c r="I11" s="129" t="s">
        <v>16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30"/>
      <c r="W11" s="131" t="s">
        <v>17</v>
      </c>
      <c r="X11" s="131"/>
      <c r="Y11" s="132" t="s">
        <v>18</v>
      </c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04" t="s">
        <v>19</v>
      </c>
      <c r="AL11" s="104"/>
      <c r="AM11" s="104"/>
      <c r="AN11" s="104"/>
      <c r="AO11" s="105" t="s">
        <v>20</v>
      </c>
      <c r="AP11" s="105"/>
      <c r="AQ11" s="116" t="s">
        <v>21</v>
      </c>
      <c r="AR11" s="117" t="s">
        <v>22</v>
      </c>
      <c r="AS11" s="118"/>
    </row>
    <row r="12" spans="2:45" s="10" customFormat="1" ht="36" customHeight="1" x14ac:dyDescent="0.25">
      <c r="B12" s="85"/>
      <c r="C12" s="123">
        <v>11083</v>
      </c>
      <c r="D12" s="124"/>
      <c r="E12" s="11"/>
      <c r="F12" s="12"/>
      <c r="G12" s="12"/>
      <c r="H12" s="13"/>
      <c r="I12" s="109">
        <v>200</v>
      </c>
      <c r="J12" s="105"/>
      <c r="K12" s="109">
        <v>200</v>
      </c>
      <c r="L12" s="105"/>
      <c r="M12" s="105">
        <v>215</v>
      </c>
      <c r="N12" s="105"/>
      <c r="O12" s="105">
        <v>135</v>
      </c>
      <c r="P12" s="105"/>
      <c r="Q12" s="105">
        <v>150</v>
      </c>
      <c r="R12" s="105"/>
      <c r="S12" s="105">
        <v>150</v>
      </c>
      <c r="T12" s="105"/>
      <c r="U12" s="105">
        <v>38</v>
      </c>
      <c r="V12" s="105"/>
      <c r="W12" s="131"/>
      <c r="X12" s="131"/>
      <c r="Y12" s="105" t="s">
        <v>23</v>
      </c>
      <c r="Z12" s="105"/>
      <c r="AA12" s="105" t="s">
        <v>24</v>
      </c>
      <c r="AB12" s="105"/>
      <c r="AC12" s="14" t="s">
        <v>25</v>
      </c>
      <c r="AD12" s="106" t="s">
        <v>26</v>
      </c>
      <c r="AE12" s="107"/>
      <c r="AF12" s="108"/>
      <c r="AG12" s="105" t="s">
        <v>27</v>
      </c>
      <c r="AH12" s="105"/>
      <c r="AI12" s="105" t="s">
        <v>28</v>
      </c>
      <c r="AJ12" s="105"/>
      <c r="AK12" s="106" t="s">
        <v>29</v>
      </c>
      <c r="AL12" s="107"/>
      <c r="AM12" s="107"/>
      <c r="AN12" s="108"/>
      <c r="AO12" s="105"/>
      <c r="AP12" s="105"/>
      <c r="AQ12" s="116"/>
      <c r="AR12" s="119"/>
      <c r="AS12" s="120"/>
    </row>
    <row r="13" spans="2:45" s="19" customFormat="1" ht="30" customHeight="1" thickBot="1" x14ac:dyDescent="0.3">
      <c r="B13" s="85"/>
      <c r="C13" s="15" t="s">
        <v>30</v>
      </c>
      <c r="D13" s="16" t="s">
        <v>31</v>
      </c>
      <c r="E13" s="15" t="s">
        <v>30</v>
      </c>
      <c r="F13" s="17" t="s">
        <v>31</v>
      </c>
      <c r="G13" s="17" t="s">
        <v>30</v>
      </c>
      <c r="H13" s="18" t="s">
        <v>31</v>
      </c>
      <c r="I13" s="109" t="s">
        <v>32</v>
      </c>
      <c r="J13" s="105"/>
      <c r="K13" s="109" t="s">
        <v>53</v>
      </c>
      <c r="L13" s="105"/>
      <c r="M13" s="105" t="s">
        <v>34</v>
      </c>
      <c r="N13" s="105"/>
      <c r="O13" s="105" t="s">
        <v>34</v>
      </c>
      <c r="P13" s="105"/>
      <c r="Q13" s="105" t="s">
        <v>33</v>
      </c>
      <c r="R13" s="105"/>
      <c r="S13" s="105" t="s">
        <v>35</v>
      </c>
      <c r="T13" s="105"/>
      <c r="U13" s="105" t="s">
        <v>34</v>
      </c>
      <c r="V13" s="105"/>
      <c r="W13" s="131"/>
      <c r="X13" s="131"/>
      <c r="Y13" s="74">
        <v>2.4</v>
      </c>
      <c r="Z13" s="74">
        <v>3.6</v>
      </c>
      <c r="AA13" s="74">
        <v>2.4</v>
      </c>
      <c r="AB13" s="74">
        <v>3.6</v>
      </c>
      <c r="AC13" s="74"/>
      <c r="AD13" s="74">
        <v>3.6</v>
      </c>
      <c r="AE13" s="74">
        <v>2.4</v>
      </c>
      <c r="AF13" s="74">
        <v>4.9000000000000004</v>
      </c>
      <c r="AG13" s="105"/>
      <c r="AH13" s="105"/>
      <c r="AI13" s="105"/>
      <c r="AJ13" s="105"/>
      <c r="AK13" s="74">
        <v>5</v>
      </c>
      <c r="AL13" s="74">
        <v>10</v>
      </c>
      <c r="AM13" s="75" t="s">
        <v>52</v>
      </c>
      <c r="AN13" s="74">
        <v>40</v>
      </c>
      <c r="AO13" s="105"/>
      <c r="AP13" s="105"/>
      <c r="AQ13" s="116"/>
      <c r="AR13" s="121"/>
      <c r="AS13" s="122"/>
    </row>
    <row r="14" spans="2:45" s="19" customFormat="1" ht="21.75" customHeight="1" x14ac:dyDescent="0.25">
      <c r="B14" s="85"/>
      <c r="C14" s="20"/>
      <c r="D14" s="21"/>
      <c r="E14" s="20"/>
      <c r="F14" s="22"/>
      <c r="G14" s="22"/>
      <c r="H14" s="21"/>
      <c r="I14" s="137">
        <v>31496</v>
      </c>
      <c r="J14" s="133"/>
      <c r="K14" s="137">
        <v>35245</v>
      </c>
      <c r="L14" s="133"/>
      <c r="M14" s="133">
        <v>11082</v>
      </c>
      <c r="N14" s="133"/>
      <c r="O14" s="133">
        <v>21810</v>
      </c>
      <c r="P14" s="133"/>
      <c r="Q14" s="133">
        <v>17362</v>
      </c>
      <c r="R14" s="133"/>
      <c r="S14" s="133">
        <v>18389</v>
      </c>
      <c r="T14" s="133"/>
      <c r="U14" s="133">
        <v>21811</v>
      </c>
      <c r="V14" s="133"/>
      <c r="W14" s="133">
        <v>10128</v>
      </c>
      <c r="X14" s="133"/>
      <c r="Y14" s="73">
        <v>10962</v>
      </c>
      <c r="Z14" s="73">
        <v>15427</v>
      </c>
      <c r="AA14" s="73">
        <v>16623</v>
      </c>
      <c r="AB14" s="73">
        <v>16967</v>
      </c>
      <c r="AC14" s="73">
        <v>28230</v>
      </c>
      <c r="AD14" s="73">
        <v>10966</v>
      </c>
      <c r="AE14" s="73">
        <v>10965</v>
      </c>
      <c r="AF14" s="73">
        <v>21809</v>
      </c>
      <c r="AG14" s="133">
        <v>11966</v>
      </c>
      <c r="AH14" s="133"/>
      <c r="AI14" s="133">
        <v>11089</v>
      </c>
      <c r="AJ14" s="133"/>
      <c r="AK14" s="73">
        <v>10960</v>
      </c>
      <c r="AL14" s="73">
        <v>10961</v>
      </c>
      <c r="AM14" s="73">
        <v>33442</v>
      </c>
      <c r="AN14" s="73">
        <v>10959</v>
      </c>
      <c r="AO14" s="133">
        <v>12487</v>
      </c>
      <c r="AP14" s="133"/>
      <c r="AQ14" s="73">
        <v>16823</v>
      </c>
      <c r="AR14" s="23">
        <v>11342</v>
      </c>
      <c r="AS14" s="23">
        <v>11342</v>
      </c>
    </row>
    <row r="15" spans="2:45" s="10" customFormat="1" ht="17.25" x14ac:dyDescent="0.25">
      <c r="B15" s="85"/>
      <c r="C15" s="24"/>
      <c r="D15" s="25"/>
      <c r="E15" s="24"/>
      <c r="F15" s="26"/>
      <c r="G15" s="26"/>
      <c r="H15" s="25"/>
      <c r="I15" s="27" t="s">
        <v>36</v>
      </c>
      <c r="J15" s="28" t="s">
        <v>37</v>
      </c>
      <c r="K15" s="27" t="s">
        <v>36</v>
      </c>
      <c r="L15" s="28" t="s">
        <v>37</v>
      </c>
      <c r="M15" s="28" t="s">
        <v>36</v>
      </c>
      <c r="N15" s="28" t="s">
        <v>37</v>
      </c>
      <c r="O15" s="28" t="s">
        <v>36</v>
      </c>
      <c r="P15" s="28" t="s">
        <v>37</v>
      </c>
      <c r="Q15" s="28" t="s">
        <v>36</v>
      </c>
      <c r="R15" s="28" t="s">
        <v>37</v>
      </c>
      <c r="S15" s="28" t="s">
        <v>36</v>
      </c>
      <c r="T15" s="28" t="s">
        <v>37</v>
      </c>
      <c r="U15" s="28" t="s">
        <v>36</v>
      </c>
      <c r="V15" s="28" t="s">
        <v>37</v>
      </c>
      <c r="W15" s="28" t="s">
        <v>37</v>
      </c>
      <c r="X15" s="28" t="s">
        <v>37</v>
      </c>
      <c r="Y15" s="28" t="s">
        <v>36</v>
      </c>
      <c r="Z15" s="28" t="s">
        <v>36</v>
      </c>
      <c r="AA15" s="28" t="s">
        <v>36</v>
      </c>
      <c r="AB15" s="28" t="s">
        <v>36</v>
      </c>
      <c r="AC15" s="28" t="s">
        <v>36</v>
      </c>
      <c r="AD15" s="28" t="s">
        <v>36</v>
      </c>
      <c r="AE15" s="28" t="s">
        <v>36</v>
      </c>
      <c r="AF15" s="28" t="s">
        <v>36</v>
      </c>
      <c r="AG15" s="28" t="s">
        <v>36</v>
      </c>
      <c r="AH15" s="28" t="s">
        <v>36</v>
      </c>
      <c r="AI15" s="28" t="s">
        <v>36</v>
      </c>
      <c r="AJ15" s="28" t="s">
        <v>36</v>
      </c>
      <c r="AK15" s="28" t="s">
        <v>38</v>
      </c>
      <c r="AL15" s="28" t="s">
        <v>38</v>
      </c>
      <c r="AM15" s="28" t="s">
        <v>38</v>
      </c>
      <c r="AN15" s="28" t="s">
        <v>38</v>
      </c>
      <c r="AO15" s="28" t="s">
        <v>38</v>
      </c>
      <c r="AP15" s="28" t="s">
        <v>38</v>
      </c>
      <c r="AQ15" s="28" t="s">
        <v>38</v>
      </c>
      <c r="AR15" s="29" t="s">
        <v>36</v>
      </c>
      <c r="AS15" s="29" t="s">
        <v>36</v>
      </c>
    </row>
    <row r="16" spans="2:45" s="34" customFormat="1" ht="30" customHeight="1" x14ac:dyDescent="0.25">
      <c r="B16" s="30" t="s">
        <v>68</v>
      </c>
      <c r="C16" s="31"/>
      <c r="D16" s="31">
        <f t="shared" ref="D16:D19" si="0">C16/208*25</f>
        <v>0</v>
      </c>
      <c r="E16" s="31"/>
      <c r="F16" s="31"/>
      <c r="G16" s="31"/>
      <c r="H16" s="31"/>
      <c r="I16" s="31"/>
      <c r="J16" s="31">
        <f>I16/200*25</f>
        <v>0</v>
      </c>
      <c r="K16" s="31">
        <v>15000</v>
      </c>
      <c r="L16" s="31">
        <f>K16/200*25</f>
        <v>1875</v>
      </c>
      <c r="M16" s="31">
        <v>16125</v>
      </c>
      <c r="N16" s="31">
        <f>M16/215*25</f>
        <v>1875</v>
      </c>
      <c r="O16" s="31"/>
      <c r="P16" s="31">
        <f>O16/150*25</f>
        <v>0</v>
      </c>
      <c r="Q16" s="31"/>
      <c r="R16" s="31"/>
      <c r="S16" s="31"/>
      <c r="T16" s="31"/>
      <c r="U16" s="31"/>
      <c r="V16" s="31">
        <f>U16/38*25</f>
        <v>0</v>
      </c>
      <c r="W16" s="32">
        <f>350*25</f>
        <v>8750</v>
      </c>
      <c r="X16" s="32">
        <v>0</v>
      </c>
      <c r="Y16" s="31"/>
      <c r="Z16" s="31"/>
      <c r="AA16" s="31"/>
      <c r="AB16" s="31"/>
      <c r="AC16" s="31"/>
      <c r="AD16" s="31"/>
      <c r="AE16" s="31">
        <v>20250</v>
      </c>
      <c r="AF16" s="31"/>
      <c r="AG16" s="32">
        <v>500</v>
      </c>
      <c r="AH16" s="32">
        <v>500</v>
      </c>
      <c r="AI16" s="31">
        <v>100</v>
      </c>
      <c r="AJ16" s="31">
        <v>100</v>
      </c>
      <c r="AK16" s="31">
        <f>900*4</f>
        <v>3600</v>
      </c>
      <c r="AL16" s="31">
        <v>3000</v>
      </c>
      <c r="AM16" s="31"/>
      <c r="AN16" s="31"/>
      <c r="AO16" s="32">
        <v>3000</v>
      </c>
      <c r="AP16" s="32"/>
      <c r="AQ16" s="31"/>
      <c r="AR16" s="31"/>
      <c r="AS16" s="33"/>
    </row>
    <row r="17" spans="2:45" s="34" customFormat="1" ht="30" customHeight="1" x14ac:dyDescent="0.25">
      <c r="B17" s="30" t="s">
        <v>69</v>
      </c>
      <c r="C17" s="31"/>
      <c r="D17" s="31">
        <f t="shared" ref="D17:D18" si="1">C17/208*25</f>
        <v>0</v>
      </c>
      <c r="E17" s="31"/>
      <c r="F17" s="31"/>
      <c r="G17" s="31"/>
      <c r="H17" s="31"/>
      <c r="I17" s="31"/>
      <c r="J17" s="31">
        <f>I17/200*25</f>
        <v>0</v>
      </c>
      <c r="K17" s="31"/>
      <c r="L17" s="31">
        <f>K17/200*25</f>
        <v>0</v>
      </c>
      <c r="M17" s="31"/>
      <c r="N17" s="31">
        <f>M17/215*25</f>
        <v>0</v>
      </c>
      <c r="O17" s="31"/>
      <c r="P17" s="31">
        <f>O17/150*25</f>
        <v>0</v>
      </c>
      <c r="Q17" s="31"/>
      <c r="R17" s="31"/>
      <c r="S17" s="31"/>
      <c r="T17" s="31"/>
      <c r="U17" s="31"/>
      <c r="V17" s="31">
        <f>U17/38*25</f>
        <v>0</v>
      </c>
      <c r="W17" s="32">
        <v>15000</v>
      </c>
      <c r="X17" s="32">
        <v>0</v>
      </c>
      <c r="Y17" s="31"/>
      <c r="Z17" s="31"/>
      <c r="AA17" s="31"/>
      <c r="AB17" s="31"/>
      <c r="AC17" s="31"/>
      <c r="AD17" s="31"/>
      <c r="AE17" s="31">
        <v>7500</v>
      </c>
      <c r="AF17" s="31"/>
      <c r="AG17" s="32">
        <v>500</v>
      </c>
      <c r="AH17" s="32">
        <v>500</v>
      </c>
      <c r="AI17" s="31"/>
      <c r="AJ17" s="31"/>
      <c r="AK17" s="31">
        <v>3600</v>
      </c>
      <c r="AL17" s="31">
        <v>3000</v>
      </c>
      <c r="AM17" s="31"/>
      <c r="AN17" s="31"/>
      <c r="AO17" s="32">
        <v>4000</v>
      </c>
      <c r="AP17" s="32"/>
      <c r="AQ17" s="31"/>
      <c r="AR17" s="31"/>
      <c r="AS17" s="33"/>
    </row>
    <row r="18" spans="2:45" s="34" customFormat="1" ht="30" customHeight="1" x14ac:dyDescent="0.25">
      <c r="B18" s="30" t="s">
        <v>70</v>
      </c>
      <c r="C18" s="31"/>
      <c r="D18" s="31">
        <f t="shared" si="1"/>
        <v>0</v>
      </c>
      <c r="E18" s="31"/>
      <c r="F18" s="31"/>
      <c r="G18" s="31"/>
      <c r="H18" s="31"/>
      <c r="I18" s="31"/>
      <c r="J18" s="31">
        <f>I18/200*25</f>
        <v>0</v>
      </c>
      <c r="K18" s="31">
        <f>100*200</f>
        <v>20000</v>
      </c>
      <c r="L18" s="31">
        <f>K18/200*25</f>
        <v>2500</v>
      </c>
      <c r="M18" s="31">
        <f>100*215</f>
        <v>21500</v>
      </c>
      <c r="N18" s="31">
        <f>M18/215*25</f>
        <v>2500</v>
      </c>
      <c r="O18" s="31"/>
      <c r="P18" s="31">
        <f>O18/150*25</f>
        <v>0</v>
      </c>
      <c r="Q18" s="31"/>
      <c r="R18" s="31"/>
      <c r="S18" s="31"/>
      <c r="T18" s="31"/>
      <c r="U18" s="31"/>
      <c r="V18" s="31">
        <f>U18/38*25</f>
        <v>0</v>
      </c>
      <c r="W18" s="32">
        <f>350*25</f>
        <v>8750</v>
      </c>
      <c r="X18" s="32">
        <v>0</v>
      </c>
      <c r="Y18" s="31"/>
      <c r="Z18" s="31"/>
      <c r="AA18" s="31"/>
      <c r="AB18" s="31"/>
      <c r="AC18" s="31"/>
      <c r="AD18" s="31">
        <v>1100</v>
      </c>
      <c r="AE18" s="31">
        <v>11000</v>
      </c>
      <c r="AF18" s="31"/>
      <c r="AG18" s="32">
        <v>500</v>
      </c>
      <c r="AH18" s="32">
        <v>500</v>
      </c>
      <c r="AI18" s="31">
        <v>50</v>
      </c>
      <c r="AJ18" s="31">
        <v>50</v>
      </c>
      <c r="AK18" s="31">
        <v>2700</v>
      </c>
      <c r="AL18" s="31">
        <v>3000</v>
      </c>
      <c r="AM18" s="31"/>
      <c r="AN18" s="31"/>
      <c r="AO18" s="32">
        <v>3000</v>
      </c>
      <c r="AP18" s="32"/>
      <c r="AQ18" s="31"/>
      <c r="AR18" s="31"/>
      <c r="AS18" s="33"/>
    </row>
    <row r="19" spans="2:45" s="34" customFormat="1" ht="30" customHeight="1" x14ac:dyDescent="0.25">
      <c r="B19" s="30" t="s">
        <v>71</v>
      </c>
      <c r="C19" s="31"/>
      <c r="D19" s="31">
        <f t="shared" si="0"/>
        <v>0</v>
      </c>
      <c r="E19" s="31"/>
      <c r="F19" s="31"/>
      <c r="G19" s="31"/>
      <c r="H19" s="31"/>
      <c r="I19" s="31"/>
      <c r="J19" s="31">
        <f>I19/200*25</f>
        <v>0</v>
      </c>
      <c r="K19" s="31">
        <v>15000</v>
      </c>
      <c r="L19" s="31">
        <f>K19/200*25</f>
        <v>1875</v>
      </c>
      <c r="M19" s="31">
        <v>16125</v>
      </c>
      <c r="N19" s="31">
        <f>M19/215*25</f>
        <v>1875</v>
      </c>
      <c r="O19" s="31"/>
      <c r="P19" s="31">
        <f>O19/150*25</f>
        <v>0</v>
      </c>
      <c r="Q19" s="31"/>
      <c r="R19" s="31"/>
      <c r="S19" s="31"/>
      <c r="T19" s="31"/>
      <c r="U19" s="31"/>
      <c r="V19" s="31">
        <f>U19/38*25</f>
        <v>0</v>
      </c>
      <c r="W19" s="32">
        <v>23750</v>
      </c>
      <c r="X19" s="32">
        <v>0</v>
      </c>
      <c r="Y19" s="31"/>
      <c r="Z19" s="31"/>
      <c r="AA19" s="31"/>
      <c r="AB19" s="31"/>
      <c r="AC19" s="31"/>
      <c r="AD19" s="31">
        <v>4400</v>
      </c>
      <c r="AE19" s="31">
        <v>4750</v>
      </c>
      <c r="AF19" s="31"/>
      <c r="AG19" s="32">
        <v>500</v>
      </c>
      <c r="AH19" s="32">
        <v>500</v>
      </c>
      <c r="AI19" s="31"/>
      <c r="AJ19" s="31"/>
      <c r="AK19" s="31">
        <v>2700</v>
      </c>
      <c r="AL19" s="31">
        <v>2000</v>
      </c>
      <c r="AM19" s="31"/>
      <c r="AN19" s="31"/>
      <c r="AO19" s="32">
        <v>3000</v>
      </c>
      <c r="AP19" s="32"/>
      <c r="AQ19" s="31"/>
      <c r="AR19" s="31"/>
      <c r="AS19" s="33"/>
    </row>
    <row r="20" spans="2:45" s="34" customFormat="1" ht="30" customHeight="1" x14ac:dyDescent="0.25">
      <c r="B20" s="35" t="s">
        <v>39</v>
      </c>
      <c r="C20" s="36" t="e">
        <f>SUM(#REF!)</f>
        <v>#REF!</v>
      </c>
      <c r="D20" s="36" t="e">
        <f>SUM(#REF!)</f>
        <v>#REF!</v>
      </c>
      <c r="E20" s="36" t="e">
        <f>#REF!+#REF!+#REF!+#REF!+#REF!</f>
        <v>#REF!</v>
      </c>
      <c r="F20" s="36" t="e">
        <f>#REF!+#REF!+#REF!+#REF!+#REF!</f>
        <v>#REF!</v>
      </c>
      <c r="G20" s="36" t="e">
        <f>#REF!+#REF!+#REF!+#REF!+#REF!</f>
        <v>#REF!</v>
      </c>
      <c r="H20" s="36" t="e">
        <f>#REF!+#REF!+#REF!+#REF!+#REF!</f>
        <v>#REF!</v>
      </c>
      <c r="I20" s="36" t="e">
        <f>SUM(#REF!)</f>
        <v>#REF!</v>
      </c>
      <c r="J20" s="36" t="e">
        <f>SUM(#REF!)</f>
        <v>#REF!</v>
      </c>
      <c r="K20" s="36">
        <f t="shared" ref="K20:AS20" si="2">SUM(K16:K19)</f>
        <v>50000</v>
      </c>
      <c r="L20" s="36">
        <f t="shared" si="2"/>
        <v>6250</v>
      </c>
      <c r="M20" s="36">
        <f t="shared" si="2"/>
        <v>53750</v>
      </c>
      <c r="N20" s="36">
        <f t="shared" si="2"/>
        <v>6250</v>
      </c>
      <c r="O20" s="36">
        <f t="shared" si="2"/>
        <v>0</v>
      </c>
      <c r="P20" s="36">
        <f t="shared" si="2"/>
        <v>0</v>
      </c>
      <c r="Q20" s="36">
        <f t="shared" si="2"/>
        <v>0</v>
      </c>
      <c r="R20" s="36">
        <f t="shared" si="2"/>
        <v>0</v>
      </c>
      <c r="S20" s="36">
        <f t="shared" si="2"/>
        <v>0</v>
      </c>
      <c r="T20" s="36">
        <f t="shared" si="2"/>
        <v>0</v>
      </c>
      <c r="U20" s="36">
        <f t="shared" si="2"/>
        <v>0</v>
      </c>
      <c r="V20" s="36">
        <f t="shared" si="2"/>
        <v>0</v>
      </c>
      <c r="W20" s="36">
        <f t="shared" si="2"/>
        <v>56250</v>
      </c>
      <c r="X20" s="36">
        <f t="shared" si="2"/>
        <v>0</v>
      </c>
      <c r="Y20" s="36">
        <f t="shared" si="2"/>
        <v>0</v>
      </c>
      <c r="Z20" s="36">
        <f t="shared" si="2"/>
        <v>0</v>
      </c>
      <c r="AA20" s="36">
        <f t="shared" si="2"/>
        <v>0</v>
      </c>
      <c r="AB20" s="36">
        <f t="shared" si="2"/>
        <v>0</v>
      </c>
      <c r="AC20" s="36">
        <f t="shared" si="2"/>
        <v>0</v>
      </c>
      <c r="AD20" s="36">
        <f t="shared" si="2"/>
        <v>5500</v>
      </c>
      <c r="AE20" s="36">
        <f t="shared" si="2"/>
        <v>43500</v>
      </c>
      <c r="AF20" s="36">
        <f t="shared" si="2"/>
        <v>0</v>
      </c>
      <c r="AG20" s="36">
        <f t="shared" si="2"/>
        <v>2000</v>
      </c>
      <c r="AH20" s="36">
        <f t="shared" si="2"/>
        <v>2000</v>
      </c>
      <c r="AI20" s="36">
        <f t="shared" si="2"/>
        <v>150</v>
      </c>
      <c r="AJ20" s="36">
        <f t="shared" si="2"/>
        <v>150</v>
      </c>
      <c r="AK20" s="36">
        <f t="shared" si="2"/>
        <v>12600</v>
      </c>
      <c r="AL20" s="36">
        <f t="shared" si="2"/>
        <v>11000</v>
      </c>
      <c r="AM20" s="36">
        <f t="shared" si="2"/>
        <v>0</v>
      </c>
      <c r="AN20" s="36">
        <f t="shared" si="2"/>
        <v>0</v>
      </c>
      <c r="AO20" s="36">
        <f t="shared" si="2"/>
        <v>13000</v>
      </c>
      <c r="AP20" s="36">
        <f t="shared" si="2"/>
        <v>0</v>
      </c>
      <c r="AQ20" s="36">
        <f t="shared" si="2"/>
        <v>0</v>
      </c>
      <c r="AR20" s="36">
        <f t="shared" si="2"/>
        <v>0</v>
      </c>
      <c r="AS20" s="82">
        <f t="shared" si="2"/>
        <v>0</v>
      </c>
    </row>
    <row r="21" spans="2:45" s="38" customFormat="1" ht="30" customHeight="1" thickBot="1" x14ac:dyDescent="0.3">
      <c r="B21" s="37" t="s">
        <v>40</v>
      </c>
      <c r="C21" s="72" t="e">
        <f>C20</f>
        <v>#REF!</v>
      </c>
      <c r="D21" s="72" t="e">
        <f>D20</f>
        <v>#REF!</v>
      </c>
      <c r="E21" s="72" t="e">
        <f>#REF!+#REF!+#REF!+#REF!+#REF!</f>
        <v>#REF!</v>
      </c>
      <c r="F21" s="72" t="e">
        <f>#REF!+#REF!+#REF!+#REF!+#REF!</f>
        <v>#REF!</v>
      </c>
      <c r="G21" s="72" t="e">
        <f>#REF!+#REF!+#REF!+#REF!+#REF!</f>
        <v>#REF!</v>
      </c>
      <c r="H21" s="72" t="e">
        <f>#REF!+#REF!+#REF!+#REF!+#REF!</f>
        <v>#REF!</v>
      </c>
      <c r="I21" s="72" t="e">
        <f t="shared" ref="I21:V21" si="3">I20</f>
        <v>#REF!</v>
      </c>
      <c r="J21" s="72" t="e">
        <f t="shared" si="3"/>
        <v>#REF!</v>
      </c>
      <c r="K21" s="72">
        <f t="shared" si="3"/>
        <v>50000</v>
      </c>
      <c r="L21" s="72">
        <f t="shared" si="3"/>
        <v>6250</v>
      </c>
      <c r="M21" s="72">
        <f t="shared" si="3"/>
        <v>53750</v>
      </c>
      <c r="N21" s="72">
        <f t="shared" si="3"/>
        <v>6250</v>
      </c>
      <c r="O21" s="72">
        <f t="shared" si="3"/>
        <v>0</v>
      </c>
      <c r="P21" s="72">
        <f t="shared" si="3"/>
        <v>0</v>
      </c>
      <c r="Q21" s="72">
        <f t="shared" si="3"/>
        <v>0</v>
      </c>
      <c r="R21" s="72">
        <f t="shared" si="3"/>
        <v>0</v>
      </c>
      <c r="S21" s="72">
        <f t="shared" si="3"/>
        <v>0</v>
      </c>
      <c r="T21" s="72">
        <f t="shared" si="3"/>
        <v>0</v>
      </c>
      <c r="U21" s="72">
        <f t="shared" si="3"/>
        <v>0</v>
      </c>
      <c r="V21" s="72">
        <f t="shared" si="3"/>
        <v>0</v>
      </c>
      <c r="W21" s="134">
        <f>W20+X20</f>
        <v>56250</v>
      </c>
      <c r="X21" s="134"/>
      <c r="Y21" s="72">
        <f t="shared" ref="Y21:AK21" si="4">Y20</f>
        <v>0</v>
      </c>
      <c r="Z21" s="72">
        <f>Z20</f>
        <v>0</v>
      </c>
      <c r="AA21" s="72">
        <f>AA20</f>
        <v>0</v>
      </c>
      <c r="AB21" s="72">
        <f t="shared" ref="AB21:AC21" si="5">AB20</f>
        <v>0</v>
      </c>
      <c r="AC21" s="72">
        <f t="shared" si="5"/>
        <v>0</v>
      </c>
      <c r="AD21" s="72">
        <f t="shared" si="4"/>
        <v>5500</v>
      </c>
      <c r="AE21" s="72">
        <f>AE20</f>
        <v>43500</v>
      </c>
      <c r="AF21" s="72">
        <f>AF20</f>
        <v>0</v>
      </c>
      <c r="AG21" s="134">
        <f>AG20+AH20</f>
        <v>4000</v>
      </c>
      <c r="AH21" s="134"/>
      <c r="AI21" s="134">
        <f>AI20+AJ20</f>
        <v>300</v>
      </c>
      <c r="AJ21" s="134"/>
      <c r="AK21" s="72">
        <f t="shared" si="4"/>
        <v>12600</v>
      </c>
      <c r="AL21" s="72">
        <f>AL20</f>
        <v>11000</v>
      </c>
      <c r="AM21" s="72">
        <f t="shared" ref="AM21:AN21" si="6">AM20</f>
        <v>0</v>
      </c>
      <c r="AN21" s="72">
        <f t="shared" si="6"/>
        <v>0</v>
      </c>
      <c r="AO21" s="134">
        <f>AO20+AP20</f>
        <v>13000</v>
      </c>
      <c r="AP21" s="134"/>
      <c r="AQ21" s="72">
        <f>AQ20</f>
        <v>0</v>
      </c>
      <c r="AR21" s="134">
        <f>AR20+AS20</f>
        <v>0</v>
      </c>
      <c r="AS21" s="135"/>
    </row>
    <row r="22" spans="2:45" x14ac:dyDescent="0.25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</row>
    <row r="23" spans="2:45" x14ac:dyDescent="0.25"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</row>
    <row r="24" spans="2:45" x14ac:dyDescent="0.25"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</row>
    <row r="25" spans="2:45" s="42" customFormat="1" ht="19.5" x14ac:dyDescent="0.3">
      <c r="B25" s="42" t="s">
        <v>41</v>
      </c>
      <c r="C25" s="43"/>
      <c r="N25" s="42" t="s">
        <v>42</v>
      </c>
      <c r="AG25" s="42" t="s">
        <v>43</v>
      </c>
      <c r="AM25" s="42" t="s">
        <v>44</v>
      </c>
    </row>
    <row r="26" spans="2:45" s="42" customFormat="1" ht="24.75" customHeight="1" x14ac:dyDescent="0.3">
      <c r="C26" s="43"/>
      <c r="N26" s="43"/>
    </row>
    <row r="27" spans="2:45" s="42" customFormat="1" ht="19.5" x14ac:dyDescent="0.3">
      <c r="B27" s="43"/>
      <c r="C27" s="43"/>
      <c r="N27" s="43"/>
    </row>
    <row r="28" spans="2:45" s="42" customFormat="1" ht="19.5" x14ac:dyDescent="0.3">
      <c r="B28" s="44" t="s">
        <v>45</v>
      </c>
      <c r="C28" s="43"/>
      <c r="N28" s="45" t="s">
        <v>46</v>
      </c>
      <c r="AG28" s="45" t="s">
        <v>65</v>
      </c>
      <c r="AM28" s="45" t="s">
        <v>48</v>
      </c>
      <c r="AN28" s="46"/>
    </row>
    <row r="29" spans="2:45" s="42" customFormat="1" ht="19.5" x14ac:dyDescent="0.3">
      <c r="B29" s="42" t="s">
        <v>51</v>
      </c>
      <c r="N29" s="42" t="s">
        <v>49</v>
      </c>
      <c r="AG29" s="42" t="s">
        <v>66</v>
      </c>
      <c r="AM29" s="47" t="s">
        <v>54</v>
      </c>
      <c r="AN29" s="47"/>
    </row>
    <row r="30" spans="2:45" s="48" customFormat="1" ht="20.25" x14ac:dyDescent="0.3"/>
    <row r="31" spans="2:45" x14ac:dyDescent="0.25">
      <c r="B31" s="41"/>
      <c r="AA31" s="7"/>
      <c r="AB31" s="7"/>
      <c r="AC31" s="7"/>
      <c r="AD31" s="7"/>
      <c r="AE31" s="7"/>
      <c r="AF31" s="7"/>
    </row>
    <row r="32" spans="2:45" s="49" customFormat="1" x14ac:dyDescent="0.25">
      <c r="AA32" s="50"/>
      <c r="AB32" s="50"/>
      <c r="AC32" s="50"/>
      <c r="AD32" s="50"/>
      <c r="AE32" s="50"/>
      <c r="AF32" s="50"/>
    </row>
    <row r="33" spans="2:44" x14ac:dyDescent="0.25"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70"/>
      <c r="V33" s="7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2:44" x14ac:dyDescent="0.25"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2:44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2:44" x14ac:dyDescent="0.25">
      <c r="B36" s="41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2:44" x14ac:dyDescent="0.25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2:44" x14ac:dyDescent="0.25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2:44" x14ac:dyDescent="0.25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2:44" x14ac:dyDescent="0.25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2:44" x14ac:dyDescent="0.25">
      <c r="B41" s="41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2:44" x14ac:dyDescent="0.25">
      <c r="B42" s="41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2:44" x14ac:dyDescent="0.25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2:44" x14ac:dyDescent="0.25"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2:44" x14ac:dyDescent="0.25"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2:44" x14ac:dyDescent="0.25"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2:44" x14ac:dyDescent="0.25"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</row>
    <row r="48" spans="2:44" x14ac:dyDescent="0.25">
      <c r="B48" s="41"/>
      <c r="AJ48" s="40"/>
    </row>
    <row r="54" spans="2:2" x14ac:dyDescent="0.25">
      <c r="B54" s="41"/>
    </row>
  </sheetData>
  <mergeCells count="70">
    <mergeCell ref="AR21:AS21"/>
    <mergeCell ref="B33:T33"/>
    <mergeCell ref="W14:X14"/>
    <mergeCell ref="AG14:AH14"/>
    <mergeCell ref="AI14:AJ14"/>
    <mergeCell ref="AO14:AP14"/>
    <mergeCell ref="W21:X21"/>
    <mergeCell ref="AG21:AH21"/>
    <mergeCell ref="AI21:AJ21"/>
    <mergeCell ref="AO21:AP21"/>
    <mergeCell ref="I14:J14"/>
    <mergeCell ref="K14:L14"/>
    <mergeCell ref="M14:N14"/>
    <mergeCell ref="O14:P14"/>
    <mergeCell ref="Q14:R14"/>
    <mergeCell ref="S14:T14"/>
    <mergeCell ref="S12:T12"/>
    <mergeCell ref="U12:V12"/>
    <mergeCell ref="Y12:Z12"/>
    <mergeCell ref="AA12:AB12"/>
    <mergeCell ref="U13:V13"/>
    <mergeCell ref="U14:V14"/>
    <mergeCell ref="K13:L13"/>
    <mergeCell ref="M13:N13"/>
    <mergeCell ref="O13:P13"/>
    <mergeCell ref="Q13:R13"/>
    <mergeCell ref="S13:T13"/>
    <mergeCell ref="AQ11:AQ13"/>
    <mergeCell ref="AR11:AS13"/>
    <mergeCell ref="C12:D12"/>
    <mergeCell ref="I12:J12"/>
    <mergeCell ref="K12:L12"/>
    <mergeCell ref="M12:N12"/>
    <mergeCell ref="O12:P12"/>
    <mergeCell ref="Q12:R12"/>
    <mergeCell ref="C11:D11"/>
    <mergeCell ref="E11:F11"/>
    <mergeCell ref="G11:H11"/>
    <mergeCell ref="I11:V11"/>
    <mergeCell ref="W11:X13"/>
    <mergeCell ref="Y11:AJ11"/>
    <mergeCell ref="AD12:AF12"/>
    <mergeCell ref="AG12:AH13"/>
    <mergeCell ref="AP9:AP10"/>
    <mergeCell ref="AQ9:AS10"/>
    <mergeCell ref="C10:D10"/>
    <mergeCell ref="E10:F10"/>
    <mergeCell ref="G10:H10"/>
    <mergeCell ref="Y9:AC10"/>
    <mergeCell ref="AD9:AF10"/>
    <mergeCell ref="AG9:AG10"/>
    <mergeCell ref="AH9:AH10"/>
    <mergeCell ref="AI9:AI10"/>
    <mergeCell ref="AJ9:AJ10"/>
    <mergeCell ref="B1:AN1"/>
    <mergeCell ref="B2:AN2"/>
    <mergeCell ref="B5:AN5"/>
    <mergeCell ref="B6:AN6"/>
    <mergeCell ref="B9:B15"/>
    <mergeCell ref="C9:D9"/>
    <mergeCell ref="I9:L10"/>
    <mergeCell ref="M9:V10"/>
    <mergeCell ref="W9:W10"/>
    <mergeCell ref="X9:X10"/>
    <mergeCell ref="AK9:AO10"/>
    <mergeCell ref="AK11:AN11"/>
    <mergeCell ref="AO11:AP13"/>
    <mergeCell ref="AI12:AJ13"/>
    <mergeCell ref="AK12:AN12"/>
    <mergeCell ref="I13:J13"/>
  </mergeCells>
  <pageMargins left="0.39370078740157483" right="0.27559055118110237" top="0.47244094488188981" bottom="0.15748031496062992" header="0.31496062992125984" footer="0.19685039370078741"/>
  <pageSetup paperSize="14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2"/>
  <sheetViews>
    <sheetView tabSelected="1" workbookViewId="0">
      <selection activeCell="W18" sqref="W18"/>
    </sheetView>
  </sheetViews>
  <sheetFormatPr defaultRowHeight="15" x14ac:dyDescent="0.25"/>
  <cols>
    <col min="1" max="1" width="0.7109375" style="41" customWidth="1"/>
    <col min="2" max="2" width="24.5703125" style="51" customWidth="1"/>
    <col min="3" max="3" width="5.42578125" style="41" hidden="1" customWidth="1"/>
    <col min="4" max="4" width="6.28515625" style="41" hidden="1" customWidth="1"/>
    <col min="5" max="5" width="5.5703125" style="41" hidden="1" customWidth="1"/>
    <col min="6" max="6" width="5.28515625" style="41" hidden="1" customWidth="1"/>
    <col min="7" max="7" width="5.5703125" style="41" hidden="1" customWidth="1"/>
    <col min="8" max="8" width="5.28515625" style="41" hidden="1" customWidth="1"/>
    <col min="9" max="9" width="8.140625" style="41" hidden="1" customWidth="1"/>
    <col min="10" max="10" width="8.7109375" style="41" hidden="1" customWidth="1"/>
    <col min="11" max="11" width="8.140625" style="41" customWidth="1"/>
    <col min="12" max="12" width="8.7109375" style="41" customWidth="1"/>
    <col min="13" max="13" width="10.42578125" style="41" customWidth="1"/>
    <col min="14" max="14" width="7.85546875" style="41" bestFit="1" customWidth="1"/>
    <col min="15" max="15" width="6.42578125" style="41" hidden="1" customWidth="1"/>
    <col min="16" max="16" width="7.5703125" style="41" hidden="1" customWidth="1"/>
    <col min="17" max="17" width="5.7109375" style="41" hidden="1" customWidth="1"/>
    <col min="18" max="18" width="9.28515625" style="41" hidden="1" customWidth="1"/>
    <col min="19" max="19" width="4.42578125" style="41" hidden="1" customWidth="1"/>
    <col min="20" max="20" width="5" style="41" hidden="1" customWidth="1"/>
    <col min="21" max="21" width="7.5703125" style="41" hidden="1" customWidth="1"/>
    <col min="22" max="22" width="7.28515625" style="41" hidden="1" customWidth="1"/>
    <col min="23" max="23" width="9" style="41" customWidth="1"/>
    <col min="24" max="24" width="7.42578125" style="41" customWidth="1"/>
    <col min="25" max="25" width="7" style="41" hidden="1" customWidth="1"/>
    <col min="26" max="26" width="7.7109375" style="41" hidden="1" customWidth="1"/>
    <col min="27" max="27" width="7.7109375" style="41" bestFit="1" customWidth="1"/>
    <col min="28" max="28" width="7" style="41" customWidth="1"/>
    <col min="29" max="29" width="9.42578125" style="41" hidden="1" customWidth="1"/>
    <col min="30" max="30" width="8.140625" style="41" customWidth="1"/>
    <col min="31" max="31" width="8.85546875" style="41" customWidth="1"/>
    <col min="32" max="32" width="7.85546875" style="41" customWidth="1"/>
    <col min="33" max="33" width="9.42578125" style="41" customWidth="1"/>
    <col min="34" max="34" width="8.85546875" style="41" customWidth="1"/>
    <col min="35" max="35" width="8.5703125" style="41" customWidth="1"/>
    <col min="36" max="36" width="8" style="41" customWidth="1"/>
    <col min="37" max="37" width="9.5703125" style="41" customWidth="1"/>
    <col min="38" max="38" width="9" style="41" customWidth="1"/>
    <col min="39" max="39" width="9.7109375" style="41" customWidth="1"/>
    <col min="40" max="40" width="8.28515625" style="41" customWidth="1"/>
    <col min="41" max="41" width="9" style="41" customWidth="1"/>
    <col min="42" max="42" width="8.42578125" style="41" customWidth="1"/>
    <col min="43" max="43" width="7.5703125" style="41" customWidth="1"/>
    <col min="44" max="44" width="9" style="41" customWidth="1"/>
    <col min="45" max="45" width="8.140625" style="41" customWidth="1"/>
    <col min="46" max="16384" width="9.140625" style="41"/>
  </cols>
  <sheetData>
    <row r="1" spans="2:45" s="1" customFormat="1" ht="18.75" customHeight="1" x14ac:dyDescent="0.3"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76"/>
      <c r="AP1" s="76"/>
      <c r="AQ1" s="76"/>
      <c r="AR1" s="76"/>
    </row>
    <row r="2" spans="2:45" s="1" customFormat="1" ht="20.25" x14ac:dyDescent="0.3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76"/>
      <c r="AP2" s="76"/>
      <c r="AQ2" s="76"/>
      <c r="AR2" s="76"/>
    </row>
    <row r="3" spans="2:45" s="1" customFormat="1" ht="12.75" customHeight="1" x14ac:dyDescent="0.3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2"/>
      <c r="AK3" s="76"/>
      <c r="AL3" s="76"/>
      <c r="AM3" s="76"/>
      <c r="AN3" s="76"/>
      <c r="AO3" s="76"/>
      <c r="AP3" s="76"/>
      <c r="AQ3" s="76"/>
      <c r="AR3" s="76"/>
    </row>
    <row r="4" spans="2:45" s="1" customFormat="1" ht="12.75" customHeight="1" x14ac:dyDescent="0.3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2"/>
      <c r="AK4" s="76"/>
      <c r="AL4" s="76"/>
      <c r="AM4" s="76"/>
      <c r="AN4" s="76"/>
      <c r="AO4" s="76"/>
      <c r="AP4" s="76"/>
      <c r="AQ4" s="76"/>
      <c r="AR4" s="76"/>
    </row>
    <row r="5" spans="2:45" s="1" customFormat="1" ht="20.25" x14ac:dyDescent="0.3"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76"/>
      <c r="AP5" s="76"/>
      <c r="AQ5" s="76"/>
      <c r="AR5" s="76"/>
    </row>
    <row r="6" spans="2:45" s="1" customFormat="1" ht="20.25" x14ac:dyDescent="0.3">
      <c r="B6" s="83" t="s">
        <v>72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76"/>
      <c r="AP6" s="76"/>
      <c r="AQ6" s="76"/>
      <c r="AR6" s="76"/>
    </row>
    <row r="7" spans="2:45" s="4" customFormat="1" ht="18.7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/>
      <c r="AL7" s="3"/>
      <c r="AM7" s="3"/>
      <c r="AN7" s="3"/>
      <c r="AO7" s="3"/>
      <c r="AP7" s="3"/>
      <c r="AQ7" s="3"/>
      <c r="AR7" s="3"/>
    </row>
    <row r="8" spans="2:45" s="7" customFormat="1" ht="6.75" customHeight="1" thickBot="1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K8" s="6"/>
      <c r="AL8" s="6"/>
      <c r="AM8" s="6"/>
      <c r="AN8" s="6"/>
      <c r="AO8" s="6"/>
      <c r="AP8" s="6"/>
      <c r="AQ8" s="6"/>
      <c r="AR8" s="6"/>
    </row>
    <row r="9" spans="2:45" s="9" customFormat="1" ht="18" customHeight="1" thickBot="1" x14ac:dyDescent="0.3">
      <c r="B9" s="84" t="s">
        <v>3</v>
      </c>
      <c r="C9" s="86" t="s">
        <v>4</v>
      </c>
      <c r="D9" s="87"/>
      <c r="E9" s="8"/>
      <c r="F9" s="8"/>
      <c r="G9" s="8"/>
      <c r="H9" s="8"/>
      <c r="I9" s="88" t="s">
        <v>5</v>
      </c>
      <c r="J9" s="89"/>
      <c r="K9" s="89"/>
      <c r="L9" s="90"/>
      <c r="M9" s="94" t="s">
        <v>6</v>
      </c>
      <c r="N9" s="89"/>
      <c r="O9" s="89"/>
      <c r="P9" s="89"/>
      <c r="Q9" s="89"/>
      <c r="R9" s="89"/>
      <c r="S9" s="89"/>
      <c r="T9" s="89"/>
      <c r="U9" s="89"/>
      <c r="V9" s="90"/>
      <c r="W9" s="96" t="s">
        <v>7</v>
      </c>
      <c r="X9" s="96" t="s">
        <v>8</v>
      </c>
      <c r="Y9" s="94" t="s">
        <v>5</v>
      </c>
      <c r="Z9" s="89"/>
      <c r="AA9" s="89"/>
      <c r="AB9" s="89"/>
      <c r="AC9" s="90"/>
      <c r="AD9" s="94" t="s">
        <v>6</v>
      </c>
      <c r="AE9" s="89"/>
      <c r="AF9" s="90"/>
      <c r="AG9" s="96" t="s">
        <v>9</v>
      </c>
      <c r="AH9" s="96" t="s">
        <v>8</v>
      </c>
      <c r="AI9" s="96" t="s">
        <v>6</v>
      </c>
      <c r="AJ9" s="96" t="s">
        <v>8</v>
      </c>
      <c r="AK9" s="98" t="s">
        <v>6</v>
      </c>
      <c r="AL9" s="99"/>
      <c r="AM9" s="99"/>
      <c r="AN9" s="99"/>
      <c r="AO9" s="100"/>
      <c r="AP9" s="96" t="s">
        <v>8</v>
      </c>
      <c r="AQ9" s="98" t="s">
        <v>9</v>
      </c>
      <c r="AR9" s="99"/>
      <c r="AS9" s="110"/>
    </row>
    <row r="10" spans="2:45" s="10" customFormat="1" ht="34.5" customHeight="1" thickBot="1" x14ac:dyDescent="0.3">
      <c r="B10" s="85"/>
      <c r="C10" s="112" t="s">
        <v>10</v>
      </c>
      <c r="D10" s="113"/>
      <c r="E10" s="112" t="s">
        <v>11</v>
      </c>
      <c r="F10" s="114"/>
      <c r="G10" s="114" t="s">
        <v>12</v>
      </c>
      <c r="H10" s="115"/>
      <c r="I10" s="91"/>
      <c r="J10" s="92"/>
      <c r="K10" s="92"/>
      <c r="L10" s="93"/>
      <c r="M10" s="95"/>
      <c r="N10" s="92"/>
      <c r="O10" s="92"/>
      <c r="P10" s="92"/>
      <c r="Q10" s="92"/>
      <c r="R10" s="92"/>
      <c r="S10" s="92"/>
      <c r="T10" s="92"/>
      <c r="U10" s="92"/>
      <c r="V10" s="93"/>
      <c r="W10" s="97"/>
      <c r="X10" s="97"/>
      <c r="Y10" s="95"/>
      <c r="Z10" s="92"/>
      <c r="AA10" s="92"/>
      <c r="AB10" s="92"/>
      <c r="AC10" s="93"/>
      <c r="AD10" s="95"/>
      <c r="AE10" s="92"/>
      <c r="AF10" s="93"/>
      <c r="AG10" s="97"/>
      <c r="AH10" s="97"/>
      <c r="AI10" s="97"/>
      <c r="AJ10" s="97"/>
      <c r="AK10" s="101"/>
      <c r="AL10" s="102"/>
      <c r="AM10" s="102"/>
      <c r="AN10" s="102"/>
      <c r="AO10" s="103"/>
      <c r="AP10" s="97"/>
      <c r="AQ10" s="101"/>
      <c r="AR10" s="102"/>
      <c r="AS10" s="111"/>
    </row>
    <row r="11" spans="2:45" s="10" customFormat="1" ht="24.95" customHeight="1" x14ac:dyDescent="0.25">
      <c r="B11" s="85"/>
      <c r="C11" s="125" t="s">
        <v>13</v>
      </c>
      <c r="D11" s="126"/>
      <c r="E11" s="125" t="s">
        <v>14</v>
      </c>
      <c r="F11" s="127"/>
      <c r="G11" s="127" t="s">
        <v>15</v>
      </c>
      <c r="H11" s="128"/>
      <c r="I11" s="129" t="s">
        <v>16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30"/>
      <c r="W11" s="131" t="s">
        <v>17</v>
      </c>
      <c r="X11" s="131"/>
      <c r="Y11" s="132" t="s">
        <v>18</v>
      </c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04" t="s">
        <v>19</v>
      </c>
      <c r="AL11" s="104"/>
      <c r="AM11" s="104"/>
      <c r="AN11" s="104"/>
      <c r="AO11" s="105" t="s">
        <v>20</v>
      </c>
      <c r="AP11" s="105"/>
      <c r="AQ11" s="116" t="s">
        <v>21</v>
      </c>
      <c r="AR11" s="117" t="s">
        <v>22</v>
      </c>
      <c r="AS11" s="118"/>
    </row>
    <row r="12" spans="2:45" s="10" customFormat="1" ht="36" customHeight="1" x14ac:dyDescent="0.25">
      <c r="B12" s="85"/>
      <c r="C12" s="123">
        <v>11083</v>
      </c>
      <c r="D12" s="124"/>
      <c r="E12" s="11"/>
      <c r="F12" s="12"/>
      <c r="G12" s="12"/>
      <c r="H12" s="13"/>
      <c r="I12" s="109">
        <v>200</v>
      </c>
      <c r="J12" s="105"/>
      <c r="K12" s="109">
        <v>200</v>
      </c>
      <c r="L12" s="105"/>
      <c r="M12" s="105">
        <v>215</v>
      </c>
      <c r="N12" s="105"/>
      <c r="O12" s="105">
        <v>135</v>
      </c>
      <c r="P12" s="105"/>
      <c r="Q12" s="105">
        <v>150</v>
      </c>
      <c r="R12" s="105"/>
      <c r="S12" s="105">
        <v>150</v>
      </c>
      <c r="T12" s="105"/>
      <c r="U12" s="105">
        <v>38</v>
      </c>
      <c r="V12" s="105"/>
      <c r="W12" s="131"/>
      <c r="X12" s="131"/>
      <c r="Y12" s="105" t="s">
        <v>23</v>
      </c>
      <c r="Z12" s="105"/>
      <c r="AA12" s="105" t="s">
        <v>24</v>
      </c>
      <c r="AB12" s="105"/>
      <c r="AC12" s="14" t="s">
        <v>25</v>
      </c>
      <c r="AD12" s="106" t="s">
        <v>26</v>
      </c>
      <c r="AE12" s="107"/>
      <c r="AF12" s="108"/>
      <c r="AG12" s="105" t="s">
        <v>27</v>
      </c>
      <c r="AH12" s="105"/>
      <c r="AI12" s="105" t="s">
        <v>28</v>
      </c>
      <c r="AJ12" s="105"/>
      <c r="AK12" s="106" t="s">
        <v>29</v>
      </c>
      <c r="AL12" s="107"/>
      <c r="AM12" s="107"/>
      <c r="AN12" s="108"/>
      <c r="AO12" s="105"/>
      <c r="AP12" s="105"/>
      <c r="AQ12" s="116"/>
      <c r="AR12" s="119"/>
      <c r="AS12" s="120"/>
    </row>
    <row r="13" spans="2:45" s="19" customFormat="1" ht="30" customHeight="1" thickBot="1" x14ac:dyDescent="0.3">
      <c r="B13" s="85"/>
      <c r="C13" s="15" t="s">
        <v>30</v>
      </c>
      <c r="D13" s="16" t="s">
        <v>31</v>
      </c>
      <c r="E13" s="15" t="s">
        <v>30</v>
      </c>
      <c r="F13" s="17" t="s">
        <v>31</v>
      </c>
      <c r="G13" s="17" t="s">
        <v>30</v>
      </c>
      <c r="H13" s="18" t="s">
        <v>31</v>
      </c>
      <c r="I13" s="109" t="s">
        <v>32</v>
      </c>
      <c r="J13" s="105"/>
      <c r="K13" s="109" t="s">
        <v>53</v>
      </c>
      <c r="L13" s="105"/>
      <c r="M13" s="105" t="s">
        <v>34</v>
      </c>
      <c r="N13" s="105"/>
      <c r="O13" s="105" t="s">
        <v>34</v>
      </c>
      <c r="P13" s="105"/>
      <c r="Q13" s="105" t="s">
        <v>33</v>
      </c>
      <c r="R13" s="105"/>
      <c r="S13" s="105" t="s">
        <v>35</v>
      </c>
      <c r="T13" s="105"/>
      <c r="U13" s="105" t="s">
        <v>34</v>
      </c>
      <c r="V13" s="105"/>
      <c r="W13" s="131"/>
      <c r="X13" s="131"/>
      <c r="Y13" s="77">
        <v>2.4</v>
      </c>
      <c r="Z13" s="77">
        <v>3.6</v>
      </c>
      <c r="AA13" s="77">
        <v>2.4</v>
      </c>
      <c r="AB13" s="77">
        <v>3.6</v>
      </c>
      <c r="AC13" s="77"/>
      <c r="AD13" s="77">
        <v>3.6</v>
      </c>
      <c r="AE13" s="77">
        <v>2.4</v>
      </c>
      <c r="AF13" s="77">
        <v>4.9000000000000004</v>
      </c>
      <c r="AG13" s="105"/>
      <c r="AH13" s="105"/>
      <c r="AI13" s="105"/>
      <c r="AJ13" s="105"/>
      <c r="AK13" s="77">
        <v>5</v>
      </c>
      <c r="AL13" s="77">
        <v>10</v>
      </c>
      <c r="AM13" s="78" t="s">
        <v>52</v>
      </c>
      <c r="AN13" s="77">
        <v>40</v>
      </c>
      <c r="AO13" s="105"/>
      <c r="AP13" s="105"/>
      <c r="AQ13" s="116"/>
      <c r="AR13" s="121"/>
      <c r="AS13" s="122"/>
    </row>
    <row r="14" spans="2:45" s="19" customFormat="1" ht="21.75" customHeight="1" x14ac:dyDescent="0.25">
      <c r="B14" s="85"/>
      <c r="C14" s="20"/>
      <c r="D14" s="21"/>
      <c r="E14" s="20"/>
      <c r="F14" s="22"/>
      <c r="G14" s="22"/>
      <c r="H14" s="21"/>
      <c r="I14" s="137">
        <v>31496</v>
      </c>
      <c r="J14" s="133"/>
      <c r="K14" s="137">
        <v>35245</v>
      </c>
      <c r="L14" s="133"/>
      <c r="M14" s="133">
        <v>11082</v>
      </c>
      <c r="N14" s="133"/>
      <c r="O14" s="133">
        <v>21810</v>
      </c>
      <c r="P14" s="133"/>
      <c r="Q14" s="133">
        <v>17362</v>
      </c>
      <c r="R14" s="133"/>
      <c r="S14" s="133">
        <v>18389</v>
      </c>
      <c r="T14" s="133"/>
      <c r="U14" s="133">
        <v>21811</v>
      </c>
      <c r="V14" s="133"/>
      <c r="W14" s="133">
        <v>10128</v>
      </c>
      <c r="X14" s="133"/>
      <c r="Y14" s="79">
        <v>10962</v>
      </c>
      <c r="Z14" s="79">
        <v>15427</v>
      </c>
      <c r="AA14" s="79">
        <v>16623</v>
      </c>
      <c r="AB14" s="79">
        <v>16967</v>
      </c>
      <c r="AC14" s="79">
        <v>28230</v>
      </c>
      <c r="AD14" s="79">
        <v>10966</v>
      </c>
      <c r="AE14" s="79">
        <v>10965</v>
      </c>
      <c r="AF14" s="79">
        <v>21809</v>
      </c>
      <c r="AG14" s="133">
        <v>11966</v>
      </c>
      <c r="AH14" s="133"/>
      <c r="AI14" s="133">
        <v>11089</v>
      </c>
      <c r="AJ14" s="133"/>
      <c r="AK14" s="79">
        <v>10960</v>
      </c>
      <c r="AL14" s="79">
        <v>10961</v>
      </c>
      <c r="AM14" s="79">
        <v>33442</v>
      </c>
      <c r="AN14" s="79">
        <v>10959</v>
      </c>
      <c r="AO14" s="133">
        <v>12487</v>
      </c>
      <c r="AP14" s="133"/>
      <c r="AQ14" s="79">
        <v>16823</v>
      </c>
      <c r="AR14" s="23">
        <v>11342</v>
      </c>
      <c r="AS14" s="23">
        <v>11342</v>
      </c>
    </row>
    <row r="15" spans="2:45" s="10" customFormat="1" ht="17.25" x14ac:dyDescent="0.25">
      <c r="B15" s="85"/>
      <c r="C15" s="24"/>
      <c r="D15" s="25"/>
      <c r="E15" s="24"/>
      <c r="F15" s="26"/>
      <c r="G15" s="26"/>
      <c r="H15" s="25"/>
      <c r="I15" s="27" t="s">
        <v>36</v>
      </c>
      <c r="J15" s="28" t="s">
        <v>37</v>
      </c>
      <c r="K15" s="27" t="s">
        <v>36</v>
      </c>
      <c r="L15" s="28" t="s">
        <v>37</v>
      </c>
      <c r="M15" s="28" t="s">
        <v>36</v>
      </c>
      <c r="N15" s="28" t="s">
        <v>37</v>
      </c>
      <c r="O15" s="28" t="s">
        <v>36</v>
      </c>
      <c r="P15" s="28" t="s">
        <v>37</v>
      </c>
      <c r="Q15" s="28" t="s">
        <v>36</v>
      </c>
      <c r="R15" s="28" t="s">
        <v>37</v>
      </c>
      <c r="S15" s="28" t="s">
        <v>36</v>
      </c>
      <c r="T15" s="28" t="s">
        <v>37</v>
      </c>
      <c r="U15" s="28" t="s">
        <v>36</v>
      </c>
      <c r="V15" s="28" t="s">
        <v>37</v>
      </c>
      <c r="W15" s="28" t="s">
        <v>37</v>
      </c>
      <c r="X15" s="28" t="s">
        <v>37</v>
      </c>
      <c r="Y15" s="28" t="s">
        <v>36</v>
      </c>
      <c r="Z15" s="28" t="s">
        <v>36</v>
      </c>
      <c r="AA15" s="28" t="s">
        <v>36</v>
      </c>
      <c r="AB15" s="28" t="s">
        <v>36</v>
      </c>
      <c r="AC15" s="28" t="s">
        <v>36</v>
      </c>
      <c r="AD15" s="28" t="s">
        <v>36</v>
      </c>
      <c r="AE15" s="28" t="s">
        <v>36</v>
      </c>
      <c r="AF15" s="28" t="s">
        <v>36</v>
      </c>
      <c r="AG15" s="28" t="s">
        <v>36</v>
      </c>
      <c r="AH15" s="28" t="s">
        <v>36</v>
      </c>
      <c r="AI15" s="28" t="s">
        <v>36</v>
      </c>
      <c r="AJ15" s="28" t="s">
        <v>36</v>
      </c>
      <c r="AK15" s="28" t="s">
        <v>38</v>
      </c>
      <c r="AL15" s="28" t="s">
        <v>38</v>
      </c>
      <c r="AM15" s="28" t="s">
        <v>38</v>
      </c>
      <c r="AN15" s="28" t="s">
        <v>38</v>
      </c>
      <c r="AO15" s="28" t="s">
        <v>38</v>
      </c>
      <c r="AP15" s="28" t="s">
        <v>38</v>
      </c>
      <c r="AQ15" s="28" t="s">
        <v>38</v>
      </c>
      <c r="AR15" s="29" t="s">
        <v>36</v>
      </c>
      <c r="AS15" s="29" t="s">
        <v>36</v>
      </c>
    </row>
    <row r="16" spans="2:45" s="34" customFormat="1" ht="30" customHeight="1" x14ac:dyDescent="0.25">
      <c r="B16" s="30" t="s">
        <v>73</v>
      </c>
      <c r="C16" s="31"/>
      <c r="D16" s="31">
        <f t="shared" ref="D16:D17" si="0">C16/208*25</f>
        <v>0</v>
      </c>
      <c r="E16" s="31"/>
      <c r="F16" s="31"/>
      <c r="G16" s="31"/>
      <c r="H16" s="31"/>
      <c r="I16" s="31"/>
      <c r="J16" s="31">
        <f>I16/200*25</f>
        <v>0</v>
      </c>
      <c r="K16" s="31">
        <f>100*200</f>
        <v>20000</v>
      </c>
      <c r="L16" s="31">
        <f>K16/200*25</f>
        <v>2500</v>
      </c>
      <c r="M16" s="31">
        <f>100*215</f>
        <v>21500</v>
      </c>
      <c r="N16" s="31">
        <f>M16/215*25</f>
        <v>2500</v>
      </c>
      <c r="O16" s="31"/>
      <c r="P16" s="31">
        <f>O16/150*25</f>
        <v>0</v>
      </c>
      <c r="Q16" s="31"/>
      <c r="R16" s="31"/>
      <c r="S16" s="31"/>
      <c r="T16" s="31"/>
      <c r="U16" s="31"/>
      <c r="V16" s="31">
        <f>U16/38*25</f>
        <v>0</v>
      </c>
      <c r="W16" s="32">
        <f>350*25</f>
        <v>8750</v>
      </c>
      <c r="X16" s="32">
        <v>0</v>
      </c>
      <c r="Y16" s="31"/>
      <c r="Z16" s="31"/>
      <c r="AA16" s="31"/>
      <c r="AB16" s="31"/>
      <c r="AC16" s="31"/>
      <c r="AD16" s="31"/>
      <c r="AE16" s="31">
        <v>25500</v>
      </c>
      <c r="AF16" s="31"/>
      <c r="AG16" s="32">
        <v>1500</v>
      </c>
      <c r="AH16" s="32">
        <v>1500</v>
      </c>
      <c r="AI16" s="31">
        <v>40</v>
      </c>
      <c r="AJ16" s="31">
        <v>40</v>
      </c>
      <c r="AK16" s="31">
        <v>2700</v>
      </c>
      <c r="AL16" s="31">
        <v>3000</v>
      </c>
      <c r="AM16" s="31"/>
      <c r="AN16" s="31"/>
      <c r="AO16" s="32">
        <v>4000</v>
      </c>
      <c r="AP16" s="32"/>
      <c r="AQ16" s="31"/>
      <c r="AR16" s="31"/>
      <c r="AS16" s="33"/>
    </row>
    <row r="17" spans="2:45" s="34" customFormat="1" ht="30" customHeight="1" x14ac:dyDescent="0.25">
      <c r="B17" s="30" t="s">
        <v>74</v>
      </c>
      <c r="C17" s="31"/>
      <c r="D17" s="31">
        <f t="shared" si="0"/>
        <v>0</v>
      </c>
      <c r="E17" s="31"/>
      <c r="F17" s="31"/>
      <c r="G17" s="31"/>
      <c r="H17" s="31"/>
      <c r="I17" s="31"/>
      <c r="J17" s="31">
        <f>I17/200*25</f>
        <v>0</v>
      </c>
      <c r="K17" s="31">
        <f>75*200</f>
        <v>15000</v>
      </c>
      <c r="L17" s="31">
        <f>K17/200*25</f>
        <v>1875</v>
      </c>
      <c r="M17" s="31">
        <f>75*215</f>
        <v>16125</v>
      </c>
      <c r="N17" s="31">
        <f>M17/215*25</f>
        <v>1875</v>
      </c>
      <c r="O17" s="31"/>
      <c r="P17" s="31">
        <f>O17/150*25</f>
        <v>0</v>
      </c>
      <c r="Q17" s="31"/>
      <c r="R17" s="31"/>
      <c r="S17" s="31"/>
      <c r="T17" s="31"/>
      <c r="U17" s="31"/>
      <c r="V17" s="31">
        <f>U17/38*25</f>
        <v>0</v>
      </c>
      <c r="W17" s="32">
        <f>350*25</f>
        <v>8750</v>
      </c>
      <c r="X17" s="32">
        <v>0</v>
      </c>
      <c r="Y17" s="31"/>
      <c r="Z17" s="31"/>
      <c r="AA17" s="31"/>
      <c r="AB17" s="31"/>
      <c r="AC17" s="31"/>
      <c r="AD17" s="31"/>
      <c r="AE17" s="31">
        <v>6000</v>
      </c>
      <c r="AF17" s="31"/>
      <c r="AG17" s="32">
        <v>1000</v>
      </c>
      <c r="AH17" s="32">
        <v>1000</v>
      </c>
      <c r="AI17" s="31"/>
      <c r="AJ17" s="31"/>
      <c r="AK17" s="31">
        <v>2700</v>
      </c>
      <c r="AL17" s="31">
        <v>3000</v>
      </c>
      <c r="AM17" s="31"/>
      <c r="AN17" s="31"/>
      <c r="AO17" s="32">
        <v>4000</v>
      </c>
      <c r="AP17" s="32"/>
      <c r="AQ17" s="31"/>
      <c r="AR17" s="31"/>
      <c r="AS17" s="33"/>
    </row>
    <row r="18" spans="2:45" s="34" customFormat="1" ht="30" customHeight="1" x14ac:dyDescent="0.25">
      <c r="B18" s="35" t="s">
        <v>39</v>
      </c>
      <c r="C18" s="36" t="e">
        <f>SUM(#REF!)</f>
        <v>#REF!</v>
      </c>
      <c r="D18" s="36" t="e">
        <f>SUM(#REF!)</f>
        <v>#REF!</v>
      </c>
      <c r="E18" s="36" t="e">
        <f>#REF!+#REF!+#REF!+#REF!+#REF!</f>
        <v>#REF!</v>
      </c>
      <c r="F18" s="36" t="e">
        <f>#REF!+#REF!+#REF!+#REF!+#REF!</f>
        <v>#REF!</v>
      </c>
      <c r="G18" s="36" t="e">
        <f>#REF!+#REF!+#REF!+#REF!+#REF!</f>
        <v>#REF!</v>
      </c>
      <c r="H18" s="36" t="e">
        <f>#REF!+#REF!+#REF!+#REF!+#REF!</f>
        <v>#REF!</v>
      </c>
      <c r="I18" s="36" t="e">
        <f>SUM(#REF!)</f>
        <v>#REF!</v>
      </c>
      <c r="J18" s="36" t="e">
        <f>SUM(#REF!)</f>
        <v>#REF!</v>
      </c>
      <c r="K18" s="36">
        <f t="shared" ref="K18:AS18" si="1">SUM(K16:K17)</f>
        <v>35000</v>
      </c>
      <c r="L18" s="36">
        <f t="shared" si="1"/>
        <v>4375</v>
      </c>
      <c r="M18" s="36">
        <f t="shared" si="1"/>
        <v>37625</v>
      </c>
      <c r="N18" s="36">
        <f t="shared" si="1"/>
        <v>4375</v>
      </c>
      <c r="O18" s="36">
        <f t="shared" si="1"/>
        <v>0</v>
      </c>
      <c r="P18" s="36">
        <f t="shared" si="1"/>
        <v>0</v>
      </c>
      <c r="Q18" s="36">
        <f t="shared" si="1"/>
        <v>0</v>
      </c>
      <c r="R18" s="36">
        <f t="shared" si="1"/>
        <v>0</v>
      </c>
      <c r="S18" s="36">
        <f t="shared" si="1"/>
        <v>0</v>
      </c>
      <c r="T18" s="36">
        <f t="shared" si="1"/>
        <v>0</v>
      </c>
      <c r="U18" s="36">
        <f t="shared" si="1"/>
        <v>0</v>
      </c>
      <c r="V18" s="36">
        <f t="shared" si="1"/>
        <v>0</v>
      </c>
      <c r="W18" s="36">
        <f t="shared" si="1"/>
        <v>17500</v>
      </c>
      <c r="X18" s="36">
        <f t="shared" si="1"/>
        <v>0</v>
      </c>
      <c r="Y18" s="36">
        <f t="shared" si="1"/>
        <v>0</v>
      </c>
      <c r="Z18" s="36">
        <f t="shared" si="1"/>
        <v>0</v>
      </c>
      <c r="AA18" s="36">
        <f t="shared" si="1"/>
        <v>0</v>
      </c>
      <c r="AB18" s="36">
        <f t="shared" si="1"/>
        <v>0</v>
      </c>
      <c r="AC18" s="36">
        <f t="shared" si="1"/>
        <v>0</v>
      </c>
      <c r="AD18" s="36">
        <f t="shared" si="1"/>
        <v>0</v>
      </c>
      <c r="AE18" s="36">
        <f t="shared" si="1"/>
        <v>31500</v>
      </c>
      <c r="AF18" s="36">
        <f t="shared" si="1"/>
        <v>0</v>
      </c>
      <c r="AG18" s="36">
        <f t="shared" si="1"/>
        <v>2500</v>
      </c>
      <c r="AH18" s="36">
        <f t="shared" si="1"/>
        <v>2500</v>
      </c>
      <c r="AI18" s="36">
        <f t="shared" si="1"/>
        <v>40</v>
      </c>
      <c r="AJ18" s="36">
        <f t="shared" si="1"/>
        <v>40</v>
      </c>
      <c r="AK18" s="36">
        <f t="shared" si="1"/>
        <v>5400</v>
      </c>
      <c r="AL18" s="36">
        <f t="shared" si="1"/>
        <v>6000</v>
      </c>
      <c r="AM18" s="36">
        <f t="shared" si="1"/>
        <v>0</v>
      </c>
      <c r="AN18" s="36">
        <f t="shared" si="1"/>
        <v>0</v>
      </c>
      <c r="AO18" s="36">
        <f t="shared" si="1"/>
        <v>8000</v>
      </c>
      <c r="AP18" s="36">
        <f t="shared" si="1"/>
        <v>0</v>
      </c>
      <c r="AQ18" s="36">
        <f t="shared" si="1"/>
        <v>0</v>
      </c>
      <c r="AR18" s="36">
        <f t="shared" si="1"/>
        <v>0</v>
      </c>
      <c r="AS18" s="82">
        <f t="shared" si="1"/>
        <v>0</v>
      </c>
    </row>
    <row r="19" spans="2:45" s="38" customFormat="1" ht="30" customHeight="1" thickBot="1" x14ac:dyDescent="0.3">
      <c r="B19" s="37" t="s">
        <v>40</v>
      </c>
      <c r="C19" s="80" t="e">
        <f>C18</f>
        <v>#REF!</v>
      </c>
      <c r="D19" s="80" t="e">
        <f>D18</f>
        <v>#REF!</v>
      </c>
      <c r="E19" s="80" t="e">
        <f>#REF!+#REF!+#REF!+#REF!+#REF!</f>
        <v>#REF!</v>
      </c>
      <c r="F19" s="80" t="e">
        <f>#REF!+#REF!+#REF!+#REF!+#REF!</f>
        <v>#REF!</v>
      </c>
      <c r="G19" s="80" t="e">
        <f>#REF!+#REF!+#REF!+#REF!+#REF!</f>
        <v>#REF!</v>
      </c>
      <c r="H19" s="80" t="e">
        <f>#REF!+#REF!+#REF!+#REF!+#REF!</f>
        <v>#REF!</v>
      </c>
      <c r="I19" s="80" t="e">
        <f t="shared" ref="I19:V19" si="2">I18</f>
        <v>#REF!</v>
      </c>
      <c r="J19" s="80" t="e">
        <f t="shared" si="2"/>
        <v>#REF!</v>
      </c>
      <c r="K19" s="80">
        <f t="shared" si="2"/>
        <v>35000</v>
      </c>
      <c r="L19" s="80">
        <f t="shared" si="2"/>
        <v>4375</v>
      </c>
      <c r="M19" s="80">
        <f t="shared" si="2"/>
        <v>37625</v>
      </c>
      <c r="N19" s="80">
        <f t="shared" si="2"/>
        <v>4375</v>
      </c>
      <c r="O19" s="80">
        <f t="shared" si="2"/>
        <v>0</v>
      </c>
      <c r="P19" s="80">
        <f t="shared" si="2"/>
        <v>0</v>
      </c>
      <c r="Q19" s="80">
        <f t="shared" si="2"/>
        <v>0</v>
      </c>
      <c r="R19" s="80">
        <f t="shared" si="2"/>
        <v>0</v>
      </c>
      <c r="S19" s="80">
        <f t="shared" si="2"/>
        <v>0</v>
      </c>
      <c r="T19" s="80">
        <f t="shared" si="2"/>
        <v>0</v>
      </c>
      <c r="U19" s="80">
        <f t="shared" si="2"/>
        <v>0</v>
      </c>
      <c r="V19" s="80">
        <f t="shared" si="2"/>
        <v>0</v>
      </c>
      <c r="W19" s="134">
        <f>W18+X18</f>
        <v>17500</v>
      </c>
      <c r="X19" s="134"/>
      <c r="Y19" s="80">
        <f t="shared" ref="Y19:AK19" si="3">Y18</f>
        <v>0</v>
      </c>
      <c r="Z19" s="80">
        <f>Z18</f>
        <v>0</v>
      </c>
      <c r="AA19" s="80">
        <f>AA18</f>
        <v>0</v>
      </c>
      <c r="AB19" s="80">
        <f t="shared" ref="AB19:AC19" si="4">AB18</f>
        <v>0</v>
      </c>
      <c r="AC19" s="80">
        <f t="shared" si="4"/>
        <v>0</v>
      </c>
      <c r="AD19" s="80">
        <f t="shared" si="3"/>
        <v>0</v>
      </c>
      <c r="AE19" s="80">
        <f>AE18</f>
        <v>31500</v>
      </c>
      <c r="AF19" s="80">
        <f>AF18</f>
        <v>0</v>
      </c>
      <c r="AG19" s="134">
        <f>AG18+AH18</f>
        <v>5000</v>
      </c>
      <c r="AH19" s="134"/>
      <c r="AI19" s="134">
        <f>AI18+AJ18</f>
        <v>80</v>
      </c>
      <c r="AJ19" s="134"/>
      <c r="AK19" s="80">
        <f t="shared" si="3"/>
        <v>5400</v>
      </c>
      <c r="AL19" s="80">
        <f>AL18</f>
        <v>6000</v>
      </c>
      <c r="AM19" s="80">
        <f t="shared" ref="AM19:AN19" si="5">AM18</f>
        <v>0</v>
      </c>
      <c r="AN19" s="80">
        <f t="shared" si="5"/>
        <v>0</v>
      </c>
      <c r="AO19" s="134">
        <f>AO18+AP18</f>
        <v>8000</v>
      </c>
      <c r="AP19" s="134"/>
      <c r="AQ19" s="80">
        <f>AQ18</f>
        <v>0</v>
      </c>
      <c r="AR19" s="134">
        <f>AR18+AS18</f>
        <v>0</v>
      </c>
      <c r="AS19" s="135"/>
    </row>
    <row r="20" spans="2:45" x14ac:dyDescent="0.25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</row>
    <row r="21" spans="2:45" x14ac:dyDescent="0.25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</row>
    <row r="22" spans="2:45" x14ac:dyDescent="0.25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</row>
    <row r="23" spans="2:45" s="42" customFormat="1" ht="19.5" x14ac:dyDescent="0.3">
      <c r="B23" s="42" t="s">
        <v>41</v>
      </c>
      <c r="C23" s="43"/>
      <c r="N23" s="42" t="s">
        <v>42</v>
      </c>
      <c r="AG23" s="42" t="s">
        <v>43</v>
      </c>
      <c r="AM23" s="42" t="s">
        <v>44</v>
      </c>
    </row>
    <row r="24" spans="2:45" s="42" customFormat="1" ht="24.75" customHeight="1" x14ac:dyDescent="0.3">
      <c r="C24" s="43"/>
      <c r="N24" s="43"/>
    </row>
    <row r="25" spans="2:45" s="42" customFormat="1" ht="19.5" x14ac:dyDescent="0.3">
      <c r="B25" s="43"/>
      <c r="C25" s="43"/>
      <c r="N25" s="43"/>
    </row>
    <row r="26" spans="2:45" s="42" customFormat="1" ht="19.5" x14ac:dyDescent="0.3">
      <c r="B26" s="44" t="s">
        <v>45</v>
      </c>
      <c r="C26" s="43"/>
      <c r="N26" s="45" t="s">
        <v>46</v>
      </c>
      <c r="AG26" s="45" t="s">
        <v>47</v>
      </c>
      <c r="AM26" s="45" t="s">
        <v>48</v>
      </c>
      <c r="AN26" s="46"/>
    </row>
    <row r="27" spans="2:45" s="42" customFormat="1" ht="19.5" x14ac:dyDescent="0.3">
      <c r="B27" s="42" t="s">
        <v>51</v>
      </c>
      <c r="N27" s="42" t="s">
        <v>49</v>
      </c>
      <c r="AG27" s="42" t="s">
        <v>50</v>
      </c>
      <c r="AM27" s="47" t="s">
        <v>54</v>
      </c>
      <c r="AN27" s="47"/>
    </row>
    <row r="28" spans="2:45" s="48" customFormat="1" ht="20.25" x14ac:dyDescent="0.3"/>
    <row r="29" spans="2:45" x14ac:dyDescent="0.25">
      <c r="B29" s="41"/>
      <c r="AA29" s="7"/>
      <c r="AB29" s="7"/>
      <c r="AC29" s="7"/>
      <c r="AD29" s="7"/>
      <c r="AE29" s="7"/>
      <c r="AF29" s="7"/>
    </row>
    <row r="30" spans="2:45" s="49" customFormat="1" x14ac:dyDescent="0.25">
      <c r="AA30" s="50"/>
      <c r="AB30" s="50"/>
      <c r="AC30" s="50"/>
      <c r="AD30" s="50"/>
      <c r="AE30" s="50"/>
      <c r="AF30" s="50"/>
    </row>
    <row r="31" spans="2:45" x14ac:dyDescent="0.25"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81"/>
      <c r="V31" s="81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</row>
    <row r="32" spans="2:45" x14ac:dyDescent="0.25"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2:44" x14ac:dyDescent="0.25"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2:44" x14ac:dyDescent="0.25">
      <c r="B34" s="41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2:44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2:44" x14ac:dyDescent="0.25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2:44" x14ac:dyDescent="0.25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2:44" x14ac:dyDescent="0.25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2:44" x14ac:dyDescent="0.25">
      <c r="B39" s="41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2:44" x14ac:dyDescent="0.25">
      <c r="B40" s="41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2:44" x14ac:dyDescent="0.25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2:44" x14ac:dyDescent="0.25"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2:44" x14ac:dyDescent="0.25"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2:44" x14ac:dyDescent="0.25"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2:44" x14ac:dyDescent="0.25"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2:44" x14ac:dyDescent="0.25">
      <c r="B46" s="41"/>
      <c r="AJ46" s="40"/>
    </row>
    <row r="52" spans="2:2" x14ac:dyDescent="0.25">
      <c r="B52" s="41"/>
    </row>
  </sheetData>
  <mergeCells count="70">
    <mergeCell ref="B1:AN1"/>
    <mergeCell ref="B2:AN2"/>
    <mergeCell ref="B5:AN5"/>
    <mergeCell ref="B6:AN6"/>
    <mergeCell ref="B9:B15"/>
    <mergeCell ref="C9:D9"/>
    <mergeCell ref="I9:L10"/>
    <mergeCell ref="M9:V10"/>
    <mergeCell ref="W9:W10"/>
    <mergeCell ref="X9:X10"/>
    <mergeCell ref="AK9:AO10"/>
    <mergeCell ref="AK11:AN11"/>
    <mergeCell ref="AO11:AP13"/>
    <mergeCell ref="AI12:AJ13"/>
    <mergeCell ref="AK12:AN12"/>
    <mergeCell ref="I13:J13"/>
    <mergeCell ref="AP9:AP10"/>
    <mergeCell ref="AQ9:AS10"/>
    <mergeCell ref="C10:D10"/>
    <mergeCell ref="E10:F10"/>
    <mergeCell ref="G10:H10"/>
    <mergeCell ref="Y9:AC10"/>
    <mergeCell ref="AD9:AF10"/>
    <mergeCell ref="AG9:AG10"/>
    <mergeCell ref="AH9:AH10"/>
    <mergeCell ref="AI9:AI10"/>
    <mergeCell ref="AJ9:AJ10"/>
    <mergeCell ref="AQ11:AQ13"/>
    <mergeCell ref="AR11:AS13"/>
    <mergeCell ref="C12:D12"/>
    <mergeCell ref="I12:J12"/>
    <mergeCell ref="K12:L12"/>
    <mergeCell ref="M12:N12"/>
    <mergeCell ref="O12:P12"/>
    <mergeCell ref="Q12:R12"/>
    <mergeCell ref="C11:D11"/>
    <mergeCell ref="E11:F11"/>
    <mergeCell ref="G11:H11"/>
    <mergeCell ref="I11:V11"/>
    <mergeCell ref="W11:X13"/>
    <mergeCell ref="Y11:AJ11"/>
    <mergeCell ref="AD12:AF12"/>
    <mergeCell ref="AG12:AH13"/>
    <mergeCell ref="K13:L13"/>
    <mergeCell ref="M13:N13"/>
    <mergeCell ref="O13:P13"/>
    <mergeCell ref="Q13:R13"/>
    <mergeCell ref="S13:T13"/>
    <mergeCell ref="Q14:R14"/>
    <mergeCell ref="S12:T12"/>
    <mergeCell ref="U12:V12"/>
    <mergeCell ref="Y12:Z12"/>
    <mergeCell ref="AA12:AB12"/>
    <mergeCell ref="U13:V13"/>
    <mergeCell ref="S14:T14"/>
    <mergeCell ref="U14:V14"/>
    <mergeCell ref="AR19:AS19"/>
    <mergeCell ref="B31:T31"/>
    <mergeCell ref="W14:X14"/>
    <mergeCell ref="AG14:AH14"/>
    <mergeCell ref="AI14:AJ14"/>
    <mergeCell ref="AO14:AP14"/>
    <mergeCell ref="W19:X19"/>
    <mergeCell ref="AG19:AH19"/>
    <mergeCell ref="AI19:AJ19"/>
    <mergeCell ref="AO19:AP19"/>
    <mergeCell ref="I14:J14"/>
    <mergeCell ref="K14:L14"/>
    <mergeCell ref="M14:N14"/>
    <mergeCell ref="O14:P14"/>
  </mergeCells>
  <pageMargins left="0.39370078740157483" right="0.27559055118110237" top="0.47244094488188981" bottom="0.15748031496062992" header="0.31496062992125984" footer="0.19685039370078741"/>
  <pageSetup paperSize="14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2026</vt:lpstr>
      <vt:lpstr>FEBRUARY 2026</vt:lpstr>
      <vt:lpstr>MARCH 2026</vt:lpstr>
      <vt:lpstr>APRIL 2026</vt:lpstr>
      <vt:lpstr>MAY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cp:lastPrinted>2026-06-02T00:13:35Z</cp:lastPrinted>
  <dcterms:created xsi:type="dcterms:W3CDTF">2024-02-01T02:50:27Z</dcterms:created>
  <dcterms:modified xsi:type="dcterms:W3CDTF">2026-06-02T00:13:38Z</dcterms:modified>
</cp:coreProperties>
</file>