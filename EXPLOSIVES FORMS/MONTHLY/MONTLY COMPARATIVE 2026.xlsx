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07.MINE EXPLOSIVES REPORTS\06.MONTHLY REPORT\2026\"/>
    </mc:Choice>
  </mc:AlternateContent>
  <bookViews>
    <workbookView xWindow="0" yWindow="0" windowWidth="28800" windowHeight="11715" activeTab="4"/>
  </bookViews>
  <sheets>
    <sheet name="JANUARY 2026" sheetId="24" r:id="rId1"/>
    <sheet name="FEBRUARY 2026 " sheetId="25" r:id="rId2"/>
    <sheet name="MARCH 2026" sheetId="26" r:id="rId3"/>
    <sheet name="APRIL 2026" sheetId="27" r:id="rId4"/>
    <sheet name="MAY 2026" sheetId="2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6" i="28" l="1"/>
  <c r="O16" i="28"/>
  <c r="M16" i="28"/>
  <c r="K16" i="28"/>
  <c r="I16" i="28"/>
  <c r="G16" i="28"/>
  <c r="E16" i="28"/>
  <c r="C16" i="28"/>
  <c r="AG17" i="28"/>
  <c r="AF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N17" i="28"/>
  <c r="L17" i="28"/>
  <c r="J17" i="28"/>
  <c r="H17" i="28"/>
  <c r="F17" i="28"/>
  <c r="D17" i="28"/>
  <c r="B17" i="28"/>
  <c r="M17" i="28"/>
  <c r="K17" i="28"/>
  <c r="AE14" i="28"/>
  <c r="AE17" i="28" s="1"/>
  <c r="O14" i="28"/>
  <c r="O17" i="28" s="1"/>
  <c r="M14" i="28"/>
  <c r="K14" i="28"/>
  <c r="I14" i="28"/>
  <c r="I17" i="28" s="1"/>
  <c r="G14" i="28"/>
  <c r="E14" i="28"/>
  <c r="E17" i="28" s="1"/>
  <c r="C14" i="28"/>
  <c r="C17" i="28" s="1"/>
  <c r="G17" i="28" l="1"/>
  <c r="AE16" i="27"/>
  <c r="O16" i="27"/>
  <c r="M16" i="27"/>
  <c r="K16" i="27"/>
  <c r="I16" i="27"/>
  <c r="G16" i="27"/>
  <c r="E16" i="27"/>
  <c r="C16" i="27"/>
  <c r="AG17" i="27"/>
  <c r="AF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N17" i="27"/>
  <c r="L17" i="27"/>
  <c r="J17" i="27"/>
  <c r="H17" i="27"/>
  <c r="F17" i="27"/>
  <c r="D17" i="27"/>
  <c r="B17" i="27"/>
  <c r="M17" i="27"/>
  <c r="K17" i="27"/>
  <c r="AE14" i="27"/>
  <c r="O14" i="27"/>
  <c r="M14" i="27"/>
  <c r="K14" i="27"/>
  <c r="I14" i="27"/>
  <c r="I17" i="27" s="1"/>
  <c r="G14" i="27"/>
  <c r="G17" i="27" s="1"/>
  <c r="E14" i="27"/>
  <c r="C14" i="27"/>
  <c r="C17" i="27" l="1"/>
  <c r="O17" i="27"/>
  <c r="E17" i="27"/>
  <c r="AE17" i="27"/>
  <c r="AE16" i="26"/>
  <c r="O16" i="26"/>
  <c r="O17" i="26" s="1"/>
  <c r="M16" i="26"/>
  <c r="M17" i="26" s="1"/>
  <c r="K16" i="26"/>
  <c r="I16" i="26"/>
  <c r="I17" i="26" s="1"/>
  <c r="G16" i="26"/>
  <c r="E16" i="26"/>
  <c r="C16" i="26"/>
  <c r="AG17" i="26"/>
  <c r="AF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N17" i="26"/>
  <c r="L17" i="26"/>
  <c r="J17" i="26"/>
  <c r="H17" i="26"/>
  <c r="F17" i="26"/>
  <c r="D17" i="26"/>
  <c r="B17" i="26"/>
  <c r="K17" i="26"/>
  <c r="AE14" i="26"/>
  <c r="AE17" i="26" s="1"/>
  <c r="O14" i="26"/>
  <c r="M14" i="26"/>
  <c r="K14" i="26"/>
  <c r="I14" i="26"/>
  <c r="G14" i="26"/>
  <c r="G17" i="26" s="1"/>
  <c r="E14" i="26"/>
  <c r="E17" i="26" s="1"/>
  <c r="C14" i="26"/>
  <c r="C17" i="26" s="1"/>
  <c r="AE16" i="25" l="1"/>
  <c r="O16" i="25"/>
  <c r="M16" i="25"/>
  <c r="K16" i="25"/>
  <c r="I16" i="25"/>
  <c r="G16" i="25"/>
  <c r="E16" i="25"/>
  <c r="C16" i="25"/>
  <c r="C17" i="25" s="1"/>
  <c r="AG17" i="25"/>
  <c r="AF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J17" i="25"/>
  <c r="H17" i="25"/>
  <c r="G17" i="25"/>
  <c r="F17" i="25"/>
  <c r="D17" i="25"/>
  <c r="B17" i="25"/>
  <c r="AE14" i="25"/>
  <c r="AE17" i="25" s="1"/>
  <c r="O14" i="25"/>
  <c r="M14" i="25"/>
  <c r="K14" i="25"/>
  <c r="I14" i="25"/>
  <c r="I17" i="25" s="1"/>
  <c r="G14" i="25"/>
  <c r="E14" i="25"/>
  <c r="E17" i="25" s="1"/>
  <c r="C14" i="25"/>
  <c r="K17" i="25" l="1"/>
  <c r="AE16" i="24"/>
  <c r="O16" i="24"/>
  <c r="M16" i="24"/>
  <c r="K16" i="24"/>
  <c r="I16" i="24"/>
  <c r="G16" i="24"/>
  <c r="E16" i="24"/>
  <c r="C16" i="24"/>
  <c r="O17" i="24" l="1"/>
  <c r="C17" i="24"/>
  <c r="AG17" i="24"/>
  <c r="AF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N17" i="24"/>
  <c r="M17" i="24"/>
  <c r="L17" i="24"/>
  <c r="J17" i="24"/>
  <c r="H17" i="24"/>
  <c r="F17" i="24"/>
  <c r="D17" i="24"/>
  <c r="B17" i="24"/>
  <c r="AE17" i="24"/>
  <c r="AE14" i="24"/>
  <c r="O14" i="24"/>
  <c r="M14" i="24"/>
  <c r="K14" i="24"/>
  <c r="K17" i="24" s="1"/>
  <c r="I14" i="24"/>
  <c r="I17" i="24" s="1"/>
  <c r="G14" i="24"/>
  <c r="G17" i="24" s="1"/>
  <c r="E14" i="24"/>
  <c r="E17" i="24" s="1"/>
  <c r="C14" i="24"/>
</calcChain>
</file>

<file path=xl/sharedStrings.xml><?xml version="1.0" encoding="utf-8"?>
<sst xmlns="http://schemas.openxmlformats.org/spreadsheetml/2006/main" count="495" uniqueCount="66">
  <si>
    <t>PHILSAGA MINING CORPORATION</t>
  </si>
  <si>
    <t>BAYUGAN 3, ROSARIO AGUSAN DEL SUR</t>
  </si>
  <si>
    <t>MONTHLY COMPARATIVE REPORT</t>
  </si>
  <si>
    <t>DESCRIPTION</t>
  </si>
  <si>
    <t>MT. ROCK</t>
  </si>
  <si>
    <t>EXPEDITION</t>
  </si>
  <si>
    <t>EXPEDI TION</t>
  </si>
  <si>
    <t>MT ROCK</t>
  </si>
  <si>
    <t>EMULSION</t>
  </si>
  <si>
    <t>Emulex</t>
  </si>
  <si>
    <t>Anfo</t>
  </si>
  <si>
    <t>DETONATORS</t>
  </si>
  <si>
    <t>DETONATING CORD</t>
  </si>
  <si>
    <t>11083</t>
  </si>
  <si>
    <t>NONEL</t>
  </si>
  <si>
    <t>SUPREME</t>
  </si>
  <si>
    <t>SHOCKSTAR</t>
  </si>
  <si>
    <t>EXEL</t>
  </si>
  <si>
    <t>OBC</t>
  </si>
  <si>
    <t>EBC</t>
  </si>
  <si>
    <t>Cordtex</t>
  </si>
  <si>
    <t>S/Fuse</t>
  </si>
  <si>
    <t>Billwire</t>
  </si>
  <si>
    <t xml:space="preserve">FUSE </t>
  </si>
  <si>
    <t>208</t>
  </si>
  <si>
    <t>Super Power</t>
  </si>
  <si>
    <t>Senatel/Pulsar</t>
  </si>
  <si>
    <t>Magnum</t>
  </si>
  <si>
    <t>LIGHTER</t>
  </si>
  <si>
    <t>pcs</t>
  </si>
  <si>
    <t>kls</t>
  </si>
  <si>
    <t>Pcs</t>
  </si>
  <si>
    <t>Kls</t>
  </si>
  <si>
    <t>Mtrs</t>
  </si>
  <si>
    <t>Less:</t>
  </si>
  <si>
    <t>Total difference</t>
  </si>
  <si>
    <t>Prepared by:</t>
  </si>
  <si>
    <t>Checked by:</t>
  </si>
  <si>
    <t>Noted by:</t>
  </si>
  <si>
    <t>Approved by:</t>
  </si>
  <si>
    <t>AIHREIN T. BACLAAN</t>
  </si>
  <si>
    <t>NHOLL GREAL O. LOZADA</t>
  </si>
  <si>
    <t>EDWIN B. BATAL</t>
  </si>
  <si>
    <t>ENGR. RAFFY D. TORRES</t>
  </si>
  <si>
    <t>ENGR. EARL M. SON</t>
  </si>
  <si>
    <t>Mine Explosives Dept.</t>
  </si>
  <si>
    <t>Mine Explosives Inventory Supervisor</t>
  </si>
  <si>
    <t>Mine Explosives Asst. Manager</t>
  </si>
  <si>
    <t xml:space="preserve">Mine Explosives Manager     </t>
  </si>
  <si>
    <t>DCORD</t>
  </si>
  <si>
    <t>I5</t>
  </si>
  <si>
    <t>Neogel</t>
  </si>
  <si>
    <t>Mine Division Manager</t>
  </si>
  <si>
    <t>DECEMBER 2025 Usage/ Consumption</t>
  </si>
  <si>
    <t>JANUARY 2026 Usage/ Consumption</t>
  </si>
  <si>
    <t>MONTH OF DECEMBER 2025  - JANUARY  2026</t>
  </si>
  <si>
    <t>MONTH OF JANUARY - FEBRUARY  2026</t>
  </si>
  <si>
    <t>FEBRUARY 2026 Usage/ Consumption</t>
  </si>
  <si>
    <t>MONTH OF FEBRUARY - MARCH  2026</t>
  </si>
  <si>
    <t>MARCH 2026 Usage/ Consumption</t>
  </si>
  <si>
    <t>ENGR. EDWIN B. BATAL</t>
  </si>
  <si>
    <t xml:space="preserve">Mine Explosives Asst. Manager     </t>
  </si>
  <si>
    <t>MONTH OF MARCH - APRIL  2026</t>
  </si>
  <si>
    <t>APRIL 2026 Usage/ Consumption</t>
  </si>
  <si>
    <t>MONTH OF APRIL - MAY  2026</t>
  </si>
  <si>
    <t>MAY 2026 Usage/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</si>
</sst>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,##0.0;\-#,##0.0"/>
    <numFmt numFmtId="166" formatCode="#,##0.0_);\(#,##0.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3.5"/>
      <name val="Times New Roman"/>
      <family val="1"/>
    </font>
    <font>
      <b/>
      <sz val="13"/>
      <name val="Times New Roman"/>
      <family val="1"/>
    </font>
    <font>
      <b/>
      <i/>
      <sz val="11"/>
      <name val="Times New Roman"/>
      <family val="1"/>
    </font>
    <font>
      <sz val="18"/>
      <name val="Times New Roman"/>
      <family val="1"/>
    </font>
    <font>
      <b/>
      <u/>
      <sz val="16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29">
    <xf numFmtId="0" fontId="0" fillId="0" borderId="0" xfId="0"/>
    <xf numFmtId="0" fontId="4" fillId="0" borderId="0" xfId="2" applyFont="1"/>
    <xf numFmtId="0" fontId="5" fillId="0" borderId="0" xfId="0" applyFont="1"/>
    <xf numFmtId="0" fontId="6" fillId="0" borderId="0" xfId="2" applyFont="1"/>
    <xf numFmtId="0" fontId="4" fillId="0" borderId="0" xfId="0" applyFont="1"/>
    <xf numFmtId="0" fontId="6" fillId="0" borderId="0" xfId="2" applyFont="1" applyAlignment="1">
      <alignment horizontal="center"/>
    </xf>
    <xf numFmtId="0" fontId="4" fillId="2" borderId="2" xfId="2" applyFont="1" applyFill="1" applyBorder="1" applyAlignment="1">
      <alignment vertical="center"/>
    </xf>
    <xf numFmtId="0" fontId="4" fillId="2" borderId="3" xfId="2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49" fontId="9" fillId="0" borderId="31" xfId="2" applyNumberFormat="1" applyFont="1" applyBorder="1" applyAlignment="1">
      <alignment horizontal="center" vertical="center"/>
    </xf>
    <xf numFmtId="49" fontId="9" fillId="0" borderId="32" xfId="2" applyNumberFormat="1" applyFont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49" fontId="6" fillId="0" borderId="34" xfId="0" applyNumberFormat="1" applyFont="1" applyBorder="1" applyAlignment="1">
      <alignment horizontal="left" vertical="center" wrapText="1"/>
    </xf>
    <xf numFmtId="39" fontId="6" fillId="0" borderId="35" xfId="1" applyNumberFormat="1" applyFont="1" applyBorder="1" applyAlignment="1">
      <alignment horizontal="center" vertical="center"/>
    </xf>
    <xf numFmtId="37" fontId="6" fillId="0" borderId="35" xfId="1" applyNumberFormat="1" applyFont="1" applyBorder="1" applyAlignment="1">
      <alignment horizontal="center" vertical="center"/>
    </xf>
    <xf numFmtId="165" fontId="6" fillId="0" borderId="35" xfId="1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37" fontId="6" fillId="0" borderId="36" xfId="1" applyNumberFormat="1" applyFont="1" applyBorder="1" applyAlignment="1">
      <alignment horizontal="center" vertical="center"/>
    </xf>
    <xf numFmtId="0" fontId="6" fillId="0" borderId="0" xfId="0" applyFont="1"/>
    <xf numFmtId="49" fontId="6" fillId="0" borderId="19" xfId="0" applyNumberFormat="1" applyFont="1" applyBorder="1" applyAlignment="1">
      <alignment horizontal="center" vertical="center"/>
    </xf>
    <xf numFmtId="37" fontId="6" fillId="0" borderId="27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37" fontId="6" fillId="0" borderId="26" xfId="1" applyNumberFormat="1" applyFont="1" applyBorder="1" applyAlignment="1">
      <alignment horizontal="center" vertical="center"/>
    </xf>
    <xf numFmtId="49" fontId="6" fillId="5" borderId="33" xfId="0" applyNumberFormat="1" applyFont="1" applyFill="1" applyBorder="1" applyAlignment="1">
      <alignment horizontal="left" vertical="center"/>
    </xf>
    <xf numFmtId="37" fontId="6" fillId="5" borderId="15" xfId="1" applyNumberFormat="1" applyFont="1" applyFill="1" applyBorder="1" applyAlignment="1">
      <alignment horizontal="center" vertical="center"/>
    </xf>
    <xf numFmtId="39" fontId="6" fillId="5" borderId="15" xfId="1" applyNumberFormat="1" applyFont="1" applyFill="1" applyBorder="1" applyAlignment="1">
      <alignment horizontal="center" vertical="center"/>
    </xf>
    <xf numFmtId="37" fontId="6" fillId="5" borderId="18" xfId="1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37" fontId="10" fillId="0" borderId="0" xfId="1" applyNumberFormat="1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1" fillId="0" borderId="0" xfId="0" applyFont="1"/>
    <xf numFmtId="0" fontId="3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3" fillId="0" borderId="0" xfId="2" applyFont="1" applyAlignment="1">
      <alignment horizontal="left"/>
    </xf>
    <xf numFmtId="0" fontId="8" fillId="2" borderId="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3" fillId="0" borderId="0" xfId="2" applyFont="1" applyAlignment="1">
      <alignment horizontal="left"/>
    </xf>
    <xf numFmtId="0" fontId="8" fillId="2" borderId="8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3" fillId="0" borderId="0" xfId="2" applyFont="1" applyAlignment="1">
      <alignment horizontal="left"/>
    </xf>
    <xf numFmtId="0" fontId="8" fillId="2" borderId="1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3" fillId="0" borderId="0" xfId="2" applyFont="1" applyAlignment="1">
      <alignment horizontal="left"/>
    </xf>
    <xf numFmtId="0" fontId="8" fillId="2" borderId="1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3" fillId="0" borderId="0" xfId="2" applyFont="1" applyAlignment="1">
      <alignment horizontal="left"/>
    </xf>
    <xf numFmtId="0" fontId="8" fillId="2" borderId="15" xfId="0" applyFont="1" applyFill="1" applyBorder="1" applyAlignment="1">
      <alignment horizontal="center" vertical="center"/>
    </xf>
    <xf numFmtId="49" fontId="9" fillId="0" borderId="19" xfId="2" applyNumberFormat="1" applyFont="1" applyBorder="1" applyAlignment="1">
      <alignment horizontal="center" vertical="center"/>
    </xf>
    <xf numFmtId="49" fontId="9" fillId="0" borderId="20" xfId="2" applyNumberFormat="1" applyFont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49" fontId="9" fillId="0" borderId="23" xfId="0" applyNumberFormat="1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49" fontId="9" fillId="0" borderId="26" xfId="2" applyNumberFormat="1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3" fillId="0" borderId="0" xfId="2" applyFont="1" applyAlignment="1">
      <alignment horizontal="left"/>
    </xf>
    <xf numFmtId="0" fontId="7" fillId="0" borderId="1" xfId="2" applyFont="1" applyBorder="1" applyAlignment="1">
      <alignment horizontal="center" vertical="center"/>
    </xf>
    <xf numFmtId="0" fontId="7" fillId="0" borderId="37" xfId="2" applyFont="1" applyBorder="1" applyAlignment="1">
      <alignment horizontal="center" vertical="center"/>
    </xf>
    <xf numFmtId="0" fontId="7" fillId="0" borderId="38" xfId="2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49" fontId="9" fillId="2" borderId="19" xfId="2" applyNumberFormat="1" applyFont="1" applyFill="1" applyBorder="1" applyAlignment="1">
      <alignment horizontal="center" vertical="center"/>
    </xf>
    <xf numFmtId="49" fontId="9" fillId="2" borderId="26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topLeftCell="A7" workbookViewId="0">
      <selection activeCell="AF14" sqref="AF14"/>
    </sheetView>
  </sheetViews>
  <sheetFormatPr defaultRowHeight="15" x14ac:dyDescent="0.25"/>
  <cols>
    <col min="1" max="1" width="33.140625" style="2" customWidth="1"/>
    <col min="2" max="2" width="6.140625" style="2" hidden="1" customWidth="1"/>
    <col min="3" max="3" width="6.7109375" style="2" hidden="1" customWidth="1"/>
    <col min="4" max="4" width="10.85546875" style="2" customWidth="1"/>
    <col min="5" max="5" width="12.7109375" style="2" customWidth="1"/>
    <col min="6" max="6" width="10.5703125" style="2" customWidth="1"/>
    <col min="7" max="7" width="13.7109375" style="2" customWidth="1"/>
    <col min="8" max="9" width="8.7109375" style="2" hidden="1" customWidth="1"/>
    <col min="10" max="10" width="7.140625" style="2" hidden="1" customWidth="1"/>
    <col min="11" max="11" width="6.7109375" style="2" hidden="1" customWidth="1"/>
    <col min="12" max="12" width="7.140625" style="2" hidden="1" customWidth="1"/>
    <col min="13" max="13" width="5.42578125" style="2" hidden="1" customWidth="1"/>
    <col min="14" max="14" width="6.7109375" style="2" hidden="1" customWidth="1"/>
    <col min="15" max="15" width="9.42578125" style="2" hidden="1" customWidth="1"/>
    <col min="16" max="16" width="15.85546875" style="2" customWidth="1"/>
    <col min="17" max="17" width="7.85546875" style="2" customWidth="1"/>
    <col min="18" max="18" width="8.28515625" style="2" customWidth="1"/>
    <col min="19" max="19" width="10.85546875" style="2" customWidth="1"/>
    <col min="20" max="20" width="7.7109375" style="2" customWidth="1"/>
    <col min="21" max="21" width="10.42578125" style="2" hidden="1" customWidth="1"/>
    <col min="22" max="22" width="9.140625" style="2" customWidth="1"/>
    <col min="23" max="23" width="10.7109375" style="2" customWidth="1"/>
    <col min="24" max="24" width="7.7109375" style="2" bestFit="1" customWidth="1"/>
    <col min="25" max="25" width="8.28515625" style="2" customWidth="1"/>
    <col min="26" max="26" width="7.7109375" style="2" bestFit="1" customWidth="1"/>
    <col min="27" max="27" width="9.85546875" style="2" customWidth="1"/>
    <col min="28" max="28" width="10.7109375" style="2" customWidth="1"/>
    <col min="29" max="29" width="9.28515625" style="2" customWidth="1"/>
    <col min="30" max="30" width="10" style="2" bestFit="1" customWidth="1"/>
    <col min="31" max="31" width="16.42578125" style="2" customWidth="1"/>
    <col min="32" max="32" width="10.5703125" style="2" bestFit="1" customWidth="1"/>
    <col min="33" max="33" width="12.28515625" style="2" bestFit="1" customWidth="1"/>
    <col min="34" max="16384" width="9.140625" style="2"/>
  </cols>
  <sheetData>
    <row r="1" spans="1:33" ht="22.5" x14ac:dyDescent="0.3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"/>
    </row>
    <row r="2" spans="1:33" ht="22.5" x14ac:dyDescent="0.3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"/>
    </row>
    <row r="3" spans="1:33" ht="26.25" customHeight="1" x14ac:dyDescent="0.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3"/>
    </row>
    <row r="4" spans="1:33" ht="22.5" x14ac:dyDescent="0.3">
      <c r="A4" s="111" t="s">
        <v>2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"/>
    </row>
    <row r="5" spans="1:33" s="4" customFormat="1" ht="22.5" x14ac:dyDescent="0.3">
      <c r="A5" s="111" t="s">
        <v>55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"/>
    </row>
    <row r="6" spans="1:33" ht="19.5" thickBo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s="4" customFormat="1" ht="30" customHeight="1" thickBot="1" x14ac:dyDescent="0.25">
      <c r="A7" s="112" t="s">
        <v>3</v>
      </c>
      <c r="B7" s="6" t="s">
        <v>4</v>
      </c>
      <c r="C7" s="7"/>
      <c r="D7" s="93" t="s">
        <v>7</v>
      </c>
      <c r="E7" s="115"/>
      <c r="F7" s="117" t="s">
        <v>5</v>
      </c>
      <c r="G7" s="98"/>
      <c r="H7" s="98"/>
      <c r="I7" s="98"/>
      <c r="J7" s="98" t="s">
        <v>4</v>
      </c>
      <c r="K7" s="98"/>
      <c r="L7" s="104" t="s">
        <v>6</v>
      </c>
      <c r="M7" s="120"/>
      <c r="N7" s="120"/>
      <c r="O7" s="105"/>
      <c r="P7" s="47" t="s">
        <v>7</v>
      </c>
      <c r="Q7" s="92" t="s">
        <v>4</v>
      </c>
      <c r="R7" s="93"/>
      <c r="S7" s="93"/>
      <c r="T7" s="93"/>
      <c r="U7" s="94"/>
      <c r="V7" s="92" t="s">
        <v>5</v>
      </c>
      <c r="W7" s="93"/>
      <c r="X7" s="94"/>
      <c r="Y7" s="98" t="s">
        <v>7</v>
      </c>
      <c r="Z7" s="98"/>
      <c r="AA7" s="90" t="s">
        <v>5</v>
      </c>
      <c r="AB7" s="102" t="s">
        <v>4</v>
      </c>
      <c r="AC7" s="104" t="s">
        <v>5</v>
      </c>
      <c r="AD7" s="105"/>
      <c r="AE7" s="47" t="s">
        <v>7</v>
      </c>
      <c r="AF7" s="104" t="s">
        <v>5</v>
      </c>
      <c r="AG7" s="109"/>
    </row>
    <row r="8" spans="1:33" s="4" customFormat="1" ht="30" customHeight="1" thickBot="1" x14ac:dyDescent="0.25">
      <c r="A8" s="113"/>
      <c r="B8" s="122" t="s">
        <v>8</v>
      </c>
      <c r="C8" s="123"/>
      <c r="D8" s="96"/>
      <c r="E8" s="116"/>
      <c r="F8" s="118"/>
      <c r="G8" s="119"/>
      <c r="H8" s="119"/>
      <c r="I8" s="119"/>
      <c r="J8" s="119"/>
      <c r="K8" s="119"/>
      <c r="L8" s="106"/>
      <c r="M8" s="121"/>
      <c r="N8" s="121"/>
      <c r="O8" s="107"/>
      <c r="P8" s="48" t="s">
        <v>5</v>
      </c>
      <c r="Q8" s="95"/>
      <c r="R8" s="96"/>
      <c r="S8" s="96"/>
      <c r="T8" s="96"/>
      <c r="U8" s="97"/>
      <c r="V8" s="95"/>
      <c r="W8" s="96"/>
      <c r="X8" s="97"/>
      <c r="Y8" s="119" t="s">
        <v>5</v>
      </c>
      <c r="Z8" s="119"/>
      <c r="AA8" s="91"/>
      <c r="AB8" s="103"/>
      <c r="AC8" s="106"/>
      <c r="AD8" s="107"/>
      <c r="AE8" s="48" t="s">
        <v>5</v>
      </c>
      <c r="AF8" s="106"/>
      <c r="AG8" s="110"/>
    </row>
    <row r="9" spans="1:33" s="4" customFormat="1" ht="35.25" customHeight="1" x14ac:dyDescent="0.2">
      <c r="A9" s="113"/>
      <c r="B9" s="76" t="s">
        <v>9</v>
      </c>
      <c r="C9" s="77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9"/>
      <c r="P9" s="80" t="s">
        <v>10</v>
      </c>
      <c r="Q9" s="82" t="s">
        <v>11</v>
      </c>
      <c r="R9" s="83"/>
      <c r="S9" s="83"/>
      <c r="T9" s="83"/>
      <c r="U9" s="83"/>
      <c r="V9" s="83"/>
      <c r="W9" s="83"/>
      <c r="X9" s="83"/>
      <c r="Y9" s="83"/>
      <c r="Z9" s="84"/>
      <c r="AA9" s="99" t="s">
        <v>12</v>
      </c>
      <c r="AB9" s="100"/>
      <c r="AC9" s="100"/>
      <c r="AD9" s="101"/>
      <c r="AE9" s="8"/>
      <c r="AF9" s="8"/>
      <c r="AG9" s="9"/>
    </row>
    <row r="10" spans="1:33" s="4" customFormat="1" ht="35.25" customHeight="1" x14ac:dyDescent="0.2">
      <c r="A10" s="113"/>
      <c r="B10" s="127" t="s">
        <v>13</v>
      </c>
      <c r="C10" s="128"/>
      <c r="D10" s="108">
        <v>200</v>
      </c>
      <c r="E10" s="86"/>
      <c r="F10" s="86">
        <v>215</v>
      </c>
      <c r="G10" s="86"/>
      <c r="H10" s="86">
        <v>135</v>
      </c>
      <c r="I10" s="86"/>
      <c r="J10" s="86">
        <v>150</v>
      </c>
      <c r="K10" s="86"/>
      <c r="L10" s="86">
        <v>150</v>
      </c>
      <c r="M10" s="86"/>
      <c r="N10" s="86">
        <v>38</v>
      </c>
      <c r="O10" s="86"/>
      <c r="P10" s="81"/>
      <c r="Q10" s="86" t="s">
        <v>14</v>
      </c>
      <c r="R10" s="86"/>
      <c r="S10" s="86" t="s">
        <v>15</v>
      </c>
      <c r="T10" s="86"/>
      <c r="U10" s="10" t="s">
        <v>16</v>
      </c>
      <c r="V10" s="124" t="s">
        <v>17</v>
      </c>
      <c r="W10" s="125"/>
      <c r="X10" s="126"/>
      <c r="Y10" s="49" t="s">
        <v>18</v>
      </c>
      <c r="Z10" s="49" t="s">
        <v>19</v>
      </c>
      <c r="AA10" s="49" t="s">
        <v>20</v>
      </c>
      <c r="AB10" s="49" t="s">
        <v>20</v>
      </c>
      <c r="AC10" s="49" t="s">
        <v>49</v>
      </c>
      <c r="AD10" s="49" t="s">
        <v>20</v>
      </c>
      <c r="AE10" s="49" t="s">
        <v>21</v>
      </c>
      <c r="AF10" s="49" t="s">
        <v>22</v>
      </c>
      <c r="AG10" s="11" t="s">
        <v>23</v>
      </c>
    </row>
    <row r="11" spans="1:33" s="4" customFormat="1" ht="30" customHeight="1" x14ac:dyDescent="0.2">
      <c r="A11" s="113"/>
      <c r="B11" s="76" t="s">
        <v>24</v>
      </c>
      <c r="C11" s="89"/>
      <c r="D11" s="108" t="s">
        <v>51</v>
      </c>
      <c r="E11" s="86"/>
      <c r="F11" s="86" t="s">
        <v>26</v>
      </c>
      <c r="G11" s="86"/>
      <c r="H11" s="86" t="s">
        <v>26</v>
      </c>
      <c r="I11" s="86"/>
      <c r="J11" s="86" t="s">
        <v>25</v>
      </c>
      <c r="K11" s="86"/>
      <c r="L11" s="86" t="s">
        <v>27</v>
      </c>
      <c r="M11" s="86"/>
      <c r="N11" s="86" t="s">
        <v>26</v>
      </c>
      <c r="O11" s="86"/>
      <c r="P11" s="81"/>
      <c r="Q11" s="49">
        <v>2.4</v>
      </c>
      <c r="R11" s="49">
        <v>3.6</v>
      </c>
      <c r="S11" s="49">
        <v>2.4</v>
      </c>
      <c r="T11" s="49">
        <v>3.6</v>
      </c>
      <c r="U11" s="49">
        <v>2.4</v>
      </c>
      <c r="V11" s="49">
        <v>3.6</v>
      </c>
      <c r="W11" s="49">
        <v>2.4</v>
      </c>
      <c r="X11" s="49">
        <v>4.9000000000000004</v>
      </c>
      <c r="Y11" s="49"/>
      <c r="Z11" s="49"/>
      <c r="AA11" s="49">
        <v>5</v>
      </c>
      <c r="AB11" s="49">
        <v>10</v>
      </c>
      <c r="AC11" s="49" t="s">
        <v>50</v>
      </c>
      <c r="AD11" s="49">
        <v>40</v>
      </c>
      <c r="AE11" s="49"/>
      <c r="AF11" s="49"/>
      <c r="AG11" s="11" t="s">
        <v>28</v>
      </c>
    </row>
    <row r="12" spans="1:33" s="4" customFormat="1" ht="30" customHeight="1" x14ac:dyDescent="0.2">
      <c r="A12" s="113"/>
      <c r="B12" s="12"/>
      <c r="C12" s="13"/>
      <c r="D12" s="87">
        <v>35245</v>
      </c>
      <c r="E12" s="88"/>
      <c r="F12" s="88">
        <v>11082</v>
      </c>
      <c r="G12" s="88"/>
      <c r="H12" s="88">
        <v>21810</v>
      </c>
      <c r="I12" s="88"/>
      <c r="J12" s="88">
        <v>17362</v>
      </c>
      <c r="K12" s="88"/>
      <c r="L12" s="88">
        <v>18389</v>
      </c>
      <c r="M12" s="88"/>
      <c r="N12" s="88">
        <v>21811</v>
      </c>
      <c r="O12" s="88"/>
      <c r="P12" s="51">
        <v>10128</v>
      </c>
      <c r="Q12" s="51">
        <v>10962</v>
      </c>
      <c r="R12" s="51">
        <v>15427</v>
      </c>
      <c r="S12" s="51">
        <v>16623</v>
      </c>
      <c r="T12" s="51">
        <v>16967</v>
      </c>
      <c r="U12" s="51">
        <v>28230</v>
      </c>
      <c r="V12" s="51">
        <v>10966</v>
      </c>
      <c r="W12" s="51">
        <v>10965</v>
      </c>
      <c r="X12" s="51">
        <v>21809</v>
      </c>
      <c r="Y12" s="51">
        <v>11966</v>
      </c>
      <c r="Z12" s="51">
        <v>11089</v>
      </c>
      <c r="AA12" s="51">
        <v>10960</v>
      </c>
      <c r="AB12" s="51">
        <v>10961</v>
      </c>
      <c r="AC12" s="51">
        <v>33442</v>
      </c>
      <c r="AD12" s="51">
        <v>10959</v>
      </c>
      <c r="AE12" s="51">
        <v>12487</v>
      </c>
      <c r="AF12" s="51">
        <v>16823</v>
      </c>
      <c r="AG12" s="14">
        <v>11342</v>
      </c>
    </row>
    <row r="13" spans="1:33" s="4" customFormat="1" ht="30" customHeight="1" thickBot="1" x14ac:dyDescent="0.25">
      <c r="A13" s="114"/>
      <c r="B13" s="15" t="s">
        <v>29</v>
      </c>
      <c r="C13" s="16" t="s">
        <v>30</v>
      </c>
      <c r="D13" s="17" t="s">
        <v>31</v>
      </c>
      <c r="E13" s="48" t="s">
        <v>32</v>
      </c>
      <c r="F13" s="48" t="s">
        <v>31</v>
      </c>
      <c r="G13" s="48" t="s">
        <v>32</v>
      </c>
      <c r="H13" s="48" t="s">
        <v>31</v>
      </c>
      <c r="I13" s="48" t="s">
        <v>32</v>
      </c>
      <c r="J13" s="48" t="s">
        <v>31</v>
      </c>
      <c r="K13" s="48" t="s">
        <v>32</v>
      </c>
      <c r="L13" s="48" t="s">
        <v>31</v>
      </c>
      <c r="M13" s="48" t="s">
        <v>32</v>
      </c>
      <c r="N13" s="48"/>
      <c r="O13" s="48"/>
      <c r="P13" s="48" t="s">
        <v>32</v>
      </c>
      <c r="Q13" s="48" t="s">
        <v>31</v>
      </c>
      <c r="R13" s="48" t="s">
        <v>31</v>
      </c>
      <c r="S13" s="48" t="s">
        <v>31</v>
      </c>
      <c r="T13" s="48" t="s">
        <v>31</v>
      </c>
      <c r="U13" s="48" t="s">
        <v>31</v>
      </c>
      <c r="V13" s="48" t="s">
        <v>31</v>
      </c>
      <c r="W13" s="48" t="s">
        <v>31</v>
      </c>
      <c r="X13" s="48" t="s">
        <v>31</v>
      </c>
      <c r="Y13" s="48" t="s">
        <v>31</v>
      </c>
      <c r="Z13" s="48" t="s">
        <v>31</v>
      </c>
      <c r="AA13" s="48" t="s">
        <v>33</v>
      </c>
      <c r="AB13" s="48" t="s">
        <v>33</v>
      </c>
      <c r="AC13" s="48" t="s">
        <v>33</v>
      </c>
      <c r="AD13" s="48" t="s">
        <v>33</v>
      </c>
      <c r="AE13" s="48" t="s">
        <v>33</v>
      </c>
      <c r="AF13" s="48" t="s">
        <v>33</v>
      </c>
      <c r="AG13" s="18" t="s">
        <v>31</v>
      </c>
    </row>
    <row r="14" spans="1:33" s="25" customFormat="1" ht="46.5" customHeight="1" x14ac:dyDescent="0.3">
      <c r="A14" s="19" t="s">
        <v>54</v>
      </c>
      <c r="B14" s="21">
        <v>0</v>
      </c>
      <c r="C14" s="21">
        <f>B14/208*25</f>
        <v>0</v>
      </c>
      <c r="D14" s="21">
        <v>45072</v>
      </c>
      <c r="E14" s="20">
        <f>D14/208*25</f>
        <v>5417.3076923076924</v>
      </c>
      <c r="F14" s="21">
        <v>49039</v>
      </c>
      <c r="G14" s="20">
        <f>F14/215*25</f>
        <v>5702.2093023255811</v>
      </c>
      <c r="H14" s="21">
        <v>0</v>
      </c>
      <c r="I14" s="20">
        <f>H14/135*25</f>
        <v>0</v>
      </c>
      <c r="J14" s="21">
        <v>0</v>
      </c>
      <c r="K14" s="20">
        <f>J14/150*25</f>
        <v>0</v>
      </c>
      <c r="L14" s="21">
        <v>0</v>
      </c>
      <c r="M14" s="21">
        <f>L14/150*25</f>
        <v>0</v>
      </c>
      <c r="N14" s="21">
        <v>0</v>
      </c>
      <c r="O14" s="20">
        <f>N14/38*25</f>
        <v>0</v>
      </c>
      <c r="P14" s="20">
        <v>30816.1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1609</v>
      </c>
      <c r="W14" s="21">
        <v>44750</v>
      </c>
      <c r="X14" s="21">
        <v>0</v>
      </c>
      <c r="Y14" s="21">
        <v>5497</v>
      </c>
      <c r="Z14" s="21">
        <v>92</v>
      </c>
      <c r="AA14" s="21">
        <v>20129</v>
      </c>
      <c r="AB14" s="21">
        <v>0</v>
      </c>
      <c r="AC14" s="21">
        <v>1676</v>
      </c>
      <c r="AD14" s="22">
        <v>0</v>
      </c>
      <c r="AE14" s="20">
        <f>Y14*2.43</f>
        <v>13357.710000000001</v>
      </c>
      <c r="AF14" s="23">
        <v>310</v>
      </c>
      <c r="AG14" s="24">
        <v>3</v>
      </c>
    </row>
    <row r="15" spans="1:33" s="25" customFormat="1" ht="46.5" customHeight="1" x14ac:dyDescent="0.3">
      <c r="A15" s="26" t="s">
        <v>34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7"/>
      <c r="AG15" s="29"/>
    </row>
    <row r="16" spans="1:33" s="25" customFormat="1" ht="46.5" customHeight="1" x14ac:dyDescent="0.3">
      <c r="A16" s="19" t="s">
        <v>53</v>
      </c>
      <c r="B16" s="21">
        <v>0</v>
      </c>
      <c r="C16" s="21">
        <f>B16/208*25</f>
        <v>0</v>
      </c>
      <c r="D16" s="21">
        <v>12899</v>
      </c>
      <c r="E16" s="20">
        <f>D16/208*25</f>
        <v>1550.3605769230769</v>
      </c>
      <c r="F16" s="21">
        <v>66341</v>
      </c>
      <c r="G16" s="20">
        <f>F16/215*25</f>
        <v>7714.0697674418607</v>
      </c>
      <c r="H16" s="21">
        <v>0</v>
      </c>
      <c r="I16" s="20">
        <f>H16/135*25</f>
        <v>0</v>
      </c>
      <c r="J16" s="21">
        <v>0</v>
      </c>
      <c r="K16" s="20">
        <f>J16/150*25</f>
        <v>0</v>
      </c>
      <c r="L16" s="21">
        <v>0</v>
      </c>
      <c r="M16" s="21">
        <f>L16/150*25</f>
        <v>0</v>
      </c>
      <c r="N16" s="21">
        <v>0</v>
      </c>
      <c r="O16" s="20">
        <f>N16/38*25</f>
        <v>0</v>
      </c>
      <c r="P16" s="20">
        <v>25692.2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3356</v>
      </c>
      <c r="W16" s="21">
        <v>36425</v>
      </c>
      <c r="X16" s="21">
        <v>0</v>
      </c>
      <c r="Y16" s="21">
        <v>4566</v>
      </c>
      <c r="Z16" s="21">
        <v>52</v>
      </c>
      <c r="AA16" s="21">
        <v>15842</v>
      </c>
      <c r="AB16" s="21">
        <v>0</v>
      </c>
      <c r="AC16" s="21">
        <v>3027</v>
      </c>
      <c r="AD16" s="22">
        <v>0</v>
      </c>
      <c r="AE16" s="20">
        <f>Y16*2.43</f>
        <v>11095.380000000001</v>
      </c>
      <c r="AF16" s="23">
        <v>0</v>
      </c>
      <c r="AG16" s="24">
        <v>4</v>
      </c>
    </row>
    <row r="17" spans="1:37" s="25" customFormat="1" ht="46.5" customHeight="1" thickBot="1" x14ac:dyDescent="0.35">
      <c r="A17" s="30" t="s">
        <v>35</v>
      </c>
      <c r="B17" s="31">
        <f>B14-B16</f>
        <v>0</v>
      </c>
      <c r="C17" s="31">
        <f t="shared" ref="C17:AG17" si="0">C14-C16</f>
        <v>0</v>
      </c>
      <c r="D17" s="31">
        <f t="shared" si="0"/>
        <v>32173</v>
      </c>
      <c r="E17" s="32">
        <f t="shared" si="0"/>
        <v>3866.9471153846152</v>
      </c>
      <c r="F17" s="31">
        <f t="shared" si="0"/>
        <v>-17302</v>
      </c>
      <c r="G17" s="32">
        <f t="shared" si="0"/>
        <v>-2011.8604651162796</v>
      </c>
      <c r="H17" s="32">
        <f t="shared" si="0"/>
        <v>0</v>
      </c>
      <c r="I17" s="32">
        <f t="shared" si="0"/>
        <v>0</v>
      </c>
      <c r="J17" s="32">
        <f t="shared" si="0"/>
        <v>0</v>
      </c>
      <c r="K17" s="32">
        <f t="shared" si="0"/>
        <v>0</v>
      </c>
      <c r="L17" s="32">
        <f t="shared" si="0"/>
        <v>0</v>
      </c>
      <c r="M17" s="32">
        <f t="shared" si="0"/>
        <v>0</v>
      </c>
      <c r="N17" s="31">
        <f t="shared" si="0"/>
        <v>0</v>
      </c>
      <c r="O17" s="32">
        <f t="shared" si="0"/>
        <v>0</v>
      </c>
      <c r="P17" s="31">
        <f>P14-P16</f>
        <v>5123.8999999999978</v>
      </c>
      <c r="Q17" s="31">
        <f t="shared" si="0"/>
        <v>0</v>
      </c>
      <c r="R17" s="31">
        <f t="shared" si="0"/>
        <v>0</v>
      </c>
      <c r="S17" s="31">
        <f t="shared" si="0"/>
        <v>0</v>
      </c>
      <c r="T17" s="31">
        <f t="shared" si="0"/>
        <v>0</v>
      </c>
      <c r="U17" s="31">
        <f t="shared" si="0"/>
        <v>0</v>
      </c>
      <c r="V17" s="31">
        <f t="shared" si="0"/>
        <v>-1747</v>
      </c>
      <c r="W17" s="31">
        <f t="shared" si="0"/>
        <v>8325</v>
      </c>
      <c r="X17" s="31">
        <f>X14-X16</f>
        <v>0</v>
      </c>
      <c r="Y17" s="31">
        <f t="shared" si="0"/>
        <v>931</v>
      </c>
      <c r="Z17" s="31">
        <f>Z14-Z16</f>
        <v>40</v>
      </c>
      <c r="AA17" s="31">
        <f t="shared" si="0"/>
        <v>4287</v>
      </c>
      <c r="AB17" s="31">
        <f t="shared" si="0"/>
        <v>0</v>
      </c>
      <c r="AC17" s="31">
        <f t="shared" si="0"/>
        <v>-1351</v>
      </c>
      <c r="AD17" s="31">
        <f t="shared" si="0"/>
        <v>0</v>
      </c>
      <c r="AE17" s="32">
        <f t="shared" si="0"/>
        <v>2262.33</v>
      </c>
      <c r="AF17" s="31">
        <f t="shared" si="0"/>
        <v>310</v>
      </c>
      <c r="AG17" s="33">
        <f t="shared" si="0"/>
        <v>-1</v>
      </c>
    </row>
    <row r="18" spans="1:37" x14ac:dyDescent="0.25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/>
      <c r="AF18" s="35"/>
      <c r="AG18" s="35"/>
    </row>
    <row r="19" spans="1:37" x14ac:dyDescent="0.25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/>
      <c r="AF19" s="35"/>
      <c r="AG19" s="35"/>
    </row>
    <row r="20" spans="1:37" s="37" customFormat="1" ht="23.25" x14ac:dyDescent="0.35">
      <c r="A20" s="37" t="s">
        <v>36</v>
      </c>
      <c r="B20" s="38"/>
      <c r="F20" s="37" t="s">
        <v>37</v>
      </c>
      <c r="M20" s="37" t="s">
        <v>38</v>
      </c>
      <c r="T20" s="37" t="s">
        <v>38</v>
      </c>
      <c r="AA20" s="37" t="s">
        <v>39</v>
      </c>
      <c r="AJ20" s="39"/>
      <c r="AK20" s="39"/>
    </row>
    <row r="21" spans="1:37" s="37" customFormat="1" ht="23.25" x14ac:dyDescent="0.35">
      <c r="B21" s="38"/>
      <c r="F21" s="38"/>
      <c r="AD21" s="38"/>
      <c r="AJ21" s="38"/>
      <c r="AK21" s="38"/>
    </row>
    <row r="22" spans="1:37" s="37" customFormat="1" ht="23.25" x14ac:dyDescent="0.35">
      <c r="A22" s="38"/>
      <c r="B22" s="38"/>
      <c r="F22" s="38"/>
      <c r="AD22" s="38"/>
    </row>
    <row r="23" spans="1:37" s="42" customFormat="1" ht="20.25" x14ac:dyDescent="0.3">
      <c r="A23" s="40" t="s">
        <v>40</v>
      </c>
      <c r="B23" s="41"/>
      <c r="F23" s="43" t="s">
        <v>41</v>
      </c>
      <c r="M23" s="43" t="s">
        <v>42</v>
      </c>
      <c r="T23" s="43" t="s">
        <v>43</v>
      </c>
      <c r="AA23" s="43" t="s">
        <v>44</v>
      </c>
      <c r="AH23" s="41"/>
      <c r="AI23" s="44"/>
      <c r="AJ23" s="41"/>
      <c r="AK23" s="41"/>
    </row>
    <row r="24" spans="1:37" s="42" customFormat="1" ht="20.25" x14ac:dyDescent="0.3">
      <c r="A24" s="42" t="s">
        <v>45</v>
      </c>
      <c r="F24" s="42" t="s">
        <v>46</v>
      </c>
      <c r="M24" s="42" t="s">
        <v>47</v>
      </c>
      <c r="T24" s="42" t="s">
        <v>48</v>
      </c>
      <c r="AA24" s="45" t="s">
        <v>52</v>
      </c>
      <c r="AI24" s="45"/>
      <c r="AJ24" s="45"/>
      <c r="AK24" s="45"/>
    </row>
    <row r="26" spans="1:37" x14ac:dyDescent="0.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50"/>
      <c r="AF26" s="50"/>
    </row>
  </sheetData>
  <mergeCells count="47">
    <mergeCell ref="AF7:AG8"/>
    <mergeCell ref="A1:AF1"/>
    <mergeCell ref="A2:AF2"/>
    <mergeCell ref="A4:AF4"/>
    <mergeCell ref="A5:AF5"/>
    <mergeCell ref="A7:A13"/>
    <mergeCell ref="D7:E8"/>
    <mergeCell ref="F7:I8"/>
    <mergeCell ref="J7:K8"/>
    <mergeCell ref="L7:O8"/>
    <mergeCell ref="Q7:U8"/>
    <mergeCell ref="B8:C8"/>
    <mergeCell ref="Y8:Z8"/>
    <mergeCell ref="V10:X10"/>
    <mergeCell ref="B10:C10"/>
    <mergeCell ref="D10:E10"/>
    <mergeCell ref="F10:G10"/>
    <mergeCell ref="H10:I10"/>
    <mergeCell ref="J10:K10"/>
    <mergeCell ref="D11:E11"/>
    <mergeCell ref="F11:G11"/>
    <mergeCell ref="AA7:AA8"/>
    <mergeCell ref="V7:X8"/>
    <mergeCell ref="Y7:Z7"/>
    <mergeCell ref="AA9:AD9"/>
    <mergeCell ref="L10:M10"/>
    <mergeCell ref="N10:O10"/>
    <mergeCell ref="Q10:R10"/>
    <mergeCell ref="S10:T10"/>
    <mergeCell ref="AB7:AB8"/>
    <mergeCell ref="AC7:AD8"/>
    <mergeCell ref="B9:C9"/>
    <mergeCell ref="D9:O9"/>
    <mergeCell ref="P9:P11"/>
    <mergeCell ref="Q9:Z9"/>
    <mergeCell ref="A26:AD26"/>
    <mergeCell ref="H11:I11"/>
    <mergeCell ref="J11:K11"/>
    <mergeCell ref="L11:M11"/>
    <mergeCell ref="N11:O11"/>
    <mergeCell ref="D12:E12"/>
    <mergeCell ref="F12:G12"/>
    <mergeCell ref="H12:I12"/>
    <mergeCell ref="J12:K12"/>
    <mergeCell ref="L12:M12"/>
    <mergeCell ref="N12:O12"/>
    <mergeCell ref="B11:C11"/>
  </mergeCells>
  <pageMargins left="0.39370078740157483" right="0.39370078740157483" top="0.74803149606299213" bottom="0.35433070866141736" header="0.31496062992125984" footer="0.31496062992125984"/>
  <pageSetup paperSize="14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topLeftCell="A4" workbookViewId="0">
      <selection activeCell="D17" sqref="D17"/>
    </sheetView>
  </sheetViews>
  <sheetFormatPr defaultRowHeight="15" x14ac:dyDescent="0.25"/>
  <cols>
    <col min="1" max="1" width="33.140625" style="2" customWidth="1"/>
    <col min="2" max="2" width="6.140625" style="2" hidden="1" customWidth="1"/>
    <col min="3" max="3" width="6.7109375" style="2" hidden="1" customWidth="1"/>
    <col min="4" max="4" width="10.85546875" style="2" customWidth="1"/>
    <col min="5" max="5" width="12.7109375" style="2" customWidth="1"/>
    <col min="6" max="6" width="10.5703125" style="2" customWidth="1"/>
    <col min="7" max="7" width="13.7109375" style="2" customWidth="1"/>
    <col min="8" max="9" width="8.7109375" style="2" hidden="1" customWidth="1"/>
    <col min="10" max="10" width="7.140625" style="2" hidden="1" customWidth="1"/>
    <col min="11" max="11" width="6.7109375" style="2" hidden="1" customWidth="1"/>
    <col min="12" max="12" width="7.140625" style="2" hidden="1" customWidth="1"/>
    <col min="13" max="13" width="5.42578125" style="2" hidden="1" customWidth="1"/>
    <col min="14" max="14" width="6.7109375" style="2" hidden="1" customWidth="1"/>
    <col min="15" max="15" width="9.42578125" style="2" hidden="1" customWidth="1"/>
    <col min="16" max="16" width="15.85546875" style="2" customWidth="1"/>
    <col min="17" max="17" width="7.85546875" style="2" customWidth="1"/>
    <col min="18" max="18" width="8.28515625" style="2" customWidth="1"/>
    <col min="19" max="19" width="10.85546875" style="2" customWidth="1"/>
    <col min="20" max="20" width="7.7109375" style="2" customWidth="1"/>
    <col min="21" max="21" width="10.42578125" style="2" hidden="1" customWidth="1"/>
    <col min="22" max="22" width="9.140625" style="2" customWidth="1"/>
    <col min="23" max="23" width="10.7109375" style="2" customWidth="1"/>
    <col min="24" max="24" width="7.7109375" style="2" bestFit="1" customWidth="1"/>
    <col min="25" max="25" width="8.28515625" style="2" customWidth="1"/>
    <col min="26" max="26" width="7.7109375" style="2" bestFit="1" customWidth="1"/>
    <col min="27" max="27" width="9.85546875" style="2" customWidth="1"/>
    <col min="28" max="28" width="10.7109375" style="2" customWidth="1"/>
    <col min="29" max="29" width="9.28515625" style="2" customWidth="1"/>
    <col min="30" max="30" width="10" style="2" bestFit="1" customWidth="1"/>
    <col min="31" max="31" width="16.42578125" style="2" customWidth="1"/>
    <col min="32" max="32" width="10.5703125" style="2" bestFit="1" customWidth="1"/>
    <col min="33" max="33" width="12.28515625" style="2" bestFit="1" customWidth="1"/>
    <col min="34" max="16384" width="9.140625" style="2"/>
  </cols>
  <sheetData>
    <row r="1" spans="1:33" ht="22.5" x14ac:dyDescent="0.3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"/>
    </row>
    <row r="2" spans="1:33" ht="22.5" x14ac:dyDescent="0.3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"/>
    </row>
    <row r="3" spans="1:33" ht="26.25" customHeight="1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3"/>
    </row>
    <row r="4" spans="1:33" ht="22.5" x14ac:dyDescent="0.3">
      <c r="A4" s="111" t="s">
        <v>2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"/>
    </row>
    <row r="5" spans="1:33" s="4" customFormat="1" ht="22.5" x14ac:dyDescent="0.3">
      <c r="A5" s="111" t="s">
        <v>56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"/>
    </row>
    <row r="6" spans="1:33" ht="19.5" thickBo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s="4" customFormat="1" ht="30" customHeight="1" thickBot="1" x14ac:dyDescent="0.25">
      <c r="A7" s="112" t="s">
        <v>3</v>
      </c>
      <c r="B7" s="6" t="s">
        <v>4</v>
      </c>
      <c r="C7" s="7"/>
      <c r="D7" s="93" t="s">
        <v>7</v>
      </c>
      <c r="E7" s="115"/>
      <c r="F7" s="117" t="s">
        <v>5</v>
      </c>
      <c r="G7" s="98"/>
      <c r="H7" s="98"/>
      <c r="I7" s="98"/>
      <c r="J7" s="98" t="s">
        <v>4</v>
      </c>
      <c r="K7" s="98"/>
      <c r="L7" s="104" t="s">
        <v>6</v>
      </c>
      <c r="M7" s="120"/>
      <c r="N7" s="120"/>
      <c r="O7" s="105"/>
      <c r="P7" s="53" t="s">
        <v>7</v>
      </c>
      <c r="Q7" s="92" t="s">
        <v>4</v>
      </c>
      <c r="R7" s="93"/>
      <c r="S7" s="93"/>
      <c r="T7" s="93"/>
      <c r="U7" s="94"/>
      <c r="V7" s="92" t="s">
        <v>5</v>
      </c>
      <c r="W7" s="93"/>
      <c r="X7" s="94"/>
      <c r="Y7" s="98" t="s">
        <v>7</v>
      </c>
      <c r="Z7" s="98"/>
      <c r="AA7" s="90" t="s">
        <v>5</v>
      </c>
      <c r="AB7" s="102" t="s">
        <v>4</v>
      </c>
      <c r="AC7" s="104" t="s">
        <v>5</v>
      </c>
      <c r="AD7" s="105"/>
      <c r="AE7" s="53" t="s">
        <v>7</v>
      </c>
      <c r="AF7" s="104" t="s">
        <v>5</v>
      </c>
      <c r="AG7" s="109"/>
    </row>
    <row r="8" spans="1:33" s="4" customFormat="1" ht="30" customHeight="1" thickBot="1" x14ac:dyDescent="0.25">
      <c r="A8" s="113"/>
      <c r="B8" s="122" t="s">
        <v>8</v>
      </c>
      <c r="C8" s="123"/>
      <c r="D8" s="96"/>
      <c r="E8" s="116"/>
      <c r="F8" s="118"/>
      <c r="G8" s="119"/>
      <c r="H8" s="119"/>
      <c r="I8" s="119"/>
      <c r="J8" s="119"/>
      <c r="K8" s="119"/>
      <c r="L8" s="106"/>
      <c r="M8" s="121"/>
      <c r="N8" s="121"/>
      <c r="O8" s="107"/>
      <c r="P8" s="54" t="s">
        <v>5</v>
      </c>
      <c r="Q8" s="95"/>
      <c r="R8" s="96"/>
      <c r="S8" s="96"/>
      <c r="T8" s="96"/>
      <c r="U8" s="97"/>
      <c r="V8" s="95"/>
      <c r="W8" s="96"/>
      <c r="X8" s="97"/>
      <c r="Y8" s="119" t="s">
        <v>5</v>
      </c>
      <c r="Z8" s="119"/>
      <c r="AA8" s="91"/>
      <c r="AB8" s="103"/>
      <c r="AC8" s="106"/>
      <c r="AD8" s="107"/>
      <c r="AE8" s="54" t="s">
        <v>5</v>
      </c>
      <c r="AF8" s="106"/>
      <c r="AG8" s="110"/>
    </row>
    <row r="9" spans="1:33" s="4" customFormat="1" ht="35.25" customHeight="1" x14ac:dyDescent="0.2">
      <c r="A9" s="113"/>
      <c r="B9" s="76" t="s">
        <v>9</v>
      </c>
      <c r="C9" s="77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9"/>
      <c r="P9" s="80" t="s">
        <v>10</v>
      </c>
      <c r="Q9" s="82" t="s">
        <v>11</v>
      </c>
      <c r="R9" s="83"/>
      <c r="S9" s="83"/>
      <c r="T9" s="83"/>
      <c r="U9" s="83"/>
      <c r="V9" s="83"/>
      <c r="W9" s="83"/>
      <c r="X9" s="83"/>
      <c r="Y9" s="83"/>
      <c r="Z9" s="84"/>
      <c r="AA9" s="99" t="s">
        <v>12</v>
      </c>
      <c r="AB9" s="100"/>
      <c r="AC9" s="100"/>
      <c r="AD9" s="101"/>
      <c r="AE9" s="8"/>
      <c r="AF9" s="8"/>
      <c r="AG9" s="9"/>
    </row>
    <row r="10" spans="1:33" s="4" customFormat="1" ht="35.25" customHeight="1" x14ac:dyDescent="0.2">
      <c r="A10" s="113"/>
      <c r="B10" s="127" t="s">
        <v>13</v>
      </c>
      <c r="C10" s="128"/>
      <c r="D10" s="108">
        <v>200</v>
      </c>
      <c r="E10" s="86"/>
      <c r="F10" s="86">
        <v>215</v>
      </c>
      <c r="G10" s="86"/>
      <c r="H10" s="86">
        <v>135</v>
      </c>
      <c r="I10" s="86"/>
      <c r="J10" s="86">
        <v>150</v>
      </c>
      <c r="K10" s="86"/>
      <c r="L10" s="86">
        <v>150</v>
      </c>
      <c r="M10" s="86"/>
      <c r="N10" s="86">
        <v>38</v>
      </c>
      <c r="O10" s="86"/>
      <c r="P10" s="81"/>
      <c r="Q10" s="86" t="s">
        <v>14</v>
      </c>
      <c r="R10" s="86"/>
      <c r="S10" s="86" t="s">
        <v>15</v>
      </c>
      <c r="T10" s="86"/>
      <c r="U10" s="10" t="s">
        <v>16</v>
      </c>
      <c r="V10" s="124" t="s">
        <v>17</v>
      </c>
      <c r="W10" s="125"/>
      <c r="X10" s="126"/>
      <c r="Y10" s="55" t="s">
        <v>18</v>
      </c>
      <c r="Z10" s="55" t="s">
        <v>19</v>
      </c>
      <c r="AA10" s="55" t="s">
        <v>20</v>
      </c>
      <c r="AB10" s="55" t="s">
        <v>20</v>
      </c>
      <c r="AC10" s="55" t="s">
        <v>49</v>
      </c>
      <c r="AD10" s="55" t="s">
        <v>20</v>
      </c>
      <c r="AE10" s="55" t="s">
        <v>21</v>
      </c>
      <c r="AF10" s="55" t="s">
        <v>22</v>
      </c>
      <c r="AG10" s="11" t="s">
        <v>23</v>
      </c>
    </row>
    <row r="11" spans="1:33" s="4" customFormat="1" ht="30" customHeight="1" x14ac:dyDescent="0.2">
      <c r="A11" s="113"/>
      <c r="B11" s="76" t="s">
        <v>24</v>
      </c>
      <c r="C11" s="89"/>
      <c r="D11" s="108" t="s">
        <v>51</v>
      </c>
      <c r="E11" s="86"/>
      <c r="F11" s="86" t="s">
        <v>26</v>
      </c>
      <c r="G11" s="86"/>
      <c r="H11" s="86" t="s">
        <v>26</v>
      </c>
      <c r="I11" s="86"/>
      <c r="J11" s="86" t="s">
        <v>25</v>
      </c>
      <c r="K11" s="86"/>
      <c r="L11" s="86" t="s">
        <v>27</v>
      </c>
      <c r="M11" s="86"/>
      <c r="N11" s="86" t="s">
        <v>26</v>
      </c>
      <c r="O11" s="86"/>
      <c r="P11" s="81"/>
      <c r="Q11" s="55">
        <v>2.4</v>
      </c>
      <c r="R11" s="55">
        <v>3.6</v>
      </c>
      <c r="S11" s="55">
        <v>2.4</v>
      </c>
      <c r="T11" s="55">
        <v>3.6</v>
      </c>
      <c r="U11" s="55">
        <v>2.4</v>
      </c>
      <c r="V11" s="55">
        <v>3.6</v>
      </c>
      <c r="W11" s="55">
        <v>2.4</v>
      </c>
      <c r="X11" s="55">
        <v>4.9000000000000004</v>
      </c>
      <c r="Y11" s="55"/>
      <c r="Z11" s="55"/>
      <c r="AA11" s="55">
        <v>5</v>
      </c>
      <c r="AB11" s="55">
        <v>10</v>
      </c>
      <c r="AC11" s="55" t="s">
        <v>50</v>
      </c>
      <c r="AD11" s="55">
        <v>40</v>
      </c>
      <c r="AE11" s="55"/>
      <c r="AF11" s="55"/>
      <c r="AG11" s="11" t="s">
        <v>28</v>
      </c>
    </row>
    <row r="12" spans="1:33" s="4" customFormat="1" ht="30" customHeight="1" x14ac:dyDescent="0.2">
      <c r="A12" s="113"/>
      <c r="B12" s="12"/>
      <c r="C12" s="13"/>
      <c r="D12" s="87">
        <v>35245</v>
      </c>
      <c r="E12" s="88"/>
      <c r="F12" s="88">
        <v>11082</v>
      </c>
      <c r="G12" s="88"/>
      <c r="H12" s="88">
        <v>21810</v>
      </c>
      <c r="I12" s="88"/>
      <c r="J12" s="88">
        <v>17362</v>
      </c>
      <c r="K12" s="88"/>
      <c r="L12" s="88">
        <v>18389</v>
      </c>
      <c r="M12" s="88"/>
      <c r="N12" s="88">
        <v>21811</v>
      </c>
      <c r="O12" s="88"/>
      <c r="P12" s="57">
        <v>10128</v>
      </c>
      <c r="Q12" s="57">
        <v>10962</v>
      </c>
      <c r="R12" s="57">
        <v>15427</v>
      </c>
      <c r="S12" s="57">
        <v>16623</v>
      </c>
      <c r="T12" s="57">
        <v>16967</v>
      </c>
      <c r="U12" s="57">
        <v>28230</v>
      </c>
      <c r="V12" s="57">
        <v>10966</v>
      </c>
      <c r="W12" s="57">
        <v>10965</v>
      </c>
      <c r="X12" s="57">
        <v>21809</v>
      </c>
      <c r="Y12" s="57">
        <v>11966</v>
      </c>
      <c r="Z12" s="57">
        <v>11089</v>
      </c>
      <c r="AA12" s="57">
        <v>10960</v>
      </c>
      <c r="AB12" s="57">
        <v>10961</v>
      </c>
      <c r="AC12" s="57">
        <v>33442</v>
      </c>
      <c r="AD12" s="57">
        <v>10959</v>
      </c>
      <c r="AE12" s="57">
        <v>12487</v>
      </c>
      <c r="AF12" s="57">
        <v>16823</v>
      </c>
      <c r="AG12" s="14">
        <v>11342</v>
      </c>
    </row>
    <row r="13" spans="1:33" s="4" customFormat="1" ht="30" customHeight="1" thickBot="1" x14ac:dyDescent="0.25">
      <c r="A13" s="114"/>
      <c r="B13" s="15" t="s">
        <v>29</v>
      </c>
      <c r="C13" s="16" t="s">
        <v>30</v>
      </c>
      <c r="D13" s="17" t="s">
        <v>31</v>
      </c>
      <c r="E13" s="54" t="s">
        <v>32</v>
      </c>
      <c r="F13" s="54" t="s">
        <v>31</v>
      </c>
      <c r="G13" s="54" t="s">
        <v>32</v>
      </c>
      <c r="H13" s="54" t="s">
        <v>31</v>
      </c>
      <c r="I13" s="54" t="s">
        <v>32</v>
      </c>
      <c r="J13" s="54" t="s">
        <v>31</v>
      </c>
      <c r="K13" s="54" t="s">
        <v>32</v>
      </c>
      <c r="L13" s="54" t="s">
        <v>31</v>
      </c>
      <c r="M13" s="54" t="s">
        <v>32</v>
      </c>
      <c r="N13" s="54"/>
      <c r="O13" s="54"/>
      <c r="P13" s="54" t="s">
        <v>32</v>
      </c>
      <c r="Q13" s="54" t="s">
        <v>31</v>
      </c>
      <c r="R13" s="54" t="s">
        <v>31</v>
      </c>
      <c r="S13" s="54" t="s">
        <v>31</v>
      </c>
      <c r="T13" s="54" t="s">
        <v>31</v>
      </c>
      <c r="U13" s="54" t="s">
        <v>31</v>
      </c>
      <c r="V13" s="54" t="s">
        <v>31</v>
      </c>
      <c r="W13" s="54" t="s">
        <v>31</v>
      </c>
      <c r="X13" s="54" t="s">
        <v>31</v>
      </c>
      <c r="Y13" s="54" t="s">
        <v>31</v>
      </c>
      <c r="Z13" s="54" t="s">
        <v>31</v>
      </c>
      <c r="AA13" s="54" t="s">
        <v>33</v>
      </c>
      <c r="AB13" s="54" t="s">
        <v>33</v>
      </c>
      <c r="AC13" s="54" t="s">
        <v>33</v>
      </c>
      <c r="AD13" s="54" t="s">
        <v>33</v>
      </c>
      <c r="AE13" s="54" t="s">
        <v>33</v>
      </c>
      <c r="AF13" s="54" t="s">
        <v>33</v>
      </c>
      <c r="AG13" s="18" t="s">
        <v>31</v>
      </c>
    </row>
    <row r="14" spans="1:33" s="25" customFormat="1" ht="46.5" customHeight="1" x14ac:dyDescent="0.3">
      <c r="A14" s="19" t="s">
        <v>57</v>
      </c>
      <c r="B14" s="21">
        <v>0</v>
      </c>
      <c r="C14" s="21">
        <f>B14/208*25</f>
        <v>0</v>
      </c>
      <c r="D14" s="21">
        <v>41302</v>
      </c>
      <c r="E14" s="20">
        <f>D14/208*25</f>
        <v>4964.1826923076924</v>
      </c>
      <c r="F14" s="21">
        <v>40650</v>
      </c>
      <c r="G14" s="20">
        <f>F14/215*25</f>
        <v>4726.7441860465124</v>
      </c>
      <c r="H14" s="21">
        <v>0</v>
      </c>
      <c r="I14" s="20">
        <f>H14/135*25</f>
        <v>0</v>
      </c>
      <c r="J14" s="21">
        <v>0</v>
      </c>
      <c r="K14" s="20">
        <f>J14/150*25</f>
        <v>0</v>
      </c>
      <c r="L14" s="21">
        <v>0</v>
      </c>
      <c r="M14" s="21">
        <f>L14/150*25</f>
        <v>0</v>
      </c>
      <c r="N14" s="21">
        <v>0</v>
      </c>
      <c r="O14" s="20">
        <f>N14/38*25</f>
        <v>0</v>
      </c>
      <c r="P14" s="20">
        <v>29541.5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587</v>
      </c>
      <c r="W14" s="21">
        <v>39878</v>
      </c>
      <c r="X14" s="21">
        <v>0</v>
      </c>
      <c r="Y14" s="21">
        <v>4650</v>
      </c>
      <c r="Z14" s="21">
        <v>158</v>
      </c>
      <c r="AA14" s="21">
        <v>18862</v>
      </c>
      <c r="AB14" s="21">
        <v>20</v>
      </c>
      <c r="AC14" s="21">
        <v>797</v>
      </c>
      <c r="AD14" s="22">
        <v>0</v>
      </c>
      <c r="AE14" s="20">
        <f>Y14*2.43</f>
        <v>11299.5</v>
      </c>
      <c r="AF14" s="23">
        <v>340</v>
      </c>
      <c r="AG14" s="24">
        <v>1</v>
      </c>
    </row>
    <row r="15" spans="1:33" s="25" customFormat="1" ht="46.5" customHeight="1" x14ac:dyDescent="0.3">
      <c r="A15" s="26" t="s">
        <v>34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7"/>
      <c r="AG15" s="29"/>
    </row>
    <row r="16" spans="1:33" s="25" customFormat="1" ht="46.5" customHeight="1" x14ac:dyDescent="0.3">
      <c r="A16" s="19" t="s">
        <v>54</v>
      </c>
      <c r="B16" s="21">
        <v>0</v>
      </c>
      <c r="C16" s="21">
        <f>B16/208*25</f>
        <v>0</v>
      </c>
      <c r="D16" s="21">
        <v>45072</v>
      </c>
      <c r="E16" s="20">
        <f>D16/208*25</f>
        <v>5417.3076923076924</v>
      </c>
      <c r="F16" s="21">
        <v>49039</v>
      </c>
      <c r="G16" s="20">
        <f>F16/215*25</f>
        <v>5702.2093023255811</v>
      </c>
      <c r="H16" s="21">
        <v>0</v>
      </c>
      <c r="I16" s="20">
        <f>H16/135*25</f>
        <v>0</v>
      </c>
      <c r="J16" s="21">
        <v>0</v>
      </c>
      <c r="K16" s="20">
        <f>J16/150*25</f>
        <v>0</v>
      </c>
      <c r="L16" s="21">
        <v>0</v>
      </c>
      <c r="M16" s="21">
        <f>L16/150*25</f>
        <v>0</v>
      </c>
      <c r="N16" s="21">
        <v>0</v>
      </c>
      <c r="O16" s="20">
        <f>N16/38*25</f>
        <v>0</v>
      </c>
      <c r="P16" s="20">
        <v>30816.1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1609</v>
      </c>
      <c r="W16" s="21">
        <v>44750</v>
      </c>
      <c r="X16" s="21">
        <v>0</v>
      </c>
      <c r="Y16" s="21">
        <v>5497</v>
      </c>
      <c r="Z16" s="21">
        <v>92</v>
      </c>
      <c r="AA16" s="21">
        <v>20129</v>
      </c>
      <c r="AB16" s="21">
        <v>0</v>
      </c>
      <c r="AC16" s="21">
        <v>1676</v>
      </c>
      <c r="AD16" s="22">
        <v>0</v>
      </c>
      <c r="AE16" s="20">
        <f>Y16*2.43</f>
        <v>13357.710000000001</v>
      </c>
      <c r="AF16" s="23">
        <v>310</v>
      </c>
      <c r="AG16" s="24">
        <v>3</v>
      </c>
    </row>
    <row r="17" spans="1:37" s="25" customFormat="1" ht="46.5" customHeight="1" thickBot="1" x14ac:dyDescent="0.35">
      <c r="A17" s="30" t="s">
        <v>35</v>
      </c>
      <c r="B17" s="31">
        <f>B14-B16</f>
        <v>0</v>
      </c>
      <c r="C17" s="31">
        <f t="shared" ref="C17:AG17" si="0">C14-C16</f>
        <v>0</v>
      </c>
      <c r="D17" s="31">
        <f t="shared" si="0"/>
        <v>-3770</v>
      </c>
      <c r="E17" s="32">
        <f t="shared" si="0"/>
        <v>-453.125</v>
      </c>
      <c r="F17" s="31">
        <f t="shared" si="0"/>
        <v>-8389</v>
      </c>
      <c r="G17" s="32">
        <f t="shared" si="0"/>
        <v>-975.46511627906875</v>
      </c>
      <c r="H17" s="32">
        <f t="shared" si="0"/>
        <v>0</v>
      </c>
      <c r="I17" s="32">
        <f t="shared" si="0"/>
        <v>0</v>
      </c>
      <c r="J17" s="32">
        <f t="shared" si="0"/>
        <v>0</v>
      </c>
      <c r="K17" s="32">
        <f t="shared" si="0"/>
        <v>0</v>
      </c>
      <c r="L17" s="32">
        <f t="shared" si="0"/>
        <v>0</v>
      </c>
      <c r="M17" s="32">
        <f t="shared" si="0"/>
        <v>0</v>
      </c>
      <c r="N17" s="31">
        <f t="shared" si="0"/>
        <v>0</v>
      </c>
      <c r="O17" s="32">
        <f t="shared" si="0"/>
        <v>0</v>
      </c>
      <c r="P17" s="31">
        <f>P14-P16</f>
        <v>-1274.5999999999985</v>
      </c>
      <c r="Q17" s="31">
        <f t="shared" si="0"/>
        <v>0</v>
      </c>
      <c r="R17" s="31">
        <f t="shared" si="0"/>
        <v>0</v>
      </c>
      <c r="S17" s="31">
        <f t="shared" si="0"/>
        <v>0</v>
      </c>
      <c r="T17" s="31">
        <f t="shared" si="0"/>
        <v>0</v>
      </c>
      <c r="U17" s="31">
        <f t="shared" si="0"/>
        <v>0</v>
      </c>
      <c r="V17" s="31">
        <f t="shared" si="0"/>
        <v>-1022</v>
      </c>
      <c r="W17" s="31">
        <f t="shared" si="0"/>
        <v>-4872</v>
      </c>
      <c r="X17" s="31">
        <f>X14-X16</f>
        <v>0</v>
      </c>
      <c r="Y17" s="31">
        <f t="shared" si="0"/>
        <v>-847</v>
      </c>
      <c r="Z17" s="31">
        <f>Z14-Z16</f>
        <v>66</v>
      </c>
      <c r="AA17" s="31">
        <f t="shared" si="0"/>
        <v>-1267</v>
      </c>
      <c r="AB17" s="31">
        <f t="shared" si="0"/>
        <v>20</v>
      </c>
      <c r="AC17" s="31">
        <f t="shared" si="0"/>
        <v>-879</v>
      </c>
      <c r="AD17" s="31">
        <f t="shared" si="0"/>
        <v>0</v>
      </c>
      <c r="AE17" s="32">
        <f t="shared" si="0"/>
        <v>-2058.2100000000009</v>
      </c>
      <c r="AF17" s="31">
        <f t="shared" si="0"/>
        <v>30</v>
      </c>
      <c r="AG17" s="33">
        <f t="shared" si="0"/>
        <v>-2</v>
      </c>
    </row>
    <row r="18" spans="1:37" x14ac:dyDescent="0.25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/>
      <c r="AF18" s="35"/>
      <c r="AG18" s="35"/>
    </row>
    <row r="19" spans="1:37" x14ac:dyDescent="0.25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/>
      <c r="AF19" s="35"/>
      <c r="AG19" s="35"/>
    </row>
    <row r="20" spans="1:37" s="37" customFormat="1" ht="23.25" x14ac:dyDescent="0.35">
      <c r="A20" s="37" t="s">
        <v>36</v>
      </c>
      <c r="B20" s="38"/>
      <c r="F20" s="37" t="s">
        <v>37</v>
      </c>
      <c r="M20" s="37" t="s">
        <v>38</v>
      </c>
      <c r="T20" s="37" t="s">
        <v>38</v>
      </c>
      <c r="AA20" s="37" t="s">
        <v>39</v>
      </c>
      <c r="AJ20" s="39"/>
      <c r="AK20" s="39"/>
    </row>
    <row r="21" spans="1:37" s="37" customFormat="1" ht="23.25" x14ac:dyDescent="0.35">
      <c r="B21" s="38"/>
      <c r="F21" s="38"/>
      <c r="AD21" s="38"/>
      <c r="AJ21" s="38"/>
      <c r="AK21" s="38"/>
    </row>
    <row r="22" spans="1:37" s="37" customFormat="1" ht="23.25" x14ac:dyDescent="0.35">
      <c r="A22" s="38"/>
      <c r="B22" s="38"/>
      <c r="F22" s="38"/>
      <c r="AD22" s="38"/>
    </row>
    <row r="23" spans="1:37" s="42" customFormat="1" ht="20.25" x14ac:dyDescent="0.3">
      <c r="A23" s="40" t="s">
        <v>40</v>
      </c>
      <c r="B23" s="41"/>
      <c r="F23" s="43" t="s">
        <v>41</v>
      </c>
      <c r="M23" s="43" t="s">
        <v>42</v>
      </c>
      <c r="T23" s="43" t="s">
        <v>43</v>
      </c>
      <c r="AA23" s="43" t="s">
        <v>44</v>
      </c>
      <c r="AH23" s="41"/>
      <c r="AI23" s="44"/>
      <c r="AJ23" s="41"/>
      <c r="AK23" s="41"/>
    </row>
    <row r="24" spans="1:37" s="42" customFormat="1" ht="20.25" x14ac:dyDescent="0.3">
      <c r="A24" s="42" t="s">
        <v>45</v>
      </c>
      <c r="F24" s="42" t="s">
        <v>46</v>
      </c>
      <c r="M24" s="42" t="s">
        <v>47</v>
      </c>
      <c r="T24" s="42" t="s">
        <v>48</v>
      </c>
      <c r="AA24" s="45" t="s">
        <v>52</v>
      </c>
      <c r="AI24" s="45"/>
      <c r="AJ24" s="45"/>
      <c r="AK24" s="45"/>
    </row>
    <row r="26" spans="1:37" x14ac:dyDescent="0.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56"/>
      <c r="AF26" s="56"/>
    </row>
  </sheetData>
  <mergeCells count="47">
    <mergeCell ref="AF7:AG8"/>
    <mergeCell ref="A1:AF1"/>
    <mergeCell ref="A2:AF2"/>
    <mergeCell ref="A4:AF4"/>
    <mergeCell ref="A5:AF5"/>
    <mergeCell ref="A7:A13"/>
    <mergeCell ref="D7:E8"/>
    <mergeCell ref="F7:I8"/>
    <mergeCell ref="J7:K8"/>
    <mergeCell ref="L7:O8"/>
    <mergeCell ref="Q7:U8"/>
    <mergeCell ref="B8:C8"/>
    <mergeCell ref="Y8:Z8"/>
    <mergeCell ref="V10:X10"/>
    <mergeCell ref="B10:C10"/>
    <mergeCell ref="D10:E10"/>
    <mergeCell ref="F10:G10"/>
    <mergeCell ref="H10:I10"/>
    <mergeCell ref="J10:K10"/>
    <mergeCell ref="D11:E11"/>
    <mergeCell ref="F11:G11"/>
    <mergeCell ref="AA7:AA8"/>
    <mergeCell ref="V7:X8"/>
    <mergeCell ref="Y7:Z7"/>
    <mergeCell ref="AA9:AD9"/>
    <mergeCell ref="L10:M10"/>
    <mergeCell ref="N10:O10"/>
    <mergeCell ref="Q10:R10"/>
    <mergeCell ref="S10:T10"/>
    <mergeCell ref="AB7:AB8"/>
    <mergeCell ref="AC7:AD8"/>
    <mergeCell ref="B9:C9"/>
    <mergeCell ref="D9:O9"/>
    <mergeCell ref="P9:P11"/>
    <mergeCell ref="Q9:Z9"/>
    <mergeCell ref="A26:AD26"/>
    <mergeCell ref="H11:I11"/>
    <mergeCell ref="J11:K11"/>
    <mergeCell ref="L11:M11"/>
    <mergeCell ref="N11:O11"/>
    <mergeCell ref="D12:E12"/>
    <mergeCell ref="F12:G12"/>
    <mergeCell ref="H12:I12"/>
    <mergeCell ref="J12:K12"/>
    <mergeCell ref="L12:M12"/>
    <mergeCell ref="N12:O12"/>
    <mergeCell ref="B11:C11"/>
  </mergeCells>
  <pageMargins left="0.39370078740157483" right="0.39370078740157483" top="0.74803149606299213" bottom="0.35433070866141736" header="0.31496062992125984" footer="0.31496062992125984"/>
  <pageSetup paperSize="14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topLeftCell="A10" workbookViewId="0">
      <selection activeCell="W29" sqref="W29"/>
    </sheetView>
  </sheetViews>
  <sheetFormatPr defaultRowHeight="15" x14ac:dyDescent="0.25"/>
  <cols>
    <col min="1" max="1" width="33.140625" style="2" customWidth="1"/>
    <col min="2" max="2" width="6.140625" style="2" hidden="1" customWidth="1"/>
    <col min="3" max="3" width="6.7109375" style="2" hidden="1" customWidth="1"/>
    <col min="4" max="4" width="10.85546875" style="2" customWidth="1"/>
    <col min="5" max="5" width="12.7109375" style="2" customWidth="1"/>
    <col min="6" max="6" width="10.5703125" style="2" customWidth="1"/>
    <col min="7" max="7" width="13.7109375" style="2" customWidth="1"/>
    <col min="8" max="9" width="8.7109375" style="2" hidden="1" customWidth="1"/>
    <col min="10" max="10" width="7.140625" style="2" hidden="1" customWidth="1"/>
    <col min="11" max="11" width="6.7109375" style="2" hidden="1" customWidth="1"/>
    <col min="12" max="12" width="7.140625" style="2" hidden="1" customWidth="1"/>
    <col min="13" max="13" width="5.42578125" style="2" hidden="1" customWidth="1"/>
    <col min="14" max="14" width="6.7109375" style="2" hidden="1" customWidth="1"/>
    <col min="15" max="15" width="9.42578125" style="2" hidden="1" customWidth="1"/>
    <col min="16" max="16" width="15.85546875" style="2" customWidth="1"/>
    <col min="17" max="17" width="7.85546875" style="2" customWidth="1"/>
    <col min="18" max="18" width="8.28515625" style="2" customWidth="1"/>
    <col min="19" max="19" width="10.85546875" style="2" customWidth="1"/>
    <col min="20" max="20" width="7.7109375" style="2" customWidth="1"/>
    <col min="21" max="21" width="10.42578125" style="2" hidden="1" customWidth="1"/>
    <col min="22" max="22" width="9.140625" style="2" customWidth="1"/>
    <col min="23" max="23" width="10.7109375" style="2" customWidth="1"/>
    <col min="24" max="24" width="7.7109375" style="2" bestFit="1" customWidth="1"/>
    <col min="25" max="25" width="8.28515625" style="2" customWidth="1"/>
    <col min="26" max="26" width="7.7109375" style="2" bestFit="1" customWidth="1"/>
    <col min="27" max="27" width="9.85546875" style="2" customWidth="1"/>
    <col min="28" max="28" width="10.7109375" style="2" customWidth="1"/>
    <col min="29" max="29" width="9.28515625" style="2" customWidth="1"/>
    <col min="30" max="30" width="10" style="2" bestFit="1" customWidth="1"/>
    <col min="31" max="31" width="16.42578125" style="2" customWidth="1"/>
    <col min="32" max="32" width="10.5703125" style="2" bestFit="1" customWidth="1"/>
    <col min="33" max="33" width="12.28515625" style="2" bestFit="1" customWidth="1"/>
    <col min="34" max="16384" width="9.140625" style="2"/>
  </cols>
  <sheetData>
    <row r="1" spans="1:33" ht="22.5" x14ac:dyDescent="0.3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"/>
    </row>
    <row r="2" spans="1:33" ht="22.5" x14ac:dyDescent="0.3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"/>
    </row>
    <row r="3" spans="1:33" ht="26.25" customHeight="1" x14ac:dyDescent="0.3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3"/>
    </row>
    <row r="4" spans="1:33" ht="22.5" x14ac:dyDescent="0.3">
      <c r="A4" s="111" t="s">
        <v>2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"/>
    </row>
    <row r="5" spans="1:33" s="4" customFormat="1" ht="22.5" x14ac:dyDescent="0.3">
      <c r="A5" s="111" t="s">
        <v>58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"/>
    </row>
    <row r="6" spans="1:33" ht="19.5" thickBo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s="4" customFormat="1" ht="30" customHeight="1" thickBot="1" x14ac:dyDescent="0.25">
      <c r="A7" s="112" t="s">
        <v>3</v>
      </c>
      <c r="B7" s="6" t="s">
        <v>4</v>
      </c>
      <c r="C7" s="7"/>
      <c r="D7" s="93" t="s">
        <v>7</v>
      </c>
      <c r="E7" s="115"/>
      <c r="F7" s="117" t="s">
        <v>5</v>
      </c>
      <c r="G7" s="98"/>
      <c r="H7" s="98"/>
      <c r="I7" s="98"/>
      <c r="J7" s="98" t="s">
        <v>4</v>
      </c>
      <c r="K7" s="98"/>
      <c r="L7" s="104" t="s">
        <v>6</v>
      </c>
      <c r="M7" s="120"/>
      <c r="N7" s="120"/>
      <c r="O7" s="105"/>
      <c r="P7" s="61" t="s">
        <v>7</v>
      </c>
      <c r="Q7" s="92" t="s">
        <v>4</v>
      </c>
      <c r="R7" s="93"/>
      <c r="S7" s="93"/>
      <c r="T7" s="93"/>
      <c r="U7" s="94"/>
      <c r="V7" s="92" t="s">
        <v>5</v>
      </c>
      <c r="W7" s="93"/>
      <c r="X7" s="94"/>
      <c r="Y7" s="98" t="s">
        <v>7</v>
      </c>
      <c r="Z7" s="98"/>
      <c r="AA7" s="90" t="s">
        <v>5</v>
      </c>
      <c r="AB7" s="102" t="s">
        <v>4</v>
      </c>
      <c r="AC7" s="104" t="s">
        <v>5</v>
      </c>
      <c r="AD7" s="105"/>
      <c r="AE7" s="61" t="s">
        <v>7</v>
      </c>
      <c r="AF7" s="104" t="s">
        <v>5</v>
      </c>
      <c r="AG7" s="109"/>
    </row>
    <row r="8" spans="1:33" s="4" customFormat="1" ht="30" customHeight="1" thickBot="1" x14ac:dyDescent="0.25">
      <c r="A8" s="113"/>
      <c r="B8" s="122" t="s">
        <v>8</v>
      </c>
      <c r="C8" s="123"/>
      <c r="D8" s="96"/>
      <c r="E8" s="116"/>
      <c r="F8" s="118"/>
      <c r="G8" s="119"/>
      <c r="H8" s="119"/>
      <c r="I8" s="119"/>
      <c r="J8" s="119"/>
      <c r="K8" s="119"/>
      <c r="L8" s="106"/>
      <c r="M8" s="121"/>
      <c r="N8" s="121"/>
      <c r="O8" s="107"/>
      <c r="P8" s="63" t="s">
        <v>5</v>
      </c>
      <c r="Q8" s="95"/>
      <c r="R8" s="96"/>
      <c r="S8" s="96"/>
      <c r="T8" s="96"/>
      <c r="U8" s="97"/>
      <c r="V8" s="95"/>
      <c r="W8" s="96"/>
      <c r="X8" s="97"/>
      <c r="Y8" s="119" t="s">
        <v>5</v>
      </c>
      <c r="Z8" s="119"/>
      <c r="AA8" s="91"/>
      <c r="AB8" s="103"/>
      <c r="AC8" s="106"/>
      <c r="AD8" s="107"/>
      <c r="AE8" s="63" t="s">
        <v>5</v>
      </c>
      <c r="AF8" s="106"/>
      <c r="AG8" s="110"/>
    </row>
    <row r="9" spans="1:33" s="4" customFormat="1" ht="35.25" customHeight="1" x14ac:dyDescent="0.2">
      <c r="A9" s="113"/>
      <c r="B9" s="76" t="s">
        <v>9</v>
      </c>
      <c r="C9" s="77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9"/>
      <c r="P9" s="80" t="s">
        <v>10</v>
      </c>
      <c r="Q9" s="82" t="s">
        <v>11</v>
      </c>
      <c r="R9" s="83"/>
      <c r="S9" s="83"/>
      <c r="T9" s="83"/>
      <c r="U9" s="83"/>
      <c r="V9" s="83"/>
      <c r="W9" s="83"/>
      <c r="X9" s="83"/>
      <c r="Y9" s="83"/>
      <c r="Z9" s="84"/>
      <c r="AA9" s="99" t="s">
        <v>12</v>
      </c>
      <c r="AB9" s="100"/>
      <c r="AC9" s="100"/>
      <c r="AD9" s="101"/>
      <c r="AE9" s="8"/>
      <c r="AF9" s="8"/>
      <c r="AG9" s="9"/>
    </row>
    <row r="10" spans="1:33" s="4" customFormat="1" ht="35.25" customHeight="1" x14ac:dyDescent="0.2">
      <c r="A10" s="113"/>
      <c r="B10" s="127" t="s">
        <v>13</v>
      </c>
      <c r="C10" s="128"/>
      <c r="D10" s="108">
        <v>200</v>
      </c>
      <c r="E10" s="86"/>
      <c r="F10" s="86">
        <v>215</v>
      </c>
      <c r="G10" s="86"/>
      <c r="H10" s="86">
        <v>135</v>
      </c>
      <c r="I10" s="86"/>
      <c r="J10" s="86">
        <v>150</v>
      </c>
      <c r="K10" s="86"/>
      <c r="L10" s="86">
        <v>150</v>
      </c>
      <c r="M10" s="86"/>
      <c r="N10" s="86">
        <v>38</v>
      </c>
      <c r="O10" s="86"/>
      <c r="P10" s="81"/>
      <c r="Q10" s="86" t="s">
        <v>14</v>
      </c>
      <c r="R10" s="86"/>
      <c r="S10" s="86" t="s">
        <v>15</v>
      </c>
      <c r="T10" s="86"/>
      <c r="U10" s="10" t="s">
        <v>16</v>
      </c>
      <c r="V10" s="124" t="s">
        <v>17</v>
      </c>
      <c r="W10" s="125"/>
      <c r="X10" s="126"/>
      <c r="Y10" s="59" t="s">
        <v>18</v>
      </c>
      <c r="Z10" s="59" t="s">
        <v>19</v>
      </c>
      <c r="AA10" s="59" t="s">
        <v>20</v>
      </c>
      <c r="AB10" s="59" t="s">
        <v>20</v>
      </c>
      <c r="AC10" s="59" t="s">
        <v>49</v>
      </c>
      <c r="AD10" s="59" t="s">
        <v>20</v>
      </c>
      <c r="AE10" s="59" t="s">
        <v>21</v>
      </c>
      <c r="AF10" s="59" t="s">
        <v>22</v>
      </c>
      <c r="AG10" s="11" t="s">
        <v>23</v>
      </c>
    </row>
    <row r="11" spans="1:33" s="4" customFormat="1" ht="30" customHeight="1" x14ac:dyDescent="0.2">
      <c r="A11" s="113"/>
      <c r="B11" s="76" t="s">
        <v>24</v>
      </c>
      <c r="C11" s="89"/>
      <c r="D11" s="108" t="s">
        <v>51</v>
      </c>
      <c r="E11" s="86"/>
      <c r="F11" s="86" t="s">
        <v>26</v>
      </c>
      <c r="G11" s="86"/>
      <c r="H11" s="86" t="s">
        <v>26</v>
      </c>
      <c r="I11" s="86"/>
      <c r="J11" s="86" t="s">
        <v>25</v>
      </c>
      <c r="K11" s="86"/>
      <c r="L11" s="86" t="s">
        <v>27</v>
      </c>
      <c r="M11" s="86"/>
      <c r="N11" s="86" t="s">
        <v>26</v>
      </c>
      <c r="O11" s="86"/>
      <c r="P11" s="81"/>
      <c r="Q11" s="59">
        <v>2.4</v>
      </c>
      <c r="R11" s="59">
        <v>3.6</v>
      </c>
      <c r="S11" s="59">
        <v>2.4</v>
      </c>
      <c r="T11" s="59">
        <v>3.6</v>
      </c>
      <c r="U11" s="59">
        <v>2.4</v>
      </c>
      <c r="V11" s="59">
        <v>3.6</v>
      </c>
      <c r="W11" s="59">
        <v>2.4</v>
      </c>
      <c r="X11" s="59">
        <v>4.9000000000000004</v>
      </c>
      <c r="Y11" s="59"/>
      <c r="Z11" s="59"/>
      <c r="AA11" s="59">
        <v>5</v>
      </c>
      <c r="AB11" s="59">
        <v>10</v>
      </c>
      <c r="AC11" s="59" t="s">
        <v>50</v>
      </c>
      <c r="AD11" s="59">
        <v>40</v>
      </c>
      <c r="AE11" s="59"/>
      <c r="AF11" s="59"/>
      <c r="AG11" s="11" t="s">
        <v>28</v>
      </c>
    </row>
    <row r="12" spans="1:33" s="4" customFormat="1" ht="30" customHeight="1" x14ac:dyDescent="0.2">
      <c r="A12" s="113"/>
      <c r="B12" s="12"/>
      <c r="C12" s="13"/>
      <c r="D12" s="87">
        <v>35245</v>
      </c>
      <c r="E12" s="88"/>
      <c r="F12" s="88">
        <v>11082</v>
      </c>
      <c r="G12" s="88"/>
      <c r="H12" s="88">
        <v>21810</v>
      </c>
      <c r="I12" s="88"/>
      <c r="J12" s="88">
        <v>17362</v>
      </c>
      <c r="K12" s="88"/>
      <c r="L12" s="88">
        <v>18389</v>
      </c>
      <c r="M12" s="88"/>
      <c r="N12" s="88">
        <v>21811</v>
      </c>
      <c r="O12" s="88"/>
      <c r="P12" s="60">
        <v>10128</v>
      </c>
      <c r="Q12" s="60">
        <v>10962</v>
      </c>
      <c r="R12" s="60">
        <v>15427</v>
      </c>
      <c r="S12" s="60">
        <v>16623</v>
      </c>
      <c r="T12" s="60">
        <v>16967</v>
      </c>
      <c r="U12" s="60">
        <v>28230</v>
      </c>
      <c r="V12" s="60">
        <v>10966</v>
      </c>
      <c r="W12" s="60">
        <v>10965</v>
      </c>
      <c r="X12" s="60">
        <v>21809</v>
      </c>
      <c r="Y12" s="60">
        <v>11966</v>
      </c>
      <c r="Z12" s="60">
        <v>11089</v>
      </c>
      <c r="AA12" s="60">
        <v>10960</v>
      </c>
      <c r="AB12" s="60">
        <v>10961</v>
      </c>
      <c r="AC12" s="60">
        <v>33442</v>
      </c>
      <c r="AD12" s="60">
        <v>10959</v>
      </c>
      <c r="AE12" s="60">
        <v>12487</v>
      </c>
      <c r="AF12" s="60">
        <v>16823</v>
      </c>
      <c r="AG12" s="14">
        <v>11342</v>
      </c>
    </row>
    <row r="13" spans="1:33" s="4" customFormat="1" ht="30" customHeight="1" thickBot="1" x14ac:dyDescent="0.25">
      <c r="A13" s="114"/>
      <c r="B13" s="15" t="s">
        <v>29</v>
      </c>
      <c r="C13" s="16" t="s">
        <v>30</v>
      </c>
      <c r="D13" s="17" t="s">
        <v>31</v>
      </c>
      <c r="E13" s="63" t="s">
        <v>32</v>
      </c>
      <c r="F13" s="63" t="s">
        <v>31</v>
      </c>
      <c r="G13" s="63" t="s">
        <v>32</v>
      </c>
      <c r="H13" s="63" t="s">
        <v>31</v>
      </c>
      <c r="I13" s="63" t="s">
        <v>32</v>
      </c>
      <c r="J13" s="63" t="s">
        <v>31</v>
      </c>
      <c r="K13" s="63" t="s">
        <v>32</v>
      </c>
      <c r="L13" s="63" t="s">
        <v>31</v>
      </c>
      <c r="M13" s="63" t="s">
        <v>32</v>
      </c>
      <c r="N13" s="63"/>
      <c r="O13" s="63"/>
      <c r="P13" s="63" t="s">
        <v>32</v>
      </c>
      <c r="Q13" s="63" t="s">
        <v>31</v>
      </c>
      <c r="R13" s="63" t="s">
        <v>31</v>
      </c>
      <c r="S13" s="63" t="s">
        <v>31</v>
      </c>
      <c r="T13" s="63" t="s">
        <v>31</v>
      </c>
      <c r="U13" s="63" t="s">
        <v>31</v>
      </c>
      <c r="V13" s="63" t="s">
        <v>31</v>
      </c>
      <c r="W13" s="63" t="s">
        <v>31</v>
      </c>
      <c r="X13" s="63" t="s">
        <v>31</v>
      </c>
      <c r="Y13" s="63" t="s">
        <v>31</v>
      </c>
      <c r="Z13" s="63" t="s">
        <v>31</v>
      </c>
      <c r="AA13" s="63" t="s">
        <v>33</v>
      </c>
      <c r="AB13" s="63" t="s">
        <v>33</v>
      </c>
      <c r="AC13" s="63" t="s">
        <v>33</v>
      </c>
      <c r="AD13" s="63" t="s">
        <v>33</v>
      </c>
      <c r="AE13" s="63" t="s">
        <v>33</v>
      </c>
      <c r="AF13" s="63" t="s">
        <v>33</v>
      </c>
      <c r="AG13" s="18" t="s">
        <v>31</v>
      </c>
    </row>
    <row r="14" spans="1:33" s="25" customFormat="1" ht="46.5" customHeight="1" x14ac:dyDescent="0.3">
      <c r="A14" s="19" t="s">
        <v>59</v>
      </c>
      <c r="B14" s="21">
        <v>0</v>
      </c>
      <c r="C14" s="21">
        <f>B14/208*25</f>
        <v>0</v>
      </c>
      <c r="D14" s="21">
        <v>55225</v>
      </c>
      <c r="E14" s="20">
        <f>D14/208*25</f>
        <v>6637.6201923076924</v>
      </c>
      <c r="F14" s="21">
        <v>46249</v>
      </c>
      <c r="G14" s="20">
        <f>F14/215*25</f>
        <v>5377.790697674418</v>
      </c>
      <c r="H14" s="21">
        <v>0</v>
      </c>
      <c r="I14" s="20">
        <f>H14/135*25</f>
        <v>0</v>
      </c>
      <c r="J14" s="21">
        <v>0</v>
      </c>
      <c r="K14" s="20">
        <f>J14/150*25</f>
        <v>0</v>
      </c>
      <c r="L14" s="21">
        <v>0</v>
      </c>
      <c r="M14" s="21">
        <f>L14/150*25</f>
        <v>0</v>
      </c>
      <c r="N14" s="21">
        <v>0</v>
      </c>
      <c r="O14" s="20">
        <f>N14/38*25</f>
        <v>0</v>
      </c>
      <c r="P14" s="20">
        <v>35141.07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368</v>
      </c>
      <c r="W14" s="21">
        <v>49312</v>
      </c>
      <c r="X14" s="21"/>
      <c r="Y14" s="21">
        <v>5828</v>
      </c>
      <c r="Z14" s="21">
        <v>156</v>
      </c>
      <c r="AA14" s="21">
        <v>24333</v>
      </c>
      <c r="AB14" s="21"/>
      <c r="AC14" s="21"/>
      <c r="AD14" s="22"/>
      <c r="AE14" s="20">
        <f>Y14*2.43</f>
        <v>14162.04</v>
      </c>
      <c r="AF14" s="23">
        <v>90</v>
      </c>
      <c r="AG14" s="24">
        <v>0</v>
      </c>
    </row>
    <row r="15" spans="1:33" s="25" customFormat="1" ht="46.5" customHeight="1" x14ac:dyDescent="0.3">
      <c r="A15" s="26" t="s">
        <v>34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7"/>
      <c r="AG15" s="29"/>
    </row>
    <row r="16" spans="1:33" s="25" customFormat="1" ht="46.5" customHeight="1" x14ac:dyDescent="0.3">
      <c r="A16" s="19" t="s">
        <v>57</v>
      </c>
      <c r="B16" s="21">
        <v>0</v>
      </c>
      <c r="C16" s="21">
        <f>B16/208*25</f>
        <v>0</v>
      </c>
      <c r="D16" s="21">
        <v>41302</v>
      </c>
      <c r="E16" s="20">
        <f>D16/208*25</f>
        <v>4964.1826923076924</v>
      </c>
      <c r="F16" s="21">
        <v>40650</v>
      </c>
      <c r="G16" s="20">
        <f>F16/215*25</f>
        <v>4726.7441860465124</v>
      </c>
      <c r="H16" s="21">
        <v>0</v>
      </c>
      <c r="I16" s="20">
        <f>H16/135*25</f>
        <v>0</v>
      </c>
      <c r="J16" s="21">
        <v>0</v>
      </c>
      <c r="K16" s="20">
        <f>J16/150*25</f>
        <v>0</v>
      </c>
      <c r="L16" s="21">
        <v>0</v>
      </c>
      <c r="M16" s="21">
        <f>L16/150*25</f>
        <v>0</v>
      </c>
      <c r="N16" s="21">
        <v>0</v>
      </c>
      <c r="O16" s="20">
        <f>N16/38*25</f>
        <v>0</v>
      </c>
      <c r="P16" s="20">
        <v>29541.5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587</v>
      </c>
      <c r="W16" s="21">
        <v>39878</v>
      </c>
      <c r="X16" s="21">
        <v>0</v>
      </c>
      <c r="Y16" s="21">
        <v>4650</v>
      </c>
      <c r="Z16" s="21">
        <v>158</v>
      </c>
      <c r="AA16" s="21">
        <v>18862</v>
      </c>
      <c r="AB16" s="21">
        <v>20</v>
      </c>
      <c r="AC16" s="21">
        <v>797</v>
      </c>
      <c r="AD16" s="22">
        <v>0</v>
      </c>
      <c r="AE16" s="20">
        <f>Y16*2.43</f>
        <v>11299.5</v>
      </c>
      <c r="AF16" s="23">
        <v>340</v>
      </c>
      <c r="AG16" s="24">
        <v>1</v>
      </c>
    </row>
    <row r="17" spans="1:37" s="25" customFormat="1" ht="46.5" customHeight="1" thickBot="1" x14ac:dyDescent="0.35">
      <c r="A17" s="30" t="s">
        <v>35</v>
      </c>
      <c r="B17" s="31">
        <f>B14-B16</f>
        <v>0</v>
      </c>
      <c r="C17" s="31">
        <f t="shared" ref="C17:AG17" si="0">C14-C16</f>
        <v>0</v>
      </c>
      <c r="D17" s="31">
        <f t="shared" si="0"/>
        <v>13923</v>
      </c>
      <c r="E17" s="32">
        <f t="shared" si="0"/>
        <v>1673.4375</v>
      </c>
      <c r="F17" s="31">
        <f t="shared" si="0"/>
        <v>5599</v>
      </c>
      <c r="G17" s="32">
        <f t="shared" si="0"/>
        <v>651.0465116279056</v>
      </c>
      <c r="H17" s="32">
        <f t="shared" si="0"/>
        <v>0</v>
      </c>
      <c r="I17" s="32">
        <f t="shared" si="0"/>
        <v>0</v>
      </c>
      <c r="J17" s="32">
        <f t="shared" si="0"/>
        <v>0</v>
      </c>
      <c r="K17" s="32">
        <f t="shared" si="0"/>
        <v>0</v>
      </c>
      <c r="L17" s="32">
        <f t="shared" si="0"/>
        <v>0</v>
      </c>
      <c r="M17" s="32">
        <f t="shared" si="0"/>
        <v>0</v>
      </c>
      <c r="N17" s="31">
        <f t="shared" si="0"/>
        <v>0</v>
      </c>
      <c r="O17" s="32">
        <f t="shared" si="0"/>
        <v>0</v>
      </c>
      <c r="P17" s="31">
        <f>P14-P16</f>
        <v>5599.57</v>
      </c>
      <c r="Q17" s="31">
        <f t="shared" si="0"/>
        <v>0</v>
      </c>
      <c r="R17" s="31">
        <f t="shared" si="0"/>
        <v>0</v>
      </c>
      <c r="S17" s="31">
        <f t="shared" si="0"/>
        <v>0</v>
      </c>
      <c r="T17" s="31">
        <f t="shared" si="0"/>
        <v>0</v>
      </c>
      <c r="U17" s="31">
        <f t="shared" si="0"/>
        <v>0</v>
      </c>
      <c r="V17" s="31">
        <f t="shared" si="0"/>
        <v>-219</v>
      </c>
      <c r="W17" s="31">
        <f t="shared" si="0"/>
        <v>9434</v>
      </c>
      <c r="X17" s="31">
        <f>X14-X16</f>
        <v>0</v>
      </c>
      <c r="Y17" s="31">
        <f t="shared" si="0"/>
        <v>1178</v>
      </c>
      <c r="Z17" s="31">
        <f>Z14-Z16</f>
        <v>-2</v>
      </c>
      <c r="AA17" s="31">
        <f t="shared" si="0"/>
        <v>5471</v>
      </c>
      <c r="AB17" s="31">
        <f t="shared" si="0"/>
        <v>-20</v>
      </c>
      <c r="AC17" s="31">
        <f t="shared" si="0"/>
        <v>-797</v>
      </c>
      <c r="AD17" s="31">
        <f t="shared" si="0"/>
        <v>0</v>
      </c>
      <c r="AE17" s="32">
        <f t="shared" si="0"/>
        <v>2862.5400000000009</v>
      </c>
      <c r="AF17" s="31">
        <f t="shared" si="0"/>
        <v>-250</v>
      </c>
      <c r="AG17" s="33">
        <f t="shared" si="0"/>
        <v>-1</v>
      </c>
    </row>
    <row r="18" spans="1:37" x14ac:dyDescent="0.25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/>
      <c r="AF18" s="35"/>
      <c r="AG18" s="35"/>
    </row>
    <row r="19" spans="1:37" x14ac:dyDescent="0.25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/>
      <c r="AF19" s="35"/>
      <c r="AG19" s="35"/>
    </row>
    <row r="20" spans="1:37" s="37" customFormat="1" ht="23.25" x14ac:dyDescent="0.35">
      <c r="A20" s="37" t="s">
        <v>36</v>
      </c>
      <c r="B20" s="38"/>
      <c r="F20" s="37" t="s">
        <v>37</v>
      </c>
      <c r="M20" s="37" t="s">
        <v>38</v>
      </c>
      <c r="T20" s="37" t="s">
        <v>38</v>
      </c>
      <c r="AA20" s="37" t="s">
        <v>39</v>
      </c>
      <c r="AJ20" s="39"/>
      <c r="AK20" s="39"/>
    </row>
    <row r="21" spans="1:37" s="37" customFormat="1" ht="23.25" x14ac:dyDescent="0.35">
      <c r="B21" s="38"/>
      <c r="F21" s="38"/>
      <c r="AD21" s="38"/>
      <c r="AJ21" s="38"/>
      <c r="AK21" s="38"/>
    </row>
    <row r="22" spans="1:37" s="37" customFormat="1" ht="23.25" x14ac:dyDescent="0.35">
      <c r="A22" s="38"/>
      <c r="B22" s="38"/>
      <c r="F22" s="38"/>
      <c r="AD22" s="38"/>
    </row>
    <row r="23" spans="1:37" s="42" customFormat="1" ht="20.25" x14ac:dyDescent="0.3">
      <c r="A23" s="40" t="s">
        <v>40</v>
      </c>
      <c r="B23" s="41"/>
      <c r="F23" s="43" t="s">
        <v>41</v>
      </c>
      <c r="M23" s="43" t="s">
        <v>42</v>
      </c>
      <c r="T23" s="43" t="s">
        <v>60</v>
      </c>
      <c r="AA23" s="43" t="s">
        <v>44</v>
      </c>
      <c r="AH23" s="41"/>
      <c r="AI23" s="44"/>
      <c r="AJ23" s="41"/>
      <c r="AK23" s="41"/>
    </row>
    <row r="24" spans="1:37" s="42" customFormat="1" ht="20.25" x14ac:dyDescent="0.3">
      <c r="A24" s="42" t="s">
        <v>45</v>
      </c>
      <c r="F24" s="42" t="s">
        <v>46</v>
      </c>
      <c r="M24" s="42" t="s">
        <v>47</v>
      </c>
      <c r="T24" s="42" t="s">
        <v>61</v>
      </c>
      <c r="AA24" s="45" t="s">
        <v>52</v>
      </c>
      <c r="AI24" s="45"/>
      <c r="AJ24" s="45"/>
      <c r="AK24" s="45"/>
    </row>
    <row r="26" spans="1:37" x14ac:dyDescent="0.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58"/>
      <c r="AF26" s="58"/>
    </row>
  </sheetData>
  <mergeCells count="47">
    <mergeCell ref="AF7:AG8"/>
    <mergeCell ref="A1:AF1"/>
    <mergeCell ref="A2:AF2"/>
    <mergeCell ref="A4:AF4"/>
    <mergeCell ref="A5:AF5"/>
    <mergeCell ref="A7:A13"/>
    <mergeCell ref="D7:E8"/>
    <mergeCell ref="F7:I8"/>
    <mergeCell ref="J7:K8"/>
    <mergeCell ref="L7:O8"/>
    <mergeCell ref="Q7:U8"/>
    <mergeCell ref="B8:C8"/>
    <mergeCell ref="Y8:Z8"/>
    <mergeCell ref="V10:X10"/>
    <mergeCell ref="B10:C10"/>
    <mergeCell ref="D10:E10"/>
    <mergeCell ref="F10:G10"/>
    <mergeCell ref="H10:I10"/>
    <mergeCell ref="J10:K10"/>
    <mergeCell ref="D11:E11"/>
    <mergeCell ref="F11:G11"/>
    <mergeCell ref="AA7:AA8"/>
    <mergeCell ref="V7:X8"/>
    <mergeCell ref="Y7:Z7"/>
    <mergeCell ref="AA9:AD9"/>
    <mergeCell ref="L10:M10"/>
    <mergeCell ref="N10:O10"/>
    <mergeCell ref="Q10:R10"/>
    <mergeCell ref="S10:T10"/>
    <mergeCell ref="AB7:AB8"/>
    <mergeCell ref="AC7:AD8"/>
    <mergeCell ref="B9:C9"/>
    <mergeCell ref="D9:O9"/>
    <mergeCell ref="P9:P11"/>
    <mergeCell ref="Q9:Z9"/>
    <mergeCell ref="A26:AD26"/>
    <mergeCell ref="H11:I11"/>
    <mergeCell ref="J11:K11"/>
    <mergeCell ref="L11:M11"/>
    <mergeCell ref="N11:O11"/>
    <mergeCell ref="D12:E12"/>
    <mergeCell ref="F12:G12"/>
    <mergeCell ref="H12:I12"/>
    <mergeCell ref="J12:K12"/>
    <mergeCell ref="L12:M12"/>
    <mergeCell ref="N12:O12"/>
    <mergeCell ref="B11:C11"/>
  </mergeCells>
  <pageMargins left="0.39370078740157483" right="0.39370078740157483" top="0.74803149606299213" bottom="0.35433070866141736" header="0.31496062992125984" footer="0.31496062992125984"/>
  <pageSetup paperSize="14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topLeftCell="A4" workbookViewId="0">
      <selection activeCell="AF14" sqref="AF14"/>
    </sheetView>
  </sheetViews>
  <sheetFormatPr defaultRowHeight="15" x14ac:dyDescent="0.25"/>
  <cols>
    <col min="1" max="1" width="33.140625" style="2" customWidth="1"/>
    <col min="2" max="2" width="6.140625" style="2" hidden="1" customWidth="1"/>
    <col min="3" max="3" width="6.7109375" style="2" hidden="1" customWidth="1"/>
    <col min="4" max="4" width="10.85546875" style="2" customWidth="1"/>
    <col min="5" max="5" width="12.7109375" style="2" customWidth="1"/>
    <col min="6" max="6" width="10.5703125" style="2" customWidth="1"/>
    <col min="7" max="7" width="13.7109375" style="2" customWidth="1"/>
    <col min="8" max="9" width="8.7109375" style="2" hidden="1" customWidth="1"/>
    <col min="10" max="10" width="7.140625" style="2" hidden="1" customWidth="1"/>
    <col min="11" max="11" width="6.7109375" style="2" hidden="1" customWidth="1"/>
    <col min="12" max="12" width="7.140625" style="2" hidden="1" customWidth="1"/>
    <col min="13" max="13" width="5.42578125" style="2" hidden="1" customWidth="1"/>
    <col min="14" max="14" width="6.7109375" style="2" hidden="1" customWidth="1"/>
    <col min="15" max="15" width="9.42578125" style="2" hidden="1" customWidth="1"/>
    <col min="16" max="16" width="15.85546875" style="2" customWidth="1"/>
    <col min="17" max="17" width="7.85546875" style="2" customWidth="1"/>
    <col min="18" max="18" width="8.28515625" style="2" customWidth="1"/>
    <col min="19" max="19" width="10.85546875" style="2" customWidth="1"/>
    <col min="20" max="20" width="7.7109375" style="2" customWidth="1"/>
    <col min="21" max="21" width="10.42578125" style="2" hidden="1" customWidth="1"/>
    <col min="22" max="22" width="9.140625" style="2" customWidth="1"/>
    <col min="23" max="23" width="10.7109375" style="2" customWidth="1"/>
    <col min="24" max="24" width="7.7109375" style="2" bestFit="1" customWidth="1"/>
    <col min="25" max="25" width="8.28515625" style="2" customWidth="1"/>
    <col min="26" max="26" width="7.7109375" style="2" bestFit="1" customWidth="1"/>
    <col min="27" max="27" width="9.85546875" style="2" customWidth="1"/>
    <col min="28" max="28" width="10.7109375" style="2" customWidth="1"/>
    <col min="29" max="29" width="9.28515625" style="2" customWidth="1"/>
    <col min="30" max="30" width="10" style="2" bestFit="1" customWidth="1"/>
    <col min="31" max="31" width="16.42578125" style="2" customWidth="1"/>
    <col min="32" max="32" width="10.5703125" style="2" bestFit="1" customWidth="1"/>
    <col min="33" max="33" width="12.28515625" style="2" bestFit="1" customWidth="1"/>
    <col min="34" max="16384" width="9.140625" style="2"/>
  </cols>
  <sheetData>
    <row r="1" spans="1:33" ht="22.5" x14ac:dyDescent="0.3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"/>
    </row>
    <row r="2" spans="1:33" ht="22.5" x14ac:dyDescent="0.3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"/>
    </row>
    <row r="3" spans="1:33" ht="26.25" customHeight="1" x14ac:dyDescent="0.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3"/>
    </row>
    <row r="4" spans="1:33" ht="22.5" x14ac:dyDescent="0.3">
      <c r="A4" s="111" t="s">
        <v>2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"/>
    </row>
    <row r="5" spans="1:33" s="4" customFormat="1" ht="22.5" x14ac:dyDescent="0.3">
      <c r="A5" s="111" t="s">
        <v>62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"/>
    </row>
    <row r="6" spans="1:33" ht="19.5" thickBo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s="4" customFormat="1" ht="30" customHeight="1" thickBot="1" x14ac:dyDescent="0.25">
      <c r="A7" s="112" t="s">
        <v>3</v>
      </c>
      <c r="B7" s="6" t="s">
        <v>4</v>
      </c>
      <c r="C7" s="7"/>
      <c r="D7" s="93" t="s">
        <v>7</v>
      </c>
      <c r="E7" s="115"/>
      <c r="F7" s="117" t="s">
        <v>5</v>
      </c>
      <c r="G7" s="98"/>
      <c r="H7" s="98"/>
      <c r="I7" s="98"/>
      <c r="J7" s="98" t="s">
        <v>4</v>
      </c>
      <c r="K7" s="98"/>
      <c r="L7" s="104" t="s">
        <v>6</v>
      </c>
      <c r="M7" s="120"/>
      <c r="N7" s="120"/>
      <c r="O7" s="105"/>
      <c r="P7" s="67" t="s">
        <v>7</v>
      </c>
      <c r="Q7" s="92" t="s">
        <v>4</v>
      </c>
      <c r="R7" s="93"/>
      <c r="S7" s="93"/>
      <c r="T7" s="93"/>
      <c r="U7" s="94"/>
      <c r="V7" s="92" t="s">
        <v>5</v>
      </c>
      <c r="W7" s="93"/>
      <c r="X7" s="94"/>
      <c r="Y7" s="98" t="s">
        <v>7</v>
      </c>
      <c r="Z7" s="98"/>
      <c r="AA7" s="90" t="s">
        <v>5</v>
      </c>
      <c r="AB7" s="102" t="s">
        <v>4</v>
      </c>
      <c r="AC7" s="104" t="s">
        <v>5</v>
      </c>
      <c r="AD7" s="105"/>
      <c r="AE7" s="67" t="s">
        <v>7</v>
      </c>
      <c r="AF7" s="104" t="s">
        <v>5</v>
      </c>
      <c r="AG7" s="109"/>
    </row>
    <row r="8" spans="1:33" s="4" customFormat="1" ht="30" customHeight="1" thickBot="1" x14ac:dyDescent="0.25">
      <c r="A8" s="113"/>
      <c r="B8" s="122" t="s">
        <v>8</v>
      </c>
      <c r="C8" s="123"/>
      <c r="D8" s="96"/>
      <c r="E8" s="116"/>
      <c r="F8" s="118"/>
      <c r="G8" s="119"/>
      <c r="H8" s="119"/>
      <c r="I8" s="119"/>
      <c r="J8" s="119"/>
      <c r="K8" s="119"/>
      <c r="L8" s="106"/>
      <c r="M8" s="121"/>
      <c r="N8" s="121"/>
      <c r="O8" s="107"/>
      <c r="P8" s="69" t="s">
        <v>5</v>
      </c>
      <c r="Q8" s="95"/>
      <c r="R8" s="96"/>
      <c r="S8" s="96"/>
      <c r="T8" s="96"/>
      <c r="U8" s="97"/>
      <c r="V8" s="95"/>
      <c r="W8" s="96"/>
      <c r="X8" s="97"/>
      <c r="Y8" s="119" t="s">
        <v>5</v>
      </c>
      <c r="Z8" s="119"/>
      <c r="AA8" s="91"/>
      <c r="AB8" s="103"/>
      <c r="AC8" s="106"/>
      <c r="AD8" s="107"/>
      <c r="AE8" s="69" t="s">
        <v>5</v>
      </c>
      <c r="AF8" s="106"/>
      <c r="AG8" s="110"/>
    </row>
    <row r="9" spans="1:33" s="4" customFormat="1" ht="35.25" customHeight="1" x14ac:dyDescent="0.2">
      <c r="A9" s="113"/>
      <c r="B9" s="76" t="s">
        <v>9</v>
      </c>
      <c r="C9" s="77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9"/>
      <c r="P9" s="80" t="s">
        <v>10</v>
      </c>
      <c r="Q9" s="82" t="s">
        <v>11</v>
      </c>
      <c r="R9" s="83"/>
      <c r="S9" s="83"/>
      <c r="T9" s="83"/>
      <c r="U9" s="83"/>
      <c r="V9" s="83"/>
      <c r="W9" s="83"/>
      <c r="X9" s="83"/>
      <c r="Y9" s="83"/>
      <c r="Z9" s="84"/>
      <c r="AA9" s="99" t="s">
        <v>12</v>
      </c>
      <c r="AB9" s="100"/>
      <c r="AC9" s="100"/>
      <c r="AD9" s="101"/>
      <c r="AE9" s="8"/>
      <c r="AF9" s="8"/>
      <c r="AG9" s="9"/>
    </row>
    <row r="10" spans="1:33" s="4" customFormat="1" ht="35.25" customHeight="1" x14ac:dyDescent="0.2">
      <c r="A10" s="113"/>
      <c r="B10" s="127" t="s">
        <v>13</v>
      </c>
      <c r="C10" s="128"/>
      <c r="D10" s="108">
        <v>200</v>
      </c>
      <c r="E10" s="86"/>
      <c r="F10" s="86">
        <v>215</v>
      </c>
      <c r="G10" s="86"/>
      <c r="H10" s="86">
        <v>135</v>
      </c>
      <c r="I10" s="86"/>
      <c r="J10" s="86">
        <v>150</v>
      </c>
      <c r="K10" s="86"/>
      <c r="L10" s="86">
        <v>150</v>
      </c>
      <c r="M10" s="86"/>
      <c r="N10" s="86">
        <v>38</v>
      </c>
      <c r="O10" s="86"/>
      <c r="P10" s="81"/>
      <c r="Q10" s="86" t="s">
        <v>14</v>
      </c>
      <c r="R10" s="86"/>
      <c r="S10" s="86" t="s">
        <v>15</v>
      </c>
      <c r="T10" s="86"/>
      <c r="U10" s="10" t="s">
        <v>16</v>
      </c>
      <c r="V10" s="124" t="s">
        <v>17</v>
      </c>
      <c r="W10" s="125"/>
      <c r="X10" s="126"/>
      <c r="Y10" s="65" t="s">
        <v>18</v>
      </c>
      <c r="Z10" s="65" t="s">
        <v>19</v>
      </c>
      <c r="AA10" s="65" t="s">
        <v>20</v>
      </c>
      <c r="AB10" s="65" t="s">
        <v>20</v>
      </c>
      <c r="AC10" s="65" t="s">
        <v>49</v>
      </c>
      <c r="AD10" s="65" t="s">
        <v>20</v>
      </c>
      <c r="AE10" s="65" t="s">
        <v>21</v>
      </c>
      <c r="AF10" s="65" t="s">
        <v>22</v>
      </c>
      <c r="AG10" s="11" t="s">
        <v>23</v>
      </c>
    </row>
    <row r="11" spans="1:33" s="4" customFormat="1" ht="30" customHeight="1" x14ac:dyDescent="0.2">
      <c r="A11" s="113"/>
      <c r="B11" s="76" t="s">
        <v>24</v>
      </c>
      <c r="C11" s="89"/>
      <c r="D11" s="108" t="s">
        <v>51</v>
      </c>
      <c r="E11" s="86"/>
      <c r="F11" s="86" t="s">
        <v>26</v>
      </c>
      <c r="G11" s="86"/>
      <c r="H11" s="86" t="s">
        <v>26</v>
      </c>
      <c r="I11" s="86"/>
      <c r="J11" s="86" t="s">
        <v>25</v>
      </c>
      <c r="K11" s="86"/>
      <c r="L11" s="86" t="s">
        <v>27</v>
      </c>
      <c r="M11" s="86"/>
      <c r="N11" s="86" t="s">
        <v>26</v>
      </c>
      <c r="O11" s="86"/>
      <c r="P11" s="81"/>
      <c r="Q11" s="65">
        <v>2.4</v>
      </c>
      <c r="R11" s="65">
        <v>3.6</v>
      </c>
      <c r="S11" s="65">
        <v>2.4</v>
      </c>
      <c r="T11" s="65">
        <v>3.6</v>
      </c>
      <c r="U11" s="65">
        <v>2.4</v>
      </c>
      <c r="V11" s="65">
        <v>3.6</v>
      </c>
      <c r="W11" s="65">
        <v>2.4</v>
      </c>
      <c r="X11" s="65">
        <v>4.9000000000000004</v>
      </c>
      <c r="Y11" s="65"/>
      <c r="Z11" s="65"/>
      <c r="AA11" s="65">
        <v>5</v>
      </c>
      <c r="AB11" s="65">
        <v>10</v>
      </c>
      <c r="AC11" s="65" t="s">
        <v>50</v>
      </c>
      <c r="AD11" s="65">
        <v>40</v>
      </c>
      <c r="AE11" s="65"/>
      <c r="AF11" s="65"/>
      <c r="AG11" s="11" t="s">
        <v>28</v>
      </c>
    </row>
    <row r="12" spans="1:33" s="4" customFormat="1" ht="30" customHeight="1" x14ac:dyDescent="0.2">
      <c r="A12" s="113"/>
      <c r="B12" s="12"/>
      <c r="C12" s="13"/>
      <c r="D12" s="87">
        <v>35245</v>
      </c>
      <c r="E12" s="88"/>
      <c r="F12" s="88">
        <v>11082</v>
      </c>
      <c r="G12" s="88"/>
      <c r="H12" s="88">
        <v>21810</v>
      </c>
      <c r="I12" s="88"/>
      <c r="J12" s="88">
        <v>17362</v>
      </c>
      <c r="K12" s="88"/>
      <c r="L12" s="88">
        <v>18389</v>
      </c>
      <c r="M12" s="88"/>
      <c r="N12" s="88">
        <v>21811</v>
      </c>
      <c r="O12" s="88"/>
      <c r="P12" s="66">
        <v>10128</v>
      </c>
      <c r="Q12" s="66">
        <v>10962</v>
      </c>
      <c r="R12" s="66">
        <v>15427</v>
      </c>
      <c r="S12" s="66">
        <v>16623</v>
      </c>
      <c r="T12" s="66">
        <v>16967</v>
      </c>
      <c r="U12" s="66">
        <v>28230</v>
      </c>
      <c r="V12" s="66">
        <v>10966</v>
      </c>
      <c r="W12" s="66">
        <v>10965</v>
      </c>
      <c r="X12" s="66">
        <v>21809</v>
      </c>
      <c r="Y12" s="66">
        <v>11966</v>
      </c>
      <c r="Z12" s="66">
        <v>11089</v>
      </c>
      <c r="AA12" s="66">
        <v>10960</v>
      </c>
      <c r="AB12" s="66">
        <v>10961</v>
      </c>
      <c r="AC12" s="66">
        <v>33442</v>
      </c>
      <c r="AD12" s="66">
        <v>10959</v>
      </c>
      <c r="AE12" s="66">
        <v>12487</v>
      </c>
      <c r="AF12" s="66">
        <v>16823</v>
      </c>
      <c r="AG12" s="14">
        <v>11342</v>
      </c>
    </row>
    <row r="13" spans="1:33" s="4" customFormat="1" ht="30" customHeight="1" thickBot="1" x14ac:dyDescent="0.25">
      <c r="A13" s="114"/>
      <c r="B13" s="15" t="s">
        <v>29</v>
      </c>
      <c r="C13" s="16" t="s">
        <v>30</v>
      </c>
      <c r="D13" s="17" t="s">
        <v>31</v>
      </c>
      <c r="E13" s="69" t="s">
        <v>32</v>
      </c>
      <c r="F13" s="69" t="s">
        <v>31</v>
      </c>
      <c r="G13" s="69" t="s">
        <v>32</v>
      </c>
      <c r="H13" s="69" t="s">
        <v>31</v>
      </c>
      <c r="I13" s="69" t="s">
        <v>32</v>
      </c>
      <c r="J13" s="69" t="s">
        <v>31</v>
      </c>
      <c r="K13" s="69" t="s">
        <v>32</v>
      </c>
      <c r="L13" s="69" t="s">
        <v>31</v>
      </c>
      <c r="M13" s="69" t="s">
        <v>32</v>
      </c>
      <c r="N13" s="69"/>
      <c r="O13" s="69"/>
      <c r="P13" s="69" t="s">
        <v>32</v>
      </c>
      <c r="Q13" s="69" t="s">
        <v>31</v>
      </c>
      <c r="R13" s="69" t="s">
        <v>31</v>
      </c>
      <c r="S13" s="69" t="s">
        <v>31</v>
      </c>
      <c r="T13" s="69" t="s">
        <v>31</v>
      </c>
      <c r="U13" s="69" t="s">
        <v>31</v>
      </c>
      <c r="V13" s="69" t="s">
        <v>31</v>
      </c>
      <c r="W13" s="69" t="s">
        <v>31</v>
      </c>
      <c r="X13" s="69" t="s">
        <v>31</v>
      </c>
      <c r="Y13" s="69" t="s">
        <v>31</v>
      </c>
      <c r="Z13" s="69" t="s">
        <v>31</v>
      </c>
      <c r="AA13" s="69" t="s">
        <v>33</v>
      </c>
      <c r="AB13" s="69" t="s">
        <v>33</v>
      </c>
      <c r="AC13" s="69" t="s">
        <v>33</v>
      </c>
      <c r="AD13" s="69" t="s">
        <v>33</v>
      </c>
      <c r="AE13" s="69" t="s">
        <v>33</v>
      </c>
      <c r="AF13" s="69" t="s">
        <v>33</v>
      </c>
      <c r="AG13" s="18" t="s">
        <v>31</v>
      </c>
    </row>
    <row r="14" spans="1:33" s="25" customFormat="1" ht="46.5" customHeight="1" x14ac:dyDescent="0.3">
      <c r="A14" s="19" t="s">
        <v>63</v>
      </c>
      <c r="B14" s="21">
        <v>0</v>
      </c>
      <c r="C14" s="21">
        <f>B14/208*25</f>
        <v>0</v>
      </c>
      <c r="D14" s="21">
        <v>16788</v>
      </c>
      <c r="E14" s="20">
        <f>D14/208*25</f>
        <v>2017.7884615384617</v>
      </c>
      <c r="F14" s="21">
        <v>63497</v>
      </c>
      <c r="G14" s="20">
        <f>F14/215*25</f>
        <v>7383.3720930232557</v>
      </c>
      <c r="H14" s="21">
        <v>0</v>
      </c>
      <c r="I14" s="20">
        <f>H14/135*25</f>
        <v>0</v>
      </c>
      <c r="J14" s="21">
        <v>0</v>
      </c>
      <c r="K14" s="20">
        <f>J14/150*25</f>
        <v>0</v>
      </c>
      <c r="L14" s="21">
        <v>0</v>
      </c>
      <c r="M14" s="21">
        <f>L14/150*25</f>
        <v>0</v>
      </c>
      <c r="N14" s="21">
        <v>0</v>
      </c>
      <c r="O14" s="20">
        <f>N14/38*25</f>
        <v>0</v>
      </c>
      <c r="P14" s="20">
        <v>26252.2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570</v>
      </c>
      <c r="W14" s="21">
        <v>39526</v>
      </c>
      <c r="X14" s="21"/>
      <c r="Y14" s="21">
        <v>4599</v>
      </c>
      <c r="Z14" s="21">
        <v>148</v>
      </c>
      <c r="AA14" s="21">
        <v>10819</v>
      </c>
      <c r="AB14" s="21">
        <v>8389</v>
      </c>
      <c r="AC14" s="21"/>
      <c r="AD14" s="22"/>
      <c r="AE14" s="20">
        <f>Y14*2.43</f>
        <v>11175.570000000002</v>
      </c>
      <c r="AF14" s="23">
        <v>30</v>
      </c>
      <c r="AG14" s="24">
        <v>0</v>
      </c>
    </row>
    <row r="15" spans="1:33" s="25" customFormat="1" ht="46.5" customHeight="1" x14ac:dyDescent="0.3">
      <c r="A15" s="26" t="s">
        <v>34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7"/>
      <c r="AG15" s="29"/>
    </row>
    <row r="16" spans="1:33" s="25" customFormat="1" ht="46.5" customHeight="1" x14ac:dyDescent="0.3">
      <c r="A16" s="19" t="s">
        <v>59</v>
      </c>
      <c r="B16" s="21">
        <v>0</v>
      </c>
      <c r="C16" s="21">
        <f>B16/208*25</f>
        <v>0</v>
      </c>
      <c r="D16" s="21">
        <v>55225</v>
      </c>
      <c r="E16" s="20">
        <f>D16/208*25</f>
        <v>6637.6201923076924</v>
      </c>
      <c r="F16" s="21">
        <v>46249</v>
      </c>
      <c r="G16" s="20">
        <f>F16/215*25</f>
        <v>5377.790697674418</v>
      </c>
      <c r="H16" s="21">
        <v>0</v>
      </c>
      <c r="I16" s="20">
        <f>H16/135*25</f>
        <v>0</v>
      </c>
      <c r="J16" s="21">
        <v>0</v>
      </c>
      <c r="K16" s="20">
        <f>J16/150*25</f>
        <v>0</v>
      </c>
      <c r="L16" s="21">
        <v>0</v>
      </c>
      <c r="M16" s="21">
        <f>L16/150*25</f>
        <v>0</v>
      </c>
      <c r="N16" s="21">
        <v>0</v>
      </c>
      <c r="O16" s="20">
        <f>N16/38*25</f>
        <v>0</v>
      </c>
      <c r="P16" s="20">
        <v>35141.07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368</v>
      </c>
      <c r="W16" s="21">
        <v>49312</v>
      </c>
      <c r="X16" s="21"/>
      <c r="Y16" s="21">
        <v>5828</v>
      </c>
      <c r="Z16" s="21">
        <v>156</v>
      </c>
      <c r="AA16" s="21">
        <v>24333</v>
      </c>
      <c r="AB16" s="21"/>
      <c r="AC16" s="21"/>
      <c r="AD16" s="22"/>
      <c r="AE16" s="20">
        <f>Y16*2.43</f>
        <v>14162.04</v>
      </c>
      <c r="AF16" s="23">
        <v>90</v>
      </c>
      <c r="AG16" s="24">
        <v>0</v>
      </c>
    </row>
    <row r="17" spans="1:37" s="25" customFormat="1" ht="46.5" customHeight="1" thickBot="1" x14ac:dyDescent="0.35">
      <c r="A17" s="30" t="s">
        <v>35</v>
      </c>
      <c r="B17" s="31">
        <f>B14-B16</f>
        <v>0</v>
      </c>
      <c r="C17" s="31">
        <f t="shared" ref="C17:AG17" si="0">C14-C16</f>
        <v>0</v>
      </c>
      <c r="D17" s="31">
        <f t="shared" si="0"/>
        <v>-38437</v>
      </c>
      <c r="E17" s="32">
        <f t="shared" si="0"/>
        <v>-4619.8317307692305</v>
      </c>
      <c r="F17" s="31">
        <f t="shared" si="0"/>
        <v>17248</v>
      </c>
      <c r="G17" s="32">
        <f t="shared" si="0"/>
        <v>2005.5813953488378</v>
      </c>
      <c r="H17" s="32">
        <f t="shared" si="0"/>
        <v>0</v>
      </c>
      <c r="I17" s="32">
        <f t="shared" si="0"/>
        <v>0</v>
      </c>
      <c r="J17" s="32">
        <f t="shared" si="0"/>
        <v>0</v>
      </c>
      <c r="K17" s="32">
        <f t="shared" si="0"/>
        <v>0</v>
      </c>
      <c r="L17" s="32">
        <f t="shared" si="0"/>
        <v>0</v>
      </c>
      <c r="M17" s="32">
        <f t="shared" si="0"/>
        <v>0</v>
      </c>
      <c r="N17" s="31">
        <f t="shared" si="0"/>
        <v>0</v>
      </c>
      <c r="O17" s="32">
        <f t="shared" si="0"/>
        <v>0</v>
      </c>
      <c r="P17" s="31">
        <f>P14-P16</f>
        <v>-8888.869999999999</v>
      </c>
      <c r="Q17" s="31">
        <f t="shared" si="0"/>
        <v>0</v>
      </c>
      <c r="R17" s="31">
        <f t="shared" si="0"/>
        <v>0</v>
      </c>
      <c r="S17" s="31">
        <f t="shared" si="0"/>
        <v>0</v>
      </c>
      <c r="T17" s="31">
        <f t="shared" si="0"/>
        <v>0</v>
      </c>
      <c r="U17" s="31">
        <f t="shared" si="0"/>
        <v>0</v>
      </c>
      <c r="V17" s="31">
        <f t="shared" si="0"/>
        <v>202</v>
      </c>
      <c r="W17" s="31">
        <f t="shared" si="0"/>
        <v>-9786</v>
      </c>
      <c r="X17" s="31">
        <f>X14-X16</f>
        <v>0</v>
      </c>
      <c r="Y17" s="31">
        <f t="shared" si="0"/>
        <v>-1229</v>
      </c>
      <c r="Z17" s="31">
        <f>Z14-Z16</f>
        <v>-8</v>
      </c>
      <c r="AA17" s="31">
        <f t="shared" si="0"/>
        <v>-13514</v>
      </c>
      <c r="AB17" s="31">
        <f t="shared" si="0"/>
        <v>8389</v>
      </c>
      <c r="AC17" s="31">
        <f t="shared" si="0"/>
        <v>0</v>
      </c>
      <c r="AD17" s="31">
        <f t="shared" si="0"/>
        <v>0</v>
      </c>
      <c r="AE17" s="32">
        <f t="shared" si="0"/>
        <v>-2986.4699999999993</v>
      </c>
      <c r="AF17" s="31">
        <f t="shared" si="0"/>
        <v>-60</v>
      </c>
      <c r="AG17" s="33">
        <f t="shared" si="0"/>
        <v>0</v>
      </c>
    </row>
    <row r="18" spans="1:37" x14ac:dyDescent="0.25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/>
      <c r="AF18" s="35"/>
      <c r="AG18" s="35"/>
    </row>
    <row r="19" spans="1:37" x14ac:dyDescent="0.25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/>
      <c r="AF19" s="35"/>
      <c r="AG19" s="35"/>
    </row>
    <row r="20" spans="1:37" s="37" customFormat="1" ht="23.25" x14ac:dyDescent="0.35">
      <c r="A20" s="37" t="s">
        <v>36</v>
      </c>
      <c r="B20" s="38"/>
      <c r="F20" s="37" t="s">
        <v>37</v>
      </c>
      <c r="M20" s="37" t="s">
        <v>38</v>
      </c>
      <c r="T20" s="37" t="s">
        <v>38</v>
      </c>
      <c r="AA20" s="37" t="s">
        <v>39</v>
      </c>
      <c r="AJ20" s="39"/>
      <c r="AK20" s="39"/>
    </row>
    <row r="21" spans="1:37" s="37" customFormat="1" ht="23.25" x14ac:dyDescent="0.35">
      <c r="B21" s="38"/>
      <c r="F21" s="38"/>
      <c r="AD21" s="38"/>
      <c r="AJ21" s="38"/>
      <c r="AK21" s="38"/>
    </row>
    <row r="22" spans="1:37" s="37" customFormat="1" ht="23.25" x14ac:dyDescent="0.35">
      <c r="A22" s="38"/>
      <c r="B22" s="38"/>
      <c r="F22" s="38"/>
      <c r="AD22" s="38"/>
    </row>
    <row r="23" spans="1:37" s="42" customFormat="1" ht="20.25" x14ac:dyDescent="0.3">
      <c r="A23" s="40" t="s">
        <v>40</v>
      </c>
      <c r="B23" s="41"/>
      <c r="F23" s="43" t="s">
        <v>41</v>
      </c>
      <c r="M23" s="43" t="s">
        <v>42</v>
      </c>
      <c r="T23" s="43" t="s">
        <v>60</v>
      </c>
      <c r="AA23" s="43" t="s">
        <v>44</v>
      </c>
      <c r="AH23" s="41"/>
      <c r="AI23" s="44"/>
      <c r="AJ23" s="41"/>
      <c r="AK23" s="41"/>
    </row>
    <row r="24" spans="1:37" s="42" customFormat="1" ht="20.25" x14ac:dyDescent="0.3">
      <c r="A24" s="42" t="s">
        <v>45</v>
      </c>
      <c r="F24" s="42" t="s">
        <v>46</v>
      </c>
      <c r="M24" s="42" t="s">
        <v>47</v>
      </c>
      <c r="T24" s="42" t="s">
        <v>61</v>
      </c>
      <c r="AA24" s="45" t="s">
        <v>52</v>
      </c>
      <c r="AI24" s="45"/>
      <c r="AJ24" s="45"/>
      <c r="AK24" s="45"/>
    </row>
    <row r="26" spans="1:37" x14ac:dyDescent="0.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64"/>
      <c r="AF26" s="64"/>
    </row>
  </sheetData>
  <mergeCells count="47">
    <mergeCell ref="AB7:AB8"/>
    <mergeCell ref="AC7:AD8"/>
    <mergeCell ref="AF7:AG8"/>
    <mergeCell ref="A1:AF1"/>
    <mergeCell ref="A2:AF2"/>
    <mergeCell ref="A4:AF4"/>
    <mergeCell ref="A5:AF5"/>
    <mergeCell ref="A7:A13"/>
    <mergeCell ref="D7:E8"/>
    <mergeCell ref="F7:I8"/>
    <mergeCell ref="J7:K8"/>
    <mergeCell ref="L7:O8"/>
    <mergeCell ref="Q7:U8"/>
    <mergeCell ref="B8:C8"/>
    <mergeCell ref="Y8:Z8"/>
    <mergeCell ref="V10:X10"/>
    <mergeCell ref="B11:C11"/>
    <mergeCell ref="D11:E11"/>
    <mergeCell ref="F11:G11"/>
    <mergeCell ref="AA7:AA8"/>
    <mergeCell ref="V7:X8"/>
    <mergeCell ref="Y7:Z7"/>
    <mergeCell ref="AA9:AD9"/>
    <mergeCell ref="B10:C10"/>
    <mergeCell ref="D10:E10"/>
    <mergeCell ref="F10:G10"/>
    <mergeCell ref="H10:I10"/>
    <mergeCell ref="J10:K10"/>
    <mergeCell ref="L10:M10"/>
    <mergeCell ref="N10:O10"/>
    <mergeCell ref="Q10:R10"/>
    <mergeCell ref="S10:T10"/>
    <mergeCell ref="B9:C9"/>
    <mergeCell ref="D9:O9"/>
    <mergeCell ref="P9:P11"/>
    <mergeCell ref="Q9:Z9"/>
    <mergeCell ref="A26:AD26"/>
    <mergeCell ref="H11:I11"/>
    <mergeCell ref="J11:K11"/>
    <mergeCell ref="L11:M11"/>
    <mergeCell ref="N11:O11"/>
    <mergeCell ref="D12:E12"/>
    <mergeCell ref="F12:G12"/>
    <mergeCell ref="H12:I12"/>
    <mergeCell ref="J12:K12"/>
    <mergeCell ref="L12:M12"/>
    <mergeCell ref="N12:O12"/>
  </mergeCells>
  <pageMargins left="0.39370078740157483" right="0.39370078740157483" top="0.74803149606299213" bottom="0.35433070866141736" header="0.31496062992125984" footer="0.31496062992125984"/>
  <pageSetup paperSize="14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tabSelected="1" topLeftCell="A4" workbookViewId="0">
      <selection activeCell="AG14" sqref="AG14"/>
    </sheetView>
  </sheetViews>
  <sheetFormatPr defaultRowHeight="15" x14ac:dyDescent="0.25"/>
  <cols>
    <col min="1" max="1" width="33.140625" style="2" customWidth="1"/>
    <col min="2" max="2" width="6.140625" style="2" hidden="1" customWidth="1"/>
    <col min="3" max="3" width="6.7109375" style="2" hidden="1" customWidth="1"/>
    <col min="4" max="4" width="10.85546875" style="2" customWidth="1"/>
    <col min="5" max="5" width="12.7109375" style="2" customWidth="1"/>
    <col min="6" max="6" width="10.5703125" style="2" customWidth="1"/>
    <col min="7" max="7" width="13.7109375" style="2" customWidth="1"/>
    <col min="8" max="9" width="8.7109375" style="2" hidden="1" customWidth="1"/>
    <col min="10" max="10" width="7.140625" style="2" hidden="1" customWidth="1"/>
    <col min="11" max="11" width="6.7109375" style="2" hidden="1" customWidth="1"/>
    <col min="12" max="12" width="7.140625" style="2" hidden="1" customWidth="1"/>
    <col min="13" max="13" width="5.42578125" style="2" hidden="1" customWidth="1"/>
    <col min="14" max="14" width="6.7109375" style="2" hidden="1" customWidth="1"/>
    <col min="15" max="15" width="9.42578125" style="2" hidden="1" customWidth="1"/>
    <col min="16" max="16" width="15.85546875" style="2" customWidth="1"/>
    <col min="17" max="17" width="7.85546875" style="2" customWidth="1"/>
    <col min="18" max="18" width="8.28515625" style="2" customWidth="1"/>
    <col min="19" max="19" width="10.85546875" style="2" customWidth="1"/>
    <col min="20" max="20" width="7.7109375" style="2" customWidth="1"/>
    <col min="21" max="21" width="10.42578125" style="2" hidden="1" customWidth="1"/>
    <col min="22" max="22" width="9.140625" style="2" customWidth="1"/>
    <col min="23" max="23" width="10.7109375" style="2" customWidth="1"/>
    <col min="24" max="24" width="7.7109375" style="2" bestFit="1" customWidth="1"/>
    <col min="25" max="25" width="8.28515625" style="2" customWidth="1"/>
    <col min="26" max="26" width="7.7109375" style="2" bestFit="1" customWidth="1"/>
    <col min="27" max="27" width="9.85546875" style="2" customWidth="1"/>
    <col min="28" max="28" width="10.7109375" style="2" customWidth="1"/>
    <col min="29" max="29" width="9.28515625" style="2" customWidth="1"/>
    <col min="30" max="30" width="10" style="2" bestFit="1" customWidth="1"/>
    <col min="31" max="31" width="16.42578125" style="2" customWidth="1"/>
    <col min="32" max="32" width="10.5703125" style="2" bestFit="1" customWidth="1"/>
    <col min="33" max="33" width="12.28515625" style="2" bestFit="1" customWidth="1"/>
    <col min="34" max="16384" width="9.140625" style="2"/>
  </cols>
  <sheetData>
    <row r="1" spans="1:33" ht="22.5" x14ac:dyDescent="0.3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"/>
    </row>
    <row r="2" spans="1:33" ht="22.5" x14ac:dyDescent="0.3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"/>
    </row>
    <row r="3" spans="1:33" ht="26.25" customHeight="1" x14ac:dyDescent="0.3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3"/>
    </row>
    <row r="4" spans="1:33" ht="22.5" x14ac:dyDescent="0.3">
      <c r="A4" s="111" t="s">
        <v>2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"/>
    </row>
    <row r="5" spans="1:33" s="4" customFormat="1" ht="22.5" x14ac:dyDescent="0.3">
      <c r="A5" s="111" t="s">
        <v>64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"/>
    </row>
    <row r="6" spans="1:33" ht="19.5" thickBo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s="4" customFormat="1" ht="30" customHeight="1" thickBot="1" x14ac:dyDescent="0.25">
      <c r="A7" s="112" t="s">
        <v>3</v>
      </c>
      <c r="B7" s="6" t="s">
        <v>4</v>
      </c>
      <c r="C7" s="7"/>
      <c r="D7" s="93" t="s">
        <v>7</v>
      </c>
      <c r="E7" s="115"/>
      <c r="F7" s="117" t="s">
        <v>5</v>
      </c>
      <c r="G7" s="98"/>
      <c r="H7" s="98"/>
      <c r="I7" s="98"/>
      <c r="J7" s="98" t="s">
        <v>4</v>
      </c>
      <c r="K7" s="98"/>
      <c r="L7" s="104" t="s">
        <v>6</v>
      </c>
      <c r="M7" s="120"/>
      <c r="N7" s="120"/>
      <c r="O7" s="105"/>
      <c r="P7" s="73" t="s">
        <v>7</v>
      </c>
      <c r="Q7" s="92" t="s">
        <v>4</v>
      </c>
      <c r="R7" s="93"/>
      <c r="S7" s="93"/>
      <c r="T7" s="93"/>
      <c r="U7" s="94"/>
      <c r="V7" s="92" t="s">
        <v>5</v>
      </c>
      <c r="W7" s="93"/>
      <c r="X7" s="94"/>
      <c r="Y7" s="98" t="s">
        <v>7</v>
      </c>
      <c r="Z7" s="98"/>
      <c r="AA7" s="90" t="s">
        <v>5</v>
      </c>
      <c r="AB7" s="102" t="s">
        <v>4</v>
      </c>
      <c r="AC7" s="104" t="s">
        <v>5</v>
      </c>
      <c r="AD7" s="105"/>
      <c r="AE7" s="73" t="s">
        <v>7</v>
      </c>
      <c r="AF7" s="104" t="s">
        <v>5</v>
      </c>
      <c r="AG7" s="109"/>
    </row>
    <row r="8" spans="1:33" s="4" customFormat="1" ht="30" customHeight="1" thickBot="1" x14ac:dyDescent="0.25">
      <c r="A8" s="113"/>
      <c r="B8" s="122" t="s">
        <v>8</v>
      </c>
      <c r="C8" s="123"/>
      <c r="D8" s="96"/>
      <c r="E8" s="116"/>
      <c r="F8" s="118"/>
      <c r="G8" s="119"/>
      <c r="H8" s="119"/>
      <c r="I8" s="119"/>
      <c r="J8" s="119"/>
      <c r="K8" s="119"/>
      <c r="L8" s="106"/>
      <c r="M8" s="121"/>
      <c r="N8" s="121"/>
      <c r="O8" s="107"/>
      <c r="P8" s="75" t="s">
        <v>5</v>
      </c>
      <c r="Q8" s="95"/>
      <c r="R8" s="96"/>
      <c r="S8" s="96"/>
      <c r="T8" s="96"/>
      <c r="U8" s="97"/>
      <c r="V8" s="95"/>
      <c r="W8" s="96"/>
      <c r="X8" s="97"/>
      <c r="Y8" s="119" t="s">
        <v>5</v>
      </c>
      <c r="Z8" s="119"/>
      <c r="AA8" s="91"/>
      <c r="AB8" s="103"/>
      <c r="AC8" s="106"/>
      <c r="AD8" s="107"/>
      <c r="AE8" s="75" t="s">
        <v>5</v>
      </c>
      <c r="AF8" s="106"/>
      <c r="AG8" s="110"/>
    </row>
    <row r="9" spans="1:33" s="4" customFormat="1" ht="35.25" customHeight="1" x14ac:dyDescent="0.2">
      <c r="A9" s="113"/>
      <c r="B9" s="76" t="s">
        <v>9</v>
      </c>
      <c r="C9" s="77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9"/>
      <c r="P9" s="80" t="s">
        <v>10</v>
      </c>
      <c r="Q9" s="82" t="s">
        <v>11</v>
      </c>
      <c r="R9" s="83"/>
      <c r="S9" s="83"/>
      <c r="T9" s="83"/>
      <c r="U9" s="83"/>
      <c r="V9" s="83"/>
      <c r="W9" s="83"/>
      <c r="X9" s="83"/>
      <c r="Y9" s="83"/>
      <c r="Z9" s="84"/>
      <c r="AA9" s="99" t="s">
        <v>12</v>
      </c>
      <c r="AB9" s="100"/>
      <c r="AC9" s="100"/>
      <c r="AD9" s="101"/>
      <c r="AE9" s="8"/>
      <c r="AF9" s="8"/>
      <c r="AG9" s="9"/>
    </row>
    <row r="10" spans="1:33" s="4" customFormat="1" ht="35.25" customHeight="1" x14ac:dyDescent="0.2">
      <c r="A10" s="113"/>
      <c r="B10" s="127" t="s">
        <v>13</v>
      </c>
      <c r="C10" s="128"/>
      <c r="D10" s="108">
        <v>200</v>
      </c>
      <c r="E10" s="86"/>
      <c r="F10" s="86">
        <v>215</v>
      </c>
      <c r="G10" s="86"/>
      <c r="H10" s="86">
        <v>135</v>
      </c>
      <c r="I10" s="86"/>
      <c r="J10" s="86">
        <v>150</v>
      </c>
      <c r="K10" s="86"/>
      <c r="L10" s="86">
        <v>150</v>
      </c>
      <c r="M10" s="86"/>
      <c r="N10" s="86">
        <v>38</v>
      </c>
      <c r="O10" s="86"/>
      <c r="P10" s="81"/>
      <c r="Q10" s="86" t="s">
        <v>14</v>
      </c>
      <c r="R10" s="86"/>
      <c r="S10" s="86" t="s">
        <v>15</v>
      </c>
      <c r="T10" s="86"/>
      <c r="U10" s="10" t="s">
        <v>16</v>
      </c>
      <c r="V10" s="124" t="s">
        <v>17</v>
      </c>
      <c r="W10" s="125"/>
      <c r="X10" s="126"/>
      <c r="Y10" s="71" t="s">
        <v>18</v>
      </c>
      <c r="Z10" s="71" t="s">
        <v>19</v>
      </c>
      <c r="AA10" s="71" t="s">
        <v>20</v>
      </c>
      <c r="AB10" s="71" t="s">
        <v>20</v>
      </c>
      <c r="AC10" s="71" t="s">
        <v>49</v>
      </c>
      <c r="AD10" s="71" t="s">
        <v>20</v>
      </c>
      <c r="AE10" s="71" t="s">
        <v>21</v>
      </c>
      <c r="AF10" s="71" t="s">
        <v>22</v>
      </c>
      <c r="AG10" s="11" t="s">
        <v>23</v>
      </c>
    </row>
    <row r="11" spans="1:33" s="4" customFormat="1" ht="30" customHeight="1" x14ac:dyDescent="0.2">
      <c r="A11" s="113"/>
      <c r="B11" s="76" t="s">
        <v>24</v>
      </c>
      <c r="C11" s="89"/>
      <c r="D11" s="108" t="s">
        <v>51</v>
      </c>
      <c r="E11" s="86"/>
      <c r="F11" s="86" t="s">
        <v>26</v>
      </c>
      <c r="G11" s="86"/>
      <c r="H11" s="86" t="s">
        <v>26</v>
      </c>
      <c r="I11" s="86"/>
      <c r="J11" s="86" t="s">
        <v>25</v>
      </c>
      <c r="K11" s="86"/>
      <c r="L11" s="86" t="s">
        <v>27</v>
      </c>
      <c r="M11" s="86"/>
      <c r="N11" s="86" t="s">
        <v>26</v>
      </c>
      <c r="O11" s="86"/>
      <c r="P11" s="81"/>
      <c r="Q11" s="71">
        <v>2.4</v>
      </c>
      <c r="R11" s="71">
        <v>3.6</v>
      </c>
      <c r="S11" s="71">
        <v>2.4</v>
      </c>
      <c r="T11" s="71">
        <v>3.6</v>
      </c>
      <c r="U11" s="71">
        <v>2.4</v>
      </c>
      <c r="V11" s="71">
        <v>3.6</v>
      </c>
      <c r="W11" s="71">
        <v>2.4</v>
      </c>
      <c r="X11" s="71">
        <v>4.9000000000000004</v>
      </c>
      <c r="Y11" s="71"/>
      <c r="Z11" s="71"/>
      <c r="AA11" s="71">
        <v>5</v>
      </c>
      <c r="AB11" s="71">
        <v>10</v>
      </c>
      <c r="AC11" s="71" t="s">
        <v>50</v>
      </c>
      <c r="AD11" s="71">
        <v>40</v>
      </c>
      <c r="AE11" s="71"/>
      <c r="AF11" s="71"/>
      <c r="AG11" s="11" t="s">
        <v>28</v>
      </c>
    </row>
    <row r="12" spans="1:33" s="4" customFormat="1" ht="30" customHeight="1" x14ac:dyDescent="0.2">
      <c r="A12" s="113"/>
      <c r="B12" s="12"/>
      <c r="C12" s="13"/>
      <c r="D12" s="87">
        <v>35245</v>
      </c>
      <c r="E12" s="88"/>
      <c r="F12" s="88">
        <v>11082</v>
      </c>
      <c r="G12" s="88"/>
      <c r="H12" s="88">
        <v>21810</v>
      </c>
      <c r="I12" s="88"/>
      <c r="J12" s="88">
        <v>17362</v>
      </c>
      <c r="K12" s="88"/>
      <c r="L12" s="88">
        <v>18389</v>
      </c>
      <c r="M12" s="88"/>
      <c r="N12" s="88">
        <v>21811</v>
      </c>
      <c r="O12" s="88"/>
      <c r="P12" s="72">
        <v>10128</v>
      </c>
      <c r="Q12" s="72">
        <v>10962</v>
      </c>
      <c r="R12" s="72">
        <v>15427</v>
      </c>
      <c r="S12" s="72">
        <v>16623</v>
      </c>
      <c r="T12" s="72">
        <v>16967</v>
      </c>
      <c r="U12" s="72">
        <v>28230</v>
      </c>
      <c r="V12" s="72">
        <v>10966</v>
      </c>
      <c r="W12" s="72">
        <v>10965</v>
      </c>
      <c r="X12" s="72">
        <v>21809</v>
      </c>
      <c r="Y12" s="72">
        <v>11966</v>
      </c>
      <c r="Z12" s="72">
        <v>11089</v>
      </c>
      <c r="AA12" s="72">
        <v>10960</v>
      </c>
      <c r="AB12" s="72">
        <v>10961</v>
      </c>
      <c r="AC12" s="72">
        <v>33442</v>
      </c>
      <c r="AD12" s="72">
        <v>10959</v>
      </c>
      <c r="AE12" s="72">
        <v>12487</v>
      </c>
      <c r="AF12" s="72">
        <v>16823</v>
      </c>
      <c r="AG12" s="14">
        <v>11342</v>
      </c>
    </row>
    <row r="13" spans="1:33" s="4" customFormat="1" ht="30" customHeight="1" thickBot="1" x14ac:dyDescent="0.25">
      <c r="A13" s="114"/>
      <c r="B13" s="15" t="s">
        <v>29</v>
      </c>
      <c r="C13" s="16" t="s">
        <v>30</v>
      </c>
      <c r="D13" s="17" t="s">
        <v>31</v>
      </c>
      <c r="E13" s="75" t="s">
        <v>32</v>
      </c>
      <c r="F13" s="75" t="s">
        <v>31</v>
      </c>
      <c r="G13" s="75" t="s">
        <v>32</v>
      </c>
      <c r="H13" s="75" t="s">
        <v>31</v>
      </c>
      <c r="I13" s="75" t="s">
        <v>32</v>
      </c>
      <c r="J13" s="75" t="s">
        <v>31</v>
      </c>
      <c r="K13" s="75" t="s">
        <v>32</v>
      </c>
      <c r="L13" s="75" t="s">
        <v>31</v>
      </c>
      <c r="M13" s="75" t="s">
        <v>32</v>
      </c>
      <c r="N13" s="75"/>
      <c r="O13" s="75"/>
      <c r="P13" s="75" t="s">
        <v>32</v>
      </c>
      <c r="Q13" s="75" t="s">
        <v>31</v>
      </c>
      <c r="R13" s="75" t="s">
        <v>31</v>
      </c>
      <c r="S13" s="75" t="s">
        <v>31</v>
      </c>
      <c r="T13" s="75" t="s">
        <v>31</v>
      </c>
      <c r="U13" s="75" t="s">
        <v>31</v>
      </c>
      <c r="V13" s="75" t="s">
        <v>31</v>
      </c>
      <c r="W13" s="75" t="s">
        <v>31</v>
      </c>
      <c r="X13" s="75" t="s">
        <v>31</v>
      </c>
      <c r="Y13" s="75" t="s">
        <v>31</v>
      </c>
      <c r="Z13" s="75" t="s">
        <v>31</v>
      </c>
      <c r="AA13" s="75" t="s">
        <v>33</v>
      </c>
      <c r="AB13" s="75" t="s">
        <v>33</v>
      </c>
      <c r="AC13" s="75" t="s">
        <v>33</v>
      </c>
      <c r="AD13" s="75" t="s">
        <v>33</v>
      </c>
      <c r="AE13" s="75" t="s">
        <v>33</v>
      </c>
      <c r="AF13" s="75" t="s">
        <v>33</v>
      </c>
      <c r="AG13" s="18" t="s">
        <v>31</v>
      </c>
    </row>
    <row r="14" spans="1:33" s="25" customFormat="1" ht="46.5" customHeight="1" x14ac:dyDescent="0.3">
      <c r="A14" s="19" t="s">
        <v>65</v>
      </c>
      <c r="B14" s="21">
        <v>0</v>
      </c>
      <c r="C14" s="21">
        <f>B14/208*25</f>
        <v>0</v>
      </c>
      <c r="D14" s="21">
        <v>46364</v>
      </c>
      <c r="E14" s="20">
        <f>D14/208*25</f>
        <v>5572.5961538461543</v>
      </c>
      <c r="F14" s="21">
        <v>42223</v>
      </c>
      <c r="G14" s="20">
        <f>F14/215*25</f>
        <v>4909.6511627906975</v>
      </c>
      <c r="H14" s="21">
        <v>0</v>
      </c>
      <c r="I14" s="20">
        <f>H14/135*25</f>
        <v>0</v>
      </c>
      <c r="J14" s="21">
        <v>0</v>
      </c>
      <c r="K14" s="20">
        <f>J14/150*25</f>
        <v>0</v>
      </c>
      <c r="L14" s="21">
        <v>0</v>
      </c>
      <c r="M14" s="21">
        <f>L14/150*25</f>
        <v>0</v>
      </c>
      <c r="N14" s="21">
        <v>0</v>
      </c>
      <c r="O14" s="20">
        <f>N14/38*25</f>
        <v>0</v>
      </c>
      <c r="P14" s="20">
        <v>30961.5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3453</v>
      </c>
      <c r="W14" s="21">
        <v>44222</v>
      </c>
      <c r="X14" s="21"/>
      <c r="Y14" s="21">
        <v>5002</v>
      </c>
      <c r="Z14" s="21">
        <v>128</v>
      </c>
      <c r="AA14" s="21">
        <v>12260</v>
      </c>
      <c r="AB14" s="21">
        <v>8724</v>
      </c>
      <c r="AC14" s="21"/>
      <c r="AD14" s="22"/>
      <c r="AE14" s="20">
        <f>Y14*2.43</f>
        <v>12154.86</v>
      </c>
      <c r="AF14" s="23">
        <v>330</v>
      </c>
      <c r="AG14" s="24">
        <v>0</v>
      </c>
    </row>
    <row r="15" spans="1:33" s="25" customFormat="1" ht="46.5" customHeight="1" x14ac:dyDescent="0.3">
      <c r="A15" s="26" t="s">
        <v>34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  <c r="AF15" s="27"/>
      <c r="AG15" s="29"/>
    </row>
    <row r="16" spans="1:33" s="25" customFormat="1" ht="46.5" customHeight="1" x14ac:dyDescent="0.3">
      <c r="A16" s="19" t="s">
        <v>63</v>
      </c>
      <c r="B16" s="21">
        <v>0</v>
      </c>
      <c r="C16" s="21">
        <f>B16/208*25</f>
        <v>0</v>
      </c>
      <c r="D16" s="21">
        <v>16788</v>
      </c>
      <c r="E16" s="20">
        <f>D16/208*25</f>
        <v>2017.7884615384617</v>
      </c>
      <c r="F16" s="21">
        <v>63497</v>
      </c>
      <c r="G16" s="20">
        <f>F16/215*25</f>
        <v>7383.3720930232557</v>
      </c>
      <c r="H16" s="21">
        <v>0</v>
      </c>
      <c r="I16" s="20">
        <f>H16/135*25</f>
        <v>0</v>
      </c>
      <c r="J16" s="21">
        <v>0</v>
      </c>
      <c r="K16" s="20">
        <f>J16/150*25</f>
        <v>0</v>
      </c>
      <c r="L16" s="21">
        <v>0</v>
      </c>
      <c r="M16" s="21">
        <f>L16/150*25</f>
        <v>0</v>
      </c>
      <c r="N16" s="21">
        <v>0</v>
      </c>
      <c r="O16" s="20">
        <f>N16/38*25</f>
        <v>0</v>
      </c>
      <c r="P16" s="20">
        <v>26252.2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570</v>
      </c>
      <c r="W16" s="21">
        <v>39526</v>
      </c>
      <c r="X16" s="21"/>
      <c r="Y16" s="21">
        <v>4599</v>
      </c>
      <c r="Z16" s="21">
        <v>148</v>
      </c>
      <c r="AA16" s="21">
        <v>10819</v>
      </c>
      <c r="AB16" s="21">
        <v>8389</v>
      </c>
      <c r="AC16" s="21"/>
      <c r="AD16" s="22"/>
      <c r="AE16" s="20">
        <f>Y16*2.43</f>
        <v>11175.570000000002</v>
      </c>
      <c r="AF16" s="23">
        <v>30</v>
      </c>
      <c r="AG16" s="24">
        <v>0</v>
      </c>
    </row>
    <row r="17" spans="1:37" s="25" customFormat="1" ht="46.5" customHeight="1" thickBot="1" x14ac:dyDescent="0.35">
      <c r="A17" s="30" t="s">
        <v>35</v>
      </c>
      <c r="B17" s="31">
        <f>B14-B16</f>
        <v>0</v>
      </c>
      <c r="C17" s="31">
        <f t="shared" ref="C17:AG17" si="0">C14-C16</f>
        <v>0</v>
      </c>
      <c r="D17" s="31">
        <f t="shared" si="0"/>
        <v>29576</v>
      </c>
      <c r="E17" s="32">
        <f t="shared" si="0"/>
        <v>3554.8076923076924</v>
      </c>
      <c r="F17" s="31">
        <f t="shared" si="0"/>
        <v>-21274</v>
      </c>
      <c r="G17" s="32">
        <f t="shared" si="0"/>
        <v>-2473.7209302325582</v>
      </c>
      <c r="H17" s="32">
        <f t="shared" si="0"/>
        <v>0</v>
      </c>
      <c r="I17" s="32">
        <f t="shared" si="0"/>
        <v>0</v>
      </c>
      <c r="J17" s="32">
        <f t="shared" si="0"/>
        <v>0</v>
      </c>
      <c r="K17" s="32">
        <f t="shared" si="0"/>
        <v>0</v>
      </c>
      <c r="L17" s="32">
        <f t="shared" si="0"/>
        <v>0</v>
      </c>
      <c r="M17" s="32">
        <f t="shared" si="0"/>
        <v>0</v>
      </c>
      <c r="N17" s="31">
        <f t="shared" si="0"/>
        <v>0</v>
      </c>
      <c r="O17" s="32">
        <f t="shared" si="0"/>
        <v>0</v>
      </c>
      <c r="P17" s="31">
        <f>P14-P16</f>
        <v>4709.2999999999993</v>
      </c>
      <c r="Q17" s="31">
        <f t="shared" si="0"/>
        <v>0</v>
      </c>
      <c r="R17" s="31">
        <f t="shared" si="0"/>
        <v>0</v>
      </c>
      <c r="S17" s="31">
        <f t="shared" si="0"/>
        <v>0</v>
      </c>
      <c r="T17" s="31">
        <f t="shared" si="0"/>
        <v>0</v>
      </c>
      <c r="U17" s="31">
        <f t="shared" si="0"/>
        <v>0</v>
      </c>
      <c r="V17" s="31">
        <f t="shared" si="0"/>
        <v>2883</v>
      </c>
      <c r="W17" s="31">
        <f t="shared" si="0"/>
        <v>4696</v>
      </c>
      <c r="X17" s="31">
        <f>X14-X16</f>
        <v>0</v>
      </c>
      <c r="Y17" s="31">
        <f t="shared" si="0"/>
        <v>403</v>
      </c>
      <c r="Z17" s="31">
        <f>Z14-Z16</f>
        <v>-20</v>
      </c>
      <c r="AA17" s="31">
        <f t="shared" si="0"/>
        <v>1441</v>
      </c>
      <c r="AB17" s="31">
        <f t="shared" si="0"/>
        <v>335</v>
      </c>
      <c r="AC17" s="31">
        <f t="shared" si="0"/>
        <v>0</v>
      </c>
      <c r="AD17" s="31">
        <f t="shared" si="0"/>
        <v>0</v>
      </c>
      <c r="AE17" s="32">
        <f t="shared" si="0"/>
        <v>979.28999999999905</v>
      </c>
      <c r="AF17" s="31">
        <f t="shared" si="0"/>
        <v>300</v>
      </c>
      <c r="AG17" s="33">
        <f t="shared" si="0"/>
        <v>0</v>
      </c>
    </row>
    <row r="18" spans="1:37" x14ac:dyDescent="0.25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/>
      <c r="AF18" s="35"/>
      <c r="AG18" s="35"/>
    </row>
    <row r="19" spans="1:37" x14ac:dyDescent="0.25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/>
      <c r="AF19" s="35"/>
      <c r="AG19" s="35"/>
    </row>
    <row r="20" spans="1:37" s="37" customFormat="1" ht="23.25" x14ac:dyDescent="0.35">
      <c r="A20" s="37" t="s">
        <v>36</v>
      </c>
      <c r="B20" s="38"/>
      <c r="F20" s="37" t="s">
        <v>37</v>
      </c>
      <c r="M20" s="37" t="s">
        <v>38</v>
      </c>
      <c r="T20" s="37" t="s">
        <v>38</v>
      </c>
      <c r="AA20" s="37" t="s">
        <v>39</v>
      </c>
      <c r="AJ20" s="39"/>
      <c r="AK20" s="39"/>
    </row>
    <row r="21" spans="1:37" s="37" customFormat="1" ht="23.25" x14ac:dyDescent="0.35">
      <c r="B21" s="38"/>
      <c r="F21" s="38"/>
      <c r="AD21" s="38"/>
      <c r="AJ21" s="38"/>
      <c r="AK21" s="38"/>
    </row>
    <row r="22" spans="1:37" s="37" customFormat="1" ht="23.25" x14ac:dyDescent="0.35">
      <c r="A22" s="38"/>
      <c r="B22" s="38"/>
      <c r="F22" s="38"/>
      <c r="AD22" s="38"/>
    </row>
    <row r="23" spans="1:37" s="42" customFormat="1" ht="20.25" x14ac:dyDescent="0.3">
      <c r="A23" s="40" t="s">
        <v>40</v>
      </c>
      <c r="B23" s="41"/>
      <c r="F23" s="43" t="s">
        <v>41</v>
      </c>
      <c r="M23" s="43" t="s">
        <v>42</v>
      </c>
      <c r="T23" s="43" t="s">
        <v>43</v>
      </c>
      <c r="AA23" s="43" t="s">
        <v>44</v>
      </c>
      <c r="AH23" s="41"/>
      <c r="AI23" s="44"/>
      <c r="AJ23" s="41"/>
      <c r="AK23" s="41"/>
    </row>
    <row r="24" spans="1:37" s="42" customFormat="1" ht="20.25" x14ac:dyDescent="0.3">
      <c r="A24" s="42" t="s">
        <v>45</v>
      </c>
      <c r="F24" s="42" t="s">
        <v>46</v>
      </c>
      <c r="M24" s="42" t="s">
        <v>47</v>
      </c>
      <c r="T24" s="42" t="s">
        <v>48</v>
      </c>
      <c r="AA24" s="45" t="s">
        <v>52</v>
      </c>
      <c r="AI24" s="45"/>
      <c r="AJ24" s="45"/>
      <c r="AK24" s="45"/>
    </row>
    <row r="26" spans="1:37" x14ac:dyDescent="0.2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70"/>
      <c r="AF26" s="70"/>
    </row>
  </sheetData>
  <mergeCells count="47">
    <mergeCell ref="AA7:AA8"/>
    <mergeCell ref="AB7:AB8"/>
    <mergeCell ref="AC7:AD8"/>
    <mergeCell ref="AF7:AG8"/>
    <mergeCell ref="A1:AF1"/>
    <mergeCell ref="A2:AF2"/>
    <mergeCell ref="A4:AF4"/>
    <mergeCell ref="A5:AF5"/>
    <mergeCell ref="A7:A13"/>
    <mergeCell ref="D7:E8"/>
    <mergeCell ref="F7:I8"/>
    <mergeCell ref="J7:K8"/>
    <mergeCell ref="L7:O8"/>
    <mergeCell ref="Q7:U8"/>
    <mergeCell ref="B8:C8"/>
    <mergeCell ref="Y8:Z8"/>
    <mergeCell ref="B9:C9"/>
    <mergeCell ref="D9:O9"/>
    <mergeCell ref="P9:P11"/>
    <mergeCell ref="Q9:Z9"/>
    <mergeCell ref="V10:X10"/>
    <mergeCell ref="B11:C11"/>
    <mergeCell ref="D11:E11"/>
    <mergeCell ref="F11:G11"/>
    <mergeCell ref="V7:X8"/>
    <mergeCell ref="Y7:Z7"/>
    <mergeCell ref="AA9:AD9"/>
    <mergeCell ref="B10:C10"/>
    <mergeCell ref="D10:E10"/>
    <mergeCell ref="F10:G10"/>
    <mergeCell ref="H10:I10"/>
    <mergeCell ref="J10:K10"/>
    <mergeCell ref="L10:M10"/>
    <mergeCell ref="N10:O10"/>
    <mergeCell ref="Q10:R10"/>
    <mergeCell ref="S10:T10"/>
    <mergeCell ref="A26:AD26"/>
    <mergeCell ref="H11:I11"/>
    <mergeCell ref="J11:K11"/>
    <mergeCell ref="L11:M11"/>
    <mergeCell ref="N11:O11"/>
    <mergeCell ref="D12:E12"/>
    <mergeCell ref="F12:G12"/>
    <mergeCell ref="H12:I12"/>
    <mergeCell ref="J12:K12"/>
    <mergeCell ref="L12:M12"/>
    <mergeCell ref="N12:O12"/>
  </mergeCells>
  <pageMargins left="0.39370078740157483" right="0.39370078740157483" top="0.74803149606299213" bottom="0.35433070866141736" header="0.31496062992125984" footer="0.31496062992125984"/>
  <pageSetup paperSize="14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 2026</vt:lpstr>
      <vt:lpstr>FEBRUARY 2026 </vt:lpstr>
      <vt:lpstr>MARCH 2026</vt:lpstr>
      <vt:lpstr>APRIL 2026</vt:lpstr>
      <vt:lpstr>MAY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Airene B. Tabotabo</cp:lastModifiedBy>
  <cp:lastPrinted>2026-06-02T00:17:39Z</cp:lastPrinted>
  <dcterms:created xsi:type="dcterms:W3CDTF">2024-02-01T02:48:15Z</dcterms:created>
  <dcterms:modified xsi:type="dcterms:W3CDTF">2026-06-02T00:17:44Z</dcterms:modified>
</cp:coreProperties>
</file>