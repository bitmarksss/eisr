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7.MINE EXPLOSIVES REPORTS\06.MONTHLY REPORT\2026\"/>
    </mc:Choice>
  </mc:AlternateContent>
  <bookViews>
    <workbookView xWindow="0" yWindow="0" windowWidth="8670" windowHeight="10980" activeTab="4"/>
  </bookViews>
  <sheets>
    <sheet name="JANUARY 2026" sheetId="24" r:id="rId1"/>
    <sheet name="FEBRUARY 2026" sheetId="25" r:id="rId2"/>
    <sheet name="MARCH 2026" sheetId="26" r:id="rId3"/>
    <sheet name="APRIL 2026" sheetId="27" r:id="rId4"/>
    <sheet name="MAY 2026" sheetId="2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4" i="28" l="1"/>
  <c r="G44" i="28"/>
  <c r="E44" i="28"/>
  <c r="AE43" i="28"/>
  <c r="G43" i="28"/>
  <c r="E43" i="28"/>
  <c r="AE42" i="28"/>
  <c r="G42" i="28"/>
  <c r="E42" i="28"/>
  <c r="AE41" i="28"/>
  <c r="O41" i="28"/>
  <c r="I41" i="28"/>
  <c r="G41" i="28"/>
  <c r="E41" i="28"/>
  <c r="AE40" i="28"/>
  <c r="O40" i="28"/>
  <c r="I40" i="28"/>
  <c r="G40" i="28"/>
  <c r="E40" i="28"/>
  <c r="AE39" i="28"/>
  <c r="O39" i="28"/>
  <c r="I39" i="28"/>
  <c r="G39" i="28"/>
  <c r="E39" i="28"/>
  <c r="AE38" i="28"/>
  <c r="O38" i="28"/>
  <c r="I38" i="28"/>
  <c r="G38" i="28"/>
  <c r="E38" i="28"/>
  <c r="AE37" i="28"/>
  <c r="G37" i="28"/>
  <c r="E37" i="28"/>
  <c r="AE36" i="28"/>
  <c r="G36" i="28"/>
  <c r="E36" i="28"/>
  <c r="AE35" i="28"/>
  <c r="G35" i="28"/>
  <c r="E35" i="28"/>
  <c r="AE34" i="28"/>
  <c r="O34" i="28"/>
  <c r="I34" i="28"/>
  <c r="G34" i="28"/>
  <c r="E34" i="28"/>
  <c r="AE33" i="28"/>
  <c r="O33" i="28"/>
  <c r="I33" i="28"/>
  <c r="G33" i="28"/>
  <c r="E33" i="28"/>
  <c r="AE32" i="28"/>
  <c r="O32" i="28"/>
  <c r="I32" i="28"/>
  <c r="G32" i="28"/>
  <c r="E32" i="28"/>
  <c r="AE31" i="28"/>
  <c r="O31" i="28"/>
  <c r="I31" i="28"/>
  <c r="G31" i="28"/>
  <c r="E31" i="28"/>
  <c r="AE30" i="28"/>
  <c r="G30" i="28"/>
  <c r="E30" i="28"/>
  <c r="AE29" i="28"/>
  <c r="G29" i="28"/>
  <c r="E29" i="28"/>
  <c r="AE28" i="28"/>
  <c r="G28" i="28"/>
  <c r="E28" i="28"/>
  <c r="AE27" i="28"/>
  <c r="O27" i="28"/>
  <c r="I27" i="28"/>
  <c r="G27" i="28"/>
  <c r="E27" i="28"/>
  <c r="AE26" i="28"/>
  <c r="O26" i="28"/>
  <c r="I26" i="28"/>
  <c r="G26" i="28"/>
  <c r="E26" i="28"/>
  <c r="AE25" i="28"/>
  <c r="O25" i="28"/>
  <c r="I25" i="28"/>
  <c r="G25" i="28"/>
  <c r="E25" i="28"/>
  <c r="AE24" i="28"/>
  <c r="O24" i="28"/>
  <c r="I24" i="28"/>
  <c r="G24" i="28"/>
  <c r="E24" i="28"/>
  <c r="AE23" i="28"/>
  <c r="G23" i="28"/>
  <c r="E23" i="28"/>
  <c r="AE22" i="28"/>
  <c r="G22" i="28"/>
  <c r="E22" i="28"/>
  <c r="AE21" i="28"/>
  <c r="G21" i="28"/>
  <c r="E21" i="28"/>
  <c r="AE20" i="28"/>
  <c r="O20" i="28"/>
  <c r="I20" i="28"/>
  <c r="G20" i="28"/>
  <c r="E20" i="28"/>
  <c r="AE19" i="28"/>
  <c r="O19" i="28"/>
  <c r="I19" i="28"/>
  <c r="G19" i="28"/>
  <c r="E19" i="28"/>
  <c r="AE18" i="28"/>
  <c r="O18" i="28"/>
  <c r="I18" i="28"/>
  <c r="G18" i="28"/>
  <c r="E18" i="28"/>
  <c r="AE17" i="28"/>
  <c r="O17" i="28"/>
  <c r="I17" i="28"/>
  <c r="G17" i="28"/>
  <c r="E17" i="28"/>
  <c r="AE16" i="28"/>
  <c r="G16" i="28"/>
  <c r="E16" i="28"/>
  <c r="AE15" i="28"/>
  <c r="G15" i="28"/>
  <c r="E15" i="28"/>
  <c r="AE14" i="28"/>
  <c r="G14" i="28"/>
  <c r="E14" i="28"/>
  <c r="AG45" i="28" l="1"/>
  <c r="AF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N45" i="28"/>
  <c r="M45" i="28"/>
  <c r="L45" i="28"/>
  <c r="K45" i="28"/>
  <c r="J45" i="28"/>
  <c r="H45" i="28"/>
  <c r="F45" i="28"/>
  <c r="D45" i="28"/>
  <c r="AE45" i="28"/>
  <c r="O45" i="28"/>
  <c r="I45" i="28"/>
  <c r="G45" i="28"/>
  <c r="E45" i="28"/>
  <c r="AE43" i="27" l="1"/>
  <c r="O43" i="27"/>
  <c r="I43" i="27"/>
  <c r="G43" i="27"/>
  <c r="E43" i="27"/>
  <c r="C43" i="27"/>
  <c r="AE42" i="27"/>
  <c r="O42" i="27"/>
  <c r="I42" i="27"/>
  <c r="G42" i="27"/>
  <c r="E42" i="27"/>
  <c r="C42" i="27"/>
  <c r="AE41" i="27"/>
  <c r="O41" i="27"/>
  <c r="I41" i="27"/>
  <c r="G41" i="27"/>
  <c r="E41" i="27"/>
  <c r="C41" i="27"/>
  <c r="AE40" i="27"/>
  <c r="O40" i="27"/>
  <c r="I40" i="27"/>
  <c r="G40" i="27"/>
  <c r="E40" i="27"/>
  <c r="C40" i="27"/>
  <c r="AE39" i="27"/>
  <c r="G39" i="27"/>
  <c r="E39" i="27"/>
  <c r="C39" i="27"/>
  <c r="AE38" i="27"/>
  <c r="G38" i="27"/>
  <c r="E38" i="27"/>
  <c r="C38" i="27"/>
  <c r="AE37" i="27"/>
  <c r="G37" i="27"/>
  <c r="E37" i="27"/>
  <c r="C37" i="27"/>
  <c r="AE36" i="27"/>
  <c r="O36" i="27"/>
  <c r="I36" i="27"/>
  <c r="G36" i="27"/>
  <c r="E36" i="27"/>
  <c r="C36" i="27"/>
  <c r="AE35" i="27"/>
  <c r="O35" i="27"/>
  <c r="I35" i="27"/>
  <c r="G35" i="27"/>
  <c r="E35" i="27"/>
  <c r="C35" i="27"/>
  <c r="AE34" i="27"/>
  <c r="O34" i="27"/>
  <c r="I34" i="27"/>
  <c r="G34" i="27"/>
  <c r="E34" i="27"/>
  <c r="C34" i="27"/>
  <c r="AE33" i="27"/>
  <c r="O33" i="27"/>
  <c r="I33" i="27"/>
  <c r="G33" i="27"/>
  <c r="E33" i="27"/>
  <c r="C33" i="27"/>
  <c r="AE32" i="27"/>
  <c r="G32" i="27"/>
  <c r="E32" i="27"/>
  <c r="C32" i="27"/>
  <c r="AE31" i="27"/>
  <c r="G31" i="27"/>
  <c r="E31" i="27"/>
  <c r="C31" i="27"/>
  <c r="AE30" i="27"/>
  <c r="G30" i="27"/>
  <c r="E30" i="27"/>
  <c r="C30" i="27"/>
  <c r="AE29" i="27"/>
  <c r="O29" i="27"/>
  <c r="I29" i="27"/>
  <c r="G29" i="27"/>
  <c r="E29" i="27"/>
  <c r="C29" i="27"/>
  <c r="AE28" i="27"/>
  <c r="O28" i="27"/>
  <c r="I28" i="27"/>
  <c r="G28" i="27"/>
  <c r="E28" i="27"/>
  <c r="C28" i="27"/>
  <c r="AE27" i="27"/>
  <c r="O27" i="27"/>
  <c r="I27" i="27"/>
  <c r="G27" i="27"/>
  <c r="E27" i="27"/>
  <c r="C27" i="27"/>
  <c r="AE26" i="27"/>
  <c r="O26" i="27"/>
  <c r="I26" i="27"/>
  <c r="G26" i="27"/>
  <c r="E26" i="27"/>
  <c r="C26" i="27"/>
  <c r="AE25" i="27"/>
  <c r="G25" i="27"/>
  <c r="E25" i="27"/>
  <c r="C25" i="27"/>
  <c r="AE24" i="27"/>
  <c r="G24" i="27"/>
  <c r="E24" i="27"/>
  <c r="C24" i="27"/>
  <c r="AE23" i="27"/>
  <c r="G23" i="27"/>
  <c r="E23" i="27"/>
  <c r="C23" i="27"/>
  <c r="AE22" i="27"/>
  <c r="O22" i="27"/>
  <c r="I22" i="27"/>
  <c r="G22" i="27"/>
  <c r="E22" i="27"/>
  <c r="C22" i="27"/>
  <c r="AE21" i="27"/>
  <c r="O21" i="27"/>
  <c r="I21" i="27"/>
  <c r="G21" i="27"/>
  <c r="E21" i="27"/>
  <c r="C21" i="27"/>
  <c r="AE20" i="27"/>
  <c r="O20" i="27"/>
  <c r="I20" i="27"/>
  <c r="G20" i="27"/>
  <c r="E20" i="27"/>
  <c r="C20" i="27"/>
  <c r="AE19" i="27"/>
  <c r="O19" i="27"/>
  <c r="I19" i="27"/>
  <c r="G19" i="27"/>
  <c r="E19" i="27"/>
  <c r="C19" i="27"/>
  <c r="AE18" i="27"/>
  <c r="G18" i="27"/>
  <c r="E18" i="27"/>
  <c r="C18" i="27"/>
  <c r="AG44" i="27" l="1"/>
  <c r="AF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D44" i="27"/>
  <c r="AE44" i="27"/>
  <c r="E44" i="27"/>
  <c r="AE44" i="26" l="1"/>
  <c r="G44" i="26"/>
  <c r="E44" i="26"/>
  <c r="AE43" i="26"/>
  <c r="G43" i="26"/>
  <c r="E43" i="26"/>
  <c r="AE42" i="26"/>
  <c r="G42" i="26"/>
  <c r="E42" i="26"/>
  <c r="AE41" i="26"/>
  <c r="G41" i="26"/>
  <c r="E41" i="26"/>
  <c r="AE40" i="26"/>
  <c r="G40" i="26"/>
  <c r="E40" i="26"/>
  <c r="AE39" i="26"/>
  <c r="G39" i="26"/>
  <c r="E39" i="26"/>
  <c r="AE38" i="26"/>
  <c r="G38" i="26"/>
  <c r="E38" i="26"/>
  <c r="AE37" i="26"/>
  <c r="G37" i="26"/>
  <c r="E37" i="26"/>
  <c r="AE36" i="26"/>
  <c r="G36" i="26"/>
  <c r="E36" i="26"/>
  <c r="AE35" i="26"/>
  <c r="G35" i="26"/>
  <c r="E35" i="26"/>
  <c r="AE34" i="26"/>
  <c r="G34" i="26"/>
  <c r="E34" i="26"/>
  <c r="AE33" i="26"/>
  <c r="G33" i="26"/>
  <c r="E33" i="26"/>
  <c r="AE32" i="26"/>
  <c r="G32" i="26"/>
  <c r="E32" i="26"/>
  <c r="AE31" i="26"/>
  <c r="G31" i="26"/>
  <c r="E31" i="26"/>
  <c r="AE30" i="26"/>
  <c r="G30" i="26"/>
  <c r="E30" i="26"/>
  <c r="AE29" i="26"/>
  <c r="G29" i="26"/>
  <c r="E29" i="26"/>
  <c r="AE28" i="26"/>
  <c r="G28" i="26"/>
  <c r="E28" i="26"/>
  <c r="AE27" i="26"/>
  <c r="G27" i="26"/>
  <c r="E27" i="26"/>
  <c r="AE26" i="26"/>
  <c r="G26" i="26"/>
  <c r="E26" i="26"/>
  <c r="AE25" i="26"/>
  <c r="G25" i="26"/>
  <c r="E25" i="26"/>
  <c r="AE24" i="26"/>
  <c r="G24" i="26"/>
  <c r="E24" i="26"/>
  <c r="AE23" i="26"/>
  <c r="G23" i="26"/>
  <c r="E23" i="26"/>
  <c r="AE22" i="26"/>
  <c r="G22" i="26"/>
  <c r="E22" i="26"/>
  <c r="AE21" i="26"/>
  <c r="G21" i="26"/>
  <c r="E21" i="26"/>
  <c r="AE20" i="26"/>
  <c r="G20" i="26"/>
  <c r="E20" i="26"/>
  <c r="AE19" i="26"/>
  <c r="G19" i="26"/>
  <c r="E19" i="26"/>
  <c r="AE18" i="26"/>
  <c r="G18" i="26"/>
  <c r="E18" i="26"/>
  <c r="AE17" i="26"/>
  <c r="G17" i="26"/>
  <c r="E17" i="26"/>
  <c r="AE16" i="26"/>
  <c r="G16" i="26"/>
  <c r="E16" i="26"/>
  <c r="AE15" i="26"/>
  <c r="G15" i="26"/>
  <c r="E15" i="26"/>
  <c r="AE14" i="26"/>
  <c r="G14" i="26"/>
  <c r="E14" i="26"/>
  <c r="AG45" i="26" l="1"/>
  <c r="AF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N45" i="26"/>
  <c r="M45" i="26"/>
  <c r="L45" i="26"/>
  <c r="K45" i="26"/>
  <c r="J45" i="26"/>
  <c r="H45" i="26"/>
  <c r="F45" i="26"/>
  <c r="D45" i="26"/>
  <c r="O45" i="26"/>
  <c r="I45" i="26"/>
  <c r="AE45" i="26"/>
  <c r="G45" i="26"/>
  <c r="E45" i="26"/>
  <c r="P42" i="25" l="1"/>
  <c r="E42" i="25" l="1"/>
  <c r="F42" i="25"/>
  <c r="G42" i="25"/>
  <c r="H42" i="25"/>
  <c r="I42" i="25"/>
  <c r="J42" i="25"/>
  <c r="K42" i="25"/>
  <c r="L42" i="25"/>
  <c r="M42" i="25"/>
  <c r="N42" i="25"/>
  <c r="O42" i="25"/>
  <c r="AE41" i="25"/>
  <c r="G41" i="25"/>
  <c r="E41" i="25"/>
  <c r="C41" i="25"/>
  <c r="AE40" i="25"/>
  <c r="G40" i="25"/>
  <c r="E40" i="25"/>
  <c r="C40" i="25"/>
  <c r="AE39" i="25"/>
  <c r="O39" i="25"/>
  <c r="I39" i="25"/>
  <c r="G39" i="25"/>
  <c r="E39" i="25"/>
  <c r="C39" i="25"/>
  <c r="AE38" i="25"/>
  <c r="O38" i="25"/>
  <c r="I38" i="25"/>
  <c r="G38" i="25"/>
  <c r="E38" i="25"/>
  <c r="C38" i="25"/>
  <c r="AE37" i="25"/>
  <c r="O37" i="25"/>
  <c r="I37" i="25"/>
  <c r="G37" i="25"/>
  <c r="E37" i="25"/>
  <c r="C37" i="25"/>
  <c r="AE36" i="25"/>
  <c r="O36" i="25"/>
  <c r="I36" i="25"/>
  <c r="G36" i="25"/>
  <c r="E36" i="25"/>
  <c r="C36" i="25"/>
  <c r="AE35" i="25"/>
  <c r="G35" i="25"/>
  <c r="E35" i="25"/>
  <c r="C35" i="25"/>
  <c r="AE34" i="25"/>
  <c r="G34" i="25"/>
  <c r="E34" i="25"/>
  <c r="C34" i="25"/>
  <c r="AE33" i="25"/>
  <c r="G33" i="25"/>
  <c r="E33" i="25"/>
  <c r="C33" i="25"/>
  <c r="AE32" i="25"/>
  <c r="O32" i="25"/>
  <c r="I32" i="25"/>
  <c r="G32" i="25"/>
  <c r="E32" i="25"/>
  <c r="C32" i="25"/>
  <c r="AE31" i="25"/>
  <c r="O31" i="25"/>
  <c r="I31" i="25"/>
  <c r="G31" i="25"/>
  <c r="E31" i="25"/>
  <c r="C31" i="25"/>
  <c r="AE30" i="25"/>
  <c r="O30" i="25"/>
  <c r="I30" i="25"/>
  <c r="G30" i="25"/>
  <c r="E30" i="25"/>
  <c r="C30" i="25"/>
  <c r="AE29" i="25"/>
  <c r="O29" i="25"/>
  <c r="I29" i="25"/>
  <c r="G29" i="25"/>
  <c r="E29" i="25"/>
  <c r="C29" i="25"/>
  <c r="AE28" i="25"/>
  <c r="G28" i="25"/>
  <c r="E28" i="25"/>
  <c r="C28" i="25"/>
  <c r="AE27" i="25"/>
  <c r="G27" i="25"/>
  <c r="E27" i="25"/>
  <c r="C27" i="25"/>
  <c r="AE26" i="25"/>
  <c r="G26" i="25"/>
  <c r="E26" i="25"/>
  <c r="C26" i="25"/>
  <c r="AE25" i="25"/>
  <c r="O25" i="25"/>
  <c r="I25" i="25"/>
  <c r="G25" i="25"/>
  <c r="E25" i="25"/>
  <c r="C25" i="25"/>
  <c r="AE24" i="25"/>
  <c r="O24" i="25"/>
  <c r="I24" i="25"/>
  <c r="G24" i="25"/>
  <c r="E24" i="25"/>
  <c r="C24" i="25"/>
  <c r="AE23" i="25"/>
  <c r="O23" i="25"/>
  <c r="I23" i="25"/>
  <c r="G23" i="25"/>
  <c r="E23" i="25"/>
  <c r="C23" i="25"/>
  <c r="AE22" i="25"/>
  <c r="O22" i="25"/>
  <c r="I22" i="25"/>
  <c r="G22" i="25"/>
  <c r="E22" i="25"/>
  <c r="C22" i="25"/>
  <c r="AE21" i="25"/>
  <c r="G21" i="25"/>
  <c r="E21" i="25"/>
  <c r="C21" i="25"/>
  <c r="AE20" i="25"/>
  <c r="G20" i="25"/>
  <c r="E20" i="25"/>
  <c r="C20" i="25"/>
  <c r="AE19" i="25"/>
  <c r="G19" i="25"/>
  <c r="E19" i="25"/>
  <c r="C19" i="25"/>
  <c r="AE18" i="25"/>
  <c r="O18" i="25"/>
  <c r="I18" i="25"/>
  <c r="G18" i="25"/>
  <c r="E18" i="25"/>
  <c r="C18" i="25"/>
  <c r="AE17" i="25"/>
  <c r="O17" i="25"/>
  <c r="I17" i="25"/>
  <c r="G17" i="25"/>
  <c r="E17" i="25"/>
  <c r="C17" i="25"/>
  <c r="AE16" i="25"/>
  <c r="O16" i="25"/>
  <c r="I16" i="25"/>
  <c r="G16" i="25"/>
  <c r="E16" i="25"/>
  <c r="C16" i="25"/>
  <c r="AE15" i="25"/>
  <c r="O15" i="25"/>
  <c r="I15" i="25"/>
  <c r="G15" i="25"/>
  <c r="E15" i="25"/>
  <c r="C15" i="25"/>
  <c r="AE14" i="25"/>
  <c r="G14" i="25"/>
  <c r="E14" i="25"/>
  <c r="C14" i="25"/>
  <c r="AG42" i="25" l="1"/>
  <c r="AF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D42" i="25"/>
  <c r="AE42" i="25"/>
  <c r="AE44" i="24" l="1"/>
  <c r="G44" i="24"/>
  <c r="E44" i="24"/>
  <c r="C44" i="24"/>
  <c r="AE43" i="24"/>
  <c r="G43" i="24"/>
  <c r="E43" i="24"/>
  <c r="C43" i="24"/>
  <c r="AE42" i="24"/>
  <c r="O42" i="24"/>
  <c r="I42" i="24"/>
  <c r="G42" i="24"/>
  <c r="E42" i="24"/>
  <c r="C42" i="24"/>
  <c r="AE41" i="24"/>
  <c r="O41" i="24"/>
  <c r="I41" i="24"/>
  <c r="G41" i="24"/>
  <c r="E41" i="24"/>
  <c r="C41" i="24"/>
  <c r="AE40" i="24"/>
  <c r="O40" i="24"/>
  <c r="I40" i="24"/>
  <c r="G40" i="24"/>
  <c r="E40" i="24"/>
  <c r="C40" i="24"/>
  <c r="AE39" i="24"/>
  <c r="O39" i="24"/>
  <c r="I39" i="24"/>
  <c r="G39" i="24"/>
  <c r="E39" i="24"/>
  <c r="C39" i="24"/>
  <c r="AE38" i="24"/>
  <c r="G38" i="24"/>
  <c r="E38" i="24"/>
  <c r="C38" i="24"/>
  <c r="AE37" i="24"/>
  <c r="G37" i="24"/>
  <c r="E37" i="24"/>
  <c r="C37" i="24"/>
  <c r="AE36" i="24"/>
  <c r="G36" i="24"/>
  <c r="E36" i="24"/>
  <c r="C36" i="24"/>
  <c r="AE35" i="24"/>
  <c r="O35" i="24"/>
  <c r="I35" i="24"/>
  <c r="G35" i="24"/>
  <c r="E35" i="24"/>
  <c r="C35" i="24"/>
  <c r="AE34" i="24"/>
  <c r="O34" i="24"/>
  <c r="I34" i="24"/>
  <c r="G34" i="24"/>
  <c r="E34" i="24"/>
  <c r="C34" i="24"/>
  <c r="AE33" i="24"/>
  <c r="O33" i="24"/>
  <c r="I33" i="24"/>
  <c r="G33" i="24"/>
  <c r="E33" i="24"/>
  <c r="C33" i="24"/>
  <c r="AE32" i="24"/>
  <c r="O32" i="24"/>
  <c r="I32" i="24"/>
  <c r="G32" i="24"/>
  <c r="E32" i="24"/>
  <c r="C32" i="24"/>
  <c r="AE31" i="24"/>
  <c r="G31" i="24"/>
  <c r="E31" i="24"/>
  <c r="C31" i="24"/>
  <c r="AE30" i="24"/>
  <c r="G30" i="24"/>
  <c r="E30" i="24"/>
  <c r="C30" i="24"/>
  <c r="AE29" i="24"/>
  <c r="G29" i="24"/>
  <c r="E29" i="24"/>
  <c r="C29" i="24"/>
  <c r="AE28" i="24"/>
  <c r="O28" i="24"/>
  <c r="I28" i="24"/>
  <c r="G28" i="24"/>
  <c r="E28" i="24"/>
  <c r="C28" i="24"/>
  <c r="AE27" i="24"/>
  <c r="O27" i="24"/>
  <c r="I27" i="24"/>
  <c r="G27" i="24"/>
  <c r="E27" i="24"/>
  <c r="C27" i="24"/>
  <c r="AE26" i="24"/>
  <c r="O26" i="24"/>
  <c r="I26" i="24"/>
  <c r="G26" i="24"/>
  <c r="E26" i="24"/>
  <c r="C26" i="24"/>
  <c r="AE25" i="24"/>
  <c r="O25" i="24"/>
  <c r="I25" i="24"/>
  <c r="G25" i="24"/>
  <c r="E25" i="24"/>
  <c r="C25" i="24"/>
  <c r="AE24" i="24"/>
  <c r="G24" i="24"/>
  <c r="E24" i="24"/>
  <c r="C24" i="24"/>
  <c r="AE23" i="24"/>
  <c r="G23" i="24"/>
  <c r="E23" i="24"/>
  <c r="C23" i="24"/>
  <c r="AE22" i="24"/>
  <c r="G22" i="24"/>
  <c r="E22" i="24"/>
  <c r="C22" i="24"/>
  <c r="AE21" i="24"/>
  <c r="O21" i="24"/>
  <c r="I21" i="24"/>
  <c r="G21" i="24"/>
  <c r="E21" i="24"/>
  <c r="C21" i="24"/>
  <c r="AE20" i="24"/>
  <c r="O20" i="24"/>
  <c r="I20" i="24"/>
  <c r="G20" i="24"/>
  <c r="E20" i="24"/>
  <c r="C20" i="24"/>
  <c r="AE19" i="24"/>
  <c r="O19" i="24"/>
  <c r="I19" i="24"/>
  <c r="G19" i="24"/>
  <c r="E19" i="24"/>
  <c r="C19" i="24"/>
  <c r="AE18" i="24"/>
  <c r="O18" i="24"/>
  <c r="I18" i="24"/>
  <c r="G18" i="24"/>
  <c r="E18" i="24"/>
  <c r="C18" i="24"/>
  <c r="AE17" i="24"/>
  <c r="G17" i="24"/>
  <c r="E17" i="24"/>
  <c r="C17" i="24"/>
  <c r="AE16" i="24"/>
  <c r="G16" i="24"/>
  <c r="E16" i="24"/>
  <c r="C16" i="24"/>
  <c r="AE15" i="24"/>
  <c r="G15" i="24"/>
  <c r="E15" i="24"/>
  <c r="C15" i="24"/>
  <c r="AE14" i="24"/>
  <c r="O14" i="24"/>
  <c r="I14" i="24"/>
  <c r="G14" i="24"/>
  <c r="E14" i="24"/>
  <c r="C14" i="24"/>
  <c r="AG45" i="24" l="1"/>
  <c r="AF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N45" i="24"/>
  <c r="M45" i="24"/>
  <c r="L45" i="24"/>
  <c r="K45" i="24"/>
  <c r="J45" i="24"/>
  <c r="H45" i="24"/>
  <c r="F45" i="24"/>
  <c r="D45" i="24"/>
  <c r="AE45" i="24"/>
  <c r="O45" i="24"/>
  <c r="I45" i="24"/>
  <c r="G45" i="24"/>
  <c r="E45" i="24"/>
</calcChain>
</file>

<file path=xl/sharedStrings.xml><?xml version="1.0" encoding="utf-8"?>
<sst xmlns="http://schemas.openxmlformats.org/spreadsheetml/2006/main" count="430" uniqueCount="51">
  <si>
    <t>PHILSAGA MINING CORPORATION</t>
  </si>
  <si>
    <t>Bayugan 3, Rosario Agusan del Sur</t>
  </si>
  <si>
    <t xml:space="preserve">EXPLOSIVE DAILY CONSUMPTION </t>
  </si>
  <si>
    <t xml:space="preserve">SUPPLIER  </t>
  </si>
  <si>
    <t>MT. ROCK</t>
  </si>
  <si>
    <t>EXPEDITION</t>
  </si>
  <si>
    <t>MT ROCK</t>
  </si>
  <si>
    <t>Date</t>
  </si>
  <si>
    <t>Anfo</t>
  </si>
  <si>
    <t>DETONATORS</t>
  </si>
  <si>
    <t>DETONATING CORD</t>
  </si>
  <si>
    <t>NONEL</t>
  </si>
  <si>
    <t>SUPREME</t>
  </si>
  <si>
    <t>SHOCKSTAR</t>
  </si>
  <si>
    <t>EXEL</t>
  </si>
  <si>
    <t>OBC</t>
  </si>
  <si>
    <t>EBC</t>
  </si>
  <si>
    <t>Cordtex</t>
  </si>
  <si>
    <t>S/Fuse</t>
  </si>
  <si>
    <t>Billwire</t>
  </si>
  <si>
    <t xml:space="preserve">FUSE </t>
  </si>
  <si>
    <t>Super Power</t>
  </si>
  <si>
    <t>Senatel/Pulsar</t>
  </si>
  <si>
    <t>Magnum</t>
  </si>
  <si>
    <t>LIGHTER</t>
  </si>
  <si>
    <t>Pcs</t>
  </si>
  <si>
    <t>Kls</t>
  </si>
  <si>
    <t>Mtrs</t>
  </si>
  <si>
    <t>Total  Consumption</t>
  </si>
  <si>
    <t>Prepared by:</t>
  </si>
  <si>
    <t>Checked by:</t>
  </si>
  <si>
    <t>Noted by:</t>
  </si>
  <si>
    <t>Approved by:</t>
  </si>
  <si>
    <t>AIHREIN T. BACLAAN</t>
  </si>
  <si>
    <t>NHOLL GREAL O. LOZADA</t>
  </si>
  <si>
    <t>ENGR. RAFFY D. TORRES</t>
  </si>
  <si>
    <t>ENGR. EARL M. SON</t>
  </si>
  <si>
    <t xml:space="preserve">Mine Explosives Inventory Supervisor    </t>
  </si>
  <si>
    <t xml:space="preserve">Mine Explosives Manager     </t>
  </si>
  <si>
    <t>Mine Explosives Supervisor</t>
  </si>
  <si>
    <t>DCORD</t>
  </si>
  <si>
    <t>I5</t>
  </si>
  <si>
    <t>NEOGEL</t>
  </si>
  <si>
    <t>Mine Division Manager</t>
  </si>
  <si>
    <t>MONTH OF JANUARY 2026</t>
  </si>
  <si>
    <t>MONTH OF FEBRUARY 2026</t>
  </si>
  <si>
    <t>MONTH OF MARCH 2026</t>
  </si>
  <si>
    <t>ENGR.EDWIN B. BATAL</t>
  </si>
  <si>
    <t xml:space="preserve">Mine Explosives Asst. Manager     </t>
  </si>
  <si>
    <t>MONTH OF APRIL 2026</t>
  </si>
  <si>
    <t>MONTH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</si>
</sst>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[$-3409]dd\-mmm\-yy;@"/>
    <numFmt numFmtId="166" formatCode="#,##0.0_);\(#,##0.0\)"/>
    <numFmt numFmtId="167" formatCode="#,##0.0;\-#,##0.0"/>
    <numFmt numFmtId="168" formatCode="0.0"/>
    <numFmt numFmtId="169" formatCode="#,##0.000;\-#,##0.000"/>
  </numFmts>
  <fonts count="11" x14ac:knownFonts="1">
    <font>
      <sz val="10"/>
      <name val="Arial"/>
    </font>
    <font>
      <sz val="10"/>
      <name val="Arial"/>
      <family val="2"/>
    </font>
    <font>
      <b/>
      <sz val="16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.5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u/>
      <sz val="16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37" fontId="3" fillId="0" borderId="11" xfId="1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166" fontId="3" fillId="0" borderId="11" xfId="1" applyNumberFormat="1" applyFont="1" applyBorder="1" applyAlignment="1">
      <alignment horizontal="center" vertical="center"/>
    </xf>
    <xf numFmtId="167" fontId="3" fillId="0" borderId="11" xfId="1" applyNumberFormat="1" applyFont="1" applyBorder="1" applyAlignment="1">
      <alignment horizontal="center" vertical="center"/>
    </xf>
    <xf numFmtId="39" fontId="3" fillId="0" borderId="11" xfId="1" applyNumberFormat="1" applyFont="1" applyBorder="1" applyAlignment="1">
      <alignment horizontal="center" vertical="center"/>
    </xf>
    <xf numFmtId="0" fontId="3" fillId="0" borderId="11" xfId="1" applyNumberFormat="1" applyFont="1" applyBorder="1" applyAlignment="1">
      <alignment horizontal="center" vertical="center"/>
    </xf>
    <xf numFmtId="3" fontId="3" fillId="0" borderId="11" xfId="1" applyNumberFormat="1" applyFont="1" applyBorder="1" applyAlignment="1">
      <alignment horizontal="center" vertical="center"/>
    </xf>
    <xf numFmtId="39" fontId="3" fillId="0" borderId="19" xfId="1" applyNumberFormat="1" applyFont="1" applyBorder="1" applyAlignment="1">
      <alignment horizontal="center" vertical="center"/>
    </xf>
    <xf numFmtId="0" fontId="3" fillId="0" borderId="12" xfId="1" applyNumberFormat="1" applyFont="1" applyBorder="1" applyAlignment="1">
      <alignment horizontal="center" vertical="center"/>
    </xf>
    <xf numFmtId="37" fontId="4" fillId="0" borderId="0" xfId="0" applyNumberFormat="1" applyFont="1"/>
    <xf numFmtId="165" fontId="6" fillId="6" borderId="20" xfId="0" applyNumberFormat="1" applyFont="1" applyFill="1" applyBorder="1" applyAlignment="1">
      <alignment horizontal="left" vertical="center" wrapText="1"/>
    </xf>
    <xf numFmtId="37" fontId="6" fillId="6" borderId="21" xfId="1" applyNumberFormat="1" applyFont="1" applyFill="1" applyBorder="1" applyAlignment="1">
      <alignment horizontal="center" vertical="center"/>
    </xf>
    <xf numFmtId="39" fontId="3" fillId="0" borderId="0" xfId="0" applyNumberFormat="1" applyFont="1"/>
    <xf numFmtId="37" fontId="3" fillId="0" borderId="0" xfId="0" applyNumberFormat="1" applyFont="1"/>
    <xf numFmtId="168" fontId="3" fillId="0" borderId="0" xfId="0" applyNumberFormat="1" applyFont="1"/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left"/>
    </xf>
    <xf numFmtId="164" fontId="4" fillId="0" borderId="0" xfId="1" applyFont="1" applyBorder="1"/>
    <xf numFmtId="0" fontId="3" fillId="0" borderId="0" xfId="0" applyFont="1" applyAlignment="1">
      <alignment horizontal="center" vertical="center"/>
    </xf>
    <xf numFmtId="39" fontId="6" fillId="6" borderId="21" xfId="1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5" fontId="6" fillId="6" borderId="23" xfId="0" applyNumberFormat="1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/>
    </xf>
    <xf numFmtId="0" fontId="10" fillId="0" borderId="0" xfId="0" applyFont="1"/>
    <xf numFmtId="0" fontId="9" fillId="0" borderId="0" xfId="0" applyFont="1" applyBorder="1" applyAlignment="1"/>
    <xf numFmtId="0" fontId="9" fillId="0" borderId="0" xfId="0" applyFont="1"/>
    <xf numFmtId="0" fontId="2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>
      <alignment horizontal="left"/>
    </xf>
    <xf numFmtId="0" fontId="10" fillId="0" borderId="0" xfId="0" applyFont="1" applyBorder="1" applyAlignment="1">
      <alignment horizontal="left"/>
    </xf>
    <xf numFmtId="0" fontId="3" fillId="5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9" fontId="6" fillId="6" borderId="21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4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6" zoomScaleNormal="100" workbookViewId="0">
      <selection activeCell="P45" sqref="P45"/>
    </sheetView>
  </sheetViews>
  <sheetFormatPr defaultColWidth="11.28515625" defaultRowHeight="15" x14ac:dyDescent="0.25"/>
  <cols>
    <col min="1" max="1" width="21" style="2" customWidth="1"/>
    <col min="2" max="3" width="21" style="2" hidden="1" customWidth="1"/>
    <col min="4" max="4" width="8.42578125" style="2" customWidth="1"/>
    <col min="5" max="5" width="9" style="2" customWidth="1"/>
    <col min="6" max="6" width="8.42578125" style="2" bestFit="1" customWidth="1"/>
    <col min="7" max="7" width="9.5703125" style="2" customWidth="1"/>
    <col min="8" max="15" width="5" style="2" hidden="1" customWidth="1"/>
    <col min="16" max="16" width="14" style="2" customWidth="1"/>
    <col min="17" max="17" width="7.7109375" style="2" hidden="1" customWidth="1"/>
    <col min="18" max="18" width="7.28515625" style="2" hidden="1" customWidth="1"/>
    <col min="19" max="19" width="7.42578125" style="2" customWidth="1"/>
    <col min="20" max="20" width="7.5703125" style="2" customWidth="1"/>
    <col min="21" max="21" width="14.7109375" style="2" hidden="1" customWidth="1"/>
    <col min="22" max="22" width="8.85546875" style="2" customWidth="1"/>
    <col min="23" max="24" width="8.5703125" style="2" customWidth="1"/>
    <col min="25" max="25" width="8.85546875" style="2" customWidth="1"/>
    <col min="26" max="26" width="6.7109375" style="2" bestFit="1" customWidth="1"/>
    <col min="27" max="27" width="10.5703125" style="2" customWidth="1"/>
    <col min="28" max="28" width="10.42578125" style="2" bestFit="1" customWidth="1"/>
    <col min="29" max="29" width="8.28515625" style="2" customWidth="1"/>
    <col min="30" max="30" width="8.7109375" style="2" bestFit="1" customWidth="1"/>
    <col min="31" max="31" width="14.7109375" style="2" bestFit="1" customWidth="1"/>
    <col min="32" max="32" width="10.7109375" style="2" customWidth="1"/>
    <col min="33" max="33" width="14.7109375" style="2" bestFit="1" customWidth="1"/>
    <col min="34" max="34" width="12" style="2" bestFit="1" customWidth="1"/>
    <col min="35" max="16384" width="11.28515625" style="2"/>
  </cols>
  <sheetData>
    <row r="1" spans="1:33" s="1" customFormat="1" ht="20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 spans="1:33" ht="20.25" x14ac:dyDescent="0.3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</row>
    <row r="3" spans="1:33" s="1" customFormat="1" ht="12.75" customHeight="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3"/>
    </row>
    <row r="4" spans="1:33" s="4" customFormat="1" ht="24.75" customHeight="1" x14ac:dyDescent="0.2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3" s="5" customFormat="1" ht="21.75" customHeight="1" x14ac:dyDescent="0.2">
      <c r="A5" s="98" t="s">
        <v>44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</row>
    <row r="6" spans="1:33" s="5" customFormat="1" ht="7.5" customHeight="1" thickBot="1" x14ac:dyDescent="0.25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</row>
    <row r="7" spans="1:33" s="1" customFormat="1" ht="14.25" x14ac:dyDescent="0.2">
      <c r="A7" s="99" t="s">
        <v>3</v>
      </c>
      <c r="B7" s="55"/>
      <c r="C7" s="55"/>
      <c r="D7" s="101"/>
      <c r="E7" s="102"/>
      <c r="F7" s="105" t="s">
        <v>5</v>
      </c>
      <c r="G7" s="101"/>
      <c r="H7" s="101"/>
      <c r="I7" s="101"/>
      <c r="J7" s="101"/>
      <c r="K7" s="101"/>
      <c r="L7" s="101"/>
      <c r="M7" s="101"/>
      <c r="N7" s="101"/>
      <c r="O7" s="102"/>
      <c r="P7" s="57" t="s">
        <v>6</v>
      </c>
      <c r="Q7" s="105" t="s">
        <v>4</v>
      </c>
      <c r="R7" s="101"/>
      <c r="S7" s="101"/>
      <c r="T7" s="101"/>
      <c r="U7" s="102"/>
      <c r="V7" s="107" t="s">
        <v>5</v>
      </c>
      <c r="W7" s="107"/>
      <c r="X7" s="57"/>
      <c r="Y7" s="107" t="s">
        <v>6</v>
      </c>
      <c r="Z7" s="107"/>
      <c r="AA7" s="109" t="s">
        <v>5</v>
      </c>
      <c r="AB7" s="107" t="s">
        <v>4</v>
      </c>
      <c r="AC7" s="107"/>
      <c r="AD7" s="107"/>
      <c r="AE7" s="57" t="s">
        <v>6</v>
      </c>
      <c r="AF7" s="107" t="s">
        <v>6</v>
      </c>
      <c r="AG7" s="124" t="s">
        <v>5</v>
      </c>
    </row>
    <row r="8" spans="1:33" s="1" customFormat="1" ht="14.25" x14ac:dyDescent="0.2">
      <c r="A8" s="100"/>
      <c r="B8" s="56"/>
      <c r="C8" s="56"/>
      <c r="D8" s="103"/>
      <c r="E8" s="104"/>
      <c r="F8" s="106"/>
      <c r="G8" s="103"/>
      <c r="H8" s="103"/>
      <c r="I8" s="103"/>
      <c r="J8" s="103"/>
      <c r="K8" s="103"/>
      <c r="L8" s="103"/>
      <c r="M8" s="103"/>
      <c r="N8" s="103"/>
      <c r="O8" s="104"/>
      <c r="P8" s="50" t="s">
        <v>5</v>
      </c>
      <c r="Q8" s="106"/>
      <c r="R8" s="103"/>
      <c r="S8" s="103"/>
      <c r="T8" s="103"/>
      <c r="U8" s="104"/>
      <c r="V8" s="108"/>
      <c r="W8" s="108"/>
      <c r="X8" s="50"/>
      <c r="Y8" s="108" t="s">
        <v>5</v>
      </c>
      <c r="Z8" s="108"/>
      <c r="AA8" s="110"/>
      <c r="AB8" s="108"/>
      <c r="AC8" s="108"/>
      <c r="AD8" s="108"/>
      <c r="AE8" s="50" t="s">
        <v>5</v>
      </c>
      <c r="AF8" s="108"/>
      <c r="AG8" s="125"/>
    </row>
    <row r="9" spans="1:33" s="4" customFormat="1" ht="17.25" customHeight="1" x14ac:dyDescent="0.2">
      <c r="A9" s="111" t="s">
        <v>7</v>
      </c>
      <c r="B9" s="37"/>
      <c r="C9" s="37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4"/>
      <c r="P9" s="115" t="s">
        <v>8</v>
      </c>
      <c r="Q9" s="116" t="s">
        <v>9</v>
      </c>
      <c r="R9" s="116"/>
      <c r="S9" s="116"/>
      <c r="T9" s="116"/>
      <c r="U9" s="116"/>
      <c r="V9" s="116"/>
      <c r="W9" s="116"/>
      <c r="X9" s="116"/>
      <c r="Y9" s="116"/>
      <c r="Z9" s="116"/>
      <c r="AA9" s="117" t="s">
        <v>10</v>
      </c>
      <c r="AB9" s="117"/>
      <c r="AC9" s="117"/>
      <c r="AD9" s="117"/>
      <c r="AE9" s="6"/>
      <c r="AF9" s="6"/>
      <c r="AG9" s="7"/>
    </row>
    <row r="10" spans="1:33" s="4" customFormat="1" ht="17.25" x14ac:dyDescent="0.2">
      <c r="A10" s="111"/>
      <c r="B10" s="38"/>
      <c r="C10" s="38"/>
      <c r="D10" s="118">
        <v>200</v>
      </c>
      <c r="E10" s="118"/>
      <c r="F10" s="119">
        <v>215</v>
      </c>
      <c r="G10" s="120"/>
      <c r="H10" s="118">
        <v>135</v>
      </c>
      <c r="I10" s="118"/>
      <c r="J10" s="118">
        <v>150</v>
      </c>
      <c r="K10" s="118"/>
      <c r="L10" s="118">
        <v>150</v>
      </c>
      <c r="M10" s="118"/>
      <c r="N10" s="119">
        <v>38</v>
      </c>
      <c r="O10" s="120"/>
      <c r="P10" s="115"/>
      <c r="Q10" s="118" t="s">
        <v>11</v>
      </c>
      <c r="R10" s="118"/>
      <c r="S10" s="118" t="s">
        <v>12</v>
      </c>
      <c r="T10" s="118"/>
      <c r="U10" s="52" t="s">
        <v>13</v>
      </c>
      <c r="V10" s="119" t="s">
        <v>14</v>
      </c>
      <c r="W10" s="126"/>
      <c r="X10" s="120"/>
      <c r="Y10" s="51" t="s">
        <v>15</v>
      </c>
      <c r="Z10" s="51" t="s">
        <v>16</v>
      </c>
      <c r="AA10" s="51" t="s">
        <v>17</v>
      </c>
      <c r="AB10" s="51" t="s">
        <v>17</v>
      </c>
      <c r="AC10" s="51" t="s">
        <v>40</v>
      </c>
      <c r="AD10" s="51" t="s">
        <v>17</v>
      </c>
      <c r="AE10" s="51" t="s">
        <v>18</v>
      </c>
      <c r="AF10" s="51" t="s">
        <v>19</v>
      </c>
      <c r="AG10" s="8" t="s">
        <v>20</v>
      </c>
    </row>
    <row r="11" spans="1:33" s="4" customFormat="1" ht="17.25" x14ac:dyDescent="0.2">
      <c r="A11" s="111"/>
      <c r="B11" s="38"/>
      <c r="C11" s="38"/>
      <c r="D11" s="118" t="s">
        <v>42</v>
      </c>
      <c r="E11" s="118"/>
      <c r="F11" s="119" t="s">
        <v>22</v>
      </c>
      <c r="G11" s="120"/>
      <c r="H11" s="118" t="s">
        <v>22</v>
      </c>
      <c r="I11" s="118"/>
      <c r="J11" s="118" t="s">
        <v>21</v>
      </c>
      <c r="K11" s="118"/>
      <c r="L11" s="118" t="s">
        <v>23</v>
      </c>
      <c r="M11" s="118"/>
      <c r="N11" s="119" t="s">
        <v>22</v>
      </c>
      <c r="O11" s="120"/>
      <c r="P11" s="115"/>
      <c r="Q11" s="51">
        <v>2.4</v>
      </c>
      <c r="R11" s="51">
        <v>3.6</v>
      </c>
      <c r="S11" s="51">
        <v>2.4</v>
      </c>
      <c r="T11" s="51">
        <v>3.6</v>
      </c>
      <c r="U11" s="51">
        <v>2.4</v>
      </c>
      <c r="V11" s="51">
        <v>3.6</v>
      </c>
      <c r="W11" s="51">
        <v>2.4</v>
      </c>
      <c r="X11" s="51">
        <v>4.9000000000000004</v>
      </c>
      <c r="Y11" s="51"/>
      <c r="Z11" s="51"/>
      <c r="AA11" s="51">
        <v>5</v>
      </c>
      <c r="AB11" s="51">
        <v>10</v>
      </c>
      <c r="AC11" s="51" t="s">
        <v>41</v>
      </c>
      <c r="AD11" s="51">
        <v>40</v>
      </c>
      <c r="AE11" s="51"/>
      <c r="AF11" s="51"/>
      <c r="AG11" s="8" t="s">
        <v>24</v>
      </c>
    </row>
    <row r="12" spans="1:33" s="4" customFormat="1" ht="17.25" x14ac:dyDescent="0.2">
      <c r="A12" s="111"/>
      <c r="B12" s="38"/>
      <c r="C12" s="38"/>
      <c r="D12" s="121">
        <v>35245</v>
      </c>
      <c r="E12" s="121"/>
      <c r="F12" s="122">
        <v>11082</v>
      </c>
      <c r="G12" s="123"/>
      <c r="H12" s="121">
        <v>21810</v>
      </c>
      <c r="I12" s="121"/>
      <c r="J12" s="121">
        <v>17362</v>
      </c>
      <c r="K12" s="121"/>
      <c r="L12" s="121">
        <v>18389</v>
      </c>
      <c r="M12" s="121"/>
      <c r="N12" s="122">
        <v>21811</v>
      </c>
      <c r="O12" s="123"/>
      <c r="P12" s="49">
        <v>10128</v>
      </c>
      <c r="Q12" s="49">
        <v>10962</v>
      </c>
      <c r="R12" s="49">
        <v>15427</v>
      </c>
      <c r="S12" s="49">
        <v>16623</v>
      </c>
      <c r="T12" s="49">
        <v>16967</v>
      </c>
      <c r="U12" s="49">
        <v>28230</v>
      </c>
      <c r="V12" s="49">
        <v>10966</v>
      </c>
      <c r="W12" s="49">
        <v>10965</v>
      </c>
      <c r="X12" s="49">
        <v>21809</v>
      </c>
      <c r="Y12" s="49">
        <v>11966</v>
      </c>
      <c r="Z12" s="49">
        <v>11089</v>
      </c>
      <c r="AA12" s="49">
        <v>10960</v>
      </c>
      <c r="AB12" s="49">
        <v>10961</v>
      </c>
      <c r="AC12" s="49">
        <v>33442</v>
      </c>
      <c r="AD12" s="49">
        <v>10959</v>
      </c>
      <c r="AE12" s="49">
        <v>12487</v>
      </c>
      <c r="AF12" s="49">
        <v>16823</v>
      </c>
      <c r="AG12" s="9">
        <v>11342</v>
      </c>
    </row>
    <row r="13" spans="1:33" s="4" customFormat="1" ht="17.25" x14ac:dyDescent="0.2">
      <c r="A13" s="112"/>
      <c r="B13" s="39"/>
      <c r="C13" s="39"/>
      <c r="D13" s="10" t="s">
        <v>25</v>
      </c>
      <c r="E13" s="10" t="s">
        <v>26</v>
      </c>
      <c r="F13" s="10" t="s">
        <v>25</v>
      </c>
      <c r="G13" s="10" t="s">
        <v>26</v>
      </c>
      <c r="H13" s="10" t="s">
        <v>25</v>
      </c>
      <c r="I13" s="10" t="s">
        <v>26</v>
      </c>
      <c r="J13" s="10" t="s">
        <v>25</v>
      </c>
      <c r="K13" s="10" t="s">
        <v>26</v>
      </c>
      <c r="L13" s="10" t="s">
        <v>25</v>
      </c>
      <c r="M13" s="10" t="s">
        <v>26</v>
      </c>
      <c r="N13" s="10" t="s">
        <v>25</v>
      </c>
      <c r="O13" s="10" t="s">
        <v>26</v>
      </c>
      <c r="P13" s="10" t="s">
        <v>26</v>
      </c>
      <c r="Q13" s="10" t="s">
        <v>25</v>
      </c>
      <c r="R13" s="10" t="s">
        <v>25</v>
      </c>
      <c r="S13" s="10" t="s">
        <v>25</v>
      </c>
      <c r="T13" s="10" t="s">
        <v>25</v>
      </c>
      <c r="U13" s="10" t="s">
        <v>25</v>
      </c>
      <c r="V13" s="10" t="s">
        <v>25</v>
      </c>
      <c r="W13" s="10" t="s">
        <v>25</v>
      </c>
      <c r="X13" s="10" t="s">
        <v>25</v>
      </c>
      <c r="Y13" s="10" t="s">
        <v>25</v>
      </c>
      <c r="Z13" s="10" t="s">
        <v>25</v>
      </c>
      <c r="AA13" s="10" t="s">
        <v>27</v>
      </c>
      <c r="AB13" s="10" t="s">
        <v>27</v>
      </c>
      <c r="AC13" s="10" t="s">
        <v>27</v>
      </c>
      <c r="AD13" s="10" t="s">
        <v>27</v>
      </c>
      <c r="AE13" s="11" t="s">
        <v>27</v>
      </c>
      <c r="AF13" s="10" t="s">
        <v>27</v>
      </c>
      <c r="AG13" s="12" t="s">
        <v>25</v>
      </c>
    </row>
    <row r="14" spans="1:33" ht="20.100000000000001" customHeight="1" x14ac:dyDescent="0.25">
      <c r="A14" s="13">
        <v>46023</v>
      </c>
      <c r="B14" s="14"/>
      <c r="C14" s="15">
        <f>B14/200*25</f>
        <v>0</v>
      </c>
      <c r="D14" s="14"/>
      <c r="E14" s="16">
        <f t="shared" ref="E14:E16" si="0">D14/200*25</f>
        <v>0</v>
      </c>
      <c r="F14" s="14"/>
      <c r="G14" s="17">
        <f t="shared" ref="G14:G44" si="1">F14/215*25</f>
        <v>0</v>
      </c>
      <c r="H14" s="14"/>
      <c r="I14" s="18">
        <f t="shared" ref="I14" si="2">H14/135*25</f>
        <v>0</v>
      </c>
      <c r="J14" s="14"/>
      <c r="K14" s="14"/>
      <c r="L14" s="14"/>
      <c r="M14" s="14"/>
      <c r="N14" s="14"/>
      <c r="O14" s="18">
        <f t="shared" ref="O14" si="3">N14/38*25</f>
        <v>0</v>
      </c>
      <c r="P14" s="18"/>
      <c r="Q14" s="19"/>
      <c r="R14" s="19"/>
      <c r="S14" s="19"/>
      <c r="T14" s="19"/>
      <c r="U14" s="19"/>
      <c r="V14" s="19"/>
      <c r="W14" s="20"/>
      <c r="X14" s="20"/>
      <c r="Y14" s="19"/>
      <c r="Z14" s="19"/>
      <c r="AA14" s="19"/>
      <c r="AB14" s="19"/>
      <c r="AC14" s="19"/>
      <c r="AD14" s="19"/>
      <c r="AE14" s="21">
        <f t="shared" ref="AE14:AE16" si="4">Y14*2.43</f>
        <v>0</v>
      </c>
      <c r="AF14" s="19"/>
      <c r="AG14" s="22"/>
    </row>
    <row r="15" spans="1:33" ht="20.100000000000001" customHeight="1" x14ac:dyDescent="0.25">
      <c r="A15" s="13">
        <v>46024</v>
      </c>
      <c r="B15" s="14"/>
      <c r="C15" s="15">
        <f t="shared" ref="C15:C20" si="5">B15/200*25</f>
        <v>0</v>
      </c>
      <c r="D15" s="14"/>
      <c r="E15" s="16">
        <f t="shared" si="0"/>
        <v>0</v>
      </c>
      <c r="F15" s="14"/>
      <c r="G15" s="17">
        <f t="shared" si="1"/>
        <v>0</v>
      </c>
      <c r="H15" s="14"/>
      <c r="I15" s="18"/>
      <c r="J15" s="14"/>
      <c r="K15" s="14"/>
      <c r="L15" s="14"/>
      <c r="M15" s="14"/>
      <c r="N15" s="14"/>
      <c r="O15" s="18">
        <v>0</v>
      </c>
      <c r="P15" s="18"/>
      <c r="Q15" s="19"/>
      <c r="R15" s="19"/>
      <c r="S15" s="20"/>
      <c r="T15" s="19"/>
      <c r="U15" s="19"/>
      <c r="V15" s="19"/>
      <c r="W15" s="20"/>
      <c r="X15" s="20"/>
      <c r="Y15" s="19"/>
      <c r="Z15" s="19"/>
      <c r="AA15" s="19"/>
      <c r="AB15" s="19"/>
      <c r="AC15" s="19"/>
      <c r="AD15" s="19"/>
      <c r="AE15" s="21">
        <f t="shared" si="4"/>
        <v>0</v>
      </c>
      <c r="AF15" s="19"/>
      <c r="AG15" s="22"/>
    </row>
    <row r="16" spans="1:33" ht="20.100000000000001" customHeight="1" x14ac:dyDescent="0.25">
      <c r="A16" s="13">
        <v>46025</v>
      </c>
      <c r="B16" s="14"/>
      <c r="C16" s="15">
        <f t="shared" si="5"/>
        <v>0</v>
      </c>
      <c r="D16" s="14">
        <v>586</v>
      </c>
      <c r="E16" s="16">
        <f t="shared" si="0"/>
        <v>73.25</v>
      </c>
      <c r="F16" s="14">
        <v>1121</v>
      </c>
      <c r="G16" s="17">
        <f t="shared" si="1"/>
        <v>130.34883720930233</v>
      </c>
      <c r="H16" s="14"/>
      <c r="I16" s="18"/>
      <c r="J16" s="14"/>
      <c r="K16" s="14"/>
      <c r="L16" s="14"/>
      <c r="M16" s="14"/>
      <c r="N16" s="14"/>
      <c r="O16" s="18">
        <v>0</v>
      </c>
      <c r="P16" s="18">
        <v>642.70000000000005</v>
      </c>
      <c r="Q16" s="19"/>
      <c r="R16" s="19"/>
      <c r="S16" s="20"/>
      <c r="T16" s="19"/>
      <c r="U16" s="19"/>
      <c r="V16" s="19">
        <v>48</v>
      </c>
      <c r="W16" s="20">
        <v>871</v>
      </c>
      <c r="X16" s="20"/>
      <c r="Y16" s="19">
        <v>125</v>
      </c>
      <c r="Z16" s="19"/>
      <c r="AA16" s="19">
        <v>416</v>
      </c>
      <c r="AB16" s="19"/>
      <c r="AC16" s="19">
        <v>30</v>
      </c>
      <c r="AD16" s="19"/>
      <c r="AE16" s="21">
        <f t="shared" si="4"/>
        <v>303.75</v>
      </c>
      <c r="AF16" s="19">
        <v>150</v>
      </c>
      <c r="AG16" s="22"/>
    </row>
    <row r="17" spans="1:34" ht="20.100000000000001" customHeight="1" x14ac:dyDescent="0.25">
      <c r="A17" s="13">
        <v>46026</v>
      </c>
      <c r="B17" s="14"/>
      <c r="C17" s="15">
        <f t="shared" si="5"/>
        <v>0</v>
      </c>
      <c r="D17" s="14">
        <v>991</v>
      </c>
      <c r="E17" s="16">
        <f>D17/200*25</f>
        <v>123.875</v>
      </c>
      <c r="F17" s="14">
        <v>1421</v>
      </c>
      <c r="G17" s="17">
        <f t="shared" si="1"/>
        <v>165.23255813953489</v>
      </c>
      <c r="H17" s="14"/>
      <c r="I17" s="18"/>
      <c r="J17" s="14"/>
      <c r="K17" s="14"/>
      <c r="L17" s="14"/>
      <c r="M17" s="14"/>
      <c r="N17" s="14"/>
      <c r="O17" s="18">
        <v>0</v>
      </c>
      <c r="P17" s="18">
        <v>925.4</v>
      </c>
      <c r="Q17" s="19"/>
      <c r="R17" s="19"/>
      <c r="S17" s="19"/>
      <c r="T17" s="19"/>
      <c r="U17" s="19"/>
      <c r="V17" s="19">
        <v>39</v>
      </c>
      <c r="W17" s="20">
        <v>1275</v>
      </c>
      <c r="X17" s="20"/>
      <c r="Y17" s="19">
        <v>175</v>
      </c>
      <c r="Z17" s="19"/>
      <c r="AA17" s="19">
        <v>615</v>
      </c>
      <c r="AB17" s="19"/>
      <c r="AC17" s="19">
        <v>24</v>
      </c>
      <c r="AD17" s="19"/>
      <c r="AE17" s="21">
        <f>Y17*2.43</f>
        <v>425.25</v>
      </c>
      <c r="AF17" s="19"/>
      <c r="AG17" s="22"/>
      <c r="AH17" s="23"/>
    </row>
    <row r="18" spans="1:34" ht="20.100000000000001" customHeight="1" x14ac:dyDescent="0.25">
      <c r="A18" s="13">
        <v>46027</v>
      </c>
      <c r="B18" s="14"/>
      <c r="C18" s="15">
        <f t="shared" si="5"/>
        <v>0</v>
      </c>
      <c r="D18" s="14">
        <v>830</v>
      </c>
      <c r="E18" s="16">
        <f t="shared" ref="E18:E23" si="6">D18/200*25</f>
        <v>103.75000000000001</v>
      </c>
      <c r="F18" s="14">
        <v>2135</v>
      </c>
      <c r="G18" s="17">
        <f t="shared" si="1"/>
        <v>248.25581395348837</v>
      </c>
      <c r="H18" s="14"/>
      <c r="I18" s="18">
        <f t="shared" ref="I18:I21" si="7">H18/135*25</f>
        <v>0</v>
      </c>
      <c r="J18" s="14"/>
      <c r="K18" s="14">
        <v>0</v>
      </c>
      <c r="L18" s="14"/>
      <c r="M18" s="14">
        <v>0</v>
      </c>
      <c r="N18" s="14"/>
      <c r="O18" s="18">
        <f>N18/38*25</f>
        <v>0</v>
      </c>
      <c r="P18" s="17">
        <v>935.8</v>
      </c>
      <c r="Q18" s="19"/>
      <c r="R18" s="19"/>
      <c r="S18" s="20"/>
      <c r="T18" s="19"/>
      <c r="U18" s="19"/>
      <c r="V18" s="19">
        <v>76</v>
      </c>
      <c r="W18" s="20">
        <v>1381</v>
      </c>
      <c r="X18" s="20"/>
      <c r="Y18" s="19">
        <v>231</v>
      </c>
      <c r="Z18" s="19"/>
      <c r="AA18" s="19">
        <v>611</v>
      </c>
      <c r="AB18" s="19"/>
      <c r="AC18" s="19">
        <v>55</v>
      </c>
      <c r="AD18" s="19"/>
      <c r="AE18" s="21">
        <f t="shared" ref="AE18:AE23" si="8">Y18*2.43</f>
        <v>561.33000000000004</v>
      </c>
      <c r="AF18" s="19"/>
      <c r="AG18" s="22"/>
      <c r="AH18" s="23"/>
    </row>
    <row r="19" spans="1:34" ht="20.100000000000001" customHeight="1" x14ac:dyDescent="0.25">
      <c r="A19" s="13">
        <v>46028</v>
      </c>
      <c r="B19" s="14"/>
      <c r="C19" s="15">
        <f t="shared" si="5"/>
        <v>0</v>
      </c>
      <c r="D19" s="14">
        <v>1151</v>
      </c>
      <c r="E19" s="16">
        <f t="shared" si="6"/>
        <v>143.875</v>
      </c>
      <c r="F19" s="14">
        <v>2195</v>
      </c>
      <c r="G19" s="17">
        <f t="shared" si="1"/>
        <v>255.23255813953489</v>
      </c>
      <c r="H19" s="14"/>
      <c r="I19" s="18">
        <f t="shared" si="7"/>
        <v>0</v>
      </c>
      <c r="J19" s="14"/>
      <c r="K19" s="14"/>
      <c r="L19" s="14"/>
      <c r="M19" s="14"/>
      <c r="N19" s="14"/>
      <c r="O19" s="18">
        <f t="shared" ref="O19:O21" si="9">N19/38*25</f>
        <v>0</v>
      </c>
      <c r="P19" s="18">
        <v>1117.8</v>
      </c>
      <c r="Q19" s="19"/>
      <c r="R19" s="19"/>
      <c r="S19" s="19"/>
      <c r="T19" s="19"/>
      <c r="U19" s="19"/>
      <c r="V19" s="19">
        <v>138</v>
      </c>
      <c r="W19" s="20">
        <v>1531</v>
      </c>
      <c r="X19" s="20"/>
      <c r="Y19" s="19">
        <v>193</v>
      </c>
      <c r="Z19" s="19">
        <v>2</v>
      </c>
      <c r="AA19" s="19">
        <v>740</v>
      </c>
      <c r="AB19" s="19"/>
      <c r="AC19" s="19">
        <v>73</v>
      </c>
      <c r="AD19" s="19"/>
      <c r="AE19" s="21">
        <f t="shared" si="8"/>
        <v>468.99</v>
      </c>
      <c r="AF19" s="19"/>
      <c r="AG19" s="22"/>
    </row>
    <row r="20" spans="1:34" ht="20.100000000000001" customHeight="1" x14ac:dyDescent="0.25">
      <c r="A20" s="13">
        <v>46029</v>
      </c>
      <c r="B20" s="14"/>
      <c r="C20" s="15">
        <f t="shared" si="5"/>
        <v>0</v>
      </c>
      <c r="D20" s="14">
        <v>1156</v>
      </c>
      <c r="E20" s="16">
        <f t="shared" si="6"/>
        <v>144.5</v>
      </c>
      <c r="F20" s="14">
        <v>2307</v>
      </c>
      <c r="G20" s="17">
        <f t="shared" si="1"/>
        <v>268.25581395348837</v>
      </c>
      <c r="H20" s="14"/>
      <c r="I20" s="18">
        <f t="shared" si="7"/>
        <v>0</v>
      </c>
      <c r="J20" s="14"/>
      <c r="K20" s="14"/>
      <c r="L20" s="14"/>
      <c r="M20" s="14"/>
      <c r="N20" s="14"/>
      <c r="O20" s="18">
        <f t="shared" si="9"/>
        <v>0</v>
      </c>
      <c r="P20" s="18">
        <v>1157.5999999999999</v>
      </c>
      <c r="Q20" s="19"/>
      <c r="R20" s="19"/>
      <c r="S20" s="19"/>
      <c r="T20" s="19"/>
      <c r="U20" s="19"/>
      <c r="V20" s="35">
        <v>117</v>
      </c>
      <c r="W20" s="20">
        <v>1557</v>
      </c>
      <c r="X20" s="20"/>
      <c r="Y20" s="19">
        <v>210</v>
      </c>
      <c r="Z20" s="19">
        <v>2</v>
      </c>
      <c r="AA20" s="19">
        <v>701</v>
      </c>
      <c r="AB20" s="19"/>
      <c r="AC20" s="19">
        <v>111</v>
      </c>
      <c r="AD20" s="19"/>
      <c r="AE20" s="21">
        <f t="shared" si="8"/>
        <v>510.3</v>
      </c>
      <c r="AF20" s="19"/>
      <c r="AG20" s="22"/>
      <c r="AH20" s="23"/>
    </row>
    <row r="21" spans="1:34" ht="20.100000000000001" customHeight="1" x14ac:dyDescent="0.25">
      <c r="A21" s="13">
        <v>46030</v>
      </c>
      <c r="B21" s="14"/>
      <c r="C21" s="15">
        <f>B21/200*25</f>
        <v>0</v>
      </c>
      <c r="D21" s="14">
        <v>1416</v>
      </c>
      <c r="E21" s="16">
        <f t="shared" si="6"/>
        <v>177</v>
      </c>
      <c r="F21" s="14">
        <v>2757</v>
      </c>
      <c r="G21" s="17">
        <f t="shared" si="1"/>
        <v>320.58139534883725</v>
      </c>
      <c r="H21" s="14"/>
      <c r="I21" s="18">
        <f t="shared" si="7"/>
        <v>0</v>
      </c>
      <c r="J21" s="14"/>
      <c r="K21" s="14"/>
      <c r="L21" s="14"/>
      <c r="M21" s="14"/>
      <c r="N21" s="14"/>
      <c r="O21" s="18">
        <f t="shared" si="9"/>
        <v>0</v>
      </c>
      <c r="P21" s="18">
        <v>1270.2</v>
      </c>
      <c r="Q21" s="19"/>
      <c r="R21" s="19"/>
      <c r="S21" s="19"/>
      <c r="T21" s="19"/>
      <c r="U21" s="19"/>
      <c r="V21" s="19">
        <v>109</v>
      </c>
      <c r="W21" s="20">
        <v>1812</v>
      </c>
      <c r="X21" s="20"/>
      <c r="Y21" s="19">
        <v>210</v>
      </c>
      <c r="Z21" s="19">
        <v>6</v>
      </c>
      <c r="AA21" s="19">
        <v>852</v>
      </c>
      <c r="AB21" s="19"/>
      <c r="AC21" s="19">
        <v>58</v>
      </c>
      <c r="AD21" s="19"/>
      <c r="AE21" s="21">
        <f t="shared" si="8"/>
        <v>510.3</v>
      </c>
      <c r="AF21" s="19"/>
      <c r="AG21" s="22"/>
    </row>
    <row r="22" spans="1:34" ht="20.100000000000001" customHeight="1" x14ac:dyDescent="0.25">
      <c r="A22" s="13">
        <v>46031</v>
      </c>
      <c r="B22" s="14"/>
      <c r="C22" s="15">
        <f t="shared" ref="C22:C27" si="10">B22/200*25</f>
        <v>0</v>
      </c>
      <c r="D22" s="14">
        <v>1458</v>
      </c>
      <c r="E22" s="16">
        <f t="shared" si="6"/>
        <v>182.25</v>
      </c>
      <c r="F22" s="14">
        <v>1975</v>
      </c>
      <c r="G22" s="17">
        <f t="shared" si="1"/>
        <v>229.6511627906977</v>
      </c>
      <c r="H22" s="14"/>
      <c r="I22" s="18"/>
      <c r="J22" s="14"/>
      <c r="K22" s="14"/>
      <c r="L22" s="14"/>
      <c r="M22" s="14"/>
      <c r="N22" s="14"/>
      <c r="O22" s="18">
        <v>0</v>
      </c>
      <c r="P22" s="18">
        <v>1093.5999999999999</v>
      </c>
      <c r="Q22" s="19"/>
      <c r="R22" s="19"/>
      <c r="S22" s="20"/>
      <c r="T22" s="19"/>
      <c r="U22" s="19"/>
      <c r="V22" s="19">
        <v>64</v>
      </c>
      <c r="W22" s="20">
        <v>1571</v>
      </c>
      <c r="X22" s="20"/>
      <c r="Y22" s="19">
        <v>213</v>
      </c>
      <c r="Z22" s="19">
        <v>2</v>
      </c>
      <c r="AA22" s="19">
        <v>757</v>
      </c>
      <c r="AB22" s="19"/>
      <c r="AC22" s="19">
        <v>60</v>
      </c>
      <c r="AD22" s="19"/>
      <c r="AE22" s="21">
        <f t="shared" si="8"/>
        <v>517.59</v>
      </c>
      <c r="AF22" s="19"/>
      <c r="AG22" s="22"/>
    </row>
    <row r="23" spans="1:34" ht="20.100000000000001" customHeight="1" x14ac:dyDescent="0.25">
      <c r="A23" s="13">
        <v>46032</v>
      </c>
      <c r="B23" s="14"/>
      <c r="C23" s="15">
        <f t="shared" si="10"/>
        <v>0</v>
      </c>
      <c r="D23" s="14">
        <v>905</v>
      </c>
      <c r="E23" s="16">
        <f t="shared" si="6"/>
        <v>113.12500000000001</v>
      </c>
      <c r="F23" s="14">
        <v>2195</v>
      </c>
      <c r="G23" s="17">
        <f t="shared" si="1"/>
        <v>255.23255813953489</v>
      </c>
      <c r="H23" s="14"/>
      <c r="I23" s="18"/>
      <c r="J23" s="14"/>
      <c r="K23" s="14"/>
      <c r="L23" s="14"/>
      <c r="M23" s="14"/>
      <c r="N23" s="14"/>
      <c r="O23" s="18">
        <v>0</v>
      </c>
      <c r="P23" s="18">
        <v>1166.5999999999999</v>
      </c>
      <c r="Q23" s="19"/>
      <c r="R23" s="19"/>
      <c r="S23" s="20"/>
      <c r="T23" s="19"/>
      <c r="U23" s="19"/>
      <c r="V23" s="19">
        <v>62</v>
      </c>
      <c r="W23" s="20">
        <v>1534</v>
      </c>
      <c r="X23" s="20"/>
      <c r="Y23" s="19">
        <v>185</v>
      </c>
      <c r="Z23" s="19">
        <v>6</v>
      </c>
      <c r="AA23" s="19">
        <v>697</v>
      </c>
      <c r="AB23" s="19"/>
      <c r="AC23" s="19">
        <v>81</v>
      </c>
      <c r="AD23" s="19"/>
      <c r="AE23" s="21">
        <f t="shared" si="8"/>
        <v>449.55</v>
      </c>
      <c r="AF23" s="19"/>
      <c r="AG23" s="22"/>
    </row>
    <row r="24" spans="1:34" ht="20.100000000000001" customHeight="1" x14ac:dyDescent="0.25">
      <c r="A24" s="13">
        <v>46033</v>
      </c>
      <c r="B24" s="14"/>
      <c r="C24" s="15">
        <f t="shared" si="10"/>
        <v>0</v>
      </c>
      <c r="D24" s="14">
        <v>927</v>
      </c>
      <c r="E24" s="16">
        <f>D24/200*25</f>
        <v>115.875</v>
      </c>
      <c r="F24" s="14">
        <v>1868</v>
      </c>
      <c r="G24" s="17">
        <f t="shared" si="1"/>
        <v>217.2093023255814</v>
      </c>
      <c r="H24" s="14"/>
      <c r="I24" s="18"/>
      <c r="J24" s="14"/>
      <c r="K24" s="14"/>
      <c r="L24" s="14"/>
      <c r="M24" s="14"/>
      <c r="N24" s="14"/>
      <c r="O24" s="18">
        <v>0</v>
      </c>
      <c r="P24" s="18">
        <v>890.60000000000014</v>
      </c>
      <c r="Q24" s="19"/>
      <c r="R24" s="19"/>
      <c r="S24" s="19"/>
      <c r="T24" s="19"/>
      <c r="U24" s="19"/>
      <c r="V24" s="19">
        <v>61</v>
      </c>
      <c r="W24" s="20">
        <v>1291</v>
      </c>
      <c r="X24" s="20"/>
      <c r="Y24" s="19">
        <v>154</v>
      </c>
      <c r="Z24" s="19">
        <v>2</v>
      </c>
      <c r="AA24" s="19">
        <v>603</v>
      </c>
      <c r="AB24" s="19"/>
      <c r="AC24" s="19">
        <v>70</v>
      </c>
      <c r="AD24" s="19"/>
      <c r="AE24" s="21">
        <f>Y24*2.43</f>
        <v>374.22</v>
      </c>
      <c r="AF24" s="19"/>
      <c r="AG24" s="22"/>
      <c r="AH24" s="23"/>
    </row>
    <row r="25" spans="1:34" ht="20.100000000000001" customHeight="1" x14ac:dyDescent="0.25">
      <c r="A25" s="13">
        <v>46034</v>
      </c>
      <c r="B25" s="14"/>
      <c r="C25" s="15">
        <f t="shared" si="10"/>
        <v>0</v>
      </c>
      <c r="D25" s="14">
        <v>1515</v>
      </c>
      <c r="E25" s="16">
        <f t="shared" ref="E25:E30" si="11">D25/200*25</f>
        <v>189.375</v>
      </c>
      <c r="F25" s="14">
        <v>2005</v>
      </c>
      <c r="G25" s="17">
        <f t="shared" si="1"/>
        <v>233.13953488372096</v>
      </c>
      <c r="H25" s="14"/>
      <c r="I25" s="18">
        <f t="shared" ref="I25:I28" si="12">H25/135*25</f>
        <v>0</v>
      </c>
      <c r="J25" s="14"/>
      <c r="K25" s="14">
        <v>0</v>
      </c>
      <c r="L25" s="14"/>
      <c r="M25" s="14">
        <v>0</v>
      </c>
      <c r="N25" s="14"/>
      <c r="O25" s="18">
        <f>N25/38*25</f>
        <v>0</v>
      </c>
      <c r="P25" s="17">
        <v>989</v>
      </c>
      <c r="Q25" s="19"/>
      <c r="R25" s="19"/>
      <c r="S25" s="20"/>
      <c r="T25" s="19"/>
      <c r="U25" s="19"/>
      <c r="V25" s="19">
        <v>113</v>
      </c>
      <c r="W25" s="20">
        <v>1481</v>
      </c>
      <c r="X25" s="20"/>
      <c r="Y25" s="19">
        <v>169</v>
      </c>
      <c r="Z25" s="19">
        <v>4</v>
      </c>
      <c r="AA25" s="19">
        <v>686</v>
      </c>
      <c r="AB25" s="19"/>
      <c r="AC25" s="19">
        <v>44</v>
      </c>
      <c r="AD25" s="19"/>
      <c r="AE25" s="21">
        <f t="shared" ref="AE25:AE30" si="13">Y25*2.43</f>
        <v>410.67</v>
      </c>
      <c r="AF25" s="19"/>
      <c r="AG25" s="22"/>
      <c r="AH25" s="23"/>
    </row>
    <row r="26" spans="1:34" ht="20.100000000000001" customHeight="1" x14ac:dyDescent="0.25">
      <c r="A26" s="13">
        <v>46035</v>
      </c>
      <c r="B26" s="14"/>
      <c r="C26" s="15">
        <f t="shared" si="10"/>
        <v>0</v>
      </c>
      <c r="D26" s="14">
        <v>1741</v>
      </c>
      <c r="E26" s="16">
        <f t="shared" si="11"/>
        <v>217.625</v>
      </c>
      <c r="F26" s="14">
        <v>1617</v>
      </c>
      <c r="G26" s="17">
        <f t="shared" si="1"/>
        <v>188.02325581395348</v>
      </c>
      <c r="H26" s="14"/>
      <c r="I26" s="18">
        <f t="shared" si="12"/>
        <v>0</v>
      </c>
      <c r="J26" s="14"/>
      <c r="K26" s="14"/>
      <c r="L26" s="14"/>
      <c r="M26" s="14"/>
      <c r="N26" s="14"/>
      <c r="O26" s="18">
        <f t="shared" ref="O26:O28" si="14">N26/38*25</f>
        <v>0</v>
      </c>
      <c r="P26" s="18">
        <v>1142.6000000000001</v>
      </c>
      <c r="Q26" s="19"/>
      <c r="R26" s="19"/>
      <c r="S26" s="19"/>
      <c r="T26" s="19"/>
      <c r="U26" s="19"/>
      <c r="V26" s="19">
        <v>97</v>
      </c>
      <c r="W26" s="20">
        <v>1609</v>
      </c>
      <c r="X26" s="20"/>
      <c r="Y26" s="19">
        <v>196</v>
      </c>
      <c r="Z26" s="19">
        <v>4</v>
      </c>
      <c r="AA26" s="19">
        <v>724</v>
      </c>
      <c r="AB26" s="19"/>
      <c r="AC26" s="19">
        <v>62</v>
      </c>
      <c r="AD26" s="19"/>
      <c r="AE26" s="21">
        <f t="shared" si="13"/>
        <v>476.28000000000003</v>
      </c>
      <c r="AF26" s="19"/>
      <c r="AG26" s="22"/>
    </row>
    <row r="27" spans="1:34" ht="20.100000000000001" customHeight="1" x14ac:dyDescent="0.25">
      <c r="A27" s="13">
        <v>46036</v>
      </c>
      <c r="B27" s="14"/>
      <c r="C27" s="15">
        <f t="shared" si="10"/>
        <v>0</v>
      </c>
      <c r="D27" s="14">
        <v>1833</v>
      </c>
      <c r="E27" s="16">
        <f t="shared" si="11"/>
        <v>229.12499999999997</v>
      </c>
      <c r="F27" s="14">
        <v>2155</v>
      </c>
      <c r="G27" s="17">
        <f t="shared" si="1"/>
        <v>250.58139534883722</v>
      </c>
      <c r="H27" s="14"/>
      <c r="I27" s="18">
        <f t="shared" si="12"/>
        <v>0</v>
      </c>
      <c r="J27" s="14"/>
      <c r="K27" s="14"/>
      <c r="L27" s="14"/>
      <c r="M27" s="14"/>
      <c r="N27" s="14"/>
      <c r="O27" s="18">
        <f t="shared" si="14"/>
        <v>0</v>
      </c>
      <c r="P27" s="18">
        <v>1079.4000000000001</v>
      </c>
      <c r="Q27" s="19"/>
      <c r="R27" s="19"/>
      <c r="S27" s="19"/>
      <c r="T27" s="19"/>
      <c r="U27" s="19"/>
      <c r="V27" s="35">
        <v>79</v>
      </c>
      <c r="W27" s="20">
        <v>1720</v>
      </c>
      <c r="X27" s="20"/>
      <c r="Y27" s="19">
        <v>191</v>
      </c>
      <c r="Z27" s="19">
        <v>4</v>
      </c>
      <c r="AA27" s="19">
        <v>704</v>
      </c>
      <c r="AB27" s="19"/>
      <c r="AC27" s="19">
        <v>66</v>
      </c>
      <c r="AD27" s="19"/>
      <c r="AE27" s="21">
        <f t="shared" si="13"/>
        <v>464.13000000000005</v>
      </c>
      <c r="AF27" s="19"/>
      <c r="AG27" s="22"/>
      <c r="AH27" s="23"/>
    </row>
    <row r="28" spans="1:34" ht="20.100000000000001" customHeight="1" x14ac:dyDescent="0.25">
      <c r="A28" s="13">
        <v>46037</v>
      </c>
      <c r="B28" s="14"/>
      <c r="C28" s="15">
        <f>B28/200*25</f>
        <v>0</v>
      </c>
      <c r="D28" s="14">
        <v>1552</v>
      </c>
      <c r="E28" s="16">
        <f t="shared" si="11"/>
        <v>194</v>
      </c>
      <c r="F28" s="14">
        <v>1315</v>
      </c>
      <c r="G28" s="17">
        <f t="shared" si="1"/>
        <v>152.90697674418604</v>
      </c>
      <c r="H28" s="14"/>
      <c r="I28" s="18">
        <f t="shared" si="12"/>
        <v>0</v>
      </c>
      <c r="J28" s="14"/>
      <c r="K28" s="14"/>
      <c r="L28" s="14"/>
      <c r="M28" s="14"/>
      <c r="N28" s="14"/>
      <c r="O28" s="18">
        <f t="shared" si="14"/>
        <v>0</v>
      </c>
      <c r="P28" s="18">
        <v>1016.2</v>
      </c>
      <c r="Q28" s="19"/>
      <c r="R28" s="19"/>
      <c r="S28" s="19"/>
      <c r="T28" s="19"/>
      <c r="U28" s="19"/>
      <c r="V28" s="19">
        <v>78</v>
      </c>
      <c r="W28" s="20">
        <v>1430</v>
      </c>
      <c r="X28" s="20"/>
      <c r="Y28" s="19">
        <v>178</v>
      </c>
      <c r="Z28" s="19">
        <v>2</v>
      </c>
      <c r="AA28" s="19">
        <v>642</v>
      </c>
      <c r="AB28" s="19"/>
      <c r="AC28" s="19">
        <v>35</v>
      </c>
      <c r="AD28" s="19"/>
      <c r="AE28" s="21">
        <f t="shared" si="13"/>
        <v>432.54</v>
      </c>
      <c r="AF28" s="19"/>
      <c r="AG28" s="22"/>
    </row>
    <row r="29" spans="1:34" ht="20.100000000000001" customHeight="1" x14ac:dyDescent="0.25">
      <c r="A29" s="13">
        <v>46038</v>
      </c>
      <c r="B29" s="14"/>
      <c r="C29" s="15">
        <f t="shared" ref="C29:C34" si="15">B29/200*25</f>
        <v>0</v>
      </c>
      <c r="D29" s="14">
        <v>1862</v>
      </c>
      <c r="E29" s="16">
        <f t="shared" si="11"/>
        <v>232.75</v>
      </c>
      <c r="F29" s="14">
        <v>1764</v>
      </c>
      <c r="G29" s="17">
        <f t="shared" si="1"/>
        <v>205.11627906976747</v>
      </c>
      <c r="H29" s="14"/>
      <c r="I29" s="18"/>
      <c r="J29" s="14"/>
      <c r="K29" s="14"/>
      <c r="L29" s="14"/>
      <c r="M29" s="14"/>
      <c r="N29" s="14"/>
      <c r="O29" s="18">
        <v>0</v>
      </c>
      <c r="P29" s="18">
        <v>1006.0000000000001</v>
      </c>
      <c r="Q29" s="19"/>
      <c r="R29" s="19"/>
      <c r="S29" s="20"/>
      <c r="T29" s="19"/>
      <c r="U29" s="19"/>
      <c r="V29" s="19">
        <v>87</v>
      </c>
      <c r="W29" s="20">
        <v>1594</v>
      </c>
      <c r="X29" s="20"/>
      <c r="Y29" s="19">
        <v>169</v>
      </c>
      <c r="Z29" s="19">
        <v>6</v>
      </c>
      <c r="AA29" s="19">
        <v>641</v>
      </c>
      <c r="AB29" s="19"/>
      <c r="AC29" s="19">
        <v>68</v>
      </c>
      <c r="AD29" s="19"/>
      <c r="AE29" s="21">
        <f t="shared" si="13"/>
        <v>410.67</v>
      </c>
      <c r="AF29" s="19"/>
      <c r="AG29" s="22"/>
    </row>
    <row r="30" spans="1:34" ht="20.100000000000001" customHeight="1" x14ac:dyDescent="0.25">
      <c r="A30" s="13">
        <v>46039</v>
      </c>
      <c r="B30" s="14"/>
      <c r="C30" s="15">
        <f t="shared" si="15"/>
        <v>0</v>
      </c>
      <c r="D30" s="14">
        <v>1762</v>
      </c>
      <c r="E30" s="16">
        <f t="shared" si="11"/>
        <v>220.25</v>
      </c>
      <c r="F30" s="14">
        <v>1642</v>
      </c>
      <c r="G30" s="17">
        <f t="shared" si="1"/>
        <v>190.93023255813955</v>
      </c>
      <c r="H30" s="14"/>
      <c r="I30" s="18"/>
      <c r="J30" s="14"/>
      <c r="K30" s="14"/>
      <c r="L30" s="14"/>
      <c r="M30" s="14"/>
      <c r="N30" s="14"/>
      <c r="O30" s="18">
        <v>0</v>
      </c>
      <c r="P30" s="18">
        <v>1127</v>
      </c>
      <c r="Q30" s="19"/>
      <c r="R30" s="19"/>
      <c r="S30" s="20"/>
      <c r="T30" s="19"/>
      <c r="U30" s="19"/>
      <c r="V30" s="19">
        <v>26</v>
      </c>
      <c r="W30" s="20">
        <v>1664</v>
      </c>
      <c r="X30" s="20"/>
      <c r="Y30" s="19">
        <v>234</v>
      </c>
      <c r="Z30" s="19">
        <v>2</v>
      </c>
      <c r="AA30" s="19">
        <v>688</v>
      </c>
      <c r="AB30" s="19"/>
      <c r="AC30" s="19">
        <v>80</v>
      </c>
      <c r="AD30" s="19"/>
      <c r="AE30" s="21">
        <f t="shared" si="13"/>
        <v>568.62</v>
      </c>
      <c r="AF30" s="19"/>
      <c r="AG30" s="22"/>
    </row>
    <row r="31" spans="1:34" ht="20.100000000000001" customHeight="1" x14ac:dyDescent="0.25">
      <c r="A31" s="13">
        <v>46040</v>
      </c>
      <c r="B31" s="14"/>
      <c r="C31" s="15">
        <f t="shared" si="15"/>
        <v>0</v>
      </c>
      <c r="D31" s="14">
        <v>1638</v>
      </c>
      <c r="E31" s="16">
        <f>D31/200*25</f>
        <v>204.75</v>
      </c>
      <c r="F31" s="14">
        <v>1076</v>
      </c>
      <c r="G31" s="17">
        <f t="shared" si="1"/>
        <v>125.11627906976743</v>
      </c>
      <c r="H31" s="14"/>
      <c r="I31" s="18"/>
      <c r="J31" s="14"/>
      <c r="K31" s="14"/>
      <c r="L31" s="14"/>
      <c r="M31" s="14"/>
      <c r="N31" s="14"/>
      <c r="O31" s="18">
        <v>0</v>
      </c>
      <c r="P31" s="18">
        <v>909.4</v>
      </c>
      <c r="Q31" s="19"/>
      <c r="R31" s="19"/>
      <c r="S31" s="19"/>
      <c r="T31" s="19"/>
      <c r="U31" s="19"/>
      <c r="V31" s="19">
        <v>11</v>
      </c>
      <c r="W31" s="20">
        <v>1319</v>
      </c>
      <c r="X31" s="20"/>
      <c r="Y31" s="19">
        <v>173</v>
      </c>
      <c r="Z31" s="19"/>
      <c r="AA31" s="19">
        <v>599</v>
      </c>
      <c r="AB31" s="19"/>
      <c r="AC31" s="19">
        <v>33</v>
      </c>
      <c r="AD31" s="19"/>
      <c r="AE31" s="21">
        <f>Y31*2.43</f>
        <v>420.39000000000004</v>
      </c>
      <c r="AF31" s="19"/>
      <c r="AG31" s="22"/>
      <c r="AH31" s="23"/>
    </row>
    <row r="32" spans="1:34" ht="20.100000000000001" customHeight="1" x14ac:dyDescent="0.25">
      <c r="A32" s="13">
        <v>46041</v>
      </c>
      <c r="B32" s="14"/>
      <c r="C32" s="15">
        <f t="shared" si="15"/>
        <v>0</v>
      </c>
      <c r="D32" s="14">
        <v>1769</v>
      </c>
      <c r="E32" s="16">
        <f t="shared" ref="E32:E37" si="16">D32/200*25</f>
        <v>221.12500000000003</v>
      </c>
      <c r="F32" s="14">
        <v>1943</v>
      </c>
      <c r="G32" s="17">
        <f t="shared" si="1"/>
        <v>225.93023255813955</v>
      </c>
      <c r="H32" s="14"/>
      <c r="I32" s="18">
        <f t="shared" ref="I32:I35" si="17">H32/135*25</f>
        <v>0</v>
      </c>
      <c r="J32" s="14"/>
      <c r="K32" s="14">
        <v>0</v>
      </c>
      <c r="L32" s="14"/>
      <c r="M32" s="14">
        <v>0</v>
      </c>
      <c r="N32" s="14"/>
      <c r="O32" s="18">
        <f>N32/38*25</f>
        <v>0</v>
      </c>
      <c r="P32" s="17">
        <v>1272.4000000000001</v>
      </c>
      <c r="Q32" s="19"/>
      <c r="R32" s="19"/>
      <c r="S32" s="20"/>
      <c r="T32" s="19"/>
      <c r="U32" s="19"/>
      <c r="V32" s="19">
        <v>76</v>
      </c>
      <c r="W32" s="20">
        <v>1764</v>
      </c>
      <c r="X32" s="20"/>
      <c r="Y32" s="19">
        <v>209</v>
      </c>
      <c r="Z32" s="19">
        <v>2</v>
      </c>
      <c r="AA32" s="19">
        <v>771</v>
      </c>
      <c r="AB32" s="19"/>
      <c r="AC32" s="19">
        <v>79</v>
      </c>
      <c r="AD32" s="19"/>
      <c r="AE32" s="21">
        <f t="shared" ref="AE32:AE37" si="18">Y32*2.43</f>
        <v>507.87000000000006</v>
      </c>
      <c r="AF32" s="19"/>
      <c r="AG32" s="22"/>
      <c r="AH32" s="23"/>
    </row>
    <row r="33" spans="1:37" ht="20.100000000000001" customHeight="1" x14ac:dyDescent="0.25">
      <c r="A33" s="13">
        <v>46042</v>
      </c>
      <c r="B33" s="14"/>
      <c r="C33" s="15">
        <f t="shared" si="15"/>
        <v>0</v>
      </c>
      <c r="D33" s="14">
        <v>1920</v>
      </c>
      <c r="E33" s="16">
        <f t="shared" si="16"/>
        <v>240</v>
      </c>
      <c r="F33" s="14">
        <v>996</v>
      </c>
      <c r="G33" s="17">
        <f t="shared" si="1"/>
        <v>115.81395348837209</v>
      </c>
      <c r="H33" s="14"/>
      <c r="I33" s="18">
        <f t="shared" si="17"/>
        <v>0</v>
      </c>
      <c r="J33" s="14"/>
      <c r="K33" s="14"/>
      <c r="L33" s="14"/>
      <c r="M33" s="14"/>
      <c r="N33" s="14"/>
      <c r="O33" s="18">
        <f t="shared" ref="O33:O35" si="19">N33/38*25</f>
        <v>0</v>
      </c>
      <c r="P33" s="18">
        <v>1008</v>
      </c>
      <c r="Q33" s="19"/>
      <c r="R33" s="19"/>
      <c r="S33" s="19"/>
      <c r="T33" s="19"/>
      <c r="U33" s="19"/>
      <c r="V33" s="19">
        <v>23</v>
      </c>
      <c r="W33" s="20">
        <v>1428</v>
      </c>
      <c r="X33" s="20"/>
      <c r="Y33" s="19">
        <v>188</v>
      </c>
      <c r="Z33" s="19">
        <v>4</v>
      </c>
      <c r="AA33" s="19">
        <v>665</v>
      </c>
      <c r="AB33" s="19"/>
      <c r="AC33" s="19">
        <v>44</v>
      </c>
      <c r="AD33" s="19"/>
      <c r="AE33" s="21">
        <f t="shared" si="18"/>
        <v>456.84000000000003</v>
      </c>
      <c r="AF33" s="19"/>
      <c r="AG33" s="22"/>
    </row>
    <row r="34" spans="1:37" ht="20.100000000000001" customHeight="1" x14ac:dyDescent="0.25">
      <c r="A34" s="13">
        <v>46043</v>
      </c>
      <c r="B34" s="14"/>
      <c r="C34" s="15">
        <f t="shared" si="15"/>
        <v>0</v>
      </c>
      <c r="D34" s="14">
        <v>1810</v>
      </c>
      <c r="E34" s="16">
        <f t="shared" si="16"/>
        <v>226.25000000000003</v>
      </c>
      <c r="F34" s="14">
        <v>1905</v>
      </c>
      <c r="G34" s="17">
        <f t="shared" si="1"/>
        <v>221.51162790697674</v>
      </c>
      <c r="H34" s="14"/>
      <c r="I34" s="18">
        <f t="shared" si="17"/>
        <v>0</v>
      </c>
      <c r="J34" s="14"/>
      <c r="K34" s="14"/>
      <c r="L34" s="14"/>
      <c r="M34" s="14"/>
      <c r="N34" s="14"/>
      <c r="O34" s="18">
        <f t="shared" si="19"/>
        <v>0</v>
      </c>
      <c r="P34" s="18">
        <v>1218.3999999999999</v>
      </c>
      <c r="Q34" s="19"/>
      <c r="R34" s="19"/>
      <c r="S34" s="19"/>
      <c r="T34" s="19"/>
      <c r="U34" s="19"/>
      <c r="V34" s="35">
        <v>71</v>
      </c>
      <c r="W34" s="20">
        <v>1781</v>
      </c>
      <c r="X34" s="20"/>
      <c r="Y34" s="19">
        <v>223</v>
      </c>
      <c r="Z34" s="19">
        <v>4</v>
      </c>
      <c r="AA34" s="19">
        <v>836</v>
      </c>
      <c r="AB34" s="19"/>
      <c r="AC34" s="19">
        <v>77</v>
      </c>
      <c r="AD34" s="19"/>
      <c r="AE34" s="21">
        <f t="shared" si="18"/>
        <v>541.89</v>
      </c>
      <c r="AF34" s="19"/>
      <c r="AG34" s="22">
        <v>1</v>
      </c>
      <c r="AH34" s="23"/>
    </row>
    <row r="35" spans="1:37" ht="20.100000000000001" customHeight="1" x14ac:dyDescent="0.25">
      <c r="A35" s="13">
        <v>46044</v>
      </c>
      <c r="B35" s="14"/>
      <c r="C35" s="15">
        <f>B35/200*25</f>
        <v>0</v>
      </c>
      <c r="D35" s="14">
        <v>2174</v>
      </c>
      <c r="E35" s="16">
        <f t="shared" si="16"/>
        <v>271.75</v>
      </c>
      <c r="F35" s="14">
        <v>1686</v>
      </c>
      <c r="G35" s="17">
        <f t="shared" si="1"/>
        <v>196.04651162790699</v>
      </c>
      <c r="H35" s="14"/>
      <c r="I35" s="18">
        <f t="shared" si="17"/>
        <v>0</v>
      </c>
      <c r="J35" s="14"/>
      <c r="K35" s="14"/>
      <c r="L35" s="14"/>
      <c r="M35" s="14"/>
      <c r="N35" s="14"/>
      <c r="O35" s="18">
        <f t="shared" si="19"/>
        <v>0</v>
      </c>
      <c r="P35" s="18">
        <v>1228.5999999999999</v>
      </c>
      <c r="Q35" s="19"/>
      <c r="R35" s="19"/>
      <c r="S35" s="19"/>
      <c r="T35" s="19"/>
      <c r="U35" s="19"/>
      <c r="V35" s="19">
        <v>61</v>
      </c>
      <c r="W35" s="20">
        <v>1795</v>
      </c>
      <c r="X35" s="20"/>
      <c r="Y35" s="19">
        <v>219</v>
      </c>
      <c r="Z35" s="19">
        <v>6</v>
      </c>
      <c r="AA35" s="19">
        <v>844</v>
      </c>
      <c r="AB35" s="19"/>
      <c r="AC35" s="19">
        <v>33</v>
      </c>
      <c r="AD35" s="19"/>
      <c r="AE35" s="21">
        <f t="shared" si="18"/>
        <v>532.17000000000007</v>
      </c>
      <c r="AF35" s="19">
        <v>150</v>
      </c>
      <c r="AG35" s="22">
        <v>1</v>
      </c>
    </row>
    <row r="36" spans="1:37" ht="20.100000000000001" customHeight="1" x14ac:dyDescent="0.25">
      <c r="A36" s="13">
        <v>46045</v>
      </c>
      <c r="B36" s="14"/>
      <c r="C36" s="15">
        <f t="shared" ref="C36:C41" si="20">B36/200*25</f>
        <v>0</v>
      </c>
      <c r="D36" s="14">
        <v>1918</v>
      </c>
      <c r="E36" s="16">
        <f t="shared" si="16"/>
        <v>239.75</v>
      </c>
      <c r="F36" s="14">
        <v>1889</v>
      </c>
      <c r="G36" s="17">
        <f t="shared" si="1"/>
        <v>219.65116279069767</v>
      </c>
      <c r="H36" s="14"/>
      <c r="I36" s="18"/>
      <c r="J36" s="14"/>
      <c r="K36" s="14"/>
      <c r="L36" s="14"/>
      <c r="M36" s="14"/>
      <c r="N36" s="14"/>
      <c r="O36" s="18">
        <v>0</v>
      </c>
      <c r="P36" s="18">
        <v>1143.4000000000001</v>
      </c>
      <c r="Q36" s="19"/>
      <c r="R36" s="19"/>
      <c r="S36" s="20"/>
      <c r="T36" s="19"/>
      <c r="U36" s="19"/>
      <c r="V36" s="19">
        <v>65</v>
      </c>
      <c r="W36" s="20">
        <v>1775</v>
      </c>
      <c r="X36" s="20"/>
      <c r="Y36" s="19">
        <v>197</v>
      </c>
      <c r="Z36" s="19">
        <v>6</v>
      </c>
      <c r="AA36" s="19">
        <v>741</v>
      </c>
      <c r="AB36" s="19"/>
      <c r="AC36" s="19">
        <v>57</v>
      </c>
      <c r="AD36" s="19"/>
      <c r="AE36" s="21">
        <f t="shared" si="18"/>
        <v>478.71000000000004</v>
      </c>
      <c r="AF36" s="19"/>
      <c r="AG36" s="22">
        <v>1</v>
      </c>
    </row>
    <row r="37" spans="1:37" ht="20.100000000000001" customHeight="1" x14ac:dyDescent="0.25">
      <c r="A37" s="13">
        <v>46046</v>
      </c>
      <c r="B37" s="14"/>
      <c r="C37" s="15">
        <f t="shared" si="20"/>
        <v>0</v>
      </c>
      <c r="D37" s="14">
        <v>1771</v>
      </c>
      <c r="E37" s="16">
        <f t="shared" si="16"/>
        <v>221.375</v>
      </c>
      <c r="F37" s="14">
        <v>1892</v>
      </c>
      <c r="G37" s="17">
        <f t="shared" si="1"/>
        <v>220.00000000000003</v>
      </c>
      <c r="H37" s="14"/>
      <c r="I37" s="18"/>
      <c r="J37" s="14"/>
      <c r="K37" s="14"/>
      <c r="L37" s="14"/>
      <c r="M37" s="14"/>
      <c r="N37" s="14"/>
      <c r="O37" s="18">
        <v>0</v>
      </c>
      <c r="P37" s="18">
        <v>1249.8000000000002</v>
      </c>
      <c r="Q37" s="19"/>
      <c r="R37" s="19"/>
      <c r="S37" s="20"/>
      <c r="T37" s="19"/>
      <c r="U37" s="19"/>
      <c r="V37" s="19">
        <v>21</v>
      </c>
      <c r="W37" s="20">
        <v>1840</v>
      </c>
      <c r="X37" s="20"/>
      <c r="Y37" s="19">
        <v>202</v>
      </c>
      <c r="Z37" s="19">
        <v>4</v>
      </c>
      <c r="AA37" s="19">
        <v>800</v>
      </c>
      <c r="AB37" s="19"/>
      <c r="AC37" s="19">
        <v>61</v>
      </c>
      <c r="AD37" s="19"/>
      <c r="AE37" s="21">
        <f t="shared" si="18"/>
        <v>490.86</v>
      </c>
      <c r="AF37" s="19"/>
      <c r="AG37" s="22"/>
    </row>
    <row r="38" spans="1:37" ht="20.100000000000001" customHeight="1" x14ac:dyDescent="0.25">
      <c r="A38" s="13">
        <v>46047</v>
      </c>
      <c r="B38" s="14"/>
      <c r="C38" s="15">
        <f t="shared" si="20"/>
        <v>0</v>
      </c>
      <c r="D38" s="14">
        <v>1263</v>
      </c>
      <c r="E38" s="16">
        <f>D38/200*25</f>
        <v>157.875</v>
      </c>
      <c r="F38" s="14">
        <v>1061</v>
      </c>
      <c r="G38" s="17">
        <f t="shared" si="1"/>
        <v>123.37209302325583</v>
      </c>
      <c r="H38" s="14"/>
      <c r="I38" s="18"/>
      <c r="J38" s="14"/>
      <c r="K38" s="14"/>
      <c r="L38" s="14"/>
      <c r="M38" s="14"/>
      <c r="N38" s="14"/>
      <c r="O38" s="18">
        <v>0</v>
      </c>
      <c r="P38" s="18">
        <v>782.2</v>
      </c>
      <c r="Q38" s="19"/>
      <c r="R38" s="19"/>
      <c r="S38" s="19"/>
      <c r="T38" s="19"/>
      <c r="U38" s="19"/>
      <c r="V38" s="19"/>
      <c r="W38" s="20">
        <v>1144</v>
      </c>
      <c r="X38" s="20"/>
      <c r="Y38" s="19">
        <v>133</v>
      </c>
      <c r="Z38" s="19">
        <v>2</v>
      </c>
      <c r="AA38" s="19">
        <v>503</v>
      </c>
      <c r="AB38" s="19"/>
      <c r="AC38" s="19">
        <v>55</v>
      </c>
      <c r="AD38" s="19"/>
      <c r="AE38" s="21">
        <f>Y38*2.43</f>
        <v>323.19</v>
      </c>
      <c r="AF38" s="19"/>
      <c r="AG38" s="22"/>
      <c r="AH38" s="23"/>
    </row>
    <row r="39" spans="1:37" ht="20.100000000000001" customHeight="1" x14ac:dyDescent="0.25">
      <c r="A39" s="13">
        <v>46048</v>
      </c>
      <c r="B39" s="14"/>
      <c r="C39" s="15">
        <f t="shared" si="20"/>
        <v>0</v>
      </c>
      <c r="D39" s="14">
        <v>1866</v>
      </c>
      <c r="E39" s="16">
        <f t="shared" ref="E39:E44" si="21">D39/200*25</f>
        <v>233.25</v>
      </c>
      <c r="F39" s="14">
        <v>1463</v>
      </c>
      <c r="G39" s="17">
        <f t="shared" si="1"/>
        <v>170.11627906976744</v>
      </c>
      <c r="H39" s="14"/>
      <c r="I39" s="18">
        <f t="shared" ref="I39:I42" si="22">H39/135*25</f>
        <v>0</v>
      </c>
      <c r="J39" s="14"/>
      <c r="K39" s="14">
        <v>0</v>
      </c>
      <c r="L39" s="14"/>
      <c r="M39" s="14">
        <v>0</v>
      </c>
      <c r="N39" s="14"/>
      <c r="O39" s="18">
        <f>N39/38*25</f>
        <v>0</v>
      </c>
      <c r="P39" s="17">
        <v>1237.4000000000001</v>
      </c>
      <c r="Q39" s="19"/>
      <c r="R39" s="19"/>
      <c r="S39" s="20"/>
      <c r="T39" s="19"/>
      <c r="U39" s="19"/>
      <c r="V39" s="19">
        <v>45</v>
      </c>
      <c r="W39" s="20">
        <v>1694</v>
      </c>
      <c r="X39" s="20"/>
      <c r="Y39" s="19">
        <v>218</v>
      </c>
      <c r="Z39" s="19">
        <v>2</v>
      </c>
      <c r="AA39" s="19">
        <v>819</v>
      </c>
      <c r="AB39" s="19"/>
      <c r="AC39" s="19">
        <v>85</v>
      </c>
      <c r="AD39" s="19"/>
      <c r="AE39" s="21">
        <f t="shared" ref="AE39:AE44" si="23">Y39*2.43</f>
        <v>529.74</v>
      </c>
      <c r="AF39" s="19"/>
      <c r="AG39" s="22"/>
      <c r="AH39" s="23"/>
    </row>
    <row r="40" spans="1:37" ht="20.100000000000001" customHeight="1" x14ac:dyDescent="0.25">
      <c r="A40" s="13">
        <v>46049</v>
      </c>
      <c r="B40" s="14"/>
      <c r="C40" s="15">
        <f t="shared" si="20"/>
        <v>0</v>
      </c>
      <c r="D40" s="14">
        <v>1920</v>
      </c>
      <c r="E40" s="16">
        <f t="shared" si="21"/>
        <v>240</v>
      </c>
      <c r="F40" s="14">
        <v>1633</v>
      </c>
      <c r="G40" s="17">
        <f t="shared" si="1"/>
        <v>189.88372093023256</v>
      </c>
      <c r="H40" s="14"/>
      <c r="I40" s="18">
        <f t="shared" si="22"/>
        <v>0</v>
      </c>
      <c r="J40" s="14"/>
      <c r="K40" s="14"/>
      <c r="L40" s="14"/>
      <c r="M40" s="14"/>
      <c r="N40" s="14"/>
      <c r="O40" s="18">
        <f t="shared" ref="O40:O42" si="24">N40/38*25</f>
        <v>0</v>
      </c>
      <c r="P40" s="18">
        <v>1202.2</v>
      </c>
      <c r="Q40" s="19"/>
      <c r="R40" s="19"/>
      <c r="S40" s="19"/>
      <c r="T40" s="19"/>
      <c r="U40" s="19"/>
      <c r="V40" s="19">
        <v>21</v>
      </c>
      <c r="W40" s="20">
        <v>1756</v>
      </c>
      <c r="X40" s="20"/>
      <c r="Y40" s="19">
        <v>195</v>
      </c>
      <c r="Z40" s="19">
        <v>4</v>
      </c>
      <c r="AA40" s="19">
        <v>845</v>
      </c>
      <c r="AB40" s="19"/>
      <c r="AC40" s="19">
        <v>26</v>
      </c>
      <c r="AD40" s="19"/>
      <c r="AE40" s="21">
        <f t="shared" si="23"/>
        <v>473.85</v>
      </c>
      <c r="AF40" s="19"/>
      <c r="AG40" s="22"/>
    </row>
    <row r="41" spans="1:37" ht="20.100000000000001" customHeight="1" x14ac:dyDescent="0.25">
      <c r="A41" s="13">
        <v>46050</v>
      </c>
      <c r="B41" s="14"/>
      <c r="C41" s="15">
        <f t="shared" si="20"/>
        <v>0</v>
      </c>
      <c r="D41" s="14">
        <v>2165</v>
      </c>
      <c r="E41" s="16">
        <f t="shared" si="21"/>
        <v>270.625</v>
      </c>
      <c r="F41" s="14">
        <v>1437</v>
      </c>
      <c r="G41" s="17">
        <f t="shared" si="1"/>
        <v>167.09302325581393</v>
      </c>
      <c r="H41" s="14"/>
      <c r="I41" s="18">
        <f t="shared" si="22"/>
        <v>0</v>
      </c>
      <c r="J41" s="14"/>
      <c r="K41" s="14"/>
      <c r="L41" s="14"/>
      <c r="M41" s="14"/>
      <c r="N41" s="14"/>
      <c r="O41" s="18">
        <f t="shared" si="24"/>
        <v>0</v>
      </c>
      <c r="P41" s="18">
        <v>1175.1999999999998</v>
      </c>
      <c r="Q41" s="19"/>
      <c r="R41" s="19"/>
      <c r="S41" s="19"/>
      <c r="T41" s="19"/>
      <c r="U41" s="19"/>
      <c r="V41" s="35">
        <v>6</v>
      </c>
      <c r="W41" s="20">
        <v>1817</v>
      </c>
      <c r="X41" s="20"/>
      <c r="Y41" s="19">
        <v>194</v>
      </c>
      <c r="Z41" s="19">
        <v>2</v>
      </c>
      <c r="AA41" s="19">
        <v>791</v>
      </c>
      <c r="AB41" s="19"/>
      <c r="AC41" s="19">
        <v>45</v>
      </c>
      <c r="AD41" s="19"/>
      <c r="AE41" s="21">
        <f t="shared" si="23"/>
        <v>471.42</v>
      </c>
      <c r="AF41" s="19"/>
      <c r="AG41" s="22"/>
      <c r="AH41" s="23"/>
    </row>
    <row r="42" spans="1:37" ht="20.100000000000001" customHeight="1" x14ac:dyDescent="0.25">
      <c r="A42" s="13">
        <v>46051</v>
      </c>
      <c r="B42" s="14"/>
      <c r="C42" s="15">
        <f>B42/200*25</f>
        <v>0</v>
      </c>
      <c r="D42" s="14">
        <v>1741</v>
      </c>
      <c r="E42" s="16">
        <f t="shared" si="21"/>
        <v>217.625</v>
      </c>
      <c r="F42" s="14">
        <v>1415</v>
      </c>
      <c r="G42" s="17">
        <f t="shared" si="1"/>
        <v>164.53488372093022</v>
      </c>
      <c r="H42" s="14"/>
      <c r="I42" s="18">
        <f t="shared" si="22"/>
        <v>0</v>
      </c>
      <c r="J42" s="14"/>
      <c r="K42" s="14"/>
      <c r="L42" s="14"/>
      <c r="M42" s="14"/>
      <c r="N42" s="14"/>
      <c r="O42" s="18">
        <f t="shared" si="24"/>
        <v>0</v>
      </c>
      <c r="P42" s="18">
        <v>1085</v>
      </c>
      <c r="Q42" s="19"/>
      <c r="R42" s="19"/>
      <c r="S42" s="19"/>
      <c r="T42" s="19"/>
      <c r="U42" s="19"/>
      <c r="V42" s="19">
        <v>3</v>
      </c>
      <c r="W42" s="20">
        <v>1584</v>
      </c>
      <c r="X42" s="20"/>
      <c r="Y42" s="19">
        <v>172</v>
      </c>
      <c r="Z42" s="19">
        <v>6</v>
      </c>
      <c r="AA42" s="19">
        <v>741</v>
      </c>
      <c r="AB42" s="19"/>
      <c r="AC42" s="19">
        <v>63</v>
      </c>
      <c r="AD42" s="19"/>
      <c r="AE42" s="21">
        <f t="shared" si="23"/>
        <v>417.96000000000004</v>
      </c>
      <c r="AF42" s="19">
        <v>10</v>
      </c>
      <c r="AG42" s="22"/>
    </row>
    <row r="43" spans="1:37" ht="20.100000000000001" customHeight="1" x14ac:dyDescent="0.25">
      <c r="A43" s="13">
        <v>46052</v>
      </c>
      <c r="B43" s="14"/>
      <c r="C43" s="15">
        <f t="shared" ref="C43:C44" si="25">B43/200*25</f>
        <v>0</v>
      </c>
      <c r="D43" s="14">
        <v>1526</v>
      </c>
      <c r="E43" s="16">
        <f t="shared" si="21"/>
        <v>190.75</v>
      </c>
      <c r="F43" s="14">
        <v>1072</v>
      </c>
      <c r="G43" s="17">
        <f t="shared" si="1"/>
        <v>124.65116279069768</v>
      </c>
      <c r="H43" s="14"/>
      <c r="I43" s="18"/>
      <c r="J43" s="14"/>
      <c r="K43" s="14"/>
      <c r="L43" s="14"/>
      <c r="M43" s="14"/>
      <c r="N43" s="14"/>
      <c r="O43" s="18">
        <v>0</v>
      </c>
      <c r="P43" s="18">
        <v>828.6</v>
      </c>
      <c r="Q43" s="19"/>
      <c r="R43" s="19"/>
      <c r="S43" s="20"/>
      <c r="T43" s="19"/>
      <c r="U43" s="19"/>
      <c r="V43" s="19">
        <v>2</v>
      </c>
      <c r="W43" s="20">
        <v>1270</v>
      </c>
      <c r="X43" s="20"/>
      <c r="Y43" s="19">
        <v>180</v>
      </c>
      <c r="Z43" s="19">
        <v>2</v>
      </c>
      <c r="AA43" s="19">
        <v>533</v>
      </c>
      <c r="AB43" s="19"/>
      <c r="AC43" s="19">
        <v>54</v>
      </c>
      <c r="AD43" s="19"/>
      <c r="AE43" s="21">
        <f t="shared" si="23"/>
        <v>437.40000000000003</v>
      </c>
      <c r="AF43" s="19"/>
      <c r="AG43" s="22"/>
    </row>
    <row r="44" spans="1:37" ht="20.100000000000001" customHeight="1" x14ac:dyDescent="0.25">
      <c r="A44" s="13">
        <v>46053</v>
      </c>
      <c r="B44" s="14"/>
      <c r="C44" s="15">
        <f t="shared" si="25"/>
        <v>0</v>
      </c>
      <c r="D44" s="14">
        <v>1906</v>
      </c>
      <c r="E44" s="16">
        <f t="shared" si="21"/>
        <v>238.24999999999997</v>
      </c>
      <c r="F44" s="14">
        <v>1099</v>
      </c>
      <c r="G44" s="17">
        <f t="shared" si="1"/>
        <v>127.7906976744186</v>
      </c>
      <c r="H44" s="14"/>
      <c r="I44" s="18"/>
      <c r="J44" s="14"/>
      <c r="K44" s="14"/>
      <c r="L44" s="14"/>
      <c r="M44" s="14"/>
      <c r="N44" s="14"/>
      <c r="O44" s="18">
        <v>0</v>
      </c>
      <c r="P44" s="18">
        <v>915</v>
      </c>
      <c r="Q44" s="19"/>
      <c r="R44" s="19"/>
      <c r="S44" s="20"/>
      <c r="T44" s="19"/>
      <c r="U44" s="19"/>
      <c r="V44" s="19">
        <v>10</v>
      </c>
      <c r="W44" s="20">
        <v>1462</v>
      </c>
      <c r="X44" s="20"/>
      <c r="Y44" s="19">
        <v>161</v>
      </c>
      <c r="Z44" s="19">
        <v>6</v>
      </c>
      <c r="AA44" s="19">
        <v>564</v>
      </c>
      <c r="AB44" s="19"/>
      <c r="AC44" s="19">
        <v>47</v>
      </c>
      <c r="AD44" s="19"/>
      <c r="AE44" s="21">
        <f t="shared" si="23"/>
        <v>391.23</v>
      </c>
      <c r="AF44" s="19"/>
      <c r="AG44" s="22"/>
    </row>
    <row r="45" spans="1:37" s="1" customFormat="1" ht="20.100000000000001" customHeight="1" thickBot="1" x14ac:dyDescent="0.25">
      <c r="A45" s="24" t="s">
        <v>28</v>
      </c>
      <c r="B45" s="40"/>
      <c r="C45" s="40"/>
      <c r="D45" s="25">
        <f t="shared" ref="D45:AG45" si="26">SUM(D14:D44)</f>
        <v>45072</v>
      </c>
      <c r="E45" s="25">
        <f t="shared" si="26"/>
        <v>5634</v>
      </c>
      <c r="F45" s="25">
        <f t="shared" si="26"/>
        <v>49039</v>
      </c>
      <c r="G45" s="25">
        <f t="shared" si="26"/>
        <v>5702.209302325582</v>
      </c>
      <c r="H45" s="25">
        <f t="shared" si="26"/>
        <v>0</v>
      </c>
      <c r="I45" s="25">
        <f t="shared" si="26"/>
        <v>0</v>
      </c>
      <c r="J45" s="25">
        <f t="shared" si="26"/>
        <v>0</v>
      </c>
      <c r="K45" s="25">
        <f t="shared" si="26"/>
        <v>0</v>
      </c>
      <c r="L45" s="25">
        <f t="shared" si="26"/>
        <v>0</v>
      </c>
      <c r="M45" s="25">
        <f t="shared" si="26"/>
        <v>0</v>
      </c>
      <c r="N45" s="25">
        <f t="shared" si="26"/>
        <v>0</v>
      </c>
      <c r="O45" s="25">
        <f t="shared" si="26"/>
        <v>0</v>
      </c>
      <c r="P45" s="36">
        <f t="shared" si="26"/>
        <v>30816.100000000006</v>
      </c>
      <c r="Q45" s="25">
        <f t="shared" si="26"/>
        <v>0</v>
      </c>
      <c r="R45" s="25">
        <f t="shared" si="26"/>
        <v>0</v>
      </c>
      <c r="S45" s="25">
        <f t="shared" si="26"/>
        <v>0</v>
      </c>
      <c r="T45" s="25">
        <f t="shared" si="26"/>
        <v>0</v>
      </c>
      <c r="U45" s="25">
        <f t="shared" si="26"/>
        <v>0</v>
      </c>
      <c r="V45" s="25">
        <f t="shared" si="26"/>
        <v>1609</v>
      </c>
      <c r="W45" s="25">
        <f t="shared" si="26"/>
        <v>44750</v>
      </c>
      <c r="X45" s="25">
        <f t="shared" si="26"/>
        <v>0</v>
      </c>
      <c r="Y45" s="25">
        <f t="shared" si="26"/>
        <v>5497</v>
      </c>
      <c r="Z45" s="25">
        <f t="shared" si="26"/>
        <v>92</v>
      </c>
      <c r="AA45" s="25">
        <f t="shared" si="26"/>
        <v>20129</v>
      </c>
      <c r="AB45" s="25">
        <f t="shared" si="26"/>
        <v>0</v>
      </c>
      <c r="AC45" s="25">
        <f t="shared" si="26"/>
        <v>1676</v>
      </c>
      <c r="AD45" s="25">
        <f t="shared" si="26"/>
        <v>0</v>
      </c>
      <c r="AE45" s="36">
        <f t="shared" si="26"/>
        <v>13357.710000000001</v>
      </c>
      <c r="AF45" s="25">
        <f t="shared" si="26"/>
        <v>310</v>
      </c>
      <c r="AG45" s="25">
        <f t="shared" si="26"/>
        <v>3</v>
      </c>
      <c r="AH45" s="26"/>
    </row>
    <row r="46" spans="1:37" s="1" customFormat="1" ht="8.25" customHeight="1" x14ac:dyDescent="0.2">
      <c r="Q46" s="27"/>
      <c r="Y46" s="28"/>
    </row>
    <row r="47" spans="1:37" s="1" customFormat="1" ht="7.5" customHeight="1" x14ac:dyDescent="0.2">
      <c r="Q47" s="27"/>
      <c r="Y47" s="28"/>
    </row>
    <row r="48" spans="1:37" s="29" customFormat="1" ht="18.75" x14ac:dyDescent="0.3">
      <c r="A48" s="29" t="s">
        <v>29</v>
      </c>
      <c r="G48" s="30" t="s">
        <v>30</v>
      </c>
      <c r="X48" s="29" t="s">
        <v>31</v>
      </c>
      <c r="AD48" s="30" t="s">
        <v>32</v>
      </c>
      <c r="AH48" s="30"/>
      <c r="AJ48" s="31"/>
      <c r="AK48" s="31"/>
    </row>
    <row r="49" spans="1:37" s="29" customFormat="1" ht="27" customHeight="1" x14ac:dyDescent="0.3">
      <c r="A49" s="32"/>
      <c r="B49" s="32"/>
      <c r="C49" s="32"/>
      <c r="G49" s="32"/>
    </row>
    <row r="50" spans="1:37" s="42" customFormat="1" ht="20.25" x14ac:dyDescent="0.3">
      <c r="A50" s="41" t="s">
        <v>33</v>
      </c>
      <c r="B50" s="41"/>
      <c r="C50" s="41"/>
      <c r="G50" s="43" t="s">
        <v>34</v>
      </c>
      <c r="X50" s="43" t="s">
        <v>35</v>
      </c>
      <c r="AD50" s="44" t="s">
        <v>36</v>
      </c>
      <c r="AI50" s="45"/>
      <c r="AJ50" s="45"/>
      <c r="AK50" s="45"/>
    </row>
    <row r="51" spans="1:37" s="42" customFormat="1" ht="20.25" x14ac:dyDescent="0.3">
      <c r="A51" s="46" t="s">
        <v>39</v>
      </c>
      <c r="B51" s="46"/>
      <c r="C51" s="46"/>
      <c r="G51" s="46" t="s">
        <v>37</v>
      </c>
      <c r="X51" s="46" t="s">
        <v>38</v>
      </c>
      <c r="AD51" s="47" t="s">
        <v>43</v>
      </c>
      <c r="AI51" s="46"/>
      <c r="AJ51" s="48"/>
      <c r="AK51" s="48"/>
    </row>
    <row r="52" spans="1:37" x14ac:dyDescent="0.25">
      <c r="P52" s="1"/>
      <c r="R52" s="1"/>
      <c r="S52" s="1"/>
    </row>
    <row r="53" spans="1:37" x14ac:dyDescent="0.25">
      <c r="S53" s="33"/>
      <c r="T53" s="33"/>
      <c r="U53" s="33"/>
      <c r="AC53" s="34"/>
    </row>
    <row r="67" spans="1:3" x14ac:dyDescent="0.25">
      <c r="A67" s="1"/>
      <c r="B67" s="1"/>
      <c r="C67" s="1"/>
    </row>
  </sheetData>
  <mergeCells count="41">
    <mergeCell ref="F12:G12"/>
    <mergeCell ref="H12:I12"/>
    <mergeCell ref="J12:K12"/>
    <mergeCell ref="L12:M12"/>
    <mergeCell ref="AG7:AG8"/>
    <mergeCell ref="Y8:Z8"/>
    <mergeCell ref="N12:O12"/>
    <mergeCell ref="Q10:R10"/>
    <mergeCell ref="S10:T10"/>
    <mergeCell ref="V10:X10"/>
    <mergeCell ref="N11:O11"/>
    <mergeCell ref="N10:O10"/>
    <mergeCell ref="A9:A13"/>
    <mergeCell ref="D9:O9"/>
    <mergeCell ref="P9:P11"/>
    <mergeCell ref="Q9:Z9"/>
    <mergeCell ref="AA9:AD9"/>
    <mergeCell ref="D11:E11"/>
    <mergeCell ref="F11:G11"/>
    <mergeCell ref="H11:I11"/>
    <mergeCell ref="J11:K11"/>
    <mergeCell ref="L11:M11"/>
    <mergeCell ref="D10:E10"/>
    <mergeCell ref="F10:G10"/>
    <mergeCell ref="H10:I10"/>
    <mergeCell ref="J10:K10"/>
    <mergeCell ref="L10:M10"/>
    <mergeCell ref="D12:E12"/>
    <mergeCell ref="A1:AF1"/>
    <mergeCell ref="A2:AF2"/>
    <mergeCell ref="A4:AF4"/>
    <mergeCell ref="A5:AF5"/>
    <mergeCell ref="A7:A8"/>
    <mergeCell ref="D7:E8"/>
    <mergeCell ref="F7:O8"/>
    <mergeCell ref="Q7:U8"/>
    <mergeCell ref="V7:W8"/>
    <mergeCell ref="Y7:Z7"/>
    <mergeCell ref="AA7:AA8"/>
    <mergeCell ref="AB7:AD8"/>
    <mergeCell ref="AF7:AF8"/>
  </mergeCells>
  <pageMargins left="0.39370078740157483" right="0.39370078740157483" top="0.39370078740157483" bottom="0.39370078740157483" header="0.31496062992125984" footer="0.31496062992125984"/>
  <pageSetup paperSize="14" scale="5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4"/>
  <sheetViews>
    <sheetView topLeftCell="A29" zoomScaleNormal="100" workbookViewId="0">
      <selection activeCell="X47" sqref="X47:X48"/>
    </sheetView>
  </sheetViews>
  <sheetFormatPr defaultColWidth="11.28515625" defaultRowHeight="15" x14ac:dyDescent="0.25"/>
  <cols>
    <col min="1" max="1" width="21" style="2" customWidth="1"/>
    <col min="2" max="3" width="21" style="2" hidden="1" customWidth="1"/>
    <col min="4" max="4" width="8.42578125" style="2" customWidth="1"/>
    <col min="5" max="5" width="9" style="2" customWidth="1"/>
    <col min="6" max="6" width="8.42578125" style="2" bestFit="1" customWidth="1"/>
    <col min="7" max="7" width="9.5703125" style="2" customWidth="1"/>
    <col min="8" max="15" width="5" style="2" hidden="1" customWidth="1"/>
    <col min="16" max="16" width="14" style="2" customWidth="1"/>
    <col min="17" max="17" width="7.7109375" style="2" hidden="1" customWidth="1"/>
    <col min="18" max="18" width="7.28515625" style="2" hidden="1" customWidth="1"/>
    <col min="19" max="19" width="7.42578125" style="2" customWidth="1"/>
    <col min="20" max="20" width="7.5703125" style="2" customWidth="1"/>
    <col min="21" max="21" width="14.7109375" style="2" hidden="1" customWidth="1"/>
    <col min="22" max="22" width="8.85546875" style="2" customWidth="1"/>
    <col min="23" max="24" width="8.5703125" style="2" customWidth="1"/>
    <col min="25" max="25" width="8.85546875" style="2" customWidth="1"/>
    <col min="26" max="26" width="6.7109375" style="2" bestFit="1" customWidth="1"/>
    <col min="27" max="27" width="10.5703125" style="2" customWidth="1"/>
    <col min="28" max="28" width="10.42578125" style="2" bestFit="1" customWidth="1"/>
    <col min="29" max="29" width="8.28515625" style="2" customWidth="1"/>
    <col min="30" max="30" width="8.7109375" style="2" bestFit="1" customWidth="1"/>
    <col min="31" max="31" width="14.7109375" style="2" bestFit="1" customWidth="1"/>
    <col min="32" max="32" width="10.7109375" style="2" customWidth="1"/>
    <col min="33" max="33" width="14.7109375" style="2" bestFit="1" customWidth="1"/>
    <col min="34" max="34" width="12" style="2" bestFit="1" customWidth="1"/>
    <col min="35" max="16384" width="11.28515625" style="2"/>
  </cols>
  <sheetData>
    <row r="1" spans="1:34" s="1" customFormat="1" ht="20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 spans="1:34" ht="20.25" x14ac:dyDescent="0.3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</row>
    <row r="3" spans="1:34" s="1" customFormat="1" ht="12.75" customHeight="1" x14ac:dyDescent="0.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3"/>
    </row>
    <row r="4" spans="1:34" s="4" customFormat="1" ht="24.75" customHeight="1" x14ac:dyDescent="0.2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4" s="5" customFormat="1" ht="21.75" customHeight="1" x14ac:dyDescent="0.2">
      <c r="A5" s="98" t="s">
        <v>45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</row>
    <row r="6" spans="1:34" s="5" customFormat="1" ht="7.5" customHeight="1" thickBot="1" x14ac:dyDescent="0.2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</row>
    <row r="7" spans="1:34" s="1" customFormat="1" ht="14.25" x14ac:dyDescent="0.2">
      <c r="A7" s="99" t="s">
        <v>3</v>
      </c>
      <c r="B7" s="64"/>
      <c r="C7" s="64"/>
      <c r="D7" s="101"/>
      <c r="E7" s="102"/>
      <c r="F7" s="105" t="s">
        <v>5</v>
      </c>
      <c r="G7" s="101"/>
      <c r="H7" s="101"/>
      <c r="I7" s="101"/>
      <c r="J7" s="101"/>
      <c r="K7" s="101"/>
      <c r="L7" s="101"/>
      <c r="M7" s="101"/>
      <c r="N7" s="101"/>
      <c r="O7" s="102"/>
      <c r="P7" s="66" t="s">
        <v>6</v>
      </c>
      <c r="Q7" s="105" t="s">
        <v>4</v>
      </c>
      <c r="R7" s="101"/>
      <c r="S7" s="101"/>
      <c r="T7" s="101"/>
      <c r="U7" s="102"/>
      <c r="V7" s="107" t="s">
        <v>5</v>
      </c>
      <c r="W7" s="107"/>
      <c r="X7" s="66"/>
      <c r="Y7" s="107" t="s">
        <v>6</v>
      </c>
      <c r="Z7" s="107"/>
      <c r="AA7" s="109" t="s">
        <v>5</v>
      </c>
      <c r="AB7" s="107" t="s">
        <v>4</v>
      </c>
      <c r="AC7" s="107"/>
      <c r="AD7" s="107"/>
      <c r="AE7" s="66" t="s">
        <v>6</v>
      </c>
      <c r="AF7" s="107" t="s">
        <v>6</v>
      </c>
      <c r="AG7" s="124" t="s">
        <v>5</v>
      </c>
    </row>
    <row r="8" spans="1:34" s="1" customFormat="1" ht="14.25" x14ac:dyDescent="0.2">
      <c r="A8" s="100"/>
      <c r="B8" s="65"/>
      <c r="C8" s="65"/>
      <c r="D8" s="103"/>
      <c r="E8" s="104"/>
      <c r="F8" s="106"/>
      <c r="G8" s="103"/>
      <c r="H8" s="103"/>
      <c r="I8" s="103"/>
      <c r="J8" s="103"/>
      <c r="K8" s="103"/>
      <c r="L8" s="103"/>
      <c r="M8" s="103"/>
      <c r="N8" s="103"/>
      <c r="O8" s="104"/>
      <c r="P8" s="59" t="s">
        <v>5</v>
      </c>
      <c r="Q8" s="106"/>
      <c r="R8" s="103"/>
      <c r="S8" s="103"/>
      <c r="T8" s="103"/>
      <c r="U8" s="104"/>
      <c r="V8" s="108"/>
      <c r="W8" s="108"/>
      <c r="X8" s="59"/>
      <c r="Y8" s="108" t="s">
        <v>5</v>
      </c>
      <c r="Z8" s="108"/>
      <c r="AA8" s="110"/>
      <c r="AB8" s="108"/>
      <c r="AC8" s="108"/>
      <c r="AD8" s="108"/>
      <c r="AE8" s="59" t="s">
        <v>5</v>
      </c>
      <c r="AF8" s="108"/>
      <c r="AG8" s="125"/>
    </row>
    <row r="9" spans="1:34" s="4" customFormat="1" ht="17.25" customHeight="1" x14ac:dyDescent="0.2">
      <c r="A9" s="111" t="s">
        <v>7</v>
      </c>
      <c r="B9" s="37"/>
      <c r="C9" s="37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4"/>
      <c r="P9" s="115" t="s">
        <v>8</v>
      </c>
      <c r="Q9" s="116" t="s">
        <v>9</v>
      </c>
      <c r="R9" s="116"/>
      <c r="S9" s="116"/>
      <c r="T9" s="116"/>
      <c r="U9" s="116"/>
      <c r="V9" s="116"/>
      <c r="W9" s="116"/>
      <c r="X9" s="116"/>
      <c r="Y9" s="116"/>
      <c r="Z9" s="116"/>
      <c r="AA9" s="117" t="s">
        <v>10</v>
      </c>
      <c r="AB9" s="117"/>
      <c r="AC9" s="117"/>
      <c r="AD9" s="117"/>
      <c r="AE9" s="6"/>
      <c r="AF9" s="6"/>
      <c r="AG9" s="7"/>
    </row>
    <row r="10" spans="1:34" s="4" customFormat="1" ht="17.25" x14ac:dyDescent="0.2">
      <c r="A10" s="111"/>
      <c r="B10" s="38"/>
      <c r="C10" s="38"/>
      <c r="D10" s="118">
        <v>200</v>
      </c>
      <c r="E10" s="118"/>
      <c r="F10" s="119">
        <v>215</v>
      </c>
      <c r="G10" s="120"/>
      <c r="H10" s="118">
        <v>135</v>
      </c>
      <c r="I10" s="118"/>
      <c r="J10" s="118">
        <v>150</v>
      </c>
      <c r="K10" s="118"/>
      <c r="L10" s="118">
        <v>150</v>
      </c>
      <c r="M10" s="118"/>
      <c r="N10" s="119">
        <v>38</v>
      </c>
      <c r="O10" s="120"/>
      <c r="P10" s="115"/>
      <c r="Q10" s="118" t="s">
        <v>11</v>
      </c>
      <c r="R10" s="118"/>
      <c r="S10" s="118" t="s">
        <v>12</v>
      </c>
      <c r="T10" s="118"/>
      <c r="U10" s="61" t="s">
        <v>13</v>
      </c>
      <c r="V10" s="119" t="s">
        <v>14</v>
      </c>
      <c r="W10" s="126"/>
      <c r="X10" s="120"/>
      <c r="Y10" s="60" t="s">
        <v>15</v>
      </c>
      <c r="Z10" s="60" t="s">
        <v>16</v>
      </c>
      <c r="AA10" s="60" t="s">
        <v>17</v>
      </c>
      <c r="AB10" s="60" t="s">
        <v>17</v>
      </c>
      <c r="AC10" s="60" t="s">
        <v>40</v>
      </c>
      <c r="AD10" s="60" t="s">
        <v>17</v>
      </c>
      <c r="AE10" s="60" t="s">
        <v>18</v>
      </c>
      <c r="AF10" s="60" t="s">
        <v>19</v>
      </c>
      <c r="AG10" s="8" t="s">
        <v>20</v>
      </c>
    </row>
    <row r="11" spans="1:34" s="4" customFormat="1" ht="17.25" x14ac:dyDescent="0.2">
      <c r="A11" s="111"/>
      <c r="B11" s="38"/>
      <c r="C11" s="38"/>
      <c r="D11" s="118" t="s">
        <v>42</v>
      </c>
      <c r="E11" s="118"/>
      <c r="F11" s="119" t="s">
        <v>22</v>
      </c>
      <c r="G11" s="120"/>
      <c r="H11" s="118" t="s">
        <v>22</v>
      </c>
      <c r="I11" s="118"/>
      <c r="J11" s="118" t="s">
        <v>21</v>
      </c>
      <c r="K11" s="118"/>
      <c r="L11" s="118" t="s">
        <v>23</v>
      </c>
      <c r="M11" s="118"/>
      <c r="N11" s="119" t="s">
        <v>22</v>
      </c>
      <c r="O11" s="120"/>
      <c r="P11" s="115"/>
      <c r="Q11" s="60">
        <v>2.4</v>
      </c>
      <c r="R11" s="60">
        <v>3.6</v>
      </c>
      <c r="S11" s="60">
        <v>2.4</v>
      </c>
      <c r="T11" s="60">
        <v>3.6</v>
      </c>
      <c r="U11" s="60">
        <v>2.4</v>
      </c>
      <c r="V11" s="60">
        <v>3.6</v>
      </c>
      <c r="W11" s="60">
        <v>2.4</v>
      </c>
      <c r="X11" s="60">
        <v>4.9000000000000004</v>
      </c>
      <c r="Y11" s="60"/>
      <c r="Z11" s="60"/>
      <c r="AA11" s="60">
        <v>5</v>
      </c>
      <c r="AB11" s="60">
        <v>10</v>
      </c>
      <c r="AC11" s="60" t="s">
        <v>41</v>
      </c>
      <c r="AD11" s="60">
        <v>40</v>
      </c>
      <c r="AE11" s="60"/>
      <c r="AF11" s="60"/>
      <c r="AG11" s="8" t="s">
        <v>24</v>
      </c>
    </row>
    <row r="12" spans="1:34" s="4" customFormat="1" ht="17.25" x14ac:dyDescent="0.2">
      <c r="A12" s="111"/>
      <c r="B12" s="38"/>
      <c r="C12" s="38"/>
      <c r="D12" s="121">
        <v>35245</v>
      </c>
      <c r="E12" s="121"/>
      <c r="F12" s="122">
        <v>11082</v>
      </c>
      <c r="G12" s="123"/>
      <c r="H12" s="121">
        <v>21810</v>
      </c>
      <c r="I12" s="121"/>
      <c r="J12" s="121">
        <v>17362</v>
      </c>
      <c r="K12" s="121"/>
      <c r="L12" s="121">
        <v>18389</v>
      </c>
      <c r="M12" s="121"/>
      <c r="N12" s="122">
        <v>21811</v>
      </c>
      <c r="O12" s="123"/>
      <c r="P12" s="58">
        <v>10128</v>
      </c>
      <c r="Q12" s="58">
        <v>10962</v>
      </c>
      <c r="R12" s="58">
        <v>15427</v>
      </c>
      <c r="S12" s="58">
        <v>16623</v>
      </c>
      <c r="T12" s="58">
        <v>16967</v>
      </c>
      <c r="U12" s="58">
        <v>28230</v>
      </c>
      <c r="V12" s="58">
        <v>10966</v>
      </c>
      <c r="W12" s="58">
        <v>10965</v>
      </c>
      <c r="X12" s="58">
        <v>21809</v>
      </c>
      <c r="Y12" s="58">
        <v>11966</v>
      </c>
      <c r="Z12" s="58">
        <v>11089</v>
      </c>
      <c r="AA12" s="58">
        <v>10960</v>
      </c>
      <c r="AB12" s="58">
        <v>10961</v>
      </c>
      <c r="AC12" s="58">
        <v>33442</v>
      </c>
      <c r="AD12" s="58">
        <v>10959</v>
      </c>
      <c r="AE12" s="58">
        <v>12487</v>
      </c>
      <c r="AF12" s="58">
        <v>16823</v>
      </c>
      <c r="AG12" s="9">
        <v>11342</v>
      </c>
    </row>
    <row r="13" spans="1:34" s="4" customFormat="1" ht="17.25" x14ac:dyDescent="0.2">
      <c r="A13" s="112"/>
      <c r="B13" s="39"/>
      <c r="C13" s="39"/>
      <c r="D13" s="10" t="s">
        <v>25</v>
      </c>
      <c r="E13" s="10" t="s">
        <v>26</v>
      </c>
      <c r="F13" s="10" t="s">
        <v>25</v>
      </c>
      <c r="G13" s="10" t="s">
        <v>26</v>
      </c>
      <c r="H13" s="10" t="s">
        <v>25</v>
      </c>
      <c r="I13" s="10" t="s">
        <v>26</v>
      </c>
      <c r="J13" s="10" t="s">
        <v>25</v>
      </c>
      <c r="K13" s="10" t="s">
        <v>26</v>
      </c>
      <c r="L13" s="10" t="s">
        <v>25</v>
      </c>
      <c r="M13" s="10" t="s">
        <v>26</v>
      </c>
      <c r="N13" s="10" t="s">
        <v>25</v>
      </c>
      <c r="O13" s="10" t="s">
        <v>26</v>
      </c>
      <c r="P13" s="10" t="s">
        <v>26</v>
      </c>
      <c r="Q13" s="10" t="s">
        <v>25</v>
      </c>
      <c r="R13" s="10" t="s">
        <v>25</v>
      </c>
      <c r="S13" s="10" t="s">
        <v>25</v>
      </c>
      <c r="T13" s="10" t="s">
        <v>25</v>
      </c>
      <c r="U13" s="10" t="s">
        <v>25</v>
      </c>
      <c r="V13" s="10" t="s">
        <v>25</v>
      </c>
      <c r="W13" s="10" t="s">
        <v>25</v>
      </c>
      <c r="X13" s="10" t="s">
        <v>25</v>
      </c>
      <c r="Y13" s="10" t="s">
        <v>25</v>
      </c>
      <c r="Z13" s="10" t="s">
        <v>25</v>
      </c>
      <c r="AA13" s="10" t="s">
        <v>27</v>
      </c>
      <c r="AB13" s="10" t="s">
        <v>27</v>
      </c>
      <c r="AC13" s="10" t="s">
        <v>27</v>
      </c>
      <c r="AD13" s="10" t="s">
        <v>27</v>
      </c>
      <c r="AE13" s="11" t="s">
        <v>27</v>
      </c>
      <c r="AF13" s="10" t="s">
        <v>27</v>
      </c>
      <c r="AG13" s="12" t="s">
        <v>25</v>
      </c>
    </row>
    <row r="14" spans="1:34" ht="21.95" customHeight="1" x14ac:dyDescent="0.25">
      <c r="A14" s="13">
        <v>46054</v>
      </c>
      <c r="B14" s="14"/>
      <c r="C14" s="15">
        <f t="shared" ref="C14:C17" si="0">B14/200*25</f>
        <v>0</v>
      </c>
      <c r="D14" s="14">
        <v>1357</v>
      </c>
      <c r="E14" s="16">
        <f>D14/200*25</f>
        <v>169.625</v>
      </c>
      <c r="F14" s="14">
        <v>642</v>
      </c>
      <c r="G14" s="17">
        <f t="shared" ref="G14:G41" si="1">F14/215*25</f>
        <v>74.651162790697683</v>
      </c>
      <c r="H14" s="14"/>
      <c r="I14" s="18"/>
      <c r="J14" s="14"/>
      <c r="K14" s="14"/>
      <c r="L14" s="14"/>
      <c r="M14" s="14"/>
      <c r="N14" s="14"/>
      <c r="O14" s="18">
        <v>0</v>
      </c>
      <c r="P14" s="18">
        <v>595</v>
      </c>
      <c r="Q14" s="19"/>
      <c r="R14" s="19"/>
      <c r="S14" s="19"/>
      <c r="T14" s="19"/>
      <c r="U14" s="19"/>
      <c r="V14" s="19">
        <v>8</v>
      </c>
      <c r="W14" s="20">
        <v>925</v>
      </c>
      <c r="X14" s="20"/>
      <c r="Y14" s="19">
        <v>113</v>
      </c>
      <c r="Z14" s="19">
        <v>2</v>
      </c>
      <c r="AA14" s="19">
        <v>398</v>
      </c>
      <c r="AB14" s="19"/>
      <c r="AC14" s="19">
        <v>19</v>
      </c>
      <c r="AD14" s="19"/>
      <c r="AE14" s="21">
        <f>Y14*2.43</f>
        <v>274.59000000000003</v>
      </c>
      <c r="AF14" s="19"/>
      <c r="AG14" s="22"/>
      <c r="AH14" s="23"/>
    </row>
    <row r="15" spans="1:34" ht="21.95" customHeight="1" x14ac:dyDescent="0.25">
      <c r="A15" s="13">
        <v>46055</v>
      </c>
      <c r="B15" s="14"/>
      <c r="C15" s="15">
        <f t="shared" si="0"/>
        <v>0</v>
      </c>
      <c r="D15" s="14">
        <v>1451</v>
      </c>
      <c r="E15" s="16">
        <f t="shared" ref="E15:E20" si="2">D15/200*25</f>
        <v>181.375</v>
      </c>
      <c r="F15" s="14">
        <v>1714</v>
      </c>
      <c r="G15" s="17">
        <f t="shared" si="1"/>
        <v>199.30232558139537</v>
      </c>
      <c r="H15" s="14"/>
      <c r="I15" s="18">
        <f t="shared" ref="I15:I18" si="3">H15/135*25</f>
        <v>0</v>
      </c>
      <c r="J15" s="14"/>
      <c r="K15" s="14">
        <v>0</v>
      </c>
      <c r="L15" s="14"/>
      <c r="M15" s="14">
        <v>0</v>
      </c>
      <c r="N15" s="14"/>
      <c r="O15" s="18">
        <f>N15/38*25</f>
        <v>0</v>
      </c>
      <c r="P15" s="18">
        <v>877</v>
      </c>
      <c r="Q15" s="19"/>
      <c r="R15" s="19"/>
      <c r="S15" s="20"/>
      <c r="T15" s="19"/>
      <c r="U15" s="19"/>
      <c r="V15" s="19">
        <v>40</v>
      </c>
      <c r="W15" s="20">
        <v>1405</v>
      </c>
      <c r="X15" s="20"/>
      <c r="Y15" s="19">
        <v>164</v>
      </c>
      <c r="Z15" s="19">
        <v>4</v>
      </c>
      <c r="AA15" s="19">
        <v>554</v>
      </c>
      <c r="AB15" s="19"/>
      <c r="AC15" s="19">
        <v>83</v>
      </c>
      <c r="AD15" s="19"/>
      <c r="AE15" s="21">
        <f t="shared" ref="AE15:AE20" si="4">Y15*2.43</f>
        <v>398.52000000000004</v>
      </c>
      <c r="AF15" s="19">
        <v>150</v>
      </c>
      <c r="AG15" s="22"/>
      <c r="AH15" s="23"/>
    </row>
    <row r="16" spans="1:34" ht="21.95" customHeight="1" x14ac:dyDescent="0.25">
      <c r="A16" s="13">
        <v>46056</v>
      </c>
      <c r="B16" s="14"/>
      <c r="C16" s="15">
        <f t="shared" si="0"/>
        <v>0</v>
      </c>
      <c r="D16" s="14">
        <v>1801</v>
      </c>
      <c r="E16" s="16">
        <f t="shared" si="2"/>
        <v>225.12500000000003</v>
      </c>
      <c r="F16" s="14">
        <v>1296</v>
      </c>
      <c r="G16" s="17">
        <f t="shared" si="1"/>
        <v>150.69767441860463</v>
      </c>
      <c r="H16" s="14"/>
      <c r="I16" s="18">
        <f t="shared" si="3"/>
        <v>0</v>
      </c>
      <c r="J16" s="14"/>
      <c r="K16" s="14"/>
      <c r="L16" s="14"/>
      <c r="M16" s="14"/>
      <c r="N16" s="14"/>
      <c r="O16" s="18">
        <f t="shared" ref="O16:O18" si="5">N16/38*25</f>
        <v>0</v>
      </c>
      <c r="P16" s="18">
        <v>1102.2</v>
      </c>
      <c r="Q16" s="19"/>
      <c r="R16" s="19"/>
      <c r="S16" s="19"/>
      <c r="T16" s="19"/>
      <c r="U16" s="19"/>
      <c r="V16" s="19">
        <v>14</v>
      </c>
      <c r="W16" s="20">
        <v>1615</v>
      </c>
      <c r="X16" s="20"/>
      <c r="Y16" s="19">
        <v>194</v>
      </c>
      <c r="Z16" s="19">
        <v>4</v>
      </c>
      <c r="AA16" s="19">
        <v>704</v>
      </c>
      <c r="AB16" s="19"/>
      <c r="AC16" s="19">
        <v>77</v>
      </c>
      <c r="AD16" s="19"/>
      <c r="AE16" s="21">
        <f t="shared" si="4"/>
        <v>471.42</v>
      </c>
      <c r="AF16" s="19"/>
      <c r="AG16" s="22"/>
    </row>
    <row r="17" spans="1:34" ht="21.95" customHeight="1" x14ac:dyDescent="0.25">
      <c r="A17" s="13">
        <v>46057</v>
      </c>
      <c r="B17" s="14"/>
      <c r="C17" s="15">
        <f t="shared" si="0"/>
        <v>0</v>
      </c>
      <c r="D17" s="14">
        <v>1650</v>
      </c>
      <c r="E17" s="16">
        <f t="shared" si="2"/>
        <v>206.25</v>
      </c>
      <c r="F17" s="14">
        <v>2133</v>
      </c>
      <c r="G17" s="17">
        <f t="shared" si="1"/>
        <v>248.02325581395351</v>
      </c>
      <c r="H17" s="14"/>
      <c r="I17" s="18">
        <f t="shared" si="3"/>
        <v>0</v>
      </c>
      <c r="J17" s="14"/>
      <c r="K17" s="14"/>
      <c r="L17" s="14"/>
      <c r="M17" s="14"/>
      <c r="N17" s="14"/>
      <c r="O17" s="18">
        <f t="shared" si="5"/>
        <v>0</v>
      </c>
      <c r="P17" s="18">
        <v>1085</v>
      </c>
      <c r="Q17" s="19"/>
      <c r="R17" s="19"/>
      <c r="S17" s="19"/>
      <c r="T17" s="19"/>
      <c r="U17" s="19"/>
      <c r="V17" s="35">
        <v>37</v>
      </c>
      <c r="W17" s="20">
        <v>1664</v>
      </c>
      <c r="X17" s="20"/>
      <c r="Y17" s="19">
        <v>218</v>
      </c>
      <c r="Z17" s="19">
        <v>8</v>
      </c>
      <c r="AA17" s="19">
        <v>726</v>
      </c>
      <c r="AB17" s="19"/>
      <c r="AC17" s="19">
        <v>108</v>
      </c>
      <c r="AD17" s="19"/>
      <c r="AE17" s="21">
        <f t="shared" si="4"/>
        <v>529.74</v>
      </c>
      <c r="AF17" s="19"/>
      <c r="AG17" s="22"/>
      <c r="AH17" s="23"/>
    </row>
    <row r="18" spans="1:34" ht="21.95" customHeight="1" x14ac:dyDescent="0.25">
      <c r="A18" s="13">
        <v>46058</v>
      </c>
      <c r="B18" s="14"/>
      <c r="C18" s="15">
        <f>B18/200*25</f>
        <v>0</v>
      </c>
      <c r="D18" s="14">
        <v>489</v>
      </c>
      <c r="E18" s="16">
        <f t="shared" si="2"/>
        <v>61.124999999999993</v>
      </c>
      <c r="F18" s="14">
        <v>437</v>
      </c>
      <c r="G18" s="17">
        <f t="shared" si="1"/>
        <v>50.813953488372086</v>
      </c>
      <c r="H18" s="14"/>
      <c r="I18" s="18">
        <f t="shared" si="3"/>
        <v>0</v>
      </c>
      <c r="J18" s="14"/>
      <c r="K18" s="14"/>
      <c r="L18" s="14"/>
      <c r="M18" s="14"/>
      <c r="N18" s="14"/>
      <c r="O18" s="18">
        <f t="shared" si="5"/>
        <v>0</v>
      </c>
      <c r="P18" s="18">
        <v>437.40000000000003</v>
      </c>
      <c r="Q18" s="19"/>
      <c r="R18" s="19"/>
      <c r="S18" s="19"/>
      <c r="T18" s="19"/>
      <c r="U18" s="19"/>
      <c r="V18" s="19">
        <v>2</v>
      </c>
      <c r="W18" s="20">
        <v>579</v>
      </c>
      <c r="X18" s="20"/>
      <c r="Y18" s="19">
        <v>69</v>
      </c>
      <c r="Z18" s="19"/>
      <c r="AA18" s="19">
        <v>248</v>
      </c>
      <c r="AB18" s="19"/>
      <c r="AC18" s="19">
        <v>20</v>
      </c>
      <c r="AD18" s="19"/>
      <c r="AE18" s="21">
        <f t="shared" si="4"/>
        <v>167.67000000000002</v>
      </c>
      <c r="AF18" s="19"/>
      <c r="AG18" s="22"/>
    </row>
    <row r="19" spans="1:34" ht="21.95" customHeight="1" x14ac:dyDescent="0.25">
      <c r="A19" s="13">
        <v>46059</v>
      </c>
      <c r="B19" s="14"/>
      <c r="C19" s="15">
        <f t="shared" ref="C19:C24" si="6">B19/200*25</f>
        <v>0</v>
      </c>
      <c r="D19" s="14">
        <v>1720</v>
      </c>
      <c r="E19" s="16">
        <f t="shared" si="2"/>
        <v>215</v>
      </c>
      <c r="F19" s="14">
        <v>2337</v>
      </c>
      <c r="G19" s="17">
        <f t="shared" si="1"/>
        <v>271.74418604651163</v>
      </c>
      <c r="H19" s="14"/>
      <c r="I19" s="18"/>
      <c r="J19" s="14"/>
      <c r="K19" s="14"/>
      <c r="L19" s="14"/>
      <c r="M19" s="14"/>
      <c r="N19" s="14"/>
      <c r="O19" s="18">
        <v>0</v>
      </c>
      <c r="P19" s="18">
        <v>1421</v>
      </c>
      <c r="Q19" s="19"/>
      <c r="R19" s="19"/>
      <c r="S19" s="20"/>
      <c r="T19" s="19"/>
      <c r="U19" s="19"/>
      <c r="V19" s="19">
        <v>51</v>
      </c>
      <c r="W19" s="20">
        <v>2072</v>
      </c>
      <c r="X19" s="20"/>
      <c r="Y19" s="19">
        <v>222</v>
      </c>
      <c r="Z19" s="19">
        <v>14</v>
      </c>
      <c r="AA19" s="19">
        <v>869</v>
      </c>
      <c r="AB19" s="19"/>
      <c r="AC19" s="19">
        <v>85</v>
      </c>
      <c r="AD19" s="19"/>
      <c r="AE19" s="21">
        <f t="shared" si="4"/>
        <v>539.46</v>
      </c>
      <c r="AF19" s="19"/>
      <c r="AG19" s="22"/>
    </row>
    <row r="20" spans="1:34" ht="21.95" customHeight="1" x14ac:dyDescent="0.25">
      <c r="A20" s="13">
        <v>46060</v>
      </c>
      <c r="B20" s="14"/>
      <c r="C20" s="15">
        <f t="shared" si="6"/>
        <v>0</v>
      </c>
      <c r="D20" s="14">
        <v>1608</v>
      </c>
      <c r="E20" s="16">
        <f t="shared" si="2"/>
        <v>200.99999999999997</v>
      </c>
      <c r="F20" s="14">
        <v>999</v>
      </c>
      <c r="G20" s="17">
        <f t="shared" si="1"/>
        <v>116.16279069767441</v>
      </c>
      <c r="H20" s="14"/>
      <c r="I20" s="18"/>
      <c r="J20" s="14"/>
      <c r="K20" s="14"/>
      <c r="L20" s="14"/>
      <c r="M20" s="14"/>
      <c r="N20" s="14"/>
      <c r="O20" s="18">
        <v>0</v>
      </c>
      <c r="P20" s="18">
        <v>1095.8000000000002</v>
      </c>
      <c r="Q20" s="19"/>
      <c r="R20" s="19"/>
      <c r="S20" s="20"/>
      <c r="T20" s="19"/>
      <c r="U20" s="19"/>
      <c r="V20" s="19">
        <v>13</v>
      </c>
      <c r="W20" s="20">
        <v>1519</v>
      </c>
      <c r="X20" s="20"/>
      <c r="Y20" s="19">
        <v>167</v>
      </c>
      <c r="Z20" s="19">
        <v>4</v>
      </c>
      <c r="AA20" s="19">
        <v>675</v>
      </c>
      <c r="AB20" s="19"/>
      <c r="AC20" s="19">
        <v>49</v>
      </c>
      <c r="AD20" s="19"/>
      <c r="AE20" s="21">
        <f t="shared" si="4"/>
        <v>405.81</v>
      </c>
      <c r="AF20" s="19"/>
      <c r="AG20" s="22"/>
    </row>
    <row r="21" spans="1:34" ht="21.95" customHeight="1" x14ac:dyDescent="0.25">
      <c r="A21" s="13">
        <v>46061</v>
      </c>
      <c r="B21" s="14"/>
      <c r="C21" s="15">
        <f t="shared" si="6"/>
        <v>0</v>
      </c>
      <c r="D21" s="14">
        <v>1088</v>
      </c>
      <c r="E21" s="16">
        <f>D21/200*25</f>
        <v>136</v>
      </c>
      <c r="F21" s="14">
        <v>967</v>
      </c>
      <c r="G21" s="17">
        <f t="shared" si="1"/>
        <v>112.44186046511628</v>
      </c>
      <c r="H21" s="14"/>
      <c r="I21" s="18"/>
      <c r="J21" s="14"/>
      <c r="K21" s="14"/>
      <c r="L21" s="14"/>
      <c r="M21" s="14"/>
      <c r="N21" s="14"/>
      <c r="O21" s="18">
        <v>0</v>
      </c>
      <c r="P21" s="18">
        <v>622</v>
      </c>
      <c r="Q21" s="19"/>
      <c r="R21" s="19"/>
      <c r="S21" s="19"/>
      <c r="T21" s="19"/>
      <c r="U21" s="19"/>
      <c r="V21" s="19"/>
      <c r="W21" s="20">
        <v>980</v>
      </c>
      <c r="X21" s="20"/>
      <c r="Y21" s="19">
        <v>110</v>
      </c>
      <c r="Z21" s="19">
        <v>4</v>
      </c>
      <c r="AA21" s="19">
        <v>420</v>
      </c>
      <c r="AB21" s="19"/>
      <c r="AC21" s="19">
        <v>50</v>
      </c>
      <c r="AD21" s="19"/>
      <c r="AE21" s="21">
        <f>Y21*2.43</f>
        <v>267.3</v>
      </c>
      <c r="AF21" s="19">
        <v>40</v>
      </c>
      <c r="AG21" s="22"/>
      <c r="AH21" s="23"/>
    </row>
    <row r="22" spans="1:34" ht="21.95" customHeight="1" x14ac:dyDescent="0.25">
      <c r="A22" s="13">
        <v>46062</v>
      </c>
      <c r="B22" s="14"/>
      <c r="C22" s="15">
        <f t="shared" si="6"/>
        <v>0</v>
      </c>
      <c r="D22" s="14">
        <v>1233</v>
      </c>
      <c r="E22" s="16">
        <f t="shared" ref="E22:E27" si="7">D22/200*25</f>
        <v>154.125</v>
      </c>
      <c r="F22" s="14">
        <v>1814</v>
      </c>
      <c r="G22" s="17">
        <f t="shared" si="1"/>
        <v>210.93023255813952</v>
      </c>
      <c r="H22" s="14"/>
      <c r="I22" s="18">
        <f t="shared" ref="I22:I25" si="8">H22/135*25</f>
        <v>0</v>
      </c>
      <c r="J22" s="14"/>
      <c r="K22" s="14">
        <v>0</v>
      </c>
      <c r="L22" s="14"/>
      <c r="M22" s="14">
        <v>0</v>
      </c>
      <c r="N22" s="14"/>
      <c r="O22" s="18">
        <f>N22/38*25</f>
        <v>0</v>
      </c>
      <c r="P22" s="18">
        <v>1220.8</v>
      </c>
      <c r="Q22" s="19"/>
      <c r="R22" s="19"/>
      <c r="S22" s="20"/>
      <c r="T22" s="19"/>
      <c r="U22" s="19"/>
      <c r="V22" s="19">
        <v>23</v>
      </c>
      <c r="W22" s="20">
        <v>1584</v>
      </c>
      <c r="X22" s="20"/>
      <c r="Y22" s="19">
        <v>208</v>
      </c>
      <c r="Z22" s="19">
        <v>6</v>
      </c>
      <c r="AA22" s="19">
        <v>787</v>
      </c>
      <c r="AB22" s="19"/>
      <c r="AC22" s="19">
        <v>64</v>
      </c>
      <c r="AD22" s="19"/>
      <c r="AE22" s="21">
        <f t="shared" ref="AE22:AE27" si="9">Y22*2.43</f>
        <v>505.44000000000005</v>
      </c>
      <c r="AF22" s="19"/>
      <c r="AG22" s="22"/>
      <c r="AH22" s="23"/>
    </row>
    <row r="23" spans="1:34" ht="21.95" customHeight="1" x14ac:dyDescent="0.25">
      <c r="A23" s="13">
        <v>46063</v>
      </c>
      <c r="B23" s="14"/>
      <c r="C23" s="15">
        <f t="shared" si="6"/>
        <v>0</v>
      </c>
      <c r="D23" s="14">
        <v>1617</v>
      </c>
      <c r="E23" s="16">
        <f t="shared" si="7"/>
        <v>202.12500000000003</v>
      </c>
      <c r="F23" s="14">
        <v>1522</v>
      </c>
      <c r="G23" s="17">
        <f t="shared" si="1"/>
        <v>176.97674418604652</v>
      </c>
      <c r="H23" s="14"/>
      <c r="I23" s="18">
        <f t="shared" si="8"/>
        <v>0</v>
      </c>
      <c r="J23" s="14"/>
      <c r="K23" s="14"/>
      <c r="L23" s="14"/>
      <c r="M23" s="14"/>
      <c r="N23" s="14"/>
      <c r="O23" s="18">
        <f t="shared" ref="O23:O25" si="10">N23/38*25</f>
        <v>0</v>
      </c>
      <c r="P23" s="18">
        <v>1028.0999999999999</v>
      </c>
      <c r="Q23" s="19"/>
      <c r="R23" s="19"/>
      <c r="S23" s="19"/>
      <c r="T23" s="19"/>
      <c r="U23" s="19"/>
      <c r="V23" s="19">
        <v>8</v>
      </c>
      <c r="W23" s="20">
        <v>1506</v>
      </c>
      <c r="X23" s="20"/>
      <c r="Y23" s="19">
        <v>179</v>
      </c>
      <c r="Z23" s="19">
        <v>4</v>
      </c>
      <c r="AA23" s="19">
        <v>707</v>
      </c>
      <c r="AB23" s="19"/>
      <c r="AC23" s="19">
        <v>24</v>
      </c>
      <c r="AD23" s="19"/>
      <c r="AE23" s="21">
        <f t="shared" si="9"/>
        <v>434.97</v>
      </c>
      <c r="AF23" s="19">
        <v>150</v>
      </c>
      <c r="AG23" s="22"/>
    </row>
    <row r="24" spans="1:34" ht="21.95" customHeight="1" x14ac:dyDescent="0.25">
      <c r="A24" s="13">
        <v>46064</v>
      </c>
      <c r="B24" s="14"/>
      <c r="C24" s="15">
        <f t="shared" si="6"/>
        <v>0</v>
      </c>
      <c r="D24" s="14">
        <v>1454</v>
      </c>
      <c r="E24" s="16">
        <f t="shared" si="7"/>
        <v>181.75</v>
      </c>
      <c r="F24" s="14">
        <v>1572</v>
      </c>
      <c r="G24" s="17">
        <f t="shared" si="1"/>
        <v>182.7906976744186</v>
      </c>
      <c r="H24" s="14"/>
      <c r="I24" s="18">
        <f t="shared" si="8"/>
        <v>0</v>
      </c>
      <c r="J24" s="14"/>
      <c r="K24" s="14"/>
      <c r="L24" s="14"/>
      <c r="M24" s="14"/>
      <c r="N24" s="14"/>
      <c r="O24" s="18">
        <f t="shared" si="10"/>
        <v>0</v>
      </c>
      <c r="P24" s="18">
        <v>1234.6000000000001</v>
      </c>
      <c r="Q24" s="19"/>
      <c r="R24" s="19"/>
      <c r="S24" s="19"/>
      <c r="T24" s="19"/>
      <c r="U24" s="19"/>
      <c r="V24" s="35">
        <v>18</v>
      </c>
      <c r="W24" s="20">
        <v>1691</v>
      </c>
      <c r="X24" s="20"/>
      <c r="Y24" s="19">
        <v>186</v>
      </c>
      <c r="Z24" s="19">
        <v>6</v>
      </c>
      <c r="AA24" s="19">
        <v>805</v>
      </c>
      <c r="AB24" s="19"/>
      <c r="AC24" s="19">
        <v>85</v>
      </c>
      <c r="AD24" s="19"/>
      <c r="AE24" s="21">
        <f t="shared" si="9"/>
        <v>451.98</v>
      </c>
      <c r="AF24" s="19"/>
      <c r="AG24" s="22"/>
      <c r="AH24" s="23"/>
    </row>
    <row r="25" spans="1:34" ht="21.95" customHeight="1" x14ac:dyDescent="0.25">
      <c r="A25" s="13">
        <v>46065</v>
      </c>
      <c r="B25" s="14"/>
      <c r="C25" s="15">
        <f>B25/200*25</f>
        <v>0</v>
      </c>
      <c r="D25" s="14">
        <v>1852</v>
      </c>
      <c r="E25" s="16">
        <f t="shared" si="7"/>
        <v>231.5</v>
      </c>
      <c r="F25" s="14">
        <v>2260</v>
      </c>
      <c r="G25" s="17">
        <f t="shared" si="1"/>
        <v>262.7906976744186</v>
      </c>
      <c r="H25" s="14"/>
      <c r="I25" s="18">
        <f t="shared" si="8"/>
        <v>0</v>
      </c>
      <c r="J25" s="14"/>
      <c r="K25" s="14"/>
      <c r="L25" s="14"/>
      <c r="M25" s="14"/>
      <c r="N25" s="14"/>
      <c r="O25" s="18">
        <f t="shared" si="10"/>
        <v>0</v>
      </c>
      <c r="P25" s="18">
        <v>1323.3999999999999</v>
      </c>
      <c r="Q25" s="19"/>
      <c r="R25" s="19"/>
      <c r="S25" s="19"/>
      <c r="T25" s="19"/>
      <c r="U25" s="19"/>
      <c r="V25" s="19">
        <v>66</v>
      </c>
      <c r="W25" s="20">
        <v>1894</v>
      </c>
      <c r="X25" s="20"/>
      <c r="Y25" s="19">
        <v>208</v>
      </c>
      <c r="Z25" s="19">
        <v>8</v>
      </c>
      <c r="AA25" s="19">
        <v>917</v>
      </c>
      <c r="AB25" s="19"/>
      <c r="AC25" s="19">
        <v>58</v>
      </c>
      <c r="AD25" s="19"/>
      <c r="AE25" s="21">
        <f t="shared" si="9"/>
        <v>505.44000000000005</v>
      </c>
      <c r="AF25" s="19"/>
      <c r="AG25" s="22"/>
    </row>
    <row r="26" spans="1:34" ht="21.95" customHeight="1" x14ac:dyDescent="0.25">
      <c r="A26" s="13">
        <v>46066</v>
      </c>
      <c r="B26" s="14"/>
      <c r="C26" s="15">
        <f t="shared" ref="C26:C31" si="11">B26/200*25</f>
        <v>0</v>
      </c>
      <c r="D26" s="14">
        <v>1617</v>
      </c>
      <c r="E26" s="16">
        <f t="shared" si="7"/>
        <v>202.12500000000003</v>
      </c>
      <c r="F26" s="14">
        <v>1522</v>
      </c>
      <c r="G26" s="17">
        <f t="shared" si="1"/>
        <v>176.97674418604652</v>
      </c>
      <c r="H26" s="14"/>
      <c r="I26" s="18"/>
      <c r="J26" s="14"/>
      <c r="K26" s="14"/>
      <c r="L26" s="14"/>
      <c r="M26" s="14"/>
      <c r="N26" s="14"/>
      <c r="O26" s="18">
        <v>0</v>
      </c>
      <c r="P26" s="18">
        <v>1162</v>
      </c>
      <c r="Q26" s="19"/>
      <c r="R26" s="19"/>
      <c r="S26" s="20"/>
      <c r="T26" s="19"/>
      <c r="U26" s="19"/>
      <c r="V26" s="19">
        <v>52</v>
      </c>
      <c r="W26" s="20">
        <v>1619</v>
      </c>
      <c r="X26" s="20"/>
      <c r="Y26" s="19">
        <v>181</v>
      </c>
      <c r="Z26" s="19">
        <v>6</v>
      </c>
      <c r="AA26" s="19">
        <v>783</v>
      </c>
      <c r="AB26" s="19"/>
      <c r="AC26" s="19">
        <v>24</v>
      </c>
      <c r="AD26" s="19"/>
      <c r="AE26" s="21">
        <f t="shared" si="9"/>
        <v>439.83000000000004</v>
      </c>
      <c r="AF26" s="19"/>
      <c r="AG26" s="22"/>
    </row>
    <row r="27" spans="1:34" ht="21.95" customHeight="1" x14ac:dyDescent="0.25">
      <c r="A27" s="13">
        <v>46067</v>
      </c>
      <c r="B27" s="14"/>
      <c r="C27" s="15">
        <f t="shared" si="11"/>
        <v>0</v>
      </c>
      <c r="D27" s="14">
        <v>1488</v>
      </c>
      <c r="E27" s="16">
        <f t="shared" si="7"/>
        <v>186</v>
      </c>
      <c r="F27" s="14">
        <v>1470</v>
      </c>
      <c r="G27" s="17">
        <f t="shared" si="1"/>
        <v>170.93023255813952</v>
      </c>
      <c r="H27" s="14"/>
      <c r="I27" s="18"/>
      <c r="J27" s="14"/>
      <c r="K27" s="14"/>
      <c r="L27" s="14"/>
      <c r="M27" s="14"/>
      <c r="N27" s="14"/>
      <c r="O27" s="18">
        <v>0</v>
      </c>
      <c r="P27" s="18">
        <v>1014.4</v>
      </c>
      <c r="Q27" s="19"/>
      <c r="R27" s="19"/>
      <c r="S27" s="20"/>
      <c r="T27" s="19"/>
      <c r="U27" s="19"/>
      <c r="V27" s="19">
        <v>26</v>
      </c>
      <c r="W27" s="20">
        <v>1436</v>
      </c>
      <c r="X27" s="20"/>
      <c r="Y27" s="19">
        <v>150</v>
      </c>
      <c r="Z27" s="19">
        <v>8</v>
      </c>
      <c r="AA27" s="19">
        <v>659</v>
      </c>
      <c r="AB27" s="19"/>
      <c r="AC27" s="19">
        <v>29</v>
      </c>
      <c r="AD27" s="19"/>
      <c r="AE27" s="21">
        <f t="shared" si="9"/>
        <v>364.5</v>
      </c>
      <c r="AF27" s="19"/>
      <c r="AG27" s="22"/>
    </row>
    <row r="28" spans="1:34" ht="21.95" customHeight="1" x14ac:dyDescent="0.25">
      <c r="A28" s="13">
        <v>46068</v>
      </c>
      <c r="B28" s="14"/>
      <c r="C28" s="15">
        <f t="shared" si="11"/>
        <v>0</v>
      </c>
      <c r="D28" s="14">
        <v>1135</v>
      </c>
      <c r="E28" s="16">
        <f>D28/200*25</f>
        <v>141.875</v>
      </c>
      <c r="F28" s="14">
        <v>1174</v>
      </c>
      <c r="G28" s="17">
        <f t="shared" si="1"/>
        <v>136.51162790697674</v>
      </c>
      <c r="H28" s="14"/>
      <c r="I28" s="18"/>
      <c r="J28" s="14"/>
      <c r="K28" s="14"/>
      <c r="L28" s="14"/>
      <c r="M28" s="14"/>
      <c r="N28" s="14"/>
      <c r="O28" s="18">
        <v>0</v>
      </c>
      <c r="P28" s="18">
        <v>832.6</v>
      </c>
      <c r="Q28" s="19"/>
      <c r="R28" s="19"/>
      <c r="S28" s="19"/>
      <c r="T28" s="19"/>
      <c r="U28" s="19"/>
      <c r="V28" s="19">
        <v>12</v>
      </c>
      <c r="W28" s="20">
        <v>1149</v>
      </c>
      <c r="X28" s="20"/>
      <c r="Y28" s="19">
        <v>165</v>
      </c>
      <c r="Z28" s="19">
        <v>2</v>
      </c>
      <c r="AA28" s="19">
        <v>588</v>
      </c>
      <c r="AB28" s="19"/>
      <c r="AC28" s="19">
        <v>10</v>
      </c>
      <c r="AD28" s="19"/>
      <c r="AE28" s="21">
        <f>Y28*2.43</f>
        <v>400.95000000000005</v>
      </c>
      <c r="AF28" s="19"/>
      <c r="AG28" s="22"/>
      <c r="AH28" s="23"/>
    </row>
    <row r="29" spans="1:34" ht="21.95" customHeight="1" x14ac:dyDescent="0.25">
      <c r="A29" s="13">
        <v>46069</v>
      </c>
      <c r="B29" s="14"/>
      <c r="C29" s="15">
        <f t="shared" si="11"/>
        <v>0</v>
      </c>
      <c r="D29" s="14">
        <v>1434</v>
      </c>
      <c r="E29" s="16">
        <f t="shared" ref="E29:E34" si="12">D29/200*25</f>
        <v>179.25</v>
      </c>
      <c r="F29" s="14">
        <v>1274</v>
      </c>
      <c r="G29" s="17">
        <f t="shared" si="1"/>
        <v>148.13953488372093</v>
      </c>
      <c r="H29" s="14"/>
      <c r="I29" s="18">
        <f t="shared" ref="I29:I32" si="13">H29/135*25</f>
        <v>0</v>
      </c>
      <c r="J29" s="14"/>
      <c r="K29" s="14">
        <v>0</v>
      </c>
      <c r="L29" s="14"/>
      <c r="M29" s="14">
        <v>0</v>
      </c>
      <c r="N29" s="14"/>
      <c r="O29" s="18">
        <f>N29/38*25</f>
        <v>0</v>
      </c>
      <c r="P29" s="18">
        <v>954.8</v>
      </c>
      <c r="Q29" s="19"/>
      <c r="R29" s="19"/>
      <c r="S29" s="20"/>
      <c r="T29" s="19"/>
      <c r="U29" s="19"/>
      <c r="V29" s="19">
        <v>18</v>
      </c>
      <c r="W29" s="20">
        <v>1329</v>
      </c>
      <c r="X29" s="20"/>
      <c r="Y29" s="19">
        <v>151</v>
      </c>
      <c r="Z29" s="19">
        <v>6</v>
      </c>
      <c r="AA29" s="19">
        <v>729</v>
      </c>
      <c r="AB29" s="19"/>
      <c r="AC29" s="19"/>
      <c r="AD29" s="19"/>
      <c r="AE29" s="21">
        <f t="shared" ref="AE29:AE34" si="14">Y29*2.43</f>
        <v>366.93</v>
      </c>
      <c r="AF29" s="19"/>
      <c r="AG29" s="22"/>
      <c r="AH29" s="23"/>
    </row>
    <row r="30" spans="1:34" ht="21.95" customHeight="1" x14ac:dyDescent="0.25">
      <c r="A30" s="13">
        <v>46070</v>
      </c>
      <c r="B30" s="14"/>
      <c r="C30" s="15">
        <f t="shared" si="11"/>
        <v>0</v>
      </c>
      <c r="D30" s="14">
        <v>1895</v>
      </c>
      <c r="E30" s="16">
        <f t="shared" si="12"/>
        <v>236.875</v>
      </c>
      <c r="F30" s="14">
        <v>1434</v>
      </c>
      <c r="G30" s="17">
        <f t="shared" si="1"/>
        <v>166.74418604651163</v>
      </c>
      <c r="H30" s="14"/>
      <c r="I30" s="18">
        <f t="shared" si="13"/>
        <v>0</v>
      </c>
      <c r="J30" s="14"/>
      <c r="K30" s="14"/>
      <c r="L30" s="14"/>
      <c r="M30" s="14"/>
      <c r="N30" s="14"/>
      <c r="O30" s="18">
        <f t="shared" ref="O30:O32" si="15">N30/38*25</f>
        <v>0</v>
      </c>
      <c r="P30" s="18">
        <v>1100.8</v>
      </c>
      <c r="Q30" s="19"/>
      <c r="R30" s="19"/>
      <c r="S30" s="19"/>
      <c r="T30" s="19"/>
      <c r="U30" s="19"/>
      <c r="V30" s="19">
        <v>46</v>
      </c>
      <c r="W30" s="20">
        <v>1604</v>
      </c>
      <c r="X30" s="20"/>
      <c r="Y30" s="19">
        <v>173</v>
      </c>
      <c r="Z30" s="19">
        <v>4</v>
      </c>
      <c r="AA30" s="19">
        <v>777</v>
      </c>
      <c r="AB30" s="19"/>
      <c r="AC30" s="19"/>
      <c r="AD30" s="19"/>
      <c r="AE30" s="21">
        <f t="shared" si="14"/>
        <v>420.39000000000004</v>
      </c>
      <c r="AF30" s="19"/>
      <c r="AG30" s="22"/>
    </row>
    <row r="31" spans="1:34" ht="21.95" customHeight="1" x14ac:dyDescent="0.25">
      <c r="A31" s="13">
        <v>46071</v>
      </c>
      <c r="B31" s="14"/>
      <c r="C31" s="15">
        <f t="shared" si="11"/>
        <v>0</v>
      </c>
      <c r="D31" s="14">
        <v>2016</v>
      </c>
      <c r="E31" s="16">
        <f t="shared" si="12"/>
        <v>252</v>
      </c>
      <c r="F31" s="14">
        <v>1257</v>
      </c>
      <c r="G31" s="17">
        <f t="shared" si="1"/>
        <v>146.16279069767441</v>
      </c>
      <c r="H31" s="14"/>
      <c r="I31" s="18">
        <f t="shared" si="13"/>
        <v>0</v>
      </c>
      <c r="J31" s="14"/>
      <c r="K31" s="14"/>
      <c r="L31" s="14"/>
      <c r="M31" s="14"/>
      <c r="N31" s="14"/>
      <c r="O31" s="18">
        <f t="shared" si="15"/>
        <v>0</v>
      </c>
      <c r="P31" s="18">
        <v>1009.8000000000001</v>
      </c>
      <c r="Q31" s="19"/>
      <c r="R31" s="19"/>
      <c r="S31" s="19"/>
      <c r="T31" s="19"/>
      <c r="U31" s="19"/>
      <c r="V31" s="35">
        <v>32</v>
      </c>
      <c r="W31" s="20">
        <v>1473</v>
      </c>
      <c r="X31" s="20"/>
      <c r="Y31" s="19">
        <v>179</v>
      </c>
      <c r="Z31" s="19">
        <v>10</v>
      </c>
      <c r="AA31" s="19">
        <v>757</v>
      </c>
      <c r="AB31" s="19"/>
      <c r="AC31" s="19"/>
      <c r="AD31" s="19"/>
      <c r="AE31" s="21">
        <f t="shared" si="14"/>
        <v>434.97</v>
      </c>
      <c r="AF31" s="19"/>
      <c r="AG31" s="22">
        <v>1</v>
      </c>
      <c r="AH31" s="23"/>
    </row>
    <row r="32" spans="1:34" ht="21.95" customHeight="1" x14ac:dyDescent="0.25">
      <c r="A32" s="13">
        <v>46072</v>
      </c>
      <c r="B32" s="14"/>
      <c r="C32" s="15">
        <f>B32/200*25</f>
        <v>0</v>
      </c>
      <c r="D32" s="14">
        <v>1406</v>
      </c>
      <c r="E32" s="16">
        <f t="shared" si="12"/>
        <v>175.75</v>
      </c>
      <c r="F32" s="14">
        <v>1380</v>
      </c>
      <c r="G32" s="17">
        <f t="shared" si="1"/>
        <v>160.46511627906978</v>
      </c>
      <c r="H32" s="14"/>
      <c r="I32" s="18">
        <f t="shared" si="13"/>
        <v>0</v>
      </c>
      <c r="J32" s="14"/>
      <c r="K32" s="14"/>
      <c r="L32" s="14"/>
      <c r="M32" s="14"/>
      <c r="N32" s="14"/>
      <c r="O32" s="18">
        <f t="shared" si="15"/>
        <v>0</v>
      </c>
      <c r="P32" s="18">
        <v>906</v>
      </c>
      <c r="Q32" s="19"/>
      <c r="R32" s="19"/>
      <c r="S32" s="19"/>
      <c r="T32" s="19"/>
      <c r="U32" s="19"/>
      <c r="V32" s="19">
        <v>22</v>
      </c>
      <c r="W32" s="20">
        <v>1268</v>
      </c>
      <c r="X32" s="20"/>
      <c r="Y32" s="19">
        <v>163</v>
      </c>
      <c r="Z32" s="19">
        <v>2</v>
      </c>
      <c r="AA32" s="19">
        <v>657</v>
      </c>
      <c r="AB32" s="19"/>
      <c r="AC32" s="19"/>
      <c r="AD32" s="19"/>
      <c r="AE32" s="21">
        <f t="shared" si="14"/>
        <v>396.09000000000003</v>
      </c>
      <c r="AF32" s="19"/>
      <c r="AG32" s="22"/>
    </row>
    <row r="33" spans="1:37" ht="21.95" customHeight="1" x14ac:dyDescent="0.25">
      <c r="A33" s="13">
        <v>46073</v>
      </c>
      <c r="B33" s="14"/>
      <c r="C33" s="15">
        <f t="shared" ref="C33:C38" si="16">B33/200*25</f>
        <v>0</v>
      </c>
      <c r="D33" s="14"/>
      <c r="E33" s="16">
        <f t="shared" si="12"/>
        <v>0</v>
      </c>
      <c r="F33" s="14"/>
      <c r="G33" s="17">
        <f t="shared" si="1"/>
        <v>0</v>
      </c>
      <c r="H33" s="14"/>
      <c r="I33" s="18"/>
      <c r="J33" s="14"/>
      <c r="K33" s="14"/>
      <c r="L33" s="14"/>
      <c r="M33" s="14"/>
      <c r="N33" s="14"/>
      <c r="O33" s="18">
        <v>0</v>
      </c>
      <c r="P33" s="18"/>
      <c r="Q33" s="19"/>
      <c r="R33" s="19"/>
      <c r="S33" s="20"/>
      <c r="T33" s="19"/>
      <c r="U33" s="19"/>
      <c r="V33" s="19"/>
      <c r="W33" s="20"/>
      <c r="X33" s="20"/>
      <c r="Y33" s="19"/>
      <c r="Z33" s="19"/>
      <c r="AA33" s="19"/>
      <c r="AB33" s="19"/>
      <c r="AC33" s="19"/>
      <c r="AD33" s="19"/>
      <c r="AE33" s="21">
        <f t="shared" si="14"/>
        <v>0</v>
      </c>
      <c r="AF33" s="19"/>
      <c r="AG33" s="22"/>
    </row>
    <row r="34" spans="1:37" ht="21.95" customHeight="1" x14ac:dyDescent="0.25">
      <c r="A34" s="13">
        <v>46074</v>
      </c>
      <c r="B34" s="14"/>
      <c r="C34" s="15">
        <f t="shared" si="16"/>
        <v>0</v>
      </c>
      <c r="D34" s="14">
        <v>2039</v>
      </c>
      <c r="E34" s="16">
        <f t="shared" si="12"/>
        <v>254.875</v>
      </c>
      <c r="F34" s="14">
        <v>1647</v>
      </c>
      <c r="G34" s="17">
        <f t="shared" si="1"/>
        <v>191.51162790697674</v>
      </c>
      <c r="H34" s="14"/>
      <c r="I34" s="18"/>
      <c r="J34" s="14"/>
      <c r="K34" s="14"/>
      <c r="L34" s="14"/>
      <c r="M34" s="14"/>
      <c r="N34" s="14"/>
      <c r="O34" s="18">
        <v>0</v>
      </c>
      <c r="P34" s="18">
        <v>3362</v>
      </c>
      <c r="Q34" s="19"/>
      <c r="R34" s="19"/>
      <c r="S34" s="20"/>
      <c r="T34" s="19"/>
      <c r="U34" s="19"/>
      <c r="V34" s="19">
        <v>33</v>
      </c>
      <c r="W34" s="20">
        <v>1890</v>
      </c>
      <c r="X34" s="20"/>
      <c r="Y34" s="19">
        <v>214</v>
      </c>
      <c r="Z34" s="19">
        <v>6</v>
      </c>
      <c r="AA34" s="19">
        <v>949</v>
      </c>
      <c r="AB34" s="19"/>
      <c r="AC34" s="19"/>
      <c r="AD34" s="19"/>
      <c r="AE34" s="21">
        <f t="shared" si="14"/>
        <v>520.02</v>
      </c>
      <c r="AF34" s="19"/>
      <c r="AG34" s="22"/>
    </row>
    <row r="35" spans="1:37" ht="21.95" customHeight="1" x14ac:dyDescent="0.25">
      <c r="A35" s="13">
        <v>46075</v>
      </c>
      <c r="B35" s="14"/>
      <c r="C35" s="15">
        <f t="shared" si="16"/>
        <v>0</v>
      </c>
      <c r="D35" s="14">
        <v>1560</v>
      </c>
      <c r="E35" s="16">
        <f>D35/200*25</f>
        <v>195</v>
      </c>
      <c r="F35" s="14">
        <v>1531</v>
      </c>
      <c r="G35" s="17">
        <f t="shared" si="1"/>
        <v>178.02325581395348</v>
      </c>
      <c r="H35" s="14"/>
      <c r="I35" s="18"/>
      <c r="J35" s="14"/>
      <c r="K35" s="14"/>
      <c r="L35" s="14"/>
      <c r="M35" s="14"/>
      <c r="N35" s="14"/>
      <c r="O35" s="18">
        <v>0</v>
      </c>
      <c r="P35" s="18">
        <v>859.2</v>
      </c>
      <c r="Q35" s="19"/>
      <c r="R35" s="19"/>
      <c r="S35" s="19"/>
      <c r="T35" s="19"/>
      <c r="U35" s="19"/>
      <c r="V35" s="19">
        <v>24</v>
      </c>
      <c r="W35" s="20">
        <v>1333</v>
      </c>
      <c r="X35" s="20"/>
      <c r="Y35" s="19">
        <v>156</v>
      </c>
      <c r="Z35" s="19">
        <v>8</v>
      </c>
      <c r="AA35" s="19">
        <v>656</v>
      </c>
      <c r="AB35" s="19"/>
      <c r="AC35" s="19"/>
      <c r="AD35" s="19"/>
      <c r="AE35" s="21">
        <f>Y35*2.43</f>
        <v>379.08000000000004</v>
      </c>
      <c r="AF35" s="19"/>
      <c r="AG35" s="22"/>
      <c r="AH35" s="23"/>
    </row>
    <row r="36" spans="1:37" ht="21.95" customHeight="1" x14ac:dyDescent="0.25">
      <c r="A36" s="13">
        <v>46076</v>
      </c>
      <c r="B36" s="14"/>
      <c r="C36" s="15">
        <f t="shared" si="16"/>
        <v>0</v>
      </c>
      <c r="D36" s="14">
        <v>1341</v>
      </c>
      <c r="E36" s="16">
        <f t="shared" ref="E36:E41" si="17">D36/200*25</f>
        <v>167.625</v>
      </c>
      <c r="F36" s="14">
        <v>1614</v>
      </c>
      <c r="G36" s="17">
        <f t="shared" si="1"/>
        <v>187.67441860465118</v>
      </c>
      <c r="H36" s="14"/>
      <c r="I36" s="18">
        <f t="shared" ref="I36:I39" si="18">H36/135*25</f>
        <v>0</v>
      </c>
      <c r="J36" s="14"/>
      <c r="K36" s="14">
        <v>0</v>
      </c>
      <c r="L36" s="14"/>
      <c r="M36" s="14">
        <v>0</v>
      </c>
      <c r="N36" s="14"/>
      <c r="O36" s="18">
        <f>N36/38*25</f>
        <v>0</v>
      </c>
      <c r="P36" s="18">
        <v>1015.4</v>
      </c>
      <c r="Q36" s="19"/>
      <c r="R36" s="19"/>
      <c r="S36" s="20"/>
      <c r="T36" s="19"/>
      <c r="U36" s="19"/>
      <c r="V36" s="19">
        <v>22</v>
      </c>
      <c r="W36" s="20">
        <v>1448</v>
      </c>
      <c r="X36" s="20"/>
      <c r="Y36" s="19">
        <v>175</v>
      </c>
      <c r="Z36" s="19">
        <v>10</v>
      </c>
      <c r="AA36" s="19">
        <v>683</v>
      </c>
      <c r="AB36" s="19"/>
      <c r="AC36" s="19">
        <v>12</v>
      </c>
      <c r="AD36" s="19"/>
      <c r="AE36" s="21">
        <f t="shared" ref="AE36:AE41" si="19">Y36*2.43</f>
        <v>425.25</v>
      </c>
      <c r="AF36" s="19"/>
      <c r="AG36" s="22"/>
      <c r="AH36" s="23"/>
    </row>
    <row r="37" spans="1:37" ht="21.95" customHeight="1" x14ac:dyDescent="0.25">
      <c r="A37" s="13">
        <v>46077</v>
      </c>
      <c r="B37" s="14"/>
      <c r="C37" s="15">
        <f t="shared" si="16"/>
        <v>0</v>
      </c>
      <c r="D37" s="14">
        <v>1426</v>
      </c>
      <c r="E37" s="16">
        <f t="shared" si="17"/>
        <v>178.25</v>
      </c>
      <c r="F37" s="14">
        <v>1540</v>
      </c>
      <c r="G37" s="17">
        <f t="shared" si="1"/>
        <v>179.06976744186048</v>
      </c>
      <c r="H37" s="14"/>
      <c r="I37" s="18">
        <f t="shared" si="18"/>
        <v>0</v>
      </c>
      <c r="J37" s="14"/>
      <c r="K37" s="14"/>
      <c r="L37" s="14"/>
      <c r="M37" s="14"/>
      <c r="N37" s="14"/>
      <c r="O37" s="18">
        <f t="shared" ref="O37:O39" si="20">N37/38*25</f>
        <v>0</v>
      </c>
      <c r="P37" s="18">
        <v>993.6</v>
      </c>
      <c r="Q37" s="19"/>
      <c r="R37" s="19"/>
      <c r="S37" s="19"/>
      <c r="T37" s="19"/>
      <c r="U37" s="19"/>
      <c r="V37" s="19">
        <v>20</v>
      </c>
      <c r="W37" s="20">
        <v>1449</v>
      </c>
      <c r="X37" s="20"/>
      <c r="Y37" s="19">
        <v>176</v>
      </c>
      <c r="Z37" s="19">
        <v>4</v>
      </c>
      <c r="AA37" s="19">
        <v>691</v>
      </c>
      <c r="AB37" s="19"/>
      <c r="AC37" s="19"/>
      <c r="AD37" s="19"/>
      <c r="AE37" s="21">
        <f t="shared" si="19"/>
        <v>427.68</v>
      </c>
      <c r="AF37" s="19"/>
      <c r="AG37" s="22"/>
    </row>
    <row r="38" spans="1:37" ht="21.95" customHeight="1" x14ac:dyDescent="0.25">
      <c r="A38" s="13">
        <v>46078</v>
      </c>
      <c r="B38" s="14"/>
      <c r="C38" s="15">
        <f t="shared" si="16"/>
        <v>0</v>
      </c>
      <c r="D38" s="14">
        <v>1872</v>
      </c>
      <c r="E38" s="16">
        <f t="shared" si="17"/>
        <v>234</v>
      </c>
      <c r="F38" s="14">
        <v>1619</v>
      </c>
      <c r="G38" s="17">
        <f t="shared" si="1"/>
        <v>188.25581395348837</v>
      </c>
      <c r="H38" s="14"/>
      <c r="I38" s="18">
        <f t="shared" si="18"/>
        <v>0</v>
      </c>
      <c r="J38" s="14"/>
      <c r="K38" s="14"/>
      <c r="L38" s="14"/>
      <c r="M38" s="14"/>
      <c r="N38" s="14"/>
      <c r="O38" s="18">
        <f t="shared" si="20"/>
        <v>0</v>
      </c>
      <c r="P38" s="18">
        <v>1143.4000000000001</v>
      </c>
      <c r="Q38" s="19"/>
      <c r="R38" s="19"/>
      <c r="S38" s="19"/>
      <c r="T38" s="19"/>
      <c r="U38" s="19"/>
      <c r="V38" s="35"/>
      <c r="W38" s="20">
        <v>1709</v>
      </c>
      <c r="X38" s="20"/>
      <c r="Y38" s="19">
        <v>210</v>
      </c>
      <c r="Z38" s="19">
        <v>2</v>
      </c>
      <c r="AA38" s="19">
        <v>785</v>
      </c>
      <c r="AB38" s="19"/>
      <c r="AC38" s="19"/>
      <c r="AD38" s="19"/>
      <c r="AE38" s="21">
        <f t="shared" si="19"/>
        <v>510.3</v>
      </c>
      <c r="AF38" s="19"/>
      <c r="AG38" s="22"/>
      <c r="AH38" s="23"/>
    </row>
    <row r="39" spans="1:37" ht="21.95" customHeight="1" x14ac:dyDescent="0.25">
      <c r="A39" s="13">
        <v>46079</v>
      </c>
      <c r="B39" s="14"/>
      <c r="C39" s="15">
        <f>B39/200*25</f>
        <v>0</v>
      </c>
      <c r="D39" s="14">
        <v>1684</v>
      </c>
      <c r="E39" s="16">
        <f t="shared" si="17"/>
        <v>210.5</v>
      </c>
      <c r="F39" s="14">
        <v>1827</v>
      </c>
      <c r="G39" s="17">
        <f t="shared" si="1"/>
        <v>212.44186046511629</v>
      </c>
      <c r="H39" s="14"/>
      <c r="I39" s="18">
        <f t="shared" si="18"/>
        <v>0</v>
      </c>
      <c r="J39" s="14"/>
      <c r="K39" s="14"/>
      <c r="L39" s="14"/>
      <c r="M39" s="14"/>
      <c r="N39" s="14"/>
      <c r="O39" s="18">
        <f t="shared" si="20"/>
        <v>0</v>
      </c>
      <c r="P39" s="18">
        <v>1064.4000000000001</v>
      </c>
      <c r="Q39" s="19"/>
      <c r="R39" s="19"/>
      <c r="S39" s="19"/>
      <c r="T39" s="19"/>
      <c r="U39" s="19"/>
      <c r="V39" s="19"/>
      <c r="W39" s="20">
        <v>1645</v>
      </c>
      <c r="X39" s="20"/>
      <c r="Y39" s="19">
        <v>183</v>
      </c>
      <c r="Z39" s="19">
        <v>6</v>
      </c>
      <c r="AA39" s="19">
        <v>798</v>
      </c>
      <c r="AB39" s="19"/>
      <c r="AC39" s="19"/>
      <c r="AD39" s="19"/>
      <c r="AE39" s="21">
        <f t="shared" si="19"/>
        <v>444.69000000000005</v>
      </c>
      <c r="AF39" s="19"/>
      <c r="AG39" s="22"/>
    </row>
    <row r="40" spans="1:37" ht="21.95" customHeight="1" x14ac:dyDescent="0.25">
      <c r="A40" s="13">
        <v>46080</v>
      </c>
      <c r="B40" s="14"/>
      <c r="C40" s="15">
        <f t="shared" ref="C40:C41" si="21">B40/200*25</f>
        <v>0</v>
      </c>
      <c r="D40" s="14">
        <v>1731</v>
      </c>
      <c r="E40" s="16">
        <f t="shared" si="17"/>
        <v>216.37499999999997</v>
      </c>
      <c r="F40" s="14">
        <v>2434</v>
      </c>
      <c r="G40" s="17">
        <f t="shared" si="1"/>
        <v>283.02325581395348</v>
      </c>
      <c r="H40" s="14"/>
      <c r="I40" s="18"/>
      <c r="J40" s="14"/>
      <c r="K40" s="14"/>
      <c r="L40" s="14"/>
      <c r="M40" s="14"/>
      <c r="N40" s="14"/>
      <c r="O40" s="18">
        <v>0</v>
      </c>
      <c r="P40" s="18">
        <v>1206.2</v>
      </c>
      <c r="Q40" s="19"/>
      <c r="R40" s="19"/>
      <c r="S40" s="20"/>
      <c r="T40" s="19"/>
      <c r="U40" s="19"/>
      <c r="V40" s="19"/>
      <c r="W40" s="20">
        <v>1880</v>
      </c>
      <c r="X40" s="20"/>
      <c r="Y40" s="19">
        <v>196</v>
      </c>
      <c r="Z40" s="19">
        <v>14</v>
      </c>
      <c r="AA40" s="19">
        <v>921</v>
      </c>
      <c r="AB40" s="19"/>
      <c r="AC40" s="19"/>
      <c r="AD40" s="19"/>
      <c r="AE40" s="21">
        <f t="shared" si="19"/>
        <v>476.28000000000003</v>
      </c>
      <c r="AF40" s="19"/>
      <c r="AG40" s="22"/>
    </row>
    <row r="41" spans="1:37" ht="21.95" customHeight="1" x14ac:dyDescent="0.25">
      <c r="A41" s="13">
        <v>46081</v>
      </c>
      <c r="B41" s="14"/>
      <c r="C41" s="15">
        <f t="shared" si="21"/>
        <v>0</v>
      </c>
      <c r="D41" s="14">
        <v>1338</v>
      </c>
      <c r="E41" s="16">
        <f t="shared" si="17"/>
        <v>167.25</v>
      </c>
      <c r="F41" s="14">
        <v>1234</v>
      </c>
      <c r="G41" s="17">
        <f t="shared" si="1"/>
        <v>143.48837209302326</v>
      </c>
      <c r="H41" s="14"/>
      <c r="I41" s="18"/>
      <c r="J41" s="14"/>
      <c r="K41" s="14"/>
      <c r="L41" s="14"/>
      <c r="M41" s="14"/>
      <c r="N41" s="14"/>
      <c r="O41" s="18">
        <v>0</v>
      </c>
      <c r="P41" s="18">
        <v>874.59999999999991</v>
      </c>
      <c r="Q41" s="19"/>
      <c r="R41" s="19"/>
      <c r="S41" s="20"/>
      <c r="T41" s="19"/>
      <c r="U41" s="19"/>
      <c r="V41" s="19"/>
      <c r="W41" s="20">
        <v>1212</v>
      </c>
      <c r="X41" s="20"/>
      <c r="Y41" s="19">
        <v>140</v>
      </c>
      <c r="Z41" s="19">
        <v>6</v>
      </c>
      <c r="AA41" s="19">
        <v>619</v>
      </c>
      <c r="AB41" s="19">
        <v>20</v>
      </c>
      <c r="AC41" s="19"/>
      <c r="AD41" s="19"/>
      <c r="AE41" s="21">
        <f t="shared" si="19"/>
        <v>340.20000000000005</v>
      </c>
      <c r="AF41" s="19"/>
      <c r="AG41" s="22"/>
    </row>
    <row r="42" spans="1:37" s="1" customFormat="1" ht="20.100000000000001" customHeight="1" thickBot="1" x14ac:dyDescent="0.25">
      <c r="A42" s="24" t="s">
        <v>28</v>
      </c>
      <c r="B42" s="40"/>
      <c r="C42" s="40"/>
      <c r="D42" s="25">
        <f>SUM(D14:D41)</f>
        <v>41302</v>
      </c>
      <c r="E42" s="25">
        <f t="shared" ref="E42:O42" si="22">SUM(E14:E41)</f>
        <v>5162.75</v>
      </c>
      <c r="F42" s="25">
        <f t="shared" si="22"/>
        <v>40650</v>
      </c>
      <c r="G42" s="25">
        <f t="shared" si="22"/>
        <v>4726.7441860465105</v>
      </c>
      <c r="H42" s="25">
        <f t="shared" si="22"/>
        <v>0</v>
      </c>
      <c r="I42" s="25">
        <f t="shared" si="22"/>
        <v>0</v>
      </c>
      <c r="J42" s="25">
        <f t="shared" si="22"/>
        <v>0</v>
      </c>
      <c r="K42" s="25">
        <f t="shared" si="22"/>
        <v>0</v>
      </c>
      <c r="L42" s="25">
        <f t="shared" si="22"/>
        <v>0</v>
      </c>
      <c r="M42" s="25">
        <f t="shared" si="22"/>
        <v>0</v>
      </c>
      <c r="N42" s="25">
        <f t="shared" si="22"/>
        <v>0</v>
      </c>
      <c r="O42" s="25">
        <f t="shared" si="22"/>
        <v>0</v>
      </c>
      <c r="P42" s="76">
        <f>SUM(P14:P41)</f>
        <v>29541.5</v>
      </c>
      <c r="Q42" s="25">
        <f t="shared" ref="Q42:AG42" si="23">SUM(Q14:Q41)</f>
        <v>0</v>
      </c>
      <c r="R42" s="25">
        <f t="shared" si="23"/>
        <v>0</v>
      </c>
      <c r="S42" s="25">
        <f t="shared" si="23"/>
        <v>0</v>
      </c>
      <c r="T42" s="25">
        <f t="shared" si="23"/>
        <v>0</v>
      </c>
      <c r="U42" s="25">
        <f t="shared" si="23"/>
        <v>0</v>
      </c>
      <c r="V42" s="25">
        <f t="shared" si="23"/>
        <v>587</v>
      </c>
      <c r="W42" s="25">
        <f t="shared" si="23"/>
        <v>39878</v>
      </c>
      <c r="X42" s="25">
        <f t="shared" si="23"/>
        <v>0</v>
      </c>
      <c r="Y42" s="25">
        <f t="shared" si="23"/>
        <v>4650</v>
      </c>
      <c r="Z42" s="25">
        <f t="shared" si="23"/>
        <v>158</v>
      </c>
      <c r="AA42" s="25">
        <f t="shared" si="23"/>
        <v>18862</v>
      </c>
      <c r="AB42" s="25">
        <f t="shared" si="23"/>
        <v>20</v>
      </c>
      <c r="AC42" s="25">
        <f t="shared" si="23"/>
        <v>797</v>
      </c>
      <c r="AD42" s="25">
        <f t="shared" si="23"/>
        <v>0</v>
      </c>
      <c r="AE42" s="36">
        <f t="shared" si="23"/>
        <v>11299.500000000004</v>
      </c>
      <c r="AF42" s="25">
        <f t="shared" si="23"/>
        <v>340</v>
      </c>
      <c r="AG42" s="25">
        <f t="shared" si="23"/>
        <v>1</v>
      </c>
      <c r="AH42" s="26"/>
    </row>
    <row r="43" spans="1:37" s="1" customFormat="1" ht="8.25" customHeight="1" x14ac:dyDescent="0.2">
      <c r="Q43" s="27"/>
      <c r="Y43" s="28"/>
    </row>
    <row r="44" spans="1:37" s="1" customFormat="1" ht="7.5" customHeight="1" x14ac:dyDescent="0.2">
      <c r="Q44" s="27"/>
      <c r="Y44" s="28"/>
    </row>
    <row r="45" spans="1:37" s="29" customFormat="1" ht="18.75" x14ac:dyDescent="0.3">
      <c r="A45" s="29" t="s">
        <v>29</v>
      </c>
      <c r="G45" s="30" t="s">
        <v>30</v>
      </c>
      <c r="X45" s="29" t="s">
        <v>31</v>
      </c>
      <c r="AD45" s="30" t="s">
        <v>32</v>
      </c>
      <c r="AH45" s="30"/>
      <c r="AJ45" s="31"/>
      <c r="AK45" s="31"/>
    </row>
    <row r="46" spans="1:37" s="29" customFormat="1" ht="27" customHeight="1" x14ac:dyDescent="0.3">
      <c r="A46" s="32"/>
      <c r="B46" s="32"/>
      <c r="C46" s="32"/>
      <c r="G46" s="32"/>
    </row>
    <row r="47" spans="1:37" s="42" customFormat="1" ht="20.25" x14ac:dyDescent="0.3">
      <c r="A47" s="41" t="s">
        <v>33</v>
      </c>
      <c r="B47" s="41"/>
      <c r="C47" s="41"/>
      <c r="G47" s="43" t="s">
        <v>34</v>
      </c>
      <c r="X47" s="43" t="s">
        <v>35</v>
      </c>
      <c r="AD47" s="44" t="s">
        <v>36</v>
      </c>
      <c r="AI47" s="45"/>
      <c r="AJ47" s="45"/>
      <c r="AK47" s="45"/>
    </row>
    <row r="48" spans="1:37" s="42" customFormat="1" ht="20.25" x14ac:dyDescent="0.3">
      <c r="A48" s="46" t="s">
        <v>39</v>
      </c>
      <c r="B48" s="46"/>
      <c r="C48" s="46"/>
      <c r="G48" s="46" t="s">
        <v>37</v>
      </c>
      <c r="X48" s="46" t="s">
        <v>38</v>
      </c>
      <c r="AD48" s="47" t="s">
        <v>43</v>
      </c>
      <c r="AI48" s="46"/>
      <c r="AJ48" s="48"/>
      <c r="AK48" s="48"/>
    </row>
    <row r="49" spans="1:29" x14ac:dyDescent="0.25">
      <c r="P49" s="1"/>
      <c r="R49" s="1"/>
      <c r="S49" s="1"/>
    </row>
    <row r="50" spans="1:29" x14ac:dyDescent="0.25">
      <c r="S50" s="33"/>
      <c r="T50" s="33"/>
      <c r="U50" s="33"/>
      <c r="AC50" s="34"/>
    </row>
    <row r="64" spans="1:29" x14ac:dyDescent="0.25">
      <c r="A64" s="1"/>
      <c r="B64" s="1"/>
      <c r="C64" s="1"/>
    </row>
  </sheetData>
  <mergeCells count="41">
    <mergeCell ref="F12:G12"/>
    <mergeCell ref="H12:I12"/>
    <mergeCell ref="J12:K12"/>
    <mergeCell ref="L12:M12"/>
    <mergeCell ref="AG7:AG8"/>
    <mergeCell ref="Y8:Z8"/>
    <mergeCell ref="N12:O12"/>
    <mergeCell ref="Q10:R10"/>
    <mergeCell ref="S10:T10"/>
    <mergeCell ref="V10:X10"/>
    <mergeCell ref="N11:O11"/>
    <mergeCell ref="N10:O10"/>
    <mergeCell ref="A9:A13"/>
    <mergeCell ref="D9:O9"/>
    <mergeCell ref="P9:P11"/>
    <mergeCell ref="Q9:Z9"/>
    <mergeCell ref="AA9:AD9"/>
    <mergeCell ref="D11:E11"/>
    <mergeCell ref="F11:G11"/>
    <mergeCell ref="H11:I11"/>
    <mergeCell ref="J11:K11"/>
    <mergeCell ref="L11:M11"/>
    <mergeCell ref="D10:E10"/>
    <mergeCell ref="F10:G10"/>
    <mergeCell ref="H10:I10"/>
    <mergeCell ref="J10:K10"/>
    <mergeCell ref="L10:M10"/>
    <mergeCell ref="D12:E12"/>
    <mergeCell ref="A1:AF1"/>
    <mergeCell ref="A2:AF2"/>
    <mergeCell ref="A4:AF4"/>
    <mergeCell ref="A5:AF5"/>
    <mergeCell ref="A7:A8"/>
    <mergeCell ref="D7:E8"/>
    <mergeCell ref="F7:O8"/>
    <mergeCell ref="Q7:U8"/>
    <mergeCell ref="V7:W8"/>
    <mergeCell ref="Y7:Z7"/>
    <mergeCell ref="AA7:AA8"/>
    <mergeCell ref="AB7:AD8"/>
    <mergeCell ref="AF7:AF8"/>
  </mergeCells>
  <pageMargins left="0.39370078740157483" right="0.39370078740157483" top="0.39370078740157483" bottom="0.39370078740157483" header="0.31496062992125984" footer="0.31496062992125984"/>
  <pageSetup paperSize="14" scale="5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22" zoomScaleNormal="100" workbookViewId="0">
      <selection activeCell="AA39" sqref="AA39"/>
    </sheetView>
  </sheetViews>
  <sheetFormatPr defaultColWidth="11.28515625" defaultRowHeight="15" x14ac:dyDescent="0.25"/>
  <cols>
    <col min="1" max="1" width="21" style="2" customWidth="1"/>
    <col min="2" max="3" width="21" style="2" hidden="1" customWidth="1"/>
    <col min="4" max="4" width="8.42578125" style="2" customWidth="1"/>
    <col min="5" max="5" width="9" style="2" customWidth="1"/>
    <col min="6" max="6" width="8.42578125" style="2" bestFit="1" customWidth="1"/>
    <col min="7" max="7" width="9.5703125" style="2" customWidth="1"/>
    <col min="8" max="15" width="5" style="2" hidden="1" customWidth="1"/>
    <col min="16" max="16" width="14" style="2" customWidth="1"/>
    <col min="17" max="17" width="7.7109375" style="2" hidden="1" customWidth="1"/>
    <col min="18" max="18" width="7.28515625" style="2" hidden="1" customWidth="1"/>
    <col min="19" max="19" width="7.42578125" style="2" customWidth="1"/>
    <col min="20" max="20" width="7.5703125" style="2" customWidth="1"/>
    <col min="21" max="21" width="14.7109375" style="2" hidden="1" customWidth="1"/>
    <col min="22" max="22" width="8.85546875" style="2" customWidth="1"/>
    <col min="23" max="24" width="8.5703125" style="2" customWidth="1"/>
    <col min="25" max="25" width="8.85546875" style="2" customWidth="1"/>
    <col min="26" max="26" width="6.7109375" style="2" bestFit="1" customWidth="1"/>
    <col min="27" max="27" width="10.5703125" style="2" customWidth="1"/>
    <col min="28" max="28" width="10.42578125" style="2" bestFit="1" customWidth="1"/>
    <col min="29" max="29" width="8.28515625" style="2" customWidth="1"/>
    <col min="30" max="30" width="8.7109375" style="2" bestFit="1" customWidth="1"/>
    <col min="31" max="31" width="14.7109375" style="2" bestFit="1" customWidth="1"/>
    <col min="32" max="32" width="10.7109375" style="2" customWidth="1"/>
    <col min="33" max="33" width="14.7109375" style="2" bestFit="1" customWidth="1"/>
    <col min="34" max="34" width="12" style="2" bestFit="1" customWidth="1"/>
    <col min="35" max="16384" width="11.28515625" style="2"/>
  </cols>
  <sheetData>
    <row r="1" spans="1:34" s="1" customFormat="1" ht="20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 spans="1:34" ht="20.25" x14ac:dyDescent="0.3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</row>
    <row r="3" spans="1:34" s="1" customFormat="1" ht="12.75" customHeight="1" x14ac:dyDescent="0.3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3"/>
    </row>
    <row r="4" spans="1:34" s="4" customFormat="1" ht="24.75" customHeight="1" x14ac:dyDescent="0.2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4" s="5" customFormat="1" ht="21.75" customHeight="1" x14ac:dyDescent="0.2">
      <c r="A5" s="98" t="s">
        <v>46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</row>
    <row r="6" spans="1:34" s="5" customFormat="1" ht="7.5" customHeight="1" thickBot="1" x14ac:dyDescent="0.2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</row>
    <row r="7" spans="1:34" s="1" customFormat="1" ht="14.25" x14ac:dyDescent="0.2">
      <c r="A7" s="99" t="s">
        <v>3</v>
      </c>
      <c r="B7" s="73"/>
      <c r="C7" s="73"/>
      <c r="D7" s="101"/>
      <c r="E7" s="102"/>
      <c r="F7" s="105" t="s">
        <v>5</v>
      </c>
      <c r="G7" s="101"/>
      <c r="H7" s="101"/>
      <c r="I7" s="101"/>
      <c r="J7" s="101"/>
      <c r="K7" s="101"/>
      <c r="L7" s="101"/>
      <c r="M7" s="101"/>
      <c r="N7" s="101"/>
      <c r="O7" s="102"/>
      <c r="P7" s="75" t="s">
        <v>6</v>
      </c>
      <c r="Q7" s="105" t="s">
        <v>4</v>
      </c>
      <c r="R7" s="101"/>
      <c r="S7" s="101"/>
      <c r="T7" s="101"/>
      <c r="U7" s="102"/>
      <c r="V7" s="107" t="s">
        <v>5</v>
      </c>
      <c r="W7" s="107"/>
      <c r="X7" s="75"/>
      <c r="Y7" s="107" t="s">
        <v>6</v>
      </c>
      <c r="Z7" s="107"/>
      <c r="AA7" s="109" t="s">
        <v>5</v>
      </c>
      <c r="AB7" s="107" t="s">
        <v>4</v>
      </c>
      <c r="AC7" s="107"/>
      <c r="AD7" s="107"/>
      <c r="AE7" s="75" t="s">
        <v>6</v>
      </c>
      <c r="AF7" s="107" t="s">
        <v>6</v>
      </c>
      <c r="AG7" s="124" t="s">
        <v>5</v>
      </c>
    </row>
    <row r="8" spans="1:34" s="1" customFormat="1" ht="14.25" x14ac:dyDescent="0.2">
      <c r="A8" s="100"/>
      <c r="B8" s="74"/>
      <c r="C8" s="74"/>
      <c r="D8" s="103"/>
      <c r="E8" s="104"/>
      <c r="F8" s="106"/>
      <c r="G8" s="103"/>
      <c r="H8" s="103"/>
      <c r="I8" s="103"/>
      <c r="J8" s="103"/>
      <c r="K8" s="103"/>
      <c r="L8" s="103"/>
      <c r="M8" s="103"/>
      <c r="N8" s="103"/>
      <c r="O8" s="104"/>
      <c r="P8" s="68" t="s">
        <v>5</v>
      </c>
      <c r="Q8" s="106"/>
      <c r="R8" s="103"/>
      <c r="S8" s="103"/>
      <c r="T8" s="103"/>
      <c r="U8" s="104"/>
      <c r="V8" s="108"/>
      <c r="W8" s="108"/>
      <c r="X8" s="68"/>
      <c r="Y8" s="108" t="s">
        <v>5</v>
      </c>
      <c r="Z8" s="108"/>
      <c r="AA8" s="110"/>
      <c r="AB8" s="108"/>
      <c r="AC8" s="108"/>
      <c r="AD8" s="108"/>
      <c r="AE8" s="68" t="s">
        <v>5</v>
      </c>
      <c r="AF8" s="108"/>
      <c r="AG8" s="125"/>
    </row>
    <row r="9" spans="1:34" s="4" customFormat="1" ht="17.25" customHeight="1" x14ac:dyDescent="0.2">
      <c r="A9" s="111" t="s">
        <v>7</v>
      </c>
      <c r="B9" s="37"/>
      <c r="C9" s="37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4"/>
      <c r="P9" s="115" t="s">
        <v>8</v>
      </c>
      <c r="Q9" s="116" t="s">
        <v>9</v>
      </c>
      <c r="R9" s="116"/>
      <c r="S9" s="116"/>
      <c r="T9" s="116"/>
      <c r="U9" s="116"/>
      <c r="V9" s="116"/>
      <c r="W9" s="116"/>
      <c r="X9" s="116"/>
      <c r="Y9" s="116"/>
      <c r="Z9" s="116"/>
      <c r="AA9" s="117" t="s">
        <v>10</v>
      </c>
      <c r="AB9" s="117"/>
      <c r="AC9" s="117"/>
      <c r="AD9" s="117"/>
      <c r="AE9" s="6"/>
      <c r="AF9" s="6"/>
      <c r="AG9" s="7"/>
    </row>
    <row r="10" spans="1:34" s="4" customFormat="1" ht="17.25" x14ac:dyDescent="0.2">
      <c r="A10" s="111"/>
      <c r="B10" s="38"/>
      <c r="C10" s="38"/>
      <c r="D10" s="118">
        <v>200</v>
      </c>
      <c r="E10" s="118"/>
      <c r="F10" s="119">
        <v>215</v>
      </c>
      <c r="G10" s="120"/>
      <c r="H10" s="118">
        <v>135</v>
      </c>
      <c r="I10" s="118"/>
      <c r="J10" s="118">
        <v>150</v>
      </c>
      <c r="K10" s="118"/>
      <c r="L10" s="118">
        <v>150</v>
      </c>
      <c r="M10" s="118"/>
      <c r="N10" s="119">
        <v>38</v>
      </c>
      <c r="O10" s="120"/>
      <c r="P10" s="115"/>
      <c r="Q10" s="118" t="s">
        <v>11</v>
      </c>
      <c r="R10" s="118"/>
      <c r="S10" s="118" t="s">
        <v>12</v>
      </c>
      <c r="T10" s="118"/>
      <c r="U10" s="70" t="s">
        <v>13</v>
      </c>
      <c r="V10" s="119" t="s">
        <v>14</v>
      </c>
      <c r="W10" s="126"/>
      <c r="X10" s="120"/>
      <c r="Y10" s="69" t="s">
        <v>15</v>
      </c>
      <c r="Z10" s="69" t="s">
        <v>16</v>
      </c>
      <c r="AA10" s="69" t="s">
        <v>17</v>
      </c>
      <c r="AB10" s="69" t="s">
        <v>17</v>
      </c>
      <c r="AC10" s="69" t="s">
        <v>40</v>
      </c>
      <c r="AD10" s="69" t="s">
        <v>17</v>
      </c>
      <c r="AE10" s="69" t="s">
        <v>18</v>
      </c>
      <c r="AF10" s="69" t="s">
        <v>19</v>
      </c>
      <c r="AG10" s="8" t="s">
        <v>20</v>
      </c>
    </row>
    <row r="11" spans="1:34" s="4" customFormat="1" ht="17.25" x14ac:dyDescent="0.2">
      <c r="A11" s="111"/>
      <c r="B11" s="38"/>
      <c r="C11" s="38"/>
      <c r="D11" s="118" t="s">
        <v>42</v>
      </c>
      <c r="E11" s="118"/>
      <c r="F11" s="119" t="s">
        <v>22</v>
      </c>
      <c r="G11" s="120"/>
      <c r="H11" s="118" t="s">
        <v>22</v>
      </c>
      <c r="I11" s="118"/>
      <c r="J11" s="118" t="s">
        <v>21</v>
      </c>
      <c r="K11" s="118"/>
      <c r="L11" s="118" t="s">
        <v>23</v>
      </c>
      <c r="M11" s="118"/>
      <c r="N11" s="119" t="s">
        <v>22</v>
      </c>
      <c r="O11" s="120"/>
      <c r="P11" s="115"/>
      <c r="Q11" s="69">
        <v>2.4</v>
      </c>
      <c r="R11" s="69">
        <v>3.6</v>
      </c>
      <c r="S11" s="69">
        <v>2.4</v>
      </c>
      <c r="T11" s="69">
        <v>3.6</v>
      </c>
      <c r="U11" s="69">
        <v>2.4</v>
      </c>
      <c r="V11" s="69">
        <v>3.6</v>
      </c>
      <c r="W11" s="69">
        <v>2.4</v>
      </c>
      <c r="X11" s="69">
        <v>4.9000000000000004</v>
      </c>
      <c r="Y11" s="69"/>
      <c r="Z11" s="69"/>
      <c r="AA11" s="69">
        <v>5</v>
      </c>
      <c r="AB11" s="69">
        <v>10</v>
      </c>
      <c r="AC11" s="69" t="s">
        <v>41</v>
      </c>
      <c r="AD11" s="69">
        <v>40</v>
      </c>
      <c r="AE11" s="69"/>
      <c r="AF11" s="69"/>
      <c r="AG11" s="8" t="s">
        <v>24</v>
      </c>
    </row>
    <row r="12" spans="1:34" s="4" customFormat="1" ht="17.25" x14ac:dyDescent="0.2">
      <c r="A12" s="111"/>
      <c r="B12" s="38"/>
      <c r="C12" s="38"/>
      <c r="D12" s="121">
        <v>35245</v>
      </c>
      <c r="E12" s="121"/>
      <c r="F12" s="122">
        <v>11082</v>
      </c>
      <c r="G12" s="123"/>
      <c r="H12" s="121">
        <v>21810</v>
      </c>
      <c r="I12" s="121"/>
      <c r="J12" s="121">
        <v>17362</v>
      </c>
      <c r="K12" s="121"/>
      <c r="L12" s="121">
        <v>18389</v>
      </c>
      <c r="M12" s="121"/>
      <c r="N12" s="122">
        <v>21811</v>
      </c>
      <c r="O12" s="123"/>
      <c r="P12" s="67">
        <v>10128</v>
      </c>
      <c r="Q12" s="67">
        <v>10962</v>
      </c>
      <c r="R12" s="67">
        <v>15427</v>
      </c>
      <c r="S12" s="67">
        <v>16623</v>
      </c>
      <c r="T12" s="67">
        <v>16967</v>
      </c>
      <c r="U12" s="67">
        <v>28230</v>
      </c>
      <c r="V12" s="67">
        <v>10966</v>
      </c>
      <c r="W12" s="67">
        <v>10965</v>
      </c>
      <c r="X12" s="67">
        <v>21809</v>
      </c>
      <c r="Y12" s="67">
        <v>11966</v>
      </c>
      <c r="Z12" s="67">
        <v>11089</v>
      </c>
      <c r="AA12" s="67">
        <v>10960</v>
      </c>
      <c r="AB12" s="67">
        <v>10961</v>
      </c>
      <c r="AC12" s="67">
        <v>33442</v>
      </c>
      <c r="AD12" s="67">
        <v>10959</v>
      </c>
      <c r="AE12" s="67">
        <v>12487</v>
      </c>
      <c r="AF12" s="67">
        <v>16823</v>
      </c>
      <c r="AG12" s="9">
        <v>11342</v>
      </c>
    </row>
    <row r="13" spans="1:34" s="4" customFormat="1" ht="17.25" x14ac:dyDescent="0.2">
      <c r="A13" s="112"/>
      <c r="B13" s="39"/>
      <c r="C13" s="39"/>
      <c r="D13" s="10" t="s">
        <v>25</v>
      </c>
      <c r="E13" s="10" t="s">
        <v>26</v>
      </c>
      <c r="F13" s="10" t="s">
        <v>25</v>
      </c>
      <c r="G13" s="10" t="s">
        <v>26</v>
      </c>
      <c r="H13" s="10" t="s">
        <v>25</v>
      </c>
      <c r="I13" s="10" t="s">
        <v>26</v>
      </c>
      <c r="J13" s="10" t="s">
        <v>25</v>
      </c>
      <c r="K13" s="10" t="s">
        <v>26</v>
      </c>
      <c r="L13" s="10" t="s">
        <v>25</v>
      </c>
      <c r="M13" s="10" t="s">
        <v>26</v>
      </c>
      <c r="N13" s="10" t="s">
        <v>25</v>
      </c>
      <c r="O13" s="10" t="s">
        <v>26</v>
      </c>
      <c r="P13" s="10" t="s">
        <v>26</v>
      </c>
      <c r="Q13" s="10" t="s">
        <v>25</v>
      </c>
      <c r="R13" s="10" t="s">
        <v>25</v>
      </c>
      <c r="S13" s="10" t="s">
        <v>25</v>
      </c>
      <c r="T13" s="10" t="s">
        <v>25</v>
      </c>
      <c r="U13" s="10" t="s">
        <v>25</v>
      </c>
      <c r="V13" s="10" t="s">
        <v>25</v>
      </c>
      <c r="W13" s="10" t="s">
        <v>25</v>
      </c>
      <c r="X13" s="10" t="s">
        <v>25</v>
      </c>
      <c r="Y13" s="10" t="s">
        <v>25</v>
      </c>
      <c r="Z13" s="10" t="s">
        <v>25</v>
      </c>
      <c r="AA13" s="10" t="s">
        <v>27</v>
      </c>
      <c r="AB13" s="10" t="s">
        <v>27</v>
      </c>
      <c r="AC13" s="10" t="s">
        <v>27</v>
      </c>
      <c r="AD13" s="10" t="s">
        <v>27</v>
      </c>
      <c r="AE13" s="11" t="s">
        <v>27</v>
      </c>
      <c r="AF13" s="10" t="s">
        <v>27</v>
      </c>
      <c r="AG13" s="12" t="s">
        <v>25</v>
      </c>
    </row>
    <row r="14" spans="1:34" ht="20.100000000000001" customHeight="1" x14ac:dyDescent="0.25">
      <c r="A14" s="13">
        <v>46082</v>
      </c>
      <c r="B14" s="14"/>
      <c r="C14" s="15">
        <v>0</v>
      </c>
      <c r="D14" s="14">
        <v>800</v>
      </c>
      <c r="E14" s="16">
        <f t="shared" ref="E14:E44" si="0">D14/208*25</f>
        <v>96.15384615384616</v>
      </c>
      <c r="F14" s="14">
        <v>777</v>
      </c>
      <c r="G14" s="16">
        <f t="shared" ref="G14:G44" si="1">F14/215*25</f>
        <v>90.348837209302317</v>
      </c>
      <c r="H14" s="14"/>
      <c r="I14" s="18"/>
      <c r="J14" s="14"/>
      <c r="K14" s="14"/>
      <c r="L14" s="14"/>
      <c r="M14" s="14"/>
      <c r="N14" s="14"/>
      <c r="O14" s="18">
        <v>0</v>
      </c>
      <c r="P14" s="18">
        <v>662.25</v>
      </c>
      <c r="Q14" s="19"/>
      <c r="R14" s="19"/>
      <c r="S14" s="19"/>
      <c r="T14" s="19"/>
      <c r="U14" s="19"/>
      <c r="V14" s="19"/>
      <c r="W14" s="20">
        <v>832</v>
      </c>
      <c r="X14" s="20"/>
      <c r="Y14" s="19">
        <v>118</v>
      </c>
      <c r="Z14" s="19">
        <v>4</v>
      </c>
      <c r="AA14" s="19">
        <v>416</v>
      </c>
      <c r="AB14" s="19"/>
      <c r="AC14" s="19"/>
      <c r="AD14" s="19"/>
      <c r="AE14" s="21">
        <f>Y14*2.43</f>
        <v>286.74</v>
      </c>
      <c r="AF14" s="19"/>
      <c r="AG14" s="22"/>
    </row>
    <row r="15" spans="1:34" ht="20.100000000000001" customHeight="1" x14ac:dyDescent="0.25">
      <c r="A15" s="13">
        <v>46083</v>
      </c>
      <c r="B15" s="14"/>
      <c r="C15" s="15">
        <v>0</v>
      </c>
      <c r="D15" s="14">
        <v>1723</v>
      </c>
      <c r="E15" s="16">
        <f t="shared" si="0"/>
        <v>207.09134615384616</v>
      </c>
      <c r="F15" s="14">
        <v>1685</v>
      </c>
      <c r="G15" s="16">
        <f t="shared" si="1"/>
        <v>195.93023255813952</v>
      </c>
      <c r="H15" s="14"/>
      <c r="I15" s="18">
        <v>0</v>
      </c>
      <c r="J15" s="14"/>
      <c r="K15" s="14">
        <v>0</v>
      </c>
      <c r="L15" s="14"/>
      <c r="M15" s="14">
        <v>0</v>
      </c>
      <c r="N15" s="14"/>
      <c r="O15" s="18">
        <v>0</v>
      </c>
      <c r="P15" s="18">
        <v>995.2</v>
      </c>
      <c r="Q15" s="19"/>
      <c r="R15" s="19"/>
      <c r="S15" s="19"/>
      <c r="T15" s="19"/>
      <c r="U15" s="19"/>
      <c r="V15" s="35"/>
      <c r="W15" s="19">
        <v>1568</v>
      </c>
      <c r="X15" s="20"/>
      <c r="Y15" s="19">
        <v>186</v>
      </c>
      <c r="Z15" s="19">
        <v>8</v>
      </c>
      <c r="AA15" s="19">
        <v>742</v>
      </c>
      <c r="AB15" s="19"/>
      <c r="AC15" s="19"/>
      <c r="AD15" s="19"/>
      <c r="AE15" s="21">
        <f t="shared" ref="AE15:AE44" si="2">Y15*2.43</f>
        <v>451.98</v>
      </c>
      <c r="AF15" s="19"/>
      <c r="AG15" s="22"/>
      <c r="AH15" s="23"/>
    </row>
    <row r="16" spans="1:34" ht="20.100000000000001" customHeight="1" x14ac:dyDescent="0.25">
      <c r="A16" s="13">
        <v>46084</v>
      </c>
      <c r="B16" s="14"/>
      <c r="C16" s="15">
        <v>0</v>
      </c>
      <c r="D16" s="14">
        <v>2031</v>
      </c>
      <c r="E16" s="16">
        <f t="shared" si="0"/>
        <v>244.11057692307691</v>
      </c>
      <c r="F16" s="14">
        <v>1595</v>
      </c>
      <c r="G16" s="16">
        <f t="shared" si="1"/>
        <v>185.46511627906978</v>
      </c>
      <c r="H16" s="14"/>
      <c r="I16" s="18">
        <v>0</v>
      </c>
      <c r="J16" s="14"/>
      <c r="K16" s="14"/>
      <c r="L16" s="14"/>
      <c r="M16" s="14"/>
      <c r="N16" s="14"/>
      <c r="O16" s="18">
        <v>0</v>
      </c>
      <c r="P16" s="18">
        <v>1145.5999999999999</v>
      </c>
      <c r="Q16" s="19"/>
      <c r="R16" s="19"/>
      <c r="S16" s="19"/>
      <c r="T16" s="19"/>
      <c r="U16" s="19"/>
      <c r="V16" s="19"/>
      <c r="W16" s="20">
        <v>1699</v>
      </c>
      <c r="X16" s="20"/>
      <c r="Y16" s="19">
        <v>205</v>
      </c>
      <c r="Z16" s="19">
        <v>6</v>
      </c>
      <c r="AA16" s="19">
        <v>782</v>
      </c>
      <c r="AB16" s="19"/>
      <c r="AC16" s="19"/>
      <c r="AD16" s="19"/>
      <c r="AE16" s="21">
        <f t="shared" si="2"/>
        <v>498.15000000000003</v>
      </c>
      <c r="AF16" s="19"/>
      <c r="AG16" s="22"/>
    </row>
    <row r="17" spans="1:34" ht="20.100000000000001" customHeight="1" x14ac:dyDescent="0.25">
      <c r="A17" s="13">
        <v>46085</v>
      </c>
      <c r="B17" s="14"/>
      <c r="C17" s="15">
        <v>0</v>
      </c>
      <c r="D17" s="14">
        <v>1932</v>
      </c>
      <c r="E17" s="16">
        <f t="shared" si="0"/>
        <v>232.21153846153845</v>
      </c>
      <c r="F17" s="14">
        <v>1943</v>
      </c>
      <c r="G17" s="16">
        <f t="shared" si="1"/>
        <v>225.93023255813955</v>
      </c>
      <c r="H17" s="14"/>
      <c r="I17" s="18">
        <v>0</v>
      </c>
      <c r="J17" s="14"/>
      <c r="K17" s="14"/>
      <c r="L17" s="14"/>
      <c r="M17" s="14"/>
      <c r="N17" s="14"/>
      <c r="O17" s="18">
        <v>0</v>
      </c>
      <c r="P17" s="18">
        <v>1145</v>
      </c>
      <c r="Q17" s="19"/>
      <c r="R17" s="19"/>
      <c r="S17" s="20"/>
      <c r="T17" s="19"/>
      <c r="U17" s="19"/>
      <c r="V17" s="19"/>
      <c r="W17" s="20">
        <v>1829</v>
      </c>
      <c r="X17" s="20"/>
      <c r="Y17" s="19">
        <v>221</v>
      </c>
      <c r="Z17" s="19">
        <v>6</v>
      </c>
      <c r="AA17" s="19">
        <v>841</v>
      </c>
      <c r="AB17" s="19"/>
      <c r="AC17" s="19"/>
      <c r="AD17" s="19"/>
      <c r="AE17" s="21">
        <f t="shared" si="2"/>
        <v>537.03000000000009</v>
      </c>
      <c r="AF17" s="19"/>
      <c r="AG17" s="22"/>
    </row>
    <row r="18" spans="1:34" ht="20.100000000000001" customHeight="1" x14ac:dyDescent="0.25">
      <c r="A18" s="13">
        <v>46086</v>
      </c>
      <c r="B18" s="14"/>
      <c r="C18" s="15">
        <v>0</v>
      </c>
      <c r="D18" s="14">
        <v>1576</v>
      </c>
      <c r="E18" s="16">
        <f t="shared" si="0"/>
        <v>189.42307692307691</v>
      </c>
      <c r="F18" s="14">
        <v>1695</v>
      </c>
      <c r="G18" s="16">
        <f t="shared" si="1"/>
        <v>197.09302325581396</v>
      </c>
      <c r="H18" s="14"/>
      <c r="I18" s="18">
        <v>0</v>
      </c>
      <c r="J18" s="14"/>
      <c r="K18" s="14"/>
      <c r="L18" s="14"/>
      <c r="M18" s="14"/>
      <c r="N18" s="14"/>
      <c r="O18" s="18">
        <v>0</v>
      </c>
      <c r="P18" s="18">
        <v>1152.2</v>
      </c>
      <c r="Q18" s="19"/>
      <c r="R18" s="19"/>
      <c r="S18" s="20"/>
      <c r="T18" s="19"/>
      <c r="U18" s="19"/>
      <c r="V18" s="19"/>
      <c r="W18" s="20">
        <v>1752</v>
      </c>
      <c r="X18" s="20"/>
      <c r="Y18" s="19">
        <v>190</v>
      </c>
      <c r="Z18" s="19">
        <v>4</v>
      </c>
      <c r="AA18" s="19">
        <v>778</v>
      </c>
      <c r="AB18" s="19"/>
      <c r="AC18" s="19"/>
      <c r="AD18" s="19"/>
      <c r="AE18" s="21">
        <f t="shared" si="2"/>
        <v>461.70000000000005</v>
      </c>
      <c r="AF18" s="19"/>
      <c r="AG18" s="22"/>
    </row>
    <row r="19" spans="1:34" ht="20.100000000000001" customHeight="1" x14ac:dyDescent="0.25">
      <c r="A19" s="13">
        <v>46087</v>
      </c>
      <c r="B19" s="14"/>
      <c r="C19" s="15">
        <v>0</v>
      </c>
      <c r="D19" s="14">
        <v>2096</v>
      </c>
      <c r="E19" s="16">
        <f t="shared" si="0"/>
        <v>251.92307692307691</v>
      </c>
      <c r="F19" s="14">
        <v>1278</v>
      </c>
      <c r="G19" s="16">
        <f t="shared" si="1"/>
        <v>148.6046511627907</v>
      </c>
      <c r="H19" s="14"/>
      <c r="I19" s="18"/>
      <c r="J19" s="14"/>
      <c r="K19" s="14"/>
      <c r="L19" s="14"/>
      <c r="M19" s="14"/>
      <c r="N19" s="14"/>
      <c r="O19" s="18">
        <v>0</v>
      </c>
      <c r="P19" s="18">
        <v>1156</v>
      </c>
      <c r="Q19" s="19"/>
      <c r="R19" s="19"/>
      <c r="S19" s="19"/>
      <c r="T19" s="19"/>
      <c r="U19" s="19"/>
      <c r="V19" s="19"/>
      <c r="W19" s="20">
        <v>1723</v>
      </c>
      <c r="X19" s="20"/>
      <c r="Y19" s="19">
        <v>221</v>
      </c>
      <c r="Z19" s="19"/>
      <c r="AA19" s="19">
        <v>779</v>
      </c>
      <c r="AB19" s="19"/>
      <c r="AC19" s="19"/>
      <c r="AD19" s="19"/>
      <c r="AE19" s="21">
        <f t="shared" si="2"/>
        <v>537.03000000000009</v>
      </c>
      <c r="AF19" s="19"/>
      <c r="AG19" s="22"/>
      <c r="AH19" s="23"/>
    </row>
    <row r="20" spans="1:34" ht="20.100000000000001" customHeight="1" x14ac:dyDescent="0.25">
      <c r="A20" s="13">
        <v>46088</v>
      </c>
      <c r="B20" s="14"/>
      <c r="C20" s="15">
        <v>0</v>
      </c>
      <c r="D20" s="14">
        <v>2170</v>
      </c>
      <c r="E20" s="16">
        <f t="shared" si="0"/>
        <v>260.81730769230774</v>
      </c>
      <c r="F20" s="14">
        <v>1361</v>
      </c>
      <c r="G20" s="16">
        <f t="shared" si="1"/>
        <v>158.25581395348837</v>
      </c>
      <c r="H20" s="14"/>
      <c r="I20" s="18"/>
      <c r="J20" s="14"/>
      <c r="K20" s="14"/>
      <c r="L20" s="14"/>
      <c r="M20" s="14"/>
      <c r="N20" s="14"/>
      <c r="O20" s="18">
        <v>0</v>
      </c>
      <c r="P20" s="17">
        <v>1208.8</v>
      </c>
      <c r="Q20" s="19"/>
      <c r="R20" s="19"/>
      <c r="S20" s="20"/>
      <c r="T20" s="19"/>
      <c r="U20" s="19"/>
      <c r="V20" s="19"/>
      <c r="W20" s="20">
        <v>1808</v>
      </c>
      <c r="X20" s="20"/>
      <c r="Y20" s="19">
        <v>181</v>
      </c>
      <c r="Z20" s="19">
        <v>4</v>
      </c>
      <c r="AA20" s="19">
        <v>837</v>
      </c>
      <c r="AB20" s="19"/>
      <c r="AC20" s="19"/>
      <c r="AD20" s="19"/>
      <c r="AE20" s="21">
        <f t="shared" si="2"/>
        <v>439.83000000000004</v>
      </c>
      <c r="AF20" s="19"/>
      <c r="AG20" s="22"/>
      <c r="AH20" s="23"/>
    </row>
    <row r="21" spans="1:34" ht="20.100000000000001" customHeight="1" x14ac:dyDescent="0.25">
      <c r="A21" s="13">
        <v>46089</v>
      </c>
      <c r="B21" s="14"/>
      <c r="C21" s="15">
        <v>0</v>
      </c>
      <c r="D21" s="14">
        <v>2032</v>
      </c>
      <c r="E21" s="16">
        <f t="shared" si="0"/>
        <v>244.23076923076925</v>
      </c>
      <c r="F21" s="14">
        <v>992</v>
      </c>
      <c r="G21" s="16">
        <f t="shared" si="1"/>
        <v>115.34883720930233</v>
      </c>
      <c r="H21" s="14"/>
      <c r="I21" s="18"/>
      <c r="J21" s="14"/>
      <c r="K21" s="14"/>
      <c r="L21" s="14"/>
      <c r="M21" s="14"/>
      <c r="N21" s="14"/>
      <c r="O21" s="18">
        <v>0</v>
      </c>
      <c r="P21" s="18">
        <v>901.6</v>
      </c>
      <c r="Q21" s="19"/>
      <c r="R21" s="19"/>
      <c r="S21" s="19"/>
      <c r="T21" s="19"/>
      <c r="U21" s="19"/>
      <c r="V21" s="19"/>
      <c r="W21" s="20">
        <v>1421</v>
      </c>
      <c r="X21" s="20"/>
      <c r="Y21" s="19">
        <v>157</v>
      </c>
      <c r="Z21" s="19">
        <v>2</v>
      </c>
      <c r="AA21" s="19">
        <v>625</v>
      </c>
      <c r="AB21" s="19"/>
      <c r="AC21" s="19"/>
      <c r="AD21" s="19"/>
      <c r="AE21" s="21">
        <f t="shared" si="2"/>
        <v>381.51000000000005</v>
      </c>
      <c r="AF21" s="19"/>
      <c r="AG21" s="22"/>
    </row>
    <row r="22" spans="1:34" ht="20.100000000000001" customHeight="1" x14ac:dyDescent="0.25">
      <c r="A22" s="13">
        <v>46090</v>
      </c>
      <c r="B22" s="14"/>
      <c r="C22" s="15">
        <v>0</v>
      </c>
      <c r="D22" s="14">
        <v>1631</v>
      </c>
      <c r="E22" s="16">
        <f t="shared" si="0"/>
        <v>196.03365384615387</v>
      </c>
      <c r="F22" s="14">
        <v>1043</v>
      </c>
      <c r="G22" s="16">
        <f t="shared" si="1"/>
        <v>121.27906976744185</v>
      </c>
      <c r="H22" s="14"/>
      <c r="I22" s="18">
        <v>0</v>
      </c>
      <c r="J22" s="14"/>
      <c r="K22" s="14">
        <v>0</v>
      </c>
      <c r="L22" s="14"/>
      <c r="M22" s="14">
        <v>0</v>
      </c>
      <c r="N22" s="14"/>
      <c r="O22" s="18">
        <v>0</v>
      </c>
      <c r="P22" s="18">
        <v>1022.3999999999999</v>
      </c>
      <c r="Q22" s="19"/>
      <c r="R22" s="19"/>
      <c r="S22" s="19"/>
      <c r="T22" s="19"/>
      <c r="U22" s="19"/>
      <c r="V22" s="35"/>
      <c r="W22" s="19">
        <v>1505</v>
      </c>
      <c r="X22" s="20"/>
      <c r="Y22" s="19">
        <v>170</v>
      </c>
      <c r="Z22" s="19">
        <v>4</v>
      </c>
      <c r="AA22" s="19">
        <v>675</v>
      </c>
      <c r="AB22" s="19"/>
      <c r="AC22" s="19"/>
      <c r="AD22" s="19"/>
      <c r="AE22" s="21">
        <f t="shared" si="2"/>
        <v>413.1</v>
      </c>
      <c r="AF22" s="19"/>
      <c r="AG22" s="22"/>
      <c r="AH22" s="23"/>
    </row>
    <row r="23" spans="1:34" ht="20.100000000000001" customHeight="1" x14ac:dyDescent="0.25">
      <c r="A23" s="13">
        <v>46091</v>
      </c>
      <c r="B23" s="14"/>
      <c r="C23" s="15">
        <v>0</v>
      </c>
      <c r="D23" s="14">
        <v>1476</v>
      </c>
      <c r="E23" s="16">
        <f t="shared" si="0"/>
        <v>177.40384615384613</v>
      </c>
      <c r="F23" s="14">
        <v>1375</v>
      </c>
      <c r="G23" s="16">
        <f t="shared" si="1"/>
        <v>159.88372093023256</v>
      </c>
      <c r="H23" s="14"/>
      <c r="I23" s="18">
        <v>0</v>
      </c>
      <c r="J23" s="14"/>
      <c r="K23" s="14"/>
      <c r="L23" s="14"/>
      <c r="M23" s="14"/>
      <c r="N23" s="14"/>
      <c r="O23" s="18">
        <v>0</v>
      </c>
      <c r="P23" s="18">
        <v>1042.4000000000001</v>
      </c>
      <c r="Q23" s="19"/>
      <c r="R23" s="19"/>
      <c r="S23" s="19"/>
      <c r="T23" s="19"/>
      <c r="U23" s="19"/>
      <c r="V23" s="19"/>
      <c r="W23" s="20">
        <v>1484</v>
      </c>
      <c r="X23" s="20"/>
      <c r="Y23" s="19">
        <v>194</v>
      </c>
      <c r="Z23" s="19">
        <v>4</v>
      </c>
      <c r="AA23" s="19">
        <v>701</v>
      </c>
      <c r="AB23" s="19"/>
      <c r="AC23" s="19"/>
      <c r="AD23" s="19"/>
      <c r="AE23" s="21">
        <f t="shared" si="2"/>
        <v>471.42</v>
      </c>
      <c r="AF23" s="19"/>
      <c r="AG23" s="22"/>
    </row>
    <row r="24" spans="1:34" ht="20.100000000000001" customHeight="1" x14ac:dyDescent="0.25">
      <c r="A24" s="13">
        <v>46092</v>
      </c>
      <c r="B24" s="14"/>
      <c r="C24" s="15">
        <v>0</v>
      </c>
      <c r="D24" s="14">
        <v>2531</v>
      </c>
      <c r="E24" s="16">
        <f t="shared" si="0"/>
        <v>304.20673076923077</v>
      </c>
      <c r="F24" s="14">
        <v>1517</v>
      </c>
      <c r="G24" s="16">
        <f t="shared" si="1"/>
        <v>176.3953488372093</v>
      </c>
      <c r="H24" s="14"/>
      <c r="I24" s="18">
        <v>0</v>
      </c>
      <c r="J24" s="14"/>
      <c r="K24" s="14"/>
      <c r="L24" s="14"/>
      <c r="M24" s="14"/>
      <c r="N24" s="14"/>
      <c r="O24" s="18">
        <v>0</v>
      </c>
      <c r="P24" s="18">
        <v>1291.5999999999999</v>
      </c>
      <c r="Q24" s="19"/>
      <c r="R24" s="19"/>
      <c r="S24" s="20"/>
      <c r="T24" s="19"/>
      <c r="U24" s="19"/>
      <c r="V24" s="19"/>
      <c r="W24" s="20">
        <v>2026</v>
      </c>
      <c r="X24" s="20"/>
      <c r="Y24" s="19">
        <v>195</v>
      </c>
      <c r="Z24" s="19">
        <v>6</v>
      </c>
      <c r="AA24" s="19">
        <v>859</v>
      </c>
      <c r="AB24" s="19"/>
      <c r="AC24" s="19"/>
      <c r="AD24" s="19"/>
      <c r="AE24" s="21">
        <f t="shared" si="2"/>
        <v>473.85</v>
      </c>
      <c r="AF24" s="19"/>
      <c r="AG24" s="22"/>
    </row>
    <row r="25" spans="1:34" ht="20.100000000000001" customHeight="1" x14ac:dyDescent="0.25">
      <c r="A25" s="13">
        <v>46093</v>
      </c>
      <c r="B25" s="14"/>
      <c r="C25" s="15">
        <v>0</v>
      </c>
      <c r="D25" s="14">
        <v>2379</v>
      </c>
      <c r="E25" s="16">
        <f t="shared" si="0"/>
        <v>285.9375</v>
      </c>
      <c r="F25" s="14">
        <v>1776</v>
      </c>
      <c r="G25" s="16">
        <f t="shared" si="1"/>
        <v>206.51162790697674</v>
      </c>
      <c r="H25" s="14"/>
      <c r="I25" s="18">
        <v>0</v>
      </c>
      <c r="J25" s="14"/>
      <c r="K25" s="14"/>
      <c r="L25" s="14"/>
      <c r="M25" s="14"/>
      <c r="N25" s="14"/>
      <c r="O25" s="18">
        <v>0</v>
      </c>
      <c r="P25" s="18">
        <v>1401.32</v>
      </c>
      <c r="Q25" s="19"/>
      <c r="R25" s="19"/>
      <c r="S25" s="20"/>
      <c r="T25" s="19"/>
      <c r="U25" s="19"/>
      <c r="V25" s="19"/>
      <c r="W25" s="20">
        <v>2104</v>
      </c>
      <c r="X25" s="20"/>
      <c r="Y25" s="19">
        <v>231</v>
      </c>
      <c r="Z25" s="19">
        <v>4</v>
      </c>
      <c r="AA25" s="19">
        <v>983</v>
      </c>
      <c r="AB25" s="19"/>
      <c r="AC25" s="19"/>
      <c r="AD25" s="19"/>
      <c r="AE25" s="21">
        <f t="shared" si="2"/>
        <v>561.33000000000004</v>
      </c>
      <c r="AF25" s="19"/>
      <c r="AG25" s="22"/>
    </row>
    <row r="26" spans="1:34" ht="20.100000000000001" customHeight="1" x14ac:dyDescent="0.25">
      <c r="A26" s="13">
        <v>46094</v>
      </c>
      <c r="B26" s="14"/>
      <c r="C26" s="15">
        <v>0</v>
      </c>
      <c r="D26" s="14">
        <v>2091</v>
      </c>
      <c r="E26" s="16">
        <f t="shared" si="0"/>
        <v>251.32211538461539</v>
      </c>
      <c r="F26" s="14">
        <v>1755</v>
      </c>
      <c r="G26" s="16">
        <f t="shared" si="1"/>
        <v>204.06976744186048</v>
      </c>
      <c r="H26" s="14"/>
      <c r="I26" s="18"/>
      <c r="J26" s="14"/>
      <c r="K26" s="14"/>
      <c r="L26" s="14"/>
      <c r="M26" s="14"/>
      <c r="N26" s="14"/>
      <c r="O26" s="18">
        <v>0</v>
      </c>
      <c r="P26" s="18">
        <v>1164.2</v>
      </c>
      <c r="Q26" s="19"/>
      <c r="R26" s="19"/>
      <c r="S26" s="19"/>
      <c r="T26" s="19"/>
      <c r="U26" s="19"/>
      <c r="V26" s="19"/>
      <c r="W26" s="20">
        <v>1802</v>
      </c>
      <c r="X26" s="20"/>
      <c r="Y26" s="19">
        <v>189</v>
      </c>
      <c r="Z26" s="19">
        <v>2</v>
      </c>
      <c r="AA26" s="19">
        <v>886</v>
      </c>
      <c r="AB26" s="19"/>
      <c r="AC26" s="19"/>
      <c r="AD26" s="19"/>
      <c r="AE26" s="21">
        <f t="shared" si="2"/>
        <v>459.27000000000004</v>
      </c>
      <c r="AF26" s="19"/>
      <c r="AG26" s="22"/>
      <c r="AH26" s="23"/>
    </row>
    <row r="27" spans="1:34" ht="20.100000000000001" customHeight="1" x14ac:dyDescent="0.25">
      <c r="A27" s="13">
        <v>46095</v>
      </c>
      <c r="B27" s="14"/>
      <c r="C27" s="15">
        <v>0</v>
      </c>
      <c r="D27" s="14">
        <v>1470</v>
      </c>
      <c r="E27" s="16">
        <f t="shared" si="0"/>
        <v>176.68269230769232</v>
      </c>
      <c r="F27" s="14">
        <v>1750</v>
      </c>
      <c r="G27" s="16">
        <f t="shared" si="1"/>
        <v>203.48837209302326</v>
      </c>
      <c r="H27" s="14"/>
      <c r="I27" s="18"/>
      <c r="J27" s="14"/>
      <c r="K27" s="14"/>
      <c r="L27" s="14"/>
      <c r="M27" s="14"/>
      <c r="N27" s="14"/>
      <c r="O27" s="18">
        <v>0</v>
      </c>
      <c r="P27" s="17">
        <v>912.29999999999984</v>
      </c>
      <c r="Q27" s="19"/>
      <c r="R27" s="19"/>
      <c r="S27" s="20"/>
      <c r="T27" s="19"/>
      <c r="U27" s="19"/>
      <c r="V27" s="19"/>
      <c r="W27" s="20">
        <v>1467</v>
      </c>
      <c r="X27" s="20"/>
      <c r="Y27" s="19">
        <v>180</v>
      </c>
      <c r="Z27" s="19">
        <v>4</v>
      </c>
      <c r="AA27" s="19">
        <v>677</v>
      </c>
      <c r="AB27" s="19"/>
      <c r="AC27" s="19"/>
      <c r="AD27" s="19"/>
      <c r="AE27" s="21">
        <f t="shared" si="2"/>
        <v>437.40000000000003</v>
      </c>
      <c r="AF27" s="19"/>
      <c r="AG27" s="22"/>
      <c r="AH27" s="23"/>
    </row>
    <row r="28" spans="1:34" ht="20.100000000000001" customHeight="1" x14ac:dyDescent="0.25">
      <c r="A28" s="13">
        <v>46096</v>
      </c>
      <c r="B28" s="14"/>
      <c r="C28" s="15">
        <v>0</v>
      </c>
      <c r="D28" s="14">
        <v>1037</v>
      </c>
      <c r="E28" s="16">
        <f t="shared" si="0"/>
        <v>124.63942307692308</v>
      </c>
      <c r="F28" s="14">
        <v>819</v>
      </c>
      <c r="G28" s="16">
        <f t="shared" si="1"/>
        <v>95.232558139534888</v>
      </c>
      <c r="H28" s="14"/>
      <c r="I28" s="18"/>
      <c r="J28" s="14"/>
      <c r="K28" s="14"/>
      <c r="L28" s="14"/>
      <c r="M28" s="14"/>
      <c r="N28" s="14"/>
      <c r="O28" s="18">
        <v>0</v>
      </c>
      <c r="P28" s="18">
        <v>737.8</v>
      </c>
      <c r="Q28" s="19"/>
      <c r="R28" s="19"/>
      <c r="S28" s="19"/>
      <c r="T28" s="19"/>
      <c r="U28" s="19"/>
      <c r="V28" s="19"/>
      <c r="W28" s="20">
        <v>1030</v>
      </c>
      <c r="X28" s="20"/>
      <c r="Y28" s="19">
        <v>133</v>
      </c>
      <c r="Z28" s="19">
        <v>4</v>
      </c>
      <c r="AA28" s="19">
        <v>509</v>
      </c>
      <c r="AB28" s="19"/>
      <c r="AC28" s="19"/>
      <c r="AD28" s="19"/>
      <c r="AE28" s="21">
        <f t="shared" si="2"/>
        <v>323.19</v>
      </c>
      <c r="AF28" s="19"/>
      <c r="AG28" s="22"/>
    </row>
    <row r="29" spans="1:34" ht="20.100000000000001" customHeight="1" x14ac:dyDescent="0.25">
      <c r="A29" s="13">
        <v>46097</v>
      </c>
      <c r="B29" s="14"/>
      <c r="C29" s="15">
        <v>0</v>
      </c>
      <c r="D29" s="14">
        <v>1641</v>
      </c>
      <c r="E29" s="16">
        <f t="shared" si="0"/>
        <v>197.23557692307691</v>
      </c>
      <c r="F29" s="14">
        <v>1609</v>
      </c>
      <c r="G29" s="16">
        <f t="shared" si="1"/>
        <v>187.09302325581396</v>
      </c>
      <c r="H29" s="14"/>
      <c r="I29" s="18">
        <v>0</v>
      </c>
      <c r="J29" s="14"/>
      <c r="K29" s="14">
        <v>0</v>
      </c>
      <c r="L29" s="14"/>
      <c r="M29" s="14">
        <v>0</v>
      </c>
      <c r="N29" s="14"/>
      <c r="O29" s="18">
        <v>0</v>
      </c>
      <c r="P29" s="18">
        <v>1125.5999999999999</v>
      </c>
      <c r="Q29" s="19"/>
      <c r="R29" s="19"/>
      <c r="S29" s="19"/>
      <c r="T29" s="19"/>
      <c r="U29" s="19"/>
      <c r="V29" s="35"/>
      <c r="W29" s="19">
        <v>1672</v>
      </c>
      <c r="X29" s="20"/>
      <c r="Y29" s="19">
        <v>190</v>
      </c>
      <c r="Z29" s="19">
        <v>6</v>
      </c>
      <c r="AA29" s="19">
        <v>800</v>
      </c>
      <c r="AB29" s="19"/>
      <c r="AC29" s="19"/>
      <c r="AD29" s="19"/>
      <c r="AE29" s="21">
        <f t="shared" si="2"/>
        <v>461.70000000000005</v>
      </c>
      <c r="AF29" s="19"/>
      <c r="AG29" s="22"/>
      <c r="AH29" s="23"/>
    </row>
    <row r="30" spans="1:34" ht="20.100000000000001" customHeight="1" x14ac:dyDescent="0.25">
      <c r="A30" s="13">
        <v>46098</v>
      </c>
      <c r="B30" s="14"/>
      <c r="C30" s="15">
        <v>0</v>
      </c>
      <c r="D30" s="14">
        <v>2088</v>
      </c>
      <c r="E30" s="16">
        <f t="shared" si="0"/>
        <v>250.96153846153845</v>
      </c>
      <c r="F30" s="14">
        <v>1357</v>
      </c>
      <c r="G30" s="16">
        <f t="shared" si="1"/>
        <v>157.7906976744186</v>
      </c>
      <c r="H30" s="14"/>
      <c r="I30" s="18">
        <v>0</v>
      </c>
      <c r="J30" s="14"/>
      <c r="K30" s="14"/>
      <c r="L30" s="14"/>
      <c r="M30" s="14"/>
      <c r="N30" s="14"/>
      <c r="O30" s="18">
        <v>0</v>
      </c>
      <c r="P30" s="18">
        <v>1197.2</v>
      </c>
      <c r="Q30" s="19"/>
      <c r="R30" s="19"/>
      <c r="S30" s="19"/>
      <c r="T30" s="19"/>
      <c r="U30" s="19"/>
      <c r="V30" s="19"/>
      <c r="W30" s="20">
        <v>1757</v>
      </c>
      <c r="X30" s="20"/>
      <c r="Y30" s="19">
        <v>207</v>
      </c>
      <c r="Z30" s="19">
        <v>4</v>
      </c>
      <c r="AA30" s="19">
        <v>857</v>
      </c>
      <c r="AB30" s="19"/>
      <c r="AC30" s="19"/>
      <c r="AD30" s="19"/>
      <c r="AE30" s="21">
        <f t="shared" si="2"/>
        <v>503.01000000000005</v>
      </c>
      <c r="AF30" s="19">
        <v>60</v>
      </c>
      <c r="AG30" s="22"/>
    </row>
    <row r="31" spans="1:34" ht="20.100000000000001" customHeight="1" x14ac:dyDescent="0.25">
      <c r="A31" s="13">
        <v>46099</v>
      </c>
      <c r="B31" s="14"/>
      <c r="C31" s="15">
        <v>0</v>
      </c>
      <c r="D31" s="14">
        <v>1889</v>
      </c>
      <c r="E31" s="16">
        <f t="shared" si="0"/>
        <v>227.04326923076925</v>
      </c>
      <c r="F31" s="14">
        <v>1567</v>
      </c>
      <c r="G31" s="16">
        <f t="shared" si="1"/>
        <v>182.2093023255814</v>
      </c>
      <c r="H31" s="14"/>
      <c r="I31" s="18">
        <v>0</v>
      </c>
      <c r="J31" s="14"/>
      <c r="K31" s="14"/>
      <c r="L31" s="14"/>
      <c r="M31" s="14"/>
      <c r="N31" s="14"/>
      <c r="O31" s="18">
        <v>0</v>
      </c>
      <c r="P31" s="18">
        <v>3161.2000000000003</v>
      </c>
      <c r="Q31" s="19"/>
      <c r="R31" s="19"/>
      <c r="S31" s="20"/>
      <c r="T31" s="19"/>
      <c r="U31" s="19"/>
      <c r="V31" s="19"/>
      <c r="W31" s="20">
        <v>1709</v>
      </c>
      <c r="X31" s="20"/>
      <c r="Y31" s="19">
        <v>189</v>
      </c>
      <c r="Z31" s="19">
        <v>4</v>
      </c>
      <c r="AA31" s="19">
        <v>871</v>
      </c>
      <c r="AB31" s="19"/>
      <c r="AC31" s="19"/>
      <c r="AD31" s="19"/>
      <c r="AE31" s="21">
        <f t="shared" si="2"/>
        <v>459.27000000000004</v>
      </c>
      <c r="AF31" s="19"/>
      <c r="AG31" s="22"/>
    </row>
    <row r="32" spans="1:34" ht="20.100000000000001" customHeight="1" x14ac:dyDescent="0.25">
      <c r="A32" s="13">
        <v>46100</v>
      </c>
      <c r="B32" s="14"/>
      <c r="C32" s="15">
        <v>0</v>
      </c>
      <c r="D32" s="14">
        <v>1696</v>
      </c>
      <c r="E32" s="16">
        <f t="shared" si="0"/>
        <v>203.84615384615384</v>
      </c>
      <c r="F32" s="14">
        <v>1163</v>
      </c>
      <c r="G32" s="16">
        <f t="shared" si="1"/>
        <v>135.23255813953489</v>
      </c>
      <c r="H32" s="14"/>
      <c r="I32" s="18">
        <v>0</v>
      </c>
      <c r="J32" s="14"/>
      <c r="K32" s="14"/>
      <c r="L32" s="14"/>
      <c r="M32" s="14"/>
      <c r="N32" s="14"/>
      <c r="O32" s="18">
        <v>0</v>
      </c>
      <c r="P32" s="18">
        <v>1129.8000000000002</v>
      </c>
      <c r="Q32" s="19"/>
      <c r="R32" s="19"/>
      <c r="S32" s="20"/>
      <c r="T32" s="19"/>
      <c r="U32" s="19"/>
      <c r="V32" s="19"/>
      <c r="W32" s="20">
        <v>1616</v>
      </c>
      <c r="X32" s="20"/>
      <c r="Y32" s="19">
        <v>197</v>
      </c>
      <c r="Z32" s="19">
        <v>2</v>
      </c>
      <c r="AA32" s="19">
        <v>775</v>
      </c>
      <c r="AB32" s="19"/>
      <c r="AC32" s="19"/>
      <c r="AD32" s="19"/>
      <c r="AE32" s="21">
        <f t="shared" si="2"/>
        <v>478.71000000000004</v>
      </c>
      <c r="AF32" s="19"/>
      <c r="AG32" s="22"/>
    </row>
    <row r="33" spans="1:37" ht="20.100000000000001" customHeight="1" x14ac:dyDescent="0.25">
      <c r="A33" s="13">
        <v>46101</v>
      </c>
      <c r="B33" s="14"/>
      <c r="C33" s="15">
        <v>0</v>
      </c>
      <c r="D33" s="14">
        <v>1578</v>
      </c>
      <c r="E33" s="16">
        <f t="shared" si="0"/>
        <v>189.66346153846155</v>
      </c>
      <c r="F33" s="14">
        <v>1685</v>
      </c>
      <c r="G33" s="16">
        <f t="shared" si="1"/>
        <v>195.93023255813952</v>
      </c>
      <c r="H33" s="14"/>
      <c r="I33" s="18"/>
      <c r="J33" s="14"/>
      <c r="K33" s="14"/>
      <c r="L33" s="14"/>
      <c r="M33" s="14"/>
      <c r="N33" s="14"/>
      <c r="O33" s="18">
        <v>0</v>
      </c>
      <c r="P33" s="18">
        <v>1161</v>
      </c>
      <c r="Q33" s="19"/>
      <c r="R33" s="19"/>
      <c r="S33" s="19"/>
      <c r="T33" s="19"/>
      <c r="U33" s="19"/>
      <c r="V33" s="19"/>
      <c r="W33" s="20">
        <v>1687</v>
      </c>
      <c r="X33" s="20"/>
      <c r="Y33" s="19">
        <v>188</v>
      </c>
      <c r="Z33" s="19">
        <v>12</v>
      </c>
      <c r="AA33" s="19">
        <v>860</v>
      </c>
      <c r="AB33" s="19"/>
      <c r="AC33" s="19"/>
      <c r="AD33" s="19"/>
      <c r="AE33" s="21">
        <f t="shared" si="2"/>
        <v>456.84000000000003</v>
      </c>
      <c r="AF33" s="19">
        <v>30</v>
      </c>
      <c r="AG33" s="22"/>
      <c r="AH33" s="23"/>
    </row>
    <row r="34" spans="1:37" ht="20.100000000000001" customHeight="1" x14ac:dyDescent="0.25">
      <c r="A34" s="13">
        <v>46102</v>
      </c>
      <c r="B34" s="14"/>
      <c r="C34" s="15">
        <v>0</v>
      </c>
      <c r="D34" s="14">
        <v>1947</v>
      </c>
      <c r="E34" s="16">
        <f t="shared" si="0"/>
        <v>234.01442307692309</v>
      </c>
      <c r="F34" s="14">
        <v>1193</v>
      </c>
      <c r="G34" s="16">
        <f t="shared" si="1"/>
        <v>138.72093023255815</v>
      </c>
      <c r="H34" s="14"/>
      <c r="I34" s="18"/>
      <c r="J34" s="14"/>
      <c r="K34" s="14"/>
      <c r="L34" s="14"/>
      <c r="M34" s="14"/>
      <c r="N34" s="14"/>
      <c r="O34" s="18">
        <v>0</v>
      </c>
      <c r="P34" s="17">
        <v>1201.4000000000001</v>
      </c>
      <c r="Q34" s="19"/>
      <c r="R34" s="19"/>
      <c r="S34" s="20"/>
      <c r="T34" s="19"/>
      <c r="U34" s="19"/>
      <c r="V34" s="19"/>
      <c r="W34" s="20">
        <v>1659</v>
      </c>
      <c r="X34" s="20"/>
      <c r="Y34" s="19">
        <v>206</v>
      </c>
      <c r="Z34" s="19">
        <v>4</v>
      </c>
      <c r="AA34" s="19">
        <v>855</v>
      </c>
      <c r="AB34" s="19"/>
      <c r="AC34" s="19"/>
      <c r="AD34" s="19"/>
      <c r="AE34" s="21">
        <f t="shared" si="2"/>
        <v>500.58000000000004</v>
      </c>
      <c r="AF34" s="19"/>
      <c r="AG34" s="22"/>
      <c r="AH34" s="23"/>
    </row>
    <row r="35" spans="1:37" ht="20.100000000000001" customHeight="1" x14ac:dyDescent="0.25">
      <c r="A35" s="13">
        <v>46103</v>
      </c>
      <c r="B35" s="14"/>
      <c r="C35" s="15">
        <v>0</v>
      </c>
      <c r="D35" s="14">
        <v>2141</v>
      </c>
      <c r="E35" s="16">
        <f t="shared" si="0"/>
        <v>257.33173076923077</v>
      </c>
      <c r="F35" s="14">
        <v>1765</v>
      </c>
      <c r="G35" s="16">
        <f t="shared" si="1"/>
        <v>205.23255813953489</v>
      </c>
      <c r="H35" s="14"/>
      <c r="I35" s="18"/>
      <c r="J35" s="14"/>
      <c r="K35" s="14"/>
      <c r="L35" s="14"/>
      <c r="M35" s="14"/>
      <c r="N35" s="14"/>
      <c r="O35" s="18">
        <v>0</v>
      </c>
      <c r="P35" s="18">
        <v>1185.5999999999999</v>
      </c>
      <c r="Q35" s="19"/>
      <c r="R35" s="19"/>
      <c r="S35" s="19"/>
      <c r="T35" s="19"/>
      <c r="U35" s="19"/>
      <c r="V35" s="19">
        <v>29</v>
      </c>
      <c r="W35" s="20">
        <v>1754</v>
      </c>
      <c r="X35" s="20"/>
      <c r="Y35" s="19">
        <v>194</v>
      </c>
      <c r="Z35" s="19">
        <v>8</v>
      </c>
      <c r="AA35" s="19">
        <v>888</v>
      </c>
      <c r="AB35" s="19"/>
      <c r="AC35" s="19"/>
      <c r="AD35" s="19"/>
      <c r="AE35" s="21">
        <f t="shared" si="2"/>
        <v>471.42</v>
      </c>
      <c r="AF35" s="19"/>
      <c r="AG35" s="22"/>
    </row>
    <row r="36" spans="1:37" ht="20.100000000000001" customHeight="1" x14ac:dyDescent="0.25">
      <c r="A36" s="13">
        <v>46104</v>
      </c>
      <c r="B36" s="14"/>
      <c r="C36" s="15">
        <v>0</v>
      </c>
      <c r="D36" s="14">
        <v>1611</v>
      </c>
      <c r="E36" s="16">
        <f t="shared" si="0"/>
        <v>193.62980769230768</v>
      </c>
      <c r="F36" s="14">
        <v>1857</v>
      </c>
      <c r="G36" s="16">
        <f t="shared" si="1"/>
        <v>215.93023255813955</v>
      </c>
      <c r="H36" s="14"/>
      <c r="I36" s="18">
        <v>0</v>
      </c>
      <c r="J36" s="14"/>
      <c r="K36" s="14">
        <v>0</v>
      </c>
      <c r="L36" s="14"/>
      <c r="M36" s="14">
        <v>0</v>
      </c>
      <c r="N36" s="14"/>
      <c r="O36" s="18">
        <v>0</v>
      </c>
      <c r="P36" s="18">
        <v>1110</v>
      </c>
      <c r="Q36" s="19"/>
      <c r="R36" s="19"/>
      <c r="S36" s="19"/>
      <c r="T36" s="19"/>
      <c r="U36" s="19"/>
      <c r="V36" s="35">
        <v>29</v>
      </c>
      <c r="W36" s="19">
        <v>1558</v>
      </c>
      <c r="X36" s="20"/>
      <c r="Y36" s="19">
        <v>218</v>
      </c>
      <c r="Z36" s="19">
        <v>6</v>
      </c>
      <c r="AA36" s="19">
        <v>847</v>
      </c>
      <c r="AB36" s="19"/>
      <c r="AC36" s="19"/>
      <c r="AD36" s="19"/>
      <c r="AE36" s="21">
        <f t="shared" si="2"/>
        <v>529.74</v>
      </c>
      <c r="AF36" s="19"/>
      <c r="AG36" s="22"/>
      <c r="AH36" s="23"/>
    </row>
    <row r="37" spans="1:37" ht="20.100000000000001" customHeight="1" x14ac:dyDescent="0.25">
      <c r="A37" s="13">
        <v>46105</v>
      </c>
      <c r="B37" s="14"/>
      <c r="C37" s="15">
        <v>0</v>
      </c>
      <c r="D37" s="14">
        <v>2225</v>
      </c>
      <c r="E37" s="16">
        <f t="shared" si="0"/>
        <v>267.42788461538464</v>
      </c>
      <c r="F37" s="14">
        <v>1496</v>
      </c>
      <c r="G37" s="16">
        <f t="shared" si="1"/>
        <v>173.95348837209301</v>
      </c>
      <c r="H37" s="14"/>
      <c r="I37" s="18">
        <v>0</v>
      </c>
      <c r="J37" s="14"/>
      <c r="K37" s="14"/>
      <c r="L37" s="14"/>
      <c r="M37" s="14"/>
      <c r="N37" s="14"/>
      <c r="O37" s="18">
        <v>0</v>
      </c>
      <c r="P37" s="18">
        <v>1029.5999999999999</v>
      </c>
      <c r="Q37" s="19"/>
      <c r="R37" s="19"/>
      <c r="S37" s="19"/>
      <c r="T37" s="19"/>
      <c r="U37" s="19"/>
      <c r="V37" s="19">
        <v>33</v>
      </c>
      <c r="W37" s="20">
        <v>1602</v>
      </c>
      <c r="X37" s="20"/>
      <c r="Y37" s="19">
        <v>189</v>
      </c>
      <c r="Z37" s="19">
        <v>8</v>
      </c>
      <c r="AA37" s="19">
        <v>905</v>
      </c>
      <c r="AB37" s="19"/>
      <c r="AC37" s="19"/>
      <c r="AD37" s="19"/>
      <c r="AE37" s="21">
        <f t="shared" si="2"/>
        <v>459.27000000000004</v>
      </c>
      <c r="AF37" s="19"/>
      <c r="AG37" s="22"/>
    </row>
    <row r="38" spans="1:37" ht="20.100000000000001" customHeight="1" x14ac:dyDescent="0.25">
      <c r="A38" s="13">
        <v>46106</v>
      </c>
      <c r="B38" s="14"/>
      <c r="C38" s="15">
        <v>0</v>
      </c>
      <c r="D38" s="14">
        <v>1906</v>
      </c>
      <c r="E38" s="16">
        <f t="shared" si="0"/>
        <v>229.08653846153845</v>
      </c>
      <c r="F38" s="14">
        <v>1498</v>
      </c>
      <c r="G38" s="16">
        <f t="shared" si="1"/>
        <v>174.18604651162789</v>
      </c>
      <c r="H38" s="14"/>
      <c r="I38" s="18">
        <v>0</v>
      </c>
      <c r="J38" s="14"/>
      <c r="K38" s="14"/>
      <c r="L38" s="14"/>
      <c r="M38" s="14"/>
      <c r="N38" s="14"/>
      <c r="O38" s="18">
        <v>0</v>
      </c>
      <c r="P38" s="18">
        <v>1138.1999999999998</v>
      </c>
      <c r="Q38" s="19"/>
      <c r="R38" s="19"/>
      <c r="S38" s="20"/>
      <c r="T38" s="19"/>
      <c r="U38" s="19"/>
      <c r="V38" s="19">
        <v>49</v>
      </c>
      <c r="W38" s="20">
        <v>1558</v>
      </c>
      <c r="X38" s="20"/>
      <c r="Y38" s="19">
        <v>215</v>
      </c>
      <c r="Z38" s="19">
        <v>8</v>
      </c>
      <c r="AA38" s="19">
        <v>881</v>
      </c>
      <c r="AB38" s="19"/>
      <c r="AC38" s="19"/>
      <c r="AD38" s="19"/>
      <c r="AE38" s="21">
        <f t="shared" si="2"/>
        <v>522.45000000000005</v>
      </c>
      <c r="AF38" s="19"/>
      <c r="AG38" s="22"/>
    </row>
    <row r="39" spans="1:37" ht="20.100000000000001" customHeight="1" x14ac:dyDescent="0.25">
      <c r="A39" s="13">
        <v>46107</v>
      </c>
      <c r="B39" s="14"/>
      <c r="C39" s="15">
        <v>0</v>
      </c>
      <c r="D39" s="14">
        <v>1901</v>
      </c>
      <c r="E39" s="16">
        <f t="shared" si="0"/>
        <v>228.48557692307691</v>
      </c>
      <c r="F39" s="14">
        <v>2195</v>
      </c>
      <c r="G39" s="16">
        <f t="shared" si="1"/>
        <v>255.23255813953489</v>
      </c>
      <c r="H39" s="14"/>
      <c r="I39" s="18">
        <v>0</v>
      </c>
      <c r="J39" s="14"/>
      <c r="K39" s="14"/>
      <c r="L39" s="14"/>
      <c r="M39" s="14"/>
      <c r="N39" s="14"/>
      <c r="O39" s="18">
        <v>0</v>
      </c>
      <c r="P39" s="18">
        <v>1138.0000000000002</v>
      </c>
      <c r="Q39" s="19"/>
      <c r="R39" s="19"/>
      <c r="S39" s="20"/>
      <c r="T39" s="19"/>
      <c r="U39" s="19"/>
      <c r="V39" s="19">
        <v>43</v>
      </c>
      <c r="W39" s="20">
        <v>1772</v>
      </c>
      <c r="X39" s="20"/>
      <c r="Y39" s="19">
        <v>215</v>
      </c>
      <c r="Z39" s="19">
        <v>10</v>
      </c>
      <c r="AA39" s="19">
        <v>951</v>
      </c>
      <c r="AB39" s="19"/>
      <c r="AC39" s="19"/>
      <c r="AD39" s="19"/>
      <c r="AE39" s="21">
        <f t="shared" si="2"/>
        <v>522.45000000000005</v>
      </c>
      <c r="AF39" s="19"/>
      <c r="AG39" s="22"/>
    </row>
    <row r="40" spans="1:37" ht="20.100000000000001" customHeight="1" x14ac:dyDescent="0.25">
      <c r="A40" s="13">
        <v>46108</v>
      </c>
      <c r="B40" s="14"/>
      <c r="C40" s="15">
        <v>0</v>
      </c>
      <c r="D40" s="14">
        <v>2312</v>
      </c>
      <c r="E40" s="16">
        <f t="shared" si="0"/>
        <v>277.88461538461536</v>
      </c>
      <c r="F40" s="14">
        <v>1815</v>
      </c>
      <c r="G40" s="16">
        <f t="shared" si="1"/>
        <v>211.04651162790699</v>
      </c>
      <c r="H40" s="14"/>
      <c r="I40" s="18"/>
      <c r="J40" s="14"/>
      <c r="K40" s="14"/>
      <c r="L40" s="14"/>
      <c r="M40" s="14"/>
      <c r="N40" s="14"/>
      <c r="O40" s="18">
        <v>0</v>
      </c>
      <c r="P40" s="18">
        <v>1116</v>
      </c>
      <c r="Q40" s="19"/>
      <c r="R40" s="19"/>
      <c r="S40" s="19"/>
      <c r="T40" s="19"/>
      <c r="U40" s="19"/>
      <c r="V40" s="19">
        <v>141</v>
      </c>
      <c r="W40" s="20">
        <v>1694</v>
      </c>
      <c r="X40" s="20"/>
      <c r="Y40" s="19">
        <v>196</v>
      </c>
      <c r="Z40" s="19">
        <v>4</v>
      </c>
      <c r="AA40" s="19">
        <v>888</v>
      </c>
      <c r="AB40" s="19"/>
      <c r="AC40" s="19"/>
      <c r="AD40" s="19"/>
      <c r="AE40" s="21">
        <f t="shared" si="2"/>
        <v>476.28000000000003</v>
      </c>
      <c r="AF40" s="19"/>
      <c r="AG40" s="22"/>
      <c r="AH40" s="23"/>
    </row>
    <row r="41" spans="1:37" ht="20.100000000000001" customHeight="1" x14ac:dyDescent="0.25">
      <c r="A41" s="13">
        <v>46109</v>
      </c>
      <c r="B41" s="14"/>
      <c r="C41" s="15">
        <v>0</v>
      </c>
      <c r="D41" s="14">
        <v>1163</v>
      </c>
      <c r="E41" s="16">
        <f t="shared" si="0"/>
        <v>139.78365384615387</v>
      </c>
      <c r="F41" s="14">
        <v>1260</v>
      </c>
      <c r="G41" s="16">
        <f t="shared" si="1"/>
        <v>146.51162790697674</v>
      </c>
      <c r="H41" s="14"/>
      <c r="I41" s="18"/>
      <c r="J41" s="14"/>
      <c r="K41" s="14"/>
      <c r="L41" s="14"/>
      <c r="M41" s="14"/>
      <c r="N41" s="14"/>
      <c r="O41" s="18">
        <v>0</v>
      </c>
      <c r="P41" s="17">
        <v>820.99999999999989</v>
      </c>
      <c r="Q41" s="19"/>
      <c r="R41" s="19"/>
      <c r="S41" s="20"/>
      <c r="T41" s="19"/>
      <c r="U41" s="19"/>
      <c r="V41" s="19"/>
      <c r="W41" s="20">
        <v>1176</v>
      </c>
      <c r="X41" s="20"/>
      <c r="Y41" s="19">
        <v>165</v>
      </c>
      <c r="Z41" s="19">
        <v>4</v>
      </c>
      <c r="AA41" s="19">
        <v>661</v>
      </c>
      <c r="AB41" s="19"/>
      <c r="AC41" s="19"/>
      <c r="AD41" s="19"/>
      <c r="AE41" s="21">
        <f t="shared" si="2"/>
        <v>400.95000000000005</v>
      </c>
      <c r="AF41" s="19"/>
      <c r="AG41" s="22"/>
      <c r="AH41" s="23"/>
    </row>
    <row r="42" spans="1:37" ht="20.100000000000001" customHeight="1" x14ac:dyDescent="0.25">
      <c r="A42" s="13">
        <v>46110</v>
      </c>
      <c r="B42" s="14"/>
      <c r="C42" s="15">
        <v>0</v>
      </c>
      <c r="D42" s="14">
        <v>1394</v>
      </c>
      <c r="E42" s="16">
        <f t="shared" si="0"/>
        <v>167.54807692307691</v>
      </c>
      <c r="F42" s="14">
        <v>1383</v>
      </c>
      <c r="G42" s="16">
        <f t="shared" si="1"/>
        <v>160.81395348837208</v>
      </c>
      <c r="H42" s="14"/>
      <c r="I42" s="18"/>
      <c r="J42" s="14"/>
      <c r="K42" s="14"/>
      <c r="L42" s="14"/>
      <c r="M42" s="14"/>
      <c r="N42" s="14"/>
      <c r="O42" s="18">
        <v>0</v>
      </c>
      <c r="P42" s="17">
        <v>943.4</v>
      </c>
      <c r="Q42" s="19"/>
      <c r="R42" s="19"/>
      <c r="S42" s="20"/>
      <c r="T42" s="19"/>
      <c r="U42" s="19"/>
      <c r="V42" s="19">
        <v>19</v>
      </c>
      <c r="W42" s="20">
        <v>1351</v>
      </c>
      <c r="X42" s="20"/>
      <c r="Y42" s="19">
        <v>155</v>
      </c>
      <c r="Z42" s="19">
        <v>2</v>
      </c>
      <c r="AA42" s="19">
        <v>782</v>
      </c>
      <c r="AB42" s="19"/>
      <c r="AC42" s="19"/>
      <c r="AD42" s="19"/>
      <c r="AE42" s="21">
        <f t="shared" si="2"/>
        <v>376.65000000000003</v>
      </c>
      <c r="AF42" s="19"/>
      <c r="AG42" s="22"/>
      <c r="AH42" s="23"/>
    </row>
    <row r="43" spans="1:37" ht="20.100000000000001" customHeight="1" x14ac:dyDescent="0.25">
      <c r="A43" s="13">
        <v>46111</v>
      </c>
      <c r="B43" s="14"/>
      <c r="C43" s="15">
        <v>0</v>
      </c>
      <c r="D43" s="14">
        <v>2024</v>
      </c>
      <c r="E43" s="16">
        <f t="shared" si="0"/>
        <v>243.26923076923075</v>
      </c>
      <c r="F43" s="14">
        <v>1471</v>
      </c>
      <c r="G43" s="16">
        <f t="shared" si="1"/>
        <v>171.04651162790699</v>
      </c>
      <c r="H43" s="14"/>
      <c r="I43" s="18"/>
      <c r="J43" s="14"/>
      <c r="K43" s="14"/>
      <c r="L43" s="14"/>
      <c r="M43" s="14"/>
      <c r="N43" s="14"/>
      <c r="O43" s="18">
        <v>0</v>
      </c>
      <c r="P43" s="17">
        <v>1101.8</v>
      </c>
      <c r="Q43" s="19"/>
      <c r="R43" s="19"/>
      <c r="S43" s="20"/>
      <c r="T43" s="19"/>
      <c r="U43" s="19"/>
      <c r="V43" s="19">
        <v>12</v>
      </c>
      <c r="W43" s="20">
        <v>1672</v>
      </c>
      <c r="X43" s="20"/>
      <c r="Y43" s="19">
        <v>216</v>
      </c>
      <c r="Z43" s="19">
        <v>8</v>
      </c>
      <c r="AA43" s="19">
        <v>882</v>
      </c>
      <c r="AB43" s="19"/>
      <c r="AC43" s="19"/>
      <c r="AD43" s="19"/>
      <c r="AE43" s="21">
        <f t="shared" si="2"/>
        <v>524.88</v>
      </c>
      <c r="AF43" s="19"/>
      <c r="AG43" s="22"/>
      <c r="AH43" s="23"/>
    </row>
    <row r="44" spans="1:37" ht="20.100000000000001" customHeight="1" x14ac:dyDescent="0.25">
      <c r="A44" s="13">
        <v>46112</v>
      </c>
      <c r="B44" s="14"/>
      <c r="C44" s="15">
        <v>0</v>
      </c>
      <c r="D44" s="14">
        <v>734</v>
      </c>
      <c r="E44" s="16">
        <f t="shared" si="0"/>
        <v>88.22115384615384</v>
      </c>
      <c r="F44" s="14">
        <v>1574</v>
      </c>
      <c r="G44" s="16">
        <f t="shared" si="1"/>
        <v>183.02325581395348</v>
      </c>
      <c r="H44" s="14"/>
      <c r="I44" s="18"/>
      <c r="J44" s="14"/>
      <c r="K44" s="14"/>
      <c r="L44" s="14"/>
      <c r="M44" s="14"/>
      <c r="N44" s="14"/>
      <c r="O44" s="18">
        <v>0</v>
      </c>
      <c r="P44" s="17">
        <v>642.6</v>
      </c>
      <c r="Q44" s="19"/>
      <c r="R44" s="19"/>
      <c r="S44" s="20"/>
      <c r="T44" s="19"/>
      <c r="U44" s="19"/>
      <c r="V44" s="19">
        <v>13</v>
      </c>
      <c r="W44" s="20">
        <v>1025</v>
      </c>
      <c r="X44" s="20"/>
      <c r="Y44" s="19">
        <v>117</v>
      </c>
      <c r="Z44" s="19">
        <v>4</v>
      </c>
      <c r="AA44" s="19">
        <v>540</v>
      </c>
      <c r="AB44" s="19"/>
      <c r="AC44" s="19"/>
      <c r="AD44" s="19"/>
      <c r="AE44" s="21">
        <f t="shared" si="2"/>
        <v>284.31</v>
      </c>
      <c r="AF44" s="19"/>
      <c r="AG44" s="22"/>
      <c r="AH44" s="23"/>
    </row>
    <row r="45" spans="1:37" s="1" customFormat="1" ht="20.100000000000001" customHeight="1" thickBot="1" x14ac:dyDescent="0.25">
      <c r="A45" s="24" t="s">
        <v>28</v>
      </c>
      <c r="B45" s="40"/>
      <c r="C45" s="40"/>
      <c r="D45" s="25">
        <f>SUM(D14:D44)</f>
        <v>55225</v>
      </c>
      <c r="E45" s="25">
        <f t="shared" ref="E45:O45" si="3">SUM(E14:E44)</f>
        <v>6637.6201923076924</v>
      </c>
      <c r="F45" s="25">
        <f t="shared" si="3"/>
        <v>46249</v>
      </c>
      <c r="G45" s="25">
        <f t="shared" si="3"/>
        <v>5377.7906976744207</v>
      </c>
      <c r="H45" s="25">
        <f t="shared" si="3"/>
        <v>0</v>
      </c>
      <c r="I45" s="25">
        <f t="shared" si="3"/>
        <v>0</v>
      </c>
      <c r="J45" s="25">
        <f t="shared" si="3"/>
        <v>0</v>
      </c>
      <c r="K45" s="25">
        <f t="shared" si="3"/>
        <v>0</v>
      </c>
      <c r="L45" s="25">
        <f t="shared" si="3"/>
        <v>0</v>
      </c>
      <c r="M45" s="25">
        <f t="shared" si="3"/>
        <v>0</v>
      </c>
      <c r="N45" s="25">
        <f t="shared" si="3"/>
        <v>0</v>
      </c>
      <c r="O45" s="25">
        <f t="shared" si="3"/>
        <v>0</v>
      </c>
      <c r="P45" s="76">
        <f>SUM(P14:P44)</f>
        <v>35141.07</v>
      </c>
      <c r="Q45" s="25">
        <f t="shared" ref="Q45:AG45" si="4">SUM(Q14:Q44)</f>
        <v>0</v>
      </c>
      <c r="R45" s="25">
        <f t="shared" si="4"/>
        <v>0</v>
      </c>
      <c r="S45" s="25">
        <f t="shared" si="4"/>
        <v>0</v>
      </c>
      <c r="T45" s="25">
        <f t="shared" si="4"/>
        <v>0</v>
      </c>
      <c r="U45" s="25">
        <f t="shared" si="4"/>
        <v>0</v>
      </c>
      <c r="V45" s="25">
        <f t="shared" si="4"/>
        <v>368</v>
      </c>
      <c r="W45" s="25">
        <f t="shared" si="4"/>
        <v>49312</v>
      </c>
      <c r="X45" s="25">
        <f t="shared" si="4"/>
        <v>0</v>
      </c>
      <c r="Y45" s="25">
        <f t="shared" si="4"/>
        <v>5828</v>
      </c>
      <c r="Z45" s="25">
        <f t="shared" si="4"/>
        <v>156</v>
      </c>
      <c r="AA45" s="25">
        <f t="shared" si="4"/>
        <v>24333</v>
      </c>
      <c r="AB45" s="25">
        <f t="shared" si="4"/>
        <v>0</v>
      </c>
      <c r="AC45" s="25">
        <f t="shared" si="4"/>
        <v>0</v>
      </c>
      <c r="AD45" s="25">
        <f t="shared" si="4"/>
        <v>0</v>
      </c>
      <c r="AE45" s="36">
        <f t="shared" si="4"/>
        <v>14162.040000000003</v>
      </c>
      <c r="AF45" s="25">
        <f t="shared" si="4"/>
        <v>90</v>
      </c>
      <c r="AG45" s="25">
        <f t="shared" si="4"/>
        <v>0</v>
      </c>
      <c r="AH45" s="26"/>
    </row>
    <row r="46" spans="1:37" s="1" customFormat="1" ht="8.25" customHeight="1" x14ac:dyDescent="0.2">
      <c r="Q46" s="27"/>
      <c r="Y46" s="28"/>
    </row>
    <row r="47" spans="1:37" s="1" customFormat="1" ht="7.5" customHeight="1" x14ac:dyDescent="0.2">
      <c r="Q47" s="27"/>
      <c r="Y47" s="28"/>
    </row>
    <row r="48" spans="1:37" s="29" customFormat="1" ht="18.75" x14ac:dyDescent="0.3">
      <c r="A48" s="29" t="s">
        <v>29</v>
      </c>
      <c r="G48" s="30" t="s">
        <v>30</v>
      </c>
      <c r="X48" s="29" t="s">
        <v>31</v>
      </c>
      <c r="AD48" s="30" t="s">
        <v>32</v>
      </c>
      <c r="AH48" s="30"/>
      <c r="AJ48" s="31"/>
      <c r="AK48" s="31"/>
    </row>
    <row r="49" spans="1:37" s="29" customFormat="1" ht="27" customHeight="1" x14ac:dyDescent="0.3">
      <c r="A49" s="32"/>
      <c r="B49" s="32"/>
      <c r="C49" s="32"/>
      <c r="G49" s="32"/>
    </row>
    <row r="50" spans="1:37" s="42" customFormat="1" ht="20.25" x14ac:dyDescent="0.3">
      <c r="A50" s="41" t="s">
        <v>33</v>
      </c>
      <c r="B50" s="41"/>
      <c r="C50" s="41"/>
      <c r="G50" s="43" t="s">
        <v>34</v>
      </c>
      <c r="X50" s="43" t="s">
        <v>47</v>
      </c>
      <c r="AD50" s="44" t="s">
        <v>36</v>
      </c>
      <c r="AI50" s="45"/>
      <c r="AJ50" s="45"/>
      <c r="AK50" s="45"/>
    </row>
    <row r="51" spans="1:37" s="42" customFormat="1" ht="20.25" x14ac:dyDescent="0.3">
      <c r="A51" s="46" t="s">
        <v>39</v>
      </c>
      <c r="B51" s="46"/>
      <c r="C51" s="46"/>
      <c r="G51" s="46" t="s">
        <v>37</v>
      </c>
      <c r="X51" s="46" t="s">
        <v>48</v>
      </c>
      <c r="AD51" s="47" t="s">
        <v>43</v>
      </c>
      <c r="AI51" s="46"/>
      <c r="AJ51" s="48"/>
      <c r="AK51" s="48"/>
    </row>
    <row r="52" spans="1:37" x14ac:dyDescent="0.25">
      <c r="P52" s="1"/>
      <c r="R52" s="1"/>
      <c r="S52" s="1"/>
    </row>
    <row r="53" spans="1:37" x14ac:dyDescent="0.25">
      <c r="S53" s="33"/>
      <c r="T53" s="33"/>
      <c r="U53" s="33"/>
      <c r="AC53" s="34"/>
    </row>
    <row r="67" spans="1:3" x14ac:dyDescent="0.25">
      <c r="A67" s="1"/>
      <c r="B67" s="1"/>
      <c r="C67" s="1"/>
    </row>
  </sheetData>
  <mergeCells count="41">
    <mergeCell ref="F12:G12"/>
    <mergeCell ref="H12:I12"/>
    <mergeCell ref="J12:K12"/>
    <mergeCell ref="L12:M12"/>
    <mergeCell ref="AG7:AG8"/>
    <mergeCell ref="Y8:Z8"/>
    <mergeCell ref="N12:O12"/>
    <mergeCell ref="Q10:R10"/>
    <mergeCell ref="S10:T10"/>
    <mergeCell ref="V10:X10"/>
    <mergeCell ref="N11:O11"/>
    <mergeCell ref="N10:O10"/>
    <mergeCell ref="A9:A13"/>
    <mergeCell ref="D9:O9"/>
    <mergeCell ref="P9:P11"/>
    <mergeCell ref="Q9:Z9"/>
    <mergeCell ref="AA9:AD9"/>
    <mergeCell ref="D11:E11"/>
    <mergeCell ref="F11:G11"/>
    <mergeCell ref="H11:I11"/>
    <mergeCell ref="J11:K11"/>
    <mergeCell ref="L11:M11"/>
    <mergeCell ref="D10:E10"/>
    <mergeCell ref="F10:G10"/>
    <mergeCell ref="H10:I10"/>
    <mergeCell ref="J10:K10"/>
    <mergeCell ref="L10:M10"/>
    <mergeCell ref="D12:E12"/>
    <mergeCell ref="A1:AF1"/>
    <mergeCell ref="A2:AF2"/>
    <mergeCell ref="A4:AF4"/>
    <mergeCell ref="A5:AF5"/>
    <mergeCell ref="A7:A8"/>
    <mergeCell ref="D7:E8"/>
    <mergeCell ref="F7:O8"/>
    <mergeCell ref="Q7:U8"/>
    <mergeCell ref="V7:W8"/>
    <mergeCell ref="Y7:Z7"/>
    <mergeCell ref="AA7:AA8"/>
    <mergeCell ref="AB7:AD8"/>
    <mergeCell ref="AF7:AF8"/>
  </mergeCells>
  <pageMargins left="0.39370078740157483" right="0.39370078740157483" top="0.39370078740157483" bottom="0.39370078740157483" header="0.31496062992125984" footer="0.31496062992125984"/>
  <pageSetup paperSize="14" scale="5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6"/>
  <sheetViews>
    <sheetView topLeftCell="A22" zoomScaleNormal="100" workbookViewId="0">
      <selection activeCell="G40" sqref="G40"/>
    </sheetView>
  </sheetViews>
  <sheetFormatPr defaultColWidth="11.28515625" defaultRowHeight="15" x14ac:dyDescent="0.25"/>
  <cols>
    <col min="1" max="1" width="21" style="2" customWidth="1"/>
    <col min="2" max="3" width="21" style="2" hidden="1" customWidth="1"/>
    <col min="4" max="4" width="8.42578125" style="2" customWidth="1"/>
    <col min="5" max="5" width="9" style="2" customWidth="1"/>
    <col min="6" max="6" width="8.42578125" style="2" bestFit="1" customWidth="1"/>
    <col min="7" max="7" width="9.5703125" style="2" customWidth="1"/>
    <col min="8" max="15" width="5" style="2" hidden="1" customWidth="1"/>
    <col min="16" max="16" width="14" style="2" customWidth="1"/>
    <col min="17" max="17" width="7.7109375" style="2" hidden="1" customWidth="1"/>
    <col min="18" max="18" width="7.28515625" style="2" hidden="1" customWidth="1"/>
    <col min="19" max="19" width="7.42578125" style="2" customWidth="1"/>
    <col min="20" max="20" width="7.5703125" style="2" customWidth="1"/>
    <col min="21" max="21" width="14.7109375" style="2" hidden="1" customWidth="1"/>
    <col min="22" max="22" width="8.85546875" style="2" customWidth="1"/>
    <col min="23" max="24" width="8.5703125" style="2" customWidth="1"/>
    <col min="25" max="25" width="8.85546875" style="2" customWidth="1"/>
    <col min="26" max="26" width="6.7109375" style="2" bestFit="1" customWidth="1"/>
    <col min="27" max="27" width="10.5703125" style="2" customWidth="1"/>
    <col min="28" max="28" width="10.42578125" style="2" bestFit="1" customWidth="1"/>
    <col min="29" max="29" width="8.28515625" style="2" customWidth="1"/>
    <col min="30" max="30" width="8.7109375" style="2" bestFit="1" customWidth="1"/>
    <col min="31" max="31" width="14.7109375" style="2" bestFit="1" customWidth="1"/>
    <col min="32" max="32" width="10.7109375" style="2" customWidth="1"/>
    <col min="33" max="33" width="14.7109375" style="2" bestFit="1" customWidth="1"/>
    <col min="34" max="34" width="12" style="2" bestFit="1" customWidth="1"/>
    <col min="35" max="16384" width="11.28515625" style="2"/>
  </cols>
  <sheetData>
    <row r="1" spans="1:34" s="1" customFormat="1" ht="20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 spans="1:34" ht="20.25" x14ac:dyDescent="0.3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</row>
    <row r="3" spans="1:34" s="1" customFormat="1" ht="12.75" customHeight="1" x14ac:dyDescent="0.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3"/>
    </row>
    <row r="4" spans="1:34" s="4" customFormat="1" ht="24.75" customHeight="1" x14ac:dyDescent="0.2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4" s="5" customFormat="1" ht="21.75" customHeight="1" x14ac:dyDescent="0.2">
      <c r="A5" s="98" t="s">
        <v>49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</row>
    <row r="6" spans="1:34" s="5" customFormat="1" ht="7.5" customHeight="1" thickBot="1" x14ac:dyDescent="0.25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4" s="1" customFormat="1" ht="14.25" x14ac:dyDescent="0.2">
      <c r="A7" s="99" t="s">
        <v>3</v>
      </c>
      <c r="B7" s="83"/>
      <c r="C7" s="83"/>
      <c r="D7" s="101"/>
      <c r="E7" s="102"/>
      <c r="F7" s="105" t="s">
        <v>5</v>
      </c>
      <c r="G7" s="101"/>
      <c r="H7" s="101"/>
      <c r="I7" s="101"/>
      <c r="J7" s="101"/>
      <c r="K7" s="101"/>
      <c r="L7" s="101"/>
      <c r="M7" s="101"/>
      <c r="N7" s="101"/>
      <c r="O7" s="102"/>
      <c r="P7" s="85" t="s">
        <v>6</v>
      </c>
      <c r="Q7" s="105" t="s">
        <v>4</v>
      </c>
      <c r="R7" s="101"/>
      <c r="S7" s="101"/>
      <c r="T7" s="101"/>
      <c r="U7" s="102"/>
      <c r="V7" s="107" t="s">
        <v>5</v>
      </c>
      <c r="W7" s="107"/>
      <c r="X7" s="85"/>
      <c r="Y7" s="107" t="s">
        <v>6</v>
      </c>
      <c r="Z7" s="107"/>
      <c r="AA7" s="109" t="s">
        <v>5</v>
      </c>
      <c r="AB7" s="107" t="s">
        <v>4</v>
      </c>
      <c r="AC7" s="107"/>
      <c r="AD7" s="107"/>
      <c r="AE7" s="85" t="s">
        <v>6</v>
      </c>
      <c r="AF7" s="107" t="s">
        <v>6</v>
      </c>
      <c r="AG7" s="124" t="s">
        <v>5</v>
      </c>
    </row>
    <row r="8" spans="1:34" s="1" customFormat="1" ht="14.25" x14ac:dyDescent="0.2">
      <c r="A8" s="100"/>
      <c r="B8" s="84"/>
      <c r="C8" s="84"/>
      <c r="D8" s="103"/>
      <c r="E8" s="104"/>
      <c r="F8" s="106"/>
      <c r="G8" s="103"/>
      <c r="H8" s="103"/>
      <c r="I8" s="103"/>
      <c r="J8" s="103"/>
      <c r="K8" s="103"/>
      <c r="L8" s="103"/>
      <c r="M8" s="103"/>
      <c r="N8" s="103"/>
      <c r="O8" s="104"/>
      <c r="P8" s="78" t="s">
        <v>5</v>
      </c>
      <c r="Q8" s="106"/>
      <c r="R8" s="103"/>
      <c r="S8" s="103"/>
      <c r="T8" s="103"/>
      <c r="U8" s="104"/>
      <c r="V8" s="108"/>
      <c r="W8" s="108"/>
      <c r="X8" s="78"/>
      <c r="Y8" s="108" t="s">
        <v>5</v>
      </c>
      <c r="Z8" s="108"/>
      <c r="AA8" s="110"/>
      <c r="AB8" s="108"/>
      <c r="AC8" s="108"/>
      <c r="AD8" s="108"/>
      <c r="AE8" s="78" t="s">
        <v>5</v>
      </c>
      <c r="AF8" s="108"/>
      <c r="AG8" s="125"/>
    </row>
    <row r="9" spans="1:34" s="4" customFormat="1" ht="17.25" customHeight="1" x14ac:dyDescent="0.2">
      <c r="A9" s="111" t="s">
        <v>7</v>
      </c>
      <c r="B9" s="37"/>
      <c r="C9" s="37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4"/>
      <c r="P9" s="115" t="s">
        <v>8</v>
      </c>
      <c r="Q9" s="116" t="s">
        <v>9</v>
      </c>
      <c r="R9" s="116"/>
      <c r="S9" s="116"/>
      <c r="T9" s="116"/>
      <c r="U9" s="116"/>
      <c r="V9" s="116"/>
      <c r="W9" s="116"/>
      <c r="X9" s="116"/>
      <c r="Y9" s="116"/>
      <c r="Z9" s="116"/>
      <c r="AA9" s="117" t="s">
        <v>10</v>
      </c>
      <c r="AB9" s="117"/>
      <c r="AC9" s="117"/>
      <c r="AD9" s="117"/>
      <c r="AE9" s="6"/>
      <c r="AF9" s="6"/>
      <c r="AG9" s="7"/>
    </row>
    <row r="10" spans="1:34" s="4" customFormat="1" ht="17.25" x14ac:dyDescent="0.2">
      <c r="A10" s="111"/>
      <c r="B10" s="38"/>
      <c r="C10" s="38"/>
      <c r="D10" s="118">
        <v>200</v>
      </c>
      <c r="E10" s="118"/>
      <c r="F10" s="119">
        <v>215</v>
      </c>
      <c r="G10" s="120"/>
      <c r="H10" s="118">
        <v>135</v>
      </c>
      <c r="I10" s="118"/>
      <c r="J10" s="118">
        <v>150</v>
      </c>
      <c r="K10" s="118"/>
      <c r="L10" s="118">
        <v>150</v>
      </c>
      <c r="M10" s="118"/>
      <c r="N10" s="119">
        <v>38</v>
      </c>
      <c r="O10" s="120"/>
      <c r="P10" s="115"/>
      <c r="Q10" s="118" t="s">
        <v>11</v>
      </c>
      <c r="R10" s="118"/>
      <c r="S10" s="118" t="s">
        <v>12</v>
      </c>
      <c r="T10" s="118"/>
      <c r="U10" s="80" t="s">
        <v>13</v>
      </c>
      <c r="V10" s="119" t="s">
        <v>14</v>
      </c>
      <c r="W10" s="126"/>
      <c r="X10" s="120"/>
      <c r="Y10" s="79" t="s">
        <v>15</v>
      </c>
      <c r="Z10" s="79" t="s">
        <v>16</v>
      </c>
      <c r="AA10" s="79" t="s">
        <v>17</v>
      </c>
      <c r="AB10" s="79" t="s">
        <v>17</v>
      </c>
      <c r="AC10" s="79" t="s">
        <v>40</v>
      </c>
      <c r="AD10" s="79" t="s">
        <v>17</v>
      </c>
      <c r="AE10" s="79" t="s">
        <v>18</v>
      </c>
      <c r="AF10" s="79" t="s">
        <v>19</v>
      </c>
      <c r="AG10" s="8" t="s">
        <v>20</v>
      </c>
    </row>
    <row r="11" spans="1:34" s="4" customFormat="1" ht="17.25" x14ac:dyDescent="0.2">
      <c r="A11" s="111"/>
      <c r="B11" s="38"/>
      <c r="C11" s="38"/>
      <c r="D11" s="118" t="s">
        <v>42</v>
      </c>
      <c r="E11" s="118"/>
      <c r="F11" s="119" t="s">
        <v>22</v>
      </c>
      <c r="G11" s="120"/>
      <c r="H11" s="118" t="s">
        <v>22</v>
      </c>
      <c r="I11" s="118"/>
      <c r="J11" s="118" t="s">
        <v>21</v>
      </c>
      <c r="K11" s="118"/>
      <c r="L11" s="118" t="s">
        <v>23</v>
      </c>
      <c r="M11" s="118"/>
      <c r="N11" s="119" t="s">
        <v>22</v>
      </c>
      <c r="O11" s="120"/>
      <c r="P11" s="115"/>
      <c r="Q11" s="79">
        <v>2.4</v>
      </c>
      <c r="R11" s="79">
        <v>3.6</v>
      </c>
      <c r="S11" s="79">
        <v>2.4</v>
      </c>
      <c r="T11" s="79">
        <v>3.6</v>
      </c>
      <c r="U11" s="79">
        <v>2.4</v>
      </c>
      <c r="V11" s="79">
        <v>3.6</v>
      </c>
      <c r="W11" s="79">
        <v>2.4</v>
      </c>
      <c r="X11" s="79">
        <v>4.9000000000000004</v>
      </c>
      <c r="Y11" s="79"/>
      <c r="Z11" s="79"/>
      <c r="AA11" s="79">
        <v>5</v>
      </c>
      <c r="AB11" s="79">
        <v>10</v>
      </c>
      <c r="AC11" s="79" t="s">
        <v>41</v>
      </c>
      <c r="AD11" s="79">
        <v>40</v>
      </c>
      <c r="AE11" s="79"/>
      <c r="AF11" s="79"/>
      <c r="AG11" s="8" t="s">
        <v>24</v>
      </c>
    </row>
    <row r="12" spans="1:34" s="4" customFormat="1" ht="17.25" x14ac:dyDescent="0.2">
      <c r="A12" s="111"/>
      <c r="B12" s="38"/>
      <c r="C12" s="38"/>
      <c r="D12" s="121">
        <v>35245</v>
      </c>
      <c r="E12" s="121"/>
      <c r="F12" s="122">
        <v>11082</v>
      </c>
      <c r="G12" s="123"/>
      <c r="H12" s="121">
        <v>21810</v>
      </c>
      <c r="I12" s="121"/>
      <c r="J12" s="121">
        <v>17362</v>
      </c>
      <c r="K12" s="121"/>
      <c r="L12" s="121">
        <v>18389</v>
      </c>
      <c r="M12" s="121"/>
      <c r="N12" s="122">
        <v>21811</v>
      </c>
      <c r="O12" s="123"/>
      <c r="P12" s="77">
        <v>10128</v>
      </c>
      <c r="Q12" s="77">
        <v>10962</v>
      </c>
      <c r="R12" s="77">
        <v>15427</v>
      </c>
      <c r="S12" s="77">
        <v>16623</v>
      </c>
      <c r="T12" s="77">
        <v>16967</v>
      </c>
      <c r="U12" s="77">
        <v>28230</v>
      </c>
      <c r="V12" s="77">
        <v>10966</v>
      </c>
      <c r="W12" s="77">
        <v>10965</v>
      </c>
      <c r="X12" s="77">
        <v>21809</v>
      </c>
      <c r="Y12" s="77">
        <v>11966</v>
      </c>
      <c r="Z12" s="77">
        <v>11089</v>
      </c>
      <c r="AA12" s="77">
        <v>10960</v>
      </c>
      <c r="AB12" s="77">
        <v>10961</v>
      </c>
      <c r="AC12" s="77">
        <v>33442</v>
      </c>
      <c r="AD12" s="77">
        <v>10959</v>
      </c>
      <c r="AE12" s="77">
        <v>12487</v>
      </c>
      <c r="AF12" s="77">
        <v>16823</v>
      </c>
      <c r="AG12" s="9">
        <v>11342</v>
      </c>
    </row>
    <row r="13" spans="1:34" s="4" customFormat="1" ht="17.25" x14ac:dyDescent="0.2">
      <c r="A13" s="112"/>
      <c r="B13" s="39"/>
      <c r="C13" s="39"/>
      <c r="D13" s="10" t="s">
        <v>25</v>
      </c>
      <c r="E13" s="10" t="s">
        <v>26</v>
      </c>
      <c r="F13" s="10" t="s">
        <v>25</v>
      </c>
      <c r="G13" s="10" t="s">
        <v>26</v>
      </c>
      <c r="H13" s="10" t="s">
        <v>25</v>
      </c>
      <c r="I13" s="10" t="s">
        <v>26</v>
      </c>
      <c r="J13" s="10" t="s">
        <v>25</v>
      </c>
      <c r="K13" s="10" t="s">
        <v>26</v>
      </c>
      <c r="L13" s="10" t="s">
        <v>25</v>
      </c>
      <c r="M13" s="10" t="s">
        <v>26</v>
      </c>
      <c r="N13" s="10" t="s">
        <v>25</v>
      </c>
      <c r="O13" s="10" t="s">
        <v>26</v>
      </c>
      <c r="P13" s="10" t="s">
        <v>26</v>
      </c>
      <c r="Q13" s="10" t="s">
        <v>25</v>
      </c>
      <c r="R13" s="10" t="s">
        <v>25</v>
      </c>
      <c r="S13" s="10" t="s">
        <v>25</v>
      </c>
      <c r="T13" s="10" t="s">
        <v>25</v>
      </c>
      <c r="U13" s="10" t="s">
        <v>25</v>
      </c>
      <c r="V13" s="10" t="s">
        <v>25</v>
      </c>
      <c r="W13" s="10" t="s">
        <v>25</v>
      </c>
      <c r="X13" s="10" t="s">
        <v>25</v>
      </c>
      <c r="Y13" s="10" t="s">
        <v>25</v>
      </c>
      <c r="Z13" s="10" t="s">
        <v>25</v>
      </c>
      <c r="AA13" s="10" t="s">
        <v>27</v>
      </c>
      <c r="AB13" s="10" t="s">
        <v>27</v>
      </c>
      <c r="AC13" s="10" t="s">
        <v>27</v>
      </c>
      <c r="AD13" s="10" t="s">
        <v>27</v>
      </c>
      <c r="AE13" s="11" t="s">
        <v>27</v>
      </c>
      <c r="AF13" s="10" t="s">
        <v>27</v>
      </c>
      <c r="AG13" s="12" t="s">
        <v>25</v>
      </c>
    </row>
    <row r="14" spans="1:34" ht="21" customHeight="1" x14ac:dyDescent="0.25">
      <c r="A14" s="13">
        <v>46113</v>
      </c>
      <c r="B14" s="14"/>
      <c r="C14" s="15"/>
      <c r="D14" s="14"/>
      <c r="E14" s="16"/>
      <c r="F14" s="14"/>
      <c r="G14" s="16"/>
      <c r="H14" s="14"/>
      <c r="I14" s="18"/>
      <c r="J14" s="14"/>
      <c r="K14" s="14"/>
      <c r="L14" s="14"/>
      <c r="M14" s="14"/>
      <c r="N14" s="14"/>
      <c r="O14" s="18"/>
      <c r="P14" s="18"/>
      <c r="Q14" s="19"/>
      <c r="R14" s="19"/>
      <c r="S14" s="19"/>
      <c r="T14" s="19"/>
      <c r="U14" s="19"/>
      <c r="V14" s="19"/>
      <c r="W14" s="20"/>
      <c r="X14" s="20"/>
      <c r="Y14" s="19"/>
      <c r="Z14" s="19"/>
      <c r="AA14" s="19"/>
      <c r="AB14" s="19"/>
      <c r="AC14" s="19"/>
      <c r="AD14" s="19"/>
      <c r="AE14" s="21"/>
      <c r="AF14" s="19"/>
      <c r="AG14" s="22"/>
    </row>
    <row r="15" spans="1:34" ht="21" customHeight="1" x14ac:dyDescent="0.25">
      <c r="A15" s="13">
        <v>46114</v>
      </c>
      <c r="B15" s="14"/>
      <c r="C15" s="15"/>
      <c r="D15" s="14"/>
      <c r="E15" s="16"/>
      <c r="F15" s="14"/>
      <c r="G15" s="16"/>
      <c r="H15" s="14"/>
      <c r="I15" s="18"/>
      <c r="J15" s="14"/>
      <c r="K15" s="14"/>
      <c r="L15" s="14"/>
      <c r="M15" s="14"/>
      <c r="N15" s="14"/>
      <c r="O15" s="18"/>
      <c r="P15" s="18"/>
      <c r="Q15" s="19"/>
      <c r="R15" s="19"/>
      <c r="S15" s="19"/>
      <c r="T15" s="19"/>
      <c r="U15" s="19"/>
      <c r="V15" s="35"/>
      <c r="W15" s="19"/>
      <c r="X15" s="20"/>
      <c r="Y15" s="19"/>
      <c r="Z15" s="19"/>
      <c r="AA15" s="19"/>
      <c r="AB15" s="19"/>
      <c r="AC15" s="19"/>
      <c r="AD15" s="19"/>
      <c r="AE15" s="21"/>
      <c r="AF15" s="19"/>
      <c r="AG15" s="22"/>
      <c r="AH15" s="23"/>
    </row>
    <row r="16" spans="1:34" ht="21" customHeight="1" x14ac:dyDescent="0.25">
      <c r="A16" s="13">
        <v>46115</v>
      </c>
      <c r="B16" s="14"/>
      <c r="C16" s="15"/>
      <c r="D16" s="14"/>
      <c r="E16" s="16"/>
      <c r="F16" s="14"/>
      <c r="G16" s="16"/>
      <c r="H16" s="14"/>
      <c r="I16" s="18"/>
      <c r="J16" s="14"/>
      <c r="K16" s="14"/>
      <c r="L16" s="14"/>
      <c r="M16" s="14"/>
      <c r="N16" s="14"/>
      <c r="O16" s="18"/>
      <c r="P16" s="18"/>
      <c r="Q16" s="19"/>
      <c r="R16" s="19"/>
      <c r="S16" s="19"/>
      <c r="T16" s="19"/>
      <c r="U16" s="19"/>
      <c r="V16" s="19"/>
      <c r="W16" s="20"/>
      <c r="X16" s="20"/>
      <c r="Y16" s="19"/>
      <c r="Z16" s="19"/>
      <c r="AA16" s="19"/>
      <c r="AB16" s="19"/>
      <c r="AC16" s="19"/>
      <c r="AD16" s="19"/>
      <c r="AE16" s="21"/>
      <c r="AF16" s="19"/>
      <c r="AG16" s="22"/>
    </row>
    <row r="17" spans="1:34" ht="21" customHeight="1" x14ac:dyDescent="0.25">
      <c r="A17" s="13">
        <v>46116</v>
      </c>
      <c r="B17" s="14"/>
      <c r="C17" s="15"/>
      <c r="D17" s="14"/>
      <c r="E17" s="16"/>
      <c r="F17" s="14"/>
      <c r="G17" s="16"/>
      <c r="H17" s="14"/>
      <c r="I17" s="18"/>
      <c r="J17" s="14"/>
      <c r="K17" s="14"/>
      <c r="L17" s="14"/>
      <c r="M17" s="14"/>
      <c r="N17" s="14"/>
      <c r="O17" s="18"/>
      <c r="P17" s="18"/>
      <c r="Q17" s="19"/>
      <c r="R17" s="19"/>
      <c r="S17" s="20"/>
      <c r="T17" s="19"/>
      <c r="U17" s="19"/>
      <c r="V17" s="19"/>
      <c r="W17" s="20"/>
      <c r="X17" s="20"/>
      <c r="Y17" s="19"/>
      <c r="Z17" s="19"/>
      <c r="AA17" s="19"/>
      <c r="AB17" s="19"/>
      <c r="AC17" s="19"/>
      <c r="AD17" s="19"/>
      <c r="AE17" s="21"/>
      <c r="AF17" s="19"/>
      <c r="AG17" s="22"/>
    </row>
    <row r="18" spans="1:34" ht="21" customHeight="1" x14ac:dyDescent="0.25">
      <c r="A18" s="13">
        <v>46117</v>
      </c>
      <c r="B18" s="14">
        <v>1037</v>
      </c>
      <c r="C18" s="16">
        <f t="shared" ref="C18:C21" si="0">B18/200*25</f>
        <v>129.625</v>
      </c>
      <c r="D18" s="14">
        <v>176</v>
      </c>
      <c r="E18" s="16">
        <f t="shared" ref="E18" si="1">D18/208*25</f>
        <v>21.153846153846153</v>
      </c>
      <c r="F18" s="14">
        <v>1291</v>
      </c>
      <c r="G18" s="16">
        <f t="shared" ref="G18:G43" si="2">F18/215*25</f>
        <v>150.11627906976744</v>
      </c>
      <c r="H18" s="14"/>
      <c r="I18" s="18"/>
      <c r="J18" s="14"/>
      <c r="K18" s="14"/>
      <c r="L18" s="14"/>
      <c r="M18" s="14"/>
      <c r="N18" s="14"/>
      <c r="O18" s="18">
        <v>0</v>
      </c>
      <c r="P18" s="18">
        <v>595</v>
      </c>
      <c r="Q18" s="19"/>
      <c r="R18" s="19"/>
      <c r="S18" s="19"/>
      <c r="T18" s="19"/>
      <c r="U18" s="19"/>
      <c r="V18" s="19">
        <v>6</v>
      </c>
      <c r="W18" s="20">
        <v>759</v>
      </c>
      <c r="X18" s="20"/>
      <c r="Y18" s="19">
        <v>119</v>
      </c>
      <c r="Z18" s="19">
        <v>2</v>
      </c>
      <c r="AA18" s="19">
        <v>490</v>
      </c>
      <c r="AB18" s="19"/>
      <c r="AC18" s="19"/>
      <c r="AD18" s="19"/>
      <c r="AE18" s="21">
        <f>Y18*2.43</f>
        <v>289.17</v>
      </c>
      <c r="AF18" s="19"/>
      <c r="AG18" s="22"/>
      <c r="AH18" s="95"/>
    </row>
    <row r="19" spans="1:34" ht="21" customHeight="1" x14ac:dyDescent="0.25">
      <c r="A19" s="13">
        <v>46118</v>
      </c>
      <c r="B19" s="14"/>
      <c r="C19" s="15">
        <f t="shared" si="0"/>
        <v>0</v>
      </c>
      <c r="D19" s="14">
        <v>442</v>
      </c>
      <c r="E19" s="16">
        <f t="shared" ref="E19:E23" si="3">D19/200*25</f>
        <v>55.25</v>
      </c>
      <c r="F19" s="14">
        <v>2852</v>
      </c>
      <c r="G19" s="17">
        <f t="shared" si="2"/>
        <v>331.62790697674416</v>
      </c>
      <c r="H19" s="14"/>
      <c r="I19" s="18">
        <f t="shared" ref="I19:I22" si="4">H19/135*25</f>
        <v>0</v>
      </c>
      <c r="J19" s="14"/>
      <c r="K19" s="14">
        <v>0</v>
      </c>
      <c r="L19" s="14"/>
      <c r="M19" s="14">
        <v>0</v>
      </c>
      <c r="N19" s="14"/>
      <c r="O19" s="18">
        <f>N19/38*25</f>
        <v>0</v>
      </c>
      <c r="P19" s="17">
        <v>1052.6000000000001</v>
      </c>
      <c r="Q19" s="19"/>
      <c r="R19" s="19"/>
      <c r="S19" s="20"/>
      <c r="T19" s="19"/>
      <c r="U19" s="19"/>
      <c r="V19" s="19">
        <v>15</v>
      </c>
      <c r="W19" s="20">
        <v>1552</v>
      </c>
      <c r="X19" s="20"/>
      <c r="Y19" s="19">
        <v>181</v>
      </c>
      <c r="Z19" s="19">
        <v>6</v>
      </c>
      <c r="AA19" s="19">
        <v>560</v>
      </c>
      <c r="AB19" s="19">
        <v>192</v>
      </c>
      <c r="AC19" s="19"/>
      <c r="AD19" s="19"/>
      <c r="AE19" s="21">
        <f t="shared" ref="AE19:AE23" si="5">Y19*2.43</f>
        <v>439.83000000000004</v>
      </c>
      <c r="AF19" s="19"/>
      <c r="AG19" s="22"/>
      <c r="AH19" s="23"/>
    </row>
    <row r="20" spans="1:34" ht="21" customHeight="1" x14ac:dyDescent="0.25">
      <c r="A20" s="13">
        <v>46119</v>
      </c>
      <c r="B20" s="14"/>
      <c r="C20" s="15">
        <f t="shared" si="0"/>
        <v>0</v>
      </c>
      <c r="D20" s="14">
        <v>581</v>
      </c>
      <c r="E20" s="16">
        <f t="shared" si="3"/>
        <v>72.625</v>
      </c>
      <c r="F20" s="14">
        <v>3573</v>
      </c>
      <c r="G20" s="17">
        <f t="shared" si="2"/>
        <v>415.46511627906978</v>
      </c>
      <c r="H20" s="14"/>
      <c r="I20" s="18">
        <f t="shared" si="4"/>
        <v>0</v>
      </c>
      <c r="J20" s="14"/>
      <c r="K20" s="14"/>
      <c r="L20" s="14"/>
      <c r="M20" s="14"/>
      <c r="N20" s="14"/>
      <c r="O20" s="18">
        <f t="shared" ref="O20:O22" si="6">N20/38*25</f>
        <v>0</v>
      </c>
      <c r="P20" s="18">
        <v>1282.0000000000002</v>
      </c>
      <c r="Q20" s="19"/>
      <c r="R20" s="19"/>
      <c r="S20" s="19"/>
      <c r="T20" s="19"/>
      <c r="U20" s="19"/>
      <c r="V20" s="19">
        <v>21</v>
      </c>
      <c r="W20" s="20">
        <v>1960</v>
      </c>
      <c r="X20" s="20"/>
      <c r="Y20" s="19">
        <v>211</v>
      </c>
      <c r="Z20" s="19">
        <v>10</v>
      </c>
      <c r="AA20" s="19">
        <v>635</v>
      </c>
      <c r="AB20" s="19">
        <v>331</v>
      </c>
      <c r="AC20" s="19"/>
      <c r="AD20" s="19"/>
      <c r="AE20" s="21">
        <f t="shared" si="5"/>
        <v>512.73</v>
      </c>
      <c r="AF20" s="19">
        <v>30</v>
      </c>
      <c r="AG20" s="22"/>
    </row>
    <row r="21" spans="1:34" ht="21" customHeight="1" x14ac:dyDescent="0.25">
      <c r="A21" s="13">
        <v>46120</v>
      </c>
      <c r="B21" s="14"/>
      <c r="C21" s="15">
        <f t="shared" si="0"/>
        <v>0</v>
      </c>
      <c r="D21" s="14">
        <v>522</v>
      </c>
      <c r="E21" s="16">
        <f t="shared" si="3"/>
        <v>65.25</v>
      </c>
      <c r="F21" s="14">
        <v>2686</v>
      </c>
      <c r="G21" s="17">
        <f t="shared" si="2"/>
        <v>312.32558139534888</v>
      </c>
      <c r="H21" s="14"/>
      <c r="I21" s="18">
        <f t="shared" si="4"/>
        <v>0</v>
      </c>
      <c r="J21" s="14"/>
      <c r="K21" s="14"/>
      <c r="L21" s="14"/>
      <c r="M21" s="14"/>
      <c r="N21" s="14"/>
      <c r="O21" s="18">
        <f t="shared" si="6"/>
        <v>0</v>
      </c>
      <c r="P21" s="18">
        <v>1010.8000000000001</v>
      </c>
      <c r="Q21" s="19"/>
      <c r="R21" s="19"/>
      <c r="S21" s="19"/>
      <c r="T21" s="19"/>
      <c r="U21" s="19"/>
      <c r="V21" s="35">
        <v>13</v>
      </c>
      <c r="W21" s="20">
        <v>1563</v>
      </c>
      <c r="X21" s="20"/>
      <c r="Y21" s="19">
        <v>159</v>
      </c>
      <c r="Z21" s="19">
        <v>4</v>
      </c>
      <c r="AA21" s="19">
        <v>433</v>
      </c>
      <c r="AB21" s="19">
        <v>273</v>
      </c>
      <c r="AC21" s="19"/>
      <c r="AD21" s="19"/>
      <c r="AE21" s="21">
        <f t="shared" si="5"/>
        <v>386.37</v>
      </c>
      <c r="AF21" s="19"/>
      <c r="AG21" s="22"/>
      <c r="AH21" s="23"/>
    </row>
    <row r="22" spans="1:34" ht="21" customHeight="1" x14ac:dyDescent="0.25">
      <c r="A22" s="13">
        <v>46121</v>
      </c>
      <c r="B22" s="14"/>
      <c r="C22" s="15">
        <f>B22/200*25</f>
        <v>0</v>
      </c>
      <c r="D22" s="14">
        <v>562</v>
      </c>
      <c r="E22" s="16">
        <f t="shared" si="3"/>
        <v>70.25</v>
      </c>
      <c r="F22" s="14">
        <v>2905</v>
      </c>
      <c r="G22" s="17">
        <f t="shared" si="2"/>
        <v>337.7906976744186</v>
      </c>
      <c r="H22" s="14"/>
      <c r="I22" s="18">
        <f t="shared" si="4"/>
        <v>0</v>
      </c>
      <c r="J22" s="14"/>
      <c r="K22" s="14"/>
      <c r="L22" s="14"/>
      <c r="M22" s="14"/>
      <c r="N22" s="14"/>
      <c r="O22" s="18">
        <f t="shared" si="6"/>
        <v>0</v>
      </c>
      <c r="P22" s="18">
        <v>1058.8</v>
      </c>
      <c r="Q22" s="19"/>
      <c r="R22" s="19"/>
      <c r="S22" s="19"/>
      <c r="T22" s="19"/>
      <c r="U22" s="19"/>
      <c r="V22" s="19">
        <v>14</v>
      </c>
      <c r="W22" s="20">
        <v>1651</v>
      </c>
      <c r="X22" s="20"/>
      <c r="Y22" s="19">
        <v>180</v>
      </c>
      <c r="Z22" s="19">
        <v>6</v>
      </c>
      <c r="AA22" s="19">
        <v>500</v>
      </c>
      <c r="AB22" s="19">
        <v>298</v>
      </c>
      <c r="AC22" s="19"/>
      <c r="AD22" s="19"/>
      <c r="AE22" s="21">
        <f t="shared" si="5"/>
        <v>437.40000000000003</v>
      </c>
      <c r="AF22" s="19"/>
      <c r="AG22" s="22"/>
    </row>
    <row r="23" spans="1:34" ht="21" customHeight="1" x14ac:dyDescent="0.25">
      <c r="A23" s="13">
        <v>46122</v>
      </c>
      <c r="B23" s="14"/>
      <c r="C23" s="15">
        <f t="shared" ref="C23:C28" si="7">B23/200*25</f>
        <v>0</v>
      </c>
      <c r="D23" s="14">
        <v>539</v>
      </c>
      <c r="E23" s="16">
        <f t="shared" si="3"/>
        <v>67.375</v>
      </c>
      <c r="F23" s="14">
        <v>3086</v>
      </c>
      <c r="G23" s="17">
        <f t="shared" si="2"/>
        <v>358.83720930232556</v>
      </c>
      <c r="H23" s="14"/>
      <c r="I23" s="18"/>
      <c r="J23" s="14"/>
      <c r="K23" s="14"/>
      <c r="L23" s="14"/>
      <c r="M23" s="14"/>
      <c r="N23" s="14"/>
      <c r="O23" s="18">
        <v>0</v>
      </c>
      <c r="P23" s="18">
        <v>1149.8000000000002</v>
      </c>
      <c r="Q23" s="19"/>
      <c r="R23" s="19"/>
      <c r="S23" s="20"/>
      <c r="T23" s="19"/>
      <c r="U23" s="19"/>
      <c r="V23" s="19">
        <v>24</v>
      </c>
      <c r="W23" s="20">
        <v>1699</v>
      </c>
      <c r="X23" s="20"/>
      <c r="Y23" s="19">
        <v>196</v>
      </c>
      <c r="Z23" s="19">
        <v>6</v>
      </c>
      <c r="AA23" s="19">
        <v>645</v>
      </c>
      <c r="AB23" s="19">
        <v>209</v>
      </c>
      <c r="AC23" s="19"/>
      <c r="AD23" s="19"/>
      <c r="AE23" s="21">
        <f t="shared" si="5"/>
        <v>476.28000000000003</v>
      </c>
      <c r="AF23" s="19"/>
      <c r="AG23" s="22"/>
    </row>
    <row r="24" spans="1:34" ht="21" customHeight="1" x14ac:dyDescent="0.25">
      <c r="A24" s="13">
        <v>46123</v>
      </c>
      <c r="B24" s="14">
        <v>1470</v>
      </c>
      <c r="C24" s="16">
        <f t="shared" si="7"/>
        <v>183.75</v>
      </c>
      <c r="D24" s="14">
        <v>379</v>
      </c>
      <c r="E24" s="16">
        <f t="shared" ref="E24:E25" si="8">D24/208*25</f>
        <v>45.552884615384613</v>
      </c>
      <c r="F24" s="14">
        <v>3046</v>
      </c>
      <c r="G24" s="16">
        <f t="shared" si="2"/>
        <v>354.18604651162792</v>
      </c>
      <c r="H24" s="14"/>
      <c r="I24" s="18"/>
      <c r="J24" s="14"/>
      <c r="K24" s="14"/>
      <c r="L24" s="14"/>
      <c r="M24" s="14"/>
      <c r="N24" s="14"/>
      <c r="O24" s="18">
        <v>0</v>
      </c>
      <c r="P24" s="18">
        <v>1042.5999999999999</v>
      </c>
      <c r="Q24" s="19"/>
      <c r="R24" s="19"/>
      <c r="S24" s="20"/>
      <c r="T24" s="20"/>
      <c r="U24" s="19"/>
      <c r="V24" s="19">
        <v>12</v>
      </c>
      <c r="W24" s="20">
        <v>1626</v>
      </c>
      <c r="X24" s="20"/>
      <c r="Y24" s="19">
        <v>159</v>
      </c>
      <c r="Z24" s="19">
        <v>4</v>
      </c>
      <c r="AA24" s="19">
        <v>457</v>
      </c>
      <c r="AB24" s="19">
        <v>307</v>
      </c>
      <c r="AC24" s="19"/>
      <c r="AD24" s="19"/>
      <c r="AE24" s="21">
        <f>Y24*2.43</f>
        <v>386.37</v>
      </c>
      <c r="AF24" s="19"/>
      <c r="AG24" s="22"/>
      <c r="AH24" s="95"/>
    </row>
    <row r="25" spans="1:34" ht="21" customHeight="1" x14ac:dyDescent="0.25">
      <c r="A25" s="13">
        <v>46124</v>
      </c>
      <c r="B25" s="14">
        <v>1037</v>
      </c>
      <c r="C25" s="16">
        <f t="shared" si="7"/>
        <v>129.625</v>
      </c>
      <c r="D25" s="14">
        <v>335</v>
      </c>
      <c r="E25" s="16">
        <f t="shared" si="8"/>
        <v>40.26442307692308</v>
      </c>
      <c r="F25" s="14">
        <v>3039</v>
      </c>
      <c r="G25" s="16">
        <f t="shared" si="2"/>
        <v>353.37209302325584</v>
      </c>
      <c r="H25" s="14"/>
      <c r="I25" s="18"/>
      <c r="J25" s="14"/>
      <c r="K25" s="14"/>
      <c r="L25" s="14"/>
      <c r="M25" s="14"/>
      <c r="N25" s="14"/>
      <c r="O25" s="18">
        <v>0</v>
      </c>
      <c r="P25" s="18">
        <v>1067.8000000000002</v>
      </c>
      <c r="Q25" s="19"/>
      <c r="R25" s="19"/>
      <c r="S25" s="19"/>
      <c r="T25" s="19"/>
      <c r="U25" s="19"/>
      <c r="V25" s="19">
        <v>14</v>
      </c>
      <c r="W25" s="20">
        <v>1591</v>
      </c>
      <c r="X25" s="20"/>
      <c r="Y25" s="19">
        <v>191</v>
      </c>
      <c r="Z25" s="19">
        <v>6</v>
      </c>
      <c r="AA25" s="19">
        <v>453</v>
      </c>
      <c r="AB25" s="19">
        <v>368</v>
      </c>
      <c r="AC25" s="19"/>
      <c r="AD25" s="19"/>
      <c r="AE25" s="21">
        <f>Y25*2.43</f>
        <v>464.13000000000005</v>
      </c>
      <c r="AF25" s="19"/>
      <c r="AG25" s="22"/>
      <c r="AH25" s="95"/>
    </row>
    <row r="26" spans="1:34" ht="21" customHeight="1" x14ac:dyDescent="0.25">
      <c r="A26" s="13">
        <v>46125</v>
      </c>
      <c r="B26" s="14"/>
      <c r="C26" s="15">
        <f t="shared" si="7"/>
        <v>0</v>
      </c>
      <c r="D26" s="14">
        <v>724</v>
      </c>
      <c r="E26" s="16">
        <f t="shared" ref="E26:E30" si="9">D26/200*25</f>
        <v>90.5</v>
      </c>
      <c r="F26" s="14">
        <v>2838</v>
      </c>
      <c r="G26" s="17">
        <f t="shared" si="2"/>
        <v>330</v>
      </c>
      <c r="H26" s="14"/>
      <c r="I26" s="18">
        <f t="shared" ref="I26:I29" si="10">H26/135*25</f>
        <v>0</v>
      </c>
      <c r="J26" s="14"/>
      <c r="K26" s="14">
        <v>0</v>
      </c>
      <c r="L26" s="14"/>
      <c r="M26" s="14">
        <v>0</v>
      </c>
      <c r="N26" s="14"/>
      <c r="O26" s="18">
        <f>N26/38*25</f>
        <v>0</v>
      </c>
      <c r="P26" s="17">
        <v>1279.4000000000001</v>
      </c>
      <c r="Q26" s="19"/>
      <c r="R26" s="19"/>
      <c r="S26" s="20"/>
      <c r="T26" s="19"/>
      <c r="U26" s="19"/>
      <c r="V26" s="19">
        <v>23</v>
      </c>
      <c r="W26" s="20">
        <v>1805</v>
      </c>
      <c r="X26" s="20"/>
      <c r="Y26" s="19">
        <v>207</v>
      </c>
      <c r="Z26" s="19">
        <v>4</v>
      </c>
      <c r="AA26" s="19">
        <v>472</v>
      </c>
      <c r="AB26" s="19">
        <v>404</v>
      </c>
      <c r="AC26" s="19"/>
      <c r="AD26" s="19"/>
      <c r="AE26" s="21">
        <f t="shared" ref="AE26:AE30" si="11">Y26*2.43</f>
        <v>503.01000000000005</v>
      </c>
      <c r="AF26" s="19"/>
      <c r="AG26" s="22"/>
      <c r="AH26" s="23"/>
    </row>
    <row r="27" spans="1:34" ht="21" customHeight="1" x14ac:dyDescent="0.25">
      <c r="A27" s="13">
        <v>46126</v>
      </c>
      <c r="B27" s="14"/>
      <c r="C27" s="15">
        <f t="shared" si="7"/>
        <v>0</v>
      </c>
      <c r="D27" s="14">
        <v>408</v>
      </c>
      <c r="E27" s="16">
        <f t="shared" si="9"/>
        <v>51</v>
      </c>
      <c r="F27" s="14">
        <v>2589</v>
      </c>
      <c r="G27" s="17">
        <f t="shared" si="2"/>
        <v>301.04651162790697</v>
      </c>
      <c r="H27" s="14"/>
      <c r="I27" s="18">
        <f t="shared" si="10"/>
        <v>0</v>
      </c>
      <c r="J27" s="14"/>
      <c r="K27" s="14"/>
      <c r="L27" s="14"/>
      <c r="M27" s="14"/>
      <c r="N27" s="14"/>
      <c r="O27" s="18">
        <f t="shared" ref="O27:O29" si="12">N27/38*25</f>
        <v>0</v>
      </c>
      <c r="P27" s="18">
        <v>806.19999999999993</v>
      </c>
      <c r="Q27" s="19"/>
      <c r="R27" s="19"/>
      <c r="S27" s="19"/>
      <c r="T27" s="19"/>
      <c r="U27" s="19"/>
      <c r="V27" s="19">
        <v>11</v>
      </c>
      <c r="W27" s="20">
        <v>1239</v>
      </c>
      <c r="X27" s="20"/>
      <c r="Y27" s="19">
        <v>190</v>
      </c>
      <c r="Z27" s="19">
        <v>6</v>
      </c>
      <c r="AA27" s="19">
        <v>313</v>
      </c>
      <c r="AB27" s="19">
        <v>323</v>
      </c>
      <c r="AC27" s="19"/>
      <c r="AD27" s="19"/>
      <c r="AE27" s="21">
        <f t="shared" si="11"/>
        <v>461.70000000000005</v>
      </c>
      <c r="AF27" s="19"/>
      <c r="AG27" s="22"/>
    </row>
    <row r="28" spans="1:34" ht="21" customHeight="1" x14ac:dyDescent="0.25">
      <c r="A28" s="13">
        <v>46127</v>
      </c>
      <c r="B28" s="14"/>
      <c r="C28" s="15">
        <f t="shared" si="7"/>
        <v>0</v>
      </c>
      <c r="D28" s="14">
        <v>513</v>
      </c>
      <c r="E28" s="16">
        <f t="shared" si="9"/>
        <v>64.125</v>
      </c>
      <c r="F28" s="14">
        <v>2627</v>
      </c>
      <c r="G28" s="17">
        <f t="shared" si="2"/>
        <v>305.46511627906978</v>
      </c>
      <c r="H28" s="14"/>
      <c r="I28" s="18">
        <f t="shared" si="10"/>
        <v>0</v>
      </c>
      <c r="J28" s="14"/>
      <c r="K28" s="14"/>
      <c r="L28" s="14"/>
      <c r="M28" s="14"/>
      <c r="N28" s="14"/>
      <c r="O28" s="18">
        <f t="shared" si="12"/>
        <v>0</v>
      </c>
      <c r="P28" s="18">
        <v>908</v>
      </c>
      <c r="Q28" s="19"/>
      <c r="R28" s="19"/>
      <c r="S28" s="19"/>
      <c r="T28" s="19"/>
      <c r="U28" s="19"/>
      <c r="V28" s="35">
        <v>16</v>
      </c>
      <c r="W28" s="20">
        <v>1399</v>
      </c>
      <c r="X28" s="20"/>
      <c r="Y28" s="19">
        <v>161</v>
      </c>
      <c r="Z28" s="19">
        <v>6</v>
      </c>
      <c r="AA28" s="19">
        <v>372</v>
      </c>
      <c r="AB28" s="19">
        <v>335</v>
      </c>
      <c r="AC28" s="19"/>
      <c r="AD28" s="19"/>
      <c r="AE28" s="21">
        <f t="shared" si="11"/>
        <v>391.23</v>
      </c>
      <c r="AF28" s="19"/>
      <c r="AG28" s="22"/>
      <c r="AH28" s="23"/>
    </row>
    <row r="29" spans="1:34" ht="21" customHeight="1" x14ac:dyDescent="0.25">
      <c r="A29" s="13">
        <v>46128</v>
      </c>
      <c r="B29" s="14"/>
      <c r="C29" s="15">
        <f>B29/200*25</f>
        <v>0</v>
      </c>
      <c r="D29" s="14">
        <v>412</v>
      </c>
      <c r="E29" s="16">
        <f t="shared" si="9"/>
        <v>51.5</v>
      </c>
      <c r="F29" s="14">
        <v>2562</v>
      </c>
      <c r="G29" s="17">
        <f t="shared" si="2"/>
        <v>297.90697674418601</v>
      </c>
      <c r="H29" s="14"/>
      <c r="I29" s="18">
        <f t="shared" si="10"/>
        <v>0</v>
      </c>
      <c r="J29" s="14"/>
      <c r="K29" s="14"/>
      <c r="L29" s="14"/>
      <c r="M29" s="14"/>
      <c r="N29" s="14"/>
      <c r="O29" s="18">
        <f t="shared" si="12"/>
        <v>0</v>
      </c>
      <c r="P29" s="18">
        <v>829.2</v>
      </c>
      <c r="Q29" s="19"/>
      <c r="R29" s="19"/>
      <c r="S29" s="19"/>
      <c r="T29" s="19"/>
      <c r="U29" s="19"/>
      <c r="V29" s="19">
        <v>16</v>
      </c>
      <c r="W29" s="20">
        <v>1332</v>
      </c>
      <c r="X29" s="20"/>
      <c r="Y29" s="19">
        <v>127</v>
      </c>
      <c r="Z29" s="19">
        <v>6</v>
      </c>
      <c r="AA29" s="19">
        <v>306</v>
      </c>
      <c r="AB29" s="19">
        <v>317</v>
      </c>
      <c r="AC29" s="19"/>
      <c r="AD29" s="19"/>
      <c r="AE29" s="21">
        <f t="shared" si="11"/>
        <v>308.61</v>
      </c>
      <c r="AF29" s="19"/>
      <c r="AG29" s="22"/>
    </row>
    <row r="30" spans="1:34" ht="21" customHeight="1" x14ac:dyDescent="0.25">
      <c r="A30" s="13">
        <v>46129</v>
      </c>
      <c r="B30" s="14"/>
      <c r="C30" s="15">
        <f t="shared" ref="C30:C35" si="13">B30/200*25</f>
        <v>0</v>
      </c>
      <c r="D30" s="14">
        <v>632</v>
      </c>
      <c r="E30" s="16">
        <f t="shared" si="9"/>
        <v>79</v>
      </c>
      <c r="F30" s="14">
        <v>2257</v>
      </c>
      <c r="G30" s="17">
        <f t="shared" si="2"/>
        <v>262.44186046511629</v>
      </c>
      <c r="H30" s="14"/>
      <c r="I30" s="18"/>
      <c r="J30" s="14"/>
      <c r="K30" s="14"/>
      <c r="L30" s="14"/>
      <c r="M30" s="14"/>
      <c r="N30" s="14"/>
      <c r="O30" s="18">
        <v>0</v>
      </c>
      <c r="P30" s="18">
        <v>1060.8</v>
      </c>
      <c r="Q30" s="19"/>
      <c r="R30" s="19"/>
      <c r="S30" s="20"/>
      <c r="T30" s="19"/>
      <c r="U30" s="19"/>
      <c r="V30" s="19">
        <v>22</v>
      </c>
      <c r="W30" s="20">
        <v>1552</v>
      </c>
      <c r="X30" s="20"/>
      <c r="Y30" s="19">
        <v>180</v>
      </c>
      <c r="Z30" s="19">
        <v>4</v>
      </c>
      <c r="AA30" s="19">
        <v>283</v>
      </c>
      <c r="AB30" s="19">
        <v>429</v>
      </c>
      <c r="AC30" s="19"/>
      <c r="AD30" s="19"/>
      <c r="AE30" s="21">
        <f t="shared" si="11"/>
        <v>437.40000000000003</v>
      </c>
      <c r="AF30" s="19"/>
      <c r="AG30" s="22"/>
    </row>
    <row r="31" spans="1:34" ht="21" customHeight="1" x14ac:dyDescent="0.25">
      <c r="A31" s="13">
        <v>46130</v>
      </c>
      <c r="B31" s="14">
        <v>1470</v>
      </c>
      <c r="C31" s="16">
        <f t="shared" si="13"/>
        <v>183.75</v>
      </c>
      <c r="D31" s="14">
        <v>267</v>
      </c>
      <c r="E31" s="16">
        <f t="shared" ref="E31:E32" si="14">D31/208*25</f>
        <v>32.091346153846153</v>
      </c>
      <c r="F31" s="14">
        <v>2411</v>
      </c>
      <c r="G31" s="16">
        <f t="shared" si="2"/>
        <v>280.3488372093023</v>
      </c>
      <c r="H31" s="14"/>
      <c r="I31" s="18"/>
      <c r="J31" s="14"/>
      <c r="K31" s="14"/>
      <c r="L31" s="14"/>
      <c r="M31" s="14"/>
      <c r="N31" s="14"/>
      <c r="O31" s="18">
        <v>0</v>
      </c>
      <c r="P31" s="18">
        <v>899.8</v>
      </c>
      <c r="Q31" s="19"/>
      <c r="R31" s="19"/>
      <c r="S31" s="20"/>
      <c r="T31" s="20"/>
      <c r="U31" s="19"/>
      <c r="V31" s="19">
        <v>19</v>
      </c>
      <c r="W31" s="20">
        <v>1371</v>
      </c>
      <c r="X31" s="20"/>
      <c r="Y31" s="19">
        <v>191</v>
      </c>
      <c r="Z31" s="19">
        <v>4</v>
      </c>
      <c r="AA31" s="19">
        <v>443</v>
      </c>
      <c r="AB31" s="19">
        <v>270</v>
      </c>
      <c r="AC31" s="19"/>
      <c r="AD31" s="19"/>
      <c r="AE31" s="21">
        <f>Y31*2.43</f>
        <v>464.13000000000005</v>
      </c>
      <c r="AF31" s="19"/>
      <c r="AG31" s="22"/>
      <c r="AH31" s="95"/>
    </row>
    <row r="32" spans="1:34" ht="21" customHeight="1" x14ac:dyDescent="0.25">
      <c r="A32" s="13">
        <v>46131</v>
      </c>
      <c r="B32" s="14">
        <v>1037</v>
      </c>
      <c r="C32" s="16">
        <f t="shared" si="13"/>
        <v>129.625</v>
      </c>
      <c r="D32" s="14"/>
      <c r="E32" s="16">
        <f t="shared" si="14"/>
        <v>0</v>
      </c>
      <c r="F32" s="14">
        <v>2417</v>
      </c>
      <c r="G32" s="16">
        <f t="shared" si="2"/>
        <v>281.04651162790697</v>
      </c>
      <c r="H32" s="14"/>
      <c r="I32" s="18"/>
      <c r="J32" s="14"/>
      <c r="K32" s="14"/>
      <c r="L32" s="14"/>
      <c r="M32" s="14"/>
      <c r="N32" s="14"/>
      <c r="O32" s="18">
        <v>0</v>
      </c>
      <c r="P32" s="18">
        <v>977.60000000000014</v>
      </c>
      <c r="Q32" s="19"/>
      <c r="R32" s="19"/>
      <c r="S32" s="19"/>
      <c r="T32" s="19"/>
      <c r="U32" s="19"/>
      <c r="V32" s="19">
        <v>31</v>
      </c>
      <c r="W32" s="20">
        <v>1405</v>
      </c>
      <c r="X32" s="20"/>
      <c r="Y32" s="19">
        <v>159</v>
      </c>
      <c r="Z32" s="19">
        <v>6</v>
      </c>
      <c r="AA32" s="19">
        <v>310</v>
      </c>
      <c r="AB32" s="19">
        <v>374</v>
      </c>
      <c r="AC32" s="19"/>
      <c r="AD32" s="19"/>
      <c r="AE32" s="21">
        <f>Y32*2.43</f>
        <v>386.37</v>
      </c>
      <c r="AF32" s="19"/>
      <c r="AG32" s="22"/>
      <c r="AH32" s="95"/>
    </row>
    <row r="33" spans="1:37" ht="21" customHeight="1" x14ac:dyDescent="0.25">
      <c r="A33" s="13">
        <v>46132</v>
      </c>
      <c r="B33" s="14"/>
      <c r="C33" s="15">
        <f t="shared" si="13"/>
        <v>0</v>
      </c>
      <c r="D33" s="14"/>
      <c r="E33" s="16">
        <f t="shared" ref="E33:E37" si="15">D33/200*25</f>
        <v>0</v>
      </c>
      <c r="F33" s="14">
        <v>3684</v>
      </c>
      <c r="G33" s="17">
        <f t="shared" si="2"/>
        <v>428.37209302325584</v>
      </c>
      <c r="H33" s="14"/>
      <c r="I33" s="18">
        <f t="shared" ref="I33:I36" si="16">H33/135*25</f>
        <v>0</v>
      </c>
      <c r="J33" s="14"/>
      <c r="K33" s="14">
        <v>0</v>
      </c>
      <c r="L33" s="14"/>
      <c r="M33" s="14">
        <v>0</v>
      </c>
      <c r="N33" s="14"/>
      <c r="O33" s="18">
        <f>N33/38*25</f>
        <v>0</v>
      </c>
      <c r="P33" s="17">
        <v>1184.6000000000001</v>
      </c>
      <c r="Q33" s="19"/>
      <c r="R33" s="19"/>
      <c r="S33" s="20"/>
      <c r="T33" s="19"/>
      <c r="U33" s="19"/>
      <c r="V33" s="19">
        <v>32</v>
      </c>
      <c r="W33" s="20">
        <v>1810</v>
      </c>
      <c r="X33" s="20"/>
      <c r="Y33" s="19">
        <v>217</v>
      </c>
      <c r="Z33" s="19">
        <v>8</v>
      </c>
      <c r="AA33" s="19">
        <v>425</v>
      </c>
      <c r="AB33" s="19">
        <v>440</v>
      </c>
      <c r="AC33" s="19"/>
      <c r="AD33" s="19"/>
      <c r="AE33" s="21">
        <f t="shared" ref="AE33:AE37" si="17">Y33*2.43</f>
        <v>527.31000000000006</v>
      </c>
      <c r="AF33" s="19"/>
      <c r="AG33" s="22"/>
      <c r="AH33" s="23"/>
    </row>
    <row r="34" spans="1:37" ht="21" customHeight="1" x14ac:dyDescent="0.25">
      <c r="A34" s="13">
        <v>46133</v>
      </c>
      <c r="B34" s="14"/>
      <c r="C34" s="15">
        <f t="shared" si="13"/>
        <v>0</v>
      </c>
      <c r="D34" s="14"/>
      <c r="E34" s="16">
        <f t="shared" si="15"/>
        <v>0</v>
      </c>
      <c r="F34" s="14">
        <v>3237</v>
      </c>
      <c r="G34" s="17">
        <f t="shared" si="2"/>
        <v>376.39534883720927</v>
      </c>
      <c r="H34" s="14"/>
      <c r="I34" s="18">
        <f t="shared" si="16"/>
        <v>0</v>
      </c>
      <c r="J34" s="14"/>
      <c r="K34" s="14"/>
      <c r="L34" s="14"/>
      <c r="M34" s="14"/>
      <c r="N34" s="14"/>
      <c r="O34" s="18">
        <f t="shared" ref="O34:O36" si="18">N34/38*25</f>
        <v>0</v>
      </c>
      <c r="P34" s="18">
        <v>1121.4000000000001</v>
      </c>
      <c r="Q34" s="19"/>
      <c r="R34" s="19"/>
      <c r="S34" s="19"/>
      <c r="T34" s="19"/>
      <c r="U34" s="19"/>
      <c r="V34" s="19">
        <v>41</v>
      </c>
      <c r="W34" s="20">
        <v>1665</v>
      </c>
      <c r="X34" s="20"/>
      <c r="Y34" s="19">
        <v>191</v>
      </c>
      <c r="Z34" s="19">
        <v>8</v>
      </c>
      <c r="AA34" s="19">
        <v>393</v>
      </c>
      <c r="AB34" s="19">
        <v>359</v>
      </c>
      <c r="AC34" s="19"/>
      <c r="AD34" s="19"/>
      <c r="AE34" s="21">
        <f t="shared" si="17"/>
        <v>464.13000000000005</v>
      </c>
      <c r="AF34" s="19"/>
      <c r="AG34" s="22"/>
    </row>
    <row r="35" spans="1:37" ht="21" customHeight="1" x14ac:dyDescent="0.25">
      <c r="A35" s="13">
        <v>46134</v>
      </c>
      <c r="B35" s="14"/>
      <c r="C35" s="15">
        <f t="shared" si="13"/>
        <v>0</v>
      </c>
      <c r="D35" s="14">
        <v>470</v>
      </c>
      <c r="E35" s="16">
        <f t="shared" si="15"/>
        <v>58.75</v>
      </c>
      <c r="F35" s="14">
        <v>2684</v>
      </c>
      <c r="G35" s="17">
        <f t="shared" si="2"/>
        <v>312.09302325581393</v>
      </c>
      <c r="H35" s="14"/>
      <c r="I35" s="18">
        <f t="shared" si="16"/>
        <v>0</v>
      </c>
      <c r="J35" s="14"/>
      <c r="K35" s="14"/>
      <c r="L35" s="14"/>
      <c r="M35" s="14"/>
      <c r="N35" s="14"/>
      <c r="O35" s="18">
        <f t="shared" si="18"/>
        <v>0</v>
      </c>
      <c r="P35" s="18">
        <v>1082.4000000000001</v>
      </c>
      <c r="Q35" s="19"/>
      <c r="R35" s="19"/>
      <c r="S35" s="19"/>
      <c r="T35" s="19"/>
      <c r="U35" s="19"/>
      <c r="V35" s="35">
        <v>28</v>
      </c>
      <c r="W35" s="20">
        <v>1650</v>
      </c>
      <c r="X35" s="20"/>
      <c r="Y35" s="19">
        <v>189</v>
      </c>
      <c r="Z35" s="19">
        <v>8</v>
      </c>
      <c r="AA35" s="19">
        <v>358</v>
      </c>
      <c r="AB35" s="19">
        <v>381</v>
      </c>
      <c r="AC35" s="19"/>
      <c r="AD35" s="19"/>
      <c r="AE35" s="21">
        <f t="shared" si="17"/>
        <v>459.27000000000004</v>
      </c>
      <c r="AF35" s="19"/>
      <c r="AG35" s="22"/>
      <c r="AH35" s="23"/>
    </row>
    <row r="36" spans="1:37" ht="21" customHeight="1" x14ac:dyDescent="0.25">
      <c r="A36" s="13">
        <v>46135</v>
      </c>
      <c r="B36" s="14"/>
      <c r="C36" s="15">
        <f>B36/200*25</f>
        <v>0</v>
      </c>
      <c r="D36" s="14">
        <v>1494</v>
      </c>
      <c r="E36" s="16">
        <f t="shared" si="15"/>
        <v>186.75</v>
      </c>
      <c r="F36" s="14">
        <v>2174</v>
      </c>
      <c r="G36" s="17">
        <f t="shared" si="2"/>
        <v>252.79069767441862</v>
      </c>
      <c r="H36" s="14"/>
      <c r="I36" s="18">
        <f t="shared" si="16"/>
        <v>0</v>
      </c>
      <c r="J36" s="14"/>
      <c r="K36" s="14"/>
      <c r="L36" s="14"/>
      <c r="M36" s="14"/>
      <c r="N36" s="14"/>
      <c r="O36" s="18">
        <f t="shared" si="18"/>
        <v>0</v>
      </c>
      <c r="P36" s="18">
        <v>1145.6000000000001</v>
      </c>
      <c r="Q36" s="19"/>
      <c r="R36" s="19"/>
      <c r="S36" s="19"/>
      <c r="T36" s="19"/>
      <c r="U36" s="19"/>
      <c r="V36" s="19">
        <v>25</v>
      </c>
      <c r="W36" s="20">
        <v>1812</v>
      </c>
      <c r="X36" s="20"/>
      <c r="Y36" s="19">
        <v>207</v>
      </c>
      <c r="Z36" s="19">
        <v>8</v>
      </c>
      <c r="AA36" s="19">
        <v>425</v>
      </c>
      <c r="AB36" s="19">
        <v>448</v>
      </c>
      <c r="AC36" s="19"/>
      <c r="AD36" s="19"/>
      <c r="AE36" s="21">
        <f t="shared" si="17"/>
        <v>503.01000000000005</v>
      </c>
      <c r="AF36" s="19"/>
      <c r="AG36" s="22"/>
    </row>
    <row r="37" spans="1:37" ht="21" customHeight="1" x14ac:dyDescent="0.25">
      <c r="A37" s="13">
        <v>46136</v>
      </c>
      <c r="B37" s="14"/>
      <c r="C37" s="15">
        <f t="shared" ref="C37:C42" si="19">B37/200*25</f>
        <v>0</v>
      </c>
      <c r="D37" s="14">
        <v>1202</v>
      </c>
      <c r="E37" s="16">
        <f t="shared" si="15"/>
        <v>150.25</v>
      </c>
      <c r="F37" s="14">
        <v>1854</v>
      </c>
      <c r="G37" s="17">
        <f t="shared" si="2"/>
        <v>215.58139534883719</v>
      </c>
      <c r="H37" s="14"/>
      <c r="I37" s="18"/>
      <c r="J37" s="14"/>
      <c r="K37" s="14"/>
      <c r="L37" s="14"/>
      <c r="M37" s="14"/>
      <c r="N37" s="14"/>
      <c r="O37" s="18">
        <v>0</v>
      </c>
      <c r="P37" s="18">
        <v>1001</v>
      </c>
      <c r="Q37" s="19"/>
      <c r="R37" s="19"/>
      <c r="S37" s="20"/>
      <c r="T37" s="19"/>
      <c r="U37" s="19"/>
      <c r="V37" s="19">
        <v>6</v>
      </c>
      <c r="W37" s="20">
        <v>1506</v>
      </c>
      <c r="X37" s="20"/>
      <c r="Y37" s="19">
        <v>168</v>
      </c>
      <c r="Z37" s="19">
        <v>8</v>
      </c>
      <c r="AA37" s="19">
        <v>466</v>
      </c>
      <c r="AB37" s="19">
        <v>313</v>
      </c>
      <c r="AC37" s="19"/>
      <c r="AD37" s="19"/>
      <c r="AE37" s="21">
        <f t="shared" si="17"/>
        <v>408.24</v>
      </c>
      <c r="AF37" s="19"/>
      <c r="AG37" s="22"/>
    </row>
    <row r="38" spans="1:37" ht="21" customHeight="1" x14ac:dyDescent="0.25">
      <c r="A38" s="13">
        <v>46137</v>
      </c>
      <c r="B38" s="14">
        <v>1470</v>
      </c>
      <c r="C38" s="16">
        <f t="shared" si="19"/>
        <v>183.75</v>
      </c>
      <c r="D38" s="14">
        <v>1076</v>
      </c>
      <c r="E38" s="16">
        <f t="shared" ref="E38:E39" si="20">D38/208*25</f>
        <v>129.32692307692309</v>
      </c>
      <c r="F38" s="14">
        <v>1276</v>
      </c>
      <c r="G38" s="16">
        <f t="shared" si="2"/>
        <v>148.37209302325581</v>
      </c>
      <c r="H38" s="14"/>
      <c r="I38" s="18"/>
      <c r="J38" s="14"/>
      <c r="K38" s="14"/>
      <c r="L38" s="14"/>
      <c r="M38" s="14"/>
      <c r="N38" s="14"/>
      <c r="O38" s="18">
        <v>0</v>
      </c>
      <c r="P38" s="18">
        <v>993.40000000000009</v>
      </c>
      <c r="Q38" s="19"/>
      <c r="R38" s="19"/>
      <c r="S38" s="20"/>
      <c r="T38" s="20"/>
      <c r="U38" s="19"/>
      <c r="V38" s="19">
        <v>19</v>
      </c>
      <c r="W38" s="20">
        <v>1358</v>
      </c>
      <c r="X38" s="20"/>
      <c r="Y38" s="19">
        <v>169</v>
      </c>
      <c r="Z38" s="19">
        <v>4</v>
      </c>
      <c r="AA38" s="19">
        <v>278</v>
      </c>
      <c r="AB38" s="19">
        <v>395</v>
      </c>
      <c r="AC38" s="19"/>
      <c r="AD38" s="19"/>
      <c r="AE38" s="21">
        <f>Y38*2.43</f>
        <v>410.67</v>
      </c>
      <c r="AF38" s="19"/>
      <c r="AG38" s="22"/>
      <c r="AH38" s="95"/>
    </row>
    <row r="39" spans="1:37" ht="21" customHeight="1" x14ac:dyDescent="0.25">
      <c r="A39" s="13">
        <v>46138</v>
      </c>
      <c r="B39" s="14">
        <v>1037</v>
      </c>
      <c r="C39" s="16">
        <f t="shared" si="19"/>
        <v>129.625</v>
      </c>
      <c r="D39" s="14">
        <v>1040</v>
      </c>
      <c r="E39" s="16">
        <f t="shared" si="20"/>
        <v>125</v>
      </c>
      <c r="F39" s="14">
        <v>1196</v>
      </c>
      <c r="G39" s="16">
        <f t="shared" si="2"/>
        <v>139.06976744186045</v>
      </c>
      <c r="H39" s="14"/>
      <c r="I39" s="18"/>
      <c r="J39" s="14"/>
      <c r="K39" s="14"/>
      <c r="L39" s="14"/>
      <c r="M39" s="14"/>
      <c r="N39" s="14"/>
      <c r="O39" s="18">
        <v>0</v>
      </c>
      <c r="P39" s="18">
        <v>903.19999999999993</v>
      </c>
      <c r="Q39" s="19"/>
      <c r="R39" s="19"/>
      <c r="S39" s="19"/>
      <c r="T39" s="19"/>
      <c r="U39" s="19"/>
      <c r="V39" s="19">
        <v>16</v>
      </c>
      <c r="W39" s="20">
        <v>1309</v>
      </c>
      <c r="X39" s="20"/>
      <c r="Y39" s="19">
        <v>124</v>
      </c>
      <c r="Z39" s="19">
        <v>4</v>
      </c>
      <c r="AA39" s="19">
        <v>271</v>
      </c>
      <c r="AB39" s="19">
        <v>307</v>
      </c>
      <c r="AC39" s="19"/>
      <c r="AD39" s="19"/>
      <c r="AE39" s="21">
        <f>Y39*2.43</f>
        <v>301.32</v>
      </c>
      <c r="AF39" s="19"/>
      <c r="AG39" s="22"/>
      <c r="AH39" s="95"/>
    </row>
    <row r="40" spans="1:37" ht="21" customHeight="1" x14ac:dyDescent="0.25">
      <c r="A40" s="13">
        <v>46139</v>
      </c>
      <c r="B40" s="14"/>
      <c r="C40" s="15">
        <f t="shared" si="19"/>
        <v>0</v>
      </c>
      <c r="D40" s="14">
        <v>1393</v>
      </c>
      <c r="E40" s="16">
        <f t="shared" ref="E40:E43" si="21">D40/200*25</f>
        <v>174.125</v>
      </c>
      <c r="F40" s="14">
        <v>1962</v>
      </c>
      <c r="G40" s="17">
        <f t="shared" si="2"/>
        <v>228.13953488372093</v>
      </c>
      <c r="H40" s="14"/>
      <c r="I40" s="18">
        <f t="shared" ref="I40:I43" si="22">H40/135*25</f>
        <v>0</v>
      </c>
      <c r="J40" s="14"/>
      <c r="K40" s="14">
        <v>0</v>
      </c>
      <c r="L40" s="14"/>
      <c r="M40" s="14">
        <v>0</v>
      </c>
      <c r="N40" s="14"/>
      <c r="O40" s="18">
        <f>N40/38*25</f>
        <v>0</v>
      </c>
      <c r="P40" s="17">
        <v>1030.3999999999999</v>
      </c>
      <c r="Q40" s="19"/>
      <c r="R40" s="19"/>
      <c r="S40" s="20"/>
      <c r="T40" s="19"/>
      <c r="U40" s="19"/>
      <c r="V40" s="19">
        <v>35</v>
      </c>
      <c r="W40" s="20">
        <v>1609</v>
      </c>
      <c r="X40" s="20"/>
      <c r="Y40" s="19">
        <v>200</v>
      </c>
      <c r="Z40" s="19">
        <v>4</v>
      </c>
      <c r="AA40" s="19">
        <v>438</v>
      </c>
      <c r="AB40" s="19">
        <v>346</v>
      </c>
      <c r="AC40" s="19"/>
      <c r="AD40" s="19"/>
      <c r="AE40" s="21">
        <f t="shared" ref="AE40:AE43" si="23">Y40*2.43</f>
        <v>486.00000000000006</v>
      </c>
      <c r="AF40" s="19"/>
      <c r="AG40" s="22"/>
      <c r="AH40" s="23"/>
    </row>
    <row r="41" spans="1:37" ht="21" customHeight="1" x14ac:dyDescent="0.25">
      <c r="A41" s="13">
        <v>46140</v>
      </c>
      <c r="B41" s="14"/>
      <c r="C41" s="15">
        <f t="shared" si="19"/>
        <v>0</v>
      </c>
      <c r="D41" s="14">
        <v>1172</v>
      </c>
      <c r="E41" s="16">
        <f t="shared" si="21"/>
        <v>146.5</v>
      </c>
      <c r="F41" s="14">
        <v>1916</v>
      </c>
      <c r="G41" s="17">
        <f t="shared" si="2"/>
        <v>222.7906976744186</v>
      </c>
      <c r="H41" s="14"/>
      <c r="I41" s="18">
        <f t="shared" si="22"/>
        <v>0</v>
      </c>
      <c r="J41" s="14"/>
      <c r="K41" s="14"/>
      <c r="L41" s="14"/>
      <c r="M41" s="14"/>
      <c r="N41" s="14"/>
      <c r="O41" s="18">
        <f t="shared" ref="O41:O43" si="24">N41/38*25</f>
        <v>0</v>
      </c>
      <c r="P41" s="18">
        <v>1005.5999999999999</v>
      </c>
      <c r="Q41" s="19"/>
      <c r="R41" s="19"/>
      <c r="S41" s="19"/>
      <c r="T41" s="19"/>
      <c r="U41" s="19"/>
      <c r="V41" s="19">
        <v>53</v>
      </c>
      <c r="W41" s="20">
        <v>1550</v>
      </c>
      <c r="X41" s="20"/>
      <c r="Y41" s="19">
        <v>162</v>
      </c>
      <c r="Z41" s="19">
        <v>6</v>
      </c>
      <c r="AA41" s="19">
        <v>408</v>
      </c>
      <c r="AB41" s="19">
        <v>332</v>
      </c>
      <c r="AC41" s="19"/>
      <c r="AD41" s="19"/>
      <c r="AE41" s="21">
        <f t="shared" si="23"/>
        <v>393.66</v>
      </c>
      <c r="AF41" s="19"/>
      <c r="AG41" s="22"/>
    </row>
    <row r="42" spans="1:37" ht="21" customHeight="1" x14ac:dyDescent="0.25">
      <c r="A42" s="13">
        <v>46141</v>
      </c>
      <c r="B42" s="14"/>
      <c r="C42" s="15">
        <f t="shared" si="19"/>
        <v>0</v>
      </c>
      <c r="D42" s="14">
        <v>1289</v>
      </c>
      <c r="E42" s="16">
        <f t="shared" si="21"/>
        <v>161.125</v>
      </c>
      <c r="F42" s="14">
        <v>1811</v>
      </c>
      <c r="G42" s="17">
        <f t="shared" si="2"/>
        <v>210.58139534883722</v>
      </c>
      <c r="H42" s="14"/>
      <c r="I42" s="18">
        <f t="shared" si="22"/>
        <v>0</v>
      </c>
      <c r="J42" s="14"/>
      <c r="K42" s="14"/>
      <c r="L42" s="14"/>
      <c r="M42" s="14"/>
      <c r="N42" s="14"/>
      <c r="O42" s="18">
        <f t="shared" si="24"/>
        <v>0</v>
      </c>
      <c r="P42" s="18">
        <v>984.6</v>
      </c>
      <c r="Q42" s="19"/>
      <c r="R42" s="19"/>
      <c r="S42" s="19"/>
      <c r="T42" s="19"/>
      <c r="U42" s="19"/>
      <c r="V42" s="35">
        <v>31</v>
      </c>
      <c r="W42" s="20">
        <v>1521</v>
      </c>
      <c r="X42" s="20"/>
      <c r="Y42" s="19">
        <v>194</v>
      </c>
      <c r="Z42" s="19">
        <v>4</v>
      </c>
      <c r="AA42" s="19">
        <v>349</v>
      </c>
      <c r="AB42" s="19">
        <v>350</v>
      </c>
      <c r="AC42" s="19"/>
      <c r="AD42" s="19"/>
      <c r="AE42" s="21">
        <f t="shared" si="23"/>
        <v>471.42</v>
      </c>
      <c r="AF42" s="19"/>
      <c r="AG42" s="22"/>
      <c r="AH42" s="23"/>
    </row>
    <row r="43" spans="1:37" ht="21" customHeight="1" x14ac:dyDescent="0.25">
      <c r="A43" s="13">
        <v>46142</v>
      </c>
      <c r="B43" s="14"/>
      <c r="C43" s="15">
        <f>B43/200*25</f>
        <v>0</v>
      </c>
      <c r="D43" s="14">
        <v>1160</v>
      </c>
      <c r="E43" s="16">
        <f t="shared" si="21"/>
        <v>145</v>
      </c>
      <c r="F43" s="14">
        <v>1524</v>
      </c>
      <c r="G43" s="17">
        <f t="shared" si="2"/>
        <v>177.20930232558138</v>
      </c>
      <c r="H43" s="14"/>
      <c r="I43" s="18">
        <f t="shared" si="22"/>
        <v>0</v>
      </c>
      <c r="J43" s="14"/>
      <c r="K43" s="14"/>
      <c r="L43" s="14"/>
      <c r="M43" s="14"/>
      <c r="N43" s="14"/>
      <c r="O43" s="18">
        <f t="shared" si="24"/>
        <v>0</v>
      </c>
      <c r="P43" s="18">
        <v>779.6</v>
      </c>
      <c r="Q43" s="19"/>
      <c r="R43" s="19"/>
      <c r="S43" s="19"/>
      <c r="T43" s="19"/>
      <c r="U43" s="19"/>
      <c r="V43" s="19">
        <v>27</v>
      </c>
      <c r="W43" s="20">
        <v>1232</v>
      </c>
      <c r="X43" s="20"/>
      <c r="Y43" s="19">
        <v>167</v>
      </c>
      <c r="Z43" s="19">
        <v>6</v>
      </c>
      <c r="AA43" s="19">
        <v>336</v>
      </c>
      <c r="AB43" s="19">
        <v>288</v>
      </c>
      <c r="AC43" s="19"/>
      <c r="AD43" s="19"/>
      <c r="AE43" s="21">
        <f t="shared" si="23"/>
        <v>405.81</v>
      </c>
      <c r="AF43" s="19"/>
      <c r="AG43" s="22"/>
    </row>
    <row r="44" spans="1:37" s="1" customFormat="1" ht="21" customHeight="1" thickBot="1" x14ac:dyDescent="0.25">
      <c r="A44" s="24" t="s">
        <v>28</v>
      </c>
      <c r="B44" s="40"/>
      <c r="C44" s="40"/>
      <c r="D44" s="25">
        <f t="shared" ref="D44:AG44" si="25">SUM(D14:D43)</f>
        <v>16788</v>
      </c>
      <c r="E44" s="25">
        <f t="shared" si="25"/>
        <v>2082.7644230769229</v>
      </c>
      <c r="F44" s="25">
        <f t="shared" si="25"/>
        <v>63497</v>
      </c>
      <c r="G44" s="25">
        <f t="shared" si="25"/>
        <v>7383.3720930232548</v>
      </c>
      <c r="H44" s="25">
        <f t="shared" si="25"/>
        <v>0</v>
      </c>
      <c r="I44" s="25">
        <f t="shared" si="25"/>
        <v>0</v>
      </c>
      <c r="J44" s="25">
        <f t="shared" si="25"/>
        <v>0</v>
      </c>
      <c r="K44" s="25">
        <f t="shared" si="25"/>
        <v>0</v>
      </c>
      <c r="L44" s="25">
        <f t="shared" si="25"/>
        <v>0</v>
      </c>
      <c r="M44" s="25">
        <f t="shared" si="25"/>
        <v>0</v>
      </c>
      <c r="N44" s="25">
        <f t="shared" si="25"/>
        <v>0</v>
      </c>
      <c r="O44" s="25">
        <f t="shared" si="25"/>
        <v>0</v>
      </c>
      <c r="P44" s="76">
        <f t="shared" si="25"/>
        <v>26252.2</v>
      </c>
      <c r="Q44" s="25">
        <f t="shared" si="25"/>
        <v>0</v>
      </c>
      <c r="R44" s="25">
        <f t="shared" si="25"/>
        <v>0</v>
      </c>
      <c r="S44" s="25">
        <f t="shared" si="25"/>
        <v>0</v>
      </c>
      <c r="T44" s="25">
        <f t="shared" si="25"/>
        <v>0</v>
      </c>
      <c r="U44" s="25">
        <f t="shared" si="25"/>
        <v>0</v>
      </c>
      <c r="V44" s="25">
        <f t="shared" si="25"/>
        <v>570</v>
      </c>
      <c r="W44" s="25">
        <f t="shared" si="25"/>
        <v>39526</v>
      </c>
      <c r="X44" s="25">
        <f t="shared" si="25"/>
        <v>0</v>
      </c>
      <c r="Y44" s="25">
        <f t="shared" si="25"/>
        <v>4599</v>
      </c>
      <c r="Z44" s="25">
        <f t="shared" si="25"/>
        <v>148</v>
      </c>
      <c r="AA44" s="25">
        <f t="shared" si="25"/>
        <v>10819</v>
      </c>
      <c r="AB44" s="25">
        <f t="shared" si="25"/>
        <v>8389</v>
      </c>
      <c r="AC44" s="25">
        <f t="shared" si="25"/>
        <v>0</v>
      </c>
      <c r="AD44" s="25">
        <f t="shared" si="25"/>
        <v>0</v>
      </c>
      <c r="AE44" s="36">
        <f t="shared" si="25"/>
        <v>11175.57</v>
      </c>
      <c r="AF44" s="25">
        <f t="shared" si="25"/>
        <v>30</v>
      </c>
      <c r="AG44" s="25">
        <f t="shared" si="25"/>
        <v>0</v>
      </c>
      <c r="AH44" s="26"/>
    </row>
    <row r="45" spans="1:37" s="1" customFormat="1" ht="8.25" customHeight="1" x14ac:dyDescent="0.2">
      <c r="Q45" s="27"/>
      <c r="Y45" s="28"/>
    </row>
    <row r="46" spans="1:37" s="1" customFormat="1" ht="7.5" customHeight="1" x14ac:dyDescent="0.2">
      <c r="Q46" s="27"/>
      <c r="Y46" s="28"/>
    </row>
    <row r="47" spans="1:37" s="29" customFormat="1" ht="18.75" x14ac:dyDescent="0.3">
      <c r="A47" s="29" t="s">
        <v>29</v>
      </c>
      <c r="G47" s="30" t="s">
        <v>30</v>
      </c>
      <c r="X47" s="29" t="s">
        <v>31</v>
      </c>
      <c r="AD47" s="30" t="s">
        <v>32</v>
      </c>
      <c r="AH47" s="30"/>
      <c r="AJ47" s="31"/>
      <c r="AK47" s="31"/>
    </row>
    <row r="48" spans="1:37" s="29" customFormat="1" ht="27" customHeight="1" x14ac:dyDescent="0.3">
      <c r="A48" s="32"/>
      <c r="B48" s="32"/>
      <c r="C48" s="32"/>
      <c r="G48" s="32"/>
    </row>
    <row r="49" spans="1:37" s="42" customFormat="1" ht="20.25" x14ac:dyDescent="0.3">
      <c r="A49" s="41" t="s">
        <v>33</v>
      </c>
      <c r="B49" s="41"/>
      <c r="C49" s="41"/>
      <c r="G49" s="43" t="s">
        <v>34</v>
      </c>
      <c r="X49" s="43" t="s">
        <v>47</v>
      </c>
      <c r="AD49" s="44" t="s">
        <v>36</v>
      </c>
      <c r="AI49" s="45"/>
      <c r="AJ49" s="45"/>
      <c r="AK49" s="45"/>
    </row>
    <row r="50" spans="1:37" s="42" customFormat="1" ht="20.25" x14ac:dyDescent="0.3">
      <c r="A50" s="46" t="s">
        <v>39</v>
      </c>
      <c r="B50" s="46"/>
      <c r="C50" s="46"/>
      <c r="G50" s="46" t="s">
        <v>37</v>
      </c>
      <c r="X50" s="46" t="s">
        <v>48</v>
      </c>
      <c r="AD50" s="47" t="s">
        <v>43</v>
      </c>
      <c r="AI50" s="46"/>
      <c r="AJ50" s="48"/>
      <c r="AK50" s="48"/>
    </row>
    <row r="51" spans="1:37" x14ac:dyDescent="0.25">
      <c r="P51" s="1"/>
      <c r="R51" s="1"/>
      <c r="S51" s="1"/>
    </row>
    <row r="52" spans="1:37" x14ac:dyDescent="0.25">
      <c r="S52" s="33"/>
      <c r="T52" s="33"/>
      <c r="U52" s="33"/>
      <c r="AC52" s="34"/>
    </row>
    <row r="66" spans="1:3" x14ac:dyDescent="0.25">
      <c r="A66" s="1"/>
      <c r="B66" s="1"/>
      <c r="C66" s="1"/>
    </row>
  </sheetData>
  <mergeCells count="41">
    <mergeCell ref="F12:G12"/>
    <mergeCell ref="H12:I12"/>
    <mergeCell ref="J12:K12"/>
    <mergeCell ref="L12:M12"/>
    <mergeCell ref="AG7:AG8"/>
    <mergeCell ref="Y8:Z8"/>
    <mergeCell ref="N12:O12"/>
    <mergeCell ref="Q10:R10"/>
    <mergeCell ref="S10:T10"/>
    <mergeCell ref="V10:X10"/>
    <mergeCell ref="N11:O11"/>
    <mergeCell ref="N10:O10"/>
    <mergeCell ref="A9:A13"/>
    <mergeCell ref="D9:O9"/>
    <mergeCell ref="P9:P11"/>
    <mergeCell ref="Q9:Z9"/>
    <mergeCell ref="AA9:AD9"/>
    <mergeCell ref="D11:E11"/>
    <mergeCell ref="F11:G11"/>
    <mergeCell ref="H11:I11"/>
    <mergeCell ref="J11:K11"/>
    <mergeCell ref="L11:M11"/>
    <mergeCell ref="D10:E10"/>
    <mergeCell ref="F10:G10"/>
    <mergeCell ref="H10:I10"/>
    <mergeCell ref="J10:K10"/>
    <mergeCell ref="L10:M10"/>
    <mergeCell ref="D12:E12"/>
    <mergeCell ref="A1:AF1"/>
    <mergeCell ref="A2:AF2"/>
    <mergeCell ref="A4:AF4"/>
    <mergeCell ref="A5:AF5"/>
    <mergeCell ref="A7:A8"/>
    <mergeCell ref="D7:E8"/>
    <mergeCell ref="F7:O8"/>
    <mergeCell ref="Q7:U8"/>
    <mergeCell ref="V7:W8"/>
    <mergeCell ref="Y7:Z7"/>
    <mergeCell ref="AA7:AA8"/>
    <mergeCell ref="AB7:AD8"/>
    <mergeCell ref="AF7:AF8"/>
  </mergeCells>
  <pageMargins left="0.39370078740157483" right="0.39370078740157483" top="0.39370078740157483" bottom="0.39370078740157483" header="0.31496062992125984" footer="0.31496062992125984"/>
  <pageSetup paperSize="14" scale="5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abSelected="1" zoomScaleNormal="100" workbookViewId="0">
      <selection activeCell="AD60" sqref="AC58:AD60"/>
    </sheetView>
  </sheetViews>
  <sheetFormatPr defaultColWidth="11.28515625" defaultRowHeight="15" x14ac:dyDescent="0.25"/>
  <cols>
    <col min="1" max="1" width="21" style="2" customWidth="1"/>
    <col min="2" max="3" width="21" style="2" hidden="1" customWidth="1"/>
    <col min="4" max="4" width="8.42578125" style="2" customWidth="1"/>
    <col min="5" max="5" width="9" style="2" customWidth="1"/>
    <col min="6" max="6" width="8.42578125" style="2" bestFit="1" customWidth="1"/>
    <col min="7" max="7" width="9.5703125" style="2" customWidth="1"/>
    <col min="8" max="15" width="5" style="2" hidden="1" customWidth="1"/>
    <col min="16" max="16" width="14" style="2" customWidth="1"/>
    <col min="17" max="17" width="7.7109375" style="2" hidden="1" customWidth="1"/>
    <col min="18" max="18" width="7.28515625" style="2" hidden="1" customWidth="1"/>
    <col min="19" max="19" width="7.42578125" style="2" customWidth="1"/>
    <col min="20" max="20" width="7.5703125" style="2" customWidth="1"/>
    <col min="21" max="21" width="14.7109375" style="2" hidden="1" customWidth="1"/>
    <col min="22" max="22" width="8.85546875" style="2" customWidth="1"/>
    <col min="23" max="24" width="8.5703125" style="2" customWidth="1"/>
    <col min="25" max="25" width="8.85546875" style="2" customWidth="1"/>
    <col min="26" max="26" width="6.7109375" style="2" bestFit="1" customWidth="1"/>
    <col min="27" max="27" width="10.5703125" style="2" customWidth="1"/>
    <col min="28" max="28" width="10.42578125" style="2" bestFit="1" customWidth="1"/>
    <col min="29" max="29" width="8.28515625" style="2" customWidth="1"/>
    <col min="30" max="30" width="8.7109375" style="2" bestFit="1" customWidth="1"/>
    <col min="31" max="31" width="14.7109375" style="2" bestFit="1" customWidth="1"/>
    <col min="32" max="32" width="10.7109375" style="2" customWidth="1"/>
    <col min="33" max="33" width="14.7109375" style="2" bestFit="1" customWidth="1"/>
    <col min="34" max="34" width="12" style="2" bestFit="1" customWidth="1"/>
    <col min="35" max="16384" width="11.28515625" style="2"/>
  </cols>
  <sheetData>
    <row r="1" spans="1:34" s="1" customFormat="1" ht="20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 spans="1:34" ht="20.25" x14ac:dyDescent="0.3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</row>
    <row r="3" spans="1:34" s="1" customFormat="1" ht="12.75" customHeight="1" x14ac:dyDescent="0.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</row>
    <row r="4" spans="1:34" s="4" customFormat="1" ht="24.75" customHeight="1" x14ac:dyDescent="0.2">
      <c r="A4" s="97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4" s="5" customFormat="1" ht="21.75" customHeight="1" x14ac:dyDescent="0.2">
      <c r="A5" s="98" t="s">
        <v>50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</row>
    <row r="6" spans="1:34" s="5" customFormat="1" ht="7.5" customHeight="1" thickBot="1" x14ac:dyDescent="0.2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</row>
    <row r="7" spans="1:34" s="1" customFormat="1" ht="14.25" x14ac:dyDescent="0.2">
      <c r="A7" s="99" t="s">
        <v>3</v>
      </c>
      <c r="B7" s="92"/>
      <c r="C7" s="92"/>
      <c r="D7" s="101"/>
      <c r="E7" s="102"/>
      <c r="F7" s="105" t="s">
        <v>5</v>
      </c>
      <c r="G7" s="101"/>
      <c r="H7" s="101"/>
      <c r="I7" s="101"/>
      <c r="J7" s="101"/>
      <c r="K7" s="101"/>
      <c r="L7" s="101"/>
      <c r="M7" s="101"/>
      <c r="N7" s="101"/>
      <c r="O7" s="102"/>
      <c r="P7" s="94" t="s">
        <v>6</v>
      </c>
      <c r="Q7" s="105" t="s">
        <v>4</v>
      </c>
      <c r="R7" s="101"/>
      <c r="S7" s="101"/>
      <c r="T7" s="101"/>
      <c r="U7" s="102"/>
      <c r="V7" s="107" t="s">
        <v>5</v>
      </c>
      <c r="W7" s="107"/>
      <c r="X7" s="94"/>
      <c r="Y7" s="107" t="s">
        <v>6</v>
      </c>
      <c r="Z7" s="107"/>
      <c r="AA7" s="109" t="s">
        <v>5</v>
      </c>
      <c r="AB7" s="107" t="s">
        <v>4</v>
      </c>
      <c r="AC7" s="107"/>
      <c r="AD7" s="107"/>
      <c r="AE7" s="94" t="s">
        <v>6</v>
      </c>
      <c r="AF7" s="107" t="s">
        <v>6</v>
      </c>
      <c r="AG7" s="124" t="s">
        <v>5</v>
      </c>
    </row>
    <row r="8" spans="1:34" s="1" customFormat="1" ht="14.25" x14ac:dyDescent="0.2">
      <c r="A8" s="100"/>
      <c r="B8" s="93"/>
      <c r="C8" s="93"/>
      <c r="D8" s="103"/>
      <c r="E8" s="104"/>
      <c r="F8" s="106"/>
      <c r="G8" s="103"/>
      <c r="H8" s="103"/>
      <c r="I8" s="103"/>
      <c r="J8" s="103"/>
      <c r="K8" s="103"/>
      <c r="L8" s="103"/>
      <c r="M8" s="103"/>
      <c r="N8" s="103"/>
      <c r="O8" s="104"/>
      <c r="P8" s="87" t="s">
        <v>5</v>
      </c>
      <c r="Q8" s="106"/>
      <c r="R8" s="103"/>
      <c r="S8" s="103"/>
      <c r="T8" s="103"/>
      <c r="U8" s="104"/>
      <c r="V8" s="108"/>
      <c r="W8" s="108"/>
      <c r="X8" s="87"/>
      <c r="Y8" s="108" t="s">
        <v>5</v>
      </c>
      <c r="Z8" s="108"/>
      <c r="AA8" s="110"/>
      <c r="AB8" s="108"/>
      <c r="AC8" s="108"/>
      <c r="AD8" s="108"/>
      <c r="AE8" s="87" t="s">
        <v>5</v>
      </c>
      <c r="AF8" s="108"/>
      <c r="AG8" s="125"/>
    </row>
    <row r="9" spans="1:34" s="4" customFormat="1" ht="17.25" customHeight="1" x14ac:dyDescent="0.2">
      <c r="A9" s="111" t="s">
        <v>7</v>
      </c>
      <c r="B9" s="37"/>
      <c r="C9" s="37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4"/>
      <c r="P9" s="115" t="s">
        <v>8</v>
      </c>
      <c r="Q9" s="116" t="s">
        <v>9</v>
      </c>
      <c r="R9" s="116"/>
      <c r="S9" s="116"/>
      <c r="T9" s="116"/>
      <c r="U9" s="116"/>
      <c r="V9" s="116"/>
      <c r="W9" s="116"/>
      <c r="X9" s="116"/>
      <c r="Y9" s="116"/>
      <c r="Z9" s="116"/>
      <c r="AA9" s="117" t="s">
        <v>10</v>
      </c>
      <c r="AB9" s="117"/>
      <c r="AC9" s="117"/>
      <c r="AD9" s="117"/>
      <c r="AE9" s="6"/>
      <c r="AF9" s="6"/>
      <c r="AG9" s="7"/>
    </row>
    <row r="10" spans="1:34" s="4" customFormat="1" ht="17.25" x14ac:dyDescent="0.2">
      <c r="A10" s="111"/>
      <c r="B10" s="38"/>
      <c r="C10" s="38"/>
      <c r="D10" s="118">
        <v>200</v>
      </c>
      <c r="E10" s="118"/>
      <c r="F10" s="119">
        <v>215</v>
      </c>
      <c r="G10" s="120"/>
      <c r="H10" s="118">
        <v>135</v>
      </c>
      <c r="I10" s="118"/>
      <c r="J10" s="118">
        <v>150</v>
      </c>
      <c r="K10" s="118"/>
      <c r="L10" s="118">
        <v>150</v>
      </c>
      <c r="M10" s="118"/>
      <c r="N10" s="119">
        <v>38</v>
      </c>
      <c r="O10" s="120"/>
      <c r="P10" s="115"/>
      <c r="Q10" s="118" t="s">
        <v>11</v>
      </c>
      <c r="R10" s="118"/>
      <c r="S10" s="118" t="s">
        <v>12</v>
      </c>
      <c r="T10" s="118"/>
      <c r="U10" s="89" t="s">
        <v>13</v>
      </c>
      <c r="V10" s="119" t="s">
        <v>14</v>
      </c>
      <c r="W10" s="126"/>
      <c r="X10" s="120"/>
      <c r="Y10" s="88" t="s">
        <v>15</v>
      </c>
      <c r="Z10" s="88" t="s">
        <v>16</v>
      </c>
      <c r="AA10" s="88" t="s">
        <v>17</v>
      </c>
      <c r="AB10" s="88" t="s">
        <v>17</v>
      </c>
      <c r="AC10" s="88" t="s">
        <v>40</v>
      </c>
      <c r="AD10" s="88" t="s">
        <v>17</v>
      </c>
      <c r="AE10" s="88" t="s">
        <v>18</v>
      </c>
      <c r="AF10" s="88" t="s">
        <v>19</v>
      </c>
      <c r="AG10" s="8" t="s">
        <v>20</v>
      </c>
    </row>
    <row r="11" spans="1:34" s="4" customFormat="1" ht="17.25" x14ac:dyDescent="0.2">
      <c r="A11" s="111"/>
      <c r="B11" s="38"/>
      <c r="C11" s="38"/>
      <c r="D11" s="118" t="s">
        <v>42</v>
      </c>
      <c r="E11" s="118"/>
      <c r="F11" s="119" t="s">
        <v>22</v>
      </c>
      <c r="G11" s="120"/>
      <c r="H11" s="118" t="s">
        <v>22</v>
      </c>
      <c r="I11" s="118"/>
      <c r="J11" s="118" t="s">
        <v>21</v>
      </c>
      <c r="K11" s="118"/>
      <c r="L11" s="118" t="s">
        <v>23</v>
      </c>
      <c r="M11" s="118"/>
      <c r="N11" s="119" t="s">
        <v>22</v>
      </c>
      <c r="O11" s="120"/>
      <c r="P11" s="115"/>
      <c r="Q11" s="88">
        <v>2.4</v>
      </c>
      <c r="R11" s="88">
        <v>3.6</v>
      </c>
      <c r="S11" s="88">
        <v>2.4</v>
      </c>
      <c r="T11" s="88">
        <v>3.6</v>
      </c>
      <c r="U11" s="88">
        <v>2.4</v>
      </c>
      <c r="V11" s="88">
        <v>3.6</v>
      </c>
      <c r="W11" s="88">
        <v>2.4</v>
      </c>
      <c r="X11" s="88">
        <v>4.9000000000000004</v>
      </c>
      <c r="Y11" s="88"/>
      <c r="Z11" s="88"/>
      <c r="AA11" s="88">
        <v>5</v>
      </c>
      <c r="AB11" s="88">
        <v>10</v>
      </c>
      <c r="AC11" s="88" t="s">
        <v>41</v>
      </c>
      <c r="AD11" s="88">
        <v>40</v>
      </c>
      <c r="AE11" s="88"/>
      <c r="AF11" s="88"/>
      <c r="AG11" s="8" t="s">
        <v>24</v>
      </c>
    </row>
    <row r="12" spans="1:34" s="4" customFormat="1" ht="17.25" x14ac:dyDescent="0.2">
      <c r="A12" s="111"/>
      <c r="B12" s="38"/>
      <c r="C12" s="38"/>
      <c r="D12" s="121">
        <v>35245</v>
      </c>
      <c r="E12" s="121"/>
      <c r="F12" s="122">
        <v>11082</v>
      </c>
      <c r="G12" s="123"/>
      <c r="H12" s="121">
        <v>21810</v>
      </c>
      <c r="I12" s="121"/>
      <c r="J12" s="121">
        <v>17362</v>
      </c>
      <c r="K12" s="121"/>
      <c r="L12" s="121">
        <v>18389</v>
      </c>
      <c r="M12" s="121"/>
      <c r="N12" s="122">
        <v>21811</v>
      </c>
      <c r="O12" s="123"/>
      <c r="P12" s="86">
        <v>10128</v>
      </c>
      <c r="Q12" s="86">
        <v>10962</v>
      </c>
      <c r="R12" s="86">
        <v>15427</v>
      </c>
      <c r="S12" s="86">
        <v>16623</v>
      </c>
      <c r="T12" s="86">
        <v>16967</v>
      </c>
      <c r="U12" s="86">
        <v>28230</v>
      </c>
      <c r="V12" s="86">
        <v>10966</v>
      </c>
      <c r="W12" s="86">
        <v>10965</v>
      </c>
      <c r="X12" s="86">
        <v>21809</v>
      </c>
      <c r="Y12" s="86">
        <v>11966</v>
      </c>
      <c r="Z12" s="86">
        <v>11089</v>
      </c>
      <c r="AA12" s="86">
        <v>10960</v>
      </c>
      <c r="AB12" s="86">
        <v>10961</v>
      </c>
      <c r="AC12" s="86">
        <v>33442</v>
      </c>
      <c r="AD12" s="86">
        <v>10959</v>
      </c>
      <c r="AE12" s="86">
        <v>12487</v>
      </c>
      <c r="AF12" s="86">
        <v>16823</v>
      </c>
      <c r="AG12" s="9">
        <v>11342</v>
      </c>
    </row>
    <row r="13" spans="1:34" s="4" customFormat="1" ht="17.25" x14ac:dyDescent="0.2">
      <c r="A13" s="112"/>
      <c r="B13" s="39"/>
      <c r="C13" s="39"/>
      <c r="D13" s="10" t="s">
        <v>25</v>
      </c>
      <c r="E13" s="10" t="s">
        <v>26</v>
      </c>
      <c r="F13" s="10" t="s">
        <v>25</v>
      </c>
      <c r="G13" s="10" t="s">
        <v>26</v>
      </c>
      <c r="H13" s="10" t="s">
        <v>25</v>
      </c>
      <c r="I13" s="10" t="s">
        <v>26</v>
      </c>
      <c r="J13" s="10" t="s">
        <v>25</v>
      </c>
      <c r="K13" s="10" t="s">
        <v>26</v>
      </c>
      <c r="L13" s="10" t="s">
        <v>25</v>
      </c>
      <c r="M13" s="10" t="s">
        <v>26</v>
      </c>
      <c r="N13" s="10" t="s">
        <v>25</v>
      </c>
      <c r="O13" s="10" t="s">
        <v>26</v>
      </c>
      <c r="P13" s="10" t="s">
        <v>26</v>
      </c>
      <c r="Q13" s="10" t="s">
        <v>25</v>
      </c>
      <c r="R13" s="10" t="s">
        <v>25</v>
      </c>
      <c r="S13" s="10" t="s">
        <v>25</v>
      </c>
      <c r="T13" s="10" t="s">
        <v>25</v>
      </c>
      <c r="U13" s="10" t="s">
        <v>25</v>
      </c>
      <c r="V13" s="10" t="s">
        <v>25</v>
      </c>
      <c r="W13" s="10" t="s">
        <v>25</v>
      </c>
      <c r="X13" s="10" t="s">
        <v>25</v>
      </c>
      <c r="Y13" s="10" t="s">
        <v>25</v>
      </c>
      <c r="Z13" s="10" t="s">
        <v>25</v>
      </c>
      <c r="AA13" s="10" t="s">
        <v>27</v>
      </c>
      <c r="AB13" s="10" t="s">
        <v>27</v>
      </c>
      <c r="AC13" s="10" t="s">
        <v>27</v>
      </c>
      <c r="AD13" s="10" t="s">
        <v>27</v>
      </c>
      <c r="AE13" s="11" t="s">
        <v>27</v>
      </c>
      <c r="AF13" s="10" t="s">
        <v>27</v>
      </c>
      <c r="AG13" s="12" t="s">
        <v>25</v>
      </c>
    </row>
    <row r="14" spans="1:34" ht="20.100000000000001" customHeight="1" x14ac:dyDescent="0.25">
      <c r="A14" s="13">
        <v>46143</v>
      </c>
      <c r="B14" s="14"/>
      <c r="C14" s="15"/>
      <c r="D14" s="14"/>
      <c r="E14" s="16">
        <f t="shared" ref="E14:E15" si="0">D14/200*25</f>
        <v>0</v>
      </c>
      <c r="F14" s="14"/>
      <c r="G14" s="17">
        <f t="shared" ref="G14:G44" si="1">F14/215*25</f>
        <v>0</v>
      </c>
      <c r="H14" s="14"/>
      <c r="I14" s="18"/>
      <c r="J14" s="14"/>
      <c r="K14" s="14"/>
      <c r="L14" s="14"/>
      <c r="M14" s="14"/>
      <c r="N14" s="14"/>
      <c r="O14" s="18">
        <v>0</v>
      </c>
      <c r="P14" s="18"/>
      <c r="Q14" s="19"/>
      <c r="R14" s="19"/>
      <c r="S14" s="20"/>
      <c r="T14" s="19"/>
      <c r="U14" s="19"/>
      <c r="V14" s="19"/>
      <c r="W14" s="20"/>
      <c r="X14" s="20"/>
      <c r="Y14" s="19"/>
      <c r="Z14" s="19"/>
      <c r="AA14" s="19"/>
      <c r="AB14" s="19"/>
      <c r="AC14" s="19"/>
      <c r="AD14" s="19"/>
      <c r="AE14" s="21">
        <f t="shared" ref="AE14:AE15" si="2">Y14*2.43</f>
        <v>0</v>
      </c>
      <c r="AF14" s="19"/>
      <c r="AG14" s="22"/>
    </row>
    <row r="15" spans="1:34" ht="20.100000000000001" customHeight="1" x14ac:dyDescent="0.25">
      <c r="A15" s="13">
        <v>46144</v>
      </c>
      <c r="B15" s="14"/>
      <c r="C15" s="16"/>
      <c r="D15" s="14">
        <v>1307</v>
      </c>
      <c r="E15" s="16">
        <f t="shared" ref="E15:E16" si="3">D15/208*25</f>
        <v>157.09134615384613</v>
      </c>
      <c r="F15" s="14">
        <v>822</v>
      </c>
      <c r="G15" s="16">
        <f t="shared" si="1"/>
        <v>95.581395348837205</v>
      </c>
      <c r="H15" s="14"/>
      <c r="I15" s="18"/>
      <c r="J15" s="14"/>
      <c r="K15" s="14"/>
      <c r="L15" s="14"/>
      <c r="M15" s="14"/>
      <c r="N15" s="14"/>
      <c r="O15" s="18">
        <v>0</v>
      </c>
      <c r="P15" s="18">
        <v>667</v>
      </c>
      <c r="Q15" s="19"/>
      <c r="R15" s="19"/>
      <c r="S15" s="20"/>
      <c r="T15" s="20"/>
      <c r="U15" s="19"/>
      <c r="V15" s="19">
        <v>13</v>
      </c>
      <c r="W15" s="20">
        <v>1057</v>
      </c>
      <c r="X15" s="20"/>
      <c r="Y15" s="19">
        <v>99</v>
      </c>
      <c r="Z15" s="19">
        <v>4</v>
      </c>
      <c r="AA15" s="19">
        <v>187</v>
      </c>
      <c r="AB15" s="19">
        <v>290</v>
      </c>
      <c r="AC15" s="19"/>
      <c r="AD15" s="19"/>
      <c r="AE15" s="21">
        <f>Y15*2.43</f>
        <v>240.57000000000002</v>
      </c>
      <c r="AF15" s="19"/>
      <c r="AG15" s="22"/>
      <c r="AH15" s="95"/>
    </row>
    <row r="16" spans="1:34" ht="20.100000000000001" customHeight="1" x14ac:dyDescent="0.25">
      <c r="A16" s="13">
        <v>46145</v>
      </c>
      <c r="B16" s="14"/>
      <c r="C16" s="16"/>
      <c r="D16" s="14">
        <v>1453</v>
      </c>
      <c r="E16" s="16">
        <f t="shared" si="3"/>
        <v>174.63942307692309</v>
      </c>
      <c r="F16" s="14">
        <v>1065</v>
      </c>
      <c r="G16" s="16">
        <f t="shared" si="1"/>
        <v>123.83720930232558</v>
      </c>
      <c r="H16" s="14"/>
      <c r="I16" s="18"/>
      <c r="J16" s="14"/>
      <c r="K16" s="14"/>
      <c r="L16" s="14"/>
      <c r="M16" s="14"/>
      <c r="N16" s="14"/>
      <c r="O16" s="18">
        <v>0</v>
      </c>
      <c r="P16" s="18">
        <v>757.00000000000011</v>
      </c>
      <c r="Q16" s="19"/>
      <c r="R16" s="19"/>
      <c r="S16" s="19"/>
      <c r="T16" s="19"/>
      <c r="U16" s="19"/>
      <c r="V16" s="19">
        <v>19</v>
      </c>
      <c r="W16" s="20">
        <v>1226</v>
      </c>
      <c r="X16" s="20"/>
      <c r="Y16" s="19">
        <v>133</v>
      </c>
      <c r="Z16" s="19">
        <v>8</v>
      </c>
      <c r="AA16" s="19">
        <v>313</v>
      </c>
      <c r="AB16" s="19">
        <v>239</v>
      </c>
      <c r="AC16" s="19"/>
      <c r="AD16" s="19"/>
      <c r="AE16" s="21">
        <f>Y16*2.43</f>
        <v>323.19</v>
      </c>
      <c r="AF16" s="19"/>
      <c r="AG16" s="22"/>
      <c r="AH16" s="95"/>
    </row>
    <row r="17" spans="1:34" ht="20.100000000000001" customHeight="1" x14ac:dyDescent="0.25">
      <c r="A17" s="13">
        <v>46146</v>
      </c>
      <c r="B17" s="14"/>
      <c r="C17" s="15"/>
      <c r="D17" s="14">
        <v>1895</v>
      </c>
      <c r="E17" s="16">
        <f t="shared" ref="E17:E21" si="4">D17/200*25</f>
        <v>236.875</v>
      </c>
      <c r="F17" s="14">
        <v>1552</v>
      </c>
      <c r="G17" s="17">
        <f t="shared" si="1"/>
        <v>180.46511627906975</v>
      </c>
      <c r="H17" s="14"/>
      <c r="I17" s="18">
        <f t="shared" ref="I17:I20" si="5">H17/135*25</f>
        <v>0</v>
      </c>
      <c r="J17" s="14"/>
      <c r="K17" s="14">
        <v>0</v>
      </c>
      <c r="L17" s="14"/>
      <c r="M17" s="14">
        <v>0</v>
      </c>
      <c r="N17" s="14"/>
      <c r="O17" s="18">
        <f>N17/38*25</f>
        <v>0</v>
      </c>
      <c r="P17" s="17">
        <v>1183</v>
      </c>
      <c r="Q17" s="19"/>
      <c r="R17" s="19"/>
      <c r="S17" s="20"/>
      <c r="T17" s="19"/>
      <c r="U17" s="19"/>
      <c r="V17" s="19">
        <v>28</v>
      </c>
      <c r="W17" s="20">
        <v>1840</v>
      </c>
      <c r="X17" s="20"/>
      <c r="Y17" s="19">
        <v>184</v>
      </c>
      <c r="Z17" s="19">
        <v>4</v>
      </c>
      <c r="AA17" s="19">
        <v>418</v>
      </c>
      <c r="AB17" s="19">
        <v>412</v>
      </c>
      <c r="AC17" s="19"/>
      <c r="AD17" s="19"/>
      <c r="AE17" s="21">
        <f t="shared" ref="AE17:AE21" si="6">Y17*2.43</f>
        <v>447.12</v>
      </c>
      <c r="AF17" s="19"/>
      <c r="AG17" s="22"/>
      <c r="AH17" s="23"/>
    </row>
    <row r="18" spans="1:34" ht="20.100000000000001" customHeight="1" x14ac:dyDescent="0.25">
      <c r="A18" s="13">
        <v>46147</v>
      </c>
      <c r="B18" s="14"/>
      <c r="C18" s="15"/>
      <c r="D18" s="14">
        <v>1665</v>
      </c>
      <c r="E18" s="16">
        <f t="shared" si="4"/>
        <v>208.12499999999997</v>
      </c>
      <c r="F18" s="14">
        <v>1323</v>
      </c>
      <c r="G18" s="17">
        <f t="shared" si="1"/>
        <v>153.83720930232559</v>
      </c>
      <c r="H18" s="14"/>
      <c r="I18" s="18">
        <f t="shared" si="5"/>
        <v>0</v>
      </c>
      <c r="J18" s="14"/>
      <c r="K18" s="14"/>
      <c r="L18" s="14"/>
      <c r="M18" s="14"/>
      <c r="N18" s="14"/>
      <c r="O18" s="18">
        <f t="shared" ref="O18:O20" si="7">N18/38*25</f>
        <v>0</v>
      </c>
      <c r="P18" s="18">
        <v>1201.2</v>
      </c>
      <c r="Q18" s="19"/>
      <c r="R18" s="19"/>
      <c r="S18" s="19"/>
      <c r="T18" s="19"/>
      <c r="U18" s="19"/>
      <c r="V18" s="19">
        <v>48</v>
      </c>
      <c r="W18" s="20">
        <v>1733</v>
      </c>
      <c r="X18" s="20"/>
      <c r="Y18" s="19">
        <v>179</v>
      </c>
      <c r="Z18" s="19">
        <v>8</v>
      </c>
      <c r="AA18" s="19">
        <v>396</v>
      </c>
      <c r="AB18" s="19">
        <v>358</v>
      </c>
      <c r="AC18" s="19"/>
      <c r="AD18" s="19"/>
      <c r="AE18" s="21">
        <f t="shared" si="6"/>
        <v>434.97</v>
      </c>
      <c r="AF18" s="19"/>
      <c r="AG18" s="22"/>
    </row>
    <row r="19" spans="1:34" ht="20.100000000000001" customHeight="1" x14ac:dyDescent="0.25">
      <c r="A19" s="13">
        <v>46148</v>
      </c>
      <c r="B19" s="14"/>
      <c r="C19" s="15"/>
      <c r="D19" s="14">
        <v>2165</v>
      </c>
      <c r="E19" s="16">
        <f t="shared" si="4"/>
        <v>270.625</v>
      </c>
      <c r="F19" s="14">
        <v>1186</v>
      </c>
      <c r="G19" s="17">
        <f t="shared" si="1"/>
        <v>137.90697674418604</v>
      </c>
      <c r="H19" s="14"/>
      <c r="I19" s="18">
        <f t="shared" si="5"/>
        <v>0</v>
      </c>
      <c r="J19" s="14"/>
      <c r="K19" s="14"/>
      <c r="L19" s="14"/>
      <c r="M19" s="14"/>
      <c r="N19" s="14"/>
      <c r="O19" s="18">
        <f t="shared" si="7"/>
        <v>0</v>
      </c>
      <c r="P19" s="18">
        <v>1224</v>
      </c>
      <c r="Q19" s="19"/>
      <c r="R19" s="19"/>
      <c r="S19" s="19"/>
      <c r="T19" s="19"/>
      <c r="U19" s="19"/>
      <c r="V19" s="35">
        <v>65</v>
      </c>
      <c r="W19" s="20">
        <v>1820</v>
      </c>
      <c r="X19" s="20"/>
      <c r="Y19" s="19">
        <v>175</v>
      </c>
      <c r="Z19" s="19">
        <v>6</v>
      </c>
      <c r="AA19" s="19">
        <v>318</v>
      </c>
      <c r="AB19" s="19">
        <v>454</v>
      </c>
      <c r="AC19" s="19"/>
      <c r="AD19" s="19"/>
      <c r="AE19" s="21">
        <f t="shared" si="6"/>
        <v>425.25</v>
      </c>
      <c r="AF19" s="19"/>
      <c r="AG19" s="22"/>
      <c r="AH19" s="23"/>
    </row>
    <row r="20" spans="1:34" ht="20.100000000000001" customHeight="1" x14ac:dyDescent="0.25">
      <c r="A20" s="13">
        <v>46149</v>
      </c>
      <c r="B20" s="14"/>
      <c r="C20" s="15"/>
      <c r="D20" s="14">
        <v>1665</v>
      </c>
      <c r="E20" s="16">
        <f t="shared" si="4"/>
        <v>208.12499999999997</v>
      </c>
      <c r="F20" s="14">
        <v>1103</v>
      </c>
      <c r="G20" s="17">
        <f t="shared" si="1"/>
        <v>128.25581395348837</v>
      </c>
      <c r="H20" s="14"/>
      <c r="I20" s="18">
        <f t="shared" si="5"/>
        <v>0</v>
      </c>
      <c r="J20" s="14"/>
      <c r="K20" s="14"/>
      <c r="L20" s="14"/>
      <c r="M20" s="14"/>
      <c r="N20" s="14"/>
      <c r="O20" s="18">
        <f t="shared" si="7"/>
        <v>0</v>
      </c>
      <c r="P20" s="18">
        <v>1035.2</v>
      </c>
      <c r="Q20" s="19"/>
      <c r="R20" s="19"/>
      <c r="S20" s="19"/>
      <c r="T20" s="19"/>
      <c r="U20" s="19"/>
      <c r="V20" s="19">
        <v>45</v>
      </c>
      <c r="W20" s="20">
        <v>1531</v>
      </c>
      <c r="X20" s="20"/>
      <c r="Y20" s="19">
        <v>160</v>
      </c>
      <c r="Z20" s="19">
        <v>8</v>
      </c>
      <c r="AA20" s="19">
        <v>257</v>
      </c>
      <c r="AB20" s="19">
        <v>422</v>
      </c>
      <c r="AC20" s="19"/>
      <c r="AD20" s="19"/>
      <c r="AE20" s="21">
        <f t="shared" si="6"/>
        <v>388.8</v>
      </c>
      <c r="AF20" s="19"/>
      <c r="AG20" s="22"/>
    </row>
    <row r="21" spans="1:34" ht="20.100000000000001" customHeight="1" x14ac:dyDescent="0.25">
      <c r="A21" s="13">
        <v>46150</v>
      </c>
      <c r="B21" s="14"/>
      <c r="C21" s="15"/>
      <c r="D21" s="14">
        <v>1983</v>
      </c>
      <c r="E21" s="16">
        <f t="shared" si="4"/>
        <v>247.87499999999997</v>
      </c>
      <c r="F21" s="14">
        <v>956</v>
      </c>
      <c r="G21" s="17">
        <f t="shared" si="1"/>
        <v>111.16279069767442</v>
      </c>
      <c r="H21" s="14"/>
      <c r="I21" s="18"/>
      <c r="J21" s="14"/>
      <c r="K21" s="14"/>
      <c r="L21" s="14"/>
      <c r="M21" s="14"/>
      <c r="N21" s="14"/>
      <c r="O21" s="18">
        <v>0</v>
      </c>
      <c r="P21" s="18">
        <v>1041.2</v>
      </c>
      <c r="Q21" s="19"/>
      <c r="R21" s="19"/>
      <c r="S21" s="20"/>
      <c r="T21" s="19"/>
      <c r="U21" s="19"/>
      <c r="V21" s="19">
        <v>51</v>
      </c>
      <c r="W21" s="20">
        <v>1548</v>
      </c>
      <c r="X21" s="20"/>
      <c r="Y21" s="19">
        <v>161</v>
      </c>
      <c r="Z21" s="19">
        <v>2</v>
      </c>
      <c r="AA21" s="19">
        <v>271</v>
      </c>
      <c r="AB21" s="19">
        <v>413</v>
      </c>
      <c r="AC21" s="19"/>
      <c r="AD21" s="19"/>
      <c r="AE21" s="21">
        <f t="shared" si="6"/>
        <v>391.23</v>
      </c>
      <c r="AF21" s="19"/>
      <c r="AG21" s="22"/>
    </row>
    <row r="22" spans="1:34" ht="20.100000000000001" customHeight="1" x14ac:dyDescent="0.25">
      <c r="A22" s="13">
        <v>46151</v>
      </c>
      <c r="B22" s="14"/>
      <c r="C22" s="16"/>
      <c r="D22" s="14">
        <v>1996</v>
      </c>
      <c r="E22" s="16">
        <f t="shared" ref="E22:E23" si="8">D22/208*25</f>
        <v>239.90384615384616</v>
      </c>
      <c r="F22" s="14">
        <v>1172</v>
      </c>
      <c r="G22" s="16">
        <f t="shared" si="1"/>
        <v>136.27906976744185</v>
      </c>
      <c r="H22" s="14"/>
      <c r="I22" s="18"/>
      <c r="J22" s="14"/>
      <c r="K22" s="14"/>
      <c r="L22" s="14"/>
      <c r="M22" s="14"/>
      <c r="N22" s="14"/>
      <c r="O22" s="18">
        <v>0</v>
      </c>
      <c r="P22" s="18">
        <v>1028.8000000000002</v>
      </c>
      <c r="Q22" s="19"/>
      <c r="R22" s="19"/>
      <c r="S22" s="20"/>
      <c r="T22" s="20"/>
      <c r="U22" s="19"/>
      <c r="V22" s="19">
        <v>55</v>
      </c>
      <c r="W22" s="20">
        <v>1597</v>
      </c>
      <c r="X22" s="20"/>
      <c r="Y22" s="19">
        <v>170</v>
      </c>
      <c r="Z22" s="19">
        <v>6</v>
      </c>
      <c r="AA22" s="19">
        <v>373</v>
      </c>
      <c r="AB22" s="19">
        <v>324</v>
      </c>
      <c r="AC22" s="19"/>
      <c r="AD22" s="19"/>
      <c r="AE22" s="21">
        <f>Y22*2.43</f>
        <v>413.1</v>
      </c>
      <c r="AF22" s="19"/>
      <c r="AG22" s="22"/>
      <c r="AH22" s="95"/>
    </row>
    <row r="23" spans="1:34" ht="20.100000000000001" customHeight="1" x14ac:dyDescent="0.25">
      <c r="A23" s="13">
        <v>46152</v>
      </c>
      <c r="B23" s="14"/>
      <c r="C23" s="16"/>
      <c r="D23" s="14">
        <v>1611</v>
      </c>
      <c r="E23" s="16">
        <f t="shared" si="8"/>
        <v>193.62980769230768</v>
      </c>
      <c r="F23" s="14">
        <v>811</v>
      </c>
      <c r="G23" s="16">
        <f t="shared" si="1"/>
        <v>94.302325581395351</v>
      </c>
      <c r="H23" s="14"/>
      <c r="I23" s="18"/>
      <c r="J23" s="14"/>
      <c r="K23" s="14"/>
      <c r="L23" s="14"/>
      <c r="M23" s="14"/>
      <c r="N23" s="14"/>
      <c r="O23" s="18">
        <v>0</v>
      </c>
      <c r="P23" s="18">
        <v>897.59999999999991</v>
      </c>
      <c r="Q23" s="19"/>
      <c r="R23" s="19"/>
      <c r="S23" s="19"/>
      <c r="T23" s="19"/>
      <c r="U23" s="19"/>
      <c r="V23" s="19">
        <v>26</v>
      </c>
      <c r="W23" s="20">
        <v>1328</v>
      </c>
      <c r="X23" s="20"/>
      <c r="Y23" s="19">
        <v>136</v>
      </c>
      <c r="Z23" s="19">
        <v>4</v>
      </c>
      <c r="AA23" s="19">
        <v>509</v>
      </c>
      <c r="AB23" s="19">
        <v>85</v>
      </c>
      <c r="AC23" s="19"/>
      <c r="AD23" s="19"/>
      <c r="AE23" s="21">
        <f>Y23*2.43</f>
        <v>330.48</v>
      </c>
      <c r="AF23" s="19"/>
      <c r="AG23" s="22"/>
      <c r="AH23" s="95"/>
    </row>
    <row r="24" spans="1:34" ht="20.100000000000001" customHeight="1" x14ac:dyDescent="0.25">
      <c r="A24" s="13">
        <v>46153</v>
      </c>
      <c r="B24" s="14"/>
      <c r="C24" s="15"/>
      <c r="D24" s="14">
        <v>1697</v>
      </c>
      <c r="E24" s="16">
        <f t="shared" ref="E24:E28" si="9">D24/200*25</f>
        <v>212.125</v>
      </c>
      <c r="F24" s="14">
        <v>1404</v>
      </c>
      <c r="G24" s="17">
        <f t="shared" si="1"/>
        <v>163.25581395348837</v>
      </c>
      <c r="H24" s="14"/>
      <c r="I24" s="18">
        <f t="shared" ref="I24:I27" si="10">H24/135*25</f>
        <v>0</v>
      </c>
      <c r="J24" s="14"/>
      <c r="K24" s="14">
        <v>0</v>
      </c>
      <c r="L24" s="14"/>
      <c r="M24" s="14">
        <v>0</v>
      </c>
      <c r="N24" s="14"/>
      <c r="O24" s="18">
        <f>N24/38*25</f>
        <v>0</v>
      </c>
      <c r="P24" s="17">
        <v>1179.0000000000002</v>
      </c>
      <c r="Q24" s="19"/>
      <c r="R24" s="19"/>
      <c r="S24" s="20"/>
      <c r="T24" s="19"/>
      <c r="U24" s="19"/>
      <c r="V24" s="19">
        <v>39</v>
      </c>
      <c r="W24" s="20">
        <v>1731</v>
      </c>
      <c r="X24" s="20"/>
      <c r="Y24" s="19">
        <v>191</v>
      </c>
      <c r="Z24" s="19">
        <v>2</v>
      </c>
      <c r="AA24" s="19">
        <v>692</v>
      </c>
      <c r="AB24" s="19">
        <v>88</v>
      </c>
      <c r="AC24" s="19"/>
      <c r="AD24" s="19"/>
      <c r="AE24" s="21">
        <f t="shared" ref="AE24:AE28" si="11">Y24*2.43</f>
        <v>464.13000000000005</v>
      </c>
      <c r="AF24" s="19">
        <v>30</v>
      </c>
      <c r="AG24" s="22"/>
      <c r="AH24" s="23"/>
    </row>
    <row r="25" spans="1:34" ht="20.100000000000001" customHeight="1" x14ac:dyDescent="0.25">
      <c r="A25" s="13">
        <v>46154</v>
      </c>
      <c r="B25" s="14"/>
      <c r="C25" s="15"/>
      <c r="D25" s="14">
        <v>1731</v>
      </c>
      <c r="E25" s="16">
        <f t="shared" si="9"/>
        <v>216.37499999999997</v>
      </c>
      <c r="F25" s="14">
        <v>1752</v>
      </c>
      <c r="G25" s="17">
        <f t="shared" si="1"/>
        <v>203.72093023255812</v>
      </c>
      <c r="H25" s="14"/>
      <c r="I25" s="18">
        <f t="shared" si="10"/>
        <v>0</v>
      </c>
      <c r="J25" s="14"/>
      <c r="K25" s="14"/>
      <c r="L25" s="14"/>
      <c r="M25" s="14"/>
      <c r="N25" s="14"/>
      <c r="O25" s="18">
        <f t="shared" ref="O25:O27" si="12">N25/38*25</f>
        <v>0</v>
      </c>
      <c r="P25" s="18">
        <v>1151.2</v>
      </c>
      <c r="Q25" s="19"/>
      <c r="R25" s="19"/>
      <c r="S25" s="19"/>
      <c r="T25" s="19"/>
      <c r="U25" s="19"/>
      <c r="V25" s="19">
        <v>51</v>
      </c>
      <c r="W25" s="20">
        <v>1779</v>
      </c>
      <c r="X25" s="20"/>
      <c r="Y25" s="19">
        <v>174</v>
      </c>
      <c r="Z25" s="19">
        <v>6</v>
      </c>
      <c r="AA25" s="19">
        <v>646</v>
      </c>
      <c r="AB25" s="19">
        <v>104</v>
      </c>
      <c r="AC25" s="19"/>
      <c r="AD25" s="19"/>
      <c r="AE25" s="21">
        <f t="shared" si="11"/>
        <v>422.82000000000005</v>
      </c>
      <c r="AF25" s="19"/>
      <c r="AG25" s="22"/>
    </row>
    <row r="26" spans="1:34" ht="20.100000000000001" customHeight="1" x14ac:dyDescent="0.25">
      <c r="A26" s="13">
        <v>46155</v>
      </c>
      <c r="B26" s="14"/>
      <c r="C26" s="15"/>
      <c r="D26" s="14">
        <v>1811</v>
      </c>
      <c r="E26" s="16">
        <f t="shared" si="9"/>
        <v>226.375</v>
      </c>
      <c r="F26" s="14">
        <v>1617</v>
      </c>
      <c r="G26" s="17">
        <f t="shared" si="1"/>
        <v>188.02325581395348</v>
      </c>
      <c r="H26" s="14"/>
      <c r="I26" s="18">
        <f t="shared" si="10"/>
        <v>0</v>
      </c>
      <c r="J26" s="14"/>
      <c r="K26" s="14"/>
      <c r="L26" s="14"/>
      <c r="M26" s="14"/>
      <c r="N26" s="14"/>
      <c r="O26" s="18">
        <f t="shared" si="12"/>
        <v>0</v>
      </c>
      <c r="P26" s="18">
        <v>1137.2000000000003</v>
      </c>
      <c r="Q26" s="19"/>
      <c r="R26" s="19"/>
      <c r="S26" s="19"/>
      <c r="T26" s="19"/>
      <c r="U26" s="19"/>
      <c r="V26" s="35">
        <v>59</v>
      </c>
      <c r="W26" s="20">
        <v>1743</v>
      </c>
      <c r="X26" s="20"/>
      <c r="Y26" s="19">
        <v>188</v>
      </c>
      <c r="Z26" s="19">
        <v>4</v>
      </c>
      <c r="AA26" s="19">
        <v>680</v>
      </c>
      <c r="AB26" s="19">
        <v>86</v>
      </c>
      <c r="AC26" s="19"/>
      <c r="AD26" s="19"/>
      <c r="AE26" s="21">
        <f t="shared" si="11"/>
        <v>456.84000000000003</v>
      </c>
      <c r="AF26" s="19"/>
      <c r="AG26" s="22"/>
      <c r="AH26" s="23"/>
    </row>
    <row r="27" spans="1:34" ht="20.100000000000001" customHeight="1" x14ac:dyDescent="0.25">
      <c r="A27" s="13">
        <v>46156</v>
      </c>
      <c r="B27" s="14"/>
      <c r="C27" s="15"/>
      <c r="D27" s="14">
        <v>1339</v>
      </c>
      <c r="E27" s="16">
        <f t="shared" si="9"/>
        <v>167.375</v>
      </c>
      <c r="F27" s="14">
        <v>1490</v>
      </c>
      <c r="G27" s="17">
        <f t="shared" si="1"/>
        <v>173.25581395348837</v>
      </c>
      <c r="H27" s="14"/>
      <c r="I27" s="18">
        <f t="shared" si="10"/>
        <v>0</v>
      </c>
      <c r="J27" s="14"/>
      <c r="K27" s="14"/>
      <c r="L27" s="14"/>
      <c r="M27" s="14"/>
      <c r="N27" s="14"/>
      <c r="O27" s="18">
        <f t="shared" si="12"/>
        <v>0</v>
      </c>
      <c r="P27" s="18">
        <v>974.6</v>
      </c>
      <c r="Q27" s="19"/>
      <c r="R27" s="19"/>
      <c r="S27" s="19"/>
      <c r="T27" s="19"/>
      <c r="U27" s="19"/>
      <c r="V27" s="19">
        <v>40</v>
      </c>
      <c r="W27" s="20">
        <v>1490</v>
      </c>
      <c r="X27" s="20"/>
      <c r="Y27" s="19">
        <v>144</v>
      </c>
      <c r="Z27" s="19">
        <v>6</v>
      </c>
      <c r="AA27" s="19">
        <v>591</v>
      </c>
      <c r="AB27" s="19">
        <v>90</v>
      </c>
      <c r="AC27" s="19"/>
      <c r="AD27" s="19"/>
      <c r="AE27" s="21">
        <f t="shared" si="11"/>
        <v>349.92</v>
      </c>
      <c r="AF27" s="19"/>
      <c r="AG27" s="22"/>
    </row>
    <row r="28" spans="1:34" ht="20.100000000000001" customHeight="1" x14ac:dyDescent="0.25">
      <c r="A28" s="13">
        <v>46157</v>
      </c>
      <c r="B28" s="14"/>
      <c r="C28" s="15"/>
      <c r="D28" s="14">
        <v>1513</v>
      </c>
      <c r="E28" s="16">
        <f t="shared" si="9"/>
        <v>189.125</v>
      </c>
      <c r="F28" s="14">
        <v>926</v>
      </c>
      <c r="G28" s="17">
        <f t="shared" si="1"/>
        <v>107.67441860465117</v>
      </c>
      <c r="H28" s="14"/>
      <c r="I28" s="18"/>
      <c r="J28" s="14"/>
      <c r="K28" s="14"/>
      <c r="L28" s="14"/>
      <c r="M28" s="14"/>
      <c r="N28" s="14"/>
      <c r="O28" s="18">
        <v>0</v>
      </c>
      <c r="P28" s="18">
        <v>826.59999999999991</v>
      </c>
      <c r="Q28" s="19"/>
      <c r="R28" s="19"/>
      <c r="S28" s="20"/>
      <c r="T28" s="19"/>
      <c r="U28" s="19"/>
      <c r="V28" s="19">
        <v>26</v>
      </c>
      <c r="W28" s="20">
        <v>1298</v>
      </c>
      <c r="X28" s="20"/>
      <c r="Y28" s="19">
        <v>137</v>
      </c>
      <c r="Z28" s="19">
        <v>4</v>
      </c>
      <c r="AA28" s="19">
        <v>481</v>
      </c>
      <c r="AB28" s="19">
        <v>77</v>
      </c>
      <c r="AC28" s="19"/>
      <c r="AD28" s="19"/>
      <c r="AE28" s="21">
        <f t="shared" si="11"/>
        <v>332.91</v>
      </c>
      <c r="AF28" s="19"/>
      <c r="AG28" s="22"/>
    </row>
    <row r="29" spans="1:34" ht="20.100000000000001" customHeight="1" x14ac:dyDescent="0.25">
      <c r="A29" s="13">
        <v>46158</v>
      </c>
      <c r="B29" s="14"/>
      <c r="C29" s="16"/>
      <c r="D29" s="14">
        <v>1192</v>
      </c>
      <c r="E29" s="16">
        <f t="shared" ref="E29:E30" si="13">D29/208*25</f>
        <v>143.26923076923077</v>
      </c>
      <c r="F29" s="14">
        <v>1081</v>
      </c>
      <c r="G29" s="16">
        <f t="shared" si="1"/>
        <v>125.69767441860465</v>
      </c>
      <c r="H29" s="14"/>
      <c r="I29" s="18"/>
      <c r="J29" s="14"/>
      <c r="K29" s="14"/>
      <c r="L29" s="14"/>
      <c r="M29" s="14"/>
      <c r="N29" s="14"/>
      <c r="O29" s="18">
        <v>0</v>
      </c>
      <c r="P29" s="18">
        <v>757.4</v>
      </c>
      <c r="Q29" s="19"/>
      <c r="R29" s="19"/>
      <c r="S29" s="20"/>
      <c r="T29" s="20"/>
      <c r="U29" s="19"/>
      <c r="V29" s="19">
        <v>29</v>
      </c>
      <c r="W29" s="20">
        <v>1201</v>
      </c>
      <c r="X29" s="20"/>
      <c r="Y29" s="19">
        <v>129</v>
      </c>
      <c r="Z29" s="19">
        <v>2</v>
      </c>
      <c r="AA29" s="19">
        <v>430</v>
      </c>
      <c r="AB29" s="19">
        <v>85</v>
      </c>
      <c r="AC29" s="19"/>
      <c r="AD29" s="19"/>
      <c r="AE29" s="21">
        <f>Y29*2.43</f>
        <v>313.47000000000003</v>
      </c>
      <c r="AF29" s="19"/>
      <c r="AG29" s="22"/>
      <c r="AH29" s="95"/>
    </row>
    <row r="30" spans="1:34" ht="20.100000000000001" customHeight="1" x14ac:dyDescent="0.25">
      <c r="A30" s="13">
        <v>46159</v>
      </c>
      <c r="B30" s="14"/>
      <c r="C30" s="16"/>
      <c r="D30" s="14">
        <v>1434</v>
      </c>
      <c r="E30" s="16">
        <f t="shared" si="13"/>
        <v>172.35576923076923</v>
      </c>
      <c r="F30" s="14">
        <v>1084</v>
      </c>
      <c r="G30" s="16">
        <f t="shared" si="1"/>
        <v>126.04651162790699</v>
      </c>
      <c r="H30" s="14"/>
      <c r="I30" s="18"/>
      <c r="J30" s="14"/>
      <c r="K30" s="14"/>
      <c r="L30" s="14"/>
      <c r="M30" s="14"/>
      <c r="N30" s="14"/>
      <c r="O30" s="18">
        <v>0</v>
      </c>
      <c r="P30" s="18">
        <v>799.5</v>
      </c>
      <c r="Q30" s="19"/>
      <c r="R30" s="19"/>
      <c r="S30" s="19"/>
      <c r="T30" s="19"/>
      <c r="U30" s="19"/>
      <c r="V30" s="19">
        <v>27</v>
      </c>
      <c r="W30" s="20">
        <v>1266</v>
      </c>
      <c r="X30" s="20"/>
      <c r="Y30" s="19">
        <v>142</v>
      </c>
      <c r="Z30" s="19"/>
      <c r="AA30" s="19">
        <v>343</v>
      </c>
      <c r="AB30" s="19">
        <v>218</v>
      </c>
      <c r="AC30" s="19"/>
      <c r="AD30" s="19"/>
      <c r="AE30" s="21">
        <f>Y30*2.43</f>
        <v>345.06</v>
      </c>
      <c r="AF30" s="19"/>
      <c r="AG30" s="22"/>
      <c r="AH30" s="95"/>
    </row>
    <row r="31" spans="1:34" ht="20.100000000000001" customHeight="1" x14ac:dyDescent="0.25">
      <c r="A31" s="13">
        <v>46160</v>
      </c>
      <c r="B31" s="14"/>
      <c r="C31" s="15"/>
      <c r="D31" s="14">
        <v>1427</v>
      </c>
      <c r="E31" s="16">
        <f t="shared" ref="E31:E35" si="14">D31/200*25</f>
        <v>178.375</v>
      </c>
      <c r="F31" s="14">
        <v>1052</v>
      </c>
      <c r="G31" s="17">
        <f t="shared" si="1"/>
        <v>122.32558139534883</v>
      </c>
      <c r="H31" s="14"/>
      <c r="I31" s="18">
        <f t="shared" ref="I31:I34" si="15">H31/135*25</f>
        <v>0</v>
      </c>
      <c r="J31" s="14"/>
      <c r="K31" s="14">
        <v>0</v>
      </c>
      <c r="L31" s="14"/>
      <c r="M31" s="14">
        <v>0</v>
      </c>
      <c r="N31" s="14"/>
      <c r="O31" s="18">
        <f>N31/38*25</f>
        <v>0</v>
      </c>
      <c r="P31" s="17">
        <v>988.2</v>
      </c>
      <c r="Q31" s="19"/>
      <c r="R31" s="19"/>
      <c r="S31" s="20"/>
      <c r="T31" s="19"/>
      <c r="U31" s="19"/>
      <c r="V31" s="19">
        <v>25</v>
      </c>
      <c r="W31" s="20">
        <v>1450</v>
      </c>
      <c r="X31" s="20"/>
      <c r="Y31" s="19">
        <v>167</v>
      </c>
      <c r="Z31" s="19">
        <v>2</v>
      </c>
      <c r="AA31" s="19">
        <v>339</v>
      </c>
      <c r="AB31" s="19">
        <v>272</v>
      </c>
      <c r="AC31" s="19"/>
      <c r="AD31" s="19"/>
      <c r="AE31" s="21">
        <f t="shared" ref="AE31:AE35" si="16">Y31*2.43</f>
        <v>405.81</v>
      </c>
      <c r="AF31" s="19"/>
      <c r="AG31" s="22"/>
      <c r="AH31" s="23"/>
    </row>
    <row r="32" spans="1:34" ht="20.100000000000001" customHeight="1" x14ac:dyDescent="0.25">
      <c r="A32" s="13">
        <v>46161</v>
      </c>
      <c r="B32" s="14"/>
      <c r="C32" s="15"/>
      <c r="D32" s="14">
        <v>1674</v>
      </c>
      <c r="E32" s="16">
        <f t="shared" si="14"/>
        <v>209.24999999999997</v>
      </c>
      <c r="F32" s="14">
        <v>1463</v>
      </c>
      <c r="G32" s="17">
        <f t="shared" si="1"/>
        <v>170.11627906976744</v>
      </c>
      <c r="H32" s="14"/>
      <c r="I32" s="18">
        <f t="shared" si="15"/>
        <v>0</v>
      </c>
      <c r="J32" s="14"/>
      <c r="K32" s="14"/>
      <c r="L32" s="14"/>
      <c r="M32" s="14"/>
      <c r="N32" s="14"/>
      <c r="O32" s="18">
        <f t="shared" ref="O32:O34" si="17">N32/38*25</f>
        <v>0</v>
      </c>
      <c r="P32" s="18">
        <v>1145.8</v>
      </c>
      <c r="Q32" s="19"/>
      <c r="R32" s="19"/>
      <c r="S32" s="19"/>
      <c r="T32" s="19"/>
      <c r="U32" s="19"/>
      <c r="V32" s="19">
        <v>146</v>
      </c>
      <c r="W32" s="20">
        <v>1554</v>
      </c>
      <c r="X32" s="20"/>
      <c r="Y32" s="19">
        <v>172</v>
      </c>
      <c r="Z32" s="19">
        <v>2</v>
      </c>
      <c r="AA32" s="19">
        <v>495</v>
      </c>
      <c r="AB32" s="19">
        <v>269</v>
      </c>
      <c r="AC32" s="19"/>
      <c r="AD32" s="19"/>
      <c r="AE32" s="21">
        <f t="shared" si="16"/>
        <v>417.96000000000004</v>
      </c>
      <c r="AF32" s="19"/>
      <c r="AG32" s="22"/>
    </row>
    <row r="33" spans="1:37" ht="20.100000000000001" customHeight="1" x14ac:dyDescent="0.25">
      <c r="A33" s="13">
        <v>46162</v>
      </c>
      <c r="B33" s="14"/>
      <c r="C33" s="15"/>
      <c r="D33" s="14">
        <v>1779</v>
      </c>
      <c r="E33" s="16">
        <f t="shared" si="14"/>
        <v>222.375</v>
      </c>
      <c r="F33" s="14">
        <v>1644</v>
      </c>
      <c r="G33" s="17">
        <f t="shared" si="1"/>
        <v>191.16279069767441</v>
      </c>
      <c r="H33" s="14"/>
      <c r="I33" s="18">
        <f t="shared" si="15"/>
        <v>0</v>
      </c>
      <c r="J33" s="14"/>
      <c r="K33" s="14"/>
      <c r="L33" s="14"/>
      <c r="M33" s="14"/>
      <c r="N33" s="14"/>
      <c r="O33" s="18">
        <f t="shared" si="17"/>
        <v>0</v>
      </c>
      <c r="P33" s="18">
        <v>1253.9999999999998</v>
      </c>
      <c r="Q33" s="19"/>
      <c r="R33" s="19"/>
      <c r="S33" s="19"/>
      <c r="T33" s="19"/>
      <c r="U33" s="19"/>
      <c r="V33" s="35">
        <v>252</v>
      </c>
      <c r="W33" s="20">
        <v>1627</v>
      </c>
      <c r="X33" s="20"/>
      <c r="Y33" s="19">
        <v>206</v>
      </c>
      <c r="Z33" s="19"/>
      <c r="AA33" s="19">
        <v>399</v>
      </c>
      <c r="AB33" s="19">
        <v>423</v>
      </c>
      <c r="AC33" s="19"/>
      <c r="AD33" s="19"/>
      <c r="AE33" s="21">
        <f t="shared" si="16"/>
        <v>500.58000000000004</v>
      </c>
      <c r="AF33" s="19"/>
      <c r="AG33" s="22"/>
      <c r="AH33" s="23"/>
    </row>
    <row r="34" spans="1:37" ht="20.100000000000001" customHeight="1" x14ac:dyDescent="0.25">
      <c r="A34" s="13">
        <v>46163</v>
      </c>
      <c r="B34" s="14"/>
      <c r="C34" s="15"/>
      <c r="D34" s="14">
        <v>1679</v>
      </c>
      <c r="E34" s="16">
        <f t="shared" si="14"/>
        <v>209.875</v>
      </c>
      <c r="F34" s="14">
        <v>1069</v>
      </c>
      <c r="G34" s="17">
        <f t="shared" si="1"/>
        <v>124.30232558139535</v>
      </c>
      <c r="H34" s="14"/>
      <c r="I34" s="18">
        <f t="shared" si="15"/>
        <v>0</v>
      </c>
      <c r="J34" s="14"/>
      <c r="K34" s="14"/>
      <c r="L34" s="14"/>
      <c r="M34" s="14"/>
      <c r="N34" s="14"/>
      <c r="O34" s="18">
        <f t="shared" si="17"/>
        <v>0</v>
      </c>
      <c r="P34" s="18">
        <v>1045</v>
      </c>
      <c r="Q34" s="19"/>
      <c r="R34" s="19"/>
      <c r="S34" s="19"/>
      <c r="T34" s="19"/>
      <c r="U34" s="19"/>
      <c r="V34" s="19">
        <v>232</v>
      </c>
      <c r="W34" s="20">
        <v>1311</v>
      </c>
      <c r="X34" s="20"/>
      <c r="Y34" s="19">
        <v>169</v>
      </c>
      <c r="Z34" s="19">
        <v>4</v>
      </c>
      <c r="AA34" s="19">
        <v>329</v>
      </c>
      <c r="AB34" s="19">
        <v>364</v>
      </c>
      <c r="AC34" s="19"/>
      <c r="AD34" s="19"/>
      <c r="AE34" s="21">
        <f t="shared" si="16"/>
        <v>410.67</v>
      </c>
      <c r="AF34" s="19">
        <v>300</v>
      </c>
      <c r="AG34" s="22"/>
    </row>
    <row r="35" spans="1:37" ht="20.100000000000001" customHeight="1" x14ac:dyDescent="0.25">
      <c r="A35" s="13">
        <v>46164</v>
      </c>
      <c r="B35" s="14"/>
      <c r="C35" s="15"/>
      <c r="D35" s="14">
        <v>1676</v>
      </c>
      <c r="E35" s="16">
        <f t="shared" si="14"/>
        <v>209.50000000000003</v>
      </c>
      <c r="F35" s="14">
        <v>1302</v>
      </c>
      <c r="G35" s="17">
        <f t="shared" si="1"/>
        <v>151.3953488372093</v>
      </c>
      <c r="H35" s="14"/>
      <c r="I35" s="18"/>
      <c r="J35" s="14"/>
      <c r="K35" s="14"/>
      <c r="L35" s="14"/>
      <c r="M35" s="14"/>
      <c r="N35" s="14"/>
      <c r="O35" s="18">
        <v>0</v>
      </c>
      <c r="P35" s="18">
        <v>1166.6000000000001</v>
      </c>
      <c r="Q35" s="19"/>
      <c r="R35" s="19"/>
      <c r="S35" s="20"/>
      <c r="T35" s="19"/>
      <c r="U35" s="19"/>
      <c r="V35" s="19">
        <v>292</v>
      </c>
      <c r="W35" s="20">
        <v>1432</v>
      </c>
      <c r="X35" s="20"/>
      <c r="Y35" s="19">
        <v>184</v>
      </c>
      <c r="Z35" s="19">
        <v>4</v>
      </c>
      <c r="AA35" s="19">
        <v>357</v>
      </c>
      <c r="AB35" s="19">
        <v>387</v>
      </c>
      <c r="AC35" s="19"/>
      <c r="AD35" s="19"/>
      <c r="AE35" s="21">
        <f t="shared" si="16"/>
        <v>447.12</v>
      </c>
      <c r="AF35" s="19"/>
      <c r="AG35" s="22"/>
    </row>
    <row r="36" spans="1:37" ht="20.100000000000001" customHeight="1" x14ac:dyDescent="0.25">
      <c r="A36" s="13">
        <v>46165</v>
      </c>
      <c r="B36" s="14"/>
      <c r="C36" s="16"/>
      <c r="D36" s="14">
        <v>1461</v>
      </c>
      <c r="E36" s="16">
        <f t="shared" ref="E36:E37" si="18">D36/208*25</f>
        <v>175.60096153846155</v>
      </c>
      <c r="F36" s="14">
        <v>2070</v>
      </c>
      <c r="G36" s="16">
        <f t="shared" si="1"/>
        <v>240.69767441860463</v>
      </c>
      <c r="H36" s="14"/>
      <c r="I36" s="18"/>
      <c r="J36" s="14"/>
      <c r="K36" s="14"/>
      <c r="L36" s="14"/>
      <c r="M36" s="14"/>
      <c r="N36" s="14"/>
      <c r="O36" s="18">
        <v>0</v>
      </c>
      <c r="P36" s="18">
        <v>1117.8</v>
      </c>
      <c r="Q36" s="19"/>
      <c r="R36" s="19"/>
      <c r="S36" s="20"/>
      <c r="T36" s="20"/>
      <c r="U36" s="19"/>
      <c r="V36" s="19">
        <v>309</v>
      </c>
      <c r="W36" s="20">
        <v>1486</v>
      </c>
      <c r="X36" s="20"/>
      <c r="Y36" s="19">
        <v>183</v>
      </c>
      <c r="Z36" s="19">
        <v>6</v>
      </c>
      <c r="AA36" s="19">
        <v>365</v>
      </c>
      <c r="AB36" s="19">
        <v>437</v>
      </c>
      <c r="AC36" s="19"/>
      <c r="AD36" s="19"/>
      <c r="AE36" s="21">
        <f>Y36*2.43</f>
        <v>444.69000000000005</v>
      </c>
      <c r="AF36" s="19"/>
      <c r="AG36" s="22"/>
      <c r="AH36" s="95"/>
    </row>
    <row r="37" spans="1:37" ht="20.100000000000001" customHeight="1" x14ac:dyDescent="0.25">
      <c r="A37" s="13">
        <v>46166</v>
      </c>
      <c r="B37" s="14"/>
      <c r="C37" s="16"/>
      <c r="D37" s="14">
        <v>448</v>
      </c>
      <c r="E37" s="16">
        <f t="shared" si="18"/>
        <v>53.846153846153847</v>
      </c>
      <c r="F37" s="14">
        <v>2127</v>
      </c>
      <c r="G37" s="16">
        <f t="shared" si="1"/>
        <v>247.32558139534885</v>
      </c>
      <c r="H37" s="14"/>
      <c r="I37" s="18"/>
      <c r="J37" s="14"/>
      <c r="K37" s="14"/>
      <c r="L37" s="14"/>
      <c r="M37" s="14"/>
      <c r="N37" s="14"/>
      <c r="O37" s="18">
        <v>0</v>
      </c>
      <c r="P37" s="18">
        <v>980.6</v>
      </c>
      <c r="Q37" s="19"/>
      <c r="R37" s="19"/>
      <c r="S37" s="19"/>
      <c r="T37" s="19"/>
      <c r="U37" s="19"/>
      <c r="V37" s="19">
        <v>293</v>
      </c>
      <c r="W37" s="20">
        <v>1144</v>
      </c>
      <c r="X37" s="20"/>
      <c r="Y37" s="19">
        <v>153</v>
      </c>
      <c r="Z37" s="19">
        <v>4</v>
      </c>
      <c r="AA37" s="19">
        <v>252</v>
      </c>
      <c r="AB37" s="19">
        <v>384</v>
      </c>
      <c r="AC37" s="19"/>
      <c r="AD37" s="19"/>
      <c r="AE37" s="21">
        <f>Y37*2.43</f>
        <v>371.79</v>
      </c>
      <c r="AF37" s="19"/>
      <c r="AG37" s="22"/>
      <c r="AH37" s="95"/>
    </row>
    <row r="38" spans="1:37" ht="20.100000000000001" customHeight="1" x14ac:dyDescent="0.25">
      <c r="A38" s="13">
        <v>46167</v>
      </c>
      <c r="B38" s="14"/>
      <c r="C38" s="15"/>
      <c r="D38" s="14">
        <v>183</v>
      </c>
      <c r="E38" s="16">
        <f t="shared" ref="E38:E42" si="19">D38/200*25</f>
        <v>22.875</v>
      </c>
      <c r="F38" s="14">
        <v>2846</v>
      </c>
      <c r="G38" s="17">
        <f t="shared" si="1"/>
        <v>330.93023255813955</v>
      </c>
      <c r="H38" s="14"/>
      <c r="I38" s="18">
        <f t="shared" ref="I38:I41" si="20">H38/135*25</f>
        <v>0</v>
      </c>
      <c r="J38" s="14"/>
      <c r="K38" s="14">
        <v>0</v>
      </c>
      <c r="L38" s="14"/>
      <c r="M38" s="14">
        <v>0</v>
      </c>
      <c r="N38" s="14"/>
      <c r="O38" s="18">
        <f>N38/38*25</f>
        <v>0</v>
      </c>
      <c r="P38" s="17">
        <v>1160.4000000000001</v>
      </c>
      <c r="Q38" s="19"/>
      <c r="R38" s="19"/>
      <c r="S38" s="20"/>
      <c r="T38" s="19"/>
      <c r="U38" s="19"/>
      <c r="V38" s="19">
        <v>333</v>
      </c>
      <c r="W38" s="20">
        <v>1398</v>
      </c>
      <c r="X38" s="20"/>
      <c r="Y38" s="19">
        <v>178</v>
      </c>
      <c r="Z38" s="19">
        <v>6</v>
      </c>
      <c r="AA38" s="19">
        <v>453</v>
      </c>
      <c r="AB38" s="19">
        <v>333</v>
      </c>
      <c r="AC38" s="19"/>
      <c r="AD38" s="19"/>
      <c r="AE38" s="21">
        <f t="shared" ref="AE38:AE42" si="21">Y38*2.43</f>
        <v>432.54</v>
      </c>
      <c r="AF38" s="19"/>
      <c r="AG38" s="22"/>
      <c r="AH38" s="23"/>
    </row>
    <row r="39" spans="1:37" ht="20.100000000000001" customHeight="1" x14ac:dyDescent="0.25">
      <c r="A39" s="13">
        <v>46168</v>
      </c>
      <c r="B39" s="14"/>
      <c r="C39" s="15"/>
      <c r="D39" s="14">
        <v>1626</v>
      </c>
      <c r="E39" s="16">
        <f t="shared" si="19"/>
        <v>203.25000000000003</v>
      </c>
      <c r="F39" s="14">
        <v>1591</v>
      </c>
      <c r="G39" s="17">
        <f t="shared" si="1"/>
        <v>185</v>
      </c>
      <c r="H39" s="14"/>
      <c r="I39" s="18">
        <f t="shared" si="20"/>
        <v>0</v>
      </c>
      <c r="J39" s="14"/>
      <c r="K39" s="14"/>
      <c r="L39" s="14"/>
      <c r="M39" s="14"/>
      <c r="N39" s="14"/>
      <c r="O39" s="18">
        <f t="shared" ref="O39:O41" si="22">N39/38*25</f>
        <v>0</v>
      </c>
      <c r="P39" s="18">
        <v>1111.2</v>
      </c>
      <c r="Q39" s="19"/>
      <c r="R39" s="19"/>
      <c r="S39" s="19"/>
      <c r="T39" s="19"/>
      <c r="U39" s="19"/>
      <c r="V39" s="19">
        <v>273</v>
      </c>
      <c r="W39" s="20">
        <v>1398</v>
      </c>
      <c r="X39" s="20"/>
      <c r="Y39" s="19">
        <v>174</v>
      </c>
      <c r="Z39" s="19">
        <v>6</v>
      </c>
      <c r="AA39" s="19">
        <v>459</v>
      </c>
      <c r="AB39" s="19">
        <v>314</v>
      </c>
      <c r="AC39" s="19"/>
      <c r="AD39" s="19"/>
      <c r="AE39" s="21">
        <f t="shared" si="21"/>
        <v>422.82000000000005</v>
      </c>
      <c r="AF39" s="19"/>
      <c r="AG39" s="22"/>
    </row>
    <row r="40" spans="1:37" ht="20.100000000000001" customHeight="1" x14ac:dyDescent="0.25">
      <c r="A40" s="13">
        <v>46169</v>
      </c>
      <c r="B40" s="14"/>
      <c r="C40" s="15"/>
      <c r="D40" s="14">
        <v>1432</v>
      </c>
      <c r="E40" s="16">
        <f t="shared" si="19"/>
        <v>179</v>
      </c>
      <c r="F40" s="14">
        <v>2436</v>
      </c>
      <c r="G40" s="17">
        <f t="shared" si="1"/>
        <v>283.25581395348837</v>
      </c>
      <c r="H40" s="14"/>
      <c r="I40" s="18">
        <f t="shared" si="20"/>
        <v>0</v>
      </c>
      <c r="J40" s="14"/>
      <c r="K40" s="14"/>
      <c r="L40" s="14"/>
      <c r="M40" s="14"/>
      <c r="N40" s="14"/>
      <c r="O40" s="18">
        <f t="shared" si="22"/>
        <v>0</v>
      </c>
      <c r="P40" s="18">
        <v>1256.3999999999999</v>
      </c>
      <c r="Q40" s="19"/>
      <c r="R40" s="19"/>
      <c r="S40" s="19"/>
      <c r="T40" s="19"/>
      <c r="U40" s="19"/>
      <c r="V40" s="35">
        <v>266</v>
      </c>
      <c r="W40" s="20">
        <v>1687</v>
      </c>
      <c r="X40" s="20"/>
      <c r="Y40" s="19">
        <v>196</v>
      </c>
      <c r="Z40" s="19">
        <v>4</v>
      </c>
      <c r="AA40" s="19">
        <v>389</v>
      </c>
      <c r="AB40" s="19">
        <v>452</v>
      </c>
      <c r="AC40" s="19"/>
      <c r="AD40" s="19"/>
      <c r="AE40" s="21">
        <f t="shared" si="21"/>
        <v>476.28000000000003</v>
      </c>
      <c r="AF40" s="19"/>
      <c r="AG40" s="22"/>
      <c r="AH40" s="23"/>
    </row>
    <row r="41" spans="1:37" ht="20.100000000000001" customHeight="1" x14ac:dyDescent="0.25">
      <c r="A41" s="13">
        <v>46170</v>
      </c>
      <c r="B41" s="14"/>
      <c r="C41" s="15"/>
      <c r="D41" s="14">
        <v>1848</v>
      </c>
      <c r="E41" s="16">
        <f t="shared" si="19"/>
        <v>231</v>
      </c>
      <c r="F41" s="14">
        <v>1278</v>
      </c>
      <c r="G41" s="17">
        <f t="shared" si="1"/>
        <v>148.6046511627907</v>
      </c>
      <c r="H41" s="14"/>
      <c r="I41" s="18">
        <f t="shared" si="20"/>
        <v>0</v>
      </c>
      <c r="J41" s="14"/>
      <c r="K41" s="14"/>
      <c r="L41" s="14"/>
      <c r="M41" s="14"/>
      <c r="N41" s="14"/>
      <c r="O41" s="18">
        <f t="shared" si="22"/>
        <v>0</v>
      </c>
      <c r="P41" s="18">
        <v>1243.8</v>
      </c>
      <c r="Q41" s="19"/>
      <c r="R41" s="19"/>
      <c r="S41" s="19"/>
      <c r="T41" s="19"/>
      <c r="U41" s="19"/>
      <c r="V41" s="19">
        <v>128</v>
      </c>
      <c r="W41" s="20">
        <v>1665</v>
      </c>
      <c r="X41" s="20"/>
      <c r="Y41" s="19">
        <v>202</v>
      </c>
      <c r="Z41" s="19">
        <v>4</v>
      </c>
      <c r="AA41" s="19">
        <v>416</v>
      </c>
      <c r="AB41" s="19">
        <v>448</v>
      </c>
      <c r="AC41" s="19"/>
      <c r="AD41" s="19"/>
      <c r="AE41" s="21">
        <f t="shared" si="21"/>
        <v>490.86</v>
      </c>
      <c r="AF41" s="19"/>
      <c r="AG41" s="22"/>
    </row>
    <row r="42" spans="1:37" ht="20.100000000000001" customHeight="1" x14ac:dyDescent="0.25">
      <c r="A42" s="13">
        <v>46171</v>
      </c>
      <c r="B42" s="14"/>
      <c r="C42" s="15"/>
      <c r="D42" s="14">
        <v>1795</v>
      </c>
      <c r="E42" s="16">
        <f t="shared" si="19"/>
        <v>224.375</v>
      </c>
      <c r="F42" s="14">
        <v>1503</v>
      </c>
      <c r="G42" s="17">
        <f t="shared" si="1"/>
        <v>174.76744186046511</v>
      </c>
      <c r="H42" s="14"/>
      <c r="I42" s="18"/>
      <c r="J42" s="14"/>
      <c r="K42" s="14"/>
      <c r="L42" s="14"/>
      <c r="M42" s="14"/>
      <c r="N42" s="14"/>
      <c r="O42" s="18">
        <v>0</v>
      </c>
      <c r="P42" s="18">
        <v>938.99999999999989</v>
      </c>
      <c r="Q42" s="19"/>
      <c r="R42" s="19"/>
      <c r="S42" s="20"/>
      <c r="T42" s="19"/>
      <c r="U42" s="19"/>
      <c r="V42" s="19">
        <v>122</v>
      </c>
      <c r="W42" s="20">
        <v>1406</v>
      </c>
      <c r="X42" s="20"/>
      <c r="Y42" s="19">
        <v>210</v>
      </c>
      <c r="Z42" s="19">
        <v>4</v>
      </c>
      <c r="AA42" s="19">
        <v>405</v>
      </c>
      <c r="AB42" s="19">
        <v>322</v>
      </c>
      <c r="AC42" s="19"/>
      <c r="AD42" s="19"/>
      <c r="AE42" s="21">
        <f t="shared" si="21"/>
        <v>510.3</v>
      </c>
      <c r="AF42" s="19"/>
      <c r="AG42" s="22"/>
    </row>
    <row r="43" spans="1:37" ht="20.100000000000001" customHeight="1" x14ac:dyDescent="0.25">
      <c r="A43" s="13">
        <v>46172</v>
      </c>
      <c r="B43" s="14"/>
      <c r="C43" s="16"/>
      <c r="D43" s="14">
        <v>1347</v>
      </c>
      <c r="E43" s="16">
        <f t="shared" ref="E43:E44" si="23">D43/208*25</f>
        <v>161.89903846153845</v>
      </c>
      <c r="F43" s="14">
        <v>1622</v>
      </c>
      <c r="G43" s="16">
        <f t="shared" si="1"/>
        <v>188.6046511627907</v>
      </c>
      <c r="H43" s="14"/>
      <c r="I43" s="18"/>
      <c r="J43" s="14"/>
      <c r="K43" s="14"/>
      <c r="L43" s="14"/>
      <c r="M43" s="14"/>
      <c r="N43" s="14"/>
      <c r="O43" s="18">
        <v>0</v>
      </c>
      <c r="P43" s="18">
        <v>915.8</v>
      </c>
      <c r="Q43" s="19"/>
      <c r="R43" s="19"/>
      <c r="S43" s="20"/>
      <c r="T43" s="20"/>
      <c r="U43" s="19"/>
      <c r="V43" s="19">
        <v>98</v>
      </c>
      <c r="W43" s="20">
        <v>1366</v>
      </c>
      <c r="X43" s="20"/>
      <c r="Y43" s="19">
        <v>175</v>
      </c>
      <c r="Z43" s="19">
        <v>6</v>
      </c>
      <c r="AA43" s="19">
        <v>413</v>
      </c>
      <c r="AB43" s="19">
        <v>292</v>
      </c>
      <c r="AC43" s="19"/>
      <c r="AD43" s="19"/>
      <c r="AE43" s="21">
        <f>Y43*2.43</f>
        <v>425.25</v>
      </c>
      <c r="AF43" s="19"/>
      <c r="AG43" s="22"/>
      <c r="AH43" s="95"/>
    </row>
    <row r="44" spans="1:37" ht="20.100000000000001" customHeight="1" x14ac:dyDescent="0.25">
      <c r="A44" s="13">
        <v>46173</v>
      </c>
      <c r="B44" s="14"/>
      <c r="C44" s="16"/>
      <c r="D44" s="14">
        <v>1532</v>
      </c>
      <c r="E44" s="16">
        <f t="shared" si="23"/>
        <v>184.13461538461539</v>
      </c>
      <c r="F44" s="14">
        <v>876</v>
      </c>
      <c r="G44" s="16">
        <f t="shared" si="1"/>
        <v>101.86046511627906</v>
      </c>
      <c r="H44" s="14"/>
      <c r="I44" s="18"/>
      <c r="J44" s="14"/>
      <c r="K44" s="14"/>
      <c r="L44" s="14"/>
      <c r="M44" s="14"/>
      <c r="N44" s="14"/>
      <c r="O44" s="18">
        <v>0</v>
      </c>
      <c r="P44" s="18">
        <v>776.4</v>
      </c>
      <c r="Q44" s="19"/>
      <c r="R44" s="19"/>
      <c r="S44" s="19"/>
      <c r="T44" s="19"/>
      <c r="U44" s="19"/>
      <c r="V44" s="19">
        <v>63</v>
      </c>
      <c r="W44" s="20">
        <v>1110</v>
      </c>
      <c r="X44" s="20"/>
      <c r="Y44" s="19">
        <v>131</v>
      </c>
      <c r="Z44" s="19">
        <v>2</v>
      </c>
      <c r="AA44" s="19">
        <v>284</v>
      </c>
      <c r="AB44" s="19">
        <v>282</v>
      </c>
      <c r="AC44" s="19"/>
      <c r="AD44" s="19"/>
      <c r="AE44" s="21">
        <f>Y44*2.43</f>
        <v>318.33000000000004</v>
      </c>
      <c r="AF44" s="19"/>
      <c r="AG44" s="22"/>
      <c r="AH44" s="95"/>
    </row>
    <row r="45" spans="1:37" s="1" customFormat="1" ht="20.100000000000001" customHeight="1" thickBot="1" x14ac:dyDescent="0.25">
      <c r="A45" s="24" t="s">
        <v>28</v>
      </c>
      <c r="B45" s="40"/>
      <c r="C45" s="40"/>
      <c r="D45" s="25">
        <f t="shared" ref="D45:AG45" si="24">SUM(D14:D44)</f>
        <v>46364</v>
      </c>
      <c r="E45" s="25">
        <f t="shared" si="24"/>
        <v>5729.2451923076924</v>
      </c>
      <c r="F45" s="25">
        <f t="shared" si="24"/>
        <v>42223</v>
      </c>
      <c r="G45" s="25">
        <f t="shared" si="24"/>
        <v>4909.6511627906975</v>
      </c>
      <c r="H45" s="25">
        <f t="shared" si="24"/>
        <v>0</v>
      </c>
      <c r="I45" s="25">
        <f t="shared" si="24"/>
        <v>0</v>
      </c>
      <c r="J45" s="25">
        <f t="shared" si="24"/>
        <v>0</v>
      </c>
      <c r="K45" s="25">
        <f t="shared" si="24"/>
        <v>0</v>
      </c>
      <c r="L45" s="25">
        <f t="shared" si="24"/>
        <v>0</v>
      </c>
      <c r="M45" s="25">
        <f t="shared" si="24"/>
        <v>0</v>
      </c>
      <c r="N45" s="25">
        <f t="shared" si="24"/>
        <v>0</v>
      </c>
      <c r="O45" s="25">
        <f t="shared" si="24"/>
        <v>0</v>
      </c>
      <c r="P45" s="76">
        <f t="shared" si="24"/>
        <v>30961.5</v>
      </c>
      <c r="Q45" s="25">
        <f t="shared" si="24"/>
        <v>0</v>
      </c>
      <c r="R45" s="25">
        <f t="shared" si="24"/>
        <v>0</v>
      </c>
      <c r="S45" s="25">
        <f t="shared" si="24"/>
        <v>0</v>
      </c>
      <c r="T45" s="25">
        <f t="shared" si="24"/>
        <v>0</v>
      </c>
      <c r="U45" s="25">
        <f t="shared" si="24"/>
        <v>0</v>
      </c>
      <c r="V45" s="25">
        <f t="shared" si="24"/>
        <v>3453</v>
      </c>
      <c r="W45" s="25">
        <f t="shared" si="24"/>
        <v>44222</v>
      </c>
      <c r="X45" s="25">
        <f t="shared" si="24"/>
        <v>0</v>
      </c>
      <c r="Y45" s="25">
        <f t="shared" si="24"/>
        <v>5002</v>
      </c>
      <c r="Z45" s="25">
        <f t="shared" si="24"/>
        <v>128</v>
      </c>
      <c r="AA45" s="25">
        <f t="shared" si="24"/>
        <v>12260</v>
      </c>
      <c r="AB45" s="25">
        <f t="shared" si="24"/>
        <v>8724</v>
      </c>
      <c r="AC45" s="25">
        <f t="shared" si="24"/>
        <v>0</v>
      </c>
      <c r="AD45" s="25">
        <f t="shared" si="24"/>
        <v>0</v>
      </c>
      <c r="AE45" s="36">
        <f t="shared" si="24"/>
        <v>12154.860000000004</v>
      </c>
      <c r="AF45" s="25">
        <f t="shared" si="24"/>
        <v>330</v>
      </c>
      <c r="AG45" s="25">
        <f t="shared" si="24"/>
        <v>0</v>
      </c>
      <c r="AH45" s="26"/>
    </row>
    <row r="46" spans="1:37" s="1" customFormat="1" ht="8.25" customHeight="1" x14ac:dyDescent="0.2">
      <c r="Q46" s="27"/>
      <c r="Y46" s="28"/>
    </row>
    <row r="47" spans="1:37" s="1" customFormat="1" ht="7.5" customHeight="1" x14ac:dyDescent="0.2">
      <c r="Q47" s="27"/>
      <c r="Y47" s="28"/>
    </row>
    <row r="48" spans="1:37" s="29" customFormat="1" ht="18.75" x14ac:dyDescent="0.3">
      <c r="A48" s="29" t="s">
        <v>29</v>
      </c>
      <c r="G48" s="30" t="s">
        <v>30</v>
      </c>
      <c r="X48" s="29" t="s">
        <v>31</v>
      </c>
      <c r="AD48" s="30" t="s">
        <v>32</v>
      </c>
      <c r="AH48" s="30"/>
      <c r="AJ48" s="31"/>
      <c r="AK48" s="31"/>
    </row>
    <row r="49" spans="1:37" s="29" customFormat="1" ht="27" customHeight="1" x14ac:dyDescent="0.3">
      <c r="A49" s="32"/>
      <c r="B49" s="32"/>
      <c r="C49" s="32"/>
      <c r="G49" s="32"/>
    </row>
    <row r="50" spans="1:37" s="42" customFormat="1" ht="20.25" x14ac:dyDescent="0.3">
      <c r="A50" s="41" t="s">
        <v>33</v>
      </c>
      <c r="B50" s="41"/>
      <c r="C50" s="41"/>
      <c r="G50" s="43" t="s">
        <v>34</v>
      </c>
      <c r="X50" s="43" t="s">
        <v>35</v>
      </c>
      <c r="AD50" s="44" t="s">
        <v>36</v>
      </c>
      <c r="AI50" s="45"/>
      <c r="AJ50" s="45"/>
      <c r="AK50" s="45"/>
    </row>
    <row r="51" spans="1:37" s="42" customFormat="1" ht="20.25" x14ac:dyDescent="0.3">
      <c r="A51" s="46" t="s">
        <v>39</v>
      </c>
      <c r="B51" s="46"/>
      <c r="C51" s="46"/>
      <c r="G51" s="46" t="s">
        <v>37</v>
      </c>
      <c r="X51" s="46" t="s">
        <v>38</v>
      </c>
      <c r="AD51" s="47" t="s">
        <v>43</v>
      </c>
      <c r="AI51" s="46"/>
      <c r="AJ51" s="48"/>
      <c r="AK51" s="48"/>
    </row>
    <row r="52" spans="1:37" x14ac:dyDescent="0.25">
      <c r="P52" s="1"/>
      <c r="R52" s="1"/>
      <c r="S52" s="1"/>
    </row>
    <row r="53" spans="1:37" x14ac:dyDescent="0.25">
      <c r="S53" s="33"/>
      <c r="T53" s="33"/>
      <c r="U53" s="33"/>
      <c r="AC53" s="34"/>
    </row>
    <row r="67" spans="1:3" x14ac:dyDescent="0.25">
      <c r="A67" s="1"/>
      <c r="B67" s="1"/>
      <c r="C67" s="1"/>
    </row>
  </sheetData>
  <mergeCells count="41">
    <mergeCell ref="F12:G12"/>
    <mergeCell ref="H12:I12"/>
    <mergeCell ref="J12:K12"/>
    <mergeCell ref="L12:M12"/>
    <mergeCell ref="AG7:AG8"/>
    <mergeCell ref="Y8:Z8"/>
    <mergeCell ref="N12:O12"/>
    <mergeCell ref="Q10:R10"/>
    <mergeCell ref="S10:T10"/>
    <mergeCell ref="V10:X10"/>
    <mergeCell ref="N11:O11"/>
    <mergeCell ref="N10:O10"/>
    <mergeCell ref="A9:A13"/>
    <mergeCell ref="D9:O9"/>
    <mergeCell ref="P9:P11"/>
    <mergeCell ref="Q9:Z9"/>
    <mergeCell ref="AA9:AD9"/>
    <mergeCell ref="D11:E11"/>
    <mergeCell ref="F11:G11"/>
    <mergeCell ref="H11:I11"/>
    <mergeCell ref="J11:K11"/>
    <mergeCell ref="L11:M11"/>
    <mergeCell ref="D10:E10"/>
    <mergeCell ref="F10:G10"/>
    <mergeCell ref="H10:I10"/>
    <mergeCell ref="J10:K10"/>
    <mergeCell ref="L10:M10"/>
    <mergeCell ref="D12:E12"/>
    <mergeCell ref="A1:AF1"/>
    <mergeCell ref="A2:AF2"/>
    <mergeCell ref="A4:AF4"/>
    <mergeCell ref="A5:AF5"/>
    <mergeCell ref="A7:A8"/>
    <mergeCell ref="D7:E8"/>
    <mergeCell ref="F7:O8"/>
    <mergeCell ref="Q7:U8"/>
    <mergeCell ref="V7:W8"/>
    <mergeCell ref="Y7:Z7"/>
    <mergeCell ref="AA7:AA8"/>
    <mergeCell ref="AB7:AD8"/>
    <mergeCell ref="AF7:AF8"/>
  </mergeCells>
  <pageMargins left="0.39370078740157483" right="0.39370078740157483" top="0.39370078740157483" bottom="0.39370078740157483" header="0.31496062992125984" footer="0.31496062992125984"/>
  <pageSetup paperSize="14"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2026</vt:lpstr>
      <vt:lpstr>FEBRUARY 2026</vt:lpstr>
      <vt:lpstr>MARCH 2026</vt:lpstr>
      <vt:lpstr>APRIL 2026</vt:lpstr>
      <vt:lpstr>MAY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cp:lastPrinted>2026-06-02T00:12:42Z</cp:lastPrinted>
  <dcterms:created xsi:type="dcterms:W3CDTF">2024-02-01T02:43:05Z</dcterms:created>
  <dcterms:modified xsi:type="dcterms:W3CDTF">2026-06-02T00:12:50Z</dcterms:modified>
</cp:coreProperties>
</file>